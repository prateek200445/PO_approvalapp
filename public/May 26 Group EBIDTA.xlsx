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\EBIDATA\0 FY 2026-2027\MAY 26\"/>
    </mc:Choice>
  </mc:AlternateContent>
  <xr:revisionPtr revIDLastSave="0" documentId="13_ncr:1_{014B4FCF-0547-49D8-8191-1E3305BC01CE}" xr6:coauthVersionLast="47" xr6:coauthVersionMax="47" xr10:uidLastSave="{00000000-0000-0000-0000-000000000000}"/>
  <bookViews>
    <workbookView xWindow="0" yWindow="380" windowWidth="19200" windowHeight="10060" tabRatio="912" xr2:uid="{4BEFDDAE-C524-4F07-A4A6-FE63453F285A}"/>
  </bookViews>
  <sheets>
    <sheet name="Summary" sheetId="5" r:id="rId1"/>
    <sheet name="Sheet1" sheetId="57" state="hidden" r:id="rId2"/>
    <sheet name="May-26" sheetId="62" r:id="rId3"/>
    <sheet name="Apr-26" sheetId="60" r:id="rId4"/>
    <sheet name="common exp" sheetId="16" r:id="rId5"/>
    <sheet name="Stock sheet" sheetId="15" r:id="rId6"/>
    <sheet name="05.conso TB" sheetId="61" r:id="rId7"/>
    <sheet name="04.conso TB" sheetId="59" r:id="rId8"/>
    <sheet name="master" sheetId="6" r:id="rId9"/>
    <sheet name="5.conso TB" sheetId="9" state="hidden" r:id="rId10"/>
    <sheet name="4.Group TB" sheetId="1" state="hidden" r:id="rId11"/>
    <sheet name="6.Elimination " sheetId="23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7" hidden="1">'04.conso TB'!$A$1:$W$244</definedName>
    <definedName name="_xlnm._FilterDatabase" localSheetId="6" hidden="1">'05.conso TB'!$A$1:$W$243</definedName>
    <definedName name="_xlnm._FilterDatabase" localSheetId="10" hidden="1">'4.Group TB'!$A$2:$Y$231</definedName>
    <definedName name="_xlnm._FilterDatabase" localSheetId="9" hidden="1">'5.conso TB'!$A$210:$AF$270</definedName>
    <definedName name="_xlnm._FilterDatabase" localSheetId="3" hidden="1">'Apr-26'!$A$22:$AG$88</definedName>
    <definedName name="_xlnm._FilterDatabase" localSheetId="8" hidden="1">master!$A$1:$B$250</definedName>
    <definedName name="_xlnm._FilterDatabase" localSheetId="2" hidden="1">'May-26'!$A$22:$AG$88</definedName>
  </definedNames>
  <calcPr calcId="191029"/>
  <pivotCaches>
    <pivotCache cacheId="0" r:id="rId41"/>
    <pivotCache cacheId="1" r:id="rId42"/>
    <pivotCache cacheId="2" r:id="rId43"/>
    <pivotCache cacheId="3" r:id="rId4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B76" i="62" l="1"/>
  <c r="CB77" i="62"/>
  <c r="CB45" i="62"/>
  <c r="CB63" i="62"/>
  <c r="CB49" i="62"/>
  <c r="CB39" i="62"/>
  <c r="CB28" i="62"/>
  <c r="CB27" i="62"/>
  <c r="CB24" i="62" l="1"/>
  <c r="CB23" i="62"/>
  <c r="U343" i="61" l="1"/>
  <c r="U342" i="61"/>
  <c r="U341" i="61"/>
  <c r="U340" i="61"/>
  <c r="U339" i="61"/>
  <c r="U338" i="61"/>
  <c r="U337" i="61"/>
  <c r="U336" i="61"/>
  <c r="U335" i="61"/>
  <c r="U334" i="61"/>
  <c r="U333" i="61"/>
  <c r="U332" i="61"/>
  <c r="U331" i="61"/>
  <c r="U330" i="61"/>
  <c r="U329" i="61"/>
  <c r="U328" i="61"/>
  <c r="U327" i="61"/>
  <c r="U326" i="61"/>
  <c r="U325" i="61"/>
  <c r="U324" i="61"/>
  <c r="U323" i="61"/>
  <c r="U322" i="61"/>
  <c r="U321" i="61"/>
  <c r="U320" i="61"/>
  <c r="U319" i="61"/>
  <c r="U318" i="61"/>
  <c r="U317" i="61"/>
  <c r="U316" i="61"/>
  <c r="U315" i="61"/>
  <c r="U314" i="61"/>
  <c r="U313" i="61"/>
  <c r="U312" i="61"/>
  <c r="U311" i="61"/>
  <c r="U310" i="61"/>
  <c r="U309" i="61"/>
  <c r="U308" i="61"/>
  <c r="U307" i="61"/>
  <c r="U306" i="61"/>
  <c r="U305" i="61"/>
  <c r="U304" i="61"/>
  <c r="U303" i="61"/>
  <c r="U302" i="61"/>
  <c r="U301" i="61"/>
  <c r="U300" i="61"/>
  <c r="U299" i="61"/>
  <c r="U298" i="61"/>
  <c r="U297" i="61"/>
  <c r="U296" i="61"/>
  <c r="U295" i="61"/>
  <c r="U294" i="61"/>
  <c r="U293" i="61"/>
  <c r="U292" i="61"/>
  <c r="U291" i="61"/>
  <c r="U290" i="61"/>
  <c r="U289" i="61"/>
  <c r="U288" i="61"/>
  <c r="U287" i="61"/>
  <c r="U286" i="61"/>
  <c r="U285" i="61"/>
  <c r="U284" i="61"/>
  <c r="U283" i="61"/>
  <c r="U282" i="61"/>
  <c r="U281" i="61"/>
  <c r="U280" i="61"/>
  <c r="U279" i="61"/>
  <c r="U278" i="61"/>
  <c r="U277" i="61"/>
  <c r="U276" i="61"/>
  <c r="U275" i="61"/>
  <c r="U274" i="61"/>
  <c r="U273" i="61"/>
  <c r="U272" i="61"/>
  <c r="U271" i="61"/>
  <c r="U270" i="61"/>
  <c r="U269" i="61"/>
  <c r="U268" i="61"/>
  <c r="U267" i="61"/>
  <c r="U266" i="61"/>
  <c r="U265" i="61"/>
  <c r="U264" i="61"/>
  <c r="U263" i="61"/>
  <c r="U262" i="61"/>
  <c r="U261" i="61"/>
  <c r="U260" i="61"/>
  <c r="U259" i="61"/>
  <c r="U258" i="61"/>
  <c r="U257" i="61"/>
  <c r="U256" i="61"/>
  <c r="U255" i="61"/>
  <c r="U254" i="61"/>
  <c r="U253" i="61"/>
  <c r="U252" i="61"/>
  <c r="U251" i="61"/>
  <c r="U250" i="61"/>
  <c r="U249" i="61"/>
  <c r="U248" i="61"/>
  <c r="U247" i="61"/>
  <c r="U246" i="61"/>
  <c r="AB78" i="62"/>
  <c r="AD78" i="62"/>
  <c r="BW19" i="62"/>
  <c r="CB80" i="62"/>
  <c r="CB81" i="62" s="1"/>
  <c r="CB79" i="62"/>
  <c r="CB78" i="62"/>
  <c r="W79" i="62"/>
  <c r="K79" i="62"/>
  <c r="AQ78" i="62"/>
  <c r="AL78" i="62"/>
  <c r="AG78" i="62"/>
  <c r="W78" i="62"/>
  <c r="S78" i="62"/>
  <c r="O78" i="62"/>
  <c r="K78" i="62"/>
  <c r="G78" i="62"/>
  <c r="AS78" i="62"/>
  <c r="AN78" i="62"/>
  <c r="AI78" i="62"/>
  <c r="Q78" i="62"/>
  <c r="I78" i="62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D15" i="15"/>
  <c r="Q139" i="62"/>
  <c r="BO149" i="62"/>
  <c r="BK149" i="62"/>
  <c r="BG149" i="62"/>
  <c r="AW149" i="62"/>
  <c r="AS149" i="62"/>
  <c r="AN149" i="62"/>
  <c r="AI149" i="62"/>
  <c r="I149" i="62"/>
  <c r="E149" i="62"/>
  <c r="BO148" i="62"/>
  <c r="BK148" i="62"/>
  <c r="BG148" i="62"/>
  <c r="AW148" i="62"/>
  <c r="AS148" i="62"/>
  <c r="AN148" i="62"/>
  <c r="AI148" i="62"/>
  <c r="Q148" i="62"/>
  <c r="I148" i="62"/>
  <c r="E148" i="62"/>
  <c r="CA145" i="60"/>
  <c r="BO149" i="60"/>
  <c r="BK149" i="60"/>
  <c r="BG149" i="60"/>
  <c r="AW149" i="60"/>
  <c r="AS149" i="60"/>
  <c r="AN149" i="60"/>
  <c r="AI149" i="60"/>
  <c r="Q139" i="60"/>
  <c r="I149" i="60"/>
  <c r="E149" i="60"/>
  <c r="BO148" i="60"/>
  <c r="BK148" i="60"/>
  <c r="BG148" i="60"/>
  <c r="AW148" i="60"/>
  <c r="AS148" i="60"/>
  <c r="AN148" i="60"/>
  <c r="AI148" i="60"/>
  <c r="Q148" i="60"/>
  <c r="I148" i="60"/>
  <c r="E148" i="60"/>
  <c r="BG127" i="60"/>
  <c r="BG127" i="62"/>
  <c r="BG143" i="62"/>
  <c r="AW143" i="62"/>
  <c r="BK139" i="62"/>
  <c r="BG139" i="62"/>
  <c r="AW139" i="62"/>
  <c r="AS139" i="62"/>
  <c r="AN139" i="62"/>
  <c r="AI139" i="62"/>
  <c r="I139" i="62"/>
  <c r="E139" i="62"/>
  <c r="BO131" i="62"/>
  <c r="BK131" i="62"/>
  <c r="BG131" i="62"/>
  <c r="AW131" i="62"/>
  <c r="AS131" i="62"/>
  <c r="AN131" i="62"/>
  <c r="AI131" i="62"/>
  <c r="Q131" i="62"/>
  <c r="I131" i="62"/>
  <c r="E131" i="62"/>
  <c r="BO130" i="62"/>
  <c r="BK130" i="62"/>
  <c r="BG130" i="62"/>
  <c r="AW130" i="62"/>
  <c r="AS130" i="62"/>
  <c r="AN130" i="62"/>
  <c r="AI130" i="62"/>
  <c r="Q130" i="62"/>
  <c r="I130" i="62"/>
  <c r="E130" i="62"/>
  <c r="BO113" i="62"/>
  <c r="BK113" i="62"/>
  <c r="BG113" i="62"/>
  <c r="AW113" i="62"/>
  <c r="AS113" i="62"/>
  <c r="AN113" i="62"/>
  <c r="AI113" i="62"/>
  <c r="Q113" i="62"/>
  <c r="I113" i="62"/>
  <c r="E113" i="62"/>
  <c r="BO112" i="62"/>
  <c r="BK112" i="62"/>
  <c r="BG112" i="62"/>
  <c r="AW112" i="62"/>
  <c r="AS112" i="62"/>
  <c r="AN112" i="62"/>
  <c r="AI112" i="62"/>
  <c r="Q112" i="62"/>
  <c r="I112" i="62"/>
  <c r="E112" i="62"/>
  <c r="CB75" i="62"/>
  <c r="CB74" i="62"/>
  <c r="CB71" i="62"/>
  <c r="CB70" i="62"/>
  <c r="CB69" i="62"/>
  <c r="CB68" i="62"/>
  <c r="CB67" i="62"/>
  <c r="CB72" i="62" s="1"/>
  <c r="CB64" i="62"/>
  <c r="CB65" i="62" s="1"/>
  <c r="CB62" i="62"/>
  <c r="CB59" i="62"/>
  <c r="CB58" i="62"/>
  <c r="CB57" i="62"/>
  <c r="CB56" i="62"/>
  <c r="CB55" i="62"/>
  <c r="CB60" i="62" s="1"/>
  <c r="CB52" i="62"/>
  <c r="CB51" i="62"/>
  <c r="CB50" i="62"/>
  <c r="CB53" i="62" s="1"/>
  <c r="CB44" i="62"/>
  <c r="CB43" i="62"/>
  <c r="CB42" i="62"/>
  <c r="CB41" i="62"/>
  <c r="CB40" i="62"/>
  <c r="CB38" i="62"/>
  <c r="CB37" i="62"/>
  <c r="CB36" i="62"/>
  <c r="CB35" i="62"/>
  <c r="CB32" i="62"/>
  <c r="CB31" i="62"/>
  <c r="CB30" i="62"/>
  <c r="CB33" i="62" s="1"/>
  <c r="CB29" i="62"/>
  <c r="CB25" i="62"/>
  <c r="BW51" i="62"/>
  <c r="BW29" i="62"/>
  <c r="BR29" i="62"/>
  <c r="BM29" i="62"/>
  <c r="BI29" i="62"/>
  <c r="BE29" i="62"/>
  <c r="AZ29" i="62"/>
  <c r="AU29" i="62"/>
  <c r="AQ29" i="62"/>
  <c r="AB29" i="62"/>
  <c r="W51" i="62"/>
  <c r="S51" i="62"/>
  <c r="K29" i="62"/>
  <c r="G29" i="62"/>
  <c r="C78" i="62"/>
  <c r="E78" i="62"/>
  <c r="O10" i="16"/>
  <c r="O9" i="16"/>
  <c r="O8" i="16"/>
  <c r="O7" i="16"/>
  <c r="O6" i="16"/>
  <c r="O5" i="16"/>
  <c r="O4" i="16"/>
  <c r="C29" i="62"/>
  <c r="CB46" i="62" l="1"/>
  <c r="I120" i="62" l="1"/>
  <c r="BY145" i="62"/>
  <c r="BK145" i="62"/>
  <c r="Y145" i="62"/>
  <c r="BY144" i="62"/>
  <c r="Y144" i="62"/>
  <c r="U144" i="62"/>
  <c r="L144" i="62"/>
  <c r="L145" i="62" s="1"/>
  <c r="BK143" i="62"/>
  <c r="Y143" i="62"/>
  <c r="U143" i="62"/>
  <c r="U145" i="62" s="1"/>
  <c r="L143" i="62"/>
  <c r="CH140" i="62"/>
  <c r="CG140" i="62"/>
  <c r="CF140" i="62"/>
  <c r="CE140" i="62"/>
  <c r="CC140" i="62"/>
  <c r="CB140" i="62"/>
  <c r="CA140" i="62"/>
  <c r="BZ140" i="62"/>
  <c r="BX140" i="62"/>
  <c r="BW140" i="62"/>
  <c r="BU140" i="62"/>
  <c r="BT140" i="62"/>
  <c r="BS140" i="62"/>
  <c r="BR140" i="62"/>
  <c r="BQ140" i="62"/>
  <c r="BP140" i="62"/>
  <c r="BN140" i="62"/>
  <c r="BM140" i="62"/>
  <c r="BL140" i="62"/>
  <c r="BJ140" i="62"/>
  <c r="BI140" i="62"/>
  <c r="BH140" i="62"/>
  <c r="BF140" i="62"/>
  <c r="BE140" i="62"/>
  <c r="BD140" i="62"/>
  <c r="BC140" i="62"/>
  <c r="BB140" i="62"/>
  <c r="BA140" i="62"/>
  <c r="AZ140" i="62"/>
  <c r="AY140" i="62"/>
  <c r="AX140" i="62"/>
  <c r="AV140" i="62"/>
  <c r="AU140" i="62"/>
  <c r="AT140" i="62"/>
  <c r="AR140" i="62"/>
  <c r="AQ140" i="62"/>
  <c r="AP140" i="62"/>
  <c r="AO140" i="62"/>
  <c r="AM140" i="62"/>
  <c r="AL140" i="62"/>
  <c r="AK140" i="62"/>
  <c r="AJ140" i="62"/>
  <c r="AH140" i="62"/>
  <c r="AG140" i="62"/>
  <c r="AF140" i="62"/>
  <c r="AE140" i="62"/>
  <c r="AD140" i="62"/>
  <c r="AC140" i="62"/>
  <c r="AB140" i="62"/>
  <c r="AA140" i="62"/>
  <c r="Z140" i="62"/>
  <c r="X140" i="62"/>
  <c r="W140" i="62"/>
  <c r="V140" i="62"/>
  <c r="T140" i="62"/>
  <c r="S140" i="62"/>
  <c r="R140" i="62"/>
  <c r="P140" i="62"/>
  <c r="O140" i="62"/>
  <c r="N140" i="62"/>
  <c r="M140" i="62"/>
  <c r="L140" i="62"/>
  <c r="K140" i="62"/>
  <c r="J140" i="62"/>
  <c r="H140" i="62"/>
  <c r="G140" i="62"/>
  <c r="F140" i="62"/>
  <c r="C140" i="62"/>
  <c r="BO139" i="62"/>
  <c r="BO135" i="62"/>
  <c r="BK135" i="62"/>
  <c r="BG135" i="62"/>
  <c r="AS135" i="62"/>
  <c r="AN135" i="62"/>
  <c r="AI135" i="62"/>
  <c r="Q135" i="62"/>
  <c r="I135" i="62"/>
  <c r="E135" i="62"/>
  <c r="CH132" i="62"/>
  <c r="CG132" i="62"/>
  <c r="CF132" i="62"/>
  <c r="CE132" i="62"/>
  <c r="CC132" i="62"/>
  <c r="CB132" i="62"/>
  <c r="CA132" i="62"/>
  <c r="BZ132" i="62"/>
  <c r="BY132" i="62"/>
  <c r="BX132" i="62"/>
  <c r="BW132" i="62"/>
  <c r="BU132" i="62"/>
  <c r="BT132" i="62"/>
  <c r="BS132" i="62"/>
  <c r="BR132" i="62"/>
  <c r="BQ132" i="62"/>
  <c r="BP132" i="62"/>
  <c r="BN132" i="62"/>
  <c r="BM132" i="62"/>
  <c r="BL132" i="62"/>
  <c r="BJ132" i="62"/>
  <c r="BI132" i="62"/>
  <c r="BH132" i="62"/>
  <c r="BG132" i="62"/>
  <c r="BG51" i="62" s="1"/>
  <c r="BF132" i="62"/>
  <c r="BE132" i="62"/>
  <c r="BD132" i="62"/>
  <c r="BC132" i="62"/>
  <c r="BB132" i="62"/>
  <c r="BA132" i="62"/>
  <c r="AZ132" i="62"/>
  <c r="AY132" i="62"/>
  <c r="AX132" i="62"/>
  <c r="AV132" i="62"/>
  <c r="AU132" i="62"/>
  <c r="AT132" i="62"/>
  <c r="AS132" i="62"/>
  <c r="AS51" i="62" s="1"/>
  <c r="AQ51" i="62" s="1"/>
  <c r="AR132" i="62"/>
  <c r="AQ132" i="62"/>
  <c r="AP132" i="62"/>
  <c r="AO132" i="62"/>
  <c r="AM132" i="62"/>
  <c r="AL132" i="62"/>
  <c r="AK132" i="62"/>
  <c r="AJ132" i="62"/>
  <c r="AH132" i="62"/>
  <c r="AG132" i="62"/>
  <c r="AF132" i="62"/>
  <c r="AE132" i="62"/>
  <c r="AD132" i="62"/>
  <c r="AC132" i="62"/>
  <c r="AB132" i="62"/>
  <c r="AA132" i="62"/>
  <c r="Z132" i="62"/>
  <c r="Y132" i="62"/>
  <c r="X132" i="62"/>
  <c r="W132" i="62"/>
  <c r="V132" i="62"/>
  <c r="U132" i="62"/>
  <c r="U51" i="62" s="1"/>
  <c r="T132" i="62"/>
  <c r="S132" i="62"/>
  <c r="R132" i="62"/>
  <c r="P132" i="62"/>
  <c r="O132" i="62"/>
  <c r="N132" i="62"/>
  <c r="M132" i="62"/>
  <c r="L132" i="62"/>
  <c r="K132" i="62"/>
  <c r="J132" i="62"/>
  <c r="I132" i="62"/>
  <c r="I51" i="62" s="1"/>
  <c r="G51" i="62" s="1"/>
  <c r="H132" i="62"/>
  <c r="G132" i="62"/>
  <c r="F132" i="62"/>
  <c r="C132" i="62"/>
  <c r="AI144" i="62"/>
  <c r="Q132" i="62"/>
  <c r="BO128" i="62"/>
  <c r="BK128" i="62"/>
  <c r="BG128" i="62"/>
  <c r="AW128" i="62"/>
  <c r="AW132" i="62" s="1"/>
  <c r="AS128" i="62"/>
  <c r="AN128" i="62"/>
  <c r="AI128" i="62"/>
  <c r="Q128" i="62"/>
  <c r="I128" i="62"/>
  <c r="E128" i="62"/>
  <c r="BO127" i="62"/>
  <c r="BO132" i="62" s="1"/>
  <c r="BO51" i="62" s="1"/>
  <c r="BM51" i="62" s="1"/>
  <c r="BK127" i="62"/>
  <c r="AN127" i="62"/>
  <c r="AI127" i="62"/>
  <c r="E127" i="62"/>
  <c r="E132" i="62" s="1"/>
  <c r="E51" i="62" s="1"/>
  <c r="C51" i="62" s="1"/>
  <c r="CH124" i="62"/>
  <c r="CG124" i="62"/>
  <c r="CF124" i="62"/>
  <c r="CE124" i="62"/>
  <c r="CC124" i="62"/>
  <c r="CB124" i="62"/>
  <c r="CA124" i="62"/>
  <c r="BZ124" i="62"/>
  <c r="BX124" i="62"/>
  <c r="BW124" i="62"/>
  <c r="BU124" i="62"/>
  <c r="BT124" i="62"/>
  <c r="BS124" i="62"/>
  <c r="BR124" i="62"/>
  <c r="BQ124" i="62"/>
  <c r="BP124" i="62"/>
  <c r="BN124" i="62"/>
  <c r="BM124" i="62"/>
  <c r="BL124" i="62"/>
  <c r="BJ124" i="62"/>
  <c r="BI124" i="62"/>
  <c r="BH124" i="62"/>
  <c r="BF124" i="62"/>
  <c r="BE124" i="62"/>
  <c r="BD124" i="62"/>
  <c r="BC124" i="62"/>
  <c r="BB124" i="62"/>
  <c r="BA124" i="62"/>
  <c r="AZ124" i="62"/>
  <c r="AY124" i="62"/>
  <c r="AX124" i="62"/>
  <c r="AV124" i="62"/>
  <c r="AU124" i="62"/>
  <c r="AT124" i="62"/>
  <c r="AR124" i="62"/>
  <c r="AQ124" i="62"/>
  <c r="AP124" i="62"/>
  <c r="AO124" i="62"/>
  <c r="AM124" i="62"/>
  <c r="AL124" i="62"/>
  <c r="AK124" i="62"/>
  <c r="AJ124" i="62"/>
  <c r="AH124" i="62"/>
  <c r="AG124" i="62"/>
  <c r="AF124" i="62"/>
  <c r="AE124" i="62"/>
  <c r="AD124" i="62"/>
  <c r="AC124" i="62"/>
  <c r="AB124" i="62"/>
  <c r="AA124" i="62"/>
  <c r="Z124" i="62"/>
  <c r="X124" i="62"/>
  <c r="W124" i="62"/>
  <c r="V124" i="62"/>
  <c r="T124" i="62"/>
  <c r="S124" i="62"/>
  <c r="R124" i="62"/>
  <c r="P124" i="62"/>
  <c r="O124" i="62"/>
  <c r="N124" i="62"/>
  <c r="M124" i="62"/>
  <c r="L124" i="62"/>
  <c r="K124" i="62"/>
  <c r="J124" i="62"/>
  <c r="H124" i="62"/>
  <c r="G124" i="62"/>
  <c r="F124" i="62"/>
  <c r="C124" i="62"/>
  <c r="CH114" i="62"/>
  <c r="CG114" i="62"/>
  <c r="CF114" i="62"/>
  <c r="CE114" i="62"/>
  <c r="CC114" i="62"/>
  <c r="CB114" i="62"/>
  <c r="CA114" i="62"/>
  <c r="BZ114" i="62"/>
  <c r="BX114" i="62"/>
  <c r="BW114" i="62"/>
  <c r="BU114" i="62"/>
  <c r="BT114" i="62"/>
  <c r="BS114" i="62"/>
  <c r="BR114" i="62"/>
  <c r="BQ114" i="62"/>
  <c r="BP114" i="62"/>
  <c r="BN114" i="62"/>
  <c r="BM114" i="62"/>
  <c r="BL114" i="62"/>
  <c r="BJ114" i="62"/>
  <c r="BI114" i="62"/>
  <c r="BH114" i="62"/>
  <c r="BF114" i="62"/>
  <c r="BE114" i="62"/>
  <c r="BD114" i="62"/>
  <c r="BC114" i="62"/>
  <c r="BB114" i="62"/>
  <c r="BA114" i="62"/>
  <c r="AZ114" i="62"/>
  <c r="AY114" i="62"/>
  <c r="AX114" i="62"/>
  <c r="AV114" i="62"/>
  <c r="AU114" i="62"/>
  <c r="AT114" i="62"/>
  <c r="AR114" i="62"/>
  <c r="AQ114" i="62"/>
  <c r="AP114" i="62"/>
  <c r="AO114" i="62"/>
  <c r="AM114" i="62"/>
  <c r="AL114" i="62"/>
  <c r="AK114" i="62"/>
  <c r="AJ114" i="62"/>
  <c r="AH114" i="62"/>
  <c r="AG114" i="62"/>
  <c r="AF114" i="62"/>
  <c r="AE114" i="62"/>
  <c r="AD114" i="62"/>
  <c r="AC114" i="62"/>
  <c r="AB114" i="62"/>
  <c r="AA114" i="62"/>
  <c r="Z114" i="62"/>
  <c r="X114" i="62"/>
  <c r="W114" i="62"/>
  <c r="V114" i="62"/>
  <c r="T114" i="62"/>
  <c r="S114" i="62"/>
  <c r="R114" i="62"/>
  <c r="P114" i="62"/>
  <c r="O114" i="62"/>
  <c r="N114" i="62"/>
  <c r="M114" i="62"/>
  <c r="L114" i="62"/>
  <c r="K114" i="62"/>
  <c r="J114" i="62"/>
  <c r="H114" i="62"/>
  <c r="G114" i="62"/>
  <c r="F114" i="62"/>
  <c r="C114" i="62"/>
  <c r="BO144" i="62"/>
  <c r="BK144" i="62"/>
  <c r="AS144" i="62"/>
  <c r="BO106" i="62"/>
  <c r="BG106" i="62"/>
  <c r="AS106" i="62"/>
  <c r="AN106" i="62"/>
  <c r="AI106" i="62"/>
  <c r="Q106" i="62"/>
  <c r="E106" i="62"/>
  <c r="BO105" i="62"/>
  <c r="BK105" i="62"/>
  <c r="BG105" i="62"/>
  <c r="AW105" i="62"/>
  <c r="AS105" i="62"/>
  <c r="AN105" i="62"/>
  <c r="AI105" i="62"/>
  <c r="Q105" i="62"/>
  <c r="Q143" i="62" s="1"/>
  <c r="I105" i="62"/>
  <c r="E105" i="62"/>
  <c r="Q103" i="62"/>
  <c r="CB87" i="62"/>
  <c r="BE87" i="62"/>
  <c r="CB86" i="62"/>
  <c r="CB85" i="62"/>
  <c r="BE85" i="62"/>
  <c r="CB84" i="62"/>
  <c r="BE84" i="62"/>
  <c r="CE83" i="62"/>
  <c r="CC76" i="62"/>
  <c r="CC80" i="62" s="1"/>
  <c r="BT73" i="62"/>
  <c r="AA72" i="62"/>
  <c r="BT66" i="62"/>
  <c r="AA65" i="62"/>
  <c r="BQ63" i="62"/>
  <c r="BQ65" i="62" s="1"/>
  <c r="BT61" i="62"/>
  <c r="AA60" i="62"/>
  <c r="BT54" i="62"/>
  <c r="BY51" i="62"/>
  <c r="AW51" i="62"/>
  <c r="AU51" i="62" s="1"/>
  <c r="Y51" i="62"/>
  <c r="Q51" i="62"/>
  <c r="O51" i="62" s="1"/>
  <c r="BQ50" i="62"/>
  <c r="AY50" i="62"/>
  <c r="AA50" i="62"/>
  <c r="BQ49" i="62"/>
  <c r="BQ53" i="62" s="1"/>
  <c r="BQ81" i="62" s="1"/>
  <c r="AY49" i="62"/>
  <c r="AY53" i="62" s="1"/>
  <c r="AA49" i="62"/>
  <c r="BT48" i="62"/>
  <c r="BT47" i="62"/>
  <c r="CC45" i="62"/>
  <c r="AA45" i="62"/>
  <c r="BT34" i="62"/>
  <c r="AA33" i="62"/>
  <c r="BT29" i="62"/>
  <c r="CC28" i="62"/>
  <c r="BQ28" i="62"/>
  <c r="AA28" i="62"/>
  <c r="BT26" i="62"/>
  <c r="CC25" i="62"/>
  <c r="CC49" i="62" s="1"/>
  <c r="CC53" i="62" s="1"/>
  <c r="BQ25" i="62"/>
  <c r="BQ46" i="62" s="1"/>
  <c r="AY25" i="62"/>
  <c r="AY82" i="62" s="1"/>
  <c r="AA25" i="62"/>
  <c r="AB19" i="62"/>
  <c r="AG19" i="62" s="1"/>
  <c r="AL19" i="62" s="1"/>
  <c r="AQ19" i="62" s="1"/>
  <c r="AU19" i="62" s="1"/>
  <c r="AZ19" i="62" s="1"/>
  <c r="BE19" i="62" s="1"/>
  <c r="O19" i="62"/>
  <c r="W19" i="62" s="1"/>
  <c r="K19" i="62"/>
  <c r="S19" i="62" s="1"/>
  <c r="G19" i="62"/>
  <c r="CE17" i="62"/>
  <c r="BM17" i="62"/>
  <c r="AU17" i="62"/>
  <c r="AQ17" i="62"/>
  <c r="AL17" i="62"/>
  <c r="AG17" i="62"/>
  <c r="O17" i="62"/>
  <c r="G17" i="62"/>
  <c r="C17" i="62"/>
  <c r="CE16" i="62"/>
  <c r="CE15" i="62"/>
  <c r="CE14" i="62"/>
  <c r="CE13" i="62"/>
  <c r="CE12" i="62"/>
  <c r="CE11" i="62"/>
  <c r="CE10" i="62"/>
  <c r="BM9" i="62"/>
  <c r="AQ9" i="62"/>
  <c r="AL9" i="62"/>
  <c r="AG9" i="62"/>
  <c r="O9" i="62"/>
  <c r="G9" i="62"/>
  <c r="C9" i="62"/>
  <c r="CE8" i="62"/>
  <c r="CE7" i="62"/>
  <c r="CE1" i="62"/>
  <c r="D8" i="16"/>
  <c r="D7" i="16"/>
  <c r="D6" i="16"/>
  <c r="D5" i="16"/>
  <c r="D4" i="16"/>
  <c r="D9" i="16"/>
  <c r="AA46" i="62" l="1"/>
  <c r="BM19" i="62"/>
  <c r="BR19" i="62" s="1"/>
  <c r="CE19" i="62" s="1"/>
  <c r="BI19" i="62"/>
  <c r="BG144" i="62"/>
  <c r="BG145" i="62" s="1"/>
  <c r="I143" i="62"/>
  <c r="AN143" i="62"/>
  <c r="AS143" i="62"/>
  <c r="CE9" i="62"/>
  <c r="CC63" i="62"/>
  <c r="CC46" i="62"/>
  <c r="BB51" i="62"/>
  <c r="AZ51" i="62" s="1"/>
  <c r="BQ82" i="62"/>
  <c r="BQ88" i="62" s="1"/>
  <c r="AW144" i="62"/>
  <c r="AA53" i="62"/>
  <c r="AN144" i="62"/>
  <c r="AN132" i="62"/>
  <c r="AN51" i="62" s="1"/>
  <c r="AL51" i="62" s="1"/>
  <c r="CB88" i="62"/>
  <c r="CB89" i="62" s="1"/>
  <c r="I144" i="62"/>
  <c r="AI143" i="62"/>
  <c r="AI145" i="62" s="1"/>
  <c r="AI132" i="62"/>
  <c r="AI51" i="62" s="1"/>
  <c r="AG51" i="62" s="1"/>
  <c r="E144" i="62"/>
  <c r="E143" i="62"/>
  <c r="BO143" i="62"/>
  <c r="Q144" i="62"/>
  <c r="BK132" i="62"/>
  <c r="BK51" i="62" s="1"/>
  <c r="BI51" i="62" s="1"/>
  <c r="S343" i="61"/>
  <c r="S342" i="61"/>
  <c r="S341" i="61"/>
  <c r="S340" i="61"/>
  <c r="S339" i="61"/>
  <c r="S338" i="61"/>
  <c r="S337" i="61"/>
  <c r="S336" i="61"/>
  <c r="S335" i="61"/>
  <c r="S334" i="61"/>
  <c r="S333" i="61"/>
  <c r="S332" i="61"/>
  <c r="S331" i="61"/>
  <c r="S330" i="61"/>
  <c r="S329" i="61"/>
  <c r="S328" i="61"/>
  <c r="S327" i="61"/>
  <c r="S326" i="61"/>
  <c r="S325" i="61"/>
  <c r="S324" i="61"/>
  <c r="S323" i="61"/>
  <c r="S322" i="61"/>
  <c r="S321" i="61"/>
  <c r="S320" i="61"/>
  <c r="S319" i="61"/>
  <c r="S318" i="61"/>
  <c r="S317" i="61"/>
  <c r="S316" i="61"/>
  <c r="S315" i="61"/>
  <c r="S314" i="61"/>
  <c r="S313" i="61"/>
  <c r="S312" i="61"/>
  <c r="S311" i="61"/>
  <c r="S310" i="61"/>
  <c r="S309" i="61"/>
  <c r="S308" i="61"/>
  <c r="S307" i="61"/>
  <c r="S306" i="61"/>
  <c r="S305" i="61"/>
  <c r="S304" i="61"/>
  <c r="S303" i="61"/>
  <c r="S302" i="61"/>
  <c r="S301" i="61"/>
  <c r="S300" i="61"/>
  <c r="S299" i="61"/>
  <c r="S298" i="61"/>
  <c r="S297" i="61"/>
  <c r="S296" i="61"/>
  <c r="S295" i="61"/>
  <c r="S294" i="61"/>
  <c r="S293" i="61"/>
  <c r="S292" i="61"/>
  <c r="S291" i="61"/>
  <c r="S290" i="61"/>
  <c r="S289" i="61"/>
  <c r="S288" i="61"/>
  <c r="S287" i="61"/>
  <c r="S286" i="61"/>
  <c r="S285" i="61"/>
  <c r="S284" i="61"/>
  <c r="S283" i="61"/>
  <c r="S282" i="61"/>
  <c r="S281" i="61"/>
  <c r="S280" i="61"/>
  <c r="S279" i="61"/>
  <c r="S278" i="61"/>
  <c r="S277" i="61"/>
  <c r="S276" i="61"/>
  <c r="S275" i="61"/>
  <c r="S274" i="61"/>
  <c r="S273" i="61"/>
  <c r="S272" i="61"/>
  <c r="S271" i="61"/>
  <c r="S270" i="61"/>
  <c r="S269" i="61"/>
  <c r="S268" i="61"/>
  <c r="S267" i="61"/>
  <c r="S266" i="61"/>
  <c r="S265" i="61"/>
  <c r="S264" i="61"/>
  <c r="S263" i="61"/>
  <c r="S262" i="61"/>
  <c r="S261" i="61"/>
  <c r="S260" i="61"/>
  <c r="S259" i="61"/>
  <c r="S258" i="61"/>
  <c r="S257" i="61"/>
  <c r="S256" i="61"/>
  <c r="S255" i="61"/>
  <c r="S254" i="61"/>
  <c r="S253" i="61"/>
  <c r="S252" i="61"/>
  <c r="S251" i="61"/>
  <c r="S250" i="61"/>
  <c r="S249" i="61"/>
  <c r="S248" i="61"/>
  <c r="S247" i="61"/>
  <c r="S246" i="61"/>
  <c r="Q145" i="62" l="1"/>
  <c r="Q149" i="62"/>
  <c r="I145" i="62"/>
  <c r="BT51" i="62"/>
  <c r="E145" i="62"/>
  <c r="CA144" i="62"/>
  <c r="AS145" i="62"/>
  <c r="BO145" i="62"/>
  <c r="AN145" i="62"/>
  <c r="CC65" i="62"/>
  <c r="CC81" i="62" s="1"/>
  <c r="CC82" i="62" s="1"/>
  <c r="AW145" i="62"/>
  <c r="R343" i="61"/>
  <c r="R342" i="61"/>
  <c r="R341" i="61"/>
  <c r="R340" i="61"/>
  <c r="R339" i="61"/>
  <c r="R338" i="61"/>
  <c r="R337" i="61"/>
  <c r="R336" i="61"/>
  <c r="R335" i="61"/>
  <c r="R334" i="61"/>
  <c r="R333" i="61"/>
  <c r="R332" i="61"/>
  <c r="R331" i="61"/>
  <c r="R330" i="61"/>
  <c r="R329" i="61"/>
  <c r="R328" i="61"/>
  <c r="R327" i="61"/>
  <c r="R326" i="61"/>
  <c r="R325" i="61"/>
  <c r="R324" i="61"/>
  <c r="R323" i="61"/>
  <c r="R322" i="61"/>
  <c r="R321" i="61"/>
  <c r="R320" i="61"/>
  <c r="R319" i="61"/>
  <c r="R318" i="61"/>
  <c r="R317" i="61"/>
  <c r="R316" i="61"/>
  <c r="R315" i="61"/>
  <c r="R314" i="61"/>
  <c r="R313" i="61"/>
  <c r="R312" i="61"/>
  <c r="R311" i="61"/>
  <c r="R310" i="61"/>
  <c r="R309" i="61"/>
  <c r="R308" i="61"/>
  <c r="R307" i="61"/>
  <c r="R306" i="61"/>
  <c r="R305" i="61"/>
  <c r="R304" i="61"/>
  <c r="R303" i="61"/>
  <c r="R302" i="61"/>
  <c r="R301" i="61"/>
  <c r="R300" i="61"/>
  <c r="R299" i="61"/>
  <c r="R298" i="61"/>
  <c r="R297" i="61"/>
  <c r="R296" i="61"/>
  <c r="R295" i="61"/>
  <c r="R294" i="61"/>
  <c r="R293" i="61"/>
  <c r="R292" i="61"/>
  <c r="R291" i="61"/>
  <c r="R290" i="61"/>
  <c r="R289" i="61"/>
  <c r="R288" i="61"/>
  <c r="R287" i="61"/>
  <c r="R286" i="61"/>
  <c r="R285" i="61"/>
  <c r="R284" i="61"/>
  <c r="R283" i="61"/>
  <c r="R282" i="61"/>
  <c r="R281" i="61"/>
  <c r="R280" i="61"/>
  <c r="R279" i="61"/>
  <c r="R278" i="61"/>
  <c r="R277" i="61"/>
  <c r="R276" i="61"/>
  <c r="R275" i="61"/>
  <c r="R274" i="61"/>
  <c r="R273" i="61"/>
  <c r="R272" i="61"/>
  <c r="R271" i="61"/>
  <c r="R270" i="61"/>
  <c r="R269" i="61"/>
  <c r="R268" i="61"/>
  <c r="R267" i="61"/>
  <c r="R266" i="61"/>
  <c r="R265" i="61"/>
  <c r="R264" i="61"/>
  <c r="R263" i="61"/>
  <c r="R262" i="61"/>
  <c r="R261" i="61"/>
  <c r="R260" i="61"/>
  <c r="R259" i="61"/>
  <c r="R258" i="61"/>
  <c r="R257" i="61"/>
  <c r="R256" i="61"/>
  <c r="R255" i="61"/>
  <c r="R254" i="61"/>
  <c r="R253" i="61"/>
  <c r="R252" i="61"/>
  <c r="R251" i="61"/>
  <c r="R250" i="61"/>
  <c r="R249" i="61"/>
  <c r="R248" i="61"/>
  <c r="R247" i="61"/>
  <c r="R246" i="61"/>
  <c r="Q343" i="61"/>
  <c r="Q342" i="61"/>
  <c r="Q341" i="61"/>
  <c r="Q340" i="61"/>
  <c r="Q339" i="61"/>
  <c r="Q338" i="61"/>
  <c r="Q337" i="61"/>
  <c r="Q336" i="61"/>
  <c r="Q335" i="61"/>
  <c r="Q334" i="61"/>
  <c r="Q333" i="61"/>
  <c r="Q332" i="61"/>
  <c r="Q331" i="61"/>
  <c r="Q330" i="61"/>
  <c r="Q329" i="61"/>
  <c r="Q328" i="61"/>
  <c r="Q327" i="61"/>
  <c r="Q326" i="61"/>
  <c r="Q325" i="61"/>
  <c r="Q324" i="61"/>
  <c r="Q323" i="61"/>
  <c r="Q322" i="61"/>
  <c r="Q321" i="61"/>
  <c r="Q320" i="61"/>
  <c r="Q319" i="61"/>
  <c r="Q318" i="61"/>
  <c r="Q317" i="61"/>
  <c r="Q316" i="61"/>
  <c r="Q315" i="61"/>
  <c r="Q314" i="61"/>
  <c r="Q313" i="61"/>
  <c r="Q312" i="61"/>
  <c r="Q311" i="61"/>
  <c r="Q310" i="61"/>
  <c r="Q309" i="61"/>
  <c r="Q308" i="61"/>
  <c r="Q307" i="61"/>
  <c r="Q306" i="61"/>
  <c r="Q305" i="61"/>
  <c r="Q304" i="61"/>
  <c r="Q303" i="61"/>
  <c r="Q302" i="61"/>
  <c r="Q301" i="61"/>
  <c r="Q300" i="61"/>
  <c r="Q299" i="61"/>
  <c r="Q298" i="61"/>
  <c r="Q297" i="61"/>
  <c r="Q296" i="61"/>
  <c r="Q295" i="61"/>
  <c r="Q294" i="61"/>
  <c r="Q293" i="61"/>
  <c r="Q292" i="61"/>
  <c r="Q291" i="61"/>
  <c r="Q290" i="61"/>
  <c r="Q289" i="61"/>
  <c r="Q288" i="61"/>
  <c r="Q287" i="61"/>
  <c r="Q286" i="61"/>
  <c r="Q285" i="61"/>
  <c r="Q284" i="61"/>
  <c r="Q283" i="61"/>
  <c r="Q282" i="61"/>
  <c r="Q281" i="61"/>
  <c r="Q280" i="61"/>
  <c r="Q279" i="61"/>
  <c r="Q278" i="61"/>
  <c r="Q277" i="61"/>
  <c r="Q276" i="61"/>
  <c r="Q275" i="61"/>
  <c r="Q274" i="61"/>
  <c r="Q273" i="61"/>
  <c r="Q272" i="61"/>
  <c r="Q271" i="61"/>
  <c r="Q270" i="61"/>
  <c r="Q269" i="61"/>
  <c r="Q268" i="61"/>
  <c r="Q267" i="61"/>
  <c r="Q266" i="61"/>
  <c r="Q265" i="61"/>
  <c r="Q264" i="61"/>
  <c r="Q263" i="61"/>
  <c r="Q262" i="61"/>
  <c r="Q261" i="61"/>
  <c r="Q260" i="61"/>
  <c r="Q259" i="61"/>
  <c r="Q258" i="61"/>
  <c r="Q257" i="61"/>
  <c r="Q256" i="61"/>
  <c r="Q255" i="61"/>
  <c r="Q254" i="61"/>
  <c r="Q253" i="61"/>
  <c r="Q252" i="61"/>
  <c r="Q251" i="61"/>
  <c r="Q250" i="61"/>
  <c r="Q249" i="61"/>
  <c r="Q248" i="61"/>
  <c r="Q247" i="61"/>
  <c r="Q246" i="61"/>
  <c r="P343" i="61" l="1"/>
  <c r="P342" i="61"/>
  <c r="P341" i="61"/>
  <c r="P340" i="61"/>
  <c r="P339" i="61"/>
  <c r="P338" i="61"/>
  <c r="P337" i="61"/>
  <c r="P336" i="61"/>
  <c r="P335" i="61"/>
  <c r="P334" i="61"/>
  <c r="P333" i="61"/>
  <c r="P332" i="61"/>
  <c r="P331" i="61"/>
  <c r="P330" i="61"/>
  <c r="P329" i="61"/>
  <c r="P328" i="61"/>
  <c r="P327" i="61"/>
  <c r="P326" i="61"/>
  <c r="P325" i="61"/>
  <c r="P324" i="61"/>
  <c r="P323" i="61"/>
  <c r="P322" i="61"/>
  <c r="P321" i="61"/>
  <c r="P320" i="61"/>
  <c r="P319" i="61"/>
  <c r="P318" i="61"/>
  <c r="P317" i="61"/>
  <c r="P316" i="61"/>
  <c r="P315" i="61"/>
  <c r="P314" i="61"/>
  <c r="P313" i="61"/>
  <c r="P312" i="61"/>
  <c r="P311" i="61"/>
  <c r="P310" i="61"/>
  <c r="P309" i="61"/>
  <c r="P308" i="61"/>
  <c r="P307" i="61"/>
  <c r="P306" i="61"/>
  <c r="P305" i="61"/>
  <c r="P304" i="61"/>
  <c r="P303" i="61"/>
  <c r="P302" i="61"/>
  <c r="P301" i="61"/>
  <c r="P300" i="61"/>
  <c r="P299" i="61"/>
  <c r="P298" i="61"/>
  <c r="P297" i="61"/>
  <c r="P296" i="61"/>
  <c r="P295" i="61"/>
  <c r="P294" i="61"/>
  <c r="P293" i="61"/>
  <c r="P292" i="61"/>
  <c r="P291" i="61"/>
  <c r="P290" i="61"/>
  <c r="P289" i="61"/>
  <c r="P288" i="61"/>
  <c r="P287" i="61"/>
  <c r="P286" i="61"/>
  <c r="P285" i="61"/>
  <c r="P284" i="61"/>
  <c r="P283" i="61"/>
  <c r="P282" i="61"/>
  <c r="P281" i="61"/>
  <c r="P280" i="61"/>
  <c r="P279" i="61"/>
  <c r="P278" i="61"/>
  <c r="P277" i="61"/>
  <c r="P276" i="61"/>
  <c r="P275" i="61"/>
  <c r="P274" i="61"/>
  <c r="P273" i="61"/>
  <c r="P272" i="61"/>
  <c r="P271" i="61"/>
  <c r="P270" i="61"/>
  <c r="P269" i="61"/>
  <c r="P268" i="61"/>
  <c r="P267" i="61"/>
  <c r="P266" i="61"/>
  <c r="P265" i="61"/>
  <c r="P264" i="61"/>
  <c r="P263" i="61"/>
  <c r="P262" i="61"/>
  <c r="P261" i="61"/>
  <c r="P260" i="61"/>
  <c r="P259" i="61"/>
  <c r="P258" i="61"/>
  <c r="P257" i="61"/>
  <c r="P256" i="61"/>
  <c r="P255" i="61"/>
  <c r="P254" i="61"/>
  <c r="P253" i="61"/>
  <c r="P252" i="61"/>
  <c r="P251" i="61"/>
  <c r="P250" i="61"/>
  <c r="P249" i="61"/>
  <c r="P248" i="61"/>
  <c r="P247" i="61"/>
  <c r="P246" i="61"/>
  <c r="M343" i="61"/>
  <c r="M342" i="61"/>
  <c r="M341" i="61"/>
  <c r="M340" i="61"/>
  <c r="M339" i="61"/>
  <c r="M338" i="61"/>
  <c r="M337" i="61"/>
  <c r="M336" i="61"/>
  <c r="M335" i="61"/>
  <c r="M334" i="61"/>
  <c r="M333" i="61"/>
  <c r="M332" i="61"/>
  <c r="M331" i="61"/>
  <c r="M330" i="61"/>
  <c r="M329" i="61"/>
  <c r="M328" i="61"/>
  <c r="M327" i="61"/>
  <c r="M326" i="61"/>
  <c r="M325" i="61"/>
  <c r="M324" i="61"/>
  <c r="M323" i="61"/>
  <c r="M322" i="61"/>
  <c r="M321" i="61"/>
  <c r="M320" i="61"/>
  <c r="M319" i="61"/>
  <c r="M318" i="61"/>
  <c r="M317" i="61"/>
  <c r="M316" i="61"/>
  <c r="M315" i="61"/>
  <c r="M314" i="61"/>
  <c r="M313" i="61"/>
  <c r="M312" i="61"/>
  <c r="M311" i="61"/>
  <c r="M310" i="61"/>
  <c r="M309" i="61"/>
  <c r="M308" i="61"/>
  <c r="M307" i="61"/>
  <c r="M306" i="61"/>
  <c r="M305" i="61"/>
  <c r="M304" i="61"/>
  <c r="M303" i="61"/>
  <c r="M302" i="61"/>
  <c r="M301" i="61"/>
  <c r="M300" i="61"/>
  <c r="M299" i="61"/>
  <c r="M298" i="61"/>
  <c r="M297" i="61"/>
  <c r="M296" i="61"/>
  <c r="M295" i="61"/>
  <c r="M294" i="61"/>
  <c r="M293" i="61"/>
  <c r="M292" i="61"/>
  <c r="M291" i="61"/>
  <c r="M290" i="61"/>
  <c r="M289" i="61"/>
  <c r="M288" i="61"/>
  <c r="M287" i="61"/>
  <c r="M286" i="61"/>
  <c r="M285" i="61"/>
  <c r="M284" i="61"/>
  <c r="M283" i="61"/>
  <c r="M282" i="61"/>
  <c r="M281" i="61"/>
  <c r="M280" i="61"/>
  <c r="M279" i="61"/>
  <c r="M278" i="61"/>
  <c r="M277" i="61"/>
  <c r="M276" i="61"/>
  <c r="M275" i="61"/>
  <c r="M274" i="61"/>
  <c r="M273" i="61"/>
  <c r="M272" i="61"/>
  <c r="M271" i="61"/>
  <c r="M270" i="61"/>
  <c r="M269" i="61"/>
  <c r="M268" i="61"/>
  <c r="M267" i="61"/>
  <c r="M266" i="61"/>
  <c r="M265" i="61"/>
  <c r="M264" i="61"/>
  <c r="M263" i="61"/>
  <c r="M262" i="61"/>
  <c r="M261" i="61"/>
  <c r="M260" i="61"/>
  <c r="M259" i="61"/>
  <c r="M258" i="61"/>
  <c r="M257" i="61"/>
  <c r="M256" i="61"/>
  <c r="M255" i="61"/>
  <c r="M254" i="61"/>
  <c r="M253" i="61"/>
  <c r="M252" i="61"/>
  <c r="M251" i="61"/>
  <c r="M250" i="61"/>
  <c r="M249" i="61"/>
  <c r="M248" i="61"/>
  <c r="M247" i="61"/>
  <c r="M246" i="61"/>
  <c r="I343" i="61" l="1"/>
  <c r="I342" i="61"/>
  <c r="I341" i="61"/>
  <c r="I340" i="61"/>
  <c r="I339" i="61"/>
  <c r="I338" i="61"/>
  <c r="I337" i="61"/>
  <c r="I336" i="61"/>
  <c r="I335" i="61"/>
  <c r="I334" i="61"/>
  <c r="I333" i="61"/>
  <c r="I332" i="61"/>
  <c r="I331" i="61"/>
  <c r="I330" i="61"/>
  <c r="I329" i="61"/>
  <c r="I328" i="61"/>
  <c r="I327" i="61"/>
  <c r="I326" i="61"/>
  <c r="I325" i="61"/>
  <c r="I324" i="61"/>
  <c r="I323" i="61"/>
  <c r="I322" i="61"/>
  <c r="I321" i="61"/>
  <c r="I320" i="61"/>
  <c r="I319" i="61"/>
  <c r="I318" i="61"/>
  <c r="I317" i="61"/>
  <c r="I316" i="61"/>
  <c r="I315" i="61"/>
  <c r="I314" i="61"/>
  <c r="I313" i="61"/>
  <c r="I312" i="61"/>
  <c r="I311" i="61"/>
  <c r="I310" i="61"/>
  <c r="I309" i="61"/>
  <c r="I308" i="61"/>
  <c r="I307" i="61"/>
  <c r="I306" i="61"/>
  <c r="I305" i="61"/>
  <c r="I304" i="61"/>
  <c r="I303" i="61"/>
  <c r="I302" i="61"/>
  <c r="I301" i="61"/>
  <c r="I300" i="61"/>
  <c r="I299" i="61"/>
  <c r="I298" i="61"/>
  <c r="I297" i="61"/>
  <c r="I296" i="61"/>
  <c r="I295" i="61"/>
  <c r="I294" i="61"/>
  <c r="I293" i="61"/>
  <c r="I292" i="61"/>
  <c r="I291" i="61"/>
  <c r="I290" i="61"/>
  <c r="I289" i="61"/>
  <c r="I288" i="61"/>
  <c r="I287" i="61"/>
  <c r="I286" i="61"/>
  <c r="I285" i="61"/>
  <c r="I284" i="61"/>
  <c r="I283" i="61"/>
  <c r="I282" i="61"/>
  <c r="I281" i="61"/>
  <c r="I280" i="61"/>
  <c r="I279" i="61"/>
  <c r="I278" i="61"/>
  <c r="I277" i="61"/>
  <c r="I276" i="61"/>
  <c r="I275" i="61"/>
  <c r="I274" i="61"/>
  <c r="I273" i="61"/>
  <c r="I272" i="61"/>
  <c r="I271" i="61"/>
  <c r="I270" i="61"/>
  <c r="I269" i="61"/>
  <c r="I268" i="61"/>
  <c r="I267" i="61"/>
  <c r="I266" i="61"/>
  <c r="I265" i="61"/>
  <c r="I264" i="61"/>
  <c r="I263" i="61"/>
  <c r="I262" i="61"/>
  <c r="I261" i="61"/>
  <c r="I260" i="61"/>
  <c r="I259" i="61"/>
  <c r="I258" i="61"/>
  <c r="I257" i="61"/>
  <c r="I256" i="61"/>
  <c r="I255" i="61"/>
  <c r="I254" i="61"/>
  <c r="I253" i="61"/>
  <c r="I252" i="61"/>
  <c r="I251" i="61"/>
  <c r="I250" i="61"/>
  <c r="I249" i="61"/>
  <c r="I248" i="61"/>
  <c r="I247" i="61"/>
  <c r="I246" i="61"/>
  <c r="H343" i="61"/>
  <c r="H342" i="61"/>
  <c r="H341" i="61"/>
  <c r="H340" i="61"/>
  <c r="H339" i="61"/>
  <c r="H338" i="61"/>
  <c r="H337" i="61"/>
  <c r="H336" i="61"/>
  <c r="H335" i="61"/>
  <c r="H334" i="61"/>
  <c r="H333" i="61"/>
  <c r="H332" i="61"/>
  <c r="H331" i="61"/>
  <c r="H330" i="61"/>
  <c r="H329" i="61"/>
  <c r="H328" i="61"/>
  <c r="H327" i="61"/>
  <c r="H326" i="61"/>
  <c r="H325" i="61"/>
  <c r="H324" i="61"/>
  <c r="H323" i="61"/>
  <c r="H322" i="61"/>
  <c r="H321" i="61"/>
  <c r="H320" i="61"/>
  <c r="H319" i="61"/>
  <c r="H318" i="61"/>
  <c r="H317" i="61"/>
  <c r="H316" i="61"/>
  <c r="H315" i="61"/>
  <c r="H314" i="61"/>
  <c r="H313" i="61"/>
  <c r="H312" i="61"/>
  <c r="H311" i="61"/>
  <c r="H310" i="61"/>
  <c r="H309" i="61"/>
  <c r="H308" i="61"/>
  <c r="H307" i="61"/>
  <c r="H306" i="61"/>
  <c r="H305" i="61"/>
  <c r="H304" i="61"/>
  <c r="H303" i="61"/>
  <c r="H302" i="61"/>
  <c r="H301" i="61"/>
  <c r="H300" i="61"/>
  <c r="H299" i="61"/>
  <c r="H298" i="61"/>
  <c r="H297" i="61"/>
  <c r="H296" i="61"/>
  <c r="H295" i="61"/>
  <c r="H294" i="61"/>
  <c r="H293" i="61"/>
  <c r="H292" i="61"/>
  <c r="H291" i="61"/>
  <c r="H290" i="61"/>
  <c r="H289" i="61"/>
  <c r="H288" i="61"/>
  <c r="H287" i="61"/>
  <c r="H286" i="61"/>
  <c r="H285" i="61"/>
  <c r="H284" i="61"/>
  <c r="H283" i="61"/>
  <c r="H282" i="61"/>
  <c r="H281" i="61"/>
  <c r="H280" i="61"/>
  <c r="H279" i="61"/>
  <c r="H278" i="61"/>
  <c r="H277" i="61"/>
  <c r="H276" i="61"/>
  <c r="H275" i="61"/>
  <c r="H274" i="61"/>
  <c r="H273" i="61"/>
  <c r="H272" i="61"/>
  <c r="H271" i="61"/>
  <c r="H270" i="61"/>
  <c r="H269" i="61"/>
  <c r="H268" i="61"/>
  <c r="H267" i="61"/>
  <c r="H266" i="61"/>
  <c r="H265" i="61"/>
  <c r="H264" i="61"/>
  <c r="H263" i="61"/>
  <c r="H262" i="61"/>
  <c r="H261" i="61"/>
  <c r="H260" i="61"/>
  <c r="H259" i="61"/>
  <c r="H258" i="61"/>
  <c r="H257" i="61"/>
  <c r="H256" i="61"/>
  <c r="H255" i="61"/>
  <c r="H254" i="61"/>
  <c r="H253" i="61"/>
  <c r="H252" i="61"/>
  <c r="H251" i="61"/>
  <c r="H250" i="61"/>
  <c r="H249" i="61"/>
  <c r="H248" i="61"/>
  <c r="H247" i="61"/>
  <c r="H246" i="61"/>
  <c r="G348" i="61" l="1"/>
  <c r="H348" i="61"/>
  <c r="I348" i="61"/>
  <c r="J348" i="61"/>
  <c r="K348" i="61"/>
  <c r="L348" i="61"/>
  <c r="M348" i="61"/>
  <c r="N348" i="61"/>
  <c r="O348" i="61"/>
  <c r="P348" i="61"/>
  <c r="Q348" i="61"/>
  <c r="R348" i="61"/>
  <c r="S348" i="61"/>
  <c r="T348" i="61"/>
  <c r="U348" i="61"/>
  <c r="V348" i="61"/>
  <c r="W348" i="61"/>
  <c r="P355" i="61"/>
  <c r="Q355" i="61"/>
  <c r="S355" i="61"/>
  <c r="P356" i="61"/>
  <c r="Q356" i="61"/>
  <c r="S356" i="61"/>
  <c r="Q357" i="61"/>
  <c r="S357" i="61"/>
  <c r="Q358" i="61"/>
  <c r="S358" i="61"/>
  <c r="Q359" i="61"/>
  <c r="S359" i="61"/>
  <c r="Q360" i="61"/>
  <c r="S360" i="61"/>
  <c r="M365" i="61"/>
  <c r="S365" i="61"/>
  <c r="U365" i="61"/>
  <c r="M366" i="61"/>
  <c r="S366" i="61"/>
  <c r="U366" i="61"/>
  <c r="M367" i="61"/>
  <c r="S367" i="61"/>
  <c r="U367" i="61"/>
  <c r="M368" i="61"/>
  <c r="S368" i="61"/>
  <c r="U368" i="61"/>
  <c r="M369" i="61"/>
  <c r="S369" i="61"/>
  <c r="U369" i="61"/>
  <c r="M370" i="61"/>
  <c r="S370" i="61"/>
  <c r="U370" i="61"/>
  <c r="M371" i="61"/>
  <c r="S371" i="61"/>
  <c r="U371" i="61"/>
  <c r="M372" i="61"/>
  <c r="S372" i="61"/>
  <c r="U372" i="61"/>
  <c r="M373" i="61"/>
  <c r="S373" i="61"/>
  <c r="U373" i="61"/>
  <c r="M374" i="61"/>
  <c r="S374" i="61"/>
  <c r="U374" i="61"/>
  <c r="M375" i="61"/>
  <c r="S375" i="61"/>
  <c r="U375" i="61"/>
  <c r="M376" i="61"/>
  <c r="S376" i="61"/>
  <c r="U376" i="61"/>
  <c r="M377" i="61"/>
  <c r="S377" i="61"/>
  <c r="U377" i="61"/>
  <c r="M378" i="61"/>
  <c r="S378" i="61"/>
  <c r="U378" i="61"/>
  <c r="M379" i="61"/>
  <c r="S379" i="61"/>
  <c r="U379" i="61"/>
  <c r="M380" i="61"/>
  <c r="S380" i="61"/>
  <c r="U380" i="61"/>
  <c r="M381" i="61"/>
  <c r="S381" i="61"/>
  <c r="U381" i="61"/>
  <c r="M382" i="61"/>
  <c r="S382" i="61"/>
  <c r="U382" i="61"/>
  <c r="M383" i="61"/>
  <c r="S383" i="61"/>
  <c r="U383" i="61"/>
  <c r="M384" i="61"/>
  <c r="S384" i="61"/>
  <c r="U384" i="61"/>
  <c r="M385" i="61"/>
  <c r="S385" i="61"/>
  <c r="U385" i="61"/>
  <c r="M386" i="61"/>
  <c r="S386" i="61"/>
  <c r="U386" i="61"/>
  <c r="M387" i="61"/>
  <c r="S387" i="61"/>
  <c r="U387" i="61"/>
  <c r="M388" i="61"/>
  <c r="S388" i="61"/>
  <c r="U388" i="61"/>
  <c r="M389" i="61"/>
  <c r="S389" i="61"/>
  <c r="U389" i="61"/>
  <c r="M390" i="61"/>
  <c r="S390" i="61"/>
  <c r="U390" i="61"/>
  <c r="M391" i="61"/>
  <c r="S391" i="61"/>
  <c r="U391" i="61"/>
  <c r="M392" i="61"/>
  <c r="S392" i="61"/>
  <c r="U392" i="61"/>
  <c r="M393" i="61"/>
  <c r="S393" i="61"/>
  <c r="U393" i="61"/>
  <c r="M394" i="61"/>
  <c r="S394" i="61"/>
  <c r="U394" i="61"/>
  <c r="M395" i="61"/>
  <c r="S395" i="61"/>
  <c r="U395" i="61"/>
  <c r="M396" i="61"/>
  <c r="S396" i="61"/>
  <c r="U396" i="61"/>
  <c r="M397" i="61"/>
  <c r="S397" i="61"/>
  <c r="U397" i="61"/>
  <c r="M398" i="61"/>
  <c r="S398" i="61"/>
  <c r="U398" i="61"/>
  <c r="M399" i="61"/>
  <c r="S399" i="61"/>
  <c r="U399" i="61"/>
  <c r="M400" i="61"/>
  <c r="S400" i="61"/>
  <c r="U400" i="61"/>
  <c r="M401" i="61"/>
  <c r="S401" i="61"/>
  <c r="U401" i="61"/>
  <c r="M402" i="61"/>
  <c r="S402" i="61"/>
  <c r="U402" i="61"/>
  <c r="S403" i="61"/>
  <c r="U403" i="61"/>
  <c r="S404" i="61"/>
  <c r="U404" i="61"/>
  <c r="S405" i="61"/>
  <c r="U405" i="61"/>
  <c r="S406" i="61"/>
  <c r="U406" i="61"/>
  <c r="S407" i="61"/>
  <c r="U407" i="61"/>
  <c r="S408" i="61"/>
  <c r="U408" i="61"/>
  <c r="S409" i="61"/>
  <c r="U409" i="61"/>
  <c r="X348" i="61"/>
  <c r="A343" i="61"/>
  <c r="A342" i="61"/>
  <c r="A341" i="61"/>
  <c r="A340" i="61"/>
  <c r="A339" i="61"/>
  <c r="A338" i="61"/>
  <c r="A336" i="61"/>
  <c r="A335" i="61"/>
  <c r="A334" i="61"/>
  <c r="A333" i="61"/>
  <c r="A332" i="61"/>
  <c r="A331" i="61"/>
  <c r="A330" i="61"/>
  <c r="A329" i="61"/>
  <c r="A328" i="61"/>
  <c r="A327" i="61"/>
  <c r="A325" i="61"/>
  <c r="A324" i="61"/>
  <c r="A323" i="61"/>
  <c r="A322" i="61"/>
  <c r="A321" i="61"/>
  <c r="A320" i="61"/>
  <c r="A319" i="61"/>
  <c r="A318" i="61"/>
  <c r="A317" i="61"/>
  <c r="A316" i="61"/>
  <c r="A315" i="61"/>
  <c r="A314" i="61"/>
  <c r="A313" i="61"/>
  <c r="A312" i="61"/>
  <c r="A311" i="61"/>
  <c r="A310" i="61"/>
  <c r="A309" i="61"/>
  <c r="A308" i="61"/>
  <c r="A307" i="61"/>
  <c r="A306" i="61"/>
  <c r="A305" i="61"/>
  <c r="A304" i="61"/>
  <c r="A303" i="61"/>
  <c r="A301" i="61"/>
  <c r="A300" i="61"/>
  <c r="A299" i="61"/>
  <c r="A298" i="61"/>
  <c r="A297" i="61"/>
  <c r="A296" i="61"/>
  <c r="A295" i="61"/>
  <c r="A294" i="61"/>
  <c r="A293" i="61"/>
  <c r="A292" i="61"/>
  <c r="A291" i="61"/>
  <c r="A290" i="61"/>
  <c r="A289" i="61"/>
  <c r="A288" i="61"/>
  <c r="A287" i="61"/>
  <c r="A286" i="61"/>
  <c r="A285" i="61"/>
  <c r="A284" i="61"/>
  <c r="A283" i="61"/>
  <c r="A282" i="61"/>
  <c r="A281" i="61"/>
  <c r="A280" i="61"/>
  <c r="A279" i="61"/>
  <c r="A278" i="61"/>
  <c r="A277" i="61"/>
  <c r="A276" i="61"/>
  <c r="A275" i="61"/>
  <c r="A274" i="61"/>
  <c r="A273" i="61"/>
  <c r="A272" i="61"/>
  <c r="A271" i="61"/>
  <c r="A270" i="61"/>
  <c r="A269" i="61"/>
  <c r="A268" i="61"/>
  <c r="A267" i="61"/>
  <c r="A266" i="61"/>
  <c r="A265" i="61"/>
  <c r="A264" i="61"/>
  <c r="A263" i="61"/>
  <c r="A262" i="61"/>
  <c r="A261" i="61"/>
  <c r="A260" i="61"/>
  <c r="A259" i="61"/>
  <c r="A258" i="61"/>
  <c r="A257" i="61"/>
  <c r="A256" i="61"/>
  <c r="A255" i="61"/>
  <c r="A254" i="61"/>
  <c r="A253" i="61"/>
  <c r="A252" i="61"/>
  <c r="A251" i="61"/>
  <c r="A250" i="61"/>
  <c r="A249" i="61"/>
  <c r="A248" i="61"/>
  <c r="A247" i="61"/>
  <c r="A246" i="61"/>
  <c r="A243" i="61"/>
  <c r="A242" i="61"/>
  <c r="A241" i="61"/>
  <c r="A240" i="61"/>
  <c r="A239" i="61"/>
  <c r="A238" i="61"/>
  <c r="A237" i="61"/>
  <c r="A236" i="61"/>
  <c r="A235" i="61"/>
  <c r="A234" i="61"/>
  <c r="A233" i="61"/>
  <c r="A232" i="61"/>
  <c r="A231" i="61"/>
  <c r="A230" i="61"/>
  <c r="A229" i="61"/>
  <c r="A228" i="61"/>
  <c r="A227" i="61"/>
  <c r="A226" i="61"/>
  <c r="A225" i="61"/>
  <c r="A224" i="61"/>
  <c r="A223" i="61"/>
  <c r="A222" i="61"/>
  <c r="A221" i="61"/>
  <c r="A220" i="61"/>
  <c r="A219" i="61"/>
  <c r="A218" i="61"/>
  <c r="A217" i="61"/>
  <c r="A216" i="61"/>
  <c r="A215" i="61"/>
  <c r="A214" i="61"/>
  <c r="A213" i="61"/>
  <c r="A212" i="61"/>
  <c r="A211" i="61"/>
  <c r="A210" i="61"/>
  <c r="A209" i="61"/>
  <c r="A208" i="61"/>
  <c r="A207" i="61"/>
  <c r="A206" i="61"/>
  <c r="A205" i="61"/>
  <c r="A204" i="61"/>
  <c r="A203" i="61"/>
  <c r="A202" i="61"/>
  <c r="A201" i="61"/>
  <c r="A200" i="61"/>
  <c r="A199" i="61"/>
  <c r="A198" i="61"/>
  <c r="A197" i="61"/>
  <c r="A196" i="61"/>
  <c r="A195" i="61"/>
  <c r="A194" i="61"/>
  <c r="A193" i="61"/>
  <c r="A192" i="61"/>
  <c r="A191" i="61"/>
  <c r="A190" i="61"/>
  <c r="A189" i="61"/>
  <c r="A188" i="61"/>
  <c r="A187" i="61"/>
  <c r="A186" i="61"/>
  <c r="A185" i="61"/>
  <c r="A184" i="61"/>
  <c r="A183" i="61"/>
  <c r="A182" i="61"/>
  <c r="A181" i="61"/>
  <c r="A180" i="61"/>
  <c r="A179" i="61"/>
  <c r="A178" i="61"/>
  <c r="A177" i="61"/>
  <c r="A176" i="61"/>
  <c r="A175" i="61"/>
  <c r="A174" i="61"/>
  <c r="A173" i="61"/>
  <c r="A172" i="61"/>
  <c r="A171" i="61"/>
  <c r="A170" i="61"/>
  <c r="A169" i="61"/>
  <c r="A168" i="61"/>
  <c r="A167" i="61"/>
  <c r="A166" i="61"/>
  <c r="A165" i="61"/>
  <c r="A164" i="61"/>
  <c r="A163" i="61"/>
  <c r="A162" i="61"/>
  <c r="A161" i="61"/>
  <c r="A160" i="61"/>
  <c r="A159" i="61"/>
  <c r="A158" i="61"/>
  <c r="A157" i="61"/>
  <c r="A156" i="61"/>
  <c r="A155" i="61"/>
  <c r="A154" i="61"/>
  <c r="A153" i="61"/>
  <c r="A152" i="61"/>
  <c r="A151" i="61"/>
  <c r="A150" i="61"/>
  <c r="A149" i="61"/>
  <c r="A148" i="61"/>
  <c r="A147" i="61"/>
  <c r="A146" i="61"/>
  <c r="A145" i="61"/>
  <c r="A144" i="61"/>
  <c r="A143" i="61"/>
  <c r="A142" i="61"/>
  <c r="A141" i="61"/>
  <c r="A140" i="61"/>
  <c r="A139" i="61"/>
  <c r="A138" i="61"/>
  <c r="A137" i="61"/>
  <c r="A136" i="61"/>
  <c r="A135" i="61"/>
  <c r="A134" i="61"/>
  <c r="A133" i="61"/>
  <c r="A132" i="61"/>
  <c r="A131" i="61"/>
  <c r="A130" i="61"/>
  <c r="A129" i="61"/>
  <c r="A128" i="61"/>
  <c r="A127" i="61"/>
  <c r="A126" i="61"/>
  <c r="A125" i="61"/>
  <c r="A124" i="61"/>
  <c r="A123" i="61"/>
  <c r="A122" i="61"/>
  <c r="A121" i="61"/>
  <c r="A120" i="61"/>
  <c r="A119" i="61"/>
  <c r="A118" i="61"/>
  <c r="A117" i="61"/>
  <c r="A116" i="61"/>
  <c r="A115" i="61"/>
  <c r="A114" i="61"/>
  <c r="A113" i="61"/>
  <c r="A112" i="61"/>
  <c r="A111" i="61"/>
  <c r="A110" i="61"/>
  <c r="A109" i="61"/>
  <c r="A108" i="61"/>
  <c r="A107" i="61"/>
  <c r="A106" i="61"/>
  <c r="A105" i="61"/>
  <c r="A104" i="61"/>
  <c r="A103" i="61"/>
  <c r="A102" i="61"/>
  <c r="A101" i="61"/>
  <c r="A100" i="61"/>
  <c r="A99" i="61"/>
  <c r="A98" i="61"/>
  <c r="A97" i="61"/>
  <c r="A96" i="61"/>
  <c r="A95" i="61"/>
  <c r="A94" i="61"/>
  <c r="A93" i="61"/>
  <c r="A92" i="61"/>
  <c r="A91" i="61"/>
  <c r="A90" i="61"/>
  <c r="A89" i="61"/>
  <c r="A88" i="61"/>
  <c r="A87" i="61"/>
  <c r="A86" i="61"/>
  <c r="A85" i="61"/>
  <c r="A84" i="61"/>
  <c r="A83" i="61"/>
  <c r="A82" i="61"/>
  <c r="A81" i="61"/>
  <c r="A80" i="61"/>
  <c r="A79" i="61"/>
  <c r="A78" i="61"/>
  <c r="A77" i="61"/>
  <c r="A76" i="61"/>
  <c r="A75" i="61"/>
  <c r="A74" i="61"/>
  <c r="A73" i="61"/>
  <c r="A72" i="61"/>
  <c r="A71" i="61"/>
  <c r="A70" i="61"/>
  <c r="A69" i="61"/>
  <c r="A68" i="61"/>
  <c r="A67" i="6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3" i="61"/>
  <c r="A2" i="61"/>
  <c r="AS55" i="62" l="1"/>
  <c r="Q137" i="62"/>
  <c r="Y120" i="62"/>
  <c r="AI119" i="62"/>
  <c r="AN110" i="62"/>
  <c r="AS109" i="62"/>
  <c r="AW108" i="62"/>
  <c r="AW87" i="62"/>
  <c r="AU87" i="62" s="1"/>
  <c r="BK86" i="62"/>
  <c r="BI86" i="62" s="1"/>
  <c r="BY85" i="62"/>
  <c r="BW85" i="62" s="1"/>
  <c r="E85" i="62"/>
  <c r="I84" i="62"/>
  <c r="G84" i="62" s="1"/>
  <c r="E83" i="62"/>
  <c r="BO77" i="62"/>
  <c r="E77" i="62"/>
  <c r="M76" i="62"/>
  <c r="U75" i="62"/>
  <c r="AI74" i="62"/>
  <c r="AW71" i="62"/>
  <c r="BK70" i="62"/>
  <c r="BY69" i="62"/>
  <c r="I69" i="62"/>
  <c r="Q68" i="62"/>
  <c r="Y67" i="62"/>
  <c r="AW64" i="62"/>
  <c r="BK63" i="62"/>
  <c r="BY62" i="62"/>
  <c r="I62" i="62"/>
  <c r="Q59" i="62"/>
  <c r="Y58" i="62"/>
  <c r="AN57" i="62"/>
  <c r="AW56" i="62"/>
  <c r="BK55" i="62"/>
  <c r="M52" i="62"/>
  <c r="Y44" i="62"/>
  <c r="AN43" i="62"/>
  <c r="AW42" i="62"/>
  <c r="BK41" i="62"/>
  <c r="BY40" i="62"/>
  <c r="I40" i="62"/>
  <c r="Q39" i="62"/>
  <c r="Y38" i="62"/>
  <c r="AN37" i="62"/>
  <c r="AW36" i="62"/>
  <c r="BK35" i="62"/>
  <c r="I34" i="62"/>
  <c r="Q32" i="62"/>
  <c r="Y31" i="62"/>
  <c r="AN30" i="62"/>
  <c r="Q29" i="62"/>
  <c r="U27" i="62"/>
  <c r="AI24" i="62"/>
  <c r="AS23" i="62"/>
  <c r="Q27" i="62"/>
  <c r="M27" i="62"/>
  <c r="U30" i="62"/>
  <c r="I31" i="62"/>
  <c r="I137" i="62"/>
  <c r="U120" i="62"/>
  <c r="Y119" i="62"/>
  <c r="AI110" i="62"/>
  <c r="AN109" i="62"/>
  <c r="AS108" i="62"/>
  <c r="AS87" i="62"/>
  <c r="BG86" i="62"/>
  <c r="BO85" i="62"/>
  <c r="BM85" i="62" s="1"/>
  <c r="BY84" i="62"/>
  <c r="BW84" i="62" s="1"/>
  <c r="E84" i="62"/>
  <c r="BY79" i="62"/>
  <c r="BW79" i="62" s="1"/>
  <c r="BK77" i="62"/>
  <c r="BY76" i="62"/>
  <c r="I76" i="62"/>
  <c r="Q75" i="62"/>
  <c r="Y74" i="62"/>
  <c r="AS71" i="62"/>
  <c r="BG70" i="62"/>
  <c r="BO69" i="62"/>
  <c r="E69" i="62"/>
  <c r="M68" i="62"/>
  <c r="U67" i="62"/>
  <c r="AS64" i="62"/>
  <c r="BG63" i="62"/>
  <c r="BO62" i="62"/>
  <c r="E62" i="62"/>
  <c r="M59" i="62"/>
  <c r="U58" i="62"/>
  <c r="AI57" i="62"/>
  <c r="AS56" i="62"/>
  <c r="BG55" i="62"/>
  <c r="M51" i="62"/>
  <c r="U44" i="62"/>
  <c r="AI43" i="62"/>
  <c r="AS42" i="62"/>
  <c r="BG41" i="62"/>
  <c r="BO40" i="62"/>
  <c r="E40" i="62"/>
  <c r="M39" i="62"/>
  <c r="U38" i="62"/>
  <c r="AI37" i="62"/>
  <c r="AS36" i="62"/>
  <c r="BG35" i="62"/>
  <c r="I33" i="62"/>
  <c r="M32" i="62"/>
  <c r="U31" i="62"/>
  <c r="AI30" i="62"/>
  <c r="Y30" i="62"/>
  <c r="Q24" i="62"/>
  <c r="BY137" i="62"/>
  <c r="BY140" i="62" s="1"/>
  <c r="BY52" i="62" s="1"/>
  <c r="E137" i="62"/>
  <c r="Q120" i="62"/>
  <c r="U119" i="62"/>
  <c r="Y110" i="62"/>
  <c r="AI109" i="62"/>
  <c r="AN108" i="62"/>
  <c r="AN87" i="62"/>
  <c r="AL87" i="62" s="1"/>
  <c r="AW86" i="62"/>
  <c r="AU86" i="62" s="1"/>
  <c r="BK85" i="62"/>
  <c r="BO84" i="62"/>
  <c r="BM84" i="62" s="1"/>
  <c r="BY83" i="62"/>
  <c r="BO79" i="62"/>
  <c r="BM79" i="62" s="1"/>
  <c r="BG77" i="62"/>
  <c r="BO76" i="62"/>
  <c r="E76" i="62"/>
  <c r="M75" i="62"/>
  <c r="U74" i="62"/>
  <c r="AN71" i="62"/>
  <c r="AW70" i="62"/>
  <c r="BK69" i="62"/>
  <c r="BY68" i="62"/>
  <c r="I68" i="62"/>
  <c r="Q67" i="62"/>
  <c r="AN64" i="62"/>
  <c r="AW63" i="62"/>
  <c r="BK62" i="62"/>
  <c r="BY59" i="62"/>
  <c r="I59" i="62"/>
  <c r="Q58" i="62"/>
  <c r="Y57" i="62"/>
  <c r="AN56" i="62"/>
  <c r="AW55" i="62"/>
  <c r="M50" i="62"/>
  <c r="Q44" i="62"/>
  <c r="Y43" i="62"/>
  <c r="AN42" i="62"/>
  <c r="AW41" i="62"/>
  <c r="BK40" i="62"/>
  <c r="BY39" i="62"/>
  <c r="I39" i="62"/>
  <c r="Q38" i="62"/>
  <c r="Y37" i="62"/>
  <c r="AN36" i="62"/>
  <c r="AW35" i="62"/>
  <c r="BY32" i="62"/>
  <c r="U24" i="62"/>
  <c r="E27" i="62"/>
  <c r="BO137" i="62"/>
  <c r="BO140" i="62" s="1"/>
  <c r="BO52" i="62" s="1"/>
  <c r="AN121" i="62"/>
  <c r="Q119" i="62"/>
  <c r="U110" i="62"/>
  <c r="Y109" i="62"/>
  <c r="AI108" i="62"/>
  <c r="AI87" i="62"/>
  <c r="AG87" i="62" s="1"/>
  <c r="AS86" i="62"/>
  <c r="AW85" i="62"/>
  <c r="AU85" i="62" s="1"/>
  <c r="BK84" i="62"/>
  <c r="BO83" i="62"/>
  <c r="BK79" i="62"/>
  <c r="BI79" i="62" s="1"/>
  <c r="AW77" i="62"/>
  <c r="BK76" i="62"/>
  <c r="BY75" i="62"/>
  <c r="I75" i="62"/>
  <c r="Q74" i="62"/>
  <c r="AI71" i="62"/>
  <c r="AS70" i="62"/>
  <c r="BG69" i="62"/>
  <c r="BO68" i="62"/>
  <c r="E68" i="62"/>
  <c r="M67" i="62"/>
  <c r="AI64" i="62"/>
  <c r="AS63" i="62"/>
  <c r="BG62" i="62"/>
  <c r="BO59" i="62"/>
  <c r="E59" i="62"/>
  <c r="M58" i="62"/>
  <c r="U57" i="62"/>
  <c r="AI56" i="62"/>
  <c r="M49" i="62"/>
  <c r="M44" i="62"/>
  <c r="U43" i="62"/>
  <c r="AI42" i="62"/>
  <c r="AS41" i="62"/>
  <c r="BG40" i="62"/>
  <c r="BO39" i="62"/>
  <c r="E39" i="62"/>
  <c r="M38" i="62"/>
  <c r="U37" i="62"/>
  <c r="AI36" i="62"/>
  <c r="AS35" i="62"/>
  <c r="BO32" i="62"/>
  <c r="E32" i="62"/>
  <c r="I27" i="62"/>
  <c r="M24" i="62"/>
  <c r="BK137" i="62"/>
  <c r="BY120" i="62"/>
  <c r="E120" i="62"/>
  <c r="I119" i="62"/>
  <c r="I124" i="62" s="1"/>
  <c r="I50" i="62" s="1"/>
  <c r="Q110" i="62"/>
  <c r="U109" i="62"/>
  <c r="Y108" i="62"/>
  <c r="Y87" i="62"/>
  <c r="W87" i="62" s="1"/>
  <c r="AN86" i="62"/>
  <c r="AL86" i="62" s="1"/>
  <c r="AS85" i="62"/>
  <c r="AW84" i="62"/>
  <c r="AU84" i="62" s="1"/>
  <c r="BK83" i="62"/>
  <c r="BT83" i="62" s="1"/>
  <c r="BG79" i="62"/>
  <c r="BE79" i="62" s="1"/>
  <c r="AS77" i="62"/>
  <c r="BG76" i="62"/>
  <c r="BO75" i="62"/>
  <c r="E75" i="62"/>
  <c r="M74" i="62"/>
  <c r="Y71" i="62"/>
  <c r="AN70" i="62"/>
  <c r="AW69" i="62"/>
  <c r="BK68" i="62"/>
  <c r="BY67" i="62"/>
  <c r="I67" i="62"/>
  <c r="Y64" i="62"/>
  <c r="AN63" i="62"/>
  <c r="AW62" i="62"/>
  <c r="BK59" i="62"/>
  <c r="BY58" i="62"/>
  <c r="I58" i="62"/>
  <c r="Q57" i="62"/>
  <c r="Y56" i="62"/>
  <c r="AN55" i="62"/>
  <c r="BY44" i="62"/>
  <c r="I44" i="62"/>
  <c r="Q43" i="62"/>
  <c r="Y42" i="62"/>
  <c r="AN41" i="62"/>
  <c r="AW40" i="62"/>
  <c r="BK39" i="62"/>
  <c r="BY38" i="62"/>
  <c r="I38" i="62"/>
  <c r="Q37" i="62"/>
  <c r="Y36" i="62"/>
  <c r="AN35" i="62"/>
  <c r="BK32" i="62"/>
  <c r="BY31" i="62"/>
  <c r="U23" i="62"/>
  <c r="BG137" i="62"/>
  <c r="BO120" i="62"/>
  <c r="BY119" i="62"/>
  <c r="E119" i="62"/>
  <c r="I110" i="62"/>
  <c r="Q109" i="62"/>
  <c r="U108" i="62"/>
  <c r="U87" i="62"/>
  <c r="S87" i="62" s="1"/>
  <c r="AI86" i="62"/>
  <c r="AG86" i="62" s="1"/>
  <c r="AN85" i="62"/>
  <c r="AL85" i="62" s="1"/>
  <c r="AS84" i="62"/>
  <c r="AW83" i="62"/>
  <c r="BB83" i="62" s="1"/>
  <c r="AW79" i="62"/>
  <c r="AU79" i="62" s="1"/>
  <c r="AN77" i="62"/>
  <c r="AW76" i="62"/>
  <c r="BK75" i="62"/>
  <c r="BY74" i="62"/>
  <c r="I74" i="62"/>
  <c r="U71" i="62"/>
  <c r="AI70" i="62"/>
  <c r="AS69" i="62"/>
  <c r="BG68" i="62"/>
  <c r="BO67" i="62"/>
  <c r="E67" i="62"/>
  <c r="U64" i="62"/>
  <c r="AI63" i="62"/>
  <c r="AS62" i="62"/>
  <c r="BG59" i="62"/>
  <c r="BO58" i="62"/>
  <c r="E58" i="62"/>
  <c r="M57" i="62"/>
  <c r="U56" i="62"/>
  <c r="AI55" i="62"/>
  <c r="BO44" i="62"/>
  <c r="E44" i="62"/>
  <c r="M43" i="62"/>
  <c r="U42" i="62"/>
  <c r="AI41" i="62"/>
  <c r="AS40" i="62"/>
  <c r="BG39" i="62"/>
  <c r="BO38" i="62"/>
  <c r="E38" i="62"/>
  <c r="M37" i="62"/>
  <c r="U36" i="62"/>
  <c r="AI35" i="62"/>
  <c r="BG32" i="62"/>
  <c r="BO31" i="62"/>
  <c r="E31" i="62"/>
  <c r="M30" i="62"/>
  <c r="BK27" i="62"/>
  <c r="BY24" i="62"/>
  <c r="I24" i="62"/>
  <c r="AW137" i="62"/>
  <c r="BK120" i="62"/>
  <c r="BO119" i="62"/>
  <c r="BY110" i="62"/>
  <c r="E110" i="62"/>
  <c r="I109" i="62"/>
  <c r="Q108" i="62"/>
  <c r="Q87" i="62"/>
  <c r="O87" i="62" s="1"/>
  <c r="Y86" i="62"/>
  <c r="W86" i="62" s="1"/>
  <c r="AI85" i="62"/>
  <c r="AG85" i="62" s="1"/>
  <c r="AN84" i="62"/>
  <c r="AL84" i="62" s="1"/>
  <c r="AN83" i="62"/>
  <c r="BY78" i="62"/>
  <c r="BW78" i="62" s="1"/>
  <c r="AI77" i="62"/>
  <c r="AS76" i="62"/>
  <c r="BG75" i="62"/>
  <c r="BO74" i="62"/>
  <c r="E74" i="62"/>
  <c r="Q71" i="62"/>
  <c r="Y70" i="62"/>
  <c r="AN69" i="62"/>
  <c r="AW68" i="62"/>
  <c r="BK67" i="62"/>
  <c r="M66" i="62"/>
  <c r="Q64" i="62"/>
  <c r="Y63" i="62"/>
  <c r="AN62" i="62"/>
  <c r="AW59" i="62"/>
  <c r="BK58" i="62"/>
  <c r="BY57" i="62"/>
  <c r="I57" i="62"/>
  <c r="Q56" i="62"/>
  <c r="Y55" i="62"/>
  <c r="BK44" i="62"/>
  <c r="BY43" i="62"/>
  <c r="I43" i="62"/>
  <c r="Q42" i="62"/>
  <c r="Y41" i="62"/>
  <c r="AN40" i="62"/>
  <c r="AW39" i="62"/>
  <c r="BK38" i="62"/>
  <c r="BY37" i="62"/>
  <c r="I37" i="62"/>
  <c r="Q36" i="62"/>
  <c r="Y35" i="62"/>
  <c r="AW32" i="62"/>
  <c r="BK31" i="62"/>
  <c r="BY30" i="62"/>
  <c r="I30" i="62"/>
  <c r="BG27" i="62"/>
  <c r="BO24" i="62"/>
  <c r="E24" i="62"/>
  <c r="AS137" i="62"/>
  <c r="BG120" i="62"/>
  <c r="BK119" i="62"/>
  <c r="BO110" i="62"/>
  <c r="BY109" i="62"/>
  <c r="E109" i="62"/>
  <c r="I108" i="62"/>
  <c r="M87" i="62"/>
  <c r="K87" i="62" s="1"/>
  <c r="U86" i="62"/>
  <c r="S86" i="62" s="1"/>
  <c r="Y85" i="62"/>
  <c r="W85" i="62" s="1"/>
  <c r="AI84" i="62"/>
  <c r="AG84" i="62" s="1"/>
  <c r="AI83" i="62"/>
  <c r="BO78" i="62"/>
  <c r="BM78" i="62" s="1"/>
  <c r="Y77" i="62"/>
  <c r="AN76" i="62"/>
  <c r="AW75" i="62"/>
  <c r="BK74" i="62"/>
  <c r="I73" i="62"/>
  <c r="M71" i="62"/>
  <c r="U70" i="62"/>
  <c r="AI69" i="62"/>
  <c r="AS68" i="62"/>
  <c r="BG67" i="62"/>
  <c r="I66" i="62"/>
  <c r="M64" i="62"/>
  <c r="U63" i="62"/>
  <c r="AI62" i="62"/>
  <c r="AS59" i="62"/>
  <c r="BG58" i="62"/>
  <c r="BO57" i="62"/>
  <c r="E57" i="62"/>
  <c r="M56" i="62"/>
  <c r="U55" i="62"/>
  <c r="BG44" i="62"/>
  <c r="BO43" i="62"/>
  <c r="E43" i="62"/>
  <c r="M42" i="62"/>
  <c r="U41" i="62"/>
  <c r="AI40" i="62"/>
  <c r="AS39" i="62"/>
  <c r="BG38" i="62"/>
  <c r="BO37" i="62"/>
  <c r="E37" i="62"/>
  <c r="M36" i="62"/>
  <c r="U35" i="62"/>
  <c r="AS32" i="62"/>
  <c r="BG31" i="62"/>
  <c r="BO30" i="62"/>
  <c r="AN137" i="62"/>
  <c r="AN140" i="62" s="1"/>
  <c r="AN52" i="62" s="1"/>
  <c r="AW120" i="62"/>
  <c r="BG119" i="62"/>
  <c r="BK110" i="62"/>
  <c r="BO109" i="62"/>
  <c r="BY108" i="62"/>
  <c r="E108" i="62"/>
  <c r="I87" i="62"/>
  <c r="G87" i="62" s="1"/>
  <c r="Q86" i="62"/>
  <c r="O86" i="62" s="1"/>
  <c r="U85" i="62"/>
  <c r="S85" i="62" s="1"/>
  <c r="Y84" i="62"/>
  <c r="W84" i="62" s="1"/>
  <c r="Y83" i="62"/>
  <c r="BK78" i="62"/>
  <c r="BI78" i="62" s="1"/>
  <c r="U77" i="62"/>
  <c r="AI76" i="62"/>
  <c r="AS75" i="62"/>
  <c r="BG74" i="62"/>
  <c r="BY71" i="62"/>
  <c r="I71" i="62"/>
  <c r="Q70" i="62"/>
  <c r="Y69" i="62"/>
  <c r="AN68" i="62"/>
  <c r="AW67" i="62"/>
  <c r="BY64" i="62"/>
  <c r="I64" i="62"/>
  <c r="Q63" i="62"/>
  <c r="Y62" i="62"/>
  <c r="AN59" i="62"/>
  <c r="AW58" i="62"/>
  <c r="BK57" i="62"/>
  <c r="BY56" i="62"/>
  <c r="I56" i="62"/>
  <c r="Q55" i="62"/>
  <c r="AW44" i="62"/>
  <c r="BK43" i="62"/>
  <c r="BY42" i="62"/>
  <c r="I42" i="62"/>
  <c r="Q41" i="62"/>
  <c r="Y40" i="62"/>
  <c r="AN39" i="62"/>
  <c r="AW38" i="62"/>
  <c r="BK37" i="62"/>
  <c r="BY36" i="62"/>
  <c r="I36" i="62"/>
  <c r="Q35" i="62"/>
  <c r="AN32" i="62"/>
  <c r="AW31" i="62"/>
  <c r="BK30" i="62"/>
  <c r="AN29" i="62"/>
  <c r="AI137" i="62"/>
  <c r="AS120" i="62"/>
  <c r="AW119" i="62"/>
  <c r="BG110" i="62"/>
  <c r="BK109" i="62"/>
  <c r="BO108" i="62"/>
  <c r="BY87" i="62"/>
  <c r="BW87" i="62" s="1"/>
  <c r="E87" i="62"/>
  <c r="M86" i="62"/>
  <c r="K86" i="62" s="1"/>
  <c r="Q85" i="62"/>
  <c r="O85" i="62" s="1"/>
  <c r="U84" i="62"/>
  <c r="S84" i="62" s="1"/>
  <c r="U83" i="62"/>
  <c r="BG78" i="62"/>
  <c r="Q77" i="62"/>
  <c r="Y76" i="62"/>
  <c r="AN75" i="62"/>
  <c r="AW74" i="62"/>
  <c r="BO71" i="62"/>
  <c r="E71" i="62"/>
  <c r="M70" i="62"/>
  <c r="U69" i="62"/>
  <c r="AI68" i="62"/>
  <c r="AS67" i="62"/>
  <c r="BO64" i="62"/>
  <c r="E64" i="62"/>
  <c r="M63" i="62"/>
  <c r="U62" i="62"/>
  <c r="AI59" i="62"/>
  <c r="AS58" i="62"/>
  <c r="BG57" i="62"/>
  <c r="BO56" i="62"/>
  <c r="E56" i="62"/>
  <c r="M55" i="62"/>
  <c r="AS44" i="62"/>
  <c r="BG43" i="62"/>
  <c r="BO42" i="62"/>
  <c r="E42" i="62"/>
  <c r="M41" i="62"/>
  <c r="U40" i="62"/>
  <c r="AI39" i="62"/>
  <c r="AS38" i="62"/>
  <c r="BG37" i="62"/>
  <c r="BO36" i="62"/>
  <c r="E36" i="62"/>
  <c r="M35" i="62"/>
  <c r="AI32" i="62"/>
  <c r="AS31" i="62"/>
  <c r="BG30" i="62"/>
  <c r="AI29" i="62"/>
  <c r="AN27" i="62"/>
  <c r="AW24" i="62"/>
  <c r="BK23" i="62"/>
  <c r="Y28" i="62"/>
  <c r="I32" i="62"/>
  <c r="BY27" i="62"/>
  <c r="Q30" i="62"/>
  <c r="Y137" i="62"/>
  <c r="Y140" i="62" s="1"/>
  <c r="Y52" i="62" s="1"/>
  <c r="AN120" i="62"/>
  <c r="AS119" i="62"/>
  <c r="AW110" i="62"/>
  <c r="BG109" i="62"/>
  <c r="BK108" i="62"/>
  <c r="BO87" i="62"/>
  <c r="BM87" i="62" s="1"/>
  <c r="BY86" i="62"/>
  <c r="BW86" i="62" s="1"/>
  <c r="I86" i="62"/>
  <c r="G86" i="62" s="1"/>
  <c r="M85" i="62"/>
  <c r="K85" i="62" s="1"/>
  <c r="Q84" i="62"/>
  <c r="O84" i="62" s="1"/>
  <c r="Q83" i="62"/>
  <c r="AW78" i="62"/>
  <c r="M77" i="62"/>
  <c r="U76" i="62"/>
  <c r="AI75" i="62"/>
  <c r="AS74" i="62"/>
  <c r="BK71" i="62"/>
  <c r="BY70" i="62"/>
  <c r="I70" i="62"/>
  <c r="Q69" i="62"/>
  <c r="Y68" i="62"/>
  <c r="AN67" i="62"/>
  <c r="BK64" i="62"/>
  <c r="BY63" i="62"/>
  <c r="I63" i="62"/>
  <c r="Q62" i="62"/>
  <c r="Y59" i="62"/>
  <c r="AN58" i="62"/>
  <c r="AW57" i="62"/>
  <c r="BK56" i="62"/>
  <c r="BY55" i="62"/>
  <c r="I55" i="62"/>
  <c r="AN44" i="62"/>
  <c r="AW43" i="62"/>
  <c r="BK42" i="62"/>
  <c r="BY41" i="62"/>
  <c r="I41" i="62"/>
  <c r="Q40" i="62"/>
  <c r="Y39" i="62"/>
  <c r="AN38" i="62"/>
  <c r="AW37" i="62"/>
  <c r="BK36" i="62"/>
  <c r="BY35" i="62"/>
  <c r="I35" i="62"/>
  <c r="Y32" i="62"/>
  <c r="AN31" i="62"/>
  <c r="AW30" i="62"/>
  <c r="Y29" i="62"/>
  <c r="AI27" i="62"/>
  <c r="AS24" i="62"/>
  <c r="BG23" i="62"/>
  <c r="AN23" i="62"/>
  <c r="U28" i="62"/>
  <c r="M31" i="62"/>
  <c r="BO27" i="62"/>
  <c r="U137" i="62"/>
  <c r="U140" i="62" s="1"/>
  <c r="U52" i="62" s="1"/>
  <c r="AI120" i="62"/>
  <c r="AN119" i="62"/>
  <c r="AS110" i="62"/>
  <c r="AW109" i="62"/>
  <c r="BG108" i="62"/>
  <c r="BK87" i="62"/>
  <c r="BO86" i="62"/>
  <c r="BM86" i="62" s="1"/>
  <c r="E86" i="62"/>
  <c r="I85" i="62"/>
  <c r="G85" i="62" s="1"/>
  <c r="M84" i="62"/>
  <c r="K84" i="62" s="1"/>
  <c r="M83" i="62"/>
  <c r="BY77" i="62"/>
  <c r="I77" i="62"/>
  <c r="Q76" i="62"/>
  <c r="Y75" i="62"/>
  <c r="AN74" i="62"/>
  <c r="BG71" i="62"/>
  <c r="BO70" i="62"/>
  <c r="E70" i="62"/>
  <c r="M69" i="62"/>
  <c r="U68" i="62"/>
  <c r="AI67" i="62"/>
  <c r="BG64" i="62"/>
  <c r="BO63" i="62"/>
  <c r="E63" i="62"/>
  <c r="M62" i="62"/>
  <c r="U59" i="62"/>
  <c r="AI58" i="62"/>
  <c r="AS57" i="62"/>
  <c r="BG56" i="62"/>
  <c r="BO55" i="62"/>
  <c r="E55" i="62"/>
  <c r="AI44" i="62"/>
  <c r="AS43" i="62"/>
  <c r="BG42" i="62"/>
  <c r="BO41" i="62"/>
  <c r="E41" i="62"/>
  <c r="M40" i="62"/>
  <c r="U39" i="62"/>
  <c r="AI38" i="62"/>
  <c r="AS37" i="62"/>
  <c r="BG36" i="62"/>
  <c r="BO35" i="62"/>
  <c r="E35" i="62"/>
  <c r="U32" i="62"/>
  <c r="AI31" i="62"/>
  <c r="AS30" i="62"/>
  <c r="U29" i="62"/>
  <c r="Y27" i="62"/>
  <c r="AN24" i="62"/>
  <c r="AW23" i="62"/>
  <c r="Y24" i="62"/>
  <c r="Q31" i="62"/>
  <c r="AI23" i="62"/>
  <c r="Y23" i="62"/>
  <c r="AW27" i="62"/>
  <c r="BG24" i="62"/>
  <c r="BY23" i="62"/>
  <c r="BO23" i="62"/>
  <c r="Q23" i="62"/>
  <c r="I23" i="62"/>
  <c r="AS27" i="62"/>
  <c r="M23" i="62"/>
  <c r="E23" i="62"/>
  <c r="E30" i="62"/>
  <c r="BK24" i="62"/>
  <c r="BT73" i="60"/>
  <c r="BT66" i="60"/>
  <c r="BT61" i="60"/>
  <c r="BT54" i="60"/>
  <c r="BT48" i="60"/>
  <c r="BT47" i="60"/>
  <c r="BT34" i="60"/>
  <c r="BT29" i="60"/>
  <c r="BT26" i="60"/>
  <c r="Q103" i="60"/>
  <c r="E124" i="62" l="1"/>
  <c r="E50" i="62" s="1"/>
  <c r="U114" i="62"/>
  <c r="U49" i="62" s="1"/>
  <c r="Y114" i="62"/>
  <c r="Y49" i="62" s="1"/>
  <c r="BY114" i="62"/>
  <c r="BY49" i="62" s="1"/>
  <c r="Y124" i="62"/>
  <c r="Y50" i="62" s="1"/>
  <c r="BO114" i="62"/>
  <c r="BO49" i="62" s="1"/>
  <c r="AS124" i="62"/>
  <c r="AS50" i="62" s="1"/>
  <c r="Q124" i="62"/>
  <c r="Q50" i="62" s="1"/>
  <c r="BB78" i="62"/>
  <c r="AU78" i="62"/>
  <c r="BT78" i="62"/>
  <c r="BR78" i="62" s="1"/>
  <c r="BE78" i="62"/>
  <c r="BO124" i="62"/>
  <c r="BO50" i="62" s="1"/>
  <c r="AN33" i="62"/>
  <c r="C83" i="62"/>
  <c r="AD83" i="62"/>
  <c r="CG83" i="62" s="1"/>
  <c r="BO25" i="62"/>
  <c r="BY60" i="62"/>
  <c r="BT38" i="62"/>
  <c r="Y45" i="62"/>
  <c r="Y60" i="62"/>
  <c r="M33" i="62"/>
  <c r="BT79" i="62"/>
  <c r="BR79" i="62" s="1"/>
  <c r="BB41" i="62"/>
  <c r="Y72" i="62"/>
  <c r="BT42" i="62"/>
  <c r="BO28" i="62"/>
  <c r="BY45" i="62"/>
  <c r="BY25" i="62"/>
  <c r="BB43" i="62"/>
  <c r="U65" i="62"/>
  <c r="AW124" i="62"/>
  <c r="AW50" i="62" s="1"/>
  <c r="BB75" i="62"/>
  <c r="AD67" i="62"/>
  <c r="U25" i="62"/>
  <c r="BO65" i="62"/>
  <c r="U124" i="62"/>
  <c r="U50" i="62" s="1"/>
  <c r="C85" i="62"/>
  <c r="AD85" i="62"/>
  <c r="BB38" i="62"/>
  <c r="BB30" i="62"/>
  <c r="BT24" i="62"/>
  <c r="AN28" i="62"/>
  <c r="Y65" i="62"/>
  <c r="BG124" i="62"/>
  <c r="BG50" i="62" s="1"/>
  <c r="BK124" i="62"/>
  <c r="BK50" i="62" s="1"/>
  <c r="BO72" i="62"/>
  <c r="AQ84" i="62"/>
  <c r="BB84" i="62"/>
  <c r="AZ84" i="62" s="1"/>
  <c r="BY33" i="62"/>
  <c r="BY72" i="62"/>
  <c r="M72" i="62"/>
  <c r="Y33" i="62"/>
  <c r="BT41" i="62"/>
  <c r="AD30" i="62"/>
  <c r="AD86" i="62"/>
  <c r="C86" i="62"/>
  <c r="AN25" i="62"/>
  <c r="AD42" i="62"/>
  <c r="BT32" i="62"/>
  <c r="BT68" i="62"/>
  <c r="BB85" i="62"/>
  <c r="AZ85" i="62" s="1"/>
  <c r="AQ85" i="62"/>
  <c r="AD32" i="62"/>
  <c r="AD68" i="62"/>
  <c r="BI84" i="62"/>
  <c r="BT84" i="62"/>
  <c r="BR84" i="62" s="1"/>
  <c r="BI85" i="62"/>
  <c r="BT85" i="62"/>
  <c r="BR85" i="62" s="1"/>
  <c r="BB42" i="62"/>
  <c r="Y25" i="62"/>
  <c r="BO45" i="62"/>
  <c r="BO60" i="62"/>
  <c r="BT30" i="62"/>
  <c r="BO80" i="62"/>
  <c r="AN45" i="62"/>
  <c r="AN60" i="62"/>
  <c r="M53" i="62"/>
  <c r="U72" i="62"/>
  <c r="C84" i="62"/>
  <c r="AD84" i="62"/>
  <c r="U33" i="62"/>
  <c r="BT36" i="62"/>
  <c r="BI87" i="62"/>
  <c r="BT87" i="62"/>
  <c r="BR87" i="62" s="1"/>
  <c r="BB24" i="62"/>
  <c r="BT43" i="62"/>
  <c r="BB67" i="62"/>
  <c r="BO33" i="62"/>
  <c r="AD43" i="62"/>
  <c r="AD24" i="62"/>
  <c r="BT75" i="62"/>
  <c r="BB86" i="62"/>
  <c r="AZ86" i="62" s="1"/>
  <c r="AQ86" i="62"/>
  <c r="M28" i="62"/>
  <c r="BT67" i="62"/>
  <c r="AN65" i="62"/>
  <c r="AD51" i="62"/>
  <c r="M45" i="62"/>
  <c r="M60" i="62"/>
  <c r="BB32" i="62"/>
  <c r="BB68" i="62"/>
  <c r="AD38" i="62"/>
  <c r="M80" i="62"/>
  <c r="BE86" i="62"/>
  <c r="BT86" i="62"/>
  <c r="BR86" i="62" s="1"/>
  <c r="M25" i="62"/>
  <c r="AD36" i="62"/>
  <c r="C87" i="62"/>
  <c r="AD87" i="62"/>
  <c r="U45" i="62"/>
  <c r="U60" i="62"/>
  <c r="BY80" i="62"/>
  <c r="AD75" i="62"/>
  <c r="BB36" i="62"/>
  <c r="AQ87" i="62"/>
  <c r="BB87" i="62"/>
  <c r="AZ87" i="62" s="1"/>
  <c r="AI124" i="62"/>
  <c r="AI50" i="62" s="1"/>
  <c r="BB37" i="62"/>
  <c r="AN124" i="62"/>
  <c r="AN50" i="62" s="1"/>
  <c r="AN72" i="62"/>
  <c r="BY28" i="62"/>
  <c r="BY65" i="62"/>
  <c r="M65" i="62"/>
  <c r="AD41" i="62"/>
  <c r="BT37" i="62"/>
  <c r="AD37" i="62"/>
  <c r="BY124" i="62"/>
  <c r="BY50" i="62" s="1"/>
  <c r="Y80" i="62"/>
  <c r="AN114" i="62"/>
  <c r="AN49" i="62" s="1"/>
  <c r="J11" i="16"/>
  <c r="Y53" i="62" l="1"/>
  <c r="Y81" i="62" s="1"/>
  <c r="BB50" i="62"/>
  <c r="AD50" i="62"/>
  <c r="U46" i="62"/>
  <c r="V60" i="62" s="1"/>
  <c r="BO53" i="62"/>
  <c r="BO81" i="62" s="1"/>
  <c r="CG78" i="62"/>
  <c r="AZ78" i="62"/>
  <c r="CE78" i="62" s="1"/>
  <c r="CG87" i="62"/>
  <c r="AB87" i="62"/>
  <c r="CE87" i="62" s="1"/>
  <c r="CG51" i="62"/>
  <c r="AN46" i="62"/>
  <c r="AO50" i="62" s="1"/>
  <c r="M81" i="62"/>
  <c r="Y46" i="62"/>
  <c r="Z25" i="62" s="1"/>
  <c r="AB86" i="62"/>
  <c r="CE86" i="62" s="1"/>
  <c r="CG86" i="62"/>
  <c r="M46" i="62"/>
  <c r="CG24" i="62"/>
  <c r="CG30" i="62"/>
  <c r="CG68" i="62"/>
  <c r="CG42" i="62"/>
  <c r="AB85" i="62"/>
  <c r="CE85" i="62" s="1"/>
  <c r="CG85" i="62"/>
  <c r="BO46" i="62"/>
  <c r="AN53" i="62"/>
  <c r="CG36" i="62"/>
  <c r="CG37" i="62"/>
  <c r="U53" i="62"/>
  <c r="CG41" i="62"/>
  <c r="D23" i="16"/>
  <c r="U79" i="62" s="1"/>
  <c r="S79" i="62" s="1"/>
  <c r="CG43" i="62"/>
  <c r="BT50" i="62"/>
  <c r="CG75" i="62"/>
  <c r="CG38" i="62"/>
  <c r="AB84" i="62"/>
  <c r="CE84" i="62" s="1"/>
  <c r="CG84" i="62"/>
  <c r="CG32" i="62"/>
  <c r="CG67" i="62"/>
  <c r="BY46" i="62"/>
  <c r="BZ80" i="62" s="1"/>
  <c r="BY53" i="62"/>
  <c r="C15" i="15"/>
  <c r="Z81" i="62" l="1"/>
  <c r="Z65" i="62"/>
  <c r="M82" i="62"/>
  <c r="M88" i="62" s="1"/>
  <c r="M89" i="62" s="1"/>
  <c r="J7" i="5" s="1"/>
  <c r="Z53" i="62"/>
  <c r="Z72" i="62"/>
  <c r="BZ25" i="62"/>
  <c r="Z60" i="62"/>
  <c r="BZ60" i="62"/>
  <c r="BZ33" i="62"/>
  <c r="BZ45" i="62"/>
  <c r="BZ72" i="62"/>
  <c r="H7" i="5"/>
  <c r="CG50" i="62"/>
  <c r="BO82" i="62"/>
  <c r="Z45" i="62"/>
  <c r="D20" i="16"/>
  <c r="Q79" i="62" s="1"/>
  <c r="O79" i="62" s="1"/>
  <c r="D19" i="16"/>
  <c r="I79" i="62" s="1"/>
  <c r="G79" i="62" s="1"/>
  <c r="D21" i="16"/>
  <c r="AN79" i="62" s="1"/>
  <c r="AL79" i="62" s="1"/>
  <c r="D18" i="16"/>
  <c r="E79" i="62" s="1"/>
  <c r="D17" i="16"/>
  <c r="AI79" i="62" s="1"/>
  <c r="AG79" i="62" s="1"/>
  <c r="D22" i="16"/>
  <c r="AS79" i="62" s="1"/>
  <c r="AQ79" i="62" s="1"/>
  <c r="V53" i="62"/>
  <c r="AO49" i="62"/>
  <c r="BZ28" i="62"/>
  <c r="Z80" i="62"/>
  <c r="V33" i="62"/>
  <c r="V61" i="62"/>
  <c r="V54" i="62"/>
  <c r="V48" i="62"/>
  <c r="V78" i="62"/>
  <c r="V66" i="62"/>
  <c r="V73" i="62"/>
  <c r="V26" i="62"/>
  <c r="V34" i="62"/>
  <c r="V46" i="62"/>
  <c r="V47" i="62"/>
  <c r="V51" i="62"/>
  <c r="V36" i="62"/>
  <c r="V41" i="62"/>
  <c r="V31" i="62"/>
  <c r="V24" i="62"/>
  <c r="V63" i="62"/>
  <c r="V27" i="62"/>
  <c r="V40" i="62"/>
  <c r="V56" i="62"/>
  <c r="V42" i="62"/>
  <c r="V67" i="62"/>
  <c r="V62" i="62"/>
  <c r="V76" i="62"/>
  <c r="V44" i="62"/>
  <c r="V69" i="62"/>
  <c r="V64" i="62"/>
  <c r="V32" i="62"/>
  <c r="V35" i="62"/>
  <c r="V70" i="62"/>
  <c r="V52" i="62"/>
  <c r="V75" i="62"/>
  <c r="V59" i="62"/>
  <c r="V30" i="62"/>
  <c r="V55" i="62"/>
  <c r="V77" i="62"/>
  <c r="V49" i="62"/>
  <c r="V29" i="62"/>
  <c r="V68" i="62"/>
  <c r="V71" i="62"/>
  <c r="V38" i="62"/>
  <c r="V23" i="62"/>
  <c r="V28" i="62"/>
  <c r="V43" i="62"/>
  <c r="V37" i="62"/>
  <c r="V58" i="62"/>
  <c r="V39" i="62"/>
  <c r="V57" i="62"/>
  <c r="V74" i="62"/>
  <c r="BZ65" i="62"/>
  <c r="BY81" i="62"/>
  <c r="BZ81" i="62" s="1"/>
  <c r="BZ53" i="62"/>
  <c r="V72" i="62"/>
  <c r="Z33" i="62"/>
  <c r="Z73" i="62"/>
  <c r="Z46" i="62"/>
  <c r="Z47" i="62"/>
  <c r="Z78" i="62"/>
  <c r="Z61" i="62"/>
  <c r="Z48" i="62"/>
  <c r="Z34" i="62"/>
  <c r="Z66" i="62"/>
  <c r="Z54" i="62"/>
  <c r="Z79" i="62"/>
  <c r="Z26" i="62"/>
  <c r="Z51" i="62"/>
  <c r="Y82" i="62"/>
  <c r="H10" i="5" s="1"/>
  <c r="Z63" i="62"/>
  <c r="Z68" i="62"/>
  <c r="Z38" i="62"/>
  <c r="Z31" i="62"/>
  <c r="Z49" i="62"/>
  <c r="Z23" i="62"/>
  <c r="Z41" i="62"/>
  <c r="Z40" i="62"/>
  <c r="Z69" i="62"/>
  <c r="Z77" i="62"/>
  <c r="Z29" i="62"/>
  <c r="Z67" i="62"/>
  <c r="Z30" i="62"/>
  <c r="Z36" i="62"/>
  <c r="Z27" i="62"/>
  <c r="Z70" i="62"/>
  <c r="Z44" i="62"/>
  <c r="Z62" i="62"/>
  <c r="Z37" i="62"/>
  <c r="Z35" i="62"/>
  <c r="Z75" i="62"/>
  <c r="Z76" i="62"/>
  <c r="Z39" i="62"/>
  <c r="Z56" i="62"/>
  <c r="Z59" i="62"/>
  <c r="Z24" i="62"/>
  <c r="Z64" i="62"/>
  <c r="Z43" i="62"/>
  <c r="Z28" i="62"/>
  <c r="Z71" i="62"/>
  <c r="Z58" i="62"/>
  <c r="Z42" i="62"/>
  <c r="Z57" i="62"/>
  <c r="Z32" i="62"/>
  <c r="Z55" i="62"/>
  <c r="Z50" i="62"/>
  <c r="Z52" i="62"/>
  <c r="Z74" i="62"/>
  <c r="AO78" i="62"/>
  <c r="AO51" i="62"/>
  <c r="AO38" i="62"/>
  <c r="AO27" i="62"/>
  <c r="AO28" i="62" s="1"/>
  <c r="AO52" i="62"/>
  <c r="AO36" i="62"/>
  <c r="AO24" i="62"/>
  <c r="AO30" i="62"/>
  <c r="AO56" i="62"/>
  <c r="AO40" i="62"/>
  <c r="AO42" i="62"/>
  <c r="AO74" i="62"/>
  <c r="AO77" i="62"/>
  <c r="AO64" i="62"/>
  <c r="AO58" i="62"/>
  <c r="AO35" i="62"/>
  <c r="AO62" i="62"/>
  <c r="AO32" i="62"/>
  <c r="AO75" i="62"/>
  <c r="AO70" i="62"/>
  <c r="AO39" i="62"/>
  <c r="AO31" i="62"/>
  <c r="AO63" i="62"/>
  <c r="AO44" i="62"/>
  <c r="AO59" i="62"/>
  <c r="AO43" i="62"/>
  <c r="AO23" i="62"/>
  <c r="AO68" i="62"/>
  <c r="AO41" i="62"/>
  <c r="AO76" i="62"/>
  <c r="AO55" i="62"/>
  <c r="AO37" i="62"/>
  <c r="AO71" i="62"/>
  <c r="AO57" i="62"/>
  <c r="AO69" i="62"/>
  <c r="AO67" i="62"/>
  <c r="V65" i="62"/>
  <c r="V50" i="62"/>
  <c r="V45" i="62"/>
  <c r="BZ50" i="62"/>
  <c r="BZ61" i="62"/>
  <c r="BZ73" i="62"/>
  <c r="BZ54" i="62"/>
  <c r="BZ66" i="62"/>
  <c r="BZ48" i="62"/>
  <c r="BZ47" i="62"/>
  <c r="BZ26" i="62"/>
  <c r="BZ34" i="62"/>
  <c r="BZ29" i="62"/>
  <c r="BZ51" i="62"/>
  <c r="BZ46" i="62"/>
  <c r="BZ42" i="62"/>
  <c r="BZ43" i="62"/>
  <c r="BZ68" i="62"/>
  <c r="BZ59" i="62"/>
  <c r="BZ55" i="62"/>
  <c r="BZ32" i="62"/>
  <c r="BZ71" i="62"/>
  <c r="BZ27" i="62"/>
  <c r="BZ76" i="62"/>
  <c r="BZ64" i="62"/>
  <c r="BZ38" i="62"/>
  <c r="BZ49" i="62"/>
  <c r="BZ35" i="62"/>
  <c r="BZ31" i="62"/>
  <c r="BZ58" i="62"/>
  <c r="BZ37" i="62"/>
  <c r="BZ63" i="62"/>
  <c r="BZ40" i="62"/>
  <c r="BZ75" i="62"/>
  <c r="BZ36" i="62"/>
  <c r="BZ56" i="62"/>
  <c r="BZ77" i="62"/>
  <c r="BZ41" i="62"/>
  <c r="BZ69" i="62"/>
  <c r="BZ78" i="62"/>
  <c r="BZ70" i="62"/>
  <c r="BZ74" i="62"/>
  <c r="BZ52" i="62"/>
  <c r="BZ23" i="62"/>
  <c r="BZ67" i="62"/>
  <c r="BZ57" i="62"/>
  <c r="BZ79" i="62"/>
  <c r="BZ30" i="62"/>
  <c r="BZ62" i="62"/>
  <c r="BZ39" i="62"/>
  <c r="BZ44" i="62"/>
  <c r="BZ24" i="62"/>
  <c r="V25" i="62"/>
  <c r="U344" i="59"/>
  <c r="U343" i="59"/>
  <c r="U342" i="59"/>
  <c r="U341" i="59"/>
  <c r="U340" i="59"/>
  <c r="U339" i="59"/>
  <c r="U338" i="59"/>
  <c r="U337" i="59"/>
  <c r="U336" i="59"/>
  <c r="U335" i="59"/>
  <c r="U334" i="59"/>
  <c r="U333" i="59"/>
  <c r="U332" i="59"/>
  <c r="U331" i="59"/>
  <c r="U330" i="59"/>
  <c r="U329" i="59"/>
  <c r="U328" i="59"/>
  <c r="U327" i="59"/>
  <c r="U326" i="59"/>
  <c r="U325" i="59"/>
  <c r="U324" i="59"/>
  <c r="U323" i="59"/>
  <c r="U322" i="59"/>
  <c r="U321" i="59"/>
  <c r="U320" i="59"/>
  <c r="U319" i="59"/>
  <c r="U318" i="59"/>
  <c r="U317" i="59"/>
  <c r="U316" i="59"/>
  <c r="U315" i="59"/>
  <c r="U314" i="59"/>
  <c r="U313" i="59"/>
  <c r="U312" i="59"/>
  <c r="U311" i="59"/>
  <c r="U310" i="59"/>
  <c r="U309" i="59"/>
  <c r="U308" i="59"/>
  <c r="U307" i="59"/>
  <c r="U306" i="59"/>
  <c r="U305" i="59"/>
  <c r="U304" i="59"/>
  <c r="U303" i="59"/>
  <c r="U302" i="59"/>
  <c r="U301" i="59"/>
  <c r="U300" i="59"/>
  <c r="U299" i="59"/>
  <c r="U298" i="59"/>
  <c r="U297" i="59"/>
  <c r="U296" i="59"/>
  <c r="U295" i="59"/>
  <c r="U294" i="59"/>
  <c r="U293" i="59"/>
  <c r="U292" i="59"/>
  <c r="U291" i="59"/>
  <c r="U290" i="59"/>
  <c r="U289" i="59"/>
  <c r="U288" i="59"/>
  <c r="U287" i="59"/>
  <c r="U286" i="59"/>
  <c r="U285" i="59"/>
  <c r="U284" i="59"/>
  <c r="U283" i="59"/>
  <c r="U282" i="59"/>
  <c r="U281" i="59"/>
  <c r="U280" i="59"/>
  <c r="U279" i="59"/>
  <c r="U278" i="59"/>
  <c r="U277" i="59"/>
  <c r="U276" i="59"/>
  <c r="U275" i="59"/>
  <c r="U274" i="59"/>
  <c r="U273" i="59"/>
  <c r="U272" i="59"/>
  <c r="U271" i="59"/>
  <c r="U270" i="59"/>
  <c r="U269" i="59"/>
  <c r="U268" i="59"/>
  <c r="U267" i="59"/>
  <c r="U266" i="59"/>
  <c r="Q140" i="62" s="1"/>
  <c r="Q52" i="62" s="1"/>
  <c r="U265" i="59"/>
  <c r="U264" i="59"/>
  <c r="U263" i="59"/>
  <c r="U262" i="59"/>
  <c r="U261" i="59"/>
  <c r="U260" i="59"/>
  <c r="U259" i="59"/>
  <c r="U258" i="59"/>
  <c r="U257" i="59"/>
  <c r="U256" i="59"/>
  <c r="U255" i="59"/>
  <c r="U254" i="59"/>
  <c r="U253" i="59"/>
  <c r="U252" i="59"/>
  <c r="U251" i="59"/>
  <c r="U250" i="59"/>
  <c r="U249" i="59"/>
  <c r="U248" i="59"/>
  <c r="U247" i="59"/>
  <c r="AD79" i="62" l="1"/>
  <c r="AB79" i="62" s="1"/>
  <c r="C79" i="62"/>
  <c r="BO88" i="62"/>
  <c r="BO89" i="62" s="1"/>
  <c r="J17" i="5" s="1"/>
  <c r="H17" i="5"/>
  <c r="AO45" i="62"/>
  <c r="AO25" i="62"/>
  <c r="BY82" i="62"/>
  <c r="H18" i="5" s="1"/>
  <c r="AO60" i="62"/>
  <c r="AO65" i="62"/>
  <c r="Z82" i="62"/>
  <c r="Y88" i="62"/>
  <c r="Y89" i="62" s="1"/>
  <c r="J10" i="5" s="1"/>
  <c r="AO53" i="62"/>
  <c r="AO72" i="62"/>
  <c r="AO33" i="62"/>
  <c r="Q114" i="62"/>
  <c r="Q49" i="62" s="1"/>
  <c r="Q53" i="62" s="1"/>
  <c r="Q25" i="62"/>
  <c r="Q72" i="62"/>
  <c r="Q65" i="62"/>
  <c r="Q28" i="62"/>
  <c r="Q45" i="62"/>
  <c r="Q33" i="62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N9" i="15"/>
  <c r="M9" i="15"/>
  <c r="L9" i="15"/>
  <c r="K9" i="15"/>
  <c r="J9" i="15"/>
  <c r="I9" i="15"/>
  <c r="H9" i="15"/>
  <c r="G9" i="15"/>
  <c r="F9" i="15"/>
  <c r="E9" i="15"/>
  <c r="D9" i="15"/>
  <c r="C9" i="15"/>
  <c r="N8" i="15"/>
  <c r="M8" i="15"/>
  <c r="L8" i="15"/>
  <c r="K8" i="15"/>
  <c r="J8" i="15"/>
  <c r="I8" i="15"/>
  <c r="H8" i="15"/>
  <c r="G8" i="15"/>
  <c r="F8" i="15"/>
  <c r="E8" i="15"/>
  <c r="D8" i="15"/>
  <c r="C8" i="15"/>
  <c r="N7" i="15"/>
  <c r="M7" i="15"/>
  <c r="L7" i="15"/>
  <c r="K7" i="15"/>
  <c r="J7" i="15"/>
  <c r="I7" i="15"/>
  <c r="H7" i="15"/>
  <c r="G7" i="15"/>
  <c r="F7" i="15"/>
  <c r="E7" i="15"/>
  <c r="D7" i="15"/>
  <c r="C7" i="15"/>
  <c r="N6" i="15"/>
  <c r="M6" i="15"/>
  <c r="L6" i="15"/>
  <c r="K6" i="15"/>
  <c r="J6" i="15"/>
  <c r="I6" i="15"/>
  <c r="H6" i="15"/>
  <c r="G6" i="15"/>
  <c r="F6" i="15"/>
  <c r="E6" i="15"/>
  <c r="D6" i="15"/>
  <c r="C6" i="15"/>
  <c r="B17" i="15"/>
  <c r="B16" i="15"/>
  <c r="B14" i="15"/>
  <c r="B13" i="15"/>
  <c r="B12" i="15"/>
  <c r="B11" i="15"/>
  <c r="B10" i="15"/>
  <c r="B9" i="15"/>
  <c r="B8" i="15"/>
  <c r="B7" i="15"/>
  <c r="AO46" i="62" l="1"/>
  <c r="BY88" i="62"/>
  <c r="BY89" i="62" s="1"/>
  <c r="J18" i="5" s="1"/>
  <c r="BZ82" i="62"/>
  <c r="Q60" i="62"/>
  <c r="Q46" i="62"/>
  <c r="R28" i="62" s="1"/>
  <c r="S344" i="59"/>
  <c r="S343" i="59"/>
  <c r="S342" i="59"/>
  <c r="S341" i="59"/>
  <c r="S340" i="59"/>
  <c r="S339" i="59"/>
  <c r="S338" i="59"/>
  <c r="S337" i="59"/>
  <c r="S336" i="59"/>
  <c r="S335" i="59"/>
  <c r="S334" i="59"/>
  <c r="S333" i="59"/>
  <c r="S332" i="59"/>
  <c r="S331" i="59"/>
  <c r="S330" i="59"/>
  <c r="S329" i="59"/>
  <c r="S328" i="59"/>
  <c r="S327" i="59"/>
  <c r="S326" i="59"/>
  <c r="S325" i="59"/>
  <c r="S324" i="59"/>
  <c r="S323" i="59"/>
  <c r="S322" i="59"/>
  <c r="S321" i="59"/>
  <c r="S320" i="59"/>
  <c r="S319" i="59"/>
  <c r="S318" i="59"/>
  <c r="S317" i="59"/>
  <c r="S316" i="59"/>
  <c r="S315" i="59"/>
  <c r="S314" i="59"/>
  <c r="S313" i="59"/>
  <c r="S312" i="59"/>
  <c r="S311" i="59"/>
  <c r="S310" i="59"/>
  <c r="S309" i="59"/>
  <c r="S308" i="59"/>
  <c r="S307" i="59"/>
  <c r="S306" i="59"/>
  <c r="S305" i="59"/>
  <c r="S304" i="59"/>
  <c r="S303" i="59"/>
  <c r="S302" i="59"/>
  <c r="S301" i="59"/>
  <c r="S300" i="59"/>
  <c r="S299" i="59"/>
  <c r="S298" i="59"/>
  <c r="S297" i="59"/>
  <c r="S296" i="59"/>
  <c r="S295" i="59"/>
  <c r="S294" i="59"/>
  <c r="S293" i="59"/>
  <c r="S292" i="59"/>
  <c r="S291" i="59"/>
  <c r="S290" i="59"/>
  <c r="S289" i="59"/>
  <c r="S288" i="59"/>
  <c r="S287" i="59"/>
  <c r="S286" i="59"/>
  <c r="S285" i="59"/>
  <c r="S284" i="59"/>
  <c r="S283" i="59"/>
  <c r="S282" i="59"/>
  <c r="S281" i="59"/>
  <c r="S280" i="59"/>
  <c r="S279" i="59"/>
  <c r="S278" i="59"/>
  <c r="S277" i="59"/>
  <c r="S276" i="59"/>
  <c r="S275" i="59"/>
  <c r="S274" i="59"/>
  <c r="S273" i="59"/>
  <c r="S272" i="59"/>
  <c r="S271" i="59"/>
  <c r="S270" i="59"/>
  <c r="S269" i="59"/>
  <c r="S268" i="59"/>
  <c r="S267" i="59"/>
  <c r="S266" i="59"/>
  <c r="I140" i="62" s="1"/>
  <c r="I52" i="62" s="1"/>
  <c r="S265" i="59"/>
  <c r="S264" i="59"/>
  <c r="S263" i="59"/>
  <c r="S262" i="59"/>
  <c r="S261" i="59"/>
  <c r="S260" i="59"/>
  <c r="S259" i="59"/>
  <c r="S258" i="59"/>
  <c r="S257" i="59"/>
  <c r="S256" i="59"/>
  <c r="S255" i="59"/>
  <c r="S254" i="59"/>
  <c r="S253" i="59"/>
  <c r="S252" i="59"/>
  <c r="S251" i="59"/>
  <c r="S250" i="59"/>
  <c r="S249" i="59"/>
  <c r="S248" i="59"/>
  <c r="S247" i="59"/>
  <c r="R25" i="62" l="1"/>
  <c r="R76" i="62"/>
  <c r="R71" i="62"/>
  <c r="I45" i="62"/>
  <c r="I114" i="62"/>
  <c r="I49" i="62" s="1"/>
  <c r="R46" i="62"/>
  <c r="R75" i="62"/>
  <c r="R36" i="62"/>
  <c r="R61" i="62"/>
  <c r="R43" i="62"/>
  <c r="R51" i="62"/>
  <c r="R29" i="62"/>
  <c r="R37" i="62"/>
  <c r="R48" i="62"/>
  <c r="R50" i="62"/>
  <c r="R47" i="62"/>
  <c r="R26" i="62"/>
  <c r="R30" i="62"/>
  <c r="R34" i="62"/>
  <c r="R67" i="62"/>
  <c r="R41" i="62"/>
  <c r="R42" i="62"/>
  <c r="R78" i="62"/>
  <c r="R73" i="62"/>
  <c r="R68" i="62"/>
  <c r="R24" i="62"/>
  <c r="R38" i="62"/>
  <c r="R32" i="62"/>
  <c r="R66" i="62"/>
  <c r="R54" i="62"/>
  <c r="R23" i="62"/>
  <c r="R52" i="62"/>
  <c r="R59" i="62"/>
  <c r="R27" i="62"/>
  <c r="R62" i="62"/>
  <c r="R69" i="62"/>
  <c r="R40" i="62"/>
  <c r="R39" i="62"/>
  <c r="R56" i="62"/>
  <c r="R35" i="62"/>
  <c r="R63" i="62"/>
  <c r="R77" i="62"/>
  <c r="R57" i="62"/>
  <c r="R31" i="62"/>
  <c r="R64" i="62"/>
  <c r="R44" i="62"/>
  <c r="I25" i="62"/>
  <c r="I65" i="62"/>
  <c r="R53" i="62"/>
  <c r="R33" i="62"/>
  <c r="R58" i="62"/>
  <c r="I28" i="62"/>
  <c r="R45" i="62"/>
  <c r="R55" i="62"/>
  <c r="R70" i="62"/>
  <c r="R60" i="62"/>
  <c r="R74" i="62"/>
  <c r="R49" i="62"/>
  <c r="R65" i="62"/>
  <c r="R72" i="62"/>
  <c r="R344" i="59"/>
  <c r="R343" i="59"/>
  <c r="R342" i="59"/>
  <c r="R341" i="59"/>
  <c r="R340" i="59"/>
  <c r="R339" i="59"/>
  <c r="R338" i="59"/>
  <c r="R337" i="59"/>
  <c r="R336" i="59"/>
  <c r="R335" i="59"/>
  <c r="R334" i="59"/>
  <c r="R333" i="59"/>
  <c r="R332" i="59"/>
  <c r="R331" i="59"/>
  <c r="R330" i="59"/>
  <c r="R329" i="59"/>
  <c r="R328" i="59"/>
  <c r="R327" i="59"/>
  <c r="R326" i="59"/>
  <c r="R325" i="59"/>
  <c r="R324" i="59"/>
  <c r="R323" i="59"/>
  <c r="R322" i="59"/>
  <c r="R321" i="59"/>
  <c r="R320" i="59"/>
  <c r="R319" i="59"/>
  <c r="R318" i="59"/>
  <c r="R317" i="59"/>
  <c r="R316" i="59"/>
  <c r="R315" i="59"/>
  <c r="R314" i="59"/>
  <c r="R313" i="59"/>
  <c r="R312" i="59"/>
  <c r="R311" i="59"/>
  <c r="R310" i="59"/>
  <c r="R309" i="59"/>
  <c r="R308" i="59"/>
  <c r="R307" i="59"/>
  <c r="R306" i="59"/>
  <c r="R305" i="59"/>
  <c r="R304" i="59"/>
  <c r="R303" i="59"/>
  <c r="R302" i="59"/>
  <c r="R301" i="59"/>
  <c r="R300" i="59"/>
  <c r="R299" i="59"/>
  <c r="R298" i="59"/>
  <c r="R297" i="59"/>
  <c r="R296" i="59"/>
  <c r="R295" i="59"/>
  <c r="R294" i="59"/>
  <c r="R293" i="59"/>
  <c r="R292" i="59"/>
  <c r="R291" i="59"/>
  <c r="R290" i="59"/>
  <c r="R289" i="59"/>
  <c r="R288" i="59"/>
  <c r="R287" i="59"/>
  <c r="R286" i="59"/>
  <c r="R285" i="59"/>
  <c r="R284" i="59"/>
  <c r="R283" i="59"/>
  <c r="R282" i="59"/>
  <c r="R281" i="59"/>
  <c r="R280" i="59"/>
  <c r="R279" i="59"/>
  <c r="R278" i="59"/>
  <c r="R277" i="59"/>
  <c r="R276" i="59"/>
  <c r="R275" i="59"/>
  <c r="R274" i="59"/>
  <c r="R273" i="59"/>
  <c r="R272" i="59"/>
  <c r="R271" i="59"/>
  <c r="R270" i="59"/>
  <c r="R269" i="59"/>
  <c r="R268" i="59"/>
  <c r="R267" i="59"/>
  <c r="R266" i="59"/>
  <c r="E140" i="62" s="1"/>
  <c r="E52" i="62" s="1"/>
  <c r="R265" i="59"/>
  <c r="R264" i="59"/>
  <c r="R263" i="59"/>
  <c r="R262" i="59"/>
  <c r="R261" i="59"/>
  <c r="R260" i="59"/>
  <c r="R259" i="59"/>
  <c r="R258" i="59"/>
  <c r="R257" i="59"/>
  <c r="R256" i="59"/>
  <c r="R255" i="59"/>
  <c r="R254" i="59"/>
  <c r="R253" i="59"/>
  <c r="R252" i="59"/>
  <c r="R251" i="59"/>
  <c r="R250" i="59"/>
  <c r="R249" i="59"/>
  <c r="R248" i="59"/>
  <c r="R247" i="59"/>
  <c r="Q344" i="59"/>
  <c r="Q343" i="59"/>
  <c r="Q342" i="59"/>
  <c r="Q341" i="59"/>
  <c r="Q340" i="59"/>
  <c r="Q339" i="59"/>
  <c r="Q338" i="59"/>
  <c r="Q337" i="59"/>
  <c r="Q336" i="59"/>
  <c r="Q335" i="59"/>
  <c r="Q334" i="59"/>
  <c r="Q333" i="59"/>
  <c r="Q332" i="59"/>
  <c r="Q331" i="59"/>
  <c r="Q330" i="59"/>
  <c r="Q329" i="59"/>
  <c r="Q328" i="59"/>
  <c r="Q327" i="59"/>
  <c r="Q326" i="59"/>
  <c r="Q325" i="59"/>
  <c r="Q324" i="59"/>
  <c r="Q323" i="59"/>
  <c r="Q322" i="59"/>
  <c r="Q321" i="59"/>
  <c r="Q320" i="59"/>
  <c r="Q319" i="59"/>
  <c r="Q318" i="59"/>
  <c r="Q317" i="59"/>
  <c r="Q316" i="59"/>
  <c r="Q315" i="59"/>
  <c r="Q314" i="59"/>
  <c r="Q313" i="59"/>
  <c r="Q312" i="59"/>
  <c r="Q311" i="59"/>
  <c r="Q310" i="59"/>
  <c r="Q309" i="59"/>
  <c r="Q308" i="59"/>
  <c r="Q307" i="59"/>
  <c r="Q306" i="59"/>
  <c r="Q305" i="59"/>
  <c r="Q304" i="59"/>
  <c r="Q303" i="59"/>
  <c r="Q302" i="59"/>
  <c r="Q301" i="59"/>
  <c r="Q300" i="59"/>
  <c r="Q299" i="59"/>
  <c r="Q298" i="59"/>
  <c r="Q297" i="59"/>
  <c r="Q296" i="59"/>
  <c r="Q295" i="59"/>
  <c r="Q294" i="59"/>
  <c r="Q293" i="59"/>
  <c r="Q292" i="59"/>
  <c r="Q291" i="59"/>
  <c r="Q290" i="59"/>
  <c r="Q289" i="59"/>
  <c r="Q288" i="59"/>
  <c r="Q287" i="59"/>
  <c r="Q286" i="59"/>
  <c r="Q285" i="59"/>
  <c r="Q284" i="59"/>
  <c r="Q283" i="59"/>
  <c r="Q282" i="59"/>
  <c r="Q281" i="59"/>
  <c r="Q280" i="59"/>
  <c r="Q279" i="59"/>
  <c r="Q278" i="59"/>
  <c r="Q277" i="59"/>
  <c r="Q276" i="59"/>
  <c r="Q275" i="59"/>
  <c r="Q274" i="59"/>
  <c r="Q273" i="59"/>
  <c r="Q272" i="59"/>
  <c r="Q271" i="59"/>
  <c r="Q270" i="59"/>
  <c r="Q269" i="59"/>
  <c r="Q268" i="59"/>
  <c r="Q267" i="59"/>
  <c r="Q266" i="59"/>
  <c r="AI140" i="62" s="1"/>
  <c r="AI52" i="62" s="1"/>
  <c r="Q265" i="59"/>
  <c r="Q264" i="59"/>
  <c r="Q263" i="59"/>
  <c r="Q262" i="59"/>
  <c r="Q261" i="59"/>
  <c r="Q260" i="59"/>
  <c r="Q259" i="59"/>
  <c r="Q258" i="59"/>
  <c r="Q257" i="59"/>
  <c r="Q256" i="59"/>
  <c r="Q255" i="59"/>
  <c r="Q253" i="59"/>
  <c r="Q252" i="59"/>
  <c r="Q251" i="59"/>
  <c r="Q250" i="59"/>
  <c r="Q249" i="59"/>
  <c r="Q248" i="59"/>
  <c r="Q247" i="59"/>
  <c r="E114" i="62" l="1"/>
  <c r="E49" i="62" s="1"/>
  <c r="AD35" i="62"/>
  <c r="E45" i="62"/>
  <c r="AD71" i="62"/>
  <c r="AD31" i="62"/>
  <c r="E33" i="62"/>
  <c r="AD40" i="62"/>
  <c r="AI114" i="62"/>
  <c r="AI49" i="62" s="1"/>
  <c r="AI25" i="62"/>
  <c r="AD55" i="62"/>
  <c r="E60" i="62"/>
  <c r="AD58" i="62"/>
  <c r="AD56" i="62"/>
  <c r="AD57" i="62"/>
  <c r="AD44" i="62"/>
  <c r="I60" i="62"/>
  <c r="AD63" i="62"/>
  <c r="AD69" i="62"/>
  <c r="E72" i="62"/>
  <c r="E25" i="62"/>
  <c r="AD23" i="62"/>
  <c r="I53" i="62"/>
  <c r="E65" i="62"/>
  <c r="AD62" i="62"/>
  <c r="I46" i="62"/>
  <c r="AI28" i="62"/>
  <c r="AD59" i="62"/>
  <c r="AD52" i="62"/>
  <c r="AI45" i="62"/>
  <c r="AI65" i="62"/>
  <c r="AI72" i="62"/>
  <c r="AD64" i="62"/>
  <c r="E28" i="62"/>
  <c r="AD27" i="62"/>
  <c r="I72" i="62"/>
  <c r="AD70" i="62"/>
  <c r="AI33" i="62"/>
  <c r="AD39" i="62"/>
  <c r="P344" i="59"/>
  <c r="P343" i="59"/>
  <c r="P342" i="59"/>
  <c r="P341" i="59"/>
  <c r="P340" i="59"/>
  <c r="P339" i="59"/>
  <c r="P338" i="59"/>
  <c r="P337" i="59"/>
  <c r="P336" i="59"/>
  <c r="P335" i="59"/>
  <c r="P334" i="59"/>
  <c r="P333" i="59"/>
  <c r="P332" i="59"/>
  <c r="P331" i="59"/>
  <c r="P330" i="59"/>
  <c r="P329" i="59"/>
  <c r="P328" i="59"/>
  <c r="P327" i="59"/>
  <c r="P326" i="59"/>
  <c r="P325" i="59"/>
  <c r="P324" i="59"/>
  <c r="P323" i="59"/>
  <c r="P322" i="59"/>
  <c r="P321" i="59"/>
  <c r="P320" i="59"/>
  <c r="P319" i="59"/>
  <c r="P318" i="59"/>
  <c r="P317" i="59"/>
  <c r="P316" i="59"/>
  <c r="P315" i="59"/>
  <c r="P314" i="59"/>
  <c r="P313" i="59"/>
  <c r="P312" i="59"/>
  <c r="P311" i="59"/>
  <c r="P310" i="59"/>
  <c r="P309" i="59"/>
  <c r="P308" i="59"/>
  <c r="P307" i="59"/>
  <c r="P306" i="59"/>
  <c r="P305" i="59"/>
  <c r="P304" i="59"/>
  <c r="P303" i="59"/>
  <c r="P302" i="59"/>
  <c r="P301" i="59"/>
  <c r="P300" i="59"/>
  <c r="P299" i="59"/>
  <c r="P298" i="59"/>
  <c r="P297" i="59"/>
  <c r="P296" i="59"/>
  <c r="P295" i="59"/>
  <c r="P294" i="59"/>
  <c r="P293" i="59"/>
  <c r="P292" i="59"/>
  <c r="P291" i="59"/>
  <c r="P290" i="59"/>
  <c r="P289" i="59"/>
  <c r="P288" i="59"/>
  <c r="P287" i="59"/>
  <c r="P286" i="59"/>
  <c r="P285" i="59"/>
  <c r="P284" i="59"/>
  <c r="P283" i="59"/>
  <c r="P282" i="59"/>
  <c r="P281" i="59"/>
  <c r="P280" i="59"/>
  <c r="P279" i="59"/>
  <c r="P278" i="59"/>
  <c r="P277" i="59"/>
  <c r="P276" i="59"/>
  <c r="P275" i="59"/>
  <c r="P274" i="59"/>
  <c r="P273" i="59"/>
  <c r="P272" i="59"/>
  <c r="P271" i="59"/>
  <c r="P270" i="59"/>
  <c r="P269" i="59"/>
  <c r="P268" i="59"/>
  <c r="P267" i="59"/>
  <c r="P266" i="59"/>
  <c r="AW140" i="62" s="1"/>
  <c r="AW52" i="62" s="1"/>
  <c r="P265" i="59"/>
  <c r="P264" i="59"/>
  <c r="P263" i="59"/>
  <c r="P262" i="59"/>
  <c r="P261" i="59"/>
  <c r="P260" i="59"/>
  <c r="P259" i="59"/>
  <c r="P258" i="59"/>
  <c r="P257" i="59"/>
  <c r="P256" i="59"/>
  <c r="P255" i="59"/>
  <c r="P254" i="59"/>
  <c r="P253" i="59"/>
  <c r="P252" i="59"/>
  <c r="P251" i="59"/>
  <c r="P250" i="59"/>
  <c r="P249" i="59"/>
  <c r="P248" i="59"/>
  <c r="P247" i="59"/>
  <c r="X349" i="59"/>
  <c r="W349" i="59"/>
  <c r="V349" i="59"/>
  <c r="U349" i="59"/>
  <c r="T349" i="59"/>
  <c r="S349" i="59"/>
  <c r="R349" i="59"/>
  <c r="Q349" i="59"/>
  <c r="O349" i="59"/>
  <c r="N349" i="59"/>
  <c r="L349" i="59"/>
  <c r="K349" i="59"/>
  <c r="J349" i="59"/>
  <c r="G349" i="59"/>
  <c r="M344" i="59"/>
  <c r="M343" i="59"/>
  <c r="M342" i="59"/>
  <c r="M341" i="59"/>
  <c r="M340" i="59"/>
  <c r="M339" i="59"/>
  <c r="M338" i="59"/>
  <c r="M337" i="59"/>
  <c r="M336" i="59"/>
  <c r="M335" i="59"/>
  <c r="M334" i="59"/>
  <c r="M333" i="59"/>
  <c r="M332" i="59"/>
  <c r="M331" i="59"/>
  <c r="M330" i="59"/>
  <c r="M329" i="59"/>
  <c r="M328" i="59"/>
  <c r="M327" i="59"/>
  <c r="M326" i="59"/>
  <c r="M325" i="59"/>
  <c r="M324" i="59"/>
  <c r="M323" i="59"/>
  <c r="M322" i="59"/>
  <c r="M321" i="59"/>
  <c r="M320" i="59"/>
  <c r="M319" i="59"/>
  <c r="M318" i="59"/>
  <c r="M317" i="59"/>
  <c r="M316" i="59"/>
  <c r="M315" i="59"/>
  <c r="M314" i="59"/>
  <c r="M313" i="59"/>
  <c r="M312" i="59"/>
  <c r="M311" i="59"/>
  <c r="M310" i="59"/>
  <c r="M309" i="59"/>
  <c r="M308" i="59"/>
  <c r="M307" i="59"/>
  <c r="M306" i="59"/>
  <c r="M305" i="59"/>
  <c r="M304" i="59"/>
  <c r="M303" i="59"/>
  <c r="M302" i="59"/>
  <c r="M301" i="59"/>
  <c r="M300" i="59"/>
  <c r="M299" i="59"/>
  <c r="M298" i="59"/>
  <c r="M297" i="59"/>
  <c r="M296" i="59"/>
  <c r="M295" i="59"/>
  <c r="M294" i="59"/>
  <c r="M293" i="59"/>
  <c r="M292" i="59"/>
  <c r="M291" i="59"/>
  <c r="M290" i="59"/>
  <c r="M289" i="59"/>
  <c r="M288" i="59"/>
  <c r="M287" i="59"/>
  <c r="M286" i="59"/>
  <c r="M285" i="59"/>
  <c r="M284" i="59"/>
  <c r="M283" i="59"/>
  <c r="M282" i="59"/>
  <c r="M281" i="59"/>
  <c r="M280" i="59"/>
  <c r="M279" i="59"/>
  <c r="M278" i="59"/>
  <c r="M277" i="59"/>
  <c r="M276" i="59"/>
  <c r="M275" i="59"/>
  <c r="M274" i="59"/>
  <c r="M273" i="59"/>
  <c r="M272" i="59"/>
  <c r="M271" i="59"/>
  <c r="M270" i="59"/>
  <c r="M269" i="59"/>
  <c r="M268" i="59"/>
  <c r="M267" i="59"/>
  <c r="M266" i="59"/>
  <c r="AS140" i="62" s="1"/>
  <c r="AS52" i="62" s="1"/>
  <c r="M265" i="59"/>
  <c r="M264" i="59"/>
  <c r="M263" i="59"/>
  <c r="M262" i="59"/>
  <c r="M261" i="59"/>
  <c r="M260" i="59"/>
  <c r="M259" i="59"/>
  <c r="M258" i="59"/>
  <c r="M257" i="59"/>
  <c r="M256" i="59"/>
  <c r="M255" i="59"/>
  <c r="M254" i="59"/>
  <c r="M253" i="59"/>
  <c r="M252" i="59"/>
  <c r="M251" i="59"/>
  <c r="M250" i="59"/>
  <c r="M249" i="59"/>
  <c r="AS114" i="62" s="1"/>
  <c r="AS49" i="62" s="1"/>
  <c r="M248" i="59"/>
  <c r="M247" i="59"/>
  <c r="I344" i="59"/>
  <c r="I343" i="59"/>
  <c r="I342" i="59"/>
  <c r="I341" i="59"/>
  <c r="I340" i="59"/>
  <c r="I339" i="59"/>
  <c r="I338" i="59"/>
  <c r="I337" i="59"/>
  <c r="I336" i="59"/>
  <c r="I335" i="59"/>
  <c r="I334" i="59"/>
  <c r="I333" i="59"/>
  <c r="I332" i="59"/>
  <c r="I331" i="59"/>
  <c r="I330" i="59"/>
  <c r="I329" i="59"/>
  <c r="I328" i="59"/>
  <c r="I327" i="59"/>
  <c r="I326" i="59"/>
  <c r="I325" i="59"/>
  <c r="I324" i="59"/>
  <c r="I323" i="59"/>
  <c r="I322" i="59"/>
  <c r="I321" i="59"/>
  <c r="I320" i="59"/>
  <c r="I319" i="59"/>
  <c r="I318" i="59"/>
  <c r="I317" i="59"/>
  <c r="I316" i="59"/>
  <c r="I315" i="59"/>
  <c r="I314" i="59"/>
  <c r="I313" i="59"/>
  <c r="I312" i="59"/>
  <c r="I311" i="59"/>
  <c r="I310" i="59"/>
  <c r="I309" i="59"/>
  <c r="I308" i="59"/>
  <c r="I307" i="59"/>
  <c r="I306" i="59"/>
  <c r="I305" i="59"/>
  <c r="I304" i="59"/>
  <c r="I303" i="59"/>
  <c r="I302" i="59"/>
  <c r="I301" i="59"/>
  <c r="I300" i="59"/>
  <c r="I299" i="59"/>
  <c r="I298" i="59"/>
  <c r="I297" i="59"/>
  <c r="I296" i="59"/>
  <c r="I295" i="59"/>
  <c r="I294" i="59"/>
  <c r="I293" i="59"/>
  <c r="I292" i="59"/>
  <c r="I291" i="59"/>
  <c r="I290" i="59"/>
  <c r="I289" i="59"/>
  <c r="I288" i="59"/>
  <c r="I287" i="59"/>
  <c r="I286" i="59"/>
  <c r="I285" i="59"/>
  <c r="I284" i="59"/>
  <c r="I283" i="59"/>
  <c r="I282" i="59"/>
  <c r="I281" i="59"/>
  <c r="I280" i="59"/>
  <c r="I279" i="59"/>
  <c r="I278" i="59"/>
  <c r="I277" i="59"/>
  <c r="I276" i="59"/>
  <c r="I275" i="59"/>
  <c r="I274" i="59"/>
  <c r="I273" i="59"/>
  <c r="I272" i="59"/>
  <c r="I271" i="59"/>
  <c r="I270" i="59"/>
  <c r="I269" i="59"/>
  <c r="I268" i="59"/>
  <c r="I267" i="59"/>
  <c r="I266" i="59"/>
  <c r="BK140" i="62" s="1"/>
  <c r="BK52" i="62" s="1"/>
  <c r="I265" i="59"/>
  <c r="I264" i="59"/>
  <c r="I263" i="59"/>
  <c r="I262" i="59"/>
  <c r="I261" i="59"/>
  <c r="I260" i="59"/>
  <c r="I259" i="59"/>
  <c r="I258" i="59"/>
  <c r="I257" i="59"/>
  <c r="I256" i="59"/>
  <c r="I255" i="59"/>
  <c r="I254" i="59"/>
  <c r="I253" i="59"/>
  <c r="I252" i="59"/>
  <c r="I251" i="59"/>
  <c r="I250" i="59"/>
  <c r="I249" i="59"/>
  <c r="I248" i="59"/>
  <c r="I247" i="59"/>
  <c r="H344" i="59"/>
  <c r="H343" i="59"/>
  <c r="H342" i="59"/>
  <c r="H341" i="59"/>
  <c r="H340" i="59"/>
  <c r="H339" i="59"/>
  <c r="H338" i="59"/>
  <c r="H337" i="59"/>
  <c r="H336" i="59"/>
  <c r="H335" i="59"/>
  <c r="H334" i="59"/>
  <c r="H333" i="59"/>
  <c r="H332" i="59"/>
  <c r="H331" i="59"/>
  <c r="H330" i="59"/>
  <c r="H329" i="59"/>
  <c r="H328" i="59"/>
  <c r="H327" i="59"/>
  <c r="H326" i="59"/>
  <c r="H325" i="59"/>
  <c r="H324" i="59"/>
  <c r="H323" i="59"/>
  <c r="H322" i="59"/>
  <c r="H321" i="59"/>
  <c r="H320" i="59"/>
  <c r="H319" i="59"/>
  <c r="H318" i="59"/>
  <c r="H317" i="59"/>
  <c r="H316" i="59"/>
  <c r="H315" i="59"/>
  <c r="H314" i="59"/>
  <c r="H313" i="59"/>
  <c r="H312" i="59"/>
  <c r="H311" i="59"/>
  <c r="H310" i="59"/>
  <c r="H309" i="59"/>
  <c r="H308" i="59"/>
  <c r="H307" i="59"/>
  <c r="H306" i="59"/>
  <c r="H305" i="59"/>
  <c r="H304" i="59"/>
  <c r="H303" i="59"/>
  <c r="H302" i="59"/>
  <c r="H301" i="59"/>
  <c r="H300" i="59"/>
  <c r="H299" i="59"/>
  <c r="H298" i="59"/>
  <c r="H297" i="59"/>
  <c r="H296" i="59"/>
  <c r="H295" i="59"/>
  <c r="H294" i="59"/>
  <c r="H293" i="59"/>
  <c r="H292" i="59"/>
  <c r="H291" i="59"/>
  <c r="H290" i="59"/>
  <c r="H289" i="59"/>
  <c r="H288" i="59"/>
  <c r="H287" i="59"/>
  <c r="H286" i="59"/>
  <c r="H285" i="59"/>
  <c r="H284" i="59"/>
  <c r="H283" i="59"/>
  <c r="H282" i="59"/>
  <c r="H281" i="59"/>
  <c r="H280" i="59"/>
  <c r="H279" i="59"/>
  <c r="H278" i="59"/>
  <c r="H277" i="59"/>
  <c r="H276" i="59"/>
  <c r="H275" i="59"/>
  <c r="H274" i="59"/>
  <c r="H273" i="59"/>
  <c r="H272" i="59"/>
  <c r="H271" i="59"/>
  <c r="H270" i="59"/>
  <c r="H269" i="59"/>
  <c r="H268" i="59"/>
  <c r="H267" i="59"/>
  <c r="H266" i="59"/>
  <c r="BG140" i="62" s="1"/>
  <c r="BG52" i="62" s="1"/>
  <c r="H265" i="59"/>
  <c r="H264" i="59"/>
  <c r="H263" i="59"/>
  <c r="H262" i="59"/>
  <c r="H261" i="59"/>
  <c r="H260" i="59"/>
  <c r="H259" i="59"/>
  <c r="H258" i="59"/>
  <c r="H257" i="59"/>
  <c r="H256" i="59"/>
  <c r="H255" i="59"/>
  <c r="H254" i="59"/>
  <c r="H253" i="59"/>
  <c r="H252" i="59"/>
  <c r="H251" i="59"/>
  <c r="H250" i="59"/>
  <c r="H249" i="59"/>
  <c r="H248" i="59"/>
  <c r="H247" i="59"/>
  <c r="AI46" i="62" l="1"/>
  <c r="AJ32" i="62" s="1"/>
  <c r="E53" i="62"/>
  <c r="AD49" i="62"/>
  <c r="BT70" i="62"/>
  <c r="BG45" i="62"/>
  <c r="BT35" i="62"/>
  <c r="BG33" i="62"/>
  <c r="BT31" i="62"/>
  <c r="BG114" i="62"/>
  <c r="BG49" i="62" s="1"/>
  <c r="BT40" i="62"/>
  <c r="BT58" i="62"/>
  <c r="BT57" i="62"/>
  <c r="BT62" i="62"/>
  <c r="BT59" i="62"/>
  <c r="BT52" i="62"/>
  <c r="BG28" i="62"/>
  <c r="BT27" i="62"/>
  <c r="BB63" i="62"/>
  <c r="AS72" i="62"/>
  <c r="BB69" i="62"/>
  <c r="BB23" i="62"/>
  <c r="AS25" i="62"/>
  <c r="AW33" i="62"/>
  <c r="J29" i="62"/>
  <c r="J54" i="62"/>
  <c r="J78" i="62"/>
  <c r="J48" i="62"/>
  <c r="J37" i="62"/>
  <c r="J30" i="62"/>
  <c r="J66" i="62"/>
  <c r="J46" i="62"/>
  <c r="J51" i="62"/>
  <c r="J38" i="62"/>
  <c r="J67" i="62"/>
  <c r="J47" i="62"/>
  <c r="J26" i="62"/>
  <c r="J33" i="62"/>
  <c r="J43" i="62"/>
  <c r="J73" i="62"/>
  <c r="J41" i="62"/>
  <c r="J50" i="62"/>
  <c r="J61" i="62"/>
  <c r="J24" i="62"/>
  <c r="J34" i="62"/>
  <c r="J75" i="62"/>
  <c r="J68" i="62"/>
  <c r="J36" i="62"/>
  <c r="J32" i="62"/>
  <c r="J42" i="62"/>
  <c r="J57" i="62"/>
  <c r="J63" i="62"/>
  <c r="J62" i="62"/>
  <c r="J35" i="62"/>
  <c r="J44" i="62"/>
  <c r="J77" i="62"/>
  <c r="J69" i="62"/>
  <c r="J40" i="62"/>
  <c r="J59" i="62"/>
  <c r="J31" i="62"/>
  <c r="J23" i="62"/>
  <c r="J52" i="62"/>
  <c r="J64" i="62"/>
  <c r="J39" i="62"/>
  <c r="J58" i="62"/>
  <c r="J27" i="62"/>
  <c r="J56" i="62"/>
  <c r="J53" i="62"/>
  <c r="BB62" i="62"/>
  <c r="AW114" i="62"/>
  <c r="AW49" i="62" s="1"/>
  <c r="BB40" i="62"/>
  <c r="J45" i="62"/>
  <c r="AI60" i="62"/>
  <c r="AI53" i="62"/>
  <c r="BT39" i="62"/>
  <c r="BK28" i="62"/>
  <c r="BB59" i="62"/>
  <c r="BB52" i="62"/>
  <c r="AW60" i="62"/>
  <c r="J76" i="62"/>
  <c r="J72" i="62"/>
  <c r="AD25" i="62"/>
  <c r="J55" i="62"/>
  <c r="J65" i="62"/>
  <c r="BB77" i="62"/>
  <c r="J70" i="62"/>
  <c r="J60" i="62"/>
  <c r="AD60" i="62"/>
  <c r="AS65" i="62"/>
  <c r="BB27" i="62"/>
  <c r="AS28" i="62"/>
  <c r="AW72" i="62"/>
  <c r="AW25" i="62"/>
  <c r="AD65" i="62"/>
  <c r="E46" i="62"/>
  <c r="F72" i="62" s="1"/>
  <c r="BK45" i="62"/>
  <c r="BB70" i="62"/>
  <c r="J71" i="62"/>
  <c r="J74" i="62"/>
  <c r="BK33" i="62"/>
  <c r="BB39" i="62"/>
  <c r="AD45" i="62"/>
  <c r="BT44" i="62"/>
  <c r="BK114" i="62"/>
  <c r="BK49" i="62" s="1"/>
  <c r="BB35" i="62"/>
  <c r="AS45" i="62"/>
  <c r="AD72" i="62"/>
  <c r="BT63" i="62"/>
  <c r="BT69" i="62"/>
  <c r="BG72" i="62"/>
  <c r="BT23" i="62"/>
  <c r="BG25" i="62"/>
  <c r="BB31" i="62"/>
  <c r="AS33" i="62"/>
  <c r="AW65" i="62"/>
  <c r="AW28" i="62"/>
  <c r="AD28" i="62"/>
  <c r="AD77" i="62"/>
  <c r="J28" i="62"/>
  <c r="AD33" i="62"/>
  <c r="AS53" i="62"/>
  <c r="AD76" i="62"/>
  <c r="BG80" i="62"/>
  <c r="BT74" i="62"/>
  <c r="BK25" i="62"/>
  <c r="BB55" i="62"/>
  <c r="AS60" i="62"/>
  <c r="J49" i="62"/>
  <c r="BB58" i="62"/>
  <c r="BB56" i="62"/>
  <c r="BB57" i="62"/>
  <c r="BB44" i="62"/>
  <c r="AW45" i="62"/>
  <c r="AJ64" i="62"/>
  <c r="AD74" i="62"/>
  <c r="J25" i="62"/>
  <c r="H349" i="59"/>
  <c r="I349" i="59"/>
  <c r="M349" i="59"/>
  <c r="P349" i="59"/>
  <c r="A199" i="59"/>
  <c r="A198" i="59"/>
  <c r="A187" i="59"/>
  <c r="A186" i="59"/>
  <c r="A244" i="59"/>
  <c r="A243" i="59"/>
  <c r="A242" i="59"/>
  <c r="A241" i="59"/>
  <c r="A240" i="59"/>
  <c r="A239" i="59"/>
  <c r="A238" i="59"/>
  <c r="A237" i="59"/>
  <c r="A233" i="59"/>
  <c r="A232" i="59"/>
  <c r="A231" i="59"/>
  <c r="AJ55" i="62" l="1"/>
  <c r="AJ43" i="62"/>
  <c r="AJ67" i="62"/>
  <c r="AJ27" i="62"/>
  <c r="AJ28" i="62" s="1"/>
  <c r="AJ40" i="62"/>
  <c r="AJ35" i="62"/>
  <c r="AJ68" i="62"/>
  <c r="AJ52" i="62"/>
  <c r="AJ58" i="62"/>
  <c r="AJ75" i="62"/>
  <c r="AJ76" i="62"/>
  <c r="AJ44" i="62"/>
  <c r="AJ42" i="62"/>
  <c r="AJ57" i="62"/>
  <c r="AJ69" i="62"/>
  <c r="AJ59" i="62"/>
  <c r="AJ38" i="62"/>
  <c r="AJ51" i="62"/>
  <c r="AJ37" i="62"/>
  <c r="AJ63" i="62"/>
  <c r="AJ78" i="62"/>
  <c r="AJ70" i="62"/>
  <c r="AJ31" i="62"/>
  <c r="AJ62" i="62"/>
  <c r="AJ36" i="62"/>
  <c r="CG44" i="62"/>
  <c r="AJ50" i="62"/>
  <c r="AJ56" i="62"/>
  <c r="AJ41" i="62"/>
  <c r="AJ30" i="62"/>
  <c r="AJ24" i="62"/>
  <c r="AJ49" i="62"/>
  <c r="CG39" i="62"/>
  <c r="CG27" i="62"/>
  <c r="CG28" i="62" s="1"/>
  <c r="CG63" i="62"/>
  <c r="CG52" i="62"/>
  <c r="BB49" i="62"/>
  <c r="BB53" i="62" s="1"/>
  <c r="CG59" i="62"/>
  <c r="CG57" i="62"/>
  <c r="F45" i="62"/>
  <c r="CG70" i="62"/>
  <c r="CG23" i="62"/>
  <c r="CG25" i="62" s="1"/>
  <c r="F33" i="62"/>
  <c r="F76" i="62"/>
  <c r="CG31" i="62"/>
  <c r="CG33" i="62" s="1"/>
  <c r="F65" i="62"/>
  <c r="F77" i="62"/>
  <c r="F25" i="62"/>
  <c r="AJ74" i="62"/>
  <c r="AJ39" i="62"/>
  <c r="AJ71" i="62"/>
  <c r="AJ23" i="62"/>
  <c r="AJ77" i="62"/>
  <c r="BG60" i="62"/>
  <c r="BT55" i="62"/>
  <c r="BT45" i="62"/>
  <c r="BB28" i="62"/>
  <c r="BK53" i="62"/>
  <c r="BT28" i="62"/>
  <c r="F50" i="62"/>
  <c r="F47" i="62"/>
  <c r="F34" i="62"/>
  <c r="F75" i="62"/>
  <c r="F29" i="62"/>
  <c r="F51" i="62"/>
  <c r="F54" i="62"/>
  <c r="F37" i="62"/>
  <c r="F38" i="62"/>
  <c r="F78" i="62"/>
  <c r="F41" i="62"/>
  <c r="F66" i="62"/>
  <c r="F68" i="62"/>
  <c r="F46" i="62"/>
  <c r="F30" i="62"/>
  <c r="F73" i="62"/>
  <c r="F36" i="62"/>
  <c r="F43" i="62"/>
  <c r="F26" i="62"/>
  <c r="F67" i="62"/>
  <c r="F24" i="62"/>
  <c r="F48" i="62"/>
  <c r="F32" i="62"/>
  <c r="F61" i="62"/>
  <c r="F42" i="62"/>
  <c r="F64" i="62"/>
  <c r="F70" i="62"/>
  <c r="F44" i="62"/>
  <c r="F71" i="62"/>
  <c r="F63" i="62"/>
  <c r="F58" i="62"/>
  <c r="F27" i="62"/>
  <c r="F35" i="62"/>
  <c r="F31" i="62"/>
  <c r="F40" i="62"/>
  <c r="F69" i="62"/>
  <c r="F56" i="62"/>
  <c r="F39" i="62"/>
  <c r="F62" i="62"/>
  <c r="F59" i="62"/>
  <c r="F57" i="62"/>
  <c r="F23" i="62"/>
  <c r="F55" i="62"/>
  <c r="F52" i="62"/>
  <c r="AD46" i="62"/>
  <c r="AE77" i="62" s="1"/>
  <c r="BT64" i="62"/>
  <c r="BG65" i="62"/>
  <c r="BG53" i="62"/>
  <c r="BT49" i="62"/>
  <c r="BB74" i="62"/>
  <c r="BB33" i="62"/>
  <c r="AS46" i="62"/>
  <c r="AT71" i="62" s="1"/>
  <c r="BB76" i="62"/>
  <c r="BT77" i="62"/>
  <c r="CG77" i="62" s="1"/>
  <c r="F49" i="62"/>
  <c r="BB64" i="62"/>
  <c r="BB45" i="62"/>
  <c r="CG45" i="62" s="1"/>
  <c r="BT76" i="62"/>
  <c r="AD53" i="62"/>
  <c r="BB25" i="62"/>
  <c r="BK46" i="62"/>
  <c r="BL76" i="62" s="1"/>
  <c r="BK65" i="62"/>
  <c r="F60" i="62"/>
  <c r="BK80" i="62"/>
  <c r="BT80" i="62" s="1"/>
  <c r="BT33" i="62"/>
  <c r="F53" i="62"/>
  <c r="AW53" i="62"/>
  <c r="BB60" i="62"/>
  <c r="F74" i="62"/>
  <c r="CG58" i="62"/>
  <c r="BK60" i="62"/>
  <c r="AW80" i="62"/>
  <c r="CG62" i="62"/>
  <c r="BT56" i="62"/>
  <c r="BT25" i="62"/>
  <c r="BG46" i="62"/>
  <c r="BH49" i="62" s="1"/>
  <c r="CG40" i="62"/>
  <c r="AW46" i="62"/>
  <c r="AX76" i="62" s="1"/>
  <c r="BB71" i="62"/>
  <c r="CG69" i="62"/>
  <c r="F28" i="62"/>
  <c r="BK72" i="62"/>
  <c r="BT72" i="62" s="1"/>
  <c r="CG35" i="62"/>
  <c r="BT71" i="62"/>
  <c r="AI106" i="60"/>
  <c r="AI105" i="60"/>
  <c r="AJ65" i="62" l="1"/>
  <c r="AJ60" i="62"/>
  <c r="AJ33" i="62"/>
  <c r="AJ72" i="62"/>
  <c r="BL71" i="62"/>
  <c r="AJ53" i="62"/>
  <c r="AJ45" i="62"/>
  <c r="AJ25" i="62"/>
  <c r="AE25" i="62"/>
  <c r="AE65" i="62"/>
  <c r="AE28" i="62"/>
  <c r="AT64" i="62"/>
  <c r="AE72" i="62"/>
  <c r="CG55" i="62"/>
  <c r="BT65" i="62"/>
  <c r="BB46" i="62"/>
  <c r="BC52" i="62" s="1"/>
  <c r="BH55" i="62"/>
  <c r="CG76" i="62"/>
  <c r="AX64" i="62"/>
  <c r="BH71" i="62"/>
  <c r="BK81" i="62"/>
  <c r="BK82" i="62" s="1"/>
  <c r="AX70" i="62"/>
  <c r="BH56" i="62"/>
  <c r="CG56" i="62"/>
  <c r="AT68" i="62"/>
  <c r="AT30" i="62"/>
  <c r="AT75" i="62"/>
  <c r="AT38" i="62"/>
  <c r="AT50" i="62"/>
  <c r="AT43" i="62"/>
  <c r="AT32" i="62"/>
  <c r="AT37" i="62"/>
  <c r="AT41" i="62"/>
  <c r="AT42" i="62"/>
  <c r="AT24" i="62"/>
  <c r="AT51" i="62"/>
  <c r="AT67" i="62"/>
  <c r="AT78" i="62"/>
  <c r="AT36" i="62"/>
  <c r="AT57" i="62"/>
  <c r="AT27" i="62"/>
  <c r="AT28" i="62" s="1"/>
  <c r="AT23" i="62"/>
  <c r="AT58" i="62"/>
  <c r="AT49" i="62"/>
  <c r="AT44" i="62"/>
  <c r="AT31" i="62"/>
  <c r="AT77" i="62"/>
  <c r="AT59" i="62"/>
  <c r="AT70" i="62"/>
  <c r="AT40" i="62"/>
  <c r="AT63" i="62"/>
  <c r="AT35" i="62"/>
  <c r="AT52" i="62"/>
  <c r="AT39" i="62"/>
  <c r="AT55" i="62"/>
  <c r="AT69" i="62"/>
  <c r="AT62" i="62"/>
  <c r="AT56" i="62"/>
  <c r="AE76" i="62"/>
  <c r="BL55" i="62"/>
  <c r="AE60" i="62"/>
  <c r="AE53" i="62"/>
  <c r="AT74" i="62"/>
  <c r="BL32" i="62"/>
  <c r="BL30" i="62"/>
  <c r="BL38" i="62"/>
  <c r="BL50" i="62"/>
  <c r="BL68" i="62"/>
  <c r="BL41" i="62"/>
  <c r="BL67" i="62"/>
  <c r="BL24" i="62"/>
  <c r="BL37" i="62"/>
  <c r="BL42" i="62"/>
  <c r="BL43" i="62"/>
  <c r="BL75" i="62"/>
  <c r="BL51" i="62"/>
  <c r="BL78" i="62"/>
  <c r="BL36" i="62"/>
  <c r="BL79" i="62"/>
  <c r="BL27" i="62"/>
  <c r="BL28" i="62" s="1"/>
  <c r="BL52" i="62"/>
  <c r="BL40" i="62"/>
  <c r="BL56" i="62"/>
  <c r="BL69" i="62"/>
  <c r="BL35" i="62"/>
  <c r="BL57" i="62"/>
  <c r="BL62" i="62"/>
  <c r="BL23" i="62"/>
  <c r="BL77" i="62"/>
  <c r="BL31" i="62"/>
  <c r="BL44" i="62"/>
  <c r="BL39" i="62"/>
  <c r="BL63" i="62"/>
  <c r="BL59" i="62"/>
  <c r="BL58" i="62"/>
  <c r="AW81" i="62"/>
  <c r="AW82" i="62" s="1"/>
  <c r="CG71" i="62"/>
  <c r="CG72" i="62" s="1"/>
  <c r="BH75" i="62"/>
  <c r="BH51" i="62"/>
  <c r="BH78" i="62"/>
  <c r="BH36" i="62"/>
  <c r="BH50" i="62"/>
  <c r="BH42" i="62"/>
  <c r="BH30" i="62"/>
  <c r="BH43" i="62"/>
  <c r="BH41" i="62"/>
  <c r="BH79" i="62"/>
  <c r="BH37" i="62"/>
  <c r="BH68" i="62"/>
  <c r="BH24" i="62"/>
  <c r="BH32" i="62"/>
  <c r="BH38" i="62"/>
  <c r="BT46" i="62"/>
  <c r="BU80" i="62" s="1"/>
  <c r="BH67" i="62"/>
  <c r="BH58" i="62"/>
  <c r="BH23" i="62"/>
  <c r="BH35" i="62"/>
  <c r="BH44" i="62"/>
  <c r="BH52" i="62"/>
  <c r="BH59" i="62"/>
  <c r="BH70" i="62"/>
  <c r="BH31" i="62"/>
  <c r="BH57" i="62"/>
  <c r="BH63" i="62"/>
  <c r="BH40" i="62"/>
  <c r="BH62" i="62"/>
  <c r="BH39" i="62"/>
  <c r="BH69" i="62"/>
  <c r="BH74" i="62"/>
  <c r="BH27" i="62"/>
  <c r="BH28" i="62" s="1"/>
  <c r="AE49" i="62"/>
  <c r="BG81" i="62"/>
  <c r="BG82" i="62" s="1"/>
  <c r="H15" i="5" s="1"/>
  <c r="BT53" i="62"/>
  <c r="BL64" i="62"/>
  <c r="CG64" i="62"/>
  <c r="CG65" i="62" s="1"/>
  <c r="CG49" i="62"/>
  <c r="BH64" i="62"/>
  <c r="BB72" i="62"/>
  <c r="CG46" i="62"/>
  <c r="CH40" i="62" s="1"/>
  <c r="BT60" i="62"/>
  <c r="CG74" i="62"/>
  <c r="AT76" i="62"/>
  <c r="AE50" i="62"/>
  <c r="AE47" i="62"/>
  <c r="AE68" i="62"/>
  <c r="AE43" i="62"/>
  <c r="AE26" i="62"/>
  <c r="AE36" i="62"/>
  <c r="AE75" i="62"/>
  <c r="AE51" i="62"/>
  <c r="AE24" i="62"/>
  <c r="AE61" i="62"/>
  <c r="AE37" i="62"/>
  <c r="AE41" i="62"/>
  <c r="AE54" i="62"/>
  <c r="AE67" i="62"/>
  <c r="AE46" i="62"/>
  <c r="AE32" i="62"/>
  <c r="AE29" i="62"/>
  <c r="AE73" i="62"/>
  <c r="AE38" i="62"/>
  <c r="AE78" i="62"/>
  <c r="AE66" i="62"/>
  <c r="AE34" i="62"/>
  <c r="AE30" i="62"/>
  <c r="AE42" i="62"/>
  <c r="AE48" i="62"/>
  <c r="AE57" i="62"/>
  <c r="AE59" i="62"/>
  <c r="AE39" i="62"/>
  <c r="AE56" i="62"/>
  <c r="AE35" i="62"/>
  <c r="AE63" i="62"/>
  <c r="AE44" i="62"/>
  <c r="AE69" i="62"/>
  <c r="AE27" i="62"/>
  <c r="AE58" i="62"/>
  <c r="AE31" i="62"/>
  <c r="AE52" i="62"/>
  <c r="AE71" i="62"/>
  <c r="AE55" i="62"/>
  <c r="AE62" i="62"/>
  <c r="AE64" i="62"/>
  <c r="AE70" i="62"/>
  <c r="AE23" i="62"/>
  <c r="AE40" i="62"/>
  <c r="AE74" i="62"/>
  <c r="BL70" i="62"/>
  <c r="AE33" i="62"/>
  <c r="BL74" i="62"/>
  <c r="BH77" i="62"/>
  <c r="BB65" i="62"/>
  <c r="AX52" i="62"/>
  <c r="AX32" i="62"/>
  <c r="AX36" i="62"/>
  <c r="AX51" i="62"/>
  <c r="AX75" i="62"/>
  <c r="AX38" i="62"/>
  <c r="AX67" i="62"/>
  <c r="AX42" i="62"/>
  <c r="AX50" i="62"/>
  <c r="AX43" i="62"/>
  <c r="AX79" i="62"/>
  <c r="AX78" i="62"/>
  <c r="AX41" i="62"/>
  <c r="AX30" i="62"/>
  <c r="AX68" i="62"/>
  <c r="AX24" i="62"/>
  <c r="AX37" i="62"/>
  <c r="AX40" i="62"/>
  <c r="AX57" i="62"/>
  <c r="AX63" i="62"/>
  <c r="AX23" i="62"/>
  <c r="AX62" i="62"/>
  <c r="AX74" i="62"/>
  <c r="AX44" i="62"/>
  <c r="AX35" i="62"/>
  <c r="AX59" i="62"/>
  <c r="AX27" i="62"/>
  <c r="AX28" i="62" s="1"/>
  <c r="AX39" i="62"/>
  <c r="AX69" i="62"/>
  <c r="AX56" i="62"/>
  <c r="AX31" i="62"/>
  <c r="AX77" i="62"/>
  <c r="AX58" i="62"/>
  <c r="AX55" i="62"/>
  <c r="AX49" i="62"/>
  <c r="AX71" i="62"/>
  <c r="AE45" i="62"/>
  <c r="BH76" i="62"/>
  <c r="BL49" i="62"/>
  <c r="BO139" i="60"/>
  <c r="BO135" i="60"/>
  <c r="BO131" i="60"/>
  <c r="BO130" i="60"/>
  <c r="BK128" i="60"/>
  <c r="BO127" i="60"/>
  <c r="BK127" i="60"/>
  <c r="C21" i="5"/>
  <c r="AJ46" i="62" l="1"/>
  <c r="BC49" i="62"/>
  <c r="BC37" i="62"/>
  <c r="BC32" i="62"/>
  <c r="BC50" i="62"/>
  <c r="BC78" i="62"/>
  <c r="BC44" i="62"/>
  <c r="BC58" i="62"/>
  <c r="BC70" i="62"/>
  <c r="BC69" i="62"/>
  <c r="BC55" i="62"/>
  <c r="BC62" i="62"/>
  <c r="BC27" i="62"/>
  <c r="BC28" i="62" s="1"/>
  <c r="CG60" i="62"/>
  <c r="CH60" i="62" s="1"/>
  <c r="BC35" i="62"/>
  <c r="BC57" i="62"/>
  <c r="BC71" i="62"/>
  <c r="BC23" i="62"/>
  <c r="BC38" i="62"/>
  <c r="BC77" i="62"/>
  <c r="BC68" i="62"/>
  <c r="CH25" i="62"/>
  <c r="CH58" i="62"/>
  <c r="BC59" i="62"/>
  <c r="BC56" i="62"/>
  <c r="BC67" i="62"/>
  <c r="BC31" i="62"/>
  <c r="BC41" i="62"/>
  <c r="BC51" i="62"/>
  <c r="CH65" i="62"/>
  <c r="BC42" i="62"/>
  <c r="BC74" i="62"/>
  <c r="BC24" i="62"/>
  <c r="BC39" i="62"/>
  <c r="AW88" i="62"/>
  <c r="AW89" i="62" s="1"/>
  <c r="J14" i="5" s="1"/>
  <c r="H14" i="5"/>
  <c r="BK88" i="62"/>
  <c r="BK89" i="62" s="1"/>
  <c r="J16" i="5" s="1"/>
  <c r="H16" i="5"/>
  <c r="CH62" i="62"/>
  <c r="BC75" i="62"/>
  <c r="BC36" i="62"/>
  <c r="BC63" i="62"/>
  <c r="AX72" i="62"/>
  <c r="BH65" i="62"/>
  <c r="BH53" i="62"/>
  <c r="AT33" i="62"/>
  <c r="BC76" i="62"/>
  <c r="CH28" i="62"/>
  <c r="BC40" i="62"/>
  <c r="BC64" i="62"/>
  <c r="BC30" i="62"/>
  <c r="BC43" i="62"/>
  <c r="CH55" i="62"/>
  <c r="CH72" i="62"/>
  <c r="BH60" i="62"/>
  <c r="CH76" i="62"/>
  <c r="BL80" i="62"/>
  <c r="AX45" i="62"/>
  <c r="CH71" i="62"/>
  <c r="CH33" i="62"/>
  <c r="AX80" i="62"/>
  <c r="CH45" i="62"/>
  <c r="BH72" i="62"/>
  <c r="CH35" i="62"/>
  <c r="BT81" i="62"/>
  <c r="BU81" i="62" s="1"/>
  <c r="BL45" i="62"/>
  <c r="BL60" i="62"/>
  <c r="BU56" i="62"/>
  <c r="BU77" i="62"/>
  <c r="CH69" i="62"/>
  <c r="AX25" i="62"/>
  <c r="CH77" i="62"/>
  <c r="CH74" i="62"/>
  <c r="BU55" i="62"/>
  <c r="AX60" i="62"/>
  <c r="AX65" i="62"/>
  <c r="AT72" i="62"/>
  <c r="BU41" i="62"/>
  <c r="BU47" i="62"/>
  <c r="BU79" i="62"/>
  <c r="BU32" i="62"/>
  <c r="BU61" i="62"/>
  <c r="BU36" i="62"/>
  <c r="BU73" i="62"/>
  <c r="BU29" i="62"/>
  <c r="BU46" i="62"/>
  <c r="BU75" i="62"/>
  <c r="BU24" i="62"/>
  <c r="BU66" i="62"/>
  <c r="BU50" i="62"/>
  <c r="BU43" i="62"/>
  <c r="BU54" i="62"/>
  <c r="BU78" i="62"/>
  <c r="BU37" i="62"/>
  <c r="BU51" i="62"/>
  <c r="BU38" i="62"/>
  <c r="BU42" i="62"/>
  <c r="BU48" i="62"/>
  <c r="BU67" i="62"/>
  <c r="BU34" i="62"/>
  <c r="BU26" i="62"/>
  <c r="BU30" i="62"/>
  <c r="BU68" i="62"/>
  <c r="BU70" i="62"/>
  <c r="BU69" i="62"/>
  <c r="BU52" i="62"/>
  <c r="BU40" i="62"/>
  <c r="BU63" i="62"/>
  <c r="BU23" i="62"/>
  <c r="BU27" i="62"/>
  <c r="BU44" i="62"/>
  <c r="BU57" i="62"/>
  <c r="BU39" i="62"/>
  <c r="BU59" i="62"/>
  <c r="BU31" i="62"/>
  <c r="BU62" i="62"/>
  <c r="BU74" i="62"/>
  <c r="BU58" i="62"/>
  <c r="BU35" i="62"/>
  <c r="BL72" i="62"/>
  <c r="BU60" i="62"/>
  <c r="AT65" i="62"/>
  <c r="BU64" i="62"/>
  <c r="CG53" i="62"/>
  <c r="CH49" i="62"/>
  <c r="BU28" i="62"/>
  <c r="AT53" i="62"/>
  <c r="AT60" i="62"/>
  <c r="BU72" i="62"/>
  <c r="BU33" i="62"/>
  <c r="BU53" i="62"/>
  <c r="CH51" i="62"/>
  <c r="CH73" i="62"/>
  <c r="CH38" i="62"/>
  <c r="CH42" i="62"/>
  <c r="CH50" i="62"/>
  <c r="CH46" i="62"/>
  <c r="CH43" i="62"/>
  <c r="CH66" i="62"/>
  <c r="CH30" i="62"/>
  <c r="CH24" i="62"/>
  <c r="CH34" i="62"/>
  <c r="CH54" i="62"/>
  <c r="CH61" i="62"/>
  <c r="CH47" i="62"/>
  <c r="CH29" i="62"/>
  <c r="CH78" i="62"/>
  <c r="CH36" i="62"/>
  <c r="CH48" i="62"/>
  <c r="CH41" i="62"/>
  <c r="CH67" i="62"/>
  <c r="CH32" i="62"/>
  <c r="CH26" i="62"/>
  <c r="CH37" i="62"/>
  <c r="CH68" i="62"/>
  <c r="CH75" i="62"/>
  <c r="CH52" i="62"/>
  <c r="CH70" i="62"/>
  <c r="CH63" i="62"/>
  <c r="CH59" i="62"/>
  <c r="CH39" i="62"/>
  <c r="CH23" i="62"/>
  <c r="CH57" i="62"/>
  <c r="CH44" i="62"/>
  <c r="CH27" i="62"/>
  <c r="CH31" i="62"/>
  <c r="BU45" i="62"/>
  <c r="BH80" i="62"/>
  <c r="BH45" i="62"/>
  <c r="BL25" i="62"/>
  <c r="BL33" i="62"/>
  <c r="AT25" i="62"/>
  <c r="AX33" i="62"/>
  <c r="BL53" i="62"/>
  <c r="BU76" i="62"/>
  <c r="BH25" i="62"/>
  <c r="BL65" i="62"/>
  <c r="BU25" i="62"/>
  <c r="BU71" i="62"/>
  <c r="BT82" i="62"/>
  <c r="BU82" i="62" s="1"/>
  <c r="BG88" i="62"/>
  <c r="AX53" i="62"/>
  <c r="BU65" i="62"/>
  <c r="CH64" i="62"/>
  <c r="BU49" i="62"/>
  <c r="BH33" i="62"/>
  <c r="AT45" i="62"/>
  <c r="CH56" i="62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361" i="59"/>
  <c r="S360" i="59"/>
  <c r="S359" i="59"/>
  <c r="S358" i="59"/>
  <c r="S357" i="59"/>
  <c r="S356" i="59"/>
  <c r="S245" i="6"/>
  <c r="BC53" i="62" l="1"/>
  <c r="BC60" i="62"/>
  <c r="BC33" i="62"/>
  <c r="BC72" i="62"/>
  <c r="BC25" i="62"/>
  <c r="AX81" i="62"/>
  <c r="AX82" i="62" s="1"/>
  <c r="BC65" i="62"/>
  <c r="BC45" i="62"/>
  <c r="AX46" i="62"/>
  <c r="BH46" i="62"/>
  <c r="AT46" i="62"/>
  <c r="BL81" i="62"/>
  <c r="BL46" i="62"/>
  <c r="BH81" i="62"/>
  <c r="BT88" i="62"/>
  <c r="BG89" i="62"/>
  <c r="CH53" i="62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Q365" i="6"/>
  <c r="Q364" i="6"/>
  <c r="Q363" i="6"/>
  <c r="Q362" i="6"/>
  <c r="Q361" i="6"/>
  <c r="Q360" i="6"/>
  <c r="Q359" i="6"/>
  <c r="Q358" i="6"/>
  <c r="Q357" i="6"/>
  <c r="Q356" i="6"/>
  <c r="Q355" i="6"/>
  <c r="Q354" i="6"/>
  <c r="Q353" i="6"/>
  <c r="Q352" i="6"/>
  <c r="Q351" i="6"/>
  <c r="Q350" i="6"/>
  <c r="Q349" i="6"/>
  <c r="Q348" i="6"/>
  <c r="Q347" i="6"/>
  <c r="Q346" i="6"/>
  <c r="Q345" i="6"/>
  <c r="Q344" i="6"/>
  <c r="Q343" i="6"/>
  <c r="Q342" i="6"/>
  <c r="Q341" i="6"/>
  <c r="Q340" i="6"/>
  <c r="Q339" i="6"/>
  <c r="Q338" i="6"/>
  <c r="Q337" i="6"/>
  <c r="Q336" i="6"/>
  <c r="Q335" i="6"/>
  <c r="Q334" i="6"/>
  <c r="Q333" i="6"/>
  <c r="Q332" i="6"/>
  <c r="Q331" i="6"/>
  <c r="Q330" i="6"/>
  <c r="Q329" i="6"/>
  <c r="Q328" i="6"/>
  <c r="Q327" i="6"/>
  <c r="Q326" i="6"/>
  <c r="Q325" i="6"/>
  <c r="Q324" i="6"/>
  <c r="Q323" i="6"/>
  <c r="Q322" i="6"/>
  <c r="Q321" i="6"/>
  <c r="Q320" i="6"/>
  <c r="Q319" i="6"/>
  <c r="Q318" i="6"/>
  <c r="Q317" i="6"/>
  <c r="Q316" i="6"/>
  <c r="Q315" i="6"/>
  <c r="Q314" i="6"/>
  <c r="Q313" i="6"/>
  <c r="Q312" i="6"/>
  <c r="Q311" i="6"/>
  <c r="Q310" i="6"/>
  <c r="Q309" i="6"/>
  <c r="Q308" i="6"/>
  <c r="Q307" i="6"/>
  <c r="Q306" i="6"/>
  <c r="Q305" i="6"/>
  <c r="Q304" i="6"/>
  <c r="Q303" i="6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64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247" i="6"/>
  <c r="Q246" i="6"/>
  <c r="Q361" i="59"/>
  <c r="Q360" i="59"/>
  <c r="Q359" i="59"/>
  <c r="Q358" i="59"/>
  <c r="Q357" i="59"/>
  <c r="Q356" i="59"/>
  <c r="Q245" i="6"/>
  <c r="BC46" i="62" l="1"/>
  <c r="BH82" i="62"/>
  <c r="BT89" i="62"/>
  <c r="J15" i="5"/>
  <c r="BL82" i="62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357" i="59"/>
  <c r="P356" i="59"/>
  <c r="P245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A344" i="59" l="1"/>
  <c r="A343" i="59"/>
  <c r="A342" i="59"/>
  <c r="A341" i="59"/>
  <c r="A340" i="59"/>
  <c r="A339" i="59"/>
  <c r="A337" i="59"/>
  <c r="A336" i="59"/>
  <c r="A335" i="59"/>
  <c r="A334" i="59"/>
  <c r="A333" i="59"/>
  <c r="A332" i="59"/>
  <c r="A331" i="59"/>
  <c r="A330" i="59"/>
  <c r="A329" i="59"/>
  <c r="A328" i="59"/>
  <c r="A326" i="59"/>
  <c r="A325" i="59"/>
  <c r="A324" i="59"/>
  <c r="A323" i="59"/>
  <c r="A322" i="59"/>
  <c r="A321" i="59"/>
  <c r="A320" i="59"/>
  <c r="A319" i="59"/>
  <c r="A318" i="59"/>
  <c r="A317" i="59"/>
  <c r="A316" i="59"/>
  <c r="A315" i="59"/>
  <c r="A314" i="59"/>
  <c r="A313" i="59"/>
  <c r="A312" i="59"/>
  <c r="A311" i="59"/>
  <c r="A310" i="59"/>
  <c r="A309" i="59"/>
  <c r="A308" i="59"/>
  <c r="A307" i="59"/>
  <c r="A306" i="59"/>
  <c r="A305" i="59"/>
  <c r="A304" i="59"/>
  <c r="A302" i="59"/>
  <c r="A301" i="59"/>
  <c r="A300" i="59"/>
  <c r="A299" i="59"/>
  <c r="A298" i="59"/>
  <c r="A297" i="59"/>
  <c r="A296" i="59"/>
  <c r="A295" i="59"/>
  <c r="A294" i="59"/>
  <c r="A293" i="59"/>
  <c r="A292" i="59"/>
  <c r="A291" i="59"/>
  <c r="A290" i="59"/>
  <c r="A289" i="59"/>
  <c r="A288" i="59"/>
  <c r="A287" i="59"/>
  <c r="A286" i="59"/>
  <c r="A285" i="59"/>
  <c r="A284" i="59"/>
  <c r="A283" i="59"/>
  <c r="A282" i="59"/>
  <c r="A281" i="59"/>
  <c r="A280" i="59"/>
  <c r="A279" i="59"/>
  <c r="A278" i="59"/>
  <c r="A277" i="59"/>
  <c r="A276" i="59"/>
  <c r="A275" i="59"/>
  <c r="A274" i="59"/>
  <c r="A273" i="59"/>
  <c r="A272" i="59"/>
  <c r="A271" i="59"/>
  <c r="A270" i="59"/>
  <c r="A269" i="59"/>
  <c r="A268" i="59"/>
  <c r="A267" i="59"/>
  <c r="A266" i="59"/>
  <c r="A265" i="59"/>
  <c r="A264" i="59"/>
  <c r="A263" i="59"/>
  <c r="A262" i="59"/>
  <c r="A261" i="59"/>
  <c r="A260" i="59"/>
  <c r="A259" i="59"/>
  <c r="A258" i="59"/>
  <c r="A257" i="59"/>
  <c r="A256" i="59"/>
  <c r="A255" i="59"/>
  <c r="A254" i="59"/>
  <c r="A253" i="59"/>
  <c r="A252" i="59"/>
  <c r="A251" i="59"/>
  <c r="A250" i="59"/>
  <c r="A249" i="59"/>
  <c r="A248" i="59"/>
  <c r="A247" i="59"/>
  <c r="BQ25" i="60" l="1"/>
  <c r="BQ28" i="60"/>
  <c r="BQ49" i="60"/>
  <c r="BQ50" i="60"/>
  <c r="BQ53" i="60"/>
  <c r="BQ63" i="60"/>
  <c r="BQ65" i="60" s="1"/>
  <c r="BQ114" i="60"/>
  <c r="BQ124" i="60"/>
  <c r="BQ132" i="60"/>
  <c r="BQ140" i="60"/>
  <c r="BQ81" i="60" l="1"/>
  <c r="BQ46" i="60"/>
  <c r="BQ82" i="60"/>
  <c r="BQ88" i="60" l="1"/>
  <c r="CB24" i="60"/>
  <c r="CB39" i="60"/>
  <c r="CB27" i="60"/>
  <c r="CB28" i="60" s="1"/>
  <c r="CB23" i="60"/>
  <c r="M403" i="59"/>
  <c r="M402" i="59"/>
  <c r="M401" i="59"/>
  <c r="M400" i="59"/>
  <c r="M399" i="59"/>
  <c r="M398" i="59"/>
  <c r="M397" i="59"/>
  <c r="M396" i="59"/>
  <c r="M395" i="59"/>
  <c r="M394" i="59"/>
  <c r="M393" i="59"/>
  <c r="M392" i="59"/>
  <c r="M391" i="59"/>
  <c r="M390" i="59"/>
  <c r="M389" i="59"/>
  <c r="M388" i="59"/>
  <c r="M387" i="59"/>
  <c r="M386" i="59"/>
  <c r="M385" i="59"/>
  <c r="M384" i="59"/>
  <c r="M383" i="59"/>
  <c r="M382" i="59"/>
  <c r="M381" i="59"/>
  <c r="M380" i="59"/>
  <c r="M379" i="59"/>
  <c r="M378" i="59"/>
  <c r="M377" i="59"/>
  <c r="M376" i="59"/>
  <c r="M375" i="59"/>
  <c r="M374" i="59"/>
  <c r="M373" i="59"/>
  <c r="M372" i="59"/>
  <c r="M371" i="59"/>
  <c r="M370" i="59"/>
  <c r="M369" i="59"/>
  <c r="M368" i="59"/>
  <c r="M367" i="59"/>
  <c r="M366" i="59"/>
  <c r="BK139" i="60"/>
  <c r="BG139" i="60"/>
  <c r="AW139" i="60"/>
  <c r="AS139" i="60"/>
  <c r="AN139" i="60"/>
  <c r="AI139" i="60"/>
  <c r="I139" i="60"/>
  <c r="E139" i="60"/>
  <c r="BK131" i="60"/>
  <c r="BK130" i="60"/>
  <c r="BG131" i="60"/>
  <c r="BG130" i="60"/>
  <c r="AW131" i="60"/>
  <c r="AW130" i="60"/>
  <c r="AS131" i="60"/>
  <c r="AS130" i="60"/>
  <c r="AN131" i="60"/>
  <c r="AN130" i="60"/>
  <c r="AI131" i="60"/>
  <c r="AI130" i="60"/>
  <c r="Q131" i="60"/>
  <c r="Q130" i="60"/>
  <c r="I131" i="60"/>
  <c r="I130" i="60"/>
  <c r="E131" i="60"/>
  <c r="E130" i="60"/>
  <c r="BO113" i="60"/>
  <c r="BO112" i="60"/>
  <c r="BK113" i="60"/>
  <c r="BK112" i="60"/>
  <c r="BG113" i="60"/>
  <c r="BG112" i="60"/>
  <c r="AW113" i="60"/>
  <c r="AW112" i="60"/>
  <c r="AS113" i="60"/>
  <c r="AS112" i="60"/>
  <c r="AN113" i="60"/>
  <c r="AN112" i="60"/>
  <c r="AI113" i="60" l="1"/>
  <c r="AI112" i="60"/>
  <c r="Q113" i="60"/>
  <c r="Q112" i="60"/>
  <c r="I113" i="60"/>
  <c r="I112" i="60"/>
  <c r="E113" i="60"/>
  <c r="E112" i="60"/>
  <c r="CB87" i="60"/>
  <c r="CB86" i="60"/>
  <c r="CB85" i="60"/>
  <c r="CB84" i="60"/>
  <c r="BE87" i="60"/>
  <c r="BE85" i="60"/>
  <c r="BE84" i="60"/>
  <c r="I120" i="60"/>
  <c r="CB77" i="60"/>
  <c r="CB75" i="60"/>
  <c r="CB74" i="60"/>
  <c r="CB71" i="60"/>
  <c r="CB70" i="60"/>
  <c r="CB69" i="60"/>
  <c r="CB68" i="60"/>
  <c r="CB67" i="60"/>
  <c r="CB64" i="60"/>
  <c r="CB59" i="60"/>
  <c r="CB58" i="60"/>
  <c r="CB57" i="60"/>
  <c r="CB56" i="60"/>
  <c r="CB55" i="60"/>
  <c r="CB51" i="60"/>
  <c r="CB50" i="60"/>
  <c r="CB44" i="60"/>
  <c r="CB43" i="60"/>
  <c r="CB42" i="60"/>
  <c r="CB41" i="60"/>
  <c r="CB40" i="60"/>
  <c r="CB38" i="60"/>
  <c r="CB37" i="60"/>
  <c r="CB36" i="60"/>
  <c r="CB35" i="60"/>
  <c r="CB32" i="60"/>
  <c r="CB31" i="60"/>
  <c r="CB30" i="60"/>
  <c r="CB25" i="60"/>
  <c r="CB72" i="60" l="1"/>
  <c r="CB45" i="60"/>
  <c r="CB60" i="60"/>
  <c r="CB33" i="60"/>
  <c r="U410" i="59"/>
  <c r="U409" i="59"/>
  <c r="U408" i="59"/>
  <c r="U407" i="59"/>
  <c r="U406" i="59"/>
  <c r="U405" i="59"/>
  <c r="U404" i="59"/>
  <c r="U403" i="59"/>
  <c r="U402" i="59"/>
  <c r="U401" i="59"/>
  <c r="U400" i="59"/>
  <c r="U399" i="59"/>
  <c r="U398" i="59"/>
  <c r="U397" i="59"/>
  <c r="U396" i="59"/>
  <c r="U395" i="59"/>
  <c r="U394" i="59"/>
  <c r="U393" i="59"/>
  <c r="U392" i="59"/>
  <c r="U391" i="59"/>
  <c r="U390" i="59"/>
  <c r="U389" i="59"/>
  <c r="U388" i="59"/>
  <c r="U387" i="59"/>
  <c r="U386" i="59"/>
  <c r="U385" i="59"/>
  <c r="U384" i="59"/>
  <c r="U383" i="59"/>
  <c r="U382" i="59"/>
  <c r="U381" i="59"/>
  <c r="U380" i="59"/>
  <c r="U379" i="59"/>
  <c r="U378" i="59"/>
  <c r="U377" i="59"/>
  <c r="U376" i="59"/>
  <c r="U375" i="59"/>
  <c r="U374" i="59"/>
  <c r="U373" i="59"/>
  <c r="U372" i="59"/>
  <c r="U371" i="59"/>
  <c r="U370" i="59"/>
  <c r="U369" i="59"/>
  <c r="U368" i="59"/>
  <c r="U367" i="59"/>
  <c r="U366" i="59"/>
  <c r="CB46" i="60" l="1"/>
  <c r="S410" i="59"/>
  <c r="S409" i="59"/>
  <c r="S408" i="59"/>
  <c r="S407" i="59"/>
  <c r="S406" i="59"/>
  <c r="S405" i="59"/>
  <c r="S404" i="59"/>
  <c r="S403" i="59"/>
  <c r="S402" i="59"/>
  <c r="S401" i="59"/>
  <c r="S400" i="59"/>
  <c r="S399" i="59"/>
  <c r="S398" i="59"/>
  <c r="S397" i="59"/>
  <c r="S396" i="59"/>
  <c r="S395" i="59"/>
  <c r="S394" i="59"/>
  <c r="S393" i="59"/>
  <c r="S392" i="59"/>
  <c r="S391" i="59"/>
  <c r="S390" i="59"/>
  <c r="S389" i="59"/>
  <c r="S388" i="59"/>
  <c r="S387" i="59"/>
  <c r="S386" i="59"/>
  <c r="S385" i="59"/>
  <c r="S384" i="59"/>
  <c r="S383" i="59"/>
  <c r="S382" i="59"/>
  <c r="S381" i="59"/>
  <c r="S380" i="59"/>
  <c r="S379" i="59"/>
  <c r="S378" i="59"/>
  <c r="S377" i="59"/>
  <c r="S376" i="59"/>
  <c r="S375" i="59"/>
  <c r="S374" i="59"/>
  <c r="S373" i="59"/>
  <c r="S372" i="59"/>
  <c r="S371" i="59"/>
  <c r="S370" i="59"/>
  <c r="S369" i="59"/>
  <c r="S368" i="59"/>
  <c r="S367" i="59"/>
  <c r="S366" i="59"/>
  <c r="B6" i="15" l="1"/>
  <c r="AW4" i="5" l="1"/>
  <c r="O1" i="60" l="1"/>
  <c r="CE1" i="60" s="1"/>
  <c r="N11" i="16"/>
  <c r="A236" i="59" l="1"/>
  <c r="A235" i="59"/>
  <c r="A234" i="59"/>
  <c r="A230" i="59"/>
  <c r="A229" i="59"/>
  <c r="A228" i="59"/>
  <c r="A227" i="59"/>
  <c r="A226" i="59"/>
  <c r="A225" i="59"/>
  <c r="A224" i="59"/>
  <c r="A223" i="59"/>
  <c r="A222" i="59"/>
  <c r="A221" i="59"/>
  <c r="A220" i="59"/>
  <c r="A219" i="59"/>
  <c r="A218" i="59"/>
  <c r="A217" i="59"/>
  <c r="A216" i="59"/>
  <c r="A215" i="59"/>
  <c r="A214" i="59"/>
  <c r="A213" i="59"/>
  <c r="A212" i="59"/>
  <c r="A211" i="59"/>
  <c r="A210" i="59"/>
  <c r="A209" i="59"/>
  <c r="A208" i="59"/>
  <c r="A207" i="59"/>
  <c r="A206" i="59"/>
  <c r="A205" i="59"/>
  <c r="A204" i="59"/>
  <c r="A203" i="59"/>
  <c r="A202" i="59"/>
  <c r="A201" i="59"/>
  <c r="A200" i="59"/>
  <c r="A197" i="59"/>
  <c r="A196" i="59"/>
  <c r="A195" i="59"/>
  <c r="A194" i="59"/>
  <c r="A193" i="59"/>
  <c r="A192" i="59"/>
  <c r="A191" i="59"/>
  <c r="A190" i="59"/>
  <c r="A189" i="59"/>
  <c r="A188" i="59"/>
  <c r="A185" i="59"/>
  <c r="A184" i="59"/>
  <c r="A183" i="59"/>
  <c r="A182" i="59"/>
  <c r="A181" i="59"/>
  <c r="A180" i="59"/>
  <c r="A179" i="59"/>
  <c r="A178" i="59"/>
  <c r="A8" i="59"/>
  <c r="A177" i="59"/>
  <c r="A176" i="59"/>
  <c r="A175" i="59"/>
  <c r="A174" i="59"/>
  <c r="A173" i="59"/>
  <c r="A172" i="59"/>
  <c r="A7" i="59"/>
  <c r="A171" i="59"/>
  <c r="A6" i="59"/>
  <c r="A170" i="59"/>
  <c r="A169" i="59"/>
  <c r="A168" i="59"/>
  <c r="A167" i="59"/>
  <c r="A166" i="59"/>
  <c r="A165" i="59"/>
  <c r="A164" i="59"/>
  <c r="A163" i="59"/>
  <c r="A162" i="59"/>
  <c r="A161" i="59"/>
  <c r="A5" i="59"/>
  <c r="A160" i="59"/>
  <c r="A159" i="59"/>
  <c r="A158" i="59"/>
  <c r="A157" i="59"/>
  <c r="A156" i="59"/>
  <c r="A155" i="59"/>
  <c r="A154" i="59"/>
  <c r="A153" i="59"/>
  <c r="A152" i="59"/>
  <c r="A151" i="59"/>
  <c r="A150" i="59"/>
  <c r="A149" i="59"/>
  <c r="A148" i="59"/>
  <c r="A147" i="59"/>
  <c r="A146" i="59"/>
  <c r="A145" i="59"/>
  <c r="A144" i="59"/>
  <c r="A143" i="59"/>
  <c r="A142" i="59"/>
  <c r="A141" i="59"/>
  <c r="A140" i="59"/>
  <c r="A139" i="59"/>
  <c r="A138" i="59"/>
  <c r="A137" i="59"/>
  <c r="A136" i="59"/>
  <c r="A135" i="59"/>
  <c r="A134" i="59"/>
  <c r="A133" i="59"/>
  <c r="A132" i="59"/>
  <c r="A131" i="59"/>
  <c r="A130" i="59"/>
  <c r="A129" i="59"/>
  <c r="A128" i="59"/>
  <c r="A127" i="59"/>
  <c r="A126" i="59"/>
  <c r="A125" i="59"/>
  <c r="A124" i="59"/>
  <c r="A123" i="59"/>
  <c r="A122" i="59"/>
  <c r="A121" i="59"/>
  <c r="A120" i="59"/>
  <c r="A119" i="59"/>
  <c r="A118" i="59"/>
  <c r="A117" i="59"/>
  <c r="A116" i="59"/>
  <c r="A115" i="59"/>
  <c r="A114" i="59"/>
  <c r="A113" i="59"/>
  <c r="A112" i="59"/>
  <c r="A111" i="59"/>
  <c r="A110" i="59"/>
  <c r="A109" i="59"/>
  <c r="A108" i="59"/>
  <c r="A107" i="59"/>
  <c r="A106" i="59"/>
  <c r="A105" i="59"/>
  <c r="A104" i="59"/>
  <c r="A103" i="59"/>
  <c r="A102" i="59"/>
  <c r="A101" i="59"/>
  <c r="A100" i="59"/>
  <c r="A99" i="59"/>
  <c r="A98" i="59"/>
  <c r="A97" i="59"/>
  <c r="A96" i="59"/>
  <c r="A95" i="59"/>
  <c r="A94" i="59"/>
  <c r="A93" i="59"/>
  <c r="A92" i="59"/>
  <c r="A91" i="59"/>
  <c r="A90" i="59"/>
  <c r="A89" i="59"/>
  <c r="A88" i="59"/>
  <c r="A87" i="59"/>
  <c r="A86" i="59"/>
  <c r="A85" i="59"/>
  <c r="A84" i="59"/>
  <c r="A83" i="59"/>
  <c r="A82" i="59"/>
  <c r="A81" i="59"/>
  <c r="A80" i="59"/>
  <c r="A79" i="59"/>
  <c r="A78" i="59"/>
  <c r="A77" i="59"/>
  <c r="A76" i="59"/>
  <c r="A75" i="59"/>
  <c r="A74" i="59"/>
  <c r="A73" i="59"/>
  <c r="A72" i="59"/>
  <c r="A71" i="59"/>
  <c r="A70" i="59"/>
  <c r="A69" i="59"/>
  <c r="A68" i="59"/>
  <c r="A67" i="59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3" i="59"/>
  <c r="A13" i="59"/>
  <c r="A12" i="59"/>
  <c r="A11" i="59"/>
  <c r="A2" i="59"/>
  <c r="A10" i="59"/>
  <c r="BY145" i="60" l="1"/>
  <c r="BY144" i="60"/>
  <c r="Y144" i="60"/>
  <c r="U144" i="60"/>
  <c r="L144" i="60"/>
  <c r="Y143" i="60"/>
  <c r="Y145" i="60" s="1"/>
  <c r="U143" i="60"/>
  <c r="U145" i="60" s="1"/>
  <c r="L143" i="60"/>
  <c r="L145" i="60" s="1"/>
  <c r="CH140" i="60"/>
  <c r="CG140" i="60"/>
  <c r="CF140" i="60"/>
  <c r="CE140" i="60"/>
  <c r="CC140" i="60"/>
  <c r="CB140" i="60"/>
  <c r="CA140" i="60"/>
  <c r="BZ140" i="60"/>
  <c r="BX140" i="60"/>
  <c r="BW140" i="60"/>
  <c r="BU140" i="60"/>
  <c r="BT140" i="60"/>
  <c r="BS140" i="60"/>
  <c r="BR140" i="60"/>
  <c r="BP140" i="60"/>
  <c r="BN140" i="60"/>
  <c r="BM140" i="60"/>
  <c r="BL140" i="60"/>
  <c r="BJ140" i="60"/>
  <c r="BI140" i="60"/>
  <c r="BH140" i="60"/>
  <c r="BF140" i="60"/>
  <c r="BE140" i="60"/>
  <c r="BD140" i="60"/>
  <c r="BC140" i="60"/>
  <c r="BB140" i="60"/>
  <c r="BA140" i="60"/>
  <c r="AZ140" i="60"/>
  <c r="AY140" i="60"/>
  <c r="AX140" i="60"/>
  <c r="AV140" i="60"/>
  <c r="AU140" i="60"/>
  <c r="AT140" i="60"/>
  <c r="AR140" i="60"/>
  <c r="AQ140" i="60"/>
  <c r="AP140" i="60"/>
  <c r="AO140" i="60"/>
  <c r="AM140" i="60"/>
  <c r="AL140" i="60"/>
  <c r="AK140" i="60"/>
  <c r="AJ140" i="60"/>
  <c r="AH140" i="60"/>
  <c r="AG140" i="60"/>
  <c r="AF140" i="60"/>
  <c r="AE140" i="60"/>
  <c r="AD140" i="60"/>
  <c r="AC140" i="60"/>
  <c r="AB140" i="60"/>
  <c r="AA140" i="60"/>
  <c r="Z140" i="60"/>
  <c r="X140" i="60"/>
  <c r="W140" i="60"/>
  <c r="V140" i="60"/>
  <c r="T140" i="60"/>
  <c r="S140" i="60"/>
  <c r="R140" i="60"/>
  <c r="P140" i="60"/>
  <c r="O140" i="60"/>
  <c r="N140" i="60"/>
  <c r="M140" i="60"/>
  <c r="L140" i="60"/>
  <c r="K140" i="60"/>
  <c r="J140" i="60"/>
  <c r="H140" i="60"/>
  <c r="G140" i="60"/>
  <c r="F140" i="60"/>
  <c r="C140" i="60"/>
  <c r="BK135" i="60"/>
  <c r="BG135" i="60"/>
  <c r="AS135" i="60"/>
  <c r="AN135" i="60"/>
  <c r="AI135" i="60"/>
  <c r="Q135" i="60"/>
  <c r="I135" i="60"/>
  <c r="E135" i="60"/>
  <c r="CH132" i="60"/>
  <c r="CG132" i="60"/>
  <c r="CF132" i="60"/>
  <c r="CE132" i="60"/>
  <c r="CC132" i="60"/>
  <c r="CB132" i="60"/>
  <c r="CA132" i="60"/>
  <c r="BZ132" i="60"/>
  <c r="BY132" i="60"/>
  <c r="BY51" i="60" s="1"/>
  <c r="BX132" i="60"/>
  <c r="BW132" i="60"/>
  <c r="BU132" i="60"/>
  <c r="BT132" i="60"/>
  <c r="BS132" i="60"/>
  <c r="BR132" i="60"/>
  <c r="BP132" i="60"/>
  <c r="BN132" i="60"/>
  <c r="BM132" i="60"/>
  <c r="BL132" i="60"/>
  <c r="BJ132" i="60"/>
  <c r="BI132" i="60"/>
  <c r="BH132" i="60"/>
  <c r="BF132" i="60"/>
  <c r="BE132" i="60"/>
  <c r="BD132" i="60"/>
  <c r="BC132" i="60"/>
  <c r="BB132" i="60"/>
  <c r="BA132" i="60"/>
  <c r="AZ132" i="60"/>
  <c r="AY132" i="60"/>
  <c r="AX132" i="60"/>
  <c r="AV132" i="60"/>
  <c r="AU132" i="60"/>
  <c r="AT132" i="60"/>
  <c r="AR132" i="60"/>
  <c r="AQ132" i="60"/>
  <c r="AP132" i="60"/>
  <c r="AO132" i="60"/>
  <c r="AM132" i="60"/>
  <c r="AL132" i="60"/>
  <c r="AK132" i="60"/>
  <c r="AJ132" i="60"/>
  <c r="AH132" i="60"/>
  <c r="AG132" i="60"/>
  <c r="AF132" i="60"/>
  <c r="AE132" i="60"/>
  <c r="AD132" i="60"/>
  <c r="AC132" i="60"/>
  <c r="AB132" i="60"/>
  <c r="AA132" i="60"/>
  <c r="Z132" i="60"/>
  <c r="Y132" i="60"/>
  <c r="X132" i="60"/>
  <c r="W132" i="60"/>
  <c r="V132" i="60"/>
  <c r="U132" i="60"/>
  <c r="U51" i="60" s="1"/>
  <c r="T132" i="60"/>
  <c r="S132" i="60"/>
  <c r="R132" i="60"/>
  <c r="P132" i="60"/>
  <c r="O132" i="60"/>
  <c r="N132" i="60"/>
  <c r="M132" i="60"/>
  <c r="L132" i="60"/>
  <c r="K132" i="60"/>
  <c r="J132" i="60"/>
  <c r="H132" i="60"/>
  <c r="G132" i="60"/>
  <c r="F132" i="60"/>
  <c r="C132" i="60"/>
  <c r="BO128" i="60"/>
  <c r="BO132" i="60" s="1"/>
  <c r="BO51" i="60" s="1"/>
  <c r="BM51" i="60" s="1"/>
  <c r="BG128" i="60"/>
  <c r="BG132" i="60" s="1"/>
  <c r="BG51" i="60" s="1"/>
  <c r="AW128" i="60"/>
  <c r="AW132" i="60" s="1"/>
  <c r="AW51" i="60" s="1"/>
  <c r="AS128" i="60"/>
  <c r="AS132" i="60" s="1"/>
  <c r="AS51" i="60" s="1"/>
  <c r="AQ51" i="60" s="1"/>
  <c r="AN128" i="60"/>
  <c r="AI128" i="60"/>
  <c r="Q128" i="60"/>
  <c r="Q132" i="60" s="1"/>
  <c r="Q51" i="60" s="1"/>
  <c r="O51" i="60" s="1"/>
  <c r="I128" i="60"/>
  <c r="I132" i="60" s="1"/>
  <c r="I51" i="60" s="1"/>
  <c r="G51" i="60" s="1"/>
  <c r="E128" i="60"/>
  <c r="AN127" i="60"/>
  <c r="AI127" i="60"/>
  <c r="E127" i="60"/>
  <c r="CH124" i="60"/>
  <c r="CG124" i="60"/>
  <c r="CF124" i="60"/>
  <c r="CE124" i="60"/>
  <c r="CC124" i="60"/>
  <c r="CB124" i="60"/>
  <c r="CA124" i="60"/>
  <c r="BZ124" i="60"/>
  <c r="BX124" i="60"/>
  <c r="BW124" i="60"/>
  <c r="BU124" i="60"/>
  <c r="BT124" i="60"/>
  <c r="BS124" i="60"/>
  <c r="BR124" i="60"/>
  <c r="BP124" i="60"/>
  <c r="BN124" i="60"/>
  <c r="BM124" i="60"/>
  <c r="BL124" i="60"/>
  <c r="BJ124" i="60"/>
  <c r="BI124" i="60"/>
  <c r="BH124" i="60"/>
  <c r="BF124" i="60"/>
  <c r="BE124" i="60"/>
  <c r="BD124" i="60"/>
  <c r="BC124" i="60"/>
  <c r="BB124" i="60"/>
  <c r="BA124" i="60"/>
  <c r="AZ124" i="60"/>
  <c r="AY124" i="60"/>
  <c r="AX124" i="60"/>
  <c r="AV124" i="60"/>
  <c r="AU124" i="60"/>
  <c r="AT124" i="60"/>
  <c r="AR124" i="60"/>
  <c r="AQ124" i="60"/>
  <c r="AP124" i="60"/>
  <c r="AO124" i="60"/>
  <c r="AM124" i="60"/>
  <c r="AL124" i="60"/>
  <c r="AK124" i="60"/>
  <c r="AJ124" i="60"/>
  <c r="AH124" i="60"/>
  <c r="AG124" i="60"/>
  <c r="AF124" i="60"/>
  <c r="AE124" i="60"/>
  <c r="AD124" i="60"/>
  <c r="AC124" i="60"/>
  <c r="AB124" i="60"/>
  <c r="AA124" i="60"/>
  <c r="Z124" i="60"/>
  <c r="X124" i="60"/>
  <c r="W124" i="60"/>
  <c r="V124" i="60"/>
  <c r="T124" i="60"/>
  <c r="S124" i="60"/>
  <c r="R124" i="60"/>
  <c r="P124" i="60"/>
  <c r="O124" i="60"/>
  <c r="N124" i="60"/>
  <c r="M124" i="60"/>
  <c r="L124" i="60"/>
  <c r="K124" i="60"/>
  <c r="J124" i="60"/>
  <c r="H124" i="60"/>
  <c r="G124" i="60"/>
  <c r="F124" i="60"/>
  <c r="C124" i="60"/>
  <c r="CH114" i="60"/>
  <c r="CG114" i="60"/>
  <c r="CF114" i="60"/>
  <c r="CE114" i="60"/>
  <c r="CC114" i="60"/>
  <c r="CB114" i="60"/>
  <c r="CA114" i="60"/>
  <c r="BZ114" i="60"/>
  <c r="BX114" i="60"/>
  <c r="BW114" i="60"/>
  <c r="BU114" i="60"/>
  <c r="BT114" i="60"/>
  <c r="BS114" i="60"/>
  <c r="BR114" i="60"/>
  <c r="BP114" i="60"/>
  <c r="BN114" i="60"/>
  <c r="BM114" i="60"/>
  <c r="BL114" i="60"/>
  <c r="BJ114" i="60"/>
  <c r="BI114" i="60"/>
  <c r="BH114" i="60"/>
  <c r="BE114" i="60"/>
  <c r="BD114" i="60"/>
  <c r="BC114" i="60"/>
  <c r="BB114" i="60"/>
  <c r="BA114" i="60"/>
  <c r="AZ114" i="60"/>
  <c r="AY114" i="60"/>
  <c r="AX114" i="60"/>
  <c r="AV114" i="60"/>
  <c r="AU114" i="60"/>
  <c r="AT114" i="60"/>
  <c r="AR114" i="60"/>
  <c r="AQ114" i="60"/>
  <c r="AP114" i="60"/>
  <c r="AO114" i="60"/>
  <c r="AM114" i="60"/>
  <c r="AL114" i="60"/>
  <c r="AK114" i="60"/>
  <c r="AJ114" i="60"/>
  <c r="AH114" i="60"/>
  <c r="AG114" i="60"/>
  <c r="AF114" i="60"/>
  <c r="AE114" i="60"/>
  <c r="AD114" i="60"/>
  <c r="AC114" i="60"/>
  <c r="AB114" i="60"/>
  <c r="AA114" i="60"/>
  <c r="Z114" i="60"/>
  <c r="X114" i="60"/>
  <c r="W114" i="60"/>
  <c r="V114" i="60"/>
  <c r="T114" i="60"/>
  <c r="S114" i="60"/>
  <c r="R114" i="60"/>
  <c r="P114" i="60"/>
  <c r="O114" i="60"/>
  <c r="N114" i="60"/>
  <c r="M114" i="60"/>
  <c r="L114" i="60"/>
  <c r="K114" i="60"/>
  <c r="J114" i="60"/>
  <c r="H114" i="60"/>
  <c r="G114" i="60"/>
  <c r="F114" i="60"/>
  <c r="C114" i="60"/>
  <c r="AW144" i="60"/>
  <c r="BO144" i="60"/>
  <c r="BK144" i="60"/>
  <c r="BG144" i="60"/>
  <c r="AS144" i="60"/>
  <c r="AN144" i="60"/>
  <c r="AI144" i="60"/>
  <c r="I144" i="60"/>
  <c r="E144" i="60"/>
  <c r="BO106" i="60"/>
  <c r="BG106" i="60"/>
  <c r="AS106" i="60"/>
  <c r="AN106" i="60"/>
  <c r="Q106" i="60"/>
  <c r="E106" i="60"/>
  <c r="BO105" i="60"/>
  <c r="BK105" i="60"/>
  <c r="BG105" i="60"/>
  <c r="AW105" i="60"/>
  <c r="AS105" i="60"/>
  <c r="AN105" i="60"/>
  <c r="Q105" i="60"/>
  <c r="I105" i="60"/>
  <c r="E105" i="60"/>
  <c r="CC76" i="60"/>
  <c r="AA72" i="60"/>
  <c r="AA65" i="60"/>
  <c r="AA60" i="60"/>
  <c r="Y51" i="60"/>
  <c r="AY50" i="60"/>
  <c r="AA50" i="60"/>
  <c r="AY49" i="60"/>
  <c r="AA49" i="60"/>
  <c r="CC45" i="60"/>
  <c r="AA45" i="60"/>
  <c r="AA33" i="60"/>
  <c r="AA28" i="60"/>
  <c r="CC25" i="60"/>
  <c r="AY25" i="60"/>
  <c r="AA25" i="60"/>
  <c r="BW19" i="60"/>
  <c r="AB19" i="60"/>
  <c r="AG19" i="60" s="1"/>
  <c r="AL19" i="60" s="1"/>
  <c r="AQ19" i="60" s="1"/>
  <c r="AU19" i="60" s="1"/>
  <c r="AZ19" i="60" s="1"/>
  <c r="BE19" i="60" s="1"/>
  <c r="O19" i="60"/>
  <c r="W19" i="60" s="1"/>
  <c r="K19" i="60"/>
  <c r="S19" i="60" s="1"/>
  <c r="G19" i="60"/>
  <c r="CE16" i="60"/>
  <c r="CE15" i="60"/>
  <c r="CE14" i="60"/>
  <c r="CE13" i="60"/>
  <c r="CE12" i="60"/>
  <c r="CE11" i="60"/>
  <c r="CE10" i="60"/>
  <c r="BM9" i="60"/>
  <c r="AQ9" i="60"/>
  <c r="AL9" i="60"/>
  <c r="AG9" i="60"/>
  <c r="O9" i="60"/>
  <c r="G9" i="60"/>
  <c r="C9" i="60"/>
  <c r="CE8" i="60"/>
  <c r="CE7" i="60"/>
  <c r="BE51" i="60" l="1"/>
  <c r="BE51" i="62"/>
  <c r="BT51" i="60"/>
  <c r="BR51" i="62" s="1"/>
  <c r="BW51" i="60"/>
  <c r="S51" i="60"/>
  <c r="I143" i="60"/>
  <c r="I145" i="60" s="1"/>
  <c r="AA46" i="60"/>
  <c r="AW143" i="60"/>
  <c r="AW145" i="60" s="1"/>
  <c r="W51" i="60"/>
  <c r="CC80" i="60"/>
  <c r="CB76" i="60"/>
  <c r="CB80" i="60" s="1"/>
  <c r="AN132" i="60"/>
  <c r="AN51" i="60" s="1"/>
  <c r="AL51" i="60" s="1"/>
  <c r="AU51" i="60"/>
  <c r="BK132" i="60"/>
  <c r="BK51" i="60" s="1"/>
  <c r="E132" i="60"/>
  <c r="E51" i="60" s="1"/>
  <c r="C51" i="60" s="1"/>
  <c r="AI132" i="60"/>
  <c r="AI51" i="60" s="1"/>
  <c r="Q143" i="60"/>
  <c r="AA53" i="60"/>
  <c r="AA81" i="60" s="1"/>
  <c r="N18" i="15"/>
  <c r="BM19" i="60"/>
  <c r="BR19" i="60" s="1"/>
  <c r="CE19" i="60" s="1"/>
  <c r="BI19" i="60"/>
  <c r="CC49" i="60"/>
  <c r="CB49" i="60" s="1"/>
  <c r="CE9" i="60"/>
  <c r="CC28" i="60"/>
  <c r="BB51" i="60"/>
  <c r="AZ51" i="60" s="1"/>
  <c r="AY53" i="60"/>
  <c r="AY82" i="60" s="1"/>
  <c r="E143" i="60"/>
  <c r="AS143" i="60"/>
  <c r="BO143" i="60"/>
  <c r="AN143" i="60"/>
  <c r="AN145" i="60" s="1"/>
  <c r="BK145" i="60"/>
  <c r="Q144" i="60"/>
  <c r="AI143" i="60"/>
  <c r="AI145" i="60" s="1"/>
  <c r="BG143" i="60"/>
  <c r="BK143" i="60"/>
  <c r="A9" i="59"/>
  <c r="CA144" i="60" l="1"/>
  <c r="Q149" i="60"/>
  <c r="E23" i="60"/>
  <c r="C23" i="62" s="1"/>
  <c r="BY23" i="60"/>
  <c r="BW23" i="62" s="1"/>
  <c r="BI51" i="60"/>
  <c r="BR51" i="60"/>
  <c r="AA82" i="60"/>
  <c r="CC46" i="60"/>
  <c r="CC63" i="60"/>
  <c r="AG51" i="60"/>
  <c r="BG137" i="60"/>
  <c r="BG140" i="60" s="1"/>
  <c r="BG52" i="60" s="1"/>
  <c r="BE52" i="62" s="1"/>
  <c r="AI137" i="60"/>
  <c r="AI140" i="60" s="1"/>
  <c r="AI52" i="60" s="1"/>
  <c r="I137" i="60"/>
  <c r="I140" i="60" s="1"/>
  <c r="I52" i="60" s="1"/>
  <c r="G52" i="62" s="1"/>
  <c r="BO120" i="60"/>
  <c r="AS120" i="60"/>
  <c r="U120" i="60"/>
  <c r="BO119" i="60"/>
  <c r="AS119" i="60"/>
  <c r="U119" i="60"/>
  <c r="BY110" i="60"/>
  <c r="AW110" i="60"/>
  <c r="Y110" i="60"/>
  <c r="E110" i="60"/>
  <c r="BG109" i="60"/>
  <c r="AI109" i="60"/>
  <c r="I109" i="60"/>
  <c r="BK108" i="60"/>
  <c r="AN108" i="60"/>
  <c r="Q108" i="60"/>
  <c r="BO87" i="60"/>
  <c r="BM87" i="60" s="1"/>
  <c r="AN87" i="60"/>
  <c r="AL87" i="60" s="1"/>
  <c r="Q87" i="60"/>
  <c r="O87" i="60" s="1"/>
  <c r="BY86" i="60"/>
  <c r="BW86" i="60" s="1"/>
  <c r="AW86" i="60"/>
  <c r="AU86" i="60" s="1"/>
  <c r="Y86" i="60"/>
  <c r="W86" i="60" s="1"/>
  <c r="I86" i="60"/>
  <c r="G86" i="60" s="1"/>
  <c r="BK85" i="60"/>
  <c r="AI85" i="60"/>
  <c r="AG85" i="60" s="1"/>
  <c r="M85" i="60"/>
  <c r="K85" i="60" s="1"/>
  <c r="BO84" i="60"/>
  <c r="BM84" i="60" s="1"/>
  <c r="AN84" i="60"/>
  <c r="AL84" i="60" s="1"/>
  <c r="Q84" i="60"/>
  <c r="O84" i="60" s="1"/>
  <c r="BY83" i="60"/>
  <c r="AN83" i="60"/>
  <c r="Q83" i="60"/>
  <c r="BO77" i="60"/>
  <c r="AS77" i="60"/>
  <c r="U77" i="60"/>
  <c r="S77" i="62" s="1"/>
  <c r="E77" i="60"/>
  <c r="C77" i="62" s="1"/>
  <c r="BO76" i="60"/>
  <c r="AS76" i="60"/>
  <c r="U76" i="60"/>
  <c r="S76" i="62" s="1"/>
  <c r="E76" i="60"/>
  <c r="C76" i="62" s="1"/>
  <c r="BG75" i="60"/>
  <c r="BE75" i="62" s="1"/>
  <c r="AI75" i="60"/>
  <c r="M75" i="60"/>
  <c r="BO74" i="60"/>
  <c r="AS74" i="60"/>
  <c r="U74" i="60"/>
  <c r="S74" i="62" s="1"/>
  <c r="E74" i="60"/>
  <c r="C74" i="62" s="1"/>
  <c r="BK71" i="60"/>
  <c r="AN71" i="60"/>
  <c r="Q71" i="60"/>
  <c r="O71" i="62" s="1"/>
  <c r="BY70" i="60"/>
  <c r="BW70" i="62" s="1"/>
  <c r="AW70" i="60"/>
  <c r="Y70" i="60"/>
  <c r="W70" i="62" s="1"/>
  <c r="I70" i="60"/>
  <c r="G70" i="62" s="1"/>
  <c r="BK69" i="60"/>
  <c r="AN69" i="60"/>
  <c r="Q69" i="60"/>
  <c r="O69" i="62" s="1"/>
  <c r="BY68" i="60"/>
  <c r="BW68" i="62" s="1"/>
  <c r="AW68" i="60"/>
  <c r="Y68" i="60"/>
  <c r="W68" i="62" s="1"/>
  <c r="I68" i="60"/>
  <c r="G68" i="62" s="1"/>
  <c r="BK67" i="60"/>
  <c r="AN67" i="60"/>
  <c r="Q67" i="60"/>
  <c r="O67" i="62" s="1"/>
  <c r="M66" i="60"/>
  <c r="BK64" i="60"/>
  <c r="AN64" i="60"/>
  <c r="Q64" i="60"/>
  <c r="O64" i="62" s="1"/>
  <c r="BY137" i="60"/>
  <c r="BY140" i="60" s="1"/>
  <c r="BY52" i="60" s="1"/>
  <c r="BW52" i="62" s="1"/>
  <c r="AW137" i="60"/>
  <c r="AW140" i="60" s="1"/>
  <c r="AW52" i="60" s="1"/>
  <c r="Y137" i="60"/>
  <c r="Y140" i="60" s="1"/>
  <c r="Y52" i="60" s="1"/>
  <c r="W52" i="62" s="1"/>
  <c r="E137" i="60"/>
  <c r="E140" i="60" s="1"/>
  <c r="E52" i="60" s="1"/>
  <c r="C52" i="62" s="1"/>
  <c r="BK120" i="60"/>
  <c r="AN120" i="60"/>
  <c r="Q120" i="60"/>
  <c r="BK119" i="60"/>
  <c r="AN119" i="60"/>
  <c r="Q119" i="60"/>
  <c r="BO110" i="60"/>
  <c r="AS110" i="60"/>
  <c r="U110" i="60"/>
  <c r="BY109" i="60"/>
  <c r="AW109" i="60"/>
  <c r="Y109" i="60"/>
  <c r="E109" i="60"/>
  <c r="BG108" i="60"/>
  <c r="AI108" i="60"/>
  <c r="I108" i="60"/>
  <c r="BK87" i="60"/>
  <c r="AI87" i="60"/>
  <c r="AG87" i="60" s="1"/>
  <c r="M87" i="60"/>
  <c r="K87" i="60" s="1"/>
  <c r="BO86" i="60"/>
  <c r="BM86" i="60" s="1"/>
  <c r="AS86" i="60"/>
  <c r="AQ86" i="60" s="1"/>
  <c r="U86" i="60"/>
  <c r="S86" i="60" s="1"/>
  <c r="E86" i="60"/>
  <c r="C86" i="60" s="1"/>
  <c r="AW85" i="60"/>
  <c r="AU85" i="60" s="1"/>
  <c r="Y85" i="60"/>
  <c r="W85" i="60" s="1"/>
  <c r="I85" i="60"/>
  <c r="G85" i="60" s="1"/>
  <c r="BK84" i="60"/>
  <c r="AI84" i="60"/>
  <c r="AG84" i="60" s="1"/>
  <c r="M84" i="60"/>
  <c r="K84" i="60" s="1"/>
  <c r="BO83" i="60"/>
  <c r="AI83" i="60"/>
  <c r="M83" i="60"/>
  <c r="BK77" i="60"/>
  <c r="AN77" i="60"/>
  <c r="Q77" i="60"/>
  <c r="O77" i="62" s="1"/>
  <c r="BK76" i="60"/>
  <c r="AN76" i="60"/>
  <c r="Q76" i="60"/>
  <c r="O76" i="62" s="1"/>
  <c r="BY75" i="60"/>
  <c r="BW75" i="62" s="1"/>
  <c r="AW75" i="60"/>
  <c r="Y75" i="60"/>
  <c r="W75" i="62" s="1"/>
  <c r="I75" i="60"/>
  <c r="G75" i="62" s="1"/>
  <c r="BK74" i="60"/>
  <c r="AN74" i="60"/>
  <c r="Q74" i="60"/>
  <c r="O74" i="62" s="1"/>
  <c r="I73" i="60"/>
  <c r="BG71" i="60"/>
  <c r="BE71" i="62" s="1"/>
  <c r="AI71" i="60"/>
  <c r="M71" i="60"/>
  <c r="BO70" i="60"/>
  <c r="AS70" i="60"/>
  <c r="U70" i="60"/>
  <c r="S70" i="62" s="1"/>
  <c r="E70" i="60"/>
  <c r="C70" i="62" s="1"/>
  <c r="BG69" i="60"/>
  <c r="BE69" i="62" s="1"/>
  <c r="AI69" i="60"/>
  <c r="M69" i="60"/>
  <c r="BO68" i="60"/>
  <c r="AS68" i="60"/>
  <c r="U68" i="60"/>
  <c r="S68" i="62" s="1"/>
  <c r="E68" i="60"/>
  <c r="C68" i="62" s="1"/>
  <c r="BG67" i="60"/>
  <c r="BE67" i="62" s="1"/>
  <c r="AI67" i="60"/>
  <c r="M67" i="60"/>
  <c r="I66" i="60"/>
  <c r="BG64" i="60"/>
  <c r="BE64" i="62" s="1"/>
  <c r="AI64" i="60"/>
  <c r="M64" i="60"/>
  <c r="BO63" i="60"/>
  <c r="AS63" i="60"/>
  <c r="U63" i="60"/>
  <c r="S63" i="62" s="1"/>
  <c r="E63" i="60"/>
  <c r="C63" i="62" s="1"/>
  <c r="BG62" i="60"/>
  <c r="BE62" i="62" s="1"/>
  <c r="AI62" i="60"/>
  <c r="M62" i="60"/>
  <c r="BO59" i="60"/>
  <c r="AS59" i="60"/>
  <c r="U59" i="60"/>
  <c r="S59" i="62" s="1"/>
  <c r="E59" i="60"/>
  <c r="C59" i="62" s="1"/>
  <c r="BG58" i="60"/>
  <c r="BE58" i="62" s="1"/>
  <c r="AI58" i="60"/>
  <c r="M58" i="60"/>
  <c r="BO57" i="60"/>
  <c r="AS57" i="60"/>
  <c r="U57" i="60"/>
  <c r="S57" i="62" s="1"/>
  <c r="E57" i="60"/>
  <c r="C57" i="62" s="1"/>
  <c r="BG56" i="60"/>
  <c r="BE56" i="62" s="1"/>
  <c r="AI56" i="60"/>
  <c r="M56" i="60"/>
  <c r="BO55" i="60"/>
  <c r="AS55" i="60"/>
  <c r="U55" i="60"/>
  <c r="S55" i="62" s="1"/>
  <c r="E55" i="60"/>
  <c r="C55" i="62" s="1"/>
  <c r="M49" i="60"/>
  <c r="AS137" i="60"/>
  <c r="AS140" i="60" s="1"/>
  <c r="AS52" i="60" s="1"/>
  <c r="AN121" i="60"/>
  <c r="AI120" i="60"/>
  <c r="BG119" i="60"/>
  <c r="I119" i="60"/>
  <c r="AN110" i="60"/>
  <c r="BO109" i="60"/>
  <c r="U109" i="60"/>
  <c r="AW108" i="60"/>
  <c r="E108" i="60"/>
  <c r="Y87" i="60"/>
  <c r="W87" i="60" s="1"/>
  <c r="BK86" i="60"/>
  <c r="BI86" i="60" s="1"/>
  <c r="Q86" i="60"/>
  <c r="O86" i="60" s="1"/>
  <c r="AS85" i="60"/>
  <c r="AQ85" i="60" s="1"/>
  <c r="E85" i="60"/>
  <c r="C85" i="60" s="1"/>
  <c r="Y84" i="60"/>
  <c r="W84" i="60" s="1"/>
  <c r="BK83" i="60"/>
  <c r="E83" i="60"/>
  <c r="C83" i="60" s="1"/>
  <c r="AI77" i="60"/>
  <c r="AI76" i="60"/>
  <c r="BO75" i="60"/>
  <c r="U75" i="60"/>
  <c r="S75" i="62" s="1"/>
  <c r="BG74" i="60"/>
  <c r="BE74" i="62" s="1"/>
  <c r="M74" i="60"/>
  <c r="AW71" i="60"/>
  <c r="I71" i="60"/>
  <c r="G71" i="62" s="1"/>
  <c r="AN70" i="60"/>
  <c r="BY69" i="60"/>
  <c r="BW69" i="62" s="1"/>
  <c r="Y69" i="60"/>
  <c r="W69" i="62" s="1"/>
  <c r="BK68" i="60"/>
  <c r="Q68" i="60"/>
  <c r="O68" i="62" s="1"/>
  <c r="AW67" i="60"/>
  <c r="I67" i="60"/>
  <c r="G67" i="62" s="1"/>
  <c r="AW64" i="60"/>
  <c r="I64" i="60"/>
  <c r="G64" i="62" s="1"/>
  <c r="BG63" i="60"/>
  <c r="BE63" i="62" s="1"/>
  <c r="Y63" i="60"/>
  <c r="W63" i="62" s="1"/>
  <c r="BY62" i="60"/>
  <c r="BW62" i="62" s="1"/>
  <c r="AS62" i="60"/>
  <c r="Q62" i="60"/>
  <c r="O62" i="62" s="1"/>
  <c r="BK59" i="60"/>
  <c r="AI59" i="60"/>
  <c r="I59" i="60"/>
  <c r="G59" i="62" s="1"/>
  <c r="AW58" i="60"/>
  <c r="U58" i="60"/>
  <c r="S58" i="62" s="1"/>
  <c r="BY57" i="60"/>
  <c r="BW57" i="62" s="1"/>
  <c r="AN57" i="60"/>
  <c r="M57" i="60"/>
  <c r="BK56" i="60"/>
  <c r="Y56" i="60"/>
  <c r="W56" i="62" s="1"/>
  <c r="E56" i="60"/>
  <c r="C56" i="62" s="1"/>
  <c r="AW55" i="60"/>
  <c r="Q55" i="60"/>
  <c r="O55" i="62" s="1"/>
  <c r="M51" i="60"/>
  <c r="BK44" i="60"/>
  <c r="AN44" i="60"/>
  <c r="Q44" i="60"/>
  <c r="O44" i="62" s="1"/>
  <c r="BY43" i="60"/>
  <c r="BW43" i="62" s="1"/>
  <c r="AW43" i="60"/>
  <c r="Y43" i="60"/>
  <c r="W43" i="62" s="1"/>
  <c r="I43" i="60"/>
  <c r="G43" i="62" s="1"/>
  <c r="BK42" i="60"/>
  <c r="AN42" i="60"/>
  <c r="Q42" i="60"/>
  <c r="O42" i="62" s="1"/>
  <c r="BY41" i="60"/>
  <c r="BW41" i="62" s="1"/>
  <c r="AW41" i="60"/>
  <c r="Y41" i="60"/>
  <c r="W41" i="62" s="1"/>
  <c r="I41" i="60"/>
  <c r="G41" i="62" s="1"/>
  <c r="BK40" i="60"/>
  <c r="AN40" i="60"/>
  <c r="Q40" i="60"/>
  <c r="O40" i="62" s="1"/>
  <c r="BY39" i="60"/>
  <c r="BW39" i="62" s="1"/>
  <c r="AW39" i="60"/>
  <c r="Y39" i="60"/>
  <c r="W39" i="62" s="1"/>
  <c r="I39" i="60"/>
  <c r="G39" i="62" s="1"/>
  <c r="BK38" i="60"/>
  <c r="AN38" i="60"/>
  <c r="Q38" i="60"/>
  <c r="O38" i="62" s="1"/>
  <c r="BY37" i="60"/>
  <c r="BW37" i="62" s="1"/>
  <c r="AW37" i="60"/>
  <c r="Y37" i="60"/>
  <c r="W37" i="62" s="1"/>
  <c r="I37" i="60"/>
  <c r="G37" i="62" s="1"/>
  <c r="BK36" i="60"/>
  <c r="AN36" i="60"/>
  <c r="Q36" i="60"/>
  <c r="O36" i="62" s="1"/>
  <c r="BY35" i="60"/>
  <c r="BW35" i="62" s="1"/>
  <c r="AW35" i="60"/>
  <c r="Y35" i="60"/>
  <c r="W35" i="62" s="1"/>
  <c r="I35" i="60"/>
  <c r="G35" i="62" s="1"/>
  <c r="BY32" i="60"/>
  <c r="BW32" i="62" s="1"/>
  <c r="AW32" i="60"/>
  <c r="Y32" i="60"/>
  <c r="W32" i="62" s="1"/>
  <c r="I32" i="60"/>
  <c r="G32" i="62" s="1"/>
  <c r="BK31" i="60"/>
  <c r="AN31" i="60"/>
  <c r="Q31" i="60"/>
  <c r="O31" i="62" s="1"/>
  <c r="BY30" i="60"/>
  <c r="BW30" i="62" s="1"/>
  <c r="AW30" i="60"/>
  <c r="Y30" i="60"/>
  <c r="W30" i="62" s="1"/>
  <c r="I30" i="60"/>
  <c r="G30" i="62" s="1"/>
  <c r="Y29" i="60"/>
  <c r="W29" i="62" s="1"/>
  <c r="U28" i="60"/>
  <c r="S28" i="62" s="1"/>
  <c r="BG27" i="60"/>
  <c r="BE27" i="62" s="1"/>
  <c r="AI27" i="60"/>
  <c r="M27" i="60"/>
  <c r="BO24" i="60"/>
  <c r="AS24" i="60"/>
  <c r="U24" i="60"/>
  <c r="S24" i="62" s="1"/>
  <c r="E24" i="60"/>
  <c r="C24" i="62" s="1"/>
  <c r="BG23" i="60"/>
  <c r="BE23" i="62" s="1"/>
  <c r="AI23" i="60"/>
  <c r="M23" i="60"/>
  <c r="M40" i="60"/>
  <c r="BO39" i="60"/>
  <c r="AS39" i="60"/>
  <c r="U39" i="60"/>
  <c r="S39" i="62" s="1"/>
  <c r="E39" i="60"/>
  <c r="C39" i="62" s="1"/>
  <c r="BG38" i="60"/>
  <c r="BE38" i="62" s="1"/>
  <c r="AI38" i="60"/>
  <c r="M38" i="60"/>
  <c r="BO37" i="60"/>
  <c r="AS37" i="60"/>
  <c r="U37" i="60"/>
  <c r="S37" i="62" s="1"/>
  <c r="E37" i="60"/>
  <c r="C37" i="62" s="1"/>
  <c r="BG36" i="60"/>
  <c r="BE36" i="62" s="1"/>
  <c r="AI36" i="60"/>
  <c r="M36" i="60"/>
  <c r="BO35" i="60"/>
  <c r="AS35" i="60"/>
  <c r="U35" i="60"/>
  <c r="S35" i="62" s="1"/>
  <c r="E35" i="60"/>
  <c r="C35" i="62" s="1"/>
  <c r="BO32" i="60"/>
  <c r="AS32" i="60"/>
  <c r="U32" i="60"/>
  <c r="S32" i="62" s="1"/>
  <c r="AN137" i="60"/>
  <c r="AN140" i="60" s="1"/>
  <c r="AN52" i="60" s="1"/>
  <c r="BY120" i="60"/>
  <c r="Y120" i="60"/>
  <c r="AW119" i="60"/>
  <c r="E119" i="60"/>
  <c r="AI110" i="60"/>
  <c r="BK109" i="60"/>
  <c r="Q109" i="60"/>
  <c r="AS108" i="60"/>
  <c r="BY87" i="60"/>
  <c r="BW87" i="60" s="1"/>
  <c r="U87" i="60"/>
  <c r="S87" i="60" s="1"/>
  <c r="BG86" i="60"/>
  <c r="M86" i="60"/>
  <c r="K86" i="60" s="1"/>
  <c r="AN85" i="60"/>
  <c r="AL85" i="60" s="1"/>
  <c r="BY84" i="60"/>
  <c r="BW84" i="60" s="1"/>
  <c r="U84" i="60"/>
  <c r="S84" i="60" s="1"/>
  <c r="AW83" i="60"/>
  <c r="BY77" i="60"/>
  <c r="BW77" i="62" s="1"/>
  <c r="Y77" i="60"/>
  <c r="W77" i="62" s="1"/>
  <c r="BY76" i="60"/>
  <c r="BW76" i="62" s="1"/>
  <c r="Y76" i="60"/>
  <c r="W76" i="62" s="1"/>
  <c r="BK75" i="60"/>
  <c r="Q75" i="60"/>
  <c r="O75" i="62" s="1"/>
  <c r="AW74" i="60"/>
  <c r="I74" i="60"/>
  <c r="G74" i="62" s="1"/>
  <c r="AS71" i="60"/>
  <c r="E71" i="60"/>
  <c r="C71" i="62" s="1"/>
  <c r="AI70" i="60"/>
  <c r="BO69" i="60"/>
  <c r="U69" i="60"/>
  <c r="S69" i="62" s="1"/>
  <c r="BG68" i="60"/>
  <c r="BE68" i="62" s="1"/>
  <c r="M68" i="60"/>
  <c r="AS67" i="60"/>
  <c r="E67" i="60"/>
  <c r="C67" i="62" s="1"/>
  <c r="AS64" i="60"/>
  <c r="E64" i="60"/>
  <c r="C64" i="62" s="1"/>
  <c r="AW63" i="60"/>
  <c r="Q63" i="60"/>
  <c r="O63" i="62" s="1"/>
  <c r="BO62" i="60"/>
  <c r="AN62" i="60"/>
  <c r="I62" i="60"/>
  <c r="G62" i="62" s="1"/>
  <c r="BG59" i="60"/>
  <c r="BE59" i="62" s="1"/>
  <c r="Y59" i="60"/>
  <c r="W59" i="62" s="1"/>
  <c r="BY58" i="60"/>
  <c r="BW58" i="62" s="1"/>
  <c r="AS58" i="60"/>
  <c r="Q58" i="60"/>
  <c r="O58" i="62" s="1"/>
  <c r="BK57" i="60"/>
  <c r="AI57" i="60"/>
  <c r="I57" i="60"/>
  <c r="G57" i="62" s="1"/>
  <c r="AW56" i="60"/>
  <c r="U56" i="60"/>
  <c r="S56" i="62" s="1"/>
  <c r="BY55" i="60"/>
  <c r="BW55" i="62" s="1"/>
  <c r="AN55" i="60"/>
  <c r="M55" i="60"/>
  <c r="M50" i="60"/>
  <c r="BG44" i="60"/>
  <c r="BE44" i="62" s="1"/>
  <c r="AI44" i="60"/>
  <c r="M44" i="60"/>
  <c r="BO43" i="60"/>
  <c r="AS43" i="60"/>
  <c r="U43" i="60"/>
  <c r="S43" i="62" s="1"/>
  <c r="E43" i="60"/>
  <c r="C43" i="62" s="1"/>
  <c r="BG42" i="60"/>
  <c r="BE42" i="62" s="1"/>
  <c r="AI42" i="60"/>
  <c r="M42" i="60"/>
  <c r="BO41" i="60"/>
  <c r="AS41" i="60"/>
  <c r="U41" i="60"/>
  <c r="S41" i="62" s="1"/>
  <c r="E41" i="60"/>
  <c r="C41" i="62" s="1"/>
  <c r="BG40" i="60"/>
  <c r="BE40" i="62" s="1"/>
  <c r="AI40" i="60"/>
  <c r="BO137" i="60"/>
  <c r="BO140" i="60" s="1"/>
  <c r="BG120" i="60"/>
  <c r="AI119" i="60"/>
  <c r="Q110" i="60"/>
  <c r="BY108" i="60"/>
  <c r="AW87" i="60"/>
  <c r="AU87" i="60" s="1"/>
  <c r="AN86" i="60"/>
  <c r="AL86" i="60" s="1"/>
  <c r="U85" i="60"/>
  <c r="S85" i="60" s="1"/>
  <c r="I84" i="60"/>
  <c r="G84" i="60" s="1"/>
  <c r="BG77" i="60"/>
  <c r="BE77" i="62" s="1"/>
  <c r="M76" i="60"/>
  <c r="E75" i="60"/>
  <c r="C75" i="62" s="1"/>
  <c r="BY71" i="60"/>
  <c r="BW71" i="62" s="1"/>
  <c r="BK70" i="60"/>
  <c r="AW69" i="60"/>
  <c r="AN68" i="60"/>
  <c r="Y67" i="60"/>
  <c r="W67" i="62" s="1"/>
  <c r="Y64" i="60"/>
  <c r="W64" i="62" s="1"/>
  <c r="AN63" i="60"/>
  <c r="BK62" i="60"/>
  <c r="E62" i="60"/>
  <c r="C62" i="62" s="1"/>
  <c r="Q59" i="60"/>
  <c r="O59" i="62" s="1"/>
  <c r="AN58" i="60"/>
  <c r="BG57" i="60"/>
  <c r="BE57" i="62" s="1"/>
  <c r="BY56" i="60"/>
  <c r="BW56" i="62" s="1"/>
  <c r="Q56" i="60"/>
  <c r="O56" i="62" s="1"/>
  <c r="AI55" i="60"/>
  <c r="BY44" i="60"/>
  <c r="BW44" i="62" s="1"/>
  <c r="Y44" i="60"/>
  <c r="W44" i="62" s="1"/>
  <c r="BK43" i="60"/>
  <c r="Q43" i="60"/>
  <c r="O43" i="62" s="1"/>
  <c r="AW42" i="60"/>
  <c r="I42" i="60"/>
  <c r="G42" i="62" s="1"/>
  <c r="AN41" i="60"/>
  <c r="BY40" i="60"/>
  <c r="BW40" i="62" s="1"/>
  <c r="Y40" i="60"/>
  <c r="W40" i="62" s="1"/>
  <c r="BK39" i="60"/>
  <c r="Q39" i="60"/>
  <c r="O39" i="62" s="1"/>
  <c r="AW38" i="60"/>
  <c r="I38" i="60"/>
  <c r="G38" i="62" s="1"/>
  <c r="AN37" i="60"/>
  <c r="BY36" i="60"/>
  <c r="BW36" i="62" s="1"/>
  <c r="Y36" i="60"/>
  <c r="W36" i="62" s="1"/>
  <c r="BK35" i="60"/>
  <c r="Q35" i="60"/>
  <c r="O35" i="62" s="1"/>
  <c r="BK32" i="60"/>
  <c r="Q32" i="60"/>
  <c r="O32" i="62" s="1"/>
  <c r="BO31" i="60"/>
  <c r="AI31" i="60"/>
  <c r="I31" i="60"/>
  <c r="G31" i="62" s="1"/>
  <c r="BG30" i="60"/>
  <c r="BE30" i="62" s="1"/>
  <c r="U30" i="60"/>
  <c r="S30" i="62" s="1"/>
  <c r="AN29" i="60"/>
  <c r="AL29" i="62" s="1"/>
  <c r="Y28" i="60"/>
  <c r="W28" i="62" s="1"/>
  <c r="AW27" i="60"/>
  <c r="U27" i="60"/>
  <c r="S27" i="62" s="1"/>
  <c r="BY24" i="60"/>
  <c r="BW24" i="62" s="1"/>
  <c r="AN24" i="60"/>
  <c r="M24" i="60"/>
  <c r="BK23" i="60"/>
  <c r="Y23" i="60"/>
  <c r="W23" i="62" s="1"/>
  <c r="Y108" i="60"/>
  <c r="BG76" i="60"/>
  <c r="BE76" i="62" s="1"/>
  <c r="AI74" i="60"/>
  <c r="Q70" i="60"/>
  <c r="O70" i="62" s="1"/>
  <c r="BY67" i="60"/>
  <c r="BW67" i="62" s="1"/>
  <c r="BY63" i="60"/>
  <c r="BW63" i="62" s="1"/>
  <c r="AW59" i="60"/>
  <c r="I58" i="60"/>
  <c r="G58" i="62" s="1"/>
  <c r="AS56" i="60"/>
  <c r="AW44" i="60"/>
  <c r="AN43" i="60"/>
  <c r="BK41" i="60"/>
  <c r="AW40" i="60"/>
  <c r="BY38" i="60"/>
  <c r="BW38" i="62" s="1"/>
  <c r="BK37" i="60"/>
  <c r="I36" i="60"/>
  <c r="G36" i="62" s="1"/>
  <c r="I34" i="60"/>
  <c r="E32" i="60"/>
  <c r="C32" i="62" s="1"/>
  <c r="BO30" i="60"/>
  <c r="M30" i="60"/>
  <c r="BO27" i="60"/>
  <c r="I27" i="60"/>
  <c r="G27" i="62" s="1"/>
  <c r="Y24" i="60"/>
  <c r="W24" i="62" s="1"/>
  <c r="AS23" i="60"/>
  <c r="Q137" i="60"/>
  <c r="Q140" i="60" s="1"/>
  <c r="Q52" i="60" s="1"/>
  <c r="O52" i="62" s="1"/>
  <c r="AN109" i="60"/>
  <c r="E87" i="60"/>
  <c r="C87" i="60" s="1"/>
  <c r="AS84" i="60"/>
  <c r="AQ84" i="60" s="1"/>
  <c r="I77" i="60"/>
  <c r="G77" i="62" s="1"/>
  <c r="Y74" i="60"/>
  <c r="W74" i="62" s="1"/>
  <c r="M70" i="60"/>
  <c r="BO67" i="60"/>
  <c r="BK63" i="60"/>
  <c r="U62" i="60"/>
  <c r="S62" i="62" s="1"/>
  <c r="I33" i="60"/>
  <c r="M31" i="60"/>
  <c r="AI30" i="60"/>
  <c r="Q29" i="60"/>
  <c r="O29" i="62" s="1"/>
  <c r="Y27" i="60"/>
  <c r="W27" i="62" s="1"/>
  <c r="AW24" i="60"/>
  <c r="BO23" i="60"/>
  <c r="I23" i="60"/>
  <c r="G23" i="62" s="1"/>
  <c r="BK137" i="60"/>
  <c r="BK140" i="60" s="1"/>
  <c r="BK52" i="60" s="1"/>
  <c r="AW120" i="60"/>
  <c r="Y119" i="60"/>
  <c r="I110" i="60"/>
  <c r="BO108" i="60"/>
  <c r="AS87" i="60"/>
  <c r="AQ87" i="60" s="1"/>
  <c r="AI86" i="60"/>
  <c r="AG86" i="60" s="1"/>
  <c r="Q85" i="60"/>
  <c r="O85" i="60" s="1"/>
  <c r="E84" i="60"/>
  <c r="C84" i="60" s="1"/>
  <c r="AW77" i="60"/>
  <c r="I76" i="60"/>
  <c r="G76" i="62" s="1"/>
  <c r="BY74" i="60"/>
  <c r="BW74" i="62" s="1"/>
  <c r="BO71" i="60"/>
  <c r="BG70" i="60"/>
  <c r="BE70" i="62" s="1"/>
  <c r="AS69" i="60"/>
  <c r="AI68" i="60"/>
  <c r="U67" i="60"/>
  <c r="S67" i="62" s="1"/>
  <c r="U64" i="60"/>
  <c r="S64" i="62" s="1"/>
  <c r="AI63" i="60"/>
  <c r="AW62" i="60"/>
  <c r="BY59" i="60"/>
  <c r="BW59" i="62" s="1"/>
  <c r="M59" i="60"/>
  <c r="Y58" i="60"/>
  <c r="W58" i="62" s="1"/>
  <c r="AW57" i="60"/>
  <c r="BO56" i="60"/>
  <c r="I56" i="60"/>
  <c r="G56" i="62" s="1"/>
  <c r="Y55" i="60"/>
  <c r="W55" i="62" s="1"/>
  <c r="BO44" i="60"/>
  <c r="U44" i="60"/>
  <c r="S44" i="62" s="1"/>
  <c r="BG43" i="60"/>
  <c r="BE43" i="62" s="1"/>
  <c r="M43" i="60"/>
  <c r="AS42" i="60"/>
  <c r="E42" i="60"/>
  <c r="C42" i="62" s="1"/>
  <c r="AI41" i="60"/>
  <c r="BO40" i="60"/>
  <c r="U40" i="60"/>
  <c r="S40" i="62" s="1"/>
  <c r="BG39" i="60"/>
  <c r="BE39" i="62" s="1"/>
  <c r="M39" i="60"/>
  <c r="AS38" i="60"/>
  <c r="E38" i="60"/>
  <c r="C38" i="62" s="1"/>
  <c r="AI37" i="60"/>
  <c r="BO36" i="60"/>
  <c r="U36" i="60"/>
  <c r="S36" i="62" s="1"/>
  <c r="BG35" i="60"/>
  <c r="BE35" i="62" s="1"/>
  <c r="M35" i="60"/>
  <c r="BG32" i="60"/>
  <c r="BE32" i="62" s="1"/>
  <c r="M32" i="60"/>
  <c r="BG31" i="60"/>
  <c r="BE31" i="62" s="1"/>
  <c r="Y31" i="60"/>
  <c r="W31" i="62" s="1"/>
  <c r="E31" i="60"/>
  <c r="C31" i="62" s="1"/>
  <c r="AS30" i="60"/>
  <c r="Q30" i="60"/>
  <c r="O30" i="62" s="1"/>
  <c r="AI29" i="60"/>
  <c r="AG29" i="62" s="1"/>
  <c r="BY27" i="60"/>
  <c r="BW27" i="62" s="1"/>
  <c r="AS27" i="60"/>
  <c r="Q27" i="60"/>
  <c r="O27" i="62" s="1"/>
  <c r="BK24" i="60"/>
  <c r="AI24" i="60"/>
  <c r="I24" i="60"/>
  <c r="G24" i="62" s="1"/>
  <c r="AW23" i="60"/>
  <c r="U23" i="60"/>
  <c r="S23" i="62" s="1"/>
  <c r="U137" i="60"/>
  <c r="U140" i="60" s="1"/>
  <c r="U52" i="60" s="1"/>
  <c r="S52" i="62" s="1"/>
  <c r="E120" i="60"/>
  <c r="BK110" i="60"/>
  <c r="AS109" i="60"/>
  <c r="I87" i="60"/>
  <c r="G87" i="60" s="1"/>
  <c r="BY85" i="60"/>
  <c r="BW85" i="60" s="1"/>
  <c r="AW84" i="60"/>
  <c r="AU84" i="60" s="1"/>
  <c r="Y83" i="60"/>
  <c r="M77" i="60"/>
  <c r="AS75" i="60"/>
  <c r="Y71" i="60"/>
  <c r="W71" i="62" s="1"/>
  <c r="I69" i="60"/>
  <c r="G69" i="62" s="1"/>
  <c r="BY64" i="60"/>
  <c r="BW64" i="62" s="1"/>
  <c r="M63" i="60"/>
  <c r="Y62" i="60"/>
  <c r="W62" i="62" s="1"/>
  <c r="BO58" i="60"/>
  <c r="Y57" i="60"/>
  <c r="W57" i="62" s="1"/>
  <c r="BK55" i="60"/>
  <c r="I55" i="60"/>
  <c r="G55" i="62" s="1"/>
  <c r="I44" i="60"/>
  <c r="G44" i="62" s="1"/>
  <c r="BY42" i="60"/>
  <c r="BW42" i="62" s="1"/>
  <c r="Y42" i="60"/>
  <c r="W42" i="62" s="1"/>
  <c r="Q41" i="60"/>
  <c r="O41" i="62" s="1"/>
  <c r="I40" i="60"/>
  <c r="G40" i="62" s="1"/>
  <c r="AN39" i="60"/>
  <c r="Y38" i="60"/>
  <c r="W38" i="62" s="1"/>
  <c r="Q37" i="60"/>
  <c r="O37" i="62" s="1"/>
  <c r="AW36" i="60"/>
  <c r="AN35" i="60"/>
  <c r="AN32" i="60"/>
  <c r="AW31" i="60"/>
  <c r="U31" i="60"/>
  <c r="S31" i="62" s="1"/>
  <c r="AN30" i="60"/>
  <c r="U29" i="60"/>
  <c r="S29" i="62" s="1"/>
  <c r="AN27" i="60"/>
  <c r="BG24" i="60"/>
  <c r="BE24" i="62" s="1"/>
  <c r="Q23" i="60"/>
  <c r="O23" i="62" s="1"/>
  <c r="BY119" i="60"/>
  <c r="BG110" i="60"/>
  <c r="U108" i="60"/>
  <c r="BO85" i="60"/>
  <c r="BM85" i="60" s="1"/>
  <c r="U83" i="60"/>
  <c r="AW76" i="60"/>
  <c r="AN75" i="60"/>
  <c r="U71" i="60"/>
  <c r="S71" i="62" s="1"/>
  <c r="E69" i="60"/>
  <c r="C69" i="62" s="1"/>
  <c r="BO64" i="60"/>
  <c r="I63" i="60"/>
  <c r="G63" i="62" s="1"/>
  <c r="AN59" i="60"/>
  <c r="BK58" i="60"/>
  <c r="E58" i="60"/>
  <c r="C58" i="62" s="1"/>
  <c r="Q57" i="60"/>
  <c r="O57" i="62" s="1"/>
  <c r="AN56" i="60"/>
  <c r="BG55" i="60"/>
  <c r="BE55" i="62" s="1"/>
  <c r="M52" i="60"/>
  <c r="AS44" i="60"/>
  <c r="E44" i="60"/>
  <c r="C44" i="62" s="1"/>
  <c r="AI43" i="60"/>
  <c r="BO42" i="60"/>
  <c r="U42" i="60"/>
  <c r="S42" i="62" s="1"/>
  <c r="BG41" i="60"/>
  <c r="BE41" i="62" s="1"/>
  <c r="M41" i="60"/>
  <c r="AS40" i="60"/>
  <c r="E40" i="60"/>
  <c r="C40" i="62" s="1"/>
  <c r="AI39" i="60"/>
  <c r="BO38" i="60"/>
  <c r="U38" i="60"/>
  <c r="S38" i="62" s="1"/>
  <c r="BG37" i="60"/>
  <c r="M37" i="60"/>
  <c r="AS36" i="60"/>
  <c r="E36" i="60"/>
  <c r="C36" i="62" s="1"/>
  <c r="AI35" i="60"/>
  <c r="AI32" i="60"/>
  <c r="BY31" i="60"/>
  <c r="BW31" i="62" s="1"/>
  <c r="AS31" i="60"/>
  <c r="BK30" i="60"/>
  <c r="E30" i="60"/>
  <c r="C30" i="62" s="1"/>
  <c r="BK27" i="60"/>
  <c r="E27" i="60"/>
  <c r="C27" i="62" s="1"/>
  <c r="Q24" i="60"/>
  <c r="O24" i="62" s="1"/>
  <c r="AN23" i="60"/>
  <c r="BG145" i="60"/>
  <c r="Q145" i="60"/>
  <c r="BO145" i="60"/>
  <c r="E145" i="60"/>
  <c r="CC53" i="60"/>
  <c r="AS145" i="60"/>
  <c r="K31" i="60" l="1"/>
  <c r="K31" i="62"/>
  <c r="S72" i="62"/>
  <c r="BM43" i="60"/>
  <c r="BM43" i="62"/>
  <c r="AL31" i="60"/>
  <c r="AL31" i="62"/>
  <c r="AL57" i="60"/>
  <c r="AL57" i="62"/>
  <c r="BM63" i="60"/>
  <c r="BM65" i="60" s="1"/>
  <c r="BM63" i="62"/>
  <c r="K69" i="60"/>
  <c r="K72" i="60" s="1"/>
  <c r="K69" i="62"/>
  <c r="AL74" i="60"/>
  <c r="AL74" i="62"/>
  <c r="AL69" i="60"/>
  <c r="AL69" i="62"/>
  <c r="BM74" i="60"/>
  <c r="BM74" i="62"/>
  <c r="AL35" i="60"/>
  <c r="AL35" i="62"/>
  <c r="S65" i="62"/>
  <c r="K76" i="60"/>
  <c r="K76" i="62"/>
  <c r="BM32" i="60"/>
  <c r="BM32" i="62"/>
  <c r="K49" i="60"/>
  <c r="K49" i="62"/>
  <c r="K63" i="60"/>
  <c r="K63" i="62"/>
  <c r="AL24" i="60"/>
  <c r="AL24" i="62"/>
  <c r="BM24" i="60"/>
  <c r="BM24" i="62"/>
  <c r="BM71" i="60"/>
  <c r="BM71" i="62"/>
  <c r="K50" i="60"/>
  <c r="K50" i="62"/>
  <c r="BM75" i="60"/>
  <c r="BM75" i="62"/>
  <c r="AL27" i="60"/>
  <c r="AL27" i="62"/>
  <c r="BW80" i="62"/>
  <c r="AL63" i="60"/>
  <c r="AL63" i="62"/>
  <c r="BM41" i="60"/>
  <c r="BM41" i="62"/>
  <c r="AL44" i="60"/>
  <c r="AL44" i="62"/>
  <c r="BM55" i="60"/>
  <c r="BM55" i="62"/>
  <c r="BM58" i="60"/>
  <c r="BM58" i="62"/>
  <c r="AL43" i="60"/>
  <c r="AL43" i="62"/>
  <c r="AL77" i="60"/>
  <c r="AL77" i="62"/>
  <c r="BM44" i="60"/>
  <c r="BM44" i="62"/>
  <c r="K41" i="60"/>
  <c r="K41" i="62"/>
  <c r="AL59" i="60"/>
  <c r="AL59" i="62"/>
  <c r="BM56" i="60"/>
  <c r="BM56" i="62"/>
  <c r="BM30" i="60"/>
  <c r="BM30" i="62"/>
  <c r="BM42" i="60"/>
  <c r="BM42" i="62"/>
  <c r="W80" i="62"/>
  <c r="K55" i="60"/>
  <c r="K55" i="62"/>
  <c r="BM35" i="60"/>
  <c r="BM35" i="62"/>
  <c r="K32" i="60"/>
  <c r="K32" i="62"/>
  <c r="BM40" i="60"/>
  <c r="BM40" i="62"/>
  <c r="BM23" i="60"/>
  <c r="BM23" i="62"/>
  <c r="BW72" i="62"/>
  <c r="K42" i="60"/>
  <c r="K42" i="62"/>
  <c r="AL55" i="60"/>
  <c r="AL55" i="62"/>
  <c r="BM69" i="60"/>
  <c r="BM69" i="62"/>
  <c r="K36" i="60"/>
  <c r="K36" i="62"/>
  <c r="K56" i="60"/>
  <c r="K56" i="62"/>
  <c r="AL56" i="60"/>
  <c r="AL56" i="62"/>
  <c r="W25" i="62"/>
  <c r="BW65" i="62"/>
  <c r="BM31" i="60"/>
  <c r="BM31" i="62"/>
  <c r="BW33" i="62"/>
  <c r="BM57" i="60"/>
  <c r="BM57" i="62"/>
  <c r="S80" i="62"/>
  <c r="W65" i="62"/>
  <c r="K24" i="60"/>
  <c r="K24" i="62"/>
  <c r="AL58" i="60"/>
  <c r="AL58" i="62"/>
  <c r="AL39" i="60"/>
  <c r="AL39" i="62"/>
  <c r="K68" i="60"/>
  <c r="K68" i="62"/>
  <c r="S45" i="62"/>
  <c r="S60" i="62"/>
  <c r="K75" i="60"/>
  <c r="K75" i="62"/>
  <c r="S25" i="62"/>
  <c r="K27" i="60"/>
  <c r="K27" i="62"/>
  <c r="AL30" i="60"/>
  <c r="AL30" i="62"/>
  <c r="K59" i="60"/>
  <c r="K59" i="62"/>
  <c r="AL37" i="60"/>
  <c r="AL37" i="62"/>
  <c r="W72" i="62"/>
  <c r="BW60" i="62"/>
  <c r="AL62" i="60"/>
  <c r="AL62" i="62"/>
  <c r="BM39" i="60"/>
  <c r="BM39" i="62"/>
  <c r="K51" i="60"/>
  <c r="K51" i="62"/>
  <c r="BM59" i="60"/>
  <c r="BM59" i="62"/>
  <c r="K67" i="60"/>
  <c r="K67" i="62"/>
  <c r="AL67" i="60"/>
  <c r="AL67" i="62"/>
  <c r="BW25" i="62"/>
  <c r="BM36" i="60"/>
  <c r="BM36" i="62"/>
  <c r="K74" i="60"/>
  <c r="K74" i="62"/>
  <c r="K58" i="60"/>
  <c r="K58" i="62"/>
  <c r="BM77" i="60"/>
  <c r="BM77" i="62"/>
  <c r="BM27" i="60"/>
  <c r="BM27" i="62"/>
  <c r="AL41" i="60"/>
  <c r="AL41" i="62"/>
  <c r="K30" i="60"/>
  <c r="K33" i="60" s="1"/>
  <c r="K30" i="62"/>
  <c r="K64" i="60"/>
  <c r="K64" i="62"/>
  <c r="K70" i="60"/>
  <c r="K70" i="62"/>
  <c r="AL23" i="60"/>
  <c r="AL23" i="62"/>
  <c r="AL75" i="60"/>
  <c r="AL75" i="62"/>
  <c r="BM62" i="60"/>
  <c r="BM62" i="62"/>
  <c r="K40" i="60"/>
  <c r="K40" i="62"/>
  <c r="AL38" i="60"/>
  <c r="AL38" i="62"/>
  <c r="K62" i="60"/>
  <c r="K65" i="60" s="1"/>
  <c r="K62" i="62"/>
  <c r="K65" i="62" s="1"/>
  <c r="BM70" i="60"/>
  <c r="BM70" i="62"/>
  <c r="BM68" i="60"/>
  <c r="BM68" i="62"/>
  <c r="K35" i="60"/>
  <c r="K35" i="62"/>
  <c r="K23" i="60"/>
  <c r="K25" i="60" s="1"/>
  <c r="K23" i="62"/>
  <c r="K25" i="62" s="1"/>
  <c r="W45" i="62"/>
  <c r="K71" i="60"/>
  <c r="K71" i="62"/>
  <c r="AL76" i="60"/>
  <c r="AL76" i="62"/>
  <c r="AL71" i="60"/>
  <c r="AL71" i="62"/>
  <c r="BM76" i="60"/>
  <c r="BM76" i="62"/>
  <c r="BW45" i="62"/>
  <c r="BM37" i="60"/>
  <c r="BM37" i="62"/>
  <c r="K44" i="60"/>
  <c r="K44" i="62"/>
  <c r="K38" i="60"/>
  <c r="K38" i="62"/>
  <c r="AL36" i="60"/>
  <c r="AL36" i="62"/>
  <c r="K57" i="60"/>
  <c r="K57" i="62"/>
  <c r="W60" i="62"/>
  <c r="K39" i="60"/>
  <c r="K39" i="62"/>
  <c r="BM67" i="60"/>
  <c r="BM67" i="62"/>
  <c r="AL40" i="60"/>
  <c r="AL40" i="62"/>
  <c r="AL64" i="60"/>
  <c r="AL65" i="60" s="1"/>
  <c r="AL64" i="62"/>
  <c r="BM64" i="60"/>
  <c r="BM64" i="62"/>
  <c r="K37" i="60"/>
  <c r="K37" i="62"/>
  <c r="K77" i="60"/>
  <c r="K77" i="62"/>
  <c r="S33" i="62"/>
  <c r="AL68" i="60"/>
  <c r="AL68" i="62"/>
  <c r="K52" i="60"/>
  <c r="K52" i="62"/>
  <c r="BM38" i="60"/>
  <c r="BM38" i="62"/>
  <c r="AL32" i="60"/>
  <c r="AL32" i="62"/>
  <c r="K43" i="60"/>
  <c r="K43" i="62"/>
  <c r="AL52" i="60"/>
  <c r="AL52" i="62"/>
  <c r="W33" i="62"/>
  <c r="AL42" i="60"/>
  <c r="AL42" i="62"/>
  <c r="AL70" i="60"/>
  <c r="AL70" i="62"/>
  <c r="BI55" i="60"/>
  <c r="BI55" i="62"/>
  <c r="AQ43" i="60"/>
  <c r="AQ43" i="62"/>
  <c r="AU30" i="60"/>
  <c r="AU30" i="62"/>
  <c r="AQ40" i="60"/>
  <c r="AQ40" i="62"/>
  <c r="AQ30" i="60"/>
  <c r="AQ30" i="62"/>
  <c r="AG32" i="60"/>
  <c r="AG32" i="62"/>
  <c r="O25" i="62"/>
  <c r="O45" i="62"/>
  <c r="C65" i="62"/>
  <c r="BI31" i="60"/>
  <c r="BI31" i="62"/>
  <c r="AU64" i="60"/>
  <c r="AU64" i="62"/>
  <c r="AG69" i="60"/>
  <c r="AG69" i="62"/>
  <c r="BI74" i="60"/>
  <c r="BI74" i="62"/>
  <c r="BI69" i="60"/>
  <c r="BI69" i="62"/>
  <c r="AQ37" i="60"/>
  <c r="AQ37" i="62"/>
  <c r="AU36" i="60"/>
  <c r="AU36" i="62"/>
  <c r="BI58" i="60"/>
  <c r="BI58" i="62"/>
  <c r="BI52" i="60"/>
  <c r="BI52" i="62"/>
  <c r="AU59" i="60"/>
  <c r="AU59" i="62"/>
  <c r="BI35" i="60"/>
  <c r="BI35" i="62"/>
  <c r="AU42" i="60"/>
  <c r="AU42" i="62"/>
  <c r="BI62" i="60"/>
  <c r="BI62" i="62"/>
  <c r="AQ41" i="60"/>
  <c r="AQ41" i="62"/>
  <c r="AQ35" i="60"/>
  <c r="AQ35" i="62"/>
  <c r="BI40" i="60"/>
  <c r="BI40" i="62"/>
  <c r="G72" i="62"/>
  <c r="AQ55" i="60"/>
  <c r="AQ55" i="62"/>
  <c r="AG64" i="60"/>
  <c r="AG64" i="62"/>
  <c r="BI64" i="60"/>
  <c r="BI64" i="62"/>
  <c r="AG75" i="60"/>
  <c r="AG75" i="62"/>
  <c r="AU76" i="60"/>
  <c r="AU76" i="62"/>
  <c r="AG63" i="60"/>
  <c r="AG63" i="62"/>
  <c r="BI30" i="60"/>
  <c r="BI30" i="62"/>
  <c r="AQ31" i="60"/>
  <c r="AQ31" i="62"/>
  <c r="AU23" i="60"/>
  <c r="AU23" i="62"/>
  <c r="AU57" i="60"/>
  <c r="AU57" i="62"/>
  <c r="G25" i="62"/>
  <c r="AU27" i="60"/>
  <c r="AU27" i="62"/>
  <c r="AG27" i="60"/>
  <c r="AG27" i="62"/>
  <c r="AU37" i="60"/>
  <c r="AU37" i="62"/>
  <c r="AU58" i="60"/>
  <c r="AU58" i="62"/>
  <c r="AU67" i="60"/>
  <c r="AU67" i="62"/>
  <c r="AG76" i="60"/>
  <c r="AG76" i="62"/>
  <c r="BE65" i="62"/>
  <c r="BT37" i="60"/>
  <c r="BR37" i="62" s="1"/>
  <c r="BE37" i="62"/>
  <c r="BE45" i="62" s="1"/>
  <c r="BE33" i="62"/>
  <c r="AG30" i="60"/>
  <c r="AG30" i="62"/>
  <c r="BI41" i="60"/>
  <c r="BI41" i="62"/>
  <c r="AU74" i="60"/>
  <c r="AU74" i="62"/>
  <c r="AG35" i="60"/>
  <c r="AG35" i="62"/>
  <c r="AQ36" i="60"/>
  <c r="AQ36" i="62"/>
  <c r="AG43" i="60"/>
  <c r="AG43" i="62"/>
  <c r="AQ75" i="60"/>
  <c r="AQ75" i="62"/>
  <c r="BI43" i="60"/>
  <c r="BI43" i="62"/>
  <c r="AQ39" i="60"/>
  <c r="AQ39" i="62"/>
  <c r="AU32" i="60"/>
  <c r="AU32" i="62"/>
  <c r="BI44" i="60"/>
  <c r="BI44" i="62"/>
  <c r="AG77" i="60"/>
  <c r="AG77" i="62"/>
  <c r="AQ59" i="60"/>
  <c r="AQ59" i="62"/>
  <c r="AU75" i="60"/>
  <c r="AU75" i="62"/>
  <c r="O72" i="62"/>
  <c r="AU70" i="60"/>
  <c r="AU70" i="62"/>
  <c r="BI24" i="60"/>
  <c r="BI24" i="62"/>
  <c r="AU62" i="60"/>
  <c r="AU62" i="62"/>
  <c r="AQ27" i="60"/>
  <c r="AQ27" i="62"/>
  <c r="AG57" i="60"/>
  <c r="AG57" i="62"/>
  <c r="AG24" i="60"/>
  <c r="AG24" i="62"/>
  <c r="AG41" i="60"/>
  <c r="AG41" i="62"/>
  <c r="AU77" i="60"/>
  <c r="AU77" i="62"/>
  <c r="AU24" i="60"/>
  <c r="AU25" i="60" s="1"/>
  <c r="AU24" i="62"/>
  <c r="G45" i="62"/>
  <c r="AG42" i="60"/>
  <c r="AG42" i="62"/>
  <c r="AG70" i="60"/>
  <c r="AG70" i="62"/>
  <c r="AG36" i="60"/>
  <c r="AG36" i="62"/>
  <c r="AU41" i="60"/>
  <c r="AU41" i="62"/>
  <c r="AG59" i="60"/>
  <c r="AG59" i="62"/>
  <c r="BI68" i="60"/>
  <c r="BI68" i="62"/>
  <c r="AG56" i="60"/>
  <c r="AG56" i="62"/>
  <c r="AQ70" i="60"/>
  <c r="AQ70" i="62"/>
  <c r="BI37" i="60"/>
  <c r="BI37" i="62"/>
  <c r="AG74" i="60"/>
  <c r="AG74" i="62"/>
  <c r="O60" i="62"/>
  <c r="BI59" i="60"/>
  <c r="BI59" i="62"/>
  <c r="AG67" i="60"/>
  <c r="AG67" i="62"/>
  <c r="BI67" i="60"/>
  <c r="BI67" i="62"/>
  <c r="AQ76" i="60"/>
  <c r="AQ76" i="62"/>
  <c r="C25" i="62"/>
  <c r="G60" i="62"/>
  <c r="AU38" i="60"/>
  <c r="AU38" i="62"/>
  <c r="AG55" i="60"/>
  <c r="AG55" i="62"/>
  <c r="AU69" i="60"/>
  <c r="AU69" i="62"/>
  <c r="AU56" i="60"/>
  <c r="AU56" i="62"/>
  <c r="AQ71" i="60"/>
  <c r="AQ71" i="62"/>
  <c r="G33" i="62"/>
  <c r="BI38" i="60"/>
  <c r="BI38" i="62"/>
  <c r="AU55" i="60"/>
  <c r="AU60" i="60" s="1"/>
  <c r="AU55" i="62"/>
  <c r="AG62" i="60"/>
  <c r="AG62" i="62"/>
  <c r="BE72" i="62"/>
  <c r="AU31" i="60"/>
  <c r="AU31" i="62"/>
  <c r="BI27" i="60"/>
  <c r="BI27" i="62"/>
  <c r="AU40" i="60"/>
  <c r="AU40" i="62"/>
  <c r="BI70" i="60"/>
  <c r="BI70" i="62"/>
  <c r="AU63" i="60"/>
  <c r="AU63" i="62"/>
  <c r="G80" i="62"/>
  <c r="AG23" i="60"/>
  <c r="AG23" i="62"/>
  <c r="AU35" i="60"/>
  <c r="AU35" i="62"/>
  <c r="AQ62" i="60"/>
  <c r="AQ62" i="62"/>
  <c r="AG71" i="60"/>
  <c r="AG71" i="62"/>
  <c r="BI76" i="60"/>
  <c r="BI76" i="62"/>
  <c r="BI71" i="60"/>
  <c r="BI71" i="62"/>
  <c r="AQ57" i="60"/>
  <c r="AQ57" i="62"/>
  <c r="AU68" i="60"/>
  <c r="AU68" i="62"/>
  <c r="C80" i="62"/>
  <c r="AG52" i="60"/>
  <c r="AG52" i="62"/>
  <c r="AQ42" i="60"/>
  <c r="AQ42" i="62"/>
  <c r="AQ23" i="60"/>
  <c r="AQ23" i="62"/>
  <c r="BI42" i="60"/>
  <c r="BI42" i="62"/>
  <c r="AG37" i="60"/>
  <c r="AG37" i="62"/>
  <c r="BI23" i="60"/>
  <c r="BI23" i="62"/>
  <c r="AG40" i="60"/>
  <c r="AG40" i="62"/>
  <c r="BI57" i="60"/>
  <c r="BI57" i="62"/>
  <c r="AQ64" i="60"/>
  <c r="AQ65" i="60" s="1"/>
  <c r="AQ64" i="62"/>
  <c r="AQ32" i="60"/>
  <c r="AQ32" i="62"/>
  <c r="AU39" i="60"/>
  <c r="AU39" i="62"/>
  <c r="BI56" i="60"/>
  <c r="BI56" i="62"/>
  <c r="AU71" i="60"/>
  <c r="AU71" i="62"/>
  <c r="AQ52" i="60"/>
  <c r="AQ52" i="62"/>
  <c r="AQ68" i="60"/>
  <c r="AQ72" i="60" s="1"/>
  <c r="AQ68" i="62"/>
  <c r="AU52" i="60"/>
  <c r="AU52" i="62"/>
  <c r="AQ77" i="60"/>
  <c r="AQ77" i="62"/>
  <c r="AQ44" i="60"/>
  <c r="AQ44" i="62"/>
  <c r="C33" i="62"/>
  <c r="BI39" i="60"/>
  <c r="BI39" i="62"/>
  <c r="O33" i="62"/>
  <c r="AG68" i="60"/>
  <c r="AG68" i="62"/>
  <c r="AU44" i="60"/>
  <c r="AU44" i="62"/>
  <c r="C72" i="62"/>
  <c r="BI75" i="60"/>
  <c r="BI75" i="62"/>
  <c r="AQ63" i="60"/>
  <c r="AQ63" i="62"/>
  <c r="O80" i="62"/>
  <c r="BI77" i="60"/>
  <c r="BI77" i="62"/>
  <c r="AQ74" i="60"/>
  <c r="AQ74" i="62"/>
  <c r="BE60" i="62"/>
  <c r="AG39" i="60"/>
  <c r="AG39" i="62"/>
  <c r="AG31" i="60"/>
  <c r="AG31" i="62"/>
  <c r="BE25" i="62"/>
  <c r="AQ38" i="60"/>
  <c r="AQ38" i="62"/>
  <c r="AQ69" i="60"/>
  <c r="AQ69" i="62"/>
  <c r="BI63" i="60"/>
  <c r="BI65" i="60" s="1"/>
  <c r="BI63" i="62"/>
  <c r="AQ56" i="60"/>
  <c r="AQ56" i="62"/>
  <c r="BI32" i="60"/>
  <c r="BI32" i="62"/>
  <c r="AG44" i="60"/>
  <c r="AG44" i="62"/>
  <c r="AQ58" i="60"/>
  <c r="AQ58" i="62"/>
  <c r="AQ67" i="60"/>
  <c r="AQ67" i="62"/>
  <c r="C45" i="62"/>
  <c r="AG38" i="60"/>
  <c r="AG38" i="62"/>
  <c r="AQ24" i="60"/>
  <c r="AQ24" i="62"/>
  <c r="BI36" i="60"/>
  <c r="BI36" i="62"/>
  <c r="AU43" i="60"/>
  <c r="AU43" i="62"/>
  <c r="G65" i="62"/>
  <c r="BE80" i="62"/>
  <c r="C60" i="62"/>
  <c r="AG58" i="60"/>
  <c r="AG58" i="62"/>
  <c r="O65" i="62"/>
  <c r="BT55" i="60"/>
  <c r="BR55" i="62" s="1"/>
  <c r="BT59" i="60"/>
  <c r="BR59" i="62" s="1"/>
  <c r="BT43" i="60"/>
  <c r="BR43" i="62" s="1"/>
  <c r="BT70" i="60"/>
  <c r="BR70" i="62" s="1"/>
  <c r="BT77" i="60"/>
  <c r="BR77" i="62" s="1"/>
  <c r="BT83" i="60"/>
  <c r="BT31" i="60"/>
  <c r="BR31" i="62" s="1"/>
  <c r="BT68" i="60"/>
  <c r="BR68" i="62" s="1"/>
  <c r="BT44" i="60"/>
  <c r="BR44" i="62" s="1"/>
  <c r="BT74" i="60"/>
  <c r="BR74" i="62" s="1"/>
  <c r="BT32" i="60"/>
  <c r="BR32" i="62" s="1"/>
  <c r="BT38" i="60"/>
  <c r="BR38" i="62" s="1"/>
  <c r="BT58" i="60"/>
  <c r="BR58" i="62" s="1"/>
  <c r="BI85" i="60"/>
  <c r="BT85" i="60"/>
  <c r="BR85" i="60" s="1"/>
  <c r="BT35" i="60"/>
  <c r="BR35" i="62" s="1"/>
  <c r="BT27" i="60"/>
  <c r="BR27" i="62" s="1"/>
  <c r="BT69" i="60"/>
  <c r="BR69" i="62" s="1"/>
  <c r="BT76" i="60"/>
  <c r="BR76" i="62" s="1"/>
  <c r="BT30" i="60"/>
  <c r="BR30" i="62" s="1"/>
  <c r="BT42" i="60"/>
  <c r="BR42" i="62" s="1"/>
  <c r="BT64" i="60"/>
  <c r="BR64" i="62" s="1"/>
  <c r="BT36" i="60"/>
  <c r="BR36" i="62" s="1"/>
  <c r="BT57" i="60"/>
  <c r="BR57" i="62" s="1"/>
  <c r="BT56" i="60"/>
  <c r="BR56" i="62" s="1"/>
  <c r="BI87" i="60"/>
  <c r="BT87" i="60"/>
  <c r="BR87" i="60" s="1"/>
  <c r="BT75" i="60"/>
  <c r="BR75" i="62" s="1"/>
  <c r="BE86" i="60"/>
  <c r="BT86" i="60"/>
  <c r="BR86" i="60" s="1"/>
  <c r="BT23" i="60"/>
  <c r="BR23" i="62" s="1"/>
  <c r="BT67" i="60"/>
  <c r="BR67" i="62" s="1"/>
  <c r="BT41" i="60"/>
  <c r="BR41" i="62" s="1"/>
  <c r="BT40" i="60"/>
  <c r="BR40" i="62" s="1"/>
  <c r="BT62" i="60"/>
  <c r="BR62" i="62" s="1"/>
  <c r="BI84" i="60"/>
  <c r="BT84" i="60"/>
  <c r="BR84" i="60" s="1"/>
  <c r="BT24" i="60"/>
  <c r="BR24" i="62" s="1"/>
  <c r="BT39" i="60"/>
  <c r="BR39" i="62" s="1"/>
  <c r="BT63" i="60"/>
  <c r="BR63" i="62" s="1"/>
  <c r="BT71" i="60"/>
  <c r="BR71" i="62" s="1"/>
  <c r="BE31" i="60"/>
  <c r="BE44" i="60"/>
  <c r="BE37" i="60"/>
  <c r="BE32" i="60"/>
  <c r="BE68" i="60"/>
  <c r="BE38" i="60"/>
  <c r="BE77" i="60"/>
  <c r="BE59" i="60"/>
  <c r="BE71" i="60"/>
  <c r="BE55" i="60"/>
  <c r="BE35" i="60"/>
  <c r="BE58" i="60"/>
  <c r="BE63" i="60"/>
  <c r="BE76" i="60"/>
  <c r="BE27" i="60"/>
  <c r="BE69" i="60"/>
  <c r="BE43" i="60"/>
  <c r="BE30" i="60"/>
  <c r="BE42" i="60"/>
  <c r="BE64" i="60"/>
  <c r="BE52" i="60"/>
  <c r="BE36" i="60"/>
  <c r="BE74" i="60"/>
  <c r="BE41" i="60"/>
  <c r="BE57" i="60"/>
  <c r="BE56" i="60"/>
  <c r="BE75" i="60"/>
  <c r="BE70" i="60"/>
  <c r="BE23" i="60"/>
  <c r="BE67" i="60"/>
  <c r="BE24" i="60"/>
  <c r="BE39" i="60"/>
  <c r="BE40" i="60"/>
  <c r="BE62" i="60"/>
  <c r="BO52" i="60"/>
  <c r="AI124" i="60"/>
  <c r="AI50" i="60" s="1"/>
  <c r="BW36" i="60"/>
  <c r="W64" i="60"/>
  <c r="W77" i="60"/>
  <c r="S58" i="60"/>
  <c r="W52" i="60"/>
  <c r="W44" i="60"/>
  <c r="BW68" i="60"/>
  <c r="S36" i="60"/>
  <c r="BW38" i="60"/>
  <c r="S30" i="60"/>
  <c r="BW44" i="60"/>
  <c r="W41" i="60"/>
  <c r="BW52" i="60"/>
  <c r="S77" i="60"/>
  <c r="W57" i="60"/>
  <c r="BW27" i="60"/>
  <c r="S56" i="60"/>
  <c r="S59" i="60"/>
  <c r="S44" i="60"/>
  <c r="BW41" i="60"/>
  <c r="BW31" i="60"/>
  <c r="W62" i="60"/>
  <c r="W24" i="60"/>
  <c r="W23" i="60"/>
  <c r="BW56" i="60"/>
  <c r="BW69" i="60"/>
  <c r="W38" i="60"/>
  <c r="W55" i="60"/>
  <c r="S62" i="60"/>
  <c r="W40" i="60"/>
  <c r="S37" i="60"/>
  <c r="BW64" i="60"/>
  <c r="W39" i="60"/>
  <c r="W56" i="60"/>
  <c r="W31" i="60"/>
  <c r="S57" i="60"/>
  <c r="BW70" i="60"/>
  <c r="S76" i="60"/>
  <c r="W71" i="60"/>
  <c r="S40" i="60"/>
  <c r="BW74" i="60"/>
  <c r="BW24" i="60"/>
  <c r="W76" i="60"/>
  <c r="S24" i="60"/>
  <c r="BW39" i="60"/>
  <c r="W43" i="60"/>
  <c r="S68" i="60"/>
  <c r="W30" i="60"/>
  <c r="S32" i="60"/>
  <c r="BW35" i="60"/>
  <c r="BW30" i="60"/>
  <c r="W63" i="60"/>
  <c r="S71" i="60"/>
  <c r="W42" i="60"/>
  <c r="W58" i="60"/>
  <c r="W74" i="60"/>
  <c r="S27" i="60"/>
  <c r="S41" i="60"/>
  <c r="BW58" i="60"/>
  <c r="BW76" i="60"/>
  <c r="S63" i="60"/>
  <c r="CB63" i="60"/>
  <c r="CC65" i="60"/>
  <c r="CC81" i="60" s="1"/>
  <c r="CC82" i="60" s="1"/>
  <c r="S38" i="60"/>
  <c r="S31" i="60"/>
  <c r="BW59" i="60"/>
  <c r="W28" i="60"/>
  <c r="S69" i="60"/>
  <c r="W37" i="60"/>
  <c r="W27" i="60"/>
  <c r="W67" i="60"/>
  <c r="BW77" i="60"/>
  <c r="S39" i="60"/>
  <c r="W32" i="60"/>
  <c r="S55" i="60"/>
  <c r="S74" i="60"/>
  <c r="BW55" i="60"/>
  <c r="BW37" i="60"/>
  <c r="S64" i="60"/>
  <c r="S28" i="60"/>
  <c r="BW32" i="60"/>
  <c r="W75" i="60"/>
  <c r="S67" i="60"/>
  <c r="W69" i="60"/>
  <c r="S70" i="60"/>
  <c r="BW71" i="60"/>
  <c r="S43" i="60"/>
  <c r="W35" i="60"/>
  <c r="BW75" i="60"/>
  <c r="W70" i="60"/>
  <c r="S42" i="60"/>
  <c r="BW23" i="60"/>
  <c r="S52" i="60"/>
  <c r="BW40" i="60"/>
  <c r="BW62" i="60"/>
  <c r="S23" i="60"/>
  <c r="BW63" i="60"/>
  <c r="BW42" i="60"/>
  <c r="BW67" i="60"/>
  <c r="W36" i="60"/>
  <c r="W59" i="60"/>
  <c r="S35" i="60"/>
  <c r="BW43" i="60"/>
  <c r="BW57" i="60"/>
  <c r="S75" i="60"/>
  <c r="W68" i="60"/>
  <c r="G23" i="60"/>
  <c r="G27" i="60"/>
  <c r="C32" i="60"/>
  <c r="G38" i="60"/>
  <c r="C75" i="60"/>
  <c r="C64" i="60"/>
  <c r="C35" i="60"/>
  <c r="G39" i="60"/>
  <c r="O40" i="60"/>
  <c r="C56" i="60"/>
  <c r="G59" i="60"/>
  <c r="G64" i="60"/>
  <c r="O68" i="60"/>
  <c r="C59" i="60"/>
  <c r="G75" i="60"/>
  <c r="O76" i="60"/>
  <c r="G68" i="60"/>
  <c r="O69" i="60"/>
  <c r="C44" i="60"/>
  <c r="G24" i="60"/>
  <c r="G76" i="60"/>
  <c r="O24" i="60"/>
  <c r="C40" i="60"/>
  <c r="O57" i="60"/>
  <c r="G63" i="60"/>
  <c r="C31" i="60"/>
  <c r="G56" i="60"/>
  <c r="G77" i="60"/>
  <c r="O52" i="60"/>
  <c r="O32" i="60"/>
  <c r="O43" i="60"/>
  <c r="C71" i="60"/>
  <c r="O75" i="60"/>
  <c r="G37" i="60"/>
  <c r="O38" i="60"/>
  <c r="G71" i="60"/>
  <c r="C57" i="60"/>
  <c r="C70" i="60"/>
  <c r="O74" i="60"/>
  <c r="C52" i="60"/>
  <c r="O64" i="60"/>
  <c r="O67" i="60"/>
  <c r="C76" i="60"/>
  <c r="O23" i="60"/>
  <c r="C27" i="60"/>
  <c r="C36" i="60"/>
  <c r="C58" i="60"/>
  <c r="G40" i="60"/>
  <c r="G44" i="60"/>
  <c r="G69" i="60"/>
  <c r="C42" i="60"/>
  <c r="G36" i="60"/>
  <c r="G58" i="60"/>
  <c r="O70" i="60"/>
  <c r="C23" i="60"/>
  <c r="G31" i="60"/>
  <c r="O39" i="60"/>
  <c r="O56" i="60"/>
  <c r="O59" i="60"/>
  <c r="C43" i="60"/>
  <c r="O58" i="60"/>
  <c r="O63" i="60"/>
  <c r="C67" i="60"/>
  <c r="C39" i="60"/>
  <c r="C24" i="60"/>
  <c r="G32" i="60"/>
  <c r="G35" i="60"/>
  <c r="O36" i="60"/>
  <c r="G43" i="60"/>
  <c r="O44" i="60"/>
  <c r="O55" i="60"/>
  <c r="G67" i="60"/>
  <c r="C55" i="60"/>
  <c r="C68" i="60"/>
  <c r="O77" i="60"/>
  <c r="C74" i="60"/>
  <c r="C30" i="60"/>
  <c r="C69" i="60"/>
  <c r="O37" i="60"/>
  <c r="O41" i="60"/>
  <c r="G55" i="60"/>
  <c r="O27" i="60"/>
  <c r="O30" i="60"/>
  <c r="C38" i="60"/>
  <c r="O35" i="60"/>
  <c r="G42" i="60"/>
  <c r="C62" i="60"/>
  <c r="C41" i="60"/>
  <c r="G57" i="60"/>
  <c r="G62" i="60"/>
  <c r="G74" i="60"/>
  <c r="C37" i="60"/>
  <c r="G30" i="60"/>
  <c r="O31" i="60"/>
  <c r="G41" i="60"/>
  <c r="O42" i="60"/>
  <c r="O62" i="60"/>
  <c r="C63" i="60"/>
  <c r="G70" i="60"/>
  <c r="O71" i="60"/>
  <c r="C77" i="60"/>
  <c r="G52" i="60"/>
  <c r="BY124" i="60"/>
  <c r="BY50" i="60" s="1"/>
  <c r="BW50" i="62" s="1"/>
  <c r="AS124" i="60"/>
  <c r="AS50" i="60" s="1"/>
  <c r="E114" i="60"/>
  <c r="E49" i="60" s="1"/>
  <c r="C49" i="62" s="1"/>
  <c r="U114" i="60"/>
  <c r="U49" i="60" s="1"/>
  <c r="S49" i="62" s="1"/>
  <c r="U124" i="60"/>
  <c r="U50" i="60" s="1"/>
  <c r="S50" i="62" s="1"/>
  <c r="AI114" i="60"/>
  <c r="AI49" i="60" s="1"/>
  <c r="AG49" i="62" s="1"/>
  <c r="BK124" i="60"/>
  <c r="BK50" i="60" s="1"/>
  <c r="BY114" i="60"/>
  <c r="BY49" i="60" s="1"/>
  <c r="BW49" i="62" s="1"/>
  <c r="BB31" i="60"/>
  <c r="BB40" i="60"/>
  <c r="AD58" i="60"/>
  <c r="U72" i="60"/>
  <c r="AS25" i="60"/>
  <c r="BB23" i="60"/>
  <c r="AD24" i="60"/>
  <c r="I45" i="60"/>
  <c r="AD85" i="60"/>
  <c r="AB85" i="60" s="1"/>
  <c r="BB59" i="60"/>
  <c r="AD86" i="60"/>
  <c r="AB86" i="60" s="1"/>
  <c r="AN72" i="60"/>
  <c r="AD74" i="60"/>
  <c r="BB36" i="60"/>
  <c r="BG60" i="60"/>
  <c r="AN28" i="60"/>
  <c r="Q28" i="60"/>
  <c r="O28" i="62" s="1"/>
  <c r="BG45" i="60"/>
  <c r="BB42" i="60"/>
  <c r="BY80" i="60"/>
  <c r="Q45" i="60"/>
  <c r="E65" i="60"/>
  <c r="AD62" i="60"/>
  <c r="Y72" i="60"/>
  <c r="AD41" i="60"/>
  <c r="AN60" i="60"/>
  <c r="BB58" i="60"/>
  <c r="I65" i="60"/>
  <c r="AS72" i="60"/>
  <c r="BB67" i="60"/>
  <c r="BO45" i="60"/>
  <c r="AD37" i="60"/>
  <c r="M25" i="60"/>
  <c r="AI28" i="60"/>
  <c r="Y45" i="60"/>
  <c r="AW60" i="60"/>
  <c r="Q65" i="60"/>
  <c r="AW72" i="60"/>
  <c r="M80" i="60"/>
  <c r="K80" i="60" s="1"/>
  <c r="BB85" i="60"/>
  <c r="AZ85" i="60" s="1"/>
  <c r="U60" i="60"/>
  <c r="C23" i="16" s="1"/>
  <c r="C22" i="16" s="1"/>
  <c r="BB57" i="60"/>
  <c r="AD63" i="60"/>
  <c r="M72" i="60"/>
  <c r="BB70" i="60"/>
  <c r="BK80" i="60"/>
  <c r="BI80" i="60" s="1"/>
  <c r="BG114" i="60"/>
  <c r="BG49" i="60" s="1"/>
  <c r="BE49" i="62" s="1"/>
  <c r="Q124" i="60"/>
  <c r="Q50" i="60" s="1"/>
  <c r="O50" i="62" s="1"/>
  <c r="BK72" i="60"/>
  <c r="BB76" i="60"/>
  <c r="AD77" i="60"/>
  <c r="Q114" i="60"/>
  <c r="Q49" i="60" s="1"/>
  <c r="O49" i="62" s="1"/>
  <c r="BO124" i="60"/>
  <c r="BO50" i="60" s="1"/>
  <c r="E28" i="60"/>
  <c r="C28" i="62" s="1"/>
  <c r="AD27" i="60"/>
  <c r="AD36" i="60"/>
  <c r="AD42" i="60"/>
  <c r="BB84" i="60"/>
  <c r="AZ84" i="60" s="1"/>
  <c r="M33" i="60"/>
  <c r="E25" i="60"/>
  <c r="AD23" i="60"/>
  <c r="AB23" i="62" s="1"/>
  <c r="AD43" i="60"/>
  <c r="AD39" i="60"/>
  <c r="BY33" i="60"/>
  <c r="BG65" i="60"/>
  <c r="BK28" i="60"/>
  <c r="AD69" i="60"/>
  <c r="I60" i="60"/>
  <c r="AW25" i="60"/>
  <c r="Q33" i="60"/>
  <c r="AW65" i="60"/>
  <c r="BO114" i="60"/>
  <c r="BO49" i="60" s="1"/>
  <c r="AD87" i="60"/>
  <c r="AB87" i="60" s="1"/>
  <c r="BO33" i="60"/>
  <c r="Y25" i="60"/>
  <c r="E33" i="60"/>
  <c r="AD30" i="60"/>
  <c r="AD44" i="60"/>
  <c r="Q25" i="60"/>
  <c r="BK60" i="60"/>
  <c r="BB75" i="60"/>
  <c r="AS28" i="60"/>
  <c r="BB27" i="60"/>
  <c r="AZ27" i="62" s="1"/>
  <c r="AS33" i="60"/>
  <c r="BB30" i="60"/>
  <c r="BB38" i="60"/>
  <c r="Y60" i="60"/>
  <c r="BB69" i="60"/>
  <c r="I25" i="60"/>
  <c r="U65" i="60"/>
  <c r="Y80" i="60"/>
  <c r="I28" i="60"/>
  <c r="G28" i="62" s="1"/>
  <c r="AD32" i="60"/>
  <c r="BK25" i="60"/>
  <c r="U33" i="60"/>
  <c r="BK45" i="60"/>
  <c r="BK65" i="60"/>
  <c r="AD75" i="60"/>
  <c r="BB43" i="60"/>
  <c r="BY60" i="60"/>
  <c r="AN65" i="60"/>
  <c r="AD64" i="60"/>
  <c r="AW80" i="60"/>
  <c r="AU80" i="60" s="1"/>
  <c r="AS114" i="60"/>
  <c r="AS49" i="60" s="1"/>
  <c r="E124" i="60"/>
  <c r="E50" i="60" s="1"/>
  <c r="C50" i="62" s="1"/>
  <c r="E45" i="60"/>
  <c r="AD35" i="60"/>
  <c r="BB39" i="60"/>
  <c r="AI25" i="60"/>
  <c r="BB24" i="60"/>
  <c r="BG28" i="60"/>
  <c r="BE28" i="62" s="1"/>
  <c r="Y33" i="60"/>
  <c r="AW45" i="60"/>
  <c r="AD56" i="60"/>
  <c r="BB62" i="60"/>
  <c r="AS65" i="60"/>
  <c r="BG80" i="60"/>
  <c r="AW114" i="60"/>
  <c r="AW49" i="60" s="1"/>
  <c r="BB52" i="60"/>
  <c r="AS60" i="60"/>
  <c r="BB55" i="60"/>
  <c r="AD59" i="60"/>
  <c r="M65" i="60"/>
  <c r="AI72" i="60"/>
  <c r="BB68" i="60"/>
  <c r="BB86" i="60"/>
  <c r="AZ86" i="60" s="1"/>
  <c r="AN124" i="60"/>
  <c r="AN50" i="60" s="1"/>
  <c r="BB74" i="60"/>
  <c r="AN114" i="60"/>
  <c r="AN49" i="60" s="1"/>
  <c r="U25" i="60"/>
  <c r="M45" i="60"/>
  <c r="BB87" i="60"/>
  <c r="AZ87" i="60" s="1"/>
  <c r="BO72" i="60"/>
  <c r="M60" i="60"/>
  <c r="AD67" i="60"/>
  <c r="E72" i="60"/>
  <c r="BB71" i="60"/>
  <c r="BB32" i="60"/>
  <c r="AS45" i="60"/>
  <c r="BB35" i="60"/>
  <c r="M28" i="60"/>
  <c r="Q60" i="60"/>
  <c r="I72" i="60"/>
  <c r="E60" i="60"/>
  <c r="AD55" i="60"/>
  <c r="AD68" i="60"/>
  <c r="Y65" i="60"/>
  <c r="AD38" i="60"/>
  <c r="AD84" i="60"/>
  <c r="AB84" i="60" s="1"/>
  <c r="AN25" i="60"/>
  <c r="BK33" i="60"/>
  <c r="AI45" i="60"/>
  <c r="AD40" i="60"/>
  <c r="BB44" i="60"/>
  <c r="BY25" i="60"/>
  <c r="AN33" i="60"/>
  <c r="AN45" i="60"/>
  <c r="BY28" i="60"/>
  <c r="BW28" i="62" s="1"/>
  <c r="AD31" i="60"/>
  <c r="Y124" i="60"/>
  <c r="Y50" i="60" s="1"/>
  <c r="W50" i="62" s="1"/>
  <c r="BO25" i="60"/>
  <c r="AI33" i="60"/>
  <c r="BO28" i="60"/>
  <c r="BB56" i="60"/>
  <c r="BY72" i="60"/>
  <c r="Y114" i="60"/>
  <c r="Y49" i="60" s="1"/>
  <c r="W49" i="62" s="1"/>
  <c r="AW28" i="60"/>
  <c r="BG33" i="60"/>
  <c r="AI60" i="60"/>
  <c r="BB41" i="60"/>
  <c r="BO65" i="60"/>
  <c r="BB64" i="60"/>
  <c r="AD71" i="60"/>
  <c r="AW124" i="60"/>
  <c r="AW50" i="60" s="1"/>
  <c r="U45" i="60"/>
  <c r="BB37" i="60"/>
  <c r="BG25" i="60"/>
  <c r="AW33" i="60"/>
  <c r="BY45" i="60"/>
  <c r="AD51" i="60"/>
  <c r="BY65" i="60"/>
  <c r="BG124" i="60"/>
  <c r="BG50" i="60" s="1"/>
  <c r="BE50" i="62" s="1"/>
  <c r="M53" i="60"/>
  <c r="BO60" i="60"/>
  <c r="AD57" i="60"/>
  <c r="AI65" i="60"/>
  <c r="BB63" i="60"/>
  <c r="BG72" i="60"/>
  <c r="AD70" i="60"/>
  <c r="I114" i="60"/>
  <c r="I49" i="60" s="1"/>
  <c r="G49" i="62" s="1"/>
  <c r="AD52" i="60"/>
  <c r="Q72" i="60"/>
  <c r="BO80" i="60"/>
  <c r="BM80" i="60" s="1"/>
  <c r="AD76" i="60"/>
  <c r="BB77" i="60"/>
  <c r="BK114" i="60"/>
  <c r="BK49" i="60" s="1"/>
  <c r="AS4" i="5"/>
  <c r="K33" i="62" l="1"/>
  <c r="BM25" i="60"/>
  <c r="BM45" i="60"/>
  <c r="K45" i="60"/>
  <c r="BM72" i="60"/>
  <c r="BM72" i="62"/>
  <c r="BI33" i="60"/>
  <c r="K80" i="62"/>
  <c r="AG25" i="60"/>
  <c r="K60" i="60"/>
  <c r="K53" i="60"/>
  <c r="K81" i="60" s="1"/>
  <c r="AL60" i="60"/>
  <c r="AL33" i="60"/>
  <c r="AU72" i="60"/>
  <c r="BM60" i="60"/>
  <c r="AL72" i="60"/>
  <c r="BM33" i="60"/>
  <c r="AL45" i="60"/>
  <c r="AL25" i="60"/>
  <c r="K28" i="60"/>
  <c r="K28" i="62"/>
  <c r="AQ25" i="60"/>
  <c r="BM50" i="60"/>
  <c r="BM50" i="62"/>
  <c r="AL28" i="60"/>
  <c r="AL46" i="60" s="1"/>
  <c r="AM49" i="60" s="1"/>
  <c r="AL28" i="62"/>
  <c r="AQ33" i="60"/>
  <c r="K45" i="62"/>
  <c r="AB45" i="62" s="1"/>
  <c r="BW46" i="62"/>
  <c r="BX33" i="62" s="1"/>
  <c r="BM45" i="62"/>
  <c r="BM60" i="62"/>
  <c r="AU33" i="60"/>
  <c r="BM25" i="62"/>
  <c r="S46" i="62"/>
  <c r="T49" i="62" s="1"/>
  <c r="T25" i="62"/>
  <c r="AL25" i="62"/>
  <c r="AG72" i="60"/>
  <c r="AQ60" i="60"/>
  <c r="AL72" i="62"/>
  <c r="AL33" i="62"/>
  <c r="K60" i="62"/>
  <c r="AG60" i="60"/>
  <c r="BM52" i="60"/>
  <c r="BM52" i="62"/>
  <c r="BM65" i="62"/>
  <c r="AL65" i="62"/>
  <c r="AK62" i="62"/>
  <c r="W46" i="62"/>
  <c r="X50" i="62" s="1"/>
  <c r="X25" i="62"/>
  <c r="AL45" i="62"/>
  <c r="BM49" i="60"/>
  <c r="BM49" i="62"/>
  <c r="BW53" i="62"/>
  <c r="AL60" i="62"/>
  <c r="W53" i="62"/>
  <c r="AK52" i="62"/>
  <c r="AL49" i="60"/>
  <c r="AL53" i="60" s="1"/>
  <c r="AL49" i="62"/>
  <c r="S53" i="62"/>
  <c r="X72" i="62"/>
  <c r="BM28" i="60"/>
  <c r="BM28" i="62"/>
  <c r="AL50" i="60"/>
  <c r="AL50" i="62"/>
  <c r="AL80" i="62"/>
  <c r="AU65" i="60"/>
  <c r="BM33" i="62"/>
  <c r="AB51" i="60"/>
  <c r="AB51" i="62"/>
  <c r="CE51" i="62" s="1"/>
  <c r="K72" i="62"/>
  <c r="K53" i="62"/>
  <c r="BM80" i="62"/>
  <c r="BI25" i="60"/>
  <c r="AG45" i="60"/>
  <c r="AQ45" i="60"/>
  <c r="BI45" i="60"/>
  <c r="AU45" i="60"/>
  <c r="BI60" i="60"/>
  <c r="AG33" i="60"/>
  <c r="BI72" i="60"/>
  <c r="AG65" i="60"/>
  <c r="O53" i="62"/>
  <c r="AB35" i="60"/>
  <c r="AB35" i="62"/>
  <c r="AZ44" i="60"/>
  <c r="AZ44" i="62"/>
  <c r="AU49" i="60"/>
  <c r="AU49" i="62"/>
  <c r="AQ28" i="60"/>
  <c r="AQ28" i="62"/>
  <c r="AG28" i="60"/>
  <c r="AG28" i="62"/>
  <c r="AZ59" i="60"/>
  <c r="AZ59" i="62"/>
  <c r="BR65" i="62"/>
  <c r="AP52" i="62"/>
  <c r="AU72" i="62"/>
  <c r="AU45" i="62"/>
  <c r="AZ52" i="60"/>
  <c r="AZ52" i="62"/>
  <c r="AG25" i="62"/>
  <c r="C46" i="62"/>
  <c r="AV40" i="62" s="1"/>
  <c r="AG45" i="62"/>
  <c r="AU65" i="62"/>
  <c r="BR45" i="62"/>
  <c r="BE46" i="62"/>
  <c r="BF80" i="62" s="1"/>
  <c r="AZ75" i="60"/>
  <c r="AZ75" i="62"/>
  <c r="AZ70" i="60"/>
  <c r="AZ70" i="62"/>
  <c r="AG50" i="60"/>
  <c r="AG50" i="62"/>
  <c r="BR72" i="62"/>
  <c r="BR33" i="62"/>
  <c r="AQ72" i="62"/>
  <c r="AQ65" i="62"/>
  <c r="AU60" i="62"/>
  <c r="AQ45" i="62"/>
  <c r="BI65" i="62"/>
  <c r="AU28" i="60"/>
  <c r="AU28" i="62"/>
  <c r="AB32" i="60"/>
  <c r="AB32" i="62"/>
  <c r="AB42" i="60"/>
  <c r="AB42" i="62"/>
  <c r="AZ37" i="60"/>
  <c r="AZ37" i="62"/>
  <c r="AZ56" i="60"/>
  <c r="AZ56" i="62"/>
  <c r="AZ35" i="60"/>
  <c r="AZ35" i="62"/>
  <c r="AZ74" i="60"/>
  <c r="AZ74" i="62"/>
  <c r="AQ49" i="60"/>
  <c r="AQ49" i="62"/>
  <c r="AB36" i="60"/>
  <c r="AB36" i="62"/>
  <c r="AB37" i="60"/>
  <c r="AB37" i="62"/>
  <c r="AZ63" i="60"/>
  <c r="AZ63" i="62"/>
  <c r="AZ62" i="60"/>
  <c r="AZ62" i="62"/>
  <c r="AB69" i="60"/>
  <c r="AB69" i="62"/>
  <c r="AB27" i="60"/>
  <c r="AB27" i="62"/>
  <c r="AB63" i="60"/>
  <c r="AB63" i="62"/>
  <c r="AZ42" i="60"/>
  <c r="AZ42" i="62"/>
  <c r="AB24" i="60"/>
  <c r="AB24" i="62"/>
  <c r="AB25" i="62" s="1"/>
  <c r="C53" i="62"/>
  <c r="C81" i="62" s="1"/>
  <c r="BR25" i="62"/>
  <c r="G46" i="62"/>
  <c r="H33" i="62" s="1"/>
  <c r="BI33" i="62"/>
  <c r="BI45" i="62"/>
  <c r="AU33" i="62"/>
  <c r="BI50" i="60"/>
  <c r="BI50" i="62"/>
  <c r="AZ32" i="60"/>
  <c r="AZ32" i="62"/>
  <c r="AZ57" i="60"/>
  <c r="AZ57" i="62"/>
  <c r="AZ67" i="60"/>
  <c r="AZ67" i="62"/>
  <c r="AZ23" i="60"/>
  <c r="AZ23" i="62"/>
  <c r="CE23" i="62" s="1"/>
  <c r="AQ50" i="60"/>
  <c r="AQ50" i="62"/>
  <c r="AQ25" i="62"/>
  <c r="BI72" i="62"/>
  <c r="AV59" i="62"/>
  <c r="AU50" i="60"/>
  <c r="AU50" i="62"/>
  <c r="AB56" i="60"/>
  <c r="AB56" i="62"/>
  <c r="BI49" i="60"/>
  <c r="BI49" i="62"/>
  <c r="AZ64" i="60"/>
  <c r="AZ64" i="62"/>
  <c r="AB38" i="60"/>
  <c r="AB38" i="62"/>
  <c r="AZ69" i="60"/>
  <c r="AZ69" i="62"/>
  <c r="AQ80" i="62"/>
  <c r="AG60" i="62"/>
  <c r="AG65" i="62"/>
  <c r="O46" i="62"/>
  <c r="P25" i="62" s="1"/>
  <c r="AB62" i="60"/>
  <c r="AB62" i="62"/>
  <c r="AB64" i="60"/>
  <c r="AB64" i="62"/>
  <c r="AB30" i="60"/>
  <c r="AB30" i="62"/>
  <c r="AZ77" i="60"/>
  <c r="AZ77" i="62"/>
  <c r="AB31" i="60"/>
  <c r="AB31" i="62"/>
  <c r="AB67" i="60"/>
  <c r="AB67" i="62"/>
  <c r="AZ43" i="60"/>
  <c r="AZ43" i="62"/>
  <c r="AB39" i="60"/>
  <c r="AB39" i="62"/>
  <c r="AB77" i="60"/>
  <c r="AB77" i="62"/>
  <c r="AZ58" i="60"/>
  <c r="AZ58" i="62"/>
  <c r="AB58" i="60"/>
  <c r="AB58" i="62"/>
  <c r="AP62" i="62"/>
  <c r="AU80" i="62"/>
  <c r="AU25" i="62"/>
  <c r="BI60" i="62"/>
  <c r="BE53" i="62"/>
  <c r="AG33" i="62"/>
  <c r="BI28" i="60"/>
  <c r="BI28" i="62"/>
  <c r="AZ41" i="60"/>
  <c r="AZ41" i="62"/>
  <c r="AB43" i="60"/>
  <c r="AB43" i="62"/>
  <c r="AG72" i="62"/>
  <c r="BI80" i="62"/>
  <c r="AB40" i="60"/>
  <c r="AB40" i="62"/>
  <c r="AB44" i="60"/>
  <c r="AB44" i="62"/>
  <c r="AB57" i="60"/>
  <c r="AB57" i="62"/>
  <c r="AB68" i="60"/>
  <c r="AB68" i="62"/>
  <c r="AZ24" i="60"/>
  <c r="AZ24" i="62"/>
  <c r="AZ38" i="60"/>
  <c r="AZ38" i="62"/>
  <c r="AZ40" i="60"/>
  <c r="AZ40" i="62"/>
  <c r="AB55" i="60"/>
  <c r="AB55" i="62"/>
  <c r="AZ55" i="60"/>
  <c r="AZ55" i="62"/>
  <c r="AZ30" i="60"/>
  <c r="AZ30" i="62"/>
  <c r="AB41" i="60"/>
  <c r="AB41" i="62"/>
  <c r="AB74" i="60"/>
  <c r="AB74" i="62"/>
  <c r="AZ31" i="60"/>
  <c r="AZ31" i="62"/>
  <c r="BR60" i="62"/>
  <c r="AF52" i="62"/>
  <c r="AG80" i="62"/>
  <c r="AQ60" i="62"/>
  <c r="AB70" i="60"/>
  <c r="AB70" i="62"/>
  <c r="AB71" i="60"/>
  <c r="AB71" i="62"/>
  <c r="AZ71" i="60"/>
  <c r="AZ71" i="62"/>
  <c r="AZ68" i="60"/>
  <c r="AZ68" i="62"/>
  <c r="AB76" i="60"/>
  <c r="AB76" i="62"/>
  <c r="AB59" i="60"/>
  <c r="AB59" i="62"/>
  <c r="AB75" i="60"/>
  <c r="AB75" i="62"/>
  <c r="AZ76" i="60"/>
  <c r="AZ76" i="62"/>
  <c r="AZ36" i="60"/>
  <c r="AZ36" i="62"/>
  <c r="AZ39" i="60"/>
  <c r="AZ39" i="62"/>
  <c r="BI25" i="62"/>
  <c r="AF62" i="62"/>
  <c r="AQ33" i="62"/>
  <c r="AB52" i="60"/>
  <c r="AB52" i="62"/>
  <c r="V79" i="62"/>
  <c r="U80" i="62"/>
  <c r="BT50" i="60"/>
  <c r="BR50" i="62" s="1"/>
  <c r="BT60" i="60"/>
  <c r="BT45" i="60"/>
  <c r="BT25" i="60"/>
  <c r="BE28" i="60"/>
  <c r="BT28" i="60"/>
  <c r="BR28" i="62" s="1"/>
  <c r="BT33" i="60"/>
  <c r="BT65" i="60"/>
  <c r="BT49" i="60"/>
  <c r="BR49" i="62" s="1"/>
  <c r="BE80" i="60"/>
  <c r="BT80" i="60"/>
  <c r="BT52" i="60"/>
  <c r="BT72" i="60"/>
  <c r="BE65" i="60"/>
  <c r="BE72" i="60"/>
  <c r="BE33" i="60"/>
  <c r="BE60" i="60"/>
  <c r="BE45" i="60"/>
  <c r="BE25" i="60"/>
  <c r="BE50" i="60"/>
  <c r="BE49" i="60"/>
  <c r="O33" i="60"/>
  <c r="O25" i="60"/>
  <c r="G25" i="60"/>
  <c r="O65" i="60"/>
  <c r="O60" i="60"/>
  <c r="BW72" i="60"/>
  <c r="S60" i="60"/>
  <c r="S49" i="60"/>
  <c r="S65" i="60"/>
  <c r="W65" i="60"/>
  <c r="BW65" i="60"/>
  <c r="BW25" i="60"/>
  <c r="S72" i="60"/>
  <c r="BW28" i="60"/>
  <c r="W49" i="60"/>
  <c r="BW50" i="60"/>
  <c r="G65" i="60"/>
  <c r="W60" i="60"/>
  <c r="BW33" i="60"/>
  <c r="O45" i="60"/>
  <c r="BW49" i="60"/>
  <c r="W45" i="60"/>
  <c r="W33" i="60"/>
  <c r="W50" i="60"/>
  <c r="BW80" i="60"/>
  <c r="BW60" i="60"/>
  <c r="W72" i="60"/>
  <c r="W80" i="60"/>
  <c r="S50" i="60"/>
  <c r="S25" i="60"/>
  <c r="BW45" i="60"/>
  <c r="S45" i="60"/>
  <c r="S33" i="60"/>
  <c r="W25" i="60"/>
  <c r="G45" i="60"/>
  <c r="O72" i="60"/>
  <c r="G72" i="60"/>
  <c r="BR64" i="60"/>
  <c r="BR43" i="60"/>
  <c r="BR59" i="60"/>
  <c r="BR39" i="60"/>
  <c r="BR30" i="60"/>
  <c r="BR37" i="60"/>
  <c r="BR75" i="60"/>
  <c r="BR74" i="60"/>
  <c r="BR27" i="60"/>
  <c r="BR44" i="60"/>
  <c r="BR57" i="60"/>
  <c r="BR76" i="60"/>
  <c r="BR71" i="60"/>
  <c r="BR58" i="60"/>
  <c r="BR77" i="60"/>
  <c r="BR55" i="60"/>
  <c r="BR42" i="60"/>
  <c r="BR69" i="60"/>
  <c r="BR41" i="60"/>
  <c r="BR31" i="60"/>
  <c r="BR62" i="60"/>
  <c r="BR36" i="60"/>
  <c r="BR40" i="60"/>
  <c r="BR35" i="60"/>
  <c r="BR38" i="60"/>
  <c r="BR32" i="60"/>
  <c r="BR67" i="60"/>
  <c r="BR23" i="60"/>
  <c r="BR68" i="60"/>
  <c r="BR70" i="60"/>
  <c r="BR24" i="60"/>
  <c r="BR56" i="60"/>
  <c r="BR63" i="60"/>
  <c r="C50" i="60"/>
  <c r="G28" i="60"/>
  <c r="G49" i="60"/>
  <c r="O28" i="60"/>
  <c r="C49" i="60"/>
  <c r="C28" i="60"/>
  <c r="G33" i="60"/>
  <c r="G60" i="60"/>
  <c r="O49" i="60"/>
  <c r="O50" i="60"/>
  <c r="AB23" i="60"/>
  <c r="BB28" i="60"/>
  <c r="AZ27" i="60"/>
  <c r="AI53" i="60"/>
  <c r="AG49" i="60"/>
  <c r="U53" i="60"/>
  <c r="BY53" i="60"/>
  <c r="AS46" i="60"/>
  <c r="AT37" i="60" s="1"/>
  <c r="Q46" i="60"/>
  <c r="R72" i="60" s="1"/>
  <c r="BB45" i="60"/>
  <c r="U46" i="60"/>
  <c r="V33" i="60" s="1"/>
  <c r="AI46" i="60"/>
  <c r="AJ50" i="60" s="1"/>
  <c r="BB25" i="60"/>
  <c r="CG76" i="60"/>
  <c r="AD49" i="60"/>
  <c r="AB49" i="62" s="1"/>
  <c r="Y53" i="60"/>
  <c r="CG40" i="60"/>
  <c r="AN46" i="60"/>
  <c r="CG74" i="60"/>
  <c r="CG86" i="60"/>
  <c r="CG85" i="60"/>
  <c r="CG24" i="60"/>
  <c r="AD72" i="60"/>
  <c r="CG67" i="60"/>
  <c r="AN53" i="60"/>
  <c r="CG35" i="60"/>
  <c r="BO53" i="60"/>
  <c r="BO81" i="60" s="1"/>
  <c r="CG23" i="60"/>
  <c r="AD25" i="60"/>
  <c r="CG77" i="60"/>
  <c r="CG62" i="60"/>
  <c r="AD65" i="60"/>
  <c r="BK53" i="60"/>
  <c r="BK81" i="60" s="1"/>
  <c r="CG71" i="60"/>
  <c r="BO46" i="60"/>
  <c r="CG38" i="60"/>
  <c r="CG68" i="60"/>
  <c r="CG59" i="60"/>
  <c r="BB60" i="60"/>
  <c r="CG56" i="60"/>
  <c r="AD45" i="60"/>
  <c r="E53" i="60"/>
  <c r="BK46" i="60"/>
  <c r="BL49" i="60" s="1"/>
  <c r="CG32" i="60"/>
  <c r="I46" i="60"/>
  <c r="J28" i="60" s="1"/>
  <c r="BB33" i="60"/>
  <c r="CG44" i="60"/>
  <c r="AD33" i="60"/>
  <c r="CG30" i="60"/>
  <c r="E46" i="60"/>
  <c r="CG36" i="60"/>
  <c r="BG53" i="60"/>
  <c r="CG63" i="60"/>
  <c r="M46" i="60"/>
  <c r="BB72" i="60"/>
  <c r="BB50" i="60"/>
  <c r="CG58" i="60"/>
  <c r="CG57" i="60"/>
  <c r="M81" i="60"/>
  <c r="BG46" i="60"/>
  <c r="CG31" i="60"/>
  <c r="BY46" i="60"/>
  <c r="AW53" i="60"/>
  <c r="AW81" i="60" s="1"/>
  <c r="BB49" i="60"/>
  <c r="AS53" i="60"/>
  <c r="Y46" i="60"/>
  <c r="Z49" i="60" s="1"/>
  <c r="CG87" i="60"/>
  <c r="CG39" i="60"/>
  <c r="CG43" i="60"/>
  <c r="CG41" i="60"/>
  <c r="CG70" i="60"/>
  <c r="CG51" i="60"/>
  <c r="CG84" i="60"/>
  <c r="CG55" i="60"/>
  <c r="AD60" i="60"/>
  <c r="BB65" i="60"/>
  <c r="CG64" i="60"/>
  <c r="CG75" i="60"/>
  <c r="AW46" i="60"/>
  <c r="CG69" i="60"/>
  <c r="CG42" i="60"/>
  <c r="AD28" i="60"/>
  <c r="CG27" i="60"/>
  <c r="Q53" i="60"/>
  <c r="CG37" i="60"/>
  <c r="AB33" i="60" l="1"/>
  <c r="AG46" i="60"/>
  <c r="K46" i="62"/>
  <c r="K46" i="60"/>
  <c r="X45" i="62"/>
  <c r="X65" i="62"/>
  <c r="BX25" i="62"/>
  <c r="BX28" i="62"/>
  <c r="AU46" i="60"/>
  <c r="AV23" i="60" s="1"/>
  <c r="T33" i="62"/>
  <c r="T45" i="62"/>
  <c r="T65" i="62"/>
  <c r="T72" i="62"/>
  <c r="BM46" i="60"/>
  <c r="BR80" i="62"/>
  <c r="T50" i="62"/>
  <c r="BM53" i="62"/>
  <c r="BM81" i="62" s="1"/>
  <c r="AU53" i="60"/>
  <c r="AU81" i="60" s="1"/>
  <c r="BM53" i="60"/>
  <c r="BM81" i="60" s="1"/>
  <c r="BM82" i="60" s="1"/>
  <c r="C17" i="5" s="1"/>
  <c r="AK60" i="62"/>
  <c r="AZ72" i="60"/>
  <c r="AL53" i="62"/>
  <c r="X33" i="62"/>
  <c r="X80" i="62"/>
  <c r="AB45" i="60"/>
  <c r="W81" i="62"/>
  <c r="X81" i="62" s="1"/>
  <c r="X53" i="62"/>
  <c r="BI46" i="60"/>
  <c r="BJ50" i="60" s="1"/>
  <c r="BX50" i="62"/>
  <c r="X60" i="62"/>
  <c r="AZ25" i="60"/>
  <c r="BX49" i="62"/>
  <c r="AK65" i="62"/>
  <c r="BX65" i="62"/>
  <c r="BI53" i="60"/>
  <c r="BI81" i="60" s="1"/>
  <c r="BW81" i="62"/>
  <c r="BX81" i="62" s="1"/>
  <c r="BX53" i="62"/>
  <c r="T44" i="62"/>
  <c r="T46" i="62"/>
  <c r="T26" i="62"/>
  <c r="T54" i="62"/>
  <c r="T48" i="62"/>
  <c r="T61" i="62"/>
  <c r="T51" i="62"/>
  <c r="T34" i="62"/>
  <c r="T47" i="62"/>
  <c r="T73" i="62"/>
  <c r="T66" i="62"/>
  <c r="T41" i="62"/>
  <c r="T56" i="62"/>
  <c r="T37" i="62"/>
  <c r="T55" i="62"/>
  <c r="T43" i="62"/>
  <c r="T38" i="62"/>
  <c r="T32" i="62"/>
  <c r="T42" i="62"/>
  <c r="T27" i="62"/>
  <c r="T64" i="62"/>
  <c r="T31" i="62"/>
  <c r="T29" i="62"/>
  <c r="T70" i="62"/>
  <c r="T23" i="62"/>
  <c r="T67" i="62"/>
  <c r="T69" i="62"/>
  <c r="T74" i="62"/>
  <c r="T59" i="62"/>
  <c r="T62" i="62"/>
  <c r="T58" i="62"/>
  <c r="T35" i="62"/>
  <c r="T28" i="62"/>
  <c r="T40" i="62"/>
  <c r="T57" i="62"/>
  <c r="T68" i="62"/>
  <c r="T52" i="62"/>
  <c r="T71" i="62"/>
  <c r="T24" i="62"/>
  <c r="T63" i="62"/>
  <c r="T39" i="62"/>
  <c r="T30" i="62"/>
  <c r="T36" i="62"/>
  <c r="T75" i="62"/>
  <c r="AL46" i="62"/>
  <c r="AM49" i="62" s="1"/>
  <c r="T60" i="62"/>
  <c r="BM46" i="62"/>
  <c r="AZ65" i="60"/>
  <c r="AQ46" i="60"/>
  <c r="AR26" i="60" s="1"/>
  <c r="BX46" i="62"/>
  <c r="BX73" i="62"/>
  <c r="BX54" i="62"/>
  <c r="BX26" i="62"/>
  <c r="BX34" i="62"/>
  <c r="BX29" i="62"/>
  <c r="BX48" i="62"/>
  <c r="BX79" i="62"/>
  <c r="BX47" i="62"/>
  <c r="BX66" i="62"/>
  <c r="BX51" i="62"/>
  <c r="BX78" i="62"/>
  <c r="BX61" i="62"/>
  <c r="BX63" i="62"/>
  <c r="BX30" i="62"/>
  <c r="BX55" i="62"/>
  <c r="BX44" i="62"/>
  <c r="BX71" i="62"/>
  <c r="BX39" i="62"/>
  <c r="BX31" i="62"/>
  <c r="BX27" i="62"/>
  <c r="BX75" i="62"/>
  <c r="BX52" i="62"/>
  <c r="BX76" i="62"/>
  <c r="BX38" i="62"/>
  <c r="BX68" i="62"/>
  <c r="BX35" i="62"/>
  <c r="BX57" i="62"/>
  <c r="BX64" i="62"/>
  <c r="BX62" i="62"/>
  <c r="BX36" i="62"/>
  <c r="BX56" i="62"/>
  <c r="BX70" i="62"/>
  <c r="BX77" i="62"/>
  <c r="BX41" i="62"/>
  <c r="BX24" i="62"/>
  <c r="BX40" i="62"/>
  <c r="BX42" i="62"/>
  <c r="BX58" i="62"/>
  <c r="BX67" i="62"/>
  <c r="BX37" i="62"/>
  <c r="BX32" i="62"/>
  <c r="BX23" i="62"/>
  <c r="BX59" i="62"/>
  <c r="BX43" i="62"/>
  <c r="BX74" i="62"/>
  <c r="BX69" i="62"/>
  <c r="AZ60" i="60"/>
  <c r="S81" i="62"/>
  <c r="T53" i="62"/>
  <c r="AB65" i="60"/>
  <c r="AZ45" i="60"/>
  <c r="AB72" i="60"/>
  <c r="K81" i="62"/>
  <c r="AK72" i="62"/>
  <c r="BX60" i="62"/>
  <c r="BX80" i="62"/>
  <c r="X26" i="62"/>
  <c r="X79" i="62"/>
  <c r="X47" i="62"/>
  <c r="X54" i="62"/>
  <c r="X78" i="62"/>
  <c r="X46" i="62"/>
  <c r="X51" i="62"/>
  <c r="X48" i="62"/>
  <c r="X34" i="62"/>
  <c r="X66" i="62"/>
  <c r="X73" i="62"/>
  <c r="X61" i="62"/>
  <c r="X57" i="62"/>
  <c r="X70" i="62"/>
  <c r="X56" i="62"/>
  <c r="X38" i="62"/>
  <c r="X68" i="62"/>
  <c r="X42" i="62"/>
  <c r="X35" i="62"/>
  <c r="X74" i="62"/>
  <c r="X52" i="62"/>
  <c r="X36" i="62"/>
  <c r="X24" i="62"/>
  <c r="X31" i="62"/>
  <c r="X67" i="62"/>
  <c r="X58" i="62"/>
  <c r="X55" i="62"/>
  <c r="X59" i="62"/>
  <c r="X30" i="62"/>
  <c r="X23" i="62"/>
  <c r="X77" i="62"/>
  <c r="X43" i="62"/>
  <c r="X27" i="62"/>
  <c r="X75" i="62"/>
  <c r="X40" i="62"/>
  <c r="X39" i="62"/>
  <c r="X29" i="62"/>
  <c r="X32" i="62"/>
  <c r="X28" i="62"/>
  <c r="X41" i="62"/>
  <c r="X37" i="62"/>
  <c r="X63" i="62"/>
  <c r="X44" i="62"/>
  <c r="X76" i="62"/>
  <c r="X64" i="62"/>
  <c r="X69" i="62"/>
  <c r="X62" i="62"/>
  <c r="X71" i="62"/>
  <c r="X49" i="62"/>
  <c r="BX45" i="62"/>
  <c r="BX72" i="62"/>
  <c r="AV35" i="62"/>
  <c r="BF28" i="62"/>
  <c r="BF37" i="62"/>
  <c r="AV62" i="62"/>
  <c r="AV63" i="62"/>
  <c r="AV27" i="62"/>
  <c r="AV28" i="62" s="1"/>
  <c r="AV76" i="62"/>
  <c r="D50" i="62"/>
  <c r="AV55" i="62"/>
  <c r="AV32" i="62"/>
  <c r="AV57" i="62"/>
  <c r="AV52" i="62"/>
  <c r="H45" i="62"/>
  <c r="AV30" i="62"/>
  <c r="BF25" i="62"/>
  <c r="H72" i="62"/>
  <c r="AV24" i="62"/>
  <c r="AV39" i="62"/>
  <c r="AV67" i="62"/>
  <c r="D49" i="62"/>
  <c r="AV38" i="62"/>
  <c r="AV41" i="62"/>
  <c r="AV74" i="62"/>
  <c r="AV36" i="62"/>
  <c r="AV70" i="62"/>
  <c r="AV58" i="62"/>
  <c r="H65" i="62"/>
  <c r="AV64" i="62"/>
  <c r="AV75" i="62"/>
  <c r="AV50" i="62"/>
  <c r="H25" i="62"/>
  <c r="AZ33" i="60"/>
  <c r="BF65" i="62"/>
  <c r="AQ53" i="60"/>
  <c r="AR53" i="60" s="1"/>
  <c r="AV44" i="62"/>
  <c r="AB60" i="60"/>
  <c r="BF49" i="62"/>
  <c r="BF45" i="62"/>
  <c r="BF72" i="62"/>
  <c r="BF50" i="62"/>
  <c r="AU46" i="62"/>
  <c r="AV23" i="62" s="1"/>
  <c r="AV31" i="62"/>
  <c r="P45" i="62"/>
  <c r="P50" i="62"/>
  <c r="P72" i="62"/>
  <c r="CE69" i="62"/>
  <c r="CE76" i="60"/>
  <c r="CE71" i="62"/>
  <c r="AB60" i="62"/>
  <c r="CE55" i="62"/>
  <c r="CE67" i="62"/>
  <c r="AB72" i="62"/>
  <c r="AF60" i="62"/>
  <c r="CE56" i="62"/>
  <c r="P53" i="62"/>
  <c r="H73" i="62"/>
  <c r="H48" i="62"/>
  <c r="H47" i="62"/>
  <c r="H26" i="62"/>
  <c r="H51" i="62"/>
  <c r="H46" i="62"/>
  <c r="H61" i="62"/>
  <c r="H29" i="62"/>
  <c r="H66" i="62"/>
  <c r="H78" i="62"/>
  <c r="H54" i="62"/>
  <c r="H34" i="62"/>
  <c r="H44" i="62"/>
  <c r="H42" i="62"/>
  <c r="H71" i="62"/>
  <c r="H55" i="62"/>
  <c r="H39" i="62"/>
  <c r="H40" i="62"/>
  <c r="H24" i="62"/>
  <c r="H36" i="62"/>
  <c r="H38" i="62"/>
  <c r="H52" i="62"/>
  <c r="H67" i="62"/>
  <c r="H76" i="62"/>
  <c r="H59" i="62"/>
  <c r="H30" i="62"/>
  <c r="H68" i="62"/>
  <c r="H57" i="62"/>
  <c r="H77" i="62"/>
  <c r="H43" i="62"/>
  <c r="H32" i="62"/>
  <c r="H75" i="62"/>
  <c r="H41" i="62"/>
  <c r="H69" i="62"/>
  <c r="H56" i="62"/>
  <c r="H37" i="62"/>
  <c r="H62" i="62"/>
  <c r="H35" i="62"/>
  <c r="H74" i="62"/>
  <c r="H23" i="62"/>
  <c r="H27" i="62"/>
  <c r="H58" i="62"/>
  <c r="H70" i="62"/>
  <c r="H64" i="62"/>
  <c r="H63" i="62"/>
  <c r="H31" i="62"/>
  <c r="BR46" i="62"/>
  <c r="BS25" i="62" s="1"/>
  <c r="H60" i="62"/>
  <c r="AP72" i="62"/>
  <c r="AP28" i="62"/>
  <c r="CE57" i="62"/>
  <c r="CE58" i="62"/>
  <c r="AZ60" i="62"/>
  <c r="AP33" i="62"/>
  <c r="BI46" i="62"/>
  <c r="BJ50" i="62" s="1"/>
  <c r="AB80" i="62"/>
  <c r="CE74" i="62"/>
  <c r="CE44" i="62"/>
  <c r="AF72" i="62"/>
  <c r="AZ45" i="62"/>
  <c r="CE75" i="62"/>
  <c r="CE70" i="62"/>
  <c r="CE31" i="62"/>
  <c r="AB65" i="62"/>
  <c r="CE62" i="62"/>
  <c r="P49" i="62"/>
  <c r="P60" i="62"/>
  <c r="AU53" i="62"/>
  <c r="AU81" i="62" s="1"/>
  <c r="AV49" i="62"/>
  <c r="CE24" i="62"/>
  <c r="AZ65" i="62"/>
  <c r="C82" i="62"/>
  <c r="BP24" i="62"/>
  <c r="L41" i="62"/>
  <c r="N32" i="62"/>
  <c r="N75" i="62"/>
  <c r="BN38" i="62"/>
  <c r="BP58" i="62"/>
  <c r="BP41" i="62"/>
  <c r="L58" i="62"/>
  <c r="BP38" i="62"/>
  <c r="BN56" i="62"/>
  <c r="N36" i="62"/>
  <c r="L75" i="62"/>
  <c r="BP56" i="62"/>
  <c r="L27" i="62"/>
  <c r="L28" i="62" s="1"/>
  <c r="BP71" i="62"/>
  <c r="BN36" i="62"/>
  <c r="L69" i="62"/>
  <c r="BN75" i="62"/>
  <c r="BP30" i="62"/>
  <c r="BN40" i="62"/>
  <c r="BN35" i="62"/>
  <c r="L74" i="62"/>
  <c r="L68" i="62"/>
  <c r="BN78" i="62"/>
  <c r="N78" i="62"/>
  <c r="BN74" i="62"/>
  <c r="L71" i="62"/>
  <c r="BN52" i="62"/>
  <c r="N62" i="62"/>
  <c r="N68" i="62"/>
  <c r="N63" i="62"/>
  <c r="L64" i="62"/>
  <c r="BN24" i="62"/>
  <c r="BP52" i="62"/>
  <c r="BN51" i="62"/>
  <c r="L30" i="62"/>
  <c r="L67" i="62"/>
  <c r="N43" i="62"/>
  <c r="BP37" i="62"/>
  <c r="L24" i="62"/>
  <c r="BP36" i="62"/>
  <c r="L32" i="62"/>
  <c r="N42" i="62"/>
  <c r="L31" i="62"/>
  <c r="N35" i="62"/>
  <c r="N57" i="62"/>
  <c r="N31" i="62"/>
  <c r="N40" i="62"/>
  <c r="AV78" i="62"/>
  <c r="BP42" i="62"/>
  <c r="BN59" i="62"/>
  <c r="BN50" i="62"/>
  <c r="N27" i="62"/>
  <c r="N28" i="62" s="1"/>
  <c r="N39" i="62"/>
  <c r="BP63" i="62"/>
  <c r="L52" i="62"/>
  <c r="L76" i="62"/>
  <c r="AV51" i="62"/>
  <c r="BP74" i="62"/>
  <c r="BP55" i="62"/>
  <c r="L62" i="62"/>
  <c r="L40" i="62"/>
  <c r="N64" i="62"/>
  <c r="AV79" i="62"/>
  <c r="N70" i="62"/>
  <c r="N44" i="62"/>
  <c r="BN64" i="62"/>
  <c r="BN44" i="62"/>
  <c r="BN67" i="62"/>
  <c r="L23" i="62"/>
  <c r="BP31" i="62"/>
  <c r="BP39" i="62"/>
  <c r="BN58" i="62"/>
  <c r="BP51" i="62"/>
  <c r="L63" i="62"/>
  <c r="N49" i="62"/>
  <c r="L37" i="62"/>
  <c r="BP75" i="62"/>
  <c r="BN31" i="62"/>
  <c r="BN32" i="62"/>
  <c r="BP57" i="62"/>
  <c r="N50" i="62"/>
  <c r="BP69" i="62"/>
  <c r="BP76" i="62"/>
  <c r="BP35" i="62"/>
  <c r="N55" i="62"/>
  <c r="L39" i="62"/>
  <c r="BN62" i="62"/>
  <c r="BP27" i="62"/>
  <c r="BP28" i="62" s="1"/>
  <c r="BP78" i="62"/>
  <c r="L42" i="62"/>
  <c r="L59" i="62"/>
  <c r="L43" i="62"/>
  <c r="N69" i="62"/>
  <c r="BP59" i="62"/>
  <c r="N30" i="62"/>
  <c r="BP44" i="62"/>
  <c r="BN70" i="62"/>
  <c r="BP23" i="62"/>
  <c r="BN43" i="62"/>
  <c r="L49" i="62"/>
  <c r="BN76" i="62"/>
  <c r="BP50" i="62"/>
  <c r="N71" i="62"/>
  <c r="BN63" i="62"/>
  <c r="BN41" i="62"/>
  <c r="BP40" i="62"/>
  <c r="BP79" i="62"/>
  <c r="N38" i="62"/>
  <c r="BP77" i="62"/>
  <c r="L36" i="62"/>
  <c r="L38" i="62"/>
  <c r="N52" i="62"/>
  <c r="D51" i="62"/>
  <c r="BP43" i="62"/>
  <c r="BP62" i="62"/>
  <c r="BN23" i="62"/>
  <c r="BN25" i="62" s="1"/>
  <c r="N77" i="62"/>
  <c r="L70" i="62"/>
  <c r="L78" i="62"/>
  <c r="BN79" i="62"/>
  <c r="N51" i="62"/>
  <c r="L57" i="62"/>
  <c r="N76" i="62"/>
  <c r="BP49" i="62"/>
  <c r="BN57" i="62"/>
  <c r="BN42" i="62"/>
  <c r="N56" i="62"/>
  <c r="BP32" i="62"/>
  <c r="BN71" i="62"/>
  <c r="BN27" i="62"/>
  <c r="BN28" i="62" s="1"/>
  <c r="BN30" i="62"/>
  <c r="L35" i="62"/>
  <c r="L56" i="62"/>
  <c r="L55" i="62"/>
  <c r="BN68" i="62"/>
  <c r="N37" i="62"/>
  <c r="BN37" i="62"/>
  <c r="N58" i="62"/>
  <c r="BN69" i="62"/>
  <c r="N74" i="62"/>
  <c r="N59" i="62"/>
  <c r="N41" i="62"/>
  <c r="BN77" i="62"/>
  <c r="BP68" i="62"/>
  <c r="L79" i="62"/>
  <c r="BP67" i="62"/>
  <c r="BN39" i="62"/>
  <c r="BP64" i="62"/>
  <c r="N24" i="62"/>
  <c r="L44" i="62"/>
  <c r="N67" i="62"/>
  <c r="L51" i="62"/>
  <c r="N23" i="62"/>
  <c r="BN49" i="62"/>
  <c r="BN55" i="62"/>
  <c r="L50" i="62"/>
  <c r="BP70" i="62"/>
  <c r="N79" i="62"/>
  <c r="L77" i="62"/>
  <c r="D36" i="62"/>
  <c r="D24" i="62"/>
  <c r="D58" i="62"/>
  <c r="D37" i="62"/>
  <c r="D56" i="62"/>
  <c r="D77" i="62"/>
  <c r="D55" i="62"/>
  <c r="D62" i="62"/>
  <c r="D59" i="62"/>
  <c r="D75" i="62"/>
  <c r="D41" i="62"/>
  <c r="D70" i="62"/>
  <c r="D76" i="62"/>
  <c r="D44" i="62"/>
  <c r="D67" i="62"/>
  <c r="D69" i="62"/>
  <c r="D71" i="62"/>
  <c r="D27" i="62"/>
  <c r="D28" i="62" s="1"/>
  <c r="D39" i="62"/>
  <c r="D64" i="62"/>
  <c r="D68" i="62"/>
  <c r="D63" i="62"/>
  <c r="D38" i="62"/>
  <c r="D31" i="62"/>
  <c r="D43" i="62"/>
  <c r="D40" i="62"/>
  <c r="D32" i="62"/>
  <c r="D42" i="62"/>
  <c r="D23" i="62"/>
  <c r="D57" i="62"/>
  <c r="D52" i="62"/>
  <c r="D30" i="62"/>
  <c r="D35" i="62"/>
  <c r="D74" i="62"/>
  <c r="CE41" i="62"/>
  <c r="CE40" i="62"/>
  <c r="CG52" i="60"/>
  <c r="BR52" i="62"/>
  <c r="BR53" i="62" s="1"/>
  <c r="CE59" i="62"/>
  <c r="AZ25" i="62"/>
  <c r="BF48" i="62"/>
  <c r="BF54" i="62"/>
  <c r="BF46" i="62"/>
  <c r="BF34" i="62"/>
  <c r="BF29" i="62"/>
  <c r="BF47" i="62"/>
  <c r="BF79" i="62"/>
  <c r="BF73" i="62"/>
  <c r="BF26" i="62"/>
  <c r="BF78" i="62"/>
  <c r="BF66" i="62"/>
  <c r="BF61" i="62"/>
  <c r="BF51" i="62"/>
  <c r="BF56" i="62"/>
  <c r="BF40" i="62"/>
  <c r="BF23" i="62"/>
  <c r="BF35" i="62"/>
  <c r="BF59" i="62"/>
  <c r="BF57" i="62"/>
  <c r="BF77" i="62"/>
  <c r="BF74" i="62"/>
  <c r="BF68" i="62"/>
  <c r="BF64" i="62"/>
  <c r="BF24" i="62"/>
  <c r="BF67" i="62"/>
  <c r="BF41" i="62"/>
  <c r="BF44" i="62"/>
  <c r="BF42" i="62"/>
  <c r="BF38" i="62"/>
  <c r="BF43" i="62"/>
  <c r="BF31" i="62"/>
  <c r="BF75" i="62"/>
  <c r="BF62" i="62"/>
  <c r="BF69" i="62"/>
  <c r="BF52" i="62"/>
  <c r="BF32" i="62"/>
  <c r="BF36" i="62"/>
  <c r="BF71" i="62"/>
  <c r="BF55" i="62"/>
  <c r="BF63" i="62"/>
  <c r="BF70" i="62"/>
  <c r="BF76" i="62"/>
  <c r="BF39" i="62"/>
  <c r="BF30" i="62"/>
  <c r="BF58" i="62"/>
  <c r="BF27" i="62"/>
  <c r="AV56" i="62"/>
  <c r="CE32" i="62"/>
  <c r="CE37" i="62"/>
  <c r="CE77" i="62"/>
  <c r="P47" i="62"/>
  <c r="P73" i="62"/>
  <c r="P66" i="62"/>
  <c r="P34" i="62"/>
  <c r="P46" i="62"/>
  <c r="P61" i="62"/>
  <c r="P26" i="62"/>
  <c r="P78" i="62"/>
  <c r="P48" i="62"/>
  <c r="P51" i="62"/>
  <c r="P54" i="62"/>
  <c r="P43" i="62"/>
  <c r="P67" i="62"/>
  <c r="P56" i="62"/>
  <c r="P59" i="62"/>
  <c r="P32" i="62"/>
  <c r="P41" i="62"/>
  <c r="P36" i="62"/>
  <c r="P57" i="62"/>
  <c r="P58" i="62"/>
  <c r="P24" i="62"/>
  <c r="P37" i="62"/>
  <c r="P69" i="62"/>
  <c r="P70" i="62"/>
  <c r="P76" i="62"/>
  <c r="P74" i="62"/>
  <c r="P68" i="62"/>
  <c r="P30" i="62"/>
  <c r="P35" i="62"/>
  <c r="P39" i="62"/>
  <c r="P23" i="62"/>
  <c r="P40" i="62"/>
  <c r="P64" i="62"/>
  <c r="P29" i="62"/>
  <c r="P71" i="62"/>
  <c r="P42" i="62"/>
  <c r="P31" i="62"/>
  <c r="P27" i="62"/>
  <c r="P77" i="62"/>
  <c r="P52" i="62"/>
  <c r="P44" i="62"/>
  <c r="P55" i="62"/>
  <c r="P62" i="62"/>
  <c r="P75" i="62"/>
  <c r="P38" i="62"/>
  <c r="P63" i="62"/>
  <c r="CE38" i="62"/>
  <c r="CE76" i="62"/>
  <c r="BF53" i="62"/>
  <c r="BE81" i="62"/>
  <c r="AV69" i="62"/>
  <c r="AZ72" i="62"/>
  <c r="AV77" i="62"/>
  <c r="H49" i="62"/>
  <c r="CE36" i="62"/>
  <c r="AG46" i="62"/>
  <c r="AH28" i="62" s="1"/>
  <c r="AG53" i="62"/>
  <c r="AB28" i="60"/>
  <c r="AB28" i="62"/>
  <c r="AZ49" i="60"/>
  <c r="AZ49" i="62"/>
  <c r="CE39" i="62"/>
  <c r="CE63" i="62"/>
  <c r="AZ33" i="62"/>
  <c r="CE68" i="62"/>
  <c r="P33" i="62"/>
  <c r="AB33" i="62"/>
  <c r="CE30" i="62"/>
  <c r="AV37" i="62"/>
  <c r="AQ46" i="62"/>
  <c r="AR25" i="62" s="1"/>
  <c r="AV43" i="62"/>
  <c r="CE42" i="62"/>
  <c r="BF33" i="62"/>
  <c r="AP65" i="62"/>
  <c r="CE35" i="62"/>
  <c r="CE64" i="62"/>
  <c r="AZ50" i="60"/>
  <c r="AZ50" i="62"/>
  <c r="AP60" i="62"/>
  <c r="P28" i="62"/>
  <c r="AZ28" i="60"/>
  <c r="AZ28" i="62"/>
  <c r="CE43" i="62"/>
  <c r="AF65" i="62"/>
  <c r="P65" i="62"/>
  <c r="BI53" i="62"/>
  <c r="BF60" i="62"/>
  <c r="CE27" i="62"/>
  <c r="AQ53" i="62"/>
  <c r="AV71" i="62"/>
  <c r="H28" i="62"/>
  <c r="AV42" i="62"/>
  <c r="AV68" i="62"/>
  <c r="V80" i="62"/>
  <c r="U81" i="62"/>
  <c r="BH49" i="60"/>
  <c r="BT46" i="60"/>
  <c r="BG81" i="60"/>
  <c r="BT81" i="60" s="1"/>
  <c r="BT53" i="60"/>
  <c r="BE46" i="60"/>
  <c r="BF60" i="60" s="1"/>
  <c r="BR52" i="60"/>
  <c r="BE53" i="60"/>
  <c r="BE81" i="60" s="1"/>
  <c r="AM53" i="60"/>
  <c r="V72" i="60"/>
  <c r="Z25" i="60"/>
  <c r="Z60" i="60"/>
  <c r="Z50" i="60"/>
  <c r="V65" i="60"/>
  <c r="Z65" i="60"/>
  <c r="V50" i="60"/>
  <c r="BW53" i="60"/>
  <c r="BW81" i="60" s="1"/>
  <c r="V53" i="60"/>
  <c r="Z45" i="60"/>
  <c r="Z33" i="60"/>
  <c r="V25" i="60"/>
  <c r="V49" i="60"/>
  <c r="Z72" i="60"/>
  <c r="BZ66" i="60"/>
  <c r="BZ54" i="60"/>
  <c r="BZ34" i="60"/>
  <c r="BZ73" i="60"/>
  <c r="BZ29" i="60"/>
  <c r="BZ48" i="60"/>
  <c r="BZ47" i="60"/>
  <c r="BZ46" i="60"/>
  <c r="BZ26" i="60"/>
  <c r="BZ61" i="60"/>
  <c r="BZ51" i="60"/>
  <c r="BZ36" i="60"/>
  <c r="BZ58" i="60"/>
  <c r="BZ32" i="60"/>
  <c r="BZ41" i="60"/>
  <c r="BZ76" i="60"/>
  <c r="BZ71" i="60"/>
  <c r="BZ44" i="60"/>
  <c r="BZ69" i="60"/>
  <c r="BZ74" i="60"/>
  <c r="BZ59" i="60"/>
  <c r="BZ55" i="60"/>
  <c r="BZ27" i="60"/>
  <c r="BZ64" i="60"/>
  <c r="BZ70" i="60"/>
  <c r="BZ77" i="60"/>
  <c r="BZ68" i="60"/>
  <c r="BZ31" i="60"/>
  <c r="BZ30" i="60"/>
  <c r="BZ37" i="60"/>
  <c r="BZ35" i="60"/>
  <c r="BZ43" i="60"/>
  <c r="BZ75" i="60"/>
  <c r="BZ57" i="60"/>
  <c r="BZ56" i="60"/>
  <c r="BZ38" i="60"/>
  <c r="BZ23" i="60"/>
  <c r="BZ63" i="60"/>
  <c r="BZ52" i="60"/>
  <c r="BZ39" i="60"/>
  <c r="BZ24" i="60"/>
  <c r="BZ40" i="60"/>
  <c r="BZ42" i="60"/>
  <c r="BZ62" i="60"/>
  <c r="BZ67" i="60"/>
  <c r="BY81" i="60"/>
  <c r="BZ81" i="60" s="1"/>
  <c r="BZ53" i="60"/>
  <c r="AM29" i="60"/>
  <c r="AM26" i="60"/>
  <c r="AM66" i="60"/>
  <c r="AM46" i="60"/>
  <c r="AM54" i="60"/>
  <c r="AM61" i="60"/>
  <c r="AM73" i="60"/>
  <c r="AM34" i="60"/>
  <c r="AM48" i="60"/>
  <c r="AM47" i="60"/>
  <c r="AM51" i="60"/>
  <c r="AM36" i="60"/>
  <c r="AM70" i="60"/>
  <c r="AM55" i="60"/>
  <c r="AM44" i="60"/>
  <c r="AM42" i="60"/>
  <c r="AM67" i="60"/>
  <c r="AM76" i="60"/>
  <c r="AM24" i="60"/>
  <c r="AM77" i="60"/>
  <c r="AM64" i="60"/>
  <c r="AM41" i="60"/>
  <c r="AM31" i="60"/>
  <c r="AM57" i="60"/>
  <c r="AM56" i="60"/>
  <c r="AM27" i="60"/>
  <c r="AM37" i="60"/>
  <c r="AM52" i="60"/>
  <c r="AM30" i="60"/>
  <c r="AM58" i="60"/>
  <c r="AM71" i="60"/>
  <c r="AM68" i="60"/>
  <c r="AM62" i="60"/>
  <c r="AM69" i="60"/>
  <c r="AM32" i="60"/>
  <c r="AM63" i="60"/>
  <c r="AM43" i="60"/>
  <c r="AM35" i="60"/>
  <c r="AM74" i="60"/>
  <c r="AM23" i="60"/>
  <c r="AM75" i="60"/>
  <c r="AM40" i="60"/>
  <c r="AM39" i="60"/>
  <c r="AM38" i="60"/>
  <c r="AM59" i="60"/>
  <c r="BZ50" i="60"/>
  <c r="G46" i="60"/>
  <c r="H39" i="60" s="1"/>
  <c r="BZ33" i="60"/>
  <c r="AM25" i="60"/>
  <c r="Y81" i="60"/>
  <c r="Z81" i="60" s="1"/>
  <c r="Z53" i="60"/>
  <c r="S46" i="60"/>
  <c r="T50" i="60" s="1"/>
  <c r="AM72" i="60"/>
  <c r="W53" i="60"/>
  <c r="W46" i="60"/>
  <c r="X50" i="60" s="1"/>
  <c r="AM60" i="60"/>
  <c r="BZ72" i="60"/>
  <c r="AM45" i="60"/>
  <c r="AM50" i="60"/>
  <c r="BW46" i="60"/>
  <c r="AM28" i="60"/>
  <c r="BZ45" i="60"/>
  <c r="Z26" i="60"/>
  <c r="Z54" i="60"/>
  <c r="Z34" i="60"/>
  <c r="Z48" i="60"/>
  <c r="Z47" i="60"/>
  <c r="Z66" i="60"/>
  <c r="Z46" i="60"/>
  <c r="Z61" i="60"/>
  <c r="Z73" i="60"/>
  <c r="Z51" i="60"/>
  <c r="Z64" i="60"/>
  <c r="Z57" i="60"/>
  <c r="Z42" i="60"/>
  <c r="Z67" i="60"/>
  <c r="Z75" i="60"/>
  <c r="Z43" i="60"/>
  <c r="Z36" i="60"/>
  <c r="Z77" i="60"/>
  <c r="Z58" i="60"/>
  <c r="Z38" i="60"/>
  <c r="Z28" i="60"/>
  <c r="Z41" i="60"/>
  <c r="Z39" i="60"/>
  <c r="Z24" i="60"/>
  <c r="Z40" i="60"/>
  <c r="Z23" i="60"/>
  <c r="Z74" i="60"/>
  <c r="Z69" i="60"/>
  <c r="Z70" i="60"/>
  <c r="Z31" i="60"/>
  <c r="Z29" i="60"/>
  <c r="Z56" i="60"/>
  <c r="Z71" i="60"/>
  <c r="Z59" i="60"/>
  <c r="Z55" i="60"/>
  <c r="Z63" i="60"/>
  <c r="Z68" i="60"/>
  <c r="Z62" i="60"/>
  <c r="Z52" i="60"/>
  <c r="Z30" i="60"/>
  <c r="Z32" i="60"/>
  <c r="Z35" i="60"/>
  <c r="Z44" i="60"/>
  <c r="Z37" i="60"/>
  <c r="Z76" i="60"/>
  <c r="Z27" i="60"/>
  <c r="V34" i="60"/>
  <c r="V66" i="60"/>
  <c r="V54" i="60"/>
  <c r="V48" i="60"/>
  <c r="V47" i="60"/>
  <c r="V26" i="60"/>
  <c r="V73" i="60"/>
  <c r="V61" i="60"/>
  <c r="V46" i="60"/>
  <c r="V51" i="60"/>
  <c r="V77" i="60"/>
  <c r="V71" i="60"/>
  <c r="V42" i="60"/>
  <c r="V75" i="60"/>
  <c r="V67" i="60"/>
  <c r="V43" i="60"/>
  <c r="V68" i="60"/>
  <c r="V44" i="60"/>
  <c r="V24" i="60"/>
  <c r="V38" i="60"/>
  <c r="V23" i="60"/>
  <c r="V30" i="60"/>
  <c r="V56" i="60"/>
  <c r="V63" i="60"/>
  <c r="V59" i="60"/>
  <c r="V37" i="60"/>
  <c r="V76" i="60"/>
  <c r="V27" i="60"/>
  <c r="V70" i="60"/>
  <c r="V40" i="60"/>
  <c r="V39" i="60"/>
  <c r="V35" i="60"/>
  <c r="V36" i="60"/>
  <c r="V31" i="60"/>
  <c r="V58" i="60"/>
  <c r="V41" i="60"/>
  <c r="V64" i="60"/>
  <c r="V29" i="60"/>
  <c r="V62" i="60"/>
  <c r="V28" i="60"/>
  <c r="V57" i="60"/>
  <c r="V69" i="60"/>
  <c r="V52" i="60"/>
  <c r="V55" i="60"/>
  <c r="V32" i="60"/>
  <c r="V74" i="60"/>
  <c r="K82" i="60"/>
  <c r="C7" i="5" s="1"/>
  <c r="Z80" i="60"/>
  <c r="V60" i="60"/>
  <c r="BZ25" i="60"/>
  <c r="BZ28" i="60"/>
  <c r="BZ65" i="60"/>
  <c r="AM65" i="60"/>
  <c r="S53" i="60"/>
  <c r="BZ60" i="60"/>
  <c r="BZ80" i="60"/>
  <c r="BZ49" i="60"/>
  <c r="V45" i="60"/>
  <c r="AM33" i="60"/>
  <c r="R53" i="60"/>
  <c r="F53" i="60"/>
  <c r="BR25" i="60"/>
  <c r="BR50" i="60"/>
  <c r="BR65" i="60"/>
  <c r="BR33" i="60"/>
  <c r="BR72" i="60"/>
  <c r="BR60" i="60"/>
  <c r="BR28" i="60"/>
  <c r="BR80" i="60"/>
  <c r="BR49" i="60"/>
  <c r="BR45" i="60"/>
  <c r="F66" i="60"/>
  <c r="F54" i="60"/>
  <c r="F46" i="60"/>
  <c r="F34" i="60"/>
  <c r="F26" i="60"/>
  <c r="F73" i="60"/>
  <c r="F61" i="60"/>
  <c r="F29" i="60"/>
  <c r="F48" i="60"/>
  <c r="F51" i="60"/>
  <c r="F47" i="60"/>
  <c r="F64" i="60"/>
  <c r="F35" i="60"/>
  <c r="F59" i="60"/>
  <c r="F40" i="60"/>
  <c r="F31" i="60"/>
  <c r="F71" i="60"/>
  <c r="F57" i="60"/>
  <c r="F70" i="60"/>
  <c r="F52" i="60"/>
  <c r="F27" i="60"/>
  <c r="F43" i="60"/>
  <c r="F39" i="60"/>
  <c r="F62" i="60"/>
  <c r="F32" i="60"/>
  <c r="F56" i="60"/>
  <c r="F44" i="60"/>
  <c r="F23" i="60"/>
  <c r="F55" i="60"/>
  <c r="F74" i="60"/>
  <c r="F38" i="60"/>
  <c r="F77" i="60"/>
  <c r="F58" i="60"/>
  <c r="F42" i="60"/>
  <c r="F24" i="60"/>
  <c r="F68" i="60"/>
  <c r="F41" i="60"/>
  <c r="F37" i="60"/>
  <c r="F63" i="60"/>
  <c r="F75" i="60"/>
  <c r="F76" i="60"/>
  <c r="F36" i="60"/>
  <c r="F67" i="60"/>
  <c r="F30" i="60"/>
  <c r="F69" i="60"/>
  <c r="AG53" i="60"/>
  <c r="AH53" i="60" s="1"/>
  <c r="AH49" i="60"/>
  <c r="AH51" i="60"/>
  <c r="AH47" i="60"/>
  <c r="AH73" i="60"/>
  <c r="AH61" i="60"/>
  <c r="AH29" i="60"/>
  <c r="AH48" i="60"/>
  <c r="AH54" i="60"/>
  <c r="AH66" i="60"/>
  <c r="AH34" i="60"/>
  <c r="AH46" i="60"/>
  <c r="AH26" i="60"/>
  <c r="AH39" i="60"/>
  <c r="AH42" i="60"/>
  <c r="AH30" i="60"/>
  <c r="AH40" i="60"/>
  <c r="AH37" i="60"/>
  <c r="AH70" i="60"/>
  <c r="AH38" i="60"/>
  <c r="AH64" i="60"/>
  <c r="AH41" i="60"/>
  <c r="AH62" i="60"/>
  <c r="AH32" i="60"/>
  <c r="AH43" i="60"/>
  <c r="AH74" i="60"/>
  <c r="AH57" i="60"/>
  <c r="AH67" i="60"/>
  <c r="AH35" i="60"/>
  <c r="AH24" i="60"/>
  <c r="AH55" i="60"/>
  <c r="AH63" i="60"/>
  <c r="AH50" i="60"/>
  <c r="AH58" i="60"/>
  <c r="AH68" i="60"/>
  <c r="AH31" i="60"/>
  <c r="AH76" i="60"/>
  <c r="AH75" i="60"/>
  <c r="AH23" i="60"/>
  <c r="AH52" i="60"/>
  <c r="AH36" i="60"/>
  <c r="AH59" i="60"/>
  <c r="AH77" i="60"/>
  <c r="AH71" i="60"/>
  <c r="AH44" i="60"/>
  <c r="AH27" i="60"/>
  <c r="AH56" i="60"/>
  <c r="AH69" i="60"/>
  <c r="AR37" i="60"/>
  <c r="AR77" i="60"/>
  <c r="AR27" i="60"/>
  <c r="AR40" i="60"/>
  <c r="AR58" i="60"/>
  <c r="AR67" i="60"/>
  <c r="AR68" i="60"/>
  <c r="AH45" i="60"/>
  <c r="J60" i="60"/>
  <c r="AH65" i="60"/>
  <c r="F65" i="60"/>
  <c r="F28" i="60"/>
  <c r="F49" i="60"/>
  <c r="R28" i="60"/>
  <c r="R45" i="60"/>
  <c r="R49" i="60"/>
  <c r="AH33" i="60"/>
  <c r="R65" i="60"/>
  <c r="AH28" i="60"/>
  <c r="O46" i="60"/>
  <c r="P28" i="60" s="1"/>
  <c r="F45" i="60"/>
  <c r="F72" i="60"/>
  <c r="R60" i="60"/>
  <c r="J48" i="60"/>
  <c r="J61" i="60"/>
  <c r="J51" i="60"/>
  <c r="J46" i="60"/>
  <c r="J26" i="60"/>
  <c r="J29" i="60"/>
  <c r="J54" i="60"/>
  <c r="J47" i="60"/>
  <c r="J23" i="60"/>
  <c r="J38" i="60"/>
  <c r="J39" i="60"/>
  <c r="J73" i="60"/>
  <c r="J24" i="60"/>
  <c r="J32" i="60"/>
  <c r="J66" i="60"/>
  <c r="J62" i="60"/>
  <c r="J74" i="60"/>
  <c r="J63" i="60"/>
  <c r="J34" i="60"/>
  <c r="J44" i="60"/>
  <c r="J58" i="60"/>
  <c r="J67" i="60"/>
  <c r="J57" i="60"/>
  <c r="J30" i="60"/>
  <c r="J64" i="60"/>
  <c r="J75" i="60"/>
  <c r="J77" i="60"/>
  <c r="J71" i="60"/>
  <c r="J35" i="60"/>
  <c r="J55" i="60"/>
  <c r="J42" i="60"/>
  <c r="J41" i="60"/>
  <c r="J27" i="60"/>
  <c r="J59" i="60"/>
  <c r="J68" i="60"/>
  <c r="J76" i="60"/>
  <c r="J56" i="60"/>
  <c r="J37" i="60"/>
  <c r="J40" i="60"/>
  <c r="J69" i="60"/>
  <c r="J36" i="60"/>
  <c r="J31" i="60"/>
  <c r="J43" i="60"/>
  <c r="J33" i="60"/>
  <c r="J70" i="60"/>
  <c r="J52" i="60"/>
  <c r="AH25" i="60"/>
  <c r="J65" i="60"/>
  <c r="O53" i="60"/>
  <c r="AH72" i="60"/>
  <c r="F33" i="60"/>
  <c r="R33" i="60"/>
  <c r="R51" i="60"/>
  <c r="R47" i="60"/>
  <c r="R73" i="60"/>
  <c r="R61" i="60"/>
  <c r="R48" i="60"/>
  <c r="R66" i="60"/>
  <c r="R34" i="60"/>
  <c r="R46" i="60"/>
  <c r="R26" i="60"/>
  <c r="R54" i="60"/>
  <c r="R68" i="60"/>
  <c r="R76" i="60"/>
  <c r="R52" i="60"/>
  <c r="R67" i="60"/>
  <c r="R36" i="60"/>
  <c r="R41" i="60"/>
  <c r="R35" i="60"/>
  <c r="R42" i="60"/>
  <c r="R62" i="60"/>
  <c r="R29" i="60"/>
  <c r="R69" i="60"/>
  <c r="R24" i="60"/>
  <c r="R43" i="60"/>
  <c r="R38" i="60"/>
  <c r="R39" i="60"/>
  <c r="R59" i="60"/>
  <c r="R63" i="60"/>
  <c r="R44" i="60"/>
  <c r="R27" i="60"/>
  <c r="R71" i="60"/>
  <c r="R40" i="60"/>
  <c r="R32" i="60"/>
  <c r="R75" i="60"/>
  <c r="R74" i="60"/>
  <c r="R64" i="60"/>
  <c r="R77" i="60"/>
  <c r="R37" i="60"/>
  <c r="R57" i="60"/>
  <c r="R23" i="60"/>
  <c r="R70" i="60"/>
  <c r="R56" i="60"/>
  <c r="R58" i="60"/>
  <c r="R55" i="60"/>
  <c r="R30" i="60"/>
  <c r="R31" i="60"/>
  <c r="R50" i="60"/>
  <c r="F25" i="60"/>
  <c r="J45" i="60"/>
  <c r="R25" i="60"/>
  <c r="AR45" i="60"/>
  <c r="AH60" i="60"/>
  <c r="J25" i="60"/>
  <c r="F60" i="60"/>
  <c r="J49" i="60"/>
  <c r="F50" i="60"/>
  <c r="J72" i="60"/>
  <c r="AB49" i="60"/>
  <c r="AB25" i="60"/>
  <c r="AT50" i="60"/>
  <c r="AT38" i="60"/>
  <c r="AT55" i="60"/>
  <c r="AT76" i="60"/>
  <c r="AT36" i="60"/>
  <c r="AT69" i="60"/>
  <c r="AT68" i="60"/>
  <c r="AT71" i="60"/>
  <c r="AT32" i="60"/>
  <c r="AT67" i="60"/>
  <c r="AT77" i="60"/>
  <c r="AT30" i="60"/>
  <c r="AT74" i="60"/>
  <c r="AT43" i="60"/>
  <c r="AT44" i="60"/>
  <c r="AT58" i="60"/>
  <c r="AT75" i="60"/>
  <c r="AT62" i="60"/>
  <c r="AT24" i="60"/>
  <c r="AT41" i="60"/>
  <c r="AT27" i="60"/>
  <c r="AT28" i="60" s="1"/>
  <c r="AT40" i="60"/>
  <c r="AT23" i="60"/>
  <c r="AT59" i="60"/>
  <c r="AT70" i="60"/>
  <c r="AT64" i="60"/>
  <c r="AT42" i="60"/>
  <c r="AT56" i="60"/>
  <c r="AT63" i="60"/>
  <c r="AT51" i="60"/>
  <c r="AT49" i="60"/>
  <c r="AT57" i="60"/>
  <c r="AT35" i="60"/>
  <c r="AT52" i="60"/>
  <c r="AT39" i="60"/>
  <c r="AT31" i="60"/>
  <c r="AJ43" i="60"/>
  <c r="AJ59" i="60"/>
  <c r="AJ64" i="60"/>
  <c r="AJ44" i="60"/>
  <c r="AJ74" i="60"/>
  <c r="AJ57" i="60"/>
  <c r="AJ70" i="60"/>
  <c r="AJ23" i="60"/>
  <c r="AJ69" i="60"/>
  <c r="AJ71" i="60"/>
  <c r="AJ67" i="60"/>
  <c r="AJ68" i="60"/>
  <c r="AJ30" i="60"/>
  <c r="AJ31" i="60"/>
  <c r="AJ40" i="60"/>
  <c r="AJ27" i="60"/>
  <c r="AJ28" i="60" s="1"/>
  <c r="AJ39" i="60"/>
  <c r="AJ38" i="60"/>
  <c r="AJ55" i="60"/>
  <c r="AJ37" i="60"/>
  <c r="AJ35" i="60"/>
  <c r="AJ41" i="60"/>
  <c r="AJ52" i="60"/>
  <c r="AJ77" i="60"/>
  <c r="AJ42" i="60"/>
  <c r="AD46" i="60"/>
  <c r="AJ49" i="60"/>
  <c r="AJ62" i="60"/>
  <c r="AJ56" i="60"/>
  <c r="AJ63" i="60"/>
  <c r="AJ51" i="60"/>
  <c r="AJ75" i="60"/>
  <c r="AJ32" i="60"/>
  <c r="AJ36" i="60"/>
  <c r="AJ76" i="60"/>
  <c r="AJ58" i="60"/>
  <c r="AJ24" i="60"/>
  <c r="CG28" i="60"/>
  <c r="BH56" i="60"/>
  <c r="BH68" i="60"/>
  <c r="BH51" i="60"/>
  <c r="BH70" i="60"/>
  <c r="BH27" i="60"/>
  <c r="BH28" i="60" s="1"/>
  <c r="BH69" i="60"/>
  <c r="BH63" i="60"/>
  <c r="BH44" i="60"/>
  <c r="BH43" i="60"/>
  <c r="BH74" i="60"/>
  <c r="BH52" i="60"/>
  <c r="BH67" i="60"/>
  <c r="BH75" i="60"/>
  <c r="BH71" i="60"/>
  <c r="BH76" i="60"/>
  <c r="BH55" i="60"/>
  <c r="BH38" i="60"/>
  <c r="BH62" i="60"/>
  <c r="BH41" i="60"/>
  <c r="BH32" i="60"/>
  <c r="BH40" i="60"/>
  <c r="BH24" i="60"/>
  <c r="BH77" i="60"/>
  <c r="BH57" i="60"/>
  <c r="BH23" i="60"/>
  <c r="BH64" i="60"/>
  <c r="BH42" i="60"/>
  <c r="BH30" i="60"/>
  <c r="BH37" i="60"/>
  <c r="BH58" i="60"/>
  <c r="BH36" i="60"/>
  <c r="BH39" i="60"/>
  <c r="BH59" i="60"/>
  <c r="BH35" i="60"/>
  <c r="BH31" i="60"/>
  <c r="CG45" i="60"/>
  <c r="CG25" i="60"/>
  <c r="AO42" i="60"/>
  <c r="AO30" i="60"/>
  <c r="AO35" i="60"/>
  <c r="AO76" i="60"/>
  <c r="AO58" i="60"/>
  <c r="AO56" i="60"/>
  <c r="AO68" i="60"/>
  <c r="AO41" i="60"/>
  <c r="AO70" i="60"/>
  <c r="AO52" i="60"/>
  <c r="AO31" i="60"/>
  <c r="AO40" i="60"/>
  <c r="AO39" i="60"/>
  <c r="AO55" i="60"/>
  <c r="AO24" i="60"/>
  <c r="AO59" i="60"/>
  <c r="AO74" i="60"/>
  <c r="AO51" i="60"/>
  <c r="AO75" i="60"/>
  <c r="AO44" i="60"/>
  <c r="AO23" i="60"/>
  <c r="AO50" i="60"/>
  <c r="AO37" i="60"/>
  <c r="AO27" i="60"/>
  <c r="AO28" i="60" s="1"/>
  <c r="AO43" i="60"/>
  <c r="AO32" i="60"/>
  <c r="AO71" i="60"/>
  <c r="AO38" i="60"/>
  <c r="AO67" i="60"/>
  <c r="AO36" i="60"/>
  <c r="AO62" i="60"/>
  <c r="AO77" i="60"/>
  <c r="AO57" i="60"/>
  <c r="AO49" i="60"/>
  <c r="AO69" i="60"/>
  <c r="AO64" i="60"/>
  <c r="AO63" i="60"/>
  <c r="BB53" i="60"/>
  <c r="CG60" i="60"/>
  <c r="CG33" i="60"/>
  <c r="BO82" i="60"/>
  <c r="D17" i="5" s="1"/>
  <c r="CG72" i="60"/>
  <c r="M82" i="60"/>
  <c r="D7" i="5" s="1"/>
  <c r="CG65" i="60"/>
  <c r="AW82" i="60"/>
  <c r="D14" i="5" s="1"/>
  <c r="AX43" i="60"/>
  <c r="AX30" i="60"/>
  <c r="AX51" i="60"/>
  <c r="AX70" i="60"/>
  <c r="AX71" i="60"/>
  <c r="AX23" i="60"/>
  <c r="AX67" i="60"/>
  <c r="AX77" i="60"/>
  <c r="AX56" i="60"/>
  <c r="AX62" i="60"/>
  <c r="AX42" i="60"/>
  <c r="AX24" i="60"/>
  <c r="AX59" i="60"/>
  <c r="AX40" i="60"/>
  <c r="AX76" i="60"/>
  <c r="AX50" i="60"/>
  <c r="AX74" i="60"/>
  <c r="AX36" i="60"/>
  <c r="AX68" i="60"/>
  <c r="AX32" i="60"/>
  <c r="AX64" i="60"/>
  <c r="AX35" i="60"/>
  <c r="AX63" i="60"/>
  <c r="AX31" i="60"/>
  <c r="AX75" i="60"/>
  <c r="AX38" i="60"/>
  <c r="AX27" i="60"/>
  <c r="AX28" i="60" s="1"/>
  <c r="AX44" i="60"/>
  <c r="AX55" i="60"/>
  <c r="AX41" i="60"/>
  <c r="AX39" i="60"/>
  <c r="AX57" i="60"/>
  <c r="AX58" i="60"/>
  <c r="AX37" i="60"/>
  <c r="AX52" i="60"/>
  <c r="AX69" i="60"/>
  <c r="AX49" i="60"/>
  <c r="BL62" i="60"/>
  <c r="BL42" i="60"/>
  <c r="BL30" i="60"/>
  <c r="BL35" i="60"/>
  <c r="BL57" i="60"/>
  <c r="BL74" i="60"/>
  <c r="BL38" i="60"/>
  <c r="BL31" i="60"/>
  <c r="BL68" i="60"/>
  <c r="BL51" i="60"/>
  <c r="BL64" i="60"/>
  <c r="BL63" i="60"/>
  <c r="BL44" i="60"/>
  <c r="BL32" i="60"/>
  <c r="BL23" i="60"/>
  <c r="BL75" i="60"/>
  <c r="BL59" i="60"/>
  <c r="BL36" i="60"/>
  <c r="BL55" i="60"/>
  <c r="BL71" i="60"/>
  <c r="BL77" i="60"/>
  <c r="BL50" i="60"/>
  <c r="BL37" i="60"/>
  <c r="BL67" i="60"/>
  <c r="BL39" i="60"/>
  <c r="BL52" i="60"/>
  <c r="BL43" i="60"/>
  <c r="BL70" i="60"/>
  <c r="BL56" i="60"/>
  <c r="BL69" i="60"/>
  <c r="BL40" i="60"/>
  <c r="BL58" i="60"/>
  <c r="BL41" i="60"/>
  <c r="BL76" i="60"/>
  <c r="BL24" i="60"/>
  <c r="BL27" i="60"/>
  <c r="BL28" i="60" s="1"/>
  <c r="BK82" i="60"/>
  <c r="D16" i="5" s="1"/>
  <c r="BB46" i="60"/>
  <c r="BH50" i="60"/>
  <c r="CG49" i="60"/>
  <c r="BJ47" i="60" l="1"/>
  <c r="AM50" i="62"/>
  <c r="BJ51" i="60"/>
  <c r="K82" i="62"/>
  <c r="G7" i="5" s="1"/>
  <c r="BJ31" i="60"/>
  <c r="AU82" i="60"/>
  <c r="C14" i="5" s="1"/>
  <c r="BJ52" i="60"/>
  <c r="BJ40" i="60"/>
  <c r="BJ27" i="60"/>
  <c r="BJ68" i="60"/>
  <c r="AR42" i="60"/>
  <c r="BJ28" i="60"/>
  <c r="BJ44" i="60"/>
  <c r="AR35" i="60"/>
  <c r="BJ66" i="60"/>
  <c r="AR32" i="60"/>
  <c r="AR61" i="60"/>
  <c r="BJ72" i="60"/>
  <c r="BJ30" i="60"/>
  <c r="BJ53" i="60"/>
  <c r="AR48" i="60"/>
  <c r="BJ54" i="60"/>
  <c r="AR29" i="60"/>
  <c r="BJ45" i="60"/>
  <c r="BJ41" i="60"/>
  <c r="AR50" i="60"/>
  <c r="AR23" i="60"/>
  <c r="AR73" i="60"/>
  <c r="BJ65" i="60"/>
  <c r="BJ64" i="60"/>
  <c r="AM28" i="62"/>
  <c r="AR49" i="60"/>
  <c r="AR47" i="60"/>
  <c r="BJ69" i="60"/>
  <c r="BJ80" i="60"/>
  <c r="BJ77" i="60"/>
  <c r="AR65" i="60"/>
  <c r="AR44" i="60"/>
  <c r="BJ35" i="60"/>
  <c r="BJ36" i="60"/>
  <c r="BJ46" i="60"/>
  <c r="AR31" i="60"/>
  <c r="BJ60" i="60"/>
  <c r="AR41" i="60"/>
  <c r="BJ43" i="60"/>
  <c r="AR71" i="60"/>
  <c r="BJ55" i="60"/>
  <c r="BJ37" i="60"/>
  <c r="AH25" i="62"/>
  <c r="BJ25" i="62"/>
  <c r="AR63" i="60"/>
  <c r="AR62" i="60"/>
  <c r="BJ24" i="60"/>
  <c r="AR43" i="60"/>
  <c r="BJ63" i="60"/>
  <c r="BJ29" i="60"/>
  <c r="AR25" i="60"/>
  <c r="AR28" i="60"/>
  <c r="AR33" i="60"/>
  <c r="AR38" i="60"/>
  <c r="AR34" i="60"/>
  <c r="BJ32" i="60"/>
  <c r="BJ38" i="60"/>
  <c r="BJ58" i="60"/>
  <c r="BJ61" i="60"/>
  <c r="BJ49" i="60"/>
  <c r="AR72" i="60"/>
  <c r="AR52" i="60"/>
  <c r="BJ57" i="60"/>
  <c r="AR74" i="60"/>
  <c r="AR76" i="60"/>
  <c r="AR55" i="60"/>
  <c r="AR70" i="60"/>
  <c r="AR66" i="60"/>
  <c r="BJ76" i="60"/>
  <c r="BJ42" i="60"/>
  <c r="BJ67" i="60"/>
  <c r="BJ73" i="60"/>
  <c r="AR30" i="60"/>
  <c r="AR51" i="60"/>
  <c r="BJ48" i="60"/>
  <c r="AR60" i="60"/>
  <c r="AR75" i="60"/>
  <c r="AR46" i="60"/>
  <c r="BJ74" i="60"/>
  <c r="BJ62" i="60"/>
  <c r="BJ33" i="60"/>
  <c r="AR59" i="60"/>
  <c r="AR57" i="60"/>
  <c r="AR54" i="60"/>
  <c r="BJ75" i="60"/>
  <c r="BJ59" i="60"/>
  <c r="BJ39" i="60"/>
  <c r="BJ26" i="60"/>
  <c r="AR64" i="60"/>
  <c r="AR24" i="60"/>
  <c r="BJ23" i="60"/>
  <c r="BJ25" i="60"/>
  <c r="AR39" i="60"/>
  <c r="AR56" i="60"/>
  <c r="AR69" i="60"/>
  <c r="AR36" i="60"/>
  <c r="BJ71" i="60"/>
  <c r="BJ70" i="60"/>
  <c r="BJ56" i="60"/>
  <c r="BJ34" i="60"/>
  <c r="AZ46" i="60"/>
  <c r="BA50" i="60" s="1"/>
  <c r="AM65" i="62"/>
  <c r="BW82" i="62"/>
  <c r="AM61" i="62"/>
  <c r="AM66" i="62"/>
  <c r="AM54" i="62"/>
  <c r="AM26" i="62"/>
  <c r="AM51" i="62"/>
  <c r="AK46" i="62"/>
  <c r="AM47" i="62"/>
  <c r="AM48" i="62"/>
  <c r="AM34" i="62"/>
  <c r="AM73" i="62"/>
  <c r="AM46" i="62"/>
  <c r="AM78" i="62"/>
  <c r="AM29" i="62"/>
  <c r="AM41" i="62"/>
  <c r="AM75" i="62"/>
  <c r="AM76" i="62"/>
  <c r="AM56" i="62"/>
  <c r="AM59" i="62"/>
  <c r="AM68" i="62"/>
  <c r="AM27" i="62"/>
  <c r="AM77" i="62"/>
  <c r="AM44" i="62"/>
  <c r="AM36" i="62"/>
  <c r="AM58" i="62"/>
  <c r="AM23" i="62"/>
  <c r="AM70" i="62"/>
  <c r="AM43" i="62"/>
  <c r="AM40" i="62"/>
  <c r="AM67" i="62"/>
  <c r="AM52" i="62"/>
  <c r="AM71" i="62"/>
  <c r="AM42" i="62"/>
  <c r="AM55" i="62"/>
  <c r="AM24" i="62"/>
  <c r="AM74" i="62"/>
  <c r="AM31" i="62"/>
  <c r="AM39" i="62"/>
  <c r="AM64" i="62"/>
  <c r="AM30" i="62"/>
  <c r="AM37" i="62"/>
  <c r="AM69" i="62"/>
  <c r="AM63" i="62"/>
  <c r="AM32" i="62"/>
  <c r="AM38" i="62"/>
  <c r="AM62" i="62"/>
  <c r="AM35" i="62"/>
  <c r="AM57" i="62"/>
  <c r="W82" i="62"/>
  <c r="AK53" i="62"/>
  <c r="AM53" i="62"/>
  <c r="AZ53" i="60"/>
  <c r="AM25" i="62"/>
  <c r="AM60" i="62"/>
  <c r="AM45" i="62"/>
  <c r="AM72" i="62"/>
  <c r="BM82" i="62"/>
  <c r="AM33" i="62"/>
  <c r="AV65" i="62"/>
  <c r="AV25" i="62"/>
  <c r="AV60" i="62"/>
  <c r="D53" i="62"/>
  <c r="AV80" i="62"/>
  <c r="AR49" i="62"/>
  <c r="AV33" i="62"/>
  <c r="AU82" i="62"/>
  <c r="G14" i="5" s="1"/>
  <c r="BP33" i="62"/>
  <c r="BJ65" i="62"/>
  <c r="BP25" i="62"/>
  <c r="L53" i="62"/>
  <c r="BJ45" i="62"/>
  <c r="D72" i="62"/>
  <c r="AH45" i="62"/>
  <c r="BJ60" i="62"/>
  <c r="BJ49" i="62"/>
  <c r="AB46" i="62"/>
  <c r="AC37" i="62" s="1"/>
  <c r="BJ80" i="62"/>
  <c r="BJ72" i="62"/>
  <c r="N53" i="62"/>
  <c r="AV45" i="62"/>
  <c r="AB46" i="60"/>
  <c r="AC72" i="60" s="1"/>
  <c r="AH50" i="62"/>
  <c r="AV72" i="62"/>
  <c r="AH65" i="62"/>
  <c r="AH33" i="62"/>
  <c r="AV53" i="62"/>
  <c r="BS28" i="62"/>
  <c r="BS80" i="62"/>
  <c r="BS60" i="62"/>
  <c r="BS65" i="62"/>
  <c r="BS33" i="62"/>
  <c r="BS45" i="62"/>
  <c r="BS72" i="62"/>
  <c r="BS49" i="62"/>
  <c r="BS50" i="62"/>
  <c r="BS52" i="62"/>
  <c r="BF81" i="62"/>
  <c r="BE82" i="62"/>
  <c r="AR72" i="62"/>
  <c r="AP53" i="62"/>
  <c r="AR53" i="62"/>
  <c r="BP53" i="62"/>
  <c r="N65" i="62"/>
  <c r="CE28" i="62"/>
  <c r="AR29" i="62"/>
  <c r="AR34" i="62"/>
  <c r="AR66" i="62"/>
  <c r="AP46" i="62"/>
  <c r="AR51" i="62"/>
  <c r="AR78" i="62"/>
  <c r="AR73" i="62"/>
  <c r="AR54" i="62"/>
  <c r="AR46" i="62"/>
  <c r="AR47" i="62"/>
  <c r="AS47" i="62"/>
  <c r="AR26" i="62"/>
  <c r="AR61" i="62"/>
  <c r="AR48" i="62"/>
  <c r="AR40" i="62"/>
  <c r="AR36" i="62"/>
  <c r="AR38" i="62"/>
  <c r="AR31" i="62"/>
  <c r="AR52" i="62"/>
  <c r="AR71" i="62"/>
  <c r="AR67" i="62"/>
  <c r="AR75" i="62"/>
  <c r="AR63" i="62"/>
  <c r="AR64" i="62"/>
  <c r="AR23" i="62"/>
  <c r="AR35" i="62"/>
  <c r="AR59" i="62"/>
  <c r="AR32" i="62"/>
  <c r="AR43" i="62"/>
  <c r="AR24" i="62"/>
  <c r="AR55" i="62"/>
  <c r="AR44" i="62"/>
  <c r="AR41" i="62"/>
  <c r="AR74" i="62"/>
  <c r="AR62" i="62"/>
  <c r="AR77" i="62"/>
  <c r="AR39" i="62"/>
  <c r="AR58" i="62"/>
  <c r="AR69" i="62"/>
  <c r="AR76" i="62"/>
  <c r="AR37" i="62"/>
  <c r="AR42" i="62"/>
  <c r="AR68" i="62"/>
  <c r="AR56" i="62"/>
  <c r="AR70" i="62"/>
  <c r="AR57" i="62"/>
  <c r="AR27" i="62"/>
  <c r="AR30" i="62"/>
  <c r="AZ53" i="62"/>
  <c r="BN65" i="62"/>
  <c r="CE25" i="62"/>
  <c r="BP72" i="62"/>
  <c r="L60" i="62"/>
  <c r="BS78" i="62"/>
  <c r="BS47" i="62"/>
  <c r="BS66" i="62"/>
  <c r="BS73" i="62"/>
  <c r="BS54" i="62"/>
  <c r="BS79" i="62"/>
  <c r="BS61" i="62"/>
  <c r="BS26" i="62"/>
  <c r="BS46" i="62"/>
  <c r="BS29" i="62"/>
  <c r="BS48" i="62"/>
  <c r="BS34" i="62"/>
  <c r="BS51" i="62"/>
  <c r="BS31" i="62"/>
  <c r="BS37" i="62"/>
  <c r="BS58" i="62"/>
  <c r="BS59" i="62"/>
  <c r="BS55" i="62"/>
  <c r="BS77" i="62"/>
  <c r="BS24" i="62"/>
  <c r="BS70" i="62"/>
  <c r="BS41" i="62"/>
  <c r="BS71" i="62"/>
  <c r="BS57" i="62"/>
  <c r="BS38" i="62"/>
  <c r="BS40" i="62"/>
  <c r="BS36" i="62"/>
  <c r="BS67" i="62"/>
  <c r="BS23" i="62"/>
  <c r="BS35" i="62"/>
  <c r="BS76" i="62"/>
  <c r="BS64" i="62"/>
  <c r="BS42" i="62"/>
  <c r="BS30" i="62"/>
  <c r="BS74" i="62"/>
  <c r="BS44" i="62"/>
  <c r="BS68" i="62"/>
  <c r="BS62" i="62"/>
  <c r="BS63" i="62"/>
  <c r="BS32" i="62"/>
  <c r="BS27" i="62"/>
  <c r="BS69" i="62"/>
  <c r="BS75" i="62"/>
  <c r="BS39" i="62"/>
  <c r="BS43" i="62"/>
  <c r="BS56" i="62"/>
  <c r="AR60" i="62"/>
  <c r="N60" i="62"/>
  <c r="BN80" i="62"/>
  <c r="CE72" i="62"/>
  <c r="BI81" i="62"/>
  <c r="BJ81" i="62" s="1"/>
  <c r="BJ53" i="62"/>
  <c r="AR65" i="62"/>
  <c r="CE33" i="62"/>
  <c r="CE49" i="62"/>
  <c r="D45" i="62"/>
  <c r="L45" i="62"/>
  <c r="BP45" i="62"/>
  <c r="L65" i="62"/>
  <c r="L72" i="62"/>
  <c r="BJ78" i="62"/>
  <c r="BJ51" i="62"/>
  <c r="BJ47" i="62"/>
  <c r="BJ61" i="62"/>
  <c r="BJ34" i="62"/>
  <c r="BJ26" i="62"/>
  <c r="BJ48" i="62"/>
  <c r="BJ73" i="62"/>
  <c r="BJ29" i="62"/>
  <c r="BJ54" i="62"/>
  <c r="BJ79" i="62"/>
  <c r="BJ66" i="62"/>
  <c r="BJ46" i="62"/>
  <c r="BJ30" i="62"/>
  <c r="BJ57" i="62"/>
  <c r="BJ44" i="62"/>
  <c r="BJ63" i="62"/>
  <c r="BJ74" i="62"/>
  <c r="BJ76" i="62"/>
  <c r="BJ75" i="62"/>
  <c r="BJ36" i="62"/>
  <c r="BJ55" i="62"/>
  <c r="BJ35" i="62"/>
  <c r="BJ71" i="62"/>
  <c r="BJ41" i="62"/>
  <c r="BJ42" i="62"/>
  <c r="BJ69" i="62"/>
  <c r="BJ77" i="62"/>
  <c r="BJ64" i="62"/>
  <c r="BJ38" i="62"/>
  <c r="BJ59" i="62"/>
  <c r="BJ56" i="62"/>
  <c r="BJ52" i="62"/>
  <c r="BJ40" i="62"/>
  <c r="BJ32" i="62"/>
  <c r="BJ70" i="62"/>
  <c r="BJ39" i="62"/>
  <c r="BJ58" i="62"/>
  <c r="BJ27" i="62"/>
  <c r="BJ43" i="62"/>
  <c r="BJ67" i="62"/>
  <c r="BJ37" i="62"/>
  <c r="BJ68" i="62"/>
  <c r="BJ24" i="62"/>
  <c r="BJ62" i="62"/>
  <c r="BJ31" i="62"/>
  <c r="BJ23" i="62"/>
  <c r="BJ28" i="62"/>
  <c r="BS53" i="62"/>
  <c r="BR81" i="62"/>
  <c r="BS81" i="62" s="1"/>
  <c r="AC33" i="62"/>
  <c r="D33" i="62"/>
  <c r="D65" i="62"/>
  <c r="BN60" i="62"/>
  <c r="BN33" i="62"/>
  <c r="N33" i="62"/>
  <c r="BP60" i="62"/>
  <c r="L33" i="62"/>
  <c r="AR33" i="62"/>
  <c r="AH60" i="62"/>
  <c r="AF53" i="62"/>
  <c r="AH53" i="62"/>
  <c r="D60" i="62"/>
  <c r="BN53" i="62"/>
  <c r="BP80" i="62"/>
  <c r="AR50" i="62"/>
  <c r="CE60" i="62"/>
  <c r="N25" i="62"/>
  <c r="L25" i="62"/>
  <c r="L80" i="62"/>
  <c r="CE45" i="62"/>
  <c r="AR28" i="62"/>
  <c r="CE52" i="62"/>
  <c r="D25" i="62"/>
  <c r="N80" i="62"/>
  <c r="BN72" i="62"/>
  <c r="N45" i="62"/>
  <c r="BN45" i="62"/>
  <c r="BJ33" i="62"/>
  <c r="AR45" i="62"/>
  <c r="AH34" i="62"/>
  <c r="AH47" i="62"/>
  <c r="AF46" i="62"/>
  <c r="AH51" i="62"/>
  <c r="AH66" i="62"/>
  <c r="AH26" i="62"/>
  <c r="AH46" i="62"/>
  <c r="AH54" i="62"/>
  <c r="AH61" i="62"/>
  <c r="AH48" i="62"/>
  <c r="AH78" i="62"/>
  <c r="AH73" i="62"/>
  <c r="AH29" i="62"/>
  <c r="AH62" i="62"/>
  <c r="AH44" i="62"/>
  <c r="AH59" i="62"/>
  <c r="AH64" i="62"/>
  <c r="AH55" i="62"/>
  <c r="AH37" i="62"/>
  <c r="AH49" i="62"/>
  <c r="AH23" i="62"/>
  <c r="AH68" i="62"/>
  <c r="AH32" i="62"/>
  <c r="AH56" i="62"/>
  <c r="AH31" i="62"/>
  <c r="AH57" i="62"/>
  <c r="AH43" i="62"/>
  <c r="AH75" i="62"/>
  <c r="AH71" i="62"/>
  <c r="AH77" i="62"/>
  <c r="AH52" i="62"/>
  <c r="AH38" i="62"/>
  <c r="AH76" i="62"/>
  <c r="AH40" i="62"/>
  <c r="AH30" i="62"/>
  <c r="AH58" i="62"/>
  <c r="AH70" i="62"/>
  <c r="AH27" i="62"/>
  <c r="AH69" i="62"/>
  <c r="AH74" i="62"/>
  <c r="AH63" i="62"/>
  <c r="AH35" i="62"/>
  <c r="AH36" i="62"/>
  <c r="AH42" i="62"/>
  <c r="AH39" i="62"/>
  <c r="AH41" i="62"/>
  <c r="AH24" i="62"/>
  <c r="AH67" i="62"/>
  <c r="AZ46" i="62"/>
  <c r="BA60" i="62" s="1"/>
  <c r="N72" i="62"/>
  <c r="BP65" i="62"/>
  <c r="CE65" i="62"/>
  <c r="AH72" i="62"/>
  <c r="V81" i="62"/>
  <c r="U82" i="62"/>
  <c r="H9" i="5" s="1"/>
  <c r="BG82" i="60"/>
  <c r="D15" i="5" s="1"/>
  <c r="BF38" i="60"/>
  <c r="BF69" i="60"/>
  <c r="BF31" i="60"/>
  <c r="BF61" i="60"/>
  <c r="BF70" i="60"/>
  <c r="BF41" i="60"/>
  <c r="BF71" i="60"/>
  <c r="BF35" i="60"/>
  <c r="BF45" i="60"/>
  <c r="BF73" i="60"/>
  <c r="BF42" i="60"/>
  <c r="BF30" i="60"/>
  <c r="BF77" i="60"/>
  <c r="BF55" i="60"/>
  <c r="BF43" i="60"/>
  <c r="BF48" i="60"/>
  <c r="BF65" i="60"/>
  <c r="BF37" i="60"/>
  <c r="BF26" i="60"/>
  <c r="BF63" i="60"/>
  <c r="BF34" i="60"/>
  <c r="BF74" i="60"/>
  <c r="BF32" i="60"/>
  <c r="BF46" i="60"/>
  <c r="BF50" i="60"/>
  <c r="BF54" i="60"/>
  <c r="BF53" i="60"/>
  <c r="BF33" i="60"/>
  <c r="BF28" i="60"/>
  <c r="BF58" i="60"/>
  <c r="BF62" i="60"/>
  <c r="BF25" i="60"/>
  <c r="BF67" i="60"/>
  <c r="BF40" i="60"/>
  <c r="BF44" i="60"/>
  <c r="BF72" i="60"/>
  <c r="BF39" i="60"/>
  <c r="BF64" i="60"/>
  <c r="BF59" i="60"/>
  <c r="BF36" i="60"/>
  <c r="BF76" i="60"/>
  <c r="BF66" i="60"/>
  <c r="BF80" i="60"/>
  <c r="BF52" i="60"/>
  <c r="BF24" i="60"/>
  <c r="BF51" i="60"/>
  <c r="BF75" i="60"/>
  <c r="BF68" i="60"/>
  <c r="BF23" i="60"/>
  <c r="BF47" i="60"/>
  <c r="BF49" i="60"/>
  <c r="BF57" i="60"/>
  <c r="BF27" i="60"/>
  <c r="BF56" i="60"/>
  <c r="BF29" i="60"/>
  <c r="H52" i="60"/>
  <c r="H64" i="60"/>
  <c r="H60" i="60"/>
  <c r="H77" i="60"/>
  <c r="X33" i="60"/>
  <c r="X80" i="60"/>
  <c r="H31" i="60"/>
  <c r="BY82" i="60"/>
  <c r="D18" i="5" s="1"/>
  <c r="H76" i="60"/>
  <c r="H66" i="60"/>
  <c r="H47" i="60"/>
  <c r="H42" i="60"/>
  <c r="H38" i="60"/>
  <c r="H57" i="60"/>
  <c r="H44" i="60"/>
  <c r="X65" i="60"/>
  <c r="BM88" i="60"/>
  <c r="H34" i="60"/>
  <c r="H43" i="60"/>
  <c r="H54" i="60"/>
  <c r="H37" i="60"/>
  <c r="H26" i="60"/>
  <c r="H45" i="60"/>
  <c r="H72" i="60"/>
  <c r="H68" i="60"/>
  <c r="H46" i="60"/>
  <c r="H70" i="60"/>
  <c r="BX53" i="60"/>
  <c r="T72" i="60"/>
  <c r="H41" i="60"/>
  <c r="H71" i="60"/>
  <c r="BX49" i="60"/>
  <c r="H55" i="60"/>
  <c r="H75" i="60"/>
  <c r="T60" i="60"/>
  <c r="BX72" i="60"/>
  <c r="BX33" i="60"/>
  <c r="BX28" i="60"/>
  <c r="T33" i="60"/>
  <c r="BX65" i="60"/>
  <c r="T25" i="60"/>
  <c r="BX60" i="60"/>
  <c r="T45" i="60"/>
  <c r="T49" i="60"/>
  <c r="H35" i="60"/>
  <c r="T65" i="60"/>
  <c r="H33" i="60"/>
  <c r="H40" i="60"/>
  <c r="X53" i="60"/>
  <c r="W81" i="60"/>
  <c r="X81" i="60" s="1"/>
  <c r="H62" i="60"/>
  <c r="H27" i="60"/>
  <c r="X45" i="60"/>
  <c r="H32" i="60"/>
  <c r="H30" i="60"/>
  <c r="H29" i="60"/>
  <c r="H56" i="60"/>
  <c r="BX80" i="60"/>
  <c r="X72" i="60"/>
  <c r="H23" i="60"/>
  <c r="H58" i="60"/>
  <c r="H61" i="60"/>
  <c r="H59" i="60"/>
  <c r="H74" i="60"/>
  <c r="T53" i="60"/>
  <c r="X29" i="60"/>
  <c r="X26" i="60"/>
  <c r="X73" i="60"/>
  <c r="X54" i="60"/>
  <c r="X61" i="60"/>
  <c r="X48" i="60"/>
  <c r="X47" i="60"/>
  <c r="X46" i="60"/>
  <c r="X34" i="60"/>
  <c r="X66" i="60"/>
  <c r="X51" i="60"/>
  <c r="X24" i="60"/>
  <c r="X31" i="60"/>
  <c r="X59" i="60"/>
  <c r="X62" i="60"/>
  <c r="X69" i="60"/>
  <c r="X70" i="60"/>
  <c r="X74" i="60"/>
  <c r="X27" i="60"/>
  <c r="X52" i="60"/>
  <c r="X56" i="60"/>
  <c r="X38" i="60"/>
  <c r="X32" i="60"/>
  <c r="X58" i="60"/>
  <c r="X36" i="60"/>
  <c r="X75" i="60"/>
  <c r="X71" i="60"/>
  <c r="X30" i="60"/>
  <c r="X67" i="60"/>
  <c r="X40" i="60"/>
  <c r="X28" i="60"/>
  <c r="X68" i="60"/>
  <c r="X39" i="60"/>
  <c r="X41" i="60"/>
  <c r="X42" i="60"/>
  <c r="X23" i="60"/>
  <c r="X35" i="60"/>
  <c r="X77" i="60"/>
  <c r="X43" i="60"/>
  <c r="X63" i="60"/>
  <c r="X76" i="60"/>
  <c r="X57" i="60"/>
  <c r="X55" i="60"/>
  <c r="X37" i="60"/>
  <c r="X64" i="60"/>
  <c r="X44" i="60"/>
  <c r="BX66" i="60"/>
  <c r="BX54" i="60"/>
  <c r="BX46" i="60"/>
  <c r="BX26" i="60"/>
  <c r="BX61" i="60"/>
  <c r="BX73" i="60"/>
  <c r="BX34" i="60"/>
  <c r="BX48" i="60"/>
  <c r="BX47" i="60"/>
  <c r="BX29" i="60"/>
  <c r="BX51" i="60"/>
  <c r="BX31" i="60"/>
  <c r="BX24" i="60"/>
  <c r="BX36" i="60"/>
  <c r="BX44" i="60"/>
  <c r="BX62" i="60"/>
  <c r="BX56" i="60"/>
  <c r="BX30" i="60"/>
  <c r="BX32" i="60"/>
  <c r="BX35" i="60"/>
  <c r="BX68" i="60"/>
  <c r="BX63" i="60"/>
  <c r="BX77" i="60"/>
  <c r="BX71" i="60"/>
  <c r="BX39" i="60"/>
  <c r="BX23" i="60"/>
  <c r="BX52" i="60"/>
  <c r="BX75" i="60"/>
  <c r="BX37" i="60"/>
  <c r="BX70" i="60"/>
  <c r="BX64" i="60"/>
  <c r="BX57" i="60"/>
  <c r="BX27" i="60"/>
  <c r="BX55" i="60"/>
  <c r="BX76" i="60"/>
  <c r="BX67" i="60"/>
  <c r="BX42" i="60"/>
  <c r="BX58" i="60"/>
  <c r="BX59" i="60"/>
  <c r="BX40" i="60"/>
  <c r="BX41" i="60"/>
  <c r="BX74" i="60"/>
  <c r="BX38" i="60"/>
  <c r="BX69" i="60"/>
  <c r="BX43" i="60"/>
  <c r="X25" i="60"/>
  <c r="BX25" i="60"/>
  <c r="X49" i="60"/>
  <c r="H67" i="60"/>
  <c r="H28" i="60"/>
  <c r="H51" i="60"/>
  <c r="H49" i="60"/>
  <c r="X60" i="60"/>
  <c r="H25" i="60"/>
  <c r="H48" i="60"/>
  <c r="H69" i="60"/>
  <c r="BX45" i="60"/>
  <c r="BX50" i="60"/>
  <c r="Y82" i="60"/>
  <c r="H36" i="60"/>
  <c r="H63" i="60"/>
  <c r="H73" i="60"/>
  <c r="H24" i="60"/>
  <c r="H65" i="60"/>
  <c r="T29" i="60"/>
  <c r="T54" i="60"/>
  <c r="T34" i="60"/>
  <c r="T66" i="60"/>
  <c r="T48" i="60"/>
  <c r="T47" i="60"/>
  <c r="T61" i="60"/>
  <c r="T46" i="60"/>
  <c r="T26" i="60"/>
  <c r="T73" i="60"/>
  <c r="T51" i="60"/>
  <c r="T27" i="60"/>
  <c r="T31" i="60"/>
  <c r="T35" i="60"/>
  <c r="T77" i="60"/>
  <c r="T52" i="60"/>
  <c r="T43" i="60"/>
  <c r="T55" i="60"/>
  <c r="T28" i="60"/>
  <c r="T37" i="60"/>
  <c r="T62" i="60"/>
  <c r="T23" i="60"/>
  <c r="T74" i="60"/>
  <c r="T56" i="60"/>
  <c r="T67" i="60"/>
  <c r="T75" i="60"/>
  <c r="T38" i="60"/>
  <c r="T40" i="60"/>
  <c r="T32" i="60"/>
  <c r="T36" i="60"/>
  <c r="T69" i="60"/>
  <c r="T42" i="60"/>
  <c r="T57" i="60"/>
  <c r="T59" i="60"/>
  <c r="T39" i="60"/>
  <c r="T58" i="60"/>
  <c r="T24" i="60"/>
  <c r="T64" i="60"/>
  <c r="T41" i="60"/>
  <c r="T44" i="60"/>
  <c r="T63" i="60"/>
  <c r="T30" i="60"/>
  <c r="T71" i="60"/>
  <c r="T68" i="60"/>
  <c r="T70" i="60"/>
  <c r="T76" i="60"/>
  <c r="BW82" i="60"/>
  <c r="C18" i="5" s="1"/>
  <c r="BX81" i="60"/>
  <c r="BI82" i="60"/>
  <c r="C16" i="5" s="1"/>
  <c r="BJ81" i="60"/>
  <c r="BU66" i="60"/>
  <c r="BU54" i="60"/>
  <c r="BU46" i="60"/>
  <c r="BU34" i="60"/>
  <c r="BU26" i="60"/>
  <c r="BU48" i="60"/>
  <c r="BU51" i="60"/>
  <c r="BU73" i="60"/>
  <c r="BU61" i="60"/>
  <c r="BU29" i="60"/>
  <c r="BU47" i="60"/>
  <c r="BU64" i="60"/>
  <c r="BU59" i="60"/>
  <c r="BU52" i="60"/>
  <c r="BU44" i="60"/>
  <c r="BU76" i="60"/>
  <c r="BU58" i="60"/>
  <c r="BU55" i="60"/>
  <c r="BU41" i="60"/>
  <c r="BU62" i="60"/>
  <c r="BU38" i="60"/>
  <c r="BU67" i="60"/>
  <c r="BU68" i="60"/>
  <c r="BU24" i="60"/>
  <c r="BU30" i="60"/>
  <c r="BU75" i="60"/>
  <c r="BU69" i="60"/>
  <c r="BU63" i="60"/>
  <c r="BU43" i="60"/>
  <c r="BU39" i="60"/>
  <c r="BU27" i="60"/>
  <c r="BU57" i="60"/>
  <c r="BU71" i="60"/>
  <c r="BU77" i="60"/>
  <c r="BU31" i="60"/>
  <c r="BU36" i="60"/>
  <c r="BU40" i="60"/>
  <c r="BU32" i="60"/>
  <c r="BU23" i="60"/>
  <c r="BU56" i="60"/>
  <c r="BU42" i="60"/>
  <c r="BU70" i="60"/>
  <c r="BU37" i="60"/>
  <c r="BU74" i="60"/>
  <c r="BU35" i="60"/>
  <c r="BU25" i="60"/>
  <c r="BU33" i="60"/>
  <c r="BU28" i="60"/>
  <c r="BU49" i="60"/>
  <c r="BR46" i="60"/>
  <c r="BS49" i="60" s="1"/>
  <c r="BR53" i="60"/>
  <c r="BU80" i="60"/>
  <c r="BU81" i="60"/>
  <c r="BU53" i="60"/>
  <c r="BE82" i="60"/>
  <c r="C15" i="5" s="1"/>
  <c r="BF81" i="60"/>
  <c r="BU72" i="60"/>
  <c r="BU60" i="60"/>
  <c r="BU65" i="60"/>
  <c r="BU50" i="60"/>
  <c r="BU45" i="60"/>
  <c r="P53" i="60"/>
  <c r="P51" i="60"/>
  <c r="P47" i="60"/>
  <c r="P73" i="60"/>
  <c r="P61" i="60"/>
  <c r="P29" i="60"/>
  <c r="P48" i="60"/>
  <c r="P46" i="60"/>
  <c r="P26" i="60"/>
  <c r="P54" i="60"/>
  <c r="P34" i="60"/>
  <c r="P66" i="60"/>
  <c r="P76" i="60"/>
  <c r="P31" i="60"/>
  <c r="P58" i="60"/>
  <c r="P70" i="60"/>
  <c r="P23" i="60"/>
  <c r="P33" i="60"/>
  <c r="P37" i="60"/>
  <c r="P64" i="60"/>
  <c r="P32" i="60"/>
  <c r="P40" i="60"/>
  <c r="P71" i="60"/>
  <c r="P39" i="60"/>
  <c r="P43" i="60"/>
  <c r="P62" i="60"/>
  <c r="P35" i="60"/>
  <c r="P67" i="60"/>
  <c r="P68" i="60"/>
  <c r="P72" i="60"/>
  <c r="P30" i="60"/>
  <c r="P56" i="60"/>
  <c r="P77" i="60"/>
  <c r="P74" i="60"/>
  <c r="P44" i="60"/>
  <c r="P60" i="60"/>
  <c r="P42" i="60"/>
  <c r="P41" i="60"/>
  <c r="P52" i="60"/>
  <c r="P65" i="60"/>
  <c r="P55" i="60"/>
  <c r="P45" i="60"/>
  <c r="P63" i="60"/>
  <c r="P24" i="60"/>
  <c r="P25" i="60"/>
  <c r="P36" i="60"/>
  <c r="P57" i="60"/>
  <c r="P75" i="60"/>
  <c r="P27" i="60"/>
  <c r="P59" i="60"/>
  <c r="P38" i="60"/>
  <c r="P69" i="60"/>
  <c r="P49" i="60"/>
  <c r="P50" i="60"/>
  <c r="AE76" i="60"/>
  <c r="AE72" i="60"/>
  <c r="AE68" i="60"/>
  <c r="AE64" i="60"/>
  <c r="AE60" i="60"/>
  <c r="AE56" i="60"/>
  <c r="AE52" i="60"/>
  <c r="AE48" i="60"/>
  <c r="AE44" i="60"/>
  <c r="AE40" i="60"/>
  <c r="AE36" i="60"/>
  <c r="AE32" i="60"/>
  <c r="AE28" i="60"/>
  <c r="AE24" i="60"/>
  <c r="AE74" i="60"/>
  <c r="AE70" i="60"/>
  <c r="AE66" i="60"/>
  <c r="AE77" i="60"/>
  <c r="AE75" i="60"/>
  <c r="AE71" i="60"/>
  <c r="AE67" i="60"/>
  <c r="AE63" i="60"/>
  <c r="AE59" i="60"/>
  <c r="AE55" i="60"/>
  <c r="AE51" i="60"/>
  <c r="AE47" i="60"/>
  <c r="AE43" i="60"/>
  <c r="AE39" i="60"/>
  <c r="AE35" i="60"/>
  <c r="AE31" i="60"/>
  <c r="AE27" i="60"/>
  <c r="AE65" i="60"/>
  <c r="AE57" i="60"/>
  <c r="AE41" i="60"/>
  <c r="AE33" i="60"/>
  <c r="AE62" i="60"/>
  <c r="AE54" i="60"/>
  <c r="AE46" i="60"/>
  <c r="AE38" i="60"/>
  <c r="AE30" i="60"/>
  <c r="AE73" i="60"/>
  <c r="AE61" i="60"/>
  <c r="AE45" i="60"/>
  <c r="AE37" i="60"/>
  <c r="AE29" i="60"/>
  <c r="AE69" i="60"/>
  <c r="AE58" i="60"/>
  <c r="AE42" i="60"/>
  <c r="AE34" i="60"/>
  <c r="AE26" i="60"/>
  <c r="AE23" i="60"/>
  <c r="AE49" i="60"/>
  <c r="AE25" i="60"/>
  <c r="BO88" i="60"/>
  <c r="AW88" i="60"/>
  <c r="M88" i="60"/>
  <c r="BK88" i="60"/>
  <c r="AT60" i="60"/>
  <c r="AT33" i="60"/>
  <c r="AT72" i="60"/>
  <c r="AT53" i="60"/>
  <c r="AT45" i="60"/>
  <c r="AT65" i="60"/>
  <c r="AT25" i="60"/>
  <c r="BH53" i="60"/>
  <c r="AJ25" i="60"/>
  <c r="AJ72" i="60"/>
  <c r="AJ33" i="60"/>
  <c r="AJ45" i="60"/>
  <c r="AJ60" i="60"/>
  <c r="AJ65" i="60"/>
  <c r="AX53" i="60"/>
  <c r="AX80" i="60"/>
  <c r="AO53" i="60"/>
  <c r="BH72" i="60"/>
  <c r="AJ53" i="60"/>
  <c r="BL65" i="60"/>
  <c r="BH25" i="60"/>
  <c r="BL53" i="60"/>
  <c r="BL45" i="60"/>
  <c r="AO72" i="60"/>
  <c r="AO60" i="60"/>
  <c r="BL25" i="60"/>
  <c r="BL33" i="60"/>
  <c r="AX60" i="60"/>
  <c r="AX72" i="60"/>
  <c r="AO25" i="60"/>
  <c r="AO33" i="60"/>
  <c r="CG46" i="60"/>
  <c r="BH60" i="60"/>
  <c r="BH80" i="60"/>
  <c r="BC30" i="60"/>
  <c r="BC63" i="60"/>
  <c r="BC56" i="60"/>
  <c r="BC37" i="60"/>
  <c r="BC32" i="60"/>
  <c r="BC31" i="60"/>
  <c r="BC43" i="60"/>
  <c r="BC62" i="60"/>
  <c r="BC23" i="60"/>
  <c r="BC44" i="60"/>
  <c r="BC41" i="60"/>
  <c r="BC40" i="60"/>
  <c r="BC64" i="60"/>
  <c r="BC69" i="60"/>
  <c r="BC39" i="60"/>
  <c r="BC74" i="60"/>
  <c r="BC38" i="60"/>
  <c r="BC36" i="60"/>
  <c r="BC58" i="60"/>
  <c r="BC77" i="60"/>
  <c r="BC67" i="60"/>
  <c r="BC68" i="60"/>
  <c r="BC27" i="60"/>
  <c r="BC28" i="60" s="1"/>
  <c r="BC71" i="60"/>
  <c r="BC55" i="60"/>
  <c r="BC57" i="60"/>
  <c r="BC75" i="60"/>
  <c r="BC59" i="60"/>
  <c r="BC76" i="60"/>
  <c r="BC51" i="60"/>
  <c r="BC42" i="60"/>
  <c r="BC50" i="60"/>
  <c r="BC24" i="60"/>
  <c r="BC52" i="60"/>
  <c r="BC35" i="60"/>
  <c r="BC70" i="60"/>
  <c r="BL60" i="60"/>
  <c r="AO45" i="60"/>
  <c r="BL72" i="60"/>
  <c r="BL80" i="60"/>
  <c r="AX45" i="60"/>
  <c r="AX65" i="60"/>
  <c r="AX25" i="60"/>
  <c r="AX33" i="60"/>
  <c r="BC49" i="60"/>
  <c r="AO65" i="60"/>
  <c r="BH45" i="60"/>
  <c r="BH33" i="60"/>
  <c r="BH65" i="60"/>
  <c r="BA49" i="60" l="1"/>
  <c r="AU88" i="60"/>
  <c r="AU89" i="60" s="1"/>
  <c r="E14" i="5" s="1"/>
  <c r="BA39" i="60"/>
  <c r="BA68" i="60"/>
  <c r="BA41" i="60"/>
  <c r="BA42" i="60"/>
  <c r="BA61" i="60"/>
  <c r="BA70" i="60"/>
  <c r="BA51" i="60"/>
  <c r="BA67" i="60"/>
  <c r="BA48" i="60"/>
  <c r="K88" i="62"/>
  <c r="K89" i="62" s="1"/>
  <c r="I7" i="5" s="1"/>
  <c r="BA38" i="60"/>
  <c r="M90" i="62"/>
  <c r="BA62" i="60"/>
  <c r="BA33" i="60"/>
  <c r="BA47" i="60"/>
  <c r="BA43" i="60"/>
  <c r="BA71" i="60"/>
  <c r="BA25" i="60"/>
  <c r="BA31" i="60"/>
  <c r="BA23" i="60"/>
  <c r="BA56" i="60"/>
  <c r="BA34" i="60"/>
  <c r="BA58" i="60"/>
  <c r="BA30" i="60"/>
  <c r="BA45" i="60"/>
  <c r="BA44" i="60"/>
  <c r="BA24" i="60"/>
  <c r="BA66" i="60"/>
  <c r="BA28" i="60"/>
  <c r="BA74" i="60"/>
  <c r="BA26" i="60"/>
  <c r="BA60" i="60"/>
  <c r="BA59" i="60"/>
  <c r="BA65" i="60"/>
  <c r="BA52" i="60"/>
  <c r="BA55" i="60"/>
  <c r="AC38" i="60"/>
  <c r="BA40" i="60"/>
  <c r="BA35" i="60"/>
  <c r="BA77" i="60"/>
  <c r="BA27" i="60"/>
  <c r="BA36" i="60"/>
  <c r="BA57" i="60"/>
  <c r="BA54" i="60"/>
  <c r="BA75" i="60"/>
  <c r="BA73" i="60"/>
  <c r="BA76" i="60"/>
  <c r="BA32" i="60"/>
  <c r="BA46" i="60"/>
  <c r="BA53" i="60"/>
  <c r="BA69" i="60"/>
  <c r="AC74" i="60"/>
  <c r="BA63" i="60"/>
  <c r="AC67" i="60"/>
  <c r="BA37" i="60"/>
  <c r="BA64" i="60"/>
  <c r="BA29" i="60"/>
  <c r="BA72" i="60"/>
  <c r="AC46" i="60"/>
  <c r="AC32" i="60"/>
  <c r="AC33" i="60"/>
  <c r="AC29" i="60"/>
  <c r="AC37" i="60"/>
  <c r="AC45" i="60"/>
  <c r="AC61" i="60"/>
  <c r="AC40" i="60"/>
  <c r="AC41" i="60"/>
  <c r="AC47" i="60"/>
  <c r="AC36" i="60"/>
  <c r="AC70" i="60"/>
  <c r="AC43" i="60"/>
  <c r="AC25" i="60"/>
  <c r="AC65" i="60"/>
  <c r="AC51" i="60"/>
  <c r="AC56" i="60"/>
  <c r="G10" i="5"/>
  <c r="W88" i="62"/>
  <c r="X82" i="62"/>
  <c r="Y90" i="62"/>
  <c r="G18" i="5"/>
  <c r="BW88" i="62"/>
  <c r="BY90" i="62"/>
  <c r="BX82" i="62"/>
  <c r="AC44" i="60"/>
  <c r="AC48" i="60"/>
  <c r="AC52" i="60"/>
  <c r="AC42" i="60"/>
  <c r="AC55" i="60"/>
  <c r="AC76" i="60"/>
  <c r="AC28" i="60"/>
  <c r="AC54" i="60"/>
  <c r="AC62" i="60"/>
  <c r="AC39" i="60"/>
  <c r="AC57" i="60"/>
  <c r="AC58" i="60"/>
  <c r="AC59" i="60"/>
  <c r="G17" i="5"/>
  <c r="BM88" i="62"/>
  <c r="BO90" i="62"/>
  <c r="AC66" i="60"/>
  <c r="AC63" i="60"/>
  <c r="AU88" i="62"/>
  <c r="AU89" i="62" s="1"/>
  <c r="I14" i="5" s="1"/>
  <c r="BN46" i="62"/>
  <c r="AC74" i="62"/>
  <c r="AC65" i="62"/>
  <c r="AC56" i="62"/>
  <c r="AC78" i="62"/>
  <c r="AW90" i="62"/>
  <c r="AC61" i="62"/>
  <c r="AC70" i="62"/>
  <c r="AC62" i="62"/>
  <c r="AC48" i="62"/>
  <c r="AC64" i="62"/>
  <c r="AC72" i="62"/>
  <c r="AV46" i="62"/>
  <c r="AC25" i="62"/>
  <c r="AC45" i="62"/>
  <c r="AC60" i="62"/>
  <c r="AC52" i="62"/>
  <c r="L81" i="62"/>
  <c r="AC23" i="62"/>
  <c r="AC57" i="62"/>
  <c r="AC75" i="62"/>
  <c r="AC47" i="62"/>
  <c r="AC42" i="62"/>
  <c r="AC59" i="62"/>
  <c r="AC34" i="62"/>
  <c r="AC24" i="62"/>
  <c r="AC69" i="62"/>
  <c r="AC46" i="62"/>
  <c r="AV81" i="62"/>
  <c r="AC67" i="62"/>
  <c r="BP46" i="62"/>
  <c r="AC32" i="62"/>
  <c r="AC66" i="62"/>
  <c r="AC40" i="62"/>
  <c r="AC76" i="62"/>
  <c r="AC54" i="62"/>
  <c r="AC27" i="62"/>
  <c r="AC28" i="62"/>
  <c r="AC51" i="62"/>
  <c r="AC44" i="62"/>
  <c r="AC35" i="62"/>
  <c r="AC36" i="62"/>
  <c r="AC31" i="62"/>
  <c r="AC39" i="62"/>
  <c r="AC68" i="62"/>
  <c r="AC49" i="62"/>
  <c r="AC71" i="62"/>
  <c r="AC73" i="62"/>
  <c r="AC43" i="62"/>
  <c r="BA25" i="62"/>
  <c r="AC69" i="60"/>
  <c r="AC60" i="60"/>
  <c r="AC49" i="60"/>
  <c r="AC27" i="60"/>
  <c r="AC64" i="60"/>
  <c r="AC23" i="60"/>
  <c r="AC26" i="60"/>
  <c r="AC31" i="60"/>
  <c r="AC77" i="60"/>
  <c r="AC68" i="60"/>
  <c r="AC55" i="62"/>
  <c r="AC77" i="62"/>
  <c r="AC30" i="62"/>
  <c r="AC26" i="62"/>
  <c r="AC41" i="62"/>
  <c r="N81" i="62"/>
  <c r="BN81" i="62"/>
  <c r="AC71" i="60"/>
  <c r="AC73" i="60"/>
  <c r="AC75" i="60"/>
  <c r="AC30" i="60"/>
  <c r="AC34" i="60"/>
  <c r="AC35" i="60"/>
  <c r="AC24" i="60"/>
  <c r="AC63" i="62"/>
  <c r="AC38" i="62"/>
  <c r="AC58" i="62"/>
  <c r="AC29" i="62"/>
  <c r="BA72" i="62"/>
  <c r="BA33" i="62"/>
  <c r="BP81" i="62"/>
  <c r="BP82" i="62" s="1"/>
  <c r="BA65" i="62"/>
  <c r="BA50" i="62"/>
  <c r="BR82" i="62"/>
  <c r="BA49" i="62"/>
  <c r="BI82" i="62"/>
  <c r="BA53" i="62"/>
  <c r="BA28" i="62"/>
  <c r="BA26" i="62"/>
  <c r="BA73" i="62"/>
  <c r="BA51" i="62"/>
  <c r="BA66" i="62"/>
  <c r="BA54" i="62"/>
  <c r="BA34" i="62"/>
  <c r="BA61" i="62"/>
  <c r="BA78" i="62"/>
  <c r="BA48" i="62"/>
  <c r="BA47" i="62"/>
  <c r="BA46" i="62"/>
  <c r="BA29" i="62"/>
  <c r="BA27" i="62"/>
  <c r="BA75" i="62"/>
  <c r="BA55" i="62"/>
  <c r="BA37" i="62"/>
  <c r="BA23" i="62"/>
  <c r="BA64" i="62"/>
  <c r="BA43" i="62"/>
  <c r="BA63" i="62"/>
  <c r="BA67" i="62"/>
  <c r="BA52" i="62"/>
  <c r="BA35" i="62"/>
  <c r="BA56" i="62"/>
  <c r="BA58" i="62"/>
  <c r="BA30" i="62"/>
  <c r="BA44" i="62"/>
  <c r="BA36" i="62"/>
  <c r="BA74" i="62"/>
  <c r="BA59" i="62"/>
  <c r="BA76" i="62"/>
  <c r="BA71" i="62"/>
  <c r="BA31" i="62"/>
  <c r="BA39" i="62"/>
  <c r="BA40" i="62"/>
  <c r="BA32" i="62"/>
  <c r="BA38" i="62"/>
  <c r="BA70" i="62"/>
  <c r="BA68" i="62"/>
  <c r="BA62" i="62"/>
  <c r="BA69" i="62"/>
  <c r="BA41" i="62"/>
  <c r="BA42" i="62"/>
  <c r="BA24" i="62"/>
  <c r="BA77" i="62"/>
  <c r="BA57" i="62"/>
  <c r="BA45" i="62"/>
  <c r="D46" i="62"/>
  <c r="CE46" i="62"/>
  <c r="CF49" i="62" s="1"/>
  <c r="G15" i="5"/>
  <c r="BG90" i="62"/>
  <c r="BF82" i="62"/>
  <c r="BE88" i="62"/>
  <c r="L46" i="62"/>
  <c r="N46" i="62"/>
  <c r="BG88" i="60"/>
  <c r="BT88" i="60" s="1"/>
  <c r="S82" i="62"/>
  <c r="G9" i="5" s="1"/>
  <c r="BT82" i="60"/>
  <c r="V82" i="62"/>
  <c r="U88" i="62"/>
  <c r="U89" i="62" s="1"/>
  <c r="J9" i="5" s="1"/>
  <c r="Y88" i="60"/>
  <c r="Y89" i="60" s="1"/>
  <c r="F10" i="5" s="1"/>
  <c r="D10" i="5"/>
  <c r="BZ82" i="60"/>
  <c r="BY88" i="60"/>
  <c r="BM89" i="60"/>
  <c r="E17" i="5" s="1"/>
  <c r="W82" i="60"/>
  <c r="C10" i="5" s="1"/>
  <c r="Z82" i="60"/>
  <c r="BW88" i="60"/>
  <c r="BX82" i="60"/>
  <c r="BI88" i="60"/>
  <c r="BJ82" i="60"/>
  <c r="BS66" i="60"/>
  <c r="BS54" i="60"/>
  <c r="BS46" i="60"/>
  <c r="BS34" i="60"/>
  <c r="BS26" i="60"/>
  <c r="BS73" i="60"/>
  <c r="BS61" i="60"/>
  <c r="BS29" i="60"/>
  <c r="BS48" i="60"/>
  <c r="BS51" i="60"/>
  <c r="BS47" i="60"/>
  <c r="BS70" i="60"/>
  <c r="BS36" i="60"/>
  <c r="BS71" i="60"/>
  <c r="BS75" i="60"/>
  <c r="BS67" i="60"/>
  <c r="BS62" i="60"/>
  <c r="BS58" i="60"/>
  <c r="BS37" i="60"/>
  <c r="BS23" i="60"/>
  <c r="BS77" i="60"/>
  <c r="BS56" i="60"/>
  <c r="BS40" i="60"/>
  <c r="BS27" i="60"/>
  <c r="BS24" i="60"/>
  <c r="BS38" i="60"/>
  <c r="BS41" i="60"/>
  <c r="BS76" i="60"/>
  <c r="BS57" i="60"/>
  <c r="BS31" i="60"/>
  <c r="BS52" i="60"/>
  <c r="BS69" i="60"/>
  <c r="BS30" i="60"/>
  <c r="BS44" i="60"/>
  <c r="BS59" i="60"/>
  <c r="BS35" i="60"/>
  <c r="BS42" i="60"/>
  <c r="BS32" i="60"/>
  <c r="BS43" i="60"/>
  <c r="BS39" i="60"/>
  <c r="BS63" i="60"/>
  <c r="BS68" i="60"/>
  <c r="BS55" i="60"/>
  <c r="BS64" i="60"/>
  <c r="BS74" i="60"/>
  <c r="BS80" i="60"/>
  <c r="BS50" i="60"/>
  <c r="BR81" i="60"/>
  <c r="BS53" i="60"/>
  <c r="BS65" i="60"/>
  <c r="BS28" i="60"/>
  <c r="BE88" i="60"/>
  <c r="BF82" i="60"/>
  <c r="BS33" i="60"/>
  <c r="BS45" i="60"/>
  <c r="BS72" i="60"/>
  <c r="BS25" i="60"/>
  <c r="BS60" i="60"/>
  <c r="CH74" i="60"/>
  <c r="CH70" i="60"/>
  <c r="CH66" i="60"/>
  <c r="CH62" i="60"/>
  <c r="CH58" i="60"/>
  <c r="CH54" i="60"/>
  <c r="CH46" i="60"/>
  <c r="CH42" i="60"/>
  <c r="CH38" i="60"/>
  <c r="CH34" i="60"/>
  <c r="CH30" i="60"/>
  <c r="CH26" i="60"/>
  <c r="CH76" i="60"/>
  <c r="CH68" i="60"/>
  <c r="CH60" i="60"/>
  <c r="CH48" i="60"/>
  <c r="CH36" i="60"/>
  <c r="CH28" i="60"/>
  <c r="CH73" i="60"/>
  <c r="CH69" i="60"/>
  <c r="CH65" i="60"/>
  <c r="CH61" i="60"/>
  <c r="CH57" i="60"/>
  <c r="CH45" i="60"/>
  <c r="CH41" i="60"/>
  <c r="CH37" i="60"/>
  <c r="CH33" i="60"/>
  <c r="CH29" i="60"/>
  <c r="CH72" i="60"/>
  <c r="CH64" i="60"/>
  <c r="CH56" i="60"/>
  <c r="CH52" i="60"/>
  <c r="CH44" i="60"/>
  <c r="CH40" i="60"/>
  <c r="CH32" i="60"/>
  <c r="CH24" i="60"/>
  <c r="CH77" i="60"/>
  <c r="CH63" i="60"/>
  <c r="CH47" i="60"/>
  <c r="CH31" i="60"/>
  <c r="CH75" i="60"/>
  <c r="CH59" i="60"/>
  <c r="CH43" i="60"/>
  <c r="CH27" i="60"/>
  <c r="CH71" i="60"/>
  <c r="CH55" i="60"/>
  <c r="CH39" i="60"/>
  <c r="CH67" i="60"/>
  <c r="CH51" i="60"/>
  <c r="CH35" i="60"/>
  <c r="CH23" i="60"/>
  <c r="CH49" i="60"/>
  <c r="CH25" i="60"/>
  <c r="AW89" i="60"/>
  <c r="F14" i="5" s="1"/>
  <c r="AT46" i="60"/>
  <c r="BO89" i="60"/>
  <c r="F17" i="5" s="1"/>
  <c r="M89" i="60"/>
  <c r="F7" i="5" s="1"/>
  <c r="BK89" i="60"/>
  <c r="F16" i="5" s="1"/>
  <c r="BH81" i="60"/>
  <c r="BC25" i="60"/>
  <c r="AJ46" i="60"/>
  <c r="BC60" i="60"/>
  <c r="BC72" i="60"/>
  <c r="BC53" i="60"/>
  <c r="BH46" i="60"/>
  <c r="AX46" i="60"/>
  <c r="AX81" i="60"/>
  <c r="BL81" i="60"/>
  <c r="BC45" i="60"/>
  <c r="BC65" i="60"/>
  <c r="BC33" i="60"/>
  <c r="BL46" i="60"/>
  <c r="AO46" i="60"/>
  <c r="M91" i="62" l="1"/>
  <c r="BW89" i="62"/>
  <c r="I18" i="5" s="1"/>
  <c r="BY91" i="62"/>
  <c r="BO91" i="62"/>
  <c r="BM89" i="62"/>
  <c r="I17" i="5" s="1"/>
  <c r="W89" i="62"/>
  <c r="I10" i="5" s="1"/>
  <c r="Y91" i="62"/>
  <c r="BN82" i="62"/>
  <c r="AW91" i="62"/>
  <c r="L82" i="62"/>
  <c r="AV82" i="62"/>
  <c r="N82" i="62"/>
  <c r="CF25" i="62"/>
  <c r="CF28" i="62"/>
  <c r="CF45" i="62"/>
  <c r="CF47" i="62"/>
  <c r="CF34" i="62"/>
  <c r="CF29" i="62"/>
  <c r="CF66" i="62"/>
  <c r="CF26" i="62"/>
  <c r="CF78" i="62"/>
  <c r="CF73" i="62"/>
  <c r="CF61" i="62"/>
  <c r="CF46" i="62"/>
  <c r="CF48" i="62"/>
  <c r="CF54" i="62"/>
  <c r="CF51" i="62"/>
  <c r="CF23" i="62"/>
  <c r="CF39" i="62"/>
  <c r="CF37" i="62"/>
  <c r="CF31" i="62"/>
  <c r="CF56" i="62"/>
  <c r="CF38" i="62"/>
  <c r="CF41" i="62"/>
  <c r="CF35" i="62"/>
  <c r="CF77" i="62"/>
  <c r="CF68" i="62"/>
  <c r="CF52" i="62"/>
  <c r="CF62" i="62"/>
  <c r="CF44" i="62"/>
  <c r="CF24" i="62"/>
  <c r="CF27" i="62"/>
  <c r="CF75" i="62"/>
  <c r="CF40" i="62"/>
  <c r="CF55" i="62"/>
  <c r="CF59" i="62"/>
  <c r="CF30" i="62"/>
  <c r="CF57" i="62"/>
  <c r="CF69" i="62"/>
  <c r="CF36" i="62"/>
  <c r="CF76" i="62"/>
  <c r="CF64" i="62"/>
  <c r="CF74" i="62"/>
  <c r="CF43" i="62"/>
  <c r="CF32" i="62"/>
  <c r="CF42" i="62"/>
  <c r="CF70" i="62"/>
  <c r="CF71" i="62"/>
  <c r="CF58" i="62"/>
  <c r="CF63" i="62"/>
  <c r="CF67" i="62"/>
  <c r="BS82" i="62"/>
  <c r="BT90" i="62"/>
  <c r="BR88" i="62"/>
  <c r="BG89" i="60"/>
  <c r="F15" i="5" s="1"/>
  <c r="G16" i="5"/>
  <c r="BK90" i="62"/>
  <c r="BJ82" i="62"/>
  <c r="BI88" i="62"/>
  <c r="CF72" i="62"/>
  <c r="CF65" i="62"/>
  <c r="CF33" i="62"/>
  <c r="BG91" i="62"/>
  <c r="BE89" i="62"/>
  <c r="I15" i="5" s="1"/>
  <c r="CF60" i="62"/>
  <c r="S88" i="62"/>
  <c r="U90" i="62"/>
  <c r="BT89" i="60"/>
  <c r="BY89" i="60"/>
  <c r="F18" i="5" s="1"/>
  <c r="X82" i="60"/>
  <c r="BW89" i="60"/>
  <c r="E18" i="5" s="1"/>
  <c r="BE89" i="60"/>
  <c r="E15" i="5" s="1"/>
  <c r="BI89" i="60"/>
  <c r="E16" i="5" s="1"/>
  <c r="BR82" i="60"/>
  <c r="BS81" i="60"/>
  <c r="BU82" i="60"/>
  <c r="BH82" i="60"/>
  <c r="AX82" i="60"/>
  <c r="BC46" i="60"/>
  <c r="BL82" i="60"/>
  <c r="BI89" i="62" l="1"/>
  <c r="I16" i="5" s="1"/>
  <c r="BK91" i="62"/>
  <c r="BT91" i="62"/>
  <c r="BR89" i="62"/>
  <c r="S89" i="62"/>
  <c r="I9" i="5" s="1"/>
  <c r="U91" i="62"/>
  <c r="BR88" i="60"/>
  <c r="BR89" i="60" s="1"/>
  <c r="BS82" i="60"/>
  <c r="M18" i="15" l="1"/>
  <c r="BF114" i="60" l="1"/>
  <c r="AF52" i="60"/>
  <c r="C45" i="60" l="1"/>
  <c r="C25" i="60"/>
  <c r="AP60" i="60"/>
  <c r="C72" i="60"/>
  <c r="AK60" i="60"/>
  <c r="AF72" i="60"/>
  <c r="C33" i="60"/>
  <c r="AK62" i="60"/>
  <c r="AK65" i="60"/>
  <c r="AK72" i="60"/>
  <c r="C65" i="60"/>
  <c r="C60" i="60"/>
  <c r="AP52" i="60"/>
  <c r="AF65" i="60"/>
  <c r="AF62" i="60"/>
  <c r="AF60" i="60"/>
  <c r="AK52" i="60"/>
  <c r="AP72" i="60"/>
  <c r="AP33" i="60"/>
  <c r="AP62" i="60"/>
  <c r="AP65" i="60"/>
  <c r="AO4" i="5"/>
  <c r="CE86" i="60" l="1"/>
  <c r="CE87" i="60"/>
  <c r="CE84" i="60"/>
  <c r="AL17" i="60"/>
  <c r="CE39" i="60"/>
  <c r="CE27" i="60"/>
  <c r="CE59" i="60"/>
  <c r="AU17" i="60"/>
  <c r="CE85" i="60"/>
  <c r="CE30" i="60"/>
  <c r="CE64" i="60"/>
  <c r="CE58" i="60"/>
  <c r="CE74" i="60"/>
  <c r="CE70" i="60"/>
  <c r="CE38" i="60"/>
  <c r="AQ17" i="60"/>
  <c r="CE40" i="60"/>
  <c r="CE52" i="60"/>
  <c r="CE67" i="60"/>
  <c r="CE57" i="60"/>
  <c r="CE56" i="60"/>
  <c r="CE63" i="60"/>
  <c r="C53" i="60"/>
  <c r="CE35" i="60"/>
  <c r="CE32" i="60"/>
  <c r="O17" i="60"/>
  <c r="G17" i="60"/>
  <c r="AG17" i="60"/>
  <c r="BM17" i="60"/>
  <c r="CE43" i="60"/>
  <c r="CE36" i="60"/>
  <c r="CE62" i="60"/>
  <c r="CE37" i="60"/>
  <c r="CE42" i="60"/>
  <c r="CE71" i="60"/>
  <c r="CE75" i="60"/>
  <c r="C17" i="60"/>
  <c r="CE44" i="60"/>
  <c r="CE55" i="60"/>
  <c r="CE51" i="60"/>
  <c r="CE23" i="60"/>
  <c r="CE41" i="60"/>
  <c r="CE31" i="60"/>
  <c r="CE24" i="60"/>
  <c r="CE77" i="60"/>
  <c r="CE68" i="60"/>
  <c r="CE69" i="60"/>
  <c r="AP28" i="60"/>
  <c r="C46" i="60"/>
  <c r="BN23" i="60" l="1"/>
  <c r="N77" i="60"/>
  <c r="N75" i="60"/>
  <c r="N69" i="60"/>
  <c r="N64" i="60"/>
  <c r="N58" i="60"/>
  <c r="N52" i="60"/>
  <c r="N44" i="60"/>
  <c r="N40" i="60"/>
  <c r="N36" i="60"/>
  <c r="N30" i="60"/>
  <c r="BP77" i="60"/>
  <c r="BP75" i="60"/>
  <c r="BP69" i="60"/>
  <c r="BP64" i="60"/>
  <c r="BP58" i="60"/>
  <c r="BP52" i="60"/>
  <c r="BP44" i="60"/>
  <c r="BP40" i="60"/>
  <c r="BP36" i="60"/>
  <c r="N74" i="60"/>
  <c r="N68" i="60"/>
  <c r="N63" i="60"/>
  <c r="N57" i="60"/>
  <c r="N51" i="60"/>
  <c r="N43" i="60"/>
  <c r="N39" i="60"/>
  <c r="N35" i="60"/>
  <c r="N27" i="60"/>
  <c r="N28" i="60" s="1"/>
  <c r="BP74" i="60"/>
  <c r="BP68" i="60"/>
  <c r="BP63" i="60"/>
  <c r="BP57" i="60"/>
  <c r="BP51" i="60"/>
  <c r="BP43" i="60"/>
  <c r="BP39" i="60"/>
  <c r="BP35" i="60"/>
  <c r="L23" i="60"/>
  <c r="N71" i="60"/>
  <c r="N67" i="60"/>
  <c r="N62" i="60"/>
  <c r="N56" i="60"/>
  <c r="N50" i="60"/>
  <c r="N42" i="60"/>
  <c r="N38" i="60"/>
  <c r="N32" i="60"/>
  <c r="N24" i="60"/>
  <c r="BP71" i="60"/>
  <c r="BP67" i="60"/>
  <c r="BP62" i="60"/>
  <c r="BP56" i="60"/>
  <c r="BP50" i="60"/>
  <c r="BP42" i="60"/>
  <c r="BP38" i="60"/>
  <c r="BP32" i="60"/>
  <c r="BP24" i="60"/>
  <c r="BN71" i="60"/>
  <c r="BN67" i="60"/>
  <c r="BN62" i="60"/>
  <c r="BN56" i="60"/>
  <c r="BN50" i="60"/>
  <c r="BN42" i="60"/>
  <c r="N41" i="60"/>
  <c r="BP76" i="60"/>
  <c r="BP55" i="60"/>
  <c r="BP31" i="60"/>
  <c r="BN77" i="60"/>
  <c r="BN74" i="60"/>
  <c r="BN58" i="60"/>
  <c r="BN51" i="60"/>
  <c r="BN41" i="60"/>
  <c r="BN37" i="60"/>
  <c r="BN31" i="60"/>
  <c r="BN24" i="60"/>
  <c r="L76" i="60"/>
  <c r="L70" i="60"/>
  <c r="L59" i="60"/>
  <c r="L55" i="60"/>
  <c r="L49" i="60"/>
  <c r="L41" i="60"/>
  <c r="L37" i="60"/>
  <c r="L31" i="60"/>
  <c r="N59" i="60"/>
  <c r="N37" i="60"/>
  <c r="BP70" i="60"/>
  <c r="BP49" i="60"/>
  <c r="BP30" i="60"/>
  <c r="BN70" i="60"/>
  <c r="BN64" i="60"/>
  <c r="BN57" i="60"/>
  <c r="BN49" i="60"/>
  <c r="BN40" i="60"/>
  <c r="BN36" i="60"/>
  <c r="BN30" i="60"/>
  <c r="L77" i="60"/>
  <c r="L75" i="60"/>
  <c r="L69" i="60"/>
  <c r="L64" i="60"/>
  <c r="L58" i="60"/>
  <c r="L52" i="60"/>
  <c r="L44" i="60"/>
  <c r="L40" i="60"/>
  <c r="L36" i="60"/>
  <c r="L30" i="60"/>
  <c r="N76" i="60"/>
  <c r="N55" i="60"/>
  <c r="N31" i="60"/>
  <c r="BP41" i="60"/>
  <c r="BP27" i="60"/>
  <c r="BP28" i="60" s="1"/>
  <c r="BN76" i="60"/>
  <c r="BN69" i="60"/>
  <c r="BN63" i="60"/>
  <c r="BN55" i="60"/>
  <c r="BN44" i="60"/>
  <c r="BN39" i="60"/>
  <c r="BN35" i="60"/>
  <c r="BN27" i="60"/>
  <c r="BN28" i="60" s="1"/>
  <c r="AV51" i="60"/>
  <c r="L74" i="60"/>
  <c r="L68" i="60"/>
  <c r="L63" i="60"/>
  <c r="L57" i="60"/>
  <c r="L51" i="60"/>
  <c r="L43" i="60"/>
  <c r="L39" i="60"/>
  <c r="L35" i="60"/>
  <c r="L27" i="60"/>
  <c r="L28" i="60" s="1"/>
  <c r="N70" i="60"/>
  <c r="N49" i="60"/>
  <c r="N23" i="60"/>
  <c r="BP59" i="60"/>
  <c r="BP37" i="60"/>
  <c r="BP23" i="60"/>
  <c r="BN75" i="60"/>
  <c r="BN68" i="60"/>
  <c r="BN59" i="60"/>
  <c r="BN52" i="60"/>
  <c r="BN43" i="60"/>
  <c r="BN38" i="60"/>
  <c r="BN32" i="60"/>
  <c r="L71" i="60"/>
  <c r="L67" i="60"/>
  <c r="L62" i="60"/>
  <c r="L56" i="60"/>
  <c r="L50" i="60"/>
  <c r="L42" i="60"/>
  <c r="L38" i="60"/>
  <c r="L32" i="60"/>
  <c r="L24" i="60"/>
  <c r="AV27" i="60"/>
  <c r="AV28" i="60" s="1"/>
  <c r="AV64" i="60"/>
  <c r="AV24" i="60"/>
  <c r="AV25" i="60" s="1"/>
  <c r="AV75" i="60"/>
  <c r="AV31" i="60"/>
  <c r="AV62" i="60"/>
  <c r="AV59" i="60"/>
  <c r="AV37" i="60"/>
  <c r="AV42" i="60"/>
  <c r="AV32" i="60"/>
  <c r="AV30" i="60"/>
  <c r="AV70" i="60"/>
  <c r="AV36" i="60"/>
  <c r="AV56" i="60"/>
  <c r="AV39" i="60"/>
  <c r="AV63" i="60"/>
  <c r="AV55" i="60"/>
  <c r="AV67" i="60"/>
  <c r="AV52" i="60"/>
  <c r="AV44" i="60"/>
  <c r="AV74" i="60"/>
  <c r="AV35" i="60"/>
  <c r="AV40" i="60"/>
  <c r="AV41" i="60"/>
  <c r="AV71" i="60"/>
  <c r="AV58" i="60"/>
  <c r="AV43" i="60"/>
  <c r="AV38" i="60"/>
  <c r="AV69" i="60"/>
  <c r="AV76" i="60"/>
  <c r="AV77" i="60"/>
  <c r="AV68" i="60"/>
  <c r="AV57" i="60"/>
  <c r="AV50" i="60"/>
  <c r="AV49" i="60"/>
  <c r="AS47" i="60"/>
  <c r="AK46" i="60"/>
  <c r="AF46" i="60"/>
  <c r="CE49" i="60"/>
  <c r="AF53" i="60"/>
  <c r="AP53" i="60"/>
  <c r="AK53" i="60"/>
  <c r="CE45" i="60"/>
  <c r="CE25" i="60"/>
  <c r="U80" i="60"/>
  <c r="V80" i="60" s="1"/>
  <c r="CE65" i="60"/>
  <c r="CB65" i="60"/>
  <c r="CE72" i="60"/>
  <c r="CE28" i="60"/>
  <c r="D51" i="60"/>
  <c r="D69" i="60"/>
  <c r="D24" i="60"/>
  <c r="D71" i="60"/>
  <c r="D27" i="60"/>
  <c r="D28" i="60" s="1"/>
  <c r="D58" i="60"/>
  <c r="D37" i="60"/>
  <c r="D30" i="60"/>
  <c r="D35" i="60"/>
  <c r="D38" i="60"/>
  <c r="D43" i="60"/>
  <c r="D52" i="60"/>
  <c r="D63" i="60"/>
  <c r="D70" i="60"/>
  <c r="D39" i="60"/>
  <c r="D23" i="60"/>
  <c r="D57" i="60"/>
  <c r="D77" i="60"/>
  <c r="D56" i="60"/>
  <c r="D67" i="60"/>
  <c r="D68" i="60"/>
  <c r="D64" i="60"/>
  <c r="D42" i="60"/>
  <c r="D76" i="60"/>
  <c r="D40" i="60"/>
  <c r="D44" i="60"/>
  <c r="D55" i="60"/>
  <c r="D31" i="60"/>
  <c r="D36" i="60"/>
  <c r="D75" i="60"/>
  <c r="D74" i="60"/>
  <c r="D62" i="60"/>
  <c r="D59" i="60"/>
  <c r="D32" i="60"/>
  <c r="D41" i="60"/>
  <c r="D49" i="60"/>
  <c r="AP46" i="60"/>
  <c r="CB53" i="60"/>
  <c r="CE33" i="60"/>
  <c r="CE60" i="60"/>
  <c r="D50" i="60"/>
  <c r="L65" i="60" l="1"/>
  <c r="N25" i="60"/>
  <c r="BP53" i="60"/>
  <c r="BP25" i="60"/>
  <c r="BP45" i="60"/>
  <c r="L60" i="60"/>
  <c r="BP33" i="60"/>
  <c r="BP65" i="60"/>
  <c r="N53" i="60"/>
  <c r="L72" i="60"/>
  <c r="L33" i="60"/>
  <c r="N65" i="60"/>
  <c r="N45" i="60"/>
  <c r="AV33" i="60"/>
  <c r="AV65" i="60"/>
  <c r="BN33" i="60"/>
  <c r="L53" i="60"/>
  <c r="BN65" i="60"/>
  <c r="L25" i="60"/>
  <c r="BP80" i="60"/>
  <c r="BN72" i="60"/>
  <c r="BP60" i="60"/>
  <c r="N72" i="60"/>
  <c r="N80" i="60"/>
  <c r="AV53" i="60"/>
  <c r="AV45" i="60"/>
  <c r="AV80" i="60"/>
  <c r="L80" i="60"/>
  <c r="L45" i="60"/>
  <c r="AV72" i="60"/>
  <c r="AV60" i="60"/>
  <c r="BN53" i="60"/>
  <c r="BN45" i="60"/>
  <c r="BN80" i="60"/>
  <c r="BN60" i="60"/>
  <c r="BP72" i="60"/>
  <c r="N33" i="60"/>
  <c r="N60" i="60"/>
  <c r="BN25" i="60"/>
  <c r="U81" i="60"/>
  <c r="S80" i="60"/>
  <c r="K88" i="60"/>
  <c r="AW91" i="60"/>
  <c r="W88" i="60"/>
  <c r="BO90" i="60"/>
  <c r="M90" i="60"/>
  <c r="Y90" i="60"/>
  <c r="BY90" i="60"/>
  <c r="D25" i="60"/>
  <c r="D65" i="60"/>
  <c r="D72" i="60"/>
  <c r="D60" i="60"/>
  <c r="BG90" i="60"/>
  <c r="BK90" i="60"/>
  <c r="AW90" i="60"/>
  <c r="D53" i="60"/>
  <c r="D45" i="60"/>
  <c r="CE46" i="60"/>
  <c r="D33" i="60"/>
  <c r="CE17" i="60"/>
  <c r="BK91" i="60"/>
  <c r="BP46" i="60" l="1"/>
  <c r="Y91" i="60"/>
  <c r="M91" i="60"/>
  <c r="S81" i="60"/>
  <c r="T80" i="60"/>
  <c r="U82" i="60"/>
  <c r="D9" i="5" s="1"/>
  <c r="V81" i="60"/>
  <c r="N81" i="60"/>
  <c r="AV46" i="60"/>
  <c r="L46" i="60"/>
  <c r="N46" i="60"/>
  <c r="BN81" i="60"/>
  <c r="BP81" i="60"/>
  <c r="BN46" i="60"/>
  <c r="AV81" i="60"/>
  <c r="L81" i="60"/>
  <c r="CF74" i="60"/>
  <c r="CF70" i="60"/>
  <c r="CF66" i="60"/>
  <c r="CF62" i="60"/>
  <c r="CF58" i="60"/>
  <c r="CF54" i="60"/>
  <c r="CF46" i="60"/>
  <c r="CF42" i="60"/>
  <c r="CF38" i="60"/>
  <c r="CF34" i="60"/>
  <c r="CF30" i="60"/>
  <c r="CF26" i="60"/>
  <c r="CF76" i="60"/>
  <c r="CF68" i="60"/>
  <c r="CF64" i="60"/>
  <c r="CF60" i="60"/>
  <c r="CF56" i="60"/>
  <c r="CF52" i="60"/>
  <c r="CF48" i="60"/>
  <c r="CF44" i="60"/>
  <c r="CF40" i="60"/>
  <c r="CF36" i="60"/>
  <c r="CF32" i="60"/>
  <c r="CF28" i="60"/>
  <c r="CF24" i="60"/>
  <c r="CF73" i="60"/>
  <c r="CF69" i="60"/>
  <c r="CF65" i="60"/>
  <c r="CF61" i="60"/>
  <c r="CF57" i="60"/>
  <c r="CF45" i="60"/>
  <c r="CF41" i="60"/>
  <c r="CF37" i="60"/>
  <c r="CF33" i="60"/>
  <c r="CF29" i="60"/>
  <c r="CF72" i="60"/>
  <c r="CF75" i="60"/>
  <c r="CF59" i="60"/>
  <c r="CF43" i="60"/>
  <c r="CF27" i="60"/>
  <c r="CF71" i="60"/>
  <c r="CF55" i="60"/>
  <c r="CF39" i="60"/>
  <c r="CF67" i="60"/>
  <c r="CF51" i="60"/>
  <c r="CF35" i="60"/>
  <c r="CF77" i="60"/>
  <c r="CF63" i="60"/>
  <c r="CF47" i="60"/>
  <c r="CF31" i="60"/>
  <c r="CF23" i="60"/>
  <c r="CF49" i="60"/>
  <c r="CF25" i="60"/>
  <c r="BY91" i="60"/>
  <c r="W89" i="60"/>
  <c r="E10" i="5" s="1"/>
  <c r="K89" i="60"/>
  <c r="E7" i="5" s="1"/>
  <c r="BG91" i="60"/>
  <c r="BO91" i="60"/>
  <c r="D46" i="60"/>
  <c r="BT90" i="60"/>
  <c r="BP82" i="60" l="1"/>
  <c r="N82" i="60"/>
  <c r="V82" i="60"/>
  <c r="U88" i="60"/>
  <c r="L82" i="60"/>
  <c r="AV82" i="60"/>
  <c r="S82" i="60"/>
  <c r="C9" i="5" s="1"/>
  <c r="T81" i="60"/>
  <c r="BN82" i="60"/>
  <c r="BT91" i="60"/>
  <c r="T82" i="60" l="1"/>
  <c r="S88" i="60"/>
  <c r="U89" i="60"/>
  <c r="F9" i="5" s="1"/>
  <c r="L18" i="15"/>
  <c r="S89" i="60" l="1"/>
  <c r="E9" i="5" s="1"/>
  <c r="AK4" i="5"/>
  <c r="AG4" i="5"/>
  <c r="U90" i="60" l="1"/>
  <c r="U91" i="60" l="1"/>
  <c r="G4" i="57" l="1"/>
  <c r="D4" i="57"/>
  <c r="K4" i="57"/>
  <c r="N4" i="57"/>
  <c r="O4" i="57"/>
  <c r="M4" i="57"/>
  <c r="F4" i="57"/>
  <c r="L4" i="57" l="1"/>
  <c r="K18" i="15" l="1"/>
  <c r="J18" i="15" l="1"/>
  <c r="CA146" i="60" l="1"/>
  <c r="N3" i="57"/>
  <c r="N5" i="57" s="1"/>
  <c r="N6" i="57" s="1"/>
  <c r="M3" i="57"/>
  <c r="M5" i="57" s="1"/>
  <c r="M6" i="57" s="1"/>
  <c r="G3" i="57"/>
  <c r="G5" i="57" s="1"/>
  <c r="G6" i="57" s="1"/>
  <c r="L3" i="57"/>
  <c r="L5" i="57" s="1"/>
  <c r="L6" i="57" s="1"/>
  <c r="O3" i="57"/>
  <c r="O5" i="57" s="1"/>
  <c r="O6" i="57" s="1"/>
  <c r="D3" i="57" l="1"/>
  <c r="D5" i="57" s="1"/>
  <c r="D6" i="57" s="1"/>
  <c r="F3" i="57"/>
  <c r="F5" i="57" s="1"/>
  <c r="F6" i="57" s="1"/>
  <c r="K3" i="57" l="1"/>
  <c r="K5" i="57" s="1"/>
  <c r="K6" i="57" s="1"/>
  <c r="BF10" i="5"/>
  <c r="AC4" i="5"/>
  <c r="I18" i="15" l="1"/>
  <c r="J24" i="16" l="1"/>
  <c r="Z21" i="5" l="1"/>
  <c r="X21" i="5"/>
  <c r="W21" i="5"/>
  <c r="Y4" i="5"/>
  <c r="V21" i="5" l="1"/>
  <c r="T21" i="5"/>
  <c r="S21" i="5"/>
  <c r="U4" i="5"/>
  <c r="R21" i="5" l="1"/>
  <c r="P21" i="5"/>
  <c r="O21" i="5"/>
  <c r="Q4" i="5"/>
  <c r="D48" i="23" l="1"/>
  <c r="D46" i="23"/>
  <c r="H24" i="23"/>
  <c r="J24" i="23"/>
  <c r="I24" i="23"/>
  <c r="J16" i="23"/>
  <c r="I16" i="23"/>
  <c r="I23" i="23"/>
  <c r="J23" i="23"/>
  <c r="H23" i="23"/>
  <c r="I22" i="23"/>
  <c r="J22" i="23"/>
  <c r="H22" i="23"/>
  <c r="I15" i="23"/>
  <c r="J15" i="23"/>
  <c r="H15" i="23"/>
  <c r="D43" i="23" l="1"/>
  <c r="C43" i="23"/>
  <c r="B43" i="23"/>
  <c r="C44" i="23" s="1"/>
  <c r="D44" i="23" s="1"/>
  <c r="V141" i="9" l="1"/>
  <c r="P141" i="9"/>
  <c r="Q141" i="9"/>
  <c r="I21" i="23" l="1"/>
  <c r="J21" i="23"/>
  <c r="K21" i="23"/>
  <c r="H21" i="23"/>
  <c r="I20" i="23"/>
  <c r="J20" i="23"/>
  <c r="K20" i="23"/>
  <c r="H20" i="23"/>
  <c r="E22" i="23"/>
  <c r="D22" i="23"/>
  <c r="C22" i="23"/>
  <c r="B22" i="23"/>
  <c r="E21" i="23"/>
  <c r="D21" i="23"/>
  <c r="C21" i="23"/>
  <c r="B21" i="23"/>
  <c r="L21" i="23"/>
  <c r="E11" i="23"/>
  <c r="D11" i="23"/>
  <c r="C11" i="23"/>
  <c r="B11" i="23"/>
  <c r="E10" i="23"/>
  <c r="D10" i="23"/>
  <c r="C10" i="23"/>
  <c r="B10" i="23"/>
  <c r="L20" i="23" l="1"/>
  <c r="N21" i="5" l="1"/>
  <c r="L21" i="5"/>
  <c r="K21" i="5"/>
  <c r="M4" i="5"/>
  <c r="F18" i="15" l="1"/>
  <c r="G18" i="15"/>
  <c r="H18" i="15"/>
  <c r="E18" i="15" l="1"/>
  <c r="H43" i="9" l="1"/>
  <c r="V213" i="9" l="1"/>
  <c r="V216" i="9"/>
  <c r="I269" i="9" l="1"/>
  <c r="A269" i="9"/>
  <c r="I270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A263" i="9"/>
  <c r="B18" i="15" l="1"/>
  <c r="C18" i="15"/>
  <c r="B23" i="16" l="1"/>
  <c r="B10" i="16"/>
  <c r="A268" i="9"/>
  <c r="C4" i="16" l="1"/>
  <c r="C8" i="16"/>
  <c r="C7" i="16"/>
  <c r="C6" i="16"/>
  <c r="C5" i="16"/>
  <c r="C9" i="16"/>
  <c r="C18" i="16"/>
  <c r="C17" i="16"/>
  <c r="C21" i="16"/>
  <c r="C20" i="16"/>
  <c r="C19" i="16"/>
  <c r="M11" i="16"/>
  <c r="L11" i="16"/>
  <c r="I11" i="16"/>
  <c r="F11" i="16"/>
  <c r="G11" i="16"/>
  <c r="E11" i="16"/>
  <c r="D11" i="16"/>
  <c r="P267" i="9"/>
  <c r="A267" i="9"/>
  <c r="D18" i="15"/>
  <c r="CA145" i="62" s="1"/>
  <c r="CA146" i="62" s="1"/>
  <c r="AM79" i="62" l="1"/>
  <c r="AO79" i="62"/>
  <c r="AO80" i="62" s="1"/>
  <c r="AO81" i="62" s="1"/>
  <c r="AO82" i="62" s="1"/>
  <c r="AN80" i="62"/>
  <c r="H79" i="62"/>
  <c r="I80" i="62"/>
  <c r="J79" i="62"/>
  <c r="P79" i="62"/>
  <c r="Q80" i="62"/>
  <c r="R79" i="62"/>
  <c r="BB79" i="62"/>
  <c r="AR79" i="62"/>
  <c r="AS80" i="62"/>
  <c r="AT79" i="62"/>
  <c r="AT80" i="62" s="1"/>
  <c r="AT81" i="62" s="1"/>
  <c r="AT82" i="62" s="1"/>
  <c r="D79" i="62"/>
  <c r="E80" i="62"/>
  <c r="F79" i="62"/>
  <c r="AH79" i="62"/>
  <c r="AJ79" i="62"/>
  <c r="AJ80" i="62" s="1"/>
  <c r="AJ81" i="62" s="1"/>
  <c r="AJ82" i="62" s="1"/>
  <c r="AI80" i="62"/>
  <c r="K11" i="16"/>
  <c r="C11" i="16"/>
  <c r="H11" i="16"/>
  <c r="AZ79" i="62" l="1"/>
  <c r="CG79" i="62"/>
  <c r="AS81" i="62"/>
  <c r="AS82" i="62" s="1"/>
  <c r="BC79" i="62"/>
  <c r="BC80" i="62" s="1"/>
  <c r="BC81" i="62" s="1"/>
  <c r="BC82" i="62" s="1"/>
  <c r="BB80" i="62"/>
  <c r="AI81" i="62"/>
  <c r="AI82" i="62" s="1"/>
  <c r="Q81" i="62"/>
  <c r="R80" i="62"/>
  <c r="I81" i="62"/>
  <c r="J80" i="62"/>
  <c r="E81" i="62"/>
  <c r="E82" i="62" s="1"/>
  <c r="H5" i="5" s="1"/>
  <c r="F80" i="62"/>
  <c r="AC79" i="62"/>
  <c r="AD80" i="62"/>
  <c r="AE79" i="62"/>
  <c r="AN81" i="62"/>
  <c r="AN82" i="62" s="1"/>
  <c r="O11" i="16"/>
  <c r="B4" i="57"/>
  <c r="AN80" i="60"/>
  <c r="AO80" i="60"/>
  <c r="AO81" i="60" s="1"/>
  <c r="AO82" i="60" s="1"/>
  <c r="AS80" i="60"/>
  <c r="E80" i="60"/>
  <c r="F80" i="60" s="1"/>
  <c r="I80" i="60"/>
  <c r="B3" i="57"/>
  <c r="CE79" i="62" l="1"/>
  <c r="CE80" i="62" s="1"/>
  <c r="AZ80" i="62"/>
  <c r="AN88" i="62"/>
  <c r="AN89" i="62" s="1"/>
  <c r="J12" i="5" s="1"/>
  <c r="H12" i="5"/>
  <c r="AI88" i="62"/>
  <c r="AI89" i="62" s="1"/>
  <c r="J11" i="5" s="1"/>
  <c r="H11" i="5"/>
  <c r="AS88" i="62"/>
  <c r="AS89" i="62" s="1"/>
  <c r="J13" i="5" s="1"/>
  <c r="H13" i="5"/>
  <c r="CH79" i="62"/>
  <c r="CG80" i="62"/>
  <c r="P80" i="62"/>
  <c r="O81" i="62"/>
  <c r="AM80" i="62"/>
  <c r="AL81" i="62"/>
  <c r="R81" i="62"/>
  <c r="Q82" i="62"/>
  <c r="H8" i="5" s="1"/>
  <c r="AD81" i="62"/>
  <c r="AE80" i="62"/>
  <c r="BB81" i="62"/>
  <c r="BB82" i="62" s="1"/>
  <c r="BB88" i="62" s="1"/>
  <c r="BB89" i="62" s="1"/>
  <c r="BA79" i="62"/>
  <c r="J81" i="62"/>
  <c r="I82" i="62"/>
  <c r="H6" i="5" s="1"/>
  <c r="AG81" i="62"/>
  <c r="AH80" i="62"/>
  <c r="F81" i="62"/>
  <c r="H80" i="62"/>
  <c r="AR80" i="62"/>
  <c r="AQ81" i="62"/>
  <c r="AJ80" i="60"/>
  <c r="AJ81" i="60" s="1"/>
  <c r="AJ82" i="60" s="1"/>
  <c r="G80" i="60"/>
  <c r="H80" i="60" s="1"/>
  <c r="J80" i="60"/>
  <c r="AS81" i="60"/>
  <c r="AS82" i="60" s="1"/>
  <c r="D13" i="5" s="1"/>
  <c r="AQ80" i="60"/>
  <c r="AN81" i="60"/>
  <c r="AN82" i="60" s="1"/>
  <c r="D12" i="5" s="1"/>
  <c r="AL80" i="60"/>
  <c r="E81" i="60"/>
  <c r="C80" i="60"/>
  <c r="C81" i="60" s="1"/>
  <c r="C82" i="60" s="1"/>
  <c r="C5" i="5" s="1"/>
  <c r="AT80" i="60"/>
  <c r="AT81" i="60" s="1"/>
  <c r="AT82" i="60" s="1"/>
  <c r="Q80" i="60"/>
  <c r="R80" i="60" s="1"/>
  <c r="AI80" i="60"/>
  <c r="D80" i="60"/>
  <c r="D81" i="60" s="1"/>
  <c r="D82" i="60" s="1"/>
  <c r="BB80" i="60"/>
  <c r="E3" i="57"/>
  <c r="B5" i="57"/>
  <c r="B6" i="57" s="1"/>
  <c r="E4" i="57"/>
  <c r="H4" i="57"/>
  <c r="H19" i="5" l="1"/>
  <c r="F82" i="62"/>
  <c r="E88" i="62"/>
  <c r="E89" i="62" s="1"/>
  <c r="J5" i="5" s="1"/>
  <c r="AC80" i="62"/>
  <c r="AE81" i="62"/>
  <c r="AD82" i="62"/>
  <c r="AG92" i="62"/>
  <c r="AF92" i="62" s="1"/>
  <c r="AH81" i="62"/>
  <c r="AG82" i="62"/>
  <c r="G11" i="5" s="1"/>
  <c r="CF79" i="62"/>
  <c r="CH80" i="62"/>
  <c r="CG81" i="62"/>
  <c r="R82" i="62"/>
  <c r="Q88" i="62"/>
  <c r="Q89" i="62" s="1"/>
  <c r="J8" i="5" s="1"/>
  <c r="J82" i="62"/>
  <c r="I88" i="62"/>
  <c r="I89" i="62" s="1"/>
  <c r="J6" i="5" s="1"/>
  <c r="AM81" i="62"/>
  <c r="AL92" i="62"/>
  <c r="AL93" i="62" s="1"/>
  <c r="AL82" i="62"/>
  <c r="G12" i="5" s="1"/>
  <c r="AQ82" i="62"/>
  <c r="G13" i="5" s="1"/>
  <c r="AR81" i="62"/>
  <c r="AQ92" i="62"/>
  <c r="AP92" i="62" s="1"/>
  <c r="O92" i="62"/>
  <c r="O93" i="62" s="1"/>
  <c r="P81" i="62"/>
  <c r="O82" i="62"/>
  <c r="G8" i="5" s="1"/>
  <c r="BA80" i="62"/>
  <c r="AZ81" i="62"/>
  <c r="AN88" i="60"/>
  <c r="AL81" i="60"/>
  <c r="AM80" i="60"/>
  <c r="AQ81" i="60"/>
  <c r="AR80" i="60"/>
  <c r="E82" i="60"/>
  <c r="D5" i="5" s="1"/>
  <c r="F81" i="60"/>
  <c r="BC80" i="60"/>
  <c r="BC81" i="60" s="1"/>
  <c r="BC82" i="60" s="1"/>
  <c r="BB81" i="60"/>
  <c r="BB82" i="60" s="1"/>
  <c r="AZ80" i="60"/>
  <c r="Q81" i="60"/>
  <c r="O80" i="60"/>
  <c r="AD80" i="60"/>
  <c r="AI81" i="60"/>
  <c r="AI82" i="60" s="1"/>
  <c r="D11" i="5" s="1"/>
  <c r="AG80" i="60"/>
  <c r="AK80" i="60"/>
  <c r="AP80" i="60"/>
  <c r="C88" i="60"/>
  <c r="E5" i="57"/>
  <c r="E6" i="57" s="1"/>
  <c r="I3" i="57"/>
  <c r="J3" i="57"/>
  <c r="H3" i="57"/>
  <c r="H5" i="57" s="1"/>
  <c r="H6" i="57" s="1"/>
  <c r="I4" i="57"/>
  <c r="J4" i="57"/>
  <c r="J19" i="5" l="1"/>
  <c r="AZ82" i="62"/>
  <c r="AZ92" i="62"/>
  <c r="BA81" i="62"/>
  <c r="AL88" i="62"/>
  <c r="AM82" i="62"/>
  <c r="AN90" i="62"/>
  <c r="CF80" i="62"/>
  <c r="P82" i="62"/>
  <c r="Q90" i="62"/>
  <c r="O88" i="62"/>
  <c r="AH82" i="62"/>
  <c r="AG88" i="62"/>
  <c r="AI90" i="62"/>
  <c r="AE82" i="62"/>
  <c r="AD88" i="62"/>
  <c r="CH81" i="62"/>
  <c r="CG82" i="62"/>
  <c r="H23" i="5" s="1"/>
  <c r="AQ88" i="62"/>
  <c r="AR82" i="62"/>
  <c r="AS90" i="62"/>
  <c r="E90" i="60"/>
  <c r="CG80" i="60"/>
  <c r="CH80" i="60" s="1"/>
  <c r="AN89" i="60"/>
  <c r="F12" i="5" s="1"/>
  <c r="AL82" i="60"/>
  <c r="C12" i="5" s="1"/>
  <c r="AM81" i="60"/>
  <c r="AI88" i="60"/>
  <c r="AB80" i="60"/>
  <c r="AC80" i="60" s="1"/>
  <c r="AE80" i="60"/>
  <c r="E88" i="60"/>
  <c r="F82" i="60"/>
  <c r="AZ81" i="60"/>
  <c r="AZ92" i="60" s="1"/>
  <c r="BA80" i="60"/>
  <c r="O81" i="60"/>
  <c r="P80" i="60"/>
  <c r="AG81" i="60"/>
  <c r="AF81" i="60" s="1"/>
  <c r="AH80" i="60"/>
  <c r="Q82" i="60"/>
  <c r="D8" i="5" s="1"/>
  <c r="R81" i="60"/>
  <c r="AQ82" i="60"/>
  <c r="C13" i="5" s="1"/>
  <c r="AR81" i="60"/>
  <c r="C89" i="60"/>
  <c r="E5" i="5" s="1"/>
  <c r="J5" i="57"/>
  <c r="J6" i="57" s="1"/>
  <c r="AK81" i="60"/>
  <c r="AL92" i="60"/>
  <c r="AL93" i="60" s="1"/>
  <c r="AP81" i="60"/>
  <c r="AQ92" i="60"/>
  <c r="AP92" i="60" s="1"/>
  <c r="I5" i="57"/>
  <c r="I6" i="57" s="1"/>
  <c r="H261" i="9"/>
  <c r="H262" i="9"/>
  <c r="H264" i="9"/>
  <c r="H265" i="9"/>
  <c r="H266" i="9"/>
  <c r="H270" i="9"/>
  <c r="A264" i="9"/>
  <c r="A265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Q91" i="62" l="1"/>
  <c r="O89" i="62"/>
  <c r="I8" i="5" s="1"/>
  <c r="CH82" i="62"/>
  <c r="CG88" i="62"/>
  <c r="CG89" i="62" s="1"/>
  <c r="AC88" i="62"/>
  <c r="AD89" i="62"/>
  <c r="AL89" i="62"/>
  <c r="I12" i="5" s="1"/>
  <c r="AN91" i="62"/>
  <c r="AS91" i="62"/>
  <c r="AQ89" i="62"/>
  <c r="I13" i="5" s="1"/>
  <c r="AI91" i="62"/>
  <c r="AG89" i="62"/>
  <c r="I11" i="5" s="1"/>
  <c r="AZ88" i="62"/>
  <c r="BB90" i="62"/>
  <c r="BA82" i="62"/>
  <c r="AG92" i="60"/>
  <c r="AF92" i="60" s="1"/>
  <c r="CE80" i="60"/>
  <c r="CF80" i="60" s="1"/>
  <c r="AI89" i="60"/>
  <c r="F11" i="5" s="1"/>
  <c r="AL88" i="60"/>
  <c r="AM82" i="60"/>
  <c r="E89" i="60"/>
  <c r="F5" i="5" s="1"/>
  <c r="O92" i="60"/>
  <c r="O93" i="60" s="1"/>
  <c r="Q88" i="60"/>
  <c r="R82" i="60"/>
  <c r="E91" i="60"/>
  <c r="O82" i="60"/>
  <c r="C8" i="5" s="1"/>
  <c r="P81" i="60"/>
  <c r="CB81" i="60"/>
  <c r="CB88" i="60" s="1"/>
  <c r="CB89" i="60" s="1"/>
  <c r="AQ88" i="60"/>
  <c r="AR82" i="60"/>
  <c r="AG82" i="60"/>
  <c r="C11" i="5" s="1"/>
  <c r="AH81" i="60"/>
  <c r="AZ82" i="60"/>
  <c r="BB90" i="60" s="1"/>
  <c r="BA81" i="60"/>
  <c r="AK82" i="60"/>
  <c r="AN90" i="60"/>
  <c r="AP82" i="60"/>
  <c r="AS90" i="60"/>
  <c r="O262" i="9"/>
  <c r="A262" i="9"/>
  <c r="O270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CG92" i="62" l="1"/>
  <c r="J23" i="5"/>
  <c r="BB91" i="62"/>
  <c r="AZ89" i="62"/>
  <c r="O88" i="60"/>
  <c r="AL89" i="60"/>
  <c r="E12" i="5" s="1"/>
  <c r="Q89" i="60"/>
  <c r="F8" i="5" s="1"/>
  <c r="AQ89" i="60"/>
  <c r="E13" i="5" s="1"/>
  <c r="P82" i="60"/>
  <c r="Q90" i="60"/>
  <c r="AZ88" i="60"/>
  <c r="AZ89" i="60" s="1"/>
  <c r="BA82" i="60"/>
  <c r="AG88" i="60"/>
  <c r="AH82" i="60"/>
  <c r="AF82" i="60"/>
  <c r="AI90" i="60"/>
  <c r="AN91" i="60"/>
  <c r="O89" i="60" l="1"/>
  <c r="E8" i="5" s="1"/>
  <c r="Q91" i="60"/>
  <c r="AG89" i="60"/>
  <c r="E11" i="5" s="1"/>
  <c r="AI91" i="60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70" i="9"/>
  <c r="A211" i="9"/>
  <c r="A10" i="9" l="1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9" i="9"/>
  <c r="O6" i="9"/>
  <c r="P6" i="9"/>
  <c r="Q6" i="9"/>
  <c r="R6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9" i="9"/>
  <c r="K6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9" i="9"/>
  <c r="M6" i="9"/>
  <c r="N6" i="9"/>
  <c r="U6" i="9"/>
  <c r="V6" i="9"/>
  <c r="X6" i="9" s="1"/>
  <c r="I6" i="9"/>
  <c r="J6" i="9"/>
  <c r="L6" i="9"/>
  <c r="S6" i="9"/>
  <c r="T6" i="9"/>
  <c r="H6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6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9" i="9"/>
  <c r="G9" i="9"/>
  <c r="N7" i="9" l="1"/>
  <c r="N5" i="9" s="1"/>
  <c r="Q7" i="9"/>
  <c r="Q5" i="9" s="1"/>
  <c r="Q4" i="9" s="1"/>
  <c r="U7" i="9"/>
  <c r="U5" i="9" s="1"/>
  <c r="S7" i="9"/>
  <c r="S5" i="9" s="1"/>
  <c r="S4" i="9" s="1"/>
  <c r="P7" i="9"/>
  <c r="P5" i="9" s="1"/>
  <c r="T7" i="9"/>
  <c r="T5" i="9" s="1"/>
  <c r="V7" i="9"/>
  <c r="V5" i="9" s="1"/>
  <c r="X5" i="9" s="1"/>
  <c r="Z7" i="9" s="1"/>
  <c r="R7" i="9"/>
  <c r="R5" i="9" s="1"/>
  <c r="R4" i="9" s="1"/>
  <c r="O7" i="9"/>
  <c r="O5" i="9" s="1"/>
  <c r="M7" i="9"/>
  <c r="M5" i="9" s="1"/>
  <c r="L7" i="9"/>
  <c r="L5" i="9" s="1"/>
  <c r="K7" i="9"/>
  <c r="K5" i="9" s="1"/>
  <c r="J7" i="9"/>
  <c r="J5" i="9" s="1"/>
  <c r="I7" i="9"/>
  <c r="I5" i="9" s="1"/>
  <c r="H7" i="9"/>
  <c r="H5" i="9" s="1"/>
  <c r="G7" i="9"/>
  <c r="G5" i="9" s="1"/>
  <c r="J21" i="5" l="1"/>
  <c r="H21" i="5"/>
  <c r="G21" i="5"/>
  <c r="F21" i="5"/>
  <c r="D21" i="5"/>
  <c r="I4" i="5"/>
  <c r="E4" i="5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I1" i="1"/>
  <c r="C231" i="1" l="1"/>
  <c r="C229" i="1"/>
  <c r="C227" i="1"/>
  <c r="C226" i="1"/>
  <c r="C225" i="1"/>
  <c r="C224" i="1"/>
  <c r="C223" i="1"/>
  <c r="C220" i="1"/>
  <c r="C217" i="1"/>
  <c r="C216" i="1"/>
  <c r="C214" i="1"/>
  <c r="C213" i="1"/>
  <c r="C211" i="1"/>
  <c r="C209" i="1"/>
  <c r="C207" i="1"/>
  <c r="C206" i="1"/>
  <c r="C205" i="1"/>
  <c r="C202" i="1"/>
  <c r="C201" i="1"/>
  <c r="C198" i="1"/>
  <c r="C196" i="1"/>
  <c r="C195" i="1"/>
  <c r="C194" i="1"/>
  <c r="C192" i="1"/>
  <c r="C187" i="1"/>
  <c r="C186" i="1"/>
  <c r="C184" i="1"/>
  <c r="C183" i="1"/>
  <c r="C182" i="1"/>
  <c r="C181" i="1"/>
  <c r="C180" i="1"/>
  <c r="C179" i="1"/>
  <c r="C178" i="1"/>
  <c r="C177" i="1"/>
  <c r="C176" i="1"/>
  <c r="C175" i="1"/>
  <c r="C173" i="1"/>
  <c r="C171" i="1"/>
  <c r="C168" i="1"/>
  <c r="C166" i="1"/>
  <c r="C165" i="1"/>
  <c r="C164" i="1"/>
  <c r="C162" i="1"/>
  <c r="C160" i="1"/>
  <c r="C159" i="1"/>
  <c r="C158" i="1"/>
  <c r="C156" i="1"/>
  <c r="C153" i="1"/>
  <c r="C151" i="1"/>
  <c r="C150" i="1"/>
  <c r="C149" i="1"/>
  <c r="C148" i="1"/>
  <c r="C147" i="1"/>
  <c r="C145" i="1"/>
  <c r="C144" i="1"/>
  <c r="C142" i="1"/>
  <c r="C140" i="1"/>
  <c r="C139" i="1"/>
  <c r="C138" i="1"/>
  <c r="C137" i="1"/>
  <c r="C136" i="1"/>
  <c r="C133" i="1"/>
  <c r="C132" i="1"/>
  <c r="C131" i="1"/>
  <c r="C130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3" i="1"/>
  <c r="C102" i="1"/>
  <c r="C99" i="1"/>
  <c r="C97" i="1"/>
  <c r="C95" i="1"/>
  <c r="C94" i="1"/>
  <c r="C93" i="1"/>
  <c r="C92" i="1"/>
  <c r="C91" i="1"/>
  <c r="C90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6" i="1"/>
  <c r="C64" i="1"/>
  <c r="C63" i="1"/>
  <c r="C62" i="1"/>
  <c r="C60" i="1"/>
  <c r="C59" i="1"/>
  <c r="C58" i="1"/>
  <c r="C57" i="1"/>
  <c r="C56" i="1"/>
  <c r="C54" i="1"/>
  <c r="C53" i="1"/>
  <c r="C52" i="1"/>
  <c r="C50" i="1"/>
  <c r="C49" i="1"/>
  <c r="C47" i="1"/>
  <c r="C45" i="1"/>
  <c r="C44" i="1"/>
  <c r="C43" i="1"/>
  <c r="C42" i="1"/>
  <c r="C39" i="1"/>
  <c r="C37" i="1"/>
  <c r="C36" i="1"/>
  <c r="C35" i="1"/>
  <c r="C34" i="1"/>
  <c r="C33" i="1"/>
  <c r="C32" i="1"/>
  <c r="C31" i="1"/>
  <c r="C30" i="1"/>
  <c r="C29" i="1"/>
  <c r="C27" i="1"/>
  <c r="C26" i="1"/>
  <c r="C25" i="1"/>
  <c r="C24" i="1"/>
  <c r="C23" i="1"/>
  <c r="C22" i="1"/>
  <c r="C21" i="1"/>
  <c r="C20" i="1"/>
  <c r="C19" i="1"/>
  <c r="C16" i="1"/>
  <c r="C15" i="1"/>
  <c r="C14" i="1"/>
  <c r="C12" i="1"/>
  <c r="C11" i="1"/>
  <c r="C9" i="1"/>
  <c r="C8" i="1"/>
  <c r="C7" i="1"/>
  <c r="C6" i="1"/>
  <c r="I124" i="60" l="1"/>
  <c r="I50" i="60" s="1"/>
  <c r="G50" i="62" s="1"/>
  <c r="H50" i="62" l="1"/>
  <c r="G53" i="62"/>
  <c r="G50" i="60"/>
  <c r="J50" i="60"/>
  <c r="AD83" i="60"/>
  <c r="BB83" i="60"/>
  <c r="BB88" i="60" s="1"/>
  <c r="BB89" i="60" s="1"/>
  <c r="AS88" i="60"/>
  <c r="I53" i="60"/>
  <c r="AD50" i="60"/>
  <c r="AB50" i="62" s="1"/>
  <c r="CE50" i="62" l="1"/>
  <c r="AC50" i="62"/>
  <c r="AB53" i="62"/>
  <c r="H53" i="62"/>
  <c r="G81" i="62"/>
  <c r="I81" i="60"/>
  <c r="J53" i="60"/>
  <c r="G53" i="60"/>
  <c r="H50" i="60"/>
  <c r="AB50" i="60"/>
  <c r="AE50" i="60"/>
  <c r="AS89" i="60"/>
  <c r="F13" i="5" s="1"/>
  <c r="C4" i="57"/>
  <c r="CG50" i="60"/>
  <c r="CH50" i="60" s="1"/>
  <c r="AD53" i="60"/>
  <c r="CG83" i="60"/>
  <c r="G82" i="62" l="1"/>
  <c r="H81" i="62"/>
  <c r="G92" i="62"/>
  <c r="G93" i="62" s="1"/>
  <c r="AB81" i="62"/>
  <c r="AC53" i="62"/>
  <c r="CE53" i="62"/>
  <c r="CF50" i="62"/>
  <c r="G81" i="60"/>
  <c r="G92" i="60" s="1"/>
  <c r="G93" i="60" s="1"/>
  <c r="H53" i="60"/>
  <c r="I82" i="60"/>
  <c r="D6" i="5" s="1"/>
  <c r="D19" i="5" s="1"/>
  <c r="J81" i="60"/>
  <c r="AB53" i="60"/>
  <c r="AC50" i="60"/>
  <c r="AD81" i="60"/>
  <c r="AE53" i="60"/>
  <c r="CE50" i="60"/>
  <c r="CF50" i="60" s="1"/>
  <c r="AS91" i="60"/>
  <c r="CE83" i="60"/>
  <c r="CG53" i="60"/>
  <c r="BG19" i="5"/>
  <c r="C3" i="57"/>
  <c r="P3" i="57" s="1"/>
  <c r="P4" i="57"/>
  <c r="CF53" i="62" l="1"/>
  <c r="CE81" i="62"/>
  <c r="AB82" i="62"/>
  <c r="AC81" i="62"/>
  <c r="G6" i="5"/>
  <c r="H82" i="62"/>
  <c r="I90" i="62"/>
  <c r="G88" i="62"/>
  <c r="J82" i="60"/>
  <c r="I88" i="60"/>
  <c r="G82" i="60"/>
  <c r="C6" i="5" s="1"/>
  <c r="C19" i="5" s="1"/>
  <c r="H81" i="60"/>
  <c r="AC53" i="60"/>
  <c r="AB81" i="60"/>
  <c r="CG81" i="60"/>
  <c r="CH53" i="60"/>
  <c r="AD82" i="60"/>
  <c r="AE81" i="60"/>
  <c r="CE53" i="60"/>
  <c r="CE81" i="60" s="1"/>
  <c r="BB91" i="60"/>
  <c r="BD19" i="5"/>
  <c r="P5" i="57"/>
  <c r="P6" i="57" s="1"/>
  <c r="C5" i="57"/>
  <c r="C6" i="57" s="1"/>
  <c r="I91" i="62" l="1"/>
  <c r="G89" i="62"/>
  <c r="I6" i="5" s="1"/>
  <c r="AD90" i="62"/>
  <c r="AB88" i="62"/>
  <c r="AC82" i="62"/>
  <c r="CE82" i="62"/>
  <c r="CE92" i="62"/>
  <c r="CF81" i="62"/>
  <c r="H82" i="60"/>
  <c r="I89" i="60"/>
  <c r="F6" i="5" s="1"/>
  <c r="F19" i="5" s="1"/>
  <c r="AB82" i="60"/>
  <c r="AD90" i="60" s="1"/>
  <c r="AC81" i="60"/>
  <c r="AD88" i="60"/>
  <c r="AE82" i="60"/>
  <c r="CE92" i="60"/>
  <c r="CF81" i="60"/>
  <c r="CF53" i="60"/>
  <c r="CG82" i="60"/>
  <c r="CH81" i="60"/>
  <c r="I90" i="60"/>
  <c r="G88" i="60"/>
  <c r="CE82" i="60"/>
  <c r="CF82" i="60" s="1"/>
  <c r="CF82" i="62" l="1"/>
  <c r="CE88" i="62"/>
  <c r="CG90" i="62"/>
  <c r="AB89" i="62"/>
  <c r="AD91" i="62"/>
  <c r="AC82" i="60"/>
  <c r="AB88" i="60"/>
  <c r="AB89" i="60" s="1"/>
  <c r="CG88" i="60"/>
  <c r="CH82" i="60"/>
  <c r="AD89" i="60"/>
  <c r="AC88" i="60"/>
  <c r="G89" i="60"/>
  <c r="E6" i="5" s="1"/>
  <c r="E19" i="5" s="1"/>
  <c r="I91" i="60"/>
  <c r="CE88" i="60"/>
  <c r="CG90" i="60"/>
  <c r="CE89" i="62" l="1"/>
  <c r="CE91" i="62" s="1"/>
  <c r="CG91" i="62"/>
  <c r="AD91" i="60"/>
  <c r="CG89" i="60"/>
  <c r="CE89" i="60"/>
  <c r="CG91" i="60"/>
  <c r="CG92" i="60" l="1"/>
  <c r="CE91" i="60"/>
  <c r="C23" i="5" l="1"/>
  <c r="E23" i="5"/>
  <c r="D23" i="5" l="1"/>
  <c r="F23" i="5"/>
  <c r="BH19" i="5" l="1"/>
  <c r="BC19" i="5" l="1"/>
  <c r="G5" i="5"/>
  <c r="D78" i="62"/>
  <c r="D80" i="62" s="1"/>
  <c r="D81" i="62" s="1"/>
  <c r="D82" i="62" s="1"/>
  <c r="G19" i="5" l="1"/>
  <c r="G23" i="5" s="1"/>
  <c r="C88" i="62"/>
  <c r="E90" i="62"/>
  <c r="C89" i="62" l="1"/>
  <c r="I5" i="5" s="1"/>
  <c r="I19" i="5" s="1"/>
  <c r="I23" i="5" s="1"/>
  <c r="E91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Bajigar</author>
  </authors>
  <commentList>
    <comment ref="B334" authorId="0" shapeId="0" xr:uid="{83AE998A-05C9-4A22-BEFB-E8669A733754}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Repaing Bags Incom we have booked debit note for the month of Sep-23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Bajigar</author>
  </authors>
  <commentList>
    <comment ref="B335" authorId="0" shapeId="0" xr:uid="{14FBE6E9-180B-4186-9AA7-41FBCC6D2F01}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Repaing Bags Incom we have booked debit note for the month of Sep-23
</t>
        </r>
      </text>
    </comment>
  </commentList>
</comments>
</file>

<file path=xl/sharedStrings.xml><?xml version="1.0" encoding="utf-8"?>
<sst xmlns="http://schemas.openxmlformats.org/spreadsheetml/2006/main" count="2785" uniqueCount="767">
  <si>
    <t>LedgerType</t>
  </si>
  <si>
    <t>Particular</t>
  </si>
  <si>
    <t>Opening</t>
  </si>
  <si>
    <t>Debit</t>
  </si>
  <si>
    <t>Credit</t>
  </si>
  <si>
    <t>Closing</t>
  </si>
  <si>
    <t>Cornucopia Tradelink Private Limited</t>
  </si>
  <si>
    <t>HCP ENTERPRISE LIMITED</t>
  </si>
  <si>
    <t>HCP Plastene Bulkpack Ltd</t>
  </si>
  <si>
    <t>HCP Plastene Bulkpack Ltd (Unit - II)</t>
  </si>
  <si>
    <t>HCP Plastene Bulkpack Ltd (Unit - III)</t>
  </si>
  <si>
    <t>Jain Bulk Pack</t>
  </si>
  <si>
    <t>K.P. WOVEN PRIVATE LIMITED</t>
  </si>
  <si>
    <t>K.P. WOVEN PRIVATE LIMITED (UNIT-II) NANICHIRAI</t>
  </si>
  <si>
    <t>K.P. WOVEN PRIVATE LIMITED (UNIT-II)</t>
  </si>
  <si>
    <t>K.P. WOVEN PRIVATE LIMITED (UNIT-III)</t>
  </si>
  <si>
    <t>Oswal Extrusion Limited</t>
  </si>
  <si>
    <t xml:space="preserve">Plastene India Limited </t>
  </si>
  <si>
    <t>Plastene India Limited (Unit -II)</t>
  </si>
  <si>
    <t>Plastene India Limited (Unit -III)</t>
  </si>
  <si>
    <t>Plastene India Limited (Unit-VI)</t>
  </si>
  <si>
    <t>Plastene India Limited - HO</t>
  </si>
  <si>
    <t>Plastene Polyfilms Limited</t>
  </si>
  <si>
    <t>Group</t>
  </si>
  <si>
    <t>Group-2</t>
  </si>
  <si>
    <t>Group-3</t>
  </si>
  <si>
    <t>Ledger</t>
  </si>
  <si>
    <t>Group-4</t>
  </si>
  <si>
    <t xml:space="preserve"> Expenses</t>
  </si>
  <si>
    <t xml:space="preserve">  Direct Expenses</t>
  </si>
  <si>
    <t xml:space="preserve">   Expenses On Purchase</t>
  </si>
  <si>
    <t xml:space="preserve">    C &amp; F Charges - Import</t>
  </si>
  <si>
    <t xml:space="preserve">    Freight Inward Expense</t>
  </si>
  <si>
    <t xml:space="preserve">   Manufacturing Expenses</t>
  </si>
  <si>
    <t xml:space="preserve">    Factory  Expense</t>
  </si>
  <si>
    <t xml:space="preserve">    Other Operating Expenses</t>
  </si>
  <si>
    <t xml:space="preserve">    Repairs And Maintenance Exp</t>
  </si>
  <si>
    <t xml:space="preserve">   Purchase A/C</t>
  </si>
  <si>
    <t xml:space="preserve">    Branch Transfer In</t>
  </si>
  <si>
    <t xml:space="preserve">    Purchase - Import - Raw Material</t>
  </si>
  <si>
    <t xml:space="preserve">    Purchase - Packing Material </t>
  </si>
  <si>
    <t xml:space="preserve">    Purchase - Raw Material</t>
  </si>
  <si>
    <t xml:space="preserve">    Purchase - Stores, Spares &amp; Consumable</t>
  </si>
  <si>
    <t xml:space="preserve">    Purchase - Trading</t>
  </si>
  <si>
    <t xml:space="preserve">    Purchase Raw Material - Highseas</t>
  </si>
  <si>
    <t xml:space="preserve">  Indirect Expenses</t>
  </si>
  <si>
    <t xml:space="preserve">   Administrative &amp; General Exp</t>
  </si>
  <si>
    <t xml:space="preserve">    Repairs And Maintenance Exp Others</t>
  </si>
  <si>
    <t xml:space="preserve">    Vehicle Maintenance &amp; Repairs</t>
  </si>
  <si>
    <t xml:space="preserve">   Depreciation &amp; Amortisation</t>
  </si>
  <si>
    <t xml:space="preserve">   Employee Benefit Expenses</t>
  </si>
  <si>
    <t xml:space="preserve">    Provident Fund</t>
  </si>
  <si>
    <t xml:space="preserve">    Salaries,Wages And Bonus</t>
  </si>
  <si>
    <t xml:space="preserve">    Staff Welfare Expense</t>
  </si>
  <si>
    <t xml:space="preserve">   Finance Cost</t>
  </si>
  <si>
    <t xml:space="preserve">    Bank Commission &amp; Charges</t>
  </si>
  <si>
    <t xml:space="preserve">    Exchange Rate Difference,Net</t>
  </si>
  <si>
    <t xml:space="preserve">    Interest On Term Loan</t>
  </si>
  <si>
    <t xml:space="preserve">    Interest On Working Capital</t>
  </si>
  <si>
    <t xml:space="preserve">    Other Finance Costs</t>
  </si>
  <si>
    <t xml:space="preserve">   Other Expenses</t>
  </si>
  <si>
    <t xml:space="preserve">    Audit Fees</t>
  </si>
  <si>
    <t xml:space="preserve">    Fees &amp; Taxes </t>
  </si>
  <si>
    <t xml:space="preserve">    Insurance Expenses </t>
  </si>
  <si>
    <t xml:space="preserve">    Legal &amp; Professional Expense</t>
  </si>
  <si>
    <t xml:space="preserve">    Other Expense</t>
  </si>
  <si>
    <t xml:space="preserve">   Selling And Distribution Expenses</t>
  </si>
  <si>
    <t xml:space="preserve">    Brokerage And Commission</t>
  </si>
  <si>
    <t xml:space="preserve">    C &amp; F Charges - Export</t>
  </si>
  <si>
    <t xml:space="preserve">    Expenses On Sales</t>
  </si>
  <si>
    <t xml:space="preserve">    Sales &amp; Promotion Expense</t>
  </si>
  <si>
    <t xml:space="preserve"> Income</t>
  </si>
  <si>
    <t xml:space="preserve">  Direct Income</t>
  </si>
  <si>
    <t xml:space="preserve">   Sale Of Finished Goods</t>
  </si>
  <si>
    <t xml:space="preserve">    Sales Deemed Export</t>
  </si>
  <si>
    <t xml:space="preserve">    Sales Domestics</t>
  </si>
  <si>
    <t xml:space="preserve">    Sales Export</t>
  </si>
  <si>
    <t xml:space="preserve">   Sale Of Services</t>
  </si>
  <si>
    <t xml:space="preserve">    Job Work Income</t>
  </si>
  <si>
    <t xml:space="preserve">   Sale Of Traded Goods</t>
  </si>
  <si>
    <t xml:space="preserve">    Branch Transfer Out</t>
  </si>
  <si>
    <t xml:space="preserve">    Sales - High Seas</t>
  </si>
  <si>
    <t xml:space="preserve">    Sales Deemed Export - Traded Goods</t>
  </si>
  <si>
    <t xml:space="preserve">    Sales Export - Trading</t>
  </si>
  <si>
    <t xml:space="preserve">    Sales Traded Goods</t>
  </si>
  <si>
    <t xml:space="preserve">   Sales Others</t>
  </si>
  <si>
    <t xml:space="preserve">    Sales Domestics-Other Scrap</t>
  </si>
  <si>
    <t xml:space="preserve">  Indirect Incomes</t>
  </si>
  <si>
    <t xml:space="preserve">   Other Income </t>
  </si>
  <si>
    <t xml:space="preserve">    Interest Income</t>
  </si>
  <si>
    <t xml:space="preserve">    Liabilities no longer required written back</t>
  </si>
  <si>
    <t xml:space="preserve"> Other Deduction</t>
  </si>
  <si>
    <t xml:space="preserve"> Salaries Expense</t>
  </si>
  <si>
    <t xml:space="preserve"> Salary - Over Time</t>
  </si>
  <si>
    <t xml:space="preserve"> Staff Welfare Expense</t>
  </si>
  <si>
    <t xml:space="preserve"> Canteen Expense - Factory</t>
  </si>
  <si>
    <t xml:space="preserve"> Canteen Expense - Office</t>
  </si>
  <si>
    <t xml:space="preserve"> Meal Coupon Expense</t>
  </si>
  <si>
    <t xml:space="preserve"> Medical Expense</t>
  </si>
  <si>
    <t xml:space="preserve"> Bank Charges -  Export Collection</t>
  </si>
  <si>
    <t xml:space="preserve"> Bank Charges - Import</t>
  </si>
  <si>
    <t xml:space="preserve"> Bank Charges - LC</t>
  </si>
  <si>
    <t xml:space="preserve"> Bank Charges - Postage &amp; Swift</t>
  </si>
  <si>
    <t xml:space="preserve"> Bank Charges- Others</t>
  </si>
  <si>
    <t xml:space="preserve"> Exchange Rate Difference - Debtors</t>
  </si>
  <si>
    <t xml:space="preserve"> Interest Expense -  Term Loan</t>
  </si>
  <si>
    <t xml:space="preserve"> Interest Expense - Vehicle Loan</t>
  </si>
  <si>
    <t xml:space="preserve"> Factoring Charges</t>
  </si>
  <si>
    <t xml:space="preserve"> Interest Expense -  LC</t>
  </si>
  <si>
    <t xml:space="preserve"> Interest Expense - EPC</t>
  </si>
  <si>
    <t xml:space="preserve"> Interest Expense - Factoring</t>
  </si>
  <si>
    <t xml:space="preserve"> Interest Expense - Working Capital</t>
  </si>
  <si>
    <t xml:space="preserve"> Interest Expense - Other</t>
  </si>
  <si>
    <t xml:space="preserve"> Audit Fees - Statutory Audit</t>
  </si>
  <si>
    <t xml:space="preserve"> Fees &amp; Taxes</t>
  </si>
  <si>
    <t xml:space="preserve"> GST Expenses</t>
  </si>
  <si>
    <t xml:space="preserve"> Property Tax</t>
  </si>
  <si>
    <t xml:space="preserve"> Insurance Expenses - Other</t>
  </si>
  <si>
    <t xml:space="preserve"> Advocate Fees Expense</t>
  </si>
  <si>
    <t xml:space="preserve"> Legal Expense</t>
  </si>
  <si>
    <t xml:space="preserve"> Professional &amp; Consultancy Fees</t>
  </si>
  <si>
    <t xml:space="preserve"> Balance Written Off Expense</t>
  </si>
  <si>
    <t xml:space="preserve"> Brokerage &amp; Commission Expense</t>
  </si>
  <si>
    <t xml:space="preserve"> C &amp; F  Charges - Export</t>
  </si>
  <si>
    <t xml:space="preserve"> Discount &amp; Rate Difference - Sales</t>
  </si>
  <si>
    <t xml:space="preserve"> Freight Outward Expense  - Export</t>
  </si>
  <si>
    <t xml:space="preserve"> Freight Outward Expense (Rcm Inter-State)</t>
  </si>
  <si>
    <t xml:space="preserve"> Freight Outward Expense (RCM)</t>
  </si>
  <si>
    <t xml:space="preserve"> Freight Outward Expense (With GST)</t>
  </si>
  <si>
    <t xml:space="preserve"> Freight outward Expenses (RCM_Withinstate)</t>
  </si>
  <si>
    <t xml:space="preserve"> Fumigation Charges</t>
  </si>
  <si>
    <t xml:space="preserve"> Insurance Expense - Ecgc - Pc</t>
  </si>
  <si>
    <t xml:space="preserve"> Insurance Expenses - Marine</t>
  </si>
  <si>
    <t xml:space="preserve"> Round Off - Sales</t>
  </si>
  <si>
    <t xml:space="preserve"> Sales Promotion Expense</t>
  </si>
  <si>
    <t xml:space="preserve"> Travelling Expense - Foreign</t>
  </si>
  <si>
    <t xml:space="preserve"> Sales - Kasez - Mfg - U/B</t>
  </si>
  <si>
    <t xml:space="preserve"> Sales - Interstate - Manufactured Goods</t>
  </si>
  <si>
    <t xml:space="preserve"> Sales - Within State  Manufactured Goods</t>
  </si>
  <si>
    <t xml:space="preserve"> Sales Return - Within  State</t>
  </si>
  <si>
    <t xml:space="preserve"> Sales - Direct Export - Mfg - U/B</t>
  </si>
  <si>
    <t xml:space="preserve"> Job Work Income</t>
  </si>
  <si>
    <t xml:space="preserve"> Rent Income</t>
  </si>
  <si>
    <t xml:space="preserve"> Branch Transfer Out - Raw Material</t>
  </si>
  <si>
    <t xml:space="preserve"> Branch Transfer Out - Stores, Spares &amp; Consumable</t>
  </si>
  <si>
    <t xml:space="preserve"> Branch Transfer Out - Trading</t>
  </si>
  <si>
    <t xml:space="preserve"> Sales - High Seas</t>
  </si>
  <si>
    <t xml:space="preserve"> Sales - Kasez - Trading - U/B</t>
  </si>
  <si>
    <t xml:space="preserve"> Sales - Export  - Trading</t>
  </si>
  <si>
    <t xml:space="preserve"> Sales - Export - Third Party</t>
  </si>
  <si>
    <t xml:space="preserve"> Sales - Interstate - Traded Goods</t>
  </si>
  <si>
    <t xml:space="preserve"> Sales - Within State - Traded Goods</t>
  </si>
  <si>
    <t xml:space="preserve"> Sales - Waste &amp; Scrape</t>
  </si>
  <si>
    <t xml:space="preserve"> Commission Income</t>
  </si>
  <si>
    <t xml:space="preserve"> Income From Wind Mill</t>
  </si>
  <si>
    <t xml:space="preserve"> Miscellaneous Income</t>
  </si>
  <si>
    <t xml:space="preserve"> Price Protection Discount-Income</t>
  </si>
  <si>
    <t xml:space="preserve"> Profit Or Loss On Sale Of Fixed Assets</t>
  </si>
  <si>
    <t xml:space="preserve"> Interest Received From Other</t>
  </si>
  <si>
    <t xml:space="preserve"> Balance Written Back Income</t>
  </si>
  <si>
    <t xml:space="preserve"> Discount &amp; Rate Difference - Purchase</t>
  </si>
  <si>
    <t xml:space="preserve"> Packing Forwading &amp; Cartage Expense</t>
  </si>
  <si>
    <t xml:space="preserve"> Quantity Discount</t>
  </si>
  <si>
    <t xml:space="preserve"> Round Off - Purchases</t>
  </si>
  <si>
    <t xml:space="preserve"> Custom Duty &amp; Charges</t>
  </si>
  <si>
    <t xml:space="preserve"> Freight Inward Expense (RCM)</t>
  </si>
  <si>
    <t xml:space="preserve"> Freight Inward Expense (With GST)</t>
  </si>
  <si>
    <t xml:space="preserve"> Freight Inward Expense (Without Gst)</t>
  </si>
  <si>
    <t xml:space="preserve"> Consumables, Tools &amp; Spare Expense</t>
  </si>
  <si>
    <t xml:space="preserve"> Electricity Exp (Staff Colony)</t>
  </si>
  <si>
    <t xml:space="preserve"> Factory Expense</t>
  </si>
  <si>
    <t xml:space="preserve"> Labour Charges</t>
  </si>
  <si>
    <t xml:space="preserve"> Power Expense</t>
  </si>
  <si>
    <t xml:space="preserve"> Rent Expense - Colony</t>
  </si>
  <si>
    <t xml:space="preserve"> Rent Expense - Factory</t>
  </si>
  <si>
    <t xml:space="preserve"> Rent Expense - Godown</t>
  </si>
  <si>
    <t xml:space="preserve"> Rent Expenses - Machineries</t>
  </si>
  <si>
    <t xml:space="preserve"> Exchange Rate Difference - Creditor</t>
  </si>
  <si>
    <t xml:space="preserve"> Freight  Expense - Job In</t>
  </si>
  <si>
    <t xml:space="preserve"> Insurance Expenses - Plant</t>
  </si>
  <si>
    <t xml:space="preserve"> Internal Transportation Expense / Reimbursement</t>
  </si>
  <si>
    <t xml:space="preserve"> Job Charges</t>
  </si>
  <si>
    <t xml:space="preserve"> Loading &amp; Unloading Expense</t>
  </si>
  <si>
    <t xml:space="preserve"> Testing Charges</t>
  </si>
  <si>
    <t xml:space="preserve"> Water Charges</t>
  </si>
  <si>
    <t xml:space="preserve"> Weighment Expense</t>
  </si>
  <si>
    <t xml:space="preserve"> Repairs &amp; Maintenance Exp - Plant &amp; Machinery</t>
  </si>
  <si>
    <t xml:space="preserve"> Branch Transfer In - Packing Material</t>
  </si>
  <si>
    <t xml:space="preserve"> Branch Transfer In - Raw Material</t>
  </si>
  <si>
    <t xml:space="preserve"> Branch Transfer In - Stores, Spares &amp; Consumable</t>
  </si>
  <si>
    <t xml:space="preserve"> Branch Transfer In - Trading</t>
  </si>
  <si>
    <t xml:space="preserve"> Purchase Raw Material - Direct Import</t>
  </si>
  <si>
    <t xml:space="preserve"> Purchase Interstate- Packing Material</t>
  </si>
  <si>
    <t xml:space="preserve"> Purchase Withinstate- Packing Material</t>
  </si>
  <si>
    <t xml:space="preserve"> Purchase In Transit</t>
  </si>
  <si>
    <t xml:space="preserve"> Purchase Interstate - Raw Material</t>
  </si>
  <si>
    <t xml:space="preserve"> Purchase Withinstate - Raw Material</t>
  </si>
  <si>
    <t xml:space="preserve"> Purchase - Import - Stores, Spares &amp; Consumable</t>
  </si>
  <si>
    <t xml:space="preserve"> Purchase - Urd - Stores, Spares &amp; Consumable</t>
  </si>
  <si>
    <t xml:space="preserve"> Purchase Interstate- Stores, Spares &amp; Consumable</t>
  </si>
  <si>
    <t xml:space="preserve"> Purchase Return - Stores, Spares &amp; Consumable</t>
  </si>
  <si>
    <t xml:space="preserve"> Purchase Withinstate- Stores, Spares &amp; Consumable</t>
  </si>
  <si>
    <t xml:space="preserve"> Purchase Interstate - Traded Goods</t>
  </si>
  <si>
    <t xml:space="preserve"> Purchase Withinstate - Traded Goods</t>
  </si>
  <si>
    <t xml:space="preserve"> Purchase-Import - Third Party</t>
  </si>
  <si>
    <t xml:space="preserve"> Purchase Raw Material - High Seas</t>
  </si>
  <si>
    <t xml:space="preserve"> Conveyance Expenses</t>
  </si>
  <si>
    <t xml:space="preserve"> Donation &amp; Charity A/C</t>
  </si>
  <si>
    <t xml:space="preserve"> Electrical Expense</t>
  </si>
  <si>
    <t xml:space="preserve"> Electricity Exp. (Office)</t>
  </si>
  <si>
    <t xml:space="preserve"> Garden Mainteance Exp</t>
  </si>
  <si>
    <t xml:space="preserve"> House Keeping Expense</t>
  </si>
  <si>
    <t xml:space="preserve"> Insurance Exp - Vehicles</t>
  </si>
  <si>
    <t xml:space="preserve"> Membership &amp; Subscription Fees</t>
  </si>
  <si>
    <t xml:space="preserve"> Miscellaneous Expense</t>
  </si>
  <si>
    <t xml:space="preserve"> Mobile &amp; Telephone Expense</t>
  </si>
  <si>
    <t xml:space="preserve"> Office Expenses</t>
  </si>
  <si>
    <t xml:space="preserve"> Petrol &amp; Diesel Expense - Car</t>
  </si>
  <si>
    <t xml:space="preserve"> Petrol &amp; Diesel Expense - Other Vehicles</t>
  </si>
  <si>
    <t xml:space="preserve"> Postage &amp; Courier Expense</t>
  </si>
  <si>
    <t xml:space="preserve"> Printing &amp; Stationery Expense</t>
  </si>
  <si>
    <t xml:space="preserve"> Rent Expense - Office</t>
  </si>
  <si>
    <t xml:space="preserve"> Round Off</t>
  </si>
  <si>
    <t xml:space="preserve"> Security Expenses</t>
  </si>
  <si>
    <t xml:space="preserve"> Travelling Expense</t>
  </si>
  <si>
    <t xml:space="preserve"> Travelling Expense - Director</t>
  </si>
  <si>
    <t xml:space="preserve"> Repairs &amp; Maintenance Exp - Building</t>
  </si>
  <si>
    <t xml:space="preserve"> Repairs &amp; Maintenance Exp - Computer &amp; Printers</t>
  </si>
  <si>
    <t xml:space="preserve"> Repairs &amp; Maintenance Exp - Electric</t>
  </si>
  <si>
    <t xml:space="preserve"> Repairs &amp; Maintenance Exp - Motor Cars</t>
  </si>
  <si>
    <t xml:space="preserve"> Repairs &amp; Maintenance Exp - Other Vehicles</t>
  </si>
  <si>
    <t xml:space="preserve"> Repairs &amp; Maintenance Exp - Others</t>
  </si>
  <si>
    <t xml:space="preserve"> Vehicle Hire Charges - RCM</t>
  </si>
  <si>
    <t xml:space="preserve"> Depreciation Expenses</t>
  </si>
  <si>
    <t xml:space="preserve"> P.F. Admin. Charge</t>
  </si>
  <si>
    <t xml:space="preserve"> P.F. Contribution - Employer</t>
  </si>
  <si>
    <t xml:space="preserve"> Allowance - Books &amp; Periodicals</t>
  </si>
  <si>
    <t xml:space="preserve"> Allowance - Canteen</t>
  </si>
  <si>
    <t xml:space="preserve"> Allowance - Children Education &amp; Hostel</t>
  </si>
  <si>
    <t xml:space="preserve"> Allowance - Conveyance</t>
  </si>
  <si>
    <t xml:space="preserve"> Allowance - Driver &amp; Assistant</t>
  </si>
  <si>
    <t xml:space="preserve"> Allowance - House Rent</t>
  </si>
  <si>
    <t xml:space="preserve"> Allowance - Medical</t>
  </si>
  <si>
    <t xml:space="preserve"> Allowance - Other</t>
  </si>
  <si>
    <t xml:space="preserve"> Allowance - Transport</t>
  </si>
  <si>
    <t xml:space="preserve"> Allowance - Uniform / Attire</t>
  </si>
  <si>
    <t xml:space="preserve"> Allowance - Washing</t>
  </si>
  <si>
    <t xml:space="preserve"> Att. Bonus (Salary Part)</t>
  </si>
  <si>
    <t xml:space="preserve"> Bonus Expense</t>
  </si>
  <si>
    <t xml:space="preserve"> Employers Contribution to ESI</t>
  </si>
  <si>
    <t xml:space="preserve"> Gratuity Expense</t>
  </si>
  <si>
    <t xml:space="preserve"> Incentive Expense - Attendence</t>
  </si>
  <si>
    <t xml:space="preserve"> Incentive Expense - HO</t>
  </si>
  <si>
    <t xml:space="preserve"> Incentive Expense - Production</t>
  </si>
  <si>
    <t xml:space="preserve"> Leave Encashment</t>
  </si>
  <si>
    <t xml:space="preserve"> Notice Pay Deduction</t>
  </si>
  <si>
    <t>Discount &amp; Rate Difference - Purchase</t>
  </si>
  <si>
    <t>Packing Forwading &amp; Cartage Expense</t>
  </si>
  <si>
    <t>Quantity Discount</t>
  </si>
  <si>
    <t>Round Off - Purchases</t>
  </si>
  <si>
    <t>Custom Duty &amp; Charges</t>
  </si>
  <si>
    <t>Freight Inward Expense (RCM)</t>
  </si>
  <si>
    <t>Freight Inward Expense (With GST)</t>
  </si>
  <si>
    <t>Freight Inward Expense (Without Gst)</t>
  </si>
  <si>
    <t>Consumables, Tools &amp; Spare Expense</t>
  </si>
  <si>
    <t>Electricity Exp (Staff Colony)</t>
  </si>
  <si>
    <t>Factory Expense</t>
  </si>
  <si>
    <t>Labour Charges</t>
  </si>
  <si>
    <t>Power Expense</t>
  </si>
  <si>
    <t>Rent Expense - Colony</t>
  </si>
  <si>
    <t>Rent Expense - Factory</t>
  </si>
  <si>
    <t>Rent Expense - Godown</t>
  </si>
  <si>
    <t>Rent Expenses - Machineries</t>
  </si>
  <si>
    <t>Exchange Rate Difference - Creditor</t>
  </si>
  <si>
    <t>Freight Expense - Job In</t>
  </si>
  <si>
    <t>Insurance Expenses - Plant</t>
  </si>
  <si>
    <t>Internal Transportation Expense / Reimbursement</t>
  </si>
  <si>
    <t>Job Charges</t>
  </si>
  <si>
    <t>Loading &amp; Unloading Expense</t>
  </si>
  <si>
    <t>Testing Charges</t>
  </si>
  <si>
    <t>Water Charges</t>
  </si>
  <si>
    <t>Weighment Expense</t>
  </si>
  <si>
    <t>Repairs &amp; Maintenance Exp - Plant &amp; Machinery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</si>
  <si>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</si>
  <si>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</si>
  <si>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</si>
  <si>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</si>
  <si>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Purchase Raw Material - Direct Import</t>
  </si>
  <si>
    <t>Purchase Interstate- Packing Material</t>
  </si>
  <si>
    <t>Purchase Withinstate- Packing Material</t>
  </si>
  <si>
    <t>Purchase In Transit</t>
  </si>
  <si>
    <t>Purchase Interstate - Raw Material</t>
  </si>
  <si>
    <t>Purchase Withinstate - Raw Material</t>
  </si>
  <si>
    <t>Purchase - Import - Stores, Spares &amp; Consumable</t>
  </si>
  <si>
    <t>Purchase - Urd - Stores, Spares &amp; Consumable</t>
  </si>
  <si>
    <t>Purchase Interstate- Stores, Spares &amp; Consumable</t>
  </si>
  <si>
    <t>Purchase Return - Stores, Spares &amp; Consumable</t>
  </si>
  <si>
    <t>Purchase Withinstate- Stores, Spares &amp; Consumable</t>
  </si>
  <si>
    <t>Purchase Interstate - Traded Goods</t>
  </si>
  <si>
    <t>Purchase Withinstate - Traded Goods</t>
  </si>
  <si>
    <t>Purchase-Import - Third Party</t>
  </si>
  <si>
    <t>Purchase Raw Material - High Seas</t>
  </si>
  <si>
    <t>Conveyance Expenses</t>
  </si>
  <si>
    <t>Donation &amp; Charity A/C</t>
  </si>
  <si>
    <t>Electrical Expense</t>
  </si>
  <si>
    <t>Electricity Exp. (Office)</t>
  </si>
  <si>
    <t>Garden Mainteance Exp</t>
  </si>
  <si>
    <t>House Keeping Expense</t>
  </si>
  <si>
    <t>Insurance Exp - Vehicles</t>
  </si>
  <si>
    <t>Membership &amp; Subscription Fees</t>
  </si>
  <si>
    <t>Miscellaneous Expense</t>
  </si>
  <si>
    <t>Mobile &amp; Telephone Expense</t>
  </si>
  <si>
    <t>Office Expenses</t>
  </si>
  <si>
    <t>Petrol &amp; Diesel Expense - Car</t>
  </si>
  <si>
    <t>Petrol &amp; Diesel Expense - Other Vehicles</t>
  </si>
  <si>
    <t>Postage &amp; Courier Expense</t>
  </si>
  <si>
    <t>Printing &amp; Stationery Expense</t>
  </si>
  <si>
    <t>Rent Expense - Office</t>
  </si>
  <si>
    <t>Round Off</t>
  </si>
  <si>
    <t>Security Expenses</t>
  </si>
  <si>
    <t>Travelling Expense</t>
  </si>
  <si>
    <t>Travelling Expense - Director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</si>
  <si>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</si>
  <si>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</si>
  <si>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</si>
  <si>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</si>
  <si>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</si>
  <si>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</si>
  <si>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Vehicle Hire Charges - RCM</t>
  </si>
  <si>
    <t>Depreciation Expenses</t>
  </si>
  <si>
    <t>P.F. Admin. Charge</t>
  </si>
  <si>
    <t>P.F. Contribution - Employer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</si>
  <si>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</si>
  <si>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</si>
  <si>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</si>
  <si>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</si>
  <si>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</si>
  <si>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</si>
  <si>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Medical</t>
  </si>
  <si>
    <t>Allowance - Other</t>
  </si>
  <si>
    <t>Allowance - Transport</t>
  </si>
  <si>
    <t>Allowance - Uniform / Attire</t>
  </si>
  <si>
    <t>Allowance - Washing</t>
  </si>
  <si>
    <t>Att. Bonus (Salary Part)</t>
  </si>
  <si>
    <t>Bonus Expense</t>
  </si>
  <si>
    <t>Employers Contribution to ESI</t>
  </si>
  <si>
    <t>Gratuity Expense</t>
  </si>
  <si>
    <t>Incentive Expense - Attendence</t>
  </si>
  <si>
    <t>Incentive Expense - HO</t>
  </si>
  <si>
    <t>Incentive Expense - Production</t>
  </si>
  <si>
    <t>Leave Encashment</t>
  </si>
  <si>
    <t>Notice Pay Deduction</t>
  </si>
  <si>
    <t>Other Deduction</t>
  </si>
  <si>
    <t>Salaries Expense</t>
  </si>
  <si>
    <t>Salary - Over Time</t>
  </si>
  <si>
    <t>Staff Welfare Expense</t>
  </si>
  <si>
    <t>Canteen Expense - Factory</t>
  </si>
  <si>
    <t>Canteen Expense - Office</t>
  </si>
  <si>
    <t>Meal Coupon Expense</t>
  </si>
  <si>
    <t>Medical Expense</t>
  </si>
  <si>
    <t>Bank Charges - Export Collection</t>
  </si>
  <si>
    <t>Bank Charges - Import</t>
  </si>
  <si>
    <t>Bank Charges - LC</t>
  </si>
  <si>
    <t>Bank Charges - Postage &amp; Swift</t>
  </si>
  <si>
    <t>Bank Charges- Others</t>
  </si>
  <si>
    <t>Exchange Rate Difference - Debtors</t>
  </si>
  <si>
    <t>Interest Expense - Term Loan</t>
  </si>
  <si>
    <t>Interest Expense - Vehicle Loan</t>
  </si>
  <si>
    <t>Factoring Charges</t>
  </si>
  <si>
    <t>Interest Expense - LC</t>
  </si>
  <si>
    <t>Interest Expense - EPC</t>
  </si>
  <si>
    <t>Interest Expense - Factoring</t>
  </si>
  <si>
    <t>Interest Expense - Working Capital</t>
  </si>
  <si>
    <t>Interest Expense - Other</t>
  </si>
  <si>
    <t>Audit Fees - Statutory Audit</t>
  </si>
  <si>
    <t>Fees &amp; Taxes</t>
  </si>
  <si>
    <t>GST Expenses</t>
  </si>
  <si>
    <t>Property Tax</t>
  </si>
  <si>
    <t>Insurance Expenses - Other</t>
  </si>
  <si>
    <t>Advocate Fees Expense</t>
  </si>
  <si>
    <t>Legal Expense</t>
  </si>
  <si>
    <t>Professional &amp; Consultancy Fees</t>
  </si>
  <si>
    <t>Balance Written Off Expense</t>
  </si>
  <si>
    <t>Brokerage &amp; Commission Expense</t>
  </si>
  <si>
    <t>C &amp; F Charges - Export</t>
  </si>
  <si>
    <t>Discount &amp; Rate Difference - Sales</t>
  </si>
  <si>
    <t>Freight Outward Expense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</si>
  <si>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</si>
  <si>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</si>
  <si>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</si>
  <si>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</si>
  <si>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Fumigation Charges</t>
  </si>
  <si>
    <t>Insurance Expense - Ecgc - Pc</t>
  </si>
  <si>
    <t>Insurance Expenses - Marine</t>
  </si>
  <si>
    <t>Round Off - Sales</t>
  </si>
  <si>
    <t>Sales Promotion Expense</t>
  </si>
  <si>
    <t>Travelling Expense - Foreign</t>
  </si>
  <si>
    <t>Sales - Kasez - Mfg - U/B</t>
  </si>
  <si>
    <t>Sales - Interstate - Manufactured Goods</t>
  </si>
  <si>
    <t>Sales - Within State Manufactured Goods</t>
  </si>
  <si>
    <t>Sales Return - Within State</t>
  </si>
  <si>
    <t>Sales - Direct Export - Mfg - U/B</t>
  </si>
  <si>
    <t>Job Work Income</t>
  </si>
  <si>
    <t>Rent Income</t>
  </si>
  <si>
    <t>Branch Transfer Out - Raw Material</t>
  </si>
  <si>
    <t>Branch Transfer Out - Stores, Spares &amp; Consumable</t>
  </si>
  <si>
    <t>Branch Transfer Out - Trading</t>
  </si>
  <si>
    <t>Sales - High Seas</t>
  </si>
  <si>
    <t>Sales - Kasez - Trading - U/B</t>
  </si>
  <si>
    <t>Sales - Export - Trading</t>
  </si>
  <si>
    <t>Sales - Export - Third Party</t>
  </si>
  <si>
    <t>Sales - Interstate - Traded Goods</t>
  </si>
  <si>
    <t>Sales - Within State - Traded Goods</t>
  </si>
  <si>
    <t>Sales - Waste &amp; Scrape</t>
  </si>
  <si>
    <t>Commission Income</t>
  </si>
  <si>
    <t>Income From Wind Mill</t>
  </si>
  <si>
    <t>Miscellaneous Income</t>
  </si>
  <si>
    <t>Price Protection Discount-Income</t>
  </si>
  <si>
    <t>Profit Or Loss On Sale Of Fixed Assets</t>
  </si>
  <si>
    <t>Interest Received From Other</t>
  </si>
  <si>
    <t>Balance Written Back Income</t>
  </si>
  <si>
    <t>Add: Purchase of Stores, Spares &amp; Consumables</t>
  </si>
  <si>
    <t>Other Manufacturing Expenses</t>
  </si>
  <si>
    <t>Add: Purchase expenses</t>
  </si>
  <si>
    <t>Add: Purchase of traded goods</t>
  </si>
  <si>
    <t>Add: Purchase of raw materials</t>
  </si>
  <si>
    <t>Contribution to provident and other funds</t>
  </si>
  <si>
    <t>Staff welfare expenses</t>
  </si>
  <si>
    <t>Freight Outward and C &amp; F Charges</t>
  </si>
  <si>
    <t>Sale of finished goods</t>
  </si>
  <si>
    <t>Sale of traded goods</t>
  </si>
  <si>
    <t>Other Administrative Expenses</t>
  </si>
  <si>
    <t>Profit on sale of fixed assets</t>
  </si>
  <si>
    <t>- from others</t>
  </si>
  <si>
    <t>Labour charges</t>
  </si>
  <si>
    <t>Power and fuel</t>
  </si>
  <si>
    <t>Exchange Rate Difference</t>
  </si>
  <si>
    <t>Insurance</t>
  </si>
  <si>
    <t xml:space="preserve">Jobwork charges </t>
  </si>
  <si>
    <t>Add: Purchase of packing materials</t>
  </si>
  <si>
    <t>Conveyance, vehicle running and traveling expenses</t>
  </si>
  <si>
    <t xml:space="preserve">Salaries, wages and  bonus </t>
  </si>
  <si>
    <t>Miscellaneous income</t>
  </si>
  <si>
    <t>Travelling expense</t>
  </si>
  <si>
    <t>Gratuity Expenses</t>
  </si>
  <si>
    <t>Sundry balance written off</t>
  </si>
  <si>
    <t>Brokerage &amp; commission</t>
  </si>
  <si>
    <t>Sale of Finished Goods</t>
  </si>
  <si>
    <t>Advertising and sales promotion expense</t>
  </si>
  <si>
    <t>Income from Jobwork charges</t>
  </si>
  <si>
    <t>Sale of Traded Goods</t>
  </si>
  <si>
    <t>Wind mill income</t>
  </si>
  <si>
    <t>HCP</t>
  </si>
  <si>
    <t>ledger</t>
  </si>
  <si>
    <t>Particulars</t>
  </si>
  <si>
    <t>Revenue from operations</t>
  </si>
  <si>
    <t>Total Revenue from operations</t>
  </si>
  <si>
    <t>Sale of services</t>
  </si>
  <si>
    <t>Total Sales of services</t>
  </si>
  <si>
    <t>Other operating revenue</t>
  </si>
  <si>
    <t>Export incentives</t>
  </si>
  <si>
    <t>Commission income</t>
  </si>
  <si>
    <t>Cost of materials consumed</t>
  </si>
  <si>
    <t>Scrap sales</t>
  </si>
  <si>
    <t>Total Other operating revenue</t>
  </si>
  <si>
    <t>Opening Stock of Raw material</t>
  </si>
  <si>
    <t>Other income</t>
  </si>
  <si>
    <t>Opening Stock of Packing material</t>
  </si>
  <si>
    <t>Interest income:</t>
  </si>
  <si>
    <t>- on fixed deposits with Banks</t>
  </si>
  <si>
    <t>Profit on sale of investments</t>
  </si>
  <si>
    <t>Closing Stock of Raw material</t>
  </si>
  <si>
    <t>Closing Stock of Packing material</t>
  </si>
  <si>
    <t>Total Cost of material consumed</t>
  </si>
  <si>
    <t>Total Other income</t>
  </si>
  <si>
    <t>Purchase of stock-in-trade</t>
  </si>
  <si>
    <t>Total Turnover</t>
  </si>
  <si>
    <t>Opening Stock in trade</t>
  </si>
  <si>
    <t>Changes in inventory of finished goods and work-in-progress</t>
  </si>
  <si>
    <t>Stores, Spares &amp; Consumables</t>
  </si>
  <si>
    <t>Add: Purchase expenses'</t>
  </si>
  <si>
    <t xml:space="preserve">Total Cost of goods </t>
  </si>
  <si>
    <t>Employee benefit expenses</t>
  </si>
  <si>
    <t>Less:Inventory at the end of the year</t>
  </si>
  <si>
    <t>Closing Stock in trade</t>
  </si>
  <si>
    <t>Total Cost of stock-in-trade</t>
  </si>
  <si>
    <t>Total Employee benefit expenses</t>
  </si>
  <si>
    <t>Manufacturing Expenses</t>
  </si>
  <si>
    <t>Opening Work-in-progress</t>
  </si>
  <si>
    <t>Opening Stock of Finished goods</t>
  </si>
  <si>
    <t>Total Manufacturing Expenses</t>
  </si>
  <si>
    <t>Closing Work-in-progress</t>
  </si>
  <si>
    <t>Selling and Distribution Expenses</t>
  </si>
  <si>
    <t>Closing Stock of Finished goods</t>
  </si>
  <si>
    <t>Net change in inventory</t>
  </si>
  <si>
    <t>Opening Stock of Consumables</t>
  </si>
  <si>
    <t>Total Selling and Distribution Expenses</t>
  </si>
  <si>
    <t>Administrative Expenses</t>
  </si>
  <si>
    <t>Closing Stock of Consumables</t>
  </si>
  <si>
    <t>Common Expenses</t>
  </si>
  <si>
    <t>Total Administrative Expenses</t>
  </si>
  <si>
    <t>Total Cost of goods sold</t>
  </si>
  <si>
    <t>EBDITA</t>
  </si>
  <si>
    <t>% To Sales</t>
  </si>
  <si>
    <t>YTD</t>
  </si>
  <si>
    <t>% Tw Sales</t>
  </si>
  <si>
    <t>InterUnit Elimination</t>
  </si>
  <si>
    <t>Inter Unit Elimination</t>
  </si>
  <si>
    <t>Inter Company Elimination During the month</t>
  </si>
  <si>
    <t>Inter Company Elimination YTD</t>
  </si>
  <si>
    <t>PIL I</t>
  </si>
  <si>
    <t>PIL II</t>
  </si>
  <si>
    <t>PIL III</t>
  </si>
  <si>
    <t>PIL VI</t>
  </si>
  <si>
    <t>PIL HO</t>
  </si>
  <si>
    <t>PIL &amp; HCP Consol</t>
  </si>
  <si>
    <t>OSWAL - KASEZ</t>
  </si>
  <si>
    <t>PLASTENE POLYFILM LTD.</t>
  </si>
  <si>
    <t>K P WOVEN PVT LTD - UNIT - I</t>
  </si>
  <si>
    <t>K P WOVEN PVT LTD - UNIT -III</t>
  </si>
  <si>
    <t>K P WOVEN PVT LTD - CONSOLIDATED</t>
  </si>
  <si>
    <t>HCP PLASTENE BULKPACK LTD. - UNIT - I</t>
  </si>
  <si>
    <t>HCP PLASTENE BULKPACK LTD. - UNIT - II</t>
  </si>
  <si>
    <t>HCP PLASTENE BULKPACK LTD. - UNIT - III</t>
  </si>
  <si>
    <t>HCP PLASTENE BULKPACK LTD - CONSOLIDATED</t>
  </si>
  <si>
    <t>GROUP CONSOLIDATED</t>
  </si>
  <si>
    <t>Cost of Goods</t>
  </si>
  <si>
    <t>HO Expenses</t>
  </si>
  <si>
    <t>Depreciation</t>
  </si>
  <si>
    <t>Bank Charges &amp; Commission</t>
  </si>
  <si>
    <t>Interest on Term Loan</t>
  </si>
  <si>
    <t>PBT</t>
  </si>
  <si>
    <t>Cash PBT</t>
  </si>
  <si>
    <t>Provisions</t>
  </si>
  <si>
    <t>PPL</t>
  </si>
  <si>
    <t>consumption of store spares &amp; consumables</t>
  </si>
  <si>
    <t>C &amp; F  Charges - Export</t>
  </si>
  <si>
    <t>Exported on 12/05/2023</t>
  </si>
  <si>
    <t>EBIDTA - Summary</t>
  </si>
  <si>
    <t>Plant</t>
  </si>
  <si>
    <t>EBIDTA</t>
  </si>
  <si>
    <t xml:space="preserve">PIL I </t>
  </si>
  <si>
    <t>OEL I</t>
  </si>
  <si>
    <t>KP I</t>
  </si>
  <si>
    <t>KP III</t>
  </si>
  <si>
    <t>HPBL I</t>
  </si>
  <si>
    <t>HPBL II</t>
  </si>
  <si>
    <t>HPBL III</t>
  </si>
  <si>
    <t>Total Group</t>
  </si>
  <si>
    <t>%</t>
  </si>
  <si>
    <t>As per Group TB</t>
  </si>
  <si>
    <t>Vehicle Hire Charges - With Gst</t>
  </si>
  <si>
    <t>Employers Contribution to PF</t>
  </si>
  <si>
    <t>Xerox Expense</t>
  </si>
  <si>
    <t>Check/provisions</t>
  </si>
  <si>
    <t>Interest Received From Customers</t>
  </si>
  <si>
    <t>GST Credit-Non Eligible</t>
  </si>
  <si>
    <t>C &amp; F Charges - Import</t>
  </si>
  <si>
    <t>Advance Licence Fee Expense</t>
  </si>
  <si>
    <t>Pollution Control Expense</t>
  </si>
  <si>
    <t>Purchase Return - Inter State - Raw Material</t>
  </si>
  <si>
    <t>Purchase Return - Within State - Raw Material</t>
  </si>
  <si>
    <t>Freight Detention Charges</t>
  </si>
  <si>
    <t>Late Payment Charges</t>
  </si>
  <si>
    <t>Penalty (Legal) - Expense</t>
  </si>
  <si>
    <t>Staff Training Exp</t>
  </si>
  <si>
    <t>Allowance - Leave Travels</t>
  </si>
  <si>
    <t>Allowance - Special</t>
  </si>
  <si>
    <t>Salary - Arrears</t>
  </si>
  <si>
    <t>Bank Charges - Processing Fees</t>
  </si>
  <si>
    <t>Exchange Rate Difference - Finance</t>
  </si>
  <si>
    <t>Demat Charges</t>
  </si>
  <si>
    <t>Interest On TDS</t>
  </si>
  <si>
    <t>Professional Tax - Company</t>
  </si>
  <si>
    <t>Stamp Duty Expense</t>
  </si>
  <si>
    <t>Director Sitting Fees</t>
  </si>
  <si>
    <t>Prior Period Adjustements</t>
  </si>
  <si>
    <t>C &amp; F Charges - Detention Outward</t>
  </si>
  <si>
    <t>Discount -Early Payment - Sales</t>
  </si>
  <si>
    <t>Advertisement Expense</t>
  </si>
  <si>
    <t>Exhibition / Trade Fair Exp.</t>
  </si>
  <si>
    <t>Duty Drawback Incentive A/c</t>
  </si>
  <si>
    <t>Branch Transfer Out - Packing Material</t>
  </si>
  <si>
    <t>Commission Income - EPI</t>
  </si>
  <si>
    <t xml:space="preserve">GROUP EBIDTA &amp; PBT FOR THE MONTH OF </t>
  </si>
  <si>
    <t>PIL-1</t>
  </si>
  <si>
    <t>PIL-2</t>
  </si>
  <si>
    <t>KPW-1</t>
  </si>
  <si>
    <t>KPW-2</t>
  </si>
  <si>
    <t>KPW-3</t>
  </si>
  <si>
    <t>HPBL-1</t>
  </si>
  <si>
    <t>HPBL-2</t>
  </si>
  <si>
    <t>HPBL-3</t>
  </si>
  <si>
    <t>OEL-1</t>
  </si>
  <si>
    <t>FG</t>
  </si>
  <si>
    <t>WIP</t>
  </si>
  <si>
    <t>Stores &amp; Consumables</t>
  </si>
  <si>
    <t>op</t>
  </si>
  <si>
    <t>Unit</t>
  </si>
  <si>
    <t>Raw Materials</t>
  </si>
  <si>
    <t>Packing Materials</t>
  </si>
  <si>
    <t>Sub Group</t>
  </si>
  <si>
    <t>Common Expense</t>
  </si>
  <si>
    <t>Prod Target</t>
  </si>
  <si>
    <t>OEL</t>
  </si>
  <si>
    <t>KPW</t>
  </si>
  <si>
    <t>Total</t>
  </si>
  <si>
    <t>OEL 1</t>
  </si>
  <si>
    <t>Ho Expense</t>
  </si>
  <si>
    <t>PIL HO Exps Allocation</t>
  </si>
  <si>
    <t>JBP</t>
  </si>
  <si>
    <t>Total Stock</t>
  </si>
  <si>
    <t>pnl</t>
  </si>
  <si>
    <t>prov</t>
  </si>
  <si>
    <t>stock</t>
  </si>
  <si>
    <t>Staff Recruitment Expenses</t>
  </si>
  <si>
    <t>Allowance - Vehicle Maintenance</t>
  </si>
  <si>
    <t>Bank Guarantee Commission</t>
  </si>
  <si>
    <t>Mark To Mark Loss/Gain Towards Investment</t>
  </si>
  <si>
    <t>Price Protection Expense</t>
  </si>
  <si>
    <t>Sales Incentive</t>
  </si>
  <si>
    <t>Interest on FDR</t>
  </si>
  <si>
    <t>Row Labels</t>
  </si>
  <si>
    <t>Grand Total</t>
  </si>
  <si>
    <t>(In lacs)</t>
  </si>
  <si>
    <t>Opening Stock</t>
  </si>
  <si>
    <t>Closing Stock</t>
  </si>
  <si>
    <t>PARTICULARS</t>
  </si>
  <si>
    <t>BUDGETED / PLANNED</t>
  </si>
  <si>
    <t>PRODUCTION</t>
  </si>
  <si>
    <t>FIBC</t>
  </si>
  <si>
    <t>Fabric (Liner Mtr)</t>
  </si>
  <si>
    <t>DISPATCH</t>
  </si>
  <si>
    <t>Fabric</t>
  </si>
  <si>
    <t>PURCHASE</t>
  </si>
  <si>
    <t>PP Granules</t>
  </si>
  <si>
    <t>Freight Outward Expense  - Export</t>
  </si>
  <si>
    <t>Inventory Data</t>
  </si>
  <si>
    <t>Purchase Trading - High Seas</t>
  </si>
  <si>
    <t>PIL Interunit sale</t>
  </si>
  <si>
    <t>inter company sale</t>
  </si>
  <si>
    <t>Sum of Amount</t>
  </si>
  <si>
    <t>Column Labels</t>
  </si>
  <si>
    <t>04-23</t>
  </si>
  <si>
    <t>05-23</t>
  </si>
  <si>
    <t>06-23</t>
  </si>
  <si>
    <t>Traded</t>
  </si>
  <si>
    <t>HPBL Interunit sale</t>
  </si>
  <si>
    <t>Sales - Within State  Manufactured Goods</t>
  </si>
  <si>
    <t>Sales Return - Within  State</t>
  </si>
  <si>
    <t>check</t>
  </si>
  <si>
    <t>Interest on Working Capital &amp; Term Loan</t>
  </si>
  <si>
    <t>Progressive</t>
  </si>
  <si>
    <t>intercompany jobwork upto june-23</t>
  </si>
  <si>
    <t>OEL-1 job provision</t>
  </si>
  <si>
    <t>job provi reversed</t>
  </si>
  <si>
    <t>Equipment Certification Charges</t>
  </si>
  <si>
    <t>Discount &amp; Rebate On Sale</t>
  </si>
  <si>
    <t>Amortisation Of Intangible Assets</t>
  </si>
  <si>
    <t>Labour Welfare Fund Exp</t>
  </si>
  <si>
    <t>Bank Charges - Export</t>
  </si>
  <si>
    <t>Audit Fees</t>
  </si>
  <si>
    <t>Advance License Income</t>
  </si>
  <si>
    <t>Interest Received From Bank</t>
  </si>
  <si>
    <t xml:space="preserve">OEL Exps Allocation </t>
  </si>
  <si>
    <t>QTY</t>
  </si>
  <si>
    <t>SALES/PUR QTY</t>
  </si>
  <si>
    <t>SALE/PUR RATE</t>
  </si>
  <si>
    <t>Conversion Cost per KG</t>
  </si>
  <si>
    <t>SALE IN LACS</t>
  </si>
  <si>
    <t>Custom Duty - Non Cenvatable Part</t>
  </si>
  <si>
    <t>Equipment Hire Charges</t>
  </si>
  <si>
    <t>Corporate social responsibility</t>
  </si>
  <si>
    <t>Sales - Kasez - Mfg - U/R</t>
  </si>
  <si>
    <t>Sales Return - Inter State</t>
  </si>
  <si>
    <t>Discount -Early Payment - Purchase</t>
  </si>
  <si>
    <t>Insurance Claim Income</t>
  </si>
  <si>
    <t>Sales - Export  - Trading</t>
  </si>
  <si>
    <t>Income Tax Expenses</t>
  </si>
  <si>
    <t>Bad Debts</t>
  </si>
  <si>
    <t>Sales Rev. CIF/CFR Sales</t>
  </si>
  <si>
    <t>NA</t>
  </si>
  <si>
    <t>Exchange Rate Difference - Capital Creditor</t>
  </si>
  <si>
    <t>Interest Expense - Unsecured Loan</t>
  </si>
  <si>
    <t>Sales - Direct Export - Mfg - U/R</t>
  </si>
  <si>
    <t>Freight Expense - Job Out</t>
  </si>
  <si>
    <t>Interest Expense - Late Payment</t>
  </si>
  <si>
    <t>Ground Rent Charges</t>
  </si>
  <si>
    <t>Quality Claim</t>
  </si>
  <si>
    <t>Employees Benefit Expense (Esop)</t>
  </si>
  <si>
    <t>Bank Charges - Inspection</t>
  </si>
  <si>
    <t>Bank Charges - Bill Discounting</t>
  </si>
  <si>
    <t>DFIA License Sales A/C</t>
  </si>
  <si>
    <t>Profit Or Loss On Sale Of Investments</t>
  </si>
  <si>
    <t>Quarterely MOU Discount</t>
  </si>
  <si>
    <t>KPW II</t>
  </si>
  <si>
    <t>Jan</t>
  </si>
  <si>
    <t>Feb</t>
  </si>
  <si>
    <t>Avg</t>
  </si>
  <si>
    <t>Website Maintence Expense</t>
  </si>
  <si>
    <t>Sales Return - Export - Mfg - U/B</t>
  </si>
  <si>
    <t>Sales - Kasez - Trading - U/R</t>
  </si>
  <si>
    <t>Valuation Fees</t>
  </si>
  <si>
    <t>Interest On Income Tax</t>
  </si>
  <si>
    <t>Audit Expense</t>
  </si>
  <si>
    <t>Tender Fee</t>
  </si>
  <si>
    <t>Discount On Schemes</t>
  </si>
  <si>
    <t>MEIS Sales A/c</t>
  </si>
  <si>
    <t>Fuel Expense - Generator &amp; Handling Equip</t>
  </si>
  <si>
    <t>Rent Expense Colony With Gst</t>
  </si>
  <si>
    <t>Gift &amp; Article Exp.</t>
  </si>
  <si>
    <t>Export related Certification Charges</t>
  </si>
  <si>
    <t>Discount On Non-Convertible Debenture</t>
  </si>
  <si>
    <t>Dividend Income</t>
  </si>
  <si>
    <t>Interest Expense - PCFC</t>
  </si>
  <si>
    <t>DFIA Expense</t>
  </si>
  <si>
    <t>Other Comprehensive Income</t>
  </si>
  <si>
    <t>Increase/Decrease In Stock</t>
  </si>
  <si>
    <t>Sales - Merchant Export</t>
  </si>
  <si>
    <t>HCP Plastene Bulkpack Ltd (Unit - IV)</t>
  </si>
  <si>
    <t>Jan'2026</t>
  </si>
  <si>
    <t>Feb'2026</t>
  </si>
  <si>
    <t>Mar'2026</t>
  </si>
  <si>
    <t>May'2025</t>
  </si>
  <si>
    <t>Jun'2025</t>
  </si>
  <si>
    <t>Jul'2025</t>
  </si>
  <si>
    <t>Aug'2025</t>
  </si>
  <si>
    <t>Sep'2025</t>
  </si>
  <si>
    <t>Oct'2025</t>
  </si>
  <si>
    <t>Nov'2025</t>
  </si>
  <si>
    <t>Dec'2025</t>
  </si>
  <si>
    <t>April'2026</t>
  </si>
  <si>
    <t>C &amp; F Charges- Detention Inward</t>
  </si>
  <si>
    <t>C &amp; F  Charges- Detention  Inward</t>
  </si>
  <si>
    <t>Interest Expense - Export Bill Disconting</t>
  </si>
  <si>
    <t>Fuel Expense - Generator &amp; Handling Equip.</t>
  </si>
  <si>
    <t>stipend expenses</t>
  </si>
  <si>
    <t>Exchange Rate Difference - Pcfc</t>
  </si>
  <si>
    <t>Interest On GST</t>
  </si>
  <si>
    <t>Interest Subsidy-DIC Scheme</t>
  </si>
  <si>
    <t>AAAAAAAAAAAA</t>
  </si>
  <si>
    <t>HCP Plastene Bulkpack ltd (Vadodara)</t>
  </si>
  <si>
    <t>OSWAL COMMODITIES PRIVATE LIMITED</t>
  </si>
  <si>
    <t>Bank Charges - Export LC Advising</t>
  </si>
  <si>
    <t>Internal Audit &amp; Verification</t>
  </si>
  <si>
    <t>Freight Outward Expense (Without Gst)</t>
  </si>
  <si>
    <t>Apr-26</t>
  </si>
  <si>
    <t>Stock sheet for all units from Apr-26 to Mar-27</t>
  </si>
  <si>
    <t>HPBL4</t>
  </si>
  <si>
    <t>OCPL</t>
  </si>
  <si>
    <t>HPBL VAD</t>
  </si>
  <si>
    <t>upto apr-26</t>
  </si>
  <si>
    <t>upto may-26</t>
  </si>
  <si>
    <t>upto june-26</t>
  </si>
  <si>
    <t>upto jul-26</t>
  </si>
  <si>
    <t>upto Aug-26</t>
  </si>
  <si>
    <t>upto sep-26</t>
  </si>
  <si>
    <t>Upto Oct-26</t>
  </si>
  <si>
    <t>Upto Nov-26</t>
  </si>
  <si>
    <t>Upto Dec-26</t>
  </si>
  <si>
    <t>Upto Jan-27</t>
  </si>
  <si>
    <t>Upto Feb-27</t>
  </si>
  <si>
    <t>Upto Mar-27</t>
  </si>
  <si>
    <t>Fire Safty system Expense</t>
  </si>
  <si>
    <t>May-26</t>
  </si>
  <si>
    <t>it is hpbl vadodra</t>
  </si>
  <si>
    <t>Legal &amp; Professional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</si>
</sst>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 * #,##0_ ;_ * \-#,##0_ ;_ * &quot;-&quot;??_ ;_ @_ "/>
    <numFmt numFmtId="167" formatCode="#,##0_ ;\-#,##0\ "/>
    <numFmt numFmtId="168" formatCode="_(* #,##0_);_(* \(#,##0\);_(* &quot;-&quot;??_);_(@_)"/>
    <numFmt numFmtId="169" formatCode="_-* #,##0_-;\-* #,##0_-;_-* &quot;-&quot;??_-;_-@_-"/>
  </numFmts>
  <fonts count="68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8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masis MT Pro Black"/>
      <family val="1"/>
    </font>
    <font>
      <sz val="13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u/>
      <sz val="10"/>
      <color theme="7" tint="-0.249977111117893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sz val="1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Bookman Old Style"/>
      <family val="1"/>
    </font>
    <font>
      <b/>
      <sz val="13"/>
      <name val="Bookman Old Style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586">
    <xf numFmtId="0" fontId="0" fillId="0" borderId="0" xfId="0"/>
    <xf numFmtId="0" fontId="0" fillId="2" borderId="0" xfId="0" applyFill="1"/>
    <xf numFmtId="4" fontId="0" fillId="2" borderId="0" xfId="0" applyNumberFormat="1" applyFill="1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 indent="2"/>
    </xf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>
      <alignment horizontal="left" indent="3"/>
    </xf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left" indent="4"/>
    </xf>
    <xf numFmtId="0" fontId="4" fillId="2" borderId="0" xfId="0" applyFont="1" applyFill="1"/>
    <xf numFmtId="0" fontId="5" fillId="0" borderId="0" xfId="0" applyFont="1"/>
    <xf numFmtId="4" fontId="5" fillId="0" borderId="0" xfId="0" applyNumberFormat="1" applyFont="1"/>
    <xf numFmtId="0" fontId="8" fillId="3" borderId="1" xfId="0" applyFont="1" applyFill="1" applyBorder="1"/>
    <xf numFmtId="0" fontId="8" fillId="3" borderId="2" xfId="0" applyFont="1" applyFill="1" applyBorder="1"/>
    <xf numFmtId="166" fontId="6" fillId="0" borderId="0" xfId="4" applyNumberFormat="1" applyFont="1" applyFill="1"/>
    <xf numFmtId="43" fontId="6" fillId="0" borderId="0" xfId="4" applyFont="1" applyFill="1"/>
    <xf numFmtId="167" fontId="6" fillId="0" borderId="0" xfId="4" applyNumberFormat="1" applyFont="1" applyFill="1"/>
    <xf numFmtId="166" fontId="6" fillId="0" borderId="0" xfId="4" applyNumberFormat="1" applyFont="1" applyFill="1" applyAlignment="1">
      <alignment horizontal="right"/>
    </xf>
    <xf numFmtId="166" fontId="6" fillId="0" borderId="0" xfId="4" applyNumberFormat="1" applyFont="1" applyFill="1" applyBorder="1"/>
    <xf numFmtId="166" fontId="10" fillId="0" borderId="19" xfId="4" applyNumberFormat="1" applyFont="1" applyFill="1" applyBorder="1"/>
    <xf numFmtId="166" fontId="11" fillId="0" borderId="0" xfId="4" applyNumberFormat="1" applyFont="1" applyFill="1"/>
    <xf numFmtId="166" fontId="12" fillId="0" borderId="19" xfId="4" applyNumberFormat="1" applyFont="1" applyFill="1" applyBorder="1"/>
    <xf numFmtId="166" fontId="6" fillId="0" borderId="0" xfId="4" applyNumberFormat="1" applyFont="1"/>
    <xf numFmtId="166" fontId="7" fillId="0" borderId="0" xfId="4" applyNumberFormat="1" applyFont="1" applyFill="1"/>
    <xf numFmtId="10" fontId="6" fillId="0" borderId="0" xfId="2" applyNumberFormat="1" applyFont="1" applyFill="1"/>
    <xf numFmtId="167" fontId="6" fillId="0" borderId="0" xfId="4" applyNumberFormat="1" applyFont="1" applyFill="1" applyBorder="1"/>
    <xf numFmtId="1" fontId="6" fillId="0" borderId="0" xfId="4" applyNumberFormat="1" applyFont="1" applyFill="1"/>
    <xf numFmtId="166" fontId="6" fillId="0" borderId="0" xfId="2" applyNumberFormat="1" applyFont="1" applyFill="1"/>
    <xf numFmtId="167" fontId="7" fillId="0" borderId="0" xfId="4" applyNumberFormat="1" applyFont="1" applyFill="1"/>
    <xf numFmtId="166" fontId="13" fillId="0" borderId="0" xfId="4" applyNumberFormat="1" applyFont="1" applyFill="1"/>
    <xf numFmtId="166" fontId="6" fillId="0" borderId="0" xfId="4" applyNumberFormat="1" applyFont="1" applyFill="1" applyBorder="1" applyAlignment="1">
      <alignment horizontal="right"/>
    </xf>
    <xf numFmtId="1" fontId="6" fillId="0" borderId="0" xfId="4" applyNumberFormat="1" applyFont="1" applyFill="1" applyBorder="1"/>
    <xf numFmtId="43" fontId="14" fillId="0" borderId="0" xfId="4" applyFont="1" applyFill="1" applyAlignment="1">
      <alignment vertical="center"/>
    </xf>
    <xf numFmtId="166" fontId="9" fillId="0" borderId="0" xfId="4" applyNumberFormat="1" applyFont="1" applyFill="1" applyBorder="1" applyAlignment="1">
      <alignment horizontal="left"/>
    </xf>
    <xf numFmtId="169" fontId="0" fillId="0" borderId="0" xfId="1" applyNumberFormat="1" applyFont="1"/>
    <xf numFmtId="0" fontId="7" fillId="0" borderId="0" xfId="0" applyFont="1"/>
    <xf numFmtId="1" fontId="16" fillId="0" borderId="0" xfId="4" applyNumberFormat="1" applyFont="1" applyFill="1"/>
    <xf numFmtId="166" fontId="16" fillId="0" borderId="0" xfId="4" applyNumberFormat="1" applyFont="1" applyFill="1"/>
    <xf numFmtId="0" fontId="17" fillId="0" borderId="0" xfId="0" applyFont="1"/>
    <xf numFmtId="4" fontId="7" fillId="0" borderId="0" xfId="0" applyNumberFormat="1" applyFont="1"/>
    <xf numFmtId="166" fontId="7" fillId="0" borderId="0" xfId="4" applyNumberFormat="1" applyFont="1"/>
    <xf numFmtId="0" fontId="0" fillId="0" borderId="0" xfId="0" applyAlignment="1">
      <alignment horizontal="left"/>
    </xf>
    <xf numFmtId="0" fontId="7" fillId="7" borderId="0" xfId="0" applyFont="1" applyFill="1"/>
    <xf numFmtId="0" fontId="0" fillId="7" borderId="0" xfId="0" applyFill="1"/>
    <xf numFmtId="169" fontId="0" fillId="7" borderId="0" xfId="1" applyNumberFormat="1" applyFont="1" applyFill="1"/>
    <xf numFmtId="166" fontId="7" fillId="0" borderId="26" xfId="4" applyNumberFormat="1" applyFont="1" applyFill="1" applyBorder="1" applyAlignment="1">
      <alignment horizontal="center" vertical="center"/>
    </xf>
    <xf numFmtId="169" fontId="0" fillId="6" borderId="0" xfId="1" applyNumberFormat="1" applyFont="1" applyFill="1"/>
    <xf numFmtId="0" fontId="5" fillId="0" borderId="0" xfId="0" applyFont="1" applyAlignment="1">
      <alignment horizontal="left"/>
    </xf>
    <xf numFmtId="165" fontId="0" fillId="0" borderId="0" xfId="1" applyFont="1"/>
    <xf numFmtId="166" fontId="6" fillId="0" borderId="0" xfId="2" applyNumberFormat="1" applyFont="1" applyFill="1" applyBorder="1"/>
    <xf numFmtId="0" fontId="28" fillId="2" borderId="0" xfId="0" applyFont="1" applyFill="1" applyAlignment="1">
      <alignment wrapText="1"/>
    </xf>
    <xf numFmtId="165" fontId="28" fillId="2" borderId="0" xfId="1" applyFont="1" applyFill="1" applyAlignment="1">
      <alignment wrapText="1"/>
    </xf>
    <xf numFmtId="0" fontId="29" fillId="0" borderId="0" xfId="0" applyFont="1"/>
    <xf numFmtId="0" fontId="0" fillId="0" borderId="3" xfId="0" applyBorder="1"/>
    <xf numFmtId="0" fontId="7" fillId="0" borderId="3" xfId="0" applyFont="1" applyBorder="1"/>
    <xf numFmtId="169" fontId="0" fillId="0" borderId="0" xfId="0" applyNumberFormat="1"/>
    <xf numFmtId="165" fontId="6" fillId="0" borderId="3" xfId="1" applyFont="1" applyFill="1" applyBorder="1"/>
    <xf numFmtId="165" fontId="6" fillId="0" borderId="0" xfId="1" applyFont="1" applyFill="1"/>
    <xf numFmtId="165" fontId="7" fillId="0" borderId="0" xfId="1" applyFont="1" applyFill="1"/>
    <xf numFmtId="165" fontId="16" fillId="0" borderId="0" xfId="1" applyFont="1" applyFill="1"/>
    <xf numFmtId="0" fontId="5" fillId="7" borderId="0" xfId="0" applyFont="1" applyFill="1" applyAlignment="1">
      <alignment horizontal="left"/>
    </xf>
    <xf numFmtId="165" fontId="0" fillId="7" borderId="0" xfId="1" applyFont="1" applyFill="1"/>
    <xf numFmtId="0" fontId="17" fillId="7" borderId="0" xfId="0" applyFont="1" applyFill="1"/>
    <xf numFmtId="0" fontId="22" fillId="7" borderId="3" xfId="0" applyFont="1" applyFill="1" applyBorder="1"/>
    <xf numFmtId="0" fontId="23" fillId="7" borderId="0" xfId="0" applyFont="1" applyFill="1"/>
    <xf numFmtId="0" fontId="32" fillId="0" borderId="0" xfId="0" applyFont="1"/>
    <xf numFmtId="0" fontId="7" fillId="8" borderId="0" xfId="0" applyFont="1" applyFill="1"/>
    <xf numFmtId="0" fontId="32" fillId="8" borderId="0" xfId="0" applyFont="1" applyFill="1"/>
    <xf numFmtId="169" fontId="7" fillId="8" borderId="0" xfId="1" applyNumberFormat="1" applyFont="1" applyFill="1"/>
    <xf numFmtId="169" fontId="0" fillId="0" borderId="3" xfId="1" applyNumberFormat="1" applyFont="1" applyBorder="1"/>
    <xf numFmtId="165" fontId="15" fillId="0" borderId="0" xfId="1" applyFont="1" applyFill="1"/>
    <xf numFmtId="164" fontId="6" fillId="0" borderId="3" xfId="1" applyNumberFormat="1" applyFont="1" applyFill="1" applyBorder="1"/>
    <xf numFmtId="165" fontId="26" fillId="9" borderId="3" xfId="1" applyFont="1" applyFill="1" applyBorder="1"/>
    <xf numFmtId="164" fontId="27" fillId="9" borderId="3" xfId="1" applyNumberFormat="1" applyFont="1" applyFill="1" applyBorder="1"/>
    <xf numFmtId="165" fontId="27" fillId="9" borderId="3" xfId="1" applyFont="1" applyFill="1" applyBorder="1"/>
    <xf numFmtId="166" fontId="35" fillId="10" borderId="0" xfId="4" applyNumberFormat="1" applyFont="1" applyFill="1"/>
    <xf numFmtId="10" fontId="27" fillId="10" borderId="0" xfId="2" applyNumberFormat="1" applyFont="1" applyFill="1" applyBorder="1"/>
    <xf numFmtId="164" fontId="6" fillId="0" borderId="0" xfId="1" applyNumberFormat="1" applyFont="1" applyFill="1"/>
    <xf numFmtId="164" fontId="7" fillId="0" borderId="0" xfId="1" applyNumberFormat="1" applyFont="1" applyFill="1"/>
    <xf numFmtId="164" fontId="16" fillId="0" borderId="0" xfId="1" applyNumberFormat="1" applyFont="1" applyFill="1"/>
    <xf numFmtId="166" fontId="7" fillId="0" borderId="28" xfId="4" applyNumberFormat="1" applyFont="1" applyFill="1" applyBorder="1" applyAlignment="1">
      <alignment horizontal="center" vertical="center"/>
    </xf>
    <xf numFmtId="166" fontId="35" fillId="10" borderId="38" xfId="4" applyNumberFormat="1" applyFont="1" applyFill="1" applyBorder="1"/>
    <xf numFmtId="166" fontId="38" fillId="0" borderId="19" xfId="4" applyNumberFormat="1" applyFont="1" applyFill="1" applyBorder="1"/>
    <xf numFmtId="166" fontId="40" fillId="0" borderId="19" xfId="4" applyNumberFormat="1" applyFont="1" applyFill="1" applyBorder="1"/>
    <xf numFmtId="166" fontId="11" fillId="10" borderId="0" xfId="4" applyNumberFormat="1" applyFont="1" applyFill="1"/>
    <xf numFmtId="166" fontId="34" fillId="10" borderId="0" xfId="4" applyNumberFormat="1" applyFont="1" applyFill="1"/>
    <xf numFmtId="10" fontId="34" fillId="10" borderId="0" xfId="2" applyNumberFormat="1" applyFont="1" applyFill="1" applyBorder="1"/>
    <xf numFmtId="166" fontId="41" fillId="10" borderId="45" xfId="4" applyNumberFormat="1" applyFont="1" applyFill="1" applyBorder="1"/>
    <xf numFmtId="164" fontId="35" fillId="10" borderId="28" xfId="1" applyNumberFormat="1" applyFont="1" applyFill="1" applyBorder="1"/>
    <xf numFmtId="43" fontId="35" fillId="10" borderId="44" xfId="4" applyFont="1" applyFill="1" applyBorder="1"/>
    <xf numFmtId="166" fontId="35" fillId="10" borderId="46" xfId="4" applyNumberFormat="1" applyFont="1" applyFill="1" applyBorder="1"/>
    <xf numFmtId="167" fontId="34" fillId="10" borderId="7" xfId="4" applyNumberFormat="1" applyFont="1" applyFill="1" applyBorder="1"/>
    <xf numFmtId="10" fontId="35" fillId="10" borderId="44" xfId="2" applyNumberFormat="1" applyFont="1" applyFill="1" applyBorder="1"/>
    <xf numFmtId="10" fontId="35" fillId="10" borderId="0" xfId="2" applyNumberFormat="1" applyFont="1" applyFill="1"/>
    <xf numFmtId="166" fontId="35" fillId="10" borderId="47" xfId="4" applyNumberFormat="1" applyFont="1" applyFill="1" applyBorder="1"/>
    <xf numFmtId="43" fontId="35" fillId="10" borderId="3" xfId="4" applyFont="1" applyFill="1" applyBorder="1"/>
    <xf numFmtId="166" fontId="35" fillId="10" borderId="27" xfId="4" applyNumberFormat="1" applyFont="1" applyFill="1" applyBorder="1"/>
    <xf numFmtId="43" fontId="35" fillId="10" borderId="23" xfId="4" applyFont="1" applyFill="1" applyBorder="1"/>
    <xf numFmtId="166" fontId="35" fillId="10" borderId="24" xfId="4" applyNumberFormat="1" applyFont="1" applyFill="1" applyBorder="1"/>
    <xf numFmtId="166" fontId="35" fillId="10" borderId="38" xfId="4" applyNumberFormat="1" applyFont="1" applyFill="1" applyBorder="1" applyAlignment="1">
      <alignment horizontal="right"/>
    </xf>
    <xf numFmtId="166" fontId="35" fillId="10" borderId="0" xfId="4" applyNumberFormat="1" applyFont="1" applyFill="1" applyBorder="1"/>
    <xf numFmtId="166" fontId="41" fillId="10" borderId="31" xfId="4" applyNumberFormat="1" applyFont="1" applyFill="1" applyBorder="1"/>
    <xf numFmtId="164" fontId="35" fillId="10" borderId="23" xfId="1" applyNumberFormat="1" applyFont="1" applyFill="1" applyBorder="1"/>
    <xf numFmtId="166" fontId="35" fillId="10" borderId="23" xfId="4" applyNumberFormat="1" applyFont="1" applyFill="1" applyBorder="1"/>
    <xf numFmtId="165" fontId="35" fillId="10" borderId="23" xfId="1" applyFont="1" applyFill="1" applyBorder="1"/>
    <xf numFmtId="166" fontId="35" fillId="10" borderId="25" xfId="4" applyNumberFormat="1" applyFont="1" applyFill="1" applyBorder="1"/>
    <xf numFmtId="164" fontId="35" fillId="10" borderId="22" xfId="1" applyNumberFormat="1" applyFont="1" applyFill="1" applyBorder="1"/>
    <xf numFmtId="167" fontId="34" fillId="10" borderId="33" xfId="4" applyNumberFormat="1" applyFont="1" applyFill="1" applyBorder="1"/>
    <xf numFmtId="10" fontId="35" fillId="10" borderId="23" xfId="2" applyNumberFormat="1" applyFont="1" applyFill="1" applyBorder="1"/>
    <xf numFmtId="166" fontId="34" fillId="10" borderId="49" xfId="2" applyNumberFormat="1" applyFont="1" applyFill="1" applyBorder="1"/>
    <xf numFmtId="43" fontId="35" fillId="10" borderId="32" xfId="4" applyFont="1" applyFill="1" applyBorder="1"/>
    <xf numFmtId="167" fontId="35" fillId="10" borderId="32" xfId="4" applyNumberFormat="1" applyFont="1" applyFill="1" applyBorder="1"/>
    <xf numFmtId="166" fontId="35" fillId="10" borderId="50" xfId="4" applyNumberFormat="1" applyFont="1" applyFill="1" applyBorder="1"/>
    <xf numFmtId="166" fontId="35" fillId="10" borderId="31" xfId="4" applyNumberFormat="1" applyFont="1" applyFill="1" applyBorder="1" applyAlignment="1">
      <alignment horizontal="right"/>
    </xf>
    <xf numFmtId="165" fontId="39" fillId="4" borderId="3" xfId="1" applyFont="1" applyFill="1" applyBorder="1"/>
    <xf numFmtId="0" fontId="43" fillId="3" borderId="1" xfId="0" applyFont="1" applyFill="1" applyBorder="1"/>
    <xf numFmtId="165" fontId="43" fillId="3" borderId="1" xfId="1" applyFont="1" applyFill="1" applyBorder="1"/>
    <xf numFmtId="165" fontId="14" fillId="3" borderId="1" xfId="1" applyFont="1" applyFill="1" applyBorder="1"/>
    <xf numFmtId="0" fontId="36" fillId="4" borderId="3" xfId="0" applyFont="1" applyFill="1" applyBorder="1"/>
    <xf numFmtId="165" fontId="36" fillId="4" borderId="3" xfId="1" applyFont="1" applyFill="1" applyBorder="1"/>
    <xf numFmtId="0" fontId="43" fillId="3" borderId="6" xfId="0" applyFont="1" applyFill="1" applyBorder="1"/>
    <xf numFmtId="165" fontId="14" fillId="3" borderId="6" xfId="1" applyFont="1" applyFill="1" applyBorder="1"/>
    <xf numFmtId="0" fontId="39" fillId="3" borderId="6" xfId="0" applyFont="1" applyFill="1" applyBorder="1"/>
    <xf numFmtId="165" fontId="39" fillId="3" borderId="6" xfId="1" applyFont="1" applyFill="1" applyBorder="1"/>
    <xf numFmtId="165" fontId="35" fillId="10" borderId="22" xfId="1" applyFont="1" applyFill="1" applyBorder="1"/>
    <xf numFmtId="0" fontId="6" fillId="0" borderId="3" xfId="5" applyBorder="1"/>
    <xf numFmtId="165" fontId="15" fillId="6" borderId="26" xfId="1" applyFont="1" applyFill="1" applyBorder="1"/>
    <xf numFmtId="43" fontId="15" fillId="6" borderId="3" xfId="4" applyFont="1" applyFill="1" applyBorder="1"/>
    <xf numFmtId="165" fontId="15" fillId="6" borderId="3" xfId="1" applyFont="1" applyFill="1" applyBorder="1"/>
    <xf numFmtId="166" fontId="15" fillId="6" borderId="27" xfId="4" applyNumberFormat="1" applyFont="1" applyFill="1" applyBorder="1"/>
    <xf numFmtId="164" fontId="15" fillId="6" borderId="5" xfId="1" applyNumberFormat="1" applyFont="1" applyFill="1" applyBorder="1"/>
    <xf numFmtId="164" fontId="15" fillId="6" borderId="3" xfId="1" applyNumberFormat="1" applyFont="1" applyFill="1" applyBorder="1"/>
    <xf numFmtId="166" fontId="15" fillId="6" borderId="4" xfId="4" applyNumberFormat="1" applyFont="1" applyFill="1" applyBorder="1"/>
    <xf numFmtId="164" fontId="15" fillId="6" borderId="26" xfId="1" applyNumberFormat="1" applyFont="1" applyFill="1" applyBorder="1"/>
    <xf numFmtId="1" fontId="15" fillId="6" borderId="42" xfId="4" applyNumberFormat="1" applyFont="1" applyFill="1" applyBorder="1"/>
    <xf numFmtId="166" fontId="15" fillId="6" borderId="3" xfId="4" applyNumberFormat="1" applyFont="1" applyFill="1" applyBorder="1"/>
    <xf numFmtId="166" fontId="15" fillId="6" borderId="0" xfId="4" applyNumberFormat="1" applyFont="1" applyFill="1"/>
    <xf numFmtId="43" fontId="15" fillId="6" borderId="10" xfId="4" applyFont="1" applyFill="1" applyBorder="1"/>
    <xf numFmtId="166" fontId="15" fillId="6" borderId="16" xfId="4" applyNumberFormat="1" applyFont="1" applyFill="1" applyBorder="1"/>
    <xf numFmtId="166" fontId="15" fillId="6" borderId="42" xfId="4" applyNumberFormat="1" applyFont="1" applyFill="1" applyBorder="1"/>
    <xf numFmtId="167" fontId="15" fillId="6" borderId="3" xfId="4" applyNumberFormat="1" applyFont="1" applyFill="1" applyBorder="1"/>
    <xf numFmtId="166" fontId="15" fillId="6" borderId="0" xfId="4" applyNumberFormat="1" applyFont="1" applyFill="1" applyBorder="1"/>
    <xf numFmtId="165" fontId="15" fillId="6" borderId="10" xfId="1" applyFont="1" applyFill="1" applyBorder="1"/>
    <xf numFmtId="164" fontId="15" fillId="6" borderId="10" xfId="1" applyNumberFormat="1" applyFont="1" applyFill="1" applyBorder="1"/>
    <xf numFmtId="166" fontId="15" fillId="6" borderId="30" xfId="4" applyNumberFormat="1" applyFont="1" applyFill="1" applyBorder="1" applyAlignment="1">
      <alignment horizontal="right"/>
    </xf>
    <xf numFmtId="164" fontId="16" fillId="6" borderId="26" xfId="1" applyNumberFormat="1" applyFont="1" applyFill="1" applyBorder="1"/>
    <xf numFmtId="164" fontId="16" fillId="6" borderId="3" xfId="1" applyNumberFormat="1" applyFont="1" applyFill="1" applyBorder="1"/>
    <xf numFmtId="164" fontId="16" fillId="6" borderId="5" xfId="1" applyNumberFormat="1" applyFont="1" applyFill="1" applyBorder="1"/>
    <xf numFmtId="10" fontId="16" fillId="6" borderId="3" xfId="2" applyNumberFormat="1" applyFont="1" applyFill="1" applyBorder="1"/>
    <xf numFmtId="165" fontId="16" fillId="6" borderId="3" xfId="1" applyFont="1" applyFill="1" applyBorder="1"/>
    <xf numFmtId="10" fontId="16" fillId="6" borderId="27" xfId="2" applyNumberFormat="1" applyFont="1" applyFill="1" applyBorder="1"/>
    <xf numFmtId="167" fontId="16" fillId="6" borderId="4" xfId="4" applyNumberFormat="1" applyFont="1" applyFill="1" applyBorder="1"/>
    <xf numFmtId="166" fontId="16" fillId="6" borderId="0" xfId="4" applyNumberFormat="1" applyFont="1" applyFill="1"/>
    <xf numFmtId="165" fontId="16" fillId="6" borderId="26" xfId="1" applyFont="1" applyFill="1" applyBorder="1"/>
    <xf numFmtId="167" fontId="16" fillId="6" borderId="3" xfId="4" applyNumberFormat="1" applyFont="1" applyFill="1" applyBorder="1"/>
    <xf numFmtId="166" fontId="16" fillId="6" borderId="42" xfId="4" applyNumberFormat="1" applyFont="1" applyFill="1" applyBorder="1"/>
    <xf numFmtId="10" fontId="16" fillId="6" borderId="0" xfId="2" applyNumberFormat="1" applyFont="1" applyFill="1" applyBorder="1"/>
    <xf numFmtId="166" fontId="16" fillId="6" borderId="30" xfId="4" applyNumberFormat="1" applyFont="1" applyFill="1" applyBorder="1" applyAlignment="1">
      <alignment horizontal="right"/>
    </xf>
    <xf numFmtId="166" fontId="16" fillId="6" borderId="0" xfId="4" applyNumberFormat="1" applyFont="1" applyFill="1" applyBorder="1"/>
    <xf numFmtId="166" fontId="16" fillId="6" borderId="27" xfId="4" applyNumberFormat="1" applyFont="1" applyFill="1" applyBorder="1"/>
    <xf numFmtId="10" fontId="16" fillId="6" borderId="42" xfId="2" applyNumberFormat="1" applyFont="1" applyFill="1" applyBorder="1"/>
    <xf numFmtId="37" fontId="16" fillId="6" borderId="30" xfId="4" applyNumberFormat="1" applyFont="1" applyFill="1" applyBorder="1" applyAlignment="1">
      <alignment horizontal="right"/>
    </xf>
    <xf numFmtId="164" fontId="30" fillId="6" borderId="26" xfId="1" applyNumberFormat="1" applyFont="1" applyFill="1" applyBorder="1"/>
    <xf numFmtId="164" fontId="30" fillId="6" borderId="3" xfId="1" applyNumberFormat="1" applyFont="1" applyFill="1" applyBorder="1"/>
    <xf numFmtId="10" fontId="30" fillId="6" borderId="3" xfId="2" applyNumberFormat="1" applyFont="1" applyFill="1" applyBorder="1"/>
    <xf numFmtId="165" fontId="30" fillId="6" borderId="3" xfId="1" applyFont="1" applyFill="1" applyBorder="1"/>
    <xf numFmtId="10" fontId="30" fillId="6" borderId="27" xfId="2" applyNumberFormat="1" applyFont="1" applyFill="1" applyBorder="1"/>
    <xf numFmtId="167" fontId="30" fillId="6" borderId="4" xfId="4" applyNumberFormat="1" applyFont="1" applyFill="1" applyBorder="1"/>
    <xf numFmtId="165" fontId="30" fillId="6" borderId="26" xfId="1" applyFont="1" applyFill="1" applyBorder="1"/>
    <xf numFmtId="167" fontId="30" fillId="6" borderId="3" xfId="4" applyNumberFormat="1" applyFont="1" applyFill="1" applyBorder="1"/>
    <xf numFmtId="10" fontId="30" fillId="6" borderId="0" xfId="2" applyNumberFormat="1" applyFont="1" applyFill="1" applyBorder="1"/>
    <xf numFmtId="10" fontId="30" fillId="6" borderId="43" xfId="2" applyNumberFormat="1" applyFont="1" applyFill="1" applyBorder="1"/>
    <xf numFmtId="166" fontId="30" fillId="6" borderId="30" xfId="4" applyNumberFormat="1" applyFont="1" applyFill="1" applyBorder="1" applyAlignment="1">
      <alignment horizontal="right"/>
    </xf>
    <xf numFmtId="167" fontId="15" fillId="6" borderId="4" xfId="4" applyNumberFormat="1" applyFont="1" applyFill="1" applyBorder="1"/>
    <xf numFmtId="164" fontId="15" fillId="6" borderId="0" xfId="4" applyNumberFormat="1" applyFont="1" applyFill="1"/>
    <xf numFmtId="10" fontId="15" fillId="6" borderId="0" xfId="2" applyNumberFormat="1" applyFont="1" applyFill="1" applyBorder="1"/>
    <xf numFmtId="43" fontId="44" fillId="6" borderId="0" xfId="4" applyFont="1" applyFill="1"/>
    <xf numFmtId="164" fontId="45" fillId="6" borderId="26" xfId="1" applyNumberFormat="1" applyFont="1" applyFill="1" applyBorder="1"/>
    <xf numFmtId="164" fontId="45" fillId="6" borderId="3" xfId="1" applyNumberFormat="1" applyFont="1" applyFill="1" applyBorder="1"/>
    <xf numFmtId="10" fontId="45" fillId="6" borderId="3" xfId="2" applyNumberFormat="1" applyFont="1" applyFill="1" applyBorder="1"/>
    <xf numFmtId="165" fontId="45" fillId="6" borderId="3" xfId="1" applyFont="1" applyFill="1" applyBorder="1"/>
    <xf numFmtId="10" fontId="45" fillId="6" borderId="27" xfId="2" applyNumberFormat="1" applyFont="1" applyFill="1" applyBorder="1"/>
    <xf numFmtId="167" fontId="45" fillId="6" borderId="4" xfId="4" applyNumberFormat="1" applyFont="1" applyFill="1" applyBorder="1"/>
    <xf numFmtId="166" fontId="45" fillId="6" borderId="0" xfId="4" applyNumberFormat="1" applyFont="1" applyFill="1"/>
    <xf numFmtId="165" fontId="45" fillId="6" borderId="26" xfId="1" applyFont="1" applyFill="1" applyBorder="1"/>
    <xf numFmtId="167" fontId="45" fillId="6" borderId="3" xfId="4" applyNumberFormat="1" applyFont="1" applyFill="1" applyBorder="1"/>
    <xf numFmtId="166" fontId="45" fillId="6" borderId="42" xfId="4" applyNumberFormat="1" applyFont="1" applyFill="1" applyBorder="1"/>
    <xf numFmtId="166" fontId="45" fillId="6" borderId="26" xfId="4" applyNumberFormat="1" applyFont="1" applyFill="1" applyBorder="1"/>
    <xf numFmtId="10" fontId="45" fillId="6" borderId="0" xfId="2" applyNumberFormat="1" applyFont="1" applyFill="1" applyBorder="1"/>
    <xf numFmtId="166" fontId="45" fillId="6" borderId="30" xfId="4" applyNumberFormat="1" applyFont="1" applyFill="1" applyBorder="1" applyAlignment="1">
      <alignment horizontal="right"/>
    </xf>
    <xf numFmtId="166" fontId="46" fillId="6" borderId="0" xfId="4" applyNumberFormat="1" applyFont="1" applyFill="1"/>
    <xf numFmtId="166" fontId="47" fillId="0" borderId="0" xfId="4" applyNumberFormat="1" applyFont="1" applyFill="1"/>
    <xf numFmtId="10" fontId="45" fillId="6" borderId="42" xfId="2" applyNumberFormat="1" applyFont="1" applyFill="1" applyBorder="1"/>
    <xf numFmtId="166" fontId="45" fillId="6" borderId="0" xfId="4" applyNumberFormat="1" applyFont="1" applyFill="1" applyBorder="1"/>
    <xf numFmtId="166" fontId="48" fillId="0" borderId="19" xfId="4" applyNumberFormat="1" applyFont="1" applyFill="1" applyBorder="1"/>
    <xf numFmtId="0" fontId="45" fillId="6" borderId="19" xfId="4" applyNumberFormat="1" applyFont="1" applyFill="1" applyBorder="1"/>
    <xf numFmtId="166" fontId="49" fillId="0" borderId="19" xfId="4" applyNumberFormat="1" applyFont="1" applyFill="1" applyBorder="1"/>
    <xf numFmtId="164" fontId="45" fillId="6" borderId="3" xfId="4" applyNumberFormat="1" applyFont="1" applyFill="1" applyBorder="1"/>
    <xf numFmtId="43" fontId="45" fillId="6" borderId="3" xfId="4" applyFont="1" applyFill="1" applyBorder="1"/>
    <xf numFmtId="166" fontId="45" fillId="6" borderId="4" xfId="4" applyNumberFormat="1" applyFont="1" applyFill="1" applyBorder="1"/>
    <xf numFmtId="166" fontId="45" fillId="6" borderId="27" xfId="4" applyNumberFormat="1" applyFont="1" applyFill="1" applyBorder="1"/>
    <xf numFmtId="166" fontId="45" fillId="0" borderId="0" xfId="4" applyNumberFormat="1" applyFont="1" applyFill="1"/>
    <xf numFmtId="0" fontId="45" fillId="0" borderId="0" xfId="0" applyFont="1"/>
    <xf numFmtId="43" fontId="46" fillId="6" borderId="0" xfId="4" applyFont="1" applyFill="1"/>
    <xf numFmtId="43" fontId="45" fillId="6" borderId="44" xfId="4" applyFont="1" applyFill="1" applyBorder="1"/>
    <xf numFmtId="166" fontId="45" fillId="6" borderId="38" xfId="4" applyNumberFormat="1" applyFont="1" applyFill="1" applyBorder="1"/>
    <xf numFmtId="165" fontId="15" fillId="6" borderId="9" xfId="1" applyFont="1" applyFill="1" applyBorder="1"/>
    <xf numFmtId="165" fontId="30" fillId="6" borderId="21" xfId="1" applyFont="1" applyFill="1" applyBorder="1"/>
    <xf numFmtId="165" fontId="15" fillId="6" borderId="5" xfId="1" applyFont="1" applyFill="1" applyBorder="1"/>
    <xf numFmtId="9" fontId="0" fillId="0" borderId="0" xfId="2" applyFont="1"/>
    <xf numFmtId="166" fontId="7" fillId="0" borderId="0" xfId="4" applyNumberFormat="1" applyFont="1" applyBorder="1"/>
    <xf numFmtId="0" fontId="7" fillId="0" borderId="0" xfId="0" applyFont="1" applyAlignment="1">
      <alignment horizontal="right"/>
    </xf>
    <xf numFmtId="166" fontId="7" fillId="0" borderId="3" xfId="4" quotePrefix="1" applyNumberFormat="1" applyFont="1" applyBorder="1"/>
    <xf numFmtId="0" fontId="0" fillId="0" borderId="3" xfId="0" quotePrefix="1" applyBorder="1"/>
    <xf numFmtId="166" fontId="6" fillId="0" borderId="3" xfId="4" applyNumberFormat="1" applyFont="1" applyBorder="1"/>
    <xf numFmtId="166" fontId="6" fillId="6" borderId="0" xfId="4" applyNumberFormat="1" applyFont="1" applyFill="1"/>
    <xf numFmtId="166" fontId="30" fillId="11" borderId="8" xfId="4" quotePrefix="1" applyNumberFormat="1" applyFont="1" applyFill="1" applyBorder="1" applyAlignment="1">
      <alignment horizontal="center" vertical="center" wrapText="1"/>
    </xf>
    <xf numFmtId="165" fontId="36" fillId="11" borderId="9" xfId="1" quotePrefix="1" applyFont="1" applyFill="1" applyBorder="1" applyAlignment="1">
      <alignment horizontal="center" vertical="center" wrapText="1"/>
    </xf>
    <xf numFmtId="43" fontId="36" fillId="11" borderId="10" xfId="4" applyFont="1" applyFill="1" applyBorder="1" applyAlignment="1">
      <alignment horizontal="center" vertical="center"/>
    </xf>
    <xf numFmtId="165" fontId="36" fillId="11" borderId="10" xfId="1" applyFont="1" applyFill="1" applyBorder="1" applyAlignment="1">
      <alignment horizontal="center" vertical="center"/>
    </xf>
    <xf numFmtId="43" fontId="36" fillId="11" borderId="16" xfId="4" applyFont="1" applyFill="1" applyBorder="1" applyAlignment="1">
      <alignment horizontal="center" vertical="center"/>
    </xf>
    <xf numFmtId="164" fontId="36" fillId="11" borderId="53" xfId="1" quotePrefix="1" applyNumberFormat="1" applyFont="1" applyFill="1" applyBorder="1" applyAlignment="1">
      <alignment horizontal="center" vertical="center" wrapText="1"/>
    </xf>
    <xf numFmtId="43" fontId="36" fillId="11" borderId="12" xfId="4" applyFont="1" applyFill="1" applyBorder="1" applyAlignment="1">
      <alignment horizontal="center" vertical="center"/>
    </xf>
    <xf numFmtId="164" fontId="36" fillId="11" borderId="12" xfId="1" applyNumberFormat="1" applyFont="1" applyFill="1" applyBorder="1" applyAlignment="1">
      <alignment horizontal="center" vertical="center"/>
    </xf>
    <xf numFmtId="43" fontId="36" fillId="11" borderId="13" xfId="4" applyFont="1" applyFill="1" applyBorder="1" applyAlignment="1">
      <alignment horizontal="center" vertical="center"/>
    </xf>
    <xf numFmtId="164" fontId="36" fillId="11" borderId="11" xfId="1" quotePrefix="1" applyNumberFormat="1" applyFont="1" applyFill="1" applyBorder="1" applyAlignment="1">
      <alignment horizontal="center" vertical="center" wrapText="1"/>
    </xf>
    <xf numFmtId="165" fontId="36" fillId="11" borderId="12" xfId="1" applyFont="1" applyFill="1" applyBorder="1" applyAlignment="1">
      <alignment horizontal="center" vertical="center"/>
    </xf>
    <xf numFmtId="43" fontId="36" fillId="11" borderId="14" xfId="4" applyFont="1" applyFill="1" applyBorder="1" applyAlignment="1">
      <alignment horizontal="center" vertical="center"/>
    </xf>
    <xf numFmtId="1" fontId="36" fillId="11" borderId="15" xfId="4" applyNumberFormat="1" applyFont="1" applyFill="1" applyBorder="1" applyAlignment="1">
      <alignment horizontal="center" vertical="center" wrapText="1"/>
    </xf>
    <xf numFmtId="166" fontId="15" fillId="11" borderId="0" xfId="4" applyNumberFormat="1" applyFont="1" applyFill="1"/>
    <xf numFmtId="165" fontId="16" fillId="11" borderId="9" xfId="1" quotePrefix="1" applyFont="1" applyFill="1" applyBorder="1" applyAlignment="1">
      <alignment horizontal="center" vertical="center" wrapText="1"/>
    </xf>
    <xf numFmtId="164" fontId="16" fillId="11" borderId="9" xfId="1" quotePrefix="1" applyNumberFormat="1" applyFont="1" applyFill="1" applyBorder="1" applyAlignment="1">
      <alignment horizontal="center" vertical="center" wrapText="1"/>
    </xf>
    <xf numFmtId="43" fontId="36" fillId="11" borderId="17" xfId="4" applyFont="1" applyFill="1" applyBorder="1" applyAlignment="1">
      <alignment horizontal="center" vertical="center" wrapText="1"/>
    </xf>
    <xf numFmtId="167" fontId="36" fillId="11" borderId="12" xfId="4" applyNumberFormat="1" applyFont="1" applyFill="1" applyBorder="1" applyAlignment="1">
      <alignment horizontal="center" vertical="center"/>
    </xf>
    <xf numFmtId="43" fontId="36" fillId="11" borderId="18" xfId="4" applyFont="1" applyFill="1" applyBorder="1" applyAlignment="1">
      <alignment horizontal="center" vertical="center" wrapText="1"/>
    </xf>
    <xf numFmtId="43" fontId="36" fillId="11" borderId="0" xfId="4" applyFont="1" applyFill="1" applyBorder="1" applyAlignment="1">
      <alignment horizontal="center" vertical="center"/>
    </xf>
    <xf numFmtId="166" fontId="30" fillId="11" borderId="19" xfId="4" quotePrefix="1" applyNumberFormat="1" applyFont="1" applyFill="1" applyBorder="1" applyAlignment="1">
      <alignment horizontal="center" vertical="center" wrapText="1"/>
    </xf>
    <xf numFmtId="165" fontId="36" fillId="11" borderId="20" xfId="1" quotePrefix="1" applyFont="1" applyFill="1" applyBorder="1" applyAlignment="1">
      <alignment horizontal="center" vertical="center" wrapText="1"/>
    </xf>
    <xf numFmtId="165" fontId="36" fillId="11" borderId="21" xfId="1" applyFont="1" applyFill="1" applyBorder="1" applyAlignment="1">
      <alignment horizontal="center" vertical="center"/>
    </xf>
    <xf numFmtId="164" fontId="36" fillId="11" borderId="48" xfId="1" quotePrefix="1" applyNumberFormat="1" applyFont="1" applyFill="1" applyBorder="1" applyAlignment="1">
      <alignment horizontal="center" vertical="center" wrapText="1"/>
    </xf>
    <xf numFmtId="43" fontId="36" fillId="11" borderId="23" xfId="4" applyFont="1" applyFill="1" applyBorder="1" applyAlignment="1">
      <alignment horizontal="center" vertical="center"/>
    </xf>
    <xf numFmtId="164" fontId="36" fillId="11" borderId="23" xfId="1" applyNumberFormat="1" applyFont="1" applyFill="1" applyBorder="1" applyAlignment="1">
      <alignment horizontal="center" vertical="center"/>
    </xf>
    <xf numFmtId="43" fontId="36" fillId="11" borderId="24" xfId="4" applyFont="1" applyFill="1" applyBorder="1" applyAlignment="1">
      <alignment horizontal="center" vertical="center"/>
    </xf>
    <xf numFmtId="164" fontId="36" fillId="11" borderId="22" xfId="1" quotePrefix="1" applyNumberFormat="1" applyFont="1" applyFill="1" applyBorder="1" applyAlignment="1">
      <alignment horizontal="center" vertical="center" wrapText="1"/>
    </xf>
    <xf numFmtId="165" fontId="36" fillId="11" borderId="23" xfId="1" applyFont="1" applyFill="1" applyBorder="1" applyAlignment="1">
      <alignment horizontal="center" vertical="center"/>
    </xf>
    <xf numFmtId="43" fontId="36" fillId="11" borderId="25" xfId="4" applyFont="1" applyFill="1" applyBorder="1" applyAlignment="1">
      <alignment horizontal="center" vertical="center"/>
    </xf>
    <xf numFmtId="1" fontId="36" fillId="11" borderId="0" xfId="4" applyNumberFormat="1" applyFont="1" applyFill="1" applyBorder="1" applyAlignment="1">
      <alignment horizontal="center" vertical="center" wrapText="1"/>
    </xf>
    <xf numFmtId="43" fontId="36" fillId="11" borderId="3" xfId="4" applyFont="1" applyFill="1" applyBorder="1" applyAlignment="1">
      <alignment horizontal="center" vertical="center"/>
    </xf>
    <xf numFmtId="43" fontId="36" fillId="11" borderId="27" xfId="4" applyFont="1" applyFill="1" applyBorder="1" applyAlignment="1">
      <alignment horizontal="center" vertical="center"/>
    </xf>
    <xf numFmtId="165" fontId="16" fillId="11" borderId="28" xfId="1" quotePrefix="1" applyFont="1" applyFill="1" applyBorder="1" applyAlignment="1">
      <alignment horizontal="center" vertical="center" wrapText="1"/>
    </xf>
    <xf numFmtId="164" fontId="16" fillId="11" borderId="28" xfId="1" quotePrefix="1" applyNumberFormat="1" applyFont="1" applyFill="1" applyBorder="1" applyAlignment="1">
      <alignment horizontal="center" vertical="center" wrapText="1"/>
    </xf>
    <xf numFmtId="43" fontId="36" fillId="11" borderId="29" xfId="4" applyFont="1" applyFill="1" applyBorder="1" applyAlignment="1">
      <alignment horizontal="center" vertical="center" wrapText="1"/>
    </xf>
    <xf numFmtId="167" fontId="36" fillId="11" borderId="23" xfId="4" applyNumberFormat="1" applyFont="1" applyFill="1" applyBorder="1" applyAlignment="1">
      <alignment horizontal="center" vertical="center"/>
    </xf>
    <xf numFmtId="43" fontId="36" fillId="11" borderId="30" xfId="4" applyFont="1" applyFill="1" applyBorder="1" applyAlignment="1">
      <alignment horizontal="center" vertical="center" wrapText="1"/>
    </xf>
    <xf numFmtId="166" fontId="37" fillId="11" borderId="19" xfId="4" applyNumberFormat="1" applyFont="1" applyFill="1" applyBorder="1" applyAlignment="1">
      <alignment wrapText="1"/>
    </xf>
    <xf numFmtId="165" fontId="33" fillId="11" borderId="33" xfId="1" applyFont="1" applyFill="1" applyBorder="1" applyAlignment="1">
      <alignment horizontal="center"/>
    </xf>
    <xf numFmtId="166" fontId="33" fillId="11" borderId="34" xfId="4" applyNumberFormat="1" applyFont="1" applyFill="1" applyBorder="1" applyAlignment="1">
      <alignment horizontal="center"/>
    </xf>
    <xf numFmtId="165" fontId="33" fillId="11" borderId="34" xfId="1" applyFont="1" applyFill="1" applyBorder="1" applyAlignment="1">
      <alignment horizontal="center"/>
    </xf>
    <xf numFmtId="166" fontId="33" fillId="11" borderId="35" xfId="4" applyNumberFormat="1" applyFont="1" applyFill="1" applyBorder="1" applyAlignment="1">
      <alignment horizontal="center"/>
    </xf>
    <xf numFmtId="164" fontId="33" fillId="11" borderId="34" xfId="1" applyNumberFormat="1" applyFont="1" applyFill="1" applyBorder="1" applyAlignment="1">
      <alignment horizontal="center"/>
    </xf>
    <xf numFmtId="164" fontId="33" fillId="11" borderId="33" xfId="1" applyNumberFormat="1" applyFont="1" applyFill="1" applyBorder="1" applyAlignment="1">
      <alignment horizontal="center"/>
    </xf>
    <xf numFmtId="1" fontId="36" fillId="11" borderId="36" xfId="4" applyNumberFormat="1" applyFont="1" applyFill="1" applyBorder="1" applyAlignment="1">
      <alignment horizontal="center" vertical="center" wrapText="1"/>
    </xf>
    <xf numFmtId="166" fontId="33" fillId="11" borderId="42" xfId="4" applyNumberFormat="1" applyFont="1" applyFill="1" applyBorder="1" applyAlignment="1">
      <alignment horizontal="center"/>
    </xf>
    <xf numFmtId="166" fontId="33" fillId="11" borderId="52" xfId="4" applyNumberFormat="1" applyFont="1" applyFill="1" applyBorder="1" applyAlignment="1">
      <alignment horizontal="center"/>
    </xf>
    <xf numFmtId="164" fontId="33" fillId="11" borderId="33" xfId="1" applyNumberFormat="1" applyFont="1" applyFill="1" applyBorder="1" applyAlignment="1">
      <alignment horizontal="left"/>
    </xf>
    <xf numFmtId="165" fontId="33" fillId="11" borderId="33" xfId="1" applyFont="1" applyFill="1" applyBorder="1" applyAlignment="1">
      <alignment horizontal="left"/>
    </xf>
    <xf numFmtId="43" fontId="36" fillId="11" borderId="37" xfId="4" applyFont="1" applyFill="1" applyBorder="1" applyAlignment="1">
      <alignment horizontal="center" vertical="center" wrapText="1"/>
    </xf>
    <xf numFmtId="166" fontId="33" fillId="11" borderId="0" xfId="4" applyNumberFormat="1" applyFont="1" applyFill="1" applyBorder="1" applyAlignment="1">
      <alignment horizontal="center"/>
    </xf>
    <xf numFmtId="165" fontId="33" fillId="11" borderId="33" xfId="1" applyFont="1" applyFill="1" applyBorder="1" applyAlignment="1"/>
    <xf numFmtId="166" fontId="33" fillId="11" borderId="35" xfId="4" applyNumberFormat="1" applyFont="1" applyFill="1" applyBorder="1" applyAlignment="1">
      <alignment horizontal="left"/>
    </xf>
    <xf numFmtId="166" fontId="50" fillId="0" borderId="19" xfId="4" applyNumberFormat="1" applyFont="1" applyFill="1" applyBorder="1" applyAlignment="1">
      <alignment horizontal="left" indent="1"/>
    </xf>
    <xf numFmtId="0" fontId="50" fillId="0" borderId="0" xfId="0" applyFont="1"/>
    <xf numFmtId="0" fontId="39" fillId="3" borderId="1" xfId="0" applyFont="1" applyFill="1" applyBorder="1"/>
    <xf numFmtId="165" fontId="36" fillId="11" borderId="26" xfId="1" quotePrefix="1" applyFont="1" applyFill="1" applyBorder="1" applyAlignment="1">
      <alignment horizontal="center" vertical="center" wrapText="1"/>
    </xf>
    <xf numFmtId="165" fontId="33" fillId="11" borderId="19" xfId="1" applyFont="1" applyFill="1" applyBorder="1" applyAlignment="1">
      <alignment horizontal="center"/>
    </xf>
    <xf numFmtId="165" fontId="36" fillId="11" borderId="3" xfId="1" applyFont="1" applyFill="1" applyBorder="1" applyAlignment="1">
      <alignment horizontal="center" vertical="center"/>
    </xf>
    <xf numFmtId="165" fontId="33" fillId="11" borderId="42" xfId="1" applyFont="1" applyFill="1" applyBorder="1" applyAlignment="1">
      <alignment horizontal="center"/>
    </xf>
    <xf numFmtId="166" fontId="38" fillId="6" borderId="19" xfId="4" applyNumberFormat="1" applyFont="1" applyFill="1" applyBorder="1"/>
    <xf numFmtId="166" fontId="11" fillId="6" borderId="0" xfId="4" applyNumberFormat="1" applyFont="1" applyFill="1"/>
    <xf numFmtId="166" fontId="41" fillId="6" borderId="19" xfId="4" applyNumberFormat="1" applyFont="1" applyFill="1" applyBorder="1"/>
    <xf numFmtId="166" fontId="42" fillId="6" borderId="19" xfId="4" applyNumberFormat="1" applyFont="1" applyFill="1" applyBorder="1"/>
    <xf numFmtId="166" fontId="15" fillId="0" borderId="0" xfId="4" applyNumberFormat="1" applyFont="1" applyFill="1"/>
    <xf numFmtId="10" fontId="19" fillId="0" borderId="0" xfId="2" applyNumberFormat="1" applyFont="1" applyFill="1"/>
    <xf numFmtId="166" fontId="19" fillId="0" borderId="0" xfId="4" applyNumberFormat="1" applyFont="1" applyFill="1"/>
    <xf numFmtId="165" fontId="0" fillId="0" borderId="0" xfId="0" applyNumberFormat="1"/>
    <xf numFmtId="166" fontId="51" fillId="0" borderId="19" xfId="4" applyNumberFormat="1" applyFont="1" applyFill="1" applyBorder="1"/>
    <xf numFmtId="0" fontId="22" fillId="7" borderId="0" xfId="0" applyFont="1" applyFill="1"/>
    <xf numFmtId="0" fontId="6" fillId="0" borderId="0" xfId="5"/>
    <xf numFmtId="10" fontId="15" fillId="0" borderId="0" xfId="1" applyNumberFormat="1" applyFont="1" applyFill="1"/>
    <xf numFmtId="164" fontId="19" fillId="10" borderId="23" xfId="1" applyNumberFormat="1" applyFont="1" applyFill="1" applyBorder="1"/>
    <xf numFmtId="0" fontId="0" fillId="0" borderId="0" xfId="0" pivotButton="1"/>
    <xf numFmtId="165" fontId="19" fillId="10" borderId="23" xfId="1" applyFont="1" applyFill="1" applyBorder="1"/>
    <xf numFmtId="165" fontId="19" fillId="10" borderId="44" xfId="1" applyFont="1" applyFill="1" applyBorder="1"/>
    <xf numFmtId="166" fontId="52" fillId="0" borderId="0" xfId="4" applyNumberFormat="1" applyFont="1" applyFill="1"/>
    <xf numFmtId="166" fontId="53" fillId="0" borderId="19" xfId="4" applyNumberFormat="1" applyFont="1" applyFill="1" applyBorder="1"/>
    <xf numFmtId="164" fontId="54" fillId="6" borderId="26" xfId="1" applyNumberFormat="1" applyFont="1" applyFill="1" applyBorder="1"/>
    <xf numFmtId="164" fontId="54" fillId="6" borderId="3" xfId="2" applyNumberFormat="1" applyFont="1" applyFill="1" applyBorder="1"/>
    <xf numFmtId="164" fontId="54" fillId="6" borderId="3" xfId="1" applyNumberFormat="1" applyFont="1" applyFill="1" applyBorder="1"/>
    <xf numFmtId="10" fontId="54" fillId="6" borderId="3" xfId="2" applyNumberFormat="1" applyFont="1" applyFill="1" applyBorder="1"/>
    <xf numFmtId="165" fontId="54" fillId="6" borderId="3" xfId="1" applyFont="1" applyFill="1" applyBorder="1"/>
    <xf numFmtId="10" fontId="54" fillId="6" borderId="27" xfId="2" applyNumberFormat="1" applyFont="1" applyFill="1" applyBorder="1"/>
    <xf numFmtId="167" fontId="54" fillId="6" borderId="4" xfId="4" applyNumberFormat="1" applyFont="1" applyFill="1" applyBorder="1"/>
    <xf numFmtId="165" fontId="54" fillId="6" borderId="26" xfId="1" applyFont="1" applyFill="1" applyBorder="1"/>
    <xf numFmtId="166" fontId="54" fillId="6" borderId="0" xfId="4" applyNumberFormat="1" applyFont="1" applyFill="1"/>
    <xf numFmtId="167" fontId="54" fillId="6" borderId="3" xfId="4" applyNumberFormat="1" applyFont="1" applyFill="1" applyBorder="1"/>
    <xf numFmtId="10" fontId="54" fillId="6" borderId="0" xfId="2" applyNumberFormat="1" applyFont="1" applyFill="1" applyBorder="1"/>
    <xf numFmtId="37" fontId="54" fillId="6" borderId="30" xfId="4" applyNumberFormat="1" applyFont="1" applyFill="1" applyBorder="1" applyAlignment="1">
      <alignment horizontal="right"/>
    </xf>
    <xf numFmtId="165" fontId="0" fillId="0" borderId="3" xfId="1" applyFont="1" applyBorder="1"/>
    <xf numFmtId="0" fontId="36" fillId="0" borderId="21" xfId="0" applyFont="1" applyBorder="1"/>
    <xf numFmtId="165" fontId="36" fillId="0" borderId="21" xfId="1" applyFont="1" applyFill="1" applyBorder="1"/>
    <xf numFmtId="166" fontId="55" fillId="0" borderId="0" xfId="4" applyNumberFormat="1" applyFont="1" applyFill="1"/>
    <xf numFmtId="0" fontId="56" fillId="3" borderId="1" xfId="0" applyFont="1" applyFill="1" applyBorder="1"/>
    <xf numFmtId="165" fontId="57" fillId="3" borderId="1" xfId="1" applyFont="1" applyFill="1" applyBorder="1"/>
    <xf numFmtId="43" fontId="55" fillId="0" borderId="0" xfId="4" applyFont="1" applyFill="1"/>
    <xf numFmtId="165" fontId="55" fillId="0" borderId="0" xfId="1" applyFont="1" applyFill="1"/>
    <xf numFmtId="164" fontId="55" fillId="0" borderId="0" xfId="1" applyNumberFormat="1" applyFont="1" applyFill="1"/>
    <xf numFmtId="167" fontId="55" fillId="0" borderId="0" xfId="4" applyNumberFormat="1" applyFont="1" applyFill="1" applyBorder="1"/>
    <xf numFmtId="166" fontId="55" fillId="0" borderId="0" xfId="4" applyNumberFormat="1" applyFont="1" applyFill="1" applyAlignment="1">
      <alignment horizontal="right"/>
    </xf>
    <xf numFmtId="0" fontId="56" fillId="3" borderId="2" xfId="0" applyFont="1" applyFill="1" applyBorder="1"/>
    <xf numFmtId="1" fontId="55" fillId="0" borderId="0" xfId="4" applyNumberFormat="1" applyFont="1" applyFill="1" applyBorder="1"/>
    <xf numFmtId="43" fontId="57" fillId="0" borderId="0" xfId="4" applyFont="1" applyFill="1" applyAlignment="1">
      <alignment vertical="center"/>
    </xf>
    <xf numFmtId="1" fontId="55" fillId="0" borderId="0" xfId="4" applyNumberFormat="1" applyFont="1" applyFill="1"/>
    <xf numFmtId="43" fontId="7" fillId="0" borderId="0" xfId="4" applyFont="1" applyFill="1"/>
    <xf numFmtId="1" fontId="7" fillId="0" borderId="0" xfId="4" applyNumberFormat="1" applyFont="1" applyFill="1" applyBorder="1"/>
    <xf numFmtId="166" fontId="7" fillId="0" borderId="0" xfId="4" applyNumberFormat="1" applyFont="1" applyFill="1" applyAlignment="1">
      <alignment horizontal="right"/>
    </xf>
    <xf numFmtId="1" fontId="7" fillId="0" borderId="0" xfId="4" applyNumberFormat="1" applyFont="1" applyFill="1"/>
    <xf numFmtId="165" fontId="0" fillId="0" borderId="3" xfId="1" applyFont="1" applyFill="1" applyBorder="1"/>
    <xf numFmtId="0" fontId="58" fillId="3" borderId="3" xfId="0" applyFont="1" applyFill="1" applyBorder="1"/>
    <xf numFmtId="0" fontId="59" fillId="3" borderId="3" xfId="0" applyFont="1" applyFill="1" applyBorder="1"/>
    <xf numFmtId="0" fontId="59" fillId="0" borderId="3" xfId="0" applyFont="1" applyBorder="1"/>
    <xf numFmtId="0" fontId="60" fillId="2" borderId="3" xfId="0" applyFont="1" applyFill="1" applyBorder="1"/>
    <xf numFmtId="165" fontId="60" fillId="2" borderId="3" xfId="1" applyFont="1" applyFill="1" applyBorder="1"/>
    <xf numFmtId="165" fontId="56" fillId="2" borderId="3" xfId="1" applyFont="1" applyFill="1" applyBorder="1"/>
    <xf numFmtId="165" fontId="0" fillId="0" borderId="3" xfId="0" applyNumberFormat="1" applyBorder="1"/>
    <xf numFmtId="165" fontId="6" fillId="0" borderId="0" xfId="1" applyFont="1" applyFill="1" applyBorder="1"/>
    <xf numFmtId="164" fontId="27" fillId="0" borderId="0" xfId="1" applyNumberFormat="1" applyFont="1" applyFill="1" applyBorder="1"/>
    <xf numFmtId="0" fontId="55" fillId="0" borderId="0" xfId="0" applyFont="1"/>
    <xf numFmtId="0" fontId="0" fillId="6" borderId="0" xfId="0" applyFill="1" applyAlignment="1">
      <alignment horizontal="left"/>
    </xf>
    <xf numFmtId="169" fontId="0" fillId="6" borderId="0" xfId="0" applyNumberFormat="1" applyFill="1"/>
    <xf numFmtId="0" fontId="55" fillId="0" borderId="0" xfId="0" applyFont="1" applyAlignment="1">
      <alignment horizontal="left"/>
    </xf>
    <xf numFmtId="165" fontId="45" fillId="6" borderId="4" xfId="1" applyFont="1" applyFill="1" applyBorder="1"/>
    <xf numFmtId="165" fontId="45" fillId="6" borderId="30" xfId="1" applyFont="1" applyFill="1" applyBorder="1" applyAlignment="1">
      <alignment horizontal="right"/>
    </xf>
    <xf numFmtId="165" fontId="16" fillId="6" borderId="30" xfId="1" applyFont="1" applyFill="1" applyBorder="1" applyAlignment="1">
      <alignment horizontal="right"/>
    </xf>
    <xf numFmtId="165" fontId="45" fillId="6" borderId="27" xfId="1" applyFont="1" applyFill="1" applyBorder="1"/>
    <xf numFmtId="169" fontId="0" fillId="0" borderId="0" xfId="0" pivotButton="1" applyNumberFormat="1"/>
    <xf numFmtId="165" fontId="6" fillId="5" borderId="0" xfId="1" applyFont="1" applyFill="1"/>
    <xf numFmtId="164" fontId="55" fillId="5" borderId="0" xfId="1" applyNumberFormat="1" applyFont="1" applyFill="1"/>
    <xf numFmtId="165" fontId="55" fillId="5" borderId="0" xfId="1" applyFont="1" applyFill="1"/>
    <xf numFmtId="166" fontId="61" fillId="0" borderId="0" xfId="4" applyNumberFormat="1" applyFont="1" applyFill="1"/>
    <xf numFmtId="165" fontId="61" fillId="0" borderId="0" xfId="1" applyFont="1" applyFill="1"/>
    <xf numFmtId="43" fontId="61" fillId="0" borderId="0" xfId="4" applyFont="1" applyFill="1"/>
    <xf numFmtId="164" fontId="61" fillId="0" borderId="0" xfId="1" applyNumberFormat="1" applyFont="1" applyFill="1"/>
    <xf numFmtId="1" fontId="61" fillId="0" borderId="0" xfId="4" applyNumberFormat="1" applyFont="1" applyFill="1" applyBorder="1"/>
    <xf numFmtId="166" fontId="61" fillId="0" borderId="0" xfId="4" applyNumberFormat="1" applyFont="1" applyFill="1" applyAlignment="1">
      <alignment horizontal="right"/>
    </xf>
    <xf numFmtId="1" fontId="61" fillId="0" borderId="0" xfId="4" applyNumberFormat="1" applyFont="1" applyFill="1"/>
    <xf numFmtId="166" fontId="45" fillId="0" borderId="0" xfId="4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5" fontId="7" fillId="0" borderId="0" xfId="0" applyNumberFormat="1" applyFont="1"/>
    <xf numFmtId="165" fontId="16" fillId="6" borderId="27" xfId="1" applyFont="1" applyFill="1" applyBorder="1"/>
    <xf numFmtId="0" fontId="7" fillId="14" borderId="3" xfId="0" applyFont="1" applyFill="1" applyBorder="1"/>
    <xf numFmtId="166" fontId="7" fillId="14" borderId="3" xfId="4" applyNumberFormat="1" applyFont="1" applyFill="1" applyBorder="1"/>
    <xf numFmtId="169" fontId="0" fillId="14" borderId="3" xfId="1" applyNumberFormat="1" applyFont="1" applyFill="1" applyBorder="1"/>
    <xf numFmtId="166" fontId="0" fillId="14" borderId="3" xfId="0" applyNumberFormat="1" applyFill="1" applyBorder="1"/>
    <xf numFmtId="165" fontId="19" fillId="0" borderId="0" xfId="1" applyFont="1" applyFill="1"/>
    <xf numFmtId="0" fontId="63" fillId="0" borderId="0" xfId="0" applyFont="1"/>
    <xf numFmtId="43" fontId="19" fillId="0" borderId="0" xfId="1" applyNumberFormat="1" applyFont="1" applyFill="1" applyBorder="1"/>
    <xf numFmtId="164" fontId="19" fillId="0" borderId="0" xfId="1" applyNumberFormat="1" applyFont="1" applyFill="1"/>
    <xf numFmtId="43" fontId="19" fillId="0" borderId="0" xfId="4" applyFont="1" applyFill="1"/>
    <xf numFmtId="1" fontId="19" fillId="0" borderId="0" xfId="4" applyNumberFormat="1" applyFont="1" applyFill="1"/>
    <xf numFmtId="2" fontId="63" fillId="0" borderId="0" xfId="6" applyNumberFormat="1" applyFont="1" applyFill="1" applyBorder="1" applyAlignment="1">
      <alignment horizontal="center" wrapText="1"/>
    </xf>
    <xf numFmtId="166" fontId="19" fillId="0" borderId="0" xfId="4" applyNumberFormat="1" applyFont="1" applyFill="1" applyAlignment="1">
      <alignment horizontal="right"/>
    </xf>
    <xf numFmtId="0" fontId="7" fillId="6" borderId="3" xfId="0" applyFont="1" applyFill="1" applyBorder="1"/>
    <xf numFmtId="166" fontId="7" fillId="6" borderId="3" xfId="4" applyNumberFormat="1" applyFont="1" applyFill="1" applyBorder="1"/>
    <xf numFmtId="165" fontId="7" fillId="6" borderId="3" xfId="0" applyNumberFormat="1" applyFont="1" applyFill="1" applyBorder="1"/>
    <xf numFmtId="165" fontId="0" fillId="6" borderId="0" xfId="0" applyNumberFormat="1" applyFill="1"/>
    <xf numFmtId="166" fontId="7" fillId="6" borderId="0" xfId="4" applyNumberFormat="1" applyFont="1" applyFill="1" applyBorder="1"/>
    <xf numFmtId="165" fontId="16" fillId="6" borderId="4" xfId="1" applyFont="1" applyFill="1" applyBorder="1"/>
    <xf numFmtId="166" fontId="58" fillId="15" borderId="3" xfId="6" applyNumberFormat="1" applyFont="1" applyFill="1" applyBorder="1" applyAlignment="1">
      <alignment horizontal="center" wrapText="1"/>
    </xf>
    <xf numFmtId="165" fontId="6" fillId="15" borderId="3" xfId="1" applyFont="1" applyFill="1" applyBorder="1"/>
    <xf numFmtId="166" fontId="6" fillId="15" borderId="3" xfId="4" applyNumberFormat="1" applyFont="1" applyFill="1" applyBorder="1"/>
    <xf numFmtId="43" fontId="6" fillId="15" borderId="3" xfId="4" applyFont="1" applyFill="1" applyBorder="1"/>
    <xf numFmtId="165" fontId="6" fillId="15" borderId="3" xfId="1" applyFont="1" applyFill="1" applyBorder="1" applyAlignment="1">
      <alignment horizontal="right"/>
    </xf>
    <xf numFmtId="0" fontId="64" fillId="3" borderId="3" xfId="0" applyFont="1" applyFill="1" applyBorder="1"/>
    <xf numFmtId="165" fontId="18" fillId="15" borderId="3" xfId="1" applyFont="1" applyFill="1" applyBorder="1"/>
    <xf numFmtId="43" fontId="18" fillId="15" borderId="3" xfId="4" applyFont="1" applyFill="1" applyBorder="1"/>
    <xf numFmtId="165" fontId="18" fillId="0" borderId="0" xfId="1" applyFont="1" applyFill="1"/>
    <xf numFmtId="166" fontId="18" fillId="0" borderId="0" xfId="4" applyNumberFormat="1" applyFont="1" applyFill="1"/>
    <xf numFmtId="164" fontId="18" fillId="0" borderId="0" xfId="1" applyNumberFormat="1" applyFont="1" applyFill="1"/>
    <xf numFmtId="43" fontId="18" fillId="0" borderId="0" xfId="4" applyFont="1" applyFill="1"/>
    <xf numFmtId="1" fontId="18" fillId="0" borderId="0" xfId="4" applyNumberFormat="1" applyFont="1" applyFill="1"/>
    <xf numFmtId="166" fontId="18" fillId="0" borderId="0" xfId="4" applyNumberFormat="1" applyFont="1" applyFill="1" applyAlignment="1">
      <alignment horizontal="right"/>
    </xf>
    <xf numFmtId="10" fontId="9" fillId="2" borderId="0" xfId="2" quotePrefix="1" applyNumberFormat="1" applyFont="1" applyFill="1" applyBorder="1" applyAlignment="1">
      <alignment horizontal="left"/>
    </xf>
    <xf numFmtId="10" fontId="58" fillId="15" borderId="3" xfId="2" applyNumberFormat="1" applyFont="1" applyFill="1" applyBorder="1" applyAlignment="1">
      <alignment horizontal="center" wrapText="1"/>
    </xf>
    <xf numFmtId="10" fontId="6" fillId="15" borderId="3" xfId="2" applyNumberFormat="1" applyFont="1" applyFill="1" applyBorder="1"/>
    <xf numFmtId="10" fontId="18" fillId="15" borderId="3" xfId="2" applyNumberFormat="1" applyFont="1" applyFill="1" applyBorder="1"/>
    <xf numFmtId="10" fontId="19" fillId="0" borderId="0" xfId="2" applyNumberFormat="1" applyFont="1" applyFill="1" applyBorder="1"/>
    <xf numFmtId="10" fontId="36" fillId="11" borderId="10" xfId="2" applyNumberFormat="1" applyFont="1" applyFill="1" applyBorder="1" applyAlignment="1">
      <alignment horizontal="center" vertical="center"/>
    </xf>
    <xf numFmtId="10" fontId="36" fillId="11" borderId="21" xfId="2" applyNumberFormat="1" applyFont="1" applyFill="1" applyBorder="1" applyAlignment="1">
      <alignment horizontal="center" vertical="center"/>
    </xf>
    <xf numFmtId="10" fontId="33" fillId="11" borderId="34" xfId="2" applyNumberFormat="1" applyFont="1" applyFill="1" applyBorder="1" applyAlignment="1">
      <alignment horizontal="center"/>
    </xf>
    <xf numFmtId="10" fontId="15" fillId="6" borderId="3" xfId="2" applyNumberFormat="1" applyFont="1" applyFill="1" applyBorder="1"/>
    <xf numFmtId="10" fontId="55" fillId="0" borderId="0" xfId="2" applyNumberFormat="1" applyFont="1" applyFill="1"/>
    <xf numFmtId="10" fontId="16" fillId="0" borderId="0" xfId="2" applyNumberFormat="1" applyFont="1" applyFill="1"/>
    <xf numFmtId="10" fontId="15" fillId="0" borderId="0" xfId="2" applyNumberFormat="1" applyFont="1" applyFill="1"/>
    <xf numFmtId="10" fontId="7" fillId="0" borderId="0" xfId="2" applyNumberFormat="1" applyFont="1" applyFill="1"/>
    <xf numFmtId="10" fontId="61" fillId="0" borderId="0" xfId="2" applyNumberFormat="1" applyFont="1" applyFill="1"/>
    <xf numFmtId="10" fontId="18" fillId="0" borderId="0" xfId="2" applyNumberFormat="1" applyFont="1" applyFill="1"/>
    <xf numFmtId="10" fontId="36" fillId="11" borderId="16" xfId="2" applyNumberFormat="1" applyFont="1" applyFill="1" applyBorder="1" applyAlignment="1">
      <alignment horizontal="center" vertical="center"/>
    </xf>
    <xf numFmtId="10" fontId="36" fillId="11" borderId="43" xfId="2" applyNumberFormat="1" applyFont="1" applyFill="1" applyBorder="1" applyAlignment="1">
      <alignment horizontal="center" vertical="center"/>
    </xf>
    <xf numFmtId="10" fontId="33" fillId="11" borderId="35" xfId="2" applyNumberFormat="1" applyFont="1" applyFill="1" applyBorder="1" applyAlignment="1">
      <alignment horizontal="center"/>
    </xf>
    <xf numFmtId="10" fontId="15" fillId="6" borderId="27" xfId="2" applyNumberFormat="1" applyFont="1" applyFill="1" applyBorder="1"/>
    <xf numFmtId="10" fontId="35" fillId="10" borderId="38" xfId="2" applyNumberFormat="1" applyFont="1" applyFill="1" applyBorder="1"/>
    <xf numFmtId="0" fontId="0" fillId="0" borderId="54" xfId="0" applyBorder="1"/>
    <xf numFmtId="166" fontId="0" fillId="14" borderId="54" xfId="0" applyNumberFormat="1" applyFill="1" applyBorder="1"/>
    <xf numFmtId="165" fontId="0" fillId="2" borderId="0" xfId="0" applyNumberFormat="1" applyFill="1"/>
    <xf numFmtId="43" fontId="55" fillId="0" borderId="0" xfId="2" applyNumberFormat="1" applyFont="1" applyFill="1"/>
    <xf numFmtId="43" fontId="55" fillId="0" borderId="0" xfId="1" applyNumberFormat="1" applyFont="1" applyFill="1"/>
    <xf numFmtId="43" fontId="55" fillId="5" borderId="0" xfId="1" applyNumberFormat="1" applyFont="1" applyFill="1"/>
    <xf numFmtId="43" fontId="55" fillId="0" borderId="0" xfId="4" applyFont="1" applyFill="1" applyBorder="1"/>
    <xf numFmtId="43" fontId="55" fillId="0" borderId="0" xfId="1" applyNumberFormat="1" applyFont="1"/>
    <xf numFmtId="43" fontId="55" fillId="0" borderId="0" xfId="4" applyFont="1" applyFill="1" applyAlignment="1">
      <alignment horizontal="right"/>
    </xf>
    <xf numFmtId="165" fontId="55" fillId="2" borderId="0" xfId="1" applyFont="1" applyFill="1"/>
    <xf numFmtId="166" fontId="11" fillId="2" borderId="0" xfId="4" applyNumberFormat="1" applyFont="1" applyFill="1"/>
    <xf numFmtId="166" fontId="41" fillId="2" borderId="19" xfId="4" applyNumberFormat="1" applyFont="1" applyFill="1" applyBorder="1"/>
    <xf numFmtId="10" fontId="30" fillId="2" borderId="3" xfId="2" applyNumberFormat="1" applyFont="1" applyFill="1" applyBorder="1"/>
    <xf numFmtId="164" fontId="30" fillId="2" borderId="3" xfId="1" applyNumberFormat="1" applyFont="1" applyFill="1" applyBorder="1"/>
    <xf numFmtId="10" fontId="30" fillId="2" borderId="27" xfId="2" applyNumberFormat="1" applyFont="1" applyFill="1" applyBorder="1"/>
    <xf numFmtId="165" fontId="30" fillId="2" borderId="3" xfId="1" applyFont="1" applyFill="1" applyBorder="1"/>
    <xf numFmtId="167" fontId="30" fillId="2" borderId="4" xfId="4" applyNumberFormat="1" applyFont="1" applyFill="1" applyBorder="1"/>
    <xf numFmtId="165" fontId="30" fillId="2" borderId="26" xfId="1" applyFont="1" applyFill="1" applyBorder="1"/>
    <xf numFmtId="167" fontId="30" fillId="2" borderId="3" xfId="4" applyNumberFormat="1" applyFont="1" applyFill="1" applyBorder="1"/>
    <xf numFmtId="10" fontId="44" fillId="2" borderId="0" xfId="2" applyNumberFormat="1" applyFont="1" applyFill="1" applyBorder="1"/>
    <xf numFmtId="167" fontId="30" fillId="2" borderId="30" xfId="4" applyNumberFormat="1" applyFont="1" applyFill="1" applyBorder="1" applyAlignment="1">
      <alignment horizontal="right"/>
    </xf>
    <xf numFmtId="10" fontId="30" fillId="2" borderId="0" xfId="2" applyNumberFormat="1" applyFont="1" applyFill="1" applyBorder="1"/>
    <xf numFmtId="10" fontId="15" fillId="2" borderId="0" xfId="2" applyNumberFormat="1" applyFont="1" applyFill="1" applyBorder="1"/>
    <xf numFmtId="165" fontId="45" fillId="6" borderId="0" xfId="1" applyFont="1" applyFill="1"/>
    <xf numFmtId="165" fontId="35" fillId="10" borderId="31" xfId="1" applyFont="1" applyFill="1" applyBorder="1"/>
    <xf numFmtId="2" fontId="0" fillId="0" borderId="0" xfId="1" applyNumberFormat="1" applyFont="1" applyFill="1" applyBorder="1"/>
    <xf numFmtId="43" fontId="0" fillId="0" borderId="0" xfId="0" applyNumberFormat="1"/>
    <xf numFmtId="169" fontId="7" fillId="0" borderId="3" xfId="1" applyNumberFormat="1" applyFont="1" applyBorder="1"/>
    <xf numFmtId="169" fontId="0" fillId="0" borderId="54" xfId="0" applyNumberFormat="1" applyBorder="1"/>
    <xf numFmtId="169" fontId="0" fillId="14" borderId="54" xfId="0" applyNumberFormat="1" applyFill="1" applyBorder="1"/>
    <xf numFmtId="165" fontId="45" fillId="13" borderId="26" xfId="1" applyFont="1" applyFill="1" applyBorder="1"/>
    <xf numFmtId="166" fontId="65" fillId="15" borderId="0" xfId="4" applyNumberFormat="1" applyFont="1" applyFill="1"/>
    <xf numFmtId="166" fontId="66" fillId="15" borderId="19" xfId="4" applyNumberFormat="1" applyFont="1" applyFill="1" applyBorder="1"/>
    <xf numFmtId="164" fontId="65" fillId="15" borderId="3" xfId="1" applyNumberFormat="1" applyFont="1" applyFill="1" applyBorder="1"/>
    <xf numFmtId="10" fontId="65" fillId="15" borderId="27" xfId="2" applyNumberFormat="1" applyFont="1" applyFill="1" applyBorder="1"/>
    <xf numFmtId="164" fontId="65" fillId="15" borderId="26" xfId="1" applyNumberFormat="1" applyFont="1" applyFill="1" applyBorder="1"/>
    <xf numFmtId="10" fontId="65" fillId="15" borderId="3" xfId="2" applyNumberFormat="1" applyFont="1" applyFill="1" applyBorder="1"/>
    <xf numFmtId="10" fontId="65" fillId="15" borderId="4" xfId="2" applyNumberFormat="1" applyFont="1" applyFill="1" applyBorder="1"/>
    <xf numFmtId="165" fontId="65" fillId="15" borderId="3" xfId="1" applyFont="1" applyFill="1" applyBorder="1"/>
    <xf numFmtId="167" fontId="65" fillId="15" borderId="4" xfId="4" applyNumberFormat="1" applyFont="1" applyFill="1" applyBorder="1"/>
    <xf numFmtId="165" fontId="65" fillId="15" borderId="26" xfId="1" applyFont="1" applyFill="1" applyBorder="1"/>
    <xf numFmtId="10" fontId="65" fillId="15" borderId="42" xfId="2" applyNumberFormat="1" applyFont="1" applyFill="1" applyBorder="1"/>
    <xf numFmtId="10" fontId="65" fillId="15" borderId="0" xfId="2" applyNumberFormat="1" applyFont="1" applyFill="1" applyBorder="1"/>
    <xf numFmtId="166" fontId="65" fillId="15" borderId="30" xfId="4" applyNumberFormat="1" applyFont="1" applyFill="1" applyBorder="1" applyAlignment="1">
      <alignment horizontal="right"/>
    </xf>
    <xf numFmtId="166" fontId="65" fillId="15" borderId="26" xfId="2" applyNumberFormat="1" applyFont="1" applyFill="1" applyBorder="1"/>
    <xf numFmtId="166" fontId="65" fillId="15" borderId="26" xfId="4" applyNumberFormat="1" applyFont="1" applyFill="1" applyBorder="1"/>
    <xf numFmtId="167" fontId="65" fillId="15" borderId="26" xfId="4" applyNumberFormat="1" applyFont="1" applyFill="1" applyBorder="1"/>
    <xf numFmtId="167" fontId="65" fillId="15" borderId="3" xfId="4" applyNumberFormat="1" applyFont="1" applyFill="1" applyBorder="1"/>
    <xf numFmtId="169" fontId="0" fillId="15" borderId="0" xfId="0" applyNumberFormat="1" applyFill="1"/>
    <xf numFmtId="169" fontId="0" fillId="15" borderId="3" xfId="0" applyNumberFormat="1" applyFill="1" applyBorder="1"/>
    <xf numFmtId="43" fontId="65" fillId="15" borderId="0" xfId="4" applyFont="1" applyFill="1"/>
    <xf numFmtId="2" fontId="65" fillId="15" borderId="0" xfId="2" applyNumberFormat="1" applyFont="1" applyFill="1" applyBorder="1"/>
    <xf numFmtId="169" fontId="0" fillId="2" borderId="0" xfId="0" applyNumberFormat="1" applyFill="1"/>
    <xf numFmtId="169" fontId="7" fillId="2" borderId="0" xfId="4" applyNumberFormat="1" applyFont="1" applyFill="1" applyBorder="1"/>
    <xf numFmtId="164" fontId="30" fillId="15" borderId="26" xfId="1" applyNumberFormat="1" applyFont="1" applyFill="1" applyBorder="1"/>
    <xf numFmtId="164" fontId="30" fillId="15" borderId="3" xfId="1" applyNumberFormat="1" applyFont="1" applyFill="1" applyBorder="1"/>
    <xf numFmtId="165" fontId="30" fillId="15" borderId="3" xfId="1" applyFont="1" applyFill="1" applyBorder="1"/>
    <xf numFmtId="166" fontId="18" fillId="0" borderId="0" xfId="4" applyNumberFormat="1" applyFont="1" applyFill="1" applyBorder="1" applyAlignment="1"/>
    <xf numFmtId="166" fontId="19" fillId="0" borderId="11" xfId="4" applyNumberFormat="1" applyFont="1" applyFill="1" applyBorder="1" applyAlignment="1">
      <alignment horizontal="right"/>
    </xf>
    <xf numFmtId="166" fontId="19" fillId="0" borderId="12" xfId="4" applyNumberFormat="1" applyFont="1" applyFill="1" applyBorder="1"/>
    <xf numFmtId="166" fontId="19" fillId="0" borderId="12" xfId="4" applyNumberFormat="1" applyFont="1" applyFill="1" applyBorder="1" applyAlignment="1">
      <alignment horizontal="right"/>
    </xf>
    <xf numFmtId="166" fontId="19" fillId="0" borderId="13" xfId="4" applyNumberFormat="1" applyFont="1" applyFill="1" applyBorder="1" applyAlignment="1"/>
    <xf numFmtId="166" fontId="19" fillId="0" borderId="32" xfId="4" applyNumberFormat="1" applyFont="1" applyFill="1" applyBorder="1" applyAlignment="1">
      <alignment horizontal="right"/>
    </xf>
    <xf numFmtId="166" fontId="19" fillId="0" borderId="50" xfId="4" applyNumberFormat="1" applyFont="1" applyFill="1" applyBorder="1" applyAlignment="1"/>
    <xf numFmtId="166" fontId="7" fillId="0" borderId="8" xfId="4" applyNumberFormat="1" applyFont="1" applyFill="1" applyBorder="1" applyAlignment="1">
      <alignment horizontal="center" vertical="center"/>
    </xf>
    <xf numFmtId="164" fontId="45" fillId="0" borderId="9" xfId="1" applyNumberFormat="1" applyFont="1" applyFill="1" applyBorder="1"/>
    <xf numFmtId="164" fontId="45" fillId="0" borderId="10" xfId="1" applyNumberFormat="1" applyFont="1" applyFill="1" applyBorder="1"/>
    <xf numFmtId="164" fontId="45" fillId="0" borderId="16" xfId="1" applyNumberFormat="1" applyFont="1" applyFill="1" applyBorder="1"/>
    <xf numFmtId="166" fontId="7" fillId="0" borderId="19" xfId="4" applyNumberFormat="1" applyFont="1" applyFill="1" applyBorder="1" applyAlignment="1">
      <alignment horizontal="center" vertical="center"/>
    </xf>
    <xf numFmtId="164" fontId="45" fillId="0" borderId="26" xfId="1" applyNumberFormat="1" applyFont="1" applyFill="1" applyBorder="1"/>
    <xf numFmtId="164" fontId="45" fillId="0" borderId="3" xfId="1" applyNumberFormat="1" applyFont="1" applyFill="1" applyBorder="1"/>
    <xf numFmtId="164" fontId="45" fillId="0" borderId="27" xfId="1" applyNumberFormat="1" applyFont="1" applyFill="1" applyBorder="1"/>
    <xf numFmtId="166" fontId="7" fillId="0" borderId="45" xfId="4" applyNumberFormat="1" applyFont="1" applyFill="1" applyBorder="1" applyAlignment="1">
      <alignment horizontal="center" vertical="center"/>
    </xf>
    <xf numFmtId="164" fontId="45" fillId="0" borderId="28" xfId="1" applyNumberFormat="1" applyFont="1" applyFill="1" applyBorder="1"/>
    <xf numFmtId="164" fontId="45" fillId="0" borderId="44" xfId="1" applyNumberFormat="1" applyFont="1" applyFill="1" applyBorder="1"/>
    <xf numFmtId="164" fontId="45" fillId="0" borderId="38" xfId="1" applyNumberFormat="1" applyFont="1" applyFill="1" applyBorder="1"/>
    <xf numFmtId="164" fontId="46" fillId="0" borderId="12" xfId="1" applyNumberFormat="1" applyFont="1" applyFill="1" applyBorder="1"/>
    <xf numFmtId="166" fontId="28" fillId="0" borderId="39" xfId="4" applyNumberFormat="1" applyFont="1" applyFill="1" applyBorder="1" applyAlignment="1">
      <alignment horizontal="center" vertical="center"/>
    </xf>
    <xf numFmtId="164" fontId="28" fillId="0" borderId="40" xfId="1" applyNumberFormat="1" applyFont="1" applyFill="1" applyBorder="1"/>
    <xf numFmtId="166" fontId="28" fillId="0" borderId="28" xfId="4" applyNumberFormat="1" applyFont="1" applyFill="1" applyBorder="1" applyAlignment="1">
      <alignment horizontal="center" vertical="center"/>
    </xf>
    <xf numFmtId="166" fontId="28" fillId="0" borderId="44" xfId="4" applyNumberFormat="1" applyFont="1" applyFill="1" applyBorder="1"/>
    <xf numFmtId="166" fontId="28" fillId="0" borderId="38" xfId="4" applyNumberFormat="1" applyFont="1" applyFill="1" applyBorder="1"/>
    <xf numFmtId="166" fontId="11" fillId="0" borderId="44" xfId="4" applyNumberFormat="1" applyFont="1" applyFill="1" applyBorder="1"/>
    <xf numFmtId="166" fontId="19" fillId="0" borderId="44" xfId="4" applyNumberFormat="1" applyFont="1" applyFill="1" applyBorder="1"/>
    <xf numFmtId="166" fontId="19" fillId="0" borderId="38" xfId="4" applyNumberFormat="1" applyFont="1" applyFill="1" applyBorder="1"/>
    <xf numFmtId="166" fontId="20" fillId="0" borderId="22" xfId="4" applyNumberFormat="1" applyFont="1" applyFill="1" applyBorder="1" applyAlignment="1">
      <alignment horizontal="center"/>
    </xf>
    <xf numFmtId="10" fontId="19" fillId="0" borderId="23" xfId="2" applyNumberFormat="1" applyFont="1" applyFill="1" applyBorder="1"/>
    <xf numFmtId="166" fontId="19" fillId="0" borderId="23" xfId="4" applyNumberFormat="1" applyFont="1" applyFill="1" applyBorder="1"/>
    <xf numFmtId="10" fontId="19" fillId="0" borderId="24" xfId="2" applyNumberFormat="1" applyFont="1" applyFill="1" applyBorder="1"/>
    <xf numFmtId="166" fontId="21" fillId="0" borderId="0" xfId="4" applyNumberFormat="1" applyFont="1" applyFill="1"/>
    <xf numFmtId="166" fontId="20" fillId="0" borderId="0" xfId="4" applyNumberFormat="1" applyFont="1" applyFill="1" applyBorder="1" applyAlignment="1">
      <alignment horizontal="center"/>
    </xf>
    <xf numFmtId="2" fontId="11" fillId="0" borderId="0" xfId="2" applyNumberFormat="1" applyFont="1" applyFill="1" applyBorder="1"/>
    <xf numFmtId="2" fontId="11" fillId="0" borderId="0" xfId="4" applyNumberFormat="1" applyFont="1" applyFill="1" applyBorder="1"/>
    <xf numFmtId="165" fontId="7" fillId="0" borderId="0" xfId="1" applyFont="1" applyFill="1" applyAlignment="1">
      <alignment horizontal="right"/>
    </xf>
    <xf numFmtId="166" fontId="32" fillId="0" borderId="0" xfId="4" applyNumberFormat="1" applyFont="1" applyFill="1"/>
    <xf numFmtId="166" fontId="62" fillId="0" borderId="0" xfId="4" applyNumberFormat="1" applyFont="1" applyFill="1"/>
    <xf numFmtId="169" fontId="6" fillId="0" borderId="0" xfId="1" applyNumberFormat="1" applyFont="1" applyFill="1"/>
    <xf numFmtId="165" fontId="16" fillId="6" borderId="0" xfId="1" applyFont="1" applyFill="1"/>
    <xf numFmtId="43" fontId="45" fillId="6" borderId="42" xfId="4" applyFont="1" applyFill="1" applyBorder="1"/>
    <xf numFmtId="165" fontId="36" fillId="11" borderId="9" xfId="1" applyFont="1" applyFill="1" applyBorder="1" applyAlignment="1">
      <alignment horizontal="center" vertical="center" wrapText="1"/>
    </xf>
    <xf numFmtId="165" fontId="36" fillId="11" borderId="16" xfId="1" applyFont="1" applyFill="1" applyBorder="1" applyAlignment="1">
      <alignment horizontal="center" vertical="center" wrapText="1"/>
    </xf>
    <xf numFmtId="165" fontId="36" fillId="11" borderId="26" xfId="1" applyFont="1" applyFill="1" applyBorder="1" applyAlignment="1">
      <alignment horizontal="center" vertical="center" wrapText="1"/>
    </xf>
    <xf numFmtId="165" fontId="36" fillId="11" borderId="27" xfId="1" applyFont="1" applyFill="1" applyBorder="1" applyAlignment="1">
      <alignment horizontal="center" vertical="center" wrapText="1"/>
    </xf>
    <xf numFmtId="165" fontId="36" fillId="11" borderId="28" xfId="1" applyFont="1" applyFill="1" applyBorder="1" applyAlignment="1">
      <alignment horizontal="center" vertical="center" wrapText="1"/>
    </xf>
    <xf numFmtId="165" fontId="36" fillId="11" borderId="38" xfId="1" applyFont="1" applyFill="1" applyBorder="1" applyAlignment="1">
      <alignment horizontal="center" vertical="center" wrapText="1"/>
    </xf>
    <xf numFmtId="165" fontId="15" fillId="6" borderId="16" xfId="1" applyFont="1" applyFill="1" applyBorder="1"/>
    <xf numFmtId="165" fontId="30" fillId="6" borderId="27" xfId="1" applyFont="1" applyFill="1" applyBorder="1"/>
    <xf numFmtId="165" fontId="15" fillId="6" borderId="27" xfId="1" applyFont="1" applyFill="1" applyBorder="1"/>
    <xf numFmtId="165" fontId="16" fillId="6" borderId="28" xfId="1" applyFont="1" applyFill="1" applyBorder="1"/>
    <xf numFmtId="165" fontId="30" fillId="2" borderId="37" xfId="1" applyFont="1" applyFill="1" applyBorder="1"/>
    <xf numFmtId="165" fontId="45" fillId="6" borderId="41" xfId="1" applyFont="1" applyFill="1" applyBorder="1"/>
    <xf numFmtId="165" fontId="45" fillId="6" borderId="43" xfId="1" applyFont="1" applyFill="1" applyBorder="1"/>
    <xf numFmtId="165" fontId="35" fillId="10" borderId="24" xfId="1" applyFont="1" applyFill="1" applyBorder="1"/>
    <xf numFmtId="168" fontId="6" fillId="0" borderId="0" xfId="1" applyNumberFormat="1" applyFont="1" applyFill="1"/>
    <xf numFmtId="165" fontId="30" fillId="6" borderId="0" xfId="1" applyFont="1" applyFill="1"/>
    <xf numFmtId="43" fontId="7" fillId="0" borderId="3" xfId="0" applyNumberFormat="1" applyFont="1" applyBorder="1"/>
    <xf numFmtId="169" fontId="0" fillId="0" borderId="0" xfId="1" applyNumberFormat="1" applyFont="1" applyAlignment="1">
      <alignment wrapText="1"/>
    </xf>
    <xf numFmtId="169" fontId="4" fillId="2" borderId="0" xfId="1" applyNumberFormat="1" applyFont="1" applyFill="1"/>
    <xf numFmtId="169" fontId="5" fillId="0" borderId="0" xfId="1" applyNumberFormat="1" applyFont="1" applyAlignment="1">
      <alignment horizontal="left"/>
    </xf>
    <xf numFmtId="169" fontId="5" fillId="0" borderId="0" xfId="1" applyNumberFormat="1" applyFont="1"/>
    <xf numFmtId="169" fontId="7" fillId="12" borderId="0" xfId="1" applyNumberFormat="1" applyFont="1" applyFill="1"/>
    <xf numFmtId="169" fontId="32" fillId="12" borderId="0" xfId="1" applyNumberFormat="1" applyFont="1" applyFill="1"/>
    <xf numFmtId="169" fontId="5" fillId="7" borderId="0" xfId="1" applyNumberFormat="1" applyFont="1" applyFill="1" applyAlignment="1">
      <alignment horizontal="left"/>
    </xf>
    <xf numFmtId="169" fontId="17" fillId="7" borderId="0" xfId="1" applyNumberFormat="1" applyFont="1" applyFill="1"/>
    <xf numFmtId="169" fontId="22" fillId="7" borderId="3" xfId="1" applyNumberFormat="1" applyFont="1" applyFill="1" applyBorder="1"/>
    <xf numFmtId="169" fontId="23" fillId="7" borderId="0" xfId="1" applyNumberFormat="1" applyFont="1" applyFill="1"/>
    <xf numFmtId="169" fontId="7" fillId="7" borderId="0" xfId="1" applyNumberFormat="1" applyFont="1" applyFill="1"/>
    <xf numFmtId="169" fontId="6" fillId="0" borderId="3" xfId="1" applyNumberFormat="1" applyBorder="1"/>
    <xf numFmtId="169" fontId="17" fillId="0" borderId="0" xfId="1" applyNumberFormat="1" applyFont="1"/>
    <xf numFmtId="169" fontId="5" fillId="0" borderId="0" xfId="1" applyNumberFormat="1" applyFont="1" applyFill="1"/>
    <xf numFmtId="169" fontId="5" fillId="0" borderId="0" xfId="1" applyNumberFormat="1" applyFont="1" applyFill="1" applyAlignment="1">
      <alignment horizontal="left"/>
    </xf>
    <xf numFmtId="166" fontId="47" fillId="6" borderId="0" xfId="4" applyNumberFormat="1" applyFont="1" applyFill="1"/>
    <xf numFmtId="165" fontId="15" fillId="6" borderId="0" xfId="1" applyFont="1" applyFill="1"/>
    <xf numFmtId="166" fontId="52" fillId="6" borderId="0" xfId="4" applyNumberFormat="1" applyFont="1" applyFill="1"/>
    <xf numFmtId="10" fontId="29" fillId="15" borderId="3" xfId="2" applyNumberFormat="1" applyFont="1" applyFill="1" applyBorder="1"/>
    <xf numFmtId="1" fontId="15" fillId="0" borderId="0" xfId="4" applyNumberFormat="1" applyFont="1" applyFill="1"/>
    <xf numFmtId="166" fontId="19" fillId="0" borderId="0" xfId="4" applyNumberFormat="1" applyFont="1" applyFill="1" applyBorder="1" applyAlignment="1">
      <alignment horizontal="center"/>
    </xf>
    <xf numFmtId="166" fontId="19" fillId="0" borderId="0" xfId="4" applyNumberFormat="1" applyFont="1" applyFill="1" applyBorder="1" applyAlignment="1"/>
    <xf numFmtId="164" fontId="45" fillId="0" borderId="0" xfId="1" applyNumberFormat="1" applyFont="1" applyFill="1" applyBorder="1"/>
    <xf numFmtId="164" fontId="28" fillId="0" borderId="0" xfId="1" applyNumberFormat="1" applyFont="1" applyFill="1" applyBorder="1"/>
    <xf numFmtId="166" fontId="19" fillId="0" borderId="0" xfId="4" applyNumberFormat="1" applyFont="1" applyFill="1" applyBorder="1"/>
    <xf numFmtId="0" fontId="31" fillId="0" borderId="0" xfId="0" applyFont="1"/>
    <xf numFmtId="169" fontId="0" fillId="0" borderId="0" xfId="1" applyNumberFormat="1" applyFont="1" applyFill="1"/>
    <xf numFmtId="0" fontId="16" fillId="0" borderId="0" xfId="0" applyFont="1"/>
    <xf numFmtId="169" fontId="7" fillId="0" borderId="3" xfId="1" applyNumberFormat="1" applyFont="1" applyFill="1" applyBorder="1"/>
    <xf numFmtId="17" fontId="7" fillId="0" borderId="3" xfId="0" applyNumberFormat="1" applyFont="1" applyBorder="1"/>
    <xf numFmtId="165" fontId="0" fillId="0" borderId="0" xfId="1" applyFont="1" applyFill="1" applyBorder="1"/>
    <xf numFmtId="169" fontId="0" fillId="0" borderId="0" xfId="1" applyNumberFormat="1" applyFont="1" applyFill="1" applyBorder="1"/>
    <xf numFmtId="165" fontId="0" fillId="0" borderId="0" xfId="1" applyFont="1" applyFill="1"/>
    <xf numFmtId="0" fontId="67" fillId="2" borderId="55" xfId="0" applyFont="1" applyFill="1" applyBorder="1" applyAlignment="1">
      <alignment vertical="center"/>
    </xf>
    <xf numFmtId="165" fontId="6" fillId="0" borderId="3" xfId="1" applyFont="1" applyBorder="1"/>
    <xf numFmtId="165" fontId="7" fillId="6" borderId="3" xfId="1" applyFont="1" applyFill="1" applyBorder="1"/>
    <xf numFmtId="10" fontId="30" fillId="2" borderId="26" xfId="2" applyNumberFormat="1" applyFont="1" applyFill="1" applyBorder="1"/>
    <xf numFmtId="169" fontId="0" fillId="2" borderId="0" xfId="1" applyNumberFormat="1" applyFont="1" applyFill="1"/>
    <xf numFmtId="165" fontId="0" fillId="2" borderId="3" xfId="1" applyFont="1" applyFill="1" applyBorder="1"/>
    <xf numFmtId="0" fontId="7" fillId="2" borderId="3" xfId="0" applyFont="1" applyFill="1" applyBorder="1"/>
    <xf numFmtId="0" fontId="0" fillId="15" borderId="3" xfId="0" applyFill="1" applyBorder="1"/>
    <xf numFmtId="165" fontId="0" fillId="15" borderId="3" xfId="1" applyFont="1" applyFill="1" applyBorder="1"/>
    <xf numFmtId="0" fontId="0" fillId="15" borderId="0" xfId="0" applyFill="1"/>
    <xf numFmtId="2" fontId="0" fillId="15" borderId="3" xfId="0" applyNumberFormat="1" applyFill="1" applyBorder="1"/>
    <xf numFmtId="0" fontId="7" fillId="15" borderId="3" xfId="0" applyFont="1" applyFill="1" applyBorder="1"/>
    <xf numFmtId="0" fontId="29" fillId="15" borderId="3" xfId="0" applyFont="1" applyFill="1" applyBorder="1"/>
    <xf numFmtId="2" fontId="29" fillId="15" borderId="3" xfId="0" applyNumberFormat="1" applyFont="1" applyFill="1" applyBorder="1"/>
    <xf numFmtId="165" fontId="0" fillId="15" borderId="0" xfId="1" applyNumberFormat="1" applyFont="1" applyFill="1"/>
    <xf numFmtId="165" fontId="29" fillId="15" borderId="3" xfId="1" applyFont="1" applyFill="1" applyBorder="1"/>
    <xf numFmtId="165" fontId="5" fillId="15" borderId="3" xfId="1" applyFont="1" applyFill="1" applyBorder="1"/>
    <xf numFmtId="43" fontId="6" fillId="0" borderId="0" xfId="4" applyNumberFormat="1" applyFont="1" applyFill="1"/>
    <xf numFmtId="166" fontId="19" fillId="0" borderId="12" xfId="4" applyNumberFormat="1" applyFont="1" applyFill="1" applyBorder="1" applyAlignment="1">
      <alignment horizontal="center"/>
    </xf>
    <xf numFmtId="166" fontId="19" fillId="0" borderId="13" xfId="4" applyNumberFormat="1" applyFont="1" applyFill="1" applyBorder="1" applyAlignment="1">
      <alignment horizontal="center"/>
    </xf>
    <xf numFmtId="166" fontId="19" fillId="0" borderId="11" xfId="4" applyNumberFormat="1" applyFont="1" applyFill="1" applyBorder="1" applyAlignment="1">
      <alignment horizontal="center"/>
    </xf>
    <xf numFmtId="166" fontId="19" fillId="0" borderId="18" xfId="4" applyNumberFormat="1" applyFont="1" applyFill="1" applyBorder="1" applyAlignment="1">
      <alignment horizontal="center" vertical="center"/>
    </xf>
    <xf numFmtId="166" fontId="19" fillId="0" borderId="51" xfId="4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25B37CF1-E682-4134-8782-44A48F46D613}"/>
    <cellStyle name="Comma 3" xfId="4" xr:uid="{032E13CA-B519-440E-91B1-802AD1697B8E}"/>
    <cellStyle name="Comma 8" xfId="6" xr:uid="{44C4B616-499C-42B4-AC02-F40CB8D6F181}"/>
    <cellStyle name="Normal" xfId="0" builtinId="0"/>
    <cellStyle name="Normal 11" xfId="5" xr:uid="{2E010EE3-E7CC-413E-ABEC-7FA4982EF907}"/>
    <cellStyle name="Percent" xfId="2" builtinId="5"/>
  </cellStyles>
  <dxfs count="17"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pivotCacheDefinition" Target="pivotCache/pivotCacheDefinition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pivotCacheDefinition" Target="pivotCache/pivotCacheDefinition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8.xml"/><Relationship Id="rId41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4-24/EBIDTA/Mar%202024-Group%20EBIDTA%20&amp;%20PBT%20Consolidat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3-24/EBIDTA/Mar%202023-Group%20EBIDTA%20&amp;%20PBT%20Consolida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0%20MARCH%2024/Mar%2025%20Group%20EBIDTA%20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PBL%20123/PROVISION%20HPBL%201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PW1/Provisions%20May%2026%20KPW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PW3/KPW-3%20Provision%20Exp%20May-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OEL/OEL-1%20provision%20sheet%20May-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il1/Provision%20May-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il2/EBIDTA%2026-27%20%20PIL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PBL4/PROVISION%20SHEET-HPBL-IV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KPW3/KPW-3%20Provision%20Exp%20Apr-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OEL1/OEL-1%20provision%20sheet%20Apr-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pil2/EBIDTA%2025-26%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APR%2024/kpw/provisions%20april-24%20kpw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APR%2024/pil%202/EBIDTA%2024-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APR%2024/PIL%206/Check%20Report%20Apr-202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hpbl1/provision%20hpbl1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kpw1/provisions%20april%2026%20kpw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KPW3/KPW-3%20Provision%20Exp%20Apr-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OEL/OEL-1%20provision%20sheet%20Apr-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PIL1/Provision%20April-26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pil2/EBIDTA%2026-27%2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HPBL4/Check%20Report%20APR-2026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KPW1/provisions%20april-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PIL1/Provision%20April-2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3-24/EBIDTA_23-24/May-23/EBIDTA%20from%20Plant/HPBL/HPBL%20I%20EBIDTA%20-May%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pid-11424\HPBL%20II%20EBIDTA%20-%20May%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3-24/EBIDTA_23-24/May-23/EBIDTA%20from%20Plant/KPW-3/KPW-3%20EBIDTA%20Report%20MAY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0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r-2023"/>
      <sheetName val="Feb-2023"/>
      <sheetName val="Jan-2023"/>
      <sheetName val="Dec-2022"/>
      <sheetName val="Nov-2022"/>
      <sheetName val="Oct-2022"/>
      <sheetName val="Sep-2022"/>
      <sheetName val="Aug-2022"/>
      <sheetName val="July-2022"/>
      <sheetName val="June-2022"/>
      <sheetName val="May-2022"/>
      <sheetName val="APR-2022"/>
      <sheetName val="% Summary"/>
    </sheetNames>
    <sheetDataSet>
      <sheetData sheetId="0"/>
      <sheetData sheetId="1">
        <row r="86">
          <cell r="C86">
            <v>12674797.444560111</v>
          </cell>
        </row>
      </sheetData>
      <sheetData sheetId="2">
        <row r="86">
          <cell r="C86">
            <v>22097199.298906893</v>
          </cell>
        </row>
      </sheetData>
      <sheetData sheetId="3">
        <row r="86">
          <cell r="C86">
            <v>12620556.207974255</v>
          </cell>
        </row>
      </sheetData>
      <sheetData sheetId="4">
        <row r="86">
          <cell r="C86">
            <v>-5531826.7723587155</v>
          </cell>
        </row>
      </sheetData>
      <sheetData sheetId="5">
        <row r="86">
          <cell r="C86">
            <v>10317994.815435261</v>
          </cell>
        </row>
      </sheetData>
      <sheetData sheetId="6">
        <row r="86">
          <cell r="C86">
            <v>-9019385.4484049976</v>
          </cell>
        </row>
      </sheetData>
      <sheetData sheetId="7">
        <row r="86">
          <cell r="C86">
            <v>-5216214.9883553088</v>
          </cell>
        </row>
      </sheetData>
      <sheetData sheetId="8">
        <row r="86">
          <cell r="C86">
            <v>-4983688.2407849431</v>
          </cell>
        </row>
      </sheetData>
      <sheetData sheetId="9">
        <row r="86">
          <cell r="C86">
            <v>391214.0041706562</v>
          </cell>
        </row>
      </sheetData>
      <sheetData sheetId="10">
        <row r="86">
          <cell r="C86">
            <v>9625074.8837851286</v>
          </cell>
        </row>
      </sheetData>
      <sheetData sheetId="11">
        <row r="86">
          <cell r="C86">
            <v>6786899.5363414288</v>
          </cell>
          <cell r="CQ86">
            <v>9.0850872872870969E-2</v>
          </cell>
          <cell r="CT86">
            <v>9.0527574371648267E-2</v>
          </cell>
        </row>
        <row r="91">
          <cell r="CT91">
            <v>4.5169427982731198E-3</v>
          </cell>
        </row>
      </sheetData>
      <sheetData sheetId="12">
        <row r="86">
          <cell r="C86">
            <v>25078822.616860271</v>
          </cell>
          <cell r="CT86">
            <v>0.14263615033290039</v>
          </cell>
        </row>
        <row r="91">
          <cell r="CT91">
            <v>7.3411415461767646E-2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y-24"/>
      <sheetName val="June-24"/>
      <sheetName val="May-24"/>
      <sheetName val="Apr-24"/>
      <sheetName val="common exp"/>
      <sheetName val="Stock sheet"/>
      <sheetName val="03.conso TB"/>
      <sheetName val="02.conso TB"/>
      <sheetName val="01.conso TB"/>
      <sheetName val="12.conso TB"/>
      <sheetName val="11.conso TB"/>
      <sheetName val="master"/>
      <sheetName val="10.conso TB"/>
      <sheetName val="09.conso TB"/>
      <sheetName val="08.conso TB"/>
      <sheetName val="07.conso TB"/>
      <sheetName val="06.conso TB"/>
      <sheetName val="05.conso TB"/>
      <sheetName val="04.conso TB"/>
      <sheetName val="5.conso TB"/>
      <sheetName val="4.Group TB"/>
      <sheetName val="6.Elimina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Group</v>
          </cell>
          <cell r="B1" t="str">
            <v>Ledger</v>
          </cell>
        </row>
        <row r="2">
          <cell r="A2" t="str">
            <v>Add: Purchase expenses</v>
          </cell>
          <cell r="B2" t="str">
            <v>Discount &amp; Rate Difference - Purchase</v>
          </cell>
        </row>
        <row r="3">
          <cell r="A3" t="str">
            <v>Add: Purchase of packing materials</v>
          </cell>
          <cell r="B3" t="str">
            <v>Packing Forwading &amp; Cartage Expense</v>
          </cell>
        </row>
        <row r="4">
          <cell r="A4" t="str">
            <v>NA</v>
          </cell>
          <cell r="B4" t="str">
            <v>Quantity Discount</v>
          </cell>
        </row>
        <row r="5">
          <cell r="A5" t="str">
            <v>Add: Purchase expenses</v>
          </cell>
          <cell r="B5" t="str">
            <v>Round Off - Purchases</v>
          </cell>
        </row>
        <row r="6">
          <cell r="A6" t="str">
            <v>Add: Purchase expenses</v>
          </cell>
          <cell r="B6" t="str">
            <v>C &amp; F Charges - Import</v>
          </cell>
        </row>
        <row r="7">
          <cell r="A7" t="str">
            <v>Add: Purchase expenses</v>
          </cell>
          <cell r="B7" t="str">
            <v>Custom Duty &amp; Charges</v>
          </cell>
        </row>
        <row r="8">
          <cell r="A8" t="str">
            <v>Add: Purchase expenses</v>
          </cell>
          <cell r="B8" t="str">
            <v>Freight Inward Expense (RCM)</v>
          </cell>
        </row>
        <row r="9">
          <cell r="A9" t="str">
            <v>Add: Purchase expenses</v>
          </cell>
          <cell r="B9" t="str">
            <v>Freight Inward Expense (With GST)</v>
          </cell>
        </row>
        <row r="10">
          <cell r="A10" t="str">
            <v>Add: Purchase expenses</v>
          </cell>
          <cell r="B10" t="str">
            <v>Freight Inward Expense (Without Gst)</v>
          </cell>
        </row>
        <row r="11">
          <cell r="A11" t="str">
            <v>Add: Purchase of Stores, Spares &amp; Consumables</v>
          </cell>
          <cell r="B11" t="str">
            <v>Consumables, Tools &amp; Spare Expense</v>
          </cell>
        </row>
        <row r="12">
          <cell r="A12" t="str">
            <v>Other Administrative Expenses</v>
          </cell>
          <cell r="B12" t="str">
            <v>Electricity Exp (Staff Colony)</v>
          </cell>
        </row>
        <row r="13">
          <cell r="A13" t="str">
            <v>Other Administrative Expenses</v>
          </cell>
          <cell r="B13" t="str">
            <v>Factory Expense</v>
          </cell>
        </row>
        <row r="14">
          <cell r="A14" t="str">
            <v>Labour charges</v>
          </cell>
          <cell r="B14" t="str">
            <v>Labour Charges</v>
          </cell>
        </row>
        <row r="15">
          <cell r="A15" t="str">
            <v>Power and fuel</v>
          </cell>
          <cell r="B15" t="str">
            <v>Power Expense</v>
          </cell>
        </row>
        <row r="16">
          <cell r="A16" t="str">
            <v>Other Administrative Expenses</v>
          </cell>
          <cell r="B16" t="str">
            <v>Rent Expense - Colony</v>
          </cell>
        </row>
        <row r="17">
          <cell r="A17" t="str">
            <v>Other Manufacturing Expenses</v>
          </cell>
          <cell r="B17" t="str">
            <v>Rent Expense - Factory</v>
          </cell>
        </row>
        <row r="18">
          <cell r="A18" t="str">
            <v>Other Administrative Expenses</v>
          </cell>
          <cell r="B18" t="str">
            <v>Rent Expense - Godown</v>
          </cell>
        </row>
        <row r="19">
          <cell r="A19" t="str">
            <v>Other Manufacturing Expenses</v>
          </cell>
          <cell r="B19" t="str">
            <v>Rent Expenses - Machineries</v>
          </cell>
        </row>
        <row r="20">
          <cell r="A20" t="str">
            <v>Exchange Rate Difference</v>
          </cell>
          <cell r="B20" t="str">
            <v>Exchange Rate Difference - Creditor</v>
          </cell>
        </row>
        <row r="21">
          <cell r="A21" t="str">
            <v>Add: Purchase expenses</v>
          </cell>
          <cell r="B21" t="str">
            <v>Freight Expense - Job In</v>
          </cell>
        </row>
        <row r="22">
          <cell r="A22" t="str">
            <v>Insurance</v>
          </cell>
          <cell r="B22" t="str">
            <v>Insurance Expenses - Plant</v>
          </cell>
        </row>
        <row r="23">
          <cell r="A23" t="str">
            <v>Freight Outward and C &amp; F Charges</v>
          </cell>
          <cell r="B23" t="str">
            <v>Internal Transportation Expense / Reimbursement</v>
          </cell>
        </row>
        <row r="24">
          <cell r="A24" t="str">
            <v xml:space="preserve">Jobwork charges </v>
          </cell>
          <cell r="B24" t="str">
            <v>Job Charges</v>
          </cell>
        </row>
        <row r="25">
          <cell r="A25" t="str">
            <v>Freight Outward and C &amp; F Charges</v>
          </cell>
          <cell r="B25" t="str">
            <v>Loading &amp; Unloading Expense</v>
          </cell>
        </row>
        <row r="26">
          <cell r="A26" t="str">
            <v>Other Manufacturing Expenses</v>
          </cell>
          <cell r="B26" t="str">
            <v>Testing Charges</v>
          </cell>
        </row>
        <row r="27">
          <cell r="A27" t="str">
            <v>Other Administrative Expenses</v>
          </cell>
          <cell r="B27" t="str">
            <v>Water Charges</v>
          </cell>
        </row>
        <row r="28">
          <cell r="A28" t="str">
            <v>Other Manufacturing Expenses</v>
          </cell>
          <cell r="B28" t="str">
            <v>Weighment Expense</v>
          </cell>
        </row>
        <row r="29">
          <cell r="A29" t="str">
            <v>Other Manufacturing Expenses</v>
          </cell>
          <cell r="B29" t="str">
            <v>Repairs &amp; Maintenance Exp - Plant &amp; Machinery</v>
          </cell>
        </row>
        <row r="30">
          <cell r="A30" t="str">
            <v>Add: Purchase of packing materials</v>
          </cell>
          <cell r="B30" t="str">
            <v>Branch Transfer In - Packing Material</v>
          </cell>
        </row>
        <row r="31">
          <cell r="A31" t="str">
            <v>Add: Purchase of raw materials</v>
          </cell>
          <cell r="B31" t="str">
            <v>Branch Transfer In - Raw Material</v>
          </cell>
        </row>
        <row r="32">
          <cell r="A32" t="str">
            <v>Add: Purchase of Stores, Spares &amp; Consumables</v>
          </cell>
          <cell r="B32" t="str">
            <v>Branch Transfer In - Stores, Spares &amp; Consumable</v>
          </cell>
        </row>
        <row r="33">
          <cell r="A33" t="str">
            <v>Add: Purchase of traded goods</v>
          </cell>
          <cell r="B33" t="str">
            <v>Branch Transfer In - Trading</v>
          </cell>
        </row>
        <row r="34">
          <cell r="A34" t="str">
            <v>Add: Purchase of raw materials</v>
          </cell>
          <cell r="B34" t="str">
            <v>Purchase Raw Material - Direct Import</v>
          </cell>
        </row>
        <row r="35">
          <cell r="A35" t="str">
            <v>Add: Purchase of packing materials</v>
          </cell>
          <cell r="B35" t="str">
            <v>Purchase Interstate- Packing Material</v>
          </cell>
        </row>
        <row r="36">
          <cell r="A36" t="str">
            <v>Add: Purchase of packing materials</v>
          </cell>
          <cell r="B36" t="str">
            <v>Purchase Withinstate- Packing Material</v>
          </cell>
        </row>
        <row r="37">
          <cell r="A37" t="str">
            <v>NA</v>
          </cell>
          <cell r="B37" t="str">
            <v>Purchase In Transit</v>
          </cell>
        </row>
        <row r="38">
          <cell r="A38" t="str">
            <v>Add: Purchase of raw materials</v>
          </cell>
          <cell r="B38" t="str">
            <v>Purchase Interstate - Raw Material</v>
          </cell>
        </row>
        <row r="39">
          <cell r="A39" t="str">
            <v>Add: Purchase of raw materials</v>
          </cell>
          <cell r="B39" t="str">
            <v>Purchase Withinstate - Raw Material</v>
          </cell>
        </row>
        <row r="40">
          <cell r="A40" t="str">
            <v>Add: Purchase of Stores, Spares &amp; Consumables</v>
          </cell>
          <cell r="B40" t="str">
            <v>Purchase - Import - Stores, Spares &amp; Consumable</v>
          </cell>
        </row>
        <row r="41">
          <cell r="A41" t="str">
            <v>Add: Purchase of Stores, Spares &amp; Consumables</v>
          </cell>
          <cell r="B41" t="str">
            <v>Purchase - Urd - Stores, Spares &amp; Consumable</v>
          </cell>
        </row>
        <row r="42">
          <cell r="A42" t="str">
            <v>Add: Purchase of Stores, Spares &amp; Consumables</v>
          </cell>
          <cell r="B42" t="str">
            <v>Purchase Interstate- Stores, Spares &amp; Consumable</v>
          </cell>
        </row>
        <row r="43">
          <cell r="A43" t="str">
            <v>Add: Purchase of Stores, Spares &amp; Consumables</v>
          </cell>
          <cell r="B43" t="str">
            <v>Purchase Return - Stores, Spares &amp; Consumable</v>
          </cell>
        </row>
        <row r="44">
          <cell r="A44" t="str">
            <v>Add: Purchase of Stores, Spares &amp; Consumables</v>
          </cell>
          <cell r="B44" t="str">
            <v>Purchase Withinstate- Stores, Spares &amp; Consumable</v>
          </cell>
        </row>
        <row r="45">
          <cell r="A45" t="str">
            <v>Add: Purchase of raw materials</v>
          </cell>
          <cell r="B45" t="str">
            <v>Purchase Interstate - Traded Goods</v>
          </cell>
        </row>
        <row r="46">
          <cell r="A46" t="str">
            <v>Add: Purchase of raw materials</v>
          </cell>
          <cell r="B46" t="str">
            <v>Purchase Withinstate - Traded Goods</v>
          </cell>
        </row>
        <row r="47">
          <cell r="A47" t="str">
            <v>Add: Purchase of traded goods</v>
          </cell>
          <cell r="B47" t="str">
            <v>Purchase-Import - Third Party</v>
          </cell>
        </row>
        <row r="48">
          <cell r="A48" t="str">
            <v>Add: Purchase of raw materials</v>
          </cell>
          <cell r="B48" t="str">
            <v>Purchase Raw Material - High Seas</v>
          </cell>
        </row>
        <row r="49">
          <cell r="A49" t="str">
            <v>Conveyance, vehicle running and traveling expenses</v>
          </cell>
          <cell r="B49" t="str">
            <v>Conveyance Expenses</v>
          </cell>
        </row>
        <row r="50">
          <cell r="A50" t="str">
            <v>Other Administrative Expenses</v>
          </cell>
          <cell r="B50" t="str">
            <v>Donation &amp; Charity A/C</v>
          </cell>
        </row>
        <row r="51">
          <cell r="A51" t="str">
            <v>Other Administrative Expenses</v>
          </cell>
          <cell r="B51" t="str">
            <v>Electrical Expense</v>
          </cell>
        </row>
        <row r="52">
          <cell r="A52" t="str">
            <v>Other Manufacturing Expenses</v>
          </cell>
          <cell r="B52" t="str">
            <v>Electricity Exp. (Office)</v>
          </cell>
        </row>
        <row r="53">
          <cell r="A53" t="str">
            <v>Other Administrative Expenses</v>
          </cell>
          <cell r="B53" t="str">
            <v>Garden Mainteance Exp</v>
          </cell>
        </row>
        <row r="54">
          <cell r="A54" t="str">
            <v>Other Manufacturing Expenses</v>
          </cell>
          <cell r="B54" t="str">
            <v>House Keeping Expense</v>
          </cell>
        </row>
        <row r="55">
          <cell r="A55" t="str">
            <v>Insurance</v>
          </cell>
          <cell r="B55" t="str">
            <v>Insurance Exp - Vehicles</v>
          </cell>
        </row>
        <row r="56">
          <cell r="A56" t="str">
            <v>Other Administrative Expenses</v>
          </cell>
          <cell r="B56" t="str">
            <v>Membership &amp; Subscription Fees</v>
          </cell>
        </row>
        <row r="57">
          <cell r="A57" t="str">
            <v>Other Administrative Expenses</v>
          </cell>
          <cell r="B57" t="str">
            <v>Miscellaneous Expense</v>
          </cell>
        </row>
        <row r="58">
          <cell r="A58" t="str">
            <v>Other Administrative Expenses</v>
          </cell>
          <cell r="B58" t="str">
            <v>Valuation Fees</v>
          </cell>
        </row>
        <row r="59">
          <cell r="A59" t="str">
            <v>Other Administrative Expenses</v>
          </cell>
          <cell r="B59" t="str">
            <v>Mobile &amp; Telephone Expense</v>
          </cell>
        </row>
        <row r="60">
          <cell r="A60" t="str">
            <v>Other Administrative Expenses</v>
          </cell>
          <cell r="B60" t="str">
            <v>Office Expenses</v>
          </cell>
        </row>
        <row r="61">
          <cell r="A61" t="str">
            <v>Conveyance, vehicle running and traveling expenses</v>
          </cell>
          <cell r="B61" t="str">
            <v>Petrol &amp; Diesel Expense - Car</v>
          </cell>
        </row>
        <row r="62">
          <cell r="A62" t="str">
            <v>Conveyance, vehicle running and traveling expenses</v>
          </cell>
          <cell r="B62" t="str">
            <v>Petrol &amp; Diesel Expense - Other Vehicles</v>
          </cell>
        </row>
        <row r="63">
          <cell r="A63" t="str">
            <v>Other Administrative Expenses</v>
          </cell>
          <cell r="B63" t="str">
            <v>Postage &amp; Courier Expense</v>
          </cell>
        </row>
        <row r="64">
          <cell r="A64" t="str">
            <v>Freight Outward and C &amp; F Charges</v>
          </cell>
          <cell r="B64" t="str">
            <v>C &amp; F Charges - Export</v>
          </cell>
        </row>
        <row r="65">
          <cell r="A65" t="str">
            <v>Other Administrative Expenses</v>
          </cell>
          <cell r="B65" t="str">
            <v>Rent Expense - Office</v>
          </cell>
        </row>
        <row r="66">
          <cell r="A66" t="str">
            <v>Miscellaneous income</v>
          </cell>
          <cell r="B66" t="str">
            <v>Round Off</v>
          </cell>
        </row>
        <row r="67">
          <cell r="A67" t="str">
            <v>Other Administrative Expenses</v>
          </cell>
          <cell r="B67" t="str">
            <v>Security Expenses</v>
          </cell>
        </row>
        <row r="68">
          <cell r="A68" t="str">
            <v>Travelling expense</v>
          </cell>
          <cell r="B68" t="str">
            <v>Travelling Expense</v>
          </cell>
        </row>
        <row r="69">
          <cell r="A69" t="str">
            <v>Travelling expense</v>
          </cell>
          <cell r="B69" t="str">
            <v>Travelling Expense - Director</v>
          </cell>
        </row>
        <row r="70">
          <cell r="A70" t="str">
            <v>Other Administrative Expenses</v>
          </cell>
          <cell r="B70" t="str">
            <v>Repairs &amp; Maintenance Exp - Building</v>
          </cell>
        </row>
        <row r="71">
          <cell r="A71" t="str">
            <v>Other Administrative Expenses</v>
          </cell>
          <cell r="B71" t="str">
            <v>Repairs &amp; Maintenance Exp - Computer &amp; Printers</v>
          </cell>
        </row>
        <row r="72">
          <cell r="A72" t="str">
            <v>Other Manufacturing Expenses</v>
          </cell>
          <cell r="B72" t="str">
            <v>Repairs &amp; Maintenance Exp - Electric</v>
          </cell>
        </row>
        <row r="73">
          <cell r="A73" t="str">
            <v>Other Manufacturing Expenses</v>
          </cell>
          <cell r="B73" t="str">
            <v>Repairs &amp; Maintenance Exp - Motor Cars</v>
          </cell>
        </row>
        <row r="74">
          <cell r="A74" t="str">
            <v>Conveyance, vehicle running and traveling expenses</v>
          </cell>
          <cell r="B74" t="str">
            <v>Repairs &amp; Maintenance Exp - Other Vehicles</v>
          </cell>
        </row>
        <row r="75">
          <cell r="A75" t="str">
            <v>Other Administrative Expenses</v>
          </cell>
          <cell r="B75" t="str">
            <v>Repairs &amp; Maintenance Exp - Others</v>
          </cell>
        </row>
        <row r="76">
          <cell r="A76" t="str">
            <v>Conveyance, vehicle running and traveling expenses</v>
          </cell>
          <cell r="B76" t="str">
            <v>Vehicle Hire Charges - RCM</v>
          </cell>
        </row>
        <row r="77">
          <cell r="A77" t="str">
            <v>Depreciation Expenses</v>
          </cell>
          <cell r="B77" t="str">
            <v>Depreciation Expenses</v>
          </cell>
        </row>
        <row r="78">
          <cell r="A78" t="str">
            <v>Contribution to provident and other funds</v>
          </cell>
          <cell r="B78" t="str">
            <v>P.F. Admin. Charge</v>
          </cell>
        </row>
        <row r="79">
          <cell r="A79" t="str">
            <v>Contribution to provident and other funds</v>
          </cell>
          <cell r="B79" t="str">
            <v>P.F. Contribution - Employer</v>
          </cell>
        </row>
        <row r="80">
          <cell r="A80" t="str">
            <v xml:space="preserve">Salaries, wages and  bonus </v>
          </cell>
          <cell r="B80" t="str">
            <v>Allowance - Books &amp; Periodicals</v>
          </cell>
        </row>
        <row r="81">
          <cell r="A81" t="str">
            <v xml:space="preserve">Salaries, wages and  bonus </v>
          </cell>
          <cell r="B81" t="str">
            <v>Allowance - Canteen</v>
          </cell>
        </row>
        <row r="82">
          <cell r="A82" t="str">
            <v xml:space="preserve">Salaries, wages and  bonus </v>
          </cell>
          <cell r="B82" t="str">
            <v>Allowance - Children Education &amp; Hostel</v>
          </cell>
        </row>
        <row r="83">
          <cell r="A83" t="str">
            <v xml:space="preserve">Salaries, wages and  bonus </v>
          </cell>
          <cell r="B83" t="str">
            <v>Allowance - Conveyance</v>
          </cell>
        </row>
        <row r="84">
          <cell r="A84" t="str">
            <v xml:space="preserve">Salaries, wages and  bonus </v>
          </cell>
          <cell r="B84" t="str">
            <v>Allowance - Driver &amp; Assistant</v>
          </cell>
        </row>
        <row r="85">
          <cell r="A85" t="str">
            <v xml:space="preserve">Salaries, wages and  bonus </v>
          </cell>
          <cell r="B85" t="str">
            <v>Allowance - House Rent</v>
          </cell>
        </row>
        <row r="86">
          <cell r="A86" t="str">
            <v xml:space="preserve">Salaries, wages and  bonus </v>
          </cell>
          <cell r="B86" t="str">
            <v>Allowance - Medical</v>
          </cell>
        </row>
        <row r="87">
          <cell r="A87" t="str">
            <v xml:space="preserve">Salaries, wages and  bonus </v>
          </cell>
          <cell r="B87" t="str">
            <v>Allowance - Other</v>
          </cell>
        </row>
        <row r="88">
          <cell r="A88" t="str">
            <v xml:space="preserve">Salaries, wages and  bonus </v>
          </cell>
          <cell r="B88" t="str">
            <v>Allowance - Transport</v>
          </cell>
        </row>
        <row r="89">
          <cell r="A89" t="str">
            <v xml:space="preserve">Salaries, wages and  bonus </v>
          </cell>
          <cell r="B89" t="str">
            <v>Allowance - Uniform / Attire</v>
          </cell>
        </row>
        <row r="90">
          <cell r="A90" t="str">
            <v xml:space="preserve">Salaries, wages and  bonus </v>
          </cell>
          <cell r="B90" t="str">
            <v>Allowance - Washing</v>
          </cell>
        </row>
        <row r="91">
          <cell r="A91" t="str">
            <v xml:space="preserve">Salaries, wages and  bonus </v>
          </cell>
          <cell r="B91" t="str">
            <v>Att. Bonus (Salary Part)</v>
          </cell>
        </row>
        <row r="92">
          <cell r="A92" t="str">
            <v xml:space="preserve">Salaries, wages and  bonus </v>
          </cell>
          <cell r="B92" t="str">
            <v>Bonus Expense</v>
          </cell>
        </row>
        <row r="93">
          <cell r="A93" t="str">
            <v>Contribution to provident and other funds</v>
          </cell>
          <cell r="B93" t="str">
            <v>Employers Contribution to ESI</v>
          </cell>
        </row>
        <row r="94">
          <cell r="A94" t="str">
            <v>Gratuity Expenses</v>
          </cell>
          <cell r="B94" t="str">
            <v>Gratuity Expense</v>
          </cell>
        </row>
        <row r="95">
          <cell r="A95" t="str">
            <v xml:space="preserve">Salaries, wages and  bonus </v>
          </cell>
          <cell r="B95" t="str">
            <v>Incentive Expense - Attendence</v>
          </cell>
        </row>
        <row r="96">
          <cell r="A96" t="str">
            <v>Staff welfare expenses</v>
          </cell>
          <cell r="B96" t="str">
            <v>Incentive Expense - HO</v>
          </cell>
        </row>
        <row r="97">
          <cell r="A97" t="str">
            <v xml:space="preserve">Salaries, wages and  bonus </v>
          </cell>
          <cell r="B97" t="str">
            <v>Incentive Expense - Production</v>
          </cell>
        </row>
        <row r="98">
          <cell r="A98" t="str">
            <v xml:space="preserve">Salaries, wages and  bonus </v>
          </cell>
          <cell r="B98" t="str">
            <v>Leave Encashment</v>
          </cell>
        </row>
        <row r="99">
          <cell r="A99" t="str">
            <v xml:space="preserve">Salaries, wages and  bonus </v>
          </cell>
          <cell r="B99" t="str">
            <v>Notice Pay Deduction</v>
          </cell>
        </row>
        <row r="100">
          <cell r="A100" t="str">
            <v xml:space="preserve">Salaries, wages and  bonus </v>
          </cell>
          <cell r="B100" t="str">
            <v>Other Deduction</v>
          </cell>
        </row>
        <row r="101">
          <cell r="A101" t="str">
            <v xml:space="preserve">Salaries, wages and  bonus </v>
          </cell>
          <cell r="B101" t="str">
            <v>Salaries Expense</v>
          </cell>
        </row>
        <row r="102">
          <cell r="A102" t="str">
            <v xml:space="preserve">Salaries, wages and  bonus </v>
          </cell>
          <cell r="B102" t="str">
            <v>Salary - Over Time</v>
          </cell>
        </row>
        <row r="103">
          <cell r="A103" t="str">
            <v>Staff welfare expenses</v>
          </cell>
          <cell r="B103" t="str">
            <v>Staff Welfare Expense</v>
          </cell>
        </row>
        <row r="104">
          <cell r="A104" t="str">
            <v>Staff welfare expenses</v>
          </cell>
          <cell r="B104" t="str">
            <v>Canteen Expense - Factory</v>
          </cell>
        </row>
        <row r="105">
          <cell r="A105" t="str">
            <v>Staff welfare expenses</v>
          </cell>
          <cell r="B105" t="str">
            <v>Canteen Expense - Office</v>
          </cell>
        </row>
        <row r="106">
          <cell r="A106" t="str">
            <v>Staff welfare expenses</v>
          </cell>
          <cell r="B106" t="str">
            <v>Meal Coupon Expense</v>
          </cell>
        </row>
        <row r="107">
          <cell r="A107" t="str">
            <v>Staff welfare expenses</v>
          </cell>
          <cell r="B107" t="str">
            <v>Medical Expense</v>
          </cell>
        </row>
        <row r="108">
          <cell r="A108" t="str">
            <v>Export incentives</v>
          </cell>
          <cell r="B108" t="str">
            <v>DFIA License Sales A/C</v>
          </cell>
        </row>
        <row r="109">
          <cell r="A109" t="str">
            <v>NA</v>
          </cell>
          <cell r="B109" t="str">
            <v>Profit Or Loss On Sale Of Investments</v>
          </cell>
        </row>
        <row r="110">
          <cell r="A110" t="str">
            <v>NA</v>
          </cell>
          <cell r="B110" t="str">
            <v>Interest On Income Tax</v>
          </cell>
        </row>
        <row r="111">
          <cell r="A111" t="str">
            <v>Other Administrative Expenses</v>
          </cell>
          <cell r="B111" t="str">
            <v>Quarterely MOU Discount</v>
          </cell>
        </row>
        <row r="112">
          <cell r="A112" t="str">
            <v>Bank Charges &amp; Commission</v>
          </cell>
          <cell r="B112" t="str">
            <v>Bank Charges - Export Collection</v>
          </cell>
        </row>
        <row r="113">
          <cell r="A113" t="str">
            <v>Bank Charges &amp; Commission</v>
          </cell>
          <cell r="B113" t="str">
            <v>Bank Charges - Bill Discounting</v>
          </cell>
        </row>
        <row r="114">
          <cell r="A114" t="str">
            <v>Bank Charges &amp; Commission</v>
          </cell>
          <cell r="B114" t="str">
            <v>Bank Charges - Inspection</v>
          </cell>
        </row>
        <row r="115">
          <cell r="A115" t="str">
            <v>Bank Charges &amp; Commission</v>
          </cell>
          <cell r="B115" t="str">
            <v>Bank Charges - Import</v>
          </cell>
        </row>
        <row r="116">
          <cell r="A116" t="str">
            <v>Bank Charges &amp; Commission</v>
          </cell>
          <cell r="B116" t="str">
            <v>Bank Charges - LC</v>
          </cell>
        </row>
        <row r="117">
          <cell r="A117" t="str">
            <v>Bank Charges &amp; Commission</v>
          </cell>
          <cell r="B117" t="str">
            <v>Bank Charges - Postage &amp; Swift</v>
          </cell>
        </row>
        <row r="118">
          <cell r="A118" t="str">
            <v>Bank Charges &amp; Commission</v>
          </cell>
          <cell r="B118" t="str">
            <v>Bank Charges- Others</v>
          </cell>
        </row>
        <row r="119">
          <cell r="A119" t="str">
            <v>Exchange Rate Difference</v>
          </cell>
          <cell r="B119" t="str">
            <v>Exchange Rate Difference - Debtors</v>
          </cell>
        </row>
        <row r="120">
          <cell r="A120" t="str">
            <v>Interest on Working Capital &amp; Term Loan</v>
          </cell>
          <cell r="B120" t="str">
            <v>Interest Expense - Term Loan</v>
          </cell>
        </row>
        <row r="121">
          <cell r="A121" t="str">
            <v>Interest on Working Capital &amp; Term Loan</v>
          </cell>
          <cell r="B121" t="str">
            <v>Interest Expense - Vehicle Loan</v>
          </cell>
        </row>
        <row r="122">
          <cell r="A122" t="str">
            <v>Bank Charges &amp; Commission</v>
          </cell>
          <cell r="B122" t="str">
            <v>Factoring Charges</v>
          </cell>
        </row>
        <row r="123">
          <cell r="A123" t="str">
            <v>Interest on Working Capital &amp; Term Loan</v>
          </cell>
          <cell r="B123" t="str">
            <v>Interest Expense - LC</v>
          </cell>
        </row>
        <row r="124">
          <cell r="A124" t="str">
            <v>Interest on Working Capital &amp; Term Loan</v>
          </cell>
          <cell r="B124" t="str">
            <v>Interest Expense - EPC</v>
          </cell>
        </row>
        <row r="125">
          <cell r="A125" t="str">
            <v>Interest on Working Capital &amp; Term Loan</v>
          </cell>
          <cell r="B125" t="str">
            <v>Interest Expense - Factoring</v>
          </cell>
        </row>
        <row r="126">
          <cell r="A126" t="str">
            <v>Interest on Working Capital &amp; Term Loan</v>
          </cell>
          <cell r="B126" t="str">
            <v>Interest Expense - Working Capital</v>
          </cell>
        </row>
        <row r="127">
          <cell r="A127" t="str">
            <v>Interest Expense - Other</v>
          </cell>
          <cell r="B127" t="str">
            <v>Interest Expense - Other</v>
          </cell>
        </row>
        <row r="128">
          <cell r="A128" t="str">
            <v>Other Administrative Expenses</v>
          </cell>
          <cell r="B128" t="str">
            <v>Audit Fees - Statutory Audit</v>
          </cell>
        </row>
        <row r="129">
          <cell r="A129" t="str">
            <v>Other Administrative Expenses</v>
          </cell>
          <cell r="B129" t="str">
            <v>Fees &amp; Taxes</v>
          </cell>
        </row>
        <row r="130">
          <cell r="A130" t="str">
            <v>Other Administrative Expenses</v>
          </cell>
          <cell r="B130" t="str">
            <v>GST Expenses</v>
          </cell>
        </row>
        <row r="131">
          <cell r="A131" t="str">
            <v>Other Administrative Expenses</v>
          </cell>
          <cell r="B131" t="str">
            <v>Property Tax</v>
          </cell>
        </row>
        <row r="132">
          <cell r="A132" t="str">
            <v>Insurance</v>
          </cell>
          <cell r="B132" t="str">
            <v>Insurance Expenses - Other</v>
          </cell>
        </row>
        <row r="133">
          <cell r="A133" t="str">
            <v>Other Administrative Expenses</v>
          </cell>
          <cell r="B133" t="str">
            <v>Advocate Fees Expense</v>
          </cell>
        </row>
        <row r="134">
          <cell r="A134" t="str">
            <v>Other Administrative Expenses</v>
          </cell>
          <cell r="B134" t="str">
            <v>Legal Expense</v>
          </cell>
        </row>
        <row r="135">
          <cell r="A135" t="str">
            <v>Other Administrative Expenses</v>
          </cell>
          <cell r="B135" t="str">
            <v>Professional &amp; Consultancy Fees</v>
          </cell>
        </row>
        <row r="136">
          <cell r="A136" t="str">
            <v>Sundry balance written off</v>
          </cell>
          <cell r="B136" t="str">
            <v>Balance Written Off Expense</v>
          </cell>
        </row>
        <row r="137">
          <cell r="A137" t="str">
            <v>Brokerage &amp; commission</v>
          </cell>
          <cell r="B137" t="str">
            <v>Brokerage &amp; Commission Expense</v>
          </cell>
        </row>
        <row r="138">
          <cell r="A138" t="str">
            <v>Freight Outward and C &amp; F Charges</v>
          </cell>
          <cell r="B138" t="str">
            <v>C &amp; F  Charges - Export</v>
          </cell>
        </row>
        <row r="139">
          <cell r="A139" t="str">
            <v>Sale of Finished Goods</v>
          </cell>
          <cell r="B139" t="str">
            <v>Discount &amp; Rate Difference - Sales</v>
          </cell>
        </row>
        <row r="140">
          <cell r="A140" t="str">
            <v>Freight Outward and C &amp; F Charges</v>
          </cell>
          <cell r="B140" t="str">
            <v>Freight Outward Expense - Export</v>
          </cell>
        </row>
        <row r="141">
          <cell r="A141" t="str">
            <v>Freight Outward and C &amp; F Charges</v>
          </cell>
          <cell r="B141" t="str">
            <v>Freight Outward Expense (Rcm Inter-State)</v>
          </cell>
        </row>
        <row r="142">
          <cell r="A142" t="str">
            <v>Freight Outward and C &amp; F Charges</v>
          </cell>
          <cell r="B142" t="str">
            <v>Freight Outward Expense (RCM)</v>
          </cell>
        </row>
        <row r="143">
          <cell r="A143" t="str">
            <v>Freight Outward and C &amp; F Charges</v>
          </cell>
          <cell r="B143" t="str">
            <v>Freight Outward Expense (With GST)</v>
          </cell>
        </row>
        <row r="144">
          <cell r="A144" t="str">
            <v>Freight Outward and C &amp; F Charges</v>
          </cell>
          <cell r="B144" t="str">
            <v>Freight outward Expenses (RCM_Withinstate)</v>
          </cell>
        </row>
        <row r="145">
          <cell r="A145" t="str">
            <v>Other Administrative Expenses</v>
          </cell>
          <cell r="B145" t="str">
            <v>Fumigation Charges</v>
          </cell>
        </row>
        <row r="146">
          <cell r="A146" t="str">
            <v>Insurance</v>
          </cell>
          <cell r="B146" t="str">
            <v>Insurance Expense - Ecgc - Pc</v>
          </cell>
        </row>
        <row r="147">
          <cell r="A147" t="str">
            <v>Insurance</v>
          </cell>
          <cell r="B147" t="str">
            <v>Insurance Expenses - Marine</v>
          </cell>
        </row>
        <row r="148">
          <cell r="A148" t="str">
            <v>Sale of Finished Goods</v>
          </cell>
          <cell r="B148" t="str">
            <v>Round Off - Sales</v>
          </cell>
        </row>
        <row r="149">
          <cell r="A149" t="str">
            <v>Advertising and sales promotion expense</v>
          </cell>
          <cell r="B149" t="str">
            <v>Sales Promotion Expense</v>
          </cell>
        </row>
        <row r="150">
          <cell r="A150" t="str">
            <v>Travelling expense</v>
          </cell>
          <cell r="B150" t="str">
            <v>Travelling Expense - Foreign</v>
          </cell>
        </row>
        <row r="151">
          <cell r="A151" t="str">
            <v>Sale of Finished Goods</v>
          </cell>
          <cell r="B151" t="str">
            <v>Sales - Kasez - Mfg - U/B</v>
          </cell>
        </row>
        <row r="152">
          <cell r="A152" t="str">
            <v>Sale of Finished Goods</v>
          </cell>
          <cell r="B152" t="str">
            <v>Sales - Interstate - Manufactured Goods</v>
          </cell>
        </row>
        <row r="153">
          <cell r="A153" t="str">
            <v>Sale of finished goods</v>
          </cell>
          <cell r="B153" t="str">
            <v>Sales - Within State Manufactured Goods</v>
          </cell>
        </row>
        <row r="154">
          <cell r="A154" t="str">
            <v>Sale of finished goods</v>
          </cell>
          <cell r="B154" t="str">
            <v>Sales Return - Within State</v>
          </cell>
        </row>
        <row r="155">
          <cell r="A155" t="str">
            <v>Sale of Finished Goods</v>
          </cell>
          <cell r="B155" t="str">
            <v>Sales - Direct Export - Mfg - U/B</v>
          </cell>
        </row>
        <row r="156">
          <cell r="A156" t="str">
            <v>Income from Jobwork charges</v>
          </cell>
          <cell r="B156" t="str">
            <v>Job Work Income</v>
          </cell>
        </row>
        <row r="157">
          <cell r="A157" t="str">
            <v>Rent Income</v>
          </cell>
          <cell r="B157" t="str">
            <v>Rent Income</v>
          </cell>
        </row>
        <row r="158">
          <cell r="A158" t="str">
            <v>Sale of Finished Goods</v>
          </cell>
          <cell r="B158" t="str">
            <v>Branch Transfer Out - Raw Material</v>
          </cell>
        </row>
        <row r="159">
          <cell r="A159" t="str">
            <v>Sale of Traded Goods</v>
          </cell>
          <cell r="B159" t="str">
            <v>Branch Transfer Out - Stores, Spares &amp; Consumable</v>
          </cell>
        </row>
        <row r="160">
          <cell r="A160" t="str">
            <v>Sale of Traded Goods</v>
          </cell>
          <cell r="B160" t="str">
            <v>Branch Transfer Out - Trading</v>
          </cell>
        </row>
        <row r="161">
          <cell r="A161" t="str">
            <v>Sale of Traded Goods</v>
          </cell>
          <cell r="B161" t="str">
            <v>Sales - High Seas</v>
          </cell>
        </row>
        <row r="162">
          <cell r="A162" t="str">
            <v>Sale of Traded Goods</v>
          </cell>
          <cell r="B162" t="str">
            <v>Sales - Kasez - Trading - U/B</v>
          </cell>
        </row>
        <row r="163">
          <cell r="A163" t="str">
            <v>Sale of traded goods</v>
          </cell>
          <cell r="B163" t="str">
            <v>Sales - Export - Trading</v>
          </cell>
        </row>
        <row r="164">
          <cell r="A164" t="str">
            <v>Sale of traded goods</v>
          </cell>
          <cell r="B164" t="str">
            <v>Sales - Export - Third Party</v>
          </cell>
        </row>
        <row r="165">
          <cell r="A165" t="str">
            <v>Sale of Traded Goods</v>
          </cell>
          <cell r="B165" t="str">
            <v>Sales - Interstate - Traded Goods</v>
          </cell>
        </row>
        <row r="166">
          <cell r="A166" t="str">
            <v>Sale of Traded Goods</v>
          </cell>
          <cell r="B166" t="str">
            <v>Sales - Within State - Traded Goods</v>
          </cell>
        </row>
        <row r="167">
          <cell r="A167" t="str">
            <v>Sale of Finished Goods</v>
          </cell>
          <cell r="B167" t="str">
            <v>Sales - Waste &amp; Scrape</v>
          </cell>
        </row>
        <row r="168">
          <cell r="A168" t="str">
            <v>Commission Income</v>
          </cell>
          <cell r="B168" t="str">
            <v>Commission Income</v>
          </cell>
        </row>
        <row r="169">
          <cell r="A169" t="str">
            <v>Wind mill income</v>
          </cell>
          <cell r="B169" t="str">
            <v>Income From Wind Mill</v>
          </cell>
        </row>
        <row r="170">
          <cell r="A170" t="str">
            <v>Miscellaneous income</v>
          </cell>
          <cell r="B170" t="str">
            <v>Miscellaneous Income</v>
          </cell>
        </row>
        <row r="171">
          <cell r="A171" t="str">
            <v>Other Administrative Expenses</v>
          </cell>
          <cell r="B171" t="str">
            <v>Audit Expense</v>
          </cell>
        </row>
        <row r="172">
          <cell r="A172" t="str">
            <v>Other Administrative Expenses</v>
          </cell>
          <cell r="B172" t="str">
            <v>Tender Fee</v>
          </cell>
        </row>
        <row r="173">
          <cell r="A173" t="str">
            <v>Advertising and sales promotion expense</v>
          </cell>
          <cell r="B173" t="str">
            <v>Discount On Schemes</v>
          </cell>
        </row>
        <row r="174">
          <cell r="A174" t="str">
            <v>Miscellaneous income</v>
          </cell>
          <cell r="B174" t="str">
            <v>MEIS Sales A/c</v>
          </cell>
        </row>
        <row r="175">
          <cell r="A175" t="str">
            <v>Sale of finished goods</v>
          </cell>
          <cell r="B175" t="str">
            <v>Price Protection Discount-Income</v>
          </cell>
        </row>
        <row r="176">
          <cell r="A176" t="str">
            <v>Profit on sale of fixed assets</v>
          </cell>
          <cell r="B176" t="str">
            <v>Profit Or Loss On Sale Of Fixed Assets</v>
          </cell>
        </row>
        <row r="177">
          <cell r="A177" t="str">
            <v>- from others</v>
          </cell>
          <cell r="B177" t="str">
            <v>Interest Received From Other</v>
          </cell>
        </row>
        <row r="178">
          <cell r="A178" t="str">
            <v>Sundry balance written off</v>
          </cell>
          <cell r="B178" t="str">
            <v>Balance Written Back Income</v>
          </cell>
        </row>
        <row r="179">
          <cell r="A179" t="str">
            <v>Conveyance, vehicle running and traveling expenses</v>
          </cell>
          <cell r="B179" t="str">
            <v>Vehicle Hire Charges - With Gst</v>
          </cell>
        </row>
        <row r="180">
          <cell r="A180" t="str">
            <v>Other Administrative Expenses</v>
          </cell>
          <cell r="B180" t="str">
            <v>Printing &amp; Stationery Expense</v>
          </cell>
        </row>
        <row r="181">
          <cell r="A181" t="str">
            <v>Other Administrative Expenses</v>
          </cell>
          <cell r="B181" t="str">
            <v>Fuel Expense - Generator &amp; Handling Equip</v>
          </cell>
        </row>
        <row r="182">
          <cell r="A182" t="str">
            <v>Other Administrative Expenses</v>
          </cell>
          <cell r="B182" t="str">
            <v>Rent Expense Colony With Gst</v>
          </cell>
        </row>
        <row r="183">
          <cell r="A183" t="str">
            <v>Other Administrative Expenses</v>
          </cell>
          <cell r="B183" t="str">
            <v>Gift &amp; Article Exp.</v>
          </cell>
        </row>
        <row r="184">
          <cell r="A184" t="str">
            <v>Contribution to provident and other funds</v>
          </cell>
          <cell r="B184" t="str">
            <v>Employers Contribution to PF</v>
          </cell>
        </row>
        <row r="185">
          <cell r="A185" t="str">
            <v>Interest Received From Customers</v>
          </cell>
          <cell r="B185" t="str">
            <v>Interest Received From Customers</v>
          </cell>
        </row>
        <row r="186">
          <cell r="A186" t="str">
            <v>Other Administrative Expenses</v>
          </cell>
          <cell r="B186" t="str">
            <v>GST Credit-Non Eligible</v>
          </cell>
        </row>
        <row r="187">
          <cell r="A187" t="str">
            <v>Other Administrative Expenses</v>
          </cell>
          <cell r="B187" t="str">
            <v>Advance Licence Fee Expense</v>
          </cell>
        </row>
        <row r="188">
          <cell r="A188" t="str">
            <v>Other Administrative Expenses</v>
          </cell>
          <cell r="B188" t="str">
            <v>Pollution Control Expense</v>
          </cell>
        </row>
        <row r="189">
          <cell r="A189" t="str">
            <v>Add: Purchase of raw materials</v>
          </cell>
          <cell r="B189" t="str">
            <v>Purchase Return - Inter State - Raw Material</v>
          </cell>
        </row>
        <row r="190">
          <cell r="A190" t="str">
            <v>Add: Purchase of raw materials</v>
          </cell>
          <cell r="B190" t="str">
            <v>Purchase Return - Within State - Raw Material</v>
          </cell>
        </row>
        <row r="191">
          <cell r="A191" t="str">
            <v>Other Administrative Expenses</v>
          </cell>
          <cell r="B191" t="str">
            <v>Freight Detention Charges</v>
          </cell>
        </row>
        <row r="192">
          <cell r="A192" t="str">
            <v>Other Administrative Expenses</v>
          </cell>
          <cell r="B192" t="str">
            <v>Late Payment Charges</v>
          </cell>
        </row>
        <row r="193">
          <cell r="A193" t="str">
            <v>Other Administrative Expenses</v>
          </cell>
          <cell r="B193" t="str">
            <v>Penalty (Legal) - Expense</v>
          </cell>
        </row>
        <row r="194">
          <cell r="A194" t="str">
            <v>Other Administrative Expenses</v>
          </cell>
          <cell r="B194" t="str">
            <v>Staff Training Exp</v>
          </cell>
        </row>
        <row r="195">
          <cell r="A195" t="str">
            <v>Other Administrative Expenses</v>
          </cell>
          <cell r="B195" t="str">
            <v>Xerox Expense</v>
          </cell>
        </row>
        <row r="196">
          <cell r="A196" t="str">
            <v>Other Administrative Expenses</v>
          </cell>
          <cell r="B196" t="str">
            <v>Export related Certification Charges</v>
          </cell>
        </row>
        <row r="197">
          <cell r="A197" t="str">
            <v xml:space="preserve">Salaries, wages and  bonus </v>
          </cell>
          <cell r="B197" t="str">
            <v>Allowance - Leave Travels</v>
          </cell>
        </row>
        <row r="198">
          <cell r="A198" t="str">
            <v xml:space="preserve">Salaries, wages and  bonus </v>
          </cell>
          <cell r="B198" t="str">
            <v>Allowance - Special</v>
          </cell>
        </row>
        <row r="199">
          <cell r="A199" t="str">
            <v xml:space="preserve">Salaries, wages and  bonus </v>
          </cell>
          <cell r="B199" t="str">
            <v>Salary - Arrears</v>
          </cell>
        </row>
        <row r="200">
          <cell r="A200" t="str">
            <v>Bank Charges &amp; Commission</v>
          </cell>
          <cell r="B200" t="str">
            <v>Bank Charges - Processing Fees</v>
          </cell>
        </row>
        <row r="201">
          <cell r="A201" t="str">
            <v>Bank Charges &amp; Commission</v>
          </cell>
          <cell r="B201" t="str">
            <v>Exchange Rate Difference - Finance</v>
          </cell>
        </row>
        <row r="202">
          <cell r="A202" t="str">
            <v>Bank Charges &amp; Commission</v>
          </cell>
          <cell r="B202" t="str">
            <v>Demat Charges</v>
          </cell>
        </row>
        <row r="203">
          <cell r="A203" t="str">
            <v>Other Administrative Expenses</v>
          </cell>
          <cell r="B203" t="str">
            <v>Interest On TDS</v>
          </cell>
        </row>
        <row r="204">
          <cell r="A204" t="str">
            <v xml:space="preserve">Salaries, wages and  bonus </v>
          </cell>
          <cell r="B204" t="str">
            <v>Professional Tax - Company</v>
          </cell>
        </row>
        <row r="205">
          <cell r="A205" t="str">
            <v>Other Administrative Expenses</v>
          </cell>
          <cell r="B205" t="str">
            <v>Stamp Duty Expense</v>
          </cell>
        </row>
        <row r="206">
          <cell r="A206" t="str">
            <v>Other Administrative Expenses</v>
          </cell>
          <cell r="B206" t="str">
            <v>Director Sitting Fees</v>
          </cell>
        </row>
        <row r="207">
          <cell r="A207" t="str">
            <v>Other Administrative Expenses</v>
          </cell>
          <cell r="B207" t="str">
            <v>Prior Period Adjustements</v>
          </cell>
        </row>
        <row r="208">
          <cell r="A208" t="str">
            <v>Freight Outward and C &amp; F Charges</v>
          </cell>
          <cell r="B208" t="str">
            <v>C &amp; F Charges - Detention Outward</v>
          </cell>
        </row>
        <row r="209">
          <cell r="A209" t="str">
            <v>Advertising and sales promotion expense</v>
          </cell>
          <cell r="B209" t="str">
            <v>Discount -Early Payment - Sales</v>
          </cell>
        </row>
        <row r="210">
          <cell r="A210" t="str">
            <v>Advertising and sales promotion expense</v>
          </cell>
          <cell r="B210" t="str">
            <v>Advertisement Expense</v>
          </cell>
        </row>
        <row r="211">
          <cell r="A211" t="str">
            <v>Miscellaneous income</v>
          </cell>
          <cell r="B211" t="str">
            <v>Discount On Non-Convertible Debenture</v>
          </cell>
        </row>
        <row r="212">
          <cell r="A212" t="str">
            <v>Miscellaneous income</v>
          </cell>
          <cell r="B212" t="str">
            <v>Dividend Income</v>
          </cell>
        </row>
        <row r="213">
          <cell r="A213" t="str">
            <v>Advertising and sales promotion expense</v>
          </cell>
          <cell r="B213" t="str">
            <v>Exhibition / Trade Fair Exp.</v>
          </cell>
        </row>
        <row r="214">
          <cell r="A214" t="str">
            <v>Export incentives</v>
          </cell>
          <cell r="B214" t="str">
            <v>Duty Drawback Incentive A/c</v>
          </cell>
        </row>
        <row r="215">
          <cell r="A215" t="str">
            <v>Sale of traded goods</v>
          </cell>
          <cell r="B215" t="str">
            <v>Branch Transfer Out - Packing Material</v>
          </cell>
        </row>
        <row r="216">
          <cell r="A216" t="str">
            <v>Commission income</v>
          </cell>
          <cell r="B216" t="str">
            <v>Commission Income - EPI</v>
          </cell>
        </row>
        <row r="217">
          <cell r="A217" t="str">
            <v>- on fixed deposits with Banks</v>
          </cell>
          <cell r="B217" t="str">
            <v>Interest on FDR</v>
          </cell>
        </row>
        <row r="218">
          <cell r="A218" t="str">
            <v>Staff welfare expenses</v>
          </cell>
          <cell r="B218" t="str">
            <v>Staff Recruitment Expenses</v>
          </cell>
        </row>
        <row r="219">
          <cell r="A219" t="str">
            <v xml:space="preserve">Salaries, wages and  bonus </v>
          </cell>
          <cell r="B219" t="str">
            <v>Allowance - Vehicle Maintenance</v>
          </cell>
        </row>
        <row r="220">
          <cell r="A220" t="str">
            <v>Bank Charges &amp; Commission</v>
          </cell>
          <cell r="B220" t="str">
            <v>Bank Guarantee Commission</v>
          </cell>
        </row>
        <row r="221">
          <cell r="A221" t="str">
            <v>Interest Expense - Other</v>
          </cell>
          <cell r="B221" t="str">
            <v>Interest Expense - PCFC</v>
          </cell>
        </row>
        <row r="222">
          <cell r="A222" t="str">
            <v>Other Administrative Expenses</v>
          </cell>
          <cell r="B222" t="str">
            <v>DFIA Expense</v>
          </cell>
        </row>
        <row r="223">
          <cell r="A223" t="str">
            <v>NA</v>
          </cell>
          <cell r="B223" t="str">
            <v>Other Comprehensive Income</v>
          </cell>
        </row>
        <row r="224">
          <cell r="A224" t="str">
            <v>NA</v>
          </cell>
          <cell r="B224" t="str">
            <v>Mark To Mark Loss/Gain Towards Investment</v>
          </cell>
        </row>
        <row r="225">
          <cell r="A225" t="str">
            <v>Other Administrative Expenses</v>
          </cell>
          <cell r="B225" t="str">
            <v>Price Protection Expense</v>
          </cell>
        </row>
        <row r="226">
          <cell r="A226" t="str">
            <v>Other Administrative Expenses</v>
          </cell>
          <cell r="B226" t="str">
            <v>Sales Incentive</v>
          </cell>
        </row>
        <row r="227">
          <cell r="A227" t="str">
            <v>Freight Outward and C &amp; F Charges</v>
          </cell>
          <cell r="B227" t="str">
            <v>Freight Outward Expense  - Export</v>
          </cell>
        </row>
        <row r="228">
          <cell r="A228" t="str">
            <v>Add: Purchase of traded goods</v>
          </cell>
          <cell r="B228" t="str">
            <v>Purchase Trading - High Seas</v>
          </cell>
        </row>
        <row r="229">
          <cell r="A229" t="str">
            <v>Other Administrative Expenses</v>
          </cell>
          <cell r="B229" t="str">
            <v>Equipment Certification Charges</v>
          </cell>
        </row>
        <row r="230">
          <cell r="A230" t="str">
            <v>Sale of finished goods</v>
          </cell>
          <cell r="B230" t="str">
            <v>Discount &amp; Rebate On Sale</v>
          </cell>
        </row>
        <row r="231">
          <cell r="A231" t="str">
            <v>Depreciation Expenses</v>
          </cell>
          <cell r="B231" t="str">
            <v>Amortisation Of Intangible Assets</v>
          </cell>
        </row>
        <row r="232">
          <cell r="A232" t="str">
            <v>Staff welfare expenses</v>
          </cell>
          <cell r="B232" t="str">
            <v>Labour Welfare Fund Exp</v>
          </cell>
        </row>
        <row r="233">
          <cell r="A233" t="str">
            <v>Bank Charges &amp; Commission</v>
          </cell>
          <cell r="B233" t="str">
            <v>Bank Charges - Export</v>
          </cell>
        </row>
        <row r="234">
          <cell r="A234" t="str">
            <v>Other Administrative Expenses</v>
          </cell>
          <cell r="B234" t="str">
            <v>Audit Fees</v>
          </cell>
        </row>
        <row r="235">
          <cell r="A235" t="str">
            <v>NA</v>
          </cell>
          <cell r="B235" t="str">
            <v>Advance License Income</v>
          </cell>
        </row>
        <row r="236">
          <cell r="A236" t="str">
            <v>- on fixed deposits with Banks</v>
          </cell>
          <cell r="B236" t="str">
            <v>Interest Received From Bank</v>
          </cell>
        </row>
        <row r="237">
          <cell r="A237" t="str">
            <v>NA</v>
          </cell>
          <cell r="B237" t="str">
            <v>Employees Benefit Expense (Esop)</v>
          </cell>
        </row>
        <row r="238">
          <cell r="A238" t="str">
            <v>Add: Purchase of raw materials</v>
          </cell>
          <cell r="B238" t="str">
            <v>Custom Duty - Non Cenvatable Part</v>
          </cell>
        </row>
        <row r="239">
          <cell r="A239" t="str">
            <v>Other Administrative Expenses</v>
          </cell>
          <cell r="B239" t="str">
            <v>Equipment Hire Charges</v>
          </cell>
        </row>
        <row r="240">
          <cell r="A240" t="str">
            <v>Other Administrative Expenses</v>
          </cell>
          <cell r="B240" t="str">
            <v>Corporate social responsibility</v>
          </cell>
        </row>
        <row r="241">
          <cell r="A241" t="str">
            <v>Sale of Finished Goods</v>
          </cell>
          <cell r="B241" t="str">
            <v>Sales - Kasez - Mfg - U/R</v>
          </cell>
        </row>
        <row r="242">
          <cell r="A242" t="str">
            <v>Sale of Finished Goods</v>
          </cell>
          <cell r="B242" t="str">
            <v>Sales Return - Inter State</v>
          </cell>
        </row>
        <row r="243">
          <cell r="A243" t="str">
            <v>Add: Purchase of raw materials</v>
          </cell>
          <cell r="B243" t="str">
            <v>Discount -Early Payment - Purchase</v>
          </cell>
        </row>
        <row r="244">
          <cell r="A244" t="str">
            <v>Miscellaneous income</v>
          </cell>
          <cell r="B244" t="str">
            <v>Insurance Claim Income</v>
          </cell>
        </row>
        <row r="245">
          <cell r="A245" t="str">
            <v>NA</v>
          </cell>
          <cell r="B245" t="str">
            <v>Income Tax Expenses</v>
          </cell>
        </row>
        <row r="246">
          <cell r="A246" t="str">
            <v>NA</v>
          </cell>
          <cell r="B246" t="str">
            <v>Bad Debts</v>
          </cell>
        </row>
        <row r="247">
          <cell r="A247" t="str">
            <v>Exchange Rate Difference</v>
          </cell>
          <cell r="B247" t="str">
            <v>Exchange Rate Difference - Capital Creditor</v>
          </cell>
        </row>
        <row r="248">
          <cell r="A248" t="str">
            <v>Interest Expense - Other</v>
          </cell>
          <cell r="B248" t="str">
            <v>Interest Expense - Unsecured Loan</v>
          </cell>
        </row>
        <row r="249">
          <cell r="A249" t="str">
            <v>Sale of Finished Goods</v>
          </cell>
          <cell r="B249" t="str">
            <v>Sales - Direct Export - Mfg - U/R</v>
          </cell>
        </row>
        <row r="250">
          <cell r="A250" t="str">
            <v>Freight Outward and C &amp; F Charges</v>
          </cell>
          <cell r="B250" t="str">
            <v>Freight Expense - Job Out</v>
          </cell>
        </row>
        <row r="251">
          <cell r="A251" t="str">
            <v>Interest Expense - Other</v>
          </cell>
          <cell r="B251" t="str">
            <v>Interest Expense - Late Payment</v>
          </cell>
        </row>
        <row r="252">
          <cell r="A252" t="str">
            <v>Freight Outward and C &amp; F Charges</v>
          </cell>
          <cell r="B252" t="str">
            <v>Ground Rent Charges</v>
          </cell>
        </row>
        <row r="253">
          <cell r="A253" t="str">
            <v>Other Administrative Expenses</v>
          </cell>
          <cell r="B253" t="str">
            <v>Quality Claim</v>
          </cell>
        </row>
        <row r="254">
          <cell r="A254" t="str">
            <v>NA</v>
          </cell>
          <cell r="B254" t="str">
            <v>Sales Rev. CIF/CFR Sales</v>
          </cell>
        </row>
        <row r="255">
          <cell r="A255" t="str">
            <v>Sale of traded goods</v>
          </cell>
          <cell r="B255" t="str">
            <v>Sales - Export  - Trading</v>
          </cell>
        </row>
        <row r="256">
          <cell r="A256" t="str">
            <v>Sale of finished goods</v>
          </cell>
          <cell r="B256" t="str">
            <v>Sales - Within State  Manufactured Goods</v>
          </cell>
        </row>
        <row r="257">
          <cell r="A257" t="str">
            <v>NA</v>
          </cell>
          <cell r="B257" t="str">
            <v>Increase/Decrease In Stock</v>
          </cell>
        </row>
        <row r="258">
          <cell r="A258" t="str">
            <v>Sale of finished goods</v>
          </cell>
          <cell r="B258" t="str">
            <v>Sales - Merchant Export</v>
          </cell>
        </row>
        <row r="259">
          <cell r="A259" t="str">
            <v>Sale of finished goods</v>
          </cell>
          <cell r="B259" t="str">
            <v>Sales Return - Within  State</v>
          </cell>
        </row>
        <row r="260">
          <cell r="A260" t="str">
            <v>Sale of traded goods</v>
          </cell>
          <cell r="B260" t="str">
            <v>Sales - Kasez - Trading - U/R</v>
          </cell>
        </row>
        <row r="261">
          <cell r="A261" t="str">
            <v>Other Administrative Expenses</v>
          </cell>
          <cell r="B261" t="str">
            <v>Website Maintence Expense</v>
          </cell>
        </row>
        <row r="262">
          <cell r="A262" t="str">
            <v>Sale of finished goods</v>
          </cell>
          <cell r="B262" t="str">
            <v>Sales Return - Export - Mfg - U/B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Particular</v>
          </cell>
          <cell r="C1" t="str">
            <v>unit-1</v>
          </cell>
          <cell r="D1" t="str">
            <v>unit-2</v>
          </cell>
        </row>
        <row r="2">
          <cell r="A2" t="str">
            <v>Internal Transportation Expense / Reimbursement</v>
          </cell>
          <cell r="C2">
            <v>14704</v>
          </cell>
          <cell r="D2">
            <v>3805</v>
          </cell>
        </row>
        <row r="3">
          <cell r="A3" t="str">
            <v>Freight Inward Expense (RCM)</v>
          </cell>
          <cell r="C3">
            <v>0</v>
          </cell>
          <cell r="D3">
            <v>0</v>
          </cell>
        </row>
        <row r="4">
          <cell r="A4" t="str">
            <v>Loading &amp; Unloading Expense</v>
          </cell>
          <cell r="C4">
            <v>23660</v>
          </cell>
          <cell r="D4">
            <v>0</v>
          </cell>
        </row>
        <row r="5">
          <cell r="A5" t="str">
            <v>Power Expense</v>
          </cell>
          <cell r="C5">
            <v>2336144</v>
          </cell>
          <cell r="D5">
            <v>0</v>
          </cell>
        </row>
        <row r="6">
          <cell r="A6" t="str">
            <v>Petrol &amp; Diesel Expense - Other Vehicles</v>
          </cell>
          <cell r="C6">
            <v>0</v>
          </cell>
          <cell r="D6">
            <v>0</v>
          </cell>
        </row>
        <row r="7">
          <cell r="A7" t="str">
            <v>Postage &amp; Courier Expense</v>
          </cell>
          <cell r="C7">
            <v>1700</v>
          </cell>
          <cell r="D7">
            <v>0</v>
          </cell>
        </row>
        <row r="8">
          <cell r="A8" t="str">
            <v>Printing &amp; Stationery Expense</v>
          </cell>
          <cell r="C8">
            <v>6000</v>
          </cell>
          <cell r="D8">
            <v>0</v>
          </cell>
        </row>
        <row r="9">
          <cell r="A9" t="str">
            <v>Security Expenses</v>
          </cell>
          <cell r="C9">
            <v>196240</v>
          </cell>
          <cell r="D9">
            <v>0</v>
          </cell>
        </row>
        <row r="10">
          <cell r="A10" t="str">
            <v>Repairs &amp; Maintenance Exp - Plant &amp; Machinery</v>
          </cell>
          <cell r="C10">
            <v>162590</v>
          </cell>
          <cell r="D10">
            <v>16300</v>
          </cell>
        </row>
        <row r="11">
          <cell r="A11" t="str">
            <v>P.F. Contribution - Employer</v>
          </cell>
          <cell r="C11">
            <v>98000</v>
          </cell>
          <cell r="D11">
            <v>8000</v>
          </cell>
        </row>
        <row r="12">
          <cell r="A12" t="str">
            <v>Employers Contribution to ESI</v>
          </cell>
          <cell r="C12">
            <v>12000</v>
          </cell>
          <cell r="D12">
            <v>15000</v>
          </cell>
        </row>
        <row r="13">
          <cell r="A13" t="str">
            <v>Salaries Expense</v>
          </cell>
          <cell r="C13">
            <v>2600000</v>
          </cell>
          <cell r="D13">
            <v>450000</v>
          </cell>
        </row>
        <row r="14">
          <cell r="A14" t="str">
            <v>Staff Welfare Expense</v>
          </cell>
          <cell r="C14">
            <v>11046</v>
          </cell>
          <cell r="D14">
            <v>0</v>
          </cell>
        </row>
        <row r="15">
          <cell r="A15" t="str">
            <v>Canteen Expense - Factory</v>
          </cell>
          <cell r="C15">
            <v>170000</v>
          </cell>
          <cell r="D15">
            <v>0</v>
          </cell>
        </row>
        <row r="16">
          <cell r="A16" t="str">
            <v>Conveyance Expenses</v>
          </cell>
          <cell r="C16">
            <v>11864</v>
          </cell>
          <cell r="D16">
            <v>2000</v>
          </cell>
        </row>
        <row r="17">
          <cell r="A17" t="str">
            <v>Medical Expense</v>
          </cell>
          <cell r="C17">
            <v>5500</v>
          </cell>
          <cell r="D17">
            <v>0</v>
          </cell>
        </row>
        <row r="18">
          <cell r="A18" t="str">
            <v>Testing Charges</v>
          </cell>
          <cell r="C18">
            <v>0</v>
          </cell>
          <cell r="D18">
            <v>0</v>
          </cell>
        </row>
        <row r="19">
          <cell r="A19" t="str">
            <v>Professional &amp; Consultancy Fees</v>
          </cell>
          <cell r="C19">
            <v>828910</v>
          </cell>
          <cell r="D19">
            <v>50000</v>
          </cell>
        </row>
        <row r="20">
          <cell r="A20" t="str">
            <v>Freight Outward Expense (RCM)</v>
          </cell>
          <cell r="C20">
            <v>342750</v>
          </cell>
          <cell r="D20">
            <v>0</v>
          </cell>
        </row>
        <row r="21">
          <cell r="A21" t="str">
            <v>Freight Outward Expense (With GST)</v>
          </cell>
          <cell r="C21">
            <v>2642466</v>
          </cell>
          <cell r="D21">
            <v>0</v>
          </cell>
        </row>
        <row r="22">
          <cell r="A22" t="str">
            <v>Job Charges</v>
          </cell>
          <cell r="C22">
            <v>9662240</v>
          </cell>
          <cell r="D22">
            <v>932</v>
          </cell>
        </row>
        <row r="23">
          <cell r="A23" t="str">
            <v>Labour Charges</v>
          </cell>
          <cell r="C23">
            <v>2639832</v>
          </cell>
          <cell r="D23">
            <v>71584</v>
          </cell>
        </row>
        <row r="24">
          <cell r="A24" t="str">
            <v>TOTAL</v>
          </cell>
          <cell r="C24">
            <v>21765646</v>
          </cell>
          <cell r="D24">
            <v>617621</v>
          </cell>
        </row>
        <row r="27">
          <cell r="C27">
            <v>21753782</v>
          </cell>
        </row>
        <row r="28">
          <cell r="C28">
            <v>-11864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- 26"/>
      <sheetName val="Sheet1"/>
    </sheetNames>
    <sheetDataSet>
      <sheetData sheetId="0">
        <row r="1">
          <cell r="A1" t="str">
            <v>PROVISIONS FOR THE MONTH OF MAY 2026</v>
          </cell>
          <cell r="B1"/>
        </row>
        <row r="3">
          <cell r="A3" t="str">
            <v>EXP. HEAD</v>
          </cell>
          <cell r="B3" t="str">
            <v>Amount (INR)</v>
          </cell>
        </row>
        <row r="4">
          <cell r="A4" t="str">
            <v>Salaries Expense</v>
          </cell>
          <cell r="B4">
            <v>14561624</v>
          </cell>
        </row>
        <row r="5">
          <cell r="A5" t="str">
            <v>Canteen Expense - Factory</v>
          </cell>
          <cell r="B5">
            <v>297440</v>
          </cell>
        </row>
        <row r="6">
          <cell r="A6" t="str">
            <v>Power Expense</v>
          </cell>
          <cell r="B6">
            <v>3994704</v>
          </cell>
        </row>
        <row r="7">
          <cell r="A7" t="str">
            <v>Labour Charges</v>
          </cell>
          <cell r="B7">
            <v>5335438</v>
          </cell>
        </row>
        <row r="8">
          <cell r="A8" t="str">
            <v>Water Charges</v>
          </cell>
          <cell r="B8">
            <v>196417</v>
          </cell>
        </row>
        <row r="9">
          <cell r="A9" t="str">
            <v>Security Expenses</v>
          </cell>
          <cell r="B9">
            <v>254855</v>
          </cell>
        </row>
        <row r="10">
          <cell r="A10" t="str">
            <v>Vehicle Hire Charges - RCM</v>
          </cell>
          <cell r="B10">
            <v>37000</v>
          </cell>
        </row>
        <row r="11">
          <cell r="A11" t="str">
            <v>Vehicle Hire Charges - With Gst</v>
          </cell>
          <cell r="B11">
            <v>160000</v>
          </cell>
        </row>
        <row r="12">
          <cell r="A12" t="str">
            <v>Loading &amp; Unloading Expense</v>
          </cell>
          <cell r="B12">
            <v>20000</v>
          </cell>
        </row>
        <row r="13">
          <cell r="A13" t="str">
            <v>Freight Outward Expense (WITH GST)</v>
          </cell>
          <cell r="B13">
            <v>2109578</v>
          </cell>
        </row>
        <row r="14">
          <cell r="A14" t="str">
            <v>C &amp; F  Charges - Export</v>
          </cell>
          <cell r="B14">
            <v>329800</v>
          </cell>
        </row>
        <row r="15">
          <cell r="A15" t="str">
            <v>Factory Expense</v>
          </cell>
          <cell r="B15">
            <v>54600</v>
          </cell>
        </row>
        <row r="16">
          <cell r="A16" t="str">
            <v>House Keeping Expense</v>
          </cell>
          <cell r="B16">
            <v>494052</v>
          </cell>
        </row>
        <row r="17">
          <cell r="A17" t="str">
            <v>Medical Expense</v>
          </cell>
          <cell r="B17">
            <v>42875</v>
          </cell>
        </row>
        <row r="18">
          <cell r="A18" t="str">
            <v>Freight Outward Expense (RCM)</v>
          </cell>
          <cell r="B18">
            <v>505500</v>
          </cell>
        </row>
        <row r="19">
          <cell r="A19" t="str">
            <v>job charges</v>
          </cell>
          <cell r="B19">
            <v>9884517</v>
          </cell>
        </row>
        <row r="20">
          <cell r="A20" t="str">
            <v>Repairs &amp; Maintenance Exp - Others</v>
          </cell>
          <cell r="B20">
            <v>881909</v>
          </cell>
        </row>
        <row r="21">
          <cell r="A21" t="str">
            <v>Fumigation Charges</v>
          </cell>
          <cell r="B21">
            <v>123206</v>
          </cell>
        </row>
        <row r="22">
          <cell r="A22" t="str">
            <v>Equipment Certification Charges</v>
          </cell>
          <cell r="B22">
            <v>398859</v>
          </cell>
        </row>
        <row r="23">
          <cell r="A23" t="str">
            <v>Professional &amp; Consultancy Fees</v>
          </cell>
          <cell r="B23">
            <v>401900</v>
          </cell>
        </row>
        <row r="24">
          <cell r="A24" t="str">
            <v>Rent Expense - Colony</v>
          </cell>
          <cell r="B24">
            <v>1307900</v>
          </cell>
        </row>
        <row r="25">
          <cell r="A25"/>
          <cell r="B25"/>
        </row>
        <row r="26">
          <cell r="A26" t="str">
            <v>TOTAL AMOUNT (INR)</v>
          </cell>
          <cell r="B26">
            <v>41392174</v>
          </cell>
        </row>
        <row r="29">
          <cell r="B29">
            <v>40510265</v>
          </cell>
        </row>
        <row r="30">
          <cell r="B30">
            <v>881909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6"/>
      <sheetName val="May-26"/>
      <sheetName val="Provision Expnes"/>
    </sheetNames>
    <sheetDataSet>
      <sheetData sheetId="0"/>
      <sheetData sheetId="1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Rent Expense - Factory</v>
          </cell>
          <cell r="B4">
            <v>-229285</v>
          </cell>
        </row>
        <row r="5">
          <cell r="A5" t="str">
            <v>Water Charges</v>
          </cell>
          <cell r="B5">
            <v>250</v>
          </cell>
        </row>
        <row r="6">
          <cell r="A6" t="str">
            <v>Insurance Exp - Vehicles</v>
          </cell>
          <cell r="B6">
            <v>-100000</v>
          </cell>
        </row>
        <row r="7">
          <cell r="A7" t="str">
            <v>Mobile &amp; Telephone Expense</v>
          </cell>
          <cell r="B7">
            <v>707</v>
          </cell>
        </row>
        <row r="8">
          <cell r="A8" t="str">
            <v>Security Expenses</v>
          </cell>
          <cell r="B8">
            <v>34000</v>
          </cell>
        </row>
        <row r="9">
          <cell r="A9" t="str">
            <v>Salaries Expense</v>
          </cell>
          <cell r="B9">
            <v>150000</v>
          </cell>
        </row>
        <row r="10">
          <cell r="A10" t="str">
            <v>C &amp; F  Charges - Export</v>
          </cell>
          <cell r="B10">
            <v>406500</v>
          </cell>
        </row>
        <row r="11">
          <cell r="A11" t="str">
            <v>C &amp; F Charges - Detention Outward</v>
          </cell>
          <cell r="B11">
            <v>15000</v>
          </cell>
        </row>
        <row r="12">
          <cell r="A12" t="str">
            <v>Fumigation Charges</v>
          </cell>
          <cell r="B12">
            <v>9500</v>
          </cell>
        </row>
        <row r="14">
          <cell r="B14">
            <v>286672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6"/>
      <sheetName val="May-26"/>
      <sheetName val="Pre Paid Other Exp"/>
      <sheetName val="Adjustments"/>
    </sheetNames>
    <sheetDataSet>
      <sheetData sheetId="0"/>
      <sheetData sheetId="1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Labour Charges</v>
          </cell>
          <cell r="B3">
            <v>10000000</v>
          </cell>
        </row>
        <row r="4">
          <cell r="A4" t="str">
            <v>Internal Transportation Expense / Reimbursement</v>
          </cell>
          <cell r="B4">
            <v>195000</v>
          </cell>
        </row>
        <row r="5">
          <cell r="A5" t="str">
            <v>Job Charges</v>
          </cell>
          <cell r="B5">
            <v>35000</v>
          </cell>
        </row>
        <row r="6">
          <cell r="A6" t="str">
            <v>Loading &amp; Unloading Expense</v>
          </cell>
          <cell r="B6">
            <v>100000</v>
          </cell>
        </row>
        <row r="7">
          <cell r="A7" t="str">
            <v>Water Charges</v>
          </cell>
          <cell r="B7">
            <v>298000</v>
          </cell>
        </row>
        <row r="8">
          <cell r="A8" t="str">
            <v>Mobile &amp; Telephone Expense</v>
          </cell>
          <cell r="B8">
            <v>22000</v>
          </cell>
        </row>
        <row r="9">
          <cell r="A9" t="str">
            <v>Postage &amp; Courier Expense</v>
          </cell>
          <cell r="B9">
            <v>27716</v>
          </cell>
        </row>
        <row r="10">
          <cell r="A10" t="str">
            <v>Printing &amp; Stationery Expense</v>
          </cell>
          <cell r="B10">
            <v>9000</v>
          </cell>
        </row>
        <row r="11">
          <cell r="A11" t="str">
            <v>Security Expenses</v>
          </cell>
          <cell r="B11">
            <v>150000</v>
          </cell>
        </row>
        <row r="12">
          <cell r="A12" t="str">
            <v>Repairs &amp; Maintenance Exp - Computer &amp; Printers</v>
          </cell>
          <cell r="B12">
            <v>39500</v>
          </cell>
        </row>
        <row r="13">
          <cell r="A13" t="str">
            <v>Repairs &amp; Maintenance Exp - Others</v>
          </cell>
          <cell r="B13">
            <v>167730</v>
          </cell>
        </row>
        <row r="14">
          <cell r="A14" t="str">
            <v>Vehicle Hire Charges - RCM</v>
          </cell>
          <cell r="B14">
            <v>400000</v>
          </cell>
        </row>
        <row r="15">
          <cell r="A15" t="str">
            <v>P.F. Contribution - Employer</v>
          </cell>
          <cell r="B15">
            <v>145000</v>
          </cell>
        </row>
        <row r="16">
          <cell r="A16" t="str">
            <v>Salaries Expense</v>
          </cell>
          <cell r="B16">
            <v>4500000</v>
          </cell>
        </row>
        <row r="17">
          <cell r="A17" t="str">
            <v>Canteen Expense - Factory</v>
          </cell>
          <cell r="B17">
            <v>35000</v>
          </cell>
        </row>
        <row r="18">
          <cell r="A18" t="str">
            <v>Insurance Expenses - Other</v>
          </cell>
          <cell r="B18">
            <v>6900</v>
          </cell>
        </row>
        <row r="19">
          <cell r="A19" t="str">
            <v>Advocate Fees Expense</v>
          </cell>
          <cell r="B19">
            <v>7500</v>
          </cell>
        </row>
        <row r="20">
          <cell r="A20" t="str">
            <v>Professional &amp; Consultancy Fees</v>
          </cell>
          <cell r="B20">
            <v>395000</v>
          </cell>
        </row>
        <row r="21">
          <cell r="A21" t="str">
            <v>Freight Outward Expense (RCM)</v>
          </cell>
          <cell r="B21">
            <v>45000</v>
          </cell>
        </row>
        <row r="22">
          <cell r="A22" t="str">
            <v>Job Work Income</v>
          </cell>
          <cell r="B22">
            <v>-25185263.410316199</v>
          </cell>
        </row>
        <row r="23">
          <cell r="A23" t="str">
            <v>C &amp; F Charges - Import</v>
          </cell>
          <cell r="B23">
            <v>297000</v>
          </cell>
        </row>
        <row r="24">
          <cell r="A24" t="str">
            <v>Bonus Expense</v>
          </cell>
          <cell r="B24">
            <v>500000</v>
          </cell>
        </row>
        <row r="27">
          <cell r="B27">
            <v>-7809917.4103161991</v>
          </cell>
        </row>
        <row r="29">
          <cell r="B29">
            <v>-8106917</v>
          </cell>
        </row>
        <row r="30">
          <cell r="B30">
            <v>-296999.58968380094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5794851</v>
          </cell>
        </row>
        <row r="8">
          <cell r="B8" t="str">
            <v>Power Expense</v>
          </cell>
          <cell r="C8">
            <v>9449522</v>
          </cell>
        </row>
        <row r="9">
          <cell r="B9" t="str">
            <v>Labour Charges</v>
          </cell>
          <cell r="C9">
            <v>6821460</v>
          </cell>
        </row>
        <row r="10">
          <cell r="B10" t="str">
            <v>Water Charges</v>
          </cell>
          <cell r="C10">
            <v>952504</v>
          </cell>
        </row>
        <row r="11">
          <cell r="B11" t="str">
            <v>Security Expenses</v>
          </cell>
          <cell r="C11">
            <v>150258</v>
          </cell>
        </row>
        <row r="12">
          <cell r="B12" t="str">
            <v>Vehicle Hire Charges - RCM</v>
          </cell>
          <cell r="C12">
            <v>23000</v>
          </cell>
        </row>
        <row r="13">
          <cell r="B13" t="str">
            <v>Vehicle Hire Charges - With Gst</v>
          </cell>
          <cell r="C13">
            <v>90000</v>
          </cell>
        </row>
        <row r="14">
          <cell r="B14" t="str">
            <v>Staff Welfare Expense</v>
          </cell>
          <cell r="C14">
            <v>65741</v>
          </cell>
        </row>
        <row r="15">
          <cell r="B15" t="str">
            <v>Canteen Expense - Factory</v>
          </cell>
          <cell r="C15">
            <v>109133</v>
          </cell>
        </row>
        <row r="16">
          <cell r="B16" t="str">
            <v>Income From Wind Mill</v>
          </cell>
          <cell r="C16">
            <v>-1260319</v>
          </cell>
        </row>
        <row r="17">
          <cell r="B17" t="str">
            <v>C &amp; F  Charges - Export</v>
          </cell>
          <cell r="C17">
            <v>258636</v>
          </cell>
        </row>
        <row r="18">
          <cell r="B18" t="str">
            <v>Professional &amp; Consultancy Fees</v>
          </cell>
          <cell r="C18">
            <v>125000</v>
          </cell>
        </row>
        <row r="19">
          <cell r="B19" t="str">
            <v>Freight outward Expenses (RCM_Withinstate)</v>
          </cell>
          <cell r="C19">
            <v>500000</v>
          </cell>
        </row>
        <row r="22">
          <cell r="C22">
            <v>23079786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 26 27"/>
      <sheetName val="TB April"/>
      <sheetName val="TB MAy"/>
      <sheetName val="PROV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Labour Charges</v>
          </cell>
          <cell r="B3">
            <v>6926989</v>
          </cell>
        </row>
        <row r="4">
          <cell r="A4" t="str">
            <v>Loading &amp; Unloading Expense</v>
          </cell>
          <cell r="B4">
            <v>91523</v>
          </cell>
        </row>
        <row r="5">
          <cell r="A5" t="str">
            <v>House Keeping Expense</v>
          </cell>
          <cell r="B5">
            <v>310000</v>
          </cell>
        </row>
        <row r="6">
          <cell r="A6" t="str">
            <v>Security Expenses</v>
          </cell>
          <cell r="B6">
            <v>235000</v>
          </cell>
        </row>
        <row r="7">
          <cell r="A7" t="str">
            <v>Salaries Expense</v>
          </cell>
          <cell r="B7">
            <v>9372319</v>
          </cell>
        </row>
        <row r="8">
          <cell r="A8" t="str">
            <v>Freight Outward Expense  - Export</v>
          </cell>
          <cell r="B8">
            <v>1000000</v>
          </cell>
        </row>
        <row r="9">
          <cell r="A9" t="str">
            <v>Freight Outward Expense (RCM)</v>
          </cell>
          <cell r="B9">
            <v>1000000</v>
          </cell>
        </row>
        <row r="10">
          <cell r="A10" t="str">
            <v>Freight Outward Expense (With GST)</v>
          </cell>
          <cell r="B10">
            <v>1000000</v>
          </cell>
        </row>
        <row r="13">
          <cell r="B13">
            <v>19935831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-2026"/>
      <sheetName val="June-2026"/>
    </sheetNames>
    <sheetDataSet>
      <sheetData sheetId="0">
        <row r="1">
          <cell r="A1" t="str">
            <v>May-2026 Provision Sheet</v>
          </cell>
          <cell r="B1"/>
        </row>
        <row r="2">
          <cell r="A2" t="str">
            <v>Expense Head</v>
          </cell>
          <cell r="B2" t="str">
            <v>total</v>
          </cell>
        </row>
        <row r="3">
          <cell r="A3" t="str">
            <v>Labour Charges</v>
          </cell>
          <cell r="B3">
            <v>7142306.0999999996</v>
          </cell>
        </row>
        <row r="4">
          <cell r="A4" t="str">
            <v>P.F. Contribution - Employer</v>
          </cell>
          <cell r="B4">
            <v>33466</v>
          </cell>
        </row>
        <row r="5">
          <cell r="A5" t="str">
            <v>Advocate Fees Expense</v>
          </cell>
          <cell r="B5">
            <v>7500</v>
          </cell>
        </row>
        <row r="6">
          <cell r="A6" t="str">
            <v>Staff Welfare Exp.</v>
          </cell>
          <cell r="B6">
            <v>0</v>
          </cell>
        </row>
        <row r="7">
          <cell r="A7" t="str">
            <v>Freight Outward Expense (With GST)</v>
          </cell>
          <cell r="B7">
            <v>908700</v>
          </cell>
        </row>
        <row r="8">
          <cell r="A8" t="str">
            <v>C &amp; F  Charges - Export</v>
          </cell>
          <cell r="B8">
            <v>497315</v>
          </cell>
        </row>
        <row r="9">
          <cell r="A9" t="str">
            <v>Freight outward Expenses (RCM_Withinstate)</v>
          </cell>
          <cell r="B9">
            <v>3800</v>
          </cell>
        </row>
        <row r="10">
          <cell r="A10" t="str">
            <v>House Keeping Expense</v>
          </cell>
          <cell r="B10">
            <v>17600</v>
          </cell>
        </row>
        <row r="11">
          <cell r="A11" t="str">
            <v>MEDICAL EXPENSES</v>
          </cell>
          <cell r="B11">
            <v>0</v>
          </cell>
        </row>
        <row r="12">
          <cell r="A12" t="str">
            <v>Incentive Expense - Production</v>
          </cell>
          <cell r="B12">
            <v>11000</v>
          </cell>
        </row>
        <row r="13">
          <cell r="A13" t="str">
            <v>Mobile &amp; Telephone Expense</v>
          </cell>
          <cell r="B13">
            <v>0</v>
          </cell>
        </row>
        <row r="14">
          <cell r="A14" t="str">
            <v>Freight outward Expenses (RCM_Withinstate)</v>
          </cell>
          <cell r="B14">
            <v>0</v>
          </cell>
        </row>
        <row r="15">
          <cell r="A15" t="str">
            <v>Water Charges</v>
          </cell>
          <cell r="B15">
            <v>127490</v>
          </cell>
        </row>
        <row r="16">
          <cell r="A16" t="str">
            <v>FUMIGATION EXPENSES</v>
          </cell>
          <cell r="B16">
            <v>0</v>
          </cell>
        </row>
        <row r="17">
          <cell r="A17" t="str">
            <v>Repairs &amp; Maintenance Exp - Computer &amp; Printers</v>
          </cell>
          <cell r="B17">
            <v>3560</v>
          </cell>
        </row>
        <row r="18">
          <cell r="A18" t="str">
            <v>VEHICLE HIRE CHARGES</v>
          </cell>
          <cell r="B18">
            <v>0</v>
          </cell>
        </row>
        <row r="19">
          <cell r="A19" t="str">
            <v>WEIGHMENT CHARGES</v>
          </cell>
          <cell r="B19">
            <v>0</v>
          </cell>
        </row>
        <row r="20">
          <cell r="A20" t="str">
            <v>SECURITY CHARGES</v>
          </cell>
          <cell r="B20">
            <v>0</v>
          </cell>
        </row>
        <row r="21">
          <cell r="A21" t="str">
            <v>Repairs &amp; Maintenance Exp - Plant &amp; Machinery</v>
          </cell>
          <cell r="B21">
            <v>0</v>
          </cell>
        </row>
        <row r="22">
          <cell r="A22" t="str">
            <v>TOTAL AMOUNT</v>
          </cell>
          <cell r="B22">
            <v>8752737.0999999996</v>
          </cell>
        </row>
        <row r="23">
          <cell r="B23"/>
        </row>
        <row r="24">
          <cell r="B24">
            <v>8745237</v>
          </cell>
        </row>
        <row r="25">
          <cell r="B25">
            <v>-7500.0999999996275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5"/>
      <sheetName val="Provision Expnes"/>
    </sheetNames>
    <sheetDataSet>
      <sheetData sheetId="0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Rent Expense - Factory</v>
          </cell>
          <cell r="B4">
            <v>-389293</v>
          </cell>
        </row>
        <row r="5">
          <cell r="A5" t="str">
            <v>Insurance Expenses - Plant</v>
          </cell>
          <cell r="B5">
            <v>-3410</v>
          </cell>
        </row>
        <row r="6">
          <cell r="A6" t="str">
            <v>Water Charges</v>
          </cell>
          <cell r="B6">
            <v>500</v>
          </cell>
        </row>
        <row r="7">
          <cell r="A7" t="str">
            <v>Mobile &amp; Telephone Expense</v>
          </cell>
          <cell r="B7">
            <v>1000</v>
          </cell>
        </row>
        <row r="8">
          <cell r="A8" t="str">
            <v>Security Expenses</v>
          </cell>
          <cell r="B8">
            <v>29000</v>
          </cell>
        </row>
        <row r="9">
          <cell r="A9" t="str">
            <v>Fumigation Charges</v>
          </cell>
          <cell r="B9">
            <v>12000</v>
          </cell>
        </row>
        <row r="10">
          <cell r="A10" t="str">
            <v>Freight Outward Expense  - Export</v>
          </cell>
          <cell r="B10">
            <v>108000</v>
          </cell>
        </row>
        <row r="11">
          <cell r="A11" t="str">
            <v>C &amp; F  Charges - Export</v>
          </cell>
          <cell r="B11">
            <v>36000</v>
          </cell>
        </row>
        <row r="13">
          <cell r="B13">
            <v>-206203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5"/>
      <sheetName val="Pre Paid Other Exp"/>
      <sheetName val="Adjustments"/>
    </sheetNames>
    <sheetDataSet>
      <sheetData sheetId="0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Factory Expense</v>
          </cell>
          <cell r="B3">
            <v>22622</v>
          </cell>
        </row>
        <row r="4">
          <cell r="A4" t="str">
            <v>Rent Expense - Factory</v>
          </cell>
          <cell r="B4">
            <v>-482511</v>
          </cell>
        </row>
        <row r="5">
          <cell r="A5" t="str">
            <v>Insurance Expenses - Plant</v>
          </cell>
          <cell r="B5">
            <v>-802377</v>
          </cell>
        </row>
        <row r="6">
          <cell r="A6" t="str">
            <v>Water Charges</v>
          </cell>
          <cell r="B6">
            <v>218000</v>
          </cell>
        </row>
        <row r="7">
          <cell r="A7" t="str">
            <v>Labour Charges</v>
          </cell>
          <cell r="B7">
            <v>9254801</v>
          </cell>
        </row>
        <row r="8">
          <cell r="A8" t="str">
            <v>Security Expenses</v>
          </cell>
          <cell r="B8">
            <v>106100</v>
          </cell>
        </row>
        <row r="9">
          <cell r="A9" t="str">
            <v>Repairs &amp; Maintenance Exp - Plant &amp; Machinery</v>
          </cell>
          <cell r="B9">
            <v>-8392</v>
          </cell>
        </row>
        <row r="10">
          <cell r="A10" t="str">
            <v>Conveyance Expenses</v>
          </cell>
          <cell r="B10">
            <v>11900</v>
          </cell>
        </row>
        <row r="11">
          <cell r="A11" t="str">
            <v>Membership &amp; Subscription Fees</v>
          </cell>
          <cell r="B11">
            <v>-8917</v>
          </cell>
        </row>
        <row r="12">
          <cell r="A12" t="str">
            <v>Mobile &amp; Telephone Expense</v>
          </cell>
          <cell r="B12">
            <v>21000</v>
          </cell>
        </row>
        <row r="13">
          <cell r="A13" t="str">
            <v>Postage &amp; Courier Expense</v>
          </cell>
          <cell r="B13">
            <v>13123</v>
          </cell>
        </row>
        <row r="14">
          <cell r="A14" t="str">
            <v>Printing &amp; Stationery Expense</v>
          </cell>
          <cell r="B14">
            <v>15000</v>
          </cell>
        </row>
        <row r="15">
          <cell r="A15" t="str">
            <v>Garden Mainteance Exp</v>
          </cell>
          <cell r="B15">
            <v>5000</v>
          </cell>
        </row>
        <row r="16">
          <cell r="A16" t="str">
            <v>Advocate Fees Expense</v>
          </cell>
          <cell r="B16">
            <v>7500</v>
          </cell>
        </row>
        <row r="17">
          <cell r="A17" t="str">
            <v>Canteen Expense - Factory</v>
          </cell>
          <cell r="B17">
            <v>35000</v>
          </cell>
        </row>
        <row r="18">
          <cell r="A18" t="str">
            <v>Internal Transportation Expense / Reimbursement</v>
          </cell>
          <cell r="B18">
            <v>33000</v>
          </cell>
        </row>
        <row r="19">
          <cell r="A19" t="str">
            <v>Salaries Expense</v>
          </cell>
          <cell r="B19">
            <v>2961899</v>
          </cell>
        </row>
        <row r="20">
          <cell r="A20" t="str">
            <v>Repairs &amp; Maintenance Exp - Computer &amp; Printers</v>
          </cell>
          <cell r="B20">
            <v>-75000</v>
          </cell>
        </row>
        <row r="21">
          <cell r="A21" t="str">
            <v>P.F. Contribution - Employer</v>
          </cell>
          <cell r="B21">
            <v>140000</v>
          </cell>
        </row>
        <row r="22">
          <cell r="A22" t="str">
            <v>Vehicle Hire Charges - RCM</v>
          </cell>
          <cell r="B22">
            <v>320000</v>
          </cell>
        </row>
        <row r="23">
          <cell r="A23" t="str">
            <v>Staff Welfare Expense</v>
          </cell>
          <cell r="B23">
            <v>-130294</v>
          </cell>
        </row>
        <row r="24">
          <cell r="A24" t="str">
            <v>Medical Expense</v>
          </cell>
          <cell r="B24">
            <v>15400</v>
          </cell>
        </row>
        <row r="25">
          <cell r="A25" t="str">
            <v>Professional &amp; Consultancy Fees</v>
          </cell>
          <cell r="B25">
            <v>112614</v>
          </cell>
        </row>
        <row r="26">
          <cell r="A26" t="str">
            <v>Job Work Income</v>
          </cell>
          <cell r="B26">
            <v>-25010382.2703766</v>
          </cell>
        </row>
        <row r="27">
          <cell r="A27" t="str">
            <v>Job Charges</v>
          </cell>
          <cell r="B27">
            <v>89803</v>
          </cell>
        </row>
        <row r="28">
          <cell r="A28" t="str">
            <v>Bonus Expense</v>
          </cell>
          <cell r="B28">
            <v>180000</v>
          </cell>
        </row>
        <row r="31">
          <cell r="B31">
            <v>-12955111.2703766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"/>
      <sheetName val="TB APRIL.25"/>
      <sheetName val="PROV"/>
    </sheetNames>
    <sheetDataSet>
      <sheetData sheetId="0"/>
      <sheetData sheetId="1"/>
      <sheetData sheetId="2"/>
      <sheetData sheetId="3"/>
      <sheetData sheetId="4">
        <row r="2">
          <cell r="A2" t="str">
            <v>Vehicle Hire Charges - RCM</v>
          </cell>
          <cell r="B2">
            <v>118000</v>
          </cell>
        </row>
        <row r="3">
          <cell r="A3" t="str">
            <v>Labour Charges</v>
          </cell>
          <cell r="B3">
            <v>6320705</v>
          </cell>
        </row>
        <row r="4">
          <cell r="A4" t="str">
            <v>Leave Encashment</v>
          </cell>
          <cell r="B4">
            <v>7065959</v>
          </cell>
        </row>
        <row r="5">
          <cell r="A5" t="str">
            <v>Loading &amp; Unloading Expense</v>
          </cell>
          <cell r="B5">
            <v>84095</v>
          </cell>
        </row>
        <row r="6">
          <cell r="A6" t="str">
            <v>C &amp; F  Charges - Export</v>
          </cell>
          <cell r="B6">
            <v>1000000</v>
          </cell>
        </row>
        <row r="7">
          <cell r="A7" t="str">
            <v>Security Expenses</v>
          </cell>
          <cell r="B7">
            <v>227200</v>
          </cell>
        </row>
        <row r="9">
          <cell r="B9">
            <v>14815959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</sheetNames>
    <sheetDataSet>
      <sheetData sheetId="0">
        <row r="3">
          <cell r="A3" t="str">
            <v>NAME</v>
          </cell>
        </row>
        <row r="4">
          <cell r="A4" t="str">
            <v>Salaries Expense</v>
          </cell>
          <cell r="B4">
            <v>10099310</v>
          </cell>
        </row>
        <row r="5">
          <cell r="A5" t="str">
            <v>Canteen Expense - Factory</v>
          </cell>
          <cell r="B5">
            <v>259088</v>
          </cell>
        </row>
        <row r="6">
          <cell r="A6" t="str">
            <v>Labour Charges</v>
          </cell>
          <cell r="B6">
            <v>6555848</v>
          </cell>
        </row>
        <row r="7">
          <cell r="A7" t="str">
            <v>Water Charges</v>
          </cell>
          <cell r="B7">
            <v>26100</v>
          </cell>
        </row>
        <row r="8">
          <cell r="A8" t="str">
            <v>Security Expenses</v>
          </cell>
          <cell r="B8">
            <v>331464</v>
          </cell>
        </row>
        <row r="9">
          <cell r="A9" t="str">
            <v>Vehicle Hire Charges - With Gst</v>
          </cell>
          <cell r="B9">
            <v>238360</v>
          </cell>
        </row>
        <row r="10">
          <cell r="A10" t="str">
            <v>Freight Outward Expense (WITH GST)</v>
          </cell>
          <cell r="B10">
            <v>920868</v>
          </cell>
        </row>
        <row r="11">
          <cell r="A11" t="str">
            <v>C &amp; F  Charges - Export</v>
          </cell>
          <cell r="B11">
            <v>320140</v>
          </cell>
        </row>
        <row r="12">
          <cell r="A12" t="str">
            <v>Factory Expense</v>
          </cell>
          <cell r="B12">
            <v>8000</v>
          </cell>
        </row>
        <row r="13">
          <cell r="A13" t="str">
            <v>House Keeping Expense</v>
          </cell>
          <cell r="B13">
            <v>802324</v>
          </cell>
        </row>
        <row r="14">
          <cell r="A14" t="str">
            <v>Medical Expense</v>
          </cell>
          <cell r="B14">
            <v>7538</v>
          </cell>
        </row>
        <row r="15">
          <cell r="A15" t="str">
            <v>Xerox Expense</v>
          </cell>
          <cell r="B15">
            <v>4500</v>
          </cell>
        </row>
        <row r="16">
          <cell r="A16" t="str">
            <v>Freight Outward Expense (RCM)</v>
          </cell>
          <cell r="B16">
            <v>447550</v>
          </cell>
        </row>
        <row r="17">
          <cell r="A17" t="str">
            <v>job charges</v>
          </cell>
          <cell r="B17">
            <v>89940</v>
          </cell>
        </row>
        <row r="18">
          <cell r="A18" t="str">
            <v>Repairs &amp; Maintenance Exp - Computer &amp; Printers</v>
          </cell>
          <cell r="B18">
            <v>12000</v>
          </cell>
        </row>
        <row r="19">
          <cell r="A19" t="str">
            <v>Fumigation Charges</v>
          </cell>
          <cell r="B19">
            <v>18290</v>
          </cell>
        </row>
        <row r="20">
          <cell r="A20" t="str">
            <v>Equipment Certification Charges</v>
          </cell>
          <cell r="B20">
            <v>220542</v>
          </cell>
        </row>
        <row r="22">
          <cell r="B22">
            <v>20361862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TB APRIL24"/>
      <sheetName val="Sheet1"/>
      <sheetName val="master"/>
    </sheetNames>
    <sheetDataSet>
      <sheetData sheetId="0"/>
      <sheetData sheetId="1"/>
      <sheetData sheetId="2"/>
      <sheetData sheetId="3">
        <row r="3">
          <cell r="A3" t="str">
            <v>C &amp; F Charges - Import</v>
          </cell>
          <cell r="B3">
            <v>84159</v>
          </cell>
        </row>
        <row r="4">
          <cell r="A4" t="str">
            <v>Vehicle Hire Charges - RCM</v>
          </cell>
          <cell r="B4">
            <v>95700</v>
          </cell>
        </row>
        <row r="5">
          <cell r="A5" t="str">
            <v>Vehicle Hire Charges - With Gst</v>
          </cell>
          <cell r="B5">
            <v>118000</v>
          </cell>
        </row>
        <row r="6">
          <cell r="A6" t="str">
            <v>Loading &amp; Unloading Expense</v>
          </cell>
          <cell r="B6">
            <v>124766</v>
          </cell>
        </row>
        <row r="7">
          <cell r="A7" t="str">
            <v>Freight Outward Expense  - Export</v>
          </cell>
          <cell r="B7">
            <v>1500000</v>
          </cell>
        </row>
        <row r="8">
          <cell r="A8" t="str">
            <v>Labour Charges</v>
          </cell>
          <cell r="B8">
            <v>5063870</v>
          </cell>
        </row>
        <row r="9">
          <cell r="A9" t="str">
            <v>Security Expenses</v>
          </cell>
          <cell r="B9">
            <v>206667</v>
          </cell>
        </row>
        <row r="10">
          <cell r="A10" t="str">
            <v>Weighment Expense</v>
          </cell>
          <cell r="B10">
            <v>30000</v>
          </cell>
        </row>
        <row r="11">
          <cell r="A11" t="str">
            <v>House Keeping Expense</v>
          </cell>
          <cell r="B11">
            <v>275000</v>
          </cell>
        </row>
        <row r="12">
          <cell r="A12" t="str">
            <v>Power Expense</v>
          </cell>
          <cell r="B12">
            <v>4251052</v>
          </cell>
        </row>
        <row r="13">
          <cell r="A13" t="str">
            <v>Income From Wind Mill</v>
          </cell>
          <cell r="B13">
            <v>524276</v>
          </cell>
        </row>
        <row r="14">
          <cell r="A14" t="str">
            <v>Salaries Expense</v>
          </cell>
          <cell r="B14">
            <v>7949927</v>
          </cell>
        </row>
        <row r="18">
          <cell r="B18">
            <v>20223417</v>
          </cell>
        </row>
      </sheetData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ision &amp; Prepaid Expense"/>
      <sheetName val="Sheet10"/>
      <sheetName val="Purchase Register"/>
      <sheetName val="Sheet7"/>
      <sheetName val="Rate Diference"/>
      <sheetName val="Sales Register"/>
      <sheetName val="Trail Balance-Apr-24"/>
      <sheetName val="Inward Summary"/>
      <sheetName val="Inward Register"/>
      <sheetName val="Sheet8"/>
      <sheetName val="Job Stk Bal Apr24-KPW"/>
      <sheetName val="Sheet5"/>
      <sheetName val="Sheet6"/>
      <sheetName val="Job Stk Bal Apr24-PPL"/>
      <sheetName val="Job Stk Bal Apr24-Aaradhya"/>
      <sheetName val="Job Stk Bal Apr24-Saru"/>
      <sheetName val="Job Stk Bal Apr24-Parsva "/>
      <sheetName val="JOB STOCK-Jan24"/>
      <sheetName val="Reco."/>
      <sheetName val="Sheet1"/>
      <sheetName val="Sheet3"/>
      <sheetName val="Inward-Webbing"/>
      <sheetName val="Inward-Lam-Unlam-Fabric"/>
      <sheetName val="Sheet1 (2)"/>
      <sheetName val="RECO.."/>
      <sheetName val="Sheet4"/>
      <sheetName val="Sheet2"/>
      <sheetName val="Sheet9"/>
      <sheetName val="Sheet12"/>
      <sheetName val="Reco.Apr24"/>
      <sheetName val="RECO APRIL-24"/>
      <sheetName val="JOB Work Summary"/>
    </sheetNames>
    <sheetDataSet>
      <sheetData sheetId="0"/>
      <sheetData sheetId="1">
        <row r="3">
          <cell r="A3" t="str">
            <v>Expense Head</v>
          </cell>
        </row>
        <row r="4">
          <cell r="A4" t="str">
            <v>LABOUR CHARGES</v>
          </cell>
          <cell r="B4">
            <v>5359735</v>
          </cell>
        </row>
        <row r="5">
          <cell r="A5" t="str">
            <v>P.F. Contribution - Employer</v>
          </cell>
          <cell r="B5">
            <v>38434</v>
          </cell>
        </row>
        <row r="6">
          <cell r="A6" t="str">
            <v>Vehicle Hire Charges - RCM</v>
          </cell>
          <cell r="B6">
            <v>147420</v>
          </cell>
        </row>
        <row r="7">
          <cell r="A7" t="str">
            <v>Advocate Fees Expense</v>
          </cell>
          <cell r="B7">
            <v>7500</v>
          </cell>
        </row>
        <row r="8">
          <cell r="A8" t="str">
            <v>Staff Welfare Expense</v>
          </cell>
          <cell r="B8">
            <v>8052</v>
          </cell>
        </row>
        <row r="9">
          <cell r="A9" t="str">
            <v>Freight Outward Expense (With GST)</v>
          </cell>
          <cell r="B9">
            <v>13000</v>
          </cell>
        </row>
        <row r="10">
          <cell r="A10" t="str">
            <v>C &amp; F  Charges - Export</v>
          </cell>
          <cell r="B10">
            <v>4418.6400000000003</v>
          </cell>
        </row>
        <row r="13">
          <cell r="B13">
            <v>5578559.6399999997</v>
          </cell>
        </row>
        <row r="14">
          <cell r="A14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Perticular</v>
          </cell>
          <cell r="C1" t="str">
            <v>unit-1</v>
          </cell>
          <cell r="D1" t="str">
            <v>unit-2</v>
          </cell>
        </row>
        <row r="2">
          <cell r="A2" t="str">
            <v>Internal Transportation Expense / Reimbursement</v>
          </cell>
          <cell r="C2">
            <v>16570</v>
          </cell>
          <cell r="D2">
            <v>7079</v>
          </cell>
        </row>
        <row r="3">
          <cell r="A3" t="str">
            <v>Freight Inward Expense (RCM)</v>
          </cell>
          <cell r="C3">
            <v>20440</v>
          </cell>
          <cell r="D3">
            <v>0</v>
          </cell>
        </row>
        <row r="4">
          <cell r="A4" t="str">
            <v>Loading &amp; Unloading Expense</v>
          </cell>
          <cell r="C4">
            <v>7080</v>
          </cell>
          <cell r="D4">
            <v>0</v>
          </cell>
        </row>
        <row r="5">
          <cell r="A5" t="str">
            <v>Power Expense</v>
          </cell>
          <cell r="C5">
            <v>3919720</v>
          </cell>
          <cell r="D5">
            <v>0</v>
          </cell>
        </row>
        <row r="6">
          <cell r="A6" t="str">
            <v>Petrol &amp; Diesel Expense - Other Vehicles</v>
          </cell>
          <cell r="C6">
            <v>0</v>
          </cell>
          <cell r="D6">
            <v>0</v>
          </cell>
        </row>
        <row r="7">
          <cell r="A7" t="str">
            <v>Postage &amp; Courier Expense</v>
          </cell>
          <cell r="C7">
            <v>149760</v>
          </cell>
          <cell r="D7">
            <v>19855</v>
          </cell>
        </row>
        <row r="8">
          <cell r="A8" t="str">
            <v>Printing &amp; Stationery Expense</v>
          </cell>
          <cell r="C8">
            <v>10190</v>
          </cell>
          <cell r="D8">
            <v>0</v>
          </cell>
        </row>
        <row r="9">
          <cell r="A9" t="str">
            <v>Security Expenses</v>
          </cell>
          <cell r="C9">
            <v>124000</v>
          </cell>
          <cell r="D9">
            <v>0</v>
          </cell>
        </row>
        <row r="10">
          <cell r="A10" t="str">
            <v>Repairs &amp; Maintenance Exp - Plant &amp; Machinery</v>
          </cell>
          <cell r="C10">
            <v>249812</v>
          </cell>
          <cell r="D10">
            <v>28300</v>
          </cell>
        </row>
        <row r="11">
          <cell r="A11" t="str">
            <v>P.F. Contribution - Employer</v>
          </cell>
          <cell r="C11">
            <v>95000</v>
          </cell>
          <cell r="D11">
            <v>7500</v>
          </cell>
        </row>
        <row r="12">
          <cell r="A12" t="str">
            <v>Employers Contribution to ESI</v>
          </cell>
          <cell r="C12">
            <v>10000</v>
          </cell>
          <cell r="D12">
            <v>1000</v>
          </cell>
        </row>
        <row r="13">
          <cell r="A13" t="str">
            <v>Salaries Expense</v>
          </cell>
          <cell r="C13">
            <v>2500000</v>
          </cell>
          <cell r="D13">
            <v>450000</v>
          </cell>
        </row>
        <row r="14">
          <cell r="A14" t="str">
            <v>Staff Welfare Expense</v>
          </cell>
          <cell r="C14">
            <v>19845</v>
          </cell>
          <cell r="D14">
            <v>0</v>
          </cell>
        </row>
        <row r="15">
          <cell r="A15" t="str">
            <v>Canteen Expense - Factory</v>
          </cell>
          <cell r="C15">
            <v>140000</v>
          </cell>
          <cell r="D15">
            <v>0</v>
          </cell>
        </row>
        <row r="16">
          <cell r="A16" t="str">
            <v>Conveyance Expenses</v>
          </cell>
          <cell r="C16">
            <v>4000</v>
          </cell>
          <cell r="D16">
            <v>2000</v>
          </cell>
        </row>
        <row r="17">
          <cell r="A17" t="str">
            <v>Medical Expense</v>
          </cell>
          <cell r="C17">
            <v>5490</v>
          </cell>
          <cell r="D17">
            <v>0</v>
          </cell>
        </row>
        <row r="18">
          <cell r="A18" t="str">
            <v>Testing Charges</v>
          </cell>
          <cell r="C18">
            <v>0</v>
          </cell>
          <cell r="D18">
            <v>0</v>
          </cell>
        </row>
        <row r="19">
          <cell r="A19" t="str">
            <v>Professional &amp; Consultancy Fees</v>
          </cell>
          <cell r="C19">
            <v>555000</v>
          </cell>
          <cell r="D19">
            <v>50000</v>
          </cell>
        </row>
        <row r="20">
          <cell r="A20" t="str">
            <v>Freight Outward Expense (RCM)</v>
          </cell>
          <cell r="C20">
            <v>570000</v>
          </cell>
          <cell r="D20">
            <v>0</v>
          </cell>
        </row>
        <row r="21">
          <cell r="A21" t="str">
            <v>Freight Outward Expense (With GST)</v>
          </cell>
          <cell r="C21">
            <v>78380</v>
          </cell>
          <cell r="D21">
            <v>0</v>
          </cell>
        </row>
        <row r="22">
          <cell r="A22" t="str">
            <v>Job Charges</v>
          </cell>
          <cell r="C22">
            <v>1235889</v>
          </cell>
          <cell r="D22">
            <v>0</v>
          </cell>
        </row>
        <row r="23">
          <cell r="A23" t="str">
            <v>Labour Charges</v>
          </cell>
          <cell r="C23">
            <v>2671000</v>
          </cell>
          <cell r="D23">
            <v>54540</v>
          </cell>
        </row>
        <row r="24">
          <cell r="A24" t="str">
            <v>TOTAL</v>
          </cell>
          <cell r="C24">
            <v>12382176</v>
          </cell>
          <cell r="D24">
            <v>620274</v>
          </cell>
        </row>
        <row r="27">
          <cell r="C27">
            <v>12378176</v>
          </cell>
        </row>
        <row r="28">
          <cell r="C28">
            <v>-4000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-26"/>
      <sheetName val="Sheet1"/>
    </sheetNames>
    <sheetDataSet>
      <sheetData sheetId="0">
        <row r="1">
          <cell r="A1" t="str">
            <v>NAME</v>
          </cell>
          <cell r="B1"/>
        </row>
        <row r="2">
          <cell r="A2" t="str">
            <v>Salaries Expense</v>
          </cell>
          <cell r="B2">
            <v>14933704</v>
          </cell>
        </row>
        <row r="3">
          <cell r="A3" t="str">
            <v>Canteen Expense - Factory</v>
          </cell>
          <cell r="B3">
            <v>235000</v>
          </cell>
        </row>
        <row r="4">
          <cell r="A4" t="str">
            <v>Power Expense</v>
          </cell>
          <cell r="B4">
            <v>3576447</v>
          </cell>
        </row>
        <row r="5">
          <cell r="A5" t="str">
            <v>Labour Charges</v>
          </cell>
          <cell r="B5">
            <v>4554417</v>
          </cell>
        </row>
        <row r="6">
          <cell r="A6" t="str">
            <v>Water Charges</v>
          </cell>
          <cell r="B6">
            <v>104358</v>
          </cell>
        </row>
        <row r="7">
          <cell r="A7" t="str">
            <v>Security Expenses</v>
          </cell>
          <cell r="B7">
            <v>270400</v>
          </cell>
        </row>
        <row r="8">
          <cell r="A8" t="str">
            <v>Vehicle Hire Charges - RCM</v>
          </cell>
          <cell r="B8">
            <v>35000</v>
          </cell>
        </row>
        <row r="9">
          <cell r="A9" t="str">
            <v>Vehicle Hire Charges - With Gst</v>
          </cell>
          <cell r="B9">
            <v>160000</v>
          </cell>
        </row>
        <row r="10">
          <cell r="A10" t="str">
            <v>Loading &amp; Unloading Expense</v>
          </cell>
          <cell r="B10">
            <v>14280</v>
          </cell>
        </row>
        <row r="11">
          <cell r="A11" t="str">
            <v>Freight Outward Expense (WITH GST)</v>
          </cell>
          <cell r="B11">
            <v>1000000</v>
          </cell>
        </row>
        <row r="12">
          <cell r="A12" t="str">
            <v>C &amp; F  Charges - Export</v>
          </cell>
          <cell r="B12">
            <v>160059</v>
          </cell>
        </row>
        <row r="13">
          <cell r="A13" t="str">
            <v>Factory Expense</v>
          </cell>
          <cell r="B13">
            <v>600</v>
          </cell>
        </row>
        <row r="14">
          <cell r="A14" t="str">
            <v>House Keeping Expense</v>
          </cell>
          <cell r="B14">
            <v>434328</v>
          </cell>
        </row>
        <row r="15">
          <cell r="A15" t="str">
            <v>Freight Outward Expense (RCM)</v>
          </cell>
          <cell r="B15">
            <v>279000</v>
          </cell>
        </row>
        <row r="16">
          <cell r="A16" t="str">
            <v>job charges</v>
          </cell>
          <cell r="B16">
            <v>4954774</v>
          </cell>
        </row>
        <row r="17">
          <cell r="A17" t="str">
            <v>Repairs &amp; Maintenance Exp - Others</v>
          </cell>
          <cell r="B17">
            <v>170042</v>
          </cell>
        </row>
        <row r="18">
          <cell r="A18" t="str">
            <v>Fumigation Charges</v>
          </cell>
          <cell r="B18">
            <v>20060</v>
          </cell>
        </row>
        <row r="19">
          <cell r="A19" t="str">
            <v>Professional &amp; Consultancy Fees</v>
          </cell>
          <cell r="B19">
            <v>609145</v>
          </cell>
        </row>
        <row r="20">
          <cell r="A20" t="str">
            <v>Rent Expense - Colony</v>
          </cell>
          <cell r="B20">
            <v>1265900</v>
          </cell>
        </row>
        <row r="22">
          <cell r="B22">
            <v>32777514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6"/>
      <sheetName val="Provision Expnes"/>
    </sheetNames>
    <sheetDataSet>
      <sheetData sheetId="0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Factory Expense</v>
          </cell>
          <cell r="B4">
            <v>8550</v>
          </cell>
        </row>
        <row r="5">
          <cell r="A5" t="str">
            <v>C &amp; F  Charges - Export</v>
          </cell>
          <cell r="B5">
            <v>269520</v>
          </cell>
        </row>
        <row r="6">
          <cell r="A6" t="str">
            <v>Freight Outward Expense  - Export</v>
          </cell>
          <cell r="B6">
            <v>450000</v>
          </cell>
        </row>
        <row r="7">
          <cell r="A7" t="str">
            <v>Security Expenses</v>
          </cell>
          <cell r="B7">
            <v>29000</v>
          </cell>
        </row>
        <row r="8">
          <cell r="A8" t="str">
            <v>Insurance Expenses - Other</v>
          </cell>
          <cell r="B8">
            <v>-100000</v>
          </cell>
        </row>
        <row r="9">
          <cell r="A9" t="str">
            <v>Mobile &amp; Telephone Expense</v>
          </cell>
          <cell r="B9">
            <v>707</v>
          </cell>
        </row>
        <row r="10">
          <cell r="A10" t="str">
            <v>Water Charges</v>
          </cell>
          <cell r="B10">
            <v>500</v>
          </cell>
        </row>
        <row r="11">
          <cell r="A11" t="str">
            <v>Rent Expense - Factory</v>
          </cell>
          <cell r="B11">
            <v>352971</v>
          </cell>
        </row>
        <row r="12">
          <cell r="A12" t="str">
            <v>Salaries Expense</v>
          </cell>
          <cell r="B12">
            <v>112692</v>
          </cell>
        </row>
        <row r="14">
          <cell r="B14">
            <v>1123940</v>
          </cell>
        </row>
        <row r="16">
          <cell r="B16">
            <v>1115390</v>
          </cell>
        </row>
        <row r="17">
          <cell r="B17">
            <v>-8550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6"/>
      <sheetName val="Pre Paid Other Exp"/>
      <sheetName val="Adjustments"/>
    </sheetNames>
    <sheetDataSet>
      <sheetData sheetId="0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Factory Expense</v>
          </cell>
          <cell r="B3">
            <v>5000</v>
          </cell>
        </row>
        <row r="4">
          <cell r="A4" t="str">
            <v>Rent Expense - Factory</v>
          </cell>
          <cell r="B4">
            <v>-477908</v>
          </cell>
        </row>
        <row r="5">
          <cell r="A5" t="str">
            <v>Internal Transportation Expense / Reimbursement</v>
          </cell>
          <cell r="B5">
            <v>33000</v>
          </cell>
        </row>
        <row r="6">
          <cell r="A6" t="str">
            <v>Job Charges</v>
          </cell>
          <cell r="B6">
            <v>35000</v>
          </cell>
        </row>
        <row r="7">
          <cell r="A7" t="str">
            <v>Loading &amp; Unloading Expense</v>
          </cell>
          <cell r="B7">
            <v>45000</v>
          </cell>
        </row>
        <row r="8">
          <cell r="A8" t="str">
            <v>Water Charges</v>
          </cell>
          <cell r="B8">
            <v>250000</v>
          </cell>
        </row>
        <row r="9">
          <cell r="A9" t="str">
            <v>Repairs &amp; Maintenance Exp - Plant &amp; Machinery</v>
          </cell>
          <cell r="B9">
            <v>150000</v>
          </cell>
        </row>
        <row r="10">
          <cell r="A10" t="str">
            <v>Membership &amp; Subscription Fees</v>
          </cell>
          <cell r="B10">
            <v>-14908</v>
          </cell>
        </row>
        <row r="11">
          <cell r="A11" t="str">
            <v>Mobile &amp; Telephone Expense</v>
          </cell>
          <cell r="B11">
            <v>25000</v>
          </cell>
        </row>
        <row r="12">
          <cell r="A12" t="str">
            <v>Postage &amp; Courier Expense</v>
          </cell>
          <cell r="B12">
            <v>12000</v>
          </cell>
        </row>
        <row r="13">
          <cell r="A13" t="str">
            <v>Printing &amp; Stationery Expense</v>
          </cell>
          <cell r="B13">
            <v>15000</v>
          </cell>
        </row>
        <row r="14">
          <cell r="A14" t="str">
            <v>Repairs &amp; Maintenance Exp - Computer &amp; Printers</v>
          </cell>
          <cell r="B14">
            <v>68000</v>
          </cell>
        </row>
        <row r="15">
          <cell r="A15" t="str">
            <v>Vehicle Hire Charges - RCM</v>
          </cell>
          <cell r="B15">
            <v>350000</v>
          </cell>
        </row>
        <row r="16">
          <cell r="A16" t="str">
            <v>Staff Welfare Expense</v>
          </cell>
          <cell r="B16">
            <v>-21780</v>
          </cell>
        </row>
        <row r="17">
          <cell r="A17" t="str">
            <v>Canteen Expense - Factory</v>
          </cell>
          <cell r="B17">
            <v>45000</v>
          </cell>
        </row>
        <row r="18">
          <cell r="A18" t="str">
            <v>Job Work Income</v>
          </cell>
          <cell r="B18">
            <v>-28176333.295086101</v>
          </cell>
        </row>
        <row r="19">
          <cell r="A19" t="str">
            <v>Professional Tax - Company</v>
          </cell>
          <cell r="B19">
            <v>-131528</v>
          </cell>
        </row>
        <row r="20">
          <cell r="A20" t="str">
            <v>Labour Charges</v>
          </cell>
          <cell r="B20">
            <v>9600000</v>
          </cell>
        </row>
        <row r="21">
          <cell r="A21" t="str">
            <v>Security Expenses</v>
          </cell>
          <cell r="B21">
            <v>152000</v>
          </cell>
        </row>
        <row r="22">
          <cell r="A22" t="str">
            <v>Garden Mainteance Exp</v>
          </cell>
          <cell r="B22">
            <v>5000</v>
          </cell>
        </row>
        <row r="23">
          <cell r="A23" t="str">
            <v>Professional &amp; Consultancy Fees</v>
          </cell>
          <cell r="B23">
            <v>380000</v>
          </cell>
        </row>
        <row r="24">
          <cell r="A24" t="str">
            <v>Salaries Expense</v>
          </cell>
          <cell r="B24">
            <v>3840000</v>
          </cell>
        </row>
        <row r="25">
          <cell r="A25" t="str">
            <v>P.F. Contribution - Employer</v>
          </cell>
          <cell r="B25">
            <v>140366</v>
          </cell>
        </row>
        <row r="26">
          <cell r="A26" t="str">
            <v>Advocate Fees Expense</v>
          </cell>
          <cell r="B26">
            <v>7500</v>
          </cell>
        </row>
        <row r="27">
          <cell r="A27" t="str">
            <v>Bonus Expense</v>
          </cell>
          <cell r="B27">
            <v>250000</v>
          </cell>
        </row>
        <row r="28">
          <cell r="A28"/>
          <cell r="B28"/>
        </row>
        <row r="31">
          <cell r="B31">
            <v>-13414591.295086101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5905866</v>
          </cell>
        </row>
        <row r="8">
          <cell r="B8" t="str">
            <v>Power Expense</v>
          </cell>
          <cell r="C8">
            <v>8715453</v>
          </cell>
        </row>
        <row r="9">
          <cell r="B9" t="str">
            <v>Labour Charges</v>
          </cell>
          <cell r="C9">
            <v>6286205</v>
          </cell>
        </row>
        <row r="10">
          <cell r="B10" t="str">
            <v>Water Charges</v>
          </cell>
          <cell r="C10">
            <v>863400</v>
          </cell>
        </row>
        <row r="11">
          <cell r="B11" t="str">
            <v>Security Expenses</v>
          </cell>
          <cell r="C11">
            <v>136000</v>
          </cell>
        </row>
        <row r="12">
          <cell r="B12" t="str">
            <v>Vehicle Hire Charges - RCM</v>
          </cell>
          <cell r="C12">
            <v>23000</v>
          </cell>
        </row>
        <row r="13">
          <cell r="B13" t="str">
            <v>Vehicle Hire Charges - With Gst</v>
          </cell>
          <cell r="C13">
            <v>90000</v>
          </cell>
        </row>
        <row r="14">
          <cell r="B14" t="str">
            <v>Staff Welfare Expense</v>
          </cell>
          <cell r="C14">
            <v>81405</v>
          </cell>
        </row>
        <row r="15">
          <cell r="B15" t="str">
            <v>Canteen Expense - Factory</v>
          </cell>
          <cell r="C15">
            <v>133130</v>
          </cell>
        </row>
        <row r="16">
          <cell r="B16" t="str">
            <v>Income From Wind Mill</v>
          </cell>
          <cell r="C16">
            <v>-600297</v>
          </cell>
        </row>
        <row r="17">
          <cell r="B17" t="str">
            <v>C &amp; F  Charges - Export</v>
          </cell>
          <cell r="C17">
            <v>843210</v>
          </cell>
        </row>
        <row r="18">
          <cell r="B18" t="str">
            <v>Professional &amp; Consultancy Fees</v>
          </cell>
          <cell r="C18">
            <v>125000</v>
          </cell>
        </row>
        <row r="19">
          <cell r="B19" t="str">
            <v>Freight outward Expenses (RCM_Withinstate)</v>
          </cell>
          <cell r="C19">
            <v>500000</v>
          </cell>
        </row>
        <row r="22">
          <cell r="C22">
            <v>23102372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 26 27"/>
      <sheetName val="TB April"/>
      <sheetName val="provision"/>
    </sheetNames>
    <sheetDataSet>
      <sheetData sheetId="0"/>
      <sheetData sheetId="1"/>
      <sheetData sheetId="2"/>
      <sheetData sheetId="3"/>
      <sheetData sheetId="4">
        <row r="1">
          <cell r="A1"/>
        </row>
        <row r="2">
          <cell r="A2"/>
        </row>
        <row r="3">
          <cell r="A3"/>
        </row>
        <row r="4">
          <cell r="A4" t="str">
            <v>Perticulars</v>
          </cell>
          <cell r="B4" t="str">
            <v>Provisin</v>
          </cell>
        </row>
        <row r="5">
          <cell r="A5" t="str">
            <v>Loading &amp; Unloading Expense</v>
          </cell>
          <cell r="B5">
            <v>69895</v>
          </cell>
        </row>
        <row r="6">
          <cell r="A6" t="str">
            <v>House Keeping Expense</v>
          </cell>
          <cell r="B6">
            <v>310000</v>
          </cell>
        </row>
        <row r="7">
          <cell r="A7" t="str">
            <v>Salaries Expense</v>
          </cell>
          <cell r="B7">
            <v>17399872</v>
          </cell>
        </row>
        <row r="8">
          <cell r="A8" t="str">
            <v>C &amp; F  Charges - Export</v>
          </cell>
          <cell r="B8">
            <v>700000</v>
          </cell>
        </row>
        <row r="9">
          <cell r="A9" t="str">
            <v>Freight Outward Expense  - Export</v>
          </cell>
          <cell r="B9">
            <v>700000</v>
          </cell>
        </row>
        <row r="10">
          <cell r="A10" t="str">
            <v>Freight Outward Expense (RCM)</v>
          </cell>
          <cell r="B10">
            <v>700000</v>
          </cell>
        </row>
        <row r="13">
          <cell r="B13">
            <v>19879767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OUT"/>
      <sheetName val="JOB-IN"/>
      <sheetName val="prov"/>
      <sheetName val="Provision &amp; Prepaid Exp"/>
      <sheetName val="Sheet7"/>
      <sheetName val="Rate Diference"/>
      <sheetName val="Purchase Register"/>
      <sheetName val="Sales Register"/>
      <sheetName val="Trail Balance-APR26"/>
      <sheetName val="Inward Summary"/>
      <sheetName val="Inward Register"/>
      <sheetName val="Inward-Webbing"/>
      <sheetName val="Inward-Lam-Unlam-Fabric"/>
      <sheetName val="Sheet8"/>
      <sheetName val="Job Stk Bal May25-KPW"/>
      <sheetName val="Sheet5"/>
      <sheetName val="Sheet6"/>
      <sheetName val="Job Stk Bal May25-PPL"/>
      <sheetName val="Job Stk Bal May25-Aaradhya"/>
      <sheetName val="Job Stk Bal May25-Saru"/>
      <sheetName val="Job Stk Bal Apr25-Parsva "/>
      <sheetName val="JOB STOCK-Jan24"/>
      <sheetName val="Reco."/>
      <sheetName val="Sheet1"/>
      <sheetName val="Sheet3"/>
      <sheetName val="Sheet1 (2)"/>
      <sheetName val="RECO.."/>
      <sheetName val="Sheet4"/>
      <sheetName val="Sheet2"/>
      <sheetName val="Sheet9"/>
      <sheetName val="Sheet12"/>
      <sheetName val="Reco.Apr24"/>
      <sheetName val="RECO JULY-24"/>
      <sheetName val="JOB Work Summary"/>
      <sheetName val="Sheet15"/>
      <sheetName val="Sheet1 (3)"/>
    </sheetNames>
    <sheetDataSet>
      <sheetData sheetId="0"/>
      <sheetData sheetId="1"/>
      <sheetData sheetId="2">
        <row r="1">
          <cell r="A1"/>
          <cell r="B1"/>
        </row>
        <row r="2">
          <cell r="A2" t="str">
            <v>Labour Charges</v>
          </cell>
          <cell r="B2">
            <v>7206230</v>
          </cell>
        </row>
        <row r="3">
          <cell r="A3" t="str">
            <v>P.F. Contribution - Employer</v>
          </cell>
          <cell r="B3">
            <v>35405</v>
          </cell>
        </row>
        <row r="4">
          <cell r="A4" t="str">
            <v>Advocate Fees Expense</v>
          </cell>
          <cell r="B4">
            <v>7500</v>
          </cell>
        </row>
        <row r="5">
          <cell r="A5" t="str">
            <v>Staff Welfare Expense</v>
          </cell>
          <cell r="B5">
            <v>0</v>
          </cell>
        </row>
        <row r="6">
          <cell r="A6" t="str">
            <v>Freight Outward Expense (With GST)</v>
          </cell>
          <cell r="B6">
            <v>287000</v>
          </cell>
        </row>
        <row r="7">
          <cell r="A7" t="str">
            <v>C &amp; F  Charges - Export</v>
          </cell>
          <cell r="B7">
            <v>155000</v>
          </cell>
        </row>
        <row r="8">
          <cell r="A8" t="str">
            <v>Freight outward Expenses (RCM_Withinstate)</v>
          </cell>
          <cell r="B8">
            <v>20000</v>
          </cell>
        </row>
        <row r="9">
          <cell r="A9" t="str">
            <v>House Keeping Expense</v>
          </cell>
          <cell r="B9">
            <v>0</v>
          </cell>
        </row>
        <row r="10">
          <cell r="A10" t="str">
            <v>Incentive Expense - Production</v>
          </cell>
          <cell r="B10">
            <v>11000</v>
          </cell>
        </row>
        <row r="11">
          <cell r="A11" t="str">
            <v>Water Charges</v>
          </cell>
          <cell r="B11">
            <v>103500</v>
          </cell>
        </row>
        <row r="12">
          <cell r="A12" t="str">
            <v>Vehicle Hire Charges - RCM</v>
          </cell>
          <cell r="B12">
            <v>0</v>
          </cell>
        </row>
        <row r="13">
          <cell r="A13" t="str">
            <v>Weighment Expense</v>
          </cell>
          <cell r="B13">
            <v>0</v>
          </cell>
        </row>
        <row r="14">
          <cell r="A14" t="str">
            <v>Security Expenses</v>
          </cell>
          <cell r="B14">
            <v>0</v>
          </cell>
        </row>
        <row r="15">
          <cell r="A15" t="str">
            <v>Professional &amp; Consultancy Fees</v>
          </cell>
          <cell r="B15">
            <v>3600</v>
          </cell>
        </row>
        <row r="16">
          <cell r="A16" t="str">
            <v>Repairs &amp; Maintenance Exp - Plant &amp; Machinery</v>
          </cell>
          <cell r="B16">
            <v>38422</v>
          </cell>
        </row>
        <row r="17">
          <cell r="A17" t="str">
            <v>Medical Expense</v>
          </cell>
          <cell r="B17">
            <v>27800</v>
          </cell>
        </row>
        <row r="18">
          <cell r="A18" t="str">
            <v>Repairs &amp; Maintenance Exp - Computer &amp; Printers</v>
          </cell>
          <cell r="B18">
            <v>4400</v>
          </cell>
        </row>
        <row r="19">
          <cell r="A19"/>
          <cell r="B19">
            <v>7899857</v>
          </cell>
        </row>
        <row r="23">
          <cell r="B2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</sheetNames>
    <sheetDataSet>
      <sheetData sheetId="0">
        <row r="3">
          <cell r="A3" t="str">
            <v>NAME</v>
          </cell>
        </row>
        <row r="4">
          <cell r="A4" t="str">
            <v>Salaries Expense</v>
          </cell>
          <cell r="B4">
            <v>12881509</v>
          </cell>
        </row>
        <row r="5">
          <cell r="A5" t="str">
            <v>Power Expense</v>
          </cell>
          <cell r="B5">
            <v>5037414</v>
          </cell>
        </row>
        <row r="6">
          <cell r="A6" t="str">
            <v>Labour Charges</v>
          </cell>
          <cell r="B6">
            <v>4482460</v>
          </cell>
        </row>
        <row r="7">
          <cell r="A7" t="str">
            <v>Water Charges</v>
          </cell>
          <cell r="B7">
            <v>90835</v>
          </cell>
        </row>
        <row r="8">
          <cell r="A8" t="str">
            <v>Security Expenses</v>
          </cell>
          <cell r="B8">
            <v>264800</v>
          </cell>
        </row>
        <row r="9">
          <cell r="A9" t="str">
            <v>Vehicle Hire Charges - With Gst</v>
          </cell>
          <cell r="B9">
            <v>172000</v>
          </cell>
        </row>
        <row r="10">
          <cell r="A10" t="str">
            <v>Freight Outward Expense (WITH GST)</v>
          </cell>
          <cell r="B10">
            <v>147108</v>
          </cell>
        </row>
        <row r="11">
          <cell r="A11" t="str">
            <v>C &amp; F  Charges - Export</v>
          </cell>
          <cell r="B11">
            <v>97715</v>
          </cell>
        </row>
        <row r="12">
          <cell r="A12" t="str">
            <v>Factory Expense</v>
          </cell>
          <cell r="B12">
            <v>4000</v>
          </cell>
        </row>
        <row r="13">
          <cell r="A13" t="str">
            <v>House Keeping Expense</v>
          </cell>
          <cell r="B13">
            <v>375510</v>
          </cell>
        </row>
        <row r="14">
          <cell r="A14" t="str">
            <v>Freight Outward Expense (RCM)</v>
          </cell>
          <cell r="B14">
            <v>323000</v>
          </cell>
        </row>
        <row r="15">
          <cell r="A15" t="str">
            <v>job charges</v>
          </cell>
          <cell r="B15">
            <v>40000</v>
          </cell>
        </row>
        <row r="16">
          <cell r="A16" t="str">
            <v>Repairs &amp; Maintenance Exp - Others</v>
          </cell>
          <cell r="B16">
            <v>171701</v>
          </cell>
        </row>
        <row r="17">
          <cell r="A17" t="str">
            <v>Equipment Certification Charges</v>
          </cell>
          <cell r="B17">
            <v>60534</v>
          </cell>
        </row>
        <row r="18">
          <cell r="A18" t="str">
            <v>Professional &amp; Consultancy Fees</v>
          </cell>
          <cell r="B18">
            <v>274999</v>
          </cell>
        </row>
        <row r="21">
          <cell r="B21">
            <v>24423585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5386631</v>
          </cell>
        </row>
        <row r="8">
          <cell r="B8" t="str">
            <v>Power Expense</v>
          </cell>
          <cell r="C8">
            <v>7514927.7599999998</v>
          </cell>
        </row>
        <row r="9">
          <cell r="B9" t="str">
            <v>Labour Charges</v>
          </cell>
          <cell r="C9">
            <v>6776382</v>
          </cell>
        </row>
        <row r="10">
          <cell r="B10" t="str">
            <v>Freight Inward Expense (RCM)</v>
          </cell>
          <cell r="C10">
            <v>500000</v>
          </cell>
        </row>
        <row r="11">
          <cell r="B11" t="str">
            <v>Water Charges</v>
          </cell>
          <cell r="C11">
            <v>871646</v>
          </cell>
        </row>
        <row r="12">
          <cell r="B12" t="str">
            <v>Security Expenses</v>
          </cell>
          <cell r="C12">
            <v>112000</v>
          </cell>
        </row>
        <row r="13">
          <cell r="B13" t="str">
            <v>Vehicle Hire Charges - RCM</v>
          </cell>
          <cell r="C13">
            <v>23000</v>
          </cell>
        </row>
        <row r="14">
          <cell r="B14" t="str">
            <v>Vehicle Hire Charges - With Gst</v>
          </cell>
          <cell r="C14">
            <v>90000</v>
          </cell>
        </row>
        <row r="15">
          <cell r="B15" t="str">
            <v>Staff Welfare Expense</v>
          </cell>
          <cell r="C15">
            <v>65000</v>
          </cell>
        </row>
        <row r="16">
          <cell r="B16" t="str">
            <v>Canteen Expense - Factory</v>
          </cell>
          <cell r="C16">
            <v>135136</v>
          </cell>
        </row>
        <row r="17">
          <cell r="B17" t="str">
            <v>Income From Wind Mill</v>
          </cell>
          <cell r="C17">
            <v>-748747.31</v>
          </cell>
        </row>
        <row r="18">
          <cell r="B18" t="str">
            <v>C &amp; F Charges - Import</v>
          </cell>
          <cell r="C18">
            <v>254188</v>
          </cell>
        </row>
        <row r="19">
          <cell r="B19" t="str">
            <v>C &amp; F  Charges - Export</v>
          </cell>
          <cell r="C19">
            <v>1093765</v>
          </cell>
        </row>
        <row r="20">
          <cell r="B20" t="str">
            <v>Professional &amp; Consultancy Fees</v>
          </cell>
          <cell r="C20">
            <v>120000</v>
          </cell>
        </row>
        <row r="22">
          <cell r="C22">
            <v>22193928.449999999</v>
          </cell>
        </row>
        <row r="24">
          <cell r="C24">
            <v>21939740</v>
          </cell>
        </row>
        <row r="25">
          <cell r="C25">
            <v>254188.44999999925</v>
          </cell>
        </row>
      </sheetData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TB-MAY 23"/>
      <sheetName val="Master"/>
      <sheetName val="TB"/>
      <sheetName val="TB BS"/>
      <sheetName val="Label Div"/>
      <sheetName val="Provision U-1May"/>
      <sheetName val="Stock 01.04 to 31.05"/>
      <sheetName val="Stock"/>
    </sheetNames>
    <sheetDataSet>
      <sheetData sheetId="0"/>
      <sheetData sheetId="1">
        <row r="1">
          <cell r="A1" t="str">
            <v>HCP Plastene Bulkpack Limited</v>
          </cell>
        </row>
        <row r="2">
          <cell r="A2" t="str">
            <v>Trial Balance as on 31.05.2023</v>
          </cell>
        </row>
        <row r="3">
          <cell r="F3">
            <v>11545443.24</v>
          </cell>
        </row>
        <row r="4">
          <cell r="A4" t="str">
            <v>Perticular</v>
          </cell>
          <cell r="F4" t="str">
            <v>Provision</v>
          </cell>
        </row>
        <row r="5">
          <cell r="A5" t="str">
            <v>Aangan Agrotech Exports Limited</v>
          </cell>
          <cell r="F5"/>
        </row>
        <row r="6">
          <cell r="A6" t="str">
            <v>Accurate Rub Tech</v>
          </cell>
          <cell r="F6"/>
        </row>
        <row r="7">
          <cell r="A7" t="str">
            <v>Acme Rolltech Private Limited</v>
          </cell>
          <cell r="F7"/>
        </row>
        <row r="8">
          <cell r="A8" t="str">
            <v>Addon Envirotech</v>
          </cell>
          <cell r="F8"/>
        </row>
        <row r="9">
          <cell r="A9" t="str">
            <v>Adinath Consultancy</v>
          </cell>
          <cell r="F9"/>
        </row>
        <row r="10">
          <cell r="A10" t="str">
            <v>Adinath Enterprise</v>
          </cell>
          <cell r="F10"/>
        </row>
        <row r="11">
          <cell r="A11" t="str">
            <v>Advance for Travel &amp; Others</v>
          </cell>
          <cell r="F11"/>
        </row>
        <row r="12">
          <cell r="A12" t="str">
            <v>Advance Licence Fee Expense</v>
          </cell>
          <cell r="F12"/>
        </row>
        <row r="13">
          <cell r="A13" t="str">
            <v>Advance Salary Paid</v>
          </cell>
          <cell r="F13"/>
        </row>
        <row r="14">
          <cell r="A14" t="str">
            <v>Advertisement Expense</v>
          </cell>
          <cell r="F14"/>
        </row>
        <row r="15">
          <cell r="A15" t="str">
            <v>Advocate Fees Expense</v>
          </cell>
          <cell r="F15"/>
        </row>
        <row r="16">
          <cell r="A16" t="str">
            <v>Afflatus Gravures Private Limited</v>
          </cell>
          <cell r="F16"/>
        </row>
        <row r="17">
          <cell r="A17" t="str">
            <v>Agro Star Industries</v>
          </cell>
          <cell r="F17"/>
        </row>
        <row r="18">
          <cell r="A18" t="str">
            <v>Ahmedabad Cotton Waste Co.</v>
          </cell>
          <cell r="F18"/>
        </row>
        <row r="19">
          <cell r="A19" t="str">
            <v>Air Conditioners</v>
          </cell>
          <cell r="F19"/>
        </row>
        <row r="20">
          <cell r="A20" t="str">
            <v>Air Dryer</v>
          </cell>
          <cell r="F20"/>
        </row>
        <row r="21">
          <cell r="A21" t="str">
            <v>Ajanta Chemicals</v>
          </cell>
          <cell r="F21"/>
        </row>
        <row r="22">
          <cell r="A22" t="str">
            <v>Alankar Automotives Pvt Ltd - Sales</v>
          </cell>
          <cell r="F22"/>
        </row>
        <row r="23">
          <cell r="A23" t="str">
            <v>Alaska Bonding Solutions</v>
          </cell>
          <cell r="F23"/>
        </row>
        <row r="24">
          <cell r="A24" t="str">
            <v>Allowance - Books &amp; Periodicals</v>
          </cell>
          <cell r="F24"/>
        </row>
        <row r="25">
          <cell r="A25" t="str">
            <v>Allowance - Canteen</v>
          </cell>
          <cell r="F25"/>
        </row>
        <row r="26">
          <cell r="A26" t="str">
            <v>Allowance - House Rent</v>
          </cell>
          <cell r="F26"/>
        </row>
        <row r="27">
          <cell r="A27" t="str">
            <v>Allowance - Leave Travels</v>
          </cell>
          <cell r="F27"/>
        </row>
        <row r="28">
          <cell r="A28" t="str">
            <v>Allowance - Medical</v>
          </cell>
          <cell r="F28"/>
        </row>
        <row r="29">
          <cell r="A29" t="str">
            <v>Allowance - Other</v>
          </cell>
          <cell r="F29"/>
        </row>
        <row r="30">
          <cell r="A30" t="str">
            <v>Allowance - Transport</v>
          </cell>
          <cell r="F30"/>
        </row>
        <row r="31">
          <cell r="A31" t="str">
            <v>Allowance - Uniform / Attire</v>
          </cell>
          <cell r="F31"/>
        </row>
        <row r="32">
          <cell r="A32" t="str">
            <v>Allowance - Washing</v>
          </cell>
          <cell r="F32"/>
        </row>
        <row r="33">
          <cell r="A33" t="str">
            <v>Alok Master Batches Private Limited- Surangi</v>
          </cell>
          <cell r="F33"/>
        </row>
        <row r="34">
          <cell r="A34" t="str">
            <v>Alpesh Vekariya &amp; Associates</v>
          </cell>
          <cell r="F34"/>
        </row>
        <row r="35">
          <cell r="A35" t="str">
            <v>Alteem Instruments</v>
          </cell>
          <cell r="F35"/>
        </row>
        <row r="36">
          <cell r="A36" t="str">
            <v>Ambica Sales</v>
          </cell>
          <cell r="F36"/>
        </row>
        <row r="37">
          <cell r="A37" t="str">
            <v>Ambica Sales - Purchase</v>
          </cell>
          <cell r="F37"/>
        </row>
        <row r="38">
          <cell r="A38" t="str">
            <v>Anand Engineering Works</v>
          </cell>
          <cell r="F38"/>
        </row>
        <row r="39">
          <cell r="A39" t="str">
            <v>Anar Rubtech Pvt Ltd</v>
          </cell>
          <cell r="F39"/>
        </row>
        <row r="40">
          <cell r="A40" t="str">
            <v>Ark Infosolutions Pvt. Ltd.</v>
          </cell>
          <cell r="F40"/>
        </row>
        <row r="41">
          <cell r="A41" t="str">
            <v>Armstrong</v>
          </cell>
          <cell r="F41"/>
        </row>
        <row r="42">
          <cell r="A42" t="str">
            <v>Arvind Ltd Life Style App. Knits Garment</v>
          </cell>
          <cell r="F42"/>
        </row>
        <row r="43">
          <cell r="A43" t="str">
            <v>Ascent Yarns Pvt Ltd</v>
          </cell>
          <cell r="F43"/>
        </row>
        <row r="44">
          <cell r="A44" t="str">
            <v>Ashapura Road Carriers</v>
          </cell>
          <cell r="F44"/>
        </row>
        <row r="45">
          <cell r="A45" t="str">
            <v>Ashapura Roadlines</v>
          </cell>
          <cell r="F45"/>
        </row>
        <row r="46">
          <cell r="A46" t="str">
            <v>Ashirwad Electricals &amp; Mechanical Works</v>
          </cell>
          <cell r="F46"/>
        </row>
        <row r="47">
          <cell r="A47" t="str">
            <v>Ashok Dhariwal &amp; Co.</v>
          </cell>
          <cell r="F47"/>
        </row>
        <row r="48">
          <cell r="A48" t="str">
            <v>Ashutosh Power Transbelts Ltd.</v>
          </cell>
          <cell r="F48"/>
        </row>
        <row r="49">
          <cell r="A49" t="str">
            <v>Aspire Flexipack</v>
          </cell>
          <cell r="F49"/>
        </row>
        <row r="50">
          <cell r="A50" t="str">
            <v>Associated Road Carriers Limited</v>
          </cell>
          <cell r="F50"/>
        </row>
        <row r="51">
          <cell r="A51" t="str">
            <v>Aum Enterprise</v>
          </cell>
          <cell r="F51"/>
        </row>
        <row r="52">
          <cell r="A52" t="str">
            <v>Automatic Eyelet Punching Machine</v>
          </cell>
          <cell r="F52"/>
        </row>
        <row r="53">
          <cell r="A53" t="str">
            <v>Avee Electro Engineers</v>
          </cell>
          <cell r="F53"/>
        </row>
        <row r="54">
          <cell r="A54" t="str">
            <v>Avin Enterprise</v>
          </cell>
          <cell r="F54"/>
        </row>
        <row r="55">
          <cell r="A55" t="str">
            <v>Axle Steel &amp; Fasteners</v>
          </cell>
          <cell r="F55"/>
        </row>
        <row r="56">
          <cell r="A56" t="str">
            <v>B.K. Roadways</v>
          </cell>
          <cell r="F56"/>
        </row>
        <row r="57">
          <cell r="A57" t="str">
            <v>Bahucharaji Office Solution</v>
          </cell>
          <cell r="F57"/>
        </row>
        <row r="58">
          <cell r="A58" t="str">
            <v>Bajrang Traders</v>
          </cell>
          <cell r="F58"/>
        </row>
        <row r="59">
          <cell r="A59" t="str">
            <v>Bank CA BOB 25380200000241</v>
          </cell>
          <cell r="F59"/>
        </row>
        <row r="60">
          <cell r="A60" t="str">
            <v>Bank Ca BOB 29390200001047</v>
          </cell>
          <cell r="F60"/>
        </row>
        <row r="61">
          <cell r="A61" t="str">
            <v>Bank CA BOB Employee &amp; Worker Claim</v>
          </cell>
          <cell r="F61"/>
        </row>
        <row r="62">
          <cell r="A62" t="str">
            <v>Bank CA BOB Financial Creditors Claim</v>
          </cell>
          <cell r="F62"/>
        </row>
        <row r="63">
          <cell r="A63" t="str">
            <v>Bank CA BOB Operational Creditors Claim</v>
          </cell>
          <cell r="F63"/>
        </row>
        <row r="64">
          <cell r="A64" t="str">
            <v>Bank Ca Dena Bank 010011000151</v>
          </cell>
          <cell r="F64"/>
        </row>
        <row r="65">
          <cell r="A65" t="str">
            <v>Bank CA KOTAK 2146095735</v>
          </cell>
          <cell r="F65"/>
        </row>
        <row r="66">
          <cell r="A66" t="str">
            <v>Bank CA RBL 409001782197</v>
          </cell>
          <cell r="F66"/>
        </row>
        <row r="67">
          <cell r="A67" t="str">
            <v>Bank Cash Credit OD HDFC 50200075520364</v>
          </cell>
          <cell r="F67"/>
        </row>
        <row r="68">
          <cell r="A68" t="str">
            <v>Bank Charges - Import</v>
          </cell>
          <cell r="F68"/>
        </row>
        <row r="69">
          <cell r="A69" t="str">
            <v>Bank Charges- Others</v>
          </cell>
          <cell r="F69"/>
        </row>
        <row r="70">
          <cell r="A70" t="str">
            <v>Bank Dividend Bob 25380200000278</v>
          </cell>
          <cell r="F70"/>
        </row>
        <row r="71">
          <cell r="A71" t="str">
            <v>Bank FDR BOB 25380300002455 DRF05</v>
          </cell>
          <cell r="F71"/>
        </row>
        <row r="72">
          <cell r="A72" t="str">
            <v>Bank FDR BOB 25380300002479 DBS01</v>
          </cell>
          <cell r="F72"/>
        </row>
        <row r="73">
          <cell r="A73" t="str">
            <v>Bank FDR BOB 25380300002480 DRF05</v>
          </cell>
          <cell r="F73"/>
        </row>
        <row r="74">
          <cell r="A74" t="str">
            <v>Bank FDR BOB 25380300002494 DBS01</v>
          </cell>
          <cell r="F74"/>
        </row>
        <row r="75">
          <cell r="A75" t="str">
            <v>Bank FDR BOB 25380300002503 TD127</v>
          </cell>
          <cell r="F75"/>
        </row>
        <row r="76">
          <cell r="A76" t="str">
            <v>Bank FDR BOB 25380300002515 TD127</v>
          </cell>
          <cell r="F76"/>
        </row>
        <row r="77">
          <cell r="A77" t="str">
            <v>Bank FDR BOB 25380300002516 TD127</v>
          </cell>
          <cell r="F77"/>
        </row>
        <row r="78">
          <cell r="A78" t="str">
            <v>Bank FDR BOB 25380300002518 DBS01</v>
          </cell>
          <cell r="F78"/>
        </row>
        <row r="79">
          <cell r="A79" t="str">
            <v>Bank FDR BOB 25380300002525 TD127</v>
          </cell>
          <cell r="F79"/>
        </row>
        <row r="80">
          <cell r="A80" t="str">
            <v>Bank FDR BOB 25380300003832</v>
          </cell>
          <cell r="F80"/>
        </row>
        <row r="81">
          <cell r="A81" t="str">
            <v>Bank FDR BOB 29390300056237</v>
          </cell>
          <cell r="F81"/>
        </row>
        <row r="82">
          <cell r="A82" t="str">
            <v>Bank Share Warrant Bob 25380200000277</v>
          </cell>
          <cell r="F82"/>
        </row>
        <row r="83">
          <cell r="A83" t="str">
            <v>Bank Term Loan BOB 61550600000001</v>
          </cell>
          <cell r="F83"/>
        </row>
        <row r="84">
          <cell r="A84" t="str">
            <v>Basell International Trading Fze</v>
          </cell>
          <cell r="F84"/>
        </row>
        <row r="85">
          <cell r="A85" t="str">
            <v>Bhagvati Scrap Traders</v>
          </cell>
          <cell r="F85"/>
        </row>
        <row r="86">
          <cell r="A86" t="str">
            <v>Bhagwati Sales Agencies</v>
          </cell>
          <cell r="F86"/>
        </row>
        <row r="87">
          <cell r="A87" t="str">
            <v>Bhavik International</v>
          </cell>
          <cell r="F87"/>
        </row>
        <row r="88">
          <cell r="A88" t="str">
            <v>Bigshare Services Pvt Ltd</v>
          </cell>
          <cell r="F88"/>
        </row>
        <row r="89">
          <cell r="A89" t="str">
            <v>Blaze Net Ltd.</v>
          </cell>
          <cell r="F89"/>
        </row>
        <row r="90">
          <cell r="A90" t="str">
            <v>Bonus Payable</v>
          </cell>
          <cell r="F90"/>
        </row>
        <row r="91">
          <cell r="A91" t="str">
            <v>BP Lubricants Pvt Ltd</v>
          </cell>
          <cell r="F91"/>
        </row>
        <row r="92">
          <cell r="A92" t="str">
            <v>Branch Transfer In - Packing Material</v>
          </cell>
          <cell r="F92"/>
        </row>
        <row r="93">
          <cell r="A93" t="str">
            <v>Branch Transfer In - Raw Material</v>
          </cell>
          <cell r="F93"/>
        </row>
        <row r="94">
          <cell r="A94" t="str">
            <v>Branch Transfer Out - Packing Material</v>
          </cell>
          <cell r="F94"/>
        </row>
        <row r="95">
          <cell r="A95" t="str">
            <v>Branch Transfer Out - Raw Material</v>
          </cell>
          <cell r="F95"/>
        </row>
        <row r="96">
          <cell r="A96" t="str">
            <v>Branch Transfer Out - Stores, Spares &amp; Consumable</v>
          </cell>
          <cell r="F96"/>
        </row>
        <row r="97">
          <cell r="A97" t="str">
            <v>Bright Rubber</v>
          </cell>
          <cell r="F97"/>
        </row>
        <row r="98">
          <cell r="A98" t="str">
            <v>BSE Limited</v>
          </cell>
          <cell r="F98"/>
        </row>
        <row r="99">
          <cell r="A99" t="str">
            <v>Bst Eltromat India Private Limited</v>
          </cell>
          <cell r="F99"/>
        </row>
        <row r="100">
          <cell r="A100" t="str">
            <v>Building</v>
          </cell>
          <cell r="F100"/>
        </row>
        <row r="101">
          <cell r="A101" t="str">
            <v>C &amp; F  Charges  - Import</v>
          </cell>
          <cell r="F101"/>
        </row>
        <row r="102">
          <cell r="A102" t="str">
            <v>Canteen Expense - Factory</v>
          </cell>
          <cell r="F102"/>
        </row>
        <row r="103">
          <cell r="A103" t="str">
            <v>Capital First Limited A/c No. - 16122262</v>
          </cell>
          <cell r="F103"/>
        </row>
        <row r="104">
          <cell r="A104" t="str">
            <v>Capital Petroleum</v>
          </cell>
          <cell r="F104"/>
        </row>
        <row r="105">
          <cell r="A105" t="str">
            <v>Capital Reserves</v>
          </cell>
          <cell r="F105"/>
        </row>
        <row r="106">
          <cell r="A106" t="str">
            <v>Cash in Hand-Factory</v>
          </cell>
          <cell r="F106"/>
        </row>
        <row r="107">
          <cell r="A107" t="str">
            <v>Cash in Hand-HO</v>
          </cell>
          <cell r="F107"/>
        </row>
        <row r="108">
          <cell r="A108" t="str">
            <v>Central Depository Services (India) Limited</v>
          </cell>
          <cell r="F108"/>
        </row>
        <row r="109">
          <cell r="A109" t="str">
            <v>Ceyone Enterprises</v>
          </cell>
          <cell r="F109"/>
        </row>
        <row r="110">
          <cell r="A110" t="str">
            <v>CGST Input</v>
          </cell>
          <cell r="F110"/>
        </row>
        <row r="111">
          <cell r="A111" t="str">
            <v>CGST Output A/c</v>
          </cell>
          <cell r="F111"/>
        </row>
        <row r="112">
          <cell r="A112" t="str">
            <v>Chamunda Scrap Traders</v>
          </cell>
          <cell r="F112"/>
        </row>
        <row r="113">
          <cell r="A113" t="str">
            <v>Chetan Sales Agency Private Limited</v>
          </cell>
          <cell r="F113"/>
        </row>
        <row r="114">
          <cell r="A114" t="str">
            <v>Chinubhai Kalidass &amp; Bros - Gujarat</v>
          </cell>
          <cell r="F114"/>
        </row>
        <row r="115">
          <cell r="A115" t="str">
            <v>Chirag Engineering Works</v>
          </cell>
          <cell r="F115"/>
        </row>
        <row r="116">
          <cell r="A116" t="str">
            <v>Circular Weaving Machine</v>
          </cell>
          <cell r="F116"/>
        </row>
        <row r="117">
          <cell r="A117" t="str">
            <v>Clock Work International Courier</v>
          </cell>
          <cell r="F117"/>
        </row>
        <row r="118">
          <cell r="A118" t="str">
            <v>Computers &amp; Printers</v>
          </cell>
          <cell r="F118"/>
        </row>
        <row r="119">
          <cell r="A119" t="str">
            <v>Conveyance Expenses</v>
          </cell>
          <cell r="F119"/>
        </row>
        <row r="120">
          <cell r="A120" t="str">
            <v>Cylinder Printing-Fa</v>
          </cell>
          <cell r="F120"/>
        </row>
        <row r="121">
          <cell r="A121" t="str">
            <v>Dayana Polyplast Pvt Ltd</v>
          </cell>
          <cell r="F121"/>
        </row>
        <row r="122">
          <cell r="A122" t="str">
            <v>Dayana Polyplast Pvt Ltd - Sales</v>
          </cell>
          <cell r="F122"/>
        </row>
        <row r="123">
          <cell r="A123" t="str">
            <v>DCNET Solutions India Pvt Ltd</v>
          </cell>
          <cell r="F123"/>
        </row>
        <row r="124">
          <cell r="A124" t="str">
            <v>Deepak Overseas</v>
          </cell>
          <cell r="F124"/>
        </row>
        <row r="125">
          <cell r="A125" t="str">
            <v>Deffered Tax Liability A/c</v>
          </cell>
          <cell r="F125"/>
        </row>
        <row r="126">
          <cell r="A126" t="str">
            <v>Demat Charges</v>
          </cell>
          <cell r="F126"/>
        </row>
        <row r="127">
          <cell r="A127" t="str">
            <v>Dena Bank OD A/c No. 010013000005</v>
          </cell>
          <cell r="F127"/>
        </row>
        <row r="128">
          <cell r="A128" t="str">
            <v>Depreciation Expenses</v>
          </cell>
          <cell r="F128"/>
        </row>
        <row r="129">
          <cell r="A129" t="str">
            <v>Dev Valves And Boiler Mountings</v>
          </cell>
          <cell r="F129"/>
        </row>
        <row r="130">
          <cell r="A130" t="str">
            <v>DG Set</v>
          </cell>
          <cell r="F130"/>
        </row>
        <row r="131">
          <cell r="A131" t="str">
            <v>Dharangiya Samatbhai Kamabhai</v>
          </cell>
          <cell r="F131"/>
        </row>
        <row r="132">
          <cell r="A132" t="str">
            <v>Diamond Rubber Industries</v>
          </cell>
          <cell r="F132"/>
        </row>
        <row r="133">
          <cell r="A133" t="str">
            <v>Director Sitting Fees</v>
          </cell>
          <cell r="F133"/>
        </row>
        <row r="134">
          <cell r="A134" t="str">
            <v>Discount &amp; Rate Difference - Sales</v>
          </cell>
          <cell r="F134"/>
        </row>
        <row r="135">
          <cell r="A135" t="str">
            <v>Duty Clearing Account</v>
          </cell>
          <cell r="F135"/>
        </row>
        <row r="136">
          <cell r="A136" t="str">
            <v>Dynamic Wooltex</v>
          </cell>
          <cell r="F136"/>
        </row>
        <row r="137">
          <cell r="A137" t="str">
            <v>Eco Care Consultant</v>
          </cell>
          <cell r="F137"/>
        </row>
        <row r="138">
          <cell r="A138" t="str">
            <v>EIBC Private Limited</v>
          </cell>
          <cell r="F138"/>
        </row>
        <row r="139">
          <cell r="A139" t="str">
            <v>Electrical Installation</v>
          </cell>
          <cell r="F139"/>
        </row>
        <row r="140">
          <cell r="A140" t="str">
            <v>Employees Contribution to ESI</v>
          </cell>
          <cell r="F140"/>
        </row>
        <row r="141">
          <cell r="A141" t="str">
            <v>Employees Contribution to PF - Factory</v>
          </cell>
          <cell r="F141"/>
        </row>
        <row r="142">
          <cell r="A142" t="str">
            <v>Espee Electricals</v>
          </cell>
          <cell r="F142"/>
        </row>
        <row r="143">
          <cell r="A143" t="str">
            <v>Everplus Plastics Pvt Ltd</v>
          </cell>
          <cell r="F143"/>
        </row>
        <row r="144">
          <cell r="A144" t="str">
            <v>Excel Marketing</v>
          </cell>
          <cell r="F144"/>
        </row>
        <row r="145">
          <cell r="A145" t="str">
            <v>Excel Office Solution</v>
          </cell>
          <cell r="F145"/>
        </row>
        <row r="146">
          <cell r="A146" t="str">
            <v>Excel Twine Tech</v>
          </cell>
          <cell r="F146"/>
        </row>
        <row r="147">
          <cell r="A147" t="str">
            <v>Exchange Rate Difference - Creditor</v>
          </cell>
          <cell r="F147"/>
        </row>
        <row r="148">
          <cell r="A148" t="str">
            <v>Extruder</v>
          </cell>
          <cell r="F148"/>
        </row>
        <row r="149">
          <cell r="A149" t="str">
            <v>Fabrit Fashion Wear</v>
          </cell>
          <cell r="F149"/>
        </row>
        <row r="150">
          <cell r="A150" t="str">
            <v>Factory Building</v>
          </cell>
          <cell r="F150"/>
        </row>
        <row r="151">
          <cell r="A151" t="str">
            <v>Factory Building - WIP</v>
          </cell>
          <cell r="F151"/>
        </row>
        <row r="152">
          <cell r="A152" t="str">
            <v>Fairdeal Jumbo Packaging Pvt Ltd - Sales</v>
          </cell>
          <cell r="F152"/>
        </row>
        <row r="153">
          <cell r="A153" t="str">
            <v>Fateh Enterprise</v>
          </cell>
          <cell r="F153"/>
        </row>
        <row r="154">
          <cell r="A154" t="str">
            <v>Finetech Engineers</v>
          </cell>
          <cell r="F154"/>
        </row>
        <row r="155">
          <cell r="A155" t="str">
            <v>Fire Hydrant / Safety System</v>
          </cell>
          <cell r="F155"/>
        </row>
        <row r="156">
          <cell r="A156" t="str">
            <v>Fire Safety Extinguisher</v>
          </cell>
          <cell r="F156"/>
        </row>
        <row r="157">
          <cell r="A157" t="str">
            <v>Food Junction</v>
          </cell>
          <cell r="F157"/>
        </row>
        <row r="158">
          <cell r="A158" t="str">
            <v>Formosa Synthetics Pvt . Ltd</v>
          </cell>
          <cell r="F158"/>
        </row>
        <row r="159">
          <cell r="A159" t="str">
            <v>Fortune Shipping Private Limited</v>
          </cell>
          <cell r="F159"/>
        </row>
        <row r="160">
          <cell r="A160" t="str">
            <v>Freight Inward Expense (RCM)</v>
          </cell>
          <cell r="F160"/>
        </row>
        <row r="161">
          <cell r="A161" t="str">
            <v>Freight Inward Expense (With GST)</v>
          </cell>
          <cell r="F161"/>
        </row>
        <row r="162">
          <cell r="A162" t="str">
            <v>Freight Outward Expense (RCM)</v>
          </cell>
          <cell r="F162">
            <v>182409</v>
          </cell>
        </row>
        <row r="163">
          <cell r="A163" t="str">
            <v>Freight Outward Expense (With GST)</v>
          </cell>
          <cell r="F163"/>
        </row>
        <row r="164">
          <cell r="A164" t="str">
            <v>Full &amp; Final Settlement Payable</v>
          </cell>
          <cell r="F164"/>
        </row>
        <row r="165">
          <cell r="A165" t="str">
            <v>Furniture &amp; Fixtures</v>
          </cell>
          <cell r="F165"/>
        </row>
        <row r="166">
          <cell r="A166" t="str">
            <v>Gabbar Engineering Co.</v>
          </cell>
          <cell r="F166"/>
        </row>
        <row r="167">
          <cell r="A167" t="str">
            <v>Gaj Kesri Polymers Private Limited</v>
          </cell>
          <cell r="F167"/>
        </row>
        <row r="168">
          <cell r="A168" t="str">
            <v>Galaxy Heat Products</v>
          </cell>
          <cell r="F168"/>
        </row>
        <row r="169">
          <cell r="A169" t="str">
            <v>Ganesh Engineering</v>
          </cell>
          <cell r="F169"/>
        </row>
        <row r="170">
          <cell r="A170" t="str">
            <v>Ganesh Plastics</v>
          </cell>
          <cell r="F170"/>
        </row>
        <row r="171">
          <cell r="A171" t="str">
            <v>Ganga Sterieo</v>
          </cell>
          <cell r="F171"/>
        </row>
        <row r="172">
          <cell r="A172" t="str">
            <v>Ganpathi Stereo</v>
          </cell>
          <cell r="F172"/>
        </row>
        <row r="173">
          <cell r="A173" t="str">
            <v>Ganpathy Polymers</v>
          </cell>
          <cell r="F173"/>
        </row>
        <row r="174">
          <cell r="A174" t="str">
            <v>Gaurav Trans Engineers Private Limited</v>
          </cell>
          <cell r="F174"/>
        </row>
        <row r="175">
          <cell r="A175" t="str">
            <v>Gayatri Tools Center</v>
          </cell>
          <cell r="F175"/>
        </row>
        <row r="176">
          <cell r="A176" t="str">
            <v>General Reserve</v>
          </cell>
          <cell r="F176"/>
        </row>
        <row r="177">
          <cell r="A177" t="str">
            <v>GI Pipe &amp; MS Pipes</v>
          </cell>
          <cell r="F177"/>
        </row>
        <row r="178">
          <cell r="A178" t="str">
            <v>Ginza Machinery Mfg.Co.</v>
          </cell>
          <cell r="F178"/>
        </row>
        <row r="179">
          <cell r="A179" t="str">
            <v>Globe Star Engineers (India) Pvt. Ltd.</v>
          </cell>
          <cell r="F179"/>
        </row>
        <row r="180">
          <cell r="A180" t="str">
            <v>Globus Transitos Pvt Ltd</v>
          </cell>
          <cell r="F180"/>
        </row>
        <row r="181">
          <cell r="A181" t="str">
            <v>Gopala Polyplast Limited - ICD</v>
          </cell>
          <cell r="F181"/>
        </row>
        <row r="182">
          <cell r="A182" t="str">
            <v>Gopala Polyplast Ltd ( Unit - II ) -For Gst Balance Only</v>
          </cell>
          <cell r="F182"/>
        </row>
        <row r="183">
          <cell r="A183" t="str">
            <v>Gopikishan Polyplast Pvt Ltd - Sales</v>
          </cell>
          <cell r="F183"/>
        </row>
        <row r="184">
          <cell r="A184" t="str">
            <v>Green Traders</v>
          </cell>
          <cell r="F184"/>
        </row>
        <row r="185">
          <cell r="A185" t="str">
            <v>Grinding Machine</v>
          </cell>
          <cell r="F185"/>
        </row>
        <row r="186">
          <cell r="A186" t="str">
            <v>GST Credit-Non Eligible</v>
          </cell>
          <cell r="F186"/>
        </row>
        <row r="187">
          <cell r="A187" t="str">
            <v>GST Electronic Cash Ledger</v>
          </cell>
          <cell r="F187"/>
        </row>
        <row r="188">
          <cell r="A188" t="str">
            <v>GST Payable A/c</v>
          </cell>
          <cell r="F188"/>
        </row>
        <row r="189">
          <cell r="A189" t="str">
            <v>GST RCM payable A/c</v>
          </cell>
          <cell r="F189"/>
        </row>
        <row r="190">
          <cell r="A190" t="str">
            <v>GST Receivable</v>
          </cell>
          <cell r="F190"/>
        </row>
        <row r="191">
          <cell r="A191" t="str">
            <v>GST TUFF Subsidy</v>
          </cell>
          <cell r="F191"/>
        </row>
        <row r="192">
          <cell r="A192" t="str">
            <v>Gujarat Sales Corporation</v>
          </cell>
          <cell r="F192"/>
        </row>
        <row r="193">
          <cell r="A193" t="str">
            <v>Hariom plastic industries</v>
          </cell>
          <cell r="F193"/>
        </row>
        <row r="194">
          <cell r="A194" t="str">
            <v>Harsh Accessories</v>
          </cell>
          <cell r="F194"/>
        </row>
        <row r="195">
          <cell r="A195" t="str">
            <v>Harsiddh Engineers</v>
          </cell>
          <cell r="F195"/>
        </row>
        <row r="196">
          <cell r="A196" t="str">
            <v>Harsiddhi Creation</v>
          </cell>
          <cell r="F196"/>
        </row>
        <row r="197">
          <cell r="A197" t="str">
            <v>Haver &amp; Boecker India Pvt. Ltd.</v>
          </cell>
          <cell r="F197"/>
        </row>
        <row r="198">
          <cell r="A198" t="str">
            <v>HCP Enterprise Ltd-ICD</v>
          </cell>
          <cell r="F198"/>
        </row>
        <row r="199">
          <cell r="A199" t="str">
            <v>HCP Enterprise Ltd-Purchase</v>
          </cell>
          <cell r="F199"/>
        </row>
        <row r="200">
          <cell r="A200" t="str">
            <v>HCP Plastene Bulkpack Limited - For Gst Only</v>
          </cell>
          <cell r="F200"/>
        </row>
        <row r="201">
          <cell r="A201" t="str">
            <v>HCP Plastene Bulkpack Limited - ICD</v>
          </cell>
          <cell r="F201"/>
        </row>
        <row r="202">
          <cell r="A202" t="str">
            <v>HCP Plastene Bulkpack Ltd (Unit-II) - Sales</v>
          </cell>
          <cell r="F202"/>
        </row>
        <row r="203">
          <cell r="A203" t="str">
            <v>HCP Plastene Bulkpack Ltd (Unit-III) - For Gst Balance Only</v>
          </cell>
          <cell r="F203"/>
        </row>
        <row r="204">
          <cell r="A204" t="str">
            <v>HCP Plastene Bulkpack Ltd (Unit-III) - Purchase</v>
          </cell>
          <cell r="F204"/>
        </row>
        <row r="205">
          <cell r="A205" t="str">
            <v>HCP Plastene Bulkpack Ltd (Unit-III) - Sales</v>
          </cell>
          <cell r="F205"/>
        </row>
        <row r="206">
          <cell r="A206" t="str">
            <v>Heat Exchanger</v>
          </cell>
          <cell r="F206"/>
        </row>
        <row r="207">
          <cell r="A207" t="str">
            <v>Heeralal Kumawat - URD</v>
          </cell>
          <cell r="F207"/>
        </row>
        <row r="208">
          <cell r="A208" t="str">
            <v>Hicare Services Pvt Ltd</v>
          </cell>
          <cell r="F208"/>
        </row>
        <row r="209">
          <cell r="A209" t="str">
            <v>Himali Industries</v>
          </cell>
          <cell r="F209"/>
        </row>
        <row r="210">
          <cell r="A210" t="str">
            <v>Hindustan Gunny Bags And Allied Suppliers</v>
          </cell>
          <cell r="F210"/>
        </row>
        <row r="211">
          <cell r="A211" t="str">
            <v>Hiraji Dalaji Vanzara</v>
          </cell>
          <cell r="F211"/>
        </row>
        <row r="212">
          <cell r="A212" t="str">
            <v>Hirco Tools</v>
          </cell>
          <cell r="F212"/>
        </row>
        <row r="213">
          <cell r="A213" t="str">
            <v>Hotel Gangotri</v>
          </cell>
          <cell r="F213"/>
        </row>
        <row r="214">
          <cell r="A214" t="str">
            <v>House Keeping Expense</v>
          </cell>
          <cell r="F214"/>
        </row>
        <row r="215">
          <cell r="A215" t="str">
            <v>Ideal Wovenplast Private Limited</v>
          </cell>
          <cell r="F215"/>
        </row>
        <row r="216">
          <cell r="A216" t="str">
            <v>IGST Input</v>
          </cell>
          <cell r="F216"/>
        </row>
        <row r="217">
          <cell r="A217" t="str">
            <v>IGST Output A/c</v>
          </cell>
          <cell r="F217"/>
        </row>
        <row r="218">
          <cell r="A218" t="str">
            <v>IIFL Securities Ltd.</v>
          </cell>
          <cell r="F218"/>
        </row>
        <row r="219">
          <cell r="A219" t="str">
            <v>Ikon Instruments</v>
          </cell>
          <cell r="F219"/>
        </row>
        <row r="220">
          <cell r="A220" t="str">
            <v>Incentive Expense - Attendence</v>
          </cell>
          <cell r="F220"/>
        </row>
        <row r="221">
          <cell r="A221" t="str">
            <v>Incentive Expense - Production</v>
          </cell>
          <cell r="F221"/>
        </row>
        <row r="222">
          <cell r="A222" t="str">
            <v>Indal Singh Kushwaha</v>
          </cell>
          <cell r="F222"/>
        </row>
        <row r="223">
          <cell r="A223" t="str">
            <v>Indiamart Intermesh Ltd.</v>
          </cell>
          <cell r="F223"/>
        </row>
        <row r="224">
          <cell r="A224" t="str">
            <v>Indian Institute Of Packaging</v>
          </cell>
          <cell r="F224"/>
        </row>
        <row r="225">
          <cell r="A225" t="str">
            <v>Inspection Syndicate of India Pvt Ltd</v>
          </cell>
          <cell r="F225"/>
        </row>
        <row r="226">
          <cell r="A226" t="str">
            <v>Insurance Claim Receivable</v>
          </cell>
          <cell r="F226"/>
        </row>
        <row r="227">
          <cell r="A227" t="str">
            <v>Insurance Expenses - Plant</v>
          </cell>
          <cell r="F227">
            <v>0</v>
          </cell>
        </row>
        <row r="228">
          <cell r="A228" t="str">
            <v>Interest Expense -  Term Loan</v>
          </cell>
          <cell r="F228"/>
        </row>
        <row r="229">
          <cell r="A229" t="str">
            <v>Interest Refundable Tuff</v>
          </cell>
          <cell r="F229"/>
        </row>
        <row r="230">
          <cell r="A230" t="str">
            <v>Internal Transportation Expense / Reimbursement</v>
          </cell>
          <cell r="F230"/>
        </row>
        <row r="231">
          <cell r="A231" t="str">
            <v>Inventory- Fg</v>
          </cell>
          <cell r="F231"/>
        </row>
        <row r="232">
          <cell r="A232" t="str">
            <v>Inventory- Packing Material</v>
          </cell>
          <cell r="F232"/>
        </row>
        <row r="233">
          <cell r="A233" t="str">
            <v>Inventory- Raw Material</v>
          </cell>
          <cell r="F233"/>
        </row>
        <row r="234">
          <cell r="A234" t="str">
            <v>Inventory- Stores &amp; Spares</v>
          </cell>
          <cell r="F234"/>
        </row>
        <row r="235">
          <cell r="A235" t="str">
            <v>Investment In Pg Electroplast</v>
          </cell>
          <cell r="F235"/>
        </row>
        <row r="236">
          <cell r="A236" t="str">
            <v>Investment In Share Of K P Woven Private Limited (Unquoted)</v>
          </cell>
          <cell r="F236"/>
        </row>
        <row r="237">
          <cell r="A237" t="str">
            <v>ISSGF India Private Limited - Maharashtra</v>
          </cell>
          <cell r="F237"/>
        </row>
        <row r="238">
          <cell r="A238" t="str">
            <v>J J Plastalloy Pvt Ltd</v>
          </cell>
          <cell r="F238"/>
        </row>
        <row r="239">
          <cell r="A239" t="str">
            <v>Jain Bulk Pack - Rajkot</v>
          </cell>
          <cell r="F239"/>
        </row>
        <row r="240">
          <cell r="A240" t="str">
            <v>Jay Bhavani Engineering</v>
          </cell>
          <cell r="F240"/>
        </row>
        <row r="241">
          <cell r="A241" t="str">
            <v>Jay Enterprise - 24AHQPR6851B2Z4</v>
          </cell>
          <cell r="F241"/>
        </row>
        <row r="242">
          <cell r="A242" t="str">
            <v>Jay Mataji Enterprise</v>
          </cell>
          <cell r="F242"/>
        </row>
        <row r="243">
          <cell r="A243" t="str">
            <v>Jay Mataji Roadlines</v>
          </cell>
          <cell r="F243"/>
        </row>
        <row r="244">
          <cell r="A244" t="str">
            <v>Jay Plastic -  24AQYPT7026M1ZW</v>
          </cell>
          <cell r="F244"/>
        </row>
        <row r="245">
          <cell r="A245" t="str">
            <v>Jay Umiyaji Fabrication And Engineering Works</v>
          </cell>
          <cell r="F245"/>
        </row>
        <row r="246">
          <cell r="A246" t="str">
            <v>Jay Vadvala Transport Service</v>
          </cell>
          <cell r="F246"/>
        </row>
        <row r="247">
          <cell r="A247" t="str">
            <v>Jhunjhunwala Polyplast Private Ltd</v>
          </cell>
          <cell r="F247"/>
        </row>
        <row r="248">
          <cell r="A248" t="str">
            <v>Job Charges</v>
          </cell>
          <cell r="F248">
            <v>0</v>
          </cell>
        </row>
        <row r="249">
          <cell r="A249" t="str">
            <v>Job Work Income</v>
          </cell>
          <cell r="F249"/>
        </row>
        <row r="250">
          <cell r="A250" t="str">
            <v>K Patel Drives Systems</v>
          </cell>
          <cell r="F250"/>
        </row>
        <row r="251">
          <cell r="A251" t="str">
            <v>K.K.Enterprise</v>
          </cell>
          <cell r="F251"/>
        </row>
        <row r="252">
          <cell r="A252" t="str">
            <v>K.P. Woven Pvt Ltd - Unit 2 -Purchase</v>
          </cell>
          <cell r="F252"/>
        </row>
        <row r="253">
          <cell r="A253" t="str">
            <v>K.P. Woven Pvt Ltd - Unit 2 -Sales</v>
          </cell>
          <cell r="F253"/>
        </row>
        <row r="254">
          <cell r="A254" t="str">
            <v>K.P. Woven Pvt Ltd - Unit 3 -Purchase</v>
          </cell>
          <cell r="F254"/>
        </row>
        <row r="255">
          <cell r="A255" t="str">
            <v>K.P. Woven Pvt Ltd - Unit 3 -Sales</v>
          </cell>
          <cell r="F255"/>
        </row>
        <row r="256">
          <cell r="A256" t="str">
            <v>K.P. Woven Pvt Ltd-Purchase</v>
          </cell>
          <cell r="F256"/>
        </row>
        <row r="257">
          <cell r="A257" t="str">
            <v>K.P. Woven Pvt Ltd-Sales</v>
          </cell>
          <cell r="F257"/>
        </row>
        <row r="258">
          <cell r="A258" t="str">
            <v>K.R. Roadlines</v>
          </cell>
          <cell r="F258"/>
        </row>
        <row r="259">
          <cell r="A259" t="str">
            <v>K.R.ENGINEERING WORKS</v>
          </cell>
          <cell r="F259"/>
        </row>
        <row r="260">
          <cell r="A260" t="str">
            <v>Kabra Electricals</v>
          </cell>
          <cell r="F260"/>
        </row>
        <row r="261">
          <cell r="A261" t="str">
            <v>Kailash Enterprise</v>
          </cell>
          <cell r="F261"/>
        </row>
        <row r="262">
          <cell r="A262" t="str">
            <v>Kalavati Packaging</v>
          </cell>
          <cell r="F262"/>
        </row>
        <row r="263">
          <cell r="A263" t="str">
            <v>Kamal Tradelink</v>
          </cell>
          <cell r="F263"/>
        </row>
        <row r="264">
          <cell r="A264" t="str">
            <v>Kamaldeep Xerox And Stationers</v>
          </cell>
          <cell r="F264"/>
        </row>
        <row r="265">
          <cell r="A265" t="str">
            <v>Kamla Packaging Products Pvt Ltd</v>
          </cell>
          <cell r="F265"/>
        </row>
        <row r="266">
          <cell r="A266" t="str">
            <v>Kan Power Rubber Industries</v>
          </cell>
          <cell r="F266"/>
        </row>
        <row r="267">
          <cell r="A267" t="str">
            <v>Karnavati Polyblends Pvt Ltd</v>
          </cell>
          <cell r="F267"/>
        </row>
        <row r="268">
          <cell r="A268" t="str">
            <v>Kashyap R. Mehta &amp; Associates</v>
          </cell>
          <cell r="F268"/>
        </row>
        <row r="269">
          <cell r="A269" t="str">
            <v>Kashyap Unitex Corporation</v>
          </cell>
          <cell r="F269"/>
        </row>
        <row r="270">
          <cell r="A270" t="str">
            <v>KDR Engineers</v>
          </cell>
          <cell r="F270"/>
        </row>
        <row r="271">
          <cell r="A271" t="str">
            <v>Keshari Enterprises</v>
          </cell>
          <cell r="F271"/>
        </row>
        <row r="272">
          <cell r="A272" t="str">
            <v>Kotak Mahindra Bank Ltd. - 24AAACK4409J1ZQ</v>
          </cell>
          <cell r="F272"/>
        </row>
        <row r="273">
          <cell r="A273" t="str">
            <v>Kothari Packaging Industries</v>
          </cell>
          <cell r="F273"/>
        </row>
        <row r="274">
          <cell r="A274" t="str">
            <v>Kreena Sales and Service</v>
          </cell>
          <cell r="F274"/>
        </row>
        <row r="275">
          <cell r="A275" t="str">
            <v>Krishna Enterprise - Ashram Road, Ahmedabad</v>
          </cell>
          <cell r="F275"/>
        </row>
        <row r="276">
          <cell r="A276" t="str">
            <v>Krishna Enterprise - Sales (24MGRPS3158Q1Z4)</v>
          </cell>
          <cell r="F276"/>
        </row>
        <row r="277">
          <cell r="A277" t="str">
            <v>Krishna Packaging</v>
          </cell>
          <cell r="F277"/>
        </row>
        <row r="278">
          <cell r="A278" t="str">
            <v>Krishna Transport</v>
          </cell>
          <cell r="F278"/>
        </row>
        <row r="279">
          <cell r="A279" t="str">
            <v>Labbdhi Paper Tubes Pvt Ltd</v>
          </cell>
          <cell r="F279"/>
        </row>
        <row r="280">
          <cell r="A280" t="str">
            <v>Labdhi Engineering Pvt Ltd</v>
          </cell>
          <cell r="F280"/>
        </row>
        <row r="281">
          <cell r="A281" t="str">
            <v>Labdhi Plastic</v>
          </cell>
          <cell r="F281"/>
        </row>
        <row r="282">
          <cell r="A282" t="str">
            <v>Laboratory Equipments</v>
          </cell>
          <cell r="F282"/>
        </row>
        <row r="283">
          <cell r="A283" t="str">
            <v>Labour Charges</v>
          </cell>
          <cell r="F283">
            <v>1229840</v>
          </cell>
        </row>
        <row r="284">
          <cell r="A284" t="str">
            <v>Lala Ram Punama Ram</v>
          </cell>
          <cell r="F284"/>
        </row>
        <row r="285">
          <cell r="A285" t="str">
            <v>Lamination Plant</v>
          </cell>
          <cell r="F285"/>
        </row>
        <row r="286">
          <cell r="A286" t="str">
            <v>Land A/c</v>
          </cell>
          <cell r="F286"/>
        </row>
        <row r="287">
          <cell r="A287" t="str">
            <v>Legal Expense</v>
          </cell>
          <cell r="F287"/>
        </row>
        <row r="288">
          <cell r="A288" t="str">
            <v>Licenses MEIS (Stock)</v>
          </cell>
          <cell r="F288"/>
        </row>
        <row r="289">
          <cell r="A289" t="str">
            <v>Loading &amp; Unloading Expense</v>
          </cell>
          <cell r="F289"/>
        </row>
        <row r="290">
          <cell r="A290" t="str">
            <v>Lohia Global Solutions - Gujarat - (A Div of Lohia Corp Ltd)</v>
          </cell>
          <cell r="F290"/>
        </row>
        <row r="291">
          <cell r="A291" t="str">
            <v>Lohia Global Solutions - UP - (A Div of Lohia Corp Ltd)</v>
          </cell>
          <cell r="F291"/>
        </row>
        <row r="292">
          <cell r="A292" t="str">
            <v>Lubgraf Products</v>
          </cell>
          <cell r="F292"/>
        </row>
        <row r="293">
          <cell r="A293" t="str">
            <v>Mac Trade Link Pvt.Ltd</v>
          </cell>
          <cell r="F293"/>
        </row>
        <row r="294">
          <cell r="A294" t="str">
            <v>Macgray Solutions Pvt Ltd</v>
          </cell>
          <cell r="F294"/>
        </row>
        <row r="295">
          <cell r="A295" t="str">
            <v>Maersk Line India Pvt Ltd</v>
          </cell>
          <cell r="F295"/>
        </row>
        <row r="296">
          <cell r="A296" t="str">
            <v>Mahakali Enterprise.</v>
          </cell>
          <cell r="F296"/>
        </row>
        <row r="297">
          <cell r="A297" t="str">
            <v>Mahakali Scrap Trading</v>
          </cell>
          <cell r="F297"/>
        </row>
        <row r="298">
          <cell r="A298" t="str">
            <v>Mahakali Trading Company</v>
          </cell>
          <cell r="F298"/>
        </row>
        <row r="299">
          <cell r="A299" t="str">
            <v>Maitry Enterprises</v>
          </cell>
          <cell r="F299"/>
        </row>
        <row r="300">
          <cell r="A300" t="str">
            <v>Mallinath Impex</v>
          </cell>
          <cell r="F300"/>
        </row>
        <row r="301">
          <cell r="A301" t="str">
            <v>Manish Purohit</v>
          </cell>
          <cell r="F301"/>
        </row>
        <row r="302">
          <cell r="A302" t="str">
            <v>Maruti Enterprise - Bharuch</v>
          </cell>
          <cell r="F302"/>
        </row>
        <row r="303">
          <cell r="A303" t="str">
            <v>Maruti Traders - Purchase</v>
          </cell>
          <cell r="F303"/>
        </row>
        <row r="304">
          <cell r="A304" t="str">
            <v>Maxel Control</v>
          </cell>
          <cell r="F304"/>
        </row>
        <row r="305">
          <cell r="A305" t="str">
            <v>Mayur Wovens Pvt Ltd.</v>
          </cell>
          <cell r="F305"/>
        </row>
        <row r="306">
          <cell r="A306" t="str">
            <v>Medchoice Pharmacy</v>
          </cell>
          <cell r="F306"/>
        </row>
        <row r="307">
          <cell r="A307" t="str">
            <v>Medical Expense</v>
          </cell>
          <cell r="F307"/>
        </row>
        <row r="308">
          <cell r="A308" t="str">
            <v>MEENA TEJSANKAR GAUTAMJI</v>
          </cell>
          <cell r="F308"/>
        </row>
        <row r="309">
          <cell r="A309" t="str">
            <v>Mehjal Adhesive Tapes Pvt. Ltd.</v>
          </cell>
          <cell r="F309"/>
        </row>
        <row r="310">
          <cell r="A310" t="str">
            <v>Mehjal Adhesive Tapes Pvt. Ltd. - Sales</v>
          </cell>
          <cell r="F310"/>
        </row>
        <row r="311">
          <cell r="A311" t="str">
            <v>Meldi Transport</v>
          </cell>
          <cell r="F311"/>
        </row>
        <row r="312">
          <cell r="A312" t="str">
            <v>Mentor Enterprise</v>
          </cell>
          <cell r="F312"/>
        </row>
        <row r="313">
          <cell r="A313" t="str">
            <v>Mobile &amp; Telephone Expense</v>
          </cell>
          <cell r="F313"/>
        </row>
        <row r="314">
          <cell r="A314" t="str">
            <v>Mohanlal Jani</v>
          </cell>
          <cell r="F314"/>
        </row>
        <row r="315">
          <cell r="A315" t="str">
            <v>Muni Enterprises</v>
          </cell>
          <cell r="F315"/>
        </row>
        <row r="316">
          <cell r="A316" t="str">
            <v>Munnaprasad Indradevsingh Yadav</v>
          </cell>
          <cell r="F316"/>
        </row>
        <row r="317">
          <cell r="A317" t="str">
            <v>Mvm Products</v>
          </cell>
          <cell r="F317"/>
        </row>
        <row r="318">
          <cell r="A318" t="str">
            <v>N S Traders</v>
          </cell>
          <cell r="F318"/>
        </row>
        <row r="319">
          <cell r="A319" t="str">
            <v>N. P. Chemicals</v>
          </cell>
          <cell r="F319"/>
        </row>
        <row r="320">
          <cell r="A320" t="str">
            <v>N.K. Enterprise</v>
          </cell>
          <cell r="F320"/>
        </row>
        <row r="321">
          <cell r="A321" t="str">
            <v>Nada Poly Plast</v>
          </cell>
          <cell r="F321"/>
        </row>
        <row r="322">
          <cell r="A322" t="str">
            <v>Nami Enterprises</v>
          </cell>
          <cell r="F322"/>
        </row>
        <row r="323">
          <cell r="A323" t="str">
            <v>Naresh Pritmani</v>
          </cell>
          <cell r="F323"/>
        </row>
        <row r="324">
          <cell r="A324" t="str">
            <v>National Enterprsise</v>
          </cell>
          <cell r="F324"/>
        </row>
        <row r="325">
          <cell r="A325" t="str">
            <v>National Security Depository Limited</v>
          </cell>
          <cell r="F325"/>
        </row>
        <row r="326">
          <cell r="A326" t="str">
            <v>Natural Sugar &amp; Allied Industries Limited - Unit 2</v>
          </cell>
          <cell r="F326"/>
        </row>
        <row r="327">
          <cell r="A327" t="str">
            <v>Navrang Machinery Pvt Ltd</v>
          </cell>
          <cell r="F327"/>
        </row>
        <row r="328">
          <cell r="A328" t="str">
            <v>Neha Enterprise</v>
          </cell>
          <cell r="F328"/>
        </row>
        <row r="329">
          <cell r="A329" t="str">
            <v>New Dharti Agency</v>
          </cell>
          <cell r="F329"/>
        </row>
        <row r="330">
          <cell r="A330" t="str">
            <v>New Life Multi Speciality Hospital</v>
          </cell>
          <cell r="F330"/>
        </row>
        <row r="331">
          <cell r="A331" t="str">
            <v>Nisha Traders</v>
          </cell>
          <cell r="F331"/>
        </row>
        <row r="332">
          <cell r="A332" t="str">
            <v>Nishith Enterprise</v>
          </cell>
          <cell r="F332"/>
        </row>
        <row r="333">
          <cell r="A333" t="str">
            <v>Office Equipments</v>
          </cell>
          <cell r="F333"/>
        </row>
        <row r="334">
          <cell r="A334" t="str">
            <v>Office Expenses</v>
          </cell>
          <cell r="F334"/>
        </row>
        <row r="335">
          <cell r="A335" t="str">
            <v>Office Tools Stationery</v>
          </cell>
          <cell r="F335"/>
        </row>
        <row r="336">
          <cell r="A336" t="str">
            <v>Om Corporation</v>
          </cell>
          <cell r="F336"/>
        </row>
        <row r="337">
          <cell r="A337" t="str">
            <v>Om Enterprises Delhi</v>
          </cell>
          <cell r="F337"/>
        </row>
        <row r="338">
          <cell r="A338" t="str">
            <v>Om Security Service &amp; Labour Supplier</v>
          </cell>
          <cell r="F338"/>
        </row>
        <row r="339">
          <cell r="A339" t="str">
            <v>Omkar Industries</v>
          </cell>
          <cell r="F339"/>
        </row>
        <row r="340">
          <cell r="A340" t="str">
            <v>Onkar Seeds</v>
          </cell>
          <cell r="F340"/>
        </row>
        <row r="341">
          <cell r="A341" t="str">
            <v>Oswal Extrusion Ltd - HO-Sales</v>
          </cell>
          <cell r="F341"/>
        </row>
        <row r="342">
          <cell r="A342" t="str">
            <v>Oswal Extrusion Ltd- KASEZ-Purchase</v>
          </cell>
          <cell r="F342"/>
        </row>
        <row r="343">
          <cell r="A343" t="str">
            <v>Oswal Extrusion Ltd- KASEZ-Sales</v>
          </cell>
          <cell r="F343"/>
        </row>
        <row r="344">
          <cell r="A344" t="str">
            <v>Oswal Lumbers Pvt Ltd</v>
          </cell>
          <cell r="F344"/>
        </row>
        <row r="345">
          <cell r="A345" t="str">
            <v>Oswal Overseas - Purchase</v>
          </cell>
          <cell r="F345"/>
        </row>
        <row r="346">
          <cell r="A346" t="str">
            <v>Other Deduction</v>
          </cell>
          <cell r="F346"/>
        </row>
        <row r="347">
          <cell r="A347" t="str">
            <v>Other Softwares</v>
          </cell>
          <cell r="F347"/>
        </row>
        <row r="348">
          <cell r="A348" t="str">
            <v>P. Gautam &amp; Co.</v>
          </cell>
          <cell r="F348"/>
        </row>
        <row r="349">
          <cell r="A349" t="str">
            <v>P.F. Admin. Charge</v>
          </cell>
          <cell r="F349"/>
        </row>
        <row r="350">
          <cell r="A350" t="str">
            <v>P.F. Contribution - Employer</v>
          </cell>
          <cell r="F350">
            <v>0</v>
          </cell>
        </row>
        <row r="351">
          <cell r="A351" t="str">
            <v>Padm Corporation</v>
          </cell>
          <cell r="F351"/>
        </row>
        <row r="352">
          <cell r="A352" t="str">
            <v>Paid Up Equity Share Capital</v>
          </cell>
          <cell r="F352"/>
        </row>
        <row r="353">
          <cell r="A353" t="str">
            <v>Pannalal Shri Krishan Dass Pvt Ltd</v>
          </cell>
          <cell r="F353"/>
        </row>
        <row r="354">
          <cell r="A354" t="str">
            <v>Paresh N Patel</v>
          </cell>
          <cell r="F354"/>
        </row>
        <row r="355">
          <cell r="A355" t="str">
            <v>Parth Flexipack - Sales</v>
          </cell>
          <cell r="F355"/>
        </row>
        <row r="356">
          <cell r="A356" t="str">
            <v>Perfect Belts Private Limited</v>
          </cell>
          <cell r="F356"/>
        </row>
        <row r="357">
          <cell r="A357" t="str">
            <v>Petrol &amp; Diesel Expense - Other Vehicles</v>
          </cell>
          <cell r="F357"/>
        </row>
        <row r="358">
          <cell r="A358" t="str">
            <v>Pintex Industrial Corporation</v>
          </cell>
          <cell r="F358"/>
        </row>
        <row r="359">
          <cell r="A359" t="str">
            <v>Pitamberlal Sunilkumar</v>
          </cell>
          <cell r="F359"/>
        </row>
        <row r="360">
          <cell r="A360" t="str">
            <v>Plant &amp; Machinery</v>
          </cell>
          <cell r="F360"/>
        </row>
        <row r="361">
          <cell r="A361" t="str">
            <v>Plant &amp; Machinery - ADSTAR</v>
          </cell>
          <cell r="F361"/>
        </row>
        <row r="362">
          <cell r="A362" t="str">
            <v>Plastene India ltd - HO-ICD</v>
          </cell>
          <cell r="F362"/>
        </row>
        <row r="363">
          <cell r="A363" t="str">
            <v>Plastene India ltd - Unit 1-Purchase</v>
          </cell>
          <cell r="F363"/>
        </row>
        <row r="364">
          <cell r="A364" t="str">
            <v>Plastene India ltd - Unit 1-Sales</v>
          </cell>
          <cell r="F364"/>
        </row>
        <row r="365">
          <cell r="A365" t="str">
            <v>Plastene India ltd - Unit 2-Purchase</v>
          </cell>
          <cell r="F365"/>
        </row>
        <row r="366">
          <cell r="A366" t="str">
            <v>Plastene India ltd - Unit 2-Sales</v>
          </cell>
          <cell r="F366"/>
        </row>
        <row r="367">
          <cell r="A367" t="str">
            <v>Plastene India ltd - Unit 4-Purchase</v>
          </cell>
          <cell r="F367"/>
        </row>
        <row r="368">
          <cell r="A368" t="str">
            <v>Plastene India ltd - Unit 6-Purchase</v>
          </cell>
          <cell r="F368"/>
        </row>
        <row r="369">
          <cell r="A369" t="str">
            <v>Plastene India ltd - Unit 6-Sales</v>
          </cell>
          <cell r="F369"/>
        </row>
        <row r="370">
          <cell r="A370" t="str">
            <v>Plastene India ltd - Unit 8-Purchase</v>
          </cell>
          <cell r="F370"/>
        </row>
        <row r="371">
          <cell r="A371" t="str">
            <v>Plastene India ltd - Unit 8-Sales</v>
          </cell>
          <cell r="F371"/>
        </row>
        <row r="372">
          <cell r="A372" t="str">
            <v>Plastene Polyfilms Ltd-Purchase</v>
          </cell>
          <cell r="F372"/>
        </row>
        <row r="373">
          <cell r="A373" t="str">
            <v>Plastene Polyfilms Ltd-Sales</v>
          </cell>
          <cell r="F373"/>
        </row>
        <row r="374">
          <cell r="A374" t="str">
            <v>Platinium Tie-Up Pvt Ltd - Sales</v>
          </cell>
          <cell r="F374"/>
        </row>
        <row r="375">
          <cell r="A375" t="str">
            <v>Pollution Control Expense</v>
          </cell>
          <cell r="F375"/>
        </row>
        <row r="376">
          <cell r="A376" t="str">
            <v>Pooja Enterprise - Jodhpur</v>
          </cell>
          <cell r="F376"/>
        </row>
        <row r="377">
          <cell r="A377" t="str">
            <v>Postage &amp; Courier Expense</v>
          </cell>
          <cell r="F377"/>
        </row>
        <row r="378">
          <cell r="A378" t="str">
            <v>Power Expense</v>
          </cell>
          <cell r="F378">
            <v>2508100</v>
          </cell>
        </row>
        <row r="379">
          <cell r="A379" t="str">
            <v>Prakash H. Parekh (Dr)</v>
          </cell>
          <cell r="F379"/>
        </row>
        <row r="380">
          <cell r="A380" t="str">
            <v>Prasad Gwk Cooltech Limited</v>
          </cell>
          <cell r="F380"/>
        </row>
        <row r="381">
          <cell r="A381" t="str">
            <v>Premier India Bearing Ltd.</v>
          </cell>
          <cell r="F381"/>
        </row>
        <row r="382">
          <cell r="A382" t="str">
            <v>Premium Paper Products</v>
          </cell>
          <cell r="F382"/>
        </row>
        <row r="383">
          <cell r="A383" t="str">
            <v>Prepaid Expenses</v>
          </cell>
          <cell r="F383"/>
        </row>
        <row r="384">
          <cell r="A384" t="str">
            <v>Prepaid Insurance</v>
          </cell>
          <cell r="F384"/>
        </row>
        <row r="385">
          <cell r="A385" t="str">
            <v>Printing &amp; Stationery Expense</v>
          </cell>
          <cell r="F385"/>
        </row>
        <row r="386">
          <cell r="A386" t="str">
            <v>Printing Machine</v>
          </cell>
          <cell r="F386"/>
        </row>
        <row r="387">
          <cell r="A387" t="str">
            <v>Professional &amp; Consultancy Fees</v>
          </cell>
          <cell r="F387"/>
        </row>
        <row r="388">
          <cell r="A388" t="str">
            <v>Professional Tax Liability A/c</v>
          </cell>
          <cell r="F388"/>
        </row>
        <row r="389">
          <cell r="A389" t="str">
            <v>Profit And Loss Account</v>
          </cell>
          <cell r="F389"/>
        </row>
        <row r="390">
          <cell r="A390" t="str">
            <v>Profit Or Loss On Sale Of Fixed Assets</v>
          </cell>
          <cell r="F390"/>
        </row>
        <row r="391">
          <cell r="A391" t="str">
            <v>Protea Retails Private Limited</v>
          </cell>
          <cell r="F391"/>
        </row>
        <row r="392">
          <cell r="A392" t="str">
            <v>Provident Fund Payable</v>
          </cell>
          <cell r="F392"/>
        </row>
        <row r="393">
          <cell r="A393" t="str">
            <v>Provision For Depreciation</v>
          </cell>
          <cell r="F393"/>
        </row>
        <row r="394">
          <cell r="A394" t="str">
            <v>Provision For Doubtful Debt</v>
          </cell>
          <cell r="F394"/>
        </row>
        <row r="395">
          <cell r="A395" t="str">
            <v>Provision For Expenses</v>
          </cell>
          <cell r="F395"/>
        </row>
        <row r="396">
          <cell r="A396" t="str">
            <v>Provision for Gratuaity</v>
          </cell>
          <cell r="F396"/>
        </row>
        <row r="397">
          <cell r="A397" t="str">
            <v>Provision For Income</v>
          </cell>
          <cell r="F397"/>
        </row>
        <row r="398">
          <cell r="A398" t="str">
            <v>Provision For Interest</v>
          </cell>
          <cell r="F398"/>
        </row>
        <row r="399">
          <cell r="A399" t="str">
            <v>Provision For Leave Encashment</v>
          </cell>
          <cell r="F399"/>
        </row>
        <row r="400">
          <cell r="A400" t="str">
            <v>Purbanchal Lumbers Pvt Ltd</v>
          </cell>
          <cell r="F400"/>
        </row>
        <row r="401">
          <cell r="A401" t="str">
            <v>Purchase Interstate - Raw Material</v>
          </cell>
          <cell r="F401"/>
        </row>
        <row r="402">
          <cell r="A402" t="str">
            <v>Purchase Interstate- Stores, Spares &amp; Consumable</v>
          </cell>
          <cell r="F402"/>
        </row>
        <row r="403">
          <cell r="A403" t="str">
            <v>Purchase Raw Material - Direct Import</v>
          </cell>
          <cell r="F403">
            <v>4429161</v>
          </cell>
        </row>
        <row r="404">
          <cell r="A404" t="str">
            <v>Purchase Withinstate - Raw Material</v>
          </cell>
          <cell r="F404">
            <v>29070</v>
          </cell>
        </row>
        <row r="405">
          <cell r="A405" t="str">
            <v>Purchase Withinstate- Packing Material</v>
          </cell>
          <cell r="F405"/>
        </row>
        <row r="406">
          <cell r="A406" t="str">
            <v>Purchase Withinstate- Stores, Spares &amp; Consumable</v>
          </cell>
          <cell r="F406"/>
        </row>
        <row r="407">
          <cell r="A407" t="str">
            <v>Purvi Cargo Movers</v>
          </cell>
          <cell r="F407"/>
        </row>
        <row r="408">
          <cell r="A408" t="str">
            <v>Pyramid Enterprise</v>
          </cell>
          <cell r="F408"/>
        </row>
        <row r="409">
          <cell r="A409" t="str">
            <v>R K Engineering Works</v>
          </cell>
          <cell r="F409"/>
        </row>
        <row r="410">
          <cell r="A410" t="str">
            <v>R. B. Tapes Pvt Ltd</v>
          </cell>
          <cell r="F410"/>
        </row>
        <row r="411">
          <cell r="A411" t="str">
            <v>Radix Electrosystems Pvt Ltd</v>
          </cell>
          <cell r="F411"/>
        </row>
        <row r="412">
          <cell r="A412" t="str">
            <v>Raj Asbestos Co</v>
          </cell>
          <cell r="F412"/>
        </row>
        <row r="413">
          <cell r="A413" t="str">
            <v>Raj Filters And Wiremesh Pvt Ltd</v>
          </cell>
          <cell r="F413"/>
        </row>
        <row r="414">
          <cell r="A414" t="str">
            <v>Raj Petro Specialities Pvt Ltd</v>
          </cell>
          <cell r="F414"/>
        </row>
        <row r="415">
          <cell r="A415" t="str">
            <v>Ravi Sunrise Industries</v>
          </cell>
          <cell r="F415"/>
        </row>
        <row r="416">
          <cell r="A416" t="str">
            <v>RBL Bank Ltd. - 24AABCT3335M1ZB</v>
          </cell>
          <cell r="F416"/>
        </row>
        <row r="417">
          <cell r="A417" t="str">
            <v>RCM - CGST Credit</v>
          </cell>
          <cell r="F417"/>
        </row>
        <row r="418">
          <cell r="A418" t="str">
            <v>RCM - SGST Credit</v>
          </cell>
          <cell r="F418"/>
        </row>
        <row r="419">
          <cell r="A419" t="str">
            <v>Re Equipments (India) Pvt Ltd</v>
          </cell>
          <cell r="F419"/>
        </row>
        <row r="420">
          <cell r="A420" t="str">
            <v>Recycling Machine</v>
          </cell>
          <cell r="F420"/>
        </row>
        <row r="421">
          <cell r="A421" t="str">
            <v>Reforming  Machine</v>
          </cell>
          <cell r="F421"/>
        </row>
        <row r="422">
          <cell r="A422" t="str">
            <v>Renovate Blade Technology</v>
          </cell>
          <cell r="F422"/>
        </row>
        <row r="423">
          <cell r="A423" t="str">
            <v>Rent Expenses - Machineries</v>
          </cell>
          <cell r="F423">
            <v>219969</v>
          </cell>
        </row>
        <row r="424">
          <cell r="A424" t="str">
            <v>Repairs &amp; Maintenance Exp - Building</v>
          </cell>
          <cell r="F424"/>
        </row>
        <row r="425">
          <cell r="A425" t="str">
            <v>Repairs &amp; Maintenance Exp - Electric</v>
          </cell>
          <cell r="F425"/>
        </row>
        <row r="426">
          <cell r="A426" t="str">
            <v>Repairs &amp; Maintenance Exp - Other Vehicles</v>
          </cell>
          <cell r="F426"/>
        </row>
        <row r="427">
          <cell r="A427" t="str">
            <v>Repairs &amp; Maintenance Exp - Plant &amp; Machinery</v>
          </cell>
          <cell r="F427"/>
        </row>
        <row r="428">
          <cell r="A428" t="str">
            <v>Roop Ultrasonix Ltd.</v>
          </cell>
          <cell r="F428"/>
        </row>
        <row r="429">
          <cell r="A429" t="str">
            <v>Roshani Heaters &amp; Meters</v>
          </cell>
          <cell r="F429"/>
        </row>
        <row r="430">
          <cell r="A430" t="str">
            <v>Rotogravure Printing Machine</v>
          </cell>
          <cell r="F430"/>
        </row>
        <row r="431">
          <cell r="A431" t="str">
            <v>Round Off</v>
          </cell>
          <cell r="F431">
            <v>9198</v>
          </cell>
        </row>
        <row r="432">
          <cell r="A432" t="str">
            <v>Round Off - Purchases</v>
          </cell>
          <cell r="F432"/>
        </row>
        <row r="433">
          <cell r="A433" t="str">
            <v>RR International</v>
          </cell>
          <cell r="F433"/>
        </row>
        <row r="434">
          <cell r="A434" t="str">
            <v>S B Enterprise</v>
          </cell>
          <cell r="F434"/>
        </row>
        <row r="435">
          <cell r="A435" t="str">
            <v>S M Industries</v>
          </cell>
          <cell r="F435"/>
        </row>
        <row r="436">
          <cell r="A436" t="str">
            <v>S.R.Adhesive Tapes Mfg - Sales</v>
          </cell>
          <cell r="F436"/>
        </row>
        <row r="437">
          <cell r="A437" t="str">
            <v>S.R.Sewing Tech</v>
          </cell>
          <cell r="F437"/>
        </row>
        <row r="438">
          <cell r="A438" t="str">
            <v>Sahil Poly Pack</v>
          </cell>
          <cell r="F438"/>
        </row>
        <row r="439">
          <cell r="A439" t="str">
            <v>Saiyajibhai Laljibhai Rabari</v>
          </cell>
          <cell r="F439"/>
        </row>
        <row r="440">
          <cell r="A440" t="str">
            <v>Salaries Expense</v>
          </cell>
          <cell r="F440">
            <v>2937696.24</v>
          </cell>
        </row>
        <row r="441">
          <cell r="A441" t="str">
            <v>Salary &amp; Wages Payable</v>
          </cell>
          <cell r="F441"/>
        </row>
        <row r="442">
          <cell r="A442" t="str">
            <v>Sales - High Seas</v>
          </cell>
          <cell r="F442"/>
        </row>
        <row r="443">
          <cell r="A443" t="str">
            <v>Sales - Interstate - Manufactured Goods</v>
          </cell>
          <cell r="F443"/>
        </row>
        <row r="444">
          <cell r="A444" t="str">
            <v>Sales - Waste &amp; Scrape</v>
          </cell>
          <cell r="F444"/>
        </row>
        <row r="445">
          <cell r="A445" t="str">
            <v>Sales - Within State  Manufactured Goods</v>
          </cell>
          <cell r="F445"/>
        </row>
        <row r="446">
          <cell r="A446" t="str">
            <v>Sales - Within State - Traded Goods</v>
          </cell>
          <cell r="F446"/>
        </row>
        <row r="447">
          <cell r="A447" t="str">
            <v>Sanghi Industries Ltd</v>
          </cell>
          <cell r="F447"/>
        </row>
        <row r="448">
          <cell r="A448" t="str">
            <v>Sanket Steels</v>
          </cell>
          <cell r="F448"/>
        </row>
        <row r="449">
          <cell r="A449" t="str">
            <v>Santosh Labour Services</v>
          </cell>
          <cell r="F449"/>
        </row>
        <row r="450">
          <cell r="A450" t="str">
            <v>SAR Overseas Ltd.</v>
          </cell>
          <cell r="F450"/>
        </row>
        <row r="451">
          <cell r="A451" t="str">
            <v>Satguru Enterprises</v>
          </cell>
          <cell r="F451"/>
        </row>
        <row r="452">
          <cell r="A452" t="str">
            <v>Satyam Stationery Mart</v>
          </cell>
          <cell r="F452"/>
        </row>
        <row r="453">
          <cell r="A453" t="str">
            <v>Satyendra Packaging Limited - Bopp Division</v>
          </cell>
          <cell r="F453"/>
        </row>
        <row r="454">
          <cell r="A454" t="str">
            <v>Saurabh Enterprise</v>
          </cell>
          <cell r="F454"/>
        </row>
        <row r="455">
          <cell r="A455" t="str">
            <v>Security Deposit - UGVCL</v>
          </cell>
          <cell r="F455"/>
        </row>
        <row r="456">
          <cell r="A456" t="str">
            <v>Security Expenses</v>
          </cell>
          <cell r="F456"/>
        </row>
        <row r="457">
          <cell r="A457" t="str">
            <v>SGST Input</v>
          </cell>
          <cell r="F457"/>
        </row>
        <row r="458">
          <cell r="A458" t="str">
            <v>SGST Output A/c</v>
          </cell>
          <cell r="F458"/>
        </row>
        <row r="459">
          <cell r="A459" t="str">
            <v>Share Premium Account</v>
          </cell>
          <cell r="F459"/>
        </row>
        <row r="460">
          <cell r="A460" t="str">
            <v>Sheetal Engineering Services</v>
          </cell>
          <cell r="F460"/>
        </row>
        <row r="461">
          <cell r="A461" t="str">
            <v>Shiv Enterprise - 24BMMPC3374E1ZA</v>
          </cell>
          <cell r="F461"/>
        </row>
        <row r="462">
          <cell r="A462" t="str">
            <v>Shiv Enterprise - 24CNIPS9979P1ZL</v>
          </cell>
          <cell r="F462"/>
        </row>
        <row r="463">
          <cell r="A463" t="str">
            <v>Shiv Shakti Metal</v>
          </cell>
          <cell r="F463"/>
        </row>
        <row r="464">
          <cell r="A464" t="str">
            <v>Shivam Traders - Sales (24AGUPS9760R1ZZ)</v>
          </cell>
          <cell r="F464"/>
        </row>
        <row r="465">
          <cell r="A465" t="str">
            <v>Shivpurna International</v>
          </cell>
          <cell r="F465"/>
        </row>
        <row r="466">
          <cell r="A466" t="str">
            <v>Shree Balaji Enterprise - Kalol</v>
          </cell>
          <cell r="F466"/>
        </row>
        <row r="467">
          <cell r="A467" t="str">
            <v>Shree Bankey Bihari Enterprises</v>
          </cell>
          <cell r="F467"/>
        </row>
        <row r="468">
          <cell r="A468" t="str">
            <v>Shree Brhm Corporation.</v>
          </cell>
          <cell r="F468"/>
        </row>
        <row r="469">
          <cell r="A469" t="str">
            <v>Shree Fire Engineers</v>
          </cell>
          <cell r="F469"/>
        </row>
        <row r="470">
          <cell r="A470" t="str">
            <v>Shree Ganesh Associates</v>
          </cell>
          <cell r="F470"/>
        </row>
        <row r="471">
          <cell r="A471" t="str">
            <v>Shree Industries</v>
          </cell>
          <cell r="F471"/>
        </row>
        <row r="472">
          <cell r="A472" t="str">
            <v>Shree Mundeswari Corporation</v>
          </cell>
          <cell r="F472"/>
        </row>
        <row r="473">
          <cell r="A473" t="str">
            <v>Shree Ram Enterprise - Ahmedabad</v>
          </cell>
          <cell r="F473"/>
        </row>
        <row r="474">
          <cell r="A474" t="str">
            <v>Shree Rang Packaging</v>
          </cell>
          <cell r="F474"/>
        </row>
        <row r="475">
          <cell r="A475" t="str">
            <v>Shree Renuka Sugars Limited</v>
          </cell>
          <cell r="F475"/>
        </row>
        <row r="476">
          <cell r="A476" t="str">
            <v>Shree Sai Occupational Health Care</v>
          </cell>
          <cell r="F476"/>
        </row>
        <row r="477">
          <cell r="A477" t="str">
            <v>Shree Shyam Minerals</v>
          </cell>
          <cell r="F477"/>
        </row>
        <row r="478">
          <cell r="A478" t="str">
            <v>Shree Umiya Electricals (Mahesana)</v>
          </cell>
          <cell r="F478"/>
        </row>
        <row r="479">
          <cell r="A479" t="str">
            <v>Shreeji Marketing Corporation</v>
          </cell>
          <cell r="F479"/>
        </row>
        <row r="480">
          <cell r="A480" t="str">
            <v>Shri Lalshah Papers Pvt Ltd</v>
          </cell>
          <cell r="F480"/>
        </row>
        <row r="481">
          <cell r="A481" t="str">
            <v>Shri Nath Industries, Rajasthan</v>
          </cell>
          <cell r="F481"/>
        </row>
        <row r="482">
          <cell r="A482" t="str">
            <v>Shrinathji Stores</v>
          </cell>
          <cell r="F482"/>
        </row>
        <row r="483">
          <cell r="A483" t="str">
            <v>Shubham Roadlines</v>
          </cell>
          <cell r="F483"/>
        </row>
        <row r="484">
          <cell r="A484" t="str">
            <v>Sigma Air Source</v>
          </cell>
          <cell r="F484"/>
        </row>
        <row r="485">
          <cell r="A485" t="str">
            <v>Soveer Shivram Singh</v>
          </cell>
          <cell r="F485"/>
        </row>
        <row r="486">
          <cell r="A486" t="str">
            <v>Spectrum Lubricants Private Limited</v>
          </cell>
          <cell r="F486"/>
        </row>
        <row r="487">
          <cell r="A487" t="str">
            <v>Sraddha Enterprise</v>
          </cell>
          <cell r="F487"/>
        </row>
        <row r="488">
          <cell r="A488" t="str">
            <v>Staff Loan</v>
          </cell>
          <cell r="F488"/>
        </row>
        <row r="489">
          <cell r="A489" t="str">
            <v>Staff Welfare Expense</v>
          </cell>
          <cell r="F489"/>
        </row>
        <row r="490">
          <cell r="A490" t="str">
            <v>Stamp Duty Expense</v>
          </cell>
          <cell r="F490"/>
        </row>
        <row r="491">
          <cell r="A491" t="str">
            <v>Starlinger &amp; Co. GmbH</v>
          </cell>
          <cell r="F491"/>
        </row>
        <row r="492">
          <cell r="A492" t="str">
            <v>Stinolex Engineers Llp</v>
          </cell>
          <cell r="F492"/>
        </row>
        <row r="493">
          <cell r="A493" t="str">
            <v>Stock In Transit</v>
          </cell>
          <cell r="F493"/>
        </row>
        <row r="494">
          <cell r="A494" t="str">
            <v>Submarsible Pump</v>
          </cell>
          <cell r="F494"/>
        </row>
        <row r="495">
          <cell r="A495" t="str">
            <v>Sudarshan Shukla</v>
          </cell>
          <cell r="F495"/>
        </row>
        <row r="496">
          <cell r="A496" t="str">
            <v>Sumaya Polyplast Private Limited</v>
          </cell>
          <cell r="F496"/>
        </row>
        <row r="497">
          <cell r="A497" t="str">
            <v>Sumiran Masterbatch Private Limited</v>
          </cell>
          <cell r="F497"/>
        </row>
        <row r="498">
          <cell r="A498" t="str">
            <v>Sunpackaging Company S.A.O.C</v>
          </cell>
          <cell r="F498"/>
        </row>
        <row r="499">
          <cell r="A499" t="str">
            <v>Surya Enterprise</v>
          </cell>
          <cell r="F499"/>
        </row>
        <row r="500">
          <cell r="A500" t="str">
            <v>Suspense A/c</v>
          </cell>
          <cell r="F500"/>
        </row>
        <row r="501">
          <cell r="A501" t="str">
            <v>Tape Plant (Lohia)</v>
          </cell>
          <cell r="F501"/>
        </row>
        <row r="502">
          <cell r="A502" t="str">
            <v>Tashkent Oil Company Pvt Ltd</v>
          </cell>
          <cell r="F502"/>
        </row>
        <row r="503">
          <cell r="A503" t="str">
            <v>TCS On Purchase 20-21</v>
          </cell>
          <cell r="F503"/>
        </row>
        <row r="504">
          <cell r="A504" t="str">
            <v>TCS On Purchase 21-22</v>
          </cell>
          <cell r="F504"/>
        </row>
        <row r="505">
          <cell r="A505" t="str">
            <v>TCS on Sales 20-21</v>
          </cell>
          <cell r="F505"/>
        </row>
        <row r="506">
          <cell r="A506" t="str">
            <v>TCS On Sales 21-22</v>
          </cell>
          <cell r="F506"/>
        </row>
        <row r="507">
          <cell r="A507" t="str">
            <v>TCS On Sales 22-23</v>
          </cell>
          <cell r="F507"/>
        </row>
        <row r="508">
          <cell r="A508" t="str">
            <v>TCS On Sales 23-24</v>
          </cell>
          <cell r="F508"/>
        </row>
        <row r="509">
          <cell r="A509" t="str">
            <v>TDS -192 (Salary)</v>
          </cell>
          <cell r="F509"/>
        </row>
        <row r="510">
          <cell r="A510" t="str">
            <v>TDS -194A (Interest)</v>
          </cell>
          <cell r="F510"/>
        </row>
        <row r="511">
          <cell r="A511" t="str">
            <v>TDS -194C (Contractor)</v>
          </cell>
          <cell r="F511"/>
        </row>
        <row r="512">
          <cell r="A512" t="str">
            <v>TDS -194H (Commission)</v>
          </cell>
          <cell r="F512"/>
        </row>
        <row r="513">
          <cell r="A513" t="str">
            <v>TDS -194I (Rent)</v>
          </cell>
          <cell r="F513"/>
        </row>
        <row r="514">
          <cell r="A514" t="str">
            <v>TDS -194J (Professional)</v>
          </cell>
          <cell r="F514"/>
        </row>
        <row r="515">
          <cell r="A515" t="str">
            <v>TDS -194Q (Goods)</v>
          </cell>
          <cell r="F515"/>
        </row>
        <row r="516">
          <cell r="A516" t="str">
            <v>TDS Payable U/S 194</v>
          </cell>
          <cell r="F516"/>
        </row>
        <row r="517">
          <cell r="A517" t="str">
            <v>TDS Receivable 2020-21</v>
          </cell>
          <cell r="F517"/>
        </row>
        <row r="518">
          <cell r="A518" t="str">
            <v>TDS Receivable 2021-22</v>
          </cell>
          <cell r="F518"/>
        </row>
        <row r="519">
          <cell r="A519" t="str">
            <v>TDS Receivable 2022-23</v>
          </cell>
          <cell r="F519"/>
        </row>
        <row r="520">
          <cell r="A520" t="str">
            <v>TDS Receivable 2023-24</v>
          </cell>
          <cell r="F520"/>
        </row>
        <row r="521">
          <cell r="A521" t="str">
            <v>Technobeat Engineers</v>
          </cell>
          <cell r="F521"/>
        </row>
        <row r="522">
          <cell r="A522" t="str">
            <v>Technobrain Engineering LLP</v>
          </cell>
          <cell r="F522"/>
        </row>
        <row r="523">
          <cell r="A523" t="str">
            <v>Testing Charges</v>
          </cell>
          <cell r="F523"/>
        </row>
        <row r="524">
          <cell r="A524" t="str">
            <v>Thakor Rameshji</v>
          </cell>
          <cell r="F524"/>
        </row>
        <row r="525">
          <cell r="A525" t="str">
            <v>The New India Assurance Co. Ltd</v>
          </cell>
          <cell r="F525"/>
        </row>
        <row r="526">
          <cell r="A526" t="str">
            <v>The Seksaria Biswan Sugar Factory LTD</v>
          </cell>
          <cell r="F526"/>
        </row>
        <row r="527">
          <cell r="A527" t="str">
            <v>Tirupati Enterprise</v>
          </cell>
          <cell r="F527"/>
        </row>
        <row r="528">
          <cell r="A528" t="str">
            <v>Transformer</v>
          </cell>
          <cell r="F528"/>
        </row>
        <row r="529">
          <cell r="A529" t="str">
            <v>Tritha Graphics</v>
          </cell>
          <cell r="F529"/>
        </row>
        <row r="530">
          <cell r="A530" t="str">
            <v>Unclaimed CGST</v>
          </cell>
          <cell r="F530"/>
        </row>
        <row r="531">
          <cell r="A531" t="str">
            <v>Unclaimed IGST</v>
          </cell>
          <cell r="F531"/>
        </row>
        <row r="532">
          <cell r="A532" t="str">
            <v>Unclaimed SGST</v>
          </cell>
          <cell r="F532"/>
        </row>
        <row r="533">
          <cell r="A533" t="str">
            <v>Unique Techno Services Pvt Ltd</v>
          </cell>
          <cell r="F533"/>
        </row>
        <row r="534">
          <cell r="A534" t="str">
            <v>Universal Pipe Traders</v>
          </cell>
          <cell r="F534"/>
        </row>
        <row r="535">
          <cell r="A535" t="str">
            <v>Utkarsh Plastic Packaging</v>
          </cell>
          <cell r="F535"/>
        </row>
        <row r="536">
          <cell r="A536" t="str">
            <v>Uttar Gujarat Vij Company Ltd</v>
          </cell>
          <cell r="F536"/>
        </row>
        <row r="537">
          <cell r="A537" t="str">
            <v>Vanzara Mukeshbhai Dahyaji</v>
          </cell>
          <cell r="F537"/>
        </row>
        <row r="538">
          <cell r="A538" t="str">
            <v>VAT Refund/ Receivable</v>
          </cell>
          <cell r="F538"/>
        </row>
        <row r="539">
          <cell r="A539" t="str">
            <v>VAT Tuff Subsidy</v>
          </cell>
          <cell r="F539"/>
        </row>
        <row r="540">
          <cell r="A540" t="str">
            <v>Vehicle</v>
          </cell>
          <cell r="F540"/>
        </row>
        <row r="541">
          <cell r="A541" t="str">
            <v>Vijay Weigh Bridge</v>
          </cell>
          <cell r="F541"/>
        </row>
        <row r="542">
          <cell r="A542" t="str">
            <v>Vikas Scrap Enterprise</v>
          </cell>
          <cell r="F542"/>
        </row>
        <row r="543">
          <cell r="A543" t="str">
            <v>Vikash Gautamchand Jain</v>
          </cell>
          <cell r="F543"/>
        </row>
        <row r="544">
          <cell r="A544" t="str">
            <v>Vishal Engineering And Fabricators</v>
          </cell>
          <cell r="F544"/>
        </row>
        <row r="545">
          <cell r="A545" t="str">
            <v>Vital Polypack</v>
          </cell>
          <cell r="F545"/>
        </row>
        <row r="546">
          <cell r="A546" t="str">
            <v>Vital Polypack-Purchase</v>
          </cell>
          <cell r="F546"/>
        </row>
        <row r="547">
          <cell r="A547" t="str">
            <v>Vodafone Idea Limited</v>
          </cell>
          <cell r="F547"/>
        </row>
        <row r="548">
          <cell r="A548" t="str">
            <v>V-Trans (India) Ltd. - Gujarat</v>
          </cell>
          <cell r="F548"/>
        </row>
        <row r="549">
          <cell r="A549" t="str">
            <v>Vyankatesh Udyog (I) Pvt Ltd - Purchase</v>
          </cell>
          <cell r="F549"/>
        </row>
        <row r="550">
          <cell r="A550" t="str">
            <v>Weighment Expense</v>
          </cell>
          <cell r="F550"/>
        </row>
        <row r="551">
          <cell r="A551" t="str">
            <v>Weightment Scale</v>
          </cell>
          <cell r="F551"/>
        </row>
        <row r="552">
          <cell r="A552" t="str">
            <v>Yogeswar Traders</v>
          </cell>
          <cell r="F552"/>
        </row>
        <row r="553">
          <cell r="A553" t="str">
            <v>Zighra Logistics Pvt. Ltd.</v>
          </cell>
          <cell r="F553"/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TB-MAY-23"/>
      <sheetName val="Provision"/>
      <sheetName val="Sheet1"/>
      <sheetName val="Master"/>
      <sheetName val="TB"/>
      <sheetName val="TB BS"/>
      <sheetName val="Stock"/>
      <sheetName val="Stock Movement Sheet"/>
      <sheetName val="Label Div"/>
    </sheetNames>
    <sheetDataSet>
      <sheetData sheetId="0"/>
      <sheetData sheetId="1">
        <row r="1">
          <cell r="A1" t="str">
            <v>HCP Plastene Bulkpack Limited (Unit-2)</v>
          </cell>
        </row>
        <row r="2">
          <cell r="A2" t="str">
            <v>Label Division</v>
          </cell>
        </row>
        <row r="3">
          <cell r="A3" t="str">
            <v>Trial Balance as on 31st May, 2023</v>
          </cell>
        </row>
        <row r="5">
          <cell r="F5">
            <v>991049.12</v>
          </cell>
        </row>
        <row r="6">
          <cell r="A6" t="str">
            <v>Perticular</v>
          </cell>
          <cell r="F6" t="str">
            <v>Provision</v>
          </cell>
        </row>
        <row r="7">
          <cell r="A7" t="str">
            <v>A R Fashion</v>
          </cell>
        </row>
        <row r="8">
          <cell r="A8" t="str">
            <v>Aadishwar Apparels</v>
          </cell>
        </row>
        <row r="9">
          <cell r="A9" t="str">
            <v>Aakar Carbonic Gases Pvt Ltd</v>
          </cell>
        </row>
        <row r="10">
          <cell r="A10" t="str">
            <v>Aaradhya Enterprises</v>
          </cell>
        </row>
        <row r="11">
          <cell r="A11" t="str">
            <v>Aarya Clothing Culture LLP</v>
          </cell>
        </row>
        <row r="12">
          <cell r="A12" t="str">
            <v>Aburaj Collection</v>
          </cell>
        </row>
        <row r="13">
          <cell r="A13" t="str">
            <v>Advance for Travel &amp; Others</v>
          </cell>
        </row>
        <row r="14">
          <cell r="A14" t="str">
            <v>Advance Salary Paid</v>
          </cell>
        </row>
        <row r="15">
          <cell r="A15" t="str">
            <v>Agarwal Apparels</v>
          </cell>
        </row>
        <row r="16">
          <cell r="A16" t="str">
            <v>Air Conditioners</v>
          </cell>
        </row>
        <row r="17">
          <cell r="A17" t="str">
            <v>Akshar Nx Digital Pvt Ltd</v>
          </cell>
        </row>
        <row r="18">
          <cell r="A18" t="str">
            <v>Allowance - Books &amp; Periodicals</v>
          </cell>
        </row>
        <row r="19">
          <cell r="A19" t="str">
            <v>Allowance - Canteen</v>
          </cell>
        </row>
        <row r="20">
          <cell r="A20" t="str">
            <v>Allowance - House Rent</v>
          </cell>
        </row>
        <row r="21">
          <cell r="A21" t="str">
            <v>Allowance - Leave Travels</v>
          </cell>
        </row>
        <row r="22">
          <cell r="A22" t="str">
            <v>Allowance - Medical</v>
          </cell>
        </row>
        <row r="23">
          <cell r="A23" t="str">
            <v>Allowance - Other</v>
          </cell>
        </row>
        <row r="24">
          <cell r="A24" t="str">
            <v>Allowance - Transport</v>
          </cell>
        </row>
        <row r="25">
          <cell r="A25" t="str">
            <v>Allowance - Uniform / Attire</v>
          </cell>
        </row>
        <row r="26">
          <cell r="A26" t="str">
            <v>Allowance - Washing</v>
          </cell>
        </row>
        <row r="27">
          <cell r="A27" t="str">
            <v>Ankur Accessories</v>
          </cell>
        </row>
        <row r="28">
          <cell r="A28" t="str">
            <v>Anukripa Appreals</v>
          </cell>
        </row>
        <row r="29">
          <cell r="A29" t="str">
            <v>Apple Garment</v>
          </cell>
        </row>
        <row r="30">
          <cell r="A30" t="str">
            <v>Arihant Enterprise-24BVJPS2651A1ZT</v>
          </cell>
        </row>
        <row r="31">
          <cell r="A31" t="str">
            <v>Ashapura Engineering</v>
          </cell>
        </row>
        <row r="32">
          <cell r="A32" t="str">
            <v>Ashirwad Infocom</v>
          </cell>
        </row>
        <row r="33">
          <cell r="A33" t="str">
            <v>Avee Electro Engineers</v>
          </cell>
        </row>
        <row r="34">
          <cell r="A34" t="str">
            <v>Avee Marketing</v>
          </cell>
        </row>
        <row r="35">
          <cell r="A35" t="str">
            <v>Balance Written Back Income</v>
          </cell>
        </row>
        <row r="36">
          <cell r="A36" t="str">
            <v>Bank Ca BOB 29390200001047</v>
          </cell>
        </row>
        <row r="37">
          <cell r="A37" t="str">
            <v>Bank CA KOTAK 2146095735</v>
          </cell>
        </row>
        <row r="38">
          <cell r="A38" t="str">
            <v>Bindass Apparels Private Limited</v>
          </cell>
        </row>
        <row r="39">
          <cell r="A39" t="str">
            <v>Bonus Expense</v>
          </cell>
          <cell r="F39">
            <v>77912</v>
          </cell>
        </row>
        <row r="40">
          <cell r="A40" t="str">
            <v>Branch Transfer In - Raw Material</v>
          </cell>
        </row>
        <row r="41">
          <cell r="A41" t="str">
            <v>Can Accessories</v>
          </cell>
        </row>
        <row r="42">
          <cell r="A42" t="str">
            <v>Canteen Expense - Factory</v>
          </cell>
        </row>
        <row r="43">
          <cell r="A43" t="str">
            <v>Cash in Hand-Factory</v>
          </cell>
        </row>
        <row r="44">
          <cell r="A44" t="str">
            <v>Cash in Hand-HO</v>
          </cell>
        </row>
        <row r="45">
          <cell r="A45" t="str">
            <v>CGST INPUT</v>
          </cell>
        </row>
        <row r="46">
          <cell r="A46" t="str">
            <v>CGST Output A/c</v>
          </cell>
        </row>
        <row r="47">
          <cell r="A47" t="str">
            <v>Chandan Garments</v>
          </cell>
        </row>
        <row r="48">
          <cell r="A48" t="str">
            <v>Clock Work International Courier</v>
          </cell>
        </row>
        <row r="49">
          <cell r="A49" t="str">
            <v>Computers &amp; Printers</v>
          </cell>
        </row>
        <row r="50">
          <cell r="A50" t="str">
            <v>Conveyance Expenses</v>
          </cell>
        </row>
        <row r="51">
          <cell r="A51" t="str">
            <v>D R Shah &amp; Co</v>
          </cell>
        </row>
        <row r="52">
          <cell r="A52" t="str">
            <v>D. D. Enterprises</v>
          </cell>
        </row>
        <row r="53">
          <cell r="A53" t="str">
            <v>Darbar Jitendrakumar Babubhai</v>
          </cell>
        </row>
        <row r="54">
          <cell r="A54" t="str">
            <v>DH Enterprises</v>
          </cell>
        </row>
        <row r="55">
          <cell r="A55" t="str">
            <v>Dhanlaxmi Hosiery</v>
          </cell>
        </row>
        <row r="56">
          <cell r="A56" t="str">
            <v>Dharangiya Samatbhai Kamabhai</v>
          </cell>
        </row>
        <row r="57">
          <cell r="A57" t="str">
            <v>Diyu Fashion</v>
          </cell>
        </row>
        <row r="58">
          <cell r="A58" t="str">
            <v>Electrical Expense</v>
          </cell>
        </row>
        <row r="59">
          <cell r="A59" t="str">
            <v>Electrical Installation</v>
          </cell>
        </row>
        <row r="60">
          <cell r="A60" t="str">
            <v>Employees Contribution to ESI</v>
          </cell>
        </row>
        <row r="61">
          <cell r="A61" t="str">
            <v>Employees Contribution to PF - Factory</v>
          </cell>
        </row>
        <row r="62">
          <cell r="A62" t="str">
            <v>Factory Building</v>
          </cell>
        </row>
        <row r="63">
          <cell r="A63" t="str">
            <v>Fashion Street</v>
          </cell>
        </row>
        <row r="64">
          <cell r="A64" t="str">
            <v>Freight Inward Expense (RCM)</v>
          </cell>
        </row>
        <row r="65">
          <cell r="A65" t="str">
            <v>Freight Inward Expense (With GST)</v>
          </cell>
        </row>
        <row r="66">
          <cell r="A66" t="str">
            <v>Full &amp; Final Settlement Payable</v>
          </cell>
        </row>
        <row r="67">
          <cell r="A67" t="str">
            <v>Furniture &amp; Fixtures</v>
          </cell>
        </row>
        <row r="68">
          <cell r="A68" t="str">
            <v>Galaxy Heat Products</v>
          </cell>
        </row>
        <row r="69">
          <cell r="A69" t="str">
            <v>General Reserve</v>
          </cell>
        </row>
        <row r="70">
          <cell r="A70" t="str">
            <v>Goldy Creation</v>
          </cell>
        </row>
        <row r="71">
          <cell r="A71" t="str">
            <v>Gopala Polyplast Limited - ICD</v>
          </cell>
        </row>
        <row r="72">
          <cell r="A72" t="str">
            <v>Gopala Polyplast Ltd -For Gst Balance Only</v>
          </cell>
        </row>
        <row r="73">
          <cell r="A73" t="str">
            <v>Guru Marketing</v>
          </cell>
        </row>
        <row r="74">
          <cell r="A74" t="str">
            <v>H R Enterprise</v>
          </cell>
        </row>
        <row r="75">
          <cell r="A75" t="str">
            <v>Harsiddh Engineers</v>
          </cell>
        </row>
        <row r="76">
          <cell r="A76" t="str">
            <v>Harsiddhi Creation</v>
          </cell>
        </row>
        <row r="77">
          <cell r="A77" t="str">
            <v>HCP Plastene Bulkpack Limited - For Gst Only</v>
          </cell>
        </row>
        <row r="78">
          <cell r="A78" t="str">
            <v>HCP Plastene Bulkpack Limited - ICD</v>
          </cell>
        </row>
        <row r="79">
          <cell r="A79" t="str">
            <v>HCP Plastene Bulkpack Limited - Purchase</v>
          </cell>
        </row>
        <row r="80">
          <cell r="A80" t="str">
            <v>HCP Plastene Bulkpack Limited - Sales</v>
          </cell>
        </row>
        <row r="81">
          <cell r="A81" t="str">
            <v>Hicare Services Pvt Ltd</v>
          </cell>
        </row>
        <row r="82">
          <cell r="A82" t="str">
            <v>Himatlal Mohanlal Shah</v>
          </cell>
        </row>
        <row r="83">
          <cell r="A83" t="str">
            <v>Hindustan Clothing Company</v>
          </cell>
        </row>
        <row r="84">
          <cell r="A84" t="str">
            <v>Hussaini Creation Private Limited</v>
          </cell>
        </row>
        <row r="85">
          <cell r="A85" t="str">
            <v>IGST Input</v>
          </cell>
        </row>
        <row r="86">
          <cell r="A86" t="str">
            <v>IGST Output A/c</v>
          </cell>
        </row>
        <row r="87">
          <cell r="A87" t="str">
            <v>Incentive Expense - Attendence</v>
          </cell>
        </row>
        <row r="88">
          <cell r="A88" t="str">
            <v>Internal Transportation Expense / Reimbursement</v>
          </cell>
        </row>
        <row r="89">
          <cell r="A89" t="str">
            <v>Inventory- Fg</v>
          </cell>
        </row>
        <row r="90">
          <cell r="A90" t="str">
            <v>Inventory- Raw Material</v>
          </cell>
        </row>
        <row r="91">
          <cell r="A91" t="str">
            <v>Inventory- Stores &amp; Spares</v>
          </cell>
        </row>
        <row r="92">
          <cell r="A92" t="str">
            <v>Inventory- Wip</v>
          </cell>
        </row>
        <row r="93">
          <cell r="A93" t="str">
            <v>J K Enterprise - 24AMWPP2570N2Z8</v>
          </cell>
        </row>
        <row r="94">
          <cell r="A94" t="str">
            <v>J.C.Corporation</v>
          </cell>
        </row>
        <row r="95">
          <cell r="A95" t="str">
            <v>Jagrav Enterprises</v>
          </cell>
        </row>
        <row r="96">
          <cell r="A96" t="str">
            <v>Jain Hitex Creation Private Limited</v>
          </cell>
        </row>
        <row r="97">
          <cell r="A97" t="str">
            <v>Jainshree Garments</v>
          </cell>
        </row>
        <row r="98">
          <cell r="A98" t="str">
            <v>Jay Enterprise</v>
          </cell>
        </row>
        <row r="99">
          <cell r="A99" t="str">
            <v>Jay Enterprise - 24AHQPR6851B2Z4</v>
          </cell>
        </row>
        <row r="100">
          <cell r="A100" t="str">
            <v>Jinansh General Trading Co</v>
          </cell>
        </row>
        <row r="101">
          <cell r="A101" t="str">
            <v>Job Charges</v>
          </cell>
        </row>
        <row r="102">
          <cell r="A102" t="str">
            <v>K M Clothing Co</v>
          </cell>
        </row>
        <row r="103">
          <cell r="A103" t="str">
            <v>K S Enterprise</v>
          </cell>
        </row>
        <row r="104">
          <cell r="A104" t="str">
            <v>K.K. Apparels</v>
          </cell>
        </row>
        <row r="105">
          <cell r="A105" t="str">
            <v>Karlex Fashion</v>
          </cell>
        </row>
        <row r="106">
          <cell r="A106" t="str">
            <v>Kavya Fashion</v>
          </cell>
        </row>
        <row r="107">
          <cell r="A107" t="str">
            <v>Khema Ram</v>
          </cell>
        </row>
        <row r="108">
          <cell r="A108" t="str">
            <v>Krishna Apparels</v>
          </cell>
        </row>
        <row r="109">
          <cell r="A109" t="str">
            <v>Krishna Corporation - Ahmedabad</v>
          </cell>
        </row>
        <row r="110">
          <cell r="A110" t="str">
            <v>KTF Fashion Pvt Ltd</v>
          </cell>
        </row>
        <row r="111">
          <cell r="A111" t="str">
            <v>Label Cutting And Folding Machine</v>
          </cell>
        </row>
        <row r="112">
          <cell r="A112" t="str">
            <v>Labour Charges</v>
          </cell>
          <cell r="F112">
            <v>72860</v>
          </cell>
        </row>
        <row r="113">
          <cell r="A113" t="str">
            <v>Lodha Impex</v>
          </cell>
        </row>
        <row r="114">
          <cell r="A114" t="str">
            <v>M G Mehta And Sons - Sales</v>
          </cell>
        </row>
        <row r="115">
          <cell r="A115" t="str">
            <v>M. K. Uniforms</v>
          </cell>
        </row>
        <row r="116">
          <cell r="A116" t="str">
            <v>M.B. Sales Corporation</v>
          </cell>
        </row>
        <row r="117">
          <cell r="A117" t="str">
            <v>M.V. Creation</v>
          </cell>
        </row>
        <row r="118">
          <cell r="A118" t="str">
            <v>Madhukar Fabrics</v>
          </cell>
        </row>
        <row r="119">
          <cell r="A119" t="str">
            <v>Mahaveer Garments</v>
          </cell>
        </row>
        <row r="120">
          <cell r="A120" t="str">
            <v>Mahek Trading Co</v>
          </cell>
        </row>
        <row r="121">
          <cell r="A121" t="str">
            <v>Mallinath Impex</v>
          </cell>
        </row>
        <row r="122">
          <cell r="A122" t="str">
            <v>Mallinath Impex - Purchase</v>
          </cell>
        </row>
        <row r="123">
          <cell r="A123" t="str">
            <v>Malwa Enterprises</v>
          </cell>
        </row>
        <row r="124">
          <cell r="A124" t="str">
            <v>Mamta Textile</v>
          </cell>
        </row>
        <row r="125">
          <cell r="A125" t="str">
            <v>Mansuri Moammar</v>
          </cell>
        </row>
        <row r="126">
          <cell r="A126" t="str">
            <v>Manubhai Patel - URD</v>
          </cell>
        </row>
        <row r="127">
          <cell r="A127" t="str">
            <v>Mata Rani Texofin</v>
          </cell>
        </row>
        <row r="128">
          <cell r="A128" t="str">
            <v>Meenakshi Textiles Limited</v>
          </cell>
        </row>
        <row r="129">
          <cell r="A129" t="str">
            <v>Meet Fashion</v>
          </cell>
        </row>
        <row r="130">
          <cell r="A130" t="str">
            <v>Mikado Fashion Zone</v>
          </cell>
        </row>
        <row r="131">
          <cell r="A131" t="str">
            <v>Miscellaneous Expense</v>
          </cell>
        </row>
        <row r="132">
          <cell r="A132" t="str">
            <v>Mutha Labels Corporation</v>
          </cell>
        </row>
        <row r="133">
          <cell r="A133" t="str">
            <v>Mutha Labels Corporation - Purchase</v>
          </cell>
        </row>
        <row r="134">
          <cell r="A134" t="str">
            <v>Navdeep Garments</v>
          </cell>
        </row>
        <row r="135">
          <cell r="A135" t="str">
            <v>Neha Enterprise</v>
          </cell>
        </row>
        <row r="136">
          <cell r="A136" t="str">
            <v>Neha Labels</v>
          </cell>
        </row>
        <row r="137">
          <cell r="A137" t="str">
            <v>New Noble Garments</v>
          </cell>
        </row>
        <row r="138">
          <cell r="A138" t="str">
            <v>Nidhi Enterprise</v>
          </cell>
        </row>
        <row r="139">
          <cell r="A139" t="str">
            <v>Nikhil Industries</v>
          </cell>
        </row>
        <row r="140">
          <cell r="A140" t="str">
            <v>Nikhil Printers</v>
          </cell>
        </row>
        <row r="141">
          <cell r="A141" t="str">
            <v>Office Equipments</v>
          </cell>
        </row>
        <row r="142">
          <cell r="A142" t="str">
            <v>Omni Wears</v>
          </cell>
        </row>
        <row r="143">
          <cell r="A143" t="str">
            <v>Optimum Outwear Pvt. Ltd.</v>
          </cell>
        </row>
        <row r="144">
          <cell r="A144" t="str">
            <v>Other Deduction</v>
          </cell>
        </row>
        <row r="145">
          <cell r="A145" t="str">
            <v>P R Creation</v>
          </cell>
        </row>
        <row r="146">
          <cell r="A146" t="str">
            <v>P.F. Admin. Charge</v>
          </cell>
        </row>
        <row r="147">
          <cell r="A147" t="str">
            <v>P.F. Contribution - Employer</v>
          </cell>
          <cell r="F147">
            <v>23100</v>
          </cell>
        </row>
        <row r="148">
          <cell r="A148" t="str">
            <v>Parshv Labels Private Limited</v>
          </cell>
        </row>
        <row r="149">
          <cell r="A149" t="str">
            <v>Parshvanath Creation</v>
          </cell>
        </row>
        <row r="150">
          <cell r="A150" t="str">
            <v>Parshwa Creation</v>
          </cell>
        </row>
        <row r="151">
          <cell r="A151" t="str">
            <v>Parumaa Creation</v>
          </cell>
        </row>
        <row r="152">
          <cell r="A152" t="str">
            <v>Plant &amp; Machinery</v>
          </cell>
        </row>
        <row r="153">
          <cell r="A153" t="str">
            <v>Postage &amp; Courier Expense</v>
          </cell>
        </row>
        <row r="154">
          <cell r="A154" t="str">
            <v>Power Expense</v>
          </cell>
          <cell r="F154">
            <v>323870.12</v>
          </cell>
        </row>
        <row r="155">
          <cell r="A155" t="str">
            <v>Pratibha Syntex Limited</v>
          </cell>
        </row>
        <row r="156">
          <cell r="A156" t="str">
            <v>Professional Tax Liability A/c</v>
          </cell>
        </row>
        <row r="157">
          <cell r="A157" t="str">
            <v>Profit And Loss Account</v>
          </cell>
        </row>
        <row r="158">
          <cell r="A158" t="str">
            <v>Provident Fund Payable</v>
          </cell>
        </row>
        <row r="159">
          <cell r="A159" t="str">
            <v>Provision For Depreciation</v>
          </cell>
        </row>
        <row r="160">
          <cell r="A160" t="str">
            <v>Provision For Expenses</v>
          </cell>
        </row>
        <row r="161">
          <cell r="A161" t="str">
            <v>Purchase Interstate - Raw Material</v>
          </cell>
        </row>
        <row r="162">
          <cell r="A162" t="str">
            <v>Purchase Withinstate - Raw Material</v>
          </cell>
        </row>
        <row r="163">
          <cell r="A163" t="str">
            <v>Purchase Withinstate- Stores, Spares &amp; Consumable</v>
          </cell>
        </row>
        <row r="164">
          <cell r="A164" t="str">
            <v>R D Shah And Company</v>
          </cell>
        </row>
        <row r="165">
          <cell r="A165" t="str">
            <v>R S Creation</v>
          </cell>
        </row>
        <row r="166">
          <cell r="A166" t="str">
            <v>Raghaw Creations Pvt Ltd</v>
          </cell>
        </row>
        <row r="167">
          <cell r="A167" t="str">
            <v>Rajbahadur K. Jaiswal</v>
          </cell>
        </row>
        <row r="168">
          <cell r="A168" t="str">
            <v>Rent Expense - Colony</v>
          </cell>
        </row>
        <row r="169">
          <cell r="A169" t="str">
            <v>Repairs &amp; Maintenance Exp - Plant &amp; Machinery</v>
          </cell>
          <cell r="F169">
            <v>23150</v>
          </cell>
        </row>
        <row r="170">
          <cell r="A170" t="str">
            <v>Riddhi Creation</v>
          </cell>
        </row>
        <row r="171">
          <cell r="A171" t="str">
            <v>Rohit Bhatt</v>
          </cell>
        </row>
        <row r="172">
          <cell r="A172" t="str">
            <v>Ronit Creation</v>
          </cell>
        </row>
        <row r="173">
          <cell r="A173" t="str">
            <v>Roop Shree</v>
          </cell>
        </row>
        <row r="174">
          <cell r="A174" t="str">
            <v>Round Off</v>
          </cell>
        </row>
        <row r="175">
          <cell r="A175" t="str">
            <v>Round Off - Purchases</v>
          </cell>
        </row>
        <row r="176">
          <cell r="A176" t="str">
            <v>Salaries Expense</v>
          </cell>
          <cell r="F176">
            <v>470157</v>
          </cell>
        </row>
        <row r="177">
          <cell r="A177" t="str">
            <v>Salary &amp; Wages Payable</v>
          </cell>
        </row>
        <row r="178">
          <cell r="A178" t="str">
            <v>Sales - Interstate - Manufactured Goods</v>
          </cell>
        </row>
        <row r="179">
          <cell r="A179" t="str">
            <v>Sales - Within State  Manufactured Goods</v>
          </cell>
        </row>
        <row r="180">
          <cell r="A180" t="str">
            <v>Sales Promotion Expense</v>
          </cell>
        </row>
        <row r="181">
          <cell r="A181" t="str">
            <v>SGST Input</v>
          </cell>
        </row>
        <row r="182">
          <cell r="A182" t="str">
            <v>SGST Output A/c</v>
          </cell>
        </row>
        <row r="183">
          <cell r="A183" t="str">
            <v>Shivay Enterprise</v>
          </cell>
        </row>
        <row r="184">
          <cell r="A184" t="str">
            <v>Shree R. Enterprises</v>
          </cell>
        </row>
        <row r="185">
          <cell r="A185" t="str">
            <v>Shree Vallabh Trading Company</v>
          </cell>
        </row>
        <row r="186">
          <cell r="A186" t="str">
            <v>Shreeji Label &amp; Tag</v>
          </cell>
        </row>
        <row r="187">
          <cell r="A187" t="str">
            <v>Shri Sai Apparels</v>
          </cell>
        </row>
        <row r="188">
          <cell r="A188" t="str">
            <v>Shyam Textile</v>
          </cell>
        </row>
        <row r="189">
          <cell r="A189" t="str">
            <v>Siddharth Manufacturing Company</v>
          </cell>
        </row>
        <row r="190">
          <cell r="A190" t="str">
            <v>Siddhi Vinayak Creations</v>
          </cell>
        </row>
        <row r="191">
          <cell r="A191" t="str">
            <v>Siddhi Vinayak Enterprises</v>
          </cell>
        </row>
        <row r="192">
          <cell r="A192" t="str">
            <v>Sigma Air Source</v>
          </cell>
        </row>
        <row r="193">
          <cell r="A193" t="str">
            <v>SNS Creations</v>
          </cell>
        </row>
        <row r="194">
          <cell r="A194" t="str">
            <v>Sonu Yadav</v>
          </cell>
        </row>
        <row r="195">
          <cell r="A195" t="str">
            <v>Staff Loan</v>
          </cell>
        </row>
        <row r="196">
          <cell r="A196" t="str">
            <v>Staff Welfare Expense</v>
          </cell>
        </row>
        <row r="197">
          <cell r="A197" t="str">
            <v>Stallino Fashion</v>
          </cell>
        </row>
        <row r="198">
          <cell r="A198" t="str">
            <v>Stock In Transit</v>
          </cell>
        </row>
        <row r="199">
          <cell r="A199" t="str">
            <v>Suchi Enterprises</v>
          </cell>
        </row>
        <row r="200">
          <cell r="A200" t="str">
            <v>Sulzer Beam Pipe</v>
          </cell>
        </row>
        <row r="201">
          <cell r="A201" t="str">
            <v>Sureshkumar And Co</v>
          </cell>
        </row>
        <row r="202">
          <cell r="A202" t="str">
            <v>Swastik Traders - 23CQCPS8542R1Z2</v>
          </cell>
        </row>
        <row r="203">
          <cell r="A203" t="str">
            <v>TCS on Sales 20-21</v>
          </cell>
        </row>
        <row r="204">
          <cell r="A204" t="str">
            <v>TCS On Sales 21-22</v>
          </cell>
        </row>
        <row r="205">
          <cell r="A205" t="str">
            <v>TDS -194C (Contractor)</v>
          </cell>
        </row>
        <row r="206">
          <cell r="A206" t="str">
            <v>TDS Receivable 2023-24</v>
          </cell>
        </row>
        <row r="207">
          <cell r="A207" t="str">
            <v>Technocraft Fashions Limited</v>
          </cell>
        </row>
        <row r="208">
          <cell r="A208" t="str">
            <v>Technocraft Industries (India) Limited</v>
          </cell>
        </row>
        <row r="209">
          <cell r="A209" t="str">
            <v>Tejumal Bachumal</v>
          </cell>
        </row>
        <row r="210">
          <cell r="A210" t="str">
            <v>Tirupati Enterprise - Mumbai</v>
          </cell>
        </row>
        <row r="211">
          <cell r="A211" t="str">
            <v>Ultrasuede Green Private Limited</v>
          </cell>
        </row>
        <row r="212">
          <cell r="A212" t="str">
            <v>V Lifestyle</v>
          </cell>
        </row>
        <row r="213">
          <cell r="A213" t="str">
            <v>Vardhaman Fabric</v>
          </cell>
        </row>
        <row r="214">
          <cell r="A214" t="str">
            <v>VDS Creations</v>
          </cell>
        </row>
        <row r="215">
          <cell r="A215" t="str">
            <v>Veritas Trims Company</v>
          </cell>
        </row>
        <row r="216">
          <cell r="A216" t="str">
            <v>Vidhya Creation</v>
          </cell>
        </row>
        <row r="217">
          <cell r="A217" t="str">
            <v>Vijeta Texfab Private Limited</v>
          </cell>
        </row>
        <row r="218">
          <cell r="A218" t="str">
            <v>World Famous Clothing Co</v>
          </cell>
        </row>
        <row r="219">
          <cell r="A219" t="str">
            <v>Zedex Clothing Pvt.Ltd</v>
          </cell>
        </row>
        <row r="220">
          <cell r="A220" t="str">
            <v>Zenith Creation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MIS"/>
      <sheetName val="TB May"/>
      <sheetName val="Pre Paid Other Exp"/>
      <sheetName val="TB Apr"/>
      <sheetName val="TB Mar"/>
      <sheetName val="Provision Expnes"/>
    </sheetNames>
    <sheetDataSet>
      <sheetData sheetId="0"/>
      <sheetData sheetId="1"/>
      <sheetData sheetId="2">
        <row r="1">
          <cell r="A1"/>
        </row>
        <row r="2">
          <cell r="A2" t="str">
            <v>Perticulars</v>
          </cell>
        </row>
        <row r="3">
          <cell r="A3"/>
          <cell r="F3" t="str">
            <v>Provisions/Adj</v>
          </cell>
        </row>
        <row r="4">
          <cell r="A4"/>
          <cell r="F4"/>
        </row>
        <row r="5">
          <cell r="A5" t="str">
            <v>TCS On Purchase 22-23</v>
          </cell>
        </row>
        <row r="6">
          <cell r="A6" t="str">
            <v>TDS Receivable 2021-22</v>
          </cell>
        </row>
        <row r="7">
          <cell r="A7" t="str">
            <v>TDS Receivable 2022-23</v>
          </cell>
        </row>
        <row r="8">
          <cell r="A8" t="str">
            <v>TDS Receivable 2023-24</v>
          </cell>
        </row>
        <row r="9">
          <cell r="A9" t="str">
            <v>Bank CA BOB EEFC USD 25380200001346</v>
          </cell>
        </row>
        <row r="10">
          <cell r="A10" t="str">
            <v>Inventory- Fg</v>
          </cell>
        </row>
        <row r="11">
          <cell r="A11" t="str">
            <v>Inventory- Raw Material</v>
          </cell>
        </row>
        <row r="12">
          <cell r="A12" t="str">
            <v>Stock In Transit</v>
          </cell>
        </row>
        <row r="13">
          <cell r="A13" t="str">
            <v>GST Credit-Non Eligible</v>
          </cell>
        </row>
        <row r="14">
          <cell r="A14" t="str">
            <v>GST Electronic Cash Ledger</v>
          </cell>
        </row>
        <row r="15">
          <cell r="A15" t="str">
            <v>GST Receivable</v>
          </cell>
        </row>
        <row r="16">
          <cell r="A16" t="str">
            <v>Prepaid Expenses</v>
          </cell>
        </row>
        <row r="17">
          <cell r="A17" t="str">
            <v>Prepaid Insurance</v>
          </cell>
        </row>
        <row r="18">
          <cell r="A18" t="str">
            <v>RCM - IGST Credit</v>
          </cell>
        </row>
        <row r="19">
          <cell r="A19" t="str">
            <v>Security Deposit - NSDL</v>
          </cell>
        </row>
        <row r="20">
          <cell r="A20" t="str">
            <v>Security Deposit - PGVCL</v>
          </cell>
        </row>
        <row r="21">
          <cell r="A21" t="str">
            <v>HCP Plastene Bulkpack Limited - Sales</v>
          </cell>
        </row>
        <row r="22">
          <cell r="A22" t="str">
            <v>K.P. Woven Pvt Ltd-Sales</v>
          </cell>
        </row>
        <row r="23">
          <cell r="A23" t="str">
            <v>Plastene India ltd - Unit 1-Sales</v>
          </cell>
        </row>
        <row r="24">
          <cell r="A24" t="str">
            <v>Plastene India ltd - Unit 2-Sales</v>
          </cell>
        </row>
        <row r="25">
          <cell r="A25" t="str">
            <v>Plastene Polyfilms Ltd-Sales</v>
          </cell>
        </row>
        <row r="26">
          <cell r="A26" t="str">
            <v>Boxon Gmbh</v>
          </cell>
        </row>
        <row r="27">
          <cell r="A27" t="str">
            <v>Bulk Lift International LLC</v>
          </cell>
        </row>
        <row r="28">
          <cell r="A28" t="str">
            <v>ERD - Customers</v>
          </cell>
        </row>
        <row r="29">
          <cell r="A29" t="str">
            <v>Exim Handelsonderneming Rotterdam Bv</v>
          </cell>
        </row>
        <row r="30">
          <cell r="A30" t="str">
            <v>FPS Flexibles France Sarl</v>
          </cell>
        </row>
        <row r="31">
          <cell r="A31" t="str">
            <v>Greif Flexibles France Sarl</v>
          </cell>
        </row>
        <row r="32">
          <cell r="A32" t="str">
            <v>Hypergrain S A</v>
          </cell>
        </row>
        <row r="33">
          <cell r="A33" t="str">
            <v>Lorenzati, Ruetsch y Cia SA</v>
          </cell>
        </row>
        <row r="34">
          <cell r="A34" t="str">
            <v>Oswal Extrusion Ltd- KASEZ-Sales</v>
          </cell>
        </row>
        <row r="35">
          <cell r="A35" t="str">
            <v>Ph Bratpol Jerzy Bratkowski</v>
          </cell>
        </row>
        <row r="36">
          <cell r="A36" t="str">
            <v>Procon Pacific Llc</v>
          </cell>
        </row>
        <row r="37">
          <cell r="A37" t="str">
            <v>Ravitaillement International Inc.</v>
          </cell>
        </row>
        <row r="38">
          <cell r="A38" t="str">
            <v>Satucesa Europa, S.L.U.</v>
          </cell>
        </row>
        <row r="39">
          <cell r="A39" t="str">
            <v>Smart Pack Limited</v>
          </cell>
        </row>
        <row r="40">
          <cell r="A40" t="str">
            <v>Warner &amp; Warner Inc.</v>
          </cell>
        </row>
        <row r="41">
          <cell r="A41" t="str">
            <v>Western Grain Trading Inc</v>
          </cell>
        </row>
        <row r="42">
          <cell r="A42" t="str">
            <v>CCTV Camera &amp; Accessories</v>
          </cell>
        </row>
        <row r="43">
          <cell r="A43" t="str">
            <v>Eicher Staff Bus - GJ12BZ0030</v>
          </cell>
        </row>
        <row r="44">
          <cell r="A44" t="str">
            <v>General Reserve</v>
          </cell>
        </row>
        <row r="45">
          <cell r="A45" t="str">
            <v>GST Payable A/c</v>
          </cell>
        </row>
        <row r="46">
          <cell r="A46" t="str">
            <v>GST RCM payable A/c</v>
          </cell>
        </row>
        <row r="47">
          <cell r="A47" t="str">
            <v>IGST Output A/c</v>
          </cell>
        </row>
        <row r="48">
          <cell r="A48" t="str">
            <v>TDS -194C (Contractor)</v>
          </cell>
        </row>
        <row r="49">
          <cell r="A49" t="str">
            <v>TDS -194Q (Goods)</v>
          </cell>
        </row>
        <row r="50">
          <cell r="A50" t="str">
            <v>Suspense A/c</v>
          </cell>
        </row>
        <row r="51">
          <cell r="A51" t="str">
            <v>Ckb Global Logistics Private Limited</v>
          </cell>
        </row>
        <row r="52">
          <cell r="A52" t="str">
            <v>HCP Enterprise Ltd-Purchase</v>
          </cell>
        </row>
        <row r="53">
          <cell r="A53" t="str">
            <v>HCP Plastene Bulkpack Limited - Purchase</v>
          </cell>
        </row>
        <row r="54">
          <cell r="A54" t="str">
            <v>K.P. Woven Pvt Ltd - Unit 2 -Purchase</v>
          </cell>
        </row>
        <row r="55">
          <cell r="A55" t="str">
            <v>K.P. Woven Pvt Ltd-Purchase</v>
          </cell>
        </row>
        <row r="56">
          <cell r="A56" t="str">
            <v>Oswal Extrusion Ltd- KASEZ-Purchase</v>
          </cell>
        </row>
        <row r="57">
          <cell r="A57" t="str">
            <v>Plastene India ltd - Unit 1-Purchase</v>
          </cell>
        </row>
        <row r="58">
          <cell r="A58" t="str">
            <v>Plastene India ltd - Unit 2-Purchase</v>
          </cell>
        </row>
        <row r="59">
          <cell r="A59" t="str">
            <v>Plastene India ltd - Unit 6-Purchase</v>
          </cell>
        </row>
        <row r="60">
          <cell r="A60" t="str">
            <v>Plastene Polyfilms Ltd-Purchase</v>
          </cell>
        </row>
        <row r="61">
          <cell r="A61" t="str">
            <v>Sensation Pest Control Services</v>
          </cell>
        </row>
        <row r="62">
          <cell r="A62" t="str">
            <v>Adani Ports And Special Economic Zone Limited</v>
          </cell>
        </row>
        <row r="63">
          <cell r="A63" t="str">
            <v>Blackstone Shipping Private Limited - Maharashtra</v>
          </cell>
        </row>
        <row r="64">
          <cell r="A64" t="str">
            <v>C. H. Robinson Worldwide Freight India Pvt Ltd-Ahmedabad</v>
          </cell>
        </row>
        <row r="65">
          <cell r="A65" t="str">
            <v>Chinubhai Kalidass &amp; Bros - Gujarat</v>
          </cell>
        </row>
        <row r="66">
          <cell r="A66" t="str">
            <v>Fedex Trade Networks Transport &amp; Brokerage Private Limited - Maharashtra</v>
          </cell>
        </row>
        <row r="67">
          <cell r="A67" t="str">
            <v>Fortune Shipping Private Limited</v>
          </cell>
        </row>
        <row r="68">
          <cell r="A68" t="str">
            <v>Hind Carriers Pvt Ltd</v>
          </cell>
        </row>
        <row r="69">
          <cell r="A69" t="str">
            <v>Hindustan Infralog Private Limited</v>
          </cell>
        </row>
        <row r="70">
          <cell r="A70" t="str">
            <v>Matchlog Solutions Pvt Ltd</v>
          </cell>
        </row>
        <row r="71">
          <cell r="A71" t="str">
            <v>Msc Mediterranean Shipping Company S.A</v>
          </cell>
        </row>
        <row r="72">
          <cell r="A72" t="str">
            <v>Seabox Shipping &amp; Logistics Pvt Ltd</v>
          </cell>
        </row>
        <row r="73">
          <cell r="A73" t="str">
            <v>ERD - Supplier</v>
          </cell>
        </row>
        <row r="74">
          <cell r="A74" t="str">
            <v>Technopac Gmbh - Purchase</v>
          </cell>
        </row>
        <row r="75">
          <cell r="A75" t="str">
            <v>Yuan Da Plastic Fabric Corporation - Purchase</v>
          </cell>
        </row>
        <row r="76">
          <cell r="A76" t="str">
            <v>A D Mehta Clearing Agency</v>
          </cell>
        </row>
        <row r="77">
          <cell r="A77" t="str">
            <v>Bharat Sanchar Nigam Limited</v>
          </cell>
        </row>
        <row r="78">
          <cell r="A78" t="str">
            <v>DSTD Industries Pvt Ltd</v>
          </cell>
        </row>
        <row r="79">
          <cell r="A79" t="str">
            <v>Export Promotion Council For Eou &amp; Sez Unit</v>
          </cell>
        </row>
        <row r="80">
          <cell r="A80" t="str">
            <v>Forward Mineral Water</v>
          </cell>
        </row>
        <row r="81">
          <cell r="A81" t="str">
            <v>Hardik Engineering</v>
          </cell>
        </row>
        <row r="82">
          <cell r="A82" t="str">
            <v>Indian Security &amp; Allied Services</v>
          </cell>
        </row>
        <row r="83">
          <cell r="A83" t="str">
            <v>Paschim Gujarat Vij Company Limited</v>
          </cell>
        </row>
        <row r="84">
          <cell r="A84" t="str">
            <v>Shreeji Lifters</v>
          </cell>
        </row>
        <row r="85">
          <cell r="A85" t="str">
            <v>Bank Cash Credit BOB 25380500000217</v>
          </cell>
        </row>
        <row r="86">
          <cell r="A86" t="str">
            <v>Bank EPC BOB 25380700000037</v>
          </cell>
        </row>
        <row r="87">
          <cell r="A87" t="str">
            <v>HDFC Bank- Staff Bus Loan A/C 86667710 GJ12BZ0030</v>
          </cell>
        </row>
        <row r="88">
          <cell r="A88" t="str">
            <v>Bank PCFC BOB - USD</v>
          </cell>
        </row>
        <row r="89">
          <cell r="A89" t="str">
            <v>Sales Bill Discounted Exports - Drip capital</v>
          </cell>
        </row>
        <row r="90">
          <cell r="A90" t="str">
            <v>Sales Bill Discounted Exports - India Factoring</v>
          </cell>
        </row>
        <row r="91">
          <cell r="A91" t="str">
            <v>Plastene India ltd - HO-ICD</v>
          </cell>
        </row>
        <row r="92">
          <cell r="A92" t="str">
            <v>Provision For Depreciation</v>
          </cell>
        </row>
        <row r="93">
          <cell r="A93" t="str">
            <v>Provision For Expenses</v>
          </cell>
        </row>
        <row r="94">
          <cell r="A94" t="str">
            <v>Sales - Kasez - Mfg - U/B</v>
          </cell>
        </row>
        <row r="95">
          <cell r="A95" t="str">
            <v>Sales - Export  - Trading</v>
          </cell>
        </row>
        <row r="96">
          <cell r="A96" t="str">
            <v>Sales - Export - Third Party</v>
          </cell>
        </row>
        <row r="97">
          <cell r="A97" t="str">
            <v>Round Off - Purchases</v>
          </cell>
        </row>
        <row r="98">
          <cell r="A98" t="str">
            <v>Freight Inward Expense (RCM)</v>
          </cell>
        </row>
        <row r="99">
          <cell r="A99" t="str">
            <v>Power Expense</v>
          </cell>
          <cell r="F99">
            <v>3500</v>
          </cell>
        </row>
        <row r="100">
          <cell r="A100" t="str">
            <v>Rent Expense - Factory</v>
          </cell>
          <cell r="F100">
            <v>-216150</v>
          </cell>
        </row>
        <row r="101">
          <cell r="A101" t="str">
            <v>Exchange Rate Difference - Creditor</v>
          </cell>
          <cell r="F101">
            <v>-219352</v>
          </cell>
        </row>
        <row r="102">
          <cell r="A102" t="str">
            <v>Job Charges</v>
          </cell>
        </row>
        <row r="103">
          <cell r="A103" t="str">
            <v>Loading &amp; Unloading Expense</v>
          </cell>
        </row>
        <row r="104">
          <cell r="A104" t="str">
            <v>Water Charges</v>
          </cell>
          <cell r="F104">
            <v>885</v>
          </cell>
        </row>
        <row r="105">
          <cell r="A105" t="str">
            <v>Weighment Expense</v>
          </cell>
        </row>
        <row r="106">
          <cell r="A106" t="str">
            <v>Purchase In Transit</v>
          </cell>
        </row>
        <row r="107">
          <cell r="A107" t="str">
            <v>Purchase Interstate - Raw Material</v>
          </cell>
        </row>
        <row r="108">
          <cell r="A108" t="str">
            <v>Purchase Interstate - Traded Goods</v>
          </cell>
        </row>
        <row r="109">
          <cell r="A109" t="str">
            <v>Purchase Raw Material - High Seas</v>
          </cell>
        </row>
        <row r="110">
          <cell r="A110" t="str">
            <v>Freight Detention Charges</v>
          </cell>
        </row>
        <row r="111">
          <cell r="A111" t="str">
            <v>Insurance Exp - Vehicles</v>
          </cell>
          <cell r="F111">
            <v>-17881</v>
          </cell>
        </row>
        <row r="112">
          <cell r="A112" t="str">
            <v>Mobile &amp; Telephone Expense</v>
          </cell>
          <cell r="F112">
            <v>707</v>
          </cell>
        </row>
        <row r="113">
          <cell r="A113" t="str">
            <v>Round Off</v>
          </cell>
        </row>
        <row r="114">
          <cell r="A114" t="str">
            <v>Security Expenses</v>
          </cell>
          <cell r="F114">
            <v>23000</v>
          </cell>
        </row>
        <row r="115">
          <cell r="A115" t="str">
            <v>Bank Charges -  Export Collection</v>
          </cell>
        </row>
        <row r="116">
          <cell r="A116" t="str">
            <v>Bank Charges - Import</v>
          </cell>
        </row>
        <row r="117">
          <cell r="A117" t="str">
            <v>Bank Charges - Postage &amp; Swift</v>
          </cell>
        </row>
        <row r="118">
          <cell r="A118" t="str">
            <v>Bank Charges- Others</v>
          </cell>
        </row>
        <row r="119">
          <cell r="A119" t="str">
            <v>Exchange Rate Difference - Debtors</v>
          </cell>
          <cell r="F119">
            <v>-940363.67</v>
          </cell>
        </row>
        <row r="120">
          <cell r="A120" t="str">
            <v>Interest Expense - Vehicle Loan</v>
          </cell>
        </row>
        <row r="121">
          <cell r="A121" t="str">
            <v>Fees &amp; Taxes</v>
          </cell>
        </row>
        <row r="122">
          <cell r="A122" t="str">
            <v>C &amp; F  Charges - Export</v>
          </cell>
          <cell r="F122">
            <v>47897</v>
          </cell>
        </row>
        <row r="123">
          <cell r="A123" t="str">
            <v>C &amp; F Charges - Detention Outward</v>
          </cell>
          <cell r="F123">
            <v>150000</v>
          </cell>
        </row>
        <row r="124">
          <cell r="A124" t="str">
            <v>Discount &amp; Rate Difference - Sales</v>
          </cell>
        </row>
        <row r="125">
          <cell r="A125" t="str">
            <v>Freight Outward Expense  - Export</v>
          </cell>
        </row>
        <row r="126">
          <cell r="A126" t="str">
            <v>Fumigation Charges</v>
          </cell>
          <cell r="F126">
            <v>3800</v>
          </cell>
        </row>
        <row r="127">
          <cell r="A127" t="str">
            <v>Profit And Loss Account</v>
          </cell>
        </row>
        <row r="128">
          <cell r="A128" t="str">
            <v>Grand Total</v>
          </cell>
        </row>
        <row r="132">
          <cell r="A132" t="str">
            <v>Opening Stock of Raw material</v>
          </cell>
        </row>
        <row r="133">
          <cell r="A133" t="str">
            <v>Opening Stock of Packing material</v>
          </cell>
        </row>
        <row r="134">
          <cell r="A134" t="str">
            <v>Opening Work-in-progress</v>
          </cell>
        </row>
        <row r="135">
          <cell r="A135" t="str">
            <v>Opening Stock of Finished goods</v>
          </cell>
        </row>
        <row r="136">
          <cell r="A136" t="str">
            <v>Opening Stock of Consumables, Stores , Spares</v>
          </cell>
        </row>
        <row r="138">
          <cell r="A138" t="str">
            <v>Closing Stock of Raw material</v>
          </cell>
        </row>
        <row r="139">
          <cell r="A139" t="str">
            <v>Closing Stock of Packing material</v>
          </cell>
        </row>
        <row r="140">
          <cell r="A140" t="str">
            <v>Closing Work-in-progress</v>
          </cell>
        </row>
        <row r="141">
          <cell r="A141" t="str">
            <v>Closing Stock of Finished goods</v>
          </cell>
        </row>
        <row r="142">
          <cell r="A142" t="str">
            <v>Closing Stock of Consumables, Stores , Spares</v>
          </cell>
        </row>
      </sheetData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05245023151" createdVersion="8" refreshedVersion="8" minRefreshableVersion="3" recordCount="47" xr:uid="{369FC7E3-05C7-410D-BDA9-6BE40F88E802}">
  <cacheSource type="worksheet">
    <worksheetSource ref="A2:P49" sheet="hpbl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/>
    </cacheField>
    <cacheField name="Date" numFmtId="14">
      <sharedItems containsSemiMixedTypes="0" containsNonDate="0" containsDate="1" containsString="0" minDate="2023-04-06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/>
    </cacheField>
    <cacheField name="Type" numFmtId="0">
      <sharedItems count="3">
        <s v="Branch Transfer Out - Raw Material"/>
        <s v="Branch Transfer Out - Stores, Spares &amp; Consumable"/>
        <s v="Branch Transfer Out - Packing Material"/>
      </sharedItems>
    </cacheField>
    <cacheField name="Invoice No" numFmtId="0">
      <sharedItems/>
    </cacheField>
    <cacheField name="Invoice Date" numFmtId="14">
      <sharedItems containsSemiMixedTypes="0" containsNonDate="0" containsDate="1" containsString="0" minDate="2023-04-06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9.5" maxValue="4008"/>
    </cacheField>
    <cacheField name="Amount" numFmtId="0">
      <sharedItems containsSemiMixedTypes="0" containsString="0" containsNumber="1" minValue="1165.18" maxValue="483244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0447002315" createdVersion="8" refreshedVersion="8" minRefreshableVersion="3" recordCount="1201" xr:uid="{475AC5A2-D59D-4ABE-836F-9DFE6C383882}">
  <cacheSource type="worksheet">
    <worksheetSource ref="A2:P1203" sheet="pil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/>
    </cacheField>
    <cacheField name="Date" numFmtId="14">
      <sharedItems containsSemiMixedTypes="0" containsNonDate="0" containsDate="1" containsString="0" minDate="2023-04-01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/>
    </cacheField>
    <cacheField name="Type" numFmtId="0">
      <sharedItems count="3">
        <s v="Branch Transfer Out - Raw Material"/>
        <s v="Branch Transfer Out - Stores, Spares &amp; Consumable"/>
        <s v="Branch Transfer Out - Trading"/>
      </sharedItems>
    </cacheField>
    <cacheField name="Invoice No" numFmtId="0">
      <sharedItems/>
    </cacheField>
    <cacheField name="Invoice Date" numFmtId="14">
      <sharedItems containsSemiMixedTypes="0" containsNonDate="0" containsDate="1" containsString="0" minDate="2023-04-01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3" maxValue="99000"/>
    </cacheField>
    <cacheField name="Amount" numFmtId="0">
      <sharedItems containsSemiMixedTypes="0" containsString="0" containsNumber="1" minValue="336" maxValue="9409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78301851854" createdVersion="8" refreshedVersion="8" minRefreshableVersion="3" recordCount="2704" xr:uid="{735759C3-84C4-42A9-9791-41C088E45D68}">
  <cacheSource type="worksheet">
    <worksheetSource ref="A1:P2705" sheet="inter comp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/>
    </cacheField>
    <cacheField name="Date" numFmtId="14">
      <sharedItems containsSemiMixedTypes="0" containsNonDate="0" containsDate="1" containsString="0" minDate="2023-04-01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 containsMixedTypes="1" containsNumber="1" containsInteger="1" minValue="1" maxValue="407"/>
    </cacheField>
    <cacheField name="Type" numFmtId="0">
      <sharedItems count="13">
        <s v="Sales - Within State - Traded Goods"/>
        <s v="Sales - Within State  Manufactured Goods"/>
        <s v="Sales - High Seas"/>
        <s v="Sales - Waste &amp; Scrape"/>
        <s v="Sales - Kasez - Trading - U/B"/>
        <s v="Sales - Export - Third Party"/>
        <s v="Sales - Kasez - Mfg - U/B"/>
        <s v="Sales - Interstate - Manufactured Goods"/>
        <s v="Sales Return - Within  State"/>
        <s v="Branch Transfer Out - Packing Material" u="1"/>
        <s v="Branch Transfer Out - Raw Material" u="1"/>
        <s v="Branch Transfer Out - Trading" u="1"/>
        <s v="Branch Transfer Out - Stores, Spares &amp; Consumable" u="1"/>
      </sharedItems>
    </cacheField>
    <cacheField name="Invoice No" numFmtId="0">
      <sharedItems/>
    </cacheField>
    <cacheField name="Invoice Date" numFmtId="14">
      <sharedItems containsSemiMixedTypes="0" containsNonDate="0" containsDate="1" containsString="0" minDate="2023-04-01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-24000" maxValue="102000"/>
    </cacheField>
    <cacheField name="Amount" numFmtId="0">
      <sharedItems containsSemiMixedTypes="0" containsString="0" containsNumber="1" minValue="-2102676" maxValue="9068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07946759257" createdVersion="8" refreshedVersion="8" minRefreshableVersion="3" recordCount="731" xr:uid="{9D0BD454-7C64-49ED-85D5-A131EDE6A735}">
  <cacheSource type="worksheet">
    <worksheetSource ref="A1:P732" sheet="job income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 count="7">
        <s v="HCP Plastene Bulkpack Ltd"/>
        <s v="K.P. WOVEN PRIVATE LIMITED"/>
        <s v="Oswal Extrusion Limited"/>
        <s v="Plastene India Limited "/>
        <s v="Plastene India Limited (Unit -II)"/>
        <s v="Plastene India Limited (Unit-VI)"/>
        <s v="Plastene Polyfilms Limited"/>
      </sharedItems>
    </cacheField>
    <cacheField name="Date" numFmtId="14">
      <sharedItems containsSemiMixedTypes="0" containsNonDate="0" containsDate="1" containsString="0" minDate="2023-04-02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/>
    </cacheField>
    <cacheField name="Type" numFmtId="0">
      <sharedItems/>
    </cacheField>
    <cacheField name="Invoice No" numFmtId="0">
      <sharedItems/>
    </cacheField>
    <cacheField name="Invoice Date" numFmtId="14">
      <sharedItems containsSemiMixedTypes="0" containsNonDate="0" containsDate="1" containsString="0" minDate="2023-04-02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-3822" maxValue="23263.8"/>
    </cacheField>
    <cacheField name="Amount" numFmtId="0">
      <sharedItems containsSemiMixedTypes="0" containsString="0" containsNumber="1" minValue="-122304" maxValue="2333126.501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HCP Plastene Bulkpack Ltd"/>
    <d v="2023-04-06T00:00:00"/>
    <s v="HCP Plastene Bulkpack Ltd (Unit-II) - Sales"/>
    <s v="Branch Transfer Out"/>
    <s v="HPBL/DC/1"/>
    <x v="0"/>
    <s v="HPBL/DC/1"/>
    <d v="2023-04-06T00:00:00"/>
    <s v="SF"/>
    <s v="Liners"/>
    <s v="LDPE/LLDPE Bags"/>
    <s v="LLDPE BAGS (LINER)"/>
    <s v="DOC Pouch"/>
    <n v="50.7"/>
    <n v="6478.95"/>
  </r>
  <r>
    <x v="0"/>
    <s v="HCP Plastene Bulkpack Ltd"/>
    <d v="2023-04-18T00:00:00"/>
    <s v="HCP Plastene Bulkpack Ltd (Unit-III) - Sales"/>
    <s v="Branch Transfer Out"/>
    <s v="HPBL/DC/2"/>
    <x v="1"/>
    <s v="HPBL/DC/2"/>
    <d v="2023-04-18T00:00:00"/>
    <s v="Consumables"/>
    <s v="Oil &amp; Greases"/>
    <s v="Spares &amp; Stores"/>
    <s v="Oil &amp; Other Lubricat"/>
    <s v="White Oil:- 12 No"/>
    <n v="210"/>
    <n v="15750"/>
  </r>
  <r>
    <x v="1"/>
    <s v="HCP Plastene Bulkpack Ltd"/>
    <d v="2023-05-07T00:00:00"/>
    <s v="HCP Plastene Bulkpack Ltd (Unit-III) - Sales"/>
    <s v="Branch Transfer Out"/>
    <s v="HPBL/DC/3"/>
    <x v="0"/>
    <s v="HPBL/DC/3"/>
    <d v="2023-05-07T00:00:00"/>
    <s v="SF"/>
    <s v="PP/PE Fabric"/>
    <s v="PP UL Fabric"/>
    <s v="PP Unlaminated Fabric"/>
    <s v="PP UL Fabric With UV"/>
    <n v="532"/>
    <n v="66521.279999999999"/>
  </r>
  <r>
    <x v="1"/>
    <s v="HCP Plastene Bulkpack Ltd"/>
    <d v="2023-05-07T00:00:00"/>
    <s v="HCP Plastene Bulkpack Ltd (Unit-III) - Sales"/>
    <s v="Branch Transfer Out"/>
    <s v="HPBL/DC/3"/>
    <x v="0"/>
    <s v="HPBL/DC/3"/>
    <d v="2023-05-07T00:00:00"/>
    <s v="SF"/>
    <s v="PP/PE Fabric"/>
    <s v="PP Lam Fabric"/>
    <s v="PP Laminated Fabric"/>
    <s v="PP Lam Fabric With UV"/>
    <n v="752"/>
    <n v="99670.080000000002"/>
  </r>
  <r>
    <x v="1"/>
    <s v="HCP Plastene Bulkpack Ltd"/>
    <d v="2023-05-07T00:00:00"/>
    <s v="HCP Plastene Bulkpack Ltd (Unit-III) - Sales"/>
    <s v="Branch Transfer Out"/>
    <s v="HPBL/DC/4"/>
    <x v="2"/>
    <s v="HPBL/DC/4"/>
    <d v="2023-05-07T00:00:00"/>
    <s v="Stores/Spares"/>
    <s v="MS Structure Items"/>
    <s v="Packing Material"/>
    <s v="Packing Material"/>
    <s v="MS Pipe"/>
    <n v="55"/>
    <n v="2640"/>
  </r>
  <r>
    <x v="1"/>
    <s v="HCP Plastene Bulkpack Ltd"/>
    <d v="2023-05-09T00:00:00"/>
    <s v="HCP Plastene Bulkpack Ltd (Unit-III) - Sales"/>
    <s v="Branch Transfer Out"/>
    <s v="HPBL/DC/5"/>
    <x v="0"/>
    <s v="HPBL/DC/5"/>
    <d v="2023-05-09T00:00:00"/>
    <s v="SF"/>
    <s v="PP/PE Fabric"/>
    <s v="PP UL Fabric"/>
    <s v="PP Unlaminated Fabric"/>
    <s v="PP UL Fabric With UV"/>
    <n v="1108"/>
    <n v="138544.32000000001"/>
  </r>
  <r>
    <x v="1"/>
    <s v="HCP Plastene Bulkpack Ltd"/>
    <d v="2023-05-09T00:00:00"/>
    <s v="HCP Plastene Bulkpack Ltd (Unit-III) - Sales"/>
    <s v="Branch Transfer Out"/>
    <s v="HPBL/DC/6"/>
    <x v="2"/>
    <s v="HPBL/DC/6"/>
    <d v="2023-05-09T00:00:00"/>
    <s v="Stores/Spares"/>
    <s v="MS Structure Items"/>
    <s v="Packing Material"/>
    <s v="Packing Material"/>
    <s v="MS Pipe"/>
    <n v="55"/>
    <n v="2640"/>
  </r>
  <r>
    <x v="1"/>
    <s v="HCP Plastene Bulkpack Ltd"/>
    <d v="2023-05-12T00:00:00"/>
    <s v="HCP Plastene Bulkpack Ltd (Unit-III) - Sales"/>
    <s v="Branch Transfer Out"/>
    <s v="HPBL/DC/7"/>
    <x v="0"/>
    <s v="HPBL/DC/7"/>
    <d v="2023-05-12T00:00:00"/>
    <s v="SF"/>
    <s v="PP/PE Fabric"/>
    <s v="PP UL Fabric"/>
    <s v="PP Unlaminated Fabric"/>
    <s v="PP UL Fabric With UV"/>
    <n v="1044"/>
    <n v="130541.75999999999"/>
  </r>
  <r>
    <x v="1"/>
    <s v="HCP Plastene Bulkpack Ltd"/>
    <d v="2023-05-13T00:00:00"/>
    <s v="HCP Plastene Bulkpack Ltd (Unit-III) - Sales"/>
    <s v="Branch Transfer Out"/>
    <s v="HPBL/DC/8"/>
    <x v="2"/>
    <s v="HPBL/DC/8"/>
    <d v="2023-05-13T00:00:00"/>
    <s v="Stores/Spares"/>
    <s v="MS Structure Items"/>
    <s v="Packing Material"/>
    <s v="Packing Material"/>
    <s v="MS Pipe"/>
    <n v="54"/>
    <n v="2592"/>
  </r>
  <r>
    <x v="1"/>
    <s v="HCP Plastene Bulkpack Ltd"/>
    <d v="2023-05-15T00:00:00"/>
    <s v="HCP Plastene Bulkpack Ltd (Unit-III) - Sales"/>
    <s v="Branch Transfer Out"/>
    <s v="HPBL/DC/10"/>
    <x v="2"/>
    <s v="HPBL/DC/10"/>
    <d v="2023-05-15T00:00:00"/>
    <s v="Stores/Spares"/>
    <s v="MS Structure Items"/>
    <s v="Packing Material"/>
    <s v="Packing Material"/>
    <s v="MS Pipe"/>
    <n v="88"/>
    <n v="4224"/>
  </r>
  <r>
    <x v="1"/>
    <s v="HCP Plastene Bulkpack Ltd"/>
    <d v="2023-05-15T00:00:00"/>
    <s v="HCP Plastene Bulkpack Ltd (Unit-III) - Sales"/>
    <s v="Branch Transfer Out"/>
    <s v="HPBL/DC/9"/>
    <x v="0"/>
    <s v="HPBL/DC/9"/>
    <d v="2023-05-15T00:00:00"/>
    <s v="SF"/>
    <s v="Liners"/>
    <s v="LDPE/LLDPE Bags"/>
    <s v="LLDPE BAGS (LINER)"/>
    <s v="DOC Pouch"/>
    <n v="9.5"/>
    <n v="1165.18"/>
  </r>
  <r>
    <x v="1"/>
    <s v="HCP Plastene Bulkpack Ltd"/>
    <d v="2023-05-15T00:00:00"/>
    <s v="HCP Plastene Bulkpack Ltd (Unit-III) - Sales"/>
    <s v="Branch Transfer Out"/>
    <s v="HPBL/DC/9"/>
    <x v="0"/>
    <s v="HPBL/DC/9"/>
    <d v="2023-05-15T00:00:00"/>
    <s v="SF"/>
    <s v="PP/PE Fabric"/>
    <s v="PP UL Fabric"/>
    <s v="PP Unlaminated Fabric"/>
    <s v="PP UL Fabric With UV"/>
    <n v="2188"/>
    <n v="273587.52"/>
  </r>
  <r>
    <x v="1"/>
    <s v="HCP Plastene Bulkpack Ltd"/>
    <d v="2023-05-17T00:00:00"/>
    <s v="HCP Plastene Bulkpack Ltd (Unit-III) - Sales"/>
    <s v="Branch Transfer Out"/>
    <s v="HPBL/DC/11"/>
    <x v="0"/>
    <s v="HPBL/DC/11"/>
    <d v="2023-05-17T00:00:00"/>
    <s v="SF"/>
    <s v="PP/PE Fabric"/>
    <s v="PP UL Fabric"/>
    <s v="PP Unlaminated Fabric"/>
    <s v="PP UL Fabric With UV"/>
    <n v="2301"/>
    <n v="287717.03999999998"/>
  </r>
  <r>
    <x v="1"/>
    <s v="HCP Plastene Bulkpack Ltd"/>
    <d v="2023-05-17T00:00:00"/>
    <s v="HCP Plastene Bulkpack Ltd (Unit-III) - Sales"/>
    <s v="Branch Transfer Out"/>
    <s v="HPBL/DC/12"/>
    <x v="2"/>
    <s v="HPBL/DC/12"/>
    <d v="2023-05-17T00:00:00"/>
    <s v="Stores/Spares"/>
    <s v="MS Structure Items"/>
    <s v="Packing Material"/>
    <s v="Packing Material"/>
    <s v="MS Pipe"/>
    <n v="101"/>
    <n v="4848"/>
  </r>
  <r>
    <x v="1"/>
    <s v="HCP Plastene Bulkpack Ltd"/>
    <d v="2023-05-23T00:00:00"/>
    <s v="HCP Plastene Bulkpack Ltd (Unit-III) - Sales"/>
    <s v="Branch Transfer Out"/>
    <s v="HPBL/DC/13"/>
    <x v="0"/>
    <s v="HPBL/DC/13"/>
    <d v="2023-05-23T00:00:00"/>
    <s v="SF"/>
    <s v="PP/PE Fabric"/>
    <s v="PP UL Fabric"/>
    <s v="PP Unlaminated Fabric"/>
    <s v="PP UL Fabric With UV"/>
    <n v="3812"/>
    <n v="476652.48"/>
  </r>
  <r>
    <x v="1"/>
    <s v="HCP Plastene Bulkpack Ltd"/>
    <d v="2023-05-23T00:00:00"/>
    <s v="HCP Plastene Bulkpack Ltd (Unit-III) - Sales"/>
    <s v="Branch Transfer Out"/>
    <s v="HPBL/DC/14"/>
    <x v="2"/>
    <s v="HPBL/DC/14"/>
    <d v="2023-05-23T00:00:00"/>
    <s v="Stores/Spares"/>
    <s v="MS Structure Items"/>
    <s v="Packing Material"/>
    <s v="Packing Material"/>
    <s v="MS Pipe"/>
    <n v="153"/>
    <n v="7344"/>
  </r>
  <r>
    <x v="1"/>
    <s v="HCP Plastene Bulkpack Ltd"/>
    <d v="2023-05-27T00:00:00"/>
    <s v="HCP Plastene Bulkpack Ltd (Unit-III) - Sales"/>
    <s v="Branch Transfer Out"/>
    <s v="HPBL/DC/15"/>
    <x v="0"/>
    <s v="HPBL/DC/15"/>
    <d v="2023-05-27T00:00:00"/>
    <s v="RM Consumables"/>
    <s v="Ink"/>
    <s v="Raw Material"/>
    <s v="Thinner"/>
    <s v="Thinner Vyankatesh Thinner"/>
    <n v="340"/>
    <n v="34680"/>
  </r>
  <r>
    <x v="1"/>
    <s v="HCP Plastene Bulkpack Ltd"/>
    <d v="2023-05-27T00:00:00"/>
    <s v="HCP Plastene Bulkpack Ltd (Unit-III) - Sales"/>
    <s v="Branch Transfer Out"/>
    <s v="HPBL/DC/16"/>
    <x v="0"/>
    <s v="HPBL/DC/16"/>
    <d v="2023-05-27T00:00:00"/>
    <s v="SF"/>
    <s v="PP/PE Fabric"/>
    <s v="PP UL Fabric"/>
    <s v="PP Unlaminated Fabric"/>
    <s v="PP UL Fabric With UV"/>
    <n v="3558"/>
    <n v="444892.32"/>
  </r>
  <r>
    <x v="1"/>
    <s v="HCP Plastene Bulkpack Ltd"/>
    <d v="2023-05-27T00:00:00"/>
    <s v="HCP Plastene Bulkpack Ltd (Unit-III) - Sales"/>
    <s v="Branch Transfer Out"/>
    <s v="HPBL/DC/17"/>
    <x v="2"/>
    <s v="HPBL/DC/17"/>
    <d v="2023-05-27T00:00:00"/>
    <s v="Stores/Spares"/>
    <s v="MS Structure Items"/>
    <s v="Packing Material"/>
    <s v="Packing Material"/>
    <s v="MS Pipe"/>
    <n v="159"/>
    <n v="7632"/>
  </r>
  <r>
    <x v="1"/>
    <s v="HCP Plastene Bulkpack Ltd"/>
    <d v="2023-05-30T00:00:00"/>
    <s v="HCP Plastene Bulkpack Ltd (Unit-II) - Sales"/>
    <s v="Branch Transfer Out"/>
    <s v="HPBL/DC/18"/>
    <x v="0"/>
    <s v="HPBL/DC/18"/>
    <d v="2023-05-30T00:00:00"/>
    <s v="SF"/>
    <s v="Liners"/>
    <s v="LDPE/LLDPE Bags"/>
    <s v="LLDPE BAGS (LINER)"/>
    <s v="DOC Pouch"/>
    <n v="200"/>
    <n v="24530"/>
  </r>
  <r>
    <x v="1"/>
    <s v="HCP Plastene Bulkpack Ltd"/>
    <d v="2023-05-31T00:00:00"/>
    <s v="HCP Plastene Bulkpack Ltd (Unit-III) - Sales"/>
    <s v="Branch Transfer Out"/>
    <s v="HPBL/DC/19"/>
    <x v="0"/>
    <s v="HPBL/DC/19"/>
    <d v="2023-05-31T00:00:00"/>
    <s v="SF"/>
    <s v="PP/PE Fabric"/>
    <s v="PP UL Fabric"/>
    <s v="PP Unlaminated Fabric"/>
    <s v="PP UL Fabric With UV"/>
    <n v="3711"/>
    <n v="464023.44"/>
  </r>
  <r>
    <x v="1"/>
    <s v="HCP Plastene Bulkpack Ltd"/>
    <d v="2023-05-31T00:00:00"/>
    <s v="HCP Plastene Bulkpack Ltd (Unit-III) - Sales"/>
    <s v="Branch Transfer Out"/>
    <s v="HPBL/DC/20"/>
    <x v="2"/>
    <s v="HPBL/DC/20"/>
    <d v="2023-05-31T00:00:00"/>
    <s v="Stores/Spares"/>
    <s v="MS Structure Items"/>
    <s v="Packing Material"/>
    <s v="Packing Material"/>
    <s v="MS Pipe"/>
    <n v="158"/>
    <n v="7584"/>
  </r>
  <r>
    <x v="2"/>
    <s v="HCP Plastene Bulkpack Ltd"/>
    <d v="2023-06-08T00:00:00"/>
    <s v="HCP Plastene Bulkpack Ltd (Unit-III) - Sales"/>
    <s v="Branch Transfer Out"/>
    <s v="HPBL/DC/21"/>
    <x v="0"/>
    <s v="HPBL/DC/21"/>
    <d v="2023-06-08T00:00:00"/>
    <s v="SF"/>
    <s v="PP/PE Fabric"/>
    <s v="PP UL Fabric"/>
    <s v="PP Unlaminated Fabric"/>
    <s v="PP UL Fabric With UV"/>
    <n v="3460"/>
    <n v="417172.2"/>
  </r>
  <r>
    <x v="2"/>
    <s v="HCP Plastene Bulkpack Ltd"/>
    <d v="2023-06-08T00:00:00"/>
    <s v="HCP Plastene Bulkpack Ltd (Unit-III) - Sales"/>
    <s v="Branch Transfer Out"/>
    <s v="HPBL/DC/22"/>
    <x v="2"/>
    <s v="HPBL/DC/22"/>
    <d v="2023-06-08T00:00:00"/>
    <s v="Stores/Spares"/>
    <s v="MS Structure Items"/>
    <s v="Packing Material"/>
    <s v="Packing Material"/>
    <s v="MS Pipe"/>
    <n v="145"/>
    <n v="6960"/>
  </r>
  <r>
    <x v="2"/>
    <s v="HCP Plastene Bulkpack Ltd"/>
    <d v="2023-06-13T00:00:00"/>
    <s v="HCP Plastene Bulkpack Ltd (Unit-III) - Sales"/>
    <s v="Branch Transfer Out"/>
    <s v="HPBL/DC/23"/>
    <x v="0"/>
    <s v="HPBL/DC/23"/>
    <d v="2023-06-13T00:00:00"/>
    <s v="SF"/>
    <s v="PP/PE Fabric"/>
    <s v="PP UL Fabric"/>
    <s v="PP Unlaminated Fabric"/>
    <s v="PP UL Fabric With UV"/>
    <n v="4008"/>
    <n v="483244.56"/>
  </r>
  <r>
    <x v="2"/>
    <s v="HCP Plastene Bulkpack Ltd"/>
    <d v="2023-06-13T00:00:00"/>
    <s v="HCP Plastene Bulkpack Ltd (Unit-III) - Sales"/>
    <s v="Branch Transfer Out"/>
    <s v="HPBL/DC/23"/>
    <x v="0"/>
    <s v="HPBL/DC/23"/>
    <d v="2023-06-13T00:00:00"/>
    <s v="SF"/>
    <s v="PP/PE Fabric"/>
    <s v="PP Lam Fabric"/>
    <s v="PP Laminated Fabric"/>
    <s v="PP Lam Fabric With UV"/>
    <n v="1527"/>
    <n v="192508.89"/>
  </r>
  <r>
    <x v="2"/>
    <s v="HCP Plastene Bulkpack Ltd"/>
    <d v="2023-06-13T00:00:00"/>
    <s v="HCP Plastene Bulkpack Ltd (Unit-III) - Sales"/>
    <s v="Branch Transfer Out"/>
    <s v="HPBL/DC/23"/>
    <x v="0"/>
    <s v="HPBL/DC/23"/>
    <d v="2023-06-13T00:00:00"/>
    <s v="SF"/>
    <s v="Liners"/>
    <s v="LDPE/LLDPE Bags"/>
    <s v="LLDPE BAGS (LINER)"/>
    <s v="DOC Pouch"/>
    <n v="32"/>
    <n v="3853.76"/>
  </r>
  <r>
    <x v="2"/>
    <s v="HCP Plastene Bulkpack Ltd"/>
    <d v="2023-06-13T00:00:00"/>
    <s v="HCP Plastene Bulkpack Ltd (Unit-III) - Sales"/>
    <s v="Branch Transfer Out"/>
    <s v="HPBL/DC/24"/>
    <x v="2"/>
    <s v="HPBL/DC/24"/>
    <d v="2023-06-13T00:00:00"/>
    <s v="Stores/Spares"/>
    <s v="MS Structure Items"/>
    <s v="Packing Material"/>
    <s v="Packing Material"/>
    <s v="MS Pipe"/>
    <n v="245"/>
    <n v="11760"/>
  </r>
  <r>
    <x v="2"/>
    <s v="HCP Plastene Bulkpack Ltd"/>
    <d v="2023-06-18T00:00:00"/>
    <s v="HCP Plastene Bulkpack Ltd (Unit-III) - Sales"/>
    <s v="Branch Transfer Out"/>
    <s v="HPBL/DC/25"/>
    <x v="0"/>
    <s v="HPBL/DC/25"/>
    <d v="2023-06-18T00:00:00"/>
    <s v="SF"/>
    <s v="PP/PE Fabric"/>
    <s v="PP UL Fabric"/>
    <s v="PP Unlaminated Fabric"/>
    <s v="PP UL Fabric With UV"/>
    <n v="3528"/>
    <n v="425370.96"/>
  </r>
  <r>
    <x v="2"/>
    <s v="HCP Plastene Bulkpack Ltd"/>
    <d v="2023-06-18T00:00:00"/>
    <s v="HCP Plastene Bulkpack Ltd (Unit-III) - Sales"/>
    <s v="Branch Transfer Out"/>
    <s v="HPBL/DC/25"/>
    <x v="0"/>
    <s v="HPBL/DC/25"/>
    <d v="2023-06-18T00:00:00"/>
    <s v="SF"/>
    <s v="Liners"/>
    <s v="LDPE/LLDPE Bags"/>
    <s v="LLDPE BAGS (LINER)"/>
    <s v="DOC Pouch"/>
    <n v="30.4"/>
    <n v="3661.07"/>
  </r>
  <r>
    <x v="2"/>
    <s v="HCP Plastene Bulkpack Ltd"/>
    <d v="2023-06-18T00:00:00"/>
    <s v="HCP Plastene Bulkpack Ltd (Unit-III) - Sales"/>
    <s v="Branch Transfer Out"/>
    <s v="HPBL/DC/26"/>
    <x v="2"/>
    <s v="HPBL/DC/26"/>
    <d v="2023-06-18T00:00:00"/>
    <s v="Stores/Spares"/>
    <s v="MS Structure Items"/>
    <s v="Packing Material"/>
    <s v="Packing Material"/>
    <s v="MS Pipe"/>
    <n v="192"/>
    <n v="9216"/>
  </r>
  <r>
    <x v="2"/>
    <s v="HCP Plastene Bulkpack Ltd"/>
    <d v="2023-06-24T00:00:00"/>
    <s v="HCP Plastene Bulkpack Ltd (Unit-III) - Sales"/>
    <s v="Branch Transfer Out"/>
    <s v="HPBL/DC/27"/>
    <x v="0"/>
    <s v="HPBL/DC/27"/>
    <d v="2023-06-24T00:00:00"/>
    <s v="SF"/>
    <s v="PP/PE Fabric"/>
    <s v="PP UL Fabric"/>
    <s v="PP Unlaminated Fabric"/>
    <s v="PP UL Fabric With UV"/>
    <n v="3494"/>
    <n v="421271.58"/>
  </r>
  <r>
    <x v="2"/>
    <s v="HCP Plastene Bulkpack Ltd"/>
    <d v="2023-06-24T00:00:00"/>
    <s v="HCP Plastene Bulkpack Ltd (Unit-III) - Sales"/>
    <s v="Branch Transfer Out"/>
    <s v="HPBL/DC/28"/>
    <x v="2"/>
    <s v="HPBL/DC/28"/>
    <d v="2023-06-24T00:00:00"/>
    <s v="Stores/Spares"/>
    <s v="MS Structure Items"/>
    <s v="Packing Material"/>
    <s v="Packing Material"/>
    <s v="MS Pipe"/>
    <n v="162"/>
    <n v="7776"/>
  </r>
  <r>
    <x v="2"/>
    <s v="HCP Plastene Bulkpack Ltd"/>
    <d v="2023-06-24T00:00:00"/>
    <s v="HCP Plastene Bulkpack Ltd (Unit-III) - Sales"/>
    <s v="Branch Transfer Out"/>
    <s v="HPBL/DC/29"/>
    <x v="1"/>
    <s v="HPBL/DC/29"/>
    <d v="2023-06-24T00:00:00"/>
    <s v="Consumables"/>
    <s v="Oil &amp; Greases"/>
    <s v="Spares &amp; Stores"/>
    <s v="Oil &amp; Other Lubricat"/>
    <s v="White Oil:- 12 No"/>
    <n v="420"/>
    <n v="31710"/>
  </r>
  <r>
    <x v="2"/>
    <s v="HCP Plastene Bulkpack Ltd"/>
    <d v="2023-06-30T00:00:00"/>
    <s v="HCP Plastene Bulkpack Ltd (Unit-II) - Sales"/>
    <s v="Branch Transfer Out"/>
    <s v="HPBL/DC/30"/>
    <x v="0"/>
    <s v="HPBL/DC/30"/>
    <d v="2023-06-30T00:00:00"/>
    <s v="SF"/>
    <s v="Liners"/>
    <s v="LDPE/LLDPE Bags"/>
    <s v="LLDPE BAGS (LINER)"/>
    <s v="DOC Pouch"/>
    <n v="137.5"/>
    <n v="15742.38"/>
  </r>
  <r>
    <x v="1"/>
    <s v="HCP Plastene Bulkpack Ltd (Unit - III)"/>
    <d v="2023-05-12T00:00:00"/>
    <s v="HCP Plastene Bulkpack Limited - Sales"/>
    <s v="Branch Transfer Out"/>
    <s v="HPBL3/DC/1"/>
    <x v="0"/>
    <s v="HPBL3/DC/1"/>
    <d v="2023-05-12T00:00:00"/>
    <s v="SF"/>
    <s v="Wastage/Scrap"/>
    <s v="Wastage/Scrap"/>
    <s v="Pp Wastage"/>
    <s v="PP/HD Wastage/Scrap"/>
    <n v="2850"/>
    <n v="42750"/>
  </r>
  <r>
    <x v="1"/>
    <s v="HCP Plastene Bulkpack Ltd (Unit - III)"/>
    <d v="2023-05-12T00:00:00"/>
    <s v="HCP Plastene Bulkpack Limited - Sales"/>
    <s v="Branch Transfer Out"/>
    <s v="HPBL3/DC/2"/>
    <x v="0"/>
    <s v="HPBL3/DC/2"/>
    <d v="2023-05-12T00:00:00"/>
    <s v="SF"/>
    <s v="Webbing"/>
    <s v="PP Webbing"/>
    <s v="PP Webbing"/>
    <s v="Webbing"/>
    <n v="1016.7"/>
    <n v="129161.57"/>
  </r>
  <r>
    <x v="1"/>
    <s v="HCP Plastene Bulkpack Ltd (Unit - III)"/>
    <d v="2023-05-12T00:00:00"/>
    <s v="HCP Plastene Bulkpack Limited - Sales"/>
    <s v="Branch Transfer Out"/>
    <s v="HPBL3/DC/2"/>
    <x v="0"/>
    <s v="HPBL3/DC/2"/>
    <d v="2023-05-12T00:00:00"/>
    <s v="SF"/>
    <s v="Liners"/>
    <s v="LDPE/LLDPE Bags"/>
    <s v="LLDPE BAGS"/>
    <s v="PE Labels (Pcs)"/>
    <n v="90"/>
    <n v="7200"/>
  </r>
  <r>
    <x v="1"/>
    <s v="HCP Plastene Bulkpack Ltd (Unit - III)"/>
    <d v="2023-05-12T00:00:00"/>
    <s v="HCP Plastene Bulkpack Limited - Sales"/>
    <s v="Branch Transfer Out"/>
    <s v="HPBL3/DC/2"/>
    <x v="0"/>
    <s v="HPBL3/DC/2"/>
    <d v="2023-05-12T00:00:00"/>
    <s v="SF"/>
    <s v="Liners"/>
    <s v="LDPE/LLDPE Bags"/>
    <s v="LLDPE BAGS"/>
    <s v="PE Labels (Pcs)"/>
    <n v="90"/>
    <n v="26100"/>
  </r>
  <r>
    <x v="1"/>
    <s v="HCP Plastene Bulkpack Ltd (Unit - III)"/>
    <d v="2023-05-15T00:00:00"/>
    <s v="HCP Plastene Bulkpack Limited - Sales"/>
    <s v="Branch Transfer Out"/>
    <s v="HPBL3/DC/4"/>
    <x v="0"/>
    <s v="HPBL3/DC/4"/>
    <d v="2023-05-15T00:00:00"/>
    <s v="SF"/>
    <s v="Wastage/Scrap"/>
    <s v="Wastage/Scrap"/>
    <s v="Pp Wastage"/>
    <s v="PP/HD Wastage/Scrap"/>
    <n v="3930"/>
    <n v="58950"/>
  </r>
  <r>
    <x v="1"/>
    <s v="HCP Plastene Bulkpack Ltd (Unit - III)"/>
    <d v="2023-05-17T00:00:00"/>
    <s v="HCP Plastene Bulkpack Limited - Sales"/>
    <s v="Branch Transfer Out"/>
    <s v="HPBL3/DC/5"/>
    <x v="0"/>
    <s v="HPBL3/DC/5"/>
    <d v="2023-05-17T00:00:00"/>
    <s v="SF"/>
    <s v="Wastage/Scrap"/>
    <s v="Wastage/Scrap"/>
    <s v="Pp Wastage"/>
    <s v="PP/HD Wastage/Scrap"/>
    <n v="3472"/>
    <n v="52080"/>
  </r>
  <r>
    <x v="1"/>
    <s v="HCP Plastene Bulkpack Ltd (Unit - III)"/>
    <d v="2023-05-22T00:00:00"/>
    <s v="HCP Plastene Bulkpack Limited - Sales"/>
    <s v="Branch Transfer Out"/>
    <s v="HPBL3/DC/6"/>
    <x v="0"/>
    <s v="HPBL3/DC/6"/>
    <d v="2023-05-22T00:00:00"/>
    <s v="SF"/>
    <s v="Wastage/Scrap"/>
    <s v="Wastage/Scrap"/>
    <s v="Pp Wastage"/>
    <s v="PP/HD Wastage/Scrap"/>
    <n v="2580"/>
    <n v="38700"/>
  </r>
  <r>
    <x v="1"/>
    <s v="HCP Plastene Bulkpack Ltd (Unit - III)"/>
    <d v="2023-05-23T00:00:00"/>
    <s v="HCP Plastene Bulkpack Limited - Sales"/>
    <s v="Branch Transfer Out"/>
    <s v="HPBL3/DC/7"/>
    <x v="0"/>
    <s v="HPBL3/DC/7"/>
    <d v="2023-05-23T00:00:00"/>
    <s v="SF"/>
    <s v="Wastage/Scrap"/>
    <s v="Wastage/Scrap"/>
    <s v="Pp Wastage"/>
    <s v="PP/HD Wastage/Scrap"/>
    <n v="3250"/>
    <n v="48750"/>
  </r>
  <r>
    <x v="1"/>
    <s v="HCP Plastene Bulkpack Ltd (Unit - III)"/>
    <d v="2023-05-27T00:00:00"/>
    <s v="HCP Plastene Bulkpack Limited - Sales"/>
    <s v="Branch Transfer Out"/>
    <s v="HPBL3/DC/10"/>
    <x v="0"/>
    <s v="HPBL3/DC/10"/>
    <d v="2023-05-27T00:00:00"/>
    <s v="SF"/>
    <s v="Wastage/Scrap"/>
    <s v="Wastage/Scrap"/>
    <s v="Pp Wastage"/>
    <s v="PP/HD Wastage/Scrap"/>
    <n v="1400"/>
    <n v="21000"/>
  </r>
  <r>
    <x v="1"/>
    <s v="HCP Plastene Bulkpack Ltd (Unit - III)"/>
    <d v="2023-05-27T00:00:00"/>
    <s v="HCP Plastene Bulkpack Limited - Sales"/>
    <s v="Branch Transfer Out"/>
    <s v="HPBL3/DC/9"/>
    <x v="2"/>
    <s v="HPBL3/DC/9"/>
    <d v="2023-05-27T00:00:00"/>
    <s v="Stores/Spares"/>
    <s v="MS Structure Items"/>
    <s v="Packing Material"/>
    <s v="Packing Material"/>
    <s v="MS Pipe"/>
    <n v="1000"/>
    <n v="48000"/>
  </r>
  <r>
    <x v="2"/>
    <s v="HCP Plastene Bulkpack Ltd (Unit - III)"/>
    <d v="2023-06-08T00:00:00"/>
    <s v="HCP Plastene Bulkpack Limited - Sales"/>
    <s v="Branch Transfer Out"/>
    <s v="HPBL3/DC/11"/>
    <x v="0"/>
    <s v="HPBL3/DC/11"/>
    <d v="2023-06-08T00:00:00"/>
    <s v="SF"/>
    <s v="PP/PE Fabric"/>
    <s v="PP UL Fabric"/>
    <s v="PP Woven Fabric"/>
    <s v="PP UL Fabric With UV"/>
    <n v="1254"/>
    <n v="138654.78"/>
  </r>
  <r>
    <x v="2"/>
    <s v="HCP Plastene Bulkpack Ltd (Unit - III)"/>
    <d v="2023-06-08T00:00:00"/>
    <s v="HCP Plastene Bulkpack Limited - Sales"/>
    <s v="Branch Transfer Out"/>
    <s v="HPBL3/DC/12"/>
    <x v="2"/>
    <s v="HPBL3/DC/12"/>
    <d v="2023-06-08T00:00:00"/>
    <s v="Stores/Spares"/>
    <s v="MS Structure Items"/>
    <s v="Packing Material"/>
    <s v="Packing Material"/>
    <s v="MS Pipe"/>
    <n v="51"/>
    <n v="24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Yarn All"/>
    <s v="PP Yarn"/>
    <s v="PP Filament Yarn"/>
    <s v="PP MF Yarn Twisted 3000 Denier Green 355C"/>
    <n v="436.6"/>
    <n v="61097.37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Liners"/>
    <s v="LDPE/LLDPE Bags"/>
    <s v="LLDPE BAGS"/>
    <s v="LDPE/LLDPE Bags/Liner"/>
    <n v="3943.3"/>
    <n v="524821.68000000005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Liners"/>
    <s v="LDPE/LLDPE Bags"/>
    <s v="LLDPE BAGS"/>
    <s v="LDPE/LLDPE Bags/Liner"/>
    <n v="238"/>
    <n v="30961.9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Liners"/>
    <s v="LDPE/LLDPE Bags"/>
    <s v="LLDPE BAGS"/>
    <s v="LDPE/LLDPE Bags/Liner"/>
    <n v="280"/>
    <n v="38665.760000000002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Webbing"/>
    <s v="PP Webbing"/>
    <s v="PP Webbing"/>
    <s v="Webbing"/>
    <n v="41.5"/>
    <n v="6720.34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Webbing"/>
    <s v="PP Webbing"/>
    <s v="PP Webbing"/>
    <s v="Webbing"/>
    <n v="332.3"/>
    <n v="40573.17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Webbing"/>
    <s v="PP Webbing"/>
    <s v="PP Webbing"/>
    <s v="Webbing"/>
    <n v="695.8"/>
    <n v="87043.19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Yarn All"/>
    <s v="PP Yarn"/>
    <s v="PP Filament Yarn"/>
    <s v="PP MF Yarn Twisted 3000 Denier UV Deep Blue"/>
    <n v="298.7"/>
    <n v="41799.78"/>
  </r>
  <r>
    <x v="0"/>
    <s v="Plastene India Limited "/>
    <d v="2023-04-01T00:00:00"/>
    <s v="Plastene India ltd - Unit 6-Sales"/>
    <s v="Branch Transfer Out"/>
    <s v="PIL1/DC/2"/>
    <x v="0"/>
    <s v="PIL1/DC/2"/>
    <d v="2023-04-01T00:00:00"/>
    <s v="SF"/>
    <s v="PP/PE Fabric"/>
    <s v="PP UL Fabric"/>
    <s v="PP WOVEN FABRIC (FG)"/>
    <s v="PP UL Fabric With UV"/>
    <n v="1177"/>
    <n v="143709.35"/>
  </r>
  <r>
    <x v="0"/>
    <s v="Plastene India Limited "/>
    <d v="2023-04-01T00:00:00"/>
    <s v="Plastene India ltd - Unit 6-Sales"/>
    <s v="Branch Transfer Out"/>
    <s v="PIL1/DC/2"/>
    <x v="0"/>
    <s v="PIL1/DC/2"/>
    <d v="2023-04-01T00:00:00"/>
    <s v="SF"/>
    <s v="PP/PE Fabric"/>
    <s v="PP UL Fabric"/>
    <s v="PP WOVEN FABRIC (FG)"/>
    <s v="PP UL Fabric With UV"/>
    <n v="742"/>
    <n v="91338.72"/>
  </r>
  <r>
    <x v="0"/>
    <s v="Plastene India Limited "/>
    <d v="2023-04-01T00:00:00"/>
    <s v="Plastene India ltd - Unit 6-Sales"/>
    <s v="Branch Transfer Out"/>
    <s v="PIL1/DC/2"/>
    <x v="0"/>
    <s v="PIL1/DC/2"/>
    <d v="2023-04-01T00:00:00"/>
    <s v="SF"/>
    <s v="PP/PE Fabric"/>
    <s v="PP UL Fabric"/>
    <s v="PP WOVEN FABRIC (FG)"/>
    <s v="PP UL Fabric With UV"/>
    <n v="2319"/>
    <n v="278507.26"/>
  </r>
  <r>
    <x v="0"/>
    <s v="Plastene India Limited "/>
    <d v="2023-04-01T00:00:00"/>
    <s v="Plastene India ltd - Unit 6-Sales"/>
    <s v="Branch Transfer Out"/>
    <s v="PIL1/DC/3"/>
    <x v="1"/>
    <s v="PIL1/DC/3"/>
    <d v="2023-04-01T00:00:00"/>
    <s v="Stores/Spares"/>
    <s v="MS Structure Items"/>
    <s v="Spares &amp; Stores"/>
    <s v="Stores &amp; Consumables"/>
    <s v="MS Pipe 4  C Class"/>
    <n v="170"/>
    <n v="8160"/>
  </r>
  <r>
    <x v="0"/>
    <s v="Plastene India Limited "/>
    <d v="2023-04-02T00:00:00"/>
    <s v="Plastene India ltd - Unit 2-Sales"/>
    <s v="Branch Transfer Out"/>
    <s v="PIL1/DC/6"/>
    <x v="0"/>
    <s v="PIL1/DC/6"/>
    <d v="2023-04-02T00:00:00"/>
    <s v="SF"/>
    <s v="Liners"/>
    <s v="LDPE/LLDPE Bags"/>
    <s v="LLDPE BAGS"/>
    <s v="LDPE/LLDPE Bags/Liner"/>
    <n v="843.8"/>
    <n v="107833.42"/>
  </r>
  <r>
    <x v="0"/>
    <s v="Plastene India Limited "/>
    <d v="2023-04-02T00:00:00"/>
    <s v="Plastene India ltd - Unit 2-Sales"/>
    <s v="Branch Transfer Out"/>
    <s v="PIL1/DC/6"/>
    <x v="0"/>
    <s v="PIL1/DC/6"/>
    <d v="2023-04-02T00:00:00"/>
    <s v="SF"/>
    <s v="PP/PE Fabric"/>
    <s v="PP UL Fabric"/>
    <s v="PP WOVEN FABRIC (FG)"/>
    <s v="PP UL Fabric With UV"/>
    <n v="1598"/>
    <n v="191827.12"/>
  </r>
  <r>
    <x v="0"/>
    <s v="Plastene India Limited "/>
    <d v="2023-04-02T00:00:00"/>
    <s v="Plastene India ltd - Unit 2-Sales"/>
    <s v="Branch Transfer Out"/>
    <s v="PIL1/DC/7"/>
    <x v="1"/>
    <s v="PIL1/DC/7"/>
    <d v="2023-04-02T00:00:00"/>
    <s v="Stores/Spares"/>
    <s v="MS Structure Items"/>
    <s v="Spares &amp; Stores"/>
    <s v="Stores &amp; Consumables"/>
    <s v="MS Pipe 4  C Class"/>
    <n v="78"/>
    <n v="3744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Liners"/>
    <s v="LDPE/LLDPE Bags"/>
    <s v="LLDPE BAGS"/>
    <s v="LDPE/LLDPE Bags/Liner"/>
    <n v="127.7"/>
    <n v="16319.42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Liners"/>
    <s v="LDPE/LLDPE Bags"/>
    <s v="LLDPE BAGS"/>
    <s v="LDPE/LLDPE Bags/Liner"/>
    <n v="3008.8"/>
    <n v="393536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PP/PE Fabric"/>
    <s v="PP UL Fabric"/>
    <s v="PP WOVEN FABRIC (FG)"/>
    <s v="PP UL Fabric With UV"/>
    <n v="1236"/>
    <n v="144663.91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PP/PE Fabric"/>
    <s v="PP UL Fabric"/>
    <s v="PP WOVEN FABRIC (FG)"/>
    <s v="PP UL Fabric With UV"/>
    <n v="1077"/>
    <n v="127131.23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PP/PE Fabric"/>
    <s v="PP UL Fabric"/>
    <s v="PP WOVEN FABRIC (FG)"/>
    <s v="PP UL Fabric With UV"/>
    <n v="3889"/>
    <n v="447398.34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Webbing"/>
    <s v="PP Webbing"/>
    <s v="PP Webbing"/>
    <s v="Webbing"/>
    <n v="370.4"/>
    <n v="43352.36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Webbing"/>
    <s v="PP Webbing"/>
    <s v="PP Webbing"/>
    <s v="Webbing"/>
    <n v="39.1"/>
    <n v="6134.05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Webbing"/>
    <s v="PP Webbing"/>
    <s v="PP Webbing"/>
    <s v="Webbing"/>
    <n v="429.1"/>
    <n v="51510.02"/>
  </r>
  <r>
    <x v="0"/>
    <s v="Plastene India Limited "/>
    <d v="2023-04-02T00:00:00"/>
    <s v="Plastene India ltd - Unit 6-Sales"/>
    <s v="Branch Transfer Out"/>
    <s v="PIL1/DC/5"/>
    <x v="1"/>
    <s v="PIL1/DC/5"/>
    <d v="2023-04-02T00:00:00"/>
    <s v="Stores/Spares"/>
    <s v="MS Structure Items"/>
    <s v="Spares &amp; Stores"/>
    <s v="Stores &amp; Consumables"/>
    <s v="MS Pipe 4  C Class"/>
    <n v="257"/>
    <n v="12336"/>
  </r>
  <r>
    <x v="0"/>
    <s v="Plastene India Limited "/>
    <d v="2023-04-03T00:00:00"/>
    <s v="Plastene India ltd - Unit 2-Sales"/>
    <s v="Branch Transfer Out"/>
    <s v="PIL1/DC/10"/>
    <x v="0"/>
    <s v="PIL1/DC/10"/>
    <d v="2023-04-03T00:00:00"/>
    <s v="SF"/>
    <s v="Yarn All"/>
    <s v="PP Yarn"/>
    <s v="PP Filament Yarn"/>
    <s v="PP MF Yarn Twisted 2500 Denier UV NW"/>
    <n v="1805.7"/>
    <n v="243554.62"/>
  </r>
  <r>
    <x v="0"/>
    <s v="Plastene India Limited "/>
    <d v="2023-04-03T00:00:00"/>
    <s v="Plastene India ltd - Unit 2-Sales"/>
    <s v="Branch Transfer Out"/>
    <s v="PIL1/DC/10"/>
    <x v="0"/>
    <s v="PIL1/DC/10"/>
    <d v="2023-04-03T00:00:00"/>
    <s v="SF"/>
    <s v="Yarn All"/>
    <s v="PP Yarn"/>
    <s v="PP Filament Yarn"/>
    <s v="PP MF Yarn Twisted 3000 Denier UV Black"/>
    <n v="1029.4000000000001"/>
    <n v="138846.5"/>
  </r>
  <r>
    <x v="0"/>
    <s v="Plastene India Limited "/>
    <d v="2023-04-03T00:00:00"/>
    <s v="Plastene India ltd - Unit 2-Sales"/>
    <s v="Branch Transfer Out"/>
    <s v="PIL1/DC/10"/>
    <x v="0"/>
    <s v="PIL1/DC/10"/>
    <d v="2023-04-03T00:00:00"/>
    <s v="SF"/>
    <s v="Yarn All"/>
    <s v="PP Yarn"/>
    <s v="PP Filament Yarn"/>
    <s v="PP MF Yarn Twisted 1000 UV NW"/>
    <n v="2229.4"/>
    <n v="294015.5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PP/PE Fabric"/>
    <s v="PP UL Fabric"/>
    <s v="PP WOVEN FABRIC (FG)"/>
    <s v="PP UL Fabric With UV"/>
    <n v="1413"/>
    <n v="165380.35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PP/PE Fabric"/>
    <s v="PP UL Fabric"/>
    <s v="PP WOVEN FABRIC (FG)"/>
    <s v="PP UL Fabric With UV"/>
    <n v="1020"/>
    <n v="120402.84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PP/PE Fabric"/>
    <s v="PP UL Fabric"/>
    <s v="PP WOVEN FABRIC (FG)"/>
    <s v="PP UL Fabric With UV"/>
    <n v="2068"/>
    <n v="237906.86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Liners"/>
    <s v="LDPE/LLDPE Bags"/>
    <s v="LLDPE BAGS"/>
    <s v="LDPE/LLDPE Bags/Liner"/>
    <n v="402.3"/>
    <n v="51411.93"/>
  </r>
  <r>
    <x v="0"/>
    <s v="Plastene India Limited "/>
    <d v="2023-04-03T00:00:00"/>
    <s v="Plastene India ltd - Unit 6-Sales"/>
    <s v="Branch Transfer Out"/>
    <s v="PIL1/DC/9"/>
    <x v="1"/>
    <s v="PIL1/DC/9"/>
    <d v="2023-04-03T00:00:00"/>
    <s v="Stores/Spares"/>
    <s v="MS Structure Items"/>
    <s v="Spares &amp; Stores"/>
    <s v="Stores &amp; Consumables"/>
    <s v="MS Pipe 4  C Class"/>
    <n v="172"/>
    <n v="8256"/>
  </r>
  <r>
    <x v="0"/>
    <s v="Plastene India Limited "/>
    <d v="2023-04-04T00:00:00"/>
    <s v="Plastene India ltd - Unit 2-Sales"/>
    <s v="Branch Transfer Out"/>
    <s v="PIL1/DC/13"/>
    <x v="0"/>
    <s v="PIL1/DC/13"/>
    <d v="2023-04-04T00:00:00"/>
    <s v="SF"/>
    <s v="PP/PE Fabric"/>
    <s v="PP UL Fabric"/>
    <s v="PP WOVEN FABRIC (FG)"/>
    <s v="PP UL Fabric With UV"/>
    <n v="1079"/>
    <n v="126288.32000000001"/>
  </r>
  <r>
    <x v="0"/>
    <s v="Plastene India Limited "/>
    <d v="2023-04-04T00:00:00"/>
    <s v="Plastene India ltd - Unit 2-Sales"/>
    <s v="Branch Transfer Out"/>
    <s v="PIL1/DC/13"/>
    <x v="0"/>
    <s v="PIL1/DC/13"/>
    <d v="2023-04-04T00:00:00"/>
    <s v="SF"/>
    <s v="PP/PE Fabric"/>
    <s v="PP Lam Fabric"/>
    <s v="PP Laminated Fabric"/>
    <s v="PP Lam Fabric With UV"/>
    <n v="6341"/>
    <n v="777038.82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PP/PE Fabric"/>
    <s v="PP UL Fabric"/>
    <s v="PP WOVEN FABRIC (FG)"/>
    <s v="PP UL Fabric With UV"/>
    <n v="1787"/>
    <n v="209154.05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PP/PE Fabric"/>
    <s v="PP UL Fabric"/>
    <s v="PP WOVEN FABRIC (FG)"/>
    <s v="PP UL Fabric With UV"/>
    <n v="5717"/>
    <n v="657695.11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Webbing"/>
    <s v="PP Webbing"/>
    <s v="PP Webbing"/>
    <s v="Webbing"/>
    <n v="120.9"/>
    <n v="14513.08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Webbing"/>
    <s v="PP Webbing"/>
    <s v="PP Webbing"/>
    <s v="Webbing"/>
    <n v="320.39999999999998"/>
    <n v="36539.06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PP/PE Fabric"/>
    <s v="PP Lam Fabric"/>
    <s v="PP Laminated Fabric"/>
    <s v="PP Lam Fabric With UV"/>
    <n v="323"/>
    <n v="39581.07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Liners"/>
    <s v="LDPE/LLDPE Bags"/>
    <s v="LLDPE BAGS"/>
    <s v="LDPE/LLDPE Bags/Liner"/>
    <n v="189.7"/>
    <n v="24242.71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Liners"/>
    <s v="LDPE/LLDPE Bags"/>
    <s v="LLDPE BAGS"/>
    <s v="LDPE/LLDPE Bags/Liner"/>
    <n v="3"/>
    <n v="383.39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Liners"/>
    <s v="LDPE/LLDPE Bags"/>
    <s v="LLDPE BAGS"/>
    <s v="LDPE/LLDPE Bags/Liner"/>
    <n v="2589.3000000000002"/>
    <n v="330899.59000000003"/>
  </r>
  <r>
    <x v="0"/>
    <s v="Plastene India Limited "/>
    <d v="2023-04-04T00:00:00"/>
    <s v="Plastene India ltd - Unit 6-Sales"/>
    <s v="Branch Transfer Out"/>
    <s v="PIL1/DC/12"/>
    <x v="1"/>
    <s v="PIL1/DC/12"/>
    <d v="2023-04-04T00:00:00"/>
    <s v="Stores/Spares"/>
    <s v="MS Structure Items"/>
    <s v="Spares &amp; Stores"/>
    <s v="Stores &amp; Consumables"/>
    <s v="MS Pipe 4  C Class"/>
    <n v="356"/>
    <n v="17088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360"/>
    <n v="48886.2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389"/>
    <n v="49712.26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1836.6"/>
    <n v="234708.3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442"/>
    <n v="56485.39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Webbing"/>
    <s v="PP Webbing"/>
    <s v="PP Webbing"/>
    <s v="Webbing"/>
    <n v="411.6"/>
    <n v="48174.49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Webbing"/>
    <s v="PP Webbing"/>
    <s v="PP Webbing"/>
    <s v="Webbing"/>
    <n v="19.3"/>
    <n v="3027.8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Webbing"/>
    <s v="PP Webbing"/>
    <s v="PP Webbing"/>
    <s v="Webbing"/>
    <n v="81.7"/>
    <n v="9807.43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PP/PE Fabric"/>
    <s v="PP UL Fabric"/>
    <s v="PP WOVEN FABRIC (FG)"/>
    <s v="PP UL Fabric With UV"/>
    <n v="383"/>
    <n v="45210.09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PP/PE Fabric"/>
    <s v="PP UL Fabric"/>
    <s v="PP WOVEN FABRIC (FG)"/>
    <s v="PP UL Fabric With UV"/>
    <n v="1849"/>
    <n v="216410.66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PP/PE Fabric"/>
    <s v="PP UL Fabric"/>
    <s v="PP WOVEN FABRIC (FG)"/>
    <s v="PP UL Fabric With UV"/>
    <n v="4896"/>
    <n v="563245.63"/>
  </r>
  <r>
    <x v="0"/>
    <s v="Plastene India Limited "/>
    <d v="2023-04-05T00:00:00"/>
    <s v="Plastene India ltd - Unit 6-Sales"/>
    <s v="Branch Transfer Out"/>
    <s v="PIL1/DC/15"/>
    <x v="1"/>
    <s v="PIL1/DC/15"/>
    <d v="2023-04-05T00:00:00"/>
    <s v="Stores/Spares"/>
    <s v="MS Structure Items"/>
    <s v="Spares &amp; Stores"/>
    <s v="Stores &amp; Consumables"/>
    <s v="MS Pipe 4  C Class"/>
    <n v="292"/>
    <n v="14016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Films All"/>
    <s v="PE Film"/>
    <s v="LLDPE Co-Extruded Film."/>
    <s v="LDPE/LLDPE Film"/>
    <n v="166.7"/>
    <n v="20136.53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PP/PE Fabric"/>
    <s v="PP UL Fabric"/>
    <s v="PP WOVEN FABRIC (FG)"/>
    <s v="PP UL Fabric With UV"/>
    <n v="745"/>
    <n v="87196.29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PP/PE Fabric"/>
    <s v="PP UL Fabric"/>
    <s v="PP WOVEN FABRIC (FG)"/>
    <s v="PP UL Fabric With UV"/>
    <n v="1419"/>
    <n v="163244.6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Liners"/>
    <s v="LDPE/LLDPE Bags"/>
    <s v="LLDPE BAGS"/>
    <s v="LDPE/LLDPE Bags/Liner"/>
    <n v="191.7"/>
    <n v="24498.3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Liners"/>
    <s v="LDPE/LLDPE Bags"/>
    <s v="LLDPE BAGS"/>
    <s v="LDPE/LLDPE Bags/Liner"/>
    <n v="1448.8"/>
    <n v="185149.4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Liners"/>
    <s v="LDPE/LLDPE Bags"/>
    <s v="LLDPE BAGS"/>
    <s v="LDPE/LLDPE Bags/Liner"/>
    <n v="5623.9"/>
    <n v="718706.3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Webbing"/>
    <s v="PP Webbing"/>
    <s v="PP Webbing"/>
    <s v="Webbing"/>
    <n v="29.5"/>
    <n v="4627.99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Webbing"/>
    <s v="PP Webbing"/>
    <s v="PP Webbing"/>
    <s v="Webbing"/>
    <n v="192.9"/>
    <n v="23156.1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Webbing"/>
    <s v="PP Webbing"/>
    <s v="PP Webbing"/>
    <s v="Webbing"/>
    <n v="464"/>
    <n v="54307.49"/>
  </r>
  <r>
    <x v="0"/>
    <s v="Plastene India Limited "/>
    <d v="2023-04-06T00:00:00"/>
    <s v="Plastene India ltd - Unit 6-Sales"/>
    <s v="Branch Transfer Out"/>
    <s v="PIL1/DC/17"/>
    <x v="1"/>
    <s v="PIL1/DC/17"/>
    <d v="2023-04-06T00:00:00"/>
    <s v="Stores/Spares"/>
    <s v="MS Structure Items"/>
    <s v="Spares &amp; Stores"/>
    <s v="Stores &amp; Consumables"/>
    <s v="MS Pipe 4  C Class"/>
    <n v="105"/>
    <n v="5040"/>
  </r>
  <r>
    <x v="0"/>
    <s v="Plastene India Limited "/>
    <d v="2023-04-06T00:00:00"/>
    <s v="Plastene India ltd - Unit 6-Sales"/>
    <s v="Branch Transfer Out"/>
    <s v="PIL1/DC/18"/>
    <x v="0"/>
    <s v="PIL1/DC/18"/>
    <d v="2023-04-06T00:00:00"/>
    <s v="SF"/>
    <s v="PP/PE Fabric"/>
    <s v="PP UL Fabric"/>
    <s v="PP WOVEN FABRIC (FG)"/>
    <s v="PP UL Fabric With UV"/>
    <n v="321"/>
    <n v="38533.480000000003"/>
  </r>
  <r>
    <x v="0"/>
    <s v="Plastene India Limited "/>
    <d v="2023-04-06T00:00:00"/>
    <s v="Plastene India ltd - Unit 6-Sales"/>
    <s v="Branch Transfer Out"/>
    <s v="PIL1/DC/18"/>
    <x v="0"/>
    <s v="PIL1/DC/18"/>
    <d v="2023-04-06T00:00:00"/>
    <s v="SF"/>
    <s v="PP/PE Fabric"/>
    <s v="PP UL Fabric"/>
    <s v="PP WOVEN FABRIC (FG)"/>
    <s v="PP UL Fabric With UV"/>
    <n v="2115"/>
    <n v="247543.83"/>
  </r>
  <r>
    <x v="0"/>
    <s v="Plastene India Limited "/>
    <d v="2023-04-06T00:00:00"/>
    <s v="Plastene India ltd - Unit 6-Sales"/>
    <s v="Branch Transfer Out"/>
    <s v="PIL1/DC/18"/>
    <x v="0"/>
    <s v="PIL1/DC/18"/>
    <d v="2023-04-06T00:00:00"/>
    <s v="SF"/>
    <s v="PP/PE Fabric"/>
    <s v="PP UL Fabric"/>
    <s v="PP WOVEN FABRIC (FG)"/>
    <s v="PP UL Fabric With UV"/>
    <n v="5913"/>
    <n v="680243.35"/>
  </r>
  <r>
    <x v="0"/>
    <s v="Plastene India Limited "/>
    <d v="2023-04-06T00:00:00"/>
    <s v="Plastene India ltd - Unit 6-Sales"/>
    <s v="Branch Transfer Out"/>
    <s v="PIL1/DC/19"/>
    <x v="1"/>
    <s v="PIL1/DC/19"/>
    <d v="2023-04-06T00:00:00"/>
    <s v="Stores/Spares"/>
    <s v="MS Structure Items"/>
    <s v="Spares &amp; Stores"/>
    <s v="Stores &amp; Consumables"/>
    <s v="MS Pipe 4  C Class"/>
    <n v="382"/>
    <n v="18336"/>
  </r>
  <r>
    <x v="0"/>
    <s v="Plastene India Limited "/>
    <d v="2023-04-07T00:00:00"/>
    <s v="Plastene India ltd - Unit 2-Sales"/>
    <s v="Branch Transfer Out"/>
    <s v="PIL1/DC/26"/>
    <x v="0"/>
    <s v="PIL1/DC/26"/>
    <d v="2023-04-07T00:00:00"/>
    <s v="SF"/>
    <s v="PP/PE Fabric"/>
    <s v="PP Lam Fabric"/>
    <s v="PP Laminated Fabric"/>
    <s v="PP Lam Fabric With UV"/>
    <n v="6593"/>
    <n v="807919.41"/>
  </r>
  <r>
    <x v="0"/>
    <s v="Plastene India Limited "/>
    <d v="2023-04-07T00:00:00"/>
    <s v="Plastene India ltd - Unit 2-Sales"/>
    <s v="Branch Transfer Out"/>
    <s v="PIL1/DC/26"/>
    <x v="0"/>
    <s v="PIL1/DC/26"/>
    <d v="2023-04-07T00:00:00"/>
    <s v="SF"/>
    <s v="PP/PE Fabric"/>
    <s v="PP UL Fabric"/>
    <s v="PP WOVEN FABRIC (FG)"/>
    <s v="PP UL Fabric With UV"/>
    <n v="610"/>
    <n v="71395.62"/>
  </r>
  <r>
    <x v="0"/>
    <s v="Plastene India Limited "/>
    <d v="2023-04-07T00:00:00"/>
    <s v="Plastene India ltd - Unit 6-Sales"/>
    <s v="Branch Transfer Out"/>
    <s v="PIL1/DC/20"/>
    <x v="0"/>
    <s v="PIL1/DC/20"/>
    <d v="2023-04-07T00:00:00"/>
    <s v="SF"/>
    <s v="PP/PE Fabric"/>
    <s v="PP UL Fabric"/>
    <s v="PP WOVEN FABRIC (FG)"/>
    <s v="PP UL Fabric With UV"/>
    <n v="1311"/>
    <n v="153442.06"/>
  </r>
  <r>
    <x v="0"/>
    <s v="Plastene India Limited "/>
    <d v="2023-04-07T00:00:00"/>
    <s v="Plastene India ltd - Unit 6-Sales"/>
    <s v="Branch Transfer Out"/>
    <s v="PIL1/DC/20"/>
    <x v="0"/>
    <s v="PIL1/DC/20"/>
    <d v="2023-04-07T00:00:00"/>
    <s v="SF"/>
    <s v="PP/PE Fabric"/>
    <s v="PP UL Fabric"/>
    <s v="PP WOVEN FABRIC (FG)"/>
    <s v="PP UL Fabric With UV"/>
    <n v="1866"/>
    <n v="214668.37"/>
  </r>
  <r>
    <x v="0"/>
    <s v="Plastene India Limited "/>
    <d v="2023-04-07T00:00:00"/>
    <s v="Plastene India ltd - Unit 6-Sales"/>
    <s v="Branch Transfer Out"/>
    <s v="PIL1/DC/20"/>
    <x v="0"/>
    <s v="PIL1/DC/20"/>
    <d v="2023-04-07T00:00:00"/>
    <s v="SF"/>
    <s v="PP/PE Fabric"/>
    <s v="PP Lam Fabric"/>
    <s v="PP Laminated Fabric"/>
    <s v="PP Lam Fabric With UV"/>
    <n v="240"/>
    <n v="29410.080000000002"/>
  </r>
  <r>
    <x v="0"/>
    <s v="Plastene India Limited "/>
    <d v="2023-04-07T00:00:00"/>
    <s v="Plastene India ltd - Unit 6-Sales"/>
    <s v="Branch Transfer Out"/>
    <s v="PIL1/DC/21"/>
    <x v="1"/>
    <s v="PIL1/DC/21"/>
    <d v="2023-04-07T00:00:00"/>
    <s v="Stores/Spares"/>
    <s v="MS Structure Items"/>
    <s v="Spares &amp; Stores"/>
    <s v="Stores &amp; Consumables"/>
    <s v="MS Pipe 4  C Class"/>
    <n v="116"/>
    <n v="5568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Webbing"/>
    <s v="PP Webbing"/>
    <s v="PP Webbing"/>
    <s v="Webbing"/>
    <n v="565.29999999999995"/>
    <n v="66163.839999999997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Webbing"/>
    <s v="PP Webbing"/>
    <s v="PP Webbing"/>
    <s v="Webbing"/>
    <n v="92.6"/>
    <n v="11115.89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PP/PE Fabric"/>
    <s v="PP UL Fabric"/>
    <s v="PP WOVEN FABRIC (FG)"/>
    <s v="PP UL Fabric With UV"/>
    <n v="765"/>
    <n v="89537.13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PP/PE Fabric"/>
    <s v="PP UL Fabric"/>
    <s v="PP WOVEN FABRIC (FG)"/>
    <s v="PP UL Fabric With UV"/>
    <n v="304"/>
    <n v="35884.769999999997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PP/PE Fabric"/>
    <s v="PP UL Fabric"/>
    <s v="PP WOVEN FABRIC (FG)"/>
    <s v="PP UL Fabric With UV"/>
    <n v="2371"/>
    <n v="272764.58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Liners"/>
    <s v="LDPE/LLDPE Bags"/>
    <s v="LLDPE BAGS"/>
    <s v="LDPE/LLDPE Bags/Liner"/>
    <n v="999.6"/>
    <n v="131742.28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Liners"/>
    <s v="LDPE/LLDPE Bags"/>
    <s v="LLDPE BAGS"/>
    <s v="LDPE/LLDPE Bags/Liner"/>
    <n v="3037.6"/>
    <n v="388190.09"/>
  </r>
  <r>
    <x v="0"/>
    <s v="Plastene India Limited "/>
    <d v="2023-04-07T00:00:00"/>
    <s v="Plastene India ltd - Unit 6-Sales"/>
    <s v="Branch Transfer Out"/>
    <s v="PIL1/DC/23"/>
    <x v="1"/>
    <s v="PIL1/DC/23"/>
    <d v="2023-04-07T00:00:00"/>
    <s v="Stores/Spares"/>
    <s v="MS Structure Items"/>
    <s v="Spares &amp; Stores"/>
    <s v="Stores &amp; Consumables"/>
    <s v="MS Pipe 4  C Class"/>
    <n v="154"/>
    <n v="7392"/>
  </r>
  <r>
    <x v="0"/>
    <s v="Plastene India Limited "/>
    <d v="2023-04-07T00:00:00"/>
    <s v="Plastene India ltd - Unit 6-Sales"/>
    <s v="Branch Transfer Out"/>
    <s v="PIL1/DC/24"/>
    <x v="0"/>
    <s v="PIL1/DC/24"/>
    <d v="2023-04-07T00:00:00"/>
    <s v="SF"/>
    <s v="PP/PE Fabric"/>
    <s v="PP UL Fabric"/>
    <s v="PP WOVEN FABRIC (FG)"/>
    <s v="PP UL Fabric With UV"/>
    <n v="7946"/>
    <n v="930015.73"/>
  </r>
  <r>
    <x v="0"/>
    <s v="Plastene India Limited "/>
    <d v="2023-04-07T00:00:00"/>
    <s v="Plastene India ltd - Unit 6-Sales"/>
    <s v="Branch Transfer Out"/>
    <s v="PIL1/DC/24"/>
    <x v="0"/>
    <s v="PIL1/DC/24"/>
    <d v="2023-04-07T00:00:00"/>
    <s v="SF"/>
    <s v="PP/PE Fabric"/>
    <s v="PP UL Fabric"/>
    <s v="PP WOVEN FABRIC (FG)"/>
    <s v="PP UL Fabric With UV"/>
    <n v="2357"/>
    <n v="271153.99"/>
  </r>
  <r>
    <x v="0"/>
    <s v="Plastene India Limited "/>
    <d v="2023-04-07T00:00:00"/>
    <s v="Plastene India ltd - Unit 6-Sales"/>
    <s v="Branch Transfer Out"/>
    <s v="PIL1/DC/25"/>
    <x v="1"/>
    <s v="PIL1/DC/25"/>
    <d v="2023-04-07T00:00:00"/>
    <s v="Stores/Spares"/>
    <s v="MS Structure Items"/>
    <s v="Spares &amp; Stores"/>
    <s v="Stores &amp; Consumables"/>
    <s v="MS Pipe 4  C Class"/>
    <n v="373"/>
    <n v="17904"/>
  </r>
  <r>
    <x v="0"/>
    <s v="Plastene India Limited "/>
    <d v="2023-04-08T00:00:00"/>
    <s v="Plastene India ltd - Unit 6-Sales"/>
    <s v="Branch Transfer Out"/>
    <s v="PIL1/DC/27"/>
    <x v="0"/>
    <s v="PIL1/DC/27"/>
    <d v="2023-04-08T00:00:00"/>
    <s v="SF"/>
    <s v="PP/PE Fabric"/>
    <s v="PP UL Fabric"/>
    <s v="PP WOVEN FABRIC (FG)"/>
    <s v="PP UL Fabric With UV"/>
    <n v="2714"/>
    <n v="317651.99"/>
  </r>
  <r>
    <x v="0"/>
    <s v="Plastene India Limited "/>
    <d v="2023-04-08T00:00:00"/>
    <s v="Plastene India ltd - Unit 6-Sales"/>
    <s v="Branch Transfer Out"/>
    <s v="PIL1/DC/27"/>
    <x v="0"/>
    <s v="PIL1/DC/27"/>
    <d v="2023-04-08T00:00:00"/>
    <s v="SF"/>
    <s v="PP/PE Fabric"/>
    <s v="PP UL Fabric"/>
    <s v="PP WOVEN FABRIC (FG)"/>
    <s v="PP UL Fabric With UV"/>
    <n v="586"/>
    <n v="67414.61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PP/PE Fabric"/>
    <s v="PP UL Fabric"/>
    <s v="PP WOVEN FABRIC (FG)"/>
    <s v="PP UL Fabric With UV"/>
    <n v="4373"/>
    <n v="511824.67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PP/PE Fabric"/>
    <s v="PP UL Fabric"/>
    <s v="PP WOVEN FABRIC (FG)"/>
    <s v="PP UL Fabric With UV"/>
    <n v="3356"/>
    <n v="386080.95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Liners"/>
    <s v="LDPE/LLDPE Bags"/>
    <s v="LLDPE BAGS"/>
    <s v="LDPE/LLDPE Bags/Liner"/>
    <n v="1643.8"/>
    <n v="216644.62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Liners"/>
    <s v="LDPE/LLDPE Bags"/>
    <s v="LLDPE BAGS"/>
    <s v="LDPE/LLDPE Bags/Liner"/>
    <n v="230"/>
    <n v="31232.85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Webbing"/>
    <s v="PP Webbing"/>
    <s v="PP Webbing"/>
    <s v="Webbing"/>
    <n v="292.8"/>
    <n v="35148.300000000003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Webbing"/>
    <s v="PP Webbing"/>
    <s v="PP Webbing"/>
    <s v="Webbing"/>
    <n v="602"/>
    <n v="70459.28"/>
  </r>
  <r>
    <x v="0"/>
    <s v="Plastene India Limited "/>
    <d v="2023-04-08T00:00:00"/>
    <s v="Plastene India ltd - Unit 6-Sales"/>
    <s v="Branch Transfer Out"/>
    <s v="PIL1/DC/29"/>
    <x v="1"/>
    <s v="PIL1/DC/29"/>
    <d v="2023-04-08T00:00:00"/>
    <s v="Stores/Spares"/>
    <s v="MS Structure Items"/>
    <s v="Spares &amp; Stores"/>
    <s v="Stores &amp; Consumables"/>
    <s v="MS Pipe 4  C Class"/>
    <n v="426"/>
    <n v="20448"/>
  </r>
  <r>
    <x v="0"/>
    <s v="Plastene India Limited "/>
    <d v="2023-04-09T00:00:00"/>
    <s v="Plastene India ltd - Unit 2-Sales"/>
    <s v="Branch Transfer Out"/>
    <s v="PIL1/DC/33"/>
    <x v="2"/>
    <s v="PIL1/DC/33"/>
    <d v="2023-04-09T00:00:00"/>
    <s v="RM"/>
    <s v="Granules"/>
    <s v="LDPE Granules"/>
    <s v="LDPE Granuels"/>
    <s v="LDPE RIL J24FS040"/>
    <n v="2000"/>
    <n v="216954"/>
  </r>
  <r>
    <x v="0"/>
    <s v="Plastene India Limited "/>
    <d v="2023-04-09T00:00:00"/>
    <s v="Plastene India ltd - Unit 2-Sales"/>
    <s v="Branch Transfer Out"/>
    <s v="PIL1/DC/34"/>
    <x v="2"/>
    <s v="PIL1/DC/34"/>
    <d v="2023-04-09T00:00:00"/>
    <s v="RM"/>
    <s v="Granules"/>
    <s v="LDPE Granules"/>
    <s v="LDPE Granuels"/>
    <s v="LDPE RIL J24FS040"/>
    <n v="1000"/>
    <n v="108477"/>
  </r>
  <r>
    <x v="0"/>
    <s v="Plastene India Limited "/>
    <d v="2023-04-09T00:00:00"/>
    <s v="Plastene India ltd - Unit 2-Sales"/>
    <s v="Branch Transfer Out"/>
    <s v="PIL1/DC/35"/>
    <x v="0"/>
    <s v="PIL1/DC/35"/>
    <d v="2023-04-09T00:00:00"/>
    <s v="SF"/>
    <s v="Yarn All"/>
    <s v="PP Yarn"/>
    <s v="PP Filament Yarn"/>
    <s v="PP MF Yarn Twisted 1000 UV NW"/>
    <n v="1091.7"/>
    <n v="143974.49"/>
  </r>
  <r>
    <x v="0"/>
    <s v="Plastene India Limited "/>
    <d v="2023-04-09T00:00:00"/>
    <s v="Plastene India ltd - Unit 2-Sales"/>
    <s v="Branch Transfer Out"/>
    <s v="PIL1/DC/35"/>
    <x v="0"/>
    <s v="PIL1/DC/35"/>
    <d v="2023-04-09T00:00:00"/>
    <s v="SF"/>
    <s v="Yarn All"/>
    <s v="PP Yarn"/>
    <s v="PP Filament Yarn"/>
    <s v="PP MF Yarn Twisted 2500 Denier UV NW"/>
    <n v="2800.5"/>
    <n v="377734.24"/>
  </r>
  <r>
    <x v="0"/>
    <s v="Plastene India Limited "/>
    <d v="2023-04-09T00:00:00"/>
    <s v="Plastene India ltd - Unit 2-Sales"/>
    <s v="Branch Transfer Out"/>
    <s v="PIL1/DC/35"/>
    <x v="0"/>
    <s v="PIL1/DC/35"/>
    <d v="2023-04-09T00:00:00"/>
    <s v="SF"/>
    <s v="Yarn All"/>
    <s v="PP Yarn"/>
    <s v="PP Filament Yarn"/>
    <s v="PP MF Yarn Twisted 3000 Denier UV NW"/>
    <n v="1781.5"/>
    <n v="234946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PP/PE Fabric"/>
    <s v="PP Lam Fabric"/>
    <s v="PP Laminated Fabric"/>
    <s v="PP Lam Fabric With UV"/>
    <n v="885"/>
    <n v="108449.67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PP/PE Fabric"/>
    <s v="PP UL Fabric"/>
    <s v="PP WOVEN FABRIC (FG)"/>
    <s v="PP UL Fabric With UV"/>
    <n v="1841"/>
    <n v="215474.32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PP/PE Fabric"/>
    <s v="PP UL Fabric"/>
    <s v="PP WOVEN FABRIC (FG)"/>
    <s v="PP UL Fabric With UV"/>
    <n v="4036"/>
    <n v="464309.51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Webbing"/>
    <s v="PP Webbing"/>
    <s v="PP Webbing"/>
    <s v="Webbing"/>
    <n v="345"/>
    <n v="41414.49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Webbing"/>
    <s v="PP Webbing"/>
    <s v="PP Webbing"/>
    <s v="Webbing"/>
    <n v="543.6"/>
    <n v="63624.03"/>
  </r>
  <r>
    <x v="0"/>
    <s v="Plastene India Limited "/>
    <d v="2023-04-09T00:00:00"/>
    <s v="Plastene India ltd - Unit 6-Sales"/>
    <s v="Branch Transfer Out"/>
    <s v="PIL1/DC/31"/>
    <x v="1"/>
    <s v="PIL1/DC/31"/>
    <d v="2023-04-09T00:00:00"/>
    <s v="Stores/Spares"/>
    <s v="MS Structure Items"/>
    <s v="Spares &amp; Stores"/>
    <s v="Stores &amp; Consumables"/>
    <s v="MS Pipe 4  C Class"/>
    <n v="255"/>
    <n v="12240"/>
  </r>
  <r>
    <x v="0"/>
    <s v="Plastene India Limited "/>
    <d v="2023-04-09T00:00:00"/>
    <s v="Plastene India ltd - Unit 6-Sales"/>
    <s v="Branch Transfer Out"/>
    <s v="PIL1/DC/32"/>
    <x v="0"/>
    <s v="PIL1/DC/32"/>
    <d v="2023-04-09T00:00:00"/>
    <s v="SF"/>
    <s v="Liners"/>
    <s v="LDPE/LLDPE Bags"/>
    <s v="LLDPE BAGS"/>
    <s v="LDPE/LLDPE Bags/Liner"/>
    <n v="278.60000000000002"/>
    <n v="36718.089999999997"/>
  </r>
  <r>
    <x v="0"/>
    <s v="Plastene India Limited "/>
    <d v="2023-04-09T00:00:00"/>
    <s v="Plastene India ltd - Unit 6-Sales"/>
    <s v="Branch Transfer Out"/>
    <s v="PIL1/DC/32"/>
    <x v="0"/>
    <s v="PIL1/DC/32"/>
    <d v="2023-04-09T00:00:00"/>
    <s v="SF"/>
    <s v="Liners"/>
    <s v="LDPE/LLDPE Bags"/>
    <s v="LLDPE BAGS"/>
    <s v="LDPE/LLDPE Bags/Liner"/>
    <n v="320"/>
    <n v="43454.400000000001"/>
  </r>
  <r>
    <x v="0"/>
    <s v="Plastene India Limited "/>
    <d v="2023-04-10T00:00:00"/>
    <s v="Plastene India ltd - Unit 6-Sales"/>
    <s v="Branch Transfer Out"/>
    <s v="PIL1/DC/36"/>
    <x v="0"/>
    <s v="PIL1/DC/36"/>
    <d v="2023-04-10T00:00:00"/>
    <s v="SF"/>
    <s v="PP/PE Fabric"/>
    <s v="PP UL Fabric"/>
    <s v="PP WOVEN FABRIC (FG)"/>
    <s v="PP UL Fabric With UV"/>
    <n v="481"/>
    <n v="56297.2"/>
  </r>
  <r>
    <x v="0"/>
    <s v="Plastene India Limited "/>
    <d v="2023-04-10T00:00:00"/>
    <s v="Plastene India ltd - Unit 6-Sales"/>
    <s v="Branch Transfer Out"/>
    <s v="PIL1/DC/36"/>
    <x v="0"/>
    <s v="PIL1/DC/36"/>
    <d v="2023-04-10T00:00:00"/>
    <s v="SF"/>
    <s v="PP/PE Fabric"/>
    <s v="PP UL Fabric"/>
    <s v="PP WOVEN FABRIC (FG)"/>
    <s v="PP UL Fabric With UV"/>
    <n v="4238"/>
    <n v="487548"/>
  </r>
  <r>
    <x v="0"/>
    <s v="Plastene India Limited "/>
    <d v="2023-04-10T00:00:00"/>
    <s v="Plastene India ltd - Unit 6-Sales"/>
    <s v="Branch Transfer Out"/>
    <s v="PIL1/DC/36"/>
    <x v="0"/>
    <s v="PIL1/DC/36"/>
    <d v="2023-04-10T00:00:00"/>
    <s v="SF"/>
    <s v="Liners"/>
    <s v="LDPE/LLDPE Bags"/>
    <s v="LLDPE BAGS"/>
    <s v="LDPE/LLDPE Bags/Liner"/>
    <n v="626.79999999999995"/>
    <n v="80101.91"/>
  </r>
  <r>
    <x v="0"/>
    <s v="Plastene India Limited "/>
    <d v="2023-04-10T00:00:00"/>
    <s v="Plastene India ltd - Unit 6-Sales"/>
    <s v="Branch Transfer Out"/>
    <s v="PIL1/DC/37"/>
    <x v="1"/>
    <s v="PIL1/DC/37"/>
    <d v="2023-04-10T00:00:00"/>
    <s v="Stores/Spares"/>
    <s v="MS Structure Items"/>
    <s v="Spares &amp; Stores"/>
    <s v="Stores &amp; Consumables"/>
    <s v="MS Pipe 4  C Class"/>
    <n v="199"/>
    <n v="9552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PP/PE Fabric"/>
    <s v="PP UL Fabric"/>
    <s v="PP WOVEN FABRIC (FG)"/>
    <s v="PP UL Fabric With UV"/>
    <n v="3146"/>
    <n v="361922.13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PP/PE Fabric"/>
    <s v="PP UL Fabric"/>
    <s v="PP WOVEN FABRIC (FG)"/>
    <s v="PP UL Fabric With UV"/>
    <n v="537"/>
    <n v="62851.55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Webbing"/>
    <s v="PP Webbing"/>
    <s v="PP Webbing"/>
    <s v="Webbing"/>
    <n v="1018.6"/>
    <n v="122274.78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Webbing"/>
    <s v="PP Webbing"/>
    <s v="PP Webbing"/>
    <s v="Webbing"/>
    <n v="483.7"/>
    <n v="56613.22"/>
  </r>
  <r>
    <x v="0"/>
    <s v="Plastene India Limited "/>
    <d v="2023-04-11T00:00:00"/>
    <s v="Plastene India ltd - Unit 6-Sales"/>
    <s v="Branch Transfer Out"/>
    <s v="PIL1/DC/39"/>
    <x v="1"/>
    <s v="PIL1/DC/39"/>
    <d v="2023-04-11T00:00:00"/>
    <s v="Stores/Spares"/>
    <s v="MS Structure Items"/>
    <s v="Spares &amp; Stores"/>
    <s v="Stores &amp; Consumables"/>
    <s v="MS Pipe 4  C Class"/>
    <n v="173"/>
    <n v="8304"/>
  </r>
  <r>
    <x v="0"/>
    <s v="Plastene India Limited "/>
    <d v="2023-04-11T00:00:00"/>
    <s v="Plastene India ltd - Unit 6-Sales"/>
    <s v="Branch Transfer Out"/>
    <s v="PIL1/DC/40"/>
    <x v="0"/>
    <s v="PIL1/DC/40"/>
    <d v="2023-04-11T00:00:00"/>
    <s v="SF"/>
    <s v="Liners"/>
    <s v="LDPE/LLDPE Bags"/>
    <s v="LLDPE BAGS"/>
    <s v="LDPE/LLDPE Bags/Liner"/>
    <n v="2558.8000000000002"/>
    <n v="337237.05"/>
  </r>
  <r>
    <x v="0"/>
    <s v="Plastene India Limited "/>
    <d v="2023-04-11T00:00:00"/>
    <s v="Plastene India ltd - Unit 6-Sales"/>
    <s v="Branch Transfer Out"/>
    <s v="PIL1/DC/40"/>
    <x v="0"/>
    <s v="PIL1/DC/40"/>
    <d v="2023-04-11T00:00:00"/>
    <s v="SF"/>
    <s v="Liners"/>
    <s v="LDPE/LLDPE Bags"/>
    <s v="LLDPE BAGS"/>
    <s v="LDPE/LLDPE Bags/Liner"/>
    <n v="2268.1"/>
    <n v="289851.84000000003"/>
  </r>
  <r>
    <x v="0"/>
    <s v="Plastene India Limited "/>
    <d v="2023-04-11T00:00:00"/>
    <s v="Plastene India ltd - Unit 6-Sales"/>
    <s v="Branch Transfer Out"/>
    <s v="PIL1/DC/40"/>
    <x v="0"/>
    <s v="PIL1/DC/40"/>
    <d v="2023-04-11T00:00:00"/>
    <s v="SF"/>
    <s v="Liners"/>
    <s v="LDPE/LLDPE Bags"/>
    <s v="LLDPE BAGS"/>
    <s v="LDPE/LLDPE Bags/Liner"/>
    <n v="536.4"/>
    <n v="72840.44"/>
  </r>
  <r>
    <x v="0"/>
    <s v="Plastene India Limited "/>
    <d v="2023-04-12T00:00:00"/>
    <s v="Plastene India ltd - Unit 2-Sales"/>
    <s v="Branch Transfer Out"/>
    <s v="PIL1/DC/43"/>
    <x v="2"/>
    <s v="PIL1/DC/43"/>
    <d v="2023-04-12T00:00:00"/>
    <s v="RM"/>
    <s v="Granules"/>
    <s v="PP Granules"/>
    <s v="PP Granuels"/>
    <s v="PP China PPH T03"/>
    <n v="51000"/>
    <n v="4847142"/>
  </r>
  <r>
    <x v="0"/>
    <s v="Plastene India Limited "/>
    <d v="2023-04-12T00:00:00"/>
    <s v="Plastene India ltd - Unit 6-Sales"/>
    <s v="Branch Transfer Out"/>
    <s v="PIL1/DC/41"/>
    <x v="1"/>
    <s v="PIL1/DC/41"/>
    <d v="2023-04-12T00:00:00"/>
    <s v="Stores/Spares"/>
    <s v="MS Structure Items"/>
    <s v="Spares &amp; Stores"/>
    <s v="Stores &amp; Consumables"/>
    <s v="MS Pipe 4  C Class"/>
    <n v="197"/>
    <n v="9456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Webbing"/>
    <s v="PP Webbing"/>
    <s v="PP Webbing"/>
    <s v="Webbing"/>
    <n v="1111.0999999999999"/>
    <n v="133378.67000000001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Webbing"/>
    <s v="PP Webbing"/>
    <s v="PP Webbing"/>
    <s v="Webbing"/>
    <n v="190.4"/>
    <n v="22284.799999999999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Yarn All"/>
    <s v="PP Yarn"/>
    <s v="PP Filament Yarn"/>
    <s v="PP MF Yarn Twisted 3000 Denier UV NW"/>
    <n v="1250.0999999999999"/>
    <n v="164864.44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Yarn All"/>
    <s v="PP Yarn"/>
    <s v="PP Filament Yarn"/>
    <s v="PP MF Yarn Twisted 3000 Denier UV Black"/>
    <n v="1008.2"/>
    <n v="135987.01999999999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PP/PE Fabric"/>
    <s v="PP UL Fabric"/>
    <s v="PP WOVEN FABRIC (FG)"/>
    <s v="PP UL Fabric With UV"/>
    <n v="3929"/>
    <n v="452000.02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PP/PE Fabric"/>
    <s v="PP UL Fabric"/>
    <s v="PP WOVEN FABRIC (FG)"/>
    <s v="PP UL Fabric With UV"/>
    <n v="719"/>
    <n v="84153.2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Liners"/>
    <s v="LDPE/LLDPE Bags"/>
    <s v="LLDPE BAGS"/>
    <s v="LDPE/LLDPE Bags/Liner"/>
    <n v="1819.3"/>
    <n v="232497.44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Films All"/>
    <s v="PE Film"/>
    <s v="LLDPE Co-Extruded Film."/>
    <s v="LDPE/LLDPE Film"/>
    <n v="311"/>
    <n v="37567.25"/>
  </r>
  <r>
    <x v="0"/>
    <s v="Plastene India Limited "/>
    <d v="2023-04-13T00:00:00"/>
    <s v="Plastene India ltd - Unit 2-Sales"/>
    <s v="Branch Transfer Out"/>
    <s v="PIL1/DC/46"/>
    <x v="0"/>
    <s v="PIL1/DC/46"/>
    <d v="2023-04-13T00:00:00"/>
    <s v="SF"/>
    <s v="Yarn All"/>
    <s v="PP Yarn"/>
    <s v="PP Filament Yarn"/>
    <s v="PP MF Yarn Twisted 1000 UV NW"/>
    <n v="2269.4"/>
    <n v="299290.74"/>
  </r>
  <r>
    <x v="0"/>
    <s v="Plastene India Limited "/>
    <d v="2023-04-13T00:00:00"/>
    <s v="Plastene India ltd - Unit 2-Sales"/>
    <s v="Branch Transfer Out"/>
    <s v="PIL1/DC/47"/>
    <x v="0"/>
    <s v="PIL1/DC/47"/>
    <d v="2023-04-13T00:00:00"/>
    <s v="SF"/>
    <s v="PP/PE Fabric"/>
    <s v="PP UL Fabric"/>
    <s v="PP WOVEN FABRIC (FG)"/>
    <s v="PP UL Fabric With UV"/>
    <n v="4384"/>
    <n v="526264.13"/>
  </r>
  <r>
    <x v="0"/>
    <s v="Plastene India Limited "/>
    <d v="2023-04-13T00:00:00"/>
    <s v="Plastene India ltd - Unit 2-Sales"/>
    <s v="Branch Transfer Out"/>
    <s v="PIL1/DC/48"/>
    <x v="1"/>
    <s v="PIL1/DC/48"/>
    <d v="2023-04-13T00:00:00"/>
    <s v="Stores/Spares"/>
    <s v="MS Structure Items"/>
    <s v="Spares &amp; Stores"/>
    <s v="Stores &amp; Consumables"/>
    <s v="MS Pipe 4  C Class"/>
    <n v="217"/>
    <n v="10416"/>
  </r>
  <r>
    <x v="0"/>
    <s v="Plastene India Limited "/>
    <d v="2023-04-13T00:00:00"/>
    <s v="Plastene India ltd - Unit 2-Sales"/>
    <s v="Branch Transfer Out"/>
    <s v="PIL1/DC/49"/>
    <x v="0"/>
    <s v="PIL1/DC/49"/>
    <d v="2023-04-13T00:00:00"/>
    <s v="SF"/>
    <s v="Liners"/>
    <s v="LDPE/LLDPE Bags"/>
    <s v="LLDPE BAGS"/>
    <s v="LDPE/LLDPE Bags/Liner"/>
    <n v="3.2"/>
    <n v="421.74"/>
  </r>
  <r>
    <x v="0"/>
    <s v="Plastene India Limited "/>
    <d v="2023-04-13T00:00:00"/>
    <s v="Plastene India ltd - Unit 2-Sales"/>
    <s v="Branch Transfer Out"/>
    <s v="PIL1/DC/49"/>
    <x v="0"/>
    <s v="PIL1/DC/49"/>
    <d v="2023-04-13T00:00:00"/>
    <s v="SF"/>
    <s v="Liners"/>
    <s v="LDPE/LLDPE Bags"/>
    <s v="LLDPE BAGS"/>
    <s v="LDPE/LLDPE Bags/Liner"/>
    <n v="360"/>
    <n v="55726.2"/>
  </r>
  <r>
    <x v="0"/>
    <s v="Plastene India Limited "/>
    <d v="2023-04-13T00:00:00"/>
    <s v="Plastene India ltd - Unit 2-Sales"/>
    <s v="Branch Transfer Out"/>
    <s v="PIL1/DC/49"/>
    <x v="0"/>
    <s v="PIL1/DC/49"/>
    <d v="2023-04-13T00:00:00"/>
    <s v="SF"/>
    <s v="Liners"/>
    <s v="LDPE/LLDPE Bags"/>
    <s v="LLDPE BAGS"/>
    <s v="LDPE/LLDPE Bags/Liner"/>
    <n v="544"/>
    <n v="82576.479999999996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Liners"/>
    <s v="LDPE/LLDPE Bags"/>
    <s v="LLDPE BAGS"/>
    <s v="LDPE/LLDPE Bags/Liner"/>
    <n v="1169.2"/>
    <n v="149417.91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Liners"/>
    <s v="LDPE/LLDPE Bags"/>
    <s v="LLDPE BAGS"/>
    <s v="LDPE/LLDPE Bags/Liner"/>
    <n v="248"/>
    <n v="32685.16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Liners"/>
    <s v="LDPE/LLDPE Bags"/>
    <s v="LLDPE BAGS"/>
    <s v="LDPE/LLDPE Bags/Liner"/>
    <n v="90.2"/>
    <n v="12248.71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PP/PE Fabric"/>
    <s v="PP UL Fabric"/>
    <s v="PP WOVEN FABRIC (FG)"/>
    <s v="PP UL Fabric With UV"/>
    <n v="723"/>
    <n v="84621.37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PP/PE Fabric"/>
    <s v="PP UL Fabric"/>
    <s v="PP WOVEN FABRIC (FG)"/>
    <s v="PP UL Fabric With UV"/>
    <n v="4034"/>
    <n v="464079.43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Webbing"/>
    <s v="PP Webbing"/>
    <s v="PP Webbing"/>
    <s v="Webbing"/>
    <n v="1153.5999999999999"/>
    <n v="138480.45000000001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Webbing"/>
    <s v="PP Webbing"/>
    <s v="PP Webbing"/>
    <s v="Webbing"/>
    <n v="343.4"/>
    <n v="40192.22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PP/PE Fabric"/>
    <s v="PP Lam Fabric"/>
    <s v="PP Laminated Fabric"/>
    <s v="PP Lam Fabric With UV"/>
    <n v="420"/>
    <n v="52727.64"/>
  </r>
  <r>
    <x v="0"/>
    <s v="Plastene India Limited "/>
    <d v="2023-04-13T00:00:00"/>
    <s v="Plastene India ltd - Unit 6-Sales"/>
    <s v="Branch Transfer Out"/>
    <s v="PIL1/DC/45"/>
    <x v="1"/>
    <s v="PIL1/DC/45"/>
    <d v="2023-04-13T00:00:00"/>
    <s v="Stores/Spares"/>
    <s v="MS Structure Items"/>
    <s v="Spares &amp; Stores"/>
    <s v="Stores &amp; Consumables"/>
    <s v="MS Pipe 4  C Class"/>
    <n v="219"/>
    <n v="10512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Webbing"/>
    <s v="PP Webbing"/>
    <s v="PP Webbing"/>
    <s v="Webbing"/>
    <n v="412.1"/>
    <n v="48233.01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Webbing"/>
    <s v="PP Webbing"/>
    <s v="PP Webbing"/>
    <s v="Webbing"/>
    <n v="1099.2"/>
    <n v="131950.17000000001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PP/PE Fabric"/>
    <s v="PP UL Fabric"/>
    <s v="PP WOVEN FABRIC (FG)"/>
    <s v="PP UL Fabric With UV"/>
    <n v="2641"/>
    <n v="303825.91999999998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PP/PE Fabric"/>
    <s v="PP UL Fabric"/>
    <s v="PP WOVEN FABRIC (FG)"/>
    <s v="PP UL Fabric With UV"/>
    <n v="724"/>
    <n v="84738.41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Liners"/>
    <s v="LDPE/LLDPE Bags"/>
    <s v="LLDPE BAGS"/>
    <s v="LDPE/LLDPE Bags/Liner"/>
    <n v="1097.0999999999999"/>
    <n v="140203.89000000001"/>
  </r>
  <r>
    <x v="0"/>
    <s v="Plastene India Limited "/>
    <d v="2023-04-14T00:00:00"/>
    <s v="Plastene India ltd - Unit 6-Sales"/>
    <s v="Branch Transfer Out"/>
    <s v="PIL1/DC/51"/>
    <x v="1"/>
    <s v="PIL1/DC/51"/>
    <d v="2023-04-14T00:00:00"/>
    <s v="Stores/Spares"/>
    <s v="MS Structure Items"/>
    <s v="Spares &amp; Stores"/>
    <s v="Stores &amp; Consumables"/>
    <s v="MS Pipe 4  C Class"/>
    <n v="144"/>
    <n v="6912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Webbing"/>
    <s v="PP Webbing"/>
    <s v="PP Webbing"/>
    <s v="Webbing"/>
    <n v="1429.1"/>
    <n v="171552.02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Webbing"/>
    <s v="PP Webbing"/>
    <s v="PP Webbing"/>
    <s v="Webbing"/>
    <n v="406.2"/>
    <n v="47542.46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Liners"/>
    <s v="LDPE/LLDPE Bags"/>
    <s v="LLDPE BAGS"/>
    <s v="LDPE/LLDPE Bags/Liner"/>
    <n v="1001.4"/>
    <n v="127973.91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PP/PE Fabric"/>
    <s v="PP UL Fabric"/>
    <s v="PP WOVEN FABRIC (FG)"/>
    <s v="PP UL Fabric With UV"/>
    <n v="1045"/>
    <n v="122308.89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PP/PE Fabric"/>
    <s v="PP UL Fabric"/>
    <s v="PP WOVEN FABRIC (FG)"/>
    <s v="PP UL Fabric With UV"/>
    <n v="2827"/>
    <n v="325223.73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Films All"/>
    <s v="PE Film"/>
    <s v="LLDPE Co-Extruded Film."/>
    <s v="LDPE/LLDPE Film"/>
    <n v="533.70000000000005"/>
    <n v="64468.29"/>
  </r>
  <r>
    <x v="0"/>
    <s v="Plastene India Limited "/>
    <d v="2023-04-15T00:00:00"/>
    <s v="Plastene India ltd - Unit 6-Sales"/>
    <s v="Branch Transfer Out"/>
    <s v="PIL1/DC/53"/>
    <x v="1"/>
    <s v="PIL1/DC/53"/>
    <d v="2023-04-15T00:00:00"/>
    <s v="Stores/Spares"/>
    <s v="MS Structure Items"/>
    <s v="Spares &amp; Stores"/>
    <s v="Stores &amp; Consumables"/>
    <s v="MS Pipe 4  C Class"/>
    <n v="162"/>
    <n v="7776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Yarn All"/>
    <s v="PP Yarn"/>
    <s v="PP Filament Yarn"/>
    <s v="PP MF Yarn Twisted 1000 UV NW"/>
    <n v="3159.4"/>
    <n v="416664.83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Yarn All"/>
    <s v="PP Yarn"/>
    <s v="PP Filament Yarn"/>
    <s v="PP MF Yarn Twisted 2500 Denier UV NW"/>
    <n v="908.1"/>
    <n v="122485.44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PP/PE Fabric"/>
    <s v="PP UL Fabric"/>
    <s v="PP WOVEN FABRIC (FG)"/>
    <s v="PP UL Fabric With UV"/>
    <n v="1070"/>
    <n v="128444.94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Liners"/>
    <s v="LDPE/LLDPE Bags"/>
    <s v="LLDPE BAGS"/>
    <s v="LDPE/LLDPE Bags/Liner"/>
    <n v="862.1"/>
    <n v="130862.47"/>
  </r>
  <r>
    <x v="0"/>
    <s v="Plastene India Limited "/>
    <d v="2023-04-16T00:00:00"/>
    <s v="Plastene India ltd - Unit 2-Sales"/>
    <s v="Branch Transfer Out"/>
    <s v="PIL1/DC/58"/>
    <x v="1"/>
    <s v="PIL1/DC/58"/>
    <d v="2023-04-16T00:00:00"/>
    <s v="Stores/Spares"/>
    <s v="MS Structure Items"/>
    <s v="Spares &amp; Stores"/>
    <s v="Stores &amp; Consumables"/>
    <s v="MS Pipe 4  C Class"/>
    <n v="53"/>
    <n v="2544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2939"/>
    <n v="338108.44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346"/>
    <n v="40842.53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927"/>
    <n v="111278.93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2066"/>
    <n v="241808.77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Webbing"/>
    <s v="PP Webbing"/>
    <s v="PP Webbing"/>
    <s v="Webbing"/>
    <n v="1136.0999999999999"/>
    <n v="136379.72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Webbing"/>
    <s v="PP Webbing"/>
    <s v="PP Webbing"/>
    <s v="Webbing"/>
    <n v="433"/>
    <n v="50679.19"/>
  </r>
  <r>
    <x v="0"/>
    <s v="Plastene India Limited "/>
    <d v="2023-04-16T00:00:00"/>
    <s v="Plastene India ltd - Unit 6-Sales"/>
    <s v="Branch Transfer Out"/>
    <s v="PIL1/DC/55"/>
    <x v="1"/>
    <s v="PIL1/DC/55"/>
    <d v="2023-04-16T00:00:00"/>
    <s v="Stores/Spares"/>
    <s v="MS Structure Items"/>
    <s v="Spares &amp; Stores"/>
    <s v="Stores &amp; Consumables"/>
    <s v="MS Pipe 4  C Class"/>
    <n v="232"/>
    <n v="11136"/>
  </r>
  <r>
    <x v="0"/>
    <s v="Plastene India Limited "/>
    <d v="2023-04-16T00:00:00"/>
    <s v="Plastene India ltd - Unit 6-Sales"/>
    <s v="Branch Transfer Out"/>
    <s v="PIL1/DC/56"/>
    <x v="0"/>
    <s v="PIL1/DC/56"/>
    <d v="2023-04-16T00:00:00"/>
    <s v="SF"/>
    <s v="Liners"/>
    <s v="LDPE/LLDPE Bags"/>
    <s v="LLDPE BAGS"/>
    <s v="LDPE/LLDPE Bags/Liner"/>
    <n v="360.4"/>
    <n v="47498.92"/>
  </r>
  <r>
    <x v="0"/>
    <s v="Plastene India Limited "/>
    <d v="2023-04-16T00:00:00"/>
    <s v="Plastene India ltd - Unit 6-Sales"/>
    <s v="Branch Transfer Out"/>
    <s v="PIL1/DC/56"/>
    <x v="0"/>
    <s v="PIL1/DC/56"/>
    <d v="2023-04-16T00:00:00"/>
    <s v="SF"/>
    <s v="Liners"/>
    <s v="LDPE/LLDPE Bags"/>
    <s v="LLDPE BAGS"/>
    <s v="LDPE/LLDPE Bags/Liner"/>
    <n v="4220.1000000000004"/>
    <n v="539307.68000000005"/>
  </r>
  <r>
    <x v="0"/>
    <s v="Plastene India Limited "/>
    <d v="2023-04-16T00:00:00"/>
    <s v="Plastene India ltd - Unit 6-Sales"/>
    <s v="Branch Transfer Out"/>
    <s v="PIL1/DC/56"/>
    <x v="0"/>
    <s v="PIL1/DC/56"/>
    <d v="2023-04-16T00:00:00"/>
    <s v="SF"/>
    <s v="Liners"/>
    <s v="LDPE/LLDPE Bags"/>
    <s v="LLDPE BAGS"/>
    <s v="LDPE/LLDPE Bags/Liner"/>
    <n v="77.2"/>
    <n v="10483.370000000001"/>
  </r>
  <r>
    <x v="0"/>
    <s v="Plastene India Limited "/>
    <d v="2023-04-16T00:00:00"/>
    <s v="Plastene India ltd - Unit 6-Sales"/>
    <s v="Branch Transfer Out"/>
    <s v="PIL1/DC/59"/>
    <x v="0"/>
    <s v="PIL1/DC/59"/>
    <d v="2023-04-16T00:00:00"/>
    <s v="SF"/>
    <s v="Liners"/>
    <s v="LDPE/LLDPE Bags"/>
    <s v="LLDPE BAGS"/>
    <s v="LDPE/LLDPE Bags/Liner"/>
    <n v="3292.7"/>
    <n v="420790.6"/>
  </r>
  <r>
    <x v="0"/>
    <s v="Plastene India Limited "/>
    <d v="2023-04-16T00:00:00"/>
    <s v="Plastene India ltd - Unit 6-Sales"/>
    <s v="Branch Transfer Out"/>
    <s v="PIL1/DC/59"/>
    <x v="0"/>
    <s v="PIL1/DC/59"/>
    <d v="2023-04-16T00:00:00"/>
    <s v="SF"/>
    <s v="Liners"/>
    <s v="LDPE/LLDPE Bags"/>
    <s v="LLDPE BAGS"/>
    <s v="LDPE/LLDPE Bags/Liner"/>
    <n v="678.2"/>
    <n v="89383.37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Lam Fabric"/>
    <s v="PP Laminated Fabric"/>
    <s v="PP Lam Fabric With UV"/>
    <n v="606"/>
    <n v="76078.45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2517"/>
    <n v="289560.71000000002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1835"/>
    <n v="214772.07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452"/>
    <n v="54258.98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650"/>
    <n v="76727.3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Webbing"/>
    <s v="PP Webbing"/>
    <s v="PP Webbing"/>
    <s v="Webbing"/>
    <n v="1100.3"/>
    <n v="132082.21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Webbing"/>
    <s v="PP Webbing"/>
    <s v="PP Webbing"/>
    <s v="Webbing"/>
    <n v="306.39999999999998"/>
    <n v="35861.67"/>
  </r>
  <r>
    <x v="0"/>
    <s v="Plastene India Limited "/>
    <d v="2023-04-17T00:00:00"/>
    <s v="Plastene India ltd - Unit 6-Sales"/>
    <s v="Branch Transfer Out"/>
    <s v="PIL1/DC/61"/>
    <x v="1"/>
    <s v="PIL1/DC/61"/>
    <d v="2023-04-17T00:00:00"/>
    <s v="Stores/Spares"/>
    <s v="MS Structure Items"/>
    <s v="Spares &amp; Stores"/>
    <s v="Stores &amp; Consumables"/>
    <s v="MS Pipe 4  C Class"/>
    <n v="198"/>
    <n v="9504"/>
  </r>
  <r>
    <x v="0"/>
    <s v="Plastene India Limited "/>
    <d v="2023-04-18T00:00:00"/>
    <s v="Plastene India ltd - Unit 2-Sales"/>
    <s v="Branch Transfer Out"/>
    <s v="PIL1/DC/64"/>
    <x v="0"/>
    <s v="PIL1/DC/64"/>
    <d v="2023-04-18T00:00:00"/>
    <s v="SF"/>
    <s v="PP/PE Fabric"/>
    <s v="PP UL Fabric"/>
    <s v="PP WOVEN FABRIC (FG)"/>
    <s v="PP UL Fabric With UV"/>
    <n v="978"/>
    <n v="114469.03"/>
  </r>
  <r>
    <x v="0"/>
    <s v="Plastene India Limited "/>
    <d v="2023-04-18T00:00:00"/>
    <s v="Plastene India ltd - Unit 2-Sales"/>
    <s v="Branch Transfer Out"/>
    <s v="PIL1/DC/64"/>
    <x v="0"/>
    <s v="PIL1/DC/64"/>
    <d v="2023-04-18T00:00:00"/>
    <s v="SF"/>
    <s v="PP/PE Fabric"/>
    <s v="PP Lam Fabric"/>
    <s v="PP Laminated Fabric"/>
    <s v="PP Lam Fabric With UV"/>
    <n v="7198"/>
    <n v="882071.71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Liners"/>
    <s v="LDPE/LLDPE Bags"/>
    <s v="LLDPE BAGS"/>
    <s v="LDPE/LLDPE Bags/Liner"/>
    <n v="2174.9"/>
    <n v="280311.99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Liners"/>
    <s v="LDPE/LLDPE Bags"/>
    <s v="LLDPE BAGS"/>
    <s v="LDPE/LLDPE Bags/Liner"/>
    <n v="4501.2"/>
    <n v="562132.36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Liners"/>
    <s v="LDPE/LLDPE Bags"/>
    <s v="LLDPE BAGS"/>
    <s v="LDPE/LLDPE Bags/Liner"/>
    <n v="67.7"/>
    <n v="8454.7099999999991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224"/>
    <n v="26889.86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2434"/>
    <n v="280017.09999999998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1128"/>
    <n v="133153.63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1271"/>
    <n v="148762.92000000001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Lam Fabric"/>
    <s v="PP Laminated Fabric"/>
    <s v="PP Lam Fabric With UV"/>
    <n v="224"/>
    <n v="27449.86"/>
  </r>
  <r>
    <x v="0"/>
    <s v="Plastene India Limited "/>
    <d v="2023-04-18T00:00:00"/>
    <s v="Plastene India ltd - Unit 6-Sales"/>
    <s v="Branch Transfer Out"/>
    <s v="PIL1/DC/63"/>
    <x v="1"/>
    <s v="PIL1/DC/63"/>
    <d v="2023-04-18T00:00:00"/>
    <s v="Stores/Spares"/>
    <s v="MS Structure Items"/>
    <s v="Spares &amp; Stores"/>
    <s v="Stores &amp; Consumables"/>
    <s v="MS Pipe 4  C Class"/>
    <n v="188"/>
    <n v="9024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Webbing"/>
    <s v="PP Webbing"/>
    <s v="PP Webbing"/>
    <s v="Webbing"/>
    <n v="233"/>
    <n v="27271.25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Webbing"/>
    <s v="PP Webbing"/>
    <s v="PP Webbing"/>
    <s v="Webbing"/>
    <n v="1326.5"/>
    <n v="159238.37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451"/>
    <n v="54139.839999999997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1495"/>
    <n v="176475.78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2431"/>
    <n v="279671.96000000002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918"/>
    <n v="107446.39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Liners"/>
    <s v="LDPE/LLDPE Bags"/>
    <s v="LLDPE BAGS"/>
    <s v="LDPE/LLDPE Bags/Liner"/>
    <n v="1373.7"/>
    <n v="177049.32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Liners"/>
    <s v="LDPE/LLDPE Bags"/>
    <s v="LLDPE BAGS"/>
    <s v="LDPE/LLDPE Bags/Liner"/>
    <n v="1535.3"/>
    <n v="191735.94"/>
  </r>
  <r>
    <x v="0"/>
    <s v="Plastene India Limited "/>
    <d v="2023-04-19T00:00:00"/>
    <s v="Plastene India ltd - Unit 6-Sales"/>
    <s v="Branch Transfer Out"/>
    <s v="PIL1/DC/66"/>
    <x v="1"/>
    <s v="PIL1/DC/66"/>
    <d v="2023-04-19T00:00:00"/>
    <s v="Stores/Spares"/>
    <s v="MS Structure Items"/>
    <s v="Spares &amp; Stores"/>
    <s v="Stores &amp; Consumables"/>
    <s v="MS Pipe 4  C Class"/>
    <n v="185"/>
    <n v="8880"/>
  </r>
  <r>
    <x v="0"/>
    <s v="Plastene India Limited "/>
    <d v="2023-04-19T00:00:00"/>
    <s v="Plastene India ltd - Unit 6-Sales"/>
    <s v="Branch Transfer Out"/>
    <s v="PIL1/DC/67"/>
    <x v="0"/>
    <s v="PIL1/DC/67"/>
    <d v="2023-04-19T00:00:00"/>
    <s v="SF"/>
    <s v="Liners"/>
    <s v="LDPE/LLDPE Bags"/>
    <s v="LLDPE BAGS"/>
    <s v="LDPE/LLDPE Bags/Liner"/>
    <n v="630"/>
    <n v="78677.55"/>
  </r>
  <r>
    <x v="0"/>
    <s v="Plastene India Limited "/>
    <d v="2023-04-19T00:00:00"/>
    <s v="Plastene India ltd - Unit 6-Sales"/>
    <s v="Branch Transfer Out"/>
    <s v="PIL1/DC/67"/>
    <x v="0"/>
    <s v="PIL1/DC/67"/>
    <d v="2023-04-19T00:00:00"/>
    <s v="SF"/>
    <s v="Liners"/>
    <s v="LDPE/LLDPE Bags"/>
    <s v="LLDPE BAGS"/>
    <s v="LDPE/LLDPE Bags/Liner"/>
    <n v="402.1"/>
    <n v="58258.26"/>
  </r>
  <r>
    <x v="0"/>
    <s v="Plastene India Limited "/>
    <d v="2023-04-20T00:00:00"/>
    <s v="Plastene India ltd - Unit 2-Sales"/>
    <s v="Branch Transfer Out"/>
    <s v="PIL1/DC/71"/>
    <x v="0"/>
    <s v="PIL1/DC/71"/>
    <d v="2023-04-20T00:00:00"/>
    <s v="SF"/>
    <s v="Yarn All"/>
    <s v="PP Yarn"/>
    <s v="PP Filament Yarn"/>
    <s v="PP MF Yarn Twisted 2500 Denier UV NW"/>
    <n v="1530.8"/>
    <n v="206511.04"/>
  </r>
  <r>
    <x v="0"/>
    <s v="Plastene India Limited "/>
    <d v="2023-04-20T00:00:00"/>
    <s v="Plastene India ltd - Unit 2-Sales"/>
    <s v="Branch Transfer Out"/>
    <s v="PIL1/DC/71"/>
    <x v="0"/>
    <s v="PIL1/DC/71"/>
    <d v="2023-04-20T00:00:00"/>
    <s v="SF"/>
    <s v="PP/PE Fabric"/>
    <s v="PP UL Fabric"/>
    <s v="PP WOVEN FABRIC (FG)"/>
    <s v="PP UL Fabric With UV"/>
    <n v="1176"/>
    <n v="141171.74"/>
  </r>
  <r>
    <x v="0"/>
    <s v="Plastene India Limited "/>
    <d v="2023-04-20T00:00:00"/>
    <s v="Plastene India ltd - Unit 2-Sales"/>
    <s v="Branch Transfer Out"/>
    <s v="PIL1/DC/71"/>
    <x v="0"/>
    <s v="PIL1/DC/71"/>
    <d v="2023-04-20T00:00:00"/>
    <s v="SF"/>
    <s v="Liners"/>
    <s v="LDPE/LLDPE Bags"/>
    <s v="LLDPE BAGS"/>
    <s v="LDPE/LLDPE Bags/Liner"/>
    <n v="29.4"/>
    <n v="3789.22"/>
  </r>
  <r>
    <x v="0"/>
    <s v="Plastene India Limited "/>
    <d v="2023-04-20T00:00:00"/>
    <s v="Plastene India ltd - Unit 2-Sales"/>
    <s v="Branch Transfer Out"/>
    <s v="PIL1/DC/72"/>
    <x v="1"/>
    <s v="PIL1/DC/72"/>
    <d v="2023-04-20T00:00:00"/>
    <s v="Stores/Spares"/>
    <s v="MS Structure Items"/>
    <s v="Spares &amp; Stores"/>
    <s v="Stores &amp; Consumables"/>
    <s v="MS Pipe 4  C Class"/>
    <n v="62"/>
    <n v="2976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Liners"/>
    <s v="LDPE/LLDPE Bags"/>
    <s v="LLDPE BAGS"/>
    <s v="LDPE/LLDPE Bags/Liner"/>
    <n v="116.2"/>
    <n v="14511.64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Liners"/>
    <s v="LDPE/LLDPE Bags"/>
    <s v="LLDPE BAGS"/>
    <s v="LDPE/LLDPE Bags/Liner"/>
    <n v="180"/>
    <n v="22479.3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Liners"/>
    <s v="LDPE/LLDPE Bags"/>
    <s v="LLDPE BAGS"/>
    <s v="LDPE/LLDPE Bags/Liner"/>
    <n v="2505.6999999999998"/>
    <n v="312924.34000000003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2334"/>
    <n v="268512.7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2101"/>
    <n v="245909.44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227"/>
    <n v="27249.99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697"/>
    <n v="82276.67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Yarn All"/>
    <s v="PP Yarn"/>
    <s v="PP Filament Yarn"/>
    <s v="PP MF Yarn Twisted 3000 Denier UV NW"/>
    <n v="821.2"/>
    <n v="108319.56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Webbing"/>
    <s v="PP Webbing"/>
    <s v="PP Webbing"/>
    <s v="Webbing"/>
    <n v="140.19999999999999"/>
    <n v="16409.57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Webbing"/>
    <s v="PP Webbing"/>
    <s v="PP Webbing"/>
    <s v="Webbing"/>
    <n v="1151.9000000000001"/>
    <n v="138278.68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Lam Fabric"/>
    <s v="PP Laminated Fabric"/>
    <s v="PP Lam Fabric With UV"/>
    <n v="573"/>
    <n v="71936.710000000006"/>
  </r>
  <r>
    <x v="0"/>
    <s v="Plastene India Limited "/>
    <d v="2023-04-20T00:00:00"/>
    <s v="Plastene India ltd - Unit 6-Sales"/>
    <s v="Branch Transfer Out"/>
    <s v="PIL1/DC/69"/>
    <x v="1"/>
    <s v="PIL1/DC/69"/>
    <d v="2023-04-20T00:00:00"/>
    <s v="Stores/Spares"/>
    <s v="MS Structure Items"/>
    <s v="Spares &amp; Stores"/>
    <s v="Stores &amp; Consumables"/>
    <s v="MS Pipe 4  C Class"/>
    <n v="211"/>
    <n v="10128"/>
  </r>
  <r>
    <x v="0"/>
    <s v="Plastene India Limited "/>
    <d v="2023-04-20T00:00:00"/>
    <s v="Plastene India ltd - Unit 6-Sales"/>
    <s v="Branch Transfer Out"/>
    <s v="PIL1/DC/70"/>
    <x v="0"/>
    <s v="PIL1/DC/70"/>
    <d v="2023-04-20T00:00:00"/>
    <s v="SF"/>
    <s v="Liners"/>
    <s v="LDPE/LLDPE Bags"/>
    <s v="LLDPE BAGS"/>
    <s v="LDPE/LLDPE Bags/Liner"/>
    <n v="124"/>
    <n v="17965.740000000002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Liners"/>
    <s v="LDPE/LLDPE Bags"/>
    <s v="LLDPE BAGS"/>
    <s v="LDPE/LLDPE Bags/Liner"/>
    <n v="2402.1999999999998"/>
    <n v="299998.75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Liners"/>
    <s v="LDPE/LLDPE Bags"/>
    <s v="LLDPE BAGS"/>
    <s v="LDPE/LLDPE Bags/Liner"/>
    <n v="497.2"/>
    <n v="63584.42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452"/>
    <n v="54259.89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1910"/>
    <n v="223554.04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1348"/>
    <n v="155079.31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1251"/>
    <n v="147673.04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Yarn All"/>
    <s v="PP Yarn"/>
    <s v="PP Filament Yarn"/>
    <s v="PP MF Yarn Twisted 3000 Denier UV Deep Blue"/>
    <n v="1026.2"/>
    <n v="138438.48000000001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Webbing"/>
    <s v="PP Webbing"/>
    <s v="PP Webbing"/>
    <s v="Webbing"/>
    <n v="162.4"/>
    <n v="19007.95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Webbing"/>
    <s v="PP Webbing"/>
    <s v="PP Webbing"/>
    <s v="Webbing"/>
    <n v="805.9"/>
    <n v="96743.46"/>
  </r>
  <r>
    <x v="0"/>
    <s v="Plastene India Limited "/>
    <d v="2023-04-21T00:00:00"/>
    <s v="Plastene India ltd - Unit 6-Sales"/>
    <s v="Branch Transfer Out"/>
    <s v="PIL1/DC/74"/>
    <x v="1"/>
    <s v="PIL1/DC/74"/>
    <d v="2023-04-21T00:00:00"/>
    <s v="Stores/Spares"/>
    <s v="MS Structure Items"/>
    <s v="Spares &amp; Stores"/>
    <s v="Stores &amp; Consumables"/>
    <s v="MS Pipe 4  C Class"/>
    <n v="159"/>
    <n v="7632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1106"/>
    <n v="130556.66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453"/>
    <n v="54379.93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2499"/>
    <n v="292492.96000000002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2271"/>
    <n v="261264.92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Webbing"/>
    <s v="PP Webbing"/>
    <s v="PP Webbing"/>
    <s v="Webbing"/>
    <n v="1005.6"/>
    <n v="120716.25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Webbing"/>
    <s v="PP Webbing"/>
    <s v="PP Webbing"/>
    <s v="Webbing"/>
    <n v="142.6"/>
    <n v="16690.47"/>
  </r>
  <r>
    <x v="0"/>
    <s v="Plastene India Limited "/>
    <d v="2023-04-22T00:00:00"/>
    <s v="Plastene India ltd - Unit 6-Sales"/>
    <s v="Branch Transfer Out"/>
    <s v="PIL1/DC/76"/>
    <x v="1"/>
    <s v="PIL1/DC/76"/>
    <d v="2023-04-22T00:00:00"/>
    <s v="Stores/Spares"/>
    <s v="MS Structure Items"/>
    <s v="Spares &amp; Stores"/>
    <s v="Stores &amp; Consumables"/>
    <s v="MS Pipe 4  C Class"/>
    <n v="229"/>
    <n v="10992"/>
  </r>
  <r>
    <x v="0"/>
    <s v="Plastene India Limited "/>
    <d v="2023-04-22T00:00:00"/>
    <s v="Plastene India ltd - Unit 6-Sales"/>
    <s v="Branch Transfer Out"/>
    <s v="PIL1/DC/77"/>
    <x v="0"/>
    <s v="PIL1/DC/77"/>
    <d v="2023-04-22T00:00:00"/>
    <s v="SF"/>
    <s v="Liners"/>
    <s v="LDPE/LLDPE Bags"/>
    <s v="LLDPE BAGS"/>
    <s v="LDPE/LLDPE Bags/Liner"/>
    <n v="1077.8"/>
    <n v="137834.45000000001"/>
  </r>
  <r>
    <x v="0"/>
    <s v="Plastene India Limited "/>
    <d v="2023-04-23T00:00:00"/>
    <s v="Plastene India ltd - Unit 2-Sales"/>
    <s v="Branch Transfer Out"/>
    <s v="PIL1/DC/82"/>
    <x v="0"/>
    <s v="PIL1/DC/82"/>
    <d v="2023-04-23T00:00:00"/>
    <s v="SF"/>
    <s v="PP/PE Fabric"/>
    <s v="PP UL Fabric"/>
    <s v="PP WOVEN FABRIC (FG)"/>
    <s v="PP UL Fabric With UV"/>
    <n v="3880"/>
    <n v="454130.72"/>
  </r>
  <r>
    <x v="0"/>
    <s v="Plastene India Limited "/>
    <d v="2023-04-23T00:00:00"/>
    <s v="Plastene India ltd - Unit 2-Sales"/>
    <s v="Branch Transfer Out"/>
    <s v="PIL1/DC/82"/>
    <x v="0"/>
    <s v="PIL1/DC/82"/>
    <d v="2023-04-23T00:00:00"/>
    <s v="SF"/>
    <s v="PP/PE Fabric"/>
    <s v="PP Lam Fabric"/>
    <s v="PP Laminated Fabric"/>
    <s v="PP Lam Fabric With UV"/>
    <n v="3455"/>
    <n v="423389.52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Webbing"/>
    <s v="PP Webbing"/>
    <s v="PP Webbing"/>
    <s v="Webbing"/>
    <n v="767.5"/>
    <n v="92133.77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Webbing"/>
    <s v="PP Webbing"/>
    <s v="PP Webbing"/>
    <s v="Webbing"/>
    <n v="189.5"/>
    <n v="22179.84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2242"/>
    <n v="264654.65000000002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260"/>
    <n v="31211.439999999999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2116"/>
    <n v="247665.1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1595"/>
    <n v="183495.18"/>
  </r>
  <r>
    <x v="0"/>
    <s v="Plastene India Limited "/>
    <d v="2023-04-23T00:00:00"/>
    <s v="Plastene India ltd - Unit 6-Sales"/>
    <s v="Branch Transfer Out"/>
    <s v="PIL1/DC/79"/>
    <x v="1"/>
    <s v="PIL1/DC/79"/>
    <d v="2023-04-23T00:00:00"/>
    <s v="Stores/Spares"/>
    <s v="MS Structure Items"/>
    <s v="Spares &amp; Stores"/>
    <s v="Stores &amp; Consumables"/>
    <s v="MS Pipe 4  C Class"/>
    <n v="213"/>
    <n v="10224"/>
  </r>
  <r>
    <x v="0"/>
    <s v="Plastene India Limited "/>
    <d v="2023-04-23T00:00:00"/>
    <s v="Plastene India ltd - Unit 6-Sales"/>
    <s v="Branch Transfer Out"/>
    <s v="PIL1/DC/80"/>
    <x v="0"/>
    <s v="PIL1/DC/80"/>
    <d v="2023-04-23T00:00:00"/>
    <s v="SF"/>
    <s v="PP/PE Fabric"/>
    <s v="PP Lam Fabric"/>
    <s v="PP Laminated Fabric"/>
    <s v="PP Lam Fabric With UV"/>
    <n v="3163"/>
    <n v="387606.67"/>
  </r>
  <r>
    <x v="0"/>
    <s v="Plastene India Limited "/>
    <d v="2023-04-23T00:00:00"/>
    <s v="Plastene India ltd - Unit 6-Sales"/>
    <s v="Branch Transfer Out"/>
    <s v="PIL1/DC/80"/>
    <x v="0"/>
    <s v="PIL1/DC/80"/>
    <d v="2023-04-23T00:00:00"/>
    <s v="SF"/>
    <s v="PP/PE Fabric"/>
    <s v="PP UL Fabric"/>
    <s v="PP WOVEN FABRIC (FG)"/>
    <s v="PP UL Fabric With UV"/>
    <n v="172"/>
    <n v="20131.57"/>
  </r>
  <r>
    <x v="0"/>
    <s v="Plastene India Limited "/>
    <d v="2023-04-23T00:00:00"/>
    <s v="Plastene India ltd - Unit 6-Sales"/>
    <s v="Branch Transfer Out"/>
    <s v="PIL1/DC/81"/>
    <x v="0"/>
    <s v="PIL1/DC/81"/>
    <d v="2023-04-23T00:00:00"/>
    <s v="SF"/>
    <s v="Liners"/>
    <s v="LDPE/LLDPE Bags"/>
    <s v="LLDPE BAGS"/>
    <s v="LDPE/LLDPE Bags/Liner"/>
    <n v="8599.2000000000007"/>
    <n v="1099708.69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450"/>
    <n v="54019.8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2184"/>
    <n v="255624.1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1331"/>
    <n v="157116.56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2546"/>
    <n v="292902.02"/>
  </r>
  <r>
    <x v="0"/>
    <s v="Plastene India Limited "/>
    <d v="2023-04-24T00:00:00"/>
    <s v="Plastene India ltd - Unit 6-Sales"/>
    <s v="Branch Transfer Out"/>
    <s v="PIL1/DC/84"/>
    <x v="1"/>
    <s v="PIL1/DC/84"/>
    <d v="2023-04-24T00:00:00"/>
    <s v="Stores/Spares"/>
    <s v="MS Structure Items"/>
    <s v="Spares &amp; Stores"/>
    <s v="Stores &amp; Consumables"/>
    <s v="MS Pipe 4  C Class"/>
    <n v="246"/>
    <n v="11808"/>
  </r>
  <r>
    <x v="0"/>
    <s v="Plastene India Limited "/>
    <d v="2023-04-24T00:00:00"/>
    <s v="Plastene India ltd - Unit 6-Sales"/>
    <s v="Branch Transfer Out"/>
    <s v="PIL1/DC/85"/>
    <x v="0"/>
    <s v="PIL1/DC/85"/>
    <d v="2023-04-24T00:00:00"/>
    <s v="SF"/>
    <s v="Liners"/>
    <s v="LDPE/LLDPE Bags"/>
    <s v="LLDPE BAGS"/>
    <s v="LDPE/LLDPE Bags/Liner"/>
    <n v="823.1"/>
    <n v="105262.14"/>
  </r>
  <r>
    <x v="0"/>
    <s v="Plastene India Limited "/>
    <d v="2023-04-24T00:00:00"/>
    <s v="Plastene India ltd - Unit 6-Sales"/>
    <s v="Branch Transfer Out"/>
    <s v="PIL1/DC/85"/>
    <x v="0"/>
    <s v="PIL1/DC/85"/>
    <d v="2023-04-24T00:00:00"/>
    <s v="SF"/>
    <s v="Liners"/>
    <s v="LDPE/LLDPE Bags"/>
    <s v="LLDPE BAGS"/>
    <s v="LDPE/LLDPE Bags/Liner"/>
    <n v="1359.2"/>
    <n v="173821.29"/>
  </r>
  <r>
    <x v="0"/>
    <s v="Plastene India Limited "/>
    <d v="2023-04-24T00:00:00"/>
    <s v="Plastene India ltd - Unit 6-Sales"/>
    <s v="Branch Transfer Out"/>
    <s v="PIL1/DC/85"/>
    <x v="0"/>
    <s v="PIL1/DC/85"/>
    <d v="2023-04-24T00:00:00"/>
    <s v="SF"/>
    <s v="Liners"/>
    <s v="LDPE/LLDPE Bags"/>
    <s v="LLDPE BAGS"/>
    <s v="LDPE/LLDPE Bags/Liner"/>
    <n v="125.4"/>
    <n v="15660.58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Liners"/>
    <s v="LDPE/LLDPE Bags"/>
    <s v="LLDPE BAGS"/>
    <s v="LDPE/LLDPE Bags/Liner"/>
    <n v="1394.5"/>
    <n v="178335.63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1827"/>
    <n v="215666.39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472"/>
    <n v="56660.77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3345"/>
    <n v="391512.18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2447"/>
    <n v="281512.67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Webbing"/>
    <s v="PP Webbing"/>
    <s v="PP Webbing"/>
    <s v="Webbing"/>
    <n v="160.6"/>
    <n v="18797.27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Webbing"/>
    <s v="PP Webbing"/>
    <s v="PP Webbing"/>
    <s v="Webbing"/>
    <n v="835.2"/>
    <n v="100260.75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Lam Fabric"/>
    <s v="PP Laminated Fabric"/>
    <s v="PP Lam Fabric With UV"/>
    <n v="1460"/>
    <n v="170884.24"/>
  </r>
  <r>
    <x v="0"/>
    <s v="Plastene India Limited "/>
    <d v="2023-04-25T00:00:00"/>
    <s v="Plastene India ltd - Unit 6-Sales"/>
    <s v="Branch Transfer Out"/>
    <s v="PIL1/DC/87"/>
    <x v="1"/>
    <s v="PIL1/DC/87"/>
    <d v="2023-04-25T00:00:00"/>
    <s v="Stores/Spares"/>
    <s v="MS Structure Items"/>
    <s v="Spares &amp; Stores"/>
    <s v="Stores &amp; Consumables"/>
    <s v="MS Pipe 4  C Class"/>
    <n v="327"/>
    <n v="15696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Webbing"/>
    <s v="PP Webbing"/>
    <s v="PP Webbing"/>
    <s v="Webbing"/>
    <n v="1197.9000000000001"/>
    <n v="143800.71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Webbing"/>
    <s v="PP Webbing"/>
    <s v="PP Webbing"/>
    <s v="Webbing"/>
    <n v="537.9"/>
    <n v="62957.97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1776"/>
    <n v="209646.14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474"/>
    <n v="56900.86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2233"/>
    <n v="261359.25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2586"/>
    <n v="297503.78000000003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Liners"/>
    <s v="LDPE/LLDPE Bags"/>
    <s v="LLDPE BAGS"/>
    <s v="LDPE/LLDPE Bags/Liner"/>
    <n v="128.4"/>
    <n v="16035.23"/>
  </r>
  <r>
    <x v="0"/>
    <s v="Plastene India Limited "/>
    <d v="2023-04-26T00:00:00"/>
    <s v="Plastene India ltd - Unit 6-Sales"/>
    <s v="Branch Transfer Out"/>
    <s v="PIL1/DC/89"/>
    <x v="1"/>
    <s v="PIL1/DC/89"/>
    <d v="2023-04-26T00:00:00"/>
    <s v="Stores/Spares"/>
    <s v="MS Structure Items"/>
    <s v="Spares &amp; Stores"/>
    <s v="Stores &amp; Consumables"/>
    <s v="MS Pipe 4  C Class"/>
    <n v="272"/>
    <n v="13056"/>
  </r>
  <r>
    <x v="0"/>
    <s v="Plastene India Limited "/>
    <d v="2023-04-27T00:00:00"/>
    <s v="Plastene India ltd - Unit 2-Sales"/>
    <s v="Branch Transfer Out"/>
    <s v="PIL1/DC/92"/>
    <x v="0"/>
    <s v="PIL1/DC/92"/>
    <d v="2023-04-27T00:00:00"/>
    <s v="SF"/>
    <s v="PP/PE Fabric"/>
    <s v="PP Lam Fabric"/>
    <s v="PP Laminated Fabric"/>
    <s v="PP Lam Fabric With UV"/>
    <n v="7706"/>
    <n v="944324.06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Webbing"/>
    <s v="PP Webbing"/>
    <s v="PP Webbing"/>
    <s v="Webbing"/>
    <n v="796.5"/>
    <n v="93225.55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PP/PE Fabric"/>
    <s v="PP Lam Fabric"/>
    <s v="PP Laminated Fabric"/>
    <s v="PP Lam Fabric With UV"/>
    <n v="3149"/>
    <n v="368571.56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PP/PE Fabric"/>
    <s v="PP UL Fabric"/>
    <s v="PP WOVEN FABRIC (FG)"/>
    <s v="PP UL Fabric With UV"/>
    <n v="1319"/>
    <n v="158338.04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Liners"/>
    <s v="LDPE/LLDPE Bags"/>
    <s v="LLDPE BAGS"/>
    <s v="LDPE/LLDPE Bags/Liner"/>
    <n v="57.1"/>
    <n v="7359.33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Liners"/>
    <s v="LDPE/LLDPE Bags"/>
    <s v="LLDPE BAGS"/>
    <s v="LDPE/LLDPE Bags/Liner"/>
    <n v="1350.3"/>
    <n v="168632.22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Liners"/>
    <s v="LDPE/LLDPE Bags"/>
    <s v="LLDPE BAGS"/>
    <s v="LDPE/LLDPE Bags/Liner"/>
    <n v="568.6"/>
    <n v="84656.01"/>
  </r>
  <r>
    <x v="0"/>
    <s v="Plastene India Limited "/>
    <d v="2023-04-27T00:00:00"/>
    <s v="Plastene India ltd - Unit 2-Sales"/>
    <s v="Branch Transfer Out"/>
    <s v="PIL1/DC/94"/>
    <x v="1"/>
    <s v="PIL1/DC/94"/>
    <d v="2023-04-27T00:00:00"/>
    <s v="Stores/Spares"/>
    <s v="MS Structure Items"/>
    <s v="Spares &amp; Stores"/>
    <s v="Stores &amp; Consumables"/>
    <s v="MS Pipe 4  C Class"/>
    <n v="65"/>
    <n v="3120"/>
  </r>
  <r>
    <x v="0"/>
    <s v="Plastene India Limited "/>
    <d v="2023-04-27T00:00:00"/>
    <s v="Plastene India ltd - Unit 2-Sales"/>
    <s v="Branch Transfer Out"/>
    <s v="PIL1/DC/95"/>
    <x v="2"/>
    <s v="PIL1/DC/95"/>
    <d v="2023-04-27T00:00:00"/>
    <s v="RM"/>
    <s v="Granules"/>
    <s v="PP Granules"/>
    <s v="PP Granuels"/>
    <s v="PP Luban HP1106K"/>
    <n v="99000"/>
    <n v="9409356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Liners"/>
    <s v="LDPE/LLDPE Bags"/>
    <s v="LLDPE BAGS"/>
    <s v="LDPE/LLDPE Bags/Liner"/>
    <n v="145"/>
    <n v="18688.330000000002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Liners"/>
    <s v="LDPE/LLDPE Bags"/>
    <s v="LLDPE BAGS"/>
    <s v="LDPE/LLDPE Bags/Liner"/>
    <n v="2978.9"/>
    <n v="372019.93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Webbing"/>
    <s v="PP Webbing"/>
    <s v="PP Webbing"/>
    <s v="Webbing"/>
    <n v="456.5"/>
    <n v="53430.59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Webbing"/>
    <s v="PP Webbing"/>
    <s v="PP Webbing"/>
    <s v="Webbing"/>
    <n v="1117.8"/>
    <n v="134185.18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UL Fabric"/>
    <s v="PP WOVEN FABRIC (FG)"/>
    <s v="PP UL Fabric With UV"/>
    <n v="2137"/>
    <n v="245849.03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Lam Fabric"/>
    <s v="PP Laminated Fabric"/>
    <s v="PP Lam Fabric With UV"/>
    <n v="728"/>
    <n v="85208.03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UL Fabric"/>
    <s v="PP WOVEN FABRIC (FG)"/>
    <s v="PP UL Fabric With UV"/>
    <n v="1802"/>
    <n v="212715.29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UL Fabric"/>
    <s v="PP WOVEN FABRIC (FG)"/>
    <s v="PP UL Fabric With UV"/>
    <n v="2128"/>
    <n v="249069.63"/>
  </r>
  <r>
    <x v="0"/>
    <s v="Plastene India Limited "/>
    <d v="2023-04-27T00:00:00"/>
    <s v="Plastene India ltd - Unit 6-Sales"/>
    <s v="Branch Transfer Out"/>
    <s v="PIL1/DC/91"/>
    <x v="1"/>
    <s v="PIL1/DC/91"/>
    <d v="2023-04-27T00:00:00"/>
    <s v="Stores/Spares"/>
    <s v="MS Structure Items"/>
    <s v="Spares &amp; Stores"/>
    <s v="Stores &amp; Consumables"/>
    <s v="MS Pipe 4  C Class"/>
    <n v="258"/>
    <n v="12384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3075"/>
    <n v="193725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2350"/>
    <n v="148050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1500"/>
    <n v="136590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1500"/>
    <n v="94500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3525"/>
    <n v="222075"/>
  </r>
  <r>
    <x v="0"/>
    <s v="Plastene India Limited "/>
    <d v="2023-04-28T00:00:00"/>
    <s v="Plastene India ltd - Unit 2-Sales"/>
    <s v="Branch Transfer Out"/>
    <s v="PIL1/DC/101"/>
    <x v="0"/>
    <s v="PIL1/DC/101"/>
    <d v="2023-04-28T00:00:00"/>
    <s v="SF"/>
    <s v="Yarn All"/>
    <s v="PP Yarn"/>
    <s v="PP Filament Yarn"/>
    <s v="PP MF Yarn Twisted 1000 UV NW"/>
    <n v="2219.6999999999998"/>
    <n v="292787.31"/>
  </r>
  <r>
    <x v="0"/>
    <s v="Plastene India Limited "/>
    <d v="2023-04-28T00:00:00"/>
    <s v="Plastene India ltd - Unit 2-Sales"/>
    <s v="Branch Transfer Out"/>
    <s v="PIL1/DC/101"/>
    <x v="0"/>
    <s v="PIL1/DC/101"/>
    <d v="2023-04-28T00:00:00"/>
    <s v="SF"/>
    <s v="Yarn All"/>
    <s v="PP Yarn"/>
    <s v="PP Filament Yarn"/>
    <s v="PP MF Yarn Twisted 2500 Denier UV NW"/>
    <n v="1743.8"/>
    <n v="235245.6"/>
  </r>
  <r>
    <x v="0"/>
    <s v="Plastene India Limited "/>
    <d v="2023-04-28T00:00:00"/>
    <s v="Plastene India ltd - Unit 2-Sales"/>
    <s v="Branch Transfer Out"/>
    <s v="PIL1/DC/101"/>
    <x v="0"/>
    <s v="PIL1/DC/101"/>
    <d v="2023-04-28T00:00:00"/>
    <s v="SF"/>
    <s v="Yarn All"/>
    <s v="PP Yarn"/>
    <s v="PP Filament Yarn"/>
    <s v="PP MF Yarn Twisted 3000 Denier UV Black"/>
    <n v="1031.9000000000001"/>
    <n v="139207.44"/>
  </r>
  <r>
    <x v="0"/>
    <s v="Plastene India Limited "/>
    <d v="2023-04-28T00:00:00"/>
    <s v="Plastene India ltd - Unit 2-Sales"/>
    <s v="Branch Transfer Out"/>
    <s v="PIL1/DC/99"/>
    <x v="2"/>
    <s v="PIL1/DC/99"/>
    <d v="2023-04-28T00:00:00"/>
    <s v="RM"/>
    <s v="Granules"/>
    <s v="LDPE Granules"/>
    <s v="LDPE Granuels"/>
    <s v="LDPE Basell NA204000"/>
    <n v="3000"/>
    <n v="314976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Webbing"/>
    <s v="PP Webbing"/>
    <s v="PP Webbing"/>
    <s v="Webbing"/>
    <n v="924.4"/>
    <n v="110968.67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Webbing"/>
    <s v="PP Webbing"/>
    <s v="PP Webbing"/>
    <s v="Webbing"/>
    <n v="212.4"/>
    <n v="24860.15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1992"/>
    <n v="235143.65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1009"/>
    <n v="121124.4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2690"/>
    <n v="314848.36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1547"/>
    <n v="177973.07"/>
  </r>
  <r>
    <x v="0"/>
    <s v="Plastene India Limited "/>
    <d v="2023-04-28T00:00:00"/>
    <s v="Plastene India ltd - Unit 6-Sales"/>
    <s v="Branch Transfer Out"/>
    <s v="PIL1/DC/97"/>
    <x v="1"/>
    <s v="PIL1/DC/97"/>
    <d v="2023-04-28T00:00:00"/>
    <s v="Stores/Spares"/>
    <s v="MS Structure Items"/>
    <s v="Spares &amp; Stores"/>
    <s v="Stores &amp; Consumables"/>
    <s v="MS Pipe 4  C Class"/>
    <n v="257"/>
    <n v="12336"/>
  </r>
  <r>
    <x v="0"/>
    <s v="Plastene India Limited "/>
    <d v="2023-04-28T00:00:00"/>
    <s v="Plastene India ltd - Unit 6-Sales"/>
    <s v="Branch Transfer Out"/>
    <s v="PIL1/DC/98"/>
    <x v="0"/>
    <s v="PIL1/DC/98"/>
    <d v="2023-04-28T00:00:00"/>
    <s v="SF"/>
    <s v="Liners"/>
    <s v="LDPE/LLDPE Bags"/>
    <s v="LLDPE BAGS"/>
    <s v="LDPE/LLDPE Bags/Liner"/>
    <n v="3619.4"/>
    <n v="452008.77"/>
  </r>
  <r>
    <x v="0"/>
    <s v="Plastene India Limited "/>
    <d v="2023-04-29T00:00:00"/>
    <s v="Plastene India ltd - Unit 6-Sales"/>
    <s v="Branch Transfer Out"/>
    <s v="PIL1/DC/102"/>
    <x v="0"/>
    <s v="PIL1/DC/102"/>
    <d v="2023-04-29T00:00:00"/>
    <s v="SF"/>
    <s v="Liners"/>
    <s v="LDPE/LLDPE Bags"/>
    <s v="LLDPE BAGS"/>
    <s v="LDPE/LLDPE Bags/Liner"/>
    <n v="1356.4"/>
    <n v="169394.01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PP/PE Fabric"/>
    <s v="PP Lam Fabric"/>
    <s v="PP Laminated Fabric"/>
    <s v="PP Lam Fabric With UV"/>
    <n v="1403"/>
    <n v="164212.73000000001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Webbing"/>
    <s v="PP Webbing"/>
    <s v="PP Webbing"/>
    <s v="Webbing"/>
    <n v="870.3"/>
    <n v="104474.29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Webbing"/>
    <s v="PP Webbing"/>
    <s v="PP Webbing"/>
    <s v="Webbing"/>
    <n v="356.3"/>
    <n v="41702.78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PP/PE Fabric"/>
    <s v="PP UL Fabric"/>
    <s v="PP WOVEN FABRIC (FG)"/>
    <s v="PP UL Fabric With UV"/>
    <n v="3359"/>
    <n v="403227.8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PP/PE Fabric"/>
    <s v="PP UL Fabric"/>
    <s v="PP WOVEN FABRIC (FG)"/>
    <s v="PP UL Fabric With UV"/>
    <n v="1717"/>
    <n v="202681.55"/>
  </r>
  <r>
    <x v="0"/>
    <s v="Plastene India Limited "/>
    <d v="2023-04-29T00:00:00"/>
    <s v="Plastene India ltd - Unit 6-Sales"/>
    <s v="Branch Transfer Out"/>
    <s v="PIL1/DC/104"/>
    <x v="1"/>
    <s v="PIL1/DC/104"/>
    <d v="2023-04-29T00:00:00"/>
    <s v="Stores/Spares"/>
    <s v="MS Structure Items"/>
    <s v="Spares &amp; Stores"/>
    <s v="Stores &amp; Consumables"/>
    <s v="MS Pipe 4  C Class"/>
    <n v="218"/>
    <n v="10464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Liners"/>
    <s v="LDPE/LLDPE Bags"/>
    <s v="LLDPE BAGS"/>
    <s v="LDPE/LLDPE Bags/Liner"/>
    <n v="2101.3000000000002"/>
    <n v="268724.75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479"/>
    <n v="57501.08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1453"/>
    <n v="170064.93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1145"/>
    <n v="135160.38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2721.1"/>
    <n v="313046.23"/>
  </r>
  <r>
    <x v="0"/>
    <s v="Plastene India Limited "/>
    <d v="2023-04-29T00:00:00"/>
    <s v="Plastene India ltd - Unit 6-Sales"/>
    <s v="Branch Transfer Out"/>
    <s v="PIL1/DC/106"/>
    <x v="1"/>
    <s v="PIL1/DC/106"/>
    <d v="2023-04-29T00:00:00"/>
    <s v="Stores/Spares"/>
    <s v="MS Structure Items"/>
    <s v="Spares &amp; Stores"/>
    <s v="Stores &amp; Consumables"/>
    <s v="MS Pipe 4  C Class"/>
    <n v="259.39999999999998"/>
    <n v="12451.2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447"/>
    <n v="53659.67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1747"/>
    <n v="204475.87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3592"/>
    <n v="424014.05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2080"/>
    <n v="239291.51999999999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Webbing"/>
    <s v="PP Webbing"/>
    <s v="PP Webbing"/>
    <s v="Webbing"/>
    <n v="1307"/>
    <n v="156897.51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Webbing"/>
    <s v="PP Webbing"/>
    <s v="PP Webbing"/>
    <s v="Webbing"/>
    <n v="172.4"/>
    <n v="20178.39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Webbing"/>
    <s v="PP Webbing"/>
    <s v="PP Webbing"/>
    <s v="Webbing"/>
    <n v="13.8"/>
    <n v="2123.88"/>
  </r>
  <r>
    <x v="0"/>
    <s v="Plastene India Limited "/>
    <d v="2023-04-30T00:00:00"/>
    <s v="Plastene India ltd - Unit 6-Sales"/>
    <s v="Branch Transfer Out"/>
    <s v="PIL1/DC/108"/>
    <x v="1"/>
    <s v="PIL1/DC/108"/>
    <d v="2023-04-30T00:00:00"/>
    <s v="Stores/Spares"/>
    <s v="MS Structure Items"/>
    <s v="Spares &amp; Stores"/>
    <s v="Stores &amp; Consumables"/>
    <s v="MS Pipe 4  C Class"/>
    <n v="290"/>
    <n v="13920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Liners"/>
    <s v="LDPE/LLDPE Bags"/>
    <s v="LLDPE BAGS"/>
    <s v="LDPE/LLDPE Bags/Liner"/>
    <n v="402.7"/>
    <n v="50291.19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Liners"/>
    <s v="LDPE/LLDPE Bags"/>
    <s v="LLDPE BAGS"/>
    <s v="LDPE/LLDPE Bags/Liner"/>
    <n v="1742.3"/>
    <n v="217587.14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Liners"/>
    <s v="LDPE/LLDPE Bags"/>
    <s v="LLDPE BAGS"/>
    <s v="LDPE/LLDPE Bags/Liner"/>
    <n v="181.9"/>
    <n v="23262.28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265"/>
    <n v="31811.66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1640"/>
    <n v="191952.16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1534"/>
    <n v="181079.5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2152"/>
    <n v="247574.69"/>
  </r>
  <r>
    <x v="1"/>
    <s v="Plastene India Limited "/>
    <d v="2023-05-01T00:00:00"/>
    <s v="Plastene India ltd - Unit 6-Sales"/>
    <s v="Branch Transfer Out"/>
    <s v="PIL1/DC/110"/>
    <x v="1"/>
    <s v="PIL1/DC/110"/>
    <d v="2023-05-01T00:00:00"/>
    <s v="Stores/Spares"/>
    <s v="MS Structure Items"/>
    <s v="Spares &amp; Stores"/>
    <s v="Stores &amp; Consumables"/>
    <s v="MS Pipe 4  C Class"/>
    <n v="211"/>
    <n v="10128"/>
  </r>
  <r>
    <x v="1"/>
    <s v="Plastene India Limited "/>
    <d v="2023-05-02T00:00:00"/>
    <s v="Plastene India ltd - Unit 2-Sales"/>
    <s v="Branch Transfer Out"/>
    <s v="PIL1/DC/111"/>
    <x v="2"/>
    <s v="PIL1/DC/111"/>
    <d v="2023-05-02T00:00:00"/>
    <s v="RM"/>
    <s v="Granules"/>
    <s v="PP Granules"/>
    <s v="PP Granuels"/>
    <s v="PP Borouge HC116FB"/>
    <n v="99000"/>
    <n v="9409356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17.8"/>
    <n v="2739.49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9.5"/>
    <n v="1490.59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1251"/>
    <n v="150175.04000000001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32.6"/>
    <n v="3815.63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325"/>
    <n v="38364.300000000003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224"/>
    <n v="26889.86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1326"/>
    <n v="152548.34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1782"/>
    <n v="208572.41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Liners"/>
    <s v="LDPE/LLDPE Bags"/>
    <s v="LLDPE BAGS"/>
    <s v="LDPE/LLDPE Bags/Liner"/>
    <n v="4870.6000000000004"/>
    <n v="608264.88"/>
  </r>
  <r>
    <x v="1"/>
    <s v="Plastene India Limited "/>
    <d v="2023-05-02T00:00:00"/>
    <s v="Plastene India ltd - Unit 6-Sales"/>
    <s v="Branch Transfer Out"/>
    <s v="PIL1/DC/113"/>
    <x v="1"/>
    <s v="PIL1/DC/113"/>
    <d v="2023-05-02T00:00:00"/>
    <s v="Stores/Spares"/>
    <s v="MS Structure Items"/>
    <s v="Spares &amp; Stores"/>
    <s v="Stores &amp; Consumables"/>
    <s v="MS Pipe 4  C Class"/>
    <n v="136"/>
    <n v="6528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393"/>
    <n v="46391.29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223"/>
    <n v="26769.81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964"/>
    <n v="112830.42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2123"/>
    <n v="244238.41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5.4"/>
    <n v="847.28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38.200000000000003"/>
    <n v="4471.08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17.5"/>
    <n v="2693.32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1243.3"/>
    <n v="149250.71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Liners"/>
    <s v="LDPE/LLDPE Bags"/>
    <s v="LLDPE BAGS"/>
    <s v="LDPE/LLDPE Bags/Liner"/>
    <n v="916.7"/>
    <n v="114482.08"/>
  </r>
  <r>
    <x v="1"/>
    <s v="Plastene India Limited "/>
    <d v="2023-05-03T00:00:00"/>
    <s v="Plastene India ltd - Unit 6-Sales"/>
    <s v="Branch Transfer Out"/>
    <s v="PIL1/DC/115"/>
    <x v="1"/>
    <s v="PIL1/DC/115"/>
    <d v="2023-05-03T00:00:00"/>
    <s v="Stores/Spares"/>
    <s v="MS Structure Items"/>
    <s v="Spares &amp; Stores"/>
    <s v="Stores &amp; Consumables"/>
    <s v="MS Pipe 4  C Class"/>
    <n v="154"/>
    <n v="7392"/>
  </r>
  <r>
    <x v="1"/>
    <s v="Plastene India Limited "/>
    <d v="2023-05-04T00:00:00"/>
    <s v="Plastene India ltd - Unit 2-Sales"/>
    <s v="Branch Transfer Out"/>
    <s v="PIL1/DC/118"/>
    <x v="0"/>
    <s v="PIL1/DC/118"/>
    <d v="2023-05-04T00:00:00"/>
    <s v="SF"/>
    <s v="PP/PE Fabric"/>
    <s v="PP UL Fabric"/>
    <s v="PP WOVEN FABRIC (FG)"/>
    <s v="PP UL Fabric With UV"/>
    <n v="289"/>
    <n v="34692.720000000001"/>
  </r>
  <r>
    <x v="1"/>
    <s v="Plastene India Limited "/>
    <d v="2023-05-04T00:00:00"/>
    <s v="Plastene India ltd - Unit 2-Sales"/>
    <s v="Branch Transfer Out"/>
    <s v="PIL1/DC/118"/>
    <x v="0"/>
    <s v="PIL1/DC/118"/>
    <d v="2023-05-04T00:00:00"/>
    <s v="SF"/>
    <s v="PP/PE Fabric"/>
    <s v="PP UL Fabric"/>
    <s v="PP WOVEN FABRIC (FG)"/>
    <s v="PP UL Fabric With UV"/>
    <n v="523"/>
    <n v="60168.01"/>
  </r>
  <r>
    <x v="1"/>
    <s v="Plastene India Limited "/>
    <d v="2023-05-04T00:00:00"/>
    <s v="Plastene India ltd - Unit 2-Sales"/>
    <s v="Branch Transfer Out"/>
    <s v="PIL1/DC/118"/>
    <x v="0"/>
    <s v="PIL1/DC/118"/>
    <d v="2023-05-04T00:00:00"/>
    <s v="SF"/>
    <s v="PP/PE Fabric"/>
    <s v="PP Lam Fabric"/>
    <s v="PP Laminated Fabric"/>
    <s v="PP Lam Fabric With UV"/>
    <n v="1494"/>
    <n v="179345.74"/>
  </r>
  <r>
    <x v="1"/>
    <s v="Plastene India Limited "/>
    <d v="2023-05-04T00:00:00"/>
    <s v="Plastene India ltd - Unit 2-Sales"/>
    <s v="Branch Transfer Out"/>
    <s v="PIL1/DC/119"/>
    <x v="1"/>
    <s v="PIL1/DC/119"/>
    <d v="2023-05-04T00:00:00"/>
    <s v="Stores/Spares"/>
    <s v="MS Structure Items"/>
    <s v="Spares &amp; Stores"/>
    <s v="Stores &amp; Consumables"/>
    <s v="MS Pipe 4  C Class"/>
    <n v="45"/>
    <n v="2160"/>
  </r>
  <r>
    <x v="1"/>
    <s v="Plastene India Limited "/>
    <d v="2023-05-04T00:00:00"/>
    <s v="Plastene India ltd - Unit 2-Sales"/>
    <s v="Branch Transfer Out"/>
    <s v="PIL1/DC/120"/>
    <x v="2"/>
    <s v="PIL1/DC/120"/>
    <d v="2023-05-04T00:00:00"/>
    <s v="RM"/>
    <s v="Granules"/>
    <s v="LLDPE Granules"/>
    <s v="LLDPE Granuels"/>
    <s v="LLDPE Basell PETROTHENE GA1810T"/>
    <n v="13750"/>
    <n v="1382603.75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117.7"/>
    <n v="13776.08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60.5"/>
    <n v="9311.19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843.1"/>
    <n v="101209.1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19.3"/>
    <n v="3028.25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Yarn All"/>
    <s v="PP Yarn"/>
    <s v="PP Filament Yarn"/>
    <s v="PP MF Yarn Twisted 3000 Denier UV Deep Blue"/>
    <n v="484.3"/>
    <n v="65334.01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Yarn All"/>
    <s v="PP Yarn"/>
    <s v="PP Filament Yarn"/>
    <s v="PP MF Yarn Twisted 3000 Denier UV NW"/>
    <n v="1803.4"/>
    <n v="237875.67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Liners"/>
    <s v="LDPE/LLDPE Bags"/>
    <s v="LLDPE BAGS"/>
    <s v="LDPE/LLDPE Bags/Liner"/>
    <n v="1337.1"/>
    <n v="170995.03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1264"/>
    <n v="149207.62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703"/>
    <n v="82281.929999999993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226"/>
    <n v="27129.94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3118"/>
    <n v="358707.19"/>
  </r>
  <r>
    <x v="1"/>
    <s v="Plastene India Limited "/>
    <d v="2023-05-04T00:00:00"/>
    <s v="Plastene India ltd - Unit 6-Sales"/>
    <s v="Branch Transfer Out"/>
    <s v="PIL1/DC/117"/>
    <x v="1"/>
    <s v="PIL1/DC/117"/>
    <d v="2023-05-04T00:00:00"/>
    <s v="Stores/Spares"/>
    <s v="MS Structure Items"/>
    <s v="Spares &amp; Stores"/>
    <s v="Stores &amp; Consumables"/>
    <s v="MS Pipe 4  C Class"/>
    <n v="221"/>
    <n v="10608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UL Fabric"/>
    <s v="PP WOVEN FABRIC (FG)"/>
    <s v="PP UL Fabric With UV"/>
    <n v="1903"/>
    <n v="222734.73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UL Fabric"/>
    <s v="PP WOVEN FABRIC (FG)"/>
    <s v="PP UL Fabric With UV"/>
    <n v="333"/>
    <n v="39308.65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UL Fabric"/>
    <s v="PP WOVEN FABRIC (FG)"/>
    <s v="PP UL Fabric With UV"/>
    <n v="2085"/>
    <n v="239866.74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9.3000000000000007"/>
    <n v="1459.21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466.7"/>
    <n v="54624.43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28.1"/>
    <n v="4324.7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884.8"/>
    <n v="106214.93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Lam Fabric"/>
    <s v="PP Laminated Fabric"/>
    <s v="PP Lam Fabric With UV"/>
    <n v="1001"/>
    <n v="117161.04"/>
  </r>
  <r>
    <x v="1"/>
    <s v="Plastene India Limited "/>
    <d v="2023-05-05T00:00:00"/>
    <s v="Plastene India ltd - Unit 6-Sales"/>
    <s v="Branch Transfer Out"/>
    <s v="PIL1/DC/122"/>
    <x v="1"/>
    <s v="PIL1/DC/122"/>
    <d v="2023-05-05T00:00:00"/>
    <s v="Stores/Spares"/>
    <s v="MS Structure Items"/>
    <s v="Spares &amp; Stores"/>
    <s v="Stores &amp; Consumables"/>
    <s v="MS Pipe 4  C Class"/>
    <n v="191"/>
    <n v="9168"/>
  </r>
  <r>
    <x v="1"/>
    <s v="Plastene India Limited "/>
    <d v="2023-05-05T00:00:00"/>
    <s v="Plastene India ltd - Unit 6-Sales"/>
    <s v="Branch Transfer Out"/>
    <s v="PIL1/DC/123"/>
    <x v="0"/>
    <s v="PIL1/DC/123"/>
    <d v="2023-05-05T00:00:00"/>
    <s v="SF"/>
    <s v="Liners"/>
    <s v="LDPE/LLDPE Bags"/>
    <s v="LLDPE BAGS"/>
    <s v="LDPE/LLDPE Bags/Liner"/>
    <n v="474.8"/>
    <n v="59295.4"/>
  </r>
  <r>
    <x v="1"/>
    <s v="Plastene India Limited "/>
    <d v="2023-05-05T00:00:00"/>
    <s v="Plastene India ltd - Unit 6-Sales"/>
    <s v="Branch Transfer Out"/>
    <s v="PIL1/DC/123"/>
    <x v="0"/>
    <s v="PIL1/DC/123"/>
    <d v="2023-05-05T00:00:00"/>
    <s v="SF"/>
    <s v="Liners"/>
    <s v="LDPE/LLDPE Bags"/>
    <s v="LLDPE BAGS"/>
    <s v="LDPE/LLDPE Bags/Liner"/>
    <n v="3247.6"/>
    <n v="415319.33"/>
  </r>
  <r>
    <x v="1"/>
    <s v="Plastene India Limited "/>
    <d v="2023-05-06T00:00:00"/>
    <s v="Plastene India ltd - Unit 2-Sales"/>
    <s v="Branch Transfer Out"/>
    <s v="PIL1/DC/124"/>
    <x v="0"/>
    <s v="PIL1/DC/124"/>
    <d v="2023-05-06T00:00:00"/>
    <s v="SF"/>
    <s v="PP/PE Fabric"/>
    <s v="PP UL Fabric"/>
    <s v="PP WOVEN FABRIC (FG)"/>
    <s v="PP UL Fabric With UV"/>
    <n v="823.8"/>
    <n v="123594.71"/>
  </r>
  <r>
    <x v="1"/>
    <s v="Plastene India Limited "/>
    <d v="2023-05-06T00:00:00"/>
    <s v="Plastene India ltd - Unit 2-Sales"/>
    <s v="Branch Transfer Out"/>
    <s v="PIL1/DC/124"/>
    <x v="0"/>
    <s v="PIL1/DC/124"/>
    <d v="2023-05-06T00:00:00"/>
    <s v="SF"/>
    <s v="PP/PE Fabric"/>
    <s v="PP UL Fabric"/>
    <s v="PP WOVEN FABRIC (FG)"/>
    <s v="PP UL Fabric Without UV"/>
    <n v="2333.9"/>
    <n v="351181.93"/>
  </r>
  <r>
    <x v="1"/>
    <s v="Plastene India Limited "/>
    <d v="2023-05-06T00:00:00"/>
    <s v="Plastene India ltd - Unit 2-Sales"/>
    <s v="Branch Transfer Out"/>
    <s v="PIL1/DC/127"/>
    <x v="0"/>
    <s v="PIL1/DC/127"/>
    <d v="2023-05-06T00:00:00"/>
    <s v="FG"/>
    <s v="Small Bags"/>
    <s v="PP Bags"/>
    <s v="PP Laminated Bags"/>
    <s v="PP Lam Bags With UV"/>
    <n v="1824.4"/>
    <n v="267019.18"/>
  </r>
  <r>
    <x v="1"/>
    <s v="Plastene India Limited "/>
    <d v="2023-05-06T00:00:00"/>
    <s v="Plastene India ltd - Unit 2-Sales"/>
    <s v="Branch Transfer Out"/>
    <s v="PIL1/DC/128"/>
    <x v="0"/>
    <s v="PIL1/DC/128"/>
    <d v="2023-05-06T00:00:00"/>
    <s v="SF"/>
    <s v="PP/PE Fabric"/>
    <s v="PP UL Fabric"/>
    <s v="PP WOVEN FABRIC (FG)"/>
    <s v="PP UL Fabric With UV"/>
    <n v="258.89999999999998"/>
    <n v="38956.68"/>
  </r>
  <r>
    <x v="1"/>
    <s v="Plastene India Limited "/>
    <d v="2023-05-06T00:00:00"/>
    <s v="Plastene India ltd - Unit 2-Sales"/>
    <s v="Branch Transfer Out"/>
    <s v="PIL1/DC/129"/>
    <x v="0"/>
    <s v="PIL1/DC/129"/>
    <d v="2023-05-06T00:00:00"/>
    <s v="SF"/>
    <s v="PP/PE Fabric"/>
    <s v="PP UL Fabric"/>
    <s v="PP WOVEN FABRIC (FG)"/>
    <s v="PP UL Fabric With UV"/>
    <n v="1617"/>
    <n v="186026.15"/>
  </r>
  <r>
    <x v="1"/>
    <s v="Plastene India Limited "/>
    <d v="2023-05-06T00:00:00"/>
    <s v="Plastene India ltd - Unit 2-Sales"/>
    <s v="Branch Transfer Out"/>
    <s v="PIL1/DC/129"/>
    <x v="0"/>
    <s v="PIL1/DC/129"/>
    <d v="2023-05-06T00:00:00"/>
    <s v="SF"/>
    <s v="Liners"/>
    <s v="LDPE/LLDPE Bags"/>
    <s v="LLDPE BAGS"/>
    <s v="LDPE/LLDPE Bags/Liner"/>
    <n v="452.2"/>
    <n v="56473"/>
  </r>
  <r>
    <x v="1"/>
    <s v="Plastene India Limited "/>
    <d v="2023-05-06T00:00:00"/>
    <s v="Plastene India ltd - Unit 2-Sales"/>
    <s v="Branch Transfer Out"/>
    <s v="PIL1/DC/129"/>
    <x v="0"/>
    <s v="PIL1/DC/129"/>
    <d v="2023-05-06T00:00:00"/>
    <s v="SF"/>
    <s v="Yarn All"/>
    <s v="PP Yarn"/>
    <s v="PP Filament Yarn"/>
    <s v="PP MF Yarn Twisted 1000 UV NW"/>
    <n v="1981.9"/>
    <n v="261420.54"/>
  </r>
  <r>
    <x v="1"/>
    <s v="Plastene India Limited "/>
    <d v="2023-05-06T00:00:00"/>
    <s v="Plastene India ltd - Unit 2-Sales"/>
    <s v="Branch Transfer Out"/>
    <s v="PIL1/DC/130"/>
    <x v="1"/>
    <s v="PIL1/DC/130"/>
    <d v="2023-05-06T00:00:00"/>
    <s v="Stores/Spares"/>
    <s v="MS Structure Items"/>
    <s v="Spares &amp; Stores"/>
    <s v="Stores &amp; Consumables"/>
    <s v="MS Pipe 4  C Class"/>
    <n v="76"/>
    <n v="3648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Liners"/>
    <s v="LDPE/LLDPE Bags"/>
    <s v="LLDPE BAGS"/>
    <s v="LDPE/LLDPE Bags/Liner"/>
    <n v="1556.6"/>
    <n v="194395.99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Liners"/>
    <s v="LDPE/LLDPE Bags"/>
    <s v="LLDPE BAGS"/>
    <s v="LDPE/LLDPE Bags/Liner"/>
    <n v="1750.1"/>
    <n v="218561.24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414"/>
    <n v="48456.22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7.8"/>
    <n v="1200.45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4.3"/>
    <n v="674.69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818.7"/>
    <n v="98280.02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262"/>
    <n v="31451.53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1873"/>
    <n v="219223.41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1462"/>
    <n v="172580.33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4035"/>
    <n v="464202.54"/>
  </r>
  <r>
    <x v="1"/>
    <s v="Plastene India Limited "/>
    <d v="2023-05-06T00:00:00"/>
    <s v="Plastene India ltd - Unit 6-Sales"/>
    <s v="Branch Transfer Out"/>
    <s v="PIL1/DC/126"/>
    <x v="1"/>
    <s v="PIL1/DC/126"/>
    <d v="2023-05-06T00:00:00"/>
    <s v="Stores/Spares"/>
    <s v="MS Structure Items"/>
    <s v="Spares &amp; Stores"/>
    <s v="Stores &amp; Consumables"/>
    <s v="MS Pipe 4  C Class"/>
    <n v="301"/>
    <n v="14448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351"/>
    <n v="41433.440000000002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444"/>
    <n v="53299.54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927"/>
    <n v="108499.79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468"/>
    <n v="56180.59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3878"/>
    <n v="446140.63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Liners"/>
    <s v="LDPE/LLDPE Bags"/>
    <s v="LLDPE BAGS"/>
    <s v="LDPE/LLDPE Bags/Liner"/>
    <n v="4152.8999999999996"/>
    <n v="518634.92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8.9"/>
    <n v="1396.45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413.6"/>
    <n v="48409.4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54.6"/>
    <n v="8403.16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735.8"/>
    <n v="88328.38"/>
  </r>
  <r>
    <x v="1"/>
    <s v="Plastene India Limited "/>
    <d v="2023-05-07T00:00:00"/>
    <s v="Plastene India ltd - Unit 6-Sales"/>
    <s v="Branch Transfer Out"/>
    <s v="PIL1/DC/132"/>
    <x v="1"/>
    <s v="PIL1/DC/132"/>
    <d v="2023-05-07T00:00:00"/>
    <s v="Stores/Spares"/>
    <s v="MS Structure Items"/>
    <s v="Spares &amp; Stores"/>
    <s v="Stores &amp; Consumables"/>
    <s v="MS Pipe 4  C Class"/>
    <n v="240"/>
    <n v="11520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Liners"/>
    <s v="LDPE/LLDPE Bags"/>
    <s v="LLDPE BAGS"/>
    <s v="LDPE/LLDPE Bags/Liner"/>
    <n v="132.80000000000001"/>
    <n v="16584.73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Liners"/>
    <s v="LDPE/LLDPE Bags"/>
    <s v="LLDPE BAGS"/>
    <s v="LDPE/LLDPE Bags/Liner"/>
    <n v="856.9"/>
    <n v="107013.96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Liners"/>
    <s v="LDPE/LLDPE Bags"/>
    <s v="LLDPE BAGS"/>
    <s v="LDPE/LLDPE Bags/Liner"/>
    <n v="1203.9000000000001"/>
    <n v="153960.75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942"/>
    <n v="110255.45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265"/>
    <n v="31811.66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1140"/>
    <n v="134570.16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222"/>
    <n v="26649.77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2957"/>
    <n v="340185.11"/>
  </r>
  <r>
    <x v="1"/>
    <s v="Plastene India Limited "/>
    <d v="2023-05-08T00:00:00"/>
    <s v="Plastene India ltd - Unit 6-Sales"/>
    <s v="Branch Transfer Out"/>
    <s v="PIL1/DC/134"/>
    <x v="1"/>
    <s v="PIL1/DC/134"/>
    <d v="2023-05-08T00:00:00"/>
    <s v="Stores/Spares"/>
    <s v="MS Structure Items"/>
    <s v="Spares &amp; Stores"/>
    <s v="Stores &amp; Consumables"/>
    <s v="MS Pipe 4  C Class"/>
    <n v="209"/>
    <n v="10032"/>
  </r>
  <r>
    <x v="1"/>
    <s v="Plastene India Limited "/>
    <d v="2023-05-10T00:00:00"/>
    <s v="Plastene India ltd - Unit 2-Sales"/>
    <s v="Branch Transfer Out"/>
    <s v="PIL1/DC/136"/>
    <x v="0"/>
    <s v="PIL1/DC/136"/>
    <d v="2023-05-10T00:00:00"/>
    <s v="SF"/>
    <s v="PP/PE Fabric"/>
    <s v="PP Lam Fabric"/>
    <s v="PP Laminated Fabric"/>
    <s v="PP Lam Fabric With UV"/>
    <n v="8192"/>
    <n v="1003880.45"/>
  </r>
  <r>
    <x v="1"/>
    <s v="Plastene India Limited "/>
    <d v="2023-05-10T00:00:00"/>
    <s v="Plastene India ltd - Unit 2-Sales"/>
    <s v="Branch Transfer Out"/>
    <s v="PIL1/DC/136"/>
    <x v="0"/>
    <s v="PIL1/DC/136"/>
    <d v="2023-05-10T00:00:00"/>
    <s v="SF"/>
    <s v="PP/PE Fabric"/>
    <s v="PP UL Fabric"/>
    <s v="PP WOVEN FABRIC (FG)"/>
    <s v="PP UL Fabric With UV"/>
    <n v="339"/>
    <n v="39677.919999999998"/>
  </r>
  <r>
    <x v="1"/>
    <s v="Plastene India Limited "/>
    <d v="2023-05-10T00:00:00"/>
    <s v="Plastene India ltd - Unit 2-Sales"/>
    <s v="Branch Transfer Out"/>
    <s v="PIL1/DC/139"/>
    <x v="2"/>
    <s v="PIL1/DC/139"/>
    <d v="2023-05-10T00:00:00"/>
    <s v="RM"/>
    <s v="Granules"/>
    <s v="PP Granules"/>
    <s v="PP Granuels"/>
    <s v="PP China PPH T03"/>
    <n v="52000"/>
    <n v="4942288"/>
  </r>
  <r>
    <x v="1"/>
    <s v="Plastene India Limited "/>
    <d v="2023-05-10T00:00:00"/>
    <s v="Plastene India ltd - Unit 6-Sales"/>
    <s v="Branch Transfer Out"/>
    <s v="PIL1/DC/135"/>
    <x v="0"/>
    <s v="PIL1/DC/135"/>
    <d v="2023-05-10T00:00:00"/>
    <s v="SF"/>
    <s v="Liners"/>
    <s v="LDPE/LLDPE Bags"/>
    <s v="LLDPE BAGS"/>
    <s v="LDPE/LLDPE Bags/Liner"/>
    <n v="7.2"/>
    <n v="899.17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624.4"/>
    <n v="73082.27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10.8"/>
    <n v="1662.16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5.9"/>
    <n v="925.73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814.7"/>
    <n v="97799.85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446"/>
    <n v="53539.62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835"/>
    <n v="97731.74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227"/>
    <n v="27249.99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714"/>
    <n v="84283.42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4911"/>
    <n v="564981.07999999996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Liners"/>
    <s v="LDPE/LLDPE Bags"/>
    <s v="LLDPE BAGS"/>
    <s v="LDPE/LLDPE Bags/Liner"/>
    <n v="88"/>
    <n v="10989.88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Liners"/>
    <s v="LDPE/LLDPE Bags"/>
    <s v="LLDPE BAGS"/>
    <s v="LDPE/LLDPE Bags/Liner"/>
    <n v="2090.8000000000002"/>
    <n v="267381.96000000002"/>
  </r>
  <r>
    <x v="1"/>
    <s v="Plastene India Limited "/>
    <d v="2023-05-10T00:00:00"/>
    <s v="Plastene India ltd - Unit 6-Sales"/>
    <s v="Branch Transfer Out"/>
    <s v="PIL1/DC/138"/>
    <x v="1"/>
    <s v="PIL1/DC/138"/>
    <d v="2023-05-10T00:00:00"/>
    <s v="Stores/Spares"/>
    <s v="MS Structure Items"/>
    <s v="Spares &amp; Stores"/>
    <s v="Stores &amp; Consumables"/>
    <s v="MS Pipe 4  C Class"/>
    <n v="280"/>
    <n v="13440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463"/>
    <n v="55580.37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795"/>
    <n v="95434.98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521"/>
    <n v="60979.92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843"/>
    <n v="99511.09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4021"/>
    <n v="462591.92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693"/>
    <n v="81111.490000000005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930.9"/>
    <n v="111748.96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6"/>
    <n v="941.42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10.6"/>
    <n v="1631.38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Yarn All"/>
    <s v="PP Yarn"/>
    <s v="PP Filament Yarn"/>
    <s v="PP Braided Rope MW 6 to 8 GPM"/>
    <n v="74.3"/>
    <n v="10543.47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Liners"/>
    <s v="LDPE/LLDPE Bags"/>
    <s v="LLDPE BAGS"/>
    <s v="LDPE/LLDPE Bags/Liner"/>
    <n v="3229.6"/>
    <n v="413017.4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Liners"/>
    <s v="LDPE/LLDPE Bags"/>
    <s v="LLDPE BAGS"/>
    <s v="LDPE/LLDPE Bags/Liner"/>
    <n v="816.7"/>
    <n v="101993.58"/>
  </r>
  <r>
    <x v="1"/>
    <s v="Plastene India Limited "/>
    <d v="2023-05-11T00:00:00"/>
    <s v="Plastene India ltd - Unit 6-Sales"/>
    <s v="Branch Transfer Out"/>
    <s v="PIL1/DC/141"/>
    <x v="1"/>
    <s v="PIL1/DC/141"/>
    <d v="2023-05-11T00:00:00"/>
    <s v="Stores/Spares"/>
    <s v="MS Structure Items"/>
    <s v="Spares &amp; Stores"/>
    <s v="Stores &amp; Consumables"/>
    <s v="MS Pipe 4  C Class"/>
    <n v="278"/>
    <n v="13344"/>
  </r>
  <r>
    <x v="1"/>
    <s v="Plastene India Limited "/>
    <d v="2023-05-12T00:00:00"/>
    <s v="Plastene India ltd - Unit 2-Sales"/>
    <s v="Branch Transfer Out"/>
    <s v="PIL1/DC/142"/>
    <x v="2"/>
    <s v="PIL1/DC/142"/>
    <d v="2023-05-12T00:00:00"/>
    <s v="RM"/>
    <s v="Granules"/>
    <s v="PP Granules"/>
    <s v="PP Granuels"/>
    <s v="PP Borouge HC402BF"/>
    <n v="24750"/>
    <n v="2352289.5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Liners"/>
    <s v="LDPE/LLDPE Bags"/>
    <s v="LLDPE BAGS"/>
    <s v="LDPE/LLDPE Bags/Liner"/>
    <n v="1113.5"/>
    <n v="136576.34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1404"/>
    <n v="165730.97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938"/>
    <n v="112599.4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465"/>
    <n v="54424.53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235"/>
    <n v="28209.87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3783"/>
    <n v="435203.89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Yarn All"/>
    <s v="PP Yarn"/>
    <s v="PP Filament Yarn"/>
    <s v="PP MF Yarn Twisted 3000 Denier UV NW"/>
    <n v="411.6"/>
    <n v="54282.22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Webbing"/>
    <s v="PP Webbing"/>
    <s v="PP Webbing"/>
    <s v="Webbing"/>
    <n v="951.5"/>
    <n v="114219.96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Webbing"/>
    <s v="PP Webbing"/>
    <s v="PP Webbing"/>
    <s v="Webbing"/>
    <n v="405.8"/>
    <n v="47495.64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Webbing"/>
    <s v="PP Webbing"/>
    <s v="PP Webbing"/>
    <s v="Webbing"/>
    <n v="10"/>
    <n v="1538.81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Yarn All"/>
    <s v="PP Yarn"/>
    <s v="PP Filament Yarn"/>
    <s v="PP MF Yarn Twisted 3000 Denier UV Deep Blue"/>
    <n v="817.2"/>
    <n v="110224.75"/>
  </r>
  <r>
    <x v="1"/>
    <s v="Plastene India Limited "/>
    <d v="2023-05-12T00:00:00"/>
    <s v="Plastene India ltd - Unit 6-Sales"/>
    <s v="Branch Transfer Out"/>
    <s v="PIL1/DC/144"/>
    <x v="1"/>
    <s v="PIL1/DC/144"/>
    <d v="2023-05-12T00:00:00"/>
    <s v="Stores/Spares"/>
    <s v="MS Structure Items"/>
    <s v="Spares &amp; Stores"/>
    <s v="Stores &amp; Consumables"/>
    <s v="MS Pipe 4  C Class"/>
    <n v="292"/>
    <n v="14016"/>
  </r>
  <r>
    <x v="1"/>
    <s v="Plastene India Limited "/>
    <d v="2023-05-13T00:00:00"/>
    <s v="Plastene India ltd - Unit 2-Sales"/>
    <s v="Branch Transfer Out"/>
    <s v="PIL1/DC/145"/>
    <x v="0"/>
    <s v="PIL1/DC/145"/>
    <d v="2023-05-13T00:00:00"/>
    <s v="SF"/>
    <s v="PP/PE Fabric"/>
    <s v="PP Lam Fabric"/>
    <s v="PP Laminated Fabric"/>
    <s v="PP Lam Fabric With UV"/>
    <n v="4607"/>
    <n v="564550.99"/>
  </r>
  <r>
    <x v="1"/>
    <s v="Plastene India Limited "/>
    <d v="2023-05-13T00:00:00"/>
    <s v="Plastene India ltd - Unit 2-Sales"/>
    <s v="Branch Transfer Out"/>
    <s v="PIL1/DC/145"/>
    <x v="0"/>
    <s v="PIL1/DC/145"/>
    <d v="2023-05-13T00:00:00"/>
    <s v="SF"/>
    <s v="PP/PE Fabric"/>
    <s v="PP UL Fabric"/>
    <s v="PP WOVEN FABRIC (FG)"/>
    <s v="PP UL Fabric With UV"/>
    <n v="2487"/>
    <n v="291083.45"/>
  </r>
  <r>
    <x v="1"/>
    <s v="Plastene India Limited "/>
    <d v="2023-05-13T00:00:00"/>
    <s v="Plastene India ltd - Unit 2-Sales"/>
    <s v="Branch Transfer Out"/>
    <s v="PIL1/DC/149"/>
    <x v="2"/>
    <s v="PIL1/DC/149"/>
    <d v="2023-05-13T00:00:00"/>
    <s v="RM"/>
    <s v="Granules"/>
    <s v="PP Granules"/>
    <s v="PP Granuels"/>
    <s v="PP Borouge HC402BF"/>
    <n v="24750"/>
    <n v="2352289.5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PP/PE Fabric"/>
    <s v="PP Lam Fabric"/>
    <s v="PP Laminated Fabric"/>
    <s v="PP Lam Fabric With UV"/>
    <n v="100"/>
    <n v="12204.2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PP/PE Fabric"/>
    <s v="PP Lam Fabric"/>
    <s v="PP Laminated Fabric"/>
    <s v="PP Lam Fabric With UV"/>
    <n v="622"/>
    <n v="76221.119999999995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Yarn All"/>
    <s v="PP Yarn"/>
    <s v="PP Filament Yarn"/>
    <s v="PP MF Yarn Twisted 1000 UV NW"/>
    <n v="887.7"/>
    <n v="117070.76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Yarn All"/>
    <s v="PP Yarn"/>
    <s v="PP Filament Yarn"/>
    <s v="PP MF Yarn Twisted 2500 Denier UV NW"/>
    <n v="2010.1"/>
    <n v="271124.3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10"/>
    <n v="1266.55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573"/>
    <n v="84033.32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1636.3"/>
    <n v="239971.58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165.9"/>
    <n v="20348.46"/>
  </r>
  <r>
    <x v="1"/>
    <s v="Plastene India Limited "/>
    <d v="2023-05-13T00:00:00"/>
    <s v="Plastene India ltd - Unit 2-Sales"/>
    <s v="Branch Transfer Out"/>
    <s v="PIL1/DC/151"/>
    <x v="1"/>
    <s v="PIL1/DC/151"/>
    <d v="2023-05-13T00:00:00"/>
    <s v="Stores/Spares"/>
    <s v="MS Structure Items"/>
    <s v="Spares &amp; Stores"/>
    <s v="Stores &amp; Consumables"/>
    <s v="MS Pipe 4  C Class"/>
    <n v="42"/>
    <n v="2016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Yarn All"/>
    <s v="PP Yarn"/>
    <s v="PP Filament Yarn"/>
    <s v="PP Braided Rope MW 6 to 8 GPM"/>
    <n v="107.5"/>
    <n v="15252.21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Yarn All"/>
    <s v="PP Yarn"/>
    <s v="PP Filament Yarn"/>
    <s v="PP MF Yarn Twisted 3000 Denier UV NW"/>
    <n v="839.2"/>
    <n v="110674.54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3248"/>
    <n v="373656.42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569"/>
    <n v="68303.899999999994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485"/>
    <n v="56765.37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226"/>
    <n v="27129.49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862"/>
    <n v="101752.2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15.4"/>
    <n v="2369.77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5.9"/>
    <n v="925.6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646.70000000000005"/>
    <n v="75691.06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817.3"/>
    <n v="98110.33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Films All"/>
    <s v="PE Film"/>
    <s v="LLDPE Co-Extruded Film."/>
    <s v="LDPE/LLDPE Film"/>
    <n v="302.2"/>
    <n v="34950.94"/>
  </r>
  <r>
    <x v="1"/>
    <s v="Plastene India Limited "/>
    <d v="2023-05-13T00:00:00"/>
    <s v="Plastene India ltd - Unit 6-Sales"/>
    <s v="Branch Transfer Out"/>
    <s v="PIL1/DC/147"/>
    <x v="1"/>
    <s v="PIL1/DC/147"/>
    <d v="2023-05-13T00:00:00"/>
    <s v="Stores/Spares"/>
    <s v="MS Structure Items"/>
    <s v="Spares &amp; Stores"/>
    <s v="Stores &amp; Consumables"/>
    <s v="MS Pipe 4  C Class"/>
    <n v="221"/>
    <n v="10608"/>
  </r>
  <r>
    <x v="1"/>
    <s v="Plastene India Limited "/>
    <d v="2023-05-13T00:00:00"/>
    <s v="Plastene India ltd - Unit 6-Sales"/>
    <s v="Branch Transfer Out"/>
    <s v="PIL1/DC/148"/>
    <x v="0"/>
    <s v="PIL1/DC/148"/>
    <d v="2023-05-13T00:00:00"/>
    <s v="SF"/>
    <s v="PP/PE Fabric"/>
    <s v="PP UL Fabric"/>
    <s v="PP WOVEN FABRIC (FG)"/>
    <s v="PP UL Fabric With UV"/>
    <n v="1224"/>
    <n v="143259.41"/>
  </r>
  <r>
    <x v="1"/>
    <s v="Plastene India Limited "/>
    <d v="2023-05-13T00:00:00"/>
    <s v="Plastene India ltd - Unit 6-Sales"/>
    <s v="Branch Transfer Out"/>
    <s v="PIL1/DC/148"/>
    <x v="0"/>
    <s v="PIL1/DC/148"/>
    <d v="2023-05-13T00:00:00"/>
    <s v="SF"/>
    <s v="PP/PE Fabric"/>
    <s v="PP Lam Fabric"/>
    <s v="PP Laminated Fabric"/>
    <s v="PP Lam Fabric With UV"/>
    <n v="274"/>
    <n v="34398.51"/>
  </r>
  <r>
    <x v="1"/>
    <s v="Plastene India Limited "/>
    <d v="2023-05-13T00:00:00"/>
    <s v="Plastene India ltd - Unit 6-Sales"/>
    <s v="Branch Transfer Out"/>
    <s v="PIL1/DC/148"/>
    <x v="0"/>
    <s v="PIL1/DC/148"/>
    <d v="2023-05-13T00:00:00"/>
    <s v="SF"/>
    <s v="PP/PE Fabric"/>
    <s v="PP Lam Fabric"/>
    <s v="PP Laminated Fabric"/>
    <s v="PP Lam Fabric With UV"/>
    <n v="3210"/>
    <n v="393359.82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Lam Fabric"/>
    <s v="PP Laminated Fabric"/>
    <s v="PP Lam Fabric With UV"/>
    <n v="1580"/>
    <n v="184926.36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16.600000000000001"/>
    <n v="2554.42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3.9"/>
    <n v="611.84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1248.0999999999999"/>
    <n v="149824.42000000001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53.7"/>
    <n v="6285.16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5165"/>
    <n v="594191.93000000005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222"/>
    <n v="26649.32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1570"/>
    <n v="185325.94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230"/>
    <n v="26919.66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570"/>
    <n v="68423.94"/>
  </r>
  <r>
    <x v="1"/>
    <s v="Plastene India Limited "/>
    <d v="2023-05-14T00:00:00"/>
    <s v="Plastene India ltd - Unit 6-Sales"/>
    <s v="Branch Transfer Out"/>
    <s v="PIL1/DC/153"/>
    <x v="1"/>
    <s v="PIL1/DC/153"/>
    <d v="2023-05-14T00:00:00"/>
    <s v="Stores/Spares"/>
    <s v="MS Structure Items"/>
    <s v="Spares &amp; Stores"/>
    <s v="Stores &amp; Consumables"/>
    <s v="MS Pipe 4  C Class"/>
    <n v="387"/>
    <n v="18576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231"/>
    <n v="27036.7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785"/>
    <n v="92662.97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4860"/>
    <n v="559104.1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328"/>
    <n v="39373.78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10"/>
    <n v="1568.81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255.3"/>
    <n v="29880.8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8.3000000000000007"/>
    <n v="1277.21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1110.0999999999999"/>
    <n v="133258.6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Yarn All"/>
    <s v="PP Yarn"/>
    <s v="PP Filament Yarn"/>
    <s v="PP Braided Rope MW 6 to 8 GPM"/>
    <n v="109.1"/>
    <n v="15479.2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Films All"/>
    <s v="PE Film"/>
    <s v="LLDPE Co-Extruded Film."/>
    <s v="LDPE/LLDPE Film"/>
    <n v="118.1"/>
    <n v="13658.86"/>
  </r>
  <r>
    <x v="1"/>
    <s v="Plastene India Limited "/>
    <d v="2023-05-15T00:00:00"/>
    <s v="Plastene India ltd - Unit 6-Sales"/>
    <s v="Branch Transfer Out"/>
    <s v="PIL1/DC/155"/>
    <x v="1"/>
    <s v="PIL1/DC/155"/>
    <d v="2023-05-15T00:00:00"/>
    <s v="Stores/Spares"/>
    <s v="MS Structure Items"/>
    <s v="Spares &amp; Stores"/>
    <s v="Stores &amp; Consumables"/>
    <s v="MS Pipe 4  C Class"/>
    <n v="284"/>
    <n v="13632"/>
  </r>
  <r>
    <x v="1"/>
    <s v="Plastene India Limited "/>
    <d v="2023-05-16T00:00:00"/>
    <s v="Plastene India ltd - Unit 2-Sales"/>
    <s v="Branch Transfer Out"/>
    <s v="PIL1/DC/156"/>
    <x v="2"/>
    <s v="PIL1/DC/156"/>
    <d v="2023-05-16T00:00:00"/>
    <s v="RM"/>
    <s v="Granules"/>
    <s v="PP Granules"/>
    <s v="PP Granuels"/>
    <s v="PP Borouge HC402BF"/>
    <n v="24750"/>
    <n v="2352289.5"/>
  </r>
  <r>
    <x v="1"/>
    <s v="Plastene India Limited "/>
    <d v="2023-05-16T00:00:00"/>
    <s v="Plastene India ltd - Unit 2-Sales"/>
    <s v="Branch Transfer Out"/>
    <s v="PIL1/DC/159"/>
    <x v="0"/>
    <s v="PIL1/DC/159"/>
    <d v="2023-05-16T00:00:00"/>
    <s v="SF"/>
    <s v="Yarn All"/>
    <s v="PP Yarn"/>
    <s v="PP Filament Yarn"/>
    <s v="PP MF Yarn Twisted 1000 UV NW"/>
    <n v="2044.5"/>
    <n v="269630.7"/>
  </r>
  <r>
    <x v="1"/>
    <s v="Plastene India Limited "/>
    <d v="2023-05-16T00:00:00"/>
    <s v="Plastene India ltd - Unit 2-Sales"/>
    <s v="Branch Transfer Out"/>
    <s v="PIL1/DC/159"/>
    <x v="0"/>
    <s v="PIL1/DC/159"/>
    <d v="2023-05-16T00:00:00"/>
    <s v="SF"/>
    <s v="PP/PE Fabric"/>
    <s v="PP UL Fabric"/>
    <s v="PP WOVEN FABRIC (FG)"/>
    <s v="PP UL Fabric With UV"/>
    <n v="1973"/>
    <n v="226977.87"/>
  </r>
  <r>
    <x v="1"/>
    <s v="Plastene India Limited "/>
    <d v="2023-05-16T00:00:00"/>
    <s v="Plastene India ltd - Unit 2-Sales"/>
    <s v="Branch Transfer Out"/>
    <s v="PIL1/DC/160"/>
    <x v="1"/>
    <s v="PIL1/DC/160"/>
    <d v="2023-05-16T00:00:00"/>
    <s v="Stores/Spares"/>
    <s v="MS Structure Items"/>
    <s v="Spares &amp; Stores"/>
    <s v="Stores &amp; Consumables"/>
    <s v="MS Pipe 4  C Class"/>
    <n v="92"/>
    <n v="4416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7.5"/>
    <n v="1176.6099999999999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1184.0999999999999"/>
    <n v="142141.73000000001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13"/>
    <n v="2000.45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553.29999999999995"/>
    <n v="64759.34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Yarn All"/>
    <s v="PP Yarn"/>
    <s v="PP Filament Yarn"/>
    <s v="PP MF Yarn Twisted 3000 Denier UV NW"/>
    <n v="1654.4"/>
    <n v="218183.93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Yarn All"/>
    <s v="PP Yarn"/>
    <s v="PP Filament Yarn"/>
    <s v="PP MF Yarn Twisted 3000 Denier UV Deep Blue"/>
    <n v="939.6"/>
    <n v="126734.19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PP/PE Fabric"/>
    <s v="PP UL Fabric"/>
    <s v="PP WOVEN FABRIC (FG)"/>
    <s v="PP UL Fabric With UV"/>
    <n v="1268"/>
    <n v="149677.26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PP/PE Fabric"/>
    <s v="PP UL Fabric"/>
    <s v="PP WOVEN FABRIC (FG)"/>
    <s v="PP UL Fabric With UV"/>
    <n v="455"/>
    <n v="54619.11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PP/PE Fabric"/>
    <s v="PP UL Fabric"/>
    <s v="PP WOVEN FABRIC (FG)"/>
    <s v="PP UL Fabric With UV"/>
    <n v="4868"/>
    <n v="560024.46"/>
  </r>
  <r>
    <x v="1"/>
    <s v="Plastene India Limited "/>
    <d v="2023-05-16T00:00:00"/>
    <s v="Plastene India ltd - Unit 6-Sales"/>
    <s v="Branch Transfer Out"/>
    <s v="PIL1/DC/158"/>
    <x v="1"/>
    <s v="PIL1/DC/158"/>
    <d v="2023-05-16T00:00:00"/>
    <s v="Stores/Spares"/>
    <s v="MS Structure Items"/>
    <s v="Spares &amp; Stores"/>
    <s v="Stores &amp; Consumables"/>
    <s v="MS Pipe 4  C Class"/>
    <n v="288"/>
    <n v="13824"/>
  </r>
  <r>
    <x v="1"/>
    <s v="Plastene India Limited "/>
    <d v="2023-05-17T00:00:00"/>
    <s v="Plastene India ltd - Unit 2-Sales"/>
    <s v="Branch Transfer Out"/>
    <s v="PIL1/DC/163"/>
    <x v="2"/>
    <s v="PIL1/DC/163"/>
    <d v="2023-05-17T00:00:00"/>
    <s v="RM"/>
    <s v="Granules"/>
    <s v="PP Granules"/>
    <s v="PP Granuels"/>
    <s v="PP Borouge HC402BF"/>
    <n v="24750"/>
    <n v="2352289.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227"/>
    <n v="27842.69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249"/>
    <n v="31288.1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2178.9"/>
    <n v="267252.98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112.6"/>
    <n v="13810.9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12.8"/>
    <n v="1969.68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7.3"/>
    <n v="1145.23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614.1"/>
    <n v="71875.49000000000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1149.2"/>
    <n v="137952.26999999999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Lam Fabric"/>
    <s v="PP Laminated Fabric"/>
    <s v="PP Lam Fabric With UV"/>
    <n v="1988"/>
    <n v="232679.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UL Fabric"/>
    <s v="PP WOVEN FABRIC (FG)"/>
    <s v="PP UL Fabric With UV"/>
    <n v="686"/>
    <n v="80976.81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UL Fabric"/>
    <s v="PP WOVEN FABRIC (FG)"/>
    <s v="PP UL Fabric With UV"/>
    <n v="4231"/>
    <n v="486742.7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UL Fabric"/>
    <s v="PP WOVEN FABRIC (FG)"/>
    <s v="PP UL Fabric With UV"/>
    <n v="54"/>
    <n v="6320.27"/>
  </r>
  <r>
    <x v="1"/>
    <s v="Plastene India Limited "/>
    <d v="2023-05-17T00:00:00"/>
    <s v="Plastene India ltd - Unit 6-Sales"/>
    <s v="Branch Transfer Out"/>
    <s v="PIL1/DC/162"/>
    <x v="1"/>
    <s v="PIL1/DC/162"/>
    <d v="2023-05-17T00:00:00"/>
    <s v="Stores/Spares"/>
    <s v="MS Structure Items"/>
    <s v="Spares &amp; Stores"/>
    <s v="Stores &amp; Consumables"/>
    <s v="MS Pipe 4  C Class"/>
    <n v="318"/>
    <n v="15264"/>
  </r>
  <r>
    <x v="1"/>
    <s v="Plastene India Limited "/>
    <d v="2023-05-18T00:00:00"/>
    <s v="Plastene India ltd - Unit 2-Sales"/>
    <s v="Branch Transfer Out"/>
    <s v="PIL1/DC/168"/>
    <x v="0"/>
    <s v="PIL1/DC/168"/>
    <d v="2023-05-18T00:00:00"/>
    <s v="SF"/>
    <s v="PP/PE Fabric"/>
    <s v="PP UL Fabric"/>
    <s v="PP WOVEN FABRIC (FG)"/>
    <s v="PP UL Fabric With UV"/>
    <n v="1742"/>
    <n v="209113.16"/>
  </r>
  <r>
    <x v="1"/>
    <s v="Plastene India Limited "/>
    <d v="2023-05-18T00:00:00"/>
    <s v="Plastene India ltd - Unit 2-Sales"/>
    <s v="Branch Transfer Out"/>
    <s v="PIL1/DC/168"/>
    <x v="0"/>
    <s v="PIL1/DC/168"/>
    <d v="2023-05-18T00:00:00"/>
    <s v="SF"/>
    <s v="Yarn All"/>
    <s v="PP Yarn"/>
    <s v="PP Filament Yarn"/>
    <s v="PP MF Yarn Twisted 2500 Denier UV NW"/>
    <n v="1184.5"/>
    <n v="159766.54"/>
  </r>
  <r>
    <x v="1"/>
    <s v="Plastene India Limited "/>
    <d v="2023-05-18T00:00:00"/>
    <s v="Plastene India ltd - Unit 2-Sales"/>
    <s v="Branch Transfer Out"/>
    <s v="PIL1/DC/168"/>
    <x v="0"/>
    <s v="PIL1/DC/168"/>
    <d v="2023-05-18T00:00:00"/>
    <s v="SF"/>
    <s v="Yarn All"/>
    <s v="PP Yarn"/>
    <s v="PP Filament Yarn"/>
    <s v="PP MF Yarn Twisted 3000 Denier UV NW"/>
    <n v="1023.6"/>
    <n v="134993.39000000001"/>
  </r>
  <r>
    <x v="1"/>
    <s v="Plastene India Limited "/>
    <d v="2023-05-18T00:00:00"/>
    <s v="Plastene India ltd - Unit 2-Sales"/>
    <s v="Branch Transfer Out"/>
    <s v="PIL1/DC/169"/>
    <x v="1"/>
    <s v="PIL1/DC/169"/>
    <d v="2023-05-18T00:00:00"/>
    <s v="Stores/Spares"/>
    <s v="MS Structure Items"/>
    <s v="Spares &amp; Stores"/>
    <s v="Stores &amp; Consumables"/>
    <s v="MS Pipe 4  C Class"/>
    <n v="73"/>
    <n v="3504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5284"/>
    <n v="607881.93000000005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555"/>
    <n v="66623.31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1209"/>
    <n v="141503.78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946"/>
    <n v="113559.73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1082"/>
    <n v="127721.44"/>
  </r>
  <r>
    <x v="1"/>
    <s v="Plastene India Limited "/>
    <d v="2023-05-18T00:00:00"/>
    <s v="Plastene India ltd - Unit 6-Sales"/>
    <s v="Branch Transfer Out"/>
    <s v="PIL1/DC/165"/>
    <x v="1"/>
    <s v="PIL1/DC/165"/>
    <d v="2023-05-18T00:00:00"/>
    <s v="Stores/Spares"/>
    <s v="MS Structure Items"/>
    <s v="Spares &amp; Stores"/>
    <s v="Stores &amp; Consumables"/>
    <s v="MS Pipe 4  C Class"/>
    <n v="369"/>
    <n v="17712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Liners"/>
    <s v="LDPE/LLDPE Bags"/>
    <s v="LLDPE BAGS"/>
    <s v="LDPE/LLDPE Bags/Liner"/>
    <n v="4715.6000000000004"/>
    <n v="578391.92000000004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Films All"/>
    <s v="PE Film"/>
    <s v="LLDPE Co-Extruded Film."/>
    <s v="LDPE/LLDPE Film"/>
    <n v="464.8"/>
    <n v="53756.44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7.1"/>
    <n v="1113.8599999999999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530.4"/>
    <n v="62079.08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13.5"/>
    <n v="2077.39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1043"/>
    <n v="125203.81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Yarn All"/>
    <s v="PP Yarn"/>
    <s v="PP Filament Yarn"/>
    <s v="PP MF Yarn Twisted 3000 Denier UV NW"/>
    <n v="1253.4000000000001"/>
    <n v="165299.65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Yarn All"/>
    <s v="PP Yarn"/>
    <s v="PP Filament Yarn"/>
    <s v="PP MF Yarn Twisted 3000 Denier UV Deep Blue"/>
    <n v="791.9"/>
    <n v="106812.26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707"/>
    <n v="83455.69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319"/>
    <n v="38293.4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222"/>
    <n v="25983.32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513"/>
    <n v="59016.55"/>
  </r>
  <r>
    <x v="1"/>
    <s v="Plastene India Limited "/>
    <d v="2023-05-18T00:00:00"/>
    <s v="Plastene India ltd - Unit 6-Sales"/>
    <s v="Branch Transfer Out"/>
    <s v="PIL1/DC/167"/>
    <x v="1"/>
    <s v="PIL1/DC/167"/>
    <d v="2023-05-18T00:00:00"/>
    <s v="Stores/Spares"/>
    <s v="MS Structure Items"/>
    <s v="Spares &amp; Stores"/>
    <s v="Stores &amp; Consumables"/>
    <s v="MS Pipe 4  C Class"/>
    <n v="61"/>
    <n v="2928"/>
  </r>
  <r>
    <x v="1"/>
    <s v="Plastene India Limited "/>
    <d v="2023-05-19T00:00:00"/>
    <s v="Plastene India ltd - Unit 2-Sales"/>
    <s v="Branch Transfer Out"/>
    <s v="PIL1/DC/170"/>
    <x v="0"/>
    <s v="PIL1/DC/170"/>
    <d v="2023-05-19T00:00:00"/>
    <s v="SF"/>
    <s v="PP/PE Fabric"/>
    <s v="PP Lam Fabric"/>
    <s v="PP Laminated Fabric"/>
    <s v="PP Lam Fabric With UV"/>
    <n v="611"/>
    <n v="76706.16"/>
  </r>
  <r>
    <x v="1"/>
    <s v="Plastene India Limited "/>
    <d v="2023-05-19T00:00:00"/>
    <s v="Plastene India ltd - Unit 2-Sales"/>
    <s v="Branch Transfer Out"/>
    <s v="PIL1/DC/170"/>
    <x v="0"/>
    <s v="PIL1/DC/170"/>
    <d v="2023-05-19T00:00:00"/>
    <s v="SF"/>
    <s v="PP/PE Fabric"/>
    <s v="PP Lam Fabric"/>
    <s v="PP Laminated Fabric"/>
    <s v="PP Lam Fabric With UV"/>
    <n v="6336"/>
    <n v="776426.11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490"/>
    <n v="57350.58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897"/>
    <n v="107677.67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320"/>
    <n v="38413.440000000002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1499"/>
    <n v="176944.96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3091"/>
    <n v="355594.82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568.4"/>
    <n v="66526.67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5.8"/>
    <n v="909.91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10.5"/>
    <n v="1615.75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1222.5"/>
    <n v="146751.35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Liners"/>
    <s v="LDPE/LLDPE Bags"/>
    <s v="LLDPE BAGS"/>
    <s v="LDPE/LLDPE Bags/Liner"/>
    <n v="600.20000000000005"/>
    <n v="73617.53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Liners"/>
    <s v="LDPE/LLDPE Bags"/>
    <s v="LLDPE BAGS"/>
    <s v="LDPE/LLDPE Bags/Liner"/>
    <n v="1606.2"/>
    <n v="197008.46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Films All"/>
    <s v="PE Film"/>
    <s v="LLDPE Co-Extruded Film."/>
    <s v="LDPE/LLDPE Film"/>
    <n v="406.8"/>
    <n v="47048.45"/>
  </r>
  <r>
    <x v="1"/>
    <s v="Plastene India Limited "/>
    <d v="2023-05-19T00:00:00"/>
    <s v="Plastene India ltd - Unit 6-Sales"/>
    <s v="Branch Transfer Out"/>
    <s v="PIL1/DC/172"/>
    <x v="1"/>
    <s v="PIL1/DC/172"/>
    <d v="2023-05-19T00:00:00"/>
    <s v="Stores/Spares"/>
    <s v="MS Structure Items"/>
    <s v="Spares &amp; Stores"/>
    <s v="Stores &amp; Consumables"/>
    <s v="MS Pipe 4  C Class"/>
    <n v="258"/>
    <n v="12384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PP/PE Fabric"/>
    <s v="PP UL Fabric"/>
    <s v="PP WOVEN FABRIC (FG)"/>
    <s v="PP UL Fabric With UV"/>
    <n v="833"/>
    <n v="95829.99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Liners"/>
    <s v="LDPE/LLDPE Bags"/>
    <s v="LLDPE BAGS"/>
    <s v="LDPE/LLDPE Bags/Liner"/>
    <n v="312.8"/>
    <n v="39617.68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Liners"/>
    <s v="LDPE/LLDPE Bags"/>
    <s v="LLDPE BAGS"/>
    <s v="LDPE/LLDPE Bags/Liner"/>
    <n v="470.7"/>
    <n v="57733.71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Yarn All"/>
    <s v="PP Yarn"/>
    <s v="PP Filament Yarn"/>
    <s v="PP MF Yarn Twisted 3000 Denier UV NW"/>
    <n v="643"/>
    <n v="84799.48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Yarn All"/>
    <s v="PP Yarn"/>
    <s v="PP Filament Yarn"/>
    <s v="PP MF Yarn Twisted 1000 UV NW"/>
    <n v="2181.1999999999998"/>
    <n v="287658.84000000003"/>
  </r>
  <r>
    <x v="1"/>
    <s v="Plastene India Limited "/>
    <d v="2023-05-20T00:00:00"/>
    <s v="Plastene India ltd - Unit 2-Sales"/>
    <s v="Branch Transfer Out"/>
    <s v="PIL1/DC/178"/>
    <x v="1"/>
    <s v="PIL1/DC/178"/>
    <d v="2023-05-20T00:00:00"/>
    <s v="Stores/Spares"/>
    <s v="MS Structure Items"/>
    <s v="Spares &amp; Stores"/>
    <s v="Stores &amp; Consumables"/>
    <s v="MS Pipe 4  C Class"/>
    <n v="40"/>
    <n v="1920"/>
  </r>
  <r>
    <x v="1"/>
    <s v="Plastene India Limited "/>
    <d v="2023-05-20T00:00:00"/>
    <s v="Plastene India ltd - Unit 6-Sales"/>
    <s v="Branch Transfer Out"/>
    <s v="PIL1/DC/173"/>
    <x v="0"/>
    <s v="PIL1/DC/173"/>
    <d v="2023-05-20T00:00:00"/>
    <s v="SF"/>
    <s v="PP/PE Fabric"/>
    <s v="PP UL Fabric"/>
    <s v="PP WOVEN FABRIC (FG)"/>
    <s v="PP UL Fabric With UV"/>
    <n v="318"/>
    <n v="38173.360000000001"/>
  </r>
  <r>
    <x v="1"/>
    <s v="Plastene India Limited "/>
    <d v="2023-05-20T00:00:00"/>
    <s v="Plastene India ltd - Unit 6-Sales"/>
    <s v="Branch Transfer Out"/>
    <s v="PIL1/DC/173"/>
    <x v="0"/>
    <s v="PIL1/DC/173"/>
    <d v="2023-05-20T00:00:00"/>
    <s v="SF"/>
    <s v="PP/PE Fabric"/>
    <s v="PP UL Fabric"/>
    <s v="PP WOVEN FABRIC (FG)"/>
    <s v="PP UL Fabric With UV"/>
    <n v="781"/>
    <n v="92190.8"/>
  </r>
  <r>
    <x v="1"/>
    <s v="Plastene India Limited "/>
    <d v="2023-05-20T00:00:00"/>
    <s v="Plastene India ltd - Unit 6-Sales"/>
    <s v="Branch Transfer Out"/>
    <s v="PIL1/DC/173"/>
    <x v="0"/>
    <s v="PIL1/DC/173"/>
    <d v="2023-05-20T00:00:00"/>
    <s v="SF"/>
    <s v="Liners"/>
    <s v="LDPE/LLDPE Bags"/>
    <s v="LLDPE BAGS"/>
    <s v="LDPE/LLDPE Bags/Liner"/>
    <n v="360"/>
    <n v="47035.8"/>
  </r>
  <r>
    <x v="1"/>
    <s v="Plastene India Limited "/>
    <d v="2023-05-20T00:00:00"/>
    <s v="Plastene India ltd - Unit 6-Sales"/>
    <s v="Branch Transfer Out"/>
    <s v="PIL1/DC/174"/>
    <x v="1"/>
    <s v="PIL1/DC/174"/>
    <d v="2023-05-20T00:00:00"/>
    <s v="Stores/Spares"/>
    <s v="MS Structure Items"/>
    <s v="Spares &amp; Stores"/>
    <s v="Stores &amp; Consumables"/>
    <s v="MS Pipe 4  C Class"/>
    <n v="36"/>
    <n v="1728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5.9"/>
    <n v="925.6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1115.9000000000001"/>
    <n v="133954.87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647"/>
    <n v="75726.17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11.3"/>
    <n v="1738.86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856"/>
    <n v="101043.95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1064"/>
    <n v="124532.69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747"/>
    <n v="89671.37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3487"/>
    <n v="401151.45"/>
  </r>
  <r>
    <x v="1"/>
    <s v="Plastene India Limited "/>
    <d v="2023-05-20T00:00:00"/>
    <s v="Plastene India ltd - Unit 6-Sales"/>
    <s v="Branch Transfer Out"/>
    <s v="PIL1/DC/176"/>
    <x v="1"/>
    <s v="PIL1/DC/176"/>
    <d v="2023-05-20T00:00:00"/>
    <s v="Stores/Spares"/>
    <s v="MS Structure Items"/>
    <s v="Spares &amp; Stores"/>
    <s v="Stores &amp; Consumables"/>
    <s v="MS Pipe 4  C Class"/>
    <n v="255"/>
    <n v="12240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665"/>
    <n v="79827.929999999993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723"/>
    <n v="84621.37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904"/>
    <n v="108517.97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1761"/>
    <n v="207871.96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5305"/>
    <n v="610297.81000000006"/>
  </r>
  <r>
    <x v="1"/>
    <s v="Plastene India Limited "/>
    <d v="2023-05-21T00:00:00"/>
    <s v="Plastene India ltd - Unit 6-Sales"/>
    <s v="Branch Transfer Out"/>
    <s v="PIL1/DC/180"/>
    <x v="1"/>
    <s v="PIL1/DC/180"/>
    <d v="2023-05-21T00:00:00"/>
    <s v="Stores/Spares"/>
    <s v="MS Structure Items"/>
    <s v="Spares &amp; Stores"/>
    <s v="Stores &amp; Consumables"/>
    <s v="MS Pipe 4  C Class"/>
    <n v="390"/>
    <n v="18720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PP/PE Fabric"/>
    <s v="PP UL Fabric"/>
    <s v="PP WOVEN FABRIC (FG)"/>
    <s v="PP UL Fabric With UV"/>
    <n v="182"/>
    <n v="20937.64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8"/>
    <n v="1255.05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1065"/>
    <n v="127844.73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594.70000000000005"/>
    <n v="69604.88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14.3"/>
    <n v="2200.5"/>
  </r>
  <r>
    <x v="1"/>
    <s v="Plastene India Limited "/>
    <d v="2023-05-21T00:00:00"/>
    <s v="Plastene India ltd - Unit 6-Sales"/>
    <s v="Branch Transfer Out"/>
    <s v="PIL1/DC/182"/>
    <x v="1"/>
    <s v="PIL1/DC/182"/>
    <d v="2023-05-21T00:00:00"/>
    <s v="Stores/Spares"/>
    <s v="MS Structure Items"/>
    <s v="Spares &amp; Stores"/>
    <s v="Stores &amp; Consumables"/>
    <s v="MS Pipe 4  C Class"/>
    <n v="10"/>
    <n v="480"/>
  </r>
  <r>
    <x v="1"/>
    <s v="Plastene India Limited "/>
    <d v="2023-05-21T00:00:00"/>
    <s v="Plastene India ltd - Unit 6-Sales"/>
    <s v="Branch Transfer Out"/>
    <s v="PIL1/DC/183"/>
    <x v="0"/>
    <s v="PIL1/DC/183"/>
    <d v="2023-05-21T00:00:00"/>
    <s v="SF"/>
    <s v="PP/PE Fabric"/>
    <s v="PP UL Fabric"/>
    <s v="PP WOVEN FABRIC (FG)"/>
    <s v="PP UL Fabric With UV"/>
    <n v="274"/>
    <n v="32069.51"/>
  </r>
  <r>
    <x v="1"/>
    <s v="Plastene India Limited "/>
    <d v="2023-05-21T00:00:00"/>
    <s v="Plastene India ltd - Unit 6-Sales"/>
    <s v="Branch Transfer Out"/>
    <s v="PIL1/DC/183"/>
    <x v="0"/>
    <s v="PIL1/DC/183"/>
    <d v="2023-05-21T00:00:00"/>
    <s v="SF"/>
    <s v="PP/PE Fabric"/>
    <s v="PP Lam Fabric"/>
    <s v="PP Laminated Fabric"/>
    <s v="PP Lam Fabric With UV"/>
    <n v="128"/>
    <n v="16069.38"/>
  </r>
  <r>
    <x v="1"/>
    <s v="Plastene India Limited "/>
    <d v="2023-05-21T00:00:00"/>
    <s v="Plastene India ltd - Unit 6-Sales"/>
    <s v="Branch Transfer Out"/>
    <s v="PIL1/DC/183"/>
    <x v="0"/>
    <s v="PIL1/DC/183"/>
    <d v="2023-05-21T00:00:00"/>
    <s v="SF"/>
    <s v="PP/PE Fabric"/>
    <s v="PP Lam Fabric"/>
    <s v="PP Laminated Fabric"/>
    <s v="PP Lam Fabric With UV"/>
    <n v="4349"/>
    <n v="532935.16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315"/>
    <n v="37813.230000000003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724"/>
    <n v="84738.41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233"/>
    <n v="27969.79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2799"/>
    <n v="330399.56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3722"/>
    <n v="428186.32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Liners"/>
    <s v="LDPE/LLDPE Bags"/>
    <s v="LLDPE BAGS"/>
    <s v="LDPE/LLDPE Bags/Liner"/>
    <n v="505"/>
    <n v="65980.78"/>
  </r>
  <r>
    <x v="1"/>
    <s v="Plastene India Limited "/>
    <d v="2023-05-22T00:00:00"/>
    <s v="Plastene India ltd - Unit 6-Sales"/>
    <s v="Branch Transfer Out"/>
    <s v="PIL1/DC/185"/>
    <x v="1"/>
    <s v="PIL1/DC/185"/>
    <d v="2023-05-22T00:00:00"/>
    <s v="Stores/Spares"/>
    <s v="MS Structure Items"/>
    <s v="Spares &amp; Stores"/>
    <s v="Stores &amp; Consumables"/>
    <s v="MS Pipe 4  C Class"/>
    <n v="323"/>
    <n v="15504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3632"/>
    <n v="417832.54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318"/>
    <n v="38173.360000000001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801"/>
    <n v="93750.64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927"/>
    <n v="111278.93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1677"/>
    <n v="197956.43"/>
  </r>
  <r>
    <x v="1"/>
    <s v="Plastene India Limited "/>
    <d v="2023-05-23T00:00:00"/>
    <s v="Plastene India ltd - Unit 6-Sales"/>
    <s v="Branch Transfer Out"/>
    <s v="PIL1/DC/187"/>
    <x v="1"/>
    <s v="PIL1/DC/187"/>
    <d v="2023-05-23T00:00:00"/>
    <s v="Stores/Spares"/>
    <s v="MS Structure Items"/>
    <s v="Spares &amp; Stores"/>
    <s v="Stores &amp; Consumables"/>
    <s v="MS Pipe 4  C Class"/>
    <n v="303"/>
    <n v="14544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Liners"/>
    <s v="LDPE/LLDPE Bags"/>
    <s v="LLDPE BAGS"/>
    <s v="LDPE/LLDPE Bags/Liner"/>
    <n v="420"/>
    <n v="54875.1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PP/PE Fabric"/>
    <s v="PP UL Fabric"/>
    <s v="PP WOVEN FABRIC (FG)"/>
    <s v="PP UL Fabric With UV"/>
    <n v="173"/>
    <n v="19902.27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PP/PE Fabric"/>
    <s v="PP UL Fabric"/>
    <s v="PP WOVEN FABRIC (FG)"/>
    <s v="PP UL Fabric With UV"/>
    <n v="218"/>
    <n v="25515.16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10"/>
    <n v="1568.81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628"/>
    <n v="73502.38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17.3"/>
    <n v="2662.14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953.1"/>
    <n v="114412.03"/>
  </r>
  <r>
    <x v="1"/>
    <s v="Plastene India Limited "/>
    <d v="2023-05-23T00:00:00"/>
    <s v="Plastene India ltd - Unit 6-Sales"/>
    <s v="Branch Transfer Out"/>
    <s v="PIL1/DC/189"/>
    <x v="1"/>
    <s v="PIL1/DC/189"/>
    <d v="2023-05-23T00:00:00"/>
    <s v="Stores/Spares"/>
    <s v="MS Structure Items"/>
    <s v="Spares &amp; Stores"/>
    <s v="Stores &amp; Consumables"/>
    <s v="MS Pipe 4  C Class"/>
    <n v="14"/>
    <n v="672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12.3"/>
    <n v="1929.6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31.9"/>
    <n v="3733.6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21.6"/>
    <n v="2592.91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8"/>
    <n v="1231.05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5108"/>
    <n v="587634.5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1398"/>
    <n v="165022.72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1151"/>
    <n v="138168.3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976"/>
    <n v="114232.99"/>
  </r>
  <r>
    <x v="1"/>
    <s v="Plastene India Limited "/>
    <d v="2023-05-24T00:00:00"/>
    <s v="Plastene India ltd - Unit 6-Sales"/>
    <s v="Branch Transfer Out"/>
    <s v="PIL1/DC/191"/>
    <x v="1"/>
    <s v="PIL1/DC/191"/>
    <d v="2023-05-24T00:00:00"/>
    <s v="Stores/Spares"/>
    <s v="MS Structure Items"/>
    <s v="Spares &amp; Stores"/>
    <s v="Stores &amp; Consumables"/>
    <s v="MS Pipe 4  C Class"/>
    <n v="358"/>
    <n v="17184"/>
  </r>
  <r>
    <x v="1"/>
    <s v="Plastene India Limited "/>
    <d v="2023-05-25T00:00:00"/>
    <s v="Plastene India ltd - Unit 2-Sales"/>
    <s v="Branch Transfer Out"/>
    <s v="PIL1/DC/194"/>
    <x v="0"/>
    <s v="PIL1/DC/194"/>
    <d v="2023-05-25T00:00:00"/>
    <s v="SF"/>
    <s v="PP/PE Fabric"/>
    <s v="PP UL Fabric"/>
    <s v="PP WOVEN FABRIC (FG)"/>
    <s v="PP UL Fabric With UV"/>
    <n v="2269"/>
    <n v="261030.3"/>
  </r>
  <r>
    <x v="1"/>
    <s v="Plastene India Limited "/>
    <d v="2023-05-25T00:00:00"/>
    <s v="Plastene India ltd - Unit 2-Sales"/>
    <s v="Branch Transfer Out"/>
    <s v="PIL1/DC/194"/>
    <x v="0"/>
    <s v="PIL1/DC/194"/>
    <d v="2023-05-25T00:00:00"/>
    <s v="SF"/>
    <s v="Yarn All"/>
    <s v="PP Yarn"/>
    <s v="PP Filament Yarn"/>
    <s v="PP MF Yarn Twisted 1000 UV NW"/>
    <n v="2420.6999999999998"/>
    <n v="319244.34000000003"/>
  </r>
  <r>
    <x v="1"/>
    <s v="Plastene India Limited "/>
    <d v="2023-05-25T00:00:00"/>
    <s v="Plastene India ltd - Unit 2-Sales"/>
    <s v="Branch Transfer Out"/>
    <s v="PIL1/DC/194"/>
    <x v="0"/>
    <s v="PIL1/DC/194"/>
    <d v="2023-05-25T00:00:00"/>
    <s v="SF"/>
    <s v="Yarn All"/>
    <s v="PP Yarn"/>
    <s v="PP Filament Yarn"/>
    <s v="PP MF Yarn Twisted 2500 Denier UV NW"/>
    <n v="961.9"/>
    <n v="129742.03"/>
  </r>
  <r>
    <x v="1"/>
    <s v="Plastene India Limited "/>
    <d v="2023-05-25T00:00:00"/>
    <s v="Plastene India ltd - Unit 2-Sales"/>
    <s v="Branch Transfer Out"/>
    <s v="PIL1/DC/195"/>
    <x v="1"/>
    <s v="PIL1/DC/195"/>
    <d v="2023-05-25T00:00:00"/>
    <s v="Stores/Spares"/>
    <s v="MS Structure Items"/>
    <s v="Spares &amp; Stores"/>
    <s v="Stores &amp; Consumables"/>
    <s v="MS Pipe 4  C Class"/>
    <n v="125"/>
    <n v="6000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22.3"/>
    <n v="2610.04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6.8"/>
    <n v="1046.3900000000001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9.8000000000000007"/>
    <n v="1176.4100000000001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11.2"/>
    <n v="1757.07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Lam Fabric"/>
    <s v="PP Laminated Fabric"/>
    <s v="PP Lam Fabric With UV"/>
    <n v="1300"/>
    <n v="156054.6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3957"/>
    <n v="455221.19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316"/>
    <n v="37933.269999999997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721"/>
    <n v="84387.28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1959"/>
    <n v="231244.28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1000"/>
    <n v="120042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Liners"/>
    <s v="LDPE/LLDPE Bags"/>
    <s v="LLDPE BAGS"/>
    <s v="LDPE/LLDPE Bags/Liner"/>
    <n v="680"/>
    <n v="88845.4"/>
  </r>
  <r>
    <x v="1"/>
    <s v="Plastene India Limited "/>
    <d v="2023-05-25T00:00:00"/>
    <s v="Plastene India ltd - Unit 6-Sales"/>
    <s v="Branch Transfer Out"/>
    <s v="PIL1/DC/193"/>
    <x v="1"/>
    <s v="PIL1/DC/193"/>
    <d v="2023-05-25T00:00:00"/>
    <s v="Stores/Spares"/>
    <s v="MS Structure Items"/>
    <s v="Spares &amp; Stores"/>
    <s v="Stores &amp; Consumables"/>
    <s v="MS Pipe 4  C Class"/>
    <n v="330"/>
    <n v="15840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Liners"/>
    <s v="LDPE/LLDPE Bags"/>
    <s v="LLDPE BAGS"/>
    <s v="LDPE/LLDPE Bags/Liner"/>
    <n v="300"/>
    <n v="39196.5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1972"/>
    <n v="232778.82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316"/>
    <n v="37933.269999999997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953"/>
    <n v="111541.03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513"/>
    <n v="61581.55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6248"/>
    <n v="718782.42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9.5"/>
    <n v="1461.87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15.9"/>
    <n v="1908.67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9.4"/>
    <n v="1474.68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23.8"/>
    <n v="2785.6"/>
  </r>
  <r>
    <x v="1"/>
    <s v="Plastene India Limited "/>
    <d v="2023-05-26T00:00:00"/>
    <s v="Plastene India ltd - Unit 6-Sales"/>
    <s v="Branch Transfer Out"/>
    <s v="PIL1/DC/197"/>
    <x v="1"/>
    <s v="PIL1/DC/197"/>
    <d v="2023-05-26T00:00:00"/>
    <s v="Stores/Spares"/>
    <s v="MS Structure Items"/>
    <s v="Spares &amp; Stores"/>
    <s v="Stores &amp; Consumables"/>
    <s v="MS Pipe 4  C Class"/>
    <n v="359"/>
    <n v="17232"/>
  </r>
  <r>
    <x v="1"/>
    <s v="Plastene India Limited "/>
    <d v="2023-05-27T00:00:00"/>
    <s v="Plastene India ltd - Unit 6-Sales"/>
    <s v="Branch Transfer Out"/>
    <s v="PIL1/DC/198"/>
    <x v="1"/>
    <s v="PIL1/DC/198"/>
    <d v="2023-05-27T00:00:00"/>
    <s v="Consumables"/>
    <s v="Uniform/protective Item"/>
    <s v="Spares &amp; Stores"/>
    <s v="Stores &amp; Consumables"/>
    <s v="T Shirts Polo Type, Colour Black"/>
    <n v="11"/>
    <n v="6700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841"/>
    <n v="100955.32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984"/>
    <n v="118121.33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659"/>
    <n v="77130.679999999993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1164"/>
    <n v="137400.89000000001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4226.6000000000004"/>
    <n v="486236.52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28.3"/>
    <n v="3312.29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39.1"/>
    <n v="6016.75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32.9"/>
    <n v="5161.38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34.299999999999997"/>
    <n v="4117.4399999999996"/>
  </r>
  <r>
    <x v="1"/>
    <s v="Plastene India Limited "/>
    <d v="2023-05-27T00:00:00"/>
    <s v="Plastene India ltd - Unit 6-Sales"/>
    <s v="Branch Transfer Out"/>
    <s v="PIL1/DC/200"/>
    <x v="1"/>
    <s v="PIL1/DC/200"/>
    <d v="2023-05-27T00:00:00"/>
    <s v="Stores/Spares"/>
    <s v="MS Structure Items"/>
    <s v="Spares &amp; Stores"/>
    <s v="Stores &amp; Consumables"/>
    <s v="MS Pipe 4  C Class"/>
    <n v="313.39999999999998"/>
    <n v="15043.2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Webbing"/>
    <s v="PP Webbing"/>
    <s v="PP Webbing"/>
    <s v="Webbing"/>
    <n v="94"/>
    <n v="11001.95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Webbing"/>
    <s v="PP Webbing"/>
    <s v="PP Webbing"/>
    <s v="Webbing"/>
    <n v="53.7"/>
    <n v="8263.41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Webbing"/>
    <s v="PP Webbing"/>
    <s v="PP Webbing"/>
    <s v="Webbing"/>
    <n v="17.7"/>
    <n v="2776.79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643"/>
    <n v="77187.009999999995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1355"/>
    <n v="158591.91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963"/>
    <n v="113674.45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4653"/>
    <n v="535290.43000000005"/>
  </r>
  <r>
    <x v="1"/>
    <s v="Plastene India Limited "/>
    <d v="2023-05-28T00:00:00"/>
    <s v="Plastene India ltd - Unit 6-Sales"/>
    <s v="Branch Transfer Out"/>
    <s v="PIL1/DC/202"/>
    <x v="1"/>
    <s v="PIL1/DC/202"/>
    <d v="2023-05-28T00:00:00"/>
    <s v="Stores/Spares"/>
    <s v="MS Structure Items"/>
    <s v="Spares &amp; Stores"/>
    <s v="Stores &amp; Consumables"/>
    <s v="MS Pipe 4  C Class"/>
    <n v="310"/>
    <n v="14880"/>
  </r>
  <r>
    <x v="1"/>
    <s v="Plastene India Limited "/>
    <d v="2023-05-29T00:00:00"/>
    <s v="Plastene India ltd - Unit 2-Sales"/>
    <s v="Branch Transfer Out"/>
    <s v="PIL1/DC/205"/>
    <x v="2"/>
    <s v="PIL1/DC/205"/>
    <d v="2023-05-29T00:00:00"/>
    <s v="RM"/>
    <s v="Granules"/>
    <s v="PP Granules"/>
    <s v="PP Granuels"/>
    <s v="PP Luban HP2100S"/>
    <n v="24750"/>
    <n v="2472054.75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Yarn All"/>
    <s v="PP Yarn"/>
    <s v="PP Filament Yarn"/>
    <s v="PP MF Yarn Twisted 3000 Denier UV Deep Blue"/>
    <n v="811.6"/>
    <n v="109469.42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Yarn All"/>
    <s v="PP Yarn"/>
    <s v="PP Filament Yarn"/>
    <s v="PP MF Yarn Twisted 3000 Denier UV NW"/>
    <n v="404.3"/>
    <n v="53319.49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1479"/>
    <n v="173105.12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640"/>
    <n v="75546.880000000005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2819"/>
    <n v="324303.40000000002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958"/>
    <n v="115000.24"/>
  </r>
  <r>
    <x v="1"/>
    <s v="Plastene India Limited "/>
    <d v="2023-05-29T00:00:00"/>
    <s v="Plastene India ltd - Unit 6-Sales"/>
    <s v="Branch Transfer Out"/>
    <s v="PIL1/DC/204"/>
    <x v="1"/>
    <s v="PIL1/DC/204"/>
    <d v="2023-05-29T00:00:00"/>
    <s v="Stores/Spares"/>
    <s v="MS Structure Items"/>
    <s v="Spares &amp; Stores"/>
    <s v="Stores &amp; Consumables"/>
    <s v="MS Pipe 4  C Class"/>
    <n v="233"/>
    <n v="11184"/>
  </r>
  <r>
    <x v="1"/>
    <s v="Plastene India Limited "/>
    <d v="2023-05-30T00:00:00"/>
    <s v="Plastene India ltd - Unit 2-Sales"/>
    <s v="Branch Transfer Out"/>
    <s v="PIL1/DC/210"/>
    <x v="0"/>
    <s v="PIL1/DC/210"/>
    <d v="2023-05-30T00:00:00"/>
    <s v="SF"/>
    <s v="Liners"/>
    <s v="LDPE/LLDPE Bags"/>
    <s v="LLDPE BAGS"/>
    <s v="LDPE/LLDPE Bags/Liner"/>
    <n v="76.5"/>
    <n v="9689.11"/>
  </r>
  <r>
    <x v="1"/>
    <s v="Plastene India Limited "/>
    <d v="2023-05-30T00:00:00"/>
    <s v="Plastene India ltd - Unit 2-Sales"/>
    <s v="Branch Transfer Out"/>
    <s v="PIL1/DC/210"/>
    <x v="0"/>
    <s v="PIL1/DC/210"/>
    <d v="2023-05-30T00:00:00"/>
    <s v="SF"/>
    <s v="PP/PE Fabric"/>
    <s v="PP UL Fabric"/>
    <s v="PP WOVEN FABRIC (FG)"/>
    <s v="PP UL Fabric With UV"/>
    <n v="1322"/>
    <n v="158695.51999999999"/>
  </r>
  <r>
    <x v="1"/>
    <s v="Plastene India Limited "/>
    <d v="2023-05-30T00:00:00"/>
    <s v="Plastene India ltd - Unit 2-Sales"/>
    <s v="Branch Transfer Out"/>
    <s v="PIL1/DC/211"/>
    <x v="1"/>
    <s v="PIL1/DC/211"/>
    <d v="2023-05-30T00:00:00"/>
    <s v="Stores/Spares"/>
    <s v="MS Structure Items"/>
    <s v="Spares &amp; Stores"/>
    <s v="Stores &amp; Consumables"/>
    <s v="MS Pipe 4  C Class"/>
    <n v="73"/>
    <n v="3504"/>
  </r>
  <r>
    <x v="1"/>
    <s v="Plastene India Limited "/>
    <d v="2023-05-30T00:00:00"/>
    <s v="Plastene India ltd - Unit 6-Sales"/>
    <s v="Branch Transfer Out"/>
    <s v="PIL1/DC/206"/>
    <x v="0"/>
    <s v="PIL1/DC/206"/>
    <d v="2023-05-30T00:00:00"/>
    <s v="SF"/>
    <s v="Liners"/>
    <s v="LDPE/LLDPE Bags"/>
    <s v="LLDPE BAGS"/>
    <s v="LDPE/LLDPE Bags/Liner"/>
    <n v="129"/>
    <n v="16209.5"/>
  </r>
  <r>
    <x v="1"/>
    <s v="Plastene India Limited "/>
    <d v="2023-05-30T00:00:00"/>
    <s v="Plastene India ltd - Unit 6-Sales"/>
    <s v="Branch Transfer Out"/>
    <s v="PIL1/DC/206"/>
    <x v="0"/>
    <s v="PIL1/DC/206"/>
    <d v="2023-05-30T00:00:00"/>
    <s v="SF"/>
    <s v="PP/PE Fabric"/>
    <s v="PP Lam Fabric"/>
    <s v="PP Laminated Fabric"/>
    <s v="PP Lam Fabric With UV"/>
    <n v="181"/>
    <n v="22723.1"/>
  </r>
  <r>
    <x v="1"/>
    <s v="Plastene India Limited "/>
    <d v="2023-05-30T00:00:00"/>
    <s v="Plastene India ltd - Unit 6-Sales"/>
    <s v="Branch Transfer Out"/>
    <s v="PIL1/DC/206"/>
    <x v="0"/>
    <s v="PIL1/DC/206"/>
    <d v="2023-05-30T00:00:00"/>
    <s v="SF"/>
    <s v="PP/PE Fabric"/>
    <s v="PP Lam Fabric"/>
    <s v="PP Laminated Fabric"/>
    <s v="PP Lam Fabric With UV"/>
    <n v="1413"/>
    <n v="173151.85"/>
  </r>
  <r>
    <x v="1"/>
    <s v="Plastene India Limited "/>
    <d v="2023-05-30T00:00:00"/>
    <s v="Plastene India ltd - Unit 6-Sales"/>
    <s v="Branch Transfer Out"/>
    <s v="PIL1/DC/207"/>
    <x v="0"/>
    <s v="PIL1/DC/207"/>
    <d v="2023-05-30T00:00:00"/>
    <s v="FG"/>
    <s v="Small Bags"/>
    <s v="PP Bags"/>
    <s v="PP Bags &amp; Sacks"/>
    <s v="PP UL Bags Without UV"/>
    <n v="831.8"/>
    <n v="114713.54"/>
  </r>
  <r>
    <x v="1"/>
    <s v="Plastene India Limited "/>
    <d v="2023-05-30T00:00:00"/>
    <s v="Plastene India ltd - Unit 6-Sales"/>
    <s v="Branch Transfer Out"/>
    <s v="PIL1/DC/207"/>
    <x v="0"/>
    <s v="PIL1/DC/207"/>
    <d v="2023-05-30T00:00:00"/>
    <s v="FG"/>
    <s v="Small Bags"/>
    <s v="PP Bags"/>
    <s v="PP Bags &amp; Sacks"/>
    <s v="PP UL Bags Without UV"/>
    <n v="866.7"/>
    <n v="121667.35"/>
  </r>
  <r>
    <x v="1"/>
    <s v="Plastene India Limited "/>
    <d v="2023-05-30T00:00:00"/>
    <s v="Plastene India ltd - Unit 6-Sales"/>
    <s v="Branch Transfer Out"/>
    <s v="PIL1/DC/207"/>
    <x v="0"/>
    <s v="PIL1/DC/207"/>
    <d v="2023-05-30T00:00:00"/>
    <s v="FG"/>
    <s v="Small Bags"/>
    <s v="PP Bags"/>
    <s v="PP Bags &amp; Sacks"/>
    <s v="PP UL Bags Without UV"/>
    <n v="903.4"/>
    <n v="118571.25"/>
  </r>
  <r>
    <x v="1"/>
    <s v="Plastene India Limited "/>
    <d v="2023-05-30T00:00:00"/>
    <s v="Plastene India ltd - Unit 6-Sales"/>
    <s v="Branch Transfer Out"/>
    <s v="PIL1/DC/208"/>
    <x v="1"/>
    <s v="PIL1/DC/208"/>
    <d v="2023-05-30T00:00:00"/>
    <s v="Stores/Spares"/>
    <s v="MS Structure Items"/>
    <s v="Spares &amp; Stores"/>
    <s v="Stores &amp; Consumables"/>
    <s v="MS Pipe 4  C Class"/>
    <n v="360"/>
    <n v="17280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Lam Fabric"/>
    <s v="PP Laminated Fabric"/>
    <s v="PP Lam Fabric With UV"/>
    <n v="670"/>
    <n v="80428.14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1169"/>
    <n v="136822.1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955"/>
    <n v="114640.11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1474"/>
    <n v="173993.91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5273"/>
    <n v="606616.47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Webbing"/>
    <s v="PP Webbing"/>
    <s v="PP Webbing"/>
    <s v="Webbing"/>
    <n v="21.5"/>
    <n v="3308.44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Webbing"/>
    <s v="PP Webbing"/>
    <s v="PP Webbing"/>
    <s v="Webbing"/>
    <n v="45.9"/>
    <n v="5372.23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Webbing"/>
    <s v="PP Webbing"/>
    <s v="PP Webbing"/>
    <s v="Webbing"/>
    <n v="25"/>
    <n v="3001.05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Liners"/>
    <s v="LDPE/LLDPE Bags"/>
    <s v="LLDPE BAGS"/>
    <s v="LDPE/LLDPE Bags/Liner"/>
    <n v="94.3"/>
    <n v="11566.37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Liners"/>
    <s v="LDPE/LLDPE Bags"/>
    <s v="LLDPE BAGS"/>
    <s v="LDPE/LLDPE Bags/Liner"/>
    <n v="570.6"/>
    <n v="69986.94"/>
  </r>
  <r>
    <x v="1"/>
    <s v="Plastene India Limited "/>
    <d v="2023-05-31T00:00:00"/>
    <s v="Plastene India ltd - Unit 2-Sales"/>
    <s v="Branch Transfer Out"/>
    <s v="PIL1/DC/214"/>
    <x v="2"/>
    <s v="PIL1/DC/214"/>
    <d v="2023-05-31T00:00:00"/>
    <s v="RM"/>
    <s v="Granules"/>
    <s v="HDPE Granules"/>
    <s v="HDPE Granuels"/>
    <s v="HDPE IOCL 010E52"/>
    <n v="10000"/>
    <n v="1076370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10.1"/>
    <n v="1584.5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18.8"/>
    <n v="2256.7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1183"/>
    <n v="139643.6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957"/>
    <n v="114880.1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526"/>
    <n v="61564.0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4781"/>
    <n v="550015.80000000005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31.9"/>
    <n v="3733.64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20.399999999999999"/>
    <n v="3139.17"/>
  </r>
  <r>
    <x v="1"/>
    <s v="Plastene India Limited "/>
    <d v="2023-05-31T00:00:00"/>
    <s v="Plastene India ltd - Unit 6-Sales"/>
    <s v="Branch Transfer Out"/>
    <s v="PIL1/DC/213"/>
    <x v="1"/>
    <s v="PIL1/DC/213"/>
    <d v="2023-05-31T00:00:00"/>
    <s v="Stores/Spares"/>
    <s v="MS Structure Items"/>
    <s v="Spares &amp; Stores"/>
    <s v="Stores &amp; Consumables"/>
    <s v="MS Pipe 4  C Class"/>
    <n v="312"/>
    <n v="14976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Liners"/>
    <s v="LDPE/LLDPE Bags"/>
    <s v="LLDPE BAGS"/>
    <s v="LDPE/LLDPE Bags/Liner"/>
    <n v="115.3"/>
    <n v="14142.12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Yarn All"/>
    <s v="PP Yarn"/>
    <s v="PP Filament Yarn"/>
    <s v="PP Braided Rope MW 6 to 8 GPM"/>
    <n v="177.7"/>
    <n v="25212.25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981"/>
    <n v="117761.2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1350"/>
    <n v="158006.70000000001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999"/>
    <n v="117923.96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4003"/>
    <n v="460513.13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Lam Fabric"/>
    <s v="PP Laminated Fabric"/>
    <s v="PP Lam Fabric With UV"/>
    <n v="1206"/>
    <n v="151403.65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Webbing"/>
    <s v="PP Webbing"/>
    <s v="PP Webbing"/>
    <s v="Webbing"/>
    <n v="23.8"/>
    <n v="3662.37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Webbing"/>
    <s v="PP Webbing"/>
    <s v="PP Webbing"/>
    <s v="Webbing"/>
    <n v="22.3"/>
    <n v="2610.04"/>
  </r>
  <r>
    <x v="2"/>
    <s v="Plastene India Limited "/>
    <d v="2023-06-01T00:00:00"/>
    <s v="Plastene India ltd - Unit 6-Sales"/>
    <s v="Branch Transfer Out"/>
    <s v="PIL1/DC/216"/>
    <x v="1"/>
    <s v="PIL1/DC/216"/>
    <d v="2023-06-01T00:00:00"/>
    <s v="Stores/Spares"/>
    <s v="MS Structure Items"/>
    <s v="Spares &amp; Stores"/>
    <s v="Stores &amp; Consumables"/>
    <s v="MS Pipe 4  C Class"/>
    <n v="292"/>
    <n v="14016"/>
  </r>
  <r>
    <x v="2"/>
    <s v="Plastene India Limited "/>
    <d v="2023-06-02T00:00:00"/>
    <s v="Plastene India ltd - Unit 2-Sales"/>
    <s v="Branch Transfer Out"/>
    <s v="PIL1/DC/219"/>
    <x v="2"/>
    <s v="PIL1/DC/219"/>
    <d v="2023-06-02T00:00:00"/>
    <s v="RM"/>
    <s v="Granules"/>
    <s v="LDPE Granules"/>
    <s v="LDPE Granuels"/>
    <s v="LDPE Basell 2427K"/>
    <n v="1000"/>
    <n v="100564"/>
  </r>
  <r>
    <x v="2"/>
    <s v="Plastene India Limited "/>
    <d v="2023-06-02T00:00:00"/>
    <s v="Plastene India ltd - Unit 2-Sales"/>
    <s v="Branch Transfer Out"/>
    <s v="PIL1/DC/219"/>
    <x v="2"/>
    <s v="PIL1/DC/219"/>
    <d v="2023-06-02T00:00:00"/>
    <s v="RM"/>
    <s v="Granules"/>
    <s v="LDPE Granules"/>
    <s v="LDPE Granuels"/>
    <s v="LDPE Basell NA204000"/>
    <n v="2000"/>
    <n v="201128"/>
  </r>
  <r>
    <x v="2"/>
    <s v="Plastene India Limited "/>
    <d v="2023-06-02T00:00:00"/>
    <s v="Plastene India ltd - Unit 2-Sales"/>
    <s v="Branch Transfer Out"/>
    <s v="PIL1/DC/219"/>
    <x v="2"/>
    <s v="PIL1/DC/219"/>
    <d v="2023-06-02T00:00:00"/>
    <s v="SF"/>
    <s v="Granules"/>
    <s v="RP Granules"/>
    <s v="Reprocess Granules"/>
    <s v="RP Granules"/>
    <n v="1000"/>
    <n v="82170"/>
  </r>
  <r>
    <x v="2"/>
    <s v="Plastene India Limited "/>
    <d v="2023-06-02T00:00:00"/>
    <s v="Plastene India ltd - Unit 2-Sales"/>
    <s v="Branch Transfer Out"/>
    <s v="PIL1/DC/220"/>
    <x v="0"/>
    <s v="PIL1/DC/220"/>
    <d v="2023-06-02T00:00:00"/>
    <s v="SF"/>
    <s v="PP/PE Fabric"/>
    <s v="PP Lam Fabric"/>
    <s v="PP Laminated Fabric"/>
    <s v="PP Lam Fabric With UV"/>
    <n v="67"/>
    <n v="8111.89"/>
  </r>
  <r>
    <x v="2"/>
    <s v="Plastene India Limited "/>
    <d v="2023-06-02T00:00:00"/>
    <s v="Plastene India ltd - Unit 2-Sales"/>
    <s v="Branch Transfer Out"/>
    <s v="PIL1/DC/220"/>
    <x v="0"/>
    <s v="PIL1/DC/220"/>
    <d v="2023-06-02T00:00:00"/>
    <s v="SF"/>
    <s v="PP/PE Fabric"/>
    <s v="PP Lam Fabric"/>
    <s v="PP Laminated Fabric"/>
    <s v="PP Lam Fabric With UV"/>
    <n v="6548"/>
    <n v="773142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Lam Fabric"/>
    <s v="PP Laminated Fabric"/>
    <s v="PP Lam Fabric With UV"/>
    <n v="410"/>
    <n v="46154.93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Webbing"/>
    <s v="PP Webbing"/>
    <s v="PP Webbing"/>
    <s v="Webbing"/>
    <n v="15.4"/>
    <n v="1779.82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Webbing"/>
    <s v="PP Webbing"/>
    <s v="PP Webbing"/>
    <s v="Webbing"/>
    <n v="26"/>
    <n v="3885.26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Liners"/>
    <s v="LDPE/LLDPE Bags"/>
    <s v="LLDPE BAGS"/>
    <s v="LDPE/LLDPE Bags/Liner"/>
    <n v="611.9"/>
    <n v="73689.279999999999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Liners"/>
    <s v="LDPE/LLDPE Bags"/>
    <s v="LLDPE BAGS"/>
    <s v="LDPE/LLDPE Bags/Liner"/>
    <n v="102"/>
    <n v="12283.55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658"/>
    <n v="74073.03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957"/>
    <n v="110603.36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1647"/>
    <n v="187054.73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2670"/>
    <n v="295229.90999999997"/>
  </r>
  <r>
    <x v="2"/>
    <s v="Plastene India Limited "/>
    <d v="2023-06-02T00:00:00"/>
    <s v="Plastene India ltd - Unit 6-Sales"/>
    <s v="Branch Transfer Out"/>
    <s v="PIL1/DC/218"/>
    <x v="1"/>
    <s v="PIL1/DC/218"/>
    <d v="2023-06-02T00:00:00"/>
    <s v="Stores/Spares"/>
    <s v="MS Structure Items"/>
    <s v="Spares &amp; Stores"/>
    <s v="Stores &amp; Consumables"/>
    <s v="MS Pipe 4  C Class"/>
    <n v="239"/>
    <n v="11472"/>
  </r>
  <r>
    <x v="2"/>
    <s v="Plastene India Limited "/>
    <d v="2023-06-03T00:00:00"/>
    <s v="Plastene India ltd - Unit 2-Sales"/>
    <s v="Branch Transfer Out"/>
    <s v="PIL1/DC/223"/>
    <x v="0"/>
    <s v="PIL1/DC/223"/>
    <d v="2023-06-03T00:00:00"/>
    <s v="SF"/>
    <s v="Liners"/>
    <s v="LDPE/LLDPE Bags"/>
    <s v="LLDPE BAGS"/>
    <s v="LDPE/LLDPE Bags/Liner"/>
    <n v="1618.7"/>
    <n v="194935.18"/>
  </r>
  <r>
    <x v="2"/>
    <s v="Plastene India Limited "/>
    <d v="2023-06-03T00:00:00"/>
    <s v="Plastene India ltd - Unit 2-Sales"/>
    <s v="Branch Transfer Out"/>
    <s v="PIL1/DC/223"/>
    <x v="0"/>
    <s v="PIL1/DC/223"/>
    <d v="2023-06-03T00:00:00"/>
    <s v="SF"/>
    <s v="Yarn All"/>
    <s v="PP Yarn"/>
    <s v="PP Filament Yarn"/>
    <s v="PP MF Yarn Twisted 1000 UV NW"/>
    <n v="1952"/>
    <n v="248749.22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1322"/>
    <n v="150143.51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624"/>
    <n v="72117.55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668"/>
    <n v="75198.759999999995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3443"/>
    <n v="380702.84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Liners"/>
    <s v="LDPE/LLDPE Bags"/>
    <s v="LLDPE BAGS"/>
    <s v="LDPE/LLDPE Bags/Liner"/>
    <n v="550"/>
    <n v="77234.850000000006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Yarn All"/>
    <s v="PP Yarn"/>
    <s v="PP Filament Yarn"/>
    <s v="PP MF Yarn Twisted 3000 Denier UV Deep Blue"/>
    <n v="1756.1"/>
    <n v="229053.39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Webbing"/>
    <s v="PP Webbing"/>
    <s v="PP Webbing"/>
    <s v="Webbing"/>
    <n v="27.3"/>
    <n v="4079.52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Webbing"/>
    <s v="PP Webbing"/>
    <s v="PP Webbing"/>
    <s v="Webbing"/>
    <n v="1183.9000000000001"/>
    <n v="136826.87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Webbing"/>
    <s v="PP Webbing"/>
    <s v="PP Webbing"/>
    <s v="Webbing"/>
    <n v="29.1"/>
    <n v="3275.87"/>
  </r>
  <r>
    <x v="2"/>
    <s v="Plastene India Limited "/>
    <d v="2023-06-03T00:00:00"/>
    <s v="Plastene India ltd - Unit 6-Sales"/>
    <s v="Branch Transfer Out"/>
    <s v="PIL1/DC/222"/>
    <x v="1"/>
    <s v="PIL1/DC/222"/>
    <d v="2023-06-03T00:00:00"/>
    <s v="Stores/Spares"/>
    <s v="MS Structure Items"/>
    <s v="Spares &amp; Stores"/>
    <s v="Stores &amp; Consumables"/>
    <s v="MS Pipe 4  C Class"/>
    <n v="261"/>
    <n v="12528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Webbing"/>
    <s v="PP Webbing"/>
    <s v="PP Webbing"/>
    <s v="Webbing"/>
    <n v="23.3"/>
    <n v="3481.79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Yarn All"/>
    <s v="PP Yarn"/>
    <s v="PP Filament Yarn"/>
    <s v="Filler Cord"/>
    <n v="153"/>
    <n v="22010.58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235"/>
    <n v="26454.66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642"/>
    <n v="74197.87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2836"/>
    <n v="313585.03000000003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1871"/>
    <n v="212495.08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Liners"/>
    <s v="LDPE/LLDPE Bags"/>
    <s v="LLDPE BAGS"/>
    <s v="LDPE/LLDPE Bags/Liner"/>
    <n v="520"/>
    <n v="73022.039999999994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Webbing"/>
    <s v="PP Webbing"/>
    <s v="PP Webbing"/>
    <s v="Net Baffle"/>
    <n v="550.29999999999995"/>
    <n v="63599.82"/>
  </r>
  <r>
    <x v="2"/>
    <s v="Plastene India Limited "/>
    <d v="2023-06-04T00:00:00"/>
    <s v="Plastene India ltd - Unit 6-Sales"/>
    <s v="Branch Transfer Out"/>
    <s v="PIL1/DC/225"/>
    <x v="1"/>
    <s v="PIL1/DC/225"/>
    <d v="2023-06-04T00:00:00"/>
    <s v="Stores/Spares"/>
    <s v="MS Structure Items"/>
    <s v="Spares &amp; Stores"/>
    <s v="Stores &amp; Consumables"/>
    <s v="MS Pipe 4  C Class"/>
    <n v="227"/>
    <n v="10896"/>
  </r>
  <r>
    <x v="2"/>
    <s v="Plastene India Limited "/>
    <d v="2023-06-06T00:00:00"/>
    <s v="Plastene India ltd - Unit 2-Sales"/>
    <s v="Branch Transfer Out"/>
    <s v="PIL1/DC/229"/>
    <x v="0"/>
    <s v="PIL1/DC/229"/>
    <d v="2023-06-06T00:00:00"/>
    <s v="SF"/>
    <s v="PP/PE Fabric"/>
    <s v="PP Lam Fabric"/>
    <s v="PP Laminated Fabric"/>
    <s v="PP Lam Fabric With UV"/>
    <n v="261"/>
    <n v="31600.05"/>
  </r>
  <r>
    <x v="2"/>
    <s v="Plastene India Limited "/>
    <d v="2023-06-06T00:00:00"/>
    <s v="Plastene India ltd - Unit 2-Sales"/>
    <s v="Branch Transfer Out"/>
    <s v="PIL1/DC/229"/>
    <x v="0"/>
    <s v="PIL1/DC/229"/>
    <d v="2023-06-06T00:00:00"/>
    <s v="SF"/>
    <s v="PP/PE Fabric"/>
    <s v="PP Lam Fabric"/>
    <s v="PP Laminated Fabric"/>
    <s v="PP Lam Fabric With UV"/>
    <n v="4924"/>
    <n v="581391.44999999995"/>
  </r>
  <r>
    <x v="2"/>
    <s v="Plastene India Limited "/>
    <d v="2023-06-06T00:00:00"/>
    <s v="Plastene India ltd - Unit 2-Sales"/>
    <s v="Branch Transfer Out"/>
    <s v="PIL1/DC/229"/>
    <x v="0"/>
    <s v="PIL1/DC/229"/>
    <d v="2023-06-06T00:00:00"/>
    <s v="SF"/>
    <s v="PP/PE Fabric"/>
    <s v="PP UL Fabric"/>
    <s v="PP WOVEN FABRIC (FG)"/>
    <s v="PP UL Fabric With UV"/>
    <n v="894"/>
    <n v="100640.26"/>
  </r>
  <r>
    <x v="2"/>
    <s v="Plastene India Limited "/>
    <d v="2023-06-06T00:00:00"/>
    <s v="Plastene India ltd - Unit 2-Sales"/>
    <s v="Branch Transfer Out"/>
    <s v="PIL1/DC/230"/>
    <x v="0"/>
    <s v="PIL1/DC/230"/>
    <d v="2023-06-06T00:00:00"/>
    <s v="SF"/>
    <s v="Yarn All"/>
    <s v="PP Yarn"/>
    <s v="PP Filament Yarn"/>
    <s v="PP MF Yarn Twisted 2500 Denier UV NW"/>
    <n v="1967.4"/>
    <n v="256613.88"/>
  </r>
  <r>
    <x v="2"/>
    <s v="Plastene India Limited "/>
    <d v="2023-06-06T00:00:00"/>
    <s v="Plastene India ltd - Unit 6-Sales"/>
    <s v="Branch Transfer Out"/>
    <s v="PIL1/DC/226"/>
    <x v="0"/>
    <s v="PIL1/DC/226"/>
    <d v="2023-06-06T00:00:00"/>
    <s v="SF"/>
    <s v="Liners"/>
    <s v="LDPE/LLDPE Bags"/>
    <s v="LLDPE BAGS"/>
    <s v="LDPE/LLDPE Bags/Liner"/>
    <n v="1480"/>
    <n v="178231.96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Liners"/>
    <s v="LDPE/LLDPE Bags"/>
    <s v="LLDPE BAGS"/>
    <s v="LDPE/LLDPE Bags/Liner"/>
    <n v="347.2"/>
    <n v="41812.25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438"/>
    <n v="49306.97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970"/>
    <n v="112105.81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2824"/>
    <n v="312258.15000000002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1211"/>
    <n v="137536.9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Webbing"/>
    <s v="PP Webbing"/>
    <s v="PP Webbing"/>
    <s v="Webbing"/>
    <n v="26.3"/>
    <n v="3930.09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Webbing"/>
    <s v="PP Webbing"/>
    <s v="PP Webbing"/>
    <s v="Webbing"/>
    <n v="151.4"/>
    <n v="17043.55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Webbing"/>
    <s v="PP Webbing"/>
    <s v="PP Webbing"/>
    <s v="Webbing"/>
    <n v="853"/>
    <n v="98583.77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Lam Fabric"/>
    <s v="PP Laminated Fabric"/>
    <s v="PP Lam Fabric With UV"/>
    <n v="364"/>
    <n v="40976.57"/>
  </r>
  <r>
    <x v="2"/>
    <s v="Plastene India Limited "/>
    <d v="2023-06-06T00:00:00"/>
    <s v="Plastene India ltd - Unit 6-Sales"/>
    <s v="Branch Transfer Out"/>
    <s v="PIL1/DC/228"/>
    <x v="1"/>
    <s v="PIL1/DC/228"/>
    <d v="2023-06-06T00:00:00"/>
    <s v="Stores/Spares"/>
    <s v="MS Structure Items"/>
    <s v="Spares &amp; Stores"/>
    <s v="Stores &amp; Consumables"/>
    <s v="MS Pipe 4  C Class"/>
    <n v="251"/>
    <n v="1204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Lam Fabric"/>
    <s v="PP Laminated Fabric"/>
    <s v="PP Lam Fabric With UV"/>
    <n v="726"/>
    <n v="8172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Webbing"/>
    <s v="PP Webbing"/>
    <s v="PP Webbing"/>
    <s v="Webbing"/>
    <n v="303.2"/>
    <n v="34132.129999999997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Webbing"/>
    <s v="PP Webbing"/>
    <s v="PP Webbing"/>
    <s v="Webbing"/>
    <n v="977.8"/>
    <n v="113007.2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Webbing"/>
    <s v="PP Webbing"/>
    <s v="PP Webbing"/>
    <s v="Webbing"/>
    <n v="25.3"/>
    <n v="3780.65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Liners"/>
    <s v="LDPE/LLDPE Bags"/>
    <s v="LLDPE BAGS"/>
    <s v="LDPE/LLDPE Bags/Liner"/>
    <n v="590"/>
    <n v="82851.929999999993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Liners"/>
    <s v="LDPE/LLDPE Bags"/>
    <s v="LLDPE BAGS"/>
    <s v="LDPE/LLDPE Bags/Liner"/>
    <n v="1664.6"/>
    <n v="200462.7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960"/>
    <n v="110950.0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1466"/>
    <n v="166498.01999999999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293"/>
    <n v="32983.89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2756"/>
    <n v="304739.19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Films All"/>
    <s v="PE Film"/>
    <s v="LLDPE Co-Extruded Film."/>
    <s v="LDPE/LLDPE Film"/>
    <n v="339.6"/>
    <n v="38519.81"/>
  </r>
  <r>
    <x v="2"/>
    <s v="Plastene India Limited "/>
    <d v="2023-06-07T00:00:00"/>
    <s v="Plastene India ltd - Unit 6-Sales"/>
    <s v="Branch Transfer Out"/>
    <s v="PIL1/DC/232"/>
    <x v="1"/>
    <s v="PIL1/DC/232"/>
    <d v="2023-06-07T00:00:00"/>
    <s v="Stores/Spares"/>
    <s v="MS Structure Items"/>
    <s v="Spares &amp; Stores"/>
    <s v="Stores &amp; Consumables"/>
    <s v="MS Pipe 4  C Class"/>
    <n v="261"/>
    <n v="12528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Lam Fabric"/>
    <s v="PP Laminated Fabric"/>
    <s v="PP Lam Fabric With UV"/>
    <n v="348"/>
    <n v="39175.4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1014"/>
    <n v="117191.02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2214"/>
    <n v="251450.62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438"/>
    <n v="49306.97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2401"/>
    <n v="265485.77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Webbing"/>
    <s v="PP Webbing"/>
    <s v="PP Webbing"/>
    <s v="Webbing"/>
    <n v="31.2"/>
    <n v="4662.3100000000004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Webbing"/>
    <s v="PP Webbing"/>
    <s v="PP Webbing"/>
    <s v="Webbing"/>
    <n v="513"/>
    <n v="57749.95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Webbing"/>
    <s v="PP Webbing"/>
    <s v="PP Webbing"/>
    <s v="Webbing"/>
    <n v="872.7"/>
    <n v="100860.56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Liners"/>
    <s v="LDPE/LLDPE Bags"/>
    <s v="LLDPE BAGS"/>
    <s v="LDPE/LLDPE Bags/Liner"/>
    <n v="2405.1"/>
    <n v="289638.98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Liners"/>
    <s v="LDPE/LLDPE Bags"/>
    <s v="LLDPE BAGS"/>
    <s v="LDPE/LLDPE Bags/Liner"/>
    <n v="658.3"/>
    <n v="92443.09"/>
  </r>
  <r>
    <x v="2"/>
    <s v="Plastene India Limited "/>
    <d v="2023-06-08T00:00:00"/>
    <s v="Plastene India ltd - Unit 6-Sales"/>
    <s v="Branch Transfer Out"/>
    <s v="PIL1/DC/234"/>
    <x v="1"/>
    <s v="PIL1/DC/234"/>
    <d v="2023-06-08T00:00:00"/>
    <s v="Stores/Spares"/>
    <s v="MS Structure Items"/>
    <s v="Spares &amp; Stores"/>
    <s v="Stores &amp; Consumables"/>
    <s v="MS Pipe 4  C Class"/>
    <n v="263"/>
    <n v="12624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Webbing"/>
    <s v="PP Webbing"/>
    <s v="PP Webbing"/>
    <s v="Webbing"/>
    <n v="28.2"/>
    <n v="4214.01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Webbing"/>
    <s v="PP Webbing"/>
    <s v="PP Webbing"/>
    <s v="Webbing"/>
    <n v="665"/>
    <n v="76856.05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Webbing"/>
    <s v="PP Webbing"/>
    <s v="PP Webbing"/>
    <s v="Webbing"/>
    <n v="675"/>
    <n v="75986.78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966"/>
    <n v="111643.52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1551"/>
    <n v="176151.72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437"/>
    <n v="49194.400000000001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2318"/>
    <n v="256308.21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Liners"/>
    <s v="LDPE/LLDPE Bags"/>
    <s v="LLDPE BAGS"/>
    <s v="LDPE/LLDPE Bags/Liner"/>
    <n v="938.8"/>
    <n v="113056.87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Liners"/>
    <s v="LDPE/LLDPE Bags"/>
    <s v="LLDPE BAGS"/>
    <s v="LDPE/LLDPE Bags/Liner"/>
    <n v="796.95"/>
    <n v="111913.3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Liners"/>
    <s v="LDPE/LLDPE Bags"/>
    <s v="LLDPE BAGS"/>
    <s v="LDPE/LLDPE Bags/Liner"/>
    <n v="266.5"/>
    <n v="32093.8"/>
  </r>
  <r>
    <x v="2"/>
    <s v="Plastene India Limited "/>
    <d v="2023-06-09T00:00:00"/>
    <s v="Plastene India ltd - Unit 6-Sales"/>
    <s v="Branch Transfer Out"/>
    <s v="PIL1/DC/236"/>
    <x v="1"/>
    <s v="PIL1/DC/236"/>
    <d v="2023-06-09T00:00:00"/>
    <s v="Stores/Spares"/>
    <s v="MS Structure Items"/>
    <s v="Spares &amp; Stores"/>
    <s v="Stores &amp; Consumables"/>
    <s v="MS Pipe 4  C Class"/>
    <n v="211"/>
    <n v="10128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Yarn All"/>
    <s v="PP Yarn"/>
    <s v="PP Filament Yarn"/>
    <s v="PP MF Yarn Twisted 2500 Denier UV NW"/>
    <n v="2096.3000000000002"/>
    <n v="273426.7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Yarn All"/>
    <s v="PP Yarn"/>
    <s v="PP Filament Yarn"/>
    <s v="PP MF Yarn Twisted 1000 UV NW"/>
    <n v="2005.8"/>
    <n v="255605.11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PP/PE Fabric"/>
    <s v="PP UL Fabric"/>
    <s v="PP WOVEN FABRIC (FG)"/>
    <s v="PP UL Fabric With UV"/>
    <n v="487"/>
    <n v="56284.05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Liners"/>
    <s v="LDPE/LLDPE Bags"/>
    <s v="LLDPE BAGS"/>
    <s v="LDPE/LLDPE Bags/Liner"/>
    <n v="399.9"/>
    <n v="101174.7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Liners"/>
    <s v="LDPE/LLDPE Bags"/>
    <s v="LLDPE BAGS"/>
    <s v="LDPE/LLDPE Bags/Liner"/>
    <n v="212.9"/>
    <n v="25638.91"/>
  </r>
  <r>
    <x v="2"/>
    <s v="Plastene India Limited "/>
    <d v="2023-06-10T00:00:00"/>
    <s v="Plastene India ltd - Unit 2-Sales"/>
    <s v="Branch Transfer Out"/>
    <s v="PIL1/DC/241"/>
    <x v="1"/>
    <s v="PIL1/DC/241"/>
    <d v="2023-06-10T00:00:00"/>
    <s v="Stores/Spares"/>
    <s v="MS Structure Items"/>
    <s v="Spares &amp; Stores"/>
    <s v="Stores &amp; Consumables"/>
    <s v="MS Pipe 4  C Class"/>
    <n v="25"/>
    <n v="1200"/>
  </r>
  <r>
    <x v="2"/>
    <s v="Plastene India Limited "/>
    <d v="2023-06-10T00:00:00"/>
    <s v="Plastene India ltd - Unit 6-Sales"/>
    <s v="Branch Transfer Out"/>
    <s v="PIL1/DC/237"/>
    <x v="0"/>
    <s v="PIL1/DC/237"/>
    <d v="2023-06-10T00:00:00"/>
    <s v="SF"/>
    <s v="Liners"/>
    <s v="LDPE/LLDPE Bags"/>
    <s v="LLDPE BAGS"/>
    <s v="DOC Pouch"/>
    <n v="218.5"/>
    <n v="26968.799999999999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935"/>
    <n v="106190.76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611"/>
    <n v="70615.100000000006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223"/>
    <n v="25103.78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3027"/>
    <n v="334704.46999999997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Lam Fabric"/>
    <s v="PP Laminated Fabric"/>
    <s v="PP Lam Fabric With UV"/>
    <n v="222"/>
    <n v="26878.21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Webbing"/>
    <s v="PP Webbing"/>
    <s v="PP Webbing"/>
    <s v="Webbing"/>
    <n v="1199.2"/>
    <n v="134997.54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Webbing"/>
    <s v="PP Webbing"/>
    <s v="PP Webbing"/>
    <s v="Webbing"/>
    <n v="30.2"/>
    <n v="4512.88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Webbing"/>
    <s v="PP Webbing"/>
    <s v="PP Webbing"/>
    <s v="Webbing"/>
    <n v="1343.8"/>
    <n v="155307"/>
  </r>
  <r>
    <x v="2"/>
    <s v="Plastene India Limited "/>
    <d v="2023-06-10T00:00:00"/>
    <s v="Plastene India ltd - Unit 6-Sales"/>
    <s v="Branch Transfer Out"/>
    <s v="PIL1/DC/239"/>
    <x v="1"/>
    <s v="PIL1/DC/239"/>
    <d v="2023-06-10T00:00:00"/>
    <s v="Stores/Spares"/>
    <s v="MS Structure Items"/>
    <s v="Spares &amp; Stores"/>
    <s v="Stores &amp; Consumables"/>
    <s v="MS Pipe 4  C Class"/>
    <n v="190"/>
    <n v="9120"/>
  </r>
  <r>
    <x v="2"/>
    <s v="Plastene India Limited "/>
    <d v="2023-06-11T00:00:00"/>
    <s v="Plastene India ltd - Unit 2-Sales"/>
    <s v="Branch Transfer Out"/>
    <s v="PIL1/DC/245"/>
    <x v="0"/>
    <s v="PIL1/DC/245"/>
    <d v="2023-06-11T00:00:00"/>
    <s v="FG"/>
    <s v="Small Bags"/>
    <s v="PP Bags"/>
    <s v="PP Bags &amp; Sacks"/>
    <s v="PP UL Bags With UV"/>
    <n v="5018.6400000000003"/>
    <n v="970655.16"/>
  </r>
  <r>
    <x v="2"/>
    <s v="Plastene India Limited "/>
    <d v="2023-06-11T00:00:00"/>
    <s v="Plastene India ltd - Unit 2-Sales"/>
    <s v="Branch Transfer Out"/>
    <s v="PIL1/DC/246"/>
    <x v="0"/>
    <s v="PIL1/DC/246"/>
    <d v="2023-06-11T00:00:00"/>
    <s v="SF"/>
    <s v="PP/PE Fabric"/>
    <s v="PP Lam Fabric"/>
    <s v="PP Laminated Fabric"/>
    <s v="PP Lam Fabric With UV"/>
    <n v="1655.2"/>
    <n v="234541.84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224"/>
    <n v="25216.35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1193"/>
    <n v="135492.59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3349"/>
    <n v="370308.98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587"/>
    <n v="67841.350000000006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Yarn All"/>
    <s v="PP Yarn"/>
    <s v="PP Filament Yarn"/>
    <s v="PP Braided Rope MW 6 to 8 GPM"/>
    <n v="31.3"/>
    <n v="4301.6499999999996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Webbing"/>
    <s v="PP Webbing"/>
    <s v="PP Webbing"/>
    <s v="Webbing"/>
    <n v="341.9"/>
    <n v="39514.410000000003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Webbing"/>
    <s v="PP Webbing"/>
    <s v="PP Webbing"/>
    <s v="Webbing"/>
    <n v="425.9"/>
    <n v="47944.84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Webbing"/>
    <s v="PP Webbing"/>
    <s v="PP Webbing"/>
    <s v="Webbing"/>
    <n v="8"/>
    <n v="1195.46"/>
  </r>
  <r>
    <x v="2"/>
    <s v="Plastene India Limited "/>
    <d v="2023-06-11T00:00:00"/>
    <s v="Plastene India ltd - Unit 6-Sales"/>
    <s v="Branch Transfer Out"/>
    <s v="PIL1/DC/243"/>
    <x v="1"/>
    <s v="PIL1/DC/243"/>
    <d v="2023-06-11T00:00:00"/>
    <s v="Stores/Spares"/>
    <s v="MS Structure Items"/>
    <s v="Spares &amp; Stores"/>
    <s v="Stores &amp; Consumables"/>
    <s v="MS Pipe 4  C Class"/>
    <n v="221"/>
    <n v="10608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Webbing"/>
    <s v="PP Webbing"/>
    <s v="PP Webbing"/>
    <s v="Webbing"/>
    <n v="1118.5"/>
    <n v="129268.4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Webbing"/>
    <s v="PP Webbing"/>
    <s v="PP Webbing"/>
    <s v="Webbing"/>
    <n v="997.5"/>
    <n v="112291.57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Yarn All"/>
    <s v="PP Yarn"/>
    <s v="PP Filament Yarn"/>
    <s v="PP MF Yarn Twisted 3000 Denier UV NW"/>
    <n v="1446.8"/>
    <n v="184370.06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Yarn All"/>
    <s v="PP Yarn"/>
    <s v="PP Filament Yarn"/>
    <s v="PP MF Yarn Twisted 3000 Denier UV Deep Blue"/>
    <n v="890.2"/>
    <n v="116111.46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Webbing"/>
    <s v="PP Webbing"/>
    <s v="PP Webbing"/>
    <s v="Webbing"/>
    <n v="680.7"/>
    <n v="76628.44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Webbing"/>
    <s v="PP Webbing"/>
    <s v="PP Webbing"/>
    <s v="Webbing"/>
    <n v="945.7"/>
    <n v="109297.39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PP/PE Fabric"/>
    <s v="PP UL Fabric"/>
    <s v="PP WOVEN FABRIC (FG)"/>
    <s v="PP UL Fabric With UV"/>
    <n v="328"/>
    <n v="37907.94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PP/PE Fabric"/>
    <s v="PP UL Fabric"/>
    <s v="PP WOVEN FABRIC (FG)"/>
    <s v="PP UL Fabric With UV"/>
    <n v="803"/>
    <n v="91199.12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PP/PE Fabric"/>
    <s v="PP UL Fabric"/>
    <s v="PP WOVEN FABRIC (FG)"/>
    <s v="PP UL Fabric With UV"/>
    <n v="3194"/>
    <n v="353170.16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Liners"/>
    <s v="LDPE/LLDPE Bags"/>
    <s v="LLDPE BAGS"/>
    <s v="LDPE/LLDPE Bags/Liner"/>
    <n v="45.2"/>
    <n v="5443.3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Liners"/>
    <s v="LDPE/LLDPE Bags"/>
    <s v="LLDPE BAGS"/>
    <s v="LDPE/LLDPE Bags/Liner"/>
    <n v="6.9"/>
    <n v="830.95"/>
  </r>
  <r>
    <x v="2"/>
    <s v="Plastene India Limited "/>
    <d v="2023-06-12T00:00:00"/>
    <s v="Plastene India ltd - Unit 6-Sales"/>
    <s v="Branch Transfer Out"/>
    <s v="PIL1/DC/248"/>
    <x v="1"/>
    <s v="PIL1/DC/248"/>
    <d v="2023-06-12T00:00:00"/>
    <s v="Stores/Spares"/>
    <s v="MS Structure Items"/>
    <s v="Spares &amp; Stores"/>
    <s v="Stores &amp; Consumables"/>
    <s v="MS Pipe 4  C Class"/>
    <n v="182"/>
    <n v="8736"/>
  </r>
  <r>
    <x v="2"/>
    <s v="Plastene India Limited "/>
    <d v="2023-06-13T00:00:00"/>
    <s v="Plastene India ltd - Unit 2-Sales"/>
    <s v="Branch Transfer Out"/>
    <s v="PIL1/DC/251"/>
    <x v="0"/>
    <s v="PIL1/DC/251"/>
    <d v="2023-06-13T00:00:00"/>
    <s v="SF"/>
    <s v="Yarn All"/>
    <s v="PP Yarn"/>
    <s v="PP Filament Yarn"/>
    <s v="PP MF Yarn Twisted 1000 UV NW"/>
    <n v="1015.9"/>
    <n v="129459.18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Webbing"/>
    <s v="PP Webbing"/>
    <s v="PP Webbing"/>
    <s v="Webbing"/>
    <n v="398.7"/>
    <n v="44882.86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Webbing"/>
    <s v="PP Webbing"/>
    <s v="PP Webbing"/>
    <s v="Webbing"/>
    <n v="649.79999999999995"/>
    <n v="75099.34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439"/>
    <n v="49419.55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1093"/>
    <n v="124135.29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640"/>
    <n v="73966.720000000001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2950"/>
    <n v="326190.34999999998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Liners"/>
    <s v="LDPE/LLDPE Bags"/>
    <s v="LLDPE BAGS"/>
    <s v="LDPE/LLDPE Bags/Liner"/>
    <n v="229.1"/>
    <n v="27589.83"/>
  </r>
  <r>
    <x v="2"/>
    <s v="Plastene India Limited "/>
    <d v="2023-06-13T00:00:00"/>
    <s v="Plastene India ltd - Unit 6-Sales"/>
    <s v="Branch Transfer Out"/>
    <s v="PIL1/DC/250"/>
    <x v="1"/>
    <s v="PIL1/DC/250"/>
    <d v="2023-06-13T00:00:00"/>
    <s v="Stores/Spares"/>
    <s v="MS Structure Items"/>
    <s v="Spares &amp; Stores"/>
    <s v="Stores &amp; Consumables"/>
    <s v="MS Pipe 4  C Class"/>
    <n v="206"/>
    <n v="9888"/>
  </r>
  <r>
    <x v="2"/>
    <s v="Plastene India Limited "/>
    <d v="2023-06-14T00:00:00"/>
    <s v="Plastene India ltd - Unit 2-Sales"/>
    <s v="Branch Transfer Out"/>
    <s v="PIL1/DC/254"/>
    <x v="2"/>
    <s v="PIL1/DC/254"/>
    <d v="2023-06-14T00:00:00"/>
    <s v="RM"/>
    <s v="Granules"/>
    <s v="PP Granules"/>
    <s v="PP Granuels"/>
    <s v="PP Luban HP1106K"/>
    <n v="49500"/>
    <n v="4483363.5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Liners"/>
    <s v="LDPE/LLDPE Bags"/>
    <s v="LLDPE BAGS"/>
    <s v="LDPE/LLDPE Bags/Liner"/>
    <n v="118.3"/>
    <n v="14246.51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Liners"/>
    <s v="LDPE/LLDPE Bags"/>
    <s v="LLDPE BAGS"/>
    <s v="LDPE/LLDPE Bags/Liner"/>
    <n v="745.2"/>
    <n v="89742.2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PP/PE Fabric"/>
    <s v="PP UL Fabric"/>
    <s v="PP WOVEN FABRIC (FG)"/>
    <s v="PP UL Fabric With UV"/>
    <n v="318"/>
    <n v="36752.21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PP/PE Fabric"/>
    <s v="PP UL Fabric"/>
    <s v="PP WOVEN FABRIC (FG)"/>
    <s v="PP UL Fabric With UV"/>
    <n v="1511"/>
    <n v="171608.8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PP/PE Fabric"/>
    <s v="PP UL Fabric"/>
    <s v="PP WOVEN FABRIC (FG)"/>
    <s v="PP UL Fabric With UV"/>
    <n v="4127"/>
    <n v="456334.77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Webbing"/>
    <s v="PP Webbing"/>
    <s v="PP Webbing"/>
    <s v="Webbing"/>
    <n v="302.10000000000002"/>
    <n v="34008.300000000003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Webbing"/>
    <s v="PP Webbing"/>
    <s v="PP Webbing"/>
    <s v="Webbing"/>
    <n v="812"/>
    <n v="93845.28"/>
  </r>
  <r>
    <x v="2"/>
    <s v="Plastene India Limited "/>
    <d v="2023-06-14T00:00:00"/>
    <s v="Plastene India ltd - Unit 6-Sales"/>
    <s v="Branch Transfer Out"/>
    <s v="PIL1/DC/253"/>
    <x v="1"/>
    <s v="PIL1/DC/253"/>
    <d v="2023-06-14T00:00:00"/>
    <s v="Stores/Spares"/>
    <s v="MS Structure Items"/>
    <s v="Spares &amp; Stores"/>
    <s v="Stores &amp; Consumables"/>
    <s v="MS Pipe 4  C Class"/>
    <n v="232"/>
    <n v="11136"/>
  </r>
  <r>
    <x v="2"/>
    <s v="Plastene India Limited "/>
    <d v="2023-06-20T00:00:00"/>
    <s v="Plastene India ltd - Unit 2-Sales"/>
    <s v="Branch Transfer Out"/>
    <s v="PIL1/DC/257"/>
    <x v="0"/>
    <s v="PIL1/DC/257"/>
    <d v="2023-06-20T00:00:00"/>
    <s v="SF"/>
    <s v="PP/PE Fabric"/>
    <s v="PP Lam Fabric"/>
    <s v="PP Laminated Fabric"/>
    <s v="PP Lam Fabric With UV"/>
    <n v="384"/>
    <n v="43158.14"/>
  </r>
  <r>
    <x v="2"/>
    <s v="Plastene India Limited "/>
    <d v="2023-06-20T00:00:00"/>
    <s v="Plastene India ltd - Unit 2-Sales"/>
    <s v="Branch Transfer Out"/>
    <s v="PIL1/DC/257"/>
    <x v="0"/>
    <s v="PIL1/DC/257"/>
    <d v="2023-06-20T00:00:00"/>
    <s v="SF"/>
    <s v="PP/PE Fabric"/>
    <s v="PP Lam Fabric"/>
    <s v="PP Laminated Fabric"/>
    <s v="PP Lam Fabric With UV"/>
    <n v="3715"/>
    <n v="406387.57"/>
  </r>
  <r>
    <x v="2"/>
    <s v="Plastene India Limited "/>
    <d v="2023-06-20T00:00:00"/>
    <s v="Plastene India ltd - Unit 2-Sales"/>
    <s v="Branch Transfer Out"/>
    <s v="PIL1/DC/257"/>
    <x v="0"/>
    <s v="PIL1/DC/257"/>
    <d v="2023-06-20T00:00:00"/>
    <s v="SF"/>
    <s v="PP/PE Fabric"/>
    <s v="PP UL Fabric"/>
    <s v="PP WOVEN FABRIC (FG)"/>
    <s v="PP UL Fabric With UV"/>
    <n v="1759"/>
    <n v="182744.27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PP/PE Fabric"/>
    <s v="PP UL Fabric"/>
    <s v="PP WOVEN FABRIC (FG)"/>
    <s v="PP UL Fabric With UV"/>
    <n v="1321.5"/>
    <n v="134648.95999999999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PP/PE Fabric"/>
    <s v="PP UL Fabric"/>
    <s v="PP WOVEN FABRIC (FG)"/>
    <s v="PP UL Fabric With UV"/>
    <n v="243"/>
    <n v="25245.51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Webbing"/>
    <s v="PP Webbing"/>
    <s v="PP Webbing"/>
    <s v="Webbing"/>
    <n v="477"/>
    <n v="50987.01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Webbing"/>
    <s v="PP Webbing"/>
    <s v="PP Webbing"/>
    <s v="Webbing"/>
    <n v="441.3"/>
    <n v="45847.1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Yarn All"/>
    <s v="PP Yarn"/>
    <s v="PP Filament Yarn"/>
    <s v="PP Braided Rope MW 6 to 8 GPM"/>
    <n v="31.3"/>
    <n v="4029.94"/>
  </r>
  <r>
    <x v="2"/>
    <s v="Plastene India Limited "/>
    <d v="2023-06-20T00:00:00"/>
    <s v="Plastene India ltd - Unit 6-Sales"/>
    <s v="Branch Transfer Out"/>
    <s v="PIL1/DC/256"/>
    <x v="1"/>
    <s v="PIL1/DC/256"/>
    <d v="2023-06-20T00:00:00"/>
    <s v="Stores/Spares"/>
    <s v="MS Structure Items"/>
    <s v="Spares &amp; Stores"/>
    <s v="Stores &amp; Consumables"/>
    <s v="MS Pipe 4  C Class"/>
    <n v="128.5"/>
    <n v="6168"/>
  </r>
  <r>
    <x v="2"/>
    <s v="Plastene India Limited "/>
    <d v="2023-06-20T00:00:00"/>
    <s v="Plastene India ltd - Unit 6-Sales"/>
    <s v="Branch Transfer Out"/>
    <s v="PIL1/DC/258"/>
    <x v="0"/>
    <s v="PIL1/DC/258"/>
    <d v="2023-06-20T00:00:00"/>
    <s v="SF"/>
    <s v="PP/PE Fabric"/>
    <s v="PP Lam Fabric"/>
    <s v="PP Laminated Fabric"/>
    <s v="PP Lam Fabric With UV"/>
    <n v="991"/>
    <n v="108406.48"/>
  </r>
  <r>
    <x v="2"/>
    <s v="Plastene India Limited "/>
    <d v="2023-06-20T00:00:00"/>
    <s v="Plastene India ltd - Unit 6-Sales"/>
    <s v="Branch Transfer Out"/>
    <s v="PIL1/DC/258"/>
    <x v="0"/>
    <s v="PIL1/DC/258"/>
    <d v="2023-06-20T00:00:00"/>
    <s v="SF"/>
    <s v="PP/PE Fabric"/>
    <s v="PP UL Fabric"/>
    <s v="PP WOVEN FABRIC (FG)"/>
    <s v="PP UL Fabric With UV"/>
    <n v="687"/>
    <n v="71373.11999999999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Webbing"/>
    <s v="PP Webbing"/>
    <s v="PP Webbing"/>
    <s v="Webbing"/>
    <n v="73"/>
    <n v="7584.04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Webbing"/>
    <s v="PP Webbing"/>
    <s v="PP Webbing"/>
    <s v="Webbing"/>
    <n v="1475.3"/>
    <n v="157696.29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328"/>
    <n v="35060.2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766"/>
    <n v="80346.50999999999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1097"/>
    <n v="113968.43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3500"/>
    <n v="356618.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Liners"/>
    <s v="LDPE/LLDPE Bags"/>
    <s v="LLDPE BAGS"/>
    <s v="LDPE/LLDPE Bags/Liner"/>
    <n v="431.6"/>
    <n v="49413.45"/>
  </r>
  <r>
    <x v="2"/>
    <s v="Plastene India Limited "/>
    <d v="2023-06-22T00:00:00"/>
    <s v="Plastene India ltd - Unit 6-Sales"/>
    <s v="Branch Transfer Out"/>
    <s v="PIL1/DC/260"/>
    <x v="1"/>
    <s v="PIL1/DC/260"/>
    <d v="2023-06-22T00:00:00"/>
    <s v="Stores/Spares"/>
    <s v="MS Structure Items"/>
    <s v="Spares &amp; Stores"/>
    <s v="Stores &amp; Consumables"/>
    <s v="MS Pipe 4  C Class"/>
    <n v="224"/>
    <n v="10752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Webbing"/>
    <s v="PP Webbing"/>
    <s v="PP Webbing"/>
    <s v="Webbing"/>
    <n v="396"/>
    <n v="42328.84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Webbing"/>
    <s v="PP Webbing"/>
    <s v="PP Webbing"/>
    <s v="Webbing"/>
    <n v="32.299999999999997"/>
    <n v="3355.68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PP/PE Fabric"/>
    <s v="PP UL Fabric"/>
    <s v="PP WOVEN FABRIC (FG)"/>
    <s v="PP UL Fabric With UV"/>
    <n v="1179"/>
    <n v="120129.49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PP/PE Fabric"/>
    <s v="PP UL Fabric"/>
    <s v="PP WOVEN FABRIC (FG)"/>
    <s v="PP UL Fabric With UV"/>
    <n v="326"/>
    <n v="34846.47"/>
  </r>
  <r>
    <x v="2"/>
    <s v="Plastene India Limited "/>
    <d v="2023-06-23T00:00:00"/>
    <s v="Plastene India ltd - Unit 6-Sales"/>
    <s v="Branch Transfer Out"/>
    <s v="PIL1/DC/262"/>
    <x v="1"/>
    <s v="PIL1/DC/262"/>
    <d v="2023-06-23T00:00:00"/>
    <s v="Stores/Spares"/>
    <s v="MS Structure Items"/>
    <s v="Spares &amp; Stores"/>
    <s v="Stores &amp; Consumables"/>
    <s v="MS Pipe 4  C Class"/>
    <n v="65"/>
    <n v="3120"/>
  </r>
  <r>
    <x v="2"/>
    <s v="Plastene India Limited "/>
    <d v="2023-06-24T00:00:00"/>
    <s v="Plastene India ltd - Unit 2-Sales"/>
    <s v="Branch Transfer Out"/>
    <s v="PIL1/DC/266"/>
    <x v="0"/>
    <s v="PIL1/DC/266"/>
    <d v="2023-06-24T00:00:00"/>
    <s v="SF"/>
    <s v="Liners"/>
    <s v="LDPE/LLDPE Bags"/>
    <s v="LLDPE BAGS"/>
    <s v="LDPE/LLDPE Bags/Liner"/>
    <n v="216.7"/>
    <n v="24809.77"/>
  </r>
  <r>
    <x v="2"/>
    <s v="Plastene India Limited "/>
    <d v="2023-06-24T00:00:00"/>
    <s v="Plastene India ltd - Unit 2-Sales"/>
    <s v="Branch Transfer Out"/>
    <s v="PIL1/DC/266"/>
    <x v="0"/>
    <s v="PIL1/DC/266"/>
    <d v="2023-06-24T00:00:00"/>
    <s v="SF"/>
    <s v="Yarn All"/>
    <s v="PP Yarn"/>
    <s v="PP Filament Yarn"/>
    <s v="PP MF Yarn Twisted 1000 UV NW"/>
    <n v="1919.4"/>
    <n v="227932.59"/>
  </r>
  <r>
    <x v="2"/>
    <s v="Plastene India Limited "/>
    <d v="2023-06-24T00:00:00"/>
    <s v="Plastene India ltd - Unit 2-Sales"/>
    <s v="Branch Transfer Out"/>
    <s v="PIL1/DC/266"/>
    <x v="0"/>
    <s v="PIL1/DC/266"/>
    <d v="2023-06-24T00:00:00"/>
    <s v="SF"/>
    <s v="Yarn All"/>
    <s v="PP Yarn"/>
    <s v="PP Filament Yarn"/>
    <s v="PP MF Yarn Twisted 2500 Denier UV NW"/>
    <n v="3060.2"/>
    <n v="372585.47"/>
  </r>
  <r>
    <x v="2"/>
    <s v="Plastene India Limited "/>
    <d v="2023-06-24T00:00:00"/>
    <s v="Plastene India ltd - Unit 2-Sales"/>
    <s v="Branch Transfer Out"/>
    <s v="PIL1/DC/267"/>
    <x v="2"/>
    <s v="PIL1/DC/267"/>
    <d v="2023-06-24T00:00:00"/>
    <s v="RM"/>
    <s v="Granules"/>
    <s v="LDPE Granules"/>
    <s v="LDPE Granuels"/>
    <s v="LDPE Hanwha 955"/>
    <n v="500"/>
    <n v="60430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PP/PE Fabric"/>
    <s v="PP UL Fabric"/>
    <s v="PP WOVEN FABRIC (FG)"/>
    <s v="PP UL Fabric With UV"/>
    <n v="3231"/>
    <n v="329209.82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PP/PE Fabric"/>
    <s v="PP UL Fabric"/>
    <s v="PP WOVEN FABRIC (FG)"/>
    <s v="PP UL Fabric With UV"/>
    <n v="360"/>
    <n v="37760.76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Yarn All"/>
    <s v="PP Yarn"/>
    <s v="PP Filament Yarn"/>
    <s v="PP Braided Rope MW 6 to 8 GPM"/>
    <n v="45.6"/>
    <n v="5871.09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Webbing"/>
    <s v="PP Webbing"/>
    <s v="PP Webbing"/>
    <s v="Webbing"/>
    <n v="232.1"/>
    <n v="24113.1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Webbing"/>
    <s v="PP Webbing"/>
    <s v="PP Webbing"/>
    <s v="Webbing"/>
    <n v="264.10000000000002"/>
    <n v="28229.91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Liners"/>
    <s v="LDPE/LLDPE Bags"/>
    <s v="LLDPE BAGS"/>
    <s v="LDPE/LLDPE Bags/Liner"/>
    <n v="831.5"/>
    <n v="95197.6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PP/PE Fabric"/>
    <s v="PP UL Fabric"/>
    <s v="PP WOVEN FABRIC (FG)"/>
    <s v="PP UL Fabric With UV"/>
    <n v="222"/>
    <n v="23063.8"/>
  </r>
  <r>
    <x v="2"/>
    <s v="Plastene India Limited "/>
    <d v="2023-06-24T00:00:00"/>
    <s v="Plastene India ltd - Unit 6-Sales"/>
    <s v="Branch Transfer Out"/>
    <s v="PIL1/DC/264"/>
    <x v="1"/>
    <s v="PIL1/DC/264"/>
    <d v="2023-06-24T00:00:00"/>
    <s v="Stores/Spares"/>
    <s v="MS Structure Items"/>
    <s v="Spares &amp; Stores"/>
    <s v="Stores &amp; Consumables"/>
    <s v="MS Pipe 4  C Class"/>
    <n v="173"/>
    <n v="8304"/>
  </r>
  <r>
    <x v="2"/>
    <s v="Plastene India Limited "/>
    <d v="2023-06-24T00:00:00"/>
    <s v="Plastene India ltd - Unit 6-Sales"/>
    <s v="Branch Transfer Out"/>
    <s v="PIL1/DC/265"/>
    <x v="1"/>
    <s v="PIL1/DC/265"/>
    <d v="2023-06-24T00:00:00"/>
    <s v="Stores/Spares"/>
    <s v="Round Bars"/>
    <s v="Spares &amp; Stores"/>
    <s v="Stores &amp; Consumables"/>
    <s v="MS Round Bar Dia - 40 mm"/>
    <n v="12"/>
    <n v="768"/>
  </r>
  <r>
    <x v="2"/>
    <s v="Plastene India Limited "/>
    <d v="2023-06-25T00:00:00"/>
    <s v="Plastene India ltd - Unit 2-Sales"/>
    <s v="Branch Transfer Out"/>
    <s v="PIL1/DC/270"/>
    <x v="0"/>
    <s v="PIL1/DC/270"/>
    <d v="2023-06-25T00:00:00"/>
    <s v="SF"/>
    <s v="PP/PE Fabric"/>
    <s v="PP Lam Fabric"/>
    <s v="PP Laminated Fabric"/>
    <s v="PP Lam Fabric With UV"/>
    <n v="5704"/>
    <n v="573993.52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113"/>
    <n v="12078.68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534"/>
    <n v="56011.79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Liners"/>
    <s v="LDPE/LLDPE Bags"/>
    <s v="LLDPE BAGS"/>
    <s v="LDPE/LLDPE Bags/Liner"/>
    <n v="658.4"/>
    <n v="75379.56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Webbing"/>
    <s v="PP Webbing"/>
    <s v="PP Webbing"/>
    <s v="Webbing"/>
    <n v="696.7"/>
    <n v="74470.960000000006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Webbing"/>
    <s v="PP Webbing"/>
    <s v="PP Webbing"/>
    <s v="Webbing"/>
    <n v="268.10000000000002"/>
    <n v="27853.18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451"/>
    <n v="46854.84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5572.5"/>
    <n v="567787.6"/>
  </r>
  <r>
    <x v="2"/>
    <s v="Plastene India Limited "/>
    <d v="2023-06-25T00:00:00"/>
    <s v="Plastene India ltd - Unit 6-Sales"/>
    <s v="Branch Transfer Out"/>
    <s v="PIL1/DC/269"/>
    <x v="1"/>
    <s v="PIL1/DC/269"/>
    <d v="2023-06-25T00:00:00"/>
    <s v="Stores/Spares"/>
    <s v="MS Structure Items"/>
    <s v="Spares &amp; Stores"/>
    <s v="Stores &amp; Consumables"/>
    <s v="MS Pipe 4  C Class"/>
    <n v="314.5"/>
    <n v="15096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Liners"/>
    <s v="LDPE/LLDPE Bags"/>
    <s v="LLDPE BAGS"/>
    <s v="LDPE/LLDPE Bags/Liner"/>
    <n v="4340"/>
    <n v="514242.26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296"/>
    <n v="31639.74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458"/>
    <n v="48040.08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700"/>
    <n v="72723.7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5535"/>
    <n v="563966.68999999994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Webbing"/>
    <s v="PP Webbing"/>
    <s v="PP Webbing"/>
    <s v="Webbing"/>
    <n v="510.8"/>
    <n v="53067.519999999997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Webbing"/>
    <s v="PP Webbing"/>
    <s v="PP Webbing"/>
    <s v="Webbing"/>
    <n v="1164.8"/>
    <n v="124506.64"/>
  </r>
  <r>
    <x v="2"/>
    <s v="Plastene India Limited "/>
    <d v="2023-06-26T00:00:00"/>
    <s v="Plastene India ltd - Unit 6-Sales"/>
    <s v="Branch Transfer Out"/>
    <s v="PIL1/DC/272"/>
    <x v="1"/>
    <s v="PIL1/DC/272"/>
    <d v="2023-06-26T00:00:00"/>
    <s v="Stores/Spares"/>
    <s v="MS Structure Items"/>
    <s v="Spares &amp; Stores"/>
    <s v="Stores &amp; Consumables"/>
    <s v="MS Pipe 4  C Class"/>
    <n v="301"/>
    <n v="14448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Yarn All"/>
    <s v="PP Yarn"/>
    <s v="PP Filament Yarn"/>
    <s v="PP MF Yarn Twisted 3000 Denier UV NW"/>
    <n v="3105.6"/>
    <n v="368796.21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Yarn All"/>
    <s v="PP Yarn"/>
    <s v="PP Filament Yarn"/>
    <s v="PP MF Yarn Twisted 3000 Denier UV Deep Blue"/>
    <n v="2453.3000000000002"/>
    <n v="298694.18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Liners"/>
    <s v="LDPE/LLDPE Bags"/>
    <s v="LLDPE BAGS"/>
    <s v="LDPE/LLDPE Bags/Liner"/>
    <n v="4441.3999999999996"/>
    <n v="526257.04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Liners"/>
    <s v="LDPE/LLDPE Bags"/>
    <s v="LLDPE BAGS"/>
    <s v="LDPE/LLDPE Bags/Liner"/>
    <n v="152.19999999999999"/>
    <n v="17425.23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Webbing"/>
    <s v="PP Webbing"/>
    <s v="PP Webbing"/>
    <s v="Webbing"/>
    <n v="1827"/>
    <n v="195289.86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Webbing"/>
    <s v="PP Webbing"/>
    <s v="PP Webbing"/>
    <s v="Webbing"/>
    <n v="235.2"/>
    <n v="24435.16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PP/PE Fabric"/>
    <s v="PP UL Fabric"/>
    <s v="PP WOVEN FABRIC (FG)"/>
    <s v="PP UL Fabric With UV"/>
    <n v="536"/>
    <n v="56221.58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PP/PE Fabric"/>
    <s v="PP UL Fabric"/>
    <s v="PP WOVEN FABRIC (FG)"/>
    <s v="PP UL Fabric With UV"/>
    <n v="239"/>
    <n v="24829.95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PP/PE Fabric"/>
    <s v="PP UL Fabric"/>
    <s v="PP WOVEN FABRIC (FG)"/>
    <s v="PP UL Fabric With UV"/>
    <n v="5431"/>
    <n v="553370.02"/>
  </r>
  <r>
    <x v="2"/>
    <s v="Plastene India Limited "/>
    <d v="2023-06-27T00:00:00"/>
    <s v="Plastene India ltd - Unit 6-Sales"/>
    <s v="Branch Transfer Out"/>
    <s v="PIL1/DC/275"/>
    <x v="1"/>
    <s v="PIL1/DC/275"/>
    <d v="2023-06-27T00:00:00"/>
    <s v="Stores/Spares"/>
    <s v="MS Structure Items"/>
    <s v="Spares &amp; Stores"/>
    <s v="Stores &amp; Consumables"/>
    <s v="MS Pipe 4  C Class"/>
    <n v="276"/>
    <n v="13248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Lam Fabric"/>
    <s v="PP Laminated Fabric"/>
    <s v="PP Lam Fabric With UV"/>
    <n v="1900"/>
    <n v="206892.9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Webbing"/>
    <s v="PP Webbing"/>
    <s v="PP Webbing"/>
    <s v="Webbing"/>
    <n v="1044.0999999999999"/>
    <n v="111604.89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Webbing"/>
    <s v="PP Webbing"/>
    <s v="PP Webbing"/>
    <s v="Webbing"/>
    <n v="79.400000000000006"/>
    <n v="8248.9500000000007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327"/>
    <n v="34953.360000000001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5409"/>
    <n v="551128.42000000004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458"/>
    <n v="47582.080000000002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1955"/>
    <n v="205061.91"/>
  </r>
  <r>
    <x v="2"/>
    <s v="Plastene India Limited "/>
    <d v="2023-06-28T00:00:00"/>
    <s v="Plastene India ltd - Unit 6-Sales"/>
    <s v="Branch Transfer Out"/>
    <s v="PIL1/DC/277"/>
    <x v="1"/>
    <s v="PIL1/DC/277"/>
    <d v="2023-06-28T00:00:00"/>
    <s v="Stores/Spares"/>
    <s v="MS Structure Items"/>
    <s v="Spares &amp; Stores"/>
    <s v="Stores &amp; Consumables"/>
    <s v="MS Pipe 4  C Class"/>
    <n v="413"/>
    <n v="19824"/>
  </r>
  <r>
    <x v="2"/>
    <s v="Plastene India Limited "/>
    <d v="2023-06-29T00:00:00"/>
    <s v="Plastene India ltd - Unit 2-Sales"/>
    <s v="Branch Transfer Out"/>
    <s v="PIL1/DC/283"/>
    <x v="0"/>
    <s v="PIL1/DC/283"/>
    <d v="2023-06-29T00:00:00"/>
    <s v="SF"/>
    <s v="Yarn All"/>
    <s v="PP Yarn"/>
    <s v="PP Filament Yarn"/>
    <s v="PP MF Yarn Twisted 2500 Denier UV NW"/>
    <n v="1749.3"/>
    <n v="212980.77"/>
  </r>
  <r>
    <x v="2"/>
    <s v="Plastene India Limited "/>
    <d v="2023-06-29T00:00:00"/>
    <s v="Plastene India ltd - Unit 2-Sales"/>
    <s v="Branch Transfer Out"/>
    <s v="PIL1/DC/283"/>
    <x v="0"/>
    <s v="PIL1/DC/283"/>
    <d v="2023-06-29T00:00:00"/>
    <s v="SF"/>
    <s v="Liners"/>
    <s v="LDPE/LLDPE Bags"/>
    <s v="LLDPE BAGS"/>
    <s v="LDPE/LLDPE Bags/Liner"/>
    <n v="222.4"/>
    <n v="25462.35"/>
  </r>
  <r>
    <x v="2"/>
    <s v="Plastene India Limited "/>
    <d v="2023-06-29T00:00:00"/>
    <s v="Plastene India ltd - Unit 2-Sales"/>
    <s v="Branch Transfer Out"/>
    <s v="PIL1/DC/283"/>
    <x v="0"/>
    <s v="PIL1/DC/283"/>
    <d v="2023-06-29T00:00:00"/>
    <s v="SF"/>
    <s v="Liners"/>
    <s v="LDPE/LLDPE Bags"/>
    <s v="LLDPE BAGS"/>
    <s v="LDPE/LLDPE Bags/Liner"/>
    <n v="870.6"/>
    <n v="117086.12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331"/>
    <n v="35380.92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449"/>
    <n v="46647.06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1141"/>
    <n v="119680.63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6356"/>
    <n v="647619.19999999995"/>
  </r>
  <r>
    <x v="2"/>
    <s v="Plastene India Limited "/>
    <d v="2023-06-29T00:00:00"/>
    <s v="Plastene India ltd - Unit 6-Sales"/>
    <s v="Branch Transfer Out"/>
    <s v="PIL1/DC/279"/>
    <x v="1"/>
    <s v="PIL1/DC/279"/>
    <d v="2023-06-29T00:00:00"/>
    <s v="Stores/Spares"/>
    <s v="MS Structure Items"/>
    <s v="Spares &amp; Stores"/>
    <s v="Stores &amp; Consumables"/>
    <s v="MS Pipe 4  C Class"/>
    <n v="356"/>
    <n v="17088"/>
  </r>
  <r>
    <x v="2"/>
    <s v="Plastene India Limited "/>
    <d v="2023-06-29T00:00:00"/>
    <s v="Plastene India ltd - Unit 6-Sales"/>
    <s v="Branch Transfer Out"/>
    <s v="PIL1/DC/280"/>
    <x v="0"/>
    <s v="PIL1/DC/280"/>
    <d v="2023-06-29T00:00:00"/>
    <s v="SF"/>
    <s v="PP/PE Fabric"/>
    <s v="PP Lam Fabric"/>
    <s v="PP Laminated Fabric"/>
    <s v="PP Lam Fabric With UV"/>
    <n v="362"/>
    <n v="37608.54"/>
  </r>
  <r>
    <x v="2"/>
    <s v="Plastene India Limited "/>
    <d v="2023-06-29T00:00:00"/>
    <s v="Plastene India ltd - Unit 6-Sales"/>
    <s v="Branch Transfer Out"/>
    <s v="PIL1/DC/281"/>
    <x v="1"/>
    <s v="PIL1/DC/281"/>
    <d v="2023-06-29T00:00:00"/>
    <s v="Stores/Spares"/>
    <s v="MS Structure Items"/>
    <s v="Spares &amp; Stores"/>
    <s v="Stores &amp; Consumables"/>
    <s v="MS Pipe 4  C Class"/>
    <n v="13"/>
    <n v="624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Webbing"/>
    <s v="PP Webbing"/>
    <s v="PP Webbing"/>
    <s v="Webbing"/>
    <n v="1939"/>
    <n v="207261.65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Webbing"/>
    <s v="PP Webbing"/>
    <s v="PP Webbing"/>
    <s v="Webbing"/>
    <n v="555.20000000000005"/>
    <n v="57680.28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Liners"/>
    <s v="LDPE/LLDPE Bags"/>
    <s v="LLDPE BAGS"/>
    <s v="LDPE/LLDPE Bags/Liner"/>
    <n v="297.39999999999998"/>
    <n v="35238.629999999997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Liners"/>
    <s v="LDPE/LLDPE Bags"/>
    <s v="LLDPE BAGS"/>
    <s v="LDPE/LLDPE Bags/Liner"/>
    <n v="3947.8"/>
    <n v="463823.07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UL Fabric"/>
    <s v="PP WOVEN FABRIC (FG)"/>
    <s v="PP UL Fabric With UV"/>
    <n v="121"/>
    <n v="12933.81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UL Fabric"/>
    <s v="PP WOVEN FABRIC (FG)"/>
    <s v="PP UL Fabric With UV"/>
    <n v="1263"/>
    <n v="131214.32999999999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Lam Fabric"/>
    <s v="PP Laminated Fabric"/>
    <s v="PP Lam Fabric With UV"/>
    <n v="1611"/>
    <n v="176228.9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Lam Fabric"/>
    <s v="PP Laminated Fabric"/>
    <s v="PP Lam Fabric With UV"/>
    <n v="103"/>
    <n v="11576.27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Liners"/>
    <s v="LDPE/LLDPE Bags"/>
    <s v="LLDPE BAGS"/>
    <s v="DOC Pouch"/>
    <n v="496.5"/>
    <n v="58333.29"/>
  </r>
  <r>
    <x v="2"/>
    <s v="Plastene India Limited "/>
    <d v="2023-06-30T00:00:00"/>
    <s v="Plastene India ltd - Unit 2-Sales"/>
    <s v="Branch Transfer Out"/>
    <s v="PIL1/DC/291"/>
    <x v="0"/>
    <s v="PIL1/DC/291"/>
    <d v="2023-06-30T00:00:00"/>
    <s v="SF"/>
    <s v="Yarn All"/>
    <s v="PP Yarn"/>
    <s v="PP Filament Yarn"/>
    <s v="PP MF Yarn Twisted 2500 Denier UV NW"/>
    <n v="1019.9"/>
    <n v="124174.86"/>
  </r>
  <r>
    <x v="2"/>
    <s v="Plastene India Limited "/>
    <d v="2023-06-30T00:00:00"/>
    <s v="Plastene India ltd - Unit 2-Sales"/>
    <s v="Branch Transfer Out"/>
    <s v="PIL1/DC/291"/>
    <x v="0"/>
    <s v="PIL1/DC/291"/>
    <d v="2023-06-30T00:00:00"/>
    <s v="SF"/>
    <s v="Yarn All"/>
    <s v="PP Yarn"/>
    <s v="PP Filament Yarn"/>
    <s v="PP MF Yarn Twisted 1000 UV NW"/>
    <n v="2418"/>
    <n v="287142.34000000003"/>
  </r>
  <r>
    <x v="2"/>
    <s v="Plastene India Limited "/>
    <d v="2023-06-30T00:00:00"/>
    <s v="Plastene India ltd - Unit 6-Sales"/>
    <s v="Branch Transfer Out"/>
    <s v="PIL1/DC/284"/>
    <x v="0"/>
    <s v="PIL1/DC/284"/>
    <d v="2023-06-30T00:00:00"/>
    <s v="SF"/>
    <s v="PP/PE Fabric"/>
    <s v="PP UL Fabric"/>
    <s v="PP WOVEN FABRIC (FG)"/>
    <s v="PP UL Fabric With UV"/>
    <n v="661"/>
    <n v="70654.95"/>
  </r>
  <r>
    <x v="2"/>
    <s v="Plastene India Limited "/>
    <d v="2023-06-30T00:00:00"/>
    <s v="Plastene India ltd - Unit 6-Sales"/>
    <s v="Branch Transfer Out"/>
    <s v="PIL1/DC/285"/>
    <x v="1"/>
    <s v="PIL1/DC/285"/>
    <d v="2023-06-30T00:00:00"/>
    <s v="Stores/Spares"/>
    <s v="MS Structure Items"/>
    <s v="Spares &amp; Stores"/>
    <s v="Stores &amp; Consumables"/>
    <s v="MS Pipe 4  C Class"/>
    <n v="24"/>
    <n v="1152"/>
  </r>
  <r>
    <x v="2"/>
    <s v="Plastene India Limited "/>
    <d v="2023-06-30T00:00:00"/>
    <s v="Plastene India ltd - Unit 6-Sales"/>
    <s v="Branch Transfer Out"/>
    <s v="PIL1/DC/286"/>
    <x v="0"/>
    <s v="PIL1/DC/286"/>
    <d v="2023-06-30T00:00:00"/>
    <s v="SF"/>
    <s v="PP/PE Fabric"/>
    <s v="PP Lam Fabric"/>
    <s v="PP Laminated Fabric"/>
    <s v="PP Lam Fabric With UV"/>
    <n v="1868"/>
    <n v="203408.39"/>
  </r>
  <r>
    <x v="2"/>
    <s v="Plastene India Limited "/>
    <d v="2023-06-30T00:00:00"/>
    <s v="Plastene India ltd - Unit 6-Sales"/>
    <s v="Branch Transfer Out"/>
    <s v="PIL1/DC/286"/>
    <x v="0"/>
    <s v="PIL1/DC/286"/>
    <d v="2023-06-30T00:00:00"/>
    <s v="SF"/>
    <s v="Webbing"/>
    <s v="PP Webbing"/>
    <s v="PP Webbing"/>
    <s v="Webbing"/>
    <n v="1032.7"/>
    <n v="110386.34"/>
  </r>
  <r>
    <x v="2"/>
    <s v="Plastene India Limited "/>
    <d v="2023-06-30T00:00:00"/>
    <s v="Plastene India ltd - Unit 6-Sales"/>
    <s v="Branch Transfer Out"/>
    <s v="PIL1/DC/287"/>
    <x v="1"/>
    <s v="PIL1/DC/287"/>
    <d v="2023-06-30T00:00:00"/>
    <s v="Stores/Spares"/>
    <s v="MS Structure Items"/>
    <s v="Spares &amp; Stores"/>
    <s v="Stores &amp; Consumables"/>
    <s v="MS Pipe 4  C Class"/>
    <n v="66"/>
    <n v="3168"/>
  </r>
  <r>
    <x v="2"/>
    <s v="Plastene India Limited "/>
    <d v="2023-06-30T00:00:00"/>
    <s v="Plastene India ltd - Unit 6-Sales"/>
    <s v="Branch Transfer Out"/>
    <s v="PIL1/DC/288"/>
    <x v="0"/>
    <s v="PIL1/DC/288"/>
    <d v="2023-06-30T00:00:00"/>
    <s v="SF"/>
    <s v="PP/PE Fabric"/>
    <s v="PP UL Fabric"/>
    <s v="PP WOVEN FABRIC (FG)"/>
    <s v="PP UL Fabric With UV"/>
    <n v="236"/>
    <n v="24518.28"/>
  </r>
  <r>
    <x v="2"/>
    <s v="Plastene India Limited "/>
    <d v="2023-06-30T00:00:00"/>
    <s v="Plastene India ltd - Unit 6-Sales"/>
    <s v="Branch Transfer Out"/>
    <s v="PIL1/DC/288"/>
    <x v="0"/>
    <s v="PIL1/DC/288"/>
    <d v="2023-06-30T00:00:00"/>
    <s v="SF"/>
    <s v="PP/PE Fabric"/>
    <s v="PP UL Fabric"/>
    <s v="PP WOVEN FABRIC (FG)"/>
    <s v="PP UL Fabric With UV"/>
    <n v="1706"/>
    <n v="178944.05"/>
  </r>
  <r>
    <x v="2"/>
    <s v="Plastene India Limited "/>
    <d v="2023-06-30T00:00:00"/>
    <s v="Plastene India ltd - Unit 6-Sales"/>
    <s v="Branch Transfer Out"/>
    <s v="PIL1/DC/288"/>
    <x v="0"/>
    <s v="PIL1/DC/288"/>
    <d v="2023-06-30T00:00:00"/>
    <s v="SF"/>
    <s v="PP/PE Fabric"/>
    <s v="PP UL Fabric"/>
    <s v="PP WOVEN FABRIC (FG)"/>
    <s v="PP UL Fabric With UV"/>
    <n v="5385"/>
    <n v="548683.04"/>
  </r>
  <r>
    <x v="2"/>
    <s v="Plastene India Limited "/>
    <d v="2023-06-30T00:00:00"/>
    <s v="Plastene India ltd - Unit 6-Sales"/>
    <s v="Branch Transfer Out"/>
    <s v="PIL1/DC/289"/>
    <x v="1"/>
    <s v="PIL1/DC/289"/>
    <d v="2023-06-30T00:00:00"/>
    <s v="Stores/Spares"/>
    <s v="MS Structure Items"/>
    <s v="Spares &amp; Stores"/>
    <s v="Stores &amp; Consumables"/>
    <s v="MS Pipe 4  C Class"/>
    <n v="320"/>
    <n v="15360"/>
  </r>
  <r>
    <x v="0"/>
    <s v="Plastene India Limited (Unit -II)"/>
    <d v="2023-04-02T00:00:00"/>
    <s v="Plastene India ltd - Unit 6-Sales"/>
    <s v="Branch Transfer Out"/>
    <s v="PIL2/DC/1"/>
    <x v="0"/>
    <s v="PIL2/DC/1"/>
    <d v="2023-04-02T00:00:00"/>
    <s v="FG"/>
    <s v="FIBC Bags"/>
    <s v="FIBC Bags"/>
    <s v="PP WOVEN BIG BAGS / SACKS"/>
    <s v="FIBC Bags With UV Without Liner"/>
    <n v="8372"/>
    <n v="1584066.12"/>
  </r>
  <r>
    <x v="0"/>
    <s v="Plastene India Limited (Unit -II)"/>
    <d v="2023-04-02T00:00:00"/>
    <s v="Plastene India ltd - Unit 6-Sales"/>
    <s v="Branch Transfer Out"/>
    <s v="PIL2/DC/2"/>
    <x v="0"/>
    <s v="PIL2/DC/2"/>
    <d v="2023-04-02T00:00:00"/>
    <s v="FG"/>
    <s v="FIBC Bags"/>
    <s v="FIBC Bags"/>
    <s v="PP WOVEN BIG BAGS / SACKS"/>
    <s v="FIBC Bags With UV Without Liner"/>
    <n v="1045"/>
    <n v="197724.45"/>
  </r>
  <r>
    <x v="0"/>
    <s v="Plastene India Limited (Unit -II)"/>
    <d v="2023-04-06T00:00:00"/>
    <s v="Plastene India ltd - Unit 1-Sales"/>
    <s v="Branch Transfer Out"/>
    <s v="PIL2/DC/3"/>
    <x v="0"/>
    <s v="PIL2/DC/3"/>
    <d v="2023-04-06T00:00:00"/>
    <s v="SF"/>
    <s v="Yarn All"/>
    <s v="PP Yarn"/>
    <s v="PP Filament Yarn"/>
    <s v="Crimp Yarn"/>
    <n v="566.1"/>
    <n v="76893.36"/>
  </r>
  <r>
    <x v="0"/>
    <s v="Plastene India Limited (Unit -II)"/>
    <d v="2023-04-14T00:00:00"/>
    <s v="Plastene India ltd - Unit 1-Sales"/>
    <s v="Branch Transfer Out"/>
    <s v="PIL2/DC/5"/>
    <x v="0"/>
    <s v="PIL2/DC/5"/>
    <d v="2023-04-14T00:00:00"/>
    <s v="RM"/>
    <s v="Granules"/>
    <s v="UV MB"/>
    <s v="Master Batch"/>
    <s v="UV PIL NFG 20LD"/>
    <n v="4000"/>
    <n v="728000"/>
  </r>
  <r>
    <x v="0"/>
    <s v="Plastene India Limited (Unit -II)"/>
    <d v="2023-04-14T00:00:00"/>
    <s v="Plastene India ltd - Unit 6-Sales"/>
    <s v="Branch Transfer Out"/>
    <s v="PIL2/DC/4"/>
    <x v="0"/>
    <s v="PIL2/DC/4"/>
    <d v="2023-04-14T00:00:00"/>
    <s v="FG"/>
    <s v="FIBC Bags"/>
    <s v="FIBC Bags"/>
    <s v="PP WOVEN BIG BAGS / SACKS"/>
    <s v="FIBC Bags With UV Without Liner"/>
    <n v="789"/>
    <n v="159314.88"/>
  </r>
  <r>
    <x v="0"/>
    <s v="Plastene India Limited (Unit -II)"/>
    <d v="2023-04-20T00:00:00"/>
    <s v="Plastene India ltd - Unit 1-Sales"/>
    <s v="Branch Transfer Out"/>
    <s v="PIL2/DC/6"/>
    <x v="0"/>
    <s v="PIL2/DC/6"/>
    <d v="2023-04-20T00:00:00"/>
    <s v="RM"/>
    <s v="Granules"/>
    <s v="PP Granules"/>
    <s v="Pp Granuales"/>
    <s v="PP OPAL MH13"/>
    <n v="14000"/>
    <n v="1330560"/>
  </r>
  <r>
    <x v="0"/>
    <s v="Plastene India Limited (Unit -II)"/>
    <d v="2023-04-21T00:00:00"/>
    <s v="Plastene India ltd - Unit 1-Sales"/>
    <s v="Branch Transfer Out"/>
    <s v="PIL2/DC/7"/>
    <x v="0"/>
    <s v="PIL2/DC/7"/>
    <d v="2023-04-21T00:00:00"/>
    <s v="SF"/>
    <s v="Yarn All"/>
    <s v="PP Yarn"/>
    <s v="FILLER CORD"/>
    <s v="Filler Cord"/>
    <n v="767.6"/>
    <n v="104347.54"/>
  </r>
  <r>
    <x v="0"/>
    <s v="Plastene India Limited (Unit -II)"/>
    <d v="2023-04-21T00:00:00"/>
    <s v="Plastene India ltd - Unit 1-Sales"/>
    <s v="Branch Transfer Out"/>
    <s v="PIL2/DC/8"/>
    <x v="0"/>
    <s v="PIL2/DC/8"/>
    <d v="2023-04-21T00:00:00"/>
    <s v="SF"/>
    <s v="Yarn All"/>
    <s v="PP Yarn"/>
    <s v="FILLER CORD"/>
    <s v="Filler Cord"/>
    <n v="4743.1099999999997"/>
    <n v="644778.37"/>
  </r>
  <r>
    <x v="0"/>
    <s v="Plastene India Limited (Unit -II)"/>
    <d v="2023-04-24T00:00:00"/>
    <s v="Plastene India ltd - Unit 1-Sales"/>
    <s v="Branch Transfer Out"/>
    <s v="PIL2/DC/9"/>
    <x v="0"/>
    <s v="PIL2/DC/9"/>
    <d v="2023-04-24T00:00:00"/>
    <s v="Consumables"/>
    <s v="Consumables-Tape Plant"/>
    <s v="Other Purchase"/>
    <s v="Consumble Stores"/>
    <s v="Blade Supermax"/>
    <n v="7000"/>
    <n v="11900"/>
  </r>
  <r>
    <x v="0"/>
    <s v="Plastene India Limited (Unit -II)"/>
    <d v="2023-04-27T00:00:00"/>
    <s v="Plastene India ltd - Unit 6-Sales"/>
    <s v="Branch Transfer Out"/>
    <s v="PIL2/DC/10"/>
    <x v="0"/>
    <s v="PIL2/DC/10"/>
    <d v="2023-04-27T00:00:00"/>
    <s v="FG"/>
    <s v="FIBC Bags"/>
    <s v="FIBC Bags"/>
    <s v="PP WOVEN BAG &amp; SACK"/>
    <s v="FIBC Bags With UV With Liner"/>
    <n v="1939"/>
    <n v="289880.5"/>
  </r>
  <r>
    <x v="0"/>
    <s v="Plastene India Limited (Unit -II)"/>
    <d v="2023-04-28T00:00:00"/>
    <s v="Plastene India ltd - Unit 1-Sales"/>
    <s v="Branch Transfer Out"/>
    <s v="PIL2/DC/11"/>
    <x v="0"/>
    <s v="PIL2/DC/11"/>
    <d v="2023-04-28T00:00:00"/>
    <s v="RM"/>
    <s v="Granules"/>
    <s v="PP Granules"/>
    <s v="Pp Granuales"/>
    <s v="PP RIL AM120N"/>
    <n v="10000"/>
    <n v="993530"/>
  </r>
  <r>
    <x v="0"/>
    <s v="Plastene India Limited (Unit -II)"/>
    <d v="2023-04-28T00:00:00"/>
    <s v="Plastene India ltd - Unit 1-Sales"/>
    <s v="Branch Transfer Out"/>
    <s v="PIL2/DC/11"/>
    <x v="0"/>
    <s v="PIL2/DC/11"/>
    <d v="2023-04-28T00:00:00"/>
    <s v="FG"/>
    <s v="FIBC WIP"/>
    <s v="FIBC WIP"/>
    <s v="LLDPE BAGS (LINER)"/>
    <s v="FIBC WIP"/>
    <n v="544"/>
    <n v="82576.479999999996"/>
  </r>
  <r>
    <x v="0"/>
    <s v="Plastene India Limited (Unit -II)"/>
    <d v="2023-04-29T00:00:00"/>
    <s v="Plastene India ltd - Unit 6-Sales"/>
    <s v="Branch Transfer Out"/>
    <s v="PIL2/DC/12"/>
    <x v="0"/>
    <s v="PIL2/DC/12"/>
    <d v="2023-04-29T00:00:00"/>
    <s v="FG"/>
    <s v="FIBC Bags"/>
    <s v="FIBC Bags"/>
    <s v="PP WOVEN BAG &amp; SACK"/>
    <s v="FIBC Bags With UV With Liner"/>
    <n v="383"/>
    <n v="59973.97"/>
  </r>
  <r>
    <x v="0"/>
    <s v="Plastene India Limited (Unit -II)"/>
    <d v="2023-04-29T00:00:00"/>
    <s v="Plastene India ltd - Unit 6-Sales"/>
    <s v="Branch Transfer Out"/>
    <s v="PIL2/DC/12"/>
    <x v="0"/>
    <s v="PIL2/DC/12"/>
    <d v="2023-04-29T00:00:00"/>
    <s v="FG"/>
    <s v="FIBC Bags"/>
    <s v="FIBC Bags"/>
    <s v="PP WOVEN BAG &amp; SACK"/>
    <s v="FIBC Bags With UV With Liner"/>
    <n v="1919"/>
    <n v="285067.45"/>
  </r>
  <r>
    <x v="0"/>
    <s v="Plastene India Limited (Unit -II)"/>
    <d v="2023-04-29T00:00:00"/>
    <s v="Plastene India ltd - Unit 6-Sales"/>
    <s v="Branch Transfer Out"/>
    <s v="PIL2/DC/12"/>
    <x v="0"/>
    <s v="PIL2/DC/12"/>
    <d v="2023-04-29T00:00:00"/>
    <s v="FG"/>
    <s v="FIBC Bags"/>
    <s v="FIBC Bags"/>
    <s v="PP WOVEN BAG &amp; SACK"/>
    <s v="FIBC Bags With UV With Liner"/>
    <n v="1935"/>
    <n v="289282.5"/>
  </r>
  <r>
    <x v="1"/>
    <s v="Plastene India Limited (Unit -II)"/>
    <d v="2023-05-05T00:00:00"/>
    <s v="Plastene India ltd - Unit 1-Sales"/>
    <s v="Branch Transfer Out"/>
    <s v="PIL2/DC/14"/>
    <x v="0"/>
    <s v="PIL2/DC/14"/>
    <d v="2023-05-05T00:00:00"/>
    <s v="FG"/>
    <s v="FIBC Bags"/>
    <s v="FIBC Bags"/>
    <s v="PP WOVEN BIG BAGS / SACKS"/>
    <s v="FIBC Bags With UV Without Liner"/>
    <n v="2097"/>
    <n v="241000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416"/>
    <n v="67292.160000000003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382"/>
    <n v="72847.399999999994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384"/>
    <n v="72860.160000000003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392"/>
    <n v="74581.919999999998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745"/>
    <n v="157418.5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1297"/>
    <n v="225898.49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IG BAGS / SACKS"/>
    <s v="FIBC Bags With UV Without Liner"/>
    <n v="389"/>
    <n v="72315.100000000006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IG BAGS / SACKS"/>
    <s v="FIBC Bags With UV Without Liner"/>
    <n v="6487"/>
    <n v="1065619.49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IG BAGS / SACKS"/>
    <s v="FIBC Bags With UV Without Liner"/>
    <n v="6865"/>
    <n v="1133342.8500000001"/>
  </r>
  <r>
    <x v="1"/>
    <s v="Plastene India Limited (Unit -II)"/>
    <d v="2023-05-12T00:00:00"/>
    <s v="Plastene India ltd - Unit 1-Sales"/>
    <s v="Branch Transfer Out"/>
    <s v="PIL2/DC/15"/>
    <x v="0"/>
    <s v="PIL2/DC/15"/>
    <d v="2023-05-12T00:00:00"/>
    <s v="SF"/>
    <s v="PP/PE Fabric"/>
    <s v="PP UL Fabric"/>
    <s v="PP Woven Fabrics(FG)"/>
    <s v="PP UL Fabric Without UV"/>
    <n v="5523.5"/>
    <n v="646470.43999999994"/>
  </r>
  <r>
    <x v="1"/>
    <s v="Plastene India Limited (Unit -II)"/>
    <d v="2023-05-16T00:00:00"/>
    <s v="Plastene India ltd - Unit 1-Sales"/>
    <s v="Branch Transfer Out"/>
    <s v="PIL2/DC/16"/>
    <x v="0"/>
    <s v="PIL2/DC/16"/>
    <d v="2023-05-16T00:00:00"/>
    <s v="RM"/>
    <s v="Granules"/>
    <s v="Filler"/>
    <s v="Filler"/>
    <s v="Filler PIL P20L"/>
    <n v="1000"/>
    <n v="30500"/>
  </r>
  <r>
    <x v="1"/>
    <s v="Plastene India Limited (Unit -II)"/>
    <d v="2023-05-16T00:00:00"/>
    <s v="Plastene India ltd - Unit 1-Sales"/>
    <s v="Branch Transfer Out"/>
    <s v="PIL2/DC/16"/>
    <x v="0"/>
    <s v="PIL2/DC/16"/>
    <d v="2023-05-16T00:00:00"/>
    <s v="SF"/>
    <s v="PP/PE Fabric"/>
    <s v="PP UL Fabric"/>
    <s v="PP Woven Fabrics(FG)"/>
    <s v="PP UL Fabric Without UV"/>
    <n v="3056.3"/>
    <n v="357709.35"/>
  </r>
  <r>
    <x v="1"/>
    <s v="Plastene India Limited (Unit -II)"/>
    <d v="2023-05-16T00:00:00"/>
    <s v="Plastene India ltd - Unit 1-Sales"/>
    <s v="Branch Transfer Out"/>
    <s v="PIL2/DC/17"/>
    <x v="0"/>
    <s v="PIL2/DC/17"/>
    <d v="2023-05-16T00:00:00"/>
    <s v="Stores/Spares"/>
    <s v="MS Structure Items"/>
    <s v="Other Purchase"/>
    <s v="Consumble Stores"/>
    <s v="MS Pipe"/>
    <n v="23.7"/>
    <n v="1137.5999999999999"/>
  </r>
  <r>
    <x v="1"/>
    <s v="Plastene India Limited (Unit -II)"/>
    <d v="2023-05-19T00:00:00"/>
    <s v="Plastene India ltd - Unit 1-Sales"/>
    <s v="Branch Transfer Out"/>
    <s v="PIL2/DC/18"/>
    <x v="0"/>
    <s v="PIL2/DC/18"/>
    <d v="2023-05-19T00:00:00"/>
    <s v="RM"/>
    <s v="Granules"/>
    <s v="PP Granules"/>
    <s v="Pp Granuales"/>
    <s v="PP RIL AM120N"/>
    <n v="15000"/>
    <n v="1425600"/>
  </r>
  <r>
    <x v="1"/>
    <s v="Plastene India Limited (Unit -II)"/>
    <d v="2023-05-20T00:00:00"/>
    <s v="Plastene India ltd - Unit 1-Sales"/>
    <s v="Branch Transfer Out"/>
    <s v="PIL2/DC/19"/>
    <x v="0"/>
    <s v="PIL2/DC/19"/>
    <d v="2023-05-20T00:00:00"/>
    <s v="SF"/>
    <s v="PP/PE Fabric"/>
    <s v="PP UL Fabric"/>
    <s v="PP Woven Fabrics(FG)"/>
    <s v="PP UL Fabric Without UV"/>
    <n v="1489.5"/>
    <n v="174331.08"/>
  </r>
  <r>
    <x v="1"/>
    <s v="Plastene India Limited (Unit -II)"/>
    <d v="2023-05-20T00:00:00"/>
    <s v="Plastene India ltd - Unit 1-Sales"/>
    <s v="Branch Transfer Out"/>
    <s v="PIL2/DC/20"/>
    <x v="0"/>
    <s v="PIL2/DC/20"/>
    <d v="2023-05-20T00:00:00"/>
    <s v="Stores/Spares"/>
    <s v="MS Structure Items"/>
    <s v="Other Purchase"/>
    <s v="Consumble Stores"/>
    <s v="MS Pipe"/>
    <n v="7"/>
    <n v="336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400"/>
    <n v="74964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401"/>
    <n v="75552.41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847"/>
    <n v="155949.64000000001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1177"/>
    <n v="226596.04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1190"/>
    <n v="224065.1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1567"/>
    <n v="296445.06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83"/>
    <n v="227751.16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90"/>
    <n v="225124.2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204"/>
    <n v="226845.64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792"/>
    <n v="146900.16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803"/>
    <n v="164663.18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857"/>
    <n v="157790.84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83"/>
    <n v="222747.07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93"/>
    <n v="223580.13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97"/>
    <n v="224329.77"/>
  </r>
  <r>
    <x v="1"/>
    <s v="Plastene India Limited (Unit -II)"/>
    <d v="2023-05-25T00:00:00"/>
    <s v="Plastene India ltd - Unit 1-Sales"/>
    <s v="Branch Transfer Out"/>
    <s v="PIL2/DC/23"/>
    <x v="0"/>
    <s v="PIL2/DC/23"/>
    <d v="2023-05-25T00:00:00"/>
    <s v="SF"/>
    <s v="PP/PE Fabric"/>
    <s v="PP UL Fabric"/>
    <s v="PP Woven Fabrics(FG)"/>
    <s v="PP UL Fabric Without UV"/>
    <n v="1581"/>
    <n v="185040.24"/>
  </r>
  <r>
    <x v="1"/>
    <s v="Plastene India Limited (Unit -II)"/>
    <d v="2023-05-25T00:00:00"/>
    <s v="Plastene India ltd - Unit 1-Sales"/>
    <s v="Branch Transfer Out"/>
    <s v="PIL2/DC/23"/>
    <x v="0"/>
    <s v="PIL2/DC/23"/>
    <d v="2023-05-25T00:00:00"/>
    <s v="RM"/>
    <s v="Granules"/>
    <s v="Masterbatch"/>
    <s v="Master Batch"/>
    <s v="MB Alok Red AM6716 Pantone Pink 226C"/>
    <n v="48"/>
    <n v="22824"/>
  </r>
  <r>
    <x v="1"/>
    <s v="Plastene India Limited (Unit -II)"/>
    <d v="2023-05-25T00:00:00"/>
    <s v="Plastene India ltd - Unit 1-Sales"/>
    <s v="Branch Transfer Out"/>
    <s v="PIL2/DC/25"/>
    <x v="0"/>
    <s v="PIL2/DC/25"/>
    <d v="2023-05-25T00:00:00"/>
    <s v="Stores/Spares"/>
    <s v="MS Structure Items"/>
    <s v="Other Purchase"/>
    <s v="Consumble Stores"/>
    <s v="MS Pipe"/>
    <n v="15"/>
    <n v="720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AG &amp; SACK"/>
    <s v="FIBC Bags With UV With Liner"/>
    <n v="4758"/>
    <n v="757235.7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402"/>
    <n v="75740.820000000007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1143"/>
    <n v="196767.45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1152"/>
    <n v="197441.28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398"/>
    <n v="74589.179999999993"/>
  </r>
  <r>
    <x v="1"/>
    <s v="Plastene India Limited (Unit -II)"/>
    <d v="2023-05-27T00:00:00"/>
    <s v="Plastene India ltd - Unit 1-Sales"/>
    <s v="Branch Transfer Out"/>
    <s v="PIL2/DC/26"/>
    <x v="0"/>
    <s v="PIL2/DC/26"/>
    <d v="2023-05-27T00:00:00"/>
    <s v="RM"/>
    <s v="Granules"/>
    <s v="Filler"/>
    <s v="Filler"/>
    <s v="Filler PIL P20L"/>
    <n v="1100"/>
    <n v="34760"/>
  </r>
  <r>
    <x v="1"/>
    <s v="Plastene India Limited (Unit -II)"/>
    <d v="2023-05-27T00:00:00"/>
    <s v="Plastene India ltd - Unit 1-Sales"/>
    <s v="Branch Transfer Out"/>
    <s v="PIL2/DC/26"/>
    <x v="0"/>
    <s v="PIL2/DC/26"/>
    <d v="2023-05-27T00:00:00"/>
    <s v="RM"/>
    <s v="Granules"/>
    <s v="Filler"/>
    <s v="Filler"/>
    <s v="Filler PIL P20L"/>
    <n v="5000"/>
    <n v="152500"/>
  </r>
  <r>
    <x v="1"/>
    <s v="Plastene India Limited (Unit -II)"/>
    <d v="2023-05-27T00:00:00"/>
    <s v="Plastene India ltd - Unit 6-Sales"/>
    <s v="Branch Transfer Out"/>
    <s v="PIL2/DC/27"/>
    <x v="0"/>
    <s v="PIL2/DC/27"/>
    <d v="2023-05-27T00:00:00"/>
    <s v="FG"/>
    <s v="FIBC Bags"/>
    <s v="FIBC Bags"/>
    <s v="PP WOVEN BIG BAGS / SACKS"/>
    <s v="FIBC Bags With UV Without Liner"/>
    <n v="389"/>
    <n v="72151.72"/>
  </r>
  <r>
    <x v="1"/>
    <s v="Plastene India Limited (Unit -II)"/>
    <d v="2023-05-27T00:00:00"/>
    <s v="Plastene India ltd - Unit 6-Sales"/>
    <s v="Branch Transfer Out"/>
    <s v="PIL2/DC/27"/>
    <x v="0"/>
    <s v="PIL2/DC/27"/>
    <d v="2023-05-27T00:00:00"/>
    <s v="FG"/>
    <s v="FIBC Bags"/>
    <s v="FIBC Bags"/>
    <s v="PP WOVEN BIG BAGS / SACKS"/>
    <s v="FIBC Bags With UV Without Liner"/>
    <n v="1209"/>
    <n v="227787.69"/>
  </r>
  <r>
    <x v="1"/>
    <s v="Plastene India Limited (Unit -II)"/>
    <d v="2023-05-28T00:00:00"/>
    <s v="Plastene India ltd - Unit 1-Sales"/>
    <s v="Branch Transfer Out"/>
    <s v="PIL2/DC/28"/>
    <x v="0"/>
    <s v="PIL2/DC/28"/>
    <d v="2023-05-28T00:00:00"/>
    <s v="RM"/>
    <s v="Granules"/>
    <s v="Filler"/>
    <s v="Filler"/>
    <s v="Filler PIL P20L"/>
    <n v="4000"/>
    <n v="122000"/>
  </r>
  <r>
    <x v="1"/>
    <s v="Plastene India Limited (Unit -II)"/>
    <d v="2023-05-30T00:00:00"/>
    <s v="Plastene India ltd - Unit 1-Sales"/>
    <s v="Branch Transfer Out"/>
    <s v="PIL2/DC/29"/>
    <x v="0"/>
    <s v="PIL2/DC/29"/>
    <d v="2023-05-30T00:00:00"/>
    <s v="SF"/>
    <s v="Yarn All"/>
    <s v="PP Yarn"/>
    <s v="FILLER CORD"/>
    <s v="Filler Cord"/>
    <n v="2147.7600000000002"/>
    <n v="291408.08"/>
  </r>
  <r>
    <x v="1"/>
    <s v="Plastene India Limited (Unit -II)"/>
    <d v="2023-05-30T00:00:00"/>
    <s v="Plastene India ltd - Unit 1-Sales"/>
    <s v="Branch Transfer Out"/>
    <s v="PIL2/DC/30"/>
    <x v="0"/>
    <s v="PIL2/DC/30"/>
    <d v="2023-05-30T00:00:00"/>
    <s v="SF"/>
    <s v="Yarn All"/>
    <s v="PP Yarn"/>
    <s v="PP Filament Yarn"/>
    <s v="Crimp Yarn"/>
    <n v="3506.68"/>
    <n v="465967.64"/>
  </r>
  <r>
    <x v="1"/>
    <s v="Plastene India Limited (Unit -II)"/>
    <d v="2023-05-30T00:00:00"/>
    <s v="Plastene India ltd - Unit 1-Sales"/>
    <s v="Branch Transfer Out"/>
    <s v="PIL2/DC/30"/>
    <x v="0"/>
    <s v="PIL2/DC/30"/>
    <d v="2023-05-30T00:00:00"/>
    <s v="SF"/>
    <s v="Yarn All"/>
    <s v="PP Yarn"/>
    <s v="FILLER CORD"/>
    <s v="Filler Cord"/>
    <n v="740.33"/>
    <n v="100447.97"/>
  </r>
  <r>
    <x v="1"/>
    <s v="Plastene India Limited (Unit -II)"/>
    <d v="2023-05-31T00:00:00"/>
    <s v="Plastene India ltd - Unit 6-Sales"/>
    <s v="Branch Transfer Out"/>
    <s v="PIL2/DC/31"/>
    <x v="0"/>
    <s v="PIL2/DC/31"/>
    <d v="2023-05-31T00:00:00"/>
    <s v="FG"/>
    <s v="FIBC Bags"/>
    <s v="FIBC Bags"/>
    <s v="PP WOVEN BIG BAGS / SACKS"/>
    <s v="FIBC Bags With UV Without Liner"/>
    <n v="398"/>
    <n v="75293.64"/>
  </r>
  <r>
    <x v="1"/>
    <s v="Plastene India Limited (Unit -II)"/>
    <d v="2023-05-31T00:00:00"/>
    <s v="Plastene India ltd - Unit 6-Sales"/>
    <s v="Branch Transfer Out"/>
    <s v="PIL2/DC/31"/>
    <x v="0"/>
    <s v="PIL2/DC/31"/>
    <d v="2023-05-31T00:00:00"/>
    <s v="FG"/>
    <s v="FIBC Bags"/>
    <s v="FIBC Bags"/>
    <s v="PP WOVEN BIG BAGS / SACKS"/>
    <s v="FIBC Bags With UV Without Liner"/>
    <n v="422"/>
    <n v="78272.56"/>
  </r>
  <r>
    <x v="1"/>
    <s v="Plastene India Limited (Unit -II)"/>
    <d v="2023-05-31T00:00:00"/>
    <s v="Plastene India ltd - Unit 6-Sales"/>
    <s v="Branch Transfer Out"/>
    <s v="PIL2/DC/31"/>
    <x v="0"/>
    <s v="PIL2/DC/31"/>
    <d v="2023-05-31T00:00:00"/>
    <s v="FG"/>
    <s v="FIBC Bags"/>
    <s v="FIBC Bags"/>
    <s v="PP WOVEN BAG &amp; SACK"/>
    <s v="FIBC Bags With UV With Liner"/>
    <n v="3208"/>
    <n v="509013.36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6280"/>
    <n v="1038398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774"/>
    <n v="129451.5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2120"/>
    <n v="369304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4394"/>
    <n v="761216.56"/>
  </r>
  <r>
    <x v="2"/>
    <s v="Plastene India Limited (Unit -II)"/>
    <d v="2023-06-01T00:00:00"/>
    <s v="Plastene India ltd - Unit 1-Sales"/>
    <s v="Branch Transfer Out"/>
    <s v="PIL2/DC/33"/>
    <x v="0"/>
    <s v="PIL2/DC/33"/>
    <d v="2023-06-01T00:00:00"/>
    <s v="RM"/>
    <s v="Granules"/>
    <s v="HDPE Granules"/>
    <s v="HDPE Granuels"/>
    <s v="HDPE IOCL 010E52"/>
    <n v="10000"/>
    <n v="1081370"/>
  </r>
  <r>
    <x v="2"/>
    <s v="Plastene India Limited (Unit -II)"/>
    <d v="2023-06-06T00:00:00"/>
    <s v="Plastene India ltd - Unit 1-Sales"/>
    <s v="Branch Transfer Out"/>
    <s v="PIL2/DC/34"/>
    <x v="0"/>
    <s v="PIL2/DC/34"/>
    <d v="2023-06-06T00:00:00"/>
    <s v="RM"/>
    <s v="Granules"/>
    <s v="LLDPE Granules"/>
    <s v="LLDPE GRANULES"/>
    <s v="LLDPE RIL F19010"/>
    <n v="6000"/>
    <n v="576480"/>
  </r>
  <r>
    <x v="2"/>
    <s v="Plastene India Limited (Unit -II)"/>
    <d v="2023-06-07T00:00:00"/>
    <s v="Plastene India ltd - Unit 1-Sales"/>
    <s v="Branch Transfer Out"/>
    <s v="PIL2/DC/35"/>
    <x v="0"/>
    <s v="PIL2/DC/35"/>
    <d v="2023-06-07T00:00:00"/>
    <s v="RM"/>
    <s v="Granules"/>
    <s v="LLDPE Granules"/>
    <s v="LLDPE GRANULES"/>
    <s v="LLDPE RIL F19010"/>
    <n v="4500"/>
    <n v="432360"/>
  </r>
  <r>
    <x v="2"/>
    <s v="Plastene India Limited (Unit -II)"/>
    <d v="2023-06-22T00:00:00"/>
    <s v="Plastene India ltd - Unit 1-Sales"/>
    <s v="Branch Transfer Out"/>
    <s v="PIL2/DC/36"/>
    <x v="0"/>
    <s v="PIL2/DC/36"/>
    <d v="2023-06-22T00:00:00"/>
    <s v="RM"/>
    <s v="Granules"/>
    <s v="UV MB"/>
    <s v="Master Batch"/>
    <s v="UV PIL NFG 20LD"/>
    <n v="5000"/>
    <n v="910000"/>
  </r>
  <r>
    <x v="2"/>
    <s v="Plastene India Limited (Unit -II)"/>
    <d v="2023-06-22T00:00:00"/>
    <s v="Plastene India ltd - Unit 1-Sales"/>
    <s v="Branch Transfer Out"/>
    <s v="PIL2/DC/37"/>
    <x v="0"/>
    <s v="PIL2/DC/37"/>
    <d v="2023-06-22T00:00:00"/>
    <s v="SF"/>
    <s v="PP/PE Fabric"/>
    <s v="PP UL Fabric"/>
    <s v="PP Woven Fabrics(FG)"/>
    <s v="PP UL Fabric With UV"/>
    <n v="17230"/>
    <n v="1846022.2"/>
  </r>
  <r>
    <x v="2"/>
    <s v="Plastene India Limited (Unit -II)"/>
    <d v="2023-06-22T00:00:00"/>
    <s v="Plastene India ltd - Unit 1-Sales"/>
    <s v="Branch Transfer Out"/>
    <s v="PIL2/DC/37"/>
    <x v="0"/>
    <s v="PIL2/DC/37"/>
    <d v="2023-06-22T00:00:00"/>
    <s v="SF"/>
    <s v="PP/PE Fabric"/>
    <s v="PP UL Fabric"/>
    <s v="PP Woven Fabrics(FG)"/>
    <s v="PP UL Fabric Without UV"/>
    <n v="1572.5"/>
    <n v="168477.65"/>
  </r>
  <r>
    <x v="2"/>
    <s v="Plastene India Limited (Unit -II)"/>
    <d v="2023-06-23T00:00:00"/>
    <s v="Plastene India ltd - Unit 1-Sales"/>
    <s v="Branch Transfer Out"/>
    <s v="PIL2/DC/38"/>
    <x v="0"/>
    <s v="PIL2/DC/38"/>
    <d v="2023-06-23T00:00:00"/>
    <s v="RM"/>
    <s v="Granules"/>
    <s v="HDPE Granules"/>
    <s v="HDPE Granuels"/>
    <s v="HDPE RIL F46003"/>
    <n v="2000"/>
    <n v="206680"/>
  </r>
  <r>
    <x v="2"/>
    <s v="Plastene India Limited (Unit -II)"/>
    <d v="2023-06-24T00:00:00"/>
    <s v="Plastene India ltd - Unit 1-Sales"/>
    <s v="Branch Transfer Out"/>
    <s v="PIL2/DC/39"/>
    <x v="0"/>
    <s v="PIL2/DC/39"/>
    <d v="2023-06-24T00:00:00"/>
    <s v="SF"/>
    <s v="PP/PE Fabric"/>
    <s v="PP UL Fabric"/>
    <s v="PP Woven Fabrics(FG)"/>
    <s v="PP UL Fabric With UV"/>
    <n v="3769"/>
    <n v="384023.41"/>
  </r>
  <r>
    <x v="2"/>
    <s v="Plastene India Limited (Unit -II)"/>
    <d v="2023-06-24T00:00:00"/>
    <s v="Plastene India ltd - Unit 1-Sales"/>
    <s v="Branch Transfer Out"/>
    <s v="PIL2/DC/40"/>
    <x v="0"/>
    <s v="PIL2/DC/40"/>
    <d v="2023-06-24T00:00:00"/>
    <s v="Stores/Spares"/>
    <s v="MS Structure Items"/>
    <s v="Other Purchase"/>
    <s v="Consumble Stores"/>
    <s v="MS Pipe"/>
    <n v="165"/>
    <n v="7920"/>
  </r>
  <r>
    <x v="2"/>
    <s v="Plastene India Limited (Unit -II)"/>
    <d v="2023-06-25T00:00:00"/>
    <s v="Plastene India ltd - Unit 1-Sales"/>
    <s v="Branch Transfer Out"/>
    <s v="PIL2/DC/41"/>
    <x v="0"/>
    <s v="PIL2/DC/41"/>
    <d v="2023-06-25T00:00:00"/>
    <s v="RM"/>
    <s v="Granules"/>
    <s v="Masterbatch"/>
    <s v="Master Batch"/>
    <s v="MB Karnavati Shiny Black Lamination"/>
    <n v="200"/>
    <n v="28000"/>
  </r>
  <r>
    <x v="2"/>
    <s v="Plastene India Limited (Unit -II)"/>
    <d v="2023-06-25T00:00:00"/>
    <s v="Plastene India ltd - Unit 1-Sales"/>
    <s v="Branch Transfer Out"/>
    <s v="PIL2/DC/41"/>
    <x v="0"/>
    <s v="PIL2/DC/41"/>
    <d v="2023-06-25T00:00:00"/>
    <s v="RM"/>
    <s v="Granules"/>
    <s v="Masterbatch"/>
    <s v="Master Batch"/>
    <s v="MB Karnavati Shiny Black"/>
    <n v="100"/>
    <n v="13362"/>
  </r>
  <r>
    <x v="2"/>
    <s v="Plastene India Limited (Unit -II)"/>
    <d v="2023-06-25T00:00:00"/>
    <s v="Plastene India ltd - Unit 1-Sales"/>
    <s v="Branch Transfer Out"/>
    <s v="PIL2/DC/42"/>
    <x v="0"/>
    <s v="PIL2/DC/42"/>
    <d v="2023-06-25T00:00:00"/>
    <s v="RM"/>
    <s v="Granules"/>
    <s v="Masterbatch"/>
    <s v="Master Batch"/>
    <s v="MB Karnavati Shiny Black"/>
    <n v="1000"/>
    <n v="133620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2676"/>
    <n v="444831.48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4554"/>
    <n v="750863.52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5696.3"/>
    <n v="936016.02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7396"/>
    <n v="1201036.44"/>
  </r>
  <r>
    <x v="2"/>
    <s v="Plastene India Limited (Unit -II)"/>
    <d v="2023-06-30T00:00:00"/>
    <s v="Plastene India ltd - Unit 1-Sales"/>
    <s v="Branch Transfer Out"/>
    <s v="PIL2/DC/44"/>
    <x v="0"/>
    <s v="PIL2/DC/44"/>
    <d v="2023-06-30T00:00:00"/>
    <s v="SF"/>
    <s v="PP/PE Fabric"/>
    <s v="PP UL Fabric"/>
    <s v="PP Woven Fabrics(FG)"/>
    <s v="PP UL Fabric With UV"/>
    <n v="15667.3"/>
    <n v="1596341.2"/>
  </r>
  <r>
    <x v="2"/>
    <s v="Plastene India Limited (Unit -II)"/>
    <d v="2023-06-30T00:00:00"/>
    <s v="Plastene India ltd - Unit 1-Sales"/>
    <s v="Branch Transfer Out"/>
    <s v="PIL2/DC/44"/>
    <x v="0"/>
    <s v="PIL2/DC/44"/>
    <d v="2023-06-30T00:00:00"/>
    <s v="SF"/>
    <s v="PP/PE Fabric"/>
    <s v="PP Lam Fabric"/>
    <s v="PP Laminated Fabric"/>
    <s v="PP Lam Fabric With UV"/>
    <n v="4747"/>
    <n v="493165.83"/>
  </r>
  <r>
    <x v="2"/>
    <s v="Plastene India Limited (Unit -II)"/>
    <d v="2023-06-30T00:00:00"/>
    <s v="Plastene India ltd - Unit 1-Sales"/>
    <s v="Branch Transfer Out"/>
    <s v="PIL2/DC/44"/>
    <x v="0"/>
    <s v="PIL2/DC/44"/>
    <d v="2023-06-30T00:00:00"/>
    <s v="SF"/>
    <s v="Webbing"/>
    <s v="PP Webbing"/>
    <s v="PP WEBBING (FG)"/>
    <s v="Webbing"/>
    <n v="504.6"/>
    <n v="52422.89"/>
  </r>
  <r>
    <x v="0"/>
    <s v="Plastene India Limited (Unit-VI)"/>
    <d v="2023-04-02T00:00:00"/>
    <s v="Plastene India ltd - Unit 1-Sales"/>
    <s v="Branch Transfer Out"/>
    <s v="PIL6/DC/1"/>
    <x v="1"/>
    <s v="PIL6/DC/1"/>
    <d v="2023-04-02T00:00:00"/>
    <s v="Stores/Spares"/>
    <s v="MS Structure Items"/>
    <s v="Spares &amp; Stores"/>
    <s v="Stores &amp; Consumables"/>
    <s v="MS Pipe 4  C Class"/>
    <n v="599"/>
    <n v="28752"/>
  </r>
  <r>
    <x v="0"/>
    <s v="Plastene India Limited (Unit-VI)"/>
    <d v="2023-04-02T00:00:00"/>
    <s v="Plastene India ltd - Unit 1-Sales"/>
    <s v="Branch Transfer Out"/>
    <s v="PIL6/DC/2"/>
    <x v="0"/>
    <s v="PIL6/DC/2"/>
    <d v="2023-04-02T00:00:00"/>
    <s v="SF"/>
    <s v="Wastage/Scrap"/>
    <s v="Wastage/Scrap"/>
    <s v="HDPE/PP Plastik Waste"/>
    <s v="PP/HD Wastage/Scrap"/>
    <n v="3581"/>
    <n v="42972"/>
  </r>
  <r>
    <x v="0"/>
    <s v="Plastene India Limited (Unit-VI)"/>
    <d v="2023-04-04T00:00:00"/>
    <s v="Plastene India ltd - Unit 1-Sales"/>
    <s v="Branch Transfer Out"/>
    <s v="PIL6/DC/3"/>
    <x v="0"/>
    <s v="PIL6/DC/3"/>
    <d v="2023-04-04T00:00:00"/>
    <s v="SF"/>
    <s v="PP/PE Fabric"/>
    <s v="PP UL Fabric"/>
    <s v="PP Woven Fabric"/>
    <s v="PP UL Fabric With UV"/>
    <n v="5313"/>
    <n v="637783.15"/>
  </r>
  <r>
    <x v="0"/>
    <s v="Plastene India Limited (Unit-VI)"/>
    <d v="2023-04-04T00:00:00"/>
    <s v="Plastene India ltd - Unit 1-Sales"/>
    <s v="Branch Transfer Out"/>
    <s v="PIL6/DC/4"/>
    <x v="1"/>
    <s v="PIL6/DC/4"/>
    <d v="2023-04-04T00:00:00"/>
    <s v="Stores/Spares"/>
    <s v="MS Structure Items"/>
    <s v="Spares &amp; Stores"/>
    <s v="Stores &amp; Consumables"/>
    <s v="MS Pipe 4  C Class"/>
    <n v="683"/>
    <n v="32784"/>
  </r>
  <r>
    <x v="0"/>
    <s v="Plastene India Limited (Unit-VI)"/>
    <d v="2023-04-04T00:00:00"/>
    <s v="Plastene India ltd - Unit 1-Sales"/>
    <s v="Branch Transfer Out"/>
    <s v="PIL6/DC/5"/>
    <x v="0"/>
    <s v="PIL6/DC/5"/>
    <d v="2023-04-04T00:00:00"/>
    <s v="SF"/>
    <s v="Wastage/Scrap"/>
    <s v="Wastage/Scrap"/>
    <s v="HDPE/PP Plastik Waste"/>
    <s v="PP/HD Wastage/Scrap"/>
    <n v="1482"/>
    <n v="17784"/>
  </r>
  <r>
    <x v="0"/>
    <s v="Plastene India Limited (Unit-VI)"/>
    <d v="2023-04-07T00:00:00"/>
    <s v="Plastene India ltd - Unit 1-Sales"/>
    <s v="Branch Transfer Out"/>
    <s v="PIL6/DC/6"/>
    <x v="0"/>
    <s v="PIL6/DC/6"/>
    <d v="2023-04-07T00:00:00"/>
    <s v="SF"/>
    <s v="PP/PE Fabric"/>
    <s v="PP UL Fabric"/>
    <s v="PP Woven Fabric"/>
    <s v="PP UL Fabric With UV"/>
    <n v="3593"/>
    <n v="431310.91"/>
  </r>
  <r>
    <x v="0"/>
    <s v="Plastene India Limited (Unit-VI)"/>
    <d v="2023-04-08T00:00:00"/>
    <s v="Plastene India ltd - Unit 1-Sales"/>
    <s v="Branch Transfer Out"/>
    <s v="PIL6/DC/7"/>
    <x v="0"/>
    <s v="PIL6/DC/7"/>
    <d v="2023-04-08T00:00:00"/>
    <s v="SF"/>
    <s v="PP/PE Fabric"/>
    <s v="PP UL Fabric"/>
    <s v="PP Woven Fabric"/>
    <s v="PP UL Fabric With UV"/>
    <n v="217"/>
    <n v="24964.11"/>
  </r>
  <r>
    <x v="0"/>
    <s v="Plastene India Limited (Unit-VI)"/>
    <d v="2023-04-08T00:00:00"/>
    <s v="Plastene India ltd - Unit 1-Sales"/>
    <s v="Branch Transfer Out"/>
    <s v="PIL6/DC/8"/>
    <x v="1"/>
    <s v="PIL6/DC/8"/>
    <d v="2023-04-08T00:00:00"/>
    <s v="Stores/Spares"/>
    <s v="MS Structure Items"/>
    <s v="Spares &amp; Stores"/>
    <s v="Stores &amp; Consumables"/>
    <s v="MS Pipe 4  C Class"/>
    <n v="1128"/>
    <n v="54144"/>
  </r>
  <r>
    <x v="0"/>
    <s v="Plastene India Limited (Unit-VI)"/>
    <d v="2023-04-08T00:00:00"/>
    <s v="Plastene India ltd - Unit 1-Sales"/>
    <s v="Branch Transfer Out"/>
    <s v="PIL6/DC/9"/>
    <x v="0"/>
    <s v="PIL6/DC/9"/>
    <d v="2023-04-08T00:00:00"/>
    <s v="SF"/>
    <s v="Wastage/Scrap"/>
    <s v="Wastage/Scrap"/>
    <s v="HDPE/PP Plastik Waste"/>
    <s v="PP/HD Wastage/Scrap"/>
    <n v="3290"/>
    <n v="39480"/>
  </r>
  <r>
    <x v="0"/>
    <s v="Plastene India Limited (Unit-VI)"/>
    <d v="2023-04-10T00:00:00"/>
    <s v="Plastene India ltd - Unit 1-Sales"/>
    <s v="Branch Transfer Out"/>
    <s v="PIL6/DC/10"/>
    <x v="2"/>
    <s v="PIL6/DC/10"/>
    <d v="2023-04-10T00:00:00"/>
    <s v="FG"/>
    <s v="FIBC Bags"/>
    <s v="FIBC Bags"/>
    <s v="JUMBO BAG"/>
    <s v="FIBC Bags With UV With Liner"/>
    <n v="19065"/>
    <n v="3222938.25"/>
  </r>
  <r>
    <x v="0"/>
    <s v="Plastene India Limited (Unit-VI)"/>
    <d v="2023-04-10T00:00:00"/>
    <s v="Plastene India ltd - Unit 1-Sales"/>
    <s v="Branch Transfer Out"/>
    <s v="PIL6/DC/11"/>
    <x v="1"/>
    <s v="PIL6/DC/11"/>
    <d v="2023-04-10T00:00:00"/>
    <s v="Stores/Spares"/>
    <s v="MS Structure Items"/>
    <s v="Spares &amp; Stores"/>
    <s v="Stores &amp; Consumables"/>
    <s v="MS Pipe 4  C Class"/>
    <n v="851"/>
    <n v="40848"/>
  </r>
  <r>
    <x v="0"/>
    <s v="Plastene India Limited (Unit-VI)"/>
    <d v="2023-04-10T00:00:00"/>
    <s v="Plastene India ltd - Unit 1-Sales"/>
    <s v="Branch Transfer Out"/>
    <s v="PIL6/DC/12"/>
    <x v="0"/>
    <s v="PIL6/DC/12"/>
    <d v="2023-04-10T00:00:00"/>
    <s v="SF"/>
    <s v="Wastage/Scrap"/>
    <s v="Wastage/Scrap"/>
    <s v="HDPE/PP Plastik Waste"/>
    <s v="PP/HD Wastage/Scrap"/>
    <n v="1749"/>
    <n v="20988"/>
  </r>
  <r>
    <x v="0"/>
    <s v="Plastene India Limited (Unit-VI)"/>
    <d v="2023-04-11T00:00:00"/>
    <s v="Plastene India ltd - Unit 1-Sales"/>
    <s v="Branch Transfer Out"/>
    <s v="PIL6/DC/13"/>
    <x v="0"/>
    <s v="PIL6/DC/13"/>
    <d v="2023-04-11T00:00:00"/>
    <s v="SF"/>
    <s v="PP/PE Fabric"/>
    <s v="PP UL Fabric"/>
    <s v="PP Woven Fabric"/>
    <s v="PP UL Fabric With UV"/>
    <n v="463"/>
    <n v="55579.45"/>
  </r>
  <r>
    <x v="0"/>
    <s v="Plastene India Limited (Unit-VI)"/>
    <d v="2023-04-11T00:00:00"/>
    <s v="Plastene India ltd - Unit 2-Sales"/>
    <s v="Branch Transfer Out"/>
    <s v="PIL6/DC/14"/>
    <x v="0"/>
    <s v="PIL6/DC/14"/>
    <d v="2023-04-11T00:00:00"/>
    <s v="SF"/>
    <s v="PP/PE Fabric"/>
    <s v="PP Lam Fabric"/>
    <s v="PP Laminated Woven Fabric"/>
    <s v="PP Lam Fabric With UV"/>
    <n v="1469"/>
    <n v="180014.2"/>
  </r>
  <r>
    <x v="0"/>
    <s v="Plastene India Limited (Unit-VI)"/>
    <d v="2023-04-11T00:00:00"/>
    <s v="Plastene India ltd - Unit 2-Sales"/>
    <s v="Branch Transfer Out"/>
    <s v="PIL6/DC/14"/>
    <x v="0"/>
    <s v="PIL6/DC/14"/>
    <d v="2023-04-11T00:00:00"/>
    <s v="SF"/>
    <s v="PP/PE Fabric"/>
    <s v="PP Lam Fabric"/>
    <s v="PP Laminated Woven Fabric"/>
    <s v="PP Lam Fabric With UV"/>
    <n v="2032.6"/>
    <n v="237899.57"/>
  </r>
  <r>
    <x v="0"/>
    <s v="Plastene India Limited (Unit-VI)"/>
    <d v="2023-04-11T00:00:00"/>
    <s v="Plastene India ltd - Unit 2-Sales"/>
    <s v="Branch Transfer Out"/>
    <s v="PIL6/DC/14"/>
    <x v="0"/>
    <s v="PIL6/DC/14"/>
    <d v="2023-04-11T00:00:00"/>
    <s v="SF"/>
    <s v="PP/PE Fabric"/>
    <s v="PP UL Fabric"/>
    <s v="PP Woven Fabric"/>
    <s v="PP UL Fabric With UV"/>
    <n v="168"/>
    <n v="19327.060000000001"/>
  </r>
  <r>
    <x v="0"/>
    <s v="Plastene India Limited (Unit-VI)"/>
    <d v="2023-04-13T00:00:00"/>
    <s v="Plastene India ltd - Unit 1-Sales"/>
    <s v="Branch Transfer Out"/>
    <s v="PIL6/DC/15"/>
    <x v="0"/>
    <s v="PIL6/DC/15"/>
    <d v="2023-04-13T00:00:00"/>
    <s v="SF"/>
    <s v="PP/PE Fabric"/>
    <s v="PP UL Fabric"/>
    <s v="PP Woven Fabric"/>
    <s v="PP UL Fabric With UV"/>
    <n v="5576"/>
    <n v="669354.18999999994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 Liner"/>
    <n v="2918"/>
    <n v="505631.04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out Liner"/>
    <n v="4361.3999999999996"/>
    <n v="723774.33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out Liner"/>
    <n v="6996.6"/>
    <n v="1220766.77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out Liner"/>
    <n v="5664.5"/>
    <n v="931980.19"/>
  </r>
  <r>
    <x v="0"/>
    <s v="Plastene India Limited (Unit-VI)"/>
    <d v="2023-04-13T00:00:00"/>
    <s v="Plastene India ltd - Unit 1-Sales"/>
    <s v="Branch Transfer Out"/>
    <s v="PIL6/DC/17"/>
    <x v="1"/>
    <s v="PIL6/DC/17"/>
    <d v="2023-04-13T00:00:00"/>
    <s v="Stores/Spares"/>
    <s v="MS Structure Items"/>
    <s v="Spares &amp; Stores"/>
    <s v="Stores &amp; Consumables"/>
    <s v="MS Pipe 4  C Class"/>
    <n v="808"/>
    <n v="38784"/>
  </r>
  <r>
    <x v="0"/>
    <s v="Plastene India Limited (Unit-VI)"/>
    <d v="2023-04-13T00:00:00"/>
    <s v="Plastene India ltd - Unit 1-Sales"/>
    <s v="Branch Transfer Out"/>
    <s v="PIL6/DC/18"/>
    <x v="0"/>
    <s v="PIL6/DC/18"/>
    <d v="2023-04-13T00:00:00"/>
    <s v="SF"/>
    <s v="Wastage/Scrap"/>
    <s v="Wastage/Scrap"/>
    <s v="HDPE/PP Plastik Waste"/>
    <s v="PP/HD Wastage/Scrap"/>
    <n v="2844"/>
    <n v="34128"/>
  </r>
  <r>
    <x v="0"/>
    <s v="Plastene India Limited (Unit-VI)"/>
    <d v="2023-04-18T00:00:00"/>
    <s v="Plastene India ltd - Unit 1-Sales"/>
    <s v="Branch Transfer Out"/>
    <s v="PIL6/DC/19"/>
    <x v="1"/>
    <s v="PIL6/DC/19"/>
    <d v="2023-04-18T00:00:00"/>
    <s v="Stores/Spares"/>
    <s v="MS Structure Items"/>
    <s v="Spares &amp; Stores"/>
    <s v="Stores &amp; Consumables"/>
    <s v="MS Pipe 4  C Class"/>
    <n v="1470"/>
    <n v="70560"/>
  </r>
  <r>
    <x v="0"/>
    <s v="Plastene India Limited (Unit-VI)"/>
    <d v="2023-04-18T00:00:00"/>
    <s v="Plastene India ltd - Unit 1-Sales"/>
    <s v="Branch Transfer Out"/>
    <s v="PIL6/DC/20"/>
    <x v="0"/>
    <s v="PIL6/DC/20"/>
    <d v="2023-04-18T00:00:00"/>
    <s v="SF"/>
    <s v="Wastage/Scrap"/>
    <s v="Wastage/Scrap"/>
    <s v="HDPE/PP Plastik Waste"/>
    <s v="PP/HD Wastage/Scrap"/>
    <n v="3566"/>
    <n v="42792"/>
  </r>
  <r>
    <x v="0"/>
    <s v="Plastene India Limited (Unit-VI)"/>
    <d v="2023-04-21T00:00:00"/>
    <s v="Plastene India ltd - Unit 1-Sales"/>
    <s v="Branch Transfer Out"/>
    <s v="PIL6/DC/21"/>
    <x v="1"/>
    <s v="PIL6/DC/21"/>
    <d v="2023-04-21T00:00:00"/>
    <s v="Stores/Spares"/>
    <s v="MS Structure Items"/>
    <s v="Spares &amp; Stores"/>
    <s v="Stores &amp; Consumables"/>
    <s v="MS Pipe 4  C Class"/>
    <n v="1460"/>
    <n v="70080"/>
  </r>
  <r>
    <x v="0"/>
    <s v="Plastene India Limited (Unit-VI)"/>
    <d v="2023-04-22T00:00:00"/>
    <s v="Plastene India ltd - Unit 1-Sales"/>
    <s v="Branch Transfer Out"/>
    <s v="PIL6/DC/22"/>
    <x v="0"/>
    <s v="PIL6/DC/22"/>
    <d v="2023-04-22T00:00:00"/>
    <s v="SF"/>
    <s v="PP/PE Fabric"/>
    <s v="PP UL Fabric"/>
    <s v="PP Woven Fabric"/>
    <s v="PP UL Fabric With UV"/>
    <n v="8031"/>
    <n v="964073.36"/>
  </r>
  <r>
    <x v="0"/>
    <s v="Plastene India Limited (Unit-VI)"/>
    <d v="2023-04-22T00:00:00"/>
    <s v="Plastene India ltd - Unit 1-Sales"/>
    <s v="Branch Transfer Out"/>
    <s v="PIL6/DC/23"/>
    <x v="2"/>
    <s v="PIL6/DC/23"/>
    <d v="2023-04-22T00:00:00"/>
    <s v="FG"/>
    <s v="FIBC Bags"/>
    <s v="FIBC Bags"/>
    <s v="JUMBO BAG"/>
    <s v="FIBC Bags With UV With Liner"/>
    <n v="19147.900000000001"/>
    <n v="3249570.96"/>
  </r>
  <r>
    <x v="0"/>
    <s v="Plastene India Limited (Unit-VI)"/>
    <d v="2023-04-23T00:00:00"/>
    <s v="Plastene India ltd - Unit 1-Sales"/>
    <s v="Branch Transfer Out"/>
    <s v="PIL6/DC/24"/>
    <x v="0"/>
    <s v="PIL6/DC/24"/>
    <d v="2023-04-23T00:00:00"/>
    <s v="SF"/>
    <s v="Wastage/Scrap"/>
    <s v="Wastage/Scrap"/>
    <s v="HDPE/PP Plastik Waste"/>
    <s v="PP/HD Wastage/Scrap"/>
    <n v="3940"/>
    <n v="47280"/>
  </r>
  <r>
    <x v="0"/>
    <s v="Plastene India Limited (Unit-VI)"/>
    <d v="2023-04-24T00:00:00"/>
    <s v="Plastene India ltd - Unit 1-Sales"/>
    <s v="Branch Transfer Out"/>
    <s v="PIL6/DC/25"/>
    <x v="0"/>
    <s v="PIL6/DC/25"/>
    <d v="2023-04-24T00:00:00"/>
    <s v="FG"/>
    <s v="FIBC WIP"/>
    <s v="FIBC WIP"/>
    <s v="PP Woven Fabric"/>
    <s v="FIBC WIP"/>
    <n v="265"/>
    <n v="7420"/>
  </r>
  <r>
    <x v="0"/>
    <s v="Plastene India Limited (Unit-VI)"/>
    <d v="2023-04-24T00:00:00"/>
    <s v="Plastene India ltd - Unit 1-Sales"/>
    <s v="Branch Transfer Out"/>
    <s v="PIL6/DC/26"/>
    <x v="1"/>
    <s v="PIL6/DC/26"/>
    <d v="2023-04-24T00:00:00"/>
    <s v="Stores/Spares"/>
    <s v="MS Structure Items"/>
    <s v="Spares &amp; Stores"/>
    <s v="Stores &amp; Consumables"/>
    <s v="MS Pipe 4  C Class"/>
    <n v="20"/>
    <n v="960"/>
  </r>
  <r>
    <x v="0"/>
    <s v="Plastene India Limited (Unit-VI)"/>
    <d v="2023-04-24T00:00:00"/>
    <s v="Plastene India ltd - Unit 1-Sales"/>
    <s v="Branch Transfer Out"/>
    <s v="PIL6/DC/26"/>
    <x v="1"/>
    <s v="PIL6/DC/26"/>
    <d v="2023-04-24T00:00:00"/>
    <s v="Stores/Spares"/>
    <s v="MS Structure Items"/>
    <s v="Spares &amp; Stores"/>
    <s v="Stores &amp; Consumables"/>
    <s v="MS Pipe 4  C Class"/>
    <n v="1010"/>
    <n v="48480"/>
  </r>
  <r>
    <x v="0"/>
    <s v="Plastene India Limited (Unit-VI)"/>
    <d v="2023-04-25T00:00:00"/>
    <s v="Plastene India ltd - Unit 1-Sales"/>
    <s v="Branch Transfer Out"/>
    <s v="PIL6/DC/27"/>
    <x v="0"/>
    <s v="PIL6/DC/27"/>
    <d v="2023-04-25T00:00:00"/>
    <s v="SF"/>
    <s v="PP/PE Fabric"/>
    <s v="PP UL Fabric"/>
    <s v="PP Woven Fabric"/>
    <s v="PP UL Fabric With UV"/>
    <n v="5102"/>
    <n v="612464.49"/>
  </r>
  <r>
    <x v="0"/>
    <s v="Plastene India Limited (Unit-VI)"/>
    <d v="2023-04-25T00:00:00"/>
    <s v="Plastene India ltd - Unit 1-Sales"/>
    <s v="Branch Transfer Out"/>
    <s v="PIL6/DC/28"/>
    <x v="0"/>
    <s v="PIL6/DC/28"/>
    <d v="2023-04-25T00:00:00"/>
    <s v="FG"/>
    <s v="FIBC WIP"/>
    <s v="FIBC WIP"/>
    <s v="PP Webbing"/>
    <s v="FIBC WIP"/>
    <n v="68"/>
    <n v="1904"/>
  </r>
  <r>
    <x v="0"/>
    <s v="Plastene India Limited (Unit-VI)"/>
    <d v="2023-04-25T00:00:00"/>
    <s v="Plastene India ltd - Unit 1-Sales"/>
    <s v="Branch Transfer Out"/>
    <s v="PIL6/DC/29"/>
    <x v="0"/>
    <s v="PIL6/DC/29"/>
    <d v="2023-04-25T00:00:00"/>
    <s v="SF"/>
    <s v="Wastage/Scrap"/>
    <s v="Wastage/Scrap"/>
    <s v="HDPE/PP Plastik Waste"/>
    <s v="PP/HD Wastage/Scrap"/>
    <n v="2685"/>
    <n v="32220"/>
  </r>
  <r>
    <x v="0"/>
    <s v="Plastene India Limited (Unit-VI)"/>
    <d v="2023-04-28T00:00:00"/>
    <s v="Plastene India ltd - Unit 1-Sales"/>
    <s v="Branch Transfer Out"/>
    <s v="PIL6/DC/30"/>
    <x v="1"/>
    <s v="PIL6/DC/30"/>
    <d v="2023-04-28T00:00:00"/>
    <s v="Stores/Spares"/>
    <s v="MS Structure Items"/>
    <s v="Spares &amp; Stores"/>
    <s v="Stores &amp; Consumables"/>
    <s v="MS Pipe 4  C Class"/>
    <n v="1155"/>
    <n v="55440"/>
  </r>
  <r>
    <x v="0"/>
    <s v="Plastene India Limited (Unit-VI)"/>
    <d v="2023-04-28T00:00:00"/>
    <s v="Plastene India ltd - Unit 1-Sales"/>
    <s v="Branch Transfer Out"/>
    <s v="PIL6/DC/31"/>
    <x v="0"/>
    <s v="PIL6/DC/31"/>
    <d v="2023-04-28T00:00:00"/>
    <s v="SF"/>
    <s v="Wastage/Scrap"/>
    <s v="Wastage/Scrap"/>
    <s v="HDPE/PP Plastik Waste"/>
    <s v="PP/HD Wastage/Scrap"/>
    <n v="3112"/>
    <n v="37344"/>
  </r>
  <r>
    <x v="0"/>
    <s v="Plastene India Limited (Unit-VI)"/>
    <d v="2023-04-29T00:00:00"/>
    <s v="Plastene India ltd - Unit 1-Sales"/>
    <s v="Branch Transfer Out"/>
    <s v="PIL6/DC/32"/>
    <x v="0"/>
    <s v="PIL6/DC/32"/>
    <d v="2023-04-29T00:00:00"/>
    <s v="SF"/>
    <s v="PP/PE Fabric"/>
    <s v="PP UL Fabric"/>
    <s v="PP Woven Fabric"/>
    <s v="PP UL Fabric With UV"/>
    <n v="2877"/>
    <n v="345366.59"/>
  </r>
  <r>
    <x v="1"/>
    <s v="Plastene India Limited (Unit-VI)"/>
    <d v="2023-05-01T00:00:00"/>
    <s v="Plastene India ltd - Unit 1-Sales"/>
    <s v="Branch Transfer Out"/>
    <s v="PIL6/DC/33"/>
    <x v="1"/>
    <s v="PIL6/DC/33"/>
    <d v="2023-05-01T00:00:00"/>
    <s v="Stores/Spares"/>
    <s v="MS Structure Items"/>
    <s v="Spares &amp; Stores"/>
    <s v="Stores &amp; Consumables"/>
    <s v="MS Pipe 4  C Class"/>
    <n v="1333"/>
    <n v="63984"/>
  </r>
  <r>
    <x v="1"/>
    <s v="Plastene India Limited (Unit-VI)"/>
    <d v="2023-05-01T00:00:00"/>
    <s v="Plastene India ltd - Unit 1-Sales"/>
    <s v="Branch Transfer Out"/>
    <s v="PIL6/DC/34"/>
    <x v="0"/>
    <s v="PIL6/DC/34"/>
    <d v="2023-05-01T00:00:00"/>
    <s v="SF"/>
    <s v="Wastage/Scrap"/>
    <s v="Wastage/Scrap"/>
    <s v="HDPE/PP Plastik Waste"/>
    <s v="PP/HD Wastage/Scrap"/>
    <n v="2482"/>
    <n v="29784"/>
  </r>
  <r>
    <x v="1"/>
    <s v="Plastene India Limited (Unit-VI)"/>
    <d v="2023-05-04T00:00:00"/>
    <s v="Plastene India ltd - Unit 1-Sales"/>
    <s v="Branch Transfer Out"/>
    <s v="PIL6/DC/35"/>
    <x v="1"/>
    <s v="PIL6/DC/35"/>
    <d v="2023-05-04T00:00:00"/>
    <s v="Stores/Spares"/>
    <s v="MS Structure Items"/>
    <s v="Spares &amp; Stores"/>
    <s v="Stores &amp; Consumables"/>
    <s v="MS Pipe 4  C Class"/>
    <n v="744"/>
    <n v="35712"/>
  </r>
  <r>
    <x v="1"/>
    <s v="Plastene India Limited (Unit-VI)"/>
    <d v="2023-05-04T00:00:00"/>
    <s v="Plastene India ltd - Unit 1-Sales"/>
    <s v="Branch Transfer Out"/>
    <s v="PIL6/DC/36"/>
    <x v="0"/>
    <s v="PIL6/DC/36"/>
    <d v="2023-05-04T00:00:00"/>
    <s v="SF"/>
    <s v="Wastage/Scrap"/>
    <s v="Wastage/Scrap"/>
    <s v="HDPE/PP Plastik Waste"/>
    <s v="PP/HD Wastage/Scrap"/>
    <n v="1905"/>
    <n v="22860"/>
  </r>
  <r>
    <x v="1"/>
    <s v="Plastene India Limited (Unit-VI)"/>
    <d v="2023-05-05T00:00:00"/>
    <s v="Plastene India ltd - Unit 1-Sales"/>
    <s v="Branch Transfer Out"/>
    <s v="PIL6/DC/37"/>
    <x v="0"/>
    <s v="PIL6/DC/37"/>
    <d v="2023-05-05T00:00:00"/>
    <s v="SF"/>
    <s v="Liners"/>
    <s v="LDPE/LLDPE Bags"/>
    <s v="LLDPE BAGS"/>
    <s v="LDPE/LLDPE Bags/Liner"/>
    <n v="168"/>
    <n v="21484.68"/>
  </r>
  <r>
    <x v="1"/>
    <s v="Plastene India Limited (Unit-VI)"/>
    <d v="2023-05-07T00:00:00"/>
    <s v="Plastene India ltd - Unit 1-Sales"/>
    <s v="Branch Transfer Out"/>
    <s v="PIL6/DC/38"/>
    <x v="0"/>
    <s v="PIL6/DC/38"/>
    <d v="2023-05-07T00:00:00"/>
    <s v="SF"/>
    <s v="PP/PE Fabric"/>
    <s v="PP UL Fabric"/>
    <s v="PP Woven Fabric"/>
    <s v="PP UL Fabric With UV"/>
    <n v="1586"/>
    <n v="182459.78"/>
  </r>
  <r>
    <x v="1"/>
    <s v="Plastene India Limited (Unit-VI)"/>
    <d v="2023-05-07T00:00:00"/>
    <s v="Plastene India ltd - Unit 1-Sales"/>
    <s v="Branch Transfer Out"/>
    <s v="PIL6/DC/38"/>
    <x v="0"/>
    <s v="PIL6/DC/38"/>
    <d v="2023-05-07T00:00:00"/>
    <s v="SF"/>
    <s v="PP/PE Fabric"/>
    <s v="PP UL Fabric"/>
    <s v="PP Woven Fabric"/>
    <s v="PP UL Fabric With UV"/>
    <n v="3975"/>
    <n v="477174.9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85"/>
    <n v="62127.45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94"/>
    <n v="64375.66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798"/>
    <n v="125708.94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832"/>
    <n v="132471.04000000001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318"/>
    <n v="550655.28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6429"/>
    <n v="1051720.1100000001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870"/>
    <n v="140130.9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761"/>
    <n v="680327.29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83"/>
    <n v="60092.7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720"/>
    <n v="117237.6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2329"/>
    <n v="388919.71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385"/>
    <n v="70093.100000000006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11616"/>
    <n v="2096455.6799999999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4970"/>
    <n v="828548.7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1150"/>
    <n v="224905.5"/>
  </r>
  <r>
    <x v="1"/>
    <s v="Plastene India Limited (Unit-VI)"/>
    <d v="2023-05-10T00:00:00"/>
    <s v="Plastene India ltd - Unit 1-Sales"/>
    <s v="Branch Transfer Out"/>
    <s v="PIL6/DC/41"/>
    <x v="1"/>
    <s v="PIL6/DC/41"/>
    <d v="2023-05-10T00:00:00"/>
    <s v="Stores/Spares"/>
    <s v="MS Structure Items"/>
    <s v="Spares &amp; Stores"/>
    <s v="Stores &amp; Consumables"/>
    <s v="MS Pipe 4  C Class"/>
    <n v="1729"/>
    <n v="82992"/>
  </r>
  <r>
    <x v="1"/>
    <s v="Plastene India Limited (Unit-VI)"/>
    <d v="2023-05-10T00:00:00"/>
    <s v="Plastene India ltd - Unit 1-Sales"/>
    <s v="Branch Transfer Out"/>
    <s v="PIL6/DC/42"/>
    <x v="0"/>
    <s v="PIL6/DC/42"/>
    <d v="2023-05-10T00:00:00"/>
    <s v="SF"/>
    <s v="Wastage/Scrap"/>
    <s v="Wastage/Scrap"/>
    <s v="HDPE/PP Plastik Waste"/>
    <s v="PP/HD Wastage/Scrap"/>
    <n v="4952.3999999999996"/>
    <n v="59428.800000000003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PP/PE Fabric"/>
    <s v="PP Lam Fabric"/>
    <s v="PP Laminated Woven Fabric"/>
    <s v="PP Lam Fabric With UV"/>
    <n v="622"/>
    <n v="76221.119999999995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PP/PE Fabric"/>
    <s v="PP Lam Fabric"/>
    <s v="PP Laminated Woven Fabric"/>
    <s v="PP Lam Fabric With UV"/>
    <n v="1169"/>
    <n v="136822.1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PP/PE Fabric"/>
    <s v="PP UL Fabric"/>
    <s v="PP Woven Fabric"/>
    <s v="PP UL Fabric With UV"/>
    <n v="3959"/>
    <n v="475246.28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Webbing"/>
    <s v="PP Webbing"/>
    <s v="PP Webbing"/>
    <s v="Webbing"/>
    <n v="1227.7"/>
    <n v="147375.56"/>
  </r>
  <r>
    <x v="1"/>
    <s v="Plastene India Limited (Unit-VI)"/>
    <d v="2023-05-14T00:00:00"/>
    <s v="Plastene India ltd - Unit 1-Sales"/>
    <s v="Branch Transfer Out"/>
    <s v="PIL6/DC/44"/>
    <x v="1"/>
    <s v="PIL6/DC/44"/>
    <d v="2023-05-14T00:00:00"/>
    <s v="Stores/Spares"/>
    <s v="MS Structure Items"/>
    <s v="Spares &amp; Stores"/>
    <s v="Stores &amp; Consumables"/>
    <s v="MS Pipe 4  C Class"/>
    <n v="1022"/>
    <n v="49056"/>
  </r>
  <r>
    <x v="1"/>
    <s v="Plastene India Limited (Unit-VI)"/>
    <d v="2023-05-14T00:00:00"/>
    <s v="Plastene India ltd - Unit 1-Sales"/>
    <s v="Branch Transfer Out"/>
    <s v="PIL6/DC/45"/>
    <x v="0"/>
    <s v="PIL6/DC/45"/>
    <d v="2023-05-14T00:00:00"/>
    <s v="SF"/>
    <s v="Wastage/Scrap"/>
    <s v="Wastage/Scrap"/>
    <s v="HDPE/PP Plastik Waste"/>
    <s v="PP/HD Wastage/Scrap"/>
    <n v="2493"/>
    <n v="29916"/>
  </r>
  <r>
    <x v="1"/>
    <s v="Plastene India Limited (Unit-VI)"/>
    <d v="2023-05-16T00:00:00"/>
    <s v="Plastene India ltd - Unit 1-Sales"/>
    <s v="Branch Transfer Out"/>
    <s v="PIL6/DC/46"/>
    <x v="0"/>
    <s v="PIL6/DC/46"/>
    <d v="2023-05-16T00:00:00"/>
    <s v="SF"/>
    <s v="PP/PE Fabric"/>
    <s v="PP UL Fabric"/>
    <s v="PP Woven Fabric"/>
    <s v="PP UL Fabric With UV"/>
    <n v="67.5"/>
    <n v="7765.34"/>
  </r>
  <r>
    <x v="1"/>
    <s v="Plastene India Limited (Unit-VI)"/>
    <d v="2023-05-16T00:00:00"/>
    <s v="Plastene India ltd - Unit 1-Sales"/>
    <s v="Branch Transfer Out"/>
    <s v="PIL6/DC/46"/>
    <x v="0"/>
    <s v="PIL6/DC/46"/>
    <d v="2023-05-16T00:00:00"/>
    <s v="SF"/>
    <s v="PP/PE Fabric"/>
    <s v="PP UL Fabric"/>
    <s v="PP Woven Fabric"/>
    <s v="PP UL Fabric With UV"/>
    <n v="3424"/>
    <n v="411023.81"/>
  </r>
  <r>
    <x v="1"/>
    <s v="Plastene India Limited (Unit-VI)"/>
    <d v="2023-05-18T00:00:00"/>
    <s v="Plastene India ltd - Unit 1-Sales"/>
    <s v="Branch Transfer Out"/>
    <s v="PIL6/DC/47"/>
    <x v="1"/>
    <s v="PIL6/DC/47"/>
    <d v="2023-05-18T00:00:00"/>
    <s v="Stores/Spares"/>
    <s v="MS Structure Items"/>
    <s v="Spares &amp; Stores"/>
    <s v="Stores &amp; Consumables"/>
    <s v="MS Pipe 4  C Class"/>
    <n v="1012"/>
    <n v="48576"/>
  </r>
  <r>
    <x v="1"/>
    <s v="Plastene India Limited (Unit-VI)"/>
    <d v="2023-05-18T00:00:00"/>
    <s v="Plastene India ltd - Unit 1-Sales"/>
    <s v="Branch Transfer Out"/>
    <s v="PIL6/DC/48"/>
    <x v="0"/>
    <s v="PIL6/DC/48"/>
    <d v="2023-05-18T00:00:00"/>
    <s v="SF"/>
    <s v="Wastage/Scrap"/>
    <s v="Wastage/Scrap"/>
    <s v="HDPE/PP Plastik Waste"/>
    <s v="PP/HD Wastage/Scrap"/>
    <n v="2625"/>
    <n v="31500"/>
  </r>
  <r>
    <x v="1"/>
    <s v="Plastene India Limited (Unit-VI)"/>
    <d v="2023-05-19T00:00:00"/>
    <s v="Plastene India ltd - Unit 1-Sales"/>
    <s v="Branch Transfer Out"/>
    <s v="PIL6/DC/49"/>
    <x v="0"/>
    <s v="PIL6/DC/49"/>
    <d v="2023-05-19T00:00:00"/>
    <s v="SF"/>
    <s v="PP/PE Fabric"/>
    <s v="PP UL Fabric"/>
    <s v="PP Woven Fabric"/>
    <s v="PP UL Fabric With UV"/>
    <n v="2742"/>
    <n v="329155.15999999997"/>
  </r>
  <r>
    <x v="1"/>
    <s v="Plastene India Limited (Unit-VI)"/>
    <d v="2023-05-23T00:00:00"/>
    <s v="Plastene India ltd - Unit 1-Sales"/>
    <s v="Branch Transfer Out"/>
    <s v="PIL6/DC/50"/>
    <x v="0"/>
    <s v="PIL6/DC/50"/>
    <d v="2023-05-23T00:00:00"/>
    <s v="SF"/>
    <s v="PP/PE Fabric"/>
    <s v="PP UL Fabric"/>
    <s v="PP Woven Fabric"/>
    <s v="PP UL Fabric With UV"/>
    <n v="1777"/>
    <n v="213314.63"/>
  </r>
  <r>
    <x v="1"/>
    <s v="Plastene India Limited (Unit-VI)"/>
    <d v="2023-05-23T00:00:00"/>
    <s v="Plastene India ltd - Unit 1-Sales"/>
    <s v="Branch Transfer Out"/>
    <s v="PIL6/DC/51"/>
    <x v="1"/>
    <s v="PIL6/DC/51"/>
    <d v="2023-05-23T00:00:00"/>
    <s v="Stores/Spares"/>
    <s v="MS Structure Items"/>
    <s v="Spares &amp; Stores"/>
    <s v="Stores &amp; Consumables"/>
    <s v="MS Pipe 4  C Class"/>
    <n v="1636"/>
    <n v="78528"/>
  </r>
  <r>
    <x v="1"/>
    <s v="Plastene India Limited (Unit-VI)"/>
    <d v="2023-05-23T00:00:00"/>
    <s v="Plastene India ltd - Unit 1-Sales"/>
    <s v="Branch Transfer Out"/>
    <s v="PIL6/DC/52"/>
    <x v="0"/>
    <s v="PIL6/DC/52"/>
    <d v="2023-05-23T00:00:00"/>
    <s v="SF"/>
    <s v="Wastage/Scrap"/>
    <s v="Wastage/Scrap"/>
    <s v="HDPE/PP Plastik Waste"/>
    <s v="PP/HD Wastage/Scrap"/>
    <n v="3489"/>
    <n v="41868"/>
  </r>
  <r>
    <x v="1"/>
    <s v="Plastene India Limited (Unit-VI)"/>
    <d v="2023-05-24T00:00:00"/>
    <s v="Plastene India ltd - Unit 1-Sales"/>
    <s v="Branch Transfer Out"/>
    <s v="PIL6/DC/53"/>
    <x v="0"/>
    <s v="PIL6/DC/53"/>
    <d v="2023-05-24T00:00:00"/>
    <s v="SF"/>
    <s v="PP/PE Fabric"/>
    <s v="PP UL Fabric"/>
    <s v="PP Woven Fabric"/>
    <s v="PP UL Fabric With UV"/>
    <n v="3517"/>
    <n v="422187.71"/>
  </r>
  <r>
    <x v="1"/>
    <s v="Plastene India Limited (Unit-VI)"/>
    <d v="2023-05-24T00:00:00"/>
    <s v="Plastene India ltd - Unit 1-Sales"/>
    <s v="Branch Transfer Out"/>
    <s v="PIL6/DC/53"/>
    <x v="0"/>
    <s v="PIL6/DC/53"/>
    <d v="2023-05-24T00:00:00"/>
    <s v="SF"/>
    <s v="PP/PE Fabric"/>
    <s v="PP UL Fabric"/>
    <s v="PP Woven Fabric"/>
    <s v="PP UL Fabric With UV"/>
    <n v="1034"/>
    <n v="118953.43"/>
  </r>
  <r>
    <x v="1"/>
    <s v="Plastene India Limited (Unit-VI)"/>
    <d v="2023-05-26T00:00:00"/>
    <s v="Plastene India ltd - Unit 1-Sales"/>
    <s v="Branch Transfer Out"/>
    <s v="PIL6/DC/55"/>
    <x v="0"/>
    <s v="PIL6/DC/55"/>
    <d v="2023-05-26T00:00:00"/>
    <s v="SF"/>
    <s v="Wastage/Scrap"/>
    <s v="Wastage/Scrap"/>
    <s v="HDPE/PP Plastik Waste"/>
    <s v="PP/HD Wastage/Scrap"/>
    <n v="2691"/>
    <n v="32292"/>
  </r>
  <r>
    <x v="1"/>
    <s v="Plastene India Limited (Unit-VI)"/>
    <d v="2023-05-27T00:00:00"/>
    <s v="Plastene India ltd - Unit 1-Sales"/>
    <s v="Branch Transfer Out"/>
    <s v="PIL6/DC/56"/>
    <x v="0"/>
    <s v="PIL6/DC/56"/>
    <d v="2023-05-27T00:00:00"/>
    <s v="SF"/>
    <s v="PP/PE Fabric"/>
    <s v="PP UL Fabric"/>
    <s v="PP Woven Fabric"/>
    <s v="PP UL Fabric With UV"/>
    <n v="3988"/>
    <n v="478727.5"/>
  </r>
  <r>
    <x v="1"/>
    <s v="Plastene India Limited (Unit-VI)"/>
    <d v="2023-05-28T00:00:00"/>
    <s v="Plastene India ltd - Unit 1-Sales"/>
    <s v="Branch Transfer Out"/>
    <s v="PIL6/DC/57"/>
    <x v="1"/>
    <s v="PIL6/DC/57"/>
    <d v="2023-05-28T00:00:00"/>
    <s v="Stores/Spares"/>
    <s v="MS Structure Items"/>
    <s v="Spares &amp; Stores"/>
    <s v="Stores &amp; Consumables"/>
    <s v="MS Pipe 4  C Class"/>
    <n v="1544"/>
    <n v="74112"/>
  </r>
  <r>
    <x v="1"/>
    <s v="Plastene India Limited (Unit-VI)"/>
    <d v="2023-05-28T00:00:00"/>
    <s v="Plastene India ltd - Unit 1-Sales"/>
    <s v="Branch Transfer Out"/>
    <s v="PIL6/DC/58"/>
    <x v="0"/>
    <s v="PIL6/DC/58"/>
    <d v="2023-05-28T00:00:00"/>
    <s v="SF"/>
    <s v="Wastage/Scrap"/>
    <s v="Wastage/Scrap"/>
    <s v="HDPE/PP Plastik Waste"/>
    <s v="PP/HD Wastage/Scrap"/>
    <n v="1649"/>
    <n v="19788"/>
  </r>
  <r>
    <x v="1"/>
    <s v="Plastene India Limited (Unit-VI)"/>
    <d v="2023-05-30T00:00:00"/>
    <s v="Plastene India ltd - Unit 1-Sales"/>
    <s v="Branch Transfer Out"/>
    <s v="PIL6/DC/59"/>
    <x v="0"/>
    <s v="PIL6/DC/59"/>
    <d v="2023-05-30T00:00:00"/>
    <s v="SF"/>
    <s v="PP/PE Fabric"/>
    <s v="PP UL Fabric"/>
    <s v="PP Woven Fabric"/>
    <s v="PP UL Fabric With UV"/>
    <n v="2732"/>
    <n v="327954.74"/>
  </r>
  <r>
    <x v="2"/>
    <s v="Plastene India Limited (Unit-VI)"/>
    <d v="2023-06-01T00:00:00"/>
    <s v="Plastene India ltd - Unit 1-Sales"/>
    <s v="Branch Transfer Out"/>
    <s v="PIL6/DC/60"/>
    <x v="0"/>
    <s v="PIL6/DC/60"/>
    <d v="2023-06-01T00:00:00"/>
    <s v="SF"/>
    <s v="PP/PE Fabric"/>
    <s v="PP UL Fabric"/>
    <s v="PP Woven Fabric"/>
    <s v="PP UL Fabric With UV"/>
    <n v="1063"/>
    <n v="122290.07"/>
  </r>
  <r>
    <x v="2"/>
    <s v="Plastene India Limited (Unit-VI)"/>
    <d v="2023-06-01T00:00:00"/>
    <s v="Plastene India ltd - Unit 1-Sales"/>
    <s v="Branch Transfer Out"/>
    <s v="PIL6/DC/60"/>
    <x v="0"/>
    <s v="PIL6/DC/60"/>
    <d v="2023-06-01T00:00:00"/>
    <s v="SF"/>
    <s v="PP/PE Fabric"/>
    <s v="PP UL Fabric"/>
    <s v="PP Woven Fabric"/>
    <s v="PP UL Fabric With UV"/>
    <n v="4212"/>
    <n v="505618.59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2288"/>
    <n v="373744.8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3690"/>
    <n v="636598.80000000005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4607"/>
    <n v="782637.16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1437"/>
    <n v="233354.43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1870"/>
    <n v="289326.40000000002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3830"/>
    <n v="602573.9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418"/>
    <n v="75591.12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2355"/>
    <n v="392672.7"/>
  </r>
  <r>
    <x v="2"/>
    <s v="Plastene India Limited (Unit-VI)"/>
    <d v="2023-06-02T00:00:00"/>
    <s v="Plastene India ltd - Unit 1-Sales"/>
    <s v="Branch Transfer Out"/>
    <s v="PIL6/DC/62"/>
    <x v="1"/>
    <s v="PIL6/DC/62"/>
    <d v="2023-06-02T00:00:00"/>
    <s v="Stores/Spares"/>
    <s v="MS Structure Items"/>
    <s v="Spares &amp; Stores"/>
    <s v="Stores &amp; Consumables"/>
    <s v="MS Pipe 4  C Class"/>
    <n v="793"/>
    <n v="38064"/>
  </r>
  <r>
    <x v="2"/>
    <s v="Plastene India Limited (Unit-VI)"/>
    <d v="2023-06-04T00:00:00"/>
    <s v="Plastene India ltd - Unit 1-Sales"/>
    <s v="Branch Transfer Out"/>
    <s v="PIL6/DC/63"/>
    <x v="0"/>
    <s v="PIL6/DC/63"/>
    <d v="2023-06-04T00:00:00"/>
    <s v="SF"/>
    <s v="Wastage/Scrap"/>
    <s v="Wastage/Scrap"/>
    <s v="HDPE/PP Plastik Waste"/>
    <s v="PP/HD Wastage/Scrap"/>
    <n v="5030"/>
    <n v="60360"/>
  </r>
  <r>
    <x v="2"/>
    <s v="Plastene India Limited (Unit-VI)"/>
    <d v="2023-06-06T00:00:00"/>
    <s v="Plastene India ltd - Unit 1-Sales"/>
    <s v="Branch Transfer Out"/>
    <s v="PIL6/DC/64"/>
    <x v="0"/>
    <s v="PIL6/DC/64"/>
    <d v="2023-06-06T00:00:00"/>
    <s v="SF"/>
    <s v="PP/PE Fabric"/>
    <s v="PP UL Fabric"/>
    <s v="PP Woven Fabric"/>
    <s v="PP UL Fabric With UV"/>
    <n v="1341"/>
    <n v="148278.39000000001"/>
  </r>
  <r>
    <x v="2"/>
    <s v="Plastene India Limited (Unit-VI)"/>
    <d v="2023-06-06T00:00:00"/>
    <s v="Plastene India ltd - Unit 1-Sales"/>
    <s v="Branch Transfer Out"/>
    <s v="PIL6/DC/64"/>
    <x v="0"/>
    <s v="PIL6/DC/64"/>
    <d v="2023-06-06T00:00:00"/>
    <s v="SF"/>
    <s v="PP/PE Fabric"/>
    <s v="PP UL Fabric"/>
    <s v="PP Woven Fabric"/>
    <s v="PP UL Fabric With UV"/>
    <n v="2772"/>
    <n v="320368.36"/>
  </r>
  <r>
    <x v="2"/>
    <s v="Plastene India Limited (Unit-VI)"/>
    <d v="2023-06-06T00:00:00"/>
    <s v="Plastene India ltd - Unit 1-Sales"/>
    <s v="Branch Transfer Out"/>
    <s v="PIL6/DC/64"/>
    <x v="0"/>
    <s v="PIL6/DC/64"/>
    <d v="2023-06-06T00:00:00"/>
    <s v="SF"/>
    <s v="PP/PE Fabric"/>
    <s v="PP UL Fabric"/>
    <s v="PP Woven Fabric"/>
    <s v="PP UL Fabric With UV"/>
    <n v="4141"/>
    <n v="478587.79"/>
  </r>
  <r>
    <x v="2"/>
    <s v="Plastene India Limited (Unit-VI)"/>
    <d v="2023-06-06T00:00:00"/>
    <s v="Plastene India ltd - Unit 1-Sales"/>
    <s v="Branch Transfer Out"/>
    <s v="PIL6/DC/65"/>
    <x v="0"/>
    <s v="PIL6/DC/65"/>
    <d v="2023-06-06T00:00:00"/>
    <s v="SF"/>
    <s v="PP/PE Fabric"/>
    <s v="PP UL Fabric"/>
    <s v="PP Woven Fabric"/>
    <s v="PP UL Fabric With UV"/>
    <n v="305"/>
    <n v="33724.769999999997"/>
  </r>
  <r>
    <x v="2"/>
    <s v="Plastene India Limited (Unit-VI)"/>
    <d v="2023-06-06T00:00:00"/>
    <s v="Plastene India ltd - Unit 1-Sales"/>
    <s v="Branch Transfer Out"/>
    <s v="PIL6/DC/66"/>
    <x v="1"/>
    <s v="PIL6/DC/66"/>
    <d v="2023-06-06T00:00:00"/>
    <s v="Stores/Spares"/>
    <s v="MS Structure Items"/>
    <s v="Spares &amp; Stores"/>
    <s v="Stores &amp; Consumables"/>
    <s v="MS Pipe 4  C Class"/>
    <n v="11"/>
    <n v="528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5198"/>
    <n v="834642.86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382"/>
    <n v="59740.98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385"/>
    <n v="59197.599999999999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1478"/>
    <n v="225143.74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1728"/>
    <n v="255813.12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7450"/>
    <n v="1155197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811"/>
    <n v="131446.88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2634"/>
    <n v="415803.24"/>
  </r>
  <r>
    <x v="2"/>
    <s v="Plastene India Limited (Unit-VI)"/>
    <d v="2023-06-10T00:00:00"/>
    <s v="Plastene India ltd - Unit 1-Sales"/>
    <s v="Branch Transfer Out"/>
    <s v="PIL6/DC/68"/>
    <x v="0"/>
    <s v="PIL6/DC/68"/>
    <d v="2023-06-10T00:00:00"/>
    <s v="SF"/>
    <s v="PP/PE Fabric"/>
    <s v="PP UL Fabric"/>
    <s v="PP Woven Fabric"/>
    <s v="PP UL Fabric With UV"/>
    <n v="3755"/>
    <n v="433976.62"/>
  </r>
  <r>
    <x v="2"/>
    <s v="Plastene India Limited (Unit-VI)"/>
    <d v="2023-06-10T00:00:00"/>
    <s v="Plastene India ltd - Unit 1-Sales"/>
    <s v="Branch Transfer Out"/>
    <s v="PIL6/DC/69"/>
    <x v="1"/>
    <s v="PIL6/DC/69"/>
    <d v="2023-06-10T00:00:00"/>
    <s v="Stores/Spares"/>
    <s v="MS Structure Items"/>
    <s v="Spares &amp; Stores"/>
    <s v="Stores &amp; Consumables"/>
    <s v="MS Pipe 4  C Class"/>
    <n v="1440"/>
    <n v="69120"/>
  </r>
  <r>
    <x v="2"/>
    <s v="Plastene India Limited (Unit-VI)"/>
    <d v="2023-06-10T00:00:00"/>
    <s v="Plastene India ltd - Unit 1-Sales"/>
    <s v="Branch Transfer Out"/>
    <s v="PIL6/DC/70"/>
    <x v="0"/>
    <s v="PIL6/DC/70"/>
    <d v="2023-06-10T00:00:00"/>
    <s v="SF"/>
    <s v="Wastage/Scrap"/>
    <s v="Wastage/Scrap"/>
    <s v="HDPE/PP Plastik Waste"/>
    <s v="PP/HD Wastage/Scrap"/>
    <n v="2720"/>
    <n v="32640"/>
  </r>
  <r>
    <x v="2"/>
    <s v="Plastene India Limited (Unit-VI)"/>
    <d v="2023-06-13T00:00:00"/>
    <s v="Plastene India ltd - Unit 1-Sales"/>
    <s v="Branch Transfer Out"/>
    <s v="PIL6/DC/71"/>
    <x v="0"/>
    <s v="PIL6/DC/71"/>
    <d v="2023-06-13T00:00:00"/>
    <s v="SF"/>
    <s v="PP/PE Fabric"/>
    <s v="PP UL Fabric"/>
    <s v="PP Woven Fabric"/>
    <s v="PP UL Fabric With UV"/>
    <n v="2615"/>
    <n v="289148.40000000002"/>
  </r>
  <r>
    <x v="2"/>
    <s v="Plastene India Limited (Unit-VI)"/>
    <d v="2023-06-13T00:00:00"/>
    <s v="Plastene India ltd - Unit 1-Sales"/>
    <s v="Branch Transfer Out"/>
    <s v="PIL6/DC/71"/>
    <x v="0"/>
    <s v="PIL6/DC/71"/>
    <d v="2023-06-13T00:00:00"/>
    <s v="SF"/>
    <s v="PP/PE Fabric"/>
    <s v="PP UL Fabric"/>
    <s v="PP Woven Fabric"/>
    <s v="PP UL Fabric With UV"/>
    <n v="4717"/>
    <n v="545157.84"/>
  </r>
  <r>
    <x v="2"/>
    <s v="Plastene India Limited (Unit-VI)"/>
    <d v="2023-06-14T00:00:00"/>
    <s v="Plastene India ltd - Unit 1-Sales"/>
    <s v="Branch Transfer Out"/>
    <s v="PIL6/DC/73"/>
    <x v="1"/>
    <s v="PIL6/DC/73"/>
    <d v="2023-06-14T00:00:00"/>
    <s v="Stores/Spares"/>
    <s v="MS Structure Items"/>
    <s v="Spares &amp; Stores"/>
    <s v="Stores &amp; Consumables"/>
    <s v="MS Pipe 4  C Class"/>
    <n v="1000"/>
    <n v="48000"/>
  </r>
  <r>
    <x v="2"/>
    <s v="Plastene India Limited (Unit-VI)"/>
    <d v="2023-06-22T00:00:00"/>
    <s v="Plastene India ltd - Unit 1-Sales"/>
    <s v="Branch Transfer Out"/>
    <s v="PIL6/DC/74"/>
    <x v="1"/>
    <s v="PIL6/DC/74"/>
    <d v="2023-06-22T00:00:00"/>
    <s v="Stores/Spares"/>
    <s v="MS Structure Items"/>
    <s v="Spares &amp; Stores"/>
    <s v="Stores &amp; Consumables"/>
    <s v="MS Pipe 4  C Class"/>
    <n v="580"/>
    <n v="27840"/>
  </r>
  <r>
    <x v="2"/>
    <s v="Plastene India Limited (Unit-VI)"/>
    <d v="2023-06-23T00:00:00"/>
    <s v="Plastene India ltd - Unit 1-Sales"/>
    <s v="Branch Transfer Out"/>
    <s v="PIL6/DC/75"/>
    <x v="0"/>
    <s v="PIL6/DC/75"/>
    <d v="2023-06-23T00:00:00"/>
    <s v="SF"/>
    <s v="PP/PE Fabric"/>
    <s v="PP UL Fabric"/>
    <s v="PP Woven Fabric"/>
    <s v="PP UL Fabric With UV"/>
    <n v="3222"/>
    <n v="344402.8"/>
  </r>
  <r>
    <x v="2"/>
    <s v="Plastene India Limited (Unit-VI)"/>
    <d v="2023-06-24T00:00:00"/>
    <s v="Plastene India ltd - Unit 1-Sales"/>
    <s v="Branch Transfer Out"/>
    <s v="PIL6/DC/76"/>
    <x v="0"/>
    <s v="PIL6/DC/76"/>
    <d v="2023-06-24T00:00:00"/>
    <s v="SF"/>
    <s v="Wastage/Scrap"/>
    <s v="Wastage/Scrap"/>
    <s v="HDPE/PP Plastik Waste"/>
    <s v="PP/HD Wastage/Scrap"/>
    <n v="3465"/>
    <n v="41580"/>
  </r>
  <r>
    <x v="2"/>
    <s v="Plastene India Limited (Unit-VI)"/>
    <d v="2023-06-26T00:00:00"/>
    <s v="Plastene India ltd - Unit 1-Sales"/>
    <s v="Branch Transfer Out"/>
    <s v="PIL6/DC/77"/>
    <x v="0"/>
    <s v="PIL6/DC/77"/>
    <d v="2023-06-26T00:00:00"/>
    <s v="SF"/>
    <s v="Wastage/Scrap"/>
    <s v="Wastage/Scrap"/>
    <s v="HDPE/PP Plastik Waste"/>
    <s v="PP/HD Wastage/Scrap"/>
    <n v="4580"/>
    <n v="54960"/>
  </r>
  <r>
    <x v="2"/>
    <s v="Plastene India Limited (Unit-VI)"/>
    <d v="2023-06-27T00:00:00"/>
    <s v="Plastene India ltd - Unit 1-Sales"/>
    <s v="Branch Transfer Out"/>
    <s v="PIL6/DC/78"/>
    <x v="1"/>
    <s v="PIL6/DC/78"/>
    <d v="2023-06-27T00:00:00"/>
    <s v="Stores/Spares"/>
    <s v="MS Structure Items"/>
    <s v="Spares &amp; Stores"/>
    <s v="Stores &amp; Consumables"/>
    <s v="MS Pipe 4  C Class"/>
    <n v="1347"/>
    <n v="64656"/>
  </r>
  <r>
    <x v="2"/>
    <s v="Plastene India Limited (Unit-VI)"/>
    <d v="2023-06-28T00:00:00"/>
    <s v="Plastene India ltd - Unit 1-Sales"/>
    <s v="Branch Transfer Out"/>
    <s v="PIL6/DC/79"/>
    <x v="2"/>
    <s v="PIL6/DC/79"/>
    <d v="2023-06-28T00:00:00"/>
    <s v="FG"/>
    <s v="FIBC Bags"/>
    <s v="FIBC Bags"/>
    <s v="JUMBO BAG"/>
    <s v="FIBC Bags With UV With Liner"/>
    <n v="19229"/>
    <n v="3027029.18"/>
  </r>
  <r>
    <x v="2"/>
    <s v="Plastene India Limited (Unit-VI)"/>
    <d v="2023-06-28T00:00:00"/>
    <s v="Plastene India ltd - Unit 1-Sales"/>
    <s v="Branch Transfer Out"/>
    <s v="PIL6/DC/80"/>
    <x v="0"/>
    <s v="PIL6/DC/80"/>
    <d v="2023-06-28T00:00:00"/>
    <s v="SF"/>
    <s v="PP/PE Fabric"/>
    <s v="PP UL Fabric"/>
    <s v="PP Woven Fabric"/>
    <s v="PP UL Fabric With UV"/>
    <n v="84.4"/>
    <n v="8768.4"/>
  </r>
  <r>
    <x v="2"/>
    <s v="Plastene India Limited (Unit-VI)"/>
    <d v="2023-06-28T00:00:00"/>
    <s v="Plastene India ltd - Unit 1-Sales"/>
    <s v="Branch Transfer Out"/>
    <s v="PIL6/DC/80"/>
    <x v="0"/>
    <s v="PIL6/DC/80"/>
    <d v="2023-06-28T00:00:00"/>
    <s v="SF"/>
    <s v="PP/PE Fabric"/>
    <s v="PP UL Fabric"/>
    <s v="PP Woven Fabric"/>
    <s v="PP UL Fabric With UV"/>
    <n v="3603.4"/>
    <n v="367154.03"/>
  </r>
  <r>
    <x v="2"/>
    <s v="Plastene India Limited (Unit-VI)"/>
    <d v="2023-06-28T00:00:00"/>
    <s v="Plastene India ltd - Unit 1-Sales"/>
    <s v="Branch Transfer Out"/>
    <s v="PIL6/DC/80"/>
    <x v="0"/>
    <s v="PIL6/DC/80"/>
    <d v="2023-06-28T00:00:00"/>
    <s v="SF"/>
    <s v="PP/PE Fabric"/>
    <s v="PP UL Fabric"/>
    <s v="PP Woven Fabric"/>
    <s v="PP UL Fabric With UV"/>
    <n v="2847"/>
    <n v="304318.68"/>
  </r>
  <r>
    <x v="2"/>
    <s v="Plastene India Limited (Unit-VI)"/>
    <d v="2023-06-29T00:00:00"/>
    <s v="Plastene India ltd - Unit 1-Sales"/>
    <s v="Branch Transfer Out"/>
    <s v="PIL6/DC/81"/>
    <x v="0"/>
    <s v="PIL6/DC/81"/>
    <d v="2023-06-29T00:00:00"/>
    <s v="SF"/>
    <s v="Wastage/Scrap"/>
    <s v="Wastage/Scrap"/>
    <s v="HDPE/PP Plastik Waste"/>
    <s v="PP/HD Wastage/Scrap"/>
    <n v="1800"/>
    <n v="216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4">
  <r>
    <x v="0"/>
    <s v="HCP Plastene Bulkpack Ltd"/>
    <d v="2023-04-03T00:00:00"/>
    <s v="Plastene India ltd - Unit 2-Sales"/>
    <s v="Sales"/>
    <n v="2"/>
    <x v="0"/>
    <s v="HPBL/D/2"/>
    <d v="2023-04-03T00:00:00"/>
    <s v="Stores/Spares"/>
    <s v="MS Structure Items"/>
    <s v="Packing Material"/>
    <s v="Packing Material"/>
    <s v="MS Pipe"/>
    <n v="230"/>
    <n v="11040"/>
  </r>
  <r>
    <x v="0"/>
    <s v="HCP Plastene Bulkpack Ltd"/>
    <d v="2023-04-05T00:00:00"/>
    <s v="K.P. Woven Pvt Ltd-Sales"/>
    <s v="Sales"/>
    <n v="3"/>
    <x v="1"/>
    <s v="HPBL/D/3"/>
    <d v="2023-04-05T00:00:00"/>
    <s v="SF"/>
    <s v="Liners"/>
    <s v="LDPE/LLDPE Bags"/>
    <s v="LLDPE BAGS (LINER)"/>
    <s v="LDPE/LLDPE Bags/Liner"/>
    <n v="663.5"/>
    <n v="87442.66"/>
  </r>
  <r>
    <x v="0"/>
    <s v="HCP Plastene Bulkpack Ltd"/>
    <d v="2023-04-05T00:00:00"/>
    <s v="Plastene Polyfilms Ltd-Sales"/>
    <s v="Sales"/>
    <n v="6"/>
    <x v="0"/>
    <s v="HPBL/D/6"/>
    <d v="2023-04-05T00:00:00"/>
    <s v="Stores/Spares"/>
    <s v="MS Structure Items"/>
    <s v="Packing Material"/>
    <s v="Packing Material"/>
    <s v="MS Pipe"/>
    <n v="227"/>
    <n v="10896"/>
  </r>
  <r>
    <x v="0"/>
    <s v="HCP Plastene Bulkpack Ltd"/>
    <d v="2023-04-06T00:00:00"/>
    <s v="K.P. Woven Pvt Ltd-Sales"/>
    <s v="Sales"/>
    <n v="10"/>
    <x v="1"/>
    <s v="HPBL/D/10"/>
    <d v="2023-04-06T00:00:00"/>
    <s v="SF"/>
    <s v="Films All"/>
    <s v="PE Film"/>
    <s v="LLDPE FILM"/>
    <s v="LDPE/LLDPE Film"/>
    <n v="189.3"/>
    <n v="47325"/>
  </r>
  <r>
    <x v="0"/>
    <s v="HCP Plastene Bulkpack Ltd"/>
    <d v="2023-04-06T00:00:00"/>
    <s v="K.P. Woven Pvt Ltd-Sales"/>
    <s v="Sales"/>
    <n v="10"/>
    <x v="1"/>
    <s v="HPBL/D/10"/>
    <d v="2023-04-06T00:00:00"/>
    <s v="SF"/>
    <s v="Films All"/>
    <s v="PE Film"/>
    <s v="LLDPE FILM"/>
    <s v="LDPE/LLDPE Film"/>
    <n v="69.599999999999994"/>
    <n v="8894.18"/>
  </r>
  <r>
    <x v="0"/>
    <s v="HCP Plastene Bulkpack Ltd"/>
    <d v="2023-04-06T00:00:00"/>
    <s v="K.P. Woven Pvt Ltd-Sales"/>
    <s v="Sales"/>
    <n v="9"/>
    <x v="0"/>
    <s v="HPBL/D/9"/>
    <d v="2023-04-06T00:00:00"/>
    <s v="Stores/Spares"/>
    <s v="MS Structure Items"/>
    <s v="Packing Material"/>
    <s v="Packing Material"/>
    <s v="MS Pipe"/>
    <n v="218"/>
    <n v="10464"/>
  </r>
  <r>
    <x v="0"/>
    <s v="HCP Plastene Bulkpack Ltd"/>
    <d v="2023-04-07T00:00:00"/>
    <s v="Plastene India ltd - Unit 2-Sales"/>
    <s v="Sales"/>
    <n v="15"/>
    <x v="0"/>
    <s v="HPBL/D/15"/>
    <d v="2023-04-07T00:00:00"/>
    <s v="Stores/Spares"/>
    <s v="MS Structure Items"/>
    <s v="Packing Material"/>
    <s v="Packing Material"/>
    <s v="MS Pipe"/>
    <n v="244"/>
    <n v="11712"/>
  </r>
  <r>
    <x v="0"/>
    <s v="HCP Plastene Bulkpack Ltd"/>
    <d v="2023-04-10T00:00:00"/>
    <s v="K.P. Woven Pvt Ltd-Sales"/>
    <s v="Sales"/>
    <n v="18"/>
    <x v="0"/>
    <s v="HPBL/D/18"/>
    <d v="2023-04-10T00:00:00"/>
    <s v="Stores/Spares"/>
    <s v="MS Structure Items"/>
    <s v="Packing Material"/>
    <s v="Packing Material"/>
    <s v="MS Pipe"/>
    <n v="208"/>
    <n v="9984"/>
  </r>
  <r>
    <x v="0"/>
    <s v="HCP Plastene Bulkpack Ltd"/>
    <d v="2023-04-10T00:00:00"/>
    <s v="K.P. Woven Pvt Ltd-Sales"/>
    <s v="Sales"/>
    <n v="20"/>
    <x v="0"/>
    <s v="HPBL/D/20"/>
    <d v="2023-04-10T00:00:00"/>
    <s v="Stores/Spares"/>
    <s v="MS Structure Items"/>
    <s v="Packing Material"/>
    <s v="Packing Material"/>
    <s v="MS Pipe"/>
    <n v="12"/>
    <n v="576"/>
  </r>
  <r>
    <x v="0"/>
    <s v="HCP Plastene Bulkpack Ltd"/>
    <d v="2023-04-10T00:00:00"/>
    <s v="Plastene Polyfilms Ltd-Sales"/>
    <s v="Sales"/>
    <n v="21"/>
    <x v="1"/>
    <s v="HPBL/D/21"/>
    <d v="2023-04-10T00:00:00"/>
    <s v="SF"/>
    <s v="PP/PE Fabric"/>
    <s v="PP UL Fabric"/>
    <s v="PP Unlaminated Fabric"/>
    <s v="PP UL Fabric With UV"/>
    <n v="3047"/>
    <n v="387090.88"/>
  </r>
  <r>
    <x v="0"/>
    <s v="HCP Plastene Bulkpack Ltd"/>
    <d v="2023-04-10T00:00:00"/>
    <s v="Plastene Polyfilms Ltd-Sales"/>
    <s v="Sales"/>
    <n v="21"/>
    <x v="1"/>
    <s v="HPBL/D/21"/>
    <d v="2023-04-10T00:00:00"/>
    <s v="SF"/>
    <s v="PP/PE Fabric"/>
    <s v="PP Lam Fabric"/>
    <s v="PP Laminated Fabric"/>
    <s v="PP Lam Fabric With UV"/>
    <n v="5781"/>
    <n v="766213.74"/>
  </r>
  <r>
    <x v="0"/>
    <s v="HCP Plastene Bulkpack Ltd"/>
    <d v="2023-04-10T00:00:00"/>
    <s v="Plastene Polyfilms Ltd-Sales"/>
    <s v="Sales"/>
    <n v="22"/>
    <x v="0"/>
    <s v="HPBL/D/22"/>
    <d v="2023-04-10T00:00:00"/>
    <s v="Stores/Spares"/>
    <s v="MS Structure Items"/>
    <s v="Packing Material"/>
    <s v="Packing Material"/>
    <s v="MS Pipe"/>
    <n v="253"/>
    <n v="12144"/>
  </r>
  <r>
    <x v="0"/>
    <s v="HCP Plastene Bulkpack Ltd"/>
    <d v="2023-04-12T00:00:00"/>
    <s v="Oswal Extrusion Ltd- KASEZ-Sales"/>
    <s v="Sales High-seas"/>
    <s v="HPBL/HSS/1/23-24"/>
    <x v="2"/>
    <s v="HPBL/HSS/1/23-24"/>
    <d v="2023-04-12T00:00:00"/>
    <s v="RM"/>
    <s v="Granules"/>
    <s v="PP Granules"/>
    <s v="Pp Granuales"/>
    <s v="PP Basell 456J"/>
    <n v="49500"/>
    <n v="4519350"/>
  </r>
  <r>
    <x v="0"/>
    <s v="HCP Plastene Bulkpack Ltd"/>
    <d v="2023-04-12T00:00:00"/>
    <s v="Plastene India ltd - Unit 2-Sales"/>
    <s v="Sales"/>
    <n v="23"/>
    <x v="1"/>
    <s v="HPBL/D/23"/>
    <d v="2023-04-12T00:00:00"/>
    <s v="SF"/>
    <s v="PP/PE Fabric"/>
    <s v="PP Lam Fabric"/>
    <s v="PP Laminated Fabric"/>
    <s v="PP Lam Fabric With UV"/>
    <n v="7852"/>
    <n v="1040704.08"/>
  </r>
  <r>
    <x v="0"/>
    <s v="HCP Plastene Bulkpack Ltd"/>
    <d v="2023-04-12T00:00:00"/>
    <s v="Plastene India ltd - Unit 2-Sales"/>
    <s v="Sales"/>
    <n v="23"/>
    <x v="1"/>
    <s v="HPBL/D/23"/>
    <d v="2023-04-12T00:00:00"/>
    <s v="SF"/>
    <s v="PP/PE Fabric"/>
    <s v="PP UL Fabric"/>
    <s v="PP Unlaminated Fabric"/>
    <s v="PP UL Fabric With UV"/>
    <n v="122"/>
    <n v="15498.88"/>
  </r>
  <r>
    <x v="0"/>
    <s v="HCP Plastene Bulkpack Ltd"/>
    <d v="2023-04-12T00:00:00"/>
    <s v="Plastene India ltd - Unit 2-Sales"/>
    <s v="Sales"/>
    <n v="24"/>
    <x v="0"/>
    <s v="HPBL/D/24"/>
    <d v="2023-04-12T00:00:00"/>
    <s v="Stores/Spares"/>
    <s v="MS Structure Items"/>
    <s v="Packing Material"/>
    <s v="Packing Material"/>
    <s v="MS Pipe"/>
    <n v="214"/>
    <n v="10272"/>
  </r>
  <r>
    <x v="0"/>
    <s v="HCP Plastene Bulkpack Ltd"/>
    <d v="2023-04-12T00:00:00"/>
    <s v="Plastene India ltd - Unit 2-Sales"/>
    <s v="Sales"/>
    <n v="25"/>
    <x v="0"/>
    <s v="HPBL/D/25"/>
    <d v="2023-04-12T00:00:00"/>
    <s v="RM"/>
    <s v="Granules"/>
    <s v="UV MB"/>
    <s v="Master Batch"/>
    <s v="UV Arguvin FG 626 LD"/>
    <n v="200"/>
    <n v="63870"/>
  </r>
  <r>
    <x v="0"/>
    <s v="HCP Plastene Bulkpack Ltd"/>
    <d v="2023-04-14T00:00:00"/>
    <s v="K.P. Woven Pvt Ltd-Sales"/>
    <s v="Sales"/>
    <n v="27"/>
    <x v="0"/>
    <s v="HPBL/D/27"/>
    <d v="2023-04-14T00:00:00"/>
    <s v="Stores/Spares"/>
    <s v="MS Structure Items"/>
    <s v="Packing Material"/>
    <s v="Packing Material"/>
    <s v="MS Pipe"/>
    <n v="228"/>
    <n v="10944"/>
  </r>
  <r>
    <x v="0"/>
    <s v="HCP Plastene Bulkpack Ltd"/>
    <d v="2023-04-16T00:00:00"/>
    <s v="Plastene Polyfilms Ltd-Sales"/>
    <s v="Sales"/>
    <n v="32"/>
    <x v="0"/>
    <s v="HPBL/D/32"/>
    <d v="2023-04-16T00:00:00"/>
    <s v="Stores/Spares"/>
    <s v="MS Structure Items"/>
    <s v="Packing Material"/>
    <s v="Packing Material"/>
    <s v="MS Pipe"/>
    <n v="160"/>
    <n v="7680"/>
  </r>
  <r>
    <x v="0"/>
    <s v="HCP Plastene Bulkpack Ltd"/>
    <d v="2023-04-18T00:00:00"/>
    <s v="Plastene India ltd - Unit 2-Sales"/>
    <s v="Sales"/>
    <n v="33"/>
    <x v="1"/>
    <s v="HPBL/D/33"/>
    <d v="2023-04-18T00:00:00"/>
    <s v="FG"/>
    <s v="Small Bags"/>
    <s v="PP Bags"/>
    <s v="PP WOVEN BAG &amp; SACK"/>
    <s v="PP UL Bags Without UV"/>
    <n v="676"/>
    <n v="81167.92"/>
  </r>
  <r>
    <x v="0"/>
    <s v="HCP Plastene Bulkpack Ltd"/>
    <d v="2023-04-18T00:00:00"/>
    <s v="Plastene India ltd - Unit 2-Sales"/>
    <s v="Sales"/>
    <n v="35"/>
    <x v="0"/>
    <s v="HPBL/D/35"/>
    <d v="2023-04-18T00:00:00"/>
    <s v="Stores/Spares"/>
    <s v="MS Structure Items"/>
    <s v="Packing Material"/>
    <s v="Packing Material"/>
    <s v="MS Pipe"/>
    <n v="246"/>
    <n v="11808"/>
  </r>
  <r>
    <x v="0"/>
    <s v="HCP Plastene Bulkpack Ltd"/>
    <d v="2023-04-19T00:00:00"/>
    <s v="K.P. Woven Pvt Ltd-Sales"/>
    <s v="Sales"/>
    <n v="37"/>
    <x v="0"/>
    <s v="HPBL/D/37"/>
    <d v="2023-04-19T00:00:00"/>
    <s v="Stores/Spares"/>
    <s v="MS Structure Items"/>
    <s v="Packing Material"/>
    <s v="Packing Material"/>
    <s v="MS Pipe"/>
    <n v="239"/>
    <n v="11472"/>
  </r>
  <r>
    <x v="0"/>
    <s v="HCP Plastene Bulkpack Ltd"/>
    <d v="2023-04-21T00:00:00"/>
    <s v="Oswal Extrusion Ltd- KASEZ-Sales"/>
    <s v="Sales High-seas"/>
    <s v="HPBL/HSS/2/23-24"/>
    <x v="2"/>
    <s v="HPBL/HSS/2/23-24"/>
    <d v="2023-04-21T00:00:00"/>
    <s v="RM"/>
    <s v="Granules"/>
    <s v="PP Granules"/>
    <s v="Pp Granuales"/>
    <s v="PP Basell 456J"/>
    <n v="99000"/>
    <n v="9068400"/>
  </r>
  <r>
    <x v="0"/>
    <s v="HCP Plastene Bulkpack Ltd"/>
    <d v="2023-04-21T00:00:00"/>
    <s v="Plastene India ltd - Unit 2-Sales"/>
    <s v="Sales"/>
    <n v="40"/>
    <x v="0"/>
    <s v="HPBL/D/40"/>
    <d v="2023-04-21T00:00:00"/>
    <s v="RM"/>
    <s v="Granules"/>
    <s v="UV MB"/>
    <s v="Master Batch"/>
    <s v="UV Arguvin FG 626 LD"/>
    <n v="300"/>
    <n v="95805"/>
  </r>
  <r>
    <x v="0"/>
    <s v="HCP Plastene Bulkpack Ltd"/>
    <d v="2023-04-22T00:00:00"/>
    <s v="Plastene India ltd - Unit 2-Sales"/>
    <s v="Sales"/>
    <n v="48"/>
    <x v="0"/>
    <s v="HPBL/D/48"/>
    <d v="2023-04-22T00:00:00"/>
    <s v="Stores/Spares"/>
    <s v="MS Structure Items"/>
    <s v="Packing Material"/>
    <s v="Packing Material"/>
    <s v="MS Pipe"/>
    <n v="200"/>
    <n v="9600"/>
  </r>
  <r>
    <x v="0"/>
    <s v="HCP Plastene Bulkpack Ltd"/>
    <d v="2023-04-22T00:00:00"/>
    <s v="Plastene India ltd - Unit 6-Sales"/>
    <s v="Sales"/>
    <n v="43"/>
    <x v="0"/>
    <s v="HPBL/D/43"/>
    <d v="2023-04-22T00:00:00"/>
    <s v="Stores/Spares"/>
    <s v="MS Structure Items"/>
    <s v="Packing Material"/>
    <s v="Packing Material"/>
    <s v="MS Pipe"/>
    <n v="114"/>
    <n v="5472"/>
  </r>
  <r>
    <x v="0"/>
    <s v="HCP Plastene Bulkpack Ltd"/>
    <d v="2023-04-22T00:00:00"/>
    <s v="Plastene Polyfilms Ltd-Sales"/>
    <s v="Sales"/>
    <n v="45"/>
    <x v="0"/>
    <s v="HPBL/D/45"/>
    <d v="2023-04-22T00:00:00"/>
    <s v="Stores/Spares"/>
    <s v="MS Structure Items"/>
    <s v="Packing Material"/>
    <s v="Packing Material"/>
    <s v="MS Pipe"/>
    <n v="242"/>
    <n v="11616"/>
  </r>
  <r>
    <x v="0"/>
    <s v="HCP Plastene Bulkpack Ltd"/>
    <d v="2023-04-24T00:00:00"/>
    <s v="K.P. Woven Pvt Ltd-Sales"/>
    <s v="Sales"/>
    <n v="50"/>
    <x v="0"/>
    <s v="HPBL/D/50"/>
    <d v="2023-04-24T00:00:00"/>
    <s v="Stores/Spares"/>
    <s v="MS Structure Items"/>
    <s v="Packing Material"/>
    <s v="Packing Material"/>
    <s v="MS Pipe"/>
    <n v="224"/>
    <n v="10752"/>
  </r>
  <r>
    <x v="0"/>
    <s v="HCP Plastene Bulkpack Ltd"/>
    <d v="2023-04-26T00:00:00"/>
    <s v="Plastene India ltd - Unit 2-Sales"/>
    <s v="Sales"/>
    <n v="52"/>
    <x v="1"/>
    <s v="HPBL/D/52"/>
    <d v="2023-04-26T00:00:00"/>
    <s v="FG"/>
    <s v="Small Bags"/>
    <s v="PP Bags"/>
    <s v="PP LAMINATED BAGS"/>
    <s v="PP Lam Bags Without UV"/>
    <n v="636.1"/>
    <n v="119376.89"/>
  </r>
  <r>
    <x v="0"/>
    <s v="HCP Plastene Bulkpack Ltd"/>
    <d v="2023-04-26T00:00:00"/>
    <s v="Plastene India ltd - Unit 2-Sales"/>
    <s v="Sales"/>
    <n v="55"/>
    <x v="0"/>
    <s v="HPBL/D/55"/>
    <d v="2023-04-26T00:00:00"/>
    <s v="Stores/Spares"/>
    <s v="MS Structure Items"/>
    <s v="Packing Material"/>
    <s v="Packing Material"/>
    <s v="MS Pipe"/>
    <n v="190"/>
    <n v="9120"/>
  </r>
  <r>
    <x v="0"/>
    <s v="HCP Plastene Bulkpack Ltd"/>
    <d v="2023-04-27T00:00:00"/>
    <s v="Plastene Polyfilms Ltd-Sales"/>
    <s v="Sales"/>
    <n v="59"/>
    <x v="1"/>
    <s v="HPBL/D/59"/>
    <d v="2023-04-27T00:00:00"/>
    <s v="SF"/>
    <s v="PP/PE Fabric"/>
    <s v="PP UL Fabric"/>
    <s v="PP Unlaminated Fabric"/>
    <s v="PP UL Fabric With UV"/>
    <n v="3840"/>
    <n v="487833.59999999998"/>
  </r>
  <r>
    <x v="0"/>
    <s v="HCP Plastene Bulkpack Ltd"/>
    <d v="2023-04-27T00:00:00"/>
    <s v="Plastene Polyfilms Ltd-Sales"/>
    <s v="Sales"/>
    <n v="59"/>
    <x v="1"/>
    <s v="HPBL/D/59"/>
    <d v="2023-04-27T00:00:00"/>
    <s v="SF"/>
    <s v="PP/PE Fabric"/>
    <s v="PP Lam Fabric"/>
    <s v="PP Laminated Fabric"/>
    <s v="PP Lam Fabric With UV"/>
    <n v="2563"/>
    <n v="339700.02"/>
  </r>
  <r>
    <x v="0"/>
    <s v="HCP Plastene Bulkpack Ltd"/>
    <d v="2023-04-27T00:00:00"/>
    <s v="Plastene Polyfilms Ltd-Sales"/>
    <s v="Sales"/>
    <n v="60"/>
    <x v="0"/>
    <s v="HPBL/D/60"/>
    <d v="2023-04-27T00:00:00"/>
    <s v="Stores/Spares"/>
    <s v="MS Structure Items"/>
    <s v="Packing Material"/>
    <s v="Packing Material"/>
    <s v="MS Pipe"/>
    <n v="184"/>
    <n v="8832"/>
  </r>
  <r>
    <x v="0"/>
    <s v="HCP Plastene Bulkpack Ltd"/>
    <d v="2023-04-28T00:00:00"/>
    <s v="K.P. Woven Pvt Ltd-Sales"/>
    <s v="Sales"/>
    <n v="61"/>
    <x v="1"/>
    <s v="HPBL/D/61"/>
    <d v="2023-04-28T00:00:00"/>
    <s v="SF"/>
    <s v="PP/PE Fabric"/>
    <s v="PP UL Fabric"/>
    <s v="PP Unlaminated Fabric"/>
    <s v="PP UL Fabric With UV"/>
    <n v="2808"/>
    <n v="351112.32"/>
  </r>
  <r>
    <x v="0"/>
    <s v="HCP Plastene Bulkpack Ltd"/>
    <d v="2023-04-28T00:00:00"/>
    <s v="K.P. Woven Pvt Ltd-Sales"/>
    <s v="Sales"/>
    <n v="61"/>
    <x v="1"/>
    <s v="HPBL/D/61"/>
    <d v="2023-04-28T00:00:00"/>
    <s v="SF"/>
    <s v="PP/PE Fabric"/>
    <s v="PP UL Fabric"/>
    <s v="PP Unlaminated Fabric"/>
    <s v="PP UL Fabric With UV"/>
    <n v="1371"/>
    <n v="174171.84"/>
  </r>
  <r>
    <x v="0"/>
    <s v="HCP Plastene Bulkpack Ltd"/>
    <d v="2023-04-28T00:00:00"/>
    <s v="K.P. Woven Pvt Ltd-Sales"/>
    <s v="Sales"/>
    <n v="61"/>
    <x v="1"/>
    <s v="HPBL/D/61"/>
    <d v="2023-04-28T00:00:00"/>
    <s v="SF"/>
    <s v="PP/PE Fabric"/>
    <s v="PP Lam Fabric"/>
    <s v="PP Laminated Fabric"/>
    <s v="PP Lam Fabric With UV"/>
    <n v="4475"/>
    <n v="593116.5"/>
  </r>
  <r>
    <x v="0"/>
    <s v="HCP Plastene Bulkpack Ltd"/>
    <d v="2023-04-28T00:00:00"/>
    <s v="K.P. Woven Pvt Ltd-Sales"/>
    <s v="Sales"/>
    <n v="62"/>
    <x v="0"/>
    <s v="HPBL/D/62"/>
    <d v="2023-04-28T00:00:00"/>
    <s v="Stores/Spares"/>
    <s v="MS Structure Items"/>
    <s v="Packing Material"/>
    <s v="Packing Material"/>
    <s v="MS Pipe"/>
    <n v="258"/>
    <n v="12384"/>
  </r>
  <r>
    <x v="0"/>
    <s v="HCP Plastene Bulkpack Ltd"/>
    <d v="2023-04-28T00:00:00"/>
    <s v="Plastene India ltd - Unit 1-Sales"/>
    <s v="Sales"/>
    <n v="63"/>
    <x v="0"/>
    <s v="HPBL/D/63"/>
    <d v="2023-04-28T00:00:00"/>
    <s v="RM"/>
    <s v="Granules"/>
    <s v="EVA Granules"/>
    <s v="EVA Granules"/>
    <s v="EVA Granules"/>
    <n v="25"/>
    <n v="4700"/>
  </r>
  <r>
    <x v="0"/>
    <s v="HCP Plastene Bulkpack Ltd"/>
    <d v="2023-04-29T00:00:00"/>
    <s v="Plastene India ltd - Unit 2-Sales"/>
    <s v="Sales"/>
    <n v="64"/>
    <x v="0"/>
    <s v="HPBL/D/64"/>
    <d v="2023-04-29T00:00:00"/>
    <s v="RM"/>
    <s v="Granules"/>
    <s v="UV MB"/>
    <s v="Master Batch"/>
    <s v="UV Arguvin FG 626 LD"/>
    <n v="200"/>
    <n v="63870"/>
  </r>
  <r>
    <x v="0"/>
    <s v="HCP Plastene Bulkpack Ltd"/>
    <d v="2023-04-29T00:00:00"/>
    <s v="Plastene India ltd - Unit 2-Sales"/>
    <s v="Sales"/>
    <n v="66"/>
    <x v="1"/>
    <s v="HPBL/D/66"/>
    <d v="2023-04-29T00:00:00"/>
    <s v="SF"/>
    <s v="PP/PE Fabric"/>
    <s v="PP Lam Fabric"/>
    <s v="PP Laminated Fabric"/>
    <s v="PP Lam Fabric With UV"/>
    <n v="537"/>
    <n v="70099.98"/>
  </r>
  <r>
    <x v="0"/>
    <s v="HCP Plastene Bulkpack Ltd"/>
    <d v="2023-04-29T00:00:00"/>
    <s v="Plastene India ltd - Unit 2-Sales"/>
    <s v="Sales"/>
    <n v="66"/>
    <x v="1"/>
    <s v="HPBL/D/66"/>
    <d v="2023-04-29T00:00:00"/>
    <s v="SF"/>
    <s v="PP/PE Fabric"/>
    <s v="PP Lam Fabric"/>
    <s v="PP Laminated Fabric"/>
    <s v="PP Lam Fabric With UV"/>
    <n v="5768"/>
    <n v="764490.72"/>
  </r>
  <r>
    <x v="0"/>
    <s v="HCP Plastene Bulkpack Ltd"/>
    <d v="2023-04-29T00:00:00"/>
    <s v="Plastene India ltd - Unit 2-Sales"/>
    <s v="Sales"/>
    <n v="66"/>
    <x v="1"/>
    <s v="HPBL/D/66"/>
    <d v="2023-04-29T00:00:00"/>
    <s v="SF"/>
    <s v="PP/PE Fabric"/>
    <s v="PP UL Fabric"/>
    <s v="PP Unlaminated Fabric"/>
    <s v="PP UL Fabric With UV"/>
    <n v="2087"/>
    <n v="265132.48"/>
  </r>
  <r>
    <x v="0"/>
    <s v="HCP Plastene Bulkpack Ltd"/>
    <d v="2023-04-30T00:00:00"/>
    <s v="Plastene India ltd - Unit 2-Sales"/>
    <s v="Sales"/>
    <n v="67"/>
    <x v="0"/>
    <s v="HPBL/D/67"/>
    <d v="2023-04-30T00:00:00"/>
    <s v="Stores/Spares"/>
    <s v="MS Structure Items"/>
    <s v="Packing Material"/>
    <s v="Packing Material"/>
    <s v="MS Pipe"/>
    <n v="240"/>
    <n v="11520"/>
  </r>
  <r>
    <x v="1"/>
    <s v="HCP Plastene Bulkpack Ltd"/>
    <d v="2023-05-01T00:00:00"/>
    <s v="K.P. Woven Pvt Ltd-Sales"/>
    <s v="Sales"/>
    <n v="69"/>
    <x v="1"/>
    <s v="HPBL/D/69"/>
    <d v="2023-05-01T00:00:00"/>
    <s v="SF"/>
    <s v="PP/PE Fabric"/>
    <s v="PP Lam Fabric"/>
    <s v="PP Laminated Fabric"/>
    <s v="PP Lam Fabric With UV"/>
    <n v="4104"/>
    <n v="543944.16"/>
  </r>
  <r>
    <x v="1"/>
    <s v="HCP Plastene Bulkpack Ltd"/>
    <d v="2023-05-01T00:00:00"/>
    <s v="K.P. Woven Pvt Ltd-Sales"/>
    <s v="Sales"/>
    <n v="69"/>
    <x v="1"/>
    <s v="HPBL/D/69"/>
    <d v="2023-05-01T00:00:00"/>
    <s v="SF"/>
    <s v="PP/PE Fabric"/>
    <s v="PP UL Fabric"/>
    <s v="PP Unlaminated Fabric"/>
    <s v="PP UL Fabric With UV"/>
    <n v="593"/>
    <n v="74148.72"/>
  </r>
  <r>
    <x v="1"/>
    <s v="HCP Plastene Bulkpack Ltd"/>
    <d v="2023-05-01T00:00:00"/>
    <s v="K.P. Woven Pvt Ltd-Sales"/>
    <s v="Sales"/>
    <n v="69"/>
    <x v="1"/>
    <s v="HPBL/D/69"/>
    <d v="2023-05-01T00:00:00"/>
    <s v="SF"/>
    <s v="PP/PE Fabric"/>
    <s v="PP UL Fabric"/>
    <s v="PP Unlaminated Fabric"/>
    <s v="PP UL Fabric With UV"/>
    <n v="3437"/>
    <n v="436636.48"/>
  </r>
  <r>
    <x v="1"/>
    <s v="HCP Plastene Bulkpack Ltd"/>
    <d v="2023-05-01T00:00:00"/>
    <s v="K.P. Woven Pvt Ltd-Sales"/>
    <s v="Sales"/>
    <n v="70"/>
    <x v="0"/>
    <s v="HPBL/D/70"/>
    <d v="2023-05-01T00:00:00"/>
    <s v="Stores/Spares"/>
    <s v="MS Structure Items"/>
    <s v="Packing Material"/>
    <s v="Packing Material"/>
    <s v="MS Pipe"/>
    <n v="207"/>
    <n v="9936"/>
  </r>
  <r>
    <x v="1"/>
    <s v="HCP Plastene Bulkpack Ltd"/>
    <d v="2023-05-03T00:00:00"/>
    <s v="Plastene Polyfilms Ltd-Sales"/>
    <s v="Sales"/>
    <n v="74"/>
    <x v="0"/>
    <s v="HPBL/D/74"/>
    <d v="2023-05-03T00:00:00"/>
    <s v="Stores/Spares"/>
    <s v="MS Structure Items"/>
    <s v="Packing Material"/>
    <s v="Packing Material"/>
    <s v="MS Pipe"/>
    <n v="144"/>
    <n v="6912"/>
  </r>
  <r>
    <x v="1"/>
    <s v="HCP Plastene Bulkpack Ltd"/>
    <d v="2023-05-04T00:00:00"/>
    <s v="K.P. Woven Pvt Ltd-Sales"/>
    <s v="Sales"/>
    <n v="77"/>
    <x v="0"/>
    <s v="HPBL/D/77"/>
    <d v="2023-05-04T00:00:00"/>
    <s v="Stores/Spares"/>
    <s v="MS Structure Items"/>
    <s v="Packing Material"/>
    <s v="Packing Material"/>
    <s v="MS Pipe"/>
    <n v="246"/>
    <n v="11808"/>
  </r>
  <r>
    <x v="1"/>
    <s v="HCP Plastene Bulkpack Ltd"/>
    <d v="2023-05-06T00:00:00"/>
    <s v="Plastene India ltd - Unit 2-Sales"/>
    <s v="Sales"/>
    <n v="81"/>
    <x v="0"/>
    <s v="HPBL/D/81"/>
    <d v="2023-05-06T00:00:00"/>
    <s v="Stores/Spares"/>
    <s v="Tape Plant Spares"/>
    <s v="Spares &amp; Stores"/>
    <s v="Spares &amp; Stores"/>
    <s v="Sledge # Ls 20801031"/>
    <n v="20"/>
    <n v="1425"/>
  </r>
  <r>
    <x v="1"/>
    <s v="HCP Plastene Bulkpack Ltd"/>
    <d v="2023-05-07T00:00:00"/>
    <s v="Plastene Polyfilms Ltd-Sales"/>
    <s v="Sales"/>
    <n v="84"/>
    <x v="0"/>
    <s v="HPBL/D/84"/>
    <d v="2023-05-07T00:00:00"/>
    <s v="Stores/Spares"/>
    <s v="MS Structure Items"/>
    <s v="Packing Material"/>
    <s v="Packing Material"/>
    <s v="MS Pipe"/>
    <n v="197"/>
    <n v="9456"/>
  </r>
  <r>
    <x v="1"/>
    <s v="HCP Plastene Bulkpack Ltd"/>
    <d v="2023-05-07T00:00:00"/>
    <s v="Plastene Polyfilms Ltd-Sales"/>
    <s v="Sales"/>
    <n v="86"/>
    <x v="0"/>
    <s v="HPBL/D/86"/>
    <d v="2023-05-07T00:00:00"/>
    <s v="Stores/Spares"/>
    <s v="MS Structure Items"/>
    <s v="Packing Material"/>
    <s v="Packing Material"/>
    <s v="MS Pipe"/>
    <n v="715"/>
    <n v="34320"/>
  </r>
  <r>
    <x v="1"/>
    <s v="HCP Plastene Bulkpack Ltd"/>
    <d v="2023-05-09T00:00:00"/>
    <s v="K.P. Woven Pvt Ltd-Sales"/>
    <s v="Sales"/>
    <n v="88"/>
    <x v="0"/>
    <s v="HPBL/D/88"/>
    <d v="2023-05-09T00:00:00"/>
    <s v="Stores/Spares"/>
    <s v="MS Structure Items"/>
    <s v="Packing Material"/>
    <s v="Packing Material"/>
    <s v="MS Pipe"/>
    <n v="242"/>
    <n v="11616"/>
  </r>
  <r>
    <x v="1"/>
    <s v="HCP Plastene Bulkpack Ltd"/>
    <d v="2023-05-09T00:00:00"/>
    <s v="Plastene India ltd - Unit 2-Sales"/>
    <s v="Sales"/>
    <n v="91"/>
    <x v="0"/>
    <s v="HPBL/D/91"/>
    <d v="2023-05-09T00:00:00"/>
    <s v="Stores/Spares"/>
    <s v="MS Structure Items"/>
    <s v="Packing Material"/>
    <s v="Packing Material"/>
    <s v="MS Pipe"/>
    <n v="222"/>
    <n v="10656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195"/>
    <n v="29858.400000000001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2418.1"/>
    <n v="364310.95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1260.1600000000001"/>
    <n v="197089.02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126.5"/>
    <n v="19162.22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204.4"/>
    <n v="30794.9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4014.05"/>
    <n v="624505.9"/>
  </r>
  <r>
    <x v="1"/>
    <s v="HCP Plastene Bulkpack Ltd"/>
    <d v="2023-05-10T00:00:00"/>
    <s v="K.P. Woven Pvt Ltd-Sales"/>
    <s v="Sales"/>
    <n v="92"/>
    <x v="1"/>
    <s v="HPBL/D/92"/>
    <d v="2023-05-10T00:00:00"/>
    <s v="FG"/>
    <s v="Small Bags WIP"/>
    <s v="Small Bags WIP"/>
    <s v="PP Unlaminated Fabric"/>
    <s v="Small Bags WIP"/>
    <n v="6501.6"/>
    <n v="1064832.05"/>
  </r>
  <r>
    <x v="1"/>
    <s v="HCP Plastene Bulkpack Ltd"/>
    <d v="2023-05-12T00:00:00"/>
    <s v="Plastene India ltd - Unit 2-Sales"/>
    <s v="Sales"/>
    <n v="96"/>
    <x v="0"/>
    <s v="HPBL/D/96"/>
    <d v="2023-05-12T00:00:00"/>
    <s v="Stores/Spares"/>
    <s v="MS Structure Items"/>
    <s v="Packing Material"/>
    <s v="Packing Material"/>
    <s v="MS Pipe"/>
    <n v="222"/>
    <n v="10656"/>
  </r>
  <r>
    <x v="1"/>
    <s v="HCP Plastene Bulkpack Ltd"/>
    <d v="2023-05-13T00:00:00"/>
    <s v="K.P. Woven Pvt Ltd-Sales"/>
    <s v="Sales"/>
    <n v="102"/>
    <x v="0"/>
    <s v="HPBL/D/102"/>
    <d v="2023-05-13T00:00:00"/>
    <s v="Stores/Spares"/>
    <s v="MS Structure Items"/>
    <s v="Packing Material"/>
    <s v="Packing Material"/>
    <s v="MS Pipe"/>
    <n v="235"/>
    <n v="11280"/>
  </r>
  <r>
    <x v="1"/>
    <s v="HCP Plastene Bulkpack Ltd"/>
    <d v="2023-05-13T00:00:00"/>
    <s v="K.P. Woven Pvt Ltd-Sales"/>
    <s v="Sales"/>
    <n v="103"/>
    <x v="1"/>
    <s v="HPBL/D/103"/>
    <d v="2023-05-13T00:00:00"/>
    <s v="SF"/>
    <s v="Films All"/>
    <s v="PE Film"/>
    <s v="LLDPE FILM"/>
    <s v="LDPE/LLDPE Film"/>
    <n v="288.5"/>
    <n v="72125"/>
  </r>
  <r>
    <x v="1"/>
    <s v="HCP Plastene Bulkpack Ltd"/>
    <d v="2023-05-13T00:00:00"/>
    <s v="Plastene India ltd - Unit 6-Sales"/>
    <s v="Sales"/>
    <n v="98"/>
    <x v="0"/>
    <s v="HPBL/D/98"/>
    <d v="2023-05-13T00:00:00"/>
    <s v="SF"/>
    <s v="Liners"/>
    <s v="LDPE/LLDPE Bags"/>
    <s v="LLDPE BAGS (LINER)"/>
    <s v="PE Labels (Pcs)"/>
    <n v="90"/>
    <n v="7200"/>
  </r>
  <r>
    <x v="1"/>
    <s v="HCP Plastene Bulkpack Ltd"/>
    <d v="2023-05-13T00:00:00"/>
    <s v="Plastene India ltd - Unit 6-Sales"/>
    <s v="Sales"/>
    <n v="98"/>
    <x v="0"/>
    <s v="HPBL/D/98"/>
    <d v="2023-05-13T00:00:00"/>
    <s v="SF"/>
    <s v="Liners"/>
    <s v="LDPE/LLDPE Bags"/>
    <s v="LLDPE BAGS (LINER)"/>
    <s v="PE Labels (Pcs)"/>
    <n v="90"/>
    <n v="26100"/>
  </r>
  <r>
    <x v="1"/>
    <s v="HCP Plastene Bulkpack Ltd"/>
    <d v="2023-05-13T00:00:00"/>
    <s v="Plastene India ltd - Unit 6-Sales"/>
    <s v="Sales"/>
    <n v="98"/>
    <x v="0"/>
    <s v="HPBL/D/98"/>
    <d v="2023-05-13T00:00:00"/>
    <s v="SF"/>
    <s v="Webbing"/>
    <s v="PP Webbing"/>
    <s v="PP Webbing"/>
    <s v="Webbing"/>
    <n v="1016.7"/>
    <n v="129161.57"/>
  </r>
  <r>
    <x v="1"/>
    <s v="HCP Plastene Bulkpack Ltd"/>
    <d v="2023-05-13T00:00:00"/>
    <s v="Plastene India ltd - Unit 6-Sales"/>
    <s v="Sales"/>
    <n v="99"/>
    <x v="0"/>
    <s v="HPBL/D/99"/>
    <d v="2023-05-13T00:00:00"/>
    <s v="Stores/Spares"/>
    <s v="MS Structure Items"/>
    <s v="Packing Material"/>
    <s v="Packing Material"/>
    <s v="MS Pipe"/>
    <n v="112"/>
    <n v="5376"/>
  </r>
  <r>
    <x v="1"/>
    <s v="HCP Plastene Bulkpack Ltd"/>
    <d v="2023-05-13T00:00:00"/>
    <s v="Plastene Polyfilms Ltd-Sales"/>
    <s v="Sales"/>
    <n v="105"/>
    <x v="0"/>
    <s v="HPBL/D/105"/>
    <d v="2023-05-13T00:00:00"/>
    <s v="Stores/Spares"/>
    <s v="MS Structure Items"/>
    <s v="Packing Material"/>
    <s v="Packing Material"/>
    <s v="MS Pipe"/>
    <n v="251"/>
    <n v="12048"/>
  </r>
  <r>
    <x v="1"/>
    <s v="HCP Plastene Bulkpack Ltd"/>
    <d v="2023-05-16T00:00:00"/>
    <s v="K.P. Woven Pvt Ltd-Sales"/>
    <s v="Sales"/>
    <n v="109"/>
    <x v="0"/>
    <s v="HPBL/D/109"/>
    <d v="2023-05-16T00:00:00"/>
    <s v="Stores/Spares"/>
    <s v="MS Structure Items"/>
    <s v="Packing Material"/>
    <s v="Packing Material"/>
    <s v="MS Pipe"/>
    <n v="231"/>
    <n v="11088"/>
  </r>
  <r>
    <x v="1"/>
    <s v="HCP Plastene Bulkpack Ltd"/>
    <d v="2023-05-18T00:00:00"/>
    <s v="Plastene India ltd - Unit 2-Sales"/>
    <s v="Sales"/>
    <n v="115"/>
    <x v="0"/>
    <s v="HPBL/D/115"/>
    <d v="2023-05-18T00:00:00"/>
    <s v="Stores/Spares"/>
    <s v="MS Structure Items"/>
    <s v="Packing Material"/>
    <s v="Packing Material"/>
    <s v="MS Pipe"/>
    <n v="169"/>
    <n v="8112"/>
  </r>
  <r>
    <x v="1"/>
    <s v="HCP Plastene Bulkpack Ltd"/>
    <d v="2023-05-20T00:00:00"/>
    <s v="Plastene India ltd - Unit 6-Sales"/>
    <s v="Sales"/>
    <n v="119"/>
    <x v="0"/>
    <s v="HPBL/D/119"/>
    <d v="2023-05-20T00:00:00"/>
    <s v="Stores/Spares"/>
    <s v="MS Structure Items"/>
    <s v="Packing Material"/>
    <s v="Packing Material"/>
    <s v="MS Pipe"/>
    <n v="141"/>
    <n v="6768"/>
  </r>
  <r>
    <x v="1"/>
    <s v="HCP Plastene Bulkpack Ltd"/>
    <d v="2023-05-22T00:00:00"/>
    <s v="K.P. Woven Pvt Ltd-Sales"/>
    <s v="Sales"/>
    <n v="122"/>
    <x v="0"/>
    <s v="HPBL/D/122"/>
    <d v="2023-05-22T00:00:00"/>
    <s v="Stores/Spares"/>
    <s v="MS Structure Items"/>
    <s v="Packing Material"/>
    <s v="Packing Material"/>
    <s v="MS Pipe"/>
    <n v="252"/>
    <n v="12096"/>
  </r>
  <r>
    <x v="1"/>
    <s v="HCP Plastene Bulkpack Ltd"/>
    <d v="2023-05-23T00:00:00"/>
    <s v="Plastene India ltd - Unit 2-Sales"/>
    <s v="Sales"/>
    <n v="123"/>
    <x v="1"/>
    <s v="HPBL/D/123"/>
    <d v="2023-05-23T00:00:00"/>
    <s v="FG"/>
    <s v="Small Bags"/>
    <s v="PP Bags"/>
    <s v="PP WOVEN BAG &amp; SACK"/>
    <s v="PP Lam Bags Without UV"/>
    <n v="831.1"/>
    <n v="144212.47"/>
  </r>
  <r>
    <x v="1"/>
    <s v="HCP Plastene Bulkpack Ltd"/>
    <d v="2023-05-23T00:00:00"/>
    <s v="Plastene India ltd - Unit 2-Sales"/>
    <s v="Sales"/>
    <n v="125"/>
    <x v="0"/>
    <s v="HPBL/D/125"/>
    <d v="2023-05-23T00:00:00"/>
    <s v="Stores/Spares"/>
    <s v="MS Structure Items"/>
    <s v="Packing Material"/>
    <s v="Packing Material"/>
    <s v="MS Pipe"/>
    <n v="220"/>
    <n v="10560"/>
  </r>
  <r>
    <x v="1"/>
    <s v="HCP Plastene Bulkpack Ltd"/>
    <d v="2023-05-24T00:00:00"/>
    <s v="Plastene India ltd - Unit 1-Sales"/>
    <s v="Sales"/>
    <n v="126"/>
    <x v="0"/>
    <s v="HPBL/D/126"/>
    <d v="2023-05-24T00:00:00"/>
    <s v="RM"/>
    <s v="Granules"/>
    <s v="LLDPE Granules"/>
    <s v="LLDPE GRANULES"/>
    <s v="LLDPE Exxon 6202 Vistamaxx"/>
    <n v="200"/>
    <n v="43100"/>
  </r>
  <r>
    <x v="1"/>
    <s v="HCP Plastene Bulkpack Ltd"/>
    <d v="2023-05-24T00:00:00"/>
    <s v="Plastene Polyfilms Ltd-Sales"/>
    <s v="Sales"/>
    <n v="129"/>
    <x v="0"/>
    <s v="HPBL/D/129"/>
    <d v="2023-05-24T00:00:00"/>
    <s v="Stores/Spares"/>
    <s v="MS Structure Items"/>
    <s v="Packing Material"/>
    <s v="Packing Material"/>
    <s v="MS Pipe"/>
    <n v="98"/>
    <n v="4704"/>
  </r>
  <r>
    <x v="1"/>
    <s v="HCP Plastene Bulkpack Ltd"/>
    <d v="2023-05-29T00:00:00"/>
    <s v="K.P. Woven Pvt Ltd-Sales"/>
    <s v="Sales"/>
    <n v="135"/>
    <x v="0"/>
    <s v="HPBL/D/135"/>
    <d v="2023-05-29T00:00:00"/>
    <s v="Stores/Spares"/>
    <s v="MS Structure Items"/>
    <s v="Packing Material"/>
    <s v="Packing Material"/>
    <s v="MS Pipe"/>
    <n v="210"/>
    <n v="10080"/>
  </r>
  <r>
    <x v="1"/>
    <s v="HCP Plastene Bulkpack Ltd"/>
    <d v="2023-05-29T00:00:00"/>
    <s v="Plastene India ltd - Unit 6-Sales"/>
    <s v="Sales"/>
    <n v="132"/>
    <x v="0"/>
    <s v="HPBL/D/132"/>
    <d v="2023-05-29T00:00:00"/>
    <s v="Stores/Spares"/>
    <s v="MS Structure Items"/>
    <s v="Packing Material"/>
    <s v="Packing Material"/>
    <s v="MS Pipe"/>
    <n v="65"/>
    <n v="3120"/>
  </r>
  <r>
    <x v="1"/>
    <s v="HCP Plastene Bulkpack Ltd"/>
    <d v="2023-05-31T00:00:00"/>
    <s v="Plastene Polyfilms Ltd-Sales"/>
    <s v="Sales"/>
    <n v="137"/>
    <x v="0"/>
    <s v="HPBL/D/137"/>
    <d v="2023-05-31T00:00:00"/>
    <s v="Stores/Spares"/>
    <s v="MS Structure Items"/>
    <s v="Packing Material"/>
    <s v="Packing Material"/>
    <s v="MS Pipe"/>
    <n v="253"/>
    <n v="12144"/>
  </r>
  <r>
    <x v="2"/>
    <s v="HCP Plastene Bulkpack Ltd"/>
    <d v="2023-06-02T00:00:00"/>
    <s v="Plastene India ltd - Unit 2-Sales"/>
    <s v="Sales"/>
    <n v="140"/>
    <x v="0"/>
    <s v="HPBL/D/140"/>
    <d v="2023-06-02T00:00:00"/>
    <s v="Stores/Spares"/>
    <s v="MS Structure Items"/>
    <s v="Packing Material"/>
    <s v="Packing Material"/>
    <s v="MS Pipe"/>
    <n v="213"/>
    <n v="10224"/>
  </r>
  <r>
    <x v="2"/>
    <s v="HCP Plastene Bulkpack Ltd"/>
    <d v="2023-06-06T00:00:00"/>
    <s v="Plastene India ltd - Unit 2-Sales"/>
    <s v="Sales"/>
    <n v="144"/>
    <x v="0"/>
    <s v="HPBL/D/144"/>
    <d v="2023-06-06T00:00:00"/>
    <s v="Stores/Spares"/>
    <s v="MS Structure Items"/>
    <s v="Packing Material"/>
    <s v="Packing Material"/>
    <s v="MS Pipe"/>
    <n v="190"/>
    <n v="9120"/>
  </r>
  <r>
    <x v="2"/>
    <s v="HCP Plastene Bulkpack Ltd"/>
    <d v="2023-06-06T00:00:00"/>
    <s v="Plastene Polyfilms Ltd-Sales"/>
    <s v="Sales"/>
    <n v="145"/>
    <x v="0"/>
    <s v="HPBL/D/145"/>
    <d v="2023-06-06T00:00:00"/>
    <s v="Stores/Spares"/>
    <s v="Tape Plant Spares"/>
    <s v="Spares &amp; Stores"/>
    <s v="Spares &amp; Stores"/>
    <s v="Star Tolerance Ring Ls20602104"/>
    <n v="100"/>
    <n v="7300"/>
  </r>
  <r>
    <x v="2"/>
    <s v="HCP Plastene Bulkpack Ltd"/>
    <d v="2023-06-09T00:00:00"/>
    <s v="K.P. Woven Pvt Ltd-Sales"/>
    <s v="Sales"/>
    <n v="151"/>
    <x v="3"/>
    <s v="HPBL/D/151"/>
    <d v="2023-06-09T00:00:00"/>
    <s v="Other Scrap"/>
    <s v="Wastage/Scrap"/>
    <s v="Finished Material"/>
    <s v="SCRAP"/>
    <s v="MS/Other Scrap"/>
    <n v="50"/>
    <n v="22500"/>
  </r>
  <r>
    <x v="2"/>
    <s v="HCP Plastene Bulkpack Ltd"/>
    <d v="2023-06-09T00:00:00"/>
    <s v="K.P. Woven Pvt Ltd-Sales"/>
    <s v="Sales"/>
    <n v="153"/>
    <x v="0"/>
    <s v="HPBL/D/153"/>
    <d v="2023-06-09T00:00:00"/>
    <s v="Stores/Spares"/>
    <s v="MS Structure Items"/>
    <s v="Packing Material"/>
    <s v="Packing Material"/>
    <s v="MS Pipe"/>
    <n v="376"/>
    <n v="18048"/>
  </r>
  <r>
    <x v="2"/>
    <s v="HCP Plastene Bulkpack Ltd"/>
    <d v="2023-06-09T00:00:00"/>
    <s v="Plastene Polyfilms Ltd-Sales"/>
    <s v="Sales"/>
    <n v="148"/>
    <x v="0"/>
    <s v="HPBL/D/148"/>
    <d v="2023-06-09T00:00:00"/>
    <s v="Stores/Spares"/>
    <s v="MS Structure Items"/>
    <s v="Packing Material"/>
    <s v="Packing Material"/>
    <s v="MS Pipe"/>
    <n v="147"/>
    <n v="7056"/>
  </r>
  <r>
    <x v="2"/>
    <s v="HCP Plastene Bulkpack Ltd"/>
    <d v="2023-06-11T00:00:00"/>
    <s v="Plastene India ltd - Unit 1-Sales"/>
    <s v="Sales"/>
    <n v="155"/>
    <x v="0"/>
    <s v="HPBL/D/155"/>
    <d v="2023-06-11T00:00:00"/>
    <s v="RM"/>
    <s v="Granules"/>
    <s v="LLDPE Granules"/>
    <s v="LLDPE GRANULES"/>
    <s v="MLLDPE Borouge FK2719"/>
    <n v="24750"/>
    <n v="2351250"/>
  </r>
  <r>
    <x v="2"/>
    <s v="HCP Plastene Bulkpack Ltd"/>
    <d v="2023-06-12T00:00:00"/>
    <s v="Plastene India ltd - Unit 1-Sales"/>
    <s v="Sales"/>
    <n v="160"/>
    <x v="1"/>
    <s v="HPBL/D/160"/>
    <d v="2023-06-12T00:00:00"/>
    <s v="SF"/>
    <s v="Granules"/>
    <s v="RP Granules"/>
    <s v="REPROCESS GRANULES(RM)"/>
    <s v="RP Granules"/>
    <n v="16000"/>
    <n v="912000"/>
  </r>
  <r>
    <x v="2"/>
    <s v="HCP Plastene Bulkpack Ltd"/>
    <d v="2023-06-13T00:00:00"/>
    <s v="K.P. Woven Pvt Ltd-Sales"/>
    <s v="Sales"/>
    <n v="161"/>
    <x v="0"/>
    <s v="HPBL/D/161"/>
    <d v="2023-06-13T00:00:00"/>
    <s v="RM"/>
    <s v="Granules"/>
    <s v="UV MB"/>
    <s v="Master Batch"/>
    <s v="UV Arguvin FG 626 LD"/>
    <n v="2000"/>
    <n v="639700"/>
  </r>
  <r>
    <x v="2"/>
    <s v="HCP Plastene Bulkpack Ltd"/>
    <d v="2023-06-13T00:00:00"/>
    <s v="K.P. Woven Pvt Ltd-Sales"/>
    <s v="Sales"/>
    <n v="164"/>
    <x v="0"/>
    <s v="HPBL/D/164"/>
    <d v="2023-06-13T00:00:00"/>
    <s v="Stores/Spares"/>
    <s v="MS Structure Items"/>
    <s v="Packing Material"/>
    <s v="Packing Material"/>
    <s v="MS Pipe"/>
    <n v="164"/>
    <n v="7872"/>
  </r>
  <r>
    <x v="2"/>
    <s v="HCP Plastene Bulkpack Ltd"/>
    <d v="2023-06-14T00:00:00"/>
    <s v="K.P. Woven Pvt Ltd-Purchase"/>
    <s v="Sales Return"/>
    <s v="SR 2"/>
    <x v="0"/>
    <s v="HPBL/D/164"/>
    <d v="2023-06-13T00:00:00"/>
    <s v="Stores/Spares"/>
    <s v="MS Structure Items"/>
    <s v="Packing Material"/>
    <s v="Packing Material"/>
    <s v="MS Pipe"/>
    <n v="-164"/>
    <n v="-7872"/>
  </r>
  <r>
    <x v="2"/>
    <s v="HCP Plastene Bulkpack Ltd"/>
    <d v="2023-06-16T00:00:00"/>
    <s v="K.P. Woven Pvt Ltd-Sales"/>
    <s v="Sales"/>
    <n v="169"/>
    <x v="0"/>
    <s v="HPBL/D/169"/>
    <d v="2023-06-16T00:00:00"/>
    <s v="Stores/Spares"/>
    <s v="MS Structure Items"/>
    <s v="Packing Material"/>
    <s v="Packing Material"/>
    <s v="MS Pipe"/>
    <n v="240"/>
    <n v="11520"/>
  </r>
  <r>
    <x v="2"/>
    <s v="HCP Plastene Bulkpack Ltd"/>
    <d v="2023-06-17T00:00:00"/>
    <s v="Plastene India ltd - Unit 2-Sales"/>
    <s v="Sales"/>
    <n v="171"/>
    <x v="0"/>
    <s v="HPBL/D/171"/>
    <d v="2023-06-17T00:00:00"/>
    <s v="Stores/Spares"/>
    <s v="MS Structure Items"/>
    <s v="Packing Material"/>
    <s v="Packing Material"/>
    <s v="MS Pipe"/>
    <n v="168"/>
    <n v="8064"/>
  </r>
  <r>
    <x v="2"/>
    <s v="HCP Plastene Bulkpack Ltd"/>
    <d v="2023-06-18T00:00:00"/>
    <s v="K.P. Woven Pvt Ltd-Sales"/>
    <s v="Sales"/>
    <n v="178"/>
    <x v="0"/>
    <s v="HPBL/D/178"/>
    <d v="2023-06-18T00:00:00"/>
    <s v="Stores/Spares"/>
    <s v="MS Structure Items"/>
    <s v="Packing Material"/>
    <s v="Packing Material"/>
    <s v="MS Pipe"/>
    <n v="177"/>
    <n v="8496"/>
  </r>
  <r>
    <x v="2"/>
    <s v="HCP Plastene Bulkpack Ltd"/>
    <d v="2023-06-18T00:00:00"/>
    <s v="Plastene India ltd - Unit 6-Sales"/>
    <s v="Sales"/>
    <n v="174"/>
    <x v="0"/>
    <s v="HPBL/D/174"/>
    <d v="2023-06-18T00:00:00"/>
    <s v="Stores/Spares"/>
    <s v="MS Structure Items"/>
    <s v="Packing Material"/>
    <s v="Packing Material"/>
    <s v="MS Pipe"/>
    <n v="49"/>
    <n v="2352"/>
  </r>
  <r>
    <x v="2"/>
    <s v="HCP Plastene Bulkpack Ltd"/>
    <d v="2023-06-18T00:00:00"/>
    <s v="Plastene Polyfilms Ltd-Sales"/>
    <s v="Sales"/>
    <n v="176"/>
    <x v="0"/>
    <s v="HPBL/D/176"/>
    <d v="2023-06-18T00:00:00"/>
    <s v="Stores/Spares"/>
    <s v="MS Structure Items"/>
    <s v="Packing Material"/>
    <s v="Packing Material"/>
    <s v="MS Pipe"/>
    <n v="112"/>
    <n v="5376"/>
  </r>
  <r>
    <x v="2"/>
    <s v="HCP Plastene Bulkpack Ltd"/>
    <d v="2023-06-22T00:00:00"/>
    <s v="K.P. Woven Pvt Ltd-Sales"/>
    <s v="Sales"/>
    <n v="180"/>
    <x v="0"/>
    <s v="HPBL/D/180"/>
    <d v="2023-06-22T00:00:00"/>
    <s v="Stores/Spares"/>
    <s v="MS Structure Items"/>
    <s v="Packing Material"/>
    <s v="Packing Material"/>
    <s v="MS Pipe"/>
    <n v="198"/>
    <n v="9504"/>
  </r>
  <r>
    <x v="2"/>
    <s v="HCP Plastene Bulkpack Ltd"/>
    <d v="2023-06-22T00:00:00"/>
    <s v="Plastene India ltd - Unit 2-Sales"/>
    <s v="Sales"/>
    <n v="183"/>
    <x v="0"/>
    <s v="HPBL/D/183"/>
    <d v="2023-06-22T00:00:00"/>
    <s v="Stores/Spares"/>
    <s v="MS Structure Items"/>
    <s v="Packing Material"/>
    <s v="Packing Material"/>
    <s v="MS Pipe"/>
    <n v="182"/>
    <n v="8736"/>
  </r>
  <r>
    <x v="2"/>
    <s v="HCP Plastene Bulkpack Ltd"/>
    <d v="2023-06-22T00:00:00"/>
    <s v="Plastene India ltd - Unit 2-Sales"/>
    <s v="Sales"/>
    <n v="184"/>
    <x v="1"/>
    <s v="HPBL/D/184"/>
    <d v="2023-06-22T00:00:00"/>
    <s v="FG"/>
    <s v="Small Bags"/>
    <s v="PP Bags"/>
    <s v="PP WOVEN BAG &amp; SACK"/>
    <s v="PP UL Bags Without UV With Liner"/>
    <n v="959"/>
    <n v="108827.32"/>
  </r>
  <r>
    <x v="2"/>
    <s v="HCP Plastene Bulkpack Ltd"/>
    <d v="2023-06-23T00:00:00"/>
    <s v="K.P. Woven Pvt Ltd-Sales"/>
    <s v="Sales"/>
    <n v="187"/>
    <x v="0"/>
    <s v="HPBL/D/187"/>
    <d v="2023-06-23T00:00:00"/>
    <s v="Stores/Spares"/>
    <s v="MS Structure Items"/>
    <s v="Packing Material"/>
    <s v="Packing Material"/>
    <s v="MS Pipe"/>
    <n v="104"/>
    <n v="4992"/>
  </r>
  <r>
    <x v="2"/>
    <s v="HCP Plastene Bulkpack Ltd"/>
    <d v="2023-06-23T00:00:00"/>
    <s v="Plastene Polyfilms Ltd-Sales"/>
    <s v="Sales"/>
    <n v="191"/>
    <x v="0"/>
    <s v="HPBL/D/191"/>
    <d v="2023-06-23T00:00:00"/>
    <s v="Stores/Spares"/>
    <s v="MS Structure Items"/>
    <s v="Packing Material"/>
    <s v="Packing Material"/>
    <s v="MS Pipe"/>
    <n v="118"/>
    <n v="5664"/>
  </r>
  <r>
    <x v="2"/>
    <s v="HCP Plastene Bulkpack Ltd"/>
    <d v="2023-06-26T00:00:00"/>
    <s v="K.P. Woven Pvt Ltd-Sales"/>
    <s v="Sales"/>
    <n v="195"/>
    <x v="0"/>
    <s v="HPBL/D/195"/>
    <d v="2023-06-26T00:00:00"/>
    <s v="Stores/Spares"/>
    <s v="MS Structure Items"/>
    <s v="Packing Material"/>
    <s v="Packing Material"/>
    <s v="MS Pipe"/>
    <n v="181"/>
    <n v="8688"/>
  </r>
  <r>
    <x v="2"/>
    <s v="HCP Plastene Bulkpack Ltd"/>
    <d v="2023-06-27T00:00:00"/>
    <s v="Plastene India ltd - Unit 2-Sales"/>
    <s v="Sales"/>
    <n v="198"/>
    <x v="0"/>
    <s v="HPBL/D/198"/>
    <d v="2023-06-27T00:00:00"/>
    <s v="Stores/Spares"/>
    <s v="MS Structure Items"/>
    <s v="Packing Material"/>
    <s v="Packing Material"/>
    <s v="MS Pipe"/>
    <n v="171"/>
    <n v="8208"/>
  </r>
  <r>
    <x v="2"/>
    <s v="HCP Plastene Bulkpack Ltd"/>
    <d v="2023-06-29T00:00:00"/>
    <s v="K.P. Woven Pvt Ltd-Sales"/>
    <s v="Sales"/>
    <n v="202"/>
    <x v="1"/>
    <s v="HPBL/D/202"/>
    <d v="2023-06-29T00:00:00"/>
    <s v="SF"/>
    <s v="Films All"/>
    <s v="PE Film"/>
    <s v="LLDPE FILM"/>
    <s v="LDPE/LLDPE Film"/>
    <n v="106.8"/>
    <n v="26700"/>
  </r>
  <r>
    <x v="2"/>
    <s v="HCP Plastene Bulkpack Ltd"/>
    <d v="2023-06-29T00:00:00"/>
    <s v="K.P. Woven Pvt Ltd-Sales"/>
    <s v="Sales"/>
    <n v="203"/>
    <x v="0"/>
    <s v="HPBL/D/203"/>
    <d v="2023-06-29T00:00:00"/>
    <s v="Stores/Spares"/>
    <s v="MS Structure Items"/>
    <s v="Packing Material"/>
    <s v="Packing Material"/>
    <s v="MS Pipe"/>
    <n v="189"/>
    <n v="9072"/>
  </r>
  <r>
    <x v="2"/>
    <s v="HCP Plastene Bulkpack Ltd"/>
    <d v="2023-06-29T00:00:00"/>
    <s v="Plastene India ltd - Unit 1-Sales"/>
    <s v="Sales"/>
    <n v="205"/>
    <x v="1"/>
    <s v="HPBL/D/205"/>
    <d v="2023-06-29T00:00:00"/>
    <s v="SF"/>
    <s v="Films All"/>
    <s v="PE Film"/>
    <s v="LLDPE FILM"/>
    <s v="LDPE/LLDPE Film"/>
    <n v="201.7"/>
    <n v="50425"/>
  </r>
  <r>
    <x v="2"/>
    <s v="HCP Plastene Bulkpack Ltd"/>
    <d v="2023-06-29T00:00:00"/>
    <s v="Plastene India ltd - Unit 2-Sales"/>
    <s v="Sales"/>
    <n v="200"/>
    <x v="1"/>
    <s v="HPBL/D/200"/>
    <d v="2023-06-29T00:00:00"/>
    <s v="SF"/>
    <s v="PP/PE Fabric"/>
    <s v="PP Lam Fabric"/>
    <s v="PP Laminated Fabric"/>
    <s v="PP Lam Fabric With UV"/>
    <n v="1529"/>
    <n v="236995"/>
  </r>
  <r>
    <x v="2"/>
    <s v="HCP Plastene Bulkpack Ltd"/>
    <d v="2023-06-29T00:00:00"/>
    <s v="Plastene Polyfilms Ltd-Sales"/>
    <s v="Sales"/>
    <n v="207"/>
    <x v="0"/>
    <s v="HPBL/D/207"/>
    <d v="2023-06-29T00:00:00"/>
    <s v="Stores/Spares"/>
    <s v="MS Structure Items"/>
    <s v="Packing Material"/>
    <s v="Packing Material"/>
    <s v="MS Pipe"/>
    <n v="182"/>
    <n v="8736"/>
  </r>
  <r>
    <x v="2"/>
    <s v="HCP Plastene Bulkpack Ltd"/>
    <d v="2023-06-30T00:00:00"/>
    <s v="Plastene India ltd - Unit 1-Sales"/>
    <s v="Sales"/>
    <n v="208"/>
    <x v="0"/>
    <s v="HPBL/D/208"/>
    <d v="2023-06-30T00:00:00"/>
    <s v="RM"/>
    <s v="Granules"/>
    <s v="Masterbatch"/>
    <s v="Master Batch"/>
    <s v="MB JJ White WE9381PT"/>
    <n v="500"/>
    <n v="77000"/>
  </r>
  <r>
    <x v="2"/>
    <s v="HCP Plastene Bulkpack Ltd"/>
    <d v="2023-06-30T00:00:00"/>
    <s v="Plastene India ltd - Unit 2-Sales"/>
    <s v="Sales"/>
    <n v="210"/>
    <x v="0"/>
    <s v="HPBL/D/210"/>
    <d v="2023-06-30T00:00:00"/>
    <s v="Stores/Spares"/>
    <s v="MS Structure Items"/>
    <s v="Packing Material"/>
    <s v="Packing Material"/>
    <s v="MS Pipe"/>
    <n v="137"/>
    <n v="6576"/>
  </r>
  <r>
    <x v="2"/>
    <s v="HCP Plastene Bulkpack Ltd"/>
    <d v="2023-06-30T00:00:00"/>
    <s v="Plastene India ltd - Unit 2-Sales"/>
    <s v="Sales"/>
    <n v="211"/>
    <x v="1"/>
    <s v="HPBL/D/211"/>
    <d v="2023-06-30T00:00:00"/>
    <s v="SF"/>
    <s v="Films All"/>
    <s v="PE Film"/>
    <s v="LLDPE FILM"/>
    <s v="LDPE/LLDPE Film"/>
    <n v="129"/>
    <n v="32250"/>
  </r>
  <r>
    <x v="0"/>
    <s v="HCP Plastene Bulkpack Ltd (Unit - III)"/>
    <d v="2023-04-07T00:00:00"/>
    <s v="Plastene India ltd - Unit 6-Sales"/>
    <s v="Sales"/>
    <n v="1"/>
    <x v="1"/>
    <s v="HPBL3/D/1"/>
    <d v="2023-04-07T00:00:00"/>
    <s v="FG"/>
    <s v="FIBC Bags"/>
    <s v="FIBC Bags"/>
    <s v="FIBC Jumbo Bags"/>
    <s v="FIBC Bags With UV Without Liner"/>
    <n v="1131"/>
    <n v="194384.97"/>
  </r>
  <r>
    <x v="0"/>
    <s v="HCP Plastene Bulkpack Ltd (Unit - III)"/>
    <d v="2023-04-07T00:00:00"/>
    <s v="Plastene India ltd - Unit 6-Sales"/>
    <s v="Sales"/>
    <n v="1"/>
    <x v="1"/>
    <s v="HPBL3/D/1"/>
    <d v="2023-04-07T00:00:00"/>
    <s v="FG"/>
    <s v="FIBC Bags"/>
    <s v="FIBC Bags"/>
    <s v="FIBC Jumbo Bags"/>
    <s v="FIBC Bags With UV Without Liner"/>
    <n v="1160"/>
    <n v="199902.8"/>
  </r>
  <r>
    <x v="0"/>
    <s v="HCP Plastene Bulkpack Ltd (Unit - III)"/>
    <d v="2023-04-07T00:00:00"/>
    <s v="Plastene India ltd - Unit 6-Sales"/>
    <s v="Sales"/>
    <n v="1"/>
    <x v="1"/>
    <s v="HPBL3/D/1"/>
    <d v="2023-04-07T00:00:00"/>
    <s v="FG"/>
    <s v="FIBC Bags"/>
    <s v="FIBC Bags"/>
    <s v="FIBC Jumbo Bags"/>
    <s v="FIBC Bags With UV Without Liner"/>
    <n v="3505"/>
    <n v="567459.5"/>
  </r>
  <r>
    <x v="0"/>
    <s v="HCP Plastene Bulkpack Ltd (Unit - III)"/>
    <d v="2023-04-10T00:00:00"/>
    <s v="Plastene India ltd - Unit 2-Sales"/>
    <s v="Sales"/>
    <n v="2"/>
    <x v="1"/>
    <s v="HPBL3/D/2"/>
    <d v="2023-04-10T00:00:00"/>
    <s v="FG"/>
    <s v="FIBC Bags"/>
    <s v="FIBC Bags"/>
    <s v="FIBC Jumbo Bags"/>
    <s v="FIBC Bags With UV Without Liner"/>
    <n v="3338"/>
    <n v="543726.81999999995"/>
  </r>
  <r>
    <x v="0"/>
    <s v="HCP Plastene Bulkpack Ltd (Unit - III)"/>
    <d v="2023-04-10T00:00:00"/>
    <s v="Plastene India ltd - Unit 2-Sales"/>
    <s v="Sales"/>
    <n v="2"/>
    <x v="1"/>
    <s v="HPBL3/D/2"/>
    <d v="2023-04-10T00:00:00"/>
    <s v="FG"/>
    <s v="FIBC Bags"/>
    <s v="FIBC Bags"/>
    <s v="FIBC Jumbo Bags"/>
    <s v="FIBC Bags With UV Without Liner"/>
    <n v="4704"/>
    <n v="1083237.1200000001"/>
  </r>
  <r>
    <x v="0"/>
    <s v="HCP Plastene Bulkpack Ltd (Unit - III)"/>
    <d v="2023-04-11T00:00:00"/>
    <s v="Plastene India ltd - Unit 2-Sales"/>
    <s v="Sales"/>
    <n v="3"/>
    <x v="1"/>
    <s v="HPBL3/D/3"/>
    <d v="2023-04-11T00:00:00"/>
    <s v="FG"/>
    <s v="FIBC Bags"/>
    <s v="FIBC Bags"/>
    <s v="FIBC Jumbo Bags"/>
    <s v="FIBC Bags With UV Without Liner"/>
    <n v="3874"/>
    <n v="671751.6"/>
  </r>
  <r>
    <x v="0"/>
    <s v="HCP Plastene Bulkpack Ltd (Unit - III)"/>
    <d v="2023-04-11T00:00:00"/>
    <s v="Plastene India ltd - Unit 2-Sales"/>
    <s v="Sales"/>
    <n v="3"/>
    <x v="1"/>
    <s v="HPBL3/D/3"/>
    <d v="2023-04-11T00:00:00"/>
    <s v="FG"/>
    <s v="FIBC Bags"/>
    <s v="FIBC Bags"/>
    <s v="FIBC Jumbo Bags"/>
    <s v="FIBC Bags With UV Without Liner"/>
    <n v="4259"/>
    <n v="684676.84"/>
  </r>
  <r>
    <x v="0"/>
    <s v="HCP Plastene Bulkpack Ltd (Unit - III)"/>
    <d v="2023-04-12T00:00:00"/>
    <s v="Plastene India ltd - Unit 2-Sales"/>
    <s v="Sales"/>
    <n v="4"/>
    <x v="1"/>
    <s v="HPBL3/D/4"/>
    <d v="2023-04-12T00:00:00"/>
    <s v="FG"/>
    <s v="FIBC Bags"/>
    <s v="FIBC Bags"/>
    <s v="FIBC Jumbo Bags"/>
    <s v="FIBC Bags With UV Without Liner"/>
    <n v="857.6"/>
    <n v="141341.06"/>
  </r>
  <r>
    <x v="0"/>
    <s v="HCP Plastene Bulkpack Ltd (Unit - III)"/>
    <d v="2023-04-12T00:00:00"/>
    <s v="Plastene India ltd - Unit 2-Sales"/>
    <s v="Sales"/>
    <n v="4"/>
    <x v="1"/>
    <s v="HPBL3/D/4"/>
    <d v="2023-04-12T00:00:00"/>
    <s v="FG"/>
    <s v="FIBC Bags"/>
    <s v="FIBC Bags"/>
    <s v="FIBC Jumbo Bags"/>
    <s v="FIBC Bags With UV Without Liner"/>
    <n v="6864"/>
    <n v="1092817.44"/>
  </r>
  <r>
    <x v="0"/>
    <s v="HCP Plastene Bulkpack Ltd (Unit - III)"/>
    <d v="2023-04-12T00:00:00"/>
    <s v="Plastene India ltd - Unit 2-Sales"/>
    <s v="Sales"/>
    <n v="5"/>
    <x v="0"/>
    <s v="HPBL3/D/5"/>
    <d v="2023-04-12T00:00:00"/>
    <s v="SF"/>
    <s v="PP/PE Fabric"/>
    <s v="PP UL Fabric"/>
    <s v="PP Woven Fabric"/>
    <s v="PP UL Fabric With UV"/>
    <n v="308"/>
    <n v="38512.32"/>
  </r>
  <r>
    <x v="0"/>
    <s v="HCP Plastene Bulkpack Ltd (Unit - III)"/>
    <d v="2023-04-12T00:00:00"/>
    <s v="Plastene India ltd - Unit 2-Sales"/>
    <s v="Sales"/>
    <n v="5"/>
    <x v="0"/>
    <s v="HPBL3/D/5"/>
    <d v="2023-04-12T00:00:00"/>
    <s v="SF"/>
    <s v="PP/PE Fabric"/>
    <s v="PP UL Fabric"/>
    <s v="PP Woven Fabric"/>
    <s v="PP UL Fabric With UV"/>
    <n v="103"/>
    <n v="12879.12"/>
  </r>
  <r>
    <x v="0"/>
    <s v="HCP Plastene Bulkpack Ltd (Unit - III)"/>
    <d v="2023-04-12T00:00:00"/>
    <s v="Plastene India ltd - Unit 2-Sales"/>
    <s v="Sales"/>
    <n v="6"/>
    <x v="0"/>
    <s v="HPBL3/D/6"/>
    <d v="2023-04-12T00:00:00"/>
    <s v="Stores/Spares"/>
    <s v="MS Structure Items"/>
    <s v="Packing Material"/>
    <s v="Packing Material"/>
    <s v="MS Pipe"/>
    <n v="20"/>
    <n v="960"/>
  </r>
  <r>
    <x v="0"/>
    <s v="HCP Plastene Bulkpack Ltd (Unit - III)"/>
    <d v="2023-04-14T00:00:00"/>
    <s v="Plastene India ltd - Unit 2-Sales"/>
    <s v="Sales"/>
    <n v="7"/>
    <x v="1"/>
    <s v="HPBL3/D/7"/>
    <d v="2023-04-14T00:00:00"/>
    <s v="FG"/>
    <s v="FIBC Bags"/>
    <s v="FIBC Bags"/>
    <s v="FIBC Jumbo Bags"/>
    <s v="FIBC Bags With UV Without Liner"/>
    <n v="2165.5"/>
    <n v="320190.83"/>
  </r>
  <r>
    <x v="0"/>
    <s v="HCP Plastene Bulkpack Ltd (Unit - III)"/>
    <d v="2023-04-14T00:00:00"/>
    <s v="Plastene India ltd - Unit 2-Sales"/>
    <s v="Sales"/>
    <n v="7"/>
    <x v="1"/>
    <s v="HPBL3/D/7"/>
    <d v="2023-04-14T00:00:00"/>
    <s v="FG"/>
    <s v="FIBC Bags"/>
    <s v="FIBC Bags"/>
    <s v="FIBC Jumbo Bags"/>
    <s v="FIBC Bags With UV Without Liner"/>
    <n v="2165.6999999999998"/>
    <n v="320220.40000000002"/>
  </r>
  <r>
    <x v="0"/>
    <s v="HCP Plastene Bulkpack Ltd (Unit - III)"/>
    <d v="2023-04-14T00:00:00"/>
    <s v="Plastene India ltd - Unit 2-Sales"/>
    <s v="Sales"/>
    <n v="7"/>
    <x v="1"/>
    <s v="HPBL3/D/7"/>
    <d v="2023-04-14T00:00:00"/>
    <s v="FG"/>
    <s v="FIBC Bags"/>
    <s v="FIBC Bags"/>
    <s v="FIBC Jumbo Bags"/>
    <s v="FIBC Bags With UV Without Liner"/>
    <n v="2676.03"/>
    <n v="426050.74"/>
  </r>
  <r>
    <x v="0"/>
    <s v="HCP Plastene Bulkpack Ltd (Unit - III)"/>
    <d v="2023-04-15T00:00:00"/>
    <s v="Plastene India ltd - Unit 6-Sales"/>
    <s v="Sales"/>
    <n v="8"/>
    <x v="1"/>
    <s v="HPBL3/D/8"/>
    <d v="2023-04-15T00:00:00"/>
    <s v="FG"/>
    <s v="FIBC Bags"/>
    <s v="FIBC Bags"/>
    <s v="FIBC Jumbo Bags"/>
    <s v="FIBC Bags With UV Without Liner"/>
    <n v="847"/>
    <n v="134639.12"/>
  </r>
  <r>
    <x v="0"/>
    <s v="HCP Plastene Bulkpack Ltd (Unit - III)"/>
    <d v="2023-04-15T00:00:00"/>
    <s v="Plastene India ltd - Unit 6-Sales"/>
    <s v="Sales"/>
    <n v="8"/>
    <x v="1"/>
    <s v="HPBL3/D/8"/>
    <d v="2023-04-15T00:00:00"/>
    <s v="FG"/>
    <s v="FIBC Bags"/>
    <s v="FIBC Bags"/>
    <s v="FIBC Jumbo Bags"/>
    <s v="FIBC Bags With UV Without Liner"/>
    <n v="1704"/>
    <n v="276150.24"/>
  </r>
  <r>
    <x v="0"/>
    <s v="HCP Plastene Bulkpack Ltd (Unit - III)"/>
    <d v="2023-04-15T00:00:00"/>
    <s v="Plastene India ltd - Unit 6-Sales"/>
    <s v="Sales"/>
    <n v="8"/>
    <x v="1"/>
    <s v="HPBL3/D/8"/>
    <d v="2023-04-15T00:00:00"/>
    <s v="FG"/>
    <s v="FIBC Bags"/>
    <s v="FIBC Bags"/>
    <s v="FIBC Jumbo Bags"/>
    <s v="FIBC Bags With UV Without Liner"/>
    <n v="1669.3"/>
    <n v="277170.57"/>
  </r>
  <r>
    <x v="0"/>
    <s v="HCP Plastene Bulkpack Ltd (Unit - III)"/>
    <d v="2023-04-21T00:00:00"/>
    <s v="Plastene India ltd - Unit 2-Sales"/>
    <s v="Sales"/>
    <n v="9"/>
    <x v="0"/>
    <s v="HPBL3/D/9"/>
    <d v="2023-04-21T00:00:00"/>
    <s v="FG"/>
    <s v="FIBC WIP"/>
    <s v="FIBC WIP"/>
    <s v="PP Woven Fabric"/>
    <s v="FIBC WIP"/>
    <n v="1093"/>
    <n v="131269.29999999999"/>
  </r>
  <r>
    <x v="0"/>
    <s v="HCP Plastene Bulkpack Ltd (Unit - III)"/>
    <d v="2023-04-30T00:00:00"/>
    <s v="Plastene India ltd - Unit 2-Sales"/>
    <s v="Sales"/>
    <n v="10"/>
    <x v="1"/>
    <s v="HPBL3/D/10"/>
    <d v="2023-04-30T00:00:00"/>
    <s v="FG"/>
    <s v="FIBC Bags"/>
    <s v="FIBC Bags"/>
    <s v="FIBC Jumbo Bags"/>
    <s v="FIBC Bags With UV Without Liner"/>
    <n v="878"/>
    <n v="145800.68"/>
  </r>
  <r>
    <x v="0"/>
    <s v="HCP Plastene Bulkpack Ltd (Unit - III)"/>
    <d v="2023-04-30T00:00:00"/>
    <s v="Plastene India ltd - Unit 2-Sales"/>
    <s v="Sales"/>
    <n v="10"/>
    <x v="1"/>
    <s v="HPBL3/D/10"/>
    <d v="2023-04-30T00:00:00"/>
    <s v="FG"/>
    <s v="FIBC Bags"/>
    <s v="FIBC Bags"/>
    <s v="FIBC Jumbo Bags"/>
    <s v="FIBC Bags With UV Without Liner"/>
    <n v="4634.3"/>
    <n v="851691.65"/>
  </r>
  <r>
    <x v="1"/>
    <s v="HCP Plastene Bulkpack Ltd (Unit - III)"/>
    <d v="2023-05-03T00:00:00"/>
    <s v="Plastene India ltd - Unit 2-Sales"/>
    <s v="Sales"/>
    <n v="11"/>
    <x v="1"/>
    <s v="HPBL3/D/11"/>
    <d v="2023-05-03T00:00:00"/>
    <s v="FG"/>
    <s v="FIBC Bags"/>
    <s v="FIBC Bags"/>
    <s v="FIBC Jumbo Bags"/>
    <s v="FIBC Bags With UV Without Liner"/>
    <n v="6966.1"/>
    <n v="1280229.8600000001"/>
  </r>
  <r>
    <x v="1"/>
    <s v="HCP Plastene Bulkpack Ltd (Unit - III)"/>
    <d v="2023-05-05T00:00:00"/>
    <s v="Plastene India ltd - Unit 2-Sales"/>
    <s v="Sales"/>
    <n v="12"/>
    <x v="1"/>
    <s v="HPBL3/D/12"/>
    <d v="2023-05-05T00:00:00"/>
    <s v="FG"/>
    <s v="FIBC Bags"/>
    <s v="FIBC Bags"/>
    <s v="FIBC Jumbo Bags"/>
    <s v="FIBC Bags With UV Without Liner"/>
    <n v="6966.1"/>
    <n v="1280229.8600000001"/>
  </r>
  <r>
    <x v="1"/>
    <s v="HCP Plastene Bulkpack Ltd (Unit - III)"/>
    <d v="2023-05-06T00:00:00"/>
    <s v="Plastene India ltd - Unit 2-Sales"/>
    <s v="Sales"/>
    <n v="13"/>
    <x v="1"/>
    <s v="HPBL3/D/13"/>
    <d v="2023-05-06T00:00:00"/>
    <s v="FG"/>
    <s v="FIBC Bags"/>
    <s v="FIBC Bags"/>
    <s v="FIBC Jumbo Bags"/>
    <s v="FIBC Bags With UV Without Liner"/>
    <n v="1246"/>
    <n v="192843.42"/>
  </r>
  <r>
    <x v="1"/>
    <s v="HCP Plastene Bulkpack Ltd (Unit - III)"/>
    <d v="2023-05-06T00:00:00"/>
    <s v="Plastene India ltd - Unit 2-Sales"/>
    <s v="Sales"/>
    <n v="13"/>
    <x v="1"/>
    <s v="HPBL3/D/13"/>
    <d v="2023-05-06T00:00:00"/>
    <s v="FG"/>
    <s v="FIBC Bags"/>
    <s v="FIBC Bags"/>
    <s v="FIBC Jumbo Bags"/>
    <s v="FIBC Bags With UV Without Liner"/>
    <n v="844"/>
    <n v="131081.64000000001"/>
  </r>
  <r>
    <x v="1"/>
    <s v="HCP Plastene Bulkpack Ltd (Unit - III)"/>
    <d v="2023-05-06T00:00:00"/>
    <s v="Plastene India ltd - Unit 2-Sales"/>
    <s v="Sales"/>
    <n v="14"/>
    <x v="1"/>
    <s v="HPBL3/D/14"/>
    <d v="2023-05-06T00:00:00"/>
    <s v="FG"/>
    <s v="FIBC Bags"/>
    <s v="FIBC Bags"/>
    <s v="FIBC Jumbo Bags"/>
    <s v="FIBC Bags With UV Without Liner"/>
    <n v="89"/>
    <n v="16356.42"/>
  </r>
  <r>
    <x v="1"/>
    <s v="HCP Plastene Bulkpack Ltd (Unit - III)"/>
    <d v="2023-05-09T00:00:00"/>
    <s v="K.P. Woven Pvt Ltd-Sales"/>
    <s v="Sales"/>
    <n v="15"/>
    <x v="1"/>
    <s v="HPBL3/D/15"/>
    <d v="2023-05-09T00:00:00"/>
    <s v="FG"/>
    <s v="FIBC Bags"/>
    <s v="FIBC Bags"/>
    <s v="FIBC Jumbo Bags"/>
    <s v="FIBC Bags With UV Without Liner"/>
    <n v="1581"/>
    <n v="235553.19"/>
  </r>
  <r>
    <x v="1"/>
    <s v="HCP Plastene Bulkpack Ltd (Unit - III)"/>
    <d v="2023-05-09T00:00:00"/>
    <s v="K.P. Woven Pvt Ltd-Sales"/>
    <s v="Sales"/>
    <n v="15"/>
    <x v="1"/>
    <s v="HPBL3/D/15"/>
    <d v="2023-05-09T00:00:00"/>
    <s v="FG"/>
    <s v="FIBC Bags"/>
    <s v="FIBC Bags"/>
    <s v="FIBC Jumbo Bags"/>
    <s v="FIBC Bags With UV Without Liner"/>
    <n v="1592"/>
    <n v="242923.28"/>
  </r>
  <r>
    <x v="1"/>
    <s v="HCP Plastene Bulkpack Ltd (Unit - III)"/>
    <d v="2023-05-19T00:00:00"/>
    <s v="K.P. Woven Pvt Ltd-Sales"/>
    <s v="Sales"/>
    <n v="16"/>
    <x v="0"/>
    <s v="HPBL3/D/16"/>
    <d v="2023-05-19T00:00:00"/>
    <s v="SF"/>
    <s v="PP/PE Fabric"/>
    <s v="PP UL Fabric"/>
    <s v="PP Woven Fabric"/>
    <s v="PP UL Fabric With UV"/>
    <n v="1626"/>
    <n v="203315.04"/>
  </r>
  <r>
    <x v="1"/>
    <s v="HCP Plastene Bulkpack Ltd (Unit - III)"/>
    <d v="2023-05-19T00:00:00"/>
    <s v="K.P. Woven Pvt Ltd-Sales"/>
    <s v="Sales"/>
    <n v="17"/>
    <x v="0"/>
    <s v="HPBL3/D/17"/>
    <d v="2023-05-19T00:00:00"/>
    <s v="Stores/Spares"/>
    <s v="MS Structure Items"/>
    <s v="Packing Material"/>
    <s v="Packing Material"/>
    <s v="MS Pipe"/>
    <n v="1347"/>
    <n v="64656"/>
  </r>
  <r>
    <x v="1"/>
    <s v="HCP Plastene Bulkpack Ltd (Unit - III)"/>
    <d v="2023-05-23T00:00:00"/>
    <s v="Plastene India ltd - Unit 6-Sales"/>
    <s v="Sales"/>
    <n v="18"/>
    <x v="0"/>
    <s v="HPBL3/D/18"/>
    <d v="2023-05-23T00:00:00"/>
    <s v="Capex"/>
    <s v="Machinery"/>
    <s v="Spares &amp; Stores"/>
    <s v="Spares &amp; Stores"/>
    <s v="PPR Pipe welding machine,size:25mm-90mm"/>
    <n v="1"/>
    <n v="8600"/>
  </r>
  <r>
    <x v="1"/>
    <s v="HCP Plastene Bulkpack Ltd (Unit - III)"/>
    <d v="2023-05-23T00:00:00"/>
    <s v="Plastene India ltd - Unit 6-Sales"/>
    <s v="Sales"/>
    <n v="19"/>
    <x v="0"/>
    <s v="HPBL3/D/19"/>
    <d v="2023-05-23T00:00:00"/>
    <s v="SF"/>
    <s v="Liners"/>
    <s v="LDPE/LLDPE Bags"/>
    <s v="LLDPE BAGS"/>
    <s v="PE Labels (Pcs)"/>
    <n v="5"/>
    <n v="783"/>
  </r>
  <r>
    <x v="1"/>
    <s v="HCP Plastene Bulkpack Ltd (Unit - III)"/>
    <d v="2023-05-23T00:00:00"/>
    <s v="Plastene India ltd - Unit 6-Sales"/>
    <s v="Sales"/>
    <n v="20"/>
    <x v="1"/>
    <s v="HPBL3/D/20"/>
    <d v="2023-05-23T00:00:00"/>
    <s v="FG"/>
    <s v="FIBC Bags"/>
    <s v="FIBC Bags"/>
    <s v="FIBC Jumbo Bags"/>
    <s v="FIBC Bags With UV Without Liner"/>
    <n v="391"/>
    <n v="65046.76"/>
  </r>
  <r>
    <x v="1"/>
    <s v="HCP Plastene Bulkpack Ltd (Unit - III)"/>
    <d v="2023-05-23T00:00:00"/>
    <s v="Plastene India ltd - Unit 6-Sales"/>
    <s v="Sales"/>
    <n v="20"/>
    <x v="1"/>
    <s v="HPBL3/D/20"/>
    <d v="2023-05-23T00:00:00"/>
    <s v="FG"/>
    <s v="FIBC Bags"/>
    <s v="FIBC Bags"/>
    <s v="FIBC Jumbo Bags"/>
    <s v="FIBC Bags With UV Without Liner"/>
    <n v="10620"/>
    <n v="1627408.8"/>
  </r>
  <r>
    <x v="2"/>
    <s v="HCP Plastene Bulkpack Ltd (Unit - III)"/>
    <d v="2023-06-02T00:00:00"/>
    <s v="Plastene India ltd - Unit 2-Sales"/>
    <s v="Sales"/>
    <n v="21"/>
    <x v="1"/>
    <s v="HPBL3/D/21"/>
    <d v="2023-06-02T00:00:00"/>
    <s v="FG"/>
    <s v="FIBC Bags"/>
    <s v="FIBC Bags"/>
    <s v="FIBC Jumbo Bags"/>
    <s v="FIBC Bags With UV Without Liner"/>
    <n v="8156"/>
    <n v="1152769.04"/>
  </r>
  <r>
    <x v="2"/>
    <s v="HCP Plastene Bulkpack Ltd (Unit - III)"/>
    <d v="2023-06-03T00:00:00"/>
    <s v="Plastene India ltd - Unit 2-Sales"/>
    <s v="Sales"/>
    <n v="22"/>
    <x v="1"/>
    <s v="HPBL3/D/22"/>
    <d v="2023-06-03T00:00:00"/>
    <s v="FG"/>
    <s v="FIBC Bags"/>
    <s v="FIBC Bags"/>
    <s v="FIBC Jumbo Bags"/>
    <s v="FIBC Bags With UV Without Liner"/>
    <n v="1626"/>
    <n v="229818.84"/>
  </r>
  <r>
    <x v="2"/>
    <s v="HCP Plastene Bulkpack Ltd (Unit - III)"/>
    <d v="2023-06-08T00:00:00"/>
    <s v="K.P. Woven Pvt Ltd-Sales"/>
    <s v="Sales"/>
    <n v="23"/>
    <x v="0"/>
    <s v="HPBL3/D/23"/>
    <d v="2023-06-08T00:00:00"/>
    <s v="SF"/>
    <s v="PP/PE Fabric"/>
    <s v="PP Lam Fabric"/>
    <s v="PP Laminated Fabric"/>
    <s v="PP Lam Fabric With UV"/>
    <n v="614"/>
    <n v="78634.98"/>
  </r>
  <r>
    <x v="2"/>
    <s v="HCP Plastene Bulkpack Ltd (Unit - III)"/>
    <d v="2023-06-08T00:00:00"/>
    <s v="K.P. Woven Pvt Ltd-Sales"/>
    <s v="Sales"/>
    <n v="24"/>
    <x v="0"/>
    <s v="HPBL3/D/24"/>
    <d v="2023-06-08T00:00:00"/>
    <s v="Stores/Spares"/>
    <s v="MS Structure Items"/>
    <s v="Packing Material"/>
    <s v="Packing Material"/>
    <s v="MS Pipe"/>
    <n v="49"/>
    <n v="2352"/>
  </r>
  <r>
    <x v="2"/>
    <s v="HCP Plastene Bulkpack Ltd (Unit - III)"/>
    <d v="2023-06-09T00:00:00"/>
    <s v="K.P. Woven Pvt Ltd-Purchase"/>
    <s v="Sales Return"/>
    <s v="SR 1"/>
    <x v="0"/>
    <s v="HPBL3/D/23"/>
    <d v="2023-06-08T00:00:00"/>
    <s v="SF"/>
    <s v="PP/PE Fabric"/>
    <s v="PP Lam Fabric"/>
    <s v="PP Laminated Fabric"/>
    <s v="PP Lam Fabric With UV"/>
    <n v="-614"/>
    <n v="-78634.98"/>
  </r>
  <r>
    <x v="2"/>
    <s v="HCP Plastene Bulkpack Ltd (Unit - III)"/>
    <d v="2023-06-09T00:00:00"/>
    <s v="K.P. Woven Pvt Ltd-Purchase"/>
    <s v="Sales Return"/>
    <s v="SR 2"/>
    <x v="0"/>
    <s v="HPBL3/D/24"/>
    <d v="2023-06-08T00:00:00"/>
    <s v="Stores/Spares"/>
    <s v="MS Structure Items"/>
    <s v="Packing Material"/>
    <s v="Packing Material"/>
    <s v="MS Pipe"/>
    <n v="-49"/>
    <n v="-2352"/>
  </r>
  <r>
    <x v="2"/>
    <s v="HCP Plastene Bulkpack Ltd (Unit - III)"/>
    <d v="2023-06-10T00:00:00"/>
    <s v="Plastene India ltd - Unit 2-Sales"/>
    <s v="Sales"/>
    <n v="25"/>
    <x v="1"/>
    <s v="HPBL3/D/25"/>
    <d v="2023-06-10T00:00:00"/>
    <s v="FG"/>
    <s v="FIBC Bags"/>
    <s v="FIBC Bags"/>
    <s v="FIBC Jumbo Bags"/>
    <s v="FIBC Bags With UV Without Liner"/>
    <n v="1780"/>
    <n v="292436.2"/>
  </r>
  <r>
    <x v="2"/>
    <s v="HCP Plastene Bulkpack Ltd (Unit - III)"/>
    <d v="2023-06-10T00:00:00"/>
    <s v="Plastene India ltd - Unit 2-Sales"/>
    <s v="Sales"/>
    <n v="25"/>
    <x v="1"/>
    <s v="HPBL3/D/25"/>
    <d v="2023-06-10T00:00:00"/>
    <s v="FG"/>
    <s v="FIBC Bags"/>
    <s v="FIBC Bags"/>
    <s v="FIBC Jumbo Bags"/>
    <s v="FIBC Bags With UV Without Liner"/>
    <n v="1775"/>
    <n v="291614.75"/>
  </r>
  <r>
    <x v="2"/>
    <s v="HCP Plastene Bulkpack Ltd (Unit - III)"/>
    <d v="2023-06-10T00:00:00"/>
    <s v="Plastene India ltd - Unit 2-Sales"/>
    <s v="Sales"/>
    <n v="25"/>
    <x v="1"/>
    <s v="HPBL3/D/25"/>
    <d v="2023-06-10T00:00:00"/>
    <s v="FG"/>
    <s v="FIBC Bags"/>
    <s v="FIBC Bags"/>
    <s v="FIBC Jumbo Bags"/>
    <s v="FIBC Bags With UV Without Liner"/>
    <n v="886"/>
    <n v="145560.94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45"/>
    <n v="73647.5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34"/>
    <n v="71301.86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54"/>
    <n v="75137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867"/>
    <n v="142439.43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14"/>
    <n v="61967.519999999997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884"/>
    <n v="145232.35999999999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873"/>
    <n v="143425.17000000001"/>
  </r>
  <r>
    <x v="2"/>
    <s v="HCP Plastene Bulkpack Ltd (Unit - III)"/>
    <d v="2023-06-10T00:00:00"/>
    <s v="Plastene India ltd - Unit 2-Sales"/>
    <s v="Sales"/>
    <n v="27"/>
    <x v="1"/>
    <s v="HPBL3/D/27"/>
    <d v="2023-06-10T00:00:00"/>
    <s v="FG"/>
    <s v="FIBC Bags"/>
    <s v="FIBC Bags"/>
    <s v="FIBC Jumbo Bags"/>
    <s v="FIBC Bags With UV Without Liner"/>
    <n v="451"/>
    <n v="71984.11"/>
  </r>
  <r>
    <x v="2"/>
    <s v="HCP Plastene Bulkpack Ltd (Unit - III)"/>
    <d v="2023-06-16T00:00:00"/>
    <s v="Plastene India ltd - Unit 2-Sales"/>
    <s v="Sales"/>
    <n v="28"/>
    <x v="0"/>
    <s v="HPBL3/D/28"/>
    <d v="2023-06-16T00:00:00"/>
    <s v="SF"/>
    <s v="PP/PE Fabric"/>
    <s v="PP UL Fabric"/>
    <s v="PP Woven Fabric"/>
    <s v="PP UL Fabric With UV"/>
    <n v="912"/>
    <n v="100839.84"/>
  </r>
  <r>
    <x v="2"/>
    <s v="HCP Plastene Bulkpack Ltd (Unit - III)"/>
    <d v="2023-06-16T00:00:00"/>
    <s v="Plastene India ltd - Unit 2-Sales"/>
    <s v="Sales"/>
    <n v="29"/>
    <x v="0"/>
    <s v="HPBL3/D/29"/>
    <d v="2023-06-16T00:00:00"/>
    <s v="Stores/Spares"/>
    <s v="MS Structure Items"/>
    <s v="Packing Material"/>
    <s v="Packing Material"/>
    <s v="MS Pipe"/>
    <n v="41"/>
    <n v="1968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892"/>
    <n v="146992.68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36"/>
    <n v="72380.36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396"/>
    <n v="23094.720000000001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17"/>
    <n v="62941.98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25"/>
    <n v="62849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52"/>
    <n v="75036.52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139"/>
    <n v="575569.34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842"/>
    <n v="114798.28"/>
  </r>
  <r>
    <x v="0"/>
    <s v="K.P. WOVEN PRIVATE LIMITED"/>
    <d v="2023-04-01T00:00:00"/>
    <s v="Plastene Polyfilms Ltd-Sales"/>
    <s v="Sales"/>
    <n v="1"/>
    <x v="1"/>
    <s v="KPV/D/1"/>
    <d v="2023-04-01T00:00:00"/>
    <s v="FG"/>
    <s v="FIBC Bags"/>
    <s v="FIBC Bags"/>
    <s v="PP WOVEN BIG BAGS / SACKS"/>
    <s v="FIBC Bags With UV Without Liner"/>
    <n v="2875.4"/>
    <n v="567086.39"/>
  </r>
  <r>
    <x v="0"/>
    <s v="K.P. WOVEN PRIVATE LIMITED"/>
    <d v="2023-04-02T00:00:00"/>
    <s v="Plastene India ltd - Unit 1-Sales"/>
    <s v="Sales"/>
    <n v="2"/>
    <x v="1"/>
    <s v="KPV/D/2"/>
    <d v="2023-04-02T00:00:00"/>
    <s v="SF"/>
    <s v="Yarn All"/>
    <s v="PP Yarn"/>
    <s v="PP Tape"/>
    <s v="PP Fibrillated Tape Twisted 3200 MW"/>
    <n v="1523"/>
    <n v="172159.92"/>
  </r>
  <r>
    <x v="0"/>
    <s v="K.P. WOVEN PRIVATE LIMITED"/>
    <d v="2023-04-02T00:00:00"/>
    <s v="Plastene India ltd - Unit 1-Sales"/>
    <s v="Sales"/>
    <n v="2"/>
    <x v="1"/>
    <s v="KPV/D/2"/>
    <d v="2023-04-02T00:00:00"/>
    <s v="SF"/>
    <s v="PP/PE Fabric"/>
    <s v="PP UL Fabric"/>
    <s v="PP Woven Fabric"/>
    <s v="PP UL Fabric With UV"/>
    <n v="610.79999999999995"/>
    <n v="77596.03"/>
  </r>
  <r>
    <x v="0"/>
    <s v="K.P. WOVEN PRIVATE LIMITED"/>
    <d v="2023-04-02T00:00:00"/>
    <s v="Plastene India ltd - Unit 1-Sales"/>
    <s v="Sales"/>
    <n v="2"/>
    <x v="1"/>
    <s v="KPV/D/2"/>
    <d v="2023-04-02T00:00:00"/>
    <s v="SF"/>
    <s v="PP/PE Fabric"/>
    <s v="PP UL Fabric"/>
    <s v="PP Woven Fabric"/>
    <s v="PP UL Fabric With UV"/>
    <n v="1762.6"/>
    <n v="229208.5"/>
  </r>
  <r>
    <x v="0"/>
    <s v="K.P. WOVEN PRIVATE LIMITED"/>
    <d v="2023-04-02T00:00:00"/>
    <s v="Plastene Polyfilms Ltd-Sales"/>
    <s v="Sales"/>
    <n v="3"/>
    <x v="1"/>
    <s v="KPV/D/3"/>
    <d v="2023-04-02T00:00:00"/>
    <s v="SF"/>
    <s v="Yarn All"/>
    <s v="PP Yarn"/>
    <s v="PP FABRILLATED YARN"/>
    <s v="PP Fibrillated Tape Twisted 3200 Blue"/>
    <n v="600.9"/>
    <n v="69728.44"/>
  </r>
  <r>
    <x v="0"/>
    <s v="K.P. WOVEN PRIVATE LIMITED"/>
    <d v="2023-04-02T00:00:00"/>
    <s v="Plastene Polyfilms Ltd-Sales"/>
    <s v="Sales"/>
    <n v="3"/>
    <x v="1"/>
    <s v="KPV/D/3"/>
    <d v="2023-04-02T00:00:00"/>
    <s v="SF"/>
    <s v="Yarn All"/>
    <s v="PP Yarn"/>
    <s v="PP FABRILLATED YARN"/>
    <s v="PP Fibrillated Tape Twisted 3200 MW"/>
    <n v="781.4"/>
    <n v="88329.46"/>
  </r>
  <r>
    <x v="0"/>
    <s v="K.P. WOVEN PRIVATE LIMITED"/>
    <d v="2023-04-04T00:00:00"/>
    <s v="Plastene India ltd - Unit 2-Sales"/>
    <s v="Sales"/>
    <n v="6"/>
    <x v="1"/>
    <s v="KPV/D/6"/>
    <d v="2023-04-04T00:00:00"/>
    <s v="SF"/>
    <s v="PP/PE Fabric"/>
    <s v="PP Lam Fabric"/>
    <s v="PP LAMINETED FABRIC"/>
    <s v="PP Lam Fabric With UV"/>
    <n v="192"/>
    <n v="22855.68"/>
  </r>
  <r>
    <x v="0"/>
    <s v="K.P. WOVEN PRIVATE LIMITED"/>
    <d v="2023-04-04T00:00:00"/>
    <s v="Plastene India ltd - Unit 2-Sales"/>
    <s v="Sales"/>
    <n v="6"/>
    <x v="1"/>
    <s v="KPV/D/6"/>
    <d v="2023-04-04T00:00:00"/>
    <s v="SF"/>
    <s v="PP/PE Fabric"/>
    <s v="PP UL Fabric"/>
    <s v="PP Woven Fabric"/>
    <s v="PP UL Fabric With UV"/>
    <n v="603.4"/>
    <n v="74242.34"/>
  </r>
  <r>
    <x v="0"/>
    <s v="K.P. WOVEN PRIVATE LIMITED"/>
    <d v="2023-04-04T00:00:00"/>
    <s v="Plastene India ltd - Unit 2-Sales"/>
    <s v="Sales"/>
    <n v="6"/>
    <x v="1"/>
    <s v="KPV/D/6"/>
    <d v="2023-04-04T00:00:00"/>
    <s v="FG"/>
    <s v="FIBC WIP"/>
    <s v="FIBC WIP"/>
    <s v="PP Woven Fabric"/>
    <s v="FIBC WIP"/>
    <n v="255"/>
    <n v="31375.200000000001"/>
  </r>
  <r>
    <x v="0"/>
    <s v="K.P. WOVEN PRIVATE LIMITED"/>
    <d v="2023-04-04T00:00:00"/>
    <s v="Plastene India ltd - Unit 2-Sales"/>
    <s v="Sales"/>
    <n v="7"/>
    <x v="1"/>
    <s v="KPV/D/7"/>
    <d v="2023-04-04T00:00:00"/>
    <s v="SF"/>
    <s v="Liners"/>
    <s v="LDPE/LLDPE Bags"/>
    <s v="LLDPE BAGS"/>
    <s v="DOC Pouch"/>
    <n v="4.2"/>
    <n v="536.72"/>
  </r>
  <r>
    <x v="0"/>
    <s v="K.P. WOVEN PRIVATE LIMITED"/>
    <d v="2023-04-04T00:00:00"/>
    <s v="Plastene India ltd - Unit 2-Sales"/>
    <s v="Sales"/>
    <n v="7"/>
    <x v="1"/>
    <s v="KPV/D/7"/>
    <d v="2023-04-04T00:00:00"/>
    <s v="SF"/>
    <s v="Liners"/>
    <s v="LDPE/LLDPE Bags"/>
    <s v="Consumables"/>
    <s v="PE Labels (Pcs)"/>
    <n v="1.5"/>
    <n v="277.89999999999998"/>
  </r>
  <r>
    <x v="0"/>
    <s v="K.P. WOVEN PRIVATE LIMITED"/>
    <d v="2023-04-04T00:00:00"/>
    <s v="Plastene India ltd - Unit 2-Sales"/>
    <s v="Sales"/>
    <n v="8"/>
    <x v="0"/>
    <s v="KPV/D/8"/>
    <d v="2023-04-04T00:00:00"/>
    <s v="Stores/Spares"/>
    <s v="MS Structure Items"/>
    <s v="Capital Work in Progress"/>
    <s v="MS PIPE"/>
    <s v="MS Pipe"/>
    <n v="45"/>
    <n v="2160"/>
  </r>
  <r>
    <x v="0"/>
    <s v="K.P. WOVEN PRIVATE LIMITED"/>
    <d v="2023-04-04T00:00:00"/>
    <s v="Plastene India ltd - Unit 2-Sales"/>
    <s v="Sales"/>
    <n v="9"/>
    <x v="1"/>
    <s v="KPV/D/9"/>
    <d v="2023-04-04T00:00:00"/>
    <s v="FG"/>
    <s v="FIBC Bags"/>
    <s v="FIBC Bags"/>
    <s v="PP WOVEN BIG BAGS / SACKS"/>
    <s v="FIBC Bags With UV Without Liner"/>
    <n v="195"/>
    <n v="34754.85"/>
  </r>
  <r>
    <x v="0"/>
    <s v="K.P. WOVEN PRIVATE LIMITED"/>
    <d v="2023-04-04T00:00:00"/>
    <s v="Plastene India ltd - Unit 2-Sales"/>
    <s v="Sales"/>
    <n v="9"/>
    <x v="1"/>
    <s v="KPV/D/9"/>
    <d v="2023-04-04T00:00:00"/>
    <s v="FG"/>
    <s v="FIBC Bags"/>
    <s v="FIBC Bags"/>
    <s v="PP WOVEN BIG BAGS / SACKS"/>
    <s v="FIBC Bags With UV Without Liner"/>
    <n v="17238.2"/>
    <n v="3102531.24"/>
  </r>
  <r>
    <x v="0"/>
    <s v="K.P. WOVEN PRIVATE LIMITED"/>
    <d v="2023-04-05T00:00:00"/>
    <s v="Plastene India ltd - Unit 6-Sales"/>
    <s v="Sales"/>
    <n v="10"/>
    <x v="1"/>
    <s v="KPV/D/10"/>
    <d v="2023-04-05T00:00:00"/>
    <s v="FG"/>
    <s v="FIBC Bags"/>
    <s v="FIBC Bags"/>
    <s v="PP WOVEN BIG BAGS / SACKS"/>
    <s v="FIBC Bags With UV Without Liner"/>
    <n v="1770"/>
    <n v="321520.5"/>
  </r>
  <r>
    <x v="0"/>
    <s v="K.P. WOVEN PRIVATE LIMITED"/>
    <d v="2023-04-05T00:00:00"/>
    <s v="Plastene India ltd - Unit 6-Sales"/>
    <s v="Sales"/>
    <n v="10"/>
    <x v="1"/>
    <s v="KPV/D/10"/>
    <d v="2023-04-05T00:00:00"/>
    <s v="FG"/>
    <s v="FIBC Bags"/>
    <s v="FIBC Bags"/>
    <s v="PP WOVEN BIG BAGS / SACKS"/>
    <s v="FIBC Bags With UV Without Liner"/>
    <n v="2387.3000000000002"/>
    <n v="442390.56"/>
  </r>
  <r>
    <x v="0"/>
    <s v="K.P. WOVEN PRIVATE LIMITED"/>
    <d v="2023-04-05T00:00:00"/>
    <s v="Plastene India ltd - Unit 6-Sales"/>
    <s v="Sales"/>
    <n v="10"/>
    <x v="1"/>
    <s v="KPV/D/10"/>
    <d v="2023-04-05T00:00:00"/>
    <s v="FG"/>
    <s v="FIBC Bags"/>
    <s v="FIBC Bags"/>
    <s v="PP WOVEN BIG BAGS / SACKS"/>
    <s v="FIBC Bags With UV Without Liner"/>
    <n v="1600.4"/>
    <n v="280774.18"/>
  </r>
  <r>
    <x v="0"/>
    <s v="K.P. WOVEN PRIVATE LIMITED"/>
    <d v="2023-04-06T00:00:00"/>
    <s v="HCP Plastene Bulkpack Ltd (Unit-III) - Sales"/>
    <s v="Sales"/>
    <n v="11"/>
    <x v="1"/>
    <s v="KPV/D/11"/>
    <d v="2023-04-06T00:00:00"/>
    <s v="SF"/>
    <s v="PP/PE Fabric"/>
    <s v="PP Lam Fabric"/>
    <s v="PP LAMINETED FABRIC"/>
    <s v="PP Lam Fabric With UV"/>
    <n v="280.5"/>
    <n v="32829.72"/>
  </r>
  <r>
    <x v="0"/>
    <s v="K.P. WOVEN PRIVATE LIMITED"/>
    <d v="2023-04-06T00:00:00"/>
    <s v="HCP Plastene Bulkpack Ltd (Unit-III) - Sales"/>
    <s v="Sales"/>
    <n v="11"/>
    <x v="1"/>
    <s v="KPV/D/11"/>
    <d v="2023-04-06T00:00:00"/>
    <s v="SF"/>
    <s v="Webbing"/>
    <s v="PP Webbing"/>
    <s v="PP Webbing"/>
    <s v="Webbing"/>
    <n v="568.4"/>
    <n v="68230.740000000005"/>
  </r>
  <r>
    <x v="0"/>
    <s v="K.P. WOVEN PRIVATE LIMITED"/>
    <d v="2023-04-06T00:00:00"/>
    <s v="HCP Plastene Bulkpack Ltd (Unit-III) - Sales"/>
    <s v="Sales"/>
    <n v="11"/>
    <x v="1"/>
    <s v="KPV/D/11"/>
    <d v="2023-04-06T00:00:00"/>
    <s v="SF"/>
    <s v="Webbing"/>
    <s v="PP Webbing"/>
    <s v="PP Webbing"/>
    <s v="Webbing"/>
    <n v="604.79999999999995"/>
    <n v="70785.789999999994"/>
  </r>
  <r>
    <x v="0"/>
    <s v="K.P. WOVEN PRIVATE LIMITED"/>
    <d v="2023-04-06T00:00:00"/>
    <s v="Plastene India ltd - Unit 2-Sales"/>
    <s v="Sales"/>
    <n v="12"/>
    <x v="1"/>
    <s v="KPV/D/12"/>
    <d v="2023-04-06T00:00:00"/>
    <s v="SF"/>
    <s v="Yarn All"/>
    <s v="PP Yarn"/>
    <s v="PP LAMINETED FABRIC"/>
    <s v="PP Fibrillated Tape Twisted 3200 Blue"/>
    <n v="1079.4000000000001"/>
    <n v="125253.58"/>
  </r>
  <r>
    <x v="0"/>
    <s v="K.P. WOVEN PRIVATE LIMITED"/>
    <d v="2023-04-06T00:00:00"/>
    <s v="Plastene India ltd - Unit 2-Sales"/>
    <s v="Sales"/>
    <n v="12"/>
    <x v="1"/>
    <s v="KPV/D/12"/>
    <d v="2023-04-06T00:00:00"/>
    <s v="SF"/>
    <s v="Yarn All"/>
    <s v="PP Yarn"/>
    <s v="PP FABRILLATED YARN"/>
    <s v="PP Fibrillated Tape Twisted 3200 MW"/>
    <n v="325.8"/>
    <n v="36828.43"/>
  </r>
  <r>
    <x v="0"/>
    <s v="K.P. WOVEN PRIVATE LIMITED"/>
    <d v="2023-04-06T00:00:00"/>
    <s v="Plastene India ltd - Unit 2-Sales"/>
    <s v="Sales"/>
    <n v="12"/>
    <x v="1"/>
    <s v="KPV/D/12"/>
    <d v="2023-04-06T00:00:00"/>
    <s v="SF"/>
    <s v="PP/PE Fabric"/>
    <s v="PP UL Fabric"/>
    <s v="PP Woven Fabric"/>
    <s v="PP UL Fabric With UV"/>
    <n v="162"/>
    <n v="19446.48"/>
  </r>
  <r>
    <x v="0"/>
    <s v="K.P. WOVEN PRIVATE LIMITED"/>
    <d v="2023-04-06T00:00:00"/>
    <s v="Plastene India ltd - Unit 2-Sales"/>
    <s v="Sales"/>
    <n v="13"/>
    <x v="0"/>
    <s v="KPV/D/13"/>
    <d v="2023-04-06T00:00:00"/>
    <s v="Stores/Spares"/>
    <s v="MS Structure Items"/>
    <s v="Capital Work in Progress"/>
    <s v="MS PIPE"/>
    <s v="MS Pipe"/>
    <n v="1840"/>
    <n v="88320"/>
  </r>
  <r>
    <x v="0"/>
    <s v="K.P. WOVEN PRIVATE LIMITED"/>
    <d v="2023-04-07T00:00:00"/>
    <s v="Plastene India ltd - Unit 2-Sales"/>
    <s v="Sales"/>
    <n v="14"/>
    <x v="1"/>
    <s v="KPV/D/14"/>
    <d v="2023-04-07T00:00:00"/>
    <s v="FG"/>
    <s v="FIBC Bags"/>
    <s v="FIBC Bags"/>
    <s v="PP WOVEN BIG BAGS / SACKS"/>
    <s v="FIBC Bags With UV With Liner"/>
    <n v="3608.2"/>
    <n v="808525.46"/>
  </r>
  <r>
    <x v="0"/>
    <s v="K.P. WOVEN PRIVATE LIMITED"/>
    <d v="2023-04-09T00:00:00"/>
    <s v="Plastene India ltd - Unit 2-Sales"/>
    <s v="Sales"/>
    <n v="15"/>
    <x v="1"/>
    <s v="KPV/D/15"/>
    <d v="2023-04-09T00:00:00"/>
    <s v="SF"/>
    <s v="Webbing"/>
    <s v="PP Webbing"/>
    <s v="PP Webbing"/>
    <s v="Webbing"/>
    <n v="1315.1"/>
    <n v="157864.6"/>
  </r>
  <r>
    <x v="0"/>
    <s v="K.P. WOVEN PRIVATE LIMITED"/>
    <d v="2023-04-09T00:00:00"/>
    <s v="Plastene India ltd - Unit 2-Sales"/>
    <s v="Sales"/>
    <n v="15"/>
    <x v="1"/>
    <s v="KPV/D/15"/>
    <d v="2023-04-09T00:00:00"/>
    <s v="SF"/>
    <s v="Yarn All"/>
    <s v="PP Yarn"/>
    <s v="PP MF Yarn"/>
    <s v="PP MF Yarn Twisted 2500 Denier UV NW"/>
    <n v="1047.5"/>
    <n v="152264.6"/>
  </r>
  <r>
    <x v="0"/>
    <s v="K.P. WOVEN PRIVATE LIMITED"/>
    <d v="2023-04-09T00:00:00"/>
    <s v="Plastene India ltd - Unit 2-Sales"/>
    <s v="Sales"/>
    <n v="16"/>
    <x v="0"/>
    <s v="KPV/D/16"/>
    <d v="2023-04-09T00:00:00"/>
    <s v="RM Consumables"/>
    <s v="FIBC Accessories"/>
    <s v="Stores &amp; Spares"/>
    <s v="stores &amp;  spares"/>
    <s v="Pvc Braided Pipe 12mm"/>
    <n v="13"/>
    <n v="2000"/>
  </r>
  <r>
    <x v="0"/>
    <s v="K.P. WOVEN PRIVATE LIMITED"/>
    <d v="2023-04-10T00:00:00"/>
    <s v="HCP Plastene Bulkpack Limited - Sales"/>
    <s v="Sales"/>
    <n v="17"/>
    <x v="1"/>
    <s v="KPV/D/17"/>
    <d v="2023-04-10T00:00:00"/>
    <s v="SF"/>
    <s v="PP/PE Fabric"/>
    <s v="PP UL Fabric"/>
    <s v="PP Woven Fabric"/>
    <s v="PP UL Fabric With UV"/>
    <n v="4289"/>
    <n v="514860.14"/>
  </r>
  <r>
    <x v="0"/>
    <s v="K.P. WOVEN PRIVATE LIMITED"/>
    <d v="2023-04-10T00:00:00"/>
    <s v="HCP Plastene Bulkpack Limited - Sales"/>
    <s v="Sales"/>
    <n v="17"/>
    <x v="1"/>
    <s v="KPV/D/17"/>
    <d v="2023-04-10T00:00:00"/>
    <s v="SF"/>
    <s v="PP/PE Fabric"/>
    <s v="PP Lam Fabric"/>
    <s v="PP FABRILLATED YARN"/>
    <s v="PP Lam Fabric With UV"/>
    <n v="227"/>
    <n v="27022.080000000002"/>
  </r>
  <r>
    <x v="0"/>
    <s v="K.P. WOVEN PRIVATE LIMITED"/>
    <d v="2023-04-10T00:00:00"/>
    <s v="HCP Plastene Bulkpack Limited - Sales"/>
    <s v="Sales"/>
    <n v="18"/>
    <x v="0"/>
    <s v="KPV/D/18"/>
    <d v="2023-04-10T00:00:00"/>
    <s v="Stores/Spares"/>
    <s v="MS Structure Items"/>
    <s v="Capital Work in Progress"/>
    <s v="MS PIPE"/>
    <s v="MS Pipe"/>
    <n v="193"/>
    <n v="9264"/>
  </r>
  <r>
    <x v="0"/>
    <s v="K.P. WOVEN PRIVATE LIMITED"/>
    <d v="2023-04-11T00:00:00"/>
    <s v="Plastene India ltd - Unit 1-Sales"/>
    <s v="Sales"/>
    <n v="19"/>
    <x v="1"/>
    <s v="KPV/D/19"/>
    <d v="2023-04-11T00:00:00"/>
    <s v="SF"/>
    <s v="PP/PE Fabric"/>
    <s v="PP Lam Fabric"/>
    <s v="PP LAMINETED FABRIC"/>
    <s v="PP Lam Fabric With UV"/>
    <n v="10.5"/>
    <n v="1491.42"/>
  </r>
  <r>
    <x v="0"/>
    <s v="K.P. WOVEN PRIVATE LIMITED"/>
    <d v="2023-04-11T00:00:00"/>
    <s v="Plastene India ltd - Unit 1-Sales"/>
    <s v="Sales"/>
    <n v="19"/>
    <x v="1"/>
    <s v="KPV/D/19"/>
    <d v="2023-04-11T00:00:00"/>
    <s v="SF"/>
    <s v="Yarn All"/>
    <s v="PP Yarn"/>
    <s v="PP FABRILLATED YARN"/>
    <s v="PP Fibrillated Tape Twisted 3200 Blue"/>
    <n v="649.9"/>
    <n v="75414.399999999994"/>
  </r>
  <r>
    <x v="0"/>
    <s v="K.P. WOVEN PRIVATE LIMITED"/>
    <d v="2023-04-11T00:00:00"/>
    <s v="Plastene India ltd - Unit 1-Sales"/>
    <s v="Sales"/>
    <n v="19"/>
    <x v="1"/>
    <s v="KPV/D/19"/>
    <d v="2023-04-11T00:00:00"/>
    <s v="SF"/>
    <s v="Yarn All"/>
    <s v="PP Yarn"/>
    <s v="PP FABRILLATED YARN"/>
    <s v="PP Fibrillated Tape Twisted 3200 MW"/>
    <n v="1767.4"/>
    <n v="199786.9"/>
  </r>
  <r>
    <x v="0"/>
    <s v="K.P. WOVEN PRIVATE LIMITED"/>
    <d v="2023-04-11T00:00:00"/>
    <s v="Plastene Polyfilms Ltd-Sales"/>
    <s v="Sales"/>
    <n v="20"/>
    <x v="1"/>
    <s v="KPV/D/20"/>
    <d v="2023-04-11T00:00:00"/>
    <s v="SF"/>
    <s v="Yarn All"/>
    <s v="PP Yarn"/>
    <s v="PP Fabricated yarn"/>
    <s v="PP Fibrillated Tape Twisted 3200 Blue"/>
    <n v="370.3"/>
    <n v="42969.61"/>
  </r>
  <r>
    <x v="0"/>
    <s v="K.P. WOVEN PRIVATE LIMITED"/>
    <d v="2023-04-11T00:00:00"/>
    <s v="Plastene Polyfilms Ltd-Sales"/>
    <s v="Sales"/>
    <n v="20"/>
    <x v="1"/>
    <s v="KPV/D/20"/>
    <d v="2023-04-11T00:00:00"/>
    <s v="SF"/>
    <s v="Yarn All"/>
    <s v="PP Yarn"/>
    <s v="PP Fabricated yarn"/>
    <s v="PP Fibrillated Tape Twisted 3200 MW"/>
    <n v="2118.3000000000002"/>
    <n v="239452.63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Webbing"/>
    <s v="PP Webbing"/>
    <s v="PP Webbing"/>
    <s v="Webbing"/>
    <n v="1224.3"/>
    <n v="146964.97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PP/PE Fabric"/>
    <s v="PP Lam Fabric"/>
    <s v="PP LAMINETED FABRIC"/>
    <s v="PP Lam Fabric With UV"/>
    <n v="63"/>
    <n v="8948.52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PP/PE Fabric"/>
    <s v="PP UL Fabric"/>
    <s v="PP Woven Fabric"/>
    <s v="PP UL Fabric With UV"/>
    <n v="2164.5"/>
    <n v="272813.58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Yarn All"/>
    <s v="PP Yarn"/>
    <s v="MS PIPE"/>
    <s v="PP Fibrillated Tape Twisted 3200 MW"/>
    <n v="932.7"/>
    <n v="105432.41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Yarn All"/>
    <s v="PP Yarn"/>
    <s v="PP Fabricated yarn"/>
    <s v="PP Fibrillated Tape Twisted 3200 Blue"/>
    <n v="1223.7"/>
    <n v="141998.15"/>
  </r>
  <r>
    <x v="0"/>
    <s v="K.P. WOVEN PRIVATE LIMITED"/>
    <d v="2023-04-12T00:00:00"/>
    <s v="Plastene India ltd - Unit 2-Sales"/>
    <s v="Sales"/>
    <n v="23"/>
    <x v="0"/>
    <s v="KPV/D/23"/>
    <d v="2023-04-12T00:00:00"/>
    <s v="Stores/Spares"/>
    <s v="MS Structure Items"/>
    <s v="Capital Work in Progress"/>
    <s v="MS PIPE"/>
    <s v="MS Pipe"/>
    <n v="104.6"/>
    <n v="5020.8"/>
  </r>
  <r>
    <x v="0"/>
    <s v="K.P. WOVEN PRIVATE LIMITED"/>
    <d v="2023-04-12T00:00:00"/>
    <s v="Plastene India ltd - Unit 6-Sales"/>
    <s v="Sales"/>
    <n v="21"/>
    <x v="1"/>
    <s v="KPV/D/21"/>
    <d v="2023-04-12T00:00:00"/>
    <s v="FG"/>
    <s v="FIBC Bags"/>
    <s v="FIBC Bags"/>
    <s v="PP WOVEN BIG BAGS / SACKS"/>
    <s v="FIBC Bags With UV Without Liner"/>
    <n v="6996.6"/>
    <n v="1220766.77"/>
  </r>
  <r>
    <x v="0"/>
    <s v="K.P. WOVEN PRIVATE LIMITED"/>
    <d v="2023-04-12T00:00:00"/>
    <s v="Plastene India ltd - Unit 6-Sales"/>
    <s v="Sales"/>
    <n v="21"/>
    <x v="1"/>
    <s v="KPV/D/21"/>
    <d v="2023-04-12T00:00:00"/>
    <s v="FG"/>
    <s v="FIBC Bags"/>
    <s v="FIBC Bags"/>
    <s v="PP WOVEN BIG BAGS / SACKS"/>
    <s v="FIBC Bags With UV Without Liner"/>
    <n v="5664.5"/>
    <n v="931980.18"/>
  </r>
  <r>
    <x v="0"/>
    <s v="K.P. WOVEN PRIVATE LIMITED"/>
    <d v="2023-04-12T00:00:00"/>
    <s v="Plastene India ltd - Unit 6-Sales"/>
    <s v="Sales"/>
    <n v="21"/>
    <x v="1"/>
    <s v="KPV/D/21"/>
    <d v="2023-04-12T00:00:00"/>
    <s v="FG"/>
    <s v="FIBC Bags"/>
    <s v="FIBC Bags"/>
    <s v="PP WOVEN BIG BAGS / SACKS"/>
    <s v="FIBC Bags With UV Without Liner"/>
    <n v="4361.3999999999996"/>
    <n v="723774.33"/>
  </r>
  <r>
    <x v="0"/>
    <s v="K.P. WOVEN PRIVATE LIMITED"/>
    <d v="2023-04-14T00:00:00"/>
    <s v="Plastene India ltd - Unit 1-Sales"/>
    <s v="Sales"/>
    <n v="27"/>
    <x v="1"/>
    <s v="KPV/D/27"/>
    <d v="2023-04-14T00:00:00"/>
    <s v="SF"/>
    <s v="PP/PE Fabric"/>
    <s v="PP Lam Fabric"/>
    <s v="PP LAMINETED FABRIC"/>
    <s v="PP Lam Fabric With UV"/>
    <n v="87"/>
    <n v="10356.48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PP/PE Fabric"/>
    <s v="PP UL Fabric"/>
    <s v="PP Woven Fabric"/>
    <s v="PP UL Fabric With UV"/>
    <n v="1143.4000000000001"/>
    <n v="145257.54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PP/PE Fabric"/>
    <s v="PP UL Fabric"/>
    <s v="PP Woven Fabric"/>
    <s v="PP UL Fabric With UV"/>
    <n v="3640.4"/>
    <n v="473397.62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Yarn All"/>
    <s v="PP Yarn"/>
    <s v="PP Tape"/>
    <s v="PP Fibrillated Tape Twisted 3200 MW"/>
    <n v="917.4"/>
    <n v="103702.9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Yarn All"/>
    <s v="PP Yarn"/>
    <s v="PP Tape"/>
    <s v="PP Fibrillated Tape Twisted 3200 Blue"/>
    <n v="553.9"/>
    <n v="64274.559999999998"/>
  </r>
  <r>
    <x v="0"/>
    <s v="K.P. WOVEN PRIVATE LIMITED"/>
    <d v="2023-04-14T00:00:00"/>
    <s v="Plastene India ltd - Unit 1-Sales"/>
    <s v="Sales"/>
    <n v="32"/>
    <x v="0"/>
    <s v="KPV/D/32"/>
    <d v="2023-04-14T00:00:00"/>
    <s v="Stores/Spares"/>
    <s v="MS Structure Items"/>
    <s v="Capital Work in Progress"/>
    <s v="MS PIPE"/>
    <s v="MS Pipe 6&quot;"/>
    <n v="590"/>
    <n v="35400"/>
  </r>
  <r>
    <x v="0"/>
    <s v="K.P. WOVEN PRIVATE LIMITED"/>
    <d v="2023-04-14T00:00:00"/>
    <s v="Plastene India ltd - Unit 6-Sales"/>
    <s v="Sales"/>
    <n v="31"/>
    <x v="1"/>
    <s v="KPV/D/31"/>
    <d v="2023-04-14T00:00:00"/>
    <s v="FG"/>
    <s v="FIBC Bags"/>
    <s v="FIBC Bags"/>
    <s v="PP WOVEN BIG BAGS / SACKS"/>
    <s v="FIBC Bags With UV Without Liner"/>
    <n v="2537.4"/>
    <n v="496010.95"/>
  </r>
  <r>
    <x v="0"/>
    <s v="K.P. WOVEN PRIVATE LIMITED"/>
    <d v="2023-04-14T00:00:00"/>
    <s v="Plastene India ltd - Unit 6-Sales"/>
    <s v="Sales"/>
    <n v="31"/>
    <x v="1"/>
    <s v="KPV/D/31"/>
    <d v="2023-04-14T00:00:00"/>
    <s v="FG"/>
    <s v="FIBC Bags"/>
    <s v="FIBC Bags"/>
    <s v="PP WOVEN BIG BAGS / SACKS"/>
    <s v="FIBC Bags With UV Without Liner"/>
    <n v="1635.5"/>
    <n v="318938.86"/>
  </r>
  <r>
    <x v="0"/>
    <s v="K.P. WOVEN PRIVATE LIMITED"/>
    <d v="2023-04-14T00:00:00"/>
    <s v="Plastene India ltd - Unit 6-Sales"/>
    <s v="Sales"/>
    <n v="31"/>
    <x v="1"/>
    <s v="KPV/D/31"/>
    <d v="2023-04-14T00:00:00"/>
    <s v="FG"/>
    <s v="FIBC Bags"/>
    <s v="FIBC Bags"/>
    <s v="PP WOVEN BIG BAGS / SACKS"/>
    <s v="FIBC Bags With UV Without Liner"/>
    <n v="1688.7"/>
    <n v="362901.63"/>
  </r>
  <r>
    <x v="0"/>
    <s v="K.P. WOVEN PRIVATE LIMITED"/>
    <d v="2023-04-15T00:00:00"/>
    <s v="Plastene India ltd - Unit 2-Sales"/>
    <s v="Sales"/>
    <n v="33"/>
    <x v="1"/>
    <s v="KPV/D/33"/>
    <d v="2023-04-15T00:00:00"/>
    <s v="FG"/>
    <s v="FIBC Bags"/>
    <s v="FIBC Bags"/>
    <s v="PP WOVEN BIG BAGS / SACKS"/>
    <s v="FIBC Bags With UV Without Liner"/>
    <n v="3303.6"/>
    <n v="548463.67000000004"/>
  </r>
  <r>
    <x v="0"/>
    <s v="K.P. WOVEN PRIVATE LIMITED"/>
    <d v="2023-04-15T00:00:00"/>
    <s v="Plastene India ltd - Unit 2-Sales"/>
    <s v="Sales"/>
    <n v="33"/>
    <x v="1"/>
    <s v="KPV/D/33"/>
    <d v="2023-04-15T00:00:00"/>
    <s v="FG"/>
    <s v="FIBC Bags"/>
    <s v="FIBC Bags"/>
    <s v="PP WOVEN BIG BAGS / SACKS"/>
    <s v="FIBC Bags With UV Without Liner"/>
    <n v="3214.8"/>
    <n v="578278.22"/>
  </r>
  <r>
    <x v="0"/>
    <s v="K.P. WOVEN PRIVATE LIMITED"/>
    <d v="2023-04-15T00:00:00"/>
    <s v="Plastene India ltd - Unit 2-Sales"/>
    <s v="Sales"/>
    <n v="34"/>
    <x v="1"/>
    <s v="KPV/D/34"/>
    <d v="2023-04-15T00:00:00"/>
    <s v="SF"/>
    <s v="Webbing"/>
    <s v="PP Webbing"/>
    <s v="PP Webbing"/>
    <s v="Webbing"/>
    <n v="471.5"/>
    <n v="56598.86"/>
  </r>
  <r>
    <x v="0"/>
    <s v="K.P. WOVEN PRIVATE LIMITED"/>
    <d v="2023-04-15T00:00:00"/>
    <s v="Plastene India ltd - Unit 2-Sales"/>
    <s v="Sales"/>
    <n v="34"/>
    <x v="1"/>
    <s v="KPV/D/34"/>
    <d v="2023-04-15T00:00:00"/>
    <s v="SF"/>
    <s v="Yarn All"/>
    <s v="PP Yarn"/>
    <s v="PP FABRILLATED YARN"/>
    <s v="PP Fibrillated Tape Twisted 3200 MW"/>
    <n v="765.1"/>
    <n v="86486.9"/>
  </r>
  <r>
    <x v="0"/>
    <s v="K.P. WOVEN PRIVATE LIMITED"/>
    <d v="2023-04-15T00:00:00"/>
    <s v="Plastene India ltd - Unit 2-Sales"/>
    <s v="Sales"/>
    <n v="34"/>
    <x v="1"/>
    <s v="KPV/D/34"/>
    <d v="2023-04-15T00:00:00"/>
    <s v="SF"/>
    <s v="PP/PE Fabric"/>
    <s v="PP UL Fabric"/>
    <s v="PP Woven Fabric"/>
    <s v="PP UL Fabric With UV"/>
    <n v="5390.2"/>
    <n v="679380.81"/>
  </r>
  <r>
    <x v="0"/>
    <s v="K.P. WOVEN PRIVATE LIMITED"/>
    <d v="2023-04-15T00:00:00"/>
    <s v="Plastene India ltd - Unit 2-Sales"/>
    <s v="Sales"/>
    <n v="35"/>
    <x v="0"/>
    <s v="KPV/D/35"/>
    <d v="2023-04-15T00:00:00"/>
    <s v="Stores/Spares"/>
    <s v="MS Structure Items"/>
    <s v="Capital Work in Progress"/>
    <s v="MS PIPE"/>
    <s v="MS Pipe"/>
    <n v="220.9"/>
    <n v="10603.2"/>
  </r>
  <r>
    <x v="0"/>
    <s v="K.P. WOVEN PRIVATE LIMITED"/>
    <d v="2023-04-15T00:00:00"/>
    <s v="Plastene India ltd - Unit 6-Sales"/>
    <s v="Sales"/>
    <n v="36"/>
    <x v="1"/>
    <s v="KPV/D/36"/>
    <d v="2023-04-15T00:00:00"/>
    <s v="FG"/>
    <s v="FIBC Bags"/>
    <s v="FIBC Bags"/>
    <s v="PP WOVEN BIG BAGS / SACKS"/>
    <s v="FIBC Bags With UV Without Liner"/>
    <n v="2374.6"/>
    <n v="475584.89"/>
  </r>
  <r>
    <x v="0"/>
    <s v="K.P. WOVEN PRIVATE LIMITED"/>
    <d v="2023-04-15T00:00:00"/>
    <s v="Plastene India ltd - Unit 6-Sales"/>
    <s v="Sales"/>
    <n v="38"/>
    <x v="1"/>
    <s v="KPV/D/38"/>
    <d v="2023-04-15T00:00:00"/>
    <s v="SF"/>
    <s v="Yarn All"/>
    <s v="PP Yarn"/>
    <s v="PP FABRILLATED YARN"/>
    <s v="PP Fibrillated Tape Twisted 3200 MW"/>
    <n v="813.6"/>
    <n v="91969.34"/>
  </r>
  <r>
    <x v="0"/>
    <s v="K.P. WOVEN PRIVATE LIMITED"/>
    <d v="2023-04-15T00:00:00"/>
    <s v="Plastene Polyfilms Ltd-Sales"/>
    <s v="Sales"/>
    <n v="37"/>
    <x v="1"/>
    <s v="KPV/D/37"/>
    <d v="2023-04-15T00:00:00"/>
    <s v="SF"/>
    <s v="PP/PE Fabric"/>
    <s v="PP UL Fabric"/>
    <s v="PP Woven Fabric"/>
    <s v="PP UL Fabric With UV"/>
    <n v="476.8"/>
    <n v="62479.87"/>
  </r>
  <r>
    <x v="0"/>
    <s v="K.P. WOVEN PRIVATE LIMITED"/>
    <d v="2023-04-15T00:00:00"/>
    <s v="Plastene Polyfilms Ltd-Sales"/>
    <s v="Sales"/>
    <n v="37"/>
    <x v="1"/>
    <s v="KPV/D/37"/>
    <d v="2023-04-15T00:00:00"/>
    <s v="SF"/>
    <s v="Yarn All"/>
    <s v="PP Yarn"/>
    <s v="PP FABRILLATED YARN"/>
    <s v="PP Fibrillated Tape Twisted 3200 MW"/>
    <n v="1253.0999999999999"/>
    <n v="141650.42000000001"/>
  </r>
  <r>
    <x v="0"/>
    <s v="K.P. WOVEN PRIVATE LIMITED"/>
    <d v="2023-04-17T00:00:00"/>
    <s v="HCP Plastene Bulkpack Ltd (Unit-III) - Sales"/>
    <s v="Sales"/>
    <n v="43"/>
    <x v="1"/>
    <s v="KPV/D/43"/>
    <d v="2023-04-17T00:00:00"/>
    <s v="SF"/>
    <s v="Yarn All"/>
    <s v="PP Yarn"/>
    <s v="PP FABRILLATED YARN"/>
    <s v="PP Fibrillated Tape Twisted 3200 MW"/>
    <n v="793.2"/>
    <n v="89663.33"/>
  </r>
  <r>
    <x v="0"/>
    <s v="K.P. WOVEN PRIVATE LIMITED"/>
    <d v="2023-04-17T00:00:00"/>
    <s v="Plastene India ltd - Unit 2-Sales"/>
    <s v="Sales"/>
    <n v="40"/>
    <x v="0"/>
    <s v="KPV/D/40"/>
    <d v="2023-04-17T00:00:00"/>
    <s v="RM Consumables"/>
    <s v="Ink"/>
    <s v="Raw Material"/>
    <s v="Thinner VLX"/>
    <s v="Thinner Vyankatesh Thinner"/>
    <n v="170"/>
    <n v="17340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Yarn All"/>
    <s v="PP Yarn"/>
    <s v="PP FABRILLATED YARN"/>
    <s v="PP Fibrillated Tape Twisted 3200 Blue"/>
    <n v="813"/>
    <n v="94340.52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Yarn All"/>
    <s v="PP Yarn"/>
    <s v="PP Granuals"/>
    <s v="PP Fibrillated Tape Twisted 3200 MW"/>
    <n v="817.6"/>
    <n v="92421.5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PP/PE Fabric"/>
    <s v="PP UL Fabric"/>
    <s v="PP Woven Fabric"/>
    <s v="PP UL Fabric With UV"/>
    <n v="18.5"/>
    <n v="2424.2399999999998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PP/PE Fabric"/>
    <s v="PP UL Fabric"/>
    <s v="PP Woven Fabric"/>
    <s v="PP UL Fabric With UV"/>
    <n v="114"/>
    <n v="13684.56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PP/PE Fabric"/>
    <s v="PP UL Fabric"/>
    <s v="PP Woven Fabric"/>
    <s v="PP UL Fabric With UV"/>
    <n v="2504.5"/>
    <n v="315667.18"/>
  </r>
  <r>
    <x v="0"/>
    <s v="K.P. WOVEN PRIVATE LIMITED"/>
    <d v="2023-04-17T00:00:00"/>
    <s v="Plastene India ltd - Unit 2-Sales"/>
    <s v="Sales"/>
    <n v="42"/>
    <x v="0"/>
    <s v="KPV/D/42"/>
    <d v="2023-04-17T00:00:00"/>
    <s v="Stores/Spares"/>
    <s v="MS Structure Items"/>
    <s v="Capital Work in Progress"/>
    <s v="MS PIPE"/>
    <s v="MS Pipe"/>
    <n v="132"/>
    <n v="6336"/>
  </r>
  <r>
    <x v="0"/>
    <s v="K.P. WOVEN PRIVATE LIMITED"/>
    <d v="2023-04-18T00:00:00"/>
    <s v="Plastene India ltd - Unit 1-Sales"/>
    <s v="Sales"/>
    <n v="44"/>
    <x v="1"/>
    <s v="KPV/D/44"/>
    <d v="2023-04-18T00:00:00"/>
    <s v="SF"/>
    <s v="PP/PE Fabric"/>
    <s v="PP UL Fabric"/>
    <s v="PP Woven Fabric"/>
    <s v="PP UL Fabric With UV"/>
    <n v="1255.0999999999999"/>
    <n v="159447.9"/>
  </r>
  <r>
    <x v="0"/>
    <s v="K.P. WOVEN PRIVATE LIMITED"/>
    <d v="2023-04-18T00:00:00"/>
    <s v="Plastene India ltd - Unit 1-Sales"/>
    <s v="Sales"/>
    <n v="44"/>
    <x v="1"/>
    <s v="KPV/D/44"/>
    <d v="2023-04-18T00:00:00"/>
    <s v="SF"/>
    <s v="PP/PE Fabric"/>
    <s v="PP UL Fabric"/>
    <s v="PP Woven Fabric"/>
    <s v="PP UL Fabric With UV"/>
    <n v="6260.5"/>
    <n v="814115.42"/>
  </r>
  <r>
    <x v="0"/>
    <s v="K.P. WOVEN PRIVATE LIMITED"/>
    <d v="2023-04-18T00:00:00"/>
    <s v="Plastene India ltd - Unit 1-Sales"/>
    <s v="Sales"/>
    <n v="44"/>
    <x v="1"/>
    <s v="KPV/D/44"/>
    <d v="2023-04-18T00:00:00"/>
    <s v="SF"/>
    <s v="PP/PE Fabric"/>
    <s v="PP UL Fabric"/>
    <s v="PP Woven Fabric"/>
    <s v="PP UL Fabric With UV"/>
    <n v="67.5"/>
    <n v="8845.2000000000007"/>
  </r>
  <r>
    <x v="0"/>
    <s v="K.P. WOVEN PRIVATE LIMITED"/>
    <d v="2023-04-19T00:00:00"/>
    <s v="HCP Plastene Bulkpack Limited - Sales"/>
    <s v="Sales"/>
    <n v="47"/>
    <x v="0"/>
    <s v="KPV/D/47"/>
    <d v="2023-04-19T00:00:00"/>
    <s v="Packing Material"/>
    <s v="Paper Cores"/>
    <s v="Packing Materials"/>
    <s v="Packing Materials"/>
    <s v="Paper Core 35 MM X 05 MM X 1020 MM"/>
    <n v="610"/>
    <n v="27468"/>
  </r>
  <r>
    <x v="0"/>
    <s v="K.P. WOVEN PRIVATE LIMITED"/>
    <d v="2023-04-19T00:00:00"/>
    <s v="HCP Plastene Bulkpack Limited - Sales"/>
    <s v="Sales"/>
    <n v="47"/>
    <x v="0"/>
    <s v="KPV/D/47"/>
    <d v="2023-04-19T00:00:00"/>
    <s v="Stores/Spares"/>
    <s v="MS Structure Items"/>
    <s v="Capital Work in Progress"/>
    <s v="MS PIPE"/>
    <s v="MS Pipe"/>
    <n v="1860"/>
    <n v="89280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PP/PE Fabric"/>
    <s v="PP UL Fabric"/>
    <s v="PP Woven Fabric"/>
    <s v="PP UL Fabric With UV"/>
    <n v="1685.9"/>
    <n v="212490.84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Webbing"/>
    <s v="PP Webbing"/>
    <s v="PP Webbing"/>
    <s v="Webbing"/>
    <n v="643"/>
    <n v="77185.72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PP/PE Fabric"/>
    <s v="PP Lam Fabric"/>
    <s v="PP LAMINETED FABRIC"/>
    <s v="PP Lam Fabric With UV"/>
    <n v="318"/>
    <n v="37218.720000000001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Yarn All"/>
    <s v="PP Yarn"/>
    <s v="PP LAMINETED FABRIC"/>
    <s v="PP Fibrillated Tape Twisted 3200 Blue"/>
    <n v="838.7"/>
    <n v="97322.75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Yarn All"/>
    <s v="PP Yarn"/>
    <s v="PP Fabricated yarn"/>
    <s v="PP Fibrillated Tape Twisted 3200 MW"/>
    <n v="907.4"/>
    <n v="102572.5"/>
  </r>
  <r>
    <x v="0"/>
    <s v="K.P. WOVEN PRIVATE LIMITED"/>
    <d v="2023-04-19T00:00:00"/>
    <s v="Plastene India ltd - Unit 2-Sales"/>
    <s v="Sales"/>
    <n v="46"/>
    <x v="0"/>
    <s v="KPV/D/46"/>
    <d v="2023-04-19T00:00:00"/>
    <s v="Stores/Spares"/>
    <s v="MS Structure Items"/>
    <s v="Capital Work in Progress"/>
    <s v="MS PIPE"/>
    <s v="MS Pipe"/>
    <n v="1829"/>
    <n v="87792"/>
  </r>
  <r>
    <x v="0"/>
    <s v="K.P. WOVEN PRIVATE LIMITED"/>
    <d v="2023-04-20T00:00:00"/>
    <s v="Plastene India ltd - Unit 1-Sales"/>
    <s v="Sales"/>
    <n v="51"/>
    <x v="1"/>
    <s v="KPV/D/51"/>
    <d v="2023-04-20T00:00:00"/>
    <s v="SF"/>
    <s v="Yarn All"/>
    <s v="PP Yarn"/>
    <s v="PP Tape"/>
    <s v="PP Fibrillated Tape Twisted 3200 MW"/>
    <n v="1493.6"/>
    <n v="168836.54"/>
  </r>
  <r>
    <x v="0"/>
    <s v="K.P. WOVEN PRIVATE LIMITED"/>
    <d v="2023-04-20T00:00:00"/>
    <s v="Plastene India ltd - Unit 1-Sales"/>
    <s v="Sales"/>
    <n v="51"/>
    <x v="1"/>
    <s v="KPV/D/51"/>
    <d v="2023-04-20T00:00:00"/>
    <s v="SF"/>
    <s v="Yarn All"/>
    <s v="PP Yarn"/>
    <s v="PP Tape"/>
    <s v="PP Fibrillated Tape Twisted 3200 Blue"/>
    <n v="729.5"/>
    <n v="84651.18"/>
  </r>
  <r>
    <x v="0"/>
    <s v="K.P. WOVEN PRIVATE LIMITED"/>
    <d v="2023-04-20T00:00:00"/>
    <s v="Plastene India ltd - Unit 6-Sales"/>
    <s v="Sales"/>
    <n v="52"/>
    <x v="1"/>
    <s v="KPV/D/52"/>
    <d v="2023-04-20T00:00:00"/>
    <s v="FG"/>
    <s v="FIBC Bags"/>
    <s v="FIBC Bags"/>
    <s v="PP WOVEN BIG BAGS / SACKS"/>
    <s v="FIBC Bags With UV Without Liner"/>
    <n v="2278.3000000000002"/>
    <n v="422077.86"/>
  </r>
  <r>
    <x v="0"/>
    <s v="K.P. WOVEN PRIVATE LIMITED"/>
    <d v="2023-04-20T00:00:00"/>
    <s v="Plastene India ltd - Unit 6-Sales"/>
    <s v="Sales"/>
    <n v="52"/>
    <x v="1"/>
    <s v="KPV/D/52"/>
    <d v="2023-04-20T00:00:00"/>
    <s v="FG"/>
    <s v="FIBC Bags"/>
    <s v="FIBC Bags"/>
    <s v="PP WOVEN BIG BAGS / SACKS"/>
    <s v="FIBC Bags With UV Without Liner"/>
    <n v="2339.1999999999998"/>
    <n v="520565.57"/>
  </r>
  <r>
    <x v="0"/>
    <s v="K.P. WOVEN PRIVATE LIMITED"/>
    <d v="2023-04-20T00:00:00"/>
    <s v="Plastene Polyfilms Ltd-Sales"/>
    <s v="Sales"/>
    <n v="50"/>
    <x v="1"/>
    <s v="KPV/D/50"/>
    <d v="2023-04-20T00:00:00"/>
    <s v="FG"/>
    <s v="FIBC Bags"/>
    <s v="FIBC Bags"/>
    <s v="PP WOVEN BIG BAGS / SACKS"/>
    <s v="FIBC Bags With UV Without Liner"/>
    <n v="18311"/>
    <n v="3509486.26"/>
  </r>
  <r>
    <x v="0"/>
    <s v="K.P. WOVEN PRIVATE LIMITED"/>
    <d v="2023-04-20T00:00:00"/>
    <s v="Plastene Polyfilms Ltd-Sales"/>
    <s v="Sales"/>
    <n v="50"/>
    <x v="1"/>
    <s v="KPV/D/50"/>
    <d v="2023-04-20T00:00:00"/>
    <s v="FG"/>
    <s v="FIBC Bags"/>
    <s v="FIBC Bags"/>
    <s v="PP WOVEN BIG BAGS / SACKS"/>
    <s v="FIBC Bags With UV Without Liner"/>
    <n v="1230"/>
    <n v="219604.2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Yarn All"/>
    <s v="PP Yarn"/>
    <s v="PP Tape"/>
    <s v="PP Fibrillated Tape Twisted 3200 MW"/>
    <n v="582"/>
    <n v="65789.279999999999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PP/PE Fabric"/>
    <s v="PP UL Fabric"/>
    <s v="PP Woven Fabric"/>
    <s v="PP UL Fabric With UV"/>
    <n v="116.1"/>
    <n v="14284.94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PP/PE Fabric"/>
    <s v="PP UL Fabric"/>
    <s v="PP Woven Fabric"/>
    <s v="PP UL Fabric With UV"/>
    <n v="529.29999999999995"/>
    <n v="67242.27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PP/PE Fabric"/>
    <s v="PP UL Fabric"/>
    <s v="PP Woven Fabric"/>
    <s v="PP UL Fabric With UV"/>
    <n v="3926.1"/>
    <n v="510550.04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Webbing"/>
    <s v="PP Webbing"/>
    <s v="PP Webbing"/>
    <s v="Webbing"/>
    <n v="1097"/>
    <n v="131683.88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Webbing"/>
    <s v="PP Webbing"/>
    <s v="PP Webbing"/>
    <s v="Webbing"/>
    <n v="2844"/>
    <n v="332861.76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Yarn All"/>
    <s v="PP Yarn"/>
    <s v="PP Fabricated yarn"/>
    <s v="PP Fibrillated Tape Twisted 3200 MW"/>
    <n v="1077.7"/>
    <n v="121823.21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Yarn All"/>
    <s v="PP Yarn"/>
    <s v="PP Fabricated yarn"/>
    <s v="PP Fibrillated Tape Twisted 3200 Blue"/>
    <n v="698.7"/>
    <n v="81077.149999999994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Yarn All"/>
    <s v="PP Yarn"/>
    <s v="PP Fabricated yarn"/>
    <s v="PP Fibrillated Tape Twisted 3200 MW"/>
    <n v="753"/>
    <n v="85119.12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Yarn All"/>
    <s v="PP Yarn"/>
    <s v="PP Fabricated yarn"/>
    <s v="PP Fibrillated Tape Twisted 3200 Blue"/>
    <n v="752.3"/>
    <n v="87296.89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Webbing"/>
    <s v="PP Webbing"/>
    <s v="PP Webbing"/>
    <s v="Webbing"/>
    <n v="2184.3000000000002"/>
    <n v="255650.47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Webbing"/>
    <s v="PP Webbing"/>
    <s v="PP Webbing"/>
    <s v="Webbing"/>
    <n v="206"/>
    <n v="24728.240000000002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PP/PE Fabric"/>
    <s v="PP UL Fabric"/>
    <s v="PP Woven Fabric"/>
    <s v="PP UL Fabric With UV"/>
    <n v="2916.4"/>
    <n v="367583.06"/>
  </r>
  <r>
    <x v="0"/>
    <s v="K.P. WOVEN PRIVATE LIMITED"/>
    <d v="2023-04-24T00:00:00"/>
    <s v="Plastene India ltd - Unit 2-Sales"/>
    <s v="Sales"/>
    <n v="57"/>
    <x v="0"/>
    <s v="KPV/D/57"/>
    <d v="2023-04-24T00:00:00"/>
    <s v="Stores/Spares"/>
    <s v="MS Structure Items"/>
    <s v="Capital Work in Progress"/>
    <s v="MS PIPE"/>
    <s v="MS Pipe"/>
    <n v="121"/>
    <n v="5808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Yarn All"/>
    <s v="PP Yarn"/>
    <s v="PP Tape"/>
    <s v="PP Fibrillated Tape Twisted 3200 MW"/>
    <n v="1304"/>
    <n v="147404.16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PP/PE Fabric"/>
    <s v="PP UL Fabric"/>
    <s v="PP Woven Fabric"/>
    <s v="PP UL Fabric With UV"/>
    <n v="372.2"/>
    <n v="48400.89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PP/PE Fabric"/>
    <s v="PP UL Fabric"/>
    <s v="PP Woven Fabric"/>
    <s v="PP UL Fabric With UV"/>
    <n v="828.7"/>
    <n v="116051.15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PP/PE Fabric"/>
    <s v="PP UL Fabric"/>
    <s v="PP Woven Fabric"/>
    <s v="PP UL Fabric With UV"/>
    <n v="213.5"/>
    <n v="26269.040000000001"/>
  </r>
  <r>
    <x v="0"/>
    <s v="K.P. WOVEN PRIVATE LIMITED"/>
    <d v="2023-04-25T00:00:00"/>
    <s v="Plastene India ltd - Unit 2-Sales"/>
    <s v="Sales"/>
    <n v="60"/>
    <x v="1"/>
    <s v="KPV/D/60"/>
    <d v="2023-04-25T00:00:00"/>
    <s v="SF"/>
    <s v="Yarn All"/>
    <s v="PP Yarn"/>
    <s v="PP FABRILLATED YARN"/>
    <s v="PP Fibrillated Tape Twisted 3200 MW"/>
    <n v="606.6"/>
    <n v="68570.06"/>
  </r>
  <r>
    <x v="0"/>
    <s v="K.P. WOVEN PRIVATE LIMITED"/>
    <d v="2023-04-25T00:00:00"/>
    <s v="Plastene India ltd - Unit 2-Sales"/>
    <s v="Sales"/>
    <n v="60"/>
    <x v="1"/>
    <s v="KPV/D/60"/>
    <d v="2023-04-25T00:00:00"/>
    <s v="SF"/>
    <s v="PP/PE Fabric"/>
    <s v="PP UL Fabric"/>
    <s v="PP Woven Fabric"/>
    <s v="PP UL Fabric With UV"/>
    <n v="149"/>
    <n v="17885.96"/>
  </r>
  <r>
    <x v="0"/>
    <s v="K.P. WOVEN PRIVATE LIMITED"/>
    <d v="2023-04-25T00:00:00"/>
    <s v="Plastene India ltd - Unit 2-Sales"/>
    <s v="Sales"/>
    <n v="60"/>
    <x v="1"/>
    <s v="KPV/D/60"/>
    <d v="2023-04-25T00:00:00"/>
    <s v="SF"/>
    <s v="PP/PE Fabric"/>
    <s v="PP UL Fabric"/>
    <s v="PP Woven Fabric"/>
    <s v="PP UL Fabric With UV"/>
    <n v="670.2"/>
    <n v="84472.01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431.6"/>
    <n v="76203.3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2776.6"/>
    <n v="500482.15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1834.8"/>
    <n v="345199.27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430.8"/>
    <n v="76062.05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860.2"/>
    <n v="150904.89000000001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866.1"/>
    <n v="151939.92000000001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430.1"/>
    <n v="75938.460000000006"/>
  </r>
  <r>
    <x v="0"/>
    <s v="K.P. WOVEN PRIVATE LIMITED"/>
    <d v="2023-04-25T00:00:00"/>
    <s v="Plastene Polyfilms Ltd-Sales"/>
    <s v="Sales"/>
    <n v="59"/>
    <x v="1"/>
    <s v="KPV/D/59"/>
    <d v="2023-04-25T00:00:00"/>
    <s v="SF"/>
    <s v="Yarn All"/>
    <s v="PP Yarn"/>
    <s v="PP FABRILLATED YARN"/>
    <s v="PP Fibrillated Tape Twisted 3200 MW"/>
    <n v="904.4"/>
    <n v="102233.38"/>
  </r>
  <r>
    <x v="0"/>
    <s v="K.P. WOVEN PRIVATE LIMITED"/>
    <d v="2023-04-25T00:00:00"/>
    <s v="Plastene Polyfilms Ltd-Sales"/>
    <s v="Sales"/>
    <n v="59"/>
    <x v="1"/>
    <s v="KPV/D/59"/>
    <d v="2023-04-25T00:00:00"/>
    <s v="SF"/>
    <s v="Yarn All"/>
    <s v="PP Yarn"/>
    <s v="PP FABRILLATED YARN"/>
    <s v="PP Fibrillated Tape Twisted 3200 Blue"/>
    <n v="903"/>
    <n v="104784.12"/>
  </r>
  <r>
    <x v="0"/>
    <s v="K.P. WOVEN PRIVATE LIMITED"/>
    <d v="2023-04-26T00:00:00"/>
    <s v="HCP Plastene Bulkpack Limited - Sales"/>
    <s v="Sales"/>
    <n v="65"/>
    <x v="0"/>
    <s v="KPV/D/65"/>
    <d v="2023-04-26T00:00:00"/>
    <s v="Consumables"/>
    <s v="Consumables"/>
    <s v="Stores &amp; Spares"/>
    <s v="Consumables"/>
    <s v="Loadlok Posters"/>
    <n v="3"/>
    <n v="7200"/>
  </r>
  <r>
    <x v="0"/>
    <s v="K.P. WOVEN PRIVATE LIMITED"/>
    <d v="2023-04-26T00:00:00"/>
    <s v="Plastene Polyfilms Ltd-Sales"/>
    <s v="Sales"/>
    <n v="64"/>
    <x v="1"/>
    <s v="KPV/D/64"/>
    <d v="2023-04-26T00:00:00"/>
    <s v="SF"/>
    <s v="Webbing"/>
    <s v="PP Webbing"/>
    <s v="PP Webbing"/>
    <s v="Webbing"/>
    <n v="4526.8"/>
    <n v="529816.67000000004"/>
  </r>
  <r>
    <x v="0"/>
    <s v="K.P. WOVEN PRIVATE LIMITED"/>
    <d v="2023-04-26T00:00:00"/>
    <s v="Plastene Polyfilms Ltd-Sales"/>
    <s v="Sales"/>
    <n v="64"/>
    <x v="1"/>
    <s v="KPV/D/64"/>
    <d v="2023-04-26T00:00:00"/>
    <s v="SF"/>
    <s v="Webbing"/>
    <s v="PP Webbing"/>
    <s v="PP Webbing"/>
    <s v="Webbing"/>
    <n v="3884.4"/>
    <n v="466283.38"/>
  </r>
  <r>
    <x v="0"/>
    <s v="K.P. WOVEN PRIVATE LIMITED"/>
    <d v="2023-04-28T00:00:00"/>
    <s v="HCP Plastene Bulkpack Limited - Sales"/>
    <s v="Sales"/>
    <n v="74"/>
    <x v="1"/>
    <s v="KPV/D/74"/>
    <d v="2023-04-28T00:00:00"/>
    <s v="SF"/>
    <s v="PP/PE Fabric"/>
    <s v="PP UL Fabric"/>
    <s v="PP Woven Fabric"/>
    <s v="PP UL Fabric With UV"/>
    <n v="207"/>
    <n v="24435.11"/>
  </r>
  <r>
    <x v="0"/>
    <s v="K.P. WOVEN PRIVATE LIMITED"/>
    <d v="2023-04-28T00:00:00"/>
    <s v="HCP Plastene Bulkpack Limited - Sales"/>
    <s v="Sales"/>
    <n v="75"/>
    <x v="0"/>
    <s v="KPV/D/75"/>
    <d v="2023-04-28T00:00:00"/>
    <s v="Stores/Spares"/>
    <s v="MS Structure Items"/>
    <s v="Capital Work in Progress"/>
    <s v="MS PIPE"/>
    <s v="MS Pipe"/>
    <n v="13"/>
    <n v="624"/>
  </r>
  <r>
    <x v="0"/>
    <s v="K.P. WOVEN PRIVATE LIMITED"/>
    <d v="2023-04-28T00:00:00"/>
    <s v="HCP Plastene Bulkpack Ltd (Unit-III) - Sales"/>
    <s v="Sales"/>
    <n v="72"/>
    <x v="1"/>
    <s v="KPV/D/72"/>
    <d v="2023-04-28T00:00:00"/>
    <s v="SF"/>
    <s v="PP/PE Fabric"/>
    <s v="PP UL Fabric"/>
    <s v="PP Woven Fabric"/>
    <s v="PP UL Fabric With UV"/>
    <n v="389.5"/>
    <n v="47924.08"/>
  </r>
  <r>
    <x v="0"/>
    <s v="K.P. WOVEN PRIVATE LIMITED"/>
    <d v="2023-04-28T00:00:00"/>
    <s v="HCP Plastene Bulkpack Ltd (Unit-III) - Sales"/>
    <s v="Sales"/>
    <n v="72"/>
    <x v="1"/>
    <s v="KPV/D/72"/>
    <d v="2023-04-28T00:00:00"/>
    <s v="SF"/>
    <s v="PP/PE Fabric"/>
    <s v="PP Lam Fabric"/>
    <s v="PP LAMINETED FABRIC"/>
    <s v="PP Lam Fabric With UV"/>
    <n v="566"/>
    <n v="66244.639999999999"/>
  </r>
  <r>
    <x v="0"/>
    <s v="K.P. WOVEN PRIVATE LIMITED"/>
    <d v="2023-04-28T00:00:00"/>
    <s v="HCP Plastene Bulkpack Ltd (Unit-III) - Sales"/>
    <s v="Sales"/>
    <n v="73"/>
    <x v="0"/>
    <s v="KPV/D/73"/>
    <d v="2023-04-28T00:00:00"/>
    <s v="Stores/Spares"/>
    <s v="MS Structure Items"/>
    <s v="Capital Work in Progress"/>
    <s v="MS PIPE"/>
    <s v="MS Pipe"/>
    <n v="31"/>
    <n v="1488"/>
  </r>
  <r>
    <x v="0"/>
    <s v="K.P. WOVEN PRIVATE LIMITED"/>
    <d v="2023-04-28T00:00:00"/>
    <s v="Plastene India ltd - Unit 2-Sales"/>
    <s v="Sales"/>
    <n v="68"/>
    <x v="1"/>
    <s v="KPV/D/68"/>
    <d v="2023-04-28T00:00:00"/>
    <s v="SF"/>
    <s v="Yarn All"/>
    <s v="PP Yarn"/>
    <s v="PP FABRILLATED YARN"/>
    <s v="PP Fibrillated Tape Twisted 3200 MW"/>
    <n v="825.7"/>
    <n v="93337.13"/>
  </r>
  <r>
    <x v="0"/>
    <s v="K.P. WOVEN PRIVATE LIMITED"/>
    <d v="2023-04-28T00:00:00"/>
    <s v="Plastene India ltd - Unit 2-Sales"/>
    <s v="Sales"/>
    <n v="68"/>
    <x v="1"/>
    <s v="KPV/D/68"/>
    <d v="2023-04-28T00:00:00"/>
    <s v="SF"/>
    <s v="Webbing"/>
    <s v="PP Webbing"/>
    <s v="PP Webbing"/>
    <s v="Webbing"/>
    <n v="654"/>
    <n v="78506.16"/>
  </r>
  <r>
    <x v="0"/>
    <s v="K.P. WOVEN PRIVATE LIMITED"/>
    <d v="2023-04-28T00:00:00"/>
    <s v="Plastene India ltd - Unit 2-Sales"/>
    <s v="Sales"/>
    <n v="68"/>
    <x v="1"/>
    <s v="KPV/D/68"/>
    <d v="2023-04-28T00:00:00"/>
    <s v="SF"/>
    <s v="PP/PE Fabric"/>
    <s v="PP UL Fabric"/>
    <s v="PP Woven Fabric"/>
    <s v="PP UL Fabric With UV"/>
    <n v="5538.8"/>
    <n v="698110.35"/>
  </r>
  <r>
    <x v="0"/>
    <s v="K.P. WOVEN PRIVATE LIMITED"/>
    <d v="2023-04-28T00:00:00"/>
    <s v="Plastene India ltd - Unit 2-Sales"/>
    <s v="Sales"/>
    <n v="69"/>
    <x v="0"/>
    <s v="KPV/D/69"/>
    <d v="2023-04-28T00:00:00"/>
    <s v="Stores/Spares"/>
    <s v="MS Structure Items"/>
    <s v="Capital Work in Progress"/>
    <s v="MS PIPE"/>
    <s v="MS Pipe"/>
    <n v="214"/>
    <n v="10272"/>
  </r>
  <r>
    <x v="0"/>
    <s v="K.P. WOVEN PRIVATE LIMITED"/>
    <d v="2023-04-28T00:00:00"/>
    <s v="Plastene India ltd - Unit 2-Sales"/>
    <s v="Sales"/>
    <n v="70"/>
    <x v="1"/>
    <s v="KPV/D/70"/>
    <d v="2023-04-28T00:00:00"/>
    <s v="SF"/>
    <s v="PP/PE Fabric"/>
    <s v="PP UL Fabric"/>
    <s v="PP Woven Fabric"/>
    <s v="PP UL Fabric With UV"/>
    <n v="4278.3999999999996"/>
    <n v="560641.54"/>
  </r>
  <r>
    <x v="0"/>
    <s v="K.P. WOVEN PRIVATE LIMITED"/>
    <d v="2023-04-28T00:00:00"/>
    <s v="Plastene India ltd - Unit 2-Sales"/>
    <s v="Sales"/>
    <n v="71"/>
    <x v="0"/>
    <s v="KPV/D/71"/>
    <d v="2023-04-28T00:00:00"/>
    <s v="Stores/Spares"/>
    <s v="MS Structure Items"/>
    <s v="Capital Work in Progress"/>
    <s v="MS PIPE"/>
    <s v="MS Pipe"/>
    <n v="116"/>
    <n v="5568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5913"/>
    <n v="1014079.5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6350.3"/>
    <n v="1086790.3400000001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3207.7"/>
    <n v="543320.23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3485.7"/>
    <n v="630876.84"/>
  </r>
  <r>
    <x v="0"/>
    <s v="K.P. WOVEN PRIVATE LIMITED"/>
    <d v="2023-04-28T00:00:00"/>
    <s v="Plastene Polyfilms Ltd-Sales"/>
    <s v="Sales"/>
    <n v="77"/>
    <x v="1"/>
    <s v="KPV/D/77"/>
    <d v="2023-04-28T00:00:00"/>
    <s v="FG"/>
    <s v="FIBC Bags"/>
    <s v="FIBC Bags"/>
    <s v="PP WOVEN BIG BAGS / SACKS"/>
    <s v="FIBC Bags With UV Without Liner"/>
    <n v="6907.6"/>
    <n v="1238049.1499999999"/>
  </r>
  <r>
    <x v="0"/>
    <s v="K.P. WOVEN PRIVATE LIMITED"/>
    <d v="2023-04-28T00:00:00"/>
    <s v="Plastene Polyfilms Ltd-Sales"/>
    <s v="Sales"/>
    <n v="78"/>
    <x v="1"/>
    <s v="KPV/D/78"/>
    <d v="2023-04-28T00:00:00"/>
    <s v="FG"/>
    <s v="FIBC Bags"/>
    <s v="FIBC Bags"/>
    <s v="PP WOVEN BIG BAGS / SACKS"/>
    <s v="FIBC Bags With UV Without Liner"/>
    <n v="1640.1"/>
    <n v="321443.20000000001"/>
  </r>
  <r>
    <x v="0"/>
    <s v="K.P. WOVEN PRIVATE LIMITED"/>
    <d v="2023-04-28T00:00:00"/>
    <s v="Plastene Polyfilms Ltd-Sales"/>
    <s v="Sales"/>
    <n v="78"/>
    <x v="1"/>
    <s v="KPV/D/78"/>
    <d v="2023-04-28T00:00:00"/>
    <s v="FG"/>
    <s v="FIBC Bags"/>
    <s v="FIBC Bags"/>
    <s v="PP WOVEN BIG BAGS / SACKS"/>
    <s v="FIBC Bags With UV Without Liner"/>
    <n v="3786.8"/>
    <n v="678708.16"/>
  </r>
  <r>
    <x v="0"/>
    <s v="K.P. WOVEN PRIVATE LIMITED"/>
    <d v="2023-04-29T00:00:00"/>
    <s v="Plastene India ltd - Unit 2-Sales"/>
    <s v="Sales"/>
    <n v="79"/>
    <x v="1"/>
    <s v="KPV/D/79"/>
    <d v="2023-04-29T00:00:00"/>
    <s v="FG"/>
    <s v="FIBC Bags"/>
    <s v="FIBC Bags"/>
    <s v="PP WOVEN BIG BAGS / SACKS"/>
    <s v="FIBC Bags With UV Without Liner"/>
    <n v="19870.099999999999"/>
    <n v="3435937.69"/>
  </r>
  <r>
    <x v="0"/>
    <s v="K.P. WOVEN PRIVATE LIMITED"/>
    <d v="2023-04-30T00:00:00"/>
    <s v="Plastene India ltd - Unit 1-Sales"/>
    <s v="Sales"/>
    <n v="82"/>
    <x v="1"/>
    <s v="KPV/D/82"/>
    <d v="2023-04-30T00:00:00"/>
    <s v="SF"/>
    <s v="PP/PE Fabric"/>
    <s v="PP UL Fabric"/>
    <s v="PP Woven Fabric"/>
    <s v="PP UL Fabric With UV"/>
    <n v="1342.8"/>
    <n v="170589.31"/>
  </r>
  <r>
    <x v="0"/>
    <s v="K.P. WOVEN PRIVATE LIMITED"/>
    <d v="2023-04-30T00:00:00"/>
    <s v="Plastene India ltd - Unit 1-Sales"/>
    <s v="Sales"/>
    <n v="82"/>
    <x v="1"/>
    <s v="KPV/D/82"/>
    <d v="2023-04-30T00:00:00"/>
    <s v="SF"/>
    <s v="PP/PE Fabric"/>
    <s v="PP UL Fabric"/>
    <s v="PP Woven Fabric"/>
    <s v="PP UL Fabric With UV"/>
    <n v="1186.7"/>
    <n v="166185.47"/>
  </r>
  <r>
    <x v="0"/>
    <s v="K.P. WOVEN PRIVATE LIMITED"/>
    <d v="2023-04-30T00:00:00"/>
    <s v="Plastene India ltd - Unit 1-Sales"/>
    <s v="Sales"/>
    <n v="82"/>
    <x v="1"/>
    <s v="KPV/D/82"/>
    <d v="2023-04-30T00:00:00"/>
    <s v="SF"/>
    <s v="Yarn All"/>
    <s v="PP Yarn"/>
    <s v="PP Tape"/>
    <s v="PP Fibrillated Tape Twisted 3200 MW"/>
    <n v="1332.5"/>
    <n v="150625.79999999999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Webbing"/>
    <s v="PP Webbing"/>
    <s v="PP Webbing"/>
    <s v="Webbing"/>
    <n v="1160.5999999999999"/>
    <n v="139318.42000000001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PP/PE Fabric"/>
    <s v="PP UL Fabric"/>
    <s v="PP Woven Fabric"/>
    <s v="PP UL Fabric With UV"/>
    <n v="3286.5"/>
    <n v="430662.96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Yarn All"/>
    <s v="PP Yarn"/>
    <s v="PP FABRILLATED YARN"/>
    <s v="PP Fibrillated Tape Twisted 3200 MW"/>
    <n v="803.2"/>
    <n v="90793.73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Yarn All"/>
    <s v="PP Yarn"/>
    <s v="PP FABRILLATED YARN"/>
    <s v="PP Fibrillated Tape Twisted 3200 Blue"/>
    <n v="321.8"/>
    <n v="37341.67"/>
  </r>
  <r>
    <x v="0"/>
    <s v="K.P. WOVEN PRIVATE LIMITED"/>
    <d v="2023-04-30T00:00:00"/>
    <s v="Plastene India ltd - Unit 2-Sales"/>
    <s v="Sales"/>
    <n v="81"/>
    <x v="0"/>
    <s v="KPV/D/81"/>
    <d v="2023-04-30T00:00:00"/>
    <s v="Stores/Spares"/>
    <s v="MS Structure Items"/>
    <s v="Capital Work in Progress"/>
    <s v="MS PIPE"/>
    <s v="MS Pipe"/>
    <n v="80"/>
    <n v="3840"/>
  </r>
  <r>
    <x v="0"/>
    <s v="K.P. WOVEN PRIVATE LIMITED"/>
    <d v="2023-04-30T00:00:00"/>
    <s v="Plastene Polyfilms Ltd-Sales"/>
    <s v="Sales"/>
    <n v="83"/>
    <x v="1"/>
    <s v="KPV/D/83"/>
    <d v="2023-04-30T00:00:00"/>
    <s v="SF"/>
    <s v="Yarn All"/>
    <s v="PP Yarn"/>
    <s v="PP MF Yarn"/>
    <s v="PP Fibrillated Tape Twisted 3200 MW"/>
    <n v="716"/>
    <n v="80936.639999999999"/>
  </r>
  <r>
    <x v="0"/>
    <s v="K.P. WOVEN PRIVATE LIMITED"/>
    <d v="2023-04-30T00:00:00"/>
    <s v="Plastene Polyfilms Ltd-Sales"/>
    <s v="Sales"/>
    <n v="84"/>
    <x v="1"/>
    <s v="KPV/D/84"/>
    <d v="2023-04-30T00:00:00"/>
    <s v="FG"/>
    <s v="FIBC Bags"/>
    <s v="FIBC Bags"/>
    <s v="PP WOVEN BIG BAGS / SACKS"/>
    <s v="FIBC Bags With UV Without Liner"/>
    <n v="408"/>
    <n v="79963.92"/>
  </r>
  <r>
    <x v="1"/>
    <s v="K.P. WOVEN PRIVATE LIMITED"/>
    <d v="2023-05-02T00:00:00"/>
    <s v="Plastene India ltd - Unit 2-Sales"/>
    <s v="Sales"/>
    <n v="85"/>
    <x v="1"/>
    <s v="KPV/D/85"/>
    <d v="2023-05-02T00:00:00"/>
    <s v="FG"/>
    <s v="FIBC Bags"/>
    <s v="FIBC Bags"/>
    <s v="PP WOVEN BIG BAGS / SACKS"/>
    <s v="FIBC Bags With UV Without Liner"/>
    <n v="16569.900000000001"/>
    <n v="2982250.6"/>
  </r>
  <r>
    <x v="1"/>
    <s v="K.P. WOVEN PRIVATE LIMITED"/>
    <d v="2023-05-02T00:00:00"/>
    <s v="Plastene India ltd - Unit 2-Sales"/>
    <s v="Sales"/>
    <n v="87"/>
    <x v="1"/>
    <s v="KPV/D/87"/>
    <d v="2023-05-02T00:00:00"/>
    <s v="SF"/>
    <s v="Yarn All"/>
    <s v="PP Yarn"/>
    <s v="PP Fabricated yarn"/>
    <s v="PP Fibrillated Tape Twisted 3200 MW"/>
    <n v="1117.8"/>
    <n v="126356.11"/>
  </r>
  <r>
    <x v="1"/>
    <s v="K.P. WOVEN PRIVATE LIMITED"/>
    <d v="2023-05-02T00:00:00"/>
    <s v="Plastene India ltd - Unit 2-Sales"/>
    <s v="Sales"/>
    <n v="87"/>
    <x v="1"/>
    <s v="KPV/D/87"/>
    <d v="2023-05-02T00:00:00"/>
    <s v="SF"/>
    <s v="Yarn All"/>
    <s v="PP Yarn"/>
    <s v="PP Fabricated yarn"/>
    <s v="PP Fibrillated Tape Twisted 3200 Blue"/>
    <n v="394.6"/>
    <n v="45789.38"/>
  </r>
  <r>
    <x v="1"/>
    <s v="K.P. WOVEN PRIVATE LIMITED"/>
    <d v="2023-05-02T00:00:00"/>
    <s v="Plastene India ltd - Unit 2-Sales"/>
    <s v="Sales"/>
    <n v="87"/>
    <x v="1"/>
    <s v="KPV/D/87"/>
    <d v="2023-05-02T00:00:00"/>
    <s v="SF"/>
    <s v="PP/PE Fabric"/>
    <s v="PP UL Fabric"/>
    <s v="PP Woven Fabric"/>
    <s v="PP UL Fabric With UV"/>
    <n v="3391.4"/>
    <n v="427452.06"/>
  </r>
  <r>
    <x v="1"/>
    <s v="K.P. WOVEN PRIVATE LIMITED"/>
    <d v="2023-05-02T00:00:00"/>
    <s v="Plastene India ltd - Unit 2-Sales"/>
    <s v="Sales"/>
    <n v="88"/>
    <x v="0"/>
    <s v="KPV/D/88"/>
    <d v="2023-05-02T00:00:00"/>
    <s v="Stores/Spares"/>
    <s v="MS Structure Items"/>
    <s v="Capital Work in Progress"/>
    <s v="MS PIPE"/>
    <s v="MS Pipe"/>
    <n v="1395"/>
    <n v="66960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10155.5"/>
    <n v="1922131.48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1210"/>
    <n v="228351.2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4503"/>
    <n v="820356.54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784.3"/>
    <n v="127119.34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2812.7"/>
    <n v="541107.23"/>
  </r>
  <r>
    <x v="1"/>
    <s v="K.P. WOVEN PRIVATE LIMITED"/>
    <d v="2023-05-04T00:00:00"/>
    <s v="HCP Plastene Bulkpack Ltd (Unit-III) - Sales"/>
    <s v="Sales"/>
    <n v="96"/>
    <x v="1"/>
    <s v="KPV/D/96"/>
    <d v="2023-05-04T00:00:00"/>
    <s v="SF"/>
    <s v="PP/PE Fabric"/>
    <s v="PP Lam Fabric"/>
    <s v="PP LAMINETED FABRIC"/>
    <s v="PP Lam Fabric With UV"/>
    <n v="540"/>
    <n v="63201.599999999999"/>
  </r>
  <r>
    <x v="1"/>
    <s v="K.P. WOVEN PRIVATE LIMITED"/>
    <d v="2023-05-04T00:00:00"/>
    <s v="HCP Plastene Bulkpack Ltd (Unit-III) - Sales"/>
    <s v="Sales"/>
    <n v="96"/>
    <x v="1"/>
    <s v="KPV/D/96"/>
    <d v="2023-05-04T00:00:00"/>
    <s v="SF"/>
    <s v="PP/PE Fabric"/>
    <s v="PP UL Fabric"/>
    <s v="PP Woven Fabric"/>
    <s v="PP UL Fabric With UV"/>
    <n v="172"/>
    <n v="21162.880000000001"/>
  </r>
  <r>
    <x v="1"/>
    <s v="K.P. WOVEN PRIVATE LIMITED"/>
    <d v="2023-05-04T00:00:00"/>
    <s v="HCP Plastene Bulkpack Ltd (Unit-III) - Sales"/>
    <s v="Sales"/>
    <n v="96"/>
    <x v="1"/>
    <s v="KPV/D/96"/>
    <d v="2023-05-04T00:00:00"/>
    <s v="SF"/>
    <s v="Webbing"/>
    <s v="PP Webbing"/>
    <s v="PP Webbing"/>
    <s v="Webbing"/>
    <n v="458.5"/>
    <n v="55038.34"/>
  </r>
  <r>
    <x v="1"/>
    <s v="K.P. WOVEN PRIVATE LIMITED"/>
    <d v="2023-05-04T00:00:00"/>
    <s v="HCP Plastene Bulkpack Ltd (Unit-III) - Sales"/>
    <s v="Sales"/>
    <n v="97"/>
    <x v="0"/>
    <s v="KPV/D/97"/>
    <d v="2023-05-04T00:00:00"/>
    <s v="Stores/Spares"/>
    <s v="MS Structure Items"/>
    <s v="Capital Work in Progress"/>
    <s v="MS PIPE"/>
    <s v="MS Pipe"/>
    <n v="29"/>
    <n v="1392"/>
  </r>
  <r>
    <x v="1"/>
    <s v="K.P. WOVEN PRIVATE LIMITED"/>
    <d v="2023-05-04T00:00:00"/>
    <s v="Plastene India ltd - Unit 1-Sales"/>
    <s v="Sales"/>
    <n v="91"/>
    <x v="1"/>
    <s v="KPV/D/91"/>
    <d v="2023-05-04T00:00:00"/>
    <s v="SF"/>
    <s v="PP/PE Fabric"/>
    <s v="PP UL Fabric"/>
    <s v="PP Woven Fabric"/>
    <s v="PP UL Fabric With UV"/>
    <n v="146.5"/>
    <n v="18025.36"/>
  </r>
  <r>
    <x v="1"/>
    <s v="K.P. WOVEN PRIVATE LIMITED"/>
    <d v="2023-05-04T00:00:00"/>
    <s v="Plastene India ltd - Unit 1-Sales"/>
    <s v="Sales"/>
    <n v="93"/>
    <x v="0"/>
    <s v="KPV/D/93"/>
    <d v="2023-05-04T00:00:00"/>
    <s v="Stores/Spares"/>
    <s v="MS Structure Items"/>
    <s v="Capital Work in Progress"/>
    <s v="MS PIPE"/>
    <s v="MS Pipe"/>
    <n v="505"/>
    <n v="24240"/>
  </r>
  <r>
    <x v="1"/>
    <s v="K.P. WOVEN PRIVATE LIMITED"/>
    <d v="2023-05-04T00:00:00"/>
    <s v="Plastene India ltd - Unit 2-Sales"/>
    <s v="Sales"/>
    <n v="94"/>
    <x v="1"/>
    <s v="KPV/D/94"/>
    <d v="2023-05-04T00:00:00"/>
    <s v="SF"/>
    <s v="PP/PE Fabric"/>
    <s v="PP UL Fabric"/>
    <s v="PP Woven Fabric"/>
    <s v="PP UL Fabric With UV"/>
    <n v="2751.9"/>
    <n v="346849.48"/>
  </r>
  <r>
    <x v="1"/>
    <s v="K.P. WOVEN PRIVATE LIMITED"/>
    <d v="2023-05-04T00:00:00"/>
    <s v="Plastene India ltd - Unit 2-Sales"/>
    <s v="Sales"/>
    <n v="94"/>
    <x v="1"/>
    <s v="KPV/D/94"/>
    <d v="2023-05-04T00:00:00"/>
    <s v="SF"/>
    <s v="Yarn All"/>
    <s v="PP Yarn"/>
    <s v="PP Fabricated yarn"/>
    <s v="PP Fibrillated Tape Twisted 3200 MW"/>
    <n v="804.6"/>
    <n v="90951.98"/>
  </r>
  <r>
    <x v="1"/>
    <s v="K.P. WOVEN PRIVATE LIMITED"/>
    <d v="2023-05-04T00:00:00"/>
    <s v="Plastene India ltd - Unit 2-Sales"/>
    <s v="Sales"/>
    <n v="95"/>
    <x v="0"/>
    <s v="KPV/D/95"/>
    <d v="2023-05-04T00:00:00"/>
    <s v="Stores/Spares"/>
    <s v="MS Structure Items"/>
    <s v="Capital Work in Progress"/>
    <s v="MS PIPE"/>
    <s v="MS Pipe"/>
    <n v="140"/>
    <n v="6720"/>
  </r>
  <r>
    <x v="1"/>
    <s v="K.P. WOVEN PRIVATE LIMITED"/>
    <d v="2023-05-04T00:00:00"/>
    <s v="Plastene India ltd - Unit 2-Sales"/>
    <s v="Sales"/>
    <n v="98"/>
    <x v="0"/>
    <s v="KPV/D/98"/>
    <d v="2023-05-04T00:00:00"/>
    <s v="Stores/Spares"/>
    <s v="MS Structure Items"/>
    <s v="Capital Work in Progress"/>
    <s v="MS PIPE"/>
    <s v="MS Pipe"/>
    <n v="1180"/>
    <n v="56640"/>
  </r>
  <r>
    <x v="1"/>
    <s v="K.P. WOVEN PRIVATE LIMITED"/>
    <d v="2023-05-04T00:00:00"/>
    <s v="Plastene India ltd - Unit 6-Sales"/>
    <s v="Sales"/>
    <n v="92"/>
    <x v="1"/>
    <s v="KPV/D/92"/>
    <d v="2023-05-04T00:00:00"/>
    <s v="FG"/>
    <s v="FIBC Bags"/>
    <s v="FIBC Bags"/>
    <s v="PP WOVEN BIG BAGS / SACKS"/>
    <s v="FIBC Bags With UV Without Liner"/>
    <n v="3636.9"/>
    <n v="640385.35"/>
  </r>
  <r>
    <x v="1"/>
    <s v="K.P. WOVEN PRIVATE LIMITED"/>
    <d v="2023-05-04T00:00:00"/>
    <s v="Plastene India ltd - Unit 6-Sales"/>
    <s v="Sales"/>
    <n v="92"/>
    <x v="1"/>
    <s v="KPV/D/92"/>
    <d v="2023-05-04T00:00:00"/>
    <s v="FG"/>
    <s v="FIBC Bags"/>
    <s v="FIBC Bags"/>
    <s v="PP WOVEN BIG BAGS / SACKS"/>
    <s v="FIBC Bags With UV Without Liner"/>
    <n v="845.4"/>
    <n v="154200.95999999999"/>
  </r>
  <r>
    <x v="1"/>
    <s v="K.P. WOVEN PRIVATE LIMITED"/>
    <d v="2023-05-04T00:00:00"/>
    <s v="Plastene India ltd - Unit 6-Sales"/>
    <s v="Sales"/>
    <n v="92"/>
    <x v="1"/>
    <s v="KPV/D/92"/>
    <d v="2023-05-04T00:00:00"/>
    <s v="FG"/>
    <s v="FIBC Bags"/>
    <s v="FIBC Bags"/>
    <s v="PP WOVEN BIG BAGS / SACKS"/>
    <s v="FIBC Bags With UV Without Liner"/>
    <n v="2812.3"/>
    <n v="494233.59999999998"/>
  </r>
  <r>
    <x v="1"/>
    <s v="K.P. WOVEN PRIVATE LIMITED"/>
    <d v="2023-05-05T00:00:00"/>
    <s v="Plastene India ltd - Unit 1-Sales"/>
    <s v="Sales"/>
    <n v="100"/>
    <x v="1"/>
    <s v="KPV/D/100"/>
    <d v="2023-05-05T00:00:00"/>
    <s v="SF"/>
    <s v="Yarn All"/>
    <s v="PP Yarn"/>
    <s v="PP Tape"/>
    <s v="PP Fibrillated Tape Twisted 3200 Blue"/>
    <n v="737.5"/>
    <n v="85579.5"/>
  </r>
  <r>
    <x v="1"/>
    <s v="K.P. WOVEN PRIVATE LIMITED"/>
    <d v="2023-05-05T00:00:00"/>
    <s v="Plastene India ltd - Unit 1-Sales"/>
    <s v="Sales"/>
    <n v="100"/>
    <x v="1"/>
    <s v="KPV/D/100"/>
    <d v="2023-05-05T00:00:00"/>
    <s v="SF"/>
    <s v="Yarn All"/>
    <s v="PP Yarn"/>
    <s v="PP Tape"/>
    <s v="PP Fibrillated Tape Twisted 3200 MW"/>
    <n v="1612.8"/>
    <n v="182310.91"/>
  </r>
  <r>
    <x v="1"/>
    <s v="K.P. WOVEN PRIVATE LIMITED"/>
    <d v="2023-05-05T00:00:00"/>
    <s v="Plastene India ltd - Unit 1-Sales"/>
    <s v="Sales"/>
    <n v="100"/>
    <x v="1"/>
    <s v="KPV/D/100"/>
    <d v="2023-05-05T00:00:00"/>
    <s v="SF"/>
    <s v="PP/PE Fabric"/>
    <s v="PP UL Fabric"/>
    <s v="PP Woven Fabric"/>
    <s v="PP UL Fabric With UV"/>
    <n v="762.1"/>
    <n v="96817.18"/>
  </r>
  <r>
    <x v="1"/>
    <s v="K.P. WOVEN PRIVATE LIMITED"/>
    <d v="2023-05-05T00:00:00"/>
    <s v="Plastene Polyfilms Ltd-Sales"/>
    <s v="Sales"/>
    <n v="101"/>
    <x v="1"/>
    <s v="KPV/D/101"/>
    <d v="2023-05-05T00:00:00"/>
    <s v="SF"/>
    <s v="Yarn All"/>
    <s v="PP Yarn"/>
    <s v="PP Fabricated yarn"/>
    <s v="PP Fibrillated Tape Twisted 3200 MW"/>
    <n v="1290.5999999999999"/>
    <n v="145889.42000000001"/>
  </r>
  <r>
    <x v="1"/>
    <s v="K.P. WOVEN PRIVATE LIMITED"/>
    <d v="2023-05-05T00:00:00"/>
    <s v="Plastene Polyfilms Ltd-Sales"/>
    <s v="Sales"/>
    <n v="101"/>
    <x v="1"/>
    <s v="KPV/D/101"/>
    <d v="2023-05-05T00:00:00"/>
    <s v="SF"/>
    <s v="Yarn All"/>
    <s v="PP Yarn"/>
    <s v="PP Fabricated yarn"/>
    <s v="PP Fibrillated Tape Twisted 3200 Blue"/>
    <n v="702.3"/>
    <n v="81494.89"/>
  </r>
  <r>
    <x v="1"/>
    <s v="K.P. WOVEN PRIVATE LIMITED"/>
    <d v="2023-05-06T00:00:00"/>
    <s v="Plastene India ltd - Unit 2-Sales"/>
    <s v="Sales"/>
    <n v="104"/>
    <x v="0"/>
    <s v="KPV/D/104"/>
    <d v="2023-05-06T00:00:00"/>
    <s v="Stores/Spares"/>
    <s v="MS Structure Items"/>
    <s v="Capital Work in Progress"/>
    <s v="MS PIPE"/>
    <s v="MS Pipe"/>
    <n v="116"/>
    <n v="5568"/>
  </r>
  <r>
    <x v="1"/>
    <s v="K.P. WOVEN PRIVATE LIMITED"/>
    <d v="2023-05-06T00:00:00"/>
    <s v="Plastene India ltd - Unit 2-Sales"/>
    <s v="Sales"/>
    <n v="105"/>
    <x v="0"/>
    <s v="KPV/D/105"/>
    <d v="2023-05-06T00:00:00"/>
    <s v="RM"/>
    <s v="Granules"/>
    <s v="Masterbatch"/>
    <s v="Master Batch"/>
    <s v="MB Clariant Dark Orange T164 (PLASTICHEMIX)"/>
    <n v="25"/>
    <n v="7561.75"/>
  </r>
  <r>
    <x v="1"/>
    <s v="K.P. WOVEN PRIVATE LIMITED"/>
    <d v="2023-05-06T00:00:00"/>
    <s v="Plastene India ltd - Unit 2-Sales"/>
    <s v="Sales"/>
    <n v="105"/>
    <x v="0"/>
    <s v="KPV/D/105"/>
    <d v="2023-05-06T00:00:00"/>
    <s v="RM"/>
    <s v="Granules"/>
    <s v="Masterbatch"/>
    <s v="Master Batch"/>
    <s v="MB Karnavati Rishi Green-T"/>
    <n v="25"/>
    <n v="3907.75"/>
  </r>
  <r>
    <x v="1"/>
    <s v="K.P. WOVEN PRIVATE LIMITED"/>
    <d v="2023-05-06T00:00:00"/>
    <s v="Plastene India ltd - Unit 2-Sales"/>
    <s v="Sales"/>
    <n v="106"/>
    <x v="1"/>
    <s v="KPV/D/106"/>
    <d v="2023-05-06T00:00:00"/>
    <s v="FG"/>
    <s v="FIBC Bags"/>
    <s v="FIBC Bags"/>
    <s v="PP WOVEN BIG BAGS / SACKS"/>
    <s v="FIBC Bags With UV With Liner"/>
    <n v="19262.900000000001"/>
    <n v="3337297.42"/>
  </r>
  <r>
    <x v="1"/>
    <s v="K.P. WOVEN PRIVATE LIMITED"/>
    <d v="2023-05-06T00:00:00"/>
    <s v="Plastene India ltd - Unit 2-Sales"/>
    <s v="Sales"/>
    <n v="106"/>
    <x v="1"/>
    <s v="KPV/D/106"/>
    <d v="2023-05-06T00:00:00"/>
    <s v="FG"/>
    <s v="FIBC Bags"/>
    <s v="FIBC Bags"/>
    <s v="PP WOVEN BIG BAGS / SACKS"/>
    <s v="FIBC Bags With UV Without Liner"/>
    <n v="350"/>
    <n v="62993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8"/>
    <n v="809.44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3560.5"/>
    <n v="611373.46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2745.6"/>
    <n v="468426.82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1888.8"/>
    <n v="409850.71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6349.9"/>
    <n v="1004173.19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4554.1000000000004"/>
    <n v="779434.22"/>
  </r>
  <r>
    <x v="1"/>
    <s v="K.P. WOVEN PRIVATE LIMITED"/>
    <d v="2023-05-08T00:00:00"/>
    <s v="Plastene India ltd - Unit 1-Sales"/>
    <s v="Sales"/>
    <n v="112"/>
    <x v="1"/>
    <s v="KPV/D/112"/>
    <d v="2023-05-08T00:00:00"/>
    <s v="SF"/>
    <s v="Granules"/>
    <s v="RP Granules"/>
    <s v="RP Granuals"/>
    <s v="RP Granules"/>
    <n v="1600"/>
    <n v="144000"/>
  </r>
  <r>
    <x v="1"/>
    <s v="K.P. WOVEN PRIVATE LIMITED"/>
    <d v="2023-05-08T00:00:00"/>
    <s v="Plastene India ltd - Unit 1-Sales"/>
    <s v="Sales"/>
    <n v="112"/>
    <x v="1"/>
    <s v="KPV/D/112"/>
    <d v="2023-05-08T00:00:00"/>
    <s v="SF"/>
    <s v="Granules"/>
    <s v="RP Granules"/>
    <s v="RP Granuals"/>
    <s v="RP Granules"/>
    <n v="14400"/>
    <n v="1080000"/>
  </r>
  <r>
    <x v="1"/>
    <s v="K.P. WOVEN PRIVATE LIMITED"/>
    <d v="2023-05-08T00:00:00"/>
    <s v="Plastene India ltd - Unit 2-Sales"/>
    <s v="Sales"/>
    <n v="110"/>
    <x v="1"/>
    <s v="KPV/D/110"/>
    <d v="2023-05-08T00:00:00"/>
    <s v="SF"/>
    <s v="PP/PE Fabric"/>
    <s v="PP UL Fabric"/>
    <s v="PP WOVEN FABRIC"/>
    <s v="PP UL Fabric With UV"/>
    <n v="2548.6"/>
    <n v="333968.53999999998"/>
  </r>
  <r>
    <x v="1"/>
    <s v="K.P. WOVEN PRIVATE LIMITED"/>
    <d v="2023-05-08T00:00:00"/>
    <s v="Plastene India ltd - Unit 2-Sales"/>
    <s v="Sales"/>
    <n v="110"/>
    <x v="1"/>
    <s v="KPV/D/110"/>
    <d v="2023-05-08T00:00:00"/>
    <s v="SF"/>
    <s v="Yarn All"/>
    <s v="PP Yarn"/>
    <s v="PP Fabricated yarn"/>
    <s v="PP Fibrillated Tape Twisted 3200 MW"/>
    <n v="1829.3"/>
    <n v="206784.07"/>
  </r>
  <r>
    <x v="1"/>
    <s v="K.P. WOVEN PRIVATE LIMITED"/>
    <d v="2023-05-08T00:00:00"/>
    <s v="Plastene India ltd - Unit 2-Sales"/>
    <s v="Sales"/>
    <n v="111"/>
    <x v="0"/>
    <s v="KPV/D/111"/>
    <d v="2023-05-08T00:00:00"/>
    <s v="Stores/Spares"/>
    <s v="MS Structure Items"/>
    <s v="Capital Work in Progress"/>
    <s v="MS PIPE"/>
    <s v="MS Pipe"/>
    <n v="97"/>
    <n v="4656"/>
  </r>
  <r>
    <x v="1"/>
    <s v="K.P. WOVEN PRIVATE LIMITED"/>
    <d v="2023-05-10T00:00:00"/>
    <s v="Plastene India ltd - Unit 2-Sales"/>
    <s v="Sales"/>
    <n v="114"/>
    <x v="1"/>
    <s v="KPV/D/114"/>
    <d v="2023-05-10T00:00:00"/>
    <s v="FG"/>
    <s v="FIBC Bags"/>
    <s v="FIBC Bags"/>
    <s v="PP WOVEN BIG BAGS / SACKS"/>
    <s v="FIBC Bags With UV With Liner"/>
    <n v="18775.099999999999"/>
    <n v="3310613.38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1581"/>
    <n v="238319.94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1592"/>
    <n v="245709.28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9933.9"/>
    <n v="2001382.83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2381.9"/>
    <n v="403946.42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2476.4"/>
    <n v="455286.14"/>
  </r>
  <r>
    <x v="1"/>
    <s v="K.P. WOVEN PRIVATE LIMITED"/>
    <d v="2023-05-12T00:00:00"/>
    <s v="Plastene India ltd - Unit 1-Sales"/>
    <s v="Sales"/>
    <n v="120"/>
    <x v="1"/>
    <s v="KPV/D/120"/>
    <d v="2023-05-12T00:00:00"/>
    <s v="SF"/>
    <s v="PP/PE Fabric"/>
    <s v="PP UL Fabric"/>
    <s v="PP WOVEN FABRIC"/>
    <s v="PP UL Fabric With UV"/>
    <n v="28.8"/>
    <n v="3543.55"/>
  </r>
  <r>
    <x v="1"/>
    <s v="K.P. WOVEN PRIVATE LIMITED"/>
    <d v="2023-05-12T00:00:00"/>
    <s v="Plastene India ltd - Unit 1-Sales"/>
    <s v="Sales"/>
    <n v="120"/>
    <x v="1"/>
    <s v="KPV/D/120"/>
    <d v="2023-05-12T00:00:00"/>
    <s v="SF"/>
    <s v="Yarn All"/>
    <s v="PP Yarn"/>
    <s v="PP Tape"/>
    <s v="PP Fibrillated Tape Twisted 3200 MW"/>
    <n v="2552.1999999999998"/>
    <n v="288500.69"/>
  </r>
  <r>
    <x v="1"/>
    <s v="K.P. WOVEN PRIVATE LIMITED"/>
    <d v="2023-05-12T00:00:00"/>
    <s v="Plastene Polyfilms Ltd-Sales"/>
    <s v="Sales"/>
    <n v="121"/>
    <x v="1"/>
    <s v="KPV/D/121"/>
    <d v="2023-05-12T00:00:00"/>
    <s v="SF"/>
    <s v="Yarn All"/>
    <s v="PP Yarn"/>
    <s v="PP FABRILLATED YARN"/>
    <s v="PP Fibrillated Tape Twisted 3200 Blue"/>
    <n v="437.3"/>
    <n v="50744.29"/>
  </r>
  <r>
    <x v="1"/>
    <s v="K.P. WOVEN PRIVATE LIMITED"/>
    <d v="2023-05-12T00:00:00"/>
    <s v="Plastene Polyfilms Ltd-Sales"/>
    <s v="Sales"/>
    <n v="121"/>
    <x v="1"/>
    <s v="KPV/D/121"/>
    <d v="2023-05-12T00:00:00"/>
    <s v="SF"/>
    <s v="Yarn All"/>
    <s v="PP Yarn"/>
    <s v="PP FABRILLATED YARN"/>
    <s v="PP Fibrillated Tape Twisted 3200 MW"/>
    <n v="1736.2"/>
    <n v="196260.05"/>
  </r>
  <r>
    <x v="1"/>
    <s v="K.P. WOVEN PRIVATE LIMITED"/>
    <d v="2023-05-13T00:00:00"/>
    <s v="Plastene India ltd - Unit 2-Sales"/>
    <s v="Sales"/>
    <n v="122"/>
    <x v="1"/>
    <s v="KPV/D/122"/>
    <d v="2023-05-13T00:00:00"/>
    <s v="SF"/>
    <s v="Yarn All"/>
    <s v="PP Yarn"/>
    <s v="PP Fabricated yarn"/>
    <s v="PP Fibrillated Tape Twisted 3200 MW"/>
    <n v="1447"/>
    <n v="163568.88"/>
  </r>
  <r>
    <x v="1"/>
    <s v="K.P. WOVEN PRIVATE LIMITED"/>
    <d v="2023-05-13T00:00:00"/>
    <s v="Plastene India ltd - Unit 2-Sales"/>
    <s v="Sales"/>
    <n v="122"/>
    <x v="1"/>
    <s v="KPV/D/122"/>
    <d v="2023-05-13T00:00:00"/>
    <s v="SF"/>
    <s v="Yarn All"/>
    <s v="PP Yarn"/>
    <s v="PP Fabricated yarn"/>
    <s v="PP Fibrillated Tape Twisted 3200 Black"/>
    <n v="753.8"/>
    <n v="87470.95"/>
  </r>
  <r>
    <x v="1"/>
    <s v="K.P. WOVEN PRIVATE LIMITED"/>
    <d v="2023-05-13T00:00:00"/>
    <s v="Plastene India ltd - Unit 2-Sales"/>
    <s v="Sales"/>
    <n v="122"/>
    <x v="1"/>
    <s v="KPV/D/122"/>
    <d v="2023-05-13T00:00:00"/>
    <s v="SF"/>
    <s v="Liners"/>
    <s v="LDPE/LLDPE Bags"/>
    <s v="LLDPE BAGS"/>
    <s v="LDPE/LLDPE Bags/Liner"/>
    <n v="818"/>
    <n v="115436.16"/>
  </r>
  <r>
    <x v="1"/>
    <s v="K.P. WOVEN PRIVATE LIMITED"/>
    <d v="2023-05-14T00:00:00"/>
    <s v="Oswal Extrusion Ltd- KASEZ-Sales"/>
    <s v="Export Sales"/>
    <s v="KPW/E/33/23-24"/>
    <x v="4"/>
    <s v="KPW/E/33/23-24"/>
    <d v="2023-05-14T00:00:00"/>
    <s v="SF"/>
    <s v="Liners"/>
    <s v="LDPE/LLDPE Bags"/>
    <s v="Consumables"/>
    <s v="PE Labels (Pcs)"/>
    <n v="16"/>
    <n v="9768"/>
  </r>
  <r>
    <x v="1"/>
    <s v="K.P. WOVEN PRIVATE LIMITED"/>
    <d v="2023-05-14T00:00:00"/>
    <s v="Oswal Extrusion Ltd- KASEZ-Sales"/>
    <s v="Export Sales"/>
    <s v="KPW/E/35/23-24"/>
    <x v="4"/>
    <s v="KPW/E/35/23-24"/>
    <d v="2023-05-14T00:00:00"/>
    <s v="SF"/>
    <s v="Liners"/>
    <s v="LDPE/LLDPE Bags"/>
    <s v="LLDPE BAGS"/>
    <s v="DOC Pouch"/>
    <n v="87.4"/>
    <n v="11369.87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PP/PE Fabric"/>
    <s v="PP Lam Fabric"/>
    <s v="PP LAMINETED FABRIC"/>
    <s v="PP Lam Fabric With UV"/>
    <n v="283"/>
    <n v="33688.32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Webbing"/>
    <s v="PP Webbing"/>
    <s v="PP WEBBING"/>
    <s v="Webbing"/>
    <n v="1086.3"/>
    <n v="130399.45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Webbing"/>
    <s v="PP Webbing"/>
    <s v="PP WEBBING"/>
    <s v="Webbing"/>
    <n v="782.9"/>
    <n v="93979.32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PP/PE Fabric"/>
    <s v="PP UL Fabric"/>
    <s v="PP WOVEN FABRIC"/>
    <s v="PP UL Fabric With UV"/>
    <n v="4319.1000000000004"/>
    <n v="565974.86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Yarn All"/>
    <s v="PP Yarn"/>
    <s v="PP Tape"/>
    <s v="PP Fibrillated Tape Twisted 3200 Blue"/>
    <n v="439.2"/>
    <n v="50964.77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855.3"/>
    <n v="147145.81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1586"/>
    <n v="294504.34000000003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405"/>
    <n v="80347.95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2349.6"/>
    <n v="407773.08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 Liner"/>
    <n v="4054.5"/>
    <n v="929615.76"/>
  </r>
  <r>
    <x v="1"/>
    <s v="K.P. WOVEN PRIVATE LIMITED"/>
    <d v="2023-05-15T00:00:00"/>
    <s v="Plastene India ltd - Unit 1-Sales"/>
    <s v="Sales"/>
    <n v="127"/>
    <x v="1"/>
    <s v="KPV/D/127"/>
    <d v="2023-05-15T00:00:00"/>
    <s v="SF"/>
    <s v="Webbing"/>
    <s v="PP Webbing"/>
    <s v="PP WEBBING"/>
    <s v="Webbing"/>
    <n v="498"/>
    <n v="59779.92"/>
  </r>
  <r>
    <x v="1"/>
    <s v="K.P. WOVEN PRIVATE LIMITED"/>
    <d v="2023-05-15T00:00:00"/>
    <s v="Plastene India ltd - Unit 1-Sales"/>
    <s v="Sales"/>
    <n v="127"/>
    <x v="1"/>
    <s v="KPV/D/127"/>
    <d v="2023-05-15T00:00:00"/>
    <s v="SF"/>
    <s v="PP/PE Fabric"/>
    <s v="PP Lam Fabric"/>
    <s v="PP LAMINETED FABRIC"/>
    <s v="PP Lam Fabric With UV"/>
    <n v="477"/>
    <n v="94942.080000000002"/>
  </r>
  <r>
    <x v="1"/>
    <s v="K.P. WOVEN PRIVATE LIMITED"/>
    <d v="2023-05-15T00:00:00"/>
    <s v="Plastene India ltd - Unit 1-Sales"/>
    <s v="Sales"/>
    <n v="127"/>
    <x v="1"/>
    <s v="KPV/D/127"/>
    <d v="2023-05-15T00:00:00"/>
    <s v="SF"/>
    <s v="PP/PE Fabric"/>
    <s v="PP UL Fabric"/>
    <s v="PP WOVEN FABRIC"/>
    <s v="PP UL Fabric With UV"/>
    <n v="3852"/>
    <n v="504766.08"/>
  </r>
  <r>
    <x v="1"/>
    <s v="K.P. WOVEN PRIVATE LIMITED"/>
    <d v="2023-05-15T00:00:00"/>
    <s v="Plastene India ltd - Unit 1-Sales"/>
    <s v="Sales"/>
    <n v="128"/>
    <x v="0"/>
    <s v="KPV/D/128"/>
    <d v="2023-05-15T00:00:00"/>
    <s v="Stores/Spares"/>
    <s v="MS Structure Items"/>
    <s v="Capital Work in Progress"/>
    <s v="MS PIPE"/>
    <s v="MS Pipe"/>
    <n v="880"/>
    <n v="42240"/>
  </r>
  <r>
    <x v="1"/>
    <s v="K.P. WOVEN PRIVATE LIMITED"/>
    <d v="2023-05-15T00:00:00"/>
    <s v="Plastene India ltd - Unit 2-Sales"/>
    <s v="Sales"/>
    <n v="125"/>
    <x v="1"/>
    <s v="KPV/D/125"/>
    <d v="2023-05-15T00:00:00"/>
    <s v="FG"/>
    <s v="FIBC Bags"/>
    <s v="FIBC Bags"/>
    <s v="PP WOVEN BIG BAGS / SACKS"/>
    <s v="FIBC Bags With UV With Liner"/>
    <n v="4305.3999999999996"/>
    <n v="963161.03"/>
  </r>
  <r>
    <x v="1"/>
    <s v="K.P. WOVEN PRIVATE LIMITED"/>
    <d v="2023-05-15T00:00:00"/>
    <s v="Plastene India ltd - Unit 2-Sales"/>
    <s v="Sales"/>
    <n v="126"/>
    <x v="1"/>
    <s v="KPV/D/126"/>
    <d v="2023-05-15T00:00:00"/>
    <s v="FG"/>
    <s v="FIBC Bags"/>
    <s v="FIBC Bags"/>
    <s v="PP WOVEN BIG BAGS / SACKS"/>
    <s v="FIBC Bags With UV Without Liner"/>
    <n v="1663"/>
    <n v="282743.26"/>
  </r>
  <r>
    <x v="1"/>
    <s v="K.P. WOVEN PRIVATE LIMITED"/>
    <d v="2023-05-15T00:00:00"/>
    <s v="Plastene India ltd - Unit 2-Sales"/>
    <s v="Sales"/>
    <n v="126"/>
    <x v="1"/>
    <s v="KPV/D/126"/>
    <d v="2023-05-15T00:00:00"/>
    <s v="FG"/>
    <s v="FIBC Bags"/>
    <s v="FIBC Bags"/>
    <s v="PP WOVEN BIG BAGS / SACKS"/>
    <s v="FIBC Bags With UV Without Liner"/>
    <n v="8999.4"/>
    <n v="1499660.02"/>
  </r>
  <r>
    <x v="1"/>
    <s v="K.P. WOVEN PRIVATE LIMITED"/>
    <d v="2023-05-15T00:00:00"/>
    <s v="Plastene India ltd - Unit 2-Sales"/>
    <s v="Sales"/>
    <n v="126"/>
    <x v="1"/>
    <s v="KPV/D/126"/>
    <d v="2023-05-15T00:00:00"/>
    <s v="FG"/>
    <s v="FIBC Bags"/>
    <s v="FIBC Bags"/>
    <s v="PP WOVEN BIG BAGS / SACKS"/>
    <s v="FIBC Bags With UV With Liner"/>
    <n v="9129.1"/>
    <n v="1530950.07"/>
  </r>
  <r>
    <x v="1"/>
    <s v="K.P. WOVEN PRIVATE LIMITED"/>
    <d v="2023-05-17T00:00:00"/>
    <s v="HCP Plastene Bulkpack Limited - Sales"/>
    <s v="Sales"/>
    <n v="132"/>
    <x v="0"/>
    <s v="KPV/D/132"/>
    <d v="2023-05-17T00:00:00"/>
    <s v="Stores/Spares"/>
    <s v="MS Structure Items"/>
    <s v="Capital Work in Progress"/>
    <s v="MS PIPE"/>
    <s v="MS Pipe"/>
    <n v="1650"/>
    <n v="79200"/>
  </r>
  <r>
    <x v="1"/>
    <s v="K.P. WOVEN PRIVATE LIMITED"/>
    <d v="2023-05-17T00:00:00"/>
    <s v="Plastene India ltd - Unit 2-Sales"/>
    <s v="Sales"/>
    <n v="130"/>
    <x v="1"/>
    <s v="KPV/D/130"/>
    <d v="2023-05-17T00:00:00"/>
    <s v="SF"/>
    <s v="Yarn All"/>
    <s v="PP Yarn"/>
    <s v="PP Fabricated yarn"/>
    <s v="PP Fibrillated Tape Twisted 3200 MW"/>
    <n v="1078.9000000000001"/>
    <n v="121958.86"/>
  </r>
  <r>
    <x v="1"/>
    <s v="K.P. WOVEN PRIVATE LIMITED"/>
    <d v="2023-05-17T00:00:00"/>
    <s v="Plastene India ltd - Unit 2-Sales"/>
    <s v="Sales"/>
    <n v="130"/>
    <x v="1"/>
    <s v="KPV/D/130"/>
    <d v="2023-05-17T00:00:00"/>
    <s v="SF"/>
    <s v="Yarn All"/>
    <s v="PP Yarn"/>
    <s v="PP Fabricated yarn"/>
    <s v="PP Fibrillated Tape Twisted 3200 Blue"/>
    <n v="1056.8"/>
    <n v="122631.07"/>
  </r>
  <r>
    <x v="1"/>
    <s v="K.P. WOVEN PRIVATE LIMITED"/>
    <d v="2023-05-17T00:00:00"/>
    <s v="Plastene India ltd - Unit 2-Sales"/>
    <s v="Sales"/>
    <n v="131"/>
    <x v="1"/>
    <s v="KPV/D/131"/>
    <d v="2023-05-17T00:00:00"/>
    <s v="Consumables"/>
    <s v="Adhesive Tapes"/>
    <s v="Raw Material"/>
    <s v="PP Tape"/>
    <s v="Glue Tape 19 mm X 1 mm Thicknes - 10 Meter Roll"/>
    <n v="480"/>
    <n v="52800"/>
  </r>
  <r>
    <x v="1"/>
    <s v="K.P. WOVEN PRIVATE LIMITED"/>
    <d v="2023-05-18T00:00:00"/>
    <s v="HCP Plastene Bulkpack Ltd (Unit-III) - Sales"/>
    <s v="Sales"/>
    <n v="139"/>
    <x v="1"/>
    <s v="KPV/D/139"/>
    <d v="2023-05-18T00:00:00"/>
    <s v="SF"/>
    <s v="Webbing"/>
    <s v="PP Webbing"/>
    <s v="PP WEBBING"/>
    <s v="Webbing"/>
    <n v="2275.4"/>
    <n v="266312.82"/>
  </r>
  <r>
    <x v="1"/>
    <s v="K.P. WOVEN PRIVATE LIMITED"/>
    <d v="2023-05-18T00:00:00"/>
    <s v="Oswal Extrusion Ltd- KASEZ-Sales"/>
    <s v="Export Sales"/>
    <s v="KPW/E/38/23-24"/>
    <x v="4"/>
    <s v="KPW/E/38/23-24"/>
    <d v="2023-05-18T00:00:00"/>
    <s v="SF"/>
    <s v="Liners"/>
    <s v="LDPE/LLDPE Bags"/>
    <s v="LLDPE BAGS"/>
    <s v="DOC Pouch"/>
    <n v="139"/>
    <n v="18082.509999999998"/>
  </r>
  <r>
    <x v="1"/>
    <s v="K.P. WOVEN PRIVATE LIMITED"/>
    <d v="2023-05-18T00:00:00"/>
    <s v="Plastene India ltd - Unit 1-Sales"/>
    <s v="Sales"/>
    <n v="134"/>
    <x v="1"/>
    <s v="KPV/D/134"/>
    <d v="2023-05-18T00:00:00"/>
    <s v="SF"/>
    <s v="Yarn All"/>
    <s v="PP Yarn"/>
    <s v="PP Tape"/>
    <s v="PP Fibrillated Tape Twisted 3200 MW"/>
    <n v="729.1"/>
    <n v="82417.460000000006"/>
  </r>
  <r>
    <x v="1"/>
    <s v="K.P. WOVEN PRIVATE LIMITED"/>
    <d v="2023-05-18T00:00:00"/>
    <s v="Plastene India ltd - Unit 1-Sales"/>
    <s v="Sales"/>
    <n v="134"/>
    <x v="1"/>
    <s v="KPV/D/134"/>
    <d v="2023-05-18T00:00:00"/>
    <s v="SF"/>
    <s v="Yarn All"/>
    <s v="PP Yarn"/>
    <s v="PP Tape"/>
    <s v="PP Fibrillated Tape Twisted 3200 Blue"/>
    <n v="443"/>
    <n v="51405.72"/>
  </r>
  <r>
    <x v="1"/>
    <s v="K.P. WOVEN PRIVATE LIMITED"/>
    <d v="2023-05-18T00:00:00"/>
    <s v="Plastene India ltd - Unit 1-Sales"/>
    <s v="Sales"/>
    <n v="134"/>
    <x v="1"/>
    <s v="KPV/D/134"/>
    <d v="2023-05-18T00:00:00"/>
    <s v="SF"/>
    <s v="PP/PE Fabric"/>
    <s v="PP UL Fabric"/>
    <s v="PP WOVEN FABRIC"/>
    <s v="PP UL Fabric With UV"/>
    <n v="212.9"/>
    <n v="27898.42"/>
  </r>
  <r>
    <x v="1"/>
    <s v="K.P. WOVEN PRIVATE LIMITED"/>
    <d v="2023-05-18T00:00:00"/>
    <s v="Plastene India ltd - Unit 2-Sales"/>
    <s v="Sales"/>
    <n v="137"/>
    <x v="1"/>
    <s v="KPV/D/137"/>
    <d v="2023-05-18T00:00:00"/>
    <s v="SF"/>
    <s v="Yarn All"/>
    <s v="PP Yarn"/>
    <s v="PP FABRILLATED YARN"/>
    <s v="PP Fibrillated Tape Twisted 3200 MW"/>
    <n v="1323.3"/>
    <n v="149585.82999999999"/>
  </r>
  <r>
    <x v="1"/>
    <s v="K.P. WOVEN PRIVATE LIMITED"/>
    <d v="2023-05-18T00:00:00"/>
    <s v="Plastene India ltd - Unit 2-Sales"/>
    <s v="Sales"/>
    <n v="138"/>
    <x v="0"/>
    <s v="KPV/D/138"/>
    <d v="2023-05-18T00:00:00"/>
    <s v="Stores/Spares"/>
    <s v="MS Structure Items"/>
    <s v="Capital Work in Progress"/>
    <s v="MS PIPE"/>
    <s v="MS Pipe"/>
    <n v="1390"/>
    <n v="66720"/>
  </r>
  <r>
    <x v="1"/>
    <s v="K.P. WOVEN PRIVATE LIMITED"/>
    <d v="2023-05-20T00:00:00"/>
    <s v="Plastene India ltd - Unit 2-Sales"/>
    <s v="Sales"/>
    <n v="140"/>
    <x v="1"/>
    <s v="KPV/D/140"/>
    <d v="2023-05-20T00:00:00"/>
    <s v="FG"/>
    <s v="FIBC Bags"/>
    <s v="FIBC Bags"/>
    <s v="PP WOVEN BIG BAGS / SACKS"/>
    <s v="FIBC Bags With UV Without Liner"/>
    <n v="8156"/>
    <n v="1456090.68"/>
  </r>
  <r>
    <x v="1"/>
    <s v="K.P. WOVEN PRIVATE LIMITED"/>
    <d v="2023-05-21T00:00:00"/>
    <s v="Oswal Extrusion Ltd- KASEZ-Sales"/>
    <s v="Export Sales"/>
    <s v="KPW/E/43/23-24"/>
    <x v="4"/>
    <s v="KPW/E/43/23-24"/>
    <d v="2023-05-21T00:00:00"/>
    <s v="RM Consumables"/>
    <s v="FIBC Accessories"/>
    <s v="FIBC Accessories"/>
    <s v="Consumables"/>
    <s v="Tyvek Labels (Pcs)"/>
    <n v="1"/>
    <n v="2408"/>
  </r>
  <r>
    <x v="1"/>
    <s v="K.P. WOVEN PRIVATE LIMITED"/>
    <d v="2023-05-21T00:00:00"/>
    <s v="Plastene India ltd - Unit 6-Sales"/>
    <s v="Sales"/>
    <n v="141"/>
    <x v="1"/>
    <s v="KPV/D/141"/>
    <d v="2023-05-21T00:00:00"/>
    <s v="SF"/>
    <s v="Yarn All"/>
    <s v="PP Yarn"/>
    <s v="PP Fabricated yarn"/>
    <s v="PP Fibrillated Tape Twisted 3200 Blue"/>
    <n v="345"/>
    <n v="40033.800000000003"/>
  </r>
  <r>
    <x v="1"/>
    <s v="K.P. WOVEN PRIVATE LIMITED"/>
    <d v="2023-05-21T00:00:00"/>
    <s v="Plastene India ltd - Unit 6-Sales"/>
    <s v="Sales"/>
    <n v="141"/>
    <x v="1"/>
    <s v="KPV/D/141"/>
    <d v="2023-05-21T00:00:00"/>
    <s v="SF"/>
    <s v="Yarn All"/>
    <s v="PP Yarn"/>
    <s v="PP Fabricated yarn"/>
    <s v="PP Fibrillated Tape Twisted 3200 MW"/>
    <n v="333"/>
    <n v="37642.32"/>
  </r>
  <r>
    <x v="1"/>
    <s v="K.P. WOVEN PRIVATE LIMITED"/>
    <d v="2023-05-21T00:00:00"/>
    <s v="Plastene India ltd - Unit 6-Sales"/>
    <s v="Sales"/>
    <n v="144"/>
    <x v="1"/>
    <s v="KPV/D/144"/>
    <d v="2023-05-21T00:00:00"/>
    <s v="FG"/>
    <s v="FIBC Bags"/>
    <s v="FIBC Bags"/>
    <s v="PP WOVEN BIG BAGS / SACKS"/>
    <s v="FIBC Bags With UV Without Liner"/>
    <n v="1443.7"/>
    <n v="372705.59"/>
  </r>
  <r>
    <x v="1"/>
    <s v="K.P. WOVEN PRIVATE LIMITED"/>
    <d v="2023-05-21T00:00:00"/>
    <s v="Plastene India ltd - Unit 6-Sales"/>
    <s v="Sales"/>
    <n v="144"/>
    <x v="1"/>
    <s v="KPV/D/144"/>
    <d v="2023-05-21T00:00:00"/>
    <s v="FG"/>
    <s v="FIBC Bags"/>
    <s v="FIBC Bags"/>
    <s v="PP WOVEN BIG BAGS / SACKS"/>
    <s v="FIBC Bags With UV Without Liner"/>
    <n v="2212.9"/>
    <n v="411156.82"/>
  </r>
  <r>
    <x v="1"/>
    <s v="K.P. WOVEN PRIVATE LIMITED"/>
    <d v="2023-05-21T00:00:00"/>
    <s v="Plastene India ltd - Unit 6-Sales"/>
    <s v="Sales"/>
    <n v="144"/>
    <x v="1"/>
    <s v="KPV/D/144"/>
    <d v="2023-05-21T00:00:00"/>
    <s v="FG"/>
    <s v="FIBC Bags"/>
    <s v="FIBC Bags"/>
    <s v="PP WOVEN BIG BAGS / SACKS"/>
    <s v="FIBC Bags With UV Without Liner"/>
    <n v="2783.3"/>
    <n v="504194.8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Yarn All"/>
    <s v="PP Yarn"/>
    <s v="PP Fabricated yarn"/>
    <s v="PP Fibrillated Tape Twisted 3200 Blue"/>
    <n v="419.5"/>
    <n v="48678.78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Yarn All"/>
    <s v="PP Yarn"/>
    <s v="PP Fabricated yarn"/>
    <s v="PP Fibrillated Tape Twisted 3200 MW"/>
    <n v="822.9"/>
    <n v="93020.62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Webbing"/>
    <s v="PP Webbing"/>
    <s v="PP WEBBING"/>
    <s v="Webbing"/>
    <n v="2443.1999999999998"/>
    <n v="293281.73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Webbing"/>
    <s v="PP Webbing"/>
    <s v="PP WEBBING"/>
    <s v="Webbing"/>
    <n v="1757.8"/>
    <n v="205732.91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Webbing"/>
    <s v="PP Webbing"/>
    <s v="PP WEBBING"/>
    <s v="Webbing"/>
    <n v="529"/>
    <n v="63501.16"/>
  </r>
  <r>
    <x v="1"/>
    <s v="K.P. WOVEN PRIVATE LIMITED"/>
    <d v="2023-05-22T00:00:00"/>
    <s v="Plastene India ltd - Unit 2-Sales"/>
    <s v="Sales"/>
    <n v="145"/>
    <x v="1"/>
    <s v="KPV/D/145"/>
    <d v="2023-05-22T00:00:00"/>
    <s v="FG"/>
    <s v="FIBC Bags"/>
    <s v="FIBC Bags"/>
    <s v="PP WOVEN BIG BAGS / SACKS"/>
    <s v="FIBC Bags With UV Without Liner"/>
    <n v="9081"/>
    <n v="1608063.48"/>
  </r>
  <r>
    <x v="1"/>
    <s v="K.P. WOVEN PRIVATE LIMITED"/>
    <d v="2023-05-22T00:00:00"/>
    <s v="Plastene India ltd - Unit 2-Sales"/>
    <s v="Sales"/>
    <n v="145"/>
    <x v="1"/>
    <s v="KPV/D/145"/>
    <d v="2023-05-22T00:00:00"/>
    <s v="FG"/>
    <s v="FIBC Bags"/>
    <s v="FIBC Bags"/>
    <s v="PP WOVEN BIG BAGS / SACKS"/>
    <s v="FIBC Bags With UV Without Liner"/>
    <n v="10019.200000000001"/>
    <n v="1801552.35"/>
  </r>
  <r>
    <x v="1"/>
    <s v="K.P. WOVEN PRIVATE LIMITED"/>
    <d v="2023-05-23T00:00:00"/>
    <s v="HCP Plastene Bulkpack Ltd (Unit-III) - Sales"/>
    <s v="Sales"/>
    <n v="148"/>
    <x v="1"/>
    <s v="KPV/D/148"/>
    <d v="2023-05-23T00:00:00"/>
    <s v="SF"/>
    <s v="Yarn All"/>
    <s v="PP Yarn"/>
    <s v="PP FABRILLATED YARN"/>
    <s v="PP Fibrillated Tape Twisted 3200 MW"/>
    <n v="141.4"/>
    <n v="15983.86"/>
  </r>
  <r>
    <x v="1"/>
    <s v="K.P. WOVEN PRIVATE LIMITED"/>
    <d v="2023-05-23T00:00:00"/>
    <s v="HCP Plastene Bulkpack Ltd (Unit-III) - Sales"/>
    <s v="Sales"/>
    <n v="148"/>
    <x v="1"/>
    <s v="KPV/D/148"/>
    <d v="2023-05-23T00:00:00"/>
    <s v="SF"/>
    <s v="Yarn All"/>
    <s v="PP Yarn"/>
    <s v="PP FABRILLATED YARN"/>
    <s v="PP Fibrillated Tape Twisted 3200 Blue"/>
    <n v="822.1"/>
    <n v="95396.479999999996"/>
  </r>
  <r>
    <x v="1"/>
    <s v="K.P. WOVEN PRIVATE LIMITED"/>
    <d v="2023-05-23T00:00:00"/>
    <s v="HCP Plastene Bulkpack Ltd (Unit-III) - Sales"/>
    <s v="Sales"/>
    <n v="148"/>
    <x v="1"/>
    <s v="KPV/D/148"/>
    <d v="2023-05-23T00:00:00"/>
    <s v="SF"/>
    <s v="Yarn All"/>
    <s v="PP Yarn"/>
    <s v="PP FABRILLATED YARN"/>
    <s v="PP Fibrillated Tape Twisted 3200 Black"/>
    <n v="580.1"/>
    <n v="67314.8"/>
  </r>
  <r>
    <x v="1"/>
    <s v="K.P. WOVEN PRIVATE LIMITED"/>
    <d v="2023-05-23T00:00:00"/>
    <s v="Oswal Extrusion Ltd- KASEZ-Sales"/>
    <s v="Export Sales"/>
    <s v="KPW/E/47/23-24"/>
    <x v="4"/>
    <s v="KPW/E/47/23-24"/>
    <d v="2023-05-23T00:00:00"/>
    <s v="Packing Material"/>
    <s v="Pallets"/>
    <s v="Packing Materials"/>
    <s v="Packing Materials"/>
    <s v="Wooden Pallet Size 90X115X7Cm Gutka ( Nnz Bv Order Only)"/>
    <n v="220"/>
    <n v="12300"/>
  </r>
  <r>
    <x v="1"/>
    <s v="K.P. WOVEN PRIVATE LIMITED"/>
    <d v="2023-05-23T00:00:00"/>
    <s v="Plastene India ltd - Unit 6-Sales"/>
    <s v="Sales"/>
    <n v="149"/>
    <x v="1"/>
    <s v="KPV/D/149"/>
    <d v="2023-05-23T00:00:00"/>
    <s v="SF"/>
    <s v="PP/PE Fabric"/>
    <s v="PP UL Fabric"/>
    <s v="PP WOVEN FABRIC"/>
    <s v="PP UL Fabric With UV"/>
    <n v="333.6"/>
    <n v="41046.14"/>
  </r>
  <r>
    <x v="1"/>
    <s v="K.P. WOVEN PRIVATE LIMITED"/>
    <d v="2023-05-23T00:00:00"/>
    <s v="Plastene India ltd - Unit 6-Sales"/>
    <s v="Sales"/>
    <n v="150"/>
    <x v="0"/>
    <s v="KPV/D/150"/>
    <d v="2023-05-23T00:00:00"/>
    <s v="Stores/Spares"/>
    <s v="MS Structure Items"/>
    <s v="Capital Work in Progress"/>
    <s v="MS PIPE"/>
    <s v="MS Pipe"/>
    <n v="20"/>
    <n v="960"/>
  </r>
  <r>
    <x v="1"/>
    <s v="K.P. WOVEN PRIVATE LIMITED"/>
    <d v="2023-05-23T00:00:00"/>
    <s v="Plastene India ltd - Unit 6-Sales"/>
    <s v="Sales"/>
    <n v="151"/>
    <x v="1"/>
    <s v="KPV/D/151"/>
    <d v="2023-05-23T00:00:00"/>
    <s v="SF"/>
    <s v="Liners"/>
    <s v="LDPE/LLDPE Bags"/>
    <s v="LLDPE BAGS"/>
    <s v="DOC Pouch"/>
    <n v="162.5"/>
    <n v="21139.62"/>
  </r>
  <r>
    <x v="1"/>
    <s v="K.P. WOVEN PRIVATE LIMITED"/>
    <d v="2023-05-23T00:00:00"/>
    <s v="Plastene Polyfilms Ltd-Sales"/>
    <s v="Sales"/>
    <n v="152"/>
    <x v="1"/>
    <s v="KPV/D/152"/>
    <d v="2023-05-23T00:00:00"/>
    <s v="FG"/>
    <s v="FIBC Bags"/>
    <s v="FIBC Bags"/>
    <s v="PP WOVEN BIG BAGS / SACKS"/>
    <s v="FIBC Bags With UV Without Liner"/>
    <n v="1812.5"/>
    <n v="379700.62"/>
  </r>
  <r>
    <x v="1"/>
    <s v="K.P. WOVEN PRIVATE LIMITED"/>
    <d v="2023-05-23T00:00:00"/>
    <s v="Plastene Polyfilms Ltd-Sales"/>
    <s v="Sales"/>
    <n v="152"/>
    <x v="1"/>
    <s v="KPV/D/152"/>
    <d v="2023-05-23T00:00:00"/>
    <s v="FG"/>
    <s v="FIBC Bags"/>
    <s v="FIBC Bags"/>
    <s v="PP WOVEN BIG BAGS / SACKS"/>
    <s v="FIBC Bags With UV Without Liner"/>
    <n v="2200"/>
    <n v="380468"/>
  </r>
  <r>
    <x v="1"/>
    <s v="K.P. WOVEN PRIVATE LIMITED"/>
    <d v="2023-05-23T00:00:00"/>
    <s v="Plastene Polyfilms Ltd-Sales"/>
    <s v="Sales"/>
    <n v="152"/>
    <x v="1"/>
    <s v="KPV/D/152"/>
    <d v="2023-05-23T00:00:00"/>
    <s v="FG"/>
    <s v="FIBC Bags"/>
    <s v="FIBC Bags"/>
    <s v="PP WOVEN BIG BAGS / SACKS"/>
    <s v="FIBC Bags With UV Without Liner"/>
    <n v="3359.6"/>
    <n v="567537.23"/>
  </r>
  <r>
    <x v="1"/>
    <s v="K.P. WOVEN PRIVATE LIMITED"/>
    <d v="2023-05-24T00:00:00"/>
    <s v="Plastene India ltd - Unit 6-Sales"/>
    <s v="Sales"/>
    <n v="154"/>
    <x v="1"/>
    <s v="KPV/D/154"/>
    <d v="2023-05-24T00:00:00"/>
    <s v="FG"/>
    <s v="FIBC Bags"/>
    <s v="FIBC Bags"/>
    <s v="PP WOVEN BIG BAGS / SACKS"/>
    <s v="FIBC Bags With UV Without Liner"/>
    <n v="2347.8000000000002"/>
    <n v="470616.51"/>
  </r>
  <r>
    <x v="1"/>
    <s v="K.P. WOVEN PRIVATE LIMITED"/>
    <d v="2023-05-24T00:00:00"/>
    <s v="Plastene India ltd - Unit 6-Sales"/>
    <s v="Sales"/>
    <n v="154"/>
    <x v="1"/>
    <s v="KPV/D/154"/>
    <d v="2023-05-24T00:00:00"/>
    <s v="FG"/>
    <s v="FIBC Bags"/>
    <s v="FIBC Bags"/>
    <s v="PP WOVEN BIG BAGS / SACKS"/>
    <s v="FIBC Bags With UV Without Liner"/>
    <n v="2434.4"/>
    <n v="421321.61"/>
  </r>
  <r>
    <x v="1"/>
    <s v="K.P. WOVEN PRIVATE LIMITED"/>
    <d v="2023-05-24T00:00:00"/>
    <s v="Plastene Polyfilms Ltd-Sales"/>
    <s v="Sales"/>
    <n v="153"/>
    <x v="1"/>
    <s v="KPV/D/153"/>
    <d v="2023-05-24T00:00:00"/>
    <s v="SF"/>
    <s v="Webbing"/>
    <s v="PP Webbing"/>
    <s v="PP WEBBING"/>
    <s v="Webbing"/>
    <n v="597.6"/>
    <n v="69943.100000000006"/>
  </r>
  <r>
    <x v="1"/>
    <s v="K.P. WOVEN PRIVATE LIMITED"/>
    <d v="2023-05-24T00:00:00"/>
    <s v="Plastene Polyfilms Ltd-Sales"/>
    <s v="Sales"/>
    <n v="155"/>
    <x v="1"/>
    <s v="KPV/D/155"/>
    <d v="2023-05-24T00:00:00"/>
    <s v="FG"/>
    <s v="FIBC Bags"/>
    <s v="FIBC Bags"/>
    <s v="PP WOVEN BIG BAGS / SACKS"/>
    <s v="FIBC Bags With UV Without Liner"/>
    <n v="1099.5999999999999"/>
    <n v="190164.82"/>
  </r>
  <r>
    <x v="1"/>
    <s v="K.P. WOVEN PRIVATE LIMITED"/>
    <d v="2023-05-26T00:00:00"/>
    <s v="Plastene India ltd - Unit 2-Sales"/>
    <s v="Sales"/>
    <n v="159"/>
    <x v="1"/>
    <s v="KPV/D/159"/>
    <d v="2023-05-26T00:00:00"/>
    <s v="SF"/>
    <s v="PP/PE Fabric"/>
    <s v="PP UL Fabric"/>
    <s v="PP WOVEN FABRIC"/>
    <s v="PP UL Fabric With UV"/>
    <n v="779.5"/>
    <n v="93571.18"/>
  </r>
  <r>
    <x v="1"/>
    <s v="K.P. WOVEN PRIVATE LIMITED"/>
    <d v="2023-05-26T00:00:00"/>
    <s v="Plastene India ltd - Unit 2-Sales"/>
    <s v="Sales"/>
    <n v="159"/>
    <x v="1"/>
    <s v="KPV/D/159"/>
    <d v="2023-05-26T00:00:00"/>
    <s v="SF"/>
    <s v="PP/PE Fabric"/>
    <s v="PP UL Fabric"/>
    <s v="PP WOVEN FABRIC"/>
    <s v="PP UL Fabric With UV"/>
    <n v="91"/>
    <n v="11196.64"/>
  </r>
  <r>
    <x v="1"/>
    <s v="K.P. WOVEN PRIVATE LIMITED"/>
    <d v="2023-05-26T00:00:00"/>
    <s v="Plastene India ltd - Unit 2-Sales"/>
    <s v="Sales"/>
    <n v="159"/>
    <x v="1"/>
    <s v="KPV/D/159"/>
    <d v="2023-05-26T00:00:00"/>
    <s v="SF"/>
    <s v="PP/PE Fabric"/>
    <s v="PP UL Fabric"/>
    <s v="PP WOVEN FABRIC"/>
    <s v="PP UL Fabric With UV"/>
    <n v="1942.9"/>
    <n v="254597.62"/>
  </r>
  <r>
    <x v="1"/>
    <s v="K.P. WOVEN PRIVATE LIMITED"/>
    <d v="2023-05-26T00:00:00"/>
    <s v="Plastene India ltd - Unit 2-Sales"/>
    <s v="Sales"/>
    <n v="160"/>
    <x v="0"/>
    <s v="KPV/D/160"/>
    <d v="2023-05-26T00:00:00"/>
    <s v="Stores/Spares"/>
    <s v="MS Structure Items"/>
    <s v="Capital Work in Progress"/>
    <s v="MS PIPE"/>
    <s v="MS Pipe"/>
    <n v="149"/>
    <n v="7152"/>
  </r>
  <r>
    <x v="1"/>
    <s v="K.P. WOVEN PRIVATE LIMITED"/>
    <d v="2023-05-26T00:00:00"/>
    <s v="Plastene India ltd - Unit 2-Sales"/>
    <s v="Sales"/>
    <n v="161"/>
    <x v="0"/>
    <s v="KPV/D/161"/>
    <d v="2023-05-26T00:00:00"/>
    <s v="RM"/>
    <s v="Granules"/>
    <s v="Masterbatch"/>
    <s v="Master batch"/>
    <s v="MB Clariant Dark Orange T164 (PLASTICHEMIX)"/>
    <n v="25"/>
    <n v="7561.75"/>
  </r>
  <r>
    <x v="1"/>
    <s v="K.P. WOVEN PRIVATE LIMITED"/>
    <d v="2023-05-27T00:00:00"/>
    <s v="HCP Plastene Bulkpack Ltd (Unit-III) - Sales"/>
    <s v="Sales"/>
    <n v="165"/>
    <x v="1"/>
    <s v="KPV/D/165"/>
    <d v="2023-05-27T00:00:00"/>
    <s v="SF"/>
    <s v="Yarn All"/>
    <s v="PP Yarn"/>
    <s v="PP FABRILLATED YARN"/>
    <s v="PP Fibrillated Tape Twisted 3200 MW"/>
    <n v="799.3"/>
    <n v="90352.87"/>
  </r>
  <r>
    <x v="1"/>
    <s v="K.P. WOVEN PRIVATE LIMITED"/>
    <d v="2023-05-27T00:00:00"/>
    <s v="Plastene India ltd - Unit 2-Sales"/>
    <s v="Sales"/>
    <n v="164"/>
    <x v="1"/>
    <s v="KPV/D/164"/>
    <d v="2023-05-27T00:00:00"/>
    <s v="FG"/>
    <s v="FIBC Bags"/>
    <s v="FIBC Bags"/>
    <s v="PP WOVEN BIG BAGS / SACKS"/>
    <s v="FIBC Bags With UV Without Liner"/>
    <n v="2779.4"/>
    <n v="483976.92"/>
  </r>
  <r>
    <x v="1"/>
    <s v="K.P. WOVEN PRIVATE LIMITED"/>
    <d v="2023-05-27T00:00:00"/>
    <s v="Plastene India ltd - Unit 2-Sales"/>
    <s v="Sales"/>
    <n v="164"/>
    <x v="1"/>
    <s v="KPV/D/164"/>
    <d v="2023-05-27T00:00:00"/>
    <s v="FG"/>
    <s v="FIBC Bags"/>
    <s v="FIBC Bags"/>
    <s v="PP WOVEN BIG BAGS / SACKS"/>
    <s v="FIBC Bags With UV Without Liner"/>
    <n v="2834.1"/>
    <n v="476327.19"/>
  </r>
  <r>
    <x v="1"/>
    <s v="K.P. WOVEN PRIVATE LIMITED"/>
    <d v="2023-05-28T00:00:00"/>
    <s v="Plastene India ltd - Unit 1-Sales"/>
    <s v="Sales"/>
    <n v="166"/>
    <x v="1"/>
    <s v="KPV/D/166"/>
    <d v="2023-05-28T00:00:00"/>
    <s v="SF"/>
    <s v="Yarn All"/>
    <s v="PP Yarn"/>
    <s v="PP Tape"/>
    <s v="PP Fibrillated Tape Twisted 3200 MW"/>
    <n v="1867.7"/>
    <n v="211124.81"/>
  </r>
  <r>
    <x v="1"/>
    <s v="K.P. WOVEN PRIVATE LIMITED"/>
    <d v="2023-05-28T00:00:00"/>
    <s v="Plastene India ltd - Unit 1-Sales"/>
    <s v="Sales"/>
    <n v="166"/>
    <x v="1"/>
    <s v="KPV/D/166"/>
    <d v="2023-05-28T00:00:00"/>
    <s v="SF"/>
    <s v="Yarn All"/>
    <s v="PP Yarn"/>
    <s v="PP Tape"/>
    <s v="PP Fibrillated Tape Twisted 3200 Blue"/>
    <n v="587.5"/>
    <n v="68173.5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2851.2"/>
    <n v="478203.26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1210.2"/>
    <n v="208069.69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1219.4000000000001"/>
    <n v="208249.13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1218.7"/>
    <n v="202876.99"/>
  </r>
  <r>
    <x v="1"/>
    <s v="K.P. WOVEN PRIVATE LIMITED"/>
    <d v="2023-05-28T00:00:00"/>
    <s v="Plastene Polyfilms Ltd-Sales"/>
    <s v="Sales"/>
    <n v="167"/>
    <x v="1"/>
    <s v="KPV/D/167"/>
    <d v="2023-05-28T00:00:00"/>
    <s v="SF"/>
    <s v="Yarn All"/>
    <s v="PP Yarn"/>
    <s v="PP FABRILLATED YARN"/>
    <s v="PP Fibrillated Tape Twisted 3200 MW"/>
    <n v="820.1"/>
    <n v="92704.1"/>
  </r>
  <r>
    <x v="1"/>
    <s v="K.P. WOVEN PRIVATE LIMITED"/>
    <d v="2023-05-28T00:00:00"/>
    <s v="Plastene Polyfilms Ltd-Sales"/>
    <s v="Sales"/>
    <n v="167"/>
    <x v="1"/>
    <s v="KPV/D/167"/>
    <d v="2023-05-28T00:00:00"/>
    <s v="SF"/>
    <s v="Yarn All"/>
    <s v="PP Yarn"/>
    <s v="PP FABRILLATED YARN"/>
    <s v="PP Fibrillated Tape Twisted 3200 Blue"/>
    <n v="627.6"/>
    <n v="72826.7"/>
  </r>
  <r>
    <x v="1"/>
    <s v="K.P. WOVEN PRIVATE LIMITED"/>
    <d v="2023-05-28T00:00:00"/>
    <s v="Plastene Polyfilms Ltd-Sales"/>
    <s v="Sales"/>
    <n v="168"/>
    <x v="1"/>
    <s v="KPV/D/168"/>
    <d v="2023-05-28T00:00:00"/>
    <s v="FG"/>
    <s v="FIBC Bags"/>
    <s v="FIBC Bags"/>
    <s v="PP WOVEN BIG BAGS / SACKS"/>
    <s v="FIBC Bags With UV Without Liner"/>
    <n v="4976.8"/>
    <n v="916627.02"/>
  </r>
  <r>
    <x v="2"/>
    <s v="K.P. WOVEN PRIVATE LIMITED"/>
    <d v="2023-06-01T00:00:00"/>
    <s v="Plastene India ltd - Unit 1-Sales"/>
    <s v="Sales"/>
    <n v="176"/>
    <x v="1"/>
    <s v="KPV/D/176"/>
    <d v="2023-06-01T00:00:00"/>
    <s v="SF"/>
    <s v="PP/PE Fabric"/>
    <s v="PP UL Fabric"/>
    <s v="PP WOVEN FABRIC"/>
    <s v="PP UL Fabric With UV"/>
    <n v="232.6"/>
    <n v="28619.1"/>
  </r>
  <r>
    <x v="2"/>
    <s v="K.P. WOVEN PRIVATE LIMITED"/>
    <d v="2023-06-01T00:00:00"/>
    <s v="Plastene India ltd - Unit 1-Sales"/>
    <s v="Sales"/>
    <n v="177"/>
    <x v="0"/>
    <s v="KPV/D/177"/>
    <d v="2023-06-01T00:00:00"/>
    <s v="Stores/Spares"/>
    <s v="MS Structure Items"/>
    <s v="Capital Work in Progress"/>
    <s v="MS PIPE"/>
    <s v="MS Pipe"/>
    <n v="12"/>
    <n v="576"/>
  </r>
  <r>
    <x v="2"/>
    <s v="K.P. WOVEN PRIVATE LIMITED"/>
    <d v="2023-06-01T00:00:00"/>
    <s v="Plastene India ltd - Unit 6-Sales"/>
    <s v="Sales"/>
    <n v="173"/>
    <x v="1"/>
    <s v="KPV/D/173"/>
    <d v="2023-06-01T00:00:00"/>
    <s v="FG"/>
    <s v="FIBC Bags"/>
    <s v="FIBC Bags"/>
    <s v="PP WOVEN BIG BAGS / SACKS"/>
    <s v="FIBC Bags With UV Without Liner"/>
    <n v="2021.8"/>
    <n v="347608.07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PP/PE Fabric"/>
    <s v="PP UL Fabric"/>
    <s v="PP WOVEN FABRIC"/>
    <s v="PP UL Fabric With UV"/>
    <n v="869"/>
    <n v="104314.76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PP/PE Fabric"/>
    <s v="PP Lam Fabric"/>
    <s v="PP LAMINETED FABRIC"/>
    <s v="PP Lam Fabric With UV"/>
    <n v="769"/>
    <n v="91541.759999999995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PP/PE Fabric"/>
    <s v="PP Lam Fabric"/>
    <s v="PP LAMINETED FABRIC"/>
    <s v="PP Lam Fabric With UV"/>
    <n v="190"/>
    <n v="23187.599999999999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Black"/>
    <n v="659"/>
    <n v="76470.36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Blue"/>
    <n v="597.5"/>
    <n v="69333.899999999994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MW"/>
    <n v="561.79999999999995"/>
    <n v="63505.87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Red 187C"/>
    <n v="656.2"/>
    <n v="76145.45"/>
  </r>
  <r>
    <x v="2"/>
    <s v="K.P. WOVEN PRIVATE LIMITED"/>
    <d v="2023-06-01T00:00:00"/>
    <s v="Plastene Polyfilms Ltd-Sales"/>
    <s v="Sales"/>
    <n v="175"/>
    <x v="0"/>
    <s v="KPV/D/175"/>
    <d v="2023-06-01T00:00:00"/>
    <s v="Stores/Spares"/>
    <s v="MS Structure Items"/>
    <s v="Capital Work in Progress"/>
    <s v="MS PIPE"/>
    <s v="MS Pipe"/>
    <n v="65"/>
    <n v="3120"/>
  </r>
  <r>
    <x v="2"/>
    <s v="K.P. WOVEN PRIVATE LIMITED"/>
    <d v="2023-06-04T00:00:00"/>
    <s v="Plastene India ltd - Unit 6-Sales"/>
    <s v="Sales"/>
    <n v="180"/>
    <x v="1"/>
    <s v="KPV/D/180"/>
    <d v="2023-06-04T00:00:00"/>
    <s v="FG"/>
    <s v="FIBC Bags"/>
    <s v="FIBC Bags"/>
    <s v="PP WOVEN BIG BAGS / SACKS"/>
    <s v="FIBC Bags With UV With Liner"/>
    <n v="2347.4"/>
    <n v="466264.06"/>
  </r>
  <r>
    <x v="2"/>
    <s v="K.P. WOVEN PRIVATE LIMITED"/>
    <d v="2023-06-04T00:00:00"/>
    <s v="Plastene India ltd - Unit 6-Sales"/>
    <s v="Sales"/>
    <n v="180"/>
    <x v="1"/>
    <s v="KPV/D/180"/>
    <d v="2023-06-04T00:00:00"/>
    <s v="FG"/>
    <s v="FIBC Bags"/>
    <s v="FIBC Bags"/>
    <s v="PP WOVEN BIG BAGS / SACKS"/>
    <s v="FIBC Bags With UV With Liner"/>
    <n v="4542"/>
    <n v="938922.24"/>
  </r>
  <r>
    <x v="2"/>
    <s v="K.P. WOVEN PRIVATE LIMITED"/>
    <d v="2023-06-04T00:00:00"/>
    <s v="Plastene Polyfilms Ltd-Sales"/>
    <s v="Sales"/>
    <n v="179"/>
    <x v="1"/>
    <s v="KPV/D/179"/>
    <d v="2023-06-04T00:00:00"/>
    <s v="FG"/>
    <s v="FIBC Bags"/>
    <s v="FIBC Bags"/>
    <s v="PP WOVEN BIG BAGS / SACKS"/>
    <s v="FIBC Bags With UV Without Liner"/>
    <n v="810"/>
    <n v="127712.7"/>
  </r>
  <r>
    <x v="2"/>
    <s v="K.P. WOVEN PRIVATE LIMITED"/>
    <d v="2023-06-04T00:00:00"/>
    <s v="Plastene Polyfilms Ltd-Sales"/>
    <s v="Sales"/>
    <n v="181"/>
    <x v="1"/>
    <s v="KPV/D/181"/>
    <d v="2023-06-04T00:00:00"/>
    <s v="SF"/>
    <s v="Webbing"/>
    <s v="PP Webbing"/>
    <s v="PP WEBBING"/>
    <s v="Webbing"/>
    <n v="4650.3999999999996"/>
    <n v="523495.53"/>
  </r>
  <r>
    <x v="2"/>
    <s v="K.P. WOVEN PRIVATE LIMITED"/>
    <d v="2023-06-05T00:00:00"/>
    <s v="Plastene India ltd - Unit 2-Sales"/>
    <s v="Sales"/>
    <n v="182"/>
    <x v="1"/>
    <s v="KPV/D/182"/>
    <d v="2023-06-05T00:00:00"/>
    <s v="SF"/>
    <s v="Yarn All"/>
    <s v="PP Yarn"/>
    <s v="PP FABRILLATED YARN"/>
    <s v="PP Fibrillated Tape Twisted 3200 Blue"/>
    <n v="490.5"/>
    <n v="54725.08"/>
  </r>
  <r>
    <x v="2"/>
    <s v="K.P. WOVEN PRIVATE LIMITED"/>
    <d v="2023-06-05T00:00:00"/>
    <s v="Plastene India ltd - Unit 2-Sales"/>
    <s v="Sales"/>
    <n v="182"/>
    <x v="1"/>
    <s v="KPV/D/182"/>
    <d v="2023-06-05T00:00:00"/>
    <s v="SF"/>
    <s v="Yarn All"/>
    <s v="PP Yarn"/>
    <s v="PP FABRILLATED YARN"/>
    <s v="PP Fibrillated Tape Twisted 3200 MW"/>
    <n v="2007.8"/>
    <n v="217986.85"/>
  </r>
  <r>
    <x v="2"/>
    <s v="K.P. WOVEN PRIVATE LIMITED"/>
    <d v="2023-06-05T00:00:00"/>
    <s v="Plastene India ltd - Unit 2-Sales"/>
    <s v="Sales"/>
    <n v="183"/>
    <x v="0"/>
    <s v="KPV/D/183"/>
    <d v="2023-06-05T00:00:00"/>
    <s v="Stores/Spares"/>
    <s v="MS Structure Items"/>
    <s v="Capital Work in Progress"/>
    <s v="MS PIPE"/>
    <s v="MS Pipe"/>
    <n v="1960"/>
    <n v="94080"/>
  </r>
  <r>
    <x v="2"/>
    <s v="K.P. WOVEN PRIVATE LIMITED"/>
    <d v="2023-06-05T00:00:00"/>
    <s v="Plastene India ltd - Unit 2-Sales"/>
    <s v="Sales"/>
    <n v="184"/>
    <x v="1"/>
    <s v="KPV/D/184"/>
    <d v="2023-06-05T00:00:00"/>
    <s v="FG"/>
    <s v="FIBC Bags"/>
    <s v="FIBC Bags"/>
    <s v="PP WOVEN BIG BAGS / SACKS"/>
    <s v="FIBC Bags With UV Without Liner"/>
    <n v="5213.3999999999996"/>
    <n v="929653.49"/>
  </r>
  <r>
    <x v="2"/>
    <s v="K.P. WOVEN PRIVATE LIMITED"/>
    <d v="2023-06-05T00:00:00"/>
    <s v="Plastene India ltd - Unit 2-Sales"/>
    <s v="Sales"/>
    <n v="184"/>
    <x v="1"/>
    <s v="KPV/D/184"/>
    <d v="2023-06-05T00:00:00"/>
    <s v="FG"/>
    <s v="FIBC Bags"/>
    <s v="FIBC Bags"/>
    <s v="PP WOVEN BIG BAGS / SACKS"/>
    <s v="FIBC Bags With UV Without Liner"/>
    <n v="12856.5"/>
    <n v="2249887.5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486.2"/>
    <n v="91828.59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735.8"/>
    <n v="286320.2100000000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2643.6"/>
    <n v="392442.4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694.4"/>
    <n v="278389.9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283.3"/>
    <n v="194099.1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647"/>
    <n v="259880.13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6278.9"/>
    <n v="1138238.99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337.5"/>
    <n v="243304.6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610.5"/>
    <n v="106996.23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704.3"/>
    <n v="317033.89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462"/>
    <n v="88699.38"/>
  </r>
  <r>
    <x v="2"/>
    <s v="K.P. WOVEN PRIVATE LIMITED"/>
    <d v="2023-06-06T00:00:00"/>
    <s v="Plastene India ltd - Unit 2-Sales"/>
    <s v="Sales"/>
    <n v="186"/>
    <x v="1"/>
    <s v="KPV/D/186"/>
    <d v="2023-06-06T00:00:00"/>
    <s v="FG"/>
    <s v="Small Bags"/>
    <s v="PP Bags"/>
    <s v="PP WOVEN BIG BAGS / SACKS"/>
    <s v="PP Lam Bags Without UV - Ad Star"/>
    <n v="1750"/>
    <n v="246842.75"/>
  </r>
  <r>
    <x v="2"/>
    <s v="K.P. WOVEN PRIVATE LIMITED"/>
    <d v="2023-06-07T00:00:00"/>
    <s v="Plastene India ltd - Unit 2-Sales"/>
    <s v="Sales"/>
    <n v="187"/>
    <x v="1"/>
    <s v="KPV/D/187"/>
    <d v="2023-06-07T00:00:00"/>
    <s v="FG"/>
    <s v="FIBC Bags"/>
    <s v="FIBC Bags"/>
    <s v="PP WOVEN BIG BAGS / SACKS"/>
    <s v="FIBC Bags With UV Without Liner"/>
    <n v="3470.5"/>
    <n v="567045"/>
  </r>
  <r>
    <x v="2"/>
    <s v="K.P. WOVEN PRIVATE LIMITED"/>
    <d v="2023-06-10T00:00:00"/>
    <s v="Plastene India ltd - Unit 2-Sales"/>
    <s v="Sales"/>
    <n v="195"/>
    <x v="1"/>
    <s v="KPV/D/195"/>
    <d v="2023-06-10T00:00:00"/>
    <s v="FG"/>
    <s v="FIBC Bags"/>
    <s v="FIBC Bags"/>
    <s v="PP WOVEN BIG BAGS / SACKS"/>
    <s v="FIBC Bags With UV Without Liner"/>
    <n v="19379.3"/>
    <n v="2864066.75"/>
  </r>
  <r>
    <x v="2"/>
    <s v="K.P. WOVEN PRIVATE LIMITED"/>
    <d v="2023-06-10T00:00:00"/>
    <s v="Plastene Polyfilms Ltd-Sales"/>
    <s v="Sales"/>
    <n v="191"/>
    <x v="1"/>
    <s v="KPV/D/191"/>
    <d v="2023-06-10T00:00:00"/>
    <s v="FG"/>
    <s v="FIBC Bags"/>
    <s v="FIBC Bags"/>
    <s v="PP WOVEN BIG BAGS / SACKS"/>
    <s v="FIBC Bags With UV With Liner"/>
    <n v="1267.4000000000001"/>
    <n v="219615.07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Yarn All"/>
    <s v="PP Yarn"/>
    <s v="PP FABRILLATED YARN"/>
    <s v="PP Fibrillated Tape Twisted 3200 Blue"/>
    <n v="1096.0999999999999"/>
    <n v="122291.88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Yarn All"/>
    <s v="PP Yarn"/>
    <s v="PP FABRILLATED YARN"/>
    <s v="PP Fibrillated Tape Twisted 3200 MW"/>
    <n v="1442.9"/>
    <n v="156655.65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PP/PE Fabric"/>
    <s v="PP UL Fabric"/>
    <s v="PP WOVEN FABRIC"/>
    <s v="PP UL Fabric With UV"/>
    <n v="464.3"/>
    <n v="55052.05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Webbing"/>
    <s v="PP Webbing"/>
    <s v="PP WEBBING"/>
    <s v="Webbing"/>
    <n v="1695.3"/>
    <n v="195925.82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Webbing"/>
    <s v="PP Webbing"/>
    <s v="PP WEBBING"/>
    <s v="Webbing Tie"/>
    <n v="85.6"/>
    <n v="9635.99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PP/PE Fabric"/>
    <s v="PP Lam Fabric"/>
    <s v="PP LAMINETED FABRIC"/>
    <s v="PP Lam Fabric With UV"/>
    <n v="775"/>
    <n v="88791.75"/>
  </r>
  <r>
    <x v="2"/>
    <s v="K.P. WOVEN PRIVATE LIMITED"/>
    <d v="2023-06-10T00:00:00"/>
    <s v="Plastene Polyfilms Ltd-Sales"/>
    <s v="Sales"/>
    <n v="193"/>
    <x v="0"/>
    <s v="KPV/D/193"/>
    <d v="2023-06-10T00:00:00"/>
    <s v="Stores/Spares"/>
    <s v="MS Structure Items"/>
    <s v="Capital Work in Progress"/>
    <s v="MS PIPE"/>
    <s v="MS Pipe"/>
    <n v="24"/>
    <n v="1152"/>
  </r>
  <r>
    <x v="2"/>
    <s v="K.P. WOVEN PRIVATE LIMITED"/>
    <d v="2023-06-11T00:00:00"/>
    <s v="Plastene India ltd - Unit 2-Sales"/>
    <s v="Sales"/>
    <n v="198"/>
    <x v="1"/>
    <s v="KPV/D/198"/>
    <d v="2023-06-11T00:00:00"/>
    <s v="SF"/>
    <s v="PP/PE Fabric"/>
    <s v="PP UL Fabric"/>
    <s v="PP WOVEN FABRIC"/>
    <s v="PP UL Fabric With UV"/>
    <n v="4068.5"/>
    <n v="482402.04"/>
  </r>
  <r>
    <x v="2"/>
    <s v="K.P. WOVEN PRIVATE LIMITED"/>
    <d v="2023-06-11T00:00:00"/>
    <s v="Plastene India ltd - Unit 2-Sales"/>
    <s v="Sales"/>
    <n v="199"/>
    <x v="0"/>
    <s v="KPV/D/199"/>
    <d v="2023-06-11T00:00:00"/>
    <s v="Stores/Spares"/>
    <s v="MS Structure Items"/>
    <s v="Capital Work in Progress"/>
    <s v="MS PIPE"/>
    <s v="MS Pipe"/>
    <n v="1641"/>
    <n v="78768"/>
  </r>
  <r>
    <x v="2"/>
    <s v="K.P. WOVEN PRIVATE LIMITED"/>
    <d v="2023-06-11T00:00:00"/>
    <s v="Plastene India ltd - Unit 6-Sales"/>
    <s v="Sales"/>
    <n v="196"/>
    <x v="1"/>
    <s v="KPV/D/196"/>
    <d v="2023-06-11T00:00:00"/>
    <s v="FG"/>
    <s v="FIBC Bags"/>
    <s v="FIBC Bags"/>
    <s v="PP WOVEN BIG BAGS / SACKS"/>
    <s v="FIBC Bags With UV Without Liner"/>
    <n v="5534"/>
    <n v="983447.14"/>
  </r>
  <r>
    <x v="2"/>
    <s v="K.P. WOVEN PRIVATE LIMITED"/>
    <d v="2023-06-11T00:00:00"/>
    <s v="Plastene India ltd - Unit 6-Sales"/>
    <s v="Sales"/>
    <n v="196"/>
    <x v="1"/>
    <s v="KPV/D/196"/>
    <d v="2023-06-11T00:00:00"/>
    <s v="FG"/>
    <s v="FIBC Bags"/>
    <s v="FIBC Bags"/>
    <s v="PP WOVEN BIG BAGS / SACKS"/>
    <s v="FIBC Bags With UV Without Liner"/>
    <n v="3244"/>
    <n v="553977.88"/>
  </r>
  <r>
    <x v="2"/>
    <s v="K.P. WOVEN PRIVATE LIMITED"/>
    <d v="2023-06-13T00:00:00"/>
    <s v="Plastene India ltd - Unit 2-Sales"/>
    <s v="Sales"/>
    <n v="202"/>
    <x v="1"/>
    <s v="KPV/D/202"/>
    <d v="2023-06-13T00:00:00"/>
    <s v="FG"/>
    <s v="FIBC WIP"/>
    <s v="FIBC WIP"/>
    <s v="PP WOVEN FABRIC"/>
    <s v="FIBC WIP"/>
    <n v="349"/>
    <n v="41380.93"/>
  </r>
  <r>
    <x v="2"/>
    <s v="K.P. WOVEN PRIVATE LIMITED"/>
    <d v="2023-06-14T00:00:00"/>
    <s v="Plastene India ltd - Unit 2-Sales"/>
    <s v="Sales"/>
    <n v="204"/>
    <x v="1"/>
    <s v="KPV/D/204"/>
    <d v="2023-06-14T00:00:00"/>
    <s v="FG"/>
    <s v="FIBC Bags"/>
    <s v="FIBC Bags"/>
    <s v="PP WOVEN BIG BAGS / SACKS"/>
    <s v="FIBC Bags With UV Without Liner"/>
    <n v="7281.4"/>
    <n v="1234707"/>
  </r>
  <r>
    <x v="2"/>
    <s v="K.P. WOVEN PRIVATE LIMITED"/>
    <d v="2023-06-14T00:00:00"/>
    <s v="Plastene India ltd - Unit 2-Sales"/>
    <s v="Sales"/>
    <n v="205"/>
    <x v="1"/>
    <s v="KPV/D/205"/>
    <d v="2023-06-14T00:00:00"/>
    <s v="SF"/>
    <s v="PP/PE Fabric"/>
    <s v="PP UL Fabric"/>
    <s v="PP WOVEN FABRIC"/>
    <s v="PP UL Fabric With UV"/>
    <n v="128"/>
    <n v="14792.96"/>
  </r>
  <r>
    <x v="2"/>
    <s v="K.P. WOVEN PRIVATE LIMITED"/>
    <d v="2023-06-14T00:00:00"/>
    <s v="Plastene India ltd - Unit 2-Sales"/>
    <s v="Sales"/>
    <n v="206"/>
    <x v="0"/>
    <s v="KPV/D/206"/>
    <d v="2023-06-14T00:00:00"/>
    <s v="Stores/Spares"/>
    <s v="MS Structure Items"/>
    <s v="Capital Work in Progress"/>
    <s v="MS PIPE"/>
    <s v="MS Pipe"/>
    <n v="22"/>
    <n v="1056"/>
  </r>
  <r>
    <x v="2"/>
    <s v="K.P. WOVEN PRIVATE LIMITED"/>
    <d v="2023-06-16T00:00:00"/>
    <s v="Plastene India ltd - Unit 2-Sales"/>
    <s v="Sales"/>
    <n v="207"/>
    <x v="1"/>
    <s v="KPV/D/207"/>
    <d v="2023-06-16T00:00:00"/>
    <s v="FG"/>
    <s v="FIBC Bags"/>
    <s v="FIBC Bags"/>
    <s v="PP WOVEN BIG BAGS / SACKS"/>
    <s v="FIBC Bags With UV Without Liner"/>
    <n v="6038.6"/>
    <n v="1023965.4"/>
  </r>
  <r>
    <x v="2"/>
    <s v="K.P. WOVEN PRIVATE LIMITED"/>
    <d v="2023-06-17T00:00:00"/>
    <s v="Plastene India ltd - Unit 2-Sales"/>
    <s v="Sales"/>
    <n v="208"/>
    <x v="1"/>
    <s v="KPV/D/208"/>
    <d v="2023-06-17T00:00:00"/>
    <s v="SF"/>
    <s v="PP/PE Fabric"/>
    <s v="PP UL Fabric"/>
    <s v="PP WOVEN FABRIC"/>
    <s v="PP UL Fabric With UV"/>
    <n v="133"/>
    <n v="15014.37"/>
  </r>
  <r>
    <x v="2"/>
    <s v="K.P. WOVEN PRIVATE LIMITED"/>
    <d v="2023-06-17T00:00:00"/>
    <s v="Plastene India ltd - Unit 2-Sales"/>
    <s v="Sales"/>
    <n v="208"/>
    <x v="1"/>
    <s v="KPV/D/208"/>
    <d v="2023-06-17T00:00:00"/>
    <s v="SF"/>
    <s v="PP/PE Fabric"/>
    <s v="PP UL Fabric"/>
    <s v="PP WOVEN FABRIC"/>
    <s v="PP UL Fabric With UV"/>
    <n v="2528.1"/>
    <n v="277812.90999999997"/>
  </r>
  <r>
    <x v="2"/>
    <s v="K.P. WOVEN PRIVATE LIMITED"/>
    <d v="2023-06-17T00:00:00"/>
    <s v="Plastene India ltd - Unit 2-Sales"/>
    <s v="Sales"/>
    <n v="209"/>
    <x v="0"/>
    <s v="KPV/D/209"/>
    <d v="2023-06-17T00:00:00"/>
    <s v="Stores/Spares"/>
    <s v="MS Structure Items"/>
    <s v="Capital Work in Progress"/>
    <s v="MS PIPE"/>
    <s v="MS Pipe"/>
    <n v="1335"/>
    <n v="64080"/>
  </r>
  <r>
    <x v="2"/>
    <s v="K.P. WOVEN PRIVATE LIMITED"/>
    <d v="2023-06-19T00:00:00"/>
    <s v="Plastene India ltd - Unit 2-Sales"/>
    <s v="Sales"/>
    <n v="210"/>
    <x v="1"/>
    <s v="KPV/D/210"/>
    <d v="2023-06-19T00:00:00"/>
    <s v="FG"/>
    <s v="FIBC Bags"/>
    <s v="FIBC Bags"/>
    <s v="PP WOVEN BIG BAGS / SACKS"/>
    <s v="FIBC Bags With UV Without Liner"/>
    <n v="5696.3"/>
    <n v="909870"/>
  </r>
  <r>
    <x v="2"/>
    <s v="K.P. WOVEN PRIVATE LIMITED"/>
    <d v="2023-06-19T00:00:00"/>
    <s v="Plastene India ltd - Unit 2-Sales"/>
    <s v="Sales"/>
    <n v="211"/>
    <x v="1"/>
    <s v="KPV/D/211"/>
    <d v="2023-06-19T00:00:00"/>
    <s v="SF"/>
    <s v="Yarn All"/>
    <s v="PP Yarn"/>
    <s v="PP FABRILLATED YARN"/>
    <s v="PP Fibrillated Tape Twisted 3200 MW"/>
    <n v="902.9"/>
    <n v="90190.68"/>
  </r>
  <r>
    <x v="2"/>
    <s v="K.P. WOVEN PRIVATE LIMITED"/>
    <d v="2023-06-20T00:00:00"/>
    <s v="Plastene India ltd - Unit 6-Sales"/>
    <s v="Sales"/>
    <n v="213"/>
    <x v="1"/>
    <s v="KPV/D/213"/>
    <d v="2023-06-20T00:00:00"/>
    <s v="FG"/>
    <s v="FIBC Bags"/>
    <s v="FIBC Bags"/>
    <s v="PP WOVEN BIG BAGS / SACKS"/>
    <s v="FIBC Bags With UV With Liner"/>
    <n v="4371"/>
    <n v="902873.76"/>
  </r>
  <r>
    <x v="2"/>
    <s v="K.P. WOVEN PRIVATE LIMITED"/>
    <d v="2023-06-20T00:00:00"/>
    <s v="Plastene India ltd - Unit 6-Sales"/>
    <s v="Sales"/>
    <n v="213"/>
    <x v="1"/>
    <s v="KPV/D/213"/>
    <d v="2023-06-20T00:00:00"/>
    <s v="FG"/>
    <s v="FIBC Bags"/>
    <s v="FIBC Bags"/>
    <s v="PP WOVEN BIG BAGS / SACKS"/>
    <s v="FIBC Bags With UV Without Liner"/>
    <n v="1584.8"/>
    <n v="282855.09999999998"/>
  </r>
  <r>
    <x v="2"/>
    <s v="K.P. WOVEN PRIVATE LIMITED"/>
    <d v="2023-06-21T00:00:00"/>
    <s v="HCP Plastene Bulkpack Ltd (Unit-III) - Sales"/>
    <s v="Sales"/>
    <n v="218"/>
    <x v="1"/>
    <s v="KPV/D/218"/>
    <d v="2023-06-21T00:00:00"/>
    <s v="SF"/>
    <s v="Webbing"/>
    <s v="PP Webbing"/>
    <s v="PP WEBBING"/>
    <s v="Webbing"/>
    <n v="117"/>
    <n v="12506.13"/>
  </r>
  <r>
    <x v="2"/>
    <s v="K.P. WOVEN PRIVATE LIMITED"/>
    <d v="2023-06-21T00:00:00"/>
    <s v="HCP Plastene Bulkpack Ltd (Unit-III) - Sales"/>
    <s v="Sales"/>
    <n v="218"/>
    <x v="1"/>
    <s v="KPV/D/218"/>
    <d v="2023-06-21T00:00:00"/>
    <s v="SF"/>
    <s v="Yarn All"/>
    <s v="PP Yarn"/>
    <s v="PP FABRILLATED YARN"/>
    <s v="PP Fibrillated Tape Twisted 3200 MW"/>
    <n v="1139.2"/>
    <n v="113794.69"/>
  </r>
  <r>
    <x v="2"/>
    <s v="K.P. WOVEN PRIVATE LIMITED"/>
    <d v="2023-06-21T00:00:00"/>
    <s v="Plastene India ltd - Unit 2-Sales"/>
    <s v="Sales"/>
    <n v="215"/>
    <x v="1"/>
    <s v="KPV/D/215"/>
    <d v="2023-06-21T00:00:00"/>
    <s v="SF"/>
    <s v="PP/PE Fabric"/>
    <s v="PP UL Fabric"/>
    <s v="PP WOVEN FABRIC"/>
    <s v="PP UL Fabric With UV"/>
    <n v="2904.6"/>
    <n v="319186.49"/>
  </r>
  <r>
    <x v="2"/>
    <s v="K.P. WOVEN PRIVATE LIMITED"/>
    <d v="2023-06-21T00:00:00"/>
    <s v="Plastene India ltd - Unit 2-Sales"/>
    <s v="Sales"/>
    <n v="215"/>
    <x v="1"/>
    <s v="KPV/D/215"/>
    <d v="2023-06-21T00:00:00"/>
    <s v="SF"/>
    <s v="Yarn All"/>
    <s v="PP Yarn"/>
    <s v="PP MF Yarn"/>
    <s v="PP MF Yarn Twisted 2500 Denier UV NW"/>
    <n v="1042.2"/>
    <n v="123761.25"/>
  </r>
  <r>
    <x v="2"/>
    <s v="K.P. WOVEN PRIVATE LIMITED"/>
    <d v="2023-06-21T00:00:00"/>
    <s v="Plastene India ltd - Unit 2-Sales"/>
    <s v="Sales"/>
    <n v="215"/>
    <x v="1"/>
    <s v="KPV/D/215"/>
    <d v="2023-06-21T00:00:00"/>
    <s v="SF"/>
    <s v="Yarn All"/>
    <s v="PP Yarn"/>
    <s v="PP FABRILLATED YARN"/>
    <s v="PP Fibrillated Tape Twisted 3200 Blue"/>
    <n v="708.1"/>
    <n v="70732.11"/>
  </r>
  <r>
    <x v="2"/>
    <s v="K.P. WOVEN PRIVATE LIMITED"/>
    <d v="2023-06-21T00:00:00"/>
    <s v="Plastene India ltd - Unit 2-Sales"/>
    <s v="Sales"/>
    <n v="216"/>
    <x v="0"/>
    <s v="KPV/D/216"/>
    <d v="2023-06-21T00:00:00"/>
    <s v="Stores/Spares"/>
    <s v="MS Structure Items"/>
    <s v="Capital Work in Progress"/>
    <s v="MS PIPE"/>
    <s v="MS Pipe"/>
    <n v="123"/>
    <n v="5904"/>
  </r>
  <r>
    <x v="2"/>
    <s v="K.P. WOVEN PRIVATE LIMITED"/>
    <d v="2023-06-22T00:00:00"/>
    <s v="Plastene India ltd - Unit 1-Sales"/>
    <s v="Sales"/>
    <n v="222"/>
    <x v="0"/>
    <s v="KPV/D/222"/>
    <d v="2023-06-22T00:00:00"/>
    <s v="Stores/Spares"/>
    <s v="MS Structure Items"/>
    <s v="Capital Work in Progress"/>
    <s v="MS PIPE"/>
    <s v="MS Pipe"/>
    <n v="1230"/>
    <n v="59040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Yarn All"/>
    <s v="PP Yarn"/>
    <s v="PP FABRILLATED YARN"/>
    <s v="PP Fibrillated Tape Twisted 3200 Blue"/>
    <n v="595.20000000000005"/>
    <n v="61240.13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Yarn All"/>
    <s v="PP Yarn"/>
    <s v="PP FABRILLATED YARN"/>
    <s v="PP Fibrillated Tape Twisted 3200 MW"/>
    <n v="854.9"/>
    <n v="85395.96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PP/PE Fabric"/>
    <s v="PP UL Fabric"/>
    <s v="PP WOVEN FABRIC"/>
    <s v="PP UL Fabric With UV"/>
    <n v="2089"/>
    <n v="252539.21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PP/PE Fabric"/>
    <s v="PP UL Fabric"/>
    <s v="PP WOVEN FABRIC"/>
    <s v="PP UL Fabric With UV"/>
    <n v="549.6"/>
    <n v="60395.54"/>
  </r>
  <r>
    <x v="2"/>
    <s v="K.P. WOVEN PRIVATE LIMITED"/>
    <d v="2023-06-22T00:00:00"/>
    <s v="Plastene India ltd - Unit 2-Sales"/>
    <s v="Sales"/>
    <n v="220"/>
    <x v="0"/>
    <s v="KPV/D/220"/>
    <d v="2023-06-22T00:00:00"/>
    <s v="Stores/Spares"/>
    <s v="MS Structure Items"/>
    <s v="Capital Work in Progress"/>
    <s v="MS PIPE"/>
    <s v="MS Pipe"/>
    <n v="93"/>
    <n v="4464"/>
  </r>
  <r>
    <x v="2"/>
    <s v="K.P. WOVEN PRIVATE LIMITED"/>
    <d v="2023-06-23T00:00:00"/>
    <s v="Plastene India ltd - Unit 1-Sales"/>
    <s v="Sales"/>
    <n v="224"/>
    <x v="1"/>
    <s v="KPV/D/224"/>
    <d v="2023-06-23T00:00:00"/>
    <s v="SF"/>
    <s v="Granules"/>
    <s v="RP Granules"/>
    <s v="RP Granuals"/>
    <s v="RP Granules"/>
    <n v="10000"/>
    <n v="750000"/>
  </r>
  <r>
    <x v="2"/>
    <s v="K.P. WOVEN PRIVATE LIMITED"/>
    <d v="2023-06-23T00:00:00"/>
    <s v="Plastene India ltd - Unit 1-Sales"/>
    <s v="Sales"/>
    <n v="227"/>
    <x v="1"/>
    <s v="KPV/D/227"/>
    <d v="2023-06-23T00:00:00"/>
    <s v="SF"/>
    <s v="Wastage/Scrap"/>
    <s v="Wastage/Scrap"/>
    <s v="Waste"/>
    <s v="PP/HD Wastage/Scrap"/>
    <n v="1540"/>
    <n v="117656"/>
  </r>
  <r>
    <x v="2"/>
    <s v="K.P. WOVEN PRIVATE LIMITED"/>
    <d v="2023-06-23T00:00:00"/>
    <s v="Plastene India ltd - Unit 1-Sales"/>
    <s v="Sales"/>
    <n v="227"/>
    <x v="1"/>
    <s v="KPV/D/227"/>
    <d v="2023-06-23T00:00:00"/>
    <s v="SF"/>
    <s v="Granules"/>
    <s v="RP Granules"/>
    <s v="RP Granuals"/>
    <s v="RP Granules"/>
    <n v="625"/>
    <n v="56250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1653.9"/>
    <n v="280187.2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2374.6"/>
    <n v="458986.43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437"/>
    <n v="74539.09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3171.9"/>
    <n v="535797.35"/>
  </r>
  <r>
    <x v="2"/>
    <s v="K.P. WOVEN PRIVATE LIMITED"/>
    <d v="2023-06-23T00:00:00"/>
    <s v="Plastene Polyfilms Ltd-Sales"/>
    <s v="Sales"/>
    <n v="226"/>
    <x v="1"/>
    <s v="KPV/D/226"/>
    <d v="2023-06-23T00:00:00"/>
    <s v="SF"/>
    <s v="Webbing"/>
    <s v="PP Webbing"/>
    <s v="PP WEBBING"/>
    <s v="Webbing"/>
    <n v="6040.2"/>
    <n v="627516.38"/>
  </r>
  <r>
    <x v="2"/>
    <s v="K.P. WOVEN PRIVATE LIMITED"/>
    <d v="2023-06-25T00:00:00"/>
    <s v="HCP Plastene Bulkpack Ltd (Unit-III) - Sales"/>
    <s v="Sales"/>
    <n v="230"/>
    <x v="1"/>
    <s v="KPV/D/230"/>
    <d v="2023-06-25T00:00:00"/>
    <s v="SF"/>
    <s v="Webbing"/>
    <s v="PP Webbing"/>
    <s v="PP WEBBING"/>
    <s v="Webbing"/>
    <n v="736.9"/>
    <n v="78767.240000000005"/>
  </r>
  <r>
    <x v="2"/>
    <s v="K.P. WOVEN PRIVATE LIMITED"/>
    <d v="2023-06-25T00:00:00"/>
    <s v="HCP Plastene Bulkpack Ltd (Unit-III) - Sales"/>
    <s v="Sales"/>
    <n v="230"/>
    <x v="1"/>
    <s v="KPV/D/230"/>
    <d v="2023-06-25T00:00:00"/>
    <s v="SF"/>
    <s v="Webbing"/>
    <s v="PP Webbing"/>
    <s v="PP WEBBING"/>
    <s v="Webbing"/>
    <n v="3558.6"/>
    <n v="369702.95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PP/PE Fabric"/>
    <s v="PP UL Fabric"/>
    <s v="PP WOVEN FABRIC"/>
    <s v="PP UL Fabric With UV"/>
    <n v="1133.3"/>
    <n v="124538.34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PP/PE Fabric"/>
    <s v="PP UL Fabric"/>
    <s v="PP WOVEN FABRIC"/>
    <s v="PP UL Fabric With UV"/>
    <n v="1215.5999999999999"/>
    <n v="146953.88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PP/PE Fabric"/>
    <s v="PP UL Fabric"/>
    <s v="PP WOVEN FABRIC"/>
    <s v="PP UL Fabric With UV"/>
    <n v="549"/>
    <n v="58682.61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Webbing"/>
    <s v="PP Webbing"/>
    <s v="PP WEBBING"/>
    <s v="Webbing"/>
    <n v="467.7"/>
    <n v="49992.45"/>
  </r>
  <r>
    <x v="2"/>
    <s v="K.P. WOVEN PRIVATE LIMITED"/>
    <d v="2023-06-25T00:00:00"/>
    <s v="Plastene India ltd - Unit 2-Sales"/>
    <s v="Sales"/>
    <n v="229"/>
    <x v="0"/>
    <s v="KPV/D/229"/>
    <d v="2023-06-25T00:00:00"/>
    <s v="Stores/Spares"/>
    <s v="MS Structure Items"/>
    <s v="Capital Work in Progress"/>
    <s v="MS PIPE"/>
    <s v="MS Pipe"/>
    <n v="100"/>
    <n v="4800"/>
  </r>
  <r>
    <x v="2"/>
    <s v="K.P. WOVEN PRIVATE LIMITED"/>
    <d v="2023-06-25T00:00:00"/>
    <s v="Plastene India ltd - Unit 2-Sales"/>
    <s v="Sales"/>
    <n v="231"/>
    <x v="0"/>
    <s v="KPV/D/231"/>
    <d v="2023-06-25T00:00:00"/>
    <s v="RM Consumables"/>
    <s v="FIBC Accessories"/>
    <s v="FIBC Accessories"/>
    <s v="Consumables"/>
    <s v="Velcro 25 mm Male And Female ( White )"/>
    <n v="15"/>
    <n v="2250"/>
  </r>
  <r>
    <x v="2"/>
    <s v="K.P. WOVEN PRIVATE LIMITED"/>
    <d v="2023-06-25T00:00:00"/>
    <s v="Plastene India ltd - Unit 6-Sales"/>
    <s v="Sales"/>
    <n v="233"/>
    <x v="1"/>
    <s v="KPV/D/233"/>
    <d v="2023-06-25T00:00:00"/>
    <s v="SF"/>
    <s v="Yarn All"/>
    <s v="PP Yarn"/>
    <s v="PP FABRILLATED YARN"/>
    <s v="PP Fibrillated Tape Twisted 3200 Blue"/>
    <n v="816.2"/>
    <n v="83978.82"/>
  </r>
  <r>
    <x v="2"/>
    <s v="K.P. WOVEN PRIVATE LIMITED"/>
    <d v="2023-06-25T00:00:00"/>
    <s v="Plastene India ltd - Unit 6-Sales"/>
    <s v="Sales"/>
    <n v="233"/>
    <x v="1"/>
    <s v="KPV/D/233"/>
    <d v="2023-06-25T00:00:00"/>
    <s v="SF"/>
    <s v="Yarn All"/>
    <s v="PP Yarn"/>
    <s v="PP FABRILLATED YARN"/>
    <s v="PP Fibrillated Tape Twisted 3200 MW"/>
    <n v="858.1"/>
    <n v="85715.61"/>
  </r>
  <r>
    <x v="2"/>
    <s v="K.P. WOVEN PRIVATE LIMITED"/>
    <d v="2023-06-25T00:00:00"/>
    <s v="Plastene Polyfilms Ltd-Sales"/>
    <s v="Sales"/>
    <n v="232"/>
    <x v="1"/>
    <s v="KPV/D/232"/>
    <d v="2023-06-25T00:00:00"/>
    <s v="SF"/>
    <s v="Webbing"/>
    <s v="PP Webbing"/>
    <s v="PP WEBBING"/>
    <s v="Webbing"/>
    <n v="983"/>
    <n v="102123.87"/>
  </r>
  <r>
    <x v="2"/>
    <s v="K.P. WOVEN PRIVATE LIMITED"/>
    <d v="2023-06-27T00:00:00"/>
    <s v="Plastene Polyfilms Ltd-Sales"/>
    <s v="Sales"/>
    <n v="238"/>
    <x v="1"/>
    <s v="KPV/D/238"/>
    <d v="2023-06-27T00:00:00"/>
    <s v="SF"/>
    <s v="Webbing"/>
    <s v="PP Webbing"/>
    <s v="PP WEBBING"/>
    <s v="Webbing"/>
    <n v="156"/>
    <n v="16674.84"/>
  </r>
  <r>
    <x v="2"/>
    <s v="K.P. WOVEN PRIVATE LIMITED"/>
    <d v="2023-06-27T00:00:00"/>
    <s v="Plastene Polyfilms Ltd-Sales"/>
    <s v="Sales"/>
    <n v="239"/>
    <x v="1"/>
    <s v="KPV/D/239"/>
    <d v="2023-06-27T00:00:00"/>
    <s v="FG"/>
    <s v="FIBC Bags"/>
    <s v="FIBC Bags"/>
    <s v="PP WOVEN BIG BAGS / SACKS"/>
    <s v="FIBC Bags With UV Without Liner"/>
    <n v="1155.4000000000001"/>
    <n v="213887.65"/>
  </r>
  <r>
    <x v="2"/>
    <s v="K.P. WOVEN PRIVATE LIMITED"/>
    <d v="2023-06-27T00:00:00"/>
    <s v="Plastene Polyfilms Ltd-Sales"/>
    <s v="Sales"/>
    <n v="239"/>
    <x v="1"/>
    <s v="KPV/D/239"/>
    <d v="2023-06-27T00:00:00"/>
    <s v="FG"/>
    <s v="FIBC Bags"/>
    <s v="FIBC Bags"/>
    <s v="PP WOVEN BIG BAGS / SACKS"/>
    <s v="FIBC Bags With UV Without Liner"/>
    <n v="1236"/>
    <n v="182792.04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396"/>
    <n v="53578.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10434"/>
    <n v="1546005.7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139"/>
    <n v="578673.59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1338.4"/>
    <n v="225747.93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842"/>
    <n v="115429.7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892"/>
    <n v="147661.6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36"/>
    <n v="72707.360000000001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52"/>
    <n v="75375.520000000004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25"/>
    <n v="63167.75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17"/>
    <n v="63254.73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Yarn All"/>
    <s v="PP Yarn"/>
    <s v="PP FABRILLATED YARN"/>
    <s v="PP Fibrillated Tape Twisted 3200 Blue"/>
    <n v="680"/>
    <n v="69965.2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Yarn All"/>
    <s v="PP Yarn"/>
    <s v="PP Fabricated yarn"/>
    <s v="PP Fibrillated Tape Twisted 3200 MW"/>
    <n v="731.3"/>
    <n v="73049.56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PP/PE Fabric"/>
    <s v="PP UL Fabric"/>
    <s v="PP WOVEN FABRIC"/>
    <s v="PP UL Fabric With UV"/>
    <n v="1393.2"/>
    <n v="164244.35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PP/PE Fabric"/>
    <s v="PP Lam Fabric"/>
    <s v="PP LAMINETED FABRIC"/>
    <s v="PP Lam Fabric With UV"/>
    <n v="641"/>
    <n v="66593.490000000005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Webbing"/>
    <s v="PP Webbing"/>
    <s v="PP WEBBING"/>
    <s v="Webbing"/>
    <n v="300.60000000000002"/>
    <n v="32131.13"/>
  </r>
  <r>
    <x v="2"/>
    <s v="K.P. WOVEN PRIVATE LIMITED"/>
    <d v="2023-06-28T00:00:00"/>
    <s v="Plastene India ltd - Unit 2-Sales"/>
    <s v="Sales"/>
    <n v="243"/>
    <x v="1"/>
    <s v="KPV/D/243"/>
    <d v="2023-06-28T00:00:00"/>
    <s v="Stores/Spares"/>
    <s v="MS Structure Items"/>
    <s v="Capital Work in Progress"/>
    <s v="MS PIPE"/>
    <s v="MS Pipe"/>
    <n v="78"/>
    <n v="3744"/>
  </r>
  <r>
    <x v="2"/>
    <s v="K.P. WOVEN PRIVATE LIMITED"/>
    <d v="2023-06-30T00:00:00"/>
    <s v="Plastene India ltd - Unit 2-Sales"/>
    <s v="Sales"/>
    <n v="244"/>
    <x v="1"/>
    <s v="KPV/D/244"/>
    <d v="2023-06-30T00:00:00"/>
    <s v="FG"/>
    <s v="FIBC Bags"/>
    <s v="FIBC Bags"/>
    <s v="PP WOVEN BIG BAGS / SACKS"/>
    <s v="FIBC Bags With UV With Liner"/>
    <n v="1560.4"/>
    <n v="389101.34"/>
  </r>
  <r>
    <x v="2"/>
    <s v="K.P. WOVEN PRIVATE LIMITED"/>
    <d v="2023-06-30T00:00:00"/>
    <s v="Plastene India ltd - Unit 6-Sales"/>
    <s v="Sales"/>
    <n v="246"/>
    <x v="1"/>
    <s v="KPV/D/246"/>
    <d v="2023-06-30T00:00:00"/>
    <s v="FG"/>
    <s v="FIBC Bags"/>
    <s v="FIBC Bags"/>
    <s v="PP WOVEN BIG BAGS / SACKS"/>
    <s v="FIBC Bags With UV Without Liner"/>
    <n v="789"/>
    <n v="131021.34"/>
  </r>
  <r>
    <x v="1"/>
    <s v="K.P. WOVEN PRIVATE LIMITED (UNIT-II) NANICHIRAI"/>
    <d v="2023-05-27T00:00:00"/>
    <s v="Plastene India ltd - Unit 1-Sales"/>
    <s v="Sales"/>
    <n v="1"/>
    <x v="3"/>
    <s v="KPV2/D/1"/>
    <d v="2023-05-27T00:00:00"/>
    <s v="SF"/>
    <s v="Wastage/Scrap"/>
    <s v="Wastage/Scrap"/>
    <s v="HDPE/PP Plastik Waste"/>
    <s v="PP/HD Wastage/Scrap"/>
    <n v="370.7"/>
    <n v="4448.3999999999996"/>
  </r>
  <r>
    <x v="2"/>
    <s v="K.P. WOVEN PRIVATE LIMITED (UNIT-II) NANICHIRAI"/>
    <d v="2023-06-08T00:00:00"/>
    <s v="Plastene India ltd - Unit 1-Sales"/>
    <s v="Sales"/>
    <n v="2"/>
    <x v="3"/>
    <s v="KPV2/D/2"/>
    <d v="2023-06-08T00:00:00"/>
    <s v="SF"/>
    <s v="Wastage/Scrap"/>
    <s v="Wastage/Scrap"/>
    <s v="HDPE/PP Plastik Waste"/>
    <s v="PP/HD Wastage/Scrap"/>
    <n v="331.81"/>
    <n v="3981.72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Yarn All"/>
    <s v="PP Yarn"/>
    <s v="Twisted Polyester Texturised Yarn"/>
    <s v="Polyester Yarn Twisted"/>
    <n v="6"/>
    <n v="877.62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PP/PE Fabric"/>
    <s v="PP Lam Fabric"/>
    <s v="PP Laminated Fabric"/>
    <s v="PP Lam Fabric With UV"/>
    <n v="92"/>
    <n v="10768.05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PP/PE Fabric"/>
    <s v="PP Lam Fabric"/>
    <s v="PP Laminated Fabric"/>
    <s v="PP Lam Fabric With UV"/>
    <n v="710"/>
    <n v="86649.82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PP/PE Fabric"/>
    <s v="PP Lam Fabric"/>
    <s v="PP Laminated Fabric"/>
    <s v="PP Lam Fabric With UV"/>
    <n v="180.99"/>
    <n v="22088.38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Webbing"/>
    <s v="PP Webbing"/>
    <s v="PP Webbing"/>
    <s v="Webbing"/>
    <n v="6"/>
    <n v="720.26"/>
  </r>
  <r>
    <x v="0"/>
    <s v="K.P. WOVEN PRIVATE LIMITED (UNIT-III)"/>
    <d v="2023-04-03T00:00:00"/>
    <s v="Plastene India ltd - Unit 1-Sales"/>
    <s v="Domestic Sales"/>
    <s v="KPW3/E/2/23-24"/>
    <x v="5"/>
    <s v="KPW3/E/2/23-24"/>
    <d v="2023-04-03T00:00:00"/>
    <s v="FG"/>
    <s v="FIBC Bags"/>
    <s v="FIBC Bags"/>
    <s v="Jambo Bag/Fibc Bag Mfr (Kg)"/>
    <s v="FIBC Bags With UV Without Liner"/>
    <n v="19104"/>
    <n v="4117054.0895000002"/>
  </r>
  <r>
    <x v="0"/>
    <s v="K.P. WOVEN PRIVATE LIMITED (UNIT-III)"/>
    <d v="2023-04-05T00:00:00"/>
    <s v="Plastene India ltd - Unit 2-Sales"/>
    <s v="Domestic Sales"/>
    <s v="KPW3/E/3/23-24"/>
    <x v="5"/>
    <s v="KPW3/E/3/23-24"/>
    <d v="2023-04-05T00:00:00"/>
    <s v="FG"/>
    <s v="FIBC Bags"/>
    <s v="FIBC Bags"/>
    <s v="Jambo Bag/Fibc Bag Mfr (Kg)"/>
    <s v="FIBC Bags With UV Without Liner"/>
    <n v="17915.900000000001"/>
    <n v="3109207.2780000004"/>
  </r>
  <r>
    <x v="0"/>
    <s v="K.P. WOVEN PRIVATE LIMITED (UNIT-III)"/>
    <d v="2023-04-10T00:00:00"/>
    <s v="Plastene Polyfilms Ltd-Sales"/>
    <s v="Domestic Sales"/>
    <s v="KPW3/E/5/23-24"/>
    <x v="5"/>
    <s v="KPW3/E/5/23-24"/>
    <d v="2023-04-10T00:00:00"/>
    <s v="FG"/>
    <s v="FIBC Bags"/>
    <s v="FIBC Bags"/>
    <s v="Jambo Bag/Fibc Bag Mfr (Kg)"/>
    <s v="FIBC Bags With UV Without Liner"/>
    <n v="17383.400000000001"/>
    <n v="2926746.5320000001"/>
  </r>
  <r>
    <x v="0"/>
    <s v="K.P. WOVEN PRIVATE LIMITED (UNIT-III)"/>
    <d v="2023-04-12T00:00:00"/>
    <s v="Plastene India ltd - Unit 1-Sales"/>
    <s v="Domestic Sales"/>
    <s v="KPW3/E/6/23-24"/>
    <x v="5"/>
    <s v="KPW3/E/6/23-24"/>
    <d v="2023-04-12T00:00:00"/>
    <s v="FG"/>
    <s v="FIBC Bags"/>
    <s v="FIBC Bags"/>
    <s v="Jambo Bag/Fibc Bag Mfr (Kg)"/>
    <s v="FIBC Bags With UV Without Liner"/>
    <n v="13033.4"/>
    <n v="2939023.4499999997"/>
  </r>
  <r>
    <x v="0"/>
    <s v="K.P. WOVEN PRIVATE LIMITED (UNIT-III)"/>
    <d v="2023-04-12T00:00:00"/>
    <s v="Plastene India ltd - Unit 1-Sales"/>
    <s v="Domestic Sales"/>
    <s v="KPW3/E/7/23-24"/>
    <x v="5"/>
    <s v="KPW3/E/7/23-24"/>
    <d v="2023-04-12T00:00:00"/>
    <s v="FG"/>
    <s v="FIBC Bags"/>
    <s v="FIBC Bags"/>
    <s v="Jambo Bag/Fibc Bag Mfr (Kg)"/>
    <s v="FIBC Bags With UV Without Liner"/>
    <n v="19154.900000000001"/>
    <n v="2937167.8820000002"/>
  </r>
  <r>
    <x v="0"/>
    <s v="K.P. WOVEN PRIVATE LIMITED (UNIT-III)"/>
    <d v="2023-04-17T00:00:00"/>
    <s v="Plastene India ltd - Unit 2-Sales"/>
    <s v="Domestic Sales"/>
    <s v="KPW3/E/12/23-24"/>
    <x v="5"/>
    <s v="KPW3/E/12/23-24"/>
    <d v="2023-04-17T00:00:00"/>
    <s v="FG"/>
    <s v="FIBC Bags"/>
    <s v="FIBC Bags"/>
    <s v="Jambo Bag/Fibc Bag Mfr (Kg)"/>
    <s v="FIBC Bags With UV Without Liner"/>
    <n v="9026"/>
    <n v="1858823.1674999997"/>
  </r>
  <r>
    <x v="0"/>
    <s v="K.P. WOVEN PRIVATE LIMITED (UNIT-III)"/>
    <d v="2023-04-17T00:00:00"/>
    <s v="Plastene Polyfilms Ltd-Sales"/>
    <s v="Domestic Sales"/>
    <s v="KPW3/E/13/23-24"/>
    <x v="5"/>
    <s v="KPW3/E/13/23-24"/>
    <d v="2023-04-17T00:00:00"/>
    <s v="FG"/>
    <s v="FIBC Bags"/>
    <s v="FIBC Bags"/>
    <s v="Jambo Bag/Fibc Bag Mfr (Kg)"/>
    <s v="FIBC Bags With UV Without Liner"/>
    <n v="20128"/>
    <n v="3841923.5369999995"/>
  </r>
  <r>
    <x v="0"/>
    <s v="K.P. WOVEN PRIVATE LIMITED (UNIT-III)"/>
    <d v="2023-04-18T00:00:00"/>
    <s v="Plastene India ltd - Unit 1-Sales"/>
    <s v="Domestic Sales"/>
    <s v="KPW3/E/14/23-24"/>
    <x v="5"/>
    <s v="KPW3/E/14/23-24"/>
    <d v="2023-04-18T00:00:00"/>
    <s v="FG"/>
    <s v="FIBC Bags"/>
    <s v="FIBC Bags"/>
    <s v="Jambo Bag/Fibc Bag Mfr (Kg)"/>
    <s v="FIBC Bags With UV Without Liner"/>
    <n v="18291"/>
    <n v="3592384.5139999995"/>
  </r>
  <r>
    <x v="0"/>
    <s v="K.P. WOVEN PRIVATE LIMITED (UNIT-III)"/>
    <d v="2023-04-24T00:00:00"/>
    <s v="Plastene India ltd - Unit 1-Sales"/>
    <s v="Domestic Sales"/>
    <s v="KPW3/E/20/23-24"/>
    <x v="5"/>
    <s v="KPW3/E/20/23-24"/>
    <d v="2023-04-24T00:00:00"/>
    <s v="FG"/>
    <s v="FIBC Bags"/>
    <s v="FIBC Bags"/>
    <s v="Jambo Bag/Fibc Bag Mfr (Kg)"/>
    <s v="FIBC Bags With UV Without Liner"/>
    <n v="19299.7"/>
    <n v="3832118.2680000006"/>
  </r>
  <r>
    <x v="0"/>
    <s v="K.P. WOVEN PRIVATE LIMITED (UNIT-III)"/>
    <d v="2023-04-27T00:00:00"/>
    <s v="Oswal Extrusion Ltd- KASEZ-Sales"/>
    <s v="Deemed Export"/>
    <s v="KPW3/IZS/23-24/001"/>
    <x v="6"/>
    <s v="KPW3/IZS/23-24/001"/>
    <d v="2023-04-27T00:00:00"/>
    <s v="SF"/>
    <s v="Wastage/Scrap"/>
    <s v="Wastage/Scrap"/>
    <s v="Scrap"/>
    <s v="PP/HD Wastage/Scrap"/>
    <n v="12202"/>
    <n v="244040"/>
  </r>
  <r>
    <x v="0"/>
    <s v="K.P. WOVEN PRIVATE LIMITED (UNIT-III)"/>
    <d v="2023-04-27T00:00:00"/>
    <s v="Plastene India ltd - Unit 1-Sales"/>
    <s v="Domestic Sales"/>
    <s v="KPW3/E/23/23-24"/>
    <x v="5"/>
    <s v="KPW3/E/23/23-24"/>
    <d v="2023-04-27T00:00:00"/>
    <s v="FG"/>
    <s v="FIBC Bags"/>
    <s v="FIBC Bags"/>
    <s v="Jambo Bag/Fibc Bag Mfr (Kg)"/>
    <s v="FIBC Bags With UV Without Liner"/>
    <n v="19551"/>
    <n v="4270840.6620000005"/>
  </r>
  <r>
    <x v="0"/>
    <s v="K.P. WOVEN PRIVATE LIMITED (UNIT-III)"/>
    <d v="2023-04-27T00:00:00"/>
    <s v="Plastene Polyfilms Ltd-Sales"/>
    <s v="Domestic Sales"/>
    <s v="KPW3/E/22/23-24"/>
    <x v="5"/>
    <s v="KPW3/E/22/23-24"/>
    <d v="2023-04-27T00:00:00"/>
    <s v="FG"/>
    <s v="FIBC Bags"/>
    <s v="FIBC Bags"/>
    <s v="Jambo Bag/Fibc Bag Mfr (Kg)"/>
    <s v="FIBC Bags With UV Without Liner"/>
    <n v="15583"/>
    <n v="3095778.7520000003"/>
  </r>
  <r>
    <x v="1"/>
    <s v="K.P. WOVEN PRIVATE LIMITED (UNIT-III)"/>
    <d v="2023-05-02T00:00:00"/>
    <s v="Plastene India ltd - Unit 1-Sales"/>
    <s v="Domestic Sales"/>
    <s v="KPW3/E/27/23-24"/>
    <x v="5"/>
    <s v="KPW3/E/27/23-24"/>
    <d v="2023-05-02T00:00:00"/>
    <s v="FG"/>
    <s v="FIBC Bags"/>
    <s v="FIBC Bags"/>
    <s v="Jambo Bag/Fibc Bag Mfr (Kg)"/>
    <s v="FIBC Bags With UV Without Liner"/>
    <n v="9319.1"/>
    <n v="1628781.44"/>
  </r>
  <r>
    <x v="1"/>
    <s v="K.P. WOVEN PRIVATE LIMITED (UNIT-III)"/>
    <d v="2023-05-06T00:00:00"/>
    <s v="Plastene India ltd - Unit 2-Sales"/>
    <s v="Domestic Sales"/>
    <s v="KPW3/E/28/23-24"/>
    <x v="5"/>
    <s v="KPW3/E/28/23-24"/>
    <d v="2023-05-06T00:00:00"/>
    <s v="FG"/>
    <s v="FIBC Bags"/>
    <s v="FIBC Bags"/>
    <s v="Jambo Bag/Fibc Bag Mfr (Kg)"/>
    <s v="FIBC Bags With UV Without Liner"/>
    <n v="19162.599999999999"/>
    <n v="3407554.57"/>
  </r>
  <r>
    <x v="1"/>
    <s v="K.P. WOVEN PRIVATE LIMITED (UNIT-III)"/>
    <d v="2023-05-09T00:00:00"/>
    <s v="Plastene India ltd - Unit 1-Sales"/>
    <s v="Domestic Sales"/>
    <s v="KPW3/E/29/23-24"/>
    <x v="5"/>
    <s v="KPW3/E/29/23-24"/>
    <d v="2023-05-09T00:00:00"/>
    <s v="FG"/>
    <s v="FIBC Bags"/>
    <s v="FIBC Bags"/>
    <s v="Jambo Bag/Fibc Bag Mfr (Kg)"/>
    <s v="FIBC Bags With UV Without Liner"/>
    <n v="19363.2"/>
    <n v="3376027.5779999997"/>
  </r>
  <r>
    <x v="1"/>
    <s v="K.P. WOVEN PRIVATE LIMITED (UNIT-III)"/>
    <d v="2023-05-09T00:00:00"/>
    <s v="Plastene India ltd - Unit 1-Sales"/>
    <s v="Domestic Sales"/>
    <s v="KPW3/E/30/23-24"/>
    <x v="5"/>
    <s v="KPW3/E/30/23-24"/>
    <d v="2023-05-09T00:00:00"/>
    <s v="FG"/>
    <s v="FIBC Bags"/>
    <s v="FIBC Bags"/>
    <s v="Jambo Bag/Fibc Bag Mfr (Kg)"/>
    <s v="FIBC Bags With UV Without Liner"/>
    <n v="20283"/>
    <n v="3642813.1740000001"/>
  </r>
  <r>
    <x v="1"/>
    <s v="K.P. WOVEN PRIVATE LIMITED (UNIT-III)"/>
    <d v="2023-05-10T00:00:00"/>
    <s v="Plastene Polyfilms Ltd-Sales"/>
    <s v="Domestic Sales"/>
    <s v="KPW3/E/31/23-24"/>
    <x v="5"/>
    <s v="KPW3/E/31/23-24"/>
    <d v="2023-05-10T00:00:00"/>
    <s v="FG"/>
    <s v="FIBC Bags"/>
    <s v="FIBC Bags"/>
    <s v="Jambo Bag/Fibc Bag Mfr (Kg)"/>
    <s v="FIBC Bags With UV Without Liner"/>
    <n v="16679"/>
    <n v="3314198.3489999999"/>
  </r>
  <r>
    <x v="1"/>
    <s v="K.P. WOVEN PRIVATE LIMITED (UNIT-III)"/>
    <d v="2023-05-11T00:00:00"/>
    <s v="Plastene India ltd - Unit 1-Sales"/>
    <s v="Domestic Sales"/>
    <s v="KPW3/E/32/23-24"/>
    <x v="5"/>
    <s v="KPW3/E/32/23-24"/>
    <d v="2023-05-11T00:00:00"/>
    <s v="FG"/>
    <s v="FIBC Bags"/>
    <s v="FIBC Bags"/>
    <s v="Jambo Bag/Fibc Bag Mfr (Kg)"/>
    <s v="FIBC Bags With UV Without Liner"/>
    <n v="19188.900000000001"/>
    <n v="3477550.9229999995"/>
  </r>
  <r>
    <x v="1"/>
    <s v="K.P. WOVEN PRIVATE LIMITED (UNIT-III)"/>
    <d v="2023-05-13T00:00:00"/>
    <s v="Plastene India ltd - Unit 1-Sales"/>
    <s v="Domestic Sales"/>
    <s v="KPW3/E/33/23-24"/>
    <x v="5"/>
    <s v="KPW3/E/33/23-24"/>
    <d v="2023-05-13T00:00:00"/>
    <s v="FG"/>
    <s v="FIBC Bags"/>
    <s v="FIBC Bags"/>
    <s v="Jambo Bag/Fibc Bag Mfr (Kg)"/>
    <s v="FIBC Bags With UV Without Liner"/>
    <n v="17031.5"/>
    <n v="2871744.2985"/>
  </r>
  <r>
    <x v="1"/>
    <s v="K.P. WOVEN PRIVATE LIMITED (UNIT-III)"/>
    <d v="2023-05-19T00:00:00"/>
    <s v="Plastene Polyfilms Ltd-Sales"/>
    <s v="Domestic Sales"/>
    <s v="KPW3/E/35/23-24"/>
    <x v="5"/>
    <s v="KPW3/E/35/23-24"/>
    <d v="2023-05-19T00:00:00"/>
    <s v="FG"/>
    <s v="FIBC Bags"/>
    <s v="FIBC Bags"/>
    <s v="Jambo Bag/Fibc Bag Mfr (Kg)"/>
    <s v="FIBC Bags With UV Without Liner"/>
    <n v="19038.400000000001"/>
    <n v="3532370.87"/>
  </r>
  <r>
    <x v="1"/>
    <s v="K.P. WOVEN PRIVATE LIMITED (UNIT-III)"/>
    <d v="2023-05-26T00:00:00"/>
    <s v="Oswal Extrusion Ltd- KASEZ-Sales"/>
    <s v="Deemed Export"/>
    <s v="KPW3/IZS/23-24/002"/>
    <x v="6"/>
    <s v="KPW3/IZS/23-24/002"/>
    <d v="2023-05-26T00:00:00"/>
    <s v="SF"/>
    <s v="Wastage/Scrap"/>
    <s v="Wastage/Scrap"/>
    <s v="Scrap"/>
    <s v="PP/HD Wastage/Scrap"/>
    <n v="12383.04"/>
    <n v="247660.79999999999"/>
  </r>
  <r>
    <x v="1"/>
    <s v="K.P. WOVEN PRIVATE LIMITED (UNIT-III)"/>
    <d v="2023-05-26T00:00:00"/>
    <s v="Plastene India ltd - Unit 1-Sales"/>
    <s v="Domestic Sales"/>
    <s v="KPW3/E/39/23-24"/>
    <x v="5"/>
    <s v="KPW3/E/39/23-24"/>
    <d v="2023-05-26T00:00:00"/>
    <s v="FG"/>
    <s v="FIBC Bags"/>
    <s v="FIBC Bags"/>
    <s v="Jambo Bag/Fibc Bag Mfr (Kg)"/>
    <s v="FIBC Bags With UV Without Liner"/>
    <n v="9586.7000000000007"/>
    <n v="1839279.1779999998"/>
  </r>
  <r>
    <x v="1"/>
    <s v="K.P. WOVEN PRIVATE LIMITED (UNIT-III)"/>
    <d v="2023-05-29T00:00:00"/>
    <s v="Plastene India ltd - Unit 2-Sales"/>
    <s v="Domestic Sales"/>
    <s v="KPW3/E/40/23-24"/>
    <x v="5"/>
    <s v="KPW3/E/40/23-24"/>
    <d v="2023-05-29T00:00:00"/>
    <s v="FG"/>
    <s v="FIBC Bags"/>
    <s v="FIBC Bags"/>
    <s v="Jambo Bag/Fibc Bag Mfr (Kg)"/>
    <s v="FIBC Bags With UV Without Liner"/>
    <n v="17922"/>
    <n v="3559376.88"/>
  </r>
  <r>
    <x v="2"/>
    <s v="K.P. WOVEN PRIVATE LIMITED (UNIT-III)"/>
    <d v="2023-06-05T00:00:00"/>
    <s v="Plastene India ltd - Unit 1-Sales"/>
    <s v="Domestic Sales"/>
    <s v="KPW3/E/45/23-24"/>
    <x v="5"/>
    <s v="KPW3/E/45/23-24"/>
    <d v="2023-06-05T00:00:00"/>
    <s v="FG"/>
    <s v="FIBC Bags"/>
    <s v="FIBC Bags"/>
    <s v="Jambo Bag/Fibc Bag Mfr (Kg)"/>
    <s v="FIBC Bags With UV Without Liner"/>
    <n v="19235.8"/>
    <n v="3573598.85"/>
  </r>
  <r>
    <x v="2"/>
    <s v="K.P. WOVEN PRIVATE LIMITED (UNIT-III)"/>
    <d v="2023-06-05T00:00:00"/>
    <s v="Plastene Polyfilms Ltd-Sales"/>
    <s v="Domestic Sales"/>
    <s v="KPW3/E/44/23-24"/>
    <x v="5"/>
    <s v="KPW3/E/44/23-24"/>
    <d v="2023-06-05T00:00:00"/>
    <s v="FG"/>
    <s v="FIBC Bags"/>
    <s v="FIBC Bags"/>
    <s v="Jambo Bag/Fibc Bag Mfr (Kg)"/>
    <s v="FIBC Bags With UV Without Liner"/>
    <n v="18632"/>
    <n v="3076612.031"/>
  </r>
  <r>
    <x v="2"/>
    <s v="K.P. WOVEN PRIVATE LIMITED (UNIT-III)"/>
    <d v="2023-06-08T00:00:00"/>
    <s v="Plastene India ltd - Unit 1-Sales"/>
    <s v="Domestic Sales"/>
    <s v="KPW3/E/48/23-24"/>
    <x v="5"/>
    <s v="KPW3/E/48/23-24"/>
    <d v="2023-06-08T00:00:00"/>
    <s v="FG"/>
    <s v="FIBC Bags"/>
    <s v="FIBC Bags"/>
    <s v="Jambo Bag/Fibc Bag Mfr (Kg)"/>
    <s v="FIBC Bags With UV Without Liner"/>
    <n v="19780.3"/>
    <n v="3423735.7230000002"/>
  </r>
  <r>
    <x v="2"/>
    <s v="K.P. WOVEN PRIVATE LIMITED (UNIT-III)"/>
    <d v="2023-06-09T00:00:00"/>
    <s v="Plastene Polyfilms Ltd-Sales"/>
    <s v="Domestic Sales"/>
    <s v="KPW3/E/49/23-24"/>
    <x v="5"/>
    <s v="KPW3/E/49/23-24"/>
    <d v="2023-06-09T00:00:00"/>
    <s v="FG"/>
    <s v="FIBC Bags"/>
    <s v="FIBC Bags"/>
    <s v="Jambo Bag/Fibc Bag Mfr (Kg)"/>
    <s v="FIBC Bags With UV Without Liner"/>
    <n v="20104"/>
    <n v="3674656.031"/>
  </r>
  <r>
    <x v="2"/>
    <s v="K.P. WOVEN PRIVATE LIMITED (UNIT-III)"/>
    <d v="2023-06-12T00:00:00"/>
    <s v="Plastene India ltd - Unit 1-Sales"/>
    <s v="Domestic Sales"/>
    <s v="KPW3/E/50/23-24"/>
    <x v="5"/>
    <s v="KPW3/E/50/23-24"/>
    <d v="2023-06-12T00:00:00"/>
    <s v="FG"/>
    <s v="FIBC Bags"/>
    <s v="FIBC Bags"/>
    <s v="Jambo Bag/Fibc Bag Mfr (Kg)"/>
    <s v="FIBC Bags With UV Without Liner"/>
    <n v="20472.2"/>
    <n v="3578346.4370000004"/>
  </r>
  <r>
    <x v="2"/>
    <s v="K.P. WOVEN PRIVATE LIMITED (UNIT-III)"/>
    <d v="2023-06-22T00:00:00"/>
    <s v="Plastene India ltd - Unit 1-Sales"/>
    <s v="Domestic Sales"/>
    <s v="KPW3/E/52/23-24"/>
    <x v="5"/>
    <s v="KPW3/E/52/23-24"/>
    <d v="2023-06-22T00:00:00"/>
    <s v="FG"/>
    <s v="FIBC Bags"/>
    <s v="FIBC Bags"/>
    <s v="Jambo Bag/Fibc Bag Mfr (Kg)"/>
    <s v="FIBC Bags With UV Without Liner"/>
    <n v="18544"/>
    <n v="3698662.3539999998"/>
  </r>
  <r>
    <x v="2"/>
    <s v="K.P. WOVEN PRIVATE LIMITED (UNIT-III)"/>
    <d v="2023-06-22T00:00:00"/>
    <s v="Plastene India ltd - Unit 1-Sales"/>
    <s v="Domestic Sales"/>
    <s v="KPW3/E/53/23-24"/>
    <x v="5"/>
    <s v="KPW3/E/53/23-24"/>
    <d v="2023-06-22T00:00:00"/>
    <s v="FG"/>
    <s v="FIBC Bags"/>
    <s v="FIBC Bags"/>
    <s v="Jambo Bag/Fibc Bag Mfr (Kg)"/>
    <s v="FIBC Bags With UV Without Liner"/>
    <n v="20140"/>
    <n v="2926313.2514999998"/>
  </r>
  <r>
    <x v="2"/>
    <s v="K.P. WOVEN PRIVATE LIMITED (UNIT-III)"/>
    <d v="2023-06-23T00:00:00"/>
    <s v="Oswal Extrusion Ltd- KASEZ-Sales"/>
    <s v="Deemed Export"/>
    <s v="KPW3/IZS/23-24/003"/>
    <x v="6"/>
    <s v="KPW3/IZS/23-24/003"/>
    <d v="2023-06-23T00:00:00"/>
    <s v="SF"/>
    <s v="Wastage/Scrap"/>
    <s v="Wastage/Scrap"/>
    <s v="Scrap"/>
    <s v="PP/HD Wastage/Scrap"/>
    <n v="9055.2999999999993"/>
    <n v="181106"/>
  </r>
  <r>
    <x v="2"/>
    <s v="K.P. WOVEN PRIVATE LIMITED (UNIT-III)"/>
    <d v="2023-06-24T00:00:00"/>
    <s v="Plastene Polyfilms Ltd-Sales"/>
    <s v="Domestic Sales"/>
    <s v="KPW3/E/54/23-24"/>
    <x v="5"/>
    <s v="KPW3/E/54/23-24"/>
    <d v="2023-06-24T00:00:00"/>
    <s v="FG"/>
    <s v="FIBC Bags"/>
    <s v="FIBC Bags"/>
    <s v="Jambo Bag/Fibc Bag Mfr (Kg)"/>
    <s v="FIBC Bags With UV Without Liner"/>
    <n v="18095"/>
    <n v="3464060.3429999999"/>
  </r>
  <r>
    <x v="2"/>
    <s v="K.P. WOVEN PRIVATE LIMITED (UNIT-III)"/>
    <d v="2023-06-29T00:00:00"/>
    <s v="Plastene India ltd - Unit 1-Sales"/>
    <s v="Domestic Sales"/>
    <s v="KPW3/E/59/23-24"/>
    <x v="5"/>
    <s v="KPW3/E/59/23-24"/>
    <d v="2023-06-29T00:00:00"/>
    <s v="FG"/>
    <s v="FIBC Bags"/>
    <s v="FIBC Bags"/>
    <s v="Jambo Bag/Fibc Bag Mfr (Kg)"/>
    <s v="FIBC Bags With UV Without Liner"/>
    <n v="20204"/>
    <n v="2926313.2514999998"/>
  </r>
  <r>
    <x v="2"/>
    <s v="K.P. WOVEN PRIVATE LIMITED (UNIT-III)"/>
    <d v="2023-06-29T00:00:00"/>
    <s v="Plastene India ltd - Unit 1-Sales"/>
    <s v="Domestic Sales"/>
    <s v="KPW3/E/60/23-24"/>
    <x v="5"/>
    <s v="KPW3/E/60/23-24"/>
    <d v="2023-06-29T00:00:00"/>
    <s v="FG"/>
    <s v="FIBC Bags"/>
    <s v="FIBC Bags"/>
    <s v="Jambo Bag/Fibc Bag Mfr (Kg)"/>
    <s v="FIBC Bags With UV Without Liner"/>
    <n v="18781"/>
    <n v="3698662.3539999998"/>
  </r>
  <r>
    <x v="0"/>
    <s v="Oswal Extrusion Limited"/>
    <d v="2023-04-03T00:00:00"/>
    <s v="Plastene India ltd - Unit 6-Sales"/>
    <s v="Deemed Export"/>
    <s v="OEL1/DE/001/23-24"/>
    <x v="7"/>
    <s v="OEL1/DE/001/23-24"/>
    <d v="2023-04-03T00:00:00"/>
    <s v="SF"/>
    <s v="PP/PE Fabric"/>
    <s v="PP UL Fabric"/>
    <s v="PP Woven Fabric"/>
    <s v="PP UL Fabric With UV"/>
    <n v="8640"/>
    <n v="1054378.9439999999"/>
  </r>
  <r>
    <x v="0"/>
    <s v="Oswal Extrusion Limited"/>
    <d v="2023-04-03T00:00:00"/>
    <s v="Plastene India ltd - Unit 6-Sales"/>
    <s v="Deemed Export"/>
    <s v="OEL1/DE/002/23-24"/>
    <x v="7"/>
    <s v="OEL1/DE/002/23-24"/>
    <d v="2023-04-03T00:00:00"/>
    <s v="SF"/>
    <s v="Webbing"/>
    <s v="PP Webbing"/>
    <s v="PP Webbing"/>
    <s v="Webbing"/>
    <n v="94.1"/>
    <n v="12044.797177"/>
  </r>
  <r>
    <x v="0"/>
    <s v="Oswal Extrusion Limited"/>
    <d v="2023-04-05T00:00:00"/>
    <s v="Plastene India ltd - Unit 1-Sales"/>
    <s v="Domestic Sales"/>
    <s v="OEL1/DTA/001/23-24"/>
    <x v="7"/>
    <s v="OEL1/DTA/001/23-24"/>
    <d v="2023-04-05T00:00:00"/>
    <s v="SF"/>
    <s v="Granules"/>
    <s v="RP Granules"/>
    <s v="Reprocessed Granules"/>
    <s v="RP Granules"/>
    <n v="10000"/>
    <n v="540000"/>
  </r>
  <r>
    <x v="0"/>
    <s v="Oswal Extrusion Limited"/>
    <d v="2023-04-06T00:00:00"/>
    <s v="Plastene India ltd - Unit 6-Sales"/>
    <s v="Deemed Export"/>
    <s v="OEL1/DE/003/23-24"/>
    <x v="7"/>
    <s v="OEL1/DE/003/23-24"/>
    <d v="2023-04-06T00:00:00"/>
    <s v="SF"/>
    <s v="PP/PE Fabric"/>
    <s v="PP UL Fabric"/>
    <s v="PP Woven Fabric"/>
    <s v="PP UL Fabric With UV"/>
    <n v="4082"/>
    <n v="498144.82900000003"/>
  </r>
  <r>
    <x v="0"/>
    <s v="Oswal Extrusion Limited"/>
    <d v="2023-04-10T00:00:00"/>
    <s v="Plastene India ltd - Unit 1-Sales"/>
    <s v="Domestic Sales"/>
    <s v="OEL1/DTA/003/23-24"/>
    <x v="7"/>
    <s v="OEL1/DTA/003/23-24"/>
    <d v="2023-04-10T00:00:00"/>
    <s v="SF"/>
    <s v="Wastage/Scrap"/>
    <s v="Wastage/Scrap"/>
    <s v="Scrap"/>
    <s v="PP/HD Wastage/Scrap"/>
    <n v="1500"/>
    <n v="52500"/>
  </r>
  <r>
    <x v="0"/>
    <s v="Oswal Extrusion Limited"/>
    <d v="2023-04-10T00:00:00"/>
    <s v="Plastene India ltd - Unit 6-Sales"/>
    <s v="Deemed Export"/>
    <s v="OEL1/DE/004/23-24"/>
    <x v="7"/>
    <s v="OEL1/DE/004/23-24"/>
    <d v="2023-04-10T00:00:00"/>
    <s v="SF"/>
    <s v="PP/PE Fabric"/>
    <s v="PP UL Fabric"/>
    <s v="PP Woven Fabric"/>
    <s v="PP UL Fabric With UV"/>
    <n v="5390"/>
    <n v="657765.95499999996"/>
  </r>
  <r>
    <x v="0"/>
    <s v="Oswal Extrusion Limited"/>
    <d v="2023-04-10T00:00:00"/>
    <s v="Plastene India ltd - Unit 6-Sales"/>
    <s v="Deemed Export"/>
    <s v="OEL1/DE/005/23-24"/>
    <x v="7"/>
    <s v="OEL1/DE/005/23-24"/>
    <d v="2023-04-10T00:00:00"/>
    <s v="SF"/>
    <s v="Webbing"/>
    <s v="PP Webbing"/>
    <s v="PP Webbing"/>
    <s v="Webbing"/>
    <n v="390"/>
    <n v="49920"/>
  </r>
  <r>
    <x v="0"/>
    <s v="Oswal Extrusion Limited"/>
    <d v="2023-04-12T00:00:00"/>
    <s v="Plastene India ltd - Unit 6-Sales"/>
    <s v="Deemed Export"/>
    <s v="OEL1/DE/006/23-24"/>
    <x v="7"/>
    <s v="OEL1/DE/006/23-24"/>
    <d v="2023-04-12T00:00:00"/>
    <s v="SF"/>
    <s v="PP/PE Fabric"/>
    <s v="PP UL Fabric"/>
    <s v="PP Woven Fabric"/>
    <s v="PP UL Fabric With UV"/>
    <n v="7702"/>
    <n v="939909.71900000004"/>
  </r>
  <r>
    <x v="0"/>
    <s v="Oswal Extrusion Limited"/>
    <d v="2023-04-21T00:00:00"/>
    <s v="Plastene India ltd - Unit 6-Sales"/>
    <s v="Domestic Sales"/>
    <s v="OEL1/DE/007/23-24"/>
    <x v="7"/>
    <s v="OEL1/DE/007/23-24"/>
    <d v="2023-04-21T00:00:00"/>
    <s v="SF"/>
    <s v="PP/PE Fabric"/>
    <s v="PP UL Fabric"/>
    <s v="PP Woven Fabric"/>
    <s v="PP UL Fabric With UV"/>
    <n v="10457"/>
    <n v="1254839.37258"/>
  </r>
  <r>
    <x v="0"/>
    <s v="Oswal Extrusion Limited"/>
    <d v="2023-04-24T00:00:00"/>
    <s v="Plastene India ltd - Unit 6-Sales"/>
    <s v="Domestic Sales"/>
    <s v="OEL1/DE/008/23-24"/>
    <x v="7"/>
    <s v="OEL1/DE/008/23-24"/>
    <d v="2023-04-24T00:00:00"/>
    <s v="SF"/>
    <s v="PP/PE Fabric"/>
    <s v="PP UL Fabric"/>
    <s v="PP Woven Fabric"/>
    <s v="PP UL Fabric With UV"/>
    <n v="10301"/>
    <n v="1236119.38194"/>
  </r>
  <r>
    <x v="0"/>
    <s v="Oswal Extrusion Limited"/>
    <d v="2023-04-24T00:00:00"/>
    <s v="Plastene India ltd - Unit 6-Sales"/>
    <s v="Domestic Sales"/>
    <s v="OEL1/DE/009/23-24"/>
    <x v="7"/>
    <s v="OEL1/DE/009/23-24"/>
    <d v="2023-04-24T00:00:00"/>
    <s v="SF"/>
    <s v="Webbing"/>
    <s v="PP Webbing"/>
    <s v="PP Webbing"/>
    <s v="Webbing"/>
    <n v="1100"/>
    <n v="140800"/>
  </r>
  <r>
    <x v="0"/>
    <s v="Oswal Extrusion Limited"/>
    <d v="2023-04-28T00:00:00"/>
    <s v="Plastene India ltd - Unit 6-Sales"/>
    <s v="Deemed Export"/>
    <s v="OEL1/DE/010/23-24"/>
    <x v="7"/>
    <s v="OEL1/DE/010/23-24"/>
    <d v="2023-04-28T00:00:00"/>
    <s v="SF"/>
    <s v="PP/PE Fabric"/>
    <s v="PP UL Fabric"/>
    <s v="PP Woven Fabric"/>
    <s v="PP UL Fabric With UV"/>
    <n v="3700"/>
    <n v="444000"/>
  </r>
  <r>
    <x v="0"/>
    <s v="Oswal Extrusion Limited"/>
    <d v="2023-04-28T00:00:00"/>
    <s v="Plastene India ltd - Unit 6-Sales"/>
    <s v="Deemed Export"/>
    <s v="OEL1/DE/011/23-24"/>
    <x v="7"/>
    <s v="OEL1/DE/011/23-24"/>
    <d v="2023-04-28T00:00:00"/>
    <s v="SF"/>
    <s v="Webbing"/>
    <s v="PP Webbing"/>
    <s v="PP Webbing"/>
    <s v="Webbing"/>
    <n v="170"/>
    <n v="21760"/>
  </r>
  <r>
    <x v="1"/>
    <s v="Oswal Extrusion Limited"/>
    <d v="2023-05-06T00:00:00"/>
    <s v="Plastene India ltd - Unit 6-Sales"/>
    <s v="Deemed Export"/>
    <s v="OEL1/DE/012/23-24"/>
    <x v="7"/>
    <s v="OEL1/DE/012/23-24"/>
    <d v="2023-05-06T00:00:00"/>
    <s v="SF"/>
    <s v="PP/PE Fabric"/>
    <s v="PP UL Fabric"/>
    <s v="PP Woven Fabric"/>
    <s v="PP UL Fabric With UV"/>
    <n v="6506"/>
    <n v="780720"/>
  </r>
  <r>
    <x v="1"/>
    <s v="Oswal Extrusion Limited"/>
    <d v="2023-05-08T00:00:00"/>
    <s v="Plastene India ltd - Unit 1-Sales"/>
    <s v="Deemed Export"/>
    <s v="OEL1/DTA/005/23-24"/>
    <x v="7"/>
    <s v="OEL1/DTA/005/23-24"/>
    <d v="2023-05-08T00:00:00"/>
    <s v="SF"/>
    <s v="Wastage/Scrap"/>
    <s v="Wastage/Scrap"/>
    <s v="Scrap"/>
    <s v="PP/HD Wastage/Scrap"/>
    <n v="9000"/>
    <n v="315000"/>
  </r>
  <r>
    <x v="1"/>
    <s v="Oswal Extrusion Limited"/>
    <d v="2023-05-08T00:00:00"/>
    <s v="Plastene India ltd - Unit 1-Sales"/>
    <s v="Deemed Export"/>
    <s v="OEL1/DTA/006/23-24"/>
    <x v="7"/>
    <s v="OEL1/DTA/006/23-24"/>
    <d v="2023-05-08T00:00:00"/>
    <s v="SF"/>
    <s v="Wastage/Scrap"/>
    <s v="Wastage/Scrap"/>
    <s v="Scrap"/>
    <s v="PP/HD Wastage/Scrap"/>
    <n v="6000"/>
    <n v="210000"/>
  </r>
  <r>
    <x v="1"/>
    <s v="Oswal Extrusion Limited"/>
    <d v="2023-05-11T00:00:00"/>
    <s v="Plastene India ltd - Unit 1-Sales"/>
    <s v="Deemed Export"/>
    <s v="OEL1/DE/013/23-24"/>
    <x v="7"/>
    <s v="OEL1/DE/013/23-24"/>
    <d v="2023-05-11T00:00:00"/>
    <s v="SF"/>
    <s v="Tape Stock"/>
    <s v="PP Tapes"/>
    <s v="PP TAPE"/>
    <s v="PP Tapes"/>
    <n v="5383"/>
    <n v="585724.23"/>
  </r>
  <r>
    <x v="1"/>
    <s v="Oswal Extrusion Limited"/>
    <d v="2023-05-12T00:00:00"/>
    <s v="Plastene India ltd - Unit 6-Sales"/>
    <s v="Deemed Export"/>
    <s v="OEL1/DE/014/23-24"/>
    <x v="7"/>
    <s v="OEL1/DE/014/23-24"/>
    <d v="2023-05-12T00:00:00"/>
    <s v="SF"/>
    <s v="PP/PE Fabric"/>
    <s v="PP UL Fabric"/>
    <s v="PP Woven Fabric"/>
    <s v="PP UL Fabric With UV"/>
    <n v="7600"/>
    <n v="912000"/>
  </r>
  <r>
    <x v="1"/>
    <s v="Oswal Extrusion Limited"/>
    <d v="2023-05-12T00:00:00"/>
    <s v="Plastene India ltd - Unit 6-Sales"/>
    <s v="Deemed Export"/>
    <s v="OEL1/DE/015/23-24"/>
    <x v="7"/>
    <s v="OEL1/DE/015/23-24"/>
    <d v="2023-05-12T00:00:00"/>
    <s v="SF"/>
    <s v="Webbing"/>
    <s v="PP Webbing"/>
    <s v="PP Webbing"/>
    <s v="Webbing"/>
    <n v="1530"/>
    <n v="195840"/>
  </r>
  <r>
    <x v="1"/>
    <s v="Oswal Extrusion Limited"/>
    <d v="2023-05-15T00:00:00"/>
    <s v="Plastene India ltd - Unit 6-Sales"/>
    <s v="Deemed Export"/>
    <s v="OEL1/DE/016/23-24"/>
    <x v="7"/>
    <s v="OEL1/DE/016/23-24"/>
    <d v="2023-05-15T00:00:00"/>
    <s v="SF"/>
    <s v="PP/PE Fabric"/>
    <s v="PP UL Fabric"/>
    <s v="PP Woven Fabric"/>
    <s v="PP UL Fabric With UV"/>
    <n v="4731"/>
    <n v="567720"/>
  </r>
  <r>
    <x v="1"/>
    <s v="Oswal Extrusion Limited"/>
    <d v="2023-05-18T00:00:00"/>
    <s v="Plastene India ltd - Unit 6-Sales"/>
    <s v="Deemed Export"/>
    <s v="OEL1/DE/017/23-24"/>
    <x v="7"/>
    <s v="OEL1/DE/017/23-24"/>
    <d v="2023-05-18T00:00:00"/>
    <s v="SF"/>
    <s v="PP/PE Fabric"/>
    <s v="PP UL Fabric"/>
    <s v="PP Woven Fabric"/>
    <s v="PP UL Fabric Without UV"/>
    <n v="4171"/>
    <n v="500520"/>
  </r>
  <r>
    <x v="1"/>
    <s v="Oswal Extrusion Limited"/>
    <d v="2023-05-18T00:00:00"/>
    <s v="Plastene India ltd - Unit 6-Sales"/>
    <s v="Deemed Export"/>
    <s v="OEL1/DE/018/23-24"/>
    <x v="7"/>
    <s v="OEL1/DE/018/23-24"/>
    <d v="2023-05-18T00:00:00"/>
    <s v="SF"/>
    <s v="Webbing"/>
    <s v="PP Webbing"/>
    <s v="PP Webbing"/>
    <s v="Webbing"/>
    <n v="1530"/>
    <n v="195840"/>
  </r>
  <r>
    <x v="1"/>
    <s v="Oswal Extrusion Limited"/>
    <d v="2023-05-22T00:00:00"/>
    <s v="Plastene India ltd - Unit 6-Sales"/>
    <s v="Deemed Export"/>
    <s v="OEL1/DE/019/23-24"/>
    <x v="7"/>
    <s v="OEL1/DE/019/23-24"/>
    <d v="2023-05-22T00:00:00"/>
    <s v="SF"/>
    <s v="PP/PE Fabric"/>
    <s v="PP UL Fabric"/>
    <s v="PP Woven Fabric"/>
    <s v="PP UL Fabric With UV"/>
    <n v="2360"/>
    <n v="283200"/>
  </r>
  <r>
    <x v="1"/>
    <s v="Oswal Extrusion Limited"/>
    <d v="2023-05-22T00:00:00"/>
    <s v="Plastene India ltd - Unit 6-Sales"/>
    <s v="Deemed Export"/>
    <s v="OEL1/DE/020/23-24"/>
    <x v="7"/>
    <s v="OEL1/DE/020/23-24"/>
    <d v="2023-05-22T00:00:00"/>
    <s v="SF"/>
    <s v="Webbing"/>
    <s v="PP Webbing"/>
    <s v="PP Webbing"/>
    <s v="Webbing"/>
    <n v="1640"/>
    <n v="209920"/>
  </r>
  <r>
    <x v="1"/>
    <s v="Oswal Extrusion Limited"/>
    <d v="2023-05-23T00:00:00"/>
    <s v="Plastene India ltd - Unit 6-Sales"/>
    <s v="Deemed Export"/>
    <s v="OEL1/DE/021/23-24"/>
    <x v="7"/>
    <s v="OEL1/DE/021/23-24"/>
    <d v="2023-05-23T00:00:00"/>
    <s v="SF"/>
    <s v="PP/PE Fabric"/>
    <s v="PP UL Fabric"/>
    <s v="PP Woven Fabric"/>
    <s v="PP UL Fabric With UV"/>
    <n v="8160"/>
    <n v="971039.18400000001"/>
  </r>
  <r>
    <x v="1"/>
    <s v="Oswal Extrusion Limited"/>
    <d v="2023-05-26T00:00:00"/>
    <s v="Plastene India ltd - Unit 6-Sales"/>
    <s v="Deemed Export"/>
    <s v="OEL1/DE/022/23-24"/>
    <x v="7"/>
    <s v="OEL1/DE/022/23-24"/>
    <d v="2023-05-26T00:00:00"/>
    <s v="SF"/>
    <s v="PP/PE Fabric"/>
    <s v="PP UL Fabric"/>
    <s v="PP Woven Fabric"/>
    <s v="PP UL Fabric With UV"/>
    <n v="6927"/>
    <n v="824312.30729999999"/>
  </r>
  <r>
    <x v="1"/>
    <s v="Oswal Extrusion Limited"/>
    <d v="2023-05-30T00:00:00"/>
    <s v="Plastene India ltd - Unit 1-Sales"/>
    <s v="Domestic Sales"/>
    <s v="OEL1/DTA/008/23-24"/>
    <x v="7"/>
    <s v="OEL1/DTA/008/23-24"/>
    <d v="2023-05-30T00:00:00"/>
    <s v="SF"/>
    <s v="Granules"/>
    <s v="RP Granules"/>
    <s v="Reprocessed Granules"/>
    <s v="RP Granules"/>
    <n v="10000"/>
    <n v="540000"/>
  </r>
  <r>
    <x v="1"/>
    <s v="Oswal Extrusion Limited"/>
    <d v="2023-05-30T00:00:00"/>
    <s v="Plastene India ltd - Unit 6-Sales"/>
    <s v="Deemed Export"/>
    <s v="OEL1/DE/023/23-24"/>
    <x v="7"/>
    <s v="OEL1/DE/023/23-24"/>
    <d v="2023-05-30T00:00:00"/>
    <s v="SF"/>
    <s v="PP/PE Fabric"/>
    <s v="PP UL Fabric"/>
    <s v="PP Woven Fabric"/>
    <s v="PP UL Fabric With UV"/>
    <n v="2732"/>
    <n v="325108"/>
  </r>
  <r>
    <x v="1"/>
    <s v="Oswal Extrusion Limited"/>
    <d v="2023-05-30T00:00:00"/>
    <s v="Plastene India ltd - Unit 6-Sales"/>
    <s v="Deemed Export"/>
    <s v="OEL1/DE/024/23-24"/>
    <x v="7"/>
    <s v="OEL1/DE/024/23-24"/>
    <d v="2023-05-30T00:00:00"/>
    <s v="SF"/>
    <s v="Webbing"/>
    <s v="PP Webbing"/>
    <s v="PP Webbing"/>
    <s v="Webbing"/>
    <n v="2780"/>
    <n v="355840"/>
  </r>
  <r>
    <x v="1"/>
    <s v="Oswal Extrusion Limited"/>
    <d v="2023-05-31T00:00:00"/>
    <s v="K.P. Woven Pvt Ltd - Unit 3 -Sales"/>
    <s v="Deemed Export"/>
    <s v="OEL/IZS/23-24/011"/>
    <x v="6"/>
    <s v="OEL/IZS/23-24/011"/>
    <d v="2023-05-31T00:00:00"/>
    <s v="SF"/>
    <s v="PP/PE Fabric"/>
    <s v="PP Lam Fabric"/>
    <s v="Pp Lamianated Woven Fabric - Kg"/>
    <s v="PP Lam Fabric With UV"/>
    <n v="1009"/>
    <n v="178556.1715"/>
  </r>
  <r>
    <x v="1"/>
    <s v="Oswal Extrusion Limited"/>
    <d v="2023-05-31T00:00:00"/>
    <s v="Plastene India ltd - Unit 6-Sales"/>
    <s v="Deemed Export"/>
    <s v="OEL1/DE/025/23-24"/>
    <x v="7"/>
    <s v="OEL1/DE/025/23-24"/>
    <d v="2023-05-31T00:00:00"/>
    <s v="SF"/>
    <s v="PP/PE Fabric"/>
    <s v="PP UL Fabric"/>
    <s v="PP Woven Fabric"/>
    <s v="PP UL Fabric With UV"/>
    <n v="5275"/>
    <n v="627724.47250000003"/>
  </r>
  <r>
    <x v="2"/>
    <s v="Oswal Extrusion Limited"/>
    <d v="2023-06-05T00:00:00"/>
    <s v="Plastene India ltd - Unit 6-Sales"/>
    <s v="Deemed Export"/>
    <s v="OEL1/DE/026/23-24"/>
    <x v="7"/>
    <s v="OEL1/DE/026/23-24"/>
    <d v="2023-06-05T00:00:00"/>
    <s v="SF"/>
    <s v="PP/PE Fabric"/>
    <s v="PP UL Fabric"/>
    <s v="PP Woven Fabric"/>
    <s v="PP UL Fabric With UV"/>
    <n v="8254"/>
    <n v="982225.17460000003"/>
  </r>
  <r>
    <x v="2"/>
    <s v="Oswal Extrusion Limited"/>
    <d v="2023-06-09T00:00:00"/>
    <s v="Plastene India ltd - Unit 6-Sales"/>
    <s v="Deemed Export"/>
    <s v="OEL1/DE/027/23-24"/>
    <x v="7"/>
    <s v="OEL1/DE/027/23-24"/>
    <d v="2023-06-09T00:00:00"/>
    <s v="SF"/>
    <s v="PP/PE Fabric"/>
    <s v="PP UL Fabric"/>
    <s v="PP Woven Fabric"/>
    <s v="PP UL Fabric With UV"/>
    <n v="3755"/>
    <n v="446845"/>
  </r>
  <r>
    <x v="2"/>
    <s v="Oswal Extrusion Limited"/>
    <d v="2023-06-12T00:00:00"/>
    <s v="Plastene India ltd - Unit 1-Sales"/>
    <s v="Domestic Sales"/>
    <s v="OEL1/DTA/009/23-24"/>
    <x v="7"/>
    <s v="OEL1/DTA/009/23-24"/>
    <d v="2023-06-12T00:00:00"/>
    <s v="SF"/>
    <s v="Granules"/>
    <s v="RP Granules"/>
    <s v="Reprocessed Granules"/>
    <s v="RP Granules"/>
    <n v="24000"/>
    <n v="1296000"/>
  </r>
  <r>
    <x v="2"/>
    <s v="Oswal Extrusion Limited"/>
    <d v="2023-06-12T00:00:00"/>
    <s v="Plastene India ltd - Unit 6-Sales"/>
    <s v="Deemed Export"/>
    <s v="OEL1/DE/028/23-24"/>
    <x v="7"/>
    <s v="OEL1/DE/028/23-24"/>
    <d v="2023-06-12T00:00:00"/>
    <s v="SF"/>
    <s v="PP/PE Fabric"/>
    <s v="PP UL Fabric"/>
    <s v="PP Woven Fabric"/>
    <s v="PP UL Fabric With UV"/>
    <n v="9242"/>
    <n v="1099797.1682200001"/>
  </r>
  <r>
    <x v="2"/>
    <s v="Oswal Extrusion Limited"/>
    <d v="2023-06-22T00:00:00"/>
    <s v="Plastene India ltd - Unit 6-Sales"/>
    <s v="Deemed Export"/>
    <s v="OEL1/DE/029/23-24"/>
    <x v="7"/>
    <s v="OEL1/DE/029/23-24"/>
    <d v="2023-06-22T00:00:00"/>
    <s v="SF"/>
    <s v="PP/PE Fabric"/>
    <s v="PP UL Fabric"/>
    <s v="PP Woven Fabric"/>
    <s v="PP UL Fabric With UV"/>
    <n v="5410"/>
    <n v="643789.45900000003"/>
  </r>
  <r>
    <x v="2"/>
    <s v="Oswal Extrusion Limited"/>
    <d v="2023-06-22T00:00:00"/>
    <s v="Plastene India ltd - Unit 6-Sales"/>
    <s v="Deemed Export"/>
    <s v="OEL1/DE/030/23-24"/>
    <x v="7"/>
    <s v="OEL1/DE/030/23-24"/>
    <d v="2023-06-22T00:00:00"/>
    <s v="SF"/>
    <s v="Webbing"/>
    <s v="PP Webbing"/>
    <s v="PP Webbing"/>
    <s v="Webbing"/>
    <n v="1910"/>
    <n v="244480"/>
  </r>
  <r>
    <x v="2"/>
    <s v="Oswal Extrusion Limited"/>
    <d v="2023-06-27T00:00:00"/>
    <s v="Plastene India ltd - Unit 6-Sales"/>
    <s v="Deemed Export"/>
    <s v="OEL1/DE/031/23-24"/>
    <x v="7"/>
    <s v="OEL1/DE/031/23-24"/>
    <d v="2023-06-27T00:00:00"/>
    <s v="SF"/>
    <s v="PP/PE Fabric"/>
    <s v="PP UL Fabric"/>
    <s v="PP Woven Fabric"/>
    <s v="PP UL Fabric With UV"/>
    <n v="8919"/>
    <n v="1058175.1332"/>
  </r>
  <r>
    <x v="2"/>
    <s v="Oswal Extrusion Limited"/>
    <d v="2023-06-30T00:00:00"/>
    <s v="Plastene India ltd - Unit 6-Sales"/>
    <s v="Deemed Export"/>
    <s v="OEL1/DE/032/23-24"/>
    <x v="7"/>
    <s v="OEL1/DE/032/23-24"/>
    <d v="2023-06-30T00:00:00"/>
    <s v="SF"/>
    <s v="PP/PE Fabric"/>
    <s v="PP UL Fabric"/>
    <s v="PP Woven Fabric"/>
    <s v="PP UL Fabric With UV"/>
    <n v="2282"/>
    <n v="270743.18451599998"/>
  </r>
  <r>
    <x v="0"/>
    <s v="Plastene India Limited "/>
    <d v="2023-04-01T00:00:00"/>
    <s v="K.P. Woven Pvt Ltd - Unit 3 -Sales"/>
    <s v="Export Sales"/>
    <s v="PIL1/E/1/23-24"/>
    <x v="6"/>
    <s v="PIL1/E/1/23-24"/>
    <d v="2023-04-01T00:00:00"/>
    <s v="SF"/>
    <s v="PP/PE Fabric"/>
    <s v="PP Lam Fabric"/>
    <s v="PP Laminated Fabric"/>
    <s v="PP Lam Fabric With UV"/>
    <n v="3551"/>
    <n v="439707.64200000005"/>
  </r>
  <r>
    <x v="0"/>
    <s v="Plastene India Limited "/>
    <d v="2023-04-01T00:00:00"/>
    <s v="K.P. Woven Pvt Ltd - Unit 3 -Sales"/>
    <s v="Export Sales"/>
    <s v="PIL1/E/2/23-24"/>
    <x v="6"/>
    <s v="PIL1/E/2/23-24"/>
    <d v="2023-04-01T00:00:00"/>
    <s v="SF"/>
    <s v="Liners"/>
    <s v="LDPE/LLDPE Bags"/>
    <s v="LLDPE BAGS"/>
    <s v="LDPE/LLDPE Bags/Liner"/>
    <n v="839.1"/>
    <n v="107615.92050000001"/>
  </r>
  <r>
    <x v="0"/>
    <s v="Plastene India Limited "/>
    <d v="2023-04-01T00:00:00"/>
    <s v="Plastene Polyfilms Ltd-Sales"/>
    <s v="Sales"/>
    <n v="1"/>
    <x v="0"/>
    <s v="PIL1/D/1"/>
    <d v="2023-04-01T00:00:00"/>
    <s v="Stores/Spares"/>
    <s v="Needle Loom Spares"/>
    <s v="Spares &amp; Stores"/>
    <s v="Stores &amp; Consumables"/>
    <s v="Gear 8029 Big"/>
    <n v="1.4"/>
    <n v="1720"/>
  </r>
  <r>
    <x v="0"/>
    <s v="Plastene India Limited "/>
    <d v="2023-04-01T00:00:00"/>
    <s v="Plastene Polyfilms Ltd-Sales"/>
    <s v="Sales"/>
    <n v="2"/>
    <x v="1"/>
    <s v="PIL1/D/2"/>
    <d v="2023-04-01T00:00:00"/>
    <s v="SF"/>
    <s v="PP/PE Fabric"/>
    <s v="PP UL Fabric"/>
    <s v="PP WOVEN FABRIC (FG)"/>
    <s v="PP UL Fabric With UV"/>
    <n v="2193"/>
    <n v="263252.11"/>
  </r>
  <r>
    <x v="0"/>
    <s v="Plastene India Limited "/>
    <d v="2023-04-01T00:00:00"/>
    <s v="Plastene Polyfilms Ltd-Sales"/>
    <s v="Sales"/>
    <n v="2"/>
    <x v="1"/>
    <s v="PIL1/D/2"/>
    <d v="2023-04-01T00:00:00"/>
    <s v="SF"/>
    <s v="PP/PE Fabric"/>
    <s v="PP UL Fabric"/>
    <s v="PP WOVEN FABRIC (FG)"/>
    <s v="PP UL Fabric With UV"/>
    <n v="655"/>
    <n v="75352.509999999995"/>
  </r>
  <r>
    <x v="0"/>
    <s v="Plastene India Limited "/>
    <d v="2023-04-01T00:00:00"/>
    <s v="Plastene Polyfilms Ltd-Sales"/>
    <s v="Sales"/>
    <n v="2"/>
    <x v="1"/>
    <s v="PIL1/D/2"/>
    <d v="2023-04-01T00:00:00"/>
    <s v="SF"/>
    <s v="Webbing"/>
    <s v="PP Webbing"/>
    <s v="PP Webbing"/>
    <s v="Webbing"/>
    <n v="522.70000000000005"/>
    <n v="61177.85"/>
  </r>
  <r>
    <x v="0"/>
    <s v="Plastene India Limited "/>
    <d v="2023-04-01T00:00:00"/>
    <s v="Plastene Polyfilms Ltd-Sales"/>
    <s v="Sales"/>
    <n v="2"/>
    <x v="1"/>
    <s v="PIL1/D/2"/>
    <d v="2023-04-01T00:00:00"/>
    <s v="SF"/>
    <s v="Webbing"/>
    <s v="PP Webbing"/>
    <s v="PP Webbing"/>
    <s v="Webbing"/>
    <n v="1082.0999999999999"/>
    <n v="129897.45"/>
  </r>
  <r>
    <x v="0"/>
    <s v="Plastene India Limited "/>
    <d v="2023-04-01T00:00:00"/>
    <s v="Plastene Polyfilms Ltd-Sales"/>
    <s v="Sales"/>
    <n v="3"/>
    <x v="0"/>
    <s v="PIL1/D/3"/>
    <d v="2023-04-01T00:00:00"/>
    <s v="Stores/Spares"/>
    <s v="MS Structure Items"/>
    <s v="Spares &amp; Stores"/>
    <s v="Stores &amp; Consumables"/>
    <s v="MS Pipe 4  C Class"/>
    <n v="132"/>
    <n v="6336"/>
  </r>
  <r>
    <x v="0"/>
    <s v="Plastene India Limited "/>
    <d v="2023-04-01T00:00:00"/>
    <s v="Plastene Polyfilms Ltd-Sales"/>
    <s v="Sales"/>
    <n v="4"/>
    <x v="1"/>
    <s v="PIL1/D/4"/>
    <d v="2023-04-01T00:00:00"/>
    <s v="SF"/>
    <s v="Liners"/>
    <s v="LDPE/LLDPE Bags"/>
    <s v="LLDPE BAGS"/>
    <s v="LDPE/LLDPE Bags/Liner"/>
    <n v="1420.2"/>
    <n v="181494.46"/>
  </r>
  <r>
    <x v="0"/>
    <s v="Plastene India Limited "/>
    <d v="2023-04-02T00:00:00"/>
    <s v="K.P. Woven Pvt Ltd-Sales"/>
    <s v="Sales"/>
    <n v="5"/>
    <x v="1"/>
    <s v="PIL1/D/5"/>
    <d v="2023-04-02T00:00:00"/>
    <s v="SF"/>
    <s v="PP/PE Fabric"/>
    <s v="PP UL Fabric"/>
    <s v="PP WOVEN FABRIC (FG)"/>
    <s v="PP UL Fabric With UV"/>
    <n v="4289"/>
    <n v="514860.14"/>
  </r>
  <r>
    <x v="0"/>
    <s v="Plastene India Limited "/>
    <d v="2023-04-02T00:00:00"/>
    <s v="K.P. Woven Pvt Ltd-Sales"/>
    <s v="Sales"/>
    <n v="6"/>
    <x v="0"/>
    <s v="PIL1/D/6"/>
    <d v="2023-04-02T00:00:00"/>
    <s v="Stores/Spares"/>
    <s v="MS Structure Items"/>
    <s v="Spares &amp; Stores"/>
    <s v="Stores &amp; Consumables"/>
    <s v="MS Pipe 4  C Class"/>
    <n v="183"/>
    <n v="8784"/>
  </r>
  <r>
    <x v="0"/>
    <s v="Plastene India Limited "/>
    <d v="2023-04-02T00:00:00"/>
    <s v="K.P. Woven Pvt Ltd-Sales"/>
    <s v="SALES (FOREX)"/>
    <s v="PIL1/DE/1/23-24"/>
    <x v="1"/>
    <s v="PIL1/DE/1/23-24"/>
    <d v="2023-04-02T00:00:00"/>
    <s v="SF"/>
    <s v="Liners"/>
    <s v="LDPE/LLDPE Bags"/>
    <s v="LLDPE BAGS"/>
    <s v="LDPE/LLDPE Bags/Liner"/>
    <n v="1515.2"/>
    <n v="181533.08"/>
  </r>
  <r>
    <x v="0"/>
    <s v="Plastene India Limited "/>
    <d v="2023-04-02T00:00:00"/>
    <s v="K.P. Woven Pvt Ltd-Sales"/>
    <s v="SALES (FOREX)"/>
    <s v="PIL1/DE/1/23-24"/>
    <x v="1"/>
    <s v="PIL1/DE/1/23-24"/>
    <d v="2023-04-02T00:00:00"/>
    <s v="SF"/>
    <s v="Liners"/>
    <s v="LDPE/LLDPE Bags"/>
    <s v="LLDPE BAGS"/>
    <s v="LDPE/LLDPE Bags/Liner"/>
    <n v="630.79999999999995"/>
    <n v="90714.09"/>
  </r>
  <r>
    <x v="0"/>
    <s v="Plastene India Limited "/>
    <d v="2023-04-03T00:00:00"/>
    <s v="K.P. Woven Pvt Ltd - Unit 3 -Sales"/>
    <s v="Export Sales"/>
    <s v="PIL1/E/3/23-24"/>
    <x v="6"/>
    <s v="PIL1/E/3/23-24"/>
    <d v="2023-04-03T00:00:00"/>
    <s v="SF"/>
    <s v="Tape Stock"/>
    <s v="PP Tapes"/>
    <s v="PP TAPE"/>
    <s v="PP Tapes"/>
    <n v="1523"/>
    <n v="163376.3395"/>
  </r>
  <r>
    <x v="0"/>
    <s v="Plastene India Limited "/>
    <d v="2023-04-03T00:00:00"/>
    <s v="K.P. Woven Pvt Ltd - Unit 3 -Sales"/>
    <s v="Export Sales"/>
    <s v="PIL1/E/4/23-24"/>
    <x v="6"/>
    <s v="PIL1/E/4/23-24"/>
    <d v="2023-04-03T00:00:00"/>
    <s v="SF"/>
    <s v="PP/PE Fabric"/>
    <s v="PP UL Fabric"/>
    <s v="PP WOVEN FABRIC (FG)"/>
    <s v="PP UL Fabric With UV"/>
    <n v="2373.4"/>
    <n v="289222.03750000003"/>
  </r>
  <r>
    <x v="0"/>
    <s v="Plastene India Limited "/>
    <d v="2023-04-03T00:00:00"/>
    <s v="K.P. Woven Pvt Ltd - Unit 3 -Sales"/>
    <s v="Export Sales"/>
    <s v="PIL1/E/5/23-24"/>
    <x v="6"/>
    <s v="PIL1/E/5/23-24"/>
    <d v="2023-04-03T00:00:00"/>
    <s v="SF"/>
    <s v="Liners"/>
    <s v="LDPE/LLDPE Bags"/>
    <s v="LLDPE BAGS"/>
    <s v="LDPE/LLDPE Bags/Liner"/>
    <n v="1510.2"/>
    <n v="193685.54700000002"/>
  </r>
  <r>
    <x v="0"/>
    <s v="Plastene India Limited "/>
    <d v="2023-04-03T00:00:00"/>
    <s v="K.P. Woven Pvt Ltd - Unit 3 -Sales"/>
    <s v="Export Sales"/>
    <s v="PIL1/E/6/23-24"/>
    <x v="6"/>
    <s v="PIL1/E/6/23-24"/>
    <d v="2023-04-03T00:00:00"/>
    <s v="SF"/>
    <s v="Liners"/>
    <s v="LDPE/LLDPE Bags"/>
    <s v="LLDPE BAGS"/>
    <s v="LDPE/LLDPE Bags/Liner"/>
    <n v="5136.8"/>
    <n v="633545.61600000004"/>
  </r>
  <r>
    <x v="0"/>
    <s v="Plastene India Limited "/>
    <d v="2023-04-03T00:00:00"/>
    <s v="K.P. Woven Pvt Ltd - Unit 3 -Sales"/>
    <s v="Export Sales"/>
    <s v="PIL1/E/7/23-24"/>
    <x v="6"/>
    <s v="PIL1/E/7/23-24"/>
    <d v="2023-04-03T00:00:00"/>
    <s v="SF"/>
    <s v="PP/PE Fabric"/>
    <s v="PP Lam Fabric"/>
    <s v="PP Laminated Fabric"/>
    <s v="PP Lam Fabric With UV"/>
    <n v="1974"/>
    <n v="244433.0845"/>
  </r>
  <r>
    <x v="0"/>
    <s v="Plastene India Limited "/>
    <d v="2023-04-03T00:00:00"/>
    <s v="K.P. Woven Pvt Ltd-Sales"/>
    <s v="Sales"/>
    <n v="10"/>
    <x v="1"/>
    <s v="PIL1/D/10"/>
    <d v="2023-04-03T00:00:00"/>
    <s v="SF"/>
    <s v="Yarn All"/>
    <s v="PP Yarn"/>
    <s v="PP Filament Yarn"/>
    <s v="PP MF Yarn Twisted 1000 UV NW"/>
    <n v="3593"/>
    <n v="473848.43"/>
  </r>
  <r>
    <x v="0"/>
    <s v="Plastene India Limited "/>
    <d v="2023-04-03T00:00:00"/>
    <s v="K.P. Woven Pvt Ltd-Sales"/>
    <s v="Sales"/>
    <n v="10"/>
    <x v="1"/>
    <s v="PIL1/D/10"/>
    <d v="2023-04-03T00:00:00"/>
    <s v="SF"/>
    <s v="Yarn All"/>
    <s v="PP Yarn"/>
    <s v="PP Filament Yarn"/>
    <s v="PP MF Yarn Twisted 1500 Denier UV NW"/>
    <n v="585.4"/>
    <n v="77203.14"/>
  </r>
  <r>
    <x v="0"/>
    <s v="Plastene India Limited "/>
    <d v="2023-04-03T00:00:00"/>
    <s v="Plastene Polyfilms Ltd-Sales"/>
    <s v="Sales"/>
    <n v="9"/>
    <x v="0"/>
    <s v="PIL1/D/9"/>
    <d v="2023-04-03T00:00:00"/>
    <s v="RM"/>
    <s v="Granules"/>
    <s v="Masterbatch"/>
    <s v="Master Batch"/>
    <s v="MB Karnavati Leaf Green"/>
    <n v="25"/>
    <n v="4775"/>
  </r>
  <r>
    <x v="0"/>
    <s v="Plastene India Limited "/>
    <d v="2023-04-04T00:00:00"/>
    <s v="K.P. Woven Pvt Ltd - Unit 3 -Sales"/>
    <s v="Export Sales"/>
    <s v="PIL1/E/10/23-24"/>
    <x v="6"/>
    <s v="PIL1/E/10/23-24"/>
    <d v="2023-04-04T00:00:00"/>
    <s v="SF"/>
    <s v="Webbing"/>
    <s v="PP Webbing"/>
    <s v="PP Webbing"/>
    <s v="Webbing"/>
    <n v="477.2"/>
    <n v="53106.877999999997"/>
  </r>
  <r>
    <x v="0"/>
    <s v="Plastene India Limited "/>
    <d v="2023-04-04T00:00:00"/>
    <s v="K.P. Woven Pvt Ltd - Unit 3 -Sales"/>
    <s v="Export Sales"/>
    <s v="PIL1/E/11/23-24"/>
    <x v="6"/>
    <s v="PIL1/E/11/23-24"/>
    <d v="2023-04-04T00:00:00"/>
    <s v="SF"/>
    <s v="PP/PE Fabric"/>
    <s v="PP Lam Fabric"/>
    <s v="PP Laminated Fabric"/>
    <s v="PP Lam Fabric With UV"/>
    <n v="1966"/>
    <n v="243443.12850000002"/>
  </r>
  <r>
    <x v="0"/>
    <s v="Plastene India Limited "/>
    <d v="2023-04-04T00:00:00"/>
    <s v="K.P. Woven Pvt Ltd - Unit 3 -Sales"/>
    <s v="Export Sales"/>
    <s v="PIL1/E/12/23-24"/>
    <x v="6"/>
    <s v="PIL1/E/12/23-24"/>
    <d v="2023-04-04T00:00:00"/>
    <s v="SF"/>
    <s v="Liners"/>
    <s v="LDPE/LLDPE Bags"/>
    <s v="LLDPE BAGS"/>
    <s v="LDPE/LLDPE Bags/Liner"/>
    <n v="4603"/>
    <n v="590343.21499999997"/>
  </r>
  <r>
    <x v="0"/>
    <s v="Plastene India Limited "/>
    <d v="2023-04-04T00:00:00"/>
    <s v="K.P. Woven Pvt Ltd - Unit 3 -Sales"/>
    <s v="Export Sales"/>
    <s v="PIL1/E/9/23-24"/>
    <x v="6"/>
    <s v="PIL1/E/9/23-24"/>
    <d v="2023-04-04T00:00:00"/>
    <s v="SF"/>
    <s v="Webbing"/>
    <s v="PP Webbing"/>
    <s v="PP Webbing"/>
    <s v="Webbing"/>
    <n v="85.6"/>
    <n v="10237.5525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UL Fabric"/>
    <s v="PP WOVEN FABRIC (FG)"/>
    <s v="PP UL Fabric With UV"/>
    <n v="33"/>
    <n v="3961.39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UL Fabric"/>
    <s v="PP WOVEN FABRIC (FG)"/>
    <s v="PP UL Fabric With UV"/>
    <n v="408"/>
    <n v="47753.14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UL Fabric"/>
    <s v="PP WOVEN FABRIC (FG)"/>
    <s v="PP UL Fabric With UV"/>
    <n v="225"/>
    <n v="25884.45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Lam Fabric"/>
    <s v="PP Laminated Fabric"/>
    <s v="PP Lam Fabric With UV"/>
    <n v="1950"/>
    <n v="237981.9"/>
  </r>
  <r>
    <x v="0"/>
    <s v="Plastene India Limited "/>
    <d v="2023-04-04T00:00:00"/>
    <s v="Plastene Polyfilms Ltd-Sales"/>
    <s v="Sales"/>
    <n v="11"/>
    <x v="1"/>
    <s v="PIL1/D/11"/>
    <d v="2023-04-04T00:00:00"/>
    <s v="SF"/>
    <s v="Webbing"/>
    <s v="PP Webbing"/>
    <s v="PP Webbing"/>
    <s v="Webbing"/>
    <n v="633.1"/>
    <n v="75998.59"/>
  </r>
  <r>
    <x v="0"/>
    <s v="Plastene India Limited "/>
    <d v="2023-04-04T00:00:00"/>
    <s v="Plastene Polyfilms Ltd-Sales"/>
    <s v="Sales"/>
    <n v="11"/>
    <x v="1"/>
    <s v="PIL1/D/11"/>
    <d v="2023-04-04T00:00:00"/>
    <s v="SF"/>
    <s v="Webbing"/>
    <s v="PP Webbing"/>
    <s v="PP Webbing"/>
    <s v="Webbing"/>
    <n v="1031.5"/>
    <n v="120728.82"/>
  </r>
  <r>
    <x v="0"/>
    <s v="Plastene India Limited "/>
    <d v="2023-04-04T00:00:00"/>
    <s v="Plastene Polyfilms Ltd-Sales"/>
    <s v="Sales"/>
    <n v="11"/>
    <x v="1"/>
    <s v="PIL1/D/11"/>
    <d v="2023-04-04T00:00:00"/>
    <s v="SF"/>
    <s v="Yarn All"/>
    <s v="PP Yarn"/>
    <s v="PP Filament Yarn"/>
    <s v="PP MF Yarn Twisted 3000 Denier UV NW"/>
    <n v="442.2"/>
    <n v="58317.78"/>
  </r>
  <r>
    <x v="0"/>
    <s v="Plastene India Limited "/>
    <d v="2023-04-04T00:00:00"/>
    <s v="Plastene Polyfilms Ltd-Sales"/>
    <s v="Sales"/>
    <n v="11"/>
    <x v="1"/>
    <s v="PIL1/D/11"/>
    <d v="2023-04-04T00:00:00"/>
    <s v="SF"/>
    <s v="Yarn All"/>
    <s v="PP Yarn"/>
    <s v="PP Filament Yarn"/>
    <s v="PP MF Yarn Twisted 1000 UV NW"/>
    <n v="1633.9"/>
    <n v="215480.37"/>
  </r>
  <r>
    <x v="0"/>
    <s v="Plastene India Limited "/>
    <d v="2023-04-04T00:00:00"/>
    <s v="Plastene Polyfilms Ltd-Sales"/>
    <s v="Sales"/>
    <n v="12"/>
    <x v="0"/>
    <s v="PIL1/D/12"/>
    <d v="2023-04-04T00:00:00"/>
    <s v="Stores/Spares"/>
    <s v="MS Structure Items"/>
    <s v="Spares &amp; Stores"/>
    <s v="Stores &amp; Consumables"/>
    <s v="MS Pipe 4  C Class"/>
    <n v="114"/>
    <n v="5472"/>
  </r>
  <r>
    <x v="0"/>
    <s v="Plastene India Limited "/>
    <d v="2023-04-05T00:00:00"/>
    <s v="Plastene Polyfilms Ltd-Sales"/>
    <s v="Sales"/>
    <n v="13"/>
    <x v="1"/>
    <s v="PIL1/D/13"/>
    <d v="2023-04-05T00:00:00"/>
    <s v="SF"/>
    <s v="Granules"/>
    <s v="RP Granules"/>
    <s v="Reprocess Granules"/>
    <s v="RP Granules"/>
    <n v="600"/>
    <n v="35820"/>
  </r>
  <r>
    <x v="0"/>
    <s v="Plastene India Limited "/>
    <d v="2023-04-05T00:00:00"/>
    <s v="Plastene Polyfilms Ltd-Sales"/>
    <s v="Sales"/>
    <n v="14"/>
    <x v="1"/>
    <s v="PIL1/D/14"/>
    <d v="2023-04-05T00:00:00"/>
    <s v="SF"/>
    <s v="Webbing"/>
    <s v="PP Webbing"/>
    <s v="PP Webbing"/>
    <s v="Webbing"/>
    <n v="616"/>
    <n v="72097.87"/>
  </r>
  <r>
    <x v="0"/>
    <s v="Plastene India Limited "/>
    <d v="2023-04-05T00:00:00"/>
    <s v="Plastene Polyfilms Ltd-Sales"/>
    <s v="Sales"/>
    <n v="14"/>
    <x v="1"/>
    <s v="PIL1/D/14"/>
    <d v="2023-04-05T00:00:00"/>
    <s v="SF"/>
    <s v="Webbing"/>
    <s v="PP Webbing"/>
    <s v="PP Webbing"/>
    <s v="Webbing"/>
    <n v="619.4"/>
    <n v="74354.009999999995"/>
  </r>
  <r>
    <x v="0"/>
    <s v="Plastene India Limited "/>
    <d v="2023-04-05T00:00:00"/>
    <s v="Plastene Polyfilms Ltd-Sales"/>
    <s v="Sales"/>
    <n v="14"/>
    <x v="1"/>
    <s v="PIL1/D/14"/>
    <d v="2023-04-05T00:00:00"/>
    <s v="SF"/>
    <s v="PP/PE Fabric"/>
    <s v="PP Lam Fabric"/>
    <s v="PP Laminated Fabric"/>
    <s v="PP Lam Fabric With UV"/>
    <n v="7132"/>
    <n v="870403.54"/>
  </r>
  <r>
    <x v="0"/>
    <s v="Plastene India Limited "/>
    <d v="2023-04-05T00:00:00"/>
    <s v="Plastene Polyfilms Ltd-Sales"/>
    <s v="Sales"/>
    <n v="14"/>
    <x v="1"/>
    <s v="PIL1/D/14"/>
    <d v="2023-04-05T00:00:00"/>
    <s v="SF"/>
    <s v="PP/PE Fabric"/>
    <s v="PP UL Fabric"/>
    <s v="PP WOVEN FABRIC (FG)"/>
    <s v="PP UL Fabric With UV"/>
    <n v="732"/>
    <n v="87870.74"/>
  </r>
  <r>
    <x v="0"/>
    <s v="Plastene India Limited "/>
    <d v="2023-04-05T00:00:00"/>
    <s v="Plastene Polyfilms Ltd-Sales"/>
    <s v="Sales"/>
    <n v="15"/>
    <x v="0"/>
    <s v="PIL1/D/15"/>
    <d v="2023-04-05T00:00:00"/>
    <s v="Stores/Spares"/>
    <s v="MS Structure Items"/>
    <s v="Spares &amp; Stores"/>
    <s v="Stores &amp; Consumables"/>
    <s v="MS Pipe 4  C Class"/>
    <n v="241"/>
    <n v="11568"/>
  </r>
  <r>
    <x v="0"/>
    <s v="Plastene India Limited "/>
    <d v="2023-04-05T00:00:00"/>
    <s v="Plastene Polyfilms Ltd-Sales"/>
    <s v="Sales"/>
    <n v="16"/>
    <x v="1"/>
    <s v="PIL1/D/16"/>
    <d v="2023-04-05T00:00:00"/>
    <s v="SF"/>
    <s v="Liners"/>
    <s v="LDPE/LLDPE Bags"/>
    <s v="LLDPE BAGS"/>
    <s v="LDPE/LLDPE Bags/Liner"/>
    <n v="744.6"/>
    <n v="95156.160000000003"/>
  </r>
  <r>
    <x v="0"/>
    <s v="Plastene India Limited "/>
    <d v="2023-04-05T00:00:00"/>
    <s v="Plastene Polyfilms Ltd-Sales"/>
    <s v="Sales"/>
    <n v="17"/>
    <x v="0"/>
    <s v="PIL1/D/17"/>
    <d v="2023-04-05T00:00:00"/>
    <s v="RM"/>
    <s v="Granules"/>
    <s v="Masterbatch"/>
    <s v="Master Batch"/>
    <s v="MB Karnavati Leaf Green"/>
    <n v="100"/>
    <n v="19100"/>
  </r>
  <r>
    <x v="0"/>
    <s v="Plastene India Limited "/>
    <d v="2023-04-05T00:00:00"/>
    <s v="Plastene Polyfilms Ltd-Sales"/>
    <s v="Sales"/>
    <n v="17"/>
    <x v="0"/>
    <s v="PIL1/D/17"/>
    <d v="2023-04-05T00:00:00"/>
    <s v="RM"/>
    <s v="Granules"/>
    <s v="Masterbatch"/>
    <s v="Master Batch"/>
    <s v="MB Karnavati Rishi Green-T"/>
    <n v="50"/>
    <n v="7700"/>
  </r>
  <r>
    <x v="0"/>
    <s v="Plastene India Limited "/>
    <d v="2023-04-05T00:00:00"/>
    <s v="Plastene Polyfilms Ltd-Sales"/>
    <s v="Sales"/>
    <n v="17"/>
    <x v="0"/>
    <s v="PIL1/D/17"/>
    <d v="2023-04-05T00:00:00"/>
    <s v="RM"/>
    <s v="Granules"/>
    <s v="Masterbatch"/>
    <s v="Master Batch"/>
    <s v="MB Mix Masterbatches"/>
    <n v="30"/>
    <n v="7650"/>
  </r>
  <r>
    <x v="0"/>
    <s v="Plastene India Limited "/>
    <d v="2023-04-06T00:00:00"/>
    <s v="K.P. Woven Pvt Ltd - Unit 3 -Sales"/>
    <s v="Export Sales"/>
    <s v="PIL1/E/13/23-24"/>
    <x v="6"/>
    <s v="PIL1/E/13/23-24"/>
    <d v="2023-04-06T00:00:00"/>
    <s v="SF"/>
    <s v="Yarn All"/>
    <s v="PP Yarn"/>
    <s v="PP Filament Yarn"/>
    <s v="PP MF Yarn Twisted 1000 UV NW"/>
    <n v="2222.8000000000002"/>
    <n v="279613.40000000002"/>
  </r>
  <r>
    <x v="0"/>
    <s v="Plastene India Limited "/>
    <d v="2023-04-06T00:00:00"/>
    <s v="K.P. Woven Pvt Ltd - Unit 3 -Sales"/>
    <s v="Export Sales"/>
    <s v="PIL1/E/13/23-24"/>
    <x v="6"/>
    <s v="PIL1/E/13/23-24"/>
    <d v="2023-04-06T00:00:00"/>
    <s v="SF"/>
    <s v="Yarn All"/>
    <s v="PP Yarn"/>
    <s v="PP Filament Yarn"/>
    <s v="PP MF Yarn Twisted 2500 Denier UV NW"/>
    <n v="2057.8000000000002"/>
    <n v="258857.10399999999"/>
  </r>
  <r>
    <x v="0"/>
    <s v="Plastene India Limited "/>
    <d v="2023-04-06T00:00:00"/>
    <s v="K.P. Woven Pvt Ltd - Unit 3 -Sales"/>
    <s v="Export Sales"/>
    <s v="PIL1/E/13/23-24"/>
    <x v="6"/>
    <s v="PIL1/E/13/23-24"/>
    <d v="2023-04-06T00:00:00"/>
    <s v="SF"/>
    <s v="Yarn All"/>
    <s v="PP Yarn"/>
    <s v="PP Filament Yarn"/>
    <s v="PP MF Yarn Twisted 1500 Denier UV NW"/>
    <n v="33.1"/>
    <n v="4163.8795"/>
  </r>
  <r>
    <x v="0"/>
    <s v="Plastene India Limited "/>
    <d v="2023-04-06T00:00:00"/>
    <s v="K.P. Woven Pvt Ltd - Unit 3 -Sales"/>
    <s v="Export Sales"/>
    <s v="PIL1/E/14/23-24"/>
    <x v="6"/>
    <s v="PIL1/E/14/23-24"/>
    <d v="2023-04-06T00:00:00"/>
    <s v="SF"/>
    <s v="PP/PE Fabric"/>
    <s v="PP Lam Fabric"/>
    <s v="PP Laminated Fabric"/>
    <s v="PP Lam Fabric With UV"/>
    <n v="3878"/>
    <n v="480199.13699999999"/>
  </r>
  <r>
    <x v="0"/>
    <s v="Plastene India Limited "/>
    <d v="2023-04-06T00:00:00"/>
    <s v="K.P. Woven Pvt Ltd - Unit 3 -Sales"/>
    <s v="Export Sales"/>
    <s v="PIL1/E/15/23-24"/>
    <x v="6"/>
    <s v="PIL1/E/15/23-24"/>
    <d v="2023-04-06T00:00:00"/>
    <s v="SF"/>
    <s v="Webbing"/>
    <s v="PP Webbing"/>
    <s v="PP Webbing"/>
    <s v="Webbing"/>
    <n v="866.9"/>
    <n v="96475.637499999997"/>
  </r>
  <r>
    <x v="0"/>
    <s v="Plastene India Limited "/>
    <d v="2023-04-06T00:00:00"/>
    <s v="K.P. Woven Pvt Ltd - Unit 3 -Sales"/>
    <s v="Export Sales"/>
    <s v="PIL1/E/16/23-24"/>
    <x v="6"/>
    <s v="PIL1/E/16/23-24"/>
    <d v="2023-04-06T00:00:00"/>
    <s v="SF"/>
    <s v="Liners"/>
    <s v="LDPE/LLDPE Bags"/>
    <s v="LLDPE BAGS"/>
    <s v="LDPE/LLDPE Bags/Liner"/>
    <n v="2799.8"/>
    <n v="345312.71500000003"/>
  </r>
  <r>
    <x v="0"/>
    <s v="Plastene India Limited "/>
    <d v="2023-04-06T00:00:00"/>
    <s v="K.P. Woven Pvt Ltd - Unit 3 -Sales"/>
    <s v="Export Sales"/>
    <s v="PIL1/E/18/23-24"/>
    <x v="6"/>
    <s v="PIL1/E/18/23-24"/>
    <d v="2023-04-06T00:00:00"/>
    <s v="SF"/>
    <s v="PP/PE Fabric"/>
    <s v="PP Lam Fabric"/>
    <s v="PP Laminated Fabric"/>
    <s v="PP Lam Fabric With UV"/>
    <n v="2436.9"/>
    <n v="301753.01199999999"/>
  </r>
  <r>
    <x v="0"/>
    <s v="Plastene India Limited "/>
    <d v="2023-04-06T00:00:00"/>
    <s v="K.P. Woven Pvt Ltd - Unit 3 -Sales"/>
    <s v="Export Sales"/>
    <s v="PIL1/E/19/23-24"/>
    <x v="6"/>
    <s v="PIL1/E/19/23-24"/>
    <d v="2023-04-06T00:00:00"/>
    <s v="SF"/>
    <s v="PP/PE Fabric"/>
    <s v="PP Lam Fabric"/>
    <s v="PP Laminated Fabric"/>
    <s v="PP Lam Fabric With UV"/>
    <n v="231.1"/>
    <n v="26930.409"/>
  </r>
  <r>
    <x v="0"/>
    <s v="Plastene India Limited "/>
    <d v="2023-04-06T00:00:00"/>
    <s v="K.P. Woven Pvt Ltd-Sales"/>
    <s v="Sales"/>
    <n v="21"/>
    <x v="1"/>
    <s v="PIL1/D/21"/>
    <d v="2023-04-06T00:00:00"/>
    <s v="SF"/>
    <s v="PP/PE Fabric"/>
    <s v="PP Lam Fabric"/>
    <s v="PP Laminated Fabric"/>
    <s v="PP Lam Fabric With UV"/>
    <n v="5780"/>
    <n v="708292.76"/>
  </r>
  <r>
    <x v="0"/>
    <s v="Plastene India Limited "/>
    <d v="2023-04-06T00:00:00"/>
    <s v="K.P. Woven Pvt Ltd-Sales"/>
    <s v="Sales"/>
    <n v="21"/>
    <x v="1"/>
    <s v="PIL1/D/21"/>
    <d v="2023-04-06T00:00:00"/>
    <s v="SF"/>
    <s v="PP/PE Fabric"/>
    <s v="PP UL Fabric"/>
    <s v="PP WOVEN FABRIC (FG)"/>
    <s v="PP UL Fabric With UV"/>
    <n v="1663"/>
    <n v="194640.85"/>
  </r>
  <r>
    <x v="0"/>
    <s v="Plastene India Limited "/>
    <d v="2023-04-06T00:00:00"/>
    <s v="Plastene Polyfilms Ltd-Sales"/>
    <s v="Sales"/>
    <n v="18"/>
    <x v="0"/>
    <s v="PIL1/D/18"/>
    <d v="2023-04-06T00:00:00"/>
    <s v="RM"/>
    <s v="Granules"/>
    <s v="Masterbatch"/>
    <s v="Master Batch"/>
    <s v="MB Karnavati Vikram Orange"/>
    <n v="10"/>
    <n v="2350"/>
  </r>
  <r>
    <x v="0"/>
    <s v="Plastene India Limited "/>
    <d v="2023-04-06T00:00:00"/>
    <s v="Plastene Polyfilms Ltd-Sales"/>
    <s v="Sales"/>
    <n v="20"/>
    <x v="1"/>
    <s v="PIL1/D/20"/>
    <d v="2023-04-06T00:00:00"/>
    <s v="SF"/>
    <s v="PP/PE Fabric"/>
    <s v="PP UL Fabric"/>
    <s v="PP WOVEN FABRIC (FG)"/>
    <s v="PP UL Fabric With UV"/>
    <n v="4571"/>
    <n v="534998.98"/>
  </r>
  <r>
    <x v="0"/>
    <s v="Plastene India Limited "/>
    <d v="2023-04-06T00:00:00"/>
    <s v="Plastene Polyfilms Ltd-Sales"/>
    <s v="Sales"/>
    <n v="20"/>
    <x v="1"/>
    <s v="PIL1/D/20"/>
    <d v="2023-04-06T00:00:00"/>
    <s v="SF"/>
    <s v="PP/PE Fabric"/>
    <s v="PP Lam Fabric"/>
    <s v="PP Laminated Fabric"/>
    <s v="PP Lam Fabric With UV"/>
    <n v="2364"/>
    <n v="289689.28999999998"/>
  </r>
  <r>
    <x v="0"/>
    <s v="Plastene India Limited "/>
    <d v="2023-04-07T00:00:00"/>
    <s v="K.P. Woven Pvt Ltd - Unit 3 -Sales"/>
    <s v="Export Sales"/>
    <s v="PIL1/E/21/23-24"/>
    <x v="6"/>
    <s v="PIL1/E/21/23-24"/>
    <d v="2023-04-07T00:00:00"/>
    <s v="SF"/>
    <s v="PP/PE Fabric"/>
    <s v="PP Lam Fabric"/>
    <s v="PP Laminated Fabric"/>
    <s v="PP Lam Fabric With UV"/>
    <n v="5576"/>
    <n v="649787.28650000005"/>
  </r>
  <r>
    <x v="0"/>
    <s v="Plastene India Limited "/>
    <d v="2023-04-07T00:00:00"/>
    <s v="K.P. Woven Pvt Ltd - Unit 3 -Sales"/>
    <s v="Export Sales"/>
    <s v="PIL1/E/22/23-24"/>
    <x v="6"/>
    <s v="PIL1/E/22/23-24"/>
    <d v="2023-04-07T00:00:00"/>
    <s v="SF"/>
    <s v="Liners"/>
    <s v="LDPE/LLDPE Bags"/>
    <s v="LLDPE BAGS"/>
    <s v="LDPE/LLDPE Bags/Liner"/>
    <n v="397"/>
    <n v="50915.534999999996"/>
  </r>
  <r>
    <x v="0"/>
    <s v="Plastene India Limited "/>
    <d v="2023-04-07T00:00:00"/>
    <s v="K.P. Woven Pvt Ltd - Unit 3 -Sales"/>
    <s v="Export Sales"/>
    <s v="PIL1/E/23/23-24"/>
    <x v="6"/>
    <s v="PIL1/E/23/23-24"/>
    <d v="2023-04-07T00:00:00"/>
    <s v="SF"/>
    <s v="Liners"/>
    <s v="LDPE/LLDPE Bags"/>
    <s v="LLDPE BAGS"/>
    <s v="LDPE/LLDPE Bags/Liner"/>
    <n v="1221.9000000000001"/>
    <n v="150702.772"/>
  </r>
  <r>
    <x v="0"/>
    <s v="Plastene India Limited "/>
    <d v="2023-04-07T00:00:00"/>
    <s v="K.P. Woven Pvt Ltd - Unit 3 -Sales"/>
    <s v="Export Sales"/>
    <s v="PIL1/E/24/23-24"/>
    <x v="6"/>
    <s v="PIL1/E/24/23-24"/>
    <d v="2023-04-07T00:00:00"/>
    <s v="SF"/>
    <s v="Webbing"/>
    <s v="PP Webbing"/>
    <s v="PP Webbing"/>
    <s v="Webbing"/>
    <n v="517.70000000000005"/>
    <n v="57614.127999999997"/>
  </r>
  <r>
    <x v="0"/>
    <s v="Plastene India Limited "/>
    <d v="2023-04-07T00:00:00"/>
    <s v="Plastene Polyfilms Ltd-Sales"/>
    <s v="Sales"/>
    <n v="23"/>
    <x v="1"/>
    <s v="PIL1/D/23"/>
    <d v="2023-04-07T00:00:00"/>
    <s v="SF"/>
    <s v="Liners"/>
    <s v="LDPE/LLDPE Bags"/>
    <s v="LLDPE BAGS"/>
    <s v="LDPE/LLDPE Bags/Liner"/>
    <n v="2336.3000000000002"/>
    <n v="307912.65999999997"/>
  </r>
  <r>
    <x v="0"/>
    <s v="Plastene India Limited "/>
    <d v="2023-04-07T00:00:00"/>
    <s v="Plastene Polyfilms Ltd-Sales"/>
    <s v="Sales"/>
    <n v="23"/>
    <x v="1"/>
    <s v="PIL1/D/23"/>
    <d v="2023-04-07T00:00:00"/>
    <s v="SF"/>
    <s v="Liners"/>
    <s v="LDPE/LLDPE Bags"/>
    <s v="LLDPE BAGS"/>
    <s v="LDPE/LLDPE Bags/Liner"/>
    <n v="273.5"/>
    <n v="34951.93"/>
  </r>
  <r>
    <x v="0"/>
    <s v="Plastene India Limited "/>
    <d v="2023-04-07T00:00:00"/>
    <s v="Plastene Polyfilms Ltd-Sales"/>
    <s v="Sales"/>
    <n v="23"/>
    <x v="1"/>
    <s v="PIL1/D/23"/>
    <d v="2023-04-07T00:00:00"/>
    <s v="SF"/>
    <s v="Liners"/>
    <s v="LDPE/LLDPE Bags"/>
    <s v="LLDPE BAGS"/>
    <s v="LDPE/LLDPE Bags/Liner"/>
    <n v="744.5"/>
    <n v="95143.38"/>
  </r>
  <r>
    <x v="0"/>
    <s v="Plastene India Limited "/>
    <d v="2023-04-07T00:00:00"/>
    <s v="Plastene Polyfilms Ltd-Sales"/>
    <s v="Sales"/>
    <n v="23"/>
    <x v="1"/>
    <s v="PIL1/D/23"/>
    <d v="2023-04-07T00:00:00"/>
    <s v="SF"/>
    <s v="PP/PE Fabric"/>
    <s v="PP UL Fabric"/>
    <s v="PP WOVEN FABRIC (FG)"/>
    <s v="PP UL Fabric With UV"/>
    <n v="171"/>
    <n v="20527.18"/>
  </r>
  <r>
    <x v="0"/>
    <s v="Plastene India Limited "/>
    <d v="2023-04-07T00:00:00"/>
    <s v="Plastene Polyfilms Ltd-Sales"/>
    <s v="Sales"/>
    <n v="23"/>
    <x v="1"/>
    <s v="PIL1/D/23"/>
    <d v="2023-04-07T00:00:00"/>
    <s v="SF"/>
    <s v="PP/PE Fabric"/>
    <s v="PP Lam Fabric"/>
    <s v="PP Laminated Fabric"/>
    <s v="PP Lam Fabric With UV"/>
    <n v="685"/>
    <n v="83598.77"/>
  </r>
  <r>
    <x v="0"/>
    <s v="Plastene India Limited "/>
    <d v="2023-04-07T00:00:00"/>
    <s v="Plastene Polyfilms Ltd-Sales"/>
    <s v="Sales"/>
    <n v="23"/>
    <x v="1"/>
    <s v="PIL1/D/23"/>
    <d v="2023-04-07T00:00:00"/>
    <s v="SF"/>
    <s v="Webbing"/>
    <s v="PP Webbing"/>
    <s v="PP Webbing"/>
    <s v="Webbing"/>
    <n v="522.29999999999995"/>
    <n v="61131.040000000001"/>
  </r>
  <r>
    <x v="0"/>
    <s v="Plastene India Limited "/>
    <d v="2023-04-07T00:00:00"/>
    <s v="Plastene Polyfilms Ltd-Sales"/>
    <s v="Sales"/>
    <n v="23"/>
    <x v="1"/>
    <s v="PIL1/D/23"/>
    <d v="2023-04-07T00:00:00"/>
    <s v="SF"/>
    <s v="Webbing"/>
    <s v="PP Webbing"/>
    <s v="PP Webbing"/>
    <s v="Webbing"/>
    <n v="1231.2"/>
    <n v="147795.71"/>
  </r>
  <r>
    <x v="0"/>
    <s v="Plastene India Limited "/>
    <d v="2023-04-07T00:00:00"/>
    <s v="Plastene Polyfilms Ltd-Sales"/>
    <s v="Sales"/>
    <n v="23"/>
    <x v="1"/>
    <s v="PIL1/D/23"/>
    <d v="2023-04-07T00:00:00"/>
    <s v="SF"/>
    <s v="Yarn All"/>
    <s v="PP Yarn"/>
    <s v="PP Filament Yarn"/>
    <s v="PP Braided Rope MW 6 to 8 GPM"/>
    <n v="111"/>
    <n v="15748.79"/>
  </r>
  <r>
    <x v="0"/>
    <s v="Plastene India Limited "/>
    <d v="2023-04-07T00:00:00"/>
    <s v="Plastene Polyfilms Ltd-Sales"/>
    <s v="Sales"/>
    <n v="24"/>
    <x v="0"/>
    <s v="PIL1/D/24"/>
    <d v="2023-04-07T00:00:00"/>
    <s v="Stores/Spares"/>
    <s v="MS Structure Items"/>
    <s v="Spares &amp; Stores"/>
    <s v="Stores &amp; Consumables"/>
    <s v="MS Pipe 4  C Class"/>
    <n v="45"/>
    <n v="2160"/>
  </r>
  <r>
    <x v="0"/>
    <s v="Plastene India Limited "/>
    <d v="2023-04-08T00:00:00"/>
    <s v="K.P. Woven Pvt Ltd - Unit 3 -Sales"/>
    <s v="Export Sales"/>
    <s v="PIL1/E/27/23-24"/>
    <x v="6"/>
    <s v="PIL1/E/27/23-24"/>
    <d v="2023-04-08T00:00:00"/>
    <s v="SF"/>
    <s v="PP/PE Fabric"/>
    <s v="PP Lam Fabric"/>
    <s v="PP Laminated Fabric"/>
    <s v="PP Lam Fabric With UV"/>
    <n v="1239"/>
    <n v="144384.427"/>
  </r>
  <r>
    <x v="0"/>
    <s v="Plastene India Limited "/>
    <d v="2023-04-08T00:00:00"/>
    <s v="K.P. Woven Pvt Ltd - Unit 3 -Sales"/>
    <s v="Export Sales"/>
    <s v="PIL1/E/28/23-24"/>
    <x v="6"/>
    <s v="PIL1/E/28/23-24"/>
    <d v="2023-04-08T00:00:00"/>
    <s v="SF"/>
    <s v="Webbing"/>
    <s v="PP Webbing"/>
    <s v="PP Webbing"/>
    <s v="Webbing"/>
    <n v="136.69999999999999"/>
    <n v="15213.197999999999"/>
  </r>
  <r>
    <x v="0"/>
    <s v="Plastene India Limited "/>
    <d v="2023-04-08T00:00:00"/>
    <s v="K.P. Woven Pvt Ltd - Unit 3 -Sales"/>
    <s v="Export Sales"/>
    <s v="PIL1/E/29/23-24"/>
    <x v="6"/>
    <s v="PIL1/E/29/23-24"/>
    <d v="2023-04-08T00:00:00"/>
    <s v="SF"/>
    <s v="PP/PE Fabric"/>
    <s v="PP UL Fabric"/>
    <s v="PP WOVEN FABRIC (FG)"/>
    <s v="PP UL Fabric With UV"/>
    <n v="574"/>
    <n v="69947.603000000003"/>
  </r>
  <r>
    <x v="0"/>
    <s v="Plastene India Limited "/>
    <d v="2023-04-08T00:00:00"/>
    <s v="K.P. Woven Pvt Ltd - Unit 3 -Sales"/>
    <s v="Export Sales"/>
    <s v="PIL1/E/30/23-24"/>
    <x v="6"/>
    <s v="PIL1/E/30/23-24"/>
    <d v="2023-04-08T00:00:00"/>
    <s v="SF"/>
    <s v="Liners"/>
    <s v="LDPE/LLDPE Bags"/>
    <s v="LLDPE BAGS"/>
    <s v="LDPE/LLDPE Bags/Liner"/>
    <n v="57.7"/>
    <n v="7116.5380000000005"/>
  </r>
  <r>
    <x v="0"/>
    <s v="Plastene India Limited "/>
    <d v="2023-04-08T00:00:00"/>
    <s v="Plastene Polyfilms Ltd-Sales"/>
    <s v="Sales"/>
    <n v="27"/>
    <x v="1"/>
    <s v="PIL1/D/27"/>
    <d v="2023-04-08T00:00:00"/>
    <s v="SF"/>
    <s v="Granules"/>
    <s v="RP Granules"/>
    <s v="Reprocess Granules"/>
    <s v="RP Granules"/>
    <n v="1000"/>
    <n v="89660"/>
  </r>
  <r>
    <x v="0"/>
    <s v="Plastene India Limited "/>
    <d v="2023-04-08T00:00:00"/>
    <s v="Plastene Polyfilms Ltd-Sales"/>
    <s v="Sales"/>
    <n v="29"/>
    <x v="0"/>
    <s v="PIL1/D/29"/>
    <d v="2023-04-08T00:00:00"/>
    <s v="RM"/>
    <s v="Granules"/>
    <s v="Masterbatch"/>
    <s v="Master Batch"/>
    <s v="MB Karnavati Polyplast Blue"/>
    <n v="200"/>
    <n v="42400"/>
  </r>
  <r>
    <x v="0"/>
    <s v="Plastene India Limited "/>
    <d v="2023-04-08T00:00:00"/>
    <s v="Plastene Polyfilms Ltd-Sales"/>
    <s v="Sales"/>
    <n v="30"/>
    <x v="1"/>
    <s v="PIL1/D/30"/>
    <d v="2023-04-08T00:00:00"/>
    <s v="SF"/>
    <s v="PP/PE Fabric"/>
    <s v="PP Lam Fabric"/>
    <s v="PP Laminated Fabric"/>
    <s v="PP Lam Fabric With UV"/>
    <n v="4901"/>
    <n v="598127.84"/>
  </r>
  <r>
    <x v="0"/>
    <s v="Plastene India Limited "/>
    <d v="2023-04-08T00:00:00"/>
    <s v="Plastene Polyfilms Ltd-Sales"/>
    <s v="Sales"/>
    <n v="30"/>
    <x v="1"/>
    <s v="PIL1/D/30"/>
    <d v="2023-04-08T00:00:00"/>
    <s v="SF"/>
    <s v="Webbing"/>
    <s v="PP Webbing"/>
    <s v="PP Webbing"/>
    <s v="Webbing"/>
    <n v="609.5"/>
    <n v="73165.600000000006"/>
  </r>
  <r>
    <x v="0"/>
    <s v="Plastene India Limited "/>
    <d v="2023-04-08T00:00:00"/>
    <s v="Plastene Polyfilms Ltd-Sales"/>
    <s v="Sales"/>
    <n v="30"/>
    <x v="1"/>
    <s v="PIL1/D/30"/>
    <d v="2023-04-08T00:00:00"/>
    <s v="SF"/>
    <s v="Webbing"/>
    <s v="PP Webbing"/>
    <s v="PP Webbing"/>
    <s v="Webbing"/>
    <n v="25.8"/>
    <n v="3019.68"/>
  </r>
  <r>
    <x v="0"/>
    <s v="Plastene India Limited "/>
    <d v="2023-04-08T00:00:00"/>
    <s v="Plastene Polyfilms Ltd-Sales"/>
    <s v="Sales"/>
    <n v="31"/>
    <x v="0"/>
    <s v="PIL1/D/31"/>
    <d v="2023-04-08T00:00:00"/>
    <s v="Stores/Spares"/>
    <s v="MS Structure Items"/>
    <s v="Spares &amp; Stores"/>
    <s v="Stores &amp; Consumables"/>
    <s v="MS Pipe 4  C Class"/>
    <n v="140"/>
    <n v="6720"/>
  </r>
  <r>
    <x v="0"/>
    <s v="Plastene India Limited "/>
    <d v="2023-04-09T00:00:00"/>
    <s v="K.P. Woven Pvt Ltd-Sales"/>
    <s v="Sales"/>
    <n v="35"/>
    <x v="1"/>
    <s v="PIL1/D/35"/>
    <d v="2023-04-09T00:00:00"/>
    <s v="SF"/>
    <s v="Granules"/>
    <s v="RP Granules"/>
    <s v="Reprocess Granules"/>
    <s v="RP Granules"/>
    <n v="1000"/>
    <n v="91060"/>
  </r>
  <r>
    <x v="0"/>
    <s v="Plastene India Limited "/>
    <d v="2023-04-09T00:00:00"/>
    <s v="K.P. Woven Pvt Ltd-Sales"/>
    <s v="Sales"/>
    <n v="36"/>
    <x v="1"/>
    <s v="PIL1/D/36"/>
    <d v="2023-04-09T00:00:00"/>
    <s v="SF"/>
    <s v="Granules"/>
    <s v="RP Granules"/>
    <s v="Reprocess Granules"/>
    <s v="RP Granules"/>
    <n v="2000"/>
    <n v="182120"/>
  </r>
  <r>
    <x v="0"/>
    <s v="Plastene India Limited "/>
    <d v="2023-04-09T00:00:00"/>
    <s v="K.P. Woven Pvt Ltd-Sales"/>
    <s v="Sales"/>
    <n v="37"/>
    <x v="1"/>
    <s v="PIL1/D/37"/>
    <d v="2023-04-09T00:00:00"/>
    <s v="SF"/>
    <s v="PP/PE Fabric"/>
    <s v="PP UL Fabric"/>
    <s v="PP WOVEN FABRIC (FG)"/>
    <s v="PP UL Fabric With UV"/>
    <n v="859"/>
    <n v="98821.08"/>
  </r>
  <r>
    <x v="0"/>
    <s v="Plastene India Limited "/>
    <d v="2023-04-09T00:00:00"/>
    <s v="K.P. Woven Pvt Ltd-Sales"/>
    <s v="Sales"/>
    <n v="38"/>
    <x v="0"/>
    <s v="PIL1/D/38"/>
    <d v="2023-04-09T00:00:00"/>
    <s v="Stores/Spares"/>
    <s v="MS Structure Items"/>
    <s v="Spares &amp; Stores"/>
    <s v="Stores &amp; Consumables"/>
    <s v="MS Pipe 4  C Class"/>
    <n v="46"/>
    <n v="2208"/>
  </r>
  <r>
    <x v="0"/>
    <s v="Plastene India Limited "/>
    <d v="2023-04-09T00:00:00"/>
    <s v="Plastene Polyfilms Ltd-Sales"/>
    <s v="Sales"/>
    <n v="32"/>
    <x v="1"/>
    <s v="PIL1/D/32"/>
    <d v="2023-04-09T00:00:00"/>
    <s v="SF"/>
    <s v="Yarn All"/>
    <s v="PP Yarn"/>
    <s v="PP Filament Yarn"/>
    <s v="PP MF Yarn Twisted 3000 Denier UV NW"/>
    <n v="2112.9"/>
    <n v="278651.36"/>
  </r>
  <r>
    <x v="0"/>
    <s v="Plastene India Limited "/>
    <d v="2023-04-09T00:00:00"/>
    <s v="Plastene Polyfilms Ltd-Sales"/>
    <s v="Sales"/>
    <n v="32"/>
    <x v="1"/>
    <s v="PIL1/D/32"/>
    <d v="2023-04-09T00:00:00"/>
    <s v="SF"/>
    <s v="Yarn All"/>
    <s v="PP Yarn"/>
    <s v="PP Filament Yarn"/>
    <s v="PP MF Yarn Twisted 3000 Denier UV Deep Blue"/>
    <n v="610.4"/>
    <n v="82331.360000000001"/>
  </r>
  <r>
    <x v="0"/>
    <s v="Plastene India Limited "/>
    <d v="2023-04-09T00:00:00"/>
    <s v="Plastene Polyfilms Ltd-Sales"/>
    <s v="Sales"/>
    <n v="32"/>
    <x v="1"/>
    <s v="PIL1/D/32"/>
    <d v="2023-04-09T00:00:00"/>
    <s v="SF"/>
    <s v="Webbing"/>
    <s v="PP Webbing"/>
    <s v="PP Webbing"/>
    <s v="Webbing"/>
    <n v="293.60000000000002"/>
    <n v="35244.33"/>
  </r>
  <r>
    <x v="0"/>
    <s v="Plastene India Limited "/>
    <d v="2023-04-09T00:00:00"/>
    <s v="Plastene Polyfilms Ltd-Sales"/>
    <s v="Sales"/>
    <n v="32"/>
    <x v="1"/>
    <s v="PIL1/D/32"/>
    <d v="2023-04-09T00:00:00"/>
    <s v="SF"/>
    <s v="PP/PE Fabric"/>
    <s v="PP UL Fabric"/>
    <s v="PP WOVEN FABRIC (FG)"/>
    <s v="PP UL Fabric With UV"/>
    <n v="346"/>
    <n v="39804.53"/>
  </r>
  <r>
    <x v="0"/>
    <s v="Plastene India Limited "/>
    <d v="2023-04-09T00:00:00"/>
    <s v="Plastene Polyfilms Ltd-Sales"/>
    <s v="Sales"/>
    <n v="32"/>
    <x v="1"/>
    <s v="PIL1/D/32"/>
    <d v="2023-04-09T00:00:00"/>
    <s v="SF"/>
    <s v="PP/PE Fabric"/>
    <s v="PP UL Fabric"/>
    <s v="PP WOVEN FABRIC (FG)"/>
    <s v="PP UL Fabric With UV"/>
    <n v="651"/>
    <n v="78147.34"/>
  </r>
  <r>
    <x v="0"/>
    <s v="Plastene India Limited "/>
    <d v="2023-04-09T00:00:00"/>
    <s v="Plastene Polyfilms Ltd-Sales"/>
    <s v="Sales"/>
    <n v="32"/>
    <x v="1"/>
    <s v="PIL1/D/32"/>
    <d v="2023-04-09T00:00:00"/>
    <s v="SF"/>
    <s v="Yarn All"/>
    <s v="PP Yarn"/>
    <s v="PP Filament Yarn"/>
    <s v="PP MF Yarn Flat 840 MW"/>
    <n v="452.56"/>
    <n v="58778.95"/>
  </r>
  <r>
    <x v="0"/>
    <s v="Plastene India Limited "/>
    <d v="2023-04-09T00:00:00"/>
    <s v="Plastene Polyfilms Ltd-Sales"/>
    <s v="Sales"/>
    <n v="33"/>
    <x v="0"/>
    <s v="PIL1/D/33"/>
    <d v="2023-04-09T00:00:00"/>
    <s v="Stores/Spares"/>
    <s v="MS Structure Items"/>
    <s v="Spares &amp; Stores"/>
    <s v="Stores &amp; Consumables"/>
    <s v="MS Pipe 4  C Class"/>
    <n v="38"/>
    <n v="1824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75.400000000000006"/>
    <n v="9635.74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75.400000000000006"/>
    <n v="9635.74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3110.5"/>
    <n v="409948.35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10.4"/>
    <n v="1370.67"/>
  </r>
  <r>
    <x v="0"/>
    <s v="Plastene India Limited "/>
    <d v="2023-04-10T00:00:00"/>
    <s v="K.P. Woven Pvt Ltd-Sales"/>
    <s v="Sales"/>
    <n v="42"/>
    <x v="1"/>
    <s v="PIL1/D/42"/>
    <d v="2023-04-10T00:00:00"/>
    <s v="SF"/>
    <s v="PP/PE Fabric"/>
    <s v="PP Lam Fabric"/>
    <s v="PP Laminated Fabric"/>
    <s v="PP Lam Fabric With UV"/>
    <n v="7047"/>
    <n v="863553.47"/>
  </r>
  <r>
    <x v="0"/>
    <s v="Plastene India Limited "/>
    <d v="2023-04-10T00:00:00"/>
    <s v="K.P. Woven Pvt Ltd-Sales"/>
    <s v="Sales"/>
    <n v="42"/>
    <x v="1"/>
    <s v="PIL1/D/42"/>
    <d v="2023-04-10T00:00:00"/>
    <s v="SF"/>
    <s v="PP/PE Fabric"/>
    <s v="PP UL Fabric"/>
    <s v="PP WOVEN FABRIC (FG)"/>
    <s v="PP UL Fabric With UV"/>
    <n v="807"/>
    <n v="94452.89"/>
  </r>
  <r>
    <x v="0"/>
    <s v="Plastene India Limited "/>
    <d v="2023-04-10T00:00:00"/>
    <s v="Plastene Polyfilms Ltd-Sales"/>
    <s v="Sales"/>
    <n v="40"/>
    <x v="1"/>
    <s v="PIL1/D/40"/>
    <d v="2023-04-10T00:00:00"/>
    <s v="SF"/>
    <s v="PP/PE Fabric"/>
    <s v="PP UL Fabric"/>
    <s v="PP WOVEN FABRIC (FG)"/>
    <s v="PP UL Fabric With UV"/>
    <n v="1289"/>
    <n v="150867.14000000001"/>
  </r>
  <r>
    <x v="0"/>
    <s v="Plastene India Limited "/>
    <d v="2023-04-10T00:00:00"/>
    <s v="Plastene Polyfilms Ltd-Sales"/>
    <s v="Sales"/>
    <n v="40"/>
    <x v="1"/>
    <s v="PIL1/D/40"/>
    <d v="2023-04-10T00:00:00"/>
    <s v="SF"/>
    <s v="PP/PE Fabric"/>
    <s v="PP UL Fabric"/>
    <s v="PP WOVEN FABRIC (FG)"/>
    <s v="PP UL Fabric With UV"/>
    <n v="1092"/>
    <n v="131085.85999999999"/>
  </r>
  <r>
    <x v="0"/>
    <s v="Plastene India Limited "/>
    <d v="2023-04-10T00:00:00"/>
    <s v="Plastene Polyfilms Ltd-Sales"/>
    <s v="Sales"/>
    <n v="41"/>
    <x v="0"/>
    <s v="PIL1/D/41"/>
    <d v="2023-04-10T00:00:00"/>
    <s v="Stores/Spares"/>
    <s v="MS Structure Items"/>
    <s v="Spares &amp; Stores"/>
    <s v="Stores &amp; Consumables"/>
    <s v="MS Pipe 4  C Class"/>
    <n v="87"/>
    <n v="4176"/>
  </r>
  <r>
    <x v="0"/>
    <s v="Plastene India Limited "/>
    <d v="2023-04-11T00:00:00"/>
    <s v="HCP Plastene Bulkpack Limited - Sales"/>
    <s v="Sales"/>
    <n v="50"/>
    <x v="0"/>
    <s v="PIL1/D/50"/>
    <d v="2023-04-11T00:00:00"/>
    <s v="Stores/Spares"/>
    <s v="PVC Fittings"/>
    <s v="Spares &amp; Stores"/>
    <s v="Stores &amp; Consumables"/>
    <s v="Pvc Shrink Material Size: Length- 530 mm, Width- 290 mm, Thick,- 30 Micron"/>
    <n v="10.1"/>
    <n v="1666.8"/>
  </r>
  <r>
    <x v="0"/>
    <s v="Plastene India Limited "/>
    <d v="2023-04-11T00:00:00"/>
    <s v="HCP Plastene Bulkpack Limited - Sales"/>
    <s v="Sales"/>
    <n v="50"/>
    <x v="0"/>
    <s v="PIL1/D/50"/>
    <d v="2023-04-11T00:00:00"/>
    <s v="Stores/Spares"/>
    <s v="PVC Fittings"/>
    <s v="Spares &amp; Stores"/>
    <s v="Stores &amp; Consumables"/>
    <s v="Pvc Shrink Material Size: Length- 530 mm, Width- 290 mm, Thick,- 30 Micron"/>
    <n v="13.45"/>
    <n v="2219.92"/>
  </r>
  <r>
    <x v="0"/>
    <s v="Plastene India Limited "/>
    <d v="2023-04-11T00:00:00"/>
    <s v="HCP Plastene Bulkpack Limited - Sales"/>
    <s v="Sales"/>
    <n v="51"/>
    <x v="1"/>
    <s v="PIL1/D/51"/>
    <d v="2023-04-11T00:00:00"/>
    <s v="SF"/>
    <s v="PP/PE Fabric"/>
    <s v="PP UL Fabric"/>
    <s v="PP WOVEN FABRIC (FG)"/>
    <s v="PP UL Fabric With UV"/>
    <n v="3365"/>
    <n v="403941.33"/>
  </r>
  <r>
    <x v="0"/>
    <s v="Plastene India Limited "/>
    <d v="2023-04-11T00:00:00"/>
    <s v="HCP Plastene Bulkpack Limited - Sales"/>
    <s v="Sales"/>
    <n v="52"/>
    <x v="0"/>
    <s v="PIL1/D/52"/>
    <d v="2023-04-11T00:00:00"/>
    <s v="Stores/Spares"/>
    <s v="MS Structure Items"/>
    <s v="Spares &amp; Stores"/>
    <s v="Stores &amp; Consumables"/>
    <s v="MS Pipe 4  C Class"/>
    <n v="191"/>
    <n v="9168"/>
  </r>
  <r>
    <x v="0"/>
    <s v="Plastene India Limited "/>
    <d v="2023-04-11T00:00:00"/>
    <s v="K.P. Woven Pvt Ltd - Unit 3 -Sales"/>
    <s v="Export Sales"/>
    <s v="PIL1/E/34/23-24"/>
    <x v="6"/>
    <s v="PIL1/E/34/23-24"/>
    <d v="2023-04-11T00:00:00"/>
    <s v="SF"/>
    <s v="PP/PE Fabric"/>
    <s v="PP UL Fabric"/>
    <s v="PP WOVEN FABRIC (FG)"/>
    <s v="PP UL Fabric With UV"/>
    <n v="386"/>
    <n v="47037.661"/>
  </r>
  <r>
    <x v="0"/>
    <s v="Plastene India Limited "/>
    <d v="2023-04-11T00:00:00"/>
    <s v="K.P. Woven Pvt Ltd - Unit 3 -Sales"/>
    <s v="Export Sales"/>
    <s v="PIL1/E/35/23-24"/>
    <x v="6"/>
    <s v="PIL1/E/35/23-24"/>
    <d v="2023-04-11T00:00:00"/>
    <s v="SF"/>
    <s v="PP/PE Fabric"/>
    <s v="PP Lam Fabric"/>
    <s v="PP Laminated Fabric"/>
    <s v="PP Lam Fabric With UV"/>
    <n v="5448"/>
    <n v="634871.56700000004"/>
  </r>
  <r>
    <x v="0"/>
    <s v="Plastene India Limited "/>
    <d v="2023-04-11T00:00:00"/>
    <s v="K.P. Woven Pvt Ltd - Unit 3 -Sales"/>
    <s v="Export Sales"/>
    <s v="PIL1/E/36/23-24"/>
    <x v="6"/>
    <s v="PIL1/E/36/23-24"/>
    <d v="2023-04-11T00:00:00"/>
    <s v="SF"/>
    <s v="Webbing"/>
    <s v="PP Webbing"/>
    <s v="PP Webbing"/>
    <s v="Webbing"/>
    <n v="1.5"/>
    <n v="167.178"/>
  </r>
  <r>
    <x v="0"/>
    <s v="Plastene India Limited "/>
    <d v="2023-04-11T00:00:00"/>
    <s v="K.P. Woven Pvt Ltd - Unit 3 -Sales"/>
    <s v="Export Sales"/>
    <s v="PIL1/E/37/23-24"/>
    <x v="6"/>
    <s v="PIL1/E/37/23-24"/>
    <d v="2023-04-11T00:00:00"/>
    <s v="SF"/>
    <s v="Webbing"/>
    <s v="PP Webbing"/>
    <s v="PP Webbing"/>
    <s v="Webbing"/>
    <n v="772.9"/>
    <n v="85122.559999999983"/>
  </r>
  <r>
    <x v="0"/>
    <s v="Plastene India Limited "/>
    <d v="2023-04-11T00:00:00"/>
    <s v="K.P. Woven Pvt Ltd - Unit 3 -Sales"/>
    <s v="Export Sales"/>
    <s v="PIL1/E/38/23-24"/>
    <x v="6"/>
    <s v="PIL1/E/38/23-24"/>
    <d v="2023-04-11T00:00:00"/>
    <s v="SF"/>
    <s v="Liners"/>
    <s v="LDPE/LLDPE Bags"/>
    <s v="LLDPE BAGS"/>
    <s v="LDPE/LLDPE Bags/Liner"/>
    <n v="5089.6000000000004"/>
    <n v="627724.70750000002"/>
  </r>
  <r>
    <x v="0"/>
    <s v="Plastene India Limited "/>
    <d v="2023-04-11T00:00:00"/>
    <s v="K.P. Woven Pvt Ltd - Unit 3 -Sales"/>
    <s v="Export Sales"/>
    <s v="PIL1/E/39/23-24"/>
    <x v="6"/>
    <s v="PIL1/E/39/23-24"/>
    <d v="2023-04-11T00:00:00"/>
    <s v="SF"/>
    <s v="Tape Stock"/>
    <s v="PP Tapes"/>
    <s v="PP TAPE"/>
    <s v="PP Tapes"/>
    <n v="2417.3000000000002"/>
    <n v="256620.67499999999"/>
  </r>
  <r>
    <x v="0"/>
    <s v="Plastene India Limited "/>
    <d v="2023-04-11T00:00:00"/>
    <s v="K.P. Woven Pvt Ltd - Unit 3 -Sales"/>
    <s v="Export Sales"/>
    <s v="PIL1/E/40/23-24"/>
    <x v="6"/>
    <s v="PIL1/E/40/23-24"/>
    <d v="2023-04-11T00:00:00"/>
    <s v="SF"/>
    <s v="PP/PE Fabric"/>
    <s v="PP Lam Fabric"/>
    <s v="PP Laminated Fabric"/>
    <s v="PP Lam Fabric With UV"/>
    <n v="10.5"/>
    <n v="1223.5135"/>
  </r>
  <r>
    <x v="0"/>
    <s v="Plastene India Limited "/>
    <d v="2023-04-11T00:00:00"/>
    <s v="K.P. Woven Pvt Ltd-Sales"/>
    <s v="Sales"/>
    <n v="53"/>
    <x v="1"/>
    <s v="PIL1/D/53"/>
    <d v="2023-04-11T00:00:00"/>
    <s v="SF"/>
    <s v="PP/PE Fabric"/>
    <s v="PP UL Fabric"/>
    <s v="PP WOVEN FABRIC (FG)"/>
    <s v="PP UL Fabric With UV"/>
    <n v="3268"/>
    <n v="375957.26"/>
  </r>
  <r>
    <x v="0"/>
    <s v="Plastene India Limited "/>
    <d v="2023-04-11T00:00:00"/>
    <s v="K.P. Woven Pvt Ltd-Sales"/>
    <s v="Sales"/>
    <n v="53"/>
    <x v="1"/>
    <s v="PIL1/D/53"/>
    <d v="2023-04-11T00:00:00"/>
    <s v="SF"/>
    <s v="PP/PE Fabric"/>
    <s v="PP UL Fabric"/>
    <s v="PP WOVEN FABRIC (FG)"/>
    <s v="PP UL Fabric With UV"/>
    <n v="1430"/>
    <n v="171660.06"/>
  </r>
  <r>
    <x v="0"/>
    <s v="Plastene India Limited "/>
    <d v="2023-04-11T00:00:00"/>
    <s v="K.P. Woven Pvt Ltd-Sales"/>
    <s v="Sales"/>
    <n v="53"/>
    <x v="1"/>
    <s v="PIL1/D/53"/>
    <d v="2023-04-11T00:00:00"/>
    <s v="SF"/>
    <s v="PP/PE Fabric"/>
    <s v="PP Lam Fabric"/>
    <s v="PP Laminated Fabric"/>
    <s v="PP Lam Fabric With UV"/>
    <n v="128"/>
    <n v="15621.38"/>
  </r>
  <r>
    <x v="0"/>
    <s v="Plastene India Limited "/>
    <d v="2023-04-11T00:00:00"/>
    <s v="K.P. Woven Pvt Ltd-Sales"/>
    <s v="Sales"/>
    <n v="54"/>
    <x v="0"/>
    <s v="PIL1/D/54"/>
    <d v="2023-04-11T00:00:00"/>
    <s v="Stores/Spares"/>
    <s v="MS Structure Items"/>
    <s v="Spares &amp; Stores"/>
    <s v="Stores &amp; Consumables"/>
    <s v="MS Pipe 4  C Class"/>
    <n v="266"/>
    <n v="12768"/>
  </r>
  <r>
    <x v="0"/>
    <s v="Plastene India Limited "/>
    <d v="2023-04-11T00:00:00"/>
    <s v="K.P. Woven Pvt Ltd-Sales"/>
    <s v="SALES (FOREX)"/>
    <s v="PIL1/DE/2/23-24"/>
    <x v="1"/>
    <s v="PIL1/DE/2/23-24"/>
    <d v="2023-04-11T00:00:00"/>
    <s v="SF"/>
    <s v="Liners"/>
    <s v="LDPE/LLDPE Bags"/>
    <s v="LLDPE BAGS"/>
    <s v="LDPE/LLDPE Bags/Liner"/>
    <n v="550"/>
    <n v="68094.399999999994"/>
  </r>
  <r>
    <x v="0"/>
    <s v="Plastene India Limited "/>
    <d v="2023-04-11T00:00:00"/>
    <s v="K.P. Woven Pvt Ltd-Sales"/>
    <s v="SALES (FOREX)"/>
    <s v="PIL1/DE/3/23-24"/>
    <x v="1"/>
    <s v="PIL1/DE/3/23-24"/>
    <d v="2023-04-11T00:00:00"/>
    <s v="SF"/>
    <s v="Liners"/>
    <s v="LDPE/LLDPE Bags"/>
    <s v="LLDPE BAGS"/>
    <s v="LDPE/LLDPE Bags/Liner"/>
    <n v="1127.9000000000001"/>
    <n v="162201.04"/>
  </r>
  <r>
    <x v="0"/>
    <s v="Plastene India Limited "/>
    <d v="2023-04-11T00:00:00"/>
    <s v="K.P. Woven Pvt Ltd-Sales"/>
    <s v="SALES (FOREX)"/>
    <s v="PIL1/DE/3/23-24"/>
    <x v="1"/>
    <s v="PIL1/DE/3/23-24"/>
    <d v="2023-04-11T00:00:00"/>
    <s v="SF"/>
    <s v="Liners"/>
    <s v="LDPE/LLDPE Bags"/>
    <s v="LLDPE BAGS"/>
    <s v="LDPE/LLDPE Bags/Liner"/>
    <n v="542.9"/>
    <n v="137353.70000000001"/>
  </r>
  <r>
    <x v="0"/>
    <s v="Plastene India Limited "/>
    <d v="2023-04-11T00:00:00"/>
    <s v="Plastene Polyfilms Ltd-Sales"/>
    <s v="Sales"/>
    <n v="44"/>
    <x v="1"/>
    <s v="PIL1/D/44"/>
    <d v="2023-04-11T00:00:00"/>
    <s v="SF"/>
    <s v="Films All"/>
    <s v="PE Film"/>
    <s v="LLDPE Co-Extruded Film."/>
    <s v="LDPE/LLDPE Film"/>
    <n v="194"/>
    <n v="23434.23"/>
  </r>
  <r>
    <x v="0"/>
    <s v="Plastene India Limited "/>
    <d v="2023-04-11T00:00:00"/>
    <s v="Plastene Polyfilms Ltd-Sales"/>
    <s v="Sales"/>
    <n v="45"/>
    <x v="0"/>
    <s v="PIL1/D/45"/>
    <d v="2023-04-11T00:00:00"/>
    <s v="Stores/Spares"/>
    <s v="Transformers"/>
    <s v="Spares &amp; Stores"/>
    <s v="Stores &amp; Consumables"/>
    <s v="Transformer 2500Va, Input 230V, Output 15-20-25-30-35 V"/>
    <n v="25"/>
    <n v="8150"/>
  </r>
  <r>
    <x v="0"/>
    <s v="Plastene India Limited "/>
    <d v="2023-04-11T00:00:00"/>
    <s v="Plastene Polyfilms Ltd-Sales"/>
    <s v="Sales"/>
    <n v="46"/>
    <x v="1"/>
    <s v="PIL1/D/46"/>
    <d v="2023-04-11T00:00:00"/>
    <s v="SF"/>
    <s v="PP/PE Fabric"/>
    <s v="PP UL Fabric"/>
    <s v="PP WOVEN FABRIC (FG)"/>
    <s v="PP UL Fabric With UV"/>
    <n v="1121"/>
    <n v="131204.07999999999"/>
  </r>
  <r>
    <x v="0"/>
    <s v="Plastene India Limited "/>
    <d v="2023-04-11T00:00:00"/>
    <s v="Plastene Polyfilms Ltd-Sales"/>
    <s v="Sales"/>
    <n v="46"/>
    <x v="1"/>
    <s v="PIL1/D/46"/>
    <d v="2023-04-11T00:00:00"/>
    <s v="SF"/>
    <s v="PP/PE Fabric"/>
    <s v="PP UL Fabric"/>
    <s v="PP WOVEN FABRIC (FG)"/>
    <s v="PP UL Fabric With UV"/>
    <n v="549"/>
    <n v="65903.06"/>
  </r>
  <r>
    <x v="0"/>
    <s v="Plastene India Limited "/>
    <d v="2023-04-11T00:00:00"/>
    <s v="Plastene Polyfilms Ltd-Sales"/>
    <s v="Sales"/>
    <n v="46"/>
    <x v="1"/>
    <s v="PIL1/D/46"/>
    <d v="2023-04-11T00:00:00"/>
    <s v="SF"/>
    <s v="Webbing"/>
    <s v="PP Webbing"/>
    <s v="PP Webbing"/>
    <s v="Webbing"/>
    <n v="159.1"/>
    <n v="19098.68"/>
  </r>
  <r>
    <x v="0"/>
    <s v="Plastene India Limited "/>
    <d v="2023-04-11T00:00:00"/>
    <s v="Plastene Polyfilms Ltd-Sales"/>
    <s v="Sales"/>
    <n v="46"/>
    <x v="1"/>
    <s v="PIL1/D/46"/>
    <d v="2023-04-11T00:00:00"/>
    <s v="SF"/>
    <s v="PP/PE Fabric"/>
    <s v="PP Lam Fabric"/>
    <s v="PP Laminated Fabric"/>
    <s v="PP Lam Fabric With UV"/>
    <n v="1410"/>
    <n v="172079.22"/>
  </r>
  <r>
    <x v="0"/>
    <s v="Plastene India Limited "/>
    <d v="2023-04-11T00:00:00"/>
    <s v="Plastene Polyfilms Ltd-Sales"/>
    <s v="Sales"/>
    <n v="47"/>
    <x v="0"/>
    <s v="PIL1/D/47"/>
    <d v="2023-04-11T00:00:00"/>
    <s v="Stores/Spares"/>
    <s v="MS Structure Items"/>
    <s v="Spares &amp; Stores"/>
    <s v="Stores &amp; Consumables"/>
    <s v="MS Pipe 4  C Class"/>
    <n v="99"/>
    <n v="4752"/>
  </r>
  <r>
    <x v="0"/>
    <s v="Plastene India Limited "/>
    <d v="2023-04-11T00:00:00"/>
    <s v="Plastene Polyfilms Ltd-Sales"/>
    <s v="Sales"/>
    <n v="48"/>
    <x v="1"/>
    <s v="PIL1/D/48"/>
    <d v="2023-04-11T00:00:00"/>
    <s v="SF"/>
    <s v="Liners"/>
    <s v="LDPE/LLDPE Bags"/>
    <s v="LLDPE BAGS"/>
    <s v="LDPE/LLDPE Bags/Liner"/>
    <n v="188.8"/>
    <n v="24127.7"/>
  </r>
  <r>
    <x v="0"/>
    <s v="Plastene India Limited "/>
    <d v="2023-04-11T00:00:00"/>
    <s v="Plastene Polyfilms Ltd-Sales"/>
    <s v="Sales"/>
    <n v="48"/>
    <x v="1"/>
    <s v="PIL1/D/48"/>
    <d v="2023-04-11T00:00:00"/>
    <s v="SF"/>
    <s v="Liners"/>
    <s v="LDPE/LLDPE Bags"/>
    <s v="LLDPE BAGS"/>
    <s v="LDPE/LLDPE Bags/Liner"/>
    <n v="1069.7"/>
    <n v="162375.10999999999"/>
  </r>
  <r>
    <x v="0"/>
    <s v="Plastene India Limited "/>
    <d v="2023-04-11T00:00:00"/>
    <s v="Plastene Polyfilms Ltd-Sales"/>
    <s v="Sales"/>
    <n v="48"/>
    <x v="1"/>
    <s v="PIL1/D/48"/>
    <d v="2023-04-11T00:00:00"/>
    <s v="SF"/>
    <s v="Liners"/>
    <s v="LDPE/LLDPE Bags"/>
    <s v="LLDPE BAGS"/>
    <s v="LDPE/LLDPE Bags/Liner"/>
    <n v="4212"/>
    <n v="555120.54"/>
  </r>
  <r>
    <x v="0"/>
    <s v="Plastene India Limited "/>
    <d v="2023-04-11T00:00:00"/>
    <s v="Plastene Polyfilms Ltd-Sales"/>
    <s v="Sales"/>
    <n v="49"/>
    <x v="1"/>
    <s v="PIL1/D/49"/>
    <d v="2023-04-11T00:00:00"/>
    <s v="SF"/>
    <s v="Liners"/>
    <s v="LDPE/LLDPE Bags"/>
    <s v="LLDPE BAGS"/>
    <s v="LDPE/LLDPE Bags/Liner"/>
    <n v="3.7"/>
    <n v="487.64"/>
  </r>
  <r>
    <x v="0"/>
    <s v="Plastene India Limited "/>
    <d v="2023-04-12T00:00:00"/>
    <s v="K.P. Woven Pvt Ltd - Unit 3 -Sales"/>
    <s v="Export Sales"/>
    <s v="PIL1/E/41/23-24"/>
    <x v="6"/>
    <s v="PIL1/E/41/23-24"/>
    <d v="2023-04-12T00:00:00"/>
    <s v="SF"/>
    <s v="PP/PE Fabric"/>
    <s v="PP Lam Fabric"/>
    <s v="PP Laminated Fabric"/>
    <s v="PP Lam Fabric With UV"/>
    <n v="1132"/>
    <n v="131914.91500000001"/>
  </r>
  <r>
    <x v="0"/>
    <s v="Plastene India Limited "/>
    <d v="2023-04-12T00:00:00"/>
    <s v="K.P. Woven Pvt Ltd - Unit 3 -Sales"/>
    <s v="Export Sales"/>
    <s v="PIL1/E/42/23-24"/>
    <x v="6"/>
    <s v="PIL1/E/42/23-24"/>
    <d v="2023-04-12T00:00:00"/>
    <s v="SF"/>
    <s v="Liners"/>
    <s v="LDPE/LLDPE Bags"/>
    <s v="LLDPE BAGS"/>
    <s v="LDPE/LLDPE Bags/Liner"/>
    <n v="4092.7"/>
    <n v="504771.84450000001"/>
  </r>
  <r>
    <x v="0"/>
    <s v="Plastene India Limited "/>
    <d v="2023-04-12T00:00:00"/>
    <s v="K.P. Woven Pvt Ltd - Unit 3 -Sales"/>
    <s v="Export Sales"/>
    <s v="PIL1/E/43/23-24"/>
    <x v="6"/>
    <s v="PIL1/E/43/23-24"/>
    <d v="2023-04-12T00:00:00"/>
    <s v="SF"/>
    <s v="Webbing"/>
    <s v="PP Webbing"/>
    <s v="PP Webbing"/>
    <s v="Webbing"/>
    <n v="403.3"/>
    <n v="44416.847999999991"/>
  </r>
  <r>
    <x v="0"/>
    <s v="Plastene India Limited "/>
    <d v="2023-04-12T00:00:00"/>
    <s v="Plastene Polyfilms Ltd-Sales"/>
    <s v="Sales"/>
    <n v="55"/>
    <x v="1"/>
    <s v="PIL1/D/55"/>
    <d v="2023-04-12T00:00:00"/>
    <s v="SF"/>
    <s v="PP/PE Fabric"/>
    <s v="PP UL Fabric"/>
    <s v="PP WOVEN FABRIC (FG)"/>
    <s v="PP UL Fabric With UV"/>
    <n v="572"/>
    <n v="68664.02"/>
  </r>
  <r>
    <x v="0"/>
    <s v="Plastene India Limited "/>
    <d v="2023-04-12T00:00:00"/>
    <s v="Plastene Polyfilms Ltd-Sales"/>
    <s v="Sales"/>
    <n v="55"/>
    <x v="1"/>
    <s v="PIL1/D/55"/>
    <d v="2023-04-12T00:00:00"/>
    <s v="SF"/>
    <s v="PP/PE Fabric"/>
    <s v="PP UL Fabric"/>
    <s v="PP WOVEN FABRIC (FG)"/>
    <s v="PP UL Fabric With UV"/>
    <n v="1147"/>
    <n v="134247.17000000001"/>
  </r>
  <r>
    <x v="0"/>
    <s v="Plastene India Limited "/>
    <d v="2023-04-12T00:00:00"/>
    <s v="Plastene Polyfilms Ltd-Sales"/>
    <s v="Sales"/>
    <n v="55"/>
    <x v="1"/>
    <s v="PIL1/D/55"/>
    <d v="2023-04-12T00:00:00"/>
    <s v="SF"/>
    <s v="Webbing"/>
    <s v="PP Webbing"/>
    <s v="PP Webbing"/>
    <s v="Webbing"/>
    <n v="24.9"/>
    <n v="3906.34"/>
  </r>
  <r>
    <x v="0"/>
    <s v="Plastene India Limited "/>
    <d v="2023-04-12T00:00:00"/>
    <s v="Plastene Polyfilms Ltd-Sales"/>
    <s v="Sales"/>
    <n v="55"/>
    <x v="1"/>
    <s v="PIL1/D/55"/>
    <d v="2023-04-12T00:00:00"/>
    <s v="SF"/>
    <s v="Webbing"/>
    <s v="PP Webbing"/>
    <s v="PP Webbing"/>
    <s v="Webbing"/>
    <n v="317"/>
    <n v="38053.31"/>
  </r>
  <r>
    <x v="0"/>
    <s v="Plastene India Limited "/>
    <d v="2023-04-12T00:00:00"/>
    <s v="Plastene Polyfilms Ltd-Sales"/>
    <s v="Sales"/>
    <n v="55"/>
    <x v="1"/>
    <s v="PIL1/D/55"/>
    <d v="2023-04-12T00:00:00"/>
    <s v="SF"/>
    <s v="PP/PE Fabric"/>
    <s v="PP Lam Fabric"/>
    <s v="PP Laminated Fabric"/>
    <s v="PP Lam Fabric With UV"/>
    <n v="2709"/>
    <n v="330611.78000000003"/>
  </r>
  <r>
    <x v="0"/>
    <s v="Plastene India Limited "/>
    <d v="2023-04-12T00:00:00"/>
    <s v="Plastene Polyfilms Ltd-Sales"/>
    <s v="Sales"/>
    <n v="55"/>
    <x v="1"/>
    <s v="PIL1/D/55"/>
    <d v="2023-04-12T00:00:00"/>
    <s v="SF"/>
    <s v="Tape Stock"/>
    <s v="PP Tapes"/>
    <s v="PP TAPE"/>
    <s v="PP Tapes"/>
    <n v="458"/>
    <n v="49656.36"/>
  </r>
  <r>
    <x v="0"/>
    <s v="Plastene India Limited "/>
    <d v="2023-04-12T00:00:00"/>
    <s v="Plastene Polyfilms Ltd-Sales"/>
    <s v="Sales"/>
    <n v="56"/>
    <x v="0"/>
    <s v="PIL1/D/56"/>
    <d v="2023-04-12T00:00:00"/>
    <s v="Stores/Spares"/>
    <s v="MS Structure Items"/>
    <s v="Spares &amp; Stores"/>
    <s v="Stores &amp; Consumables"/>
    <s v="MS Pipe 4  C Class"/>
    <n v="139"/>
    <n v="6672"/>
  </r>
  <r>
    <x v="0"/>
    <s v="Plastene India Limited "/>
    <d v="2023-04-13T00:00:00"/>
    <s v="HCP Plastene Bulkpack Limited - Sales"/>
    <s v="Sales"/>
    <n v="59"/>
    <x v="1"/>
    <s v="PIL1/D/59"/>
    <d v="2023-04-13T00:00:00"/>
    <s v="SF"/>
    <s v="Yarn All"/>
    <s v="PP Yarn"/>
    <s v="PP Filament Yarn"/>
    <s v="PP MF Yarn Twisted 1000 UV NW"/>
    <n v="904"/>
    <n v="119220.42"/>
  </r>
  <r>
    <x v="0"/>
    <s v="Plastene India Limited "/>
    <d v="2023-04-13T00:00:00"/>
    <s v="HCP Plastene Bulkpack Limited - Sales"/>
    <s v="Sales"/>
    <n v="60"/>
    <x v="1"/>
    <s v="PIL1/D/60"/>
    <d v="2023-04-13T00:00:00"/>
    <s v="SF"/>
    <s v="PP/PE Fabric"/>
    <s v="PP UL Fabric"/>
    <s v="PP WOVEN FABRIC (FG)"/>
    <s v="PP UL Fabric With UV"/>
    <n v="968"/>
    <n v="116200.66"/>
  </r>
  <r>
    <x v="0"/>
    <s v="Plastene India Limited "/>
    <d v="2023-04-13T00:00:00"/>
    <s v="HCP Plastene Bulkpack Limited - Sales"/>
    <s v="Sales"/>
    <n v="61"/>
    <x v="0"/>
    <s v="PIL1/D/61"/>
    <d v="2023-04-13T00:00:00"/>
    <s v="Stores/Spares"/>
    <s v="MS Structure Items"/>
    <s v="Spares &amp; Stores"/>
    <s v="Stores &amp; Consumables"/>
    <s v="MS Pipe 4  C Class"/>
    <n v="53"/>
    <n v="2544"/>
  </r>
  <r>
    <x v="0"/>
    <s v="Plastene India Limited "/>
    <d v="2023-04-13T00:00:00"/>
    <s v="K.P. Woven Pvt Ltd - Unit 2 (Nani Chirai) -Sales"/>
    <s v="Sales"/>
    <n v="64"/>
    <x v="0"/>
    <s v="PIL1/D/64"/>
    <d v="2023-04-13T00:00:00"/>
    <s v="Stores/Spares"/>
    <s v="Pneumatic Cylinders &amp; Spares"/>
    <s v="Spares &amp; Stores"/>
    <s v="Stores &amp; Consumables"/>
    <s v="Pneumatic Cylinder No.A120402000 ( Janatics Make)"/>
    <n v="4"/>
    <n v="3206.2"/>
  </r>
  <r>
    <x v="0"/>
    <s v="Plastene India Limited "/>
    <d v="2023-04-13T00:00:00"/>
    <s v="K.P. Woven Pvt Ltd - Unit 3 -Sales"/>
    <s v="Export Sales"/>
    <s v="PIL1/E/45/23-24"/>
    <x v="6"/>
    <s v="PIL1/E/45/23-24"/>
    <d v="2023-04-13T00:00:00"/>
    <s v="SF"/>
    <s v="Webbing"/>
    <s v="PP Webbing"/>
    <s v="PP Webbing"/>
    <s v="Webbing"/>
    <n v="453.2"/>
    <n v="49912.995000000003"/>
  </r>
  <r>
    <x v="0"/>
    <s v="Plastene India Limited "/>
    <d v="2023-04-13T00:00:00"/>
    <s v="K.P. Woven Pvt Ltd - Unit 3 -Sales"/>
    <s v="Export Sales"/>
    <s v="PIL1/E/46/23-24"/>
    <x v="6"/>
    <s v="PIL1/E/46/23-24"/>
    <d v="2023-04-13T00:00:00"/>
    <s v="SF"/>
    <s v="Liners"/>
    <s v="LDPE/LLDPE Bags"/>
    <s v="LLDPE BAGS"/>
    <s v="LDPE/LLDPE Bags/Liner"/>
    <n v="2398.6999999999998"/>
    <n v="295842.77799999999"/>
  </r>
  <r>
    <x v="0"/>
    <s v="Plastene India Limited "/>
    <d v="2023-04-13T00:00:00"/>
    <s v="K.P. Woven Pvt Ltd-Sales"/>
    <s v="Sales"/>
    <n v="65"/>
    <x v="1"/>
    <s v="PIL1/D/65"/>
    <d v="2023-04-13T00:00:00"/>
    <s v="SF"/>
    <s v="PP/PE Fabric"/>
    <s v="PP Lam Fabric"/>
    <s v="PP Laminated Fabric"/>
    <s v="PP Lam Fabric With UV"/>
    <n v="4221"/>
    <n v="515139.28"/>
  </r>
  <r>
    <x v="0"/>
    <s v="Plastene India Limited "/>
    <d v="2023-04-13T00:00:00"/>
    <s v="K.P. Woven Pvt Ltd-Sales"/>
    <s v="Sales"/>
    <n v="65"/>
    <x v="1"/>
    <s v="PIL1/D/65"/>
    <d v="2023-04-13T00:00:00"/>
    <s v="SF"/>
    <s v="PP/PE Fabric"/>
    <s v="PP UL Fabric"/>
    <s v="PP WOVEN FABRIC (FG)"/>
    <s v="PP UL Fabric With UV"/>
    <n v="1812"/>
    <n v="208456.1"/>
  </r>
  <r>
    <x v="0"/>
    <s v="Plastene India Limited "/>
    <d v="2023-04-13T00:00:00"/>
    <s v="K.P. Woven Pvt Ltd-Sales"/>
    <s v="Sales"/>
    <n v="65"/>
    <x v="1"/>
    <s v="PIL1/D/65"/>
    <d v="2023-04-13T00:00:00"/>
    <s v="SF"/>
    <s v="Yarn All"/>
    <s v="PP Yarn"/>
    <s v="PP Filament Yarn"/>
    <s v="PP MF Yarn Twisted 1000 UV NW"/>
    <n v="3149.4"/>
    <n v="415346.02"/>
  </r>
  <r>
    <x v="0"/>
    <s v="Plastene India Limited "/>
    <d v="2023-04-13T00:00:00"/>
    <s v="K.P. Woven Pvt Ltd-Sales"/>
    <s v="Sales"/>
    <n v="66"/>
    <x v="0"/>
    <s v="PIL1/D/66"/>
    <d v="2023-04-13T00:00:00"/>
    <s v="Stores/Spares"/>
    <s v="MS Structure Items"/>
    <s v="Spares &amp; Stores"/>
    <s v="Stores &amp; Consumables"/>
    <s v="MS Pipe 4  C Class"/>
    <n v="215"/>
    <n v="10320"/>
  </r>
  <r>
    <x v="0"/>
    <s v="Plastene India Limited "/>
    <d v="2023-04-13T00:00:00"/>
    <s v="K.P. Woven Pvt Ltd-Sales"/>
    <s v="SALES (FOREX)"/>
    <s v="PIL1/DE/4/23-24"/>
    <x v="1"/>
    <s v="PIL1/DE/4/23-24"/>
    <d v="2023-04-13T00:00:00"/>
    <s v="SF"/>
    <s v="Liners"/>
    <s v="LDPE/LLDPE Bags"/>
    <s v="LLDPE BAGS"/>
    <s v="LDPE/LLDPE Bags/Liner"/>
    <n v="2352"/>
    <n v="338236.42"/>
  </r>
  <r>
    <x v="0"/>
    <s v="Plastene India Limited "/>
    <d v="2023-04-13T00:00:00"/>
    <s v="K.P. Woven Pvt Ltd-Sales"/>
    <s v="SALES (FOREX)"/>
    <s v="PIL1/DE/4/23-24"/>
    <x v="1"/>
    <s v="PIL1/DE/4/23-24"/>
    <d v="2023-04-13T00:00:00"/>
    <s v="SF"/>
    <s v="Liners"/>
    <s v="LDPE/LLDPE Bags"/>
    <s v="LLDPE BAGS"/>
    <s v="LDPE/LLDPE Bags/Liner"/>
    <n v="5.9"/>
    <n v="730.47"/>
  </r>
  <r>
    <x v="0"/>
    <s v="Plastene India Limited "/>
    <d v="2023-04-13T00:00:00"/>
    <s v="Plastene Polyfilms Ltd-Sales"/>
    <s v="Sales"/>
    <n v="58"/>
    <x v="1"/>
    <s v="PIL1/D/58"/>
    <d v="2023-04-13T00:00:00"/>
    <s v="SF"/>
    <s v="Liners"/>
    <s v="LDPE/LLDPE Bags"/>
    <s v="LLDPE BAGS"/>
    <s v="LDPE/LLDPE Bags/Liner"/>
    <n v="3.8"/>
    <n v="500.82"/>
  </r>
  <r>
    <x v="0"/>
    <s v="Plastene India Limited "/>
    <d v="2023-04-13T00:00:00"/>
    <s v="Plastene Polyfilms Ltd-Sales"/>
    <s v="Sales"/>
    <n v="62"/>
    <x v="1"/>
    <s v="PIL1/D/62"/>
    <d v="2023-04-13T00:00:00"/>
    <s v="SF"/>
    <s v="Films All"/>
    <s v="PE Film"/>
    <s v="LLDPE Co-Extruded Film."/>
    <s v="LDPE/LLDPE Film"/>
    <n v="592.9"/>
    <n v="71619.360000000001"/>
  </r>
  <r>
    <x v="0"/>
    <s v="Plastene India Limited "/>
    <d v="2023-04-13T00:00:00"/>
    <s v="Plastene Polyfilms Ltd-Sales"/>
    <s v="Sales"/>
    <n v="62"/>
    <x v="1"/>
    <s v="PIL1/D/62"/>
    <d v="2023-04-13T00:00:00"/>
    <s v="SF"/>
    <s v="Webbing"/>
    <s v="PP Webbing"/>
    <s v="PP Webbing"/>
    <s v="Webbing"/>
    <n v="251.8"/>
    <n v="30226.58"/>
  </r>
  <r>
    <x v="0"/>
    <s v="Plastene India Limited "/>
    <d v="2023-04-13T00:00:00"/>
    <s v="Plastene Polyfilms Ltd-Sales"/>
    <s v="Sales"/>
    <n v="62"/>
    <x v="1"/>
    <s v="PIL1/D/62"/>
    <d v="2023-04-13T00:00:00"/>
    <s v="SF"/>
    <s v="Webbing"/>
    <s v="PP Webbing"/>
    <s v="PP Webbing"/>
    <s v="Webbing"/>
    <n v="69.599999999999994"/>
    <n v="10918.92"/>
  </r>
  <r>
    <x v="0"/>
    <s v="Plastene India Limited "/>
    <d v="2023-04-13T00:00:00"/>
    <s v="Plastene Polyfilms Ltd-Sales"/>
    <s v="Sales"/>
    <n v="62"/>
    <x v="1"/>
    <s v="PIL1/D/62"/>
    <d v="2023-04-13T00:00:00"/>
    <s v="SF"/>
    <s v="PP/PE Fabric"/>
    <s v="PP UL Fabric"/>
    <s v="PP WOVEN FABRIC (FG)"/>
    <s v="PP UL Fabric With UV"/>
    <n v="832"/>
    <n v="97378.94"/>
  </r>
  <r>
    <x v="0"/>
    <s v="Plastene India Limited "/>
    <d v="2023-04-13T00:00:00"/>
    <s v="Plastene Polyfilms Ltd-Sales"/>
    <s v="Sales"/>
    <n v="63"/>
    <x v="0"/>
    <s v="PIL1/D/63"/>
    <d v="2023-04-13T00:00:00"/>
    <s v="Stores/Spares"/>
    <s v="MS Structure Items"/>
    <s v="Spares &amp; Stores"/>
    <s v="Stores &amp; Consumables"/>
    <s v="MS Pipe 4  C Class"/>
    <n v="23"/>
    <n v="1104"/>
  </r>
  <r>
    <x v="0"/>
    <s v="Plastene India Limited "/>
    <d v="2023-04-14T00:00:00"/>
    <s v="K.P. Woven Pvt Ltd-Sales"/>
    <s v="Sales"/>
    <n v="71"/>
    <x v="1"/>
    <s v="PIL1/D/71"/>
    <d v="2023-04-14T00:00:00"/>
    <s v="SF"/>
    <s v="PP/PE Fabric"/>
    <s v="PP UL Fabric"/>
    <s v="PP WOVEN FABRIC (FG)"/>
    <s v="PP UL Fabric With UV"/>
    <n v="4653"/>
    <n v="544596.43000000005"/>
  </r>
  <r>
    <x v="0"/>
    <s v="Plastene India Limited "/>
    <d v="2023-04-14T00:00:00"/>
    <s v="K.P. Woven Pvt Ltd-Sales"/>
    <s v="Sales"/>
    <n v="71"/>
    <x v="1"/>
    <s v="PIL1/D/71"/>
    <d v="2023-04-14T00:00:00"/>
    <s v="SF"/>
    <s v="PP/PE Fabric"/>
    <s v="PP Lam Fabric"/>
    <s v="PP Laminated Fabric"/>
    <s v="PP Lam Fabric With UV"/>
    <n v="3117"/>
    <n v="381963.41"/>
  </r>
  <r>
    <x v="0"/>
    <s v="Plastene India Limited "/>
    <d v="2023-04-14T00:00:00"/>
    <s v="Plastene Polyfilms Ltd-Sales"/>
    <s v="Sales"/>
    <n v="67"/>
    <x v="1"/>
    <s v="PIL1/D/67"/>
    <d v="2023-04-14T00:00:00"/>
    <s v="SF"/>
    <s v="Webbing"/>
    <s v="PP Webbing"/>
    <s v="PP Webbing"/>
    <s v="Webbing"/>
    <n v="72"/>
    <n v="11295.43"/>
  </r>
  <r>
    <x v="0"/>
    <s v="Plastene India Limited "/>
    <d v="2023-04-14T00:00:00"/>
    <s v="Plastene Polyfilms Ltd-Sales"/>
    <s v="Sales"/>
    <n v="67"/>
    <x v="1"/>
    <s v="PIL1/D/67"/>
    <d v="2023-04-14T00:00:00"/>
    <s v="SF"/>
    <s v="Webbing"/>
    <s v="PP Webbing"/>
    <s v="PP Webbing"/>
    <s v="Webbing"/>
    <n v="137.80000000000001"/>
    <n v="16541.79"/>
  </r>
  <r>
    <x v="0"/>
    <s v="Plastene India Limited "/>
    <d v="2023-04-14T00:00:00"/>
    <s v="Plastene Polyfilms Ltd-Sales"/>
    <s v="Sales"/>
    <n v="67"/>
    <x v="1"/>
    <s v="PIL1/D/67"/>
    <d v="2023-04-14T00:00:00"/>
    <s v="SF"/>
    <s v="PP/PE Fabric"/>
    <s v="PP UL Fabric"/>
    <s v="PP WOVEN FABRIC (FG)"/>
    <s v="PP UL Fabric With UV"/>
    <n v="1232"/>
    <n v="144195.74"/>
  </r>
  <r>
    <x v="0"/>
    <s v="Plastene India Limited "/>
    <d v="2023-04-14T00:00:00"/>
    <s v="Plastene Polyfilms Ltd-Sales"/>
    <s v="Sales"/>
    <n v="67"/>
    <x v="1"/>
    <s v="PIL1/D/67"/>
    <d v="2023-04-14T00:00:00"/>
    <s v="SF"/>
    <s v="PP/PE Fabric"/>
    <s v="PP UL Fabric"/>
    <s v="PP WOVEN FABRIC (FG)"/>
    <s v="PP UL Fabric With UV"/>
    <n v="228"/>
    <n v="26229.58"/>
  </r>
  <r>
    <x v="0"/>
    <s v="Plastene India Limited "/>
    <d v="2023-04-14T00:00:00"/>
    <s v="Plastene Polyfilms Ltd-Sales"/>
    <s v="Sales"/>
    <n v="67"/>
    <x v="1"/>
    <s v="PIL1/D/67"/>
    <d v="2023-04-14T00:00:00"/>
    <s v="SF"/>
    <s v="PP/PE Fabric"/>
    <s v="PP Lam Fabric"/>
    <s v="PP Laminated Fabric"/>
    <s v="PP Lam Fabric With UV"/>
    <n v="680"/>
    <n v="82988.56"/>
  </r>
  <r>
    <x v="0"/>
    <s v="Plastene India Limited "/>
    <d v="2023-04-14T00:00:00"/>
    <s v="Plastene Polyfilms Ltd-Sales"/>
    <s v="Sales"/>
    <n v="68"/>
    <x v="0"/>
    <s v="PIL1/D/68"/>
    <d v="2023-04-14T00:00:00"/>
    <s v="Stores/Spares"/>
    <s v="MS Structure Items"/>
    <s v="Spares &amp; Stores"/>
    <s v="Stores &amp; Consumables"/>
    <s v="MS Pipe 4  C Class"/>
    <n v="66"/>
    <n v="3168"/>
  </r>
  <r>
    <x v="0"/>
    <s v="Plastene India Limited "/>
    <d v="2023-04-14T00:00:00"/>
    <s v="Plastene Polyfilms Ltd-Sales"/>
    <s v="Sales"/>
    <n v="70"/>
    <x v="1"/>
    <s v="PIL1/D/70"/>
    <d v="2023-04-14T00:00:00"/>
    <s v="SF"/>
    <s v="Liners"/>
    <s v="LDPE/LLDPE Bags"/>
    <s v="LLDPE BAGS"/>
    <s v="LDPE/LLDPE Bags/Liner"/>
    <n v="2577.3000000000002"/>
    <n v="339675.25"/>
  </r>
  <r>
    <x v="0"/>
    <s v="Plastene India Limited "/>
    <d v="2023-04-15T00:00:00"/>
    <s v="K.P. Woven Pvt Ltd - Unit 3 -Sales"/>
    <s v="Export Sales"/>
    <s v="PIL1/E/48/23-24"/>
    <x v="6"/>
    <s v="PIL1/E/48/23-24"/>
    <d v="2023-04-15T00:00:00"/>
    <s v="SF"/>
    <s v="PP/PE Fabric"/>
    <s v="PP Lam Fabric"/>
    <s v="PP Laminated Fabric"/>
    <s v="PP Lam Fabric With UV"/>
    <n v="8844"/>
    <n v="1030617.1315"/>
  </r>
  <r>
    <x v="0"/>
    <s v="Plastene India Limited "/>
    <d v="2023-04-15T00:00:00"/>
    <s v="K.P. Woven Pvt Ltd - Unit 3 -Sales"/>
    <s v="Export Sales"/>
    <s v="PIL1/E/49/23-24"/>
    <x v="6"/>
    <s v="PIL1/E/49/23-24"/>
    <d v="2023-04-15T00:00:00"/>
    <s v="SF"/>
    <s v="Webbing"/>
    <s v="PP Webbing"/>
    <s v="PP Webbing"/>
    <s v="Webbing"/>
    <n v="335.6"/>
    <n v="36960.513999999996"/>
  </r>
  <r>
    <x v="0"/>
    <s v="Plastene India Limited "/>
    <d v="2023-04-15T00:00:00"/>
    <s v="K.P. Woven Pvt Ltd - Unit 3 -Sales"/>
    <s v="Export Sales"/>
    <s v="PIL1/E/50/23-24"/>
    <x v="6"/>
    <s v="PIL1/E/50/23-24"/>
    <d v="2023-04-15T00:00:00"/>
    <s v="SF"/>
    <s v="Liners"/>
    <s v="LDPE/LLDPE Bags"/>
    <s v="LLDPE BAGS"/>
    <s v="LDPE/LLDPE Bags/Liner"/>
    <n v="694.2"/>
    <n v="85618.901500000007"/>
  </r>
  <r>
    <x v="0"/>
    <s v="Plastene India Limited "/>
    <d v="2023-04-15T00:00:00"/>
    <s v="K.P. Woven Pvt Ltd - Unit 3 -Sales"/>
    <s v="Export Sales"/>
    <s v="PIL1/E/51/23-24"/>
    <x v="6"/>
    <s v="PIL1/E/51/23-24"/>
    <d v="2023-04-15T00:00:00"/>
    <s v="SF"/>
    <s v="Liners"/>
    <s v="LDPE/LLDPE Bags"/>
    <s v="LLDPE BAGS"/>
    <s v="LDPE/LLDPE Bags/Liner"/>
    <n v="4092.5"/>
    <n v="504747.25950000004"/>
  </r>
  <r>
    <x v="0"/>
    <s v="Plastene India Limited "/>
    <d v="2023-04-15T00:00:00"/>
    <s v="K.P. Woven Pvt Ltd - Unit 3 -Sales"/>
    <s v="Export Sales"/>
    <s v="PIL1/E/52/23-24"/>
    <x v="6"/>
    <s v="PIL1/E/52/23-24"/>
    <d v="2023-04-15T00:00:00"/>
    <s v="SF"/>
    <s v="Tape Stock"/>
    <s v="PP Tapes"/>
    <s v="PP TAPE"/>
    <s v="PP Tapes"/>
    <n v="1471.3"/>
    <n v="156192.92299999998"/>
  </r>
  <r>
    <x v="0"/>
    <s v="Plastene India Limited "/>
    <d v="2023-04-15T00:00:00"/>
    <s v="K.P. Woven Pvt Ltd - Unit 3 -Sales"/>
    <s v="Export Sales"/>
    <s v="PIL1/E/54/23-24"/>
    <x v="6"/>
    <s v="PIL1/E/54/23-24"/>
    <d v="2023-04-15T00:00:00"/>
    <s v="SF"/>
    <s v="PP/PE Fabric"/>
    <s v="PP UL Fabric"/>
    <s v="PP WOVEN FABRIC (FG)"/>
    <s v="PP UL Fabric With UV"/>
    <n v="120.8"/>
    <n v="14720.6785"/>
  </r>
  <r>
    <x v="0"/>
    <s v="Plastene India Limited "/>
    <d v="2023-04-15T00:00:00"/>
    <s v="K.P. Woven Pvt Ltd - Unit 3 -Sales"/>
    <s v="Export Sales"/>
    <s v="PIL1/E/55/23-24"/>
    <x v="6"/>
    <s v="PIL1/E/55/23-24"/>
    <d v="2023-04-15T00:00:00"/>
    <s v="SF"/>
    <s v="PP/PE Fabric"/>
    <s v="PP UL Fabric"/>
    <s v="PP WOVEN FABRIC (FG)"/>
    <s v="PP UL Fabric With UV"/>
    <n v="4663"/>
    <n v="527725.22000000009"/>
  </r>
  <r>
    <x v="0"/>
    <s v="Plastene India Limited "/>
    <d v="2023-04-15T00:00:00"/>
    <s v="K.P. Woven Pvt Ltd-Sales"/>
    <s v="Sales"/>
    <n v="76"/>
    <x v="0"/>
    <s v="PIL1/D/76"/>
    <d v="2023-04-15T00:00:00"/>
    <s v="Packing Material"/>
    <s v="Paper Cores"/>
    <s v="Spares &amp; Stores"/>
    <s v="Stores &amp; Consumables"/>
    <s v="Paper Core 35 MM X 05 MM X 2270 MM"/>
    <n v="400"/>
    <n v="11438.55"/>
  </r>
  <r>
    <x v="0"/>
    <s v="Plastene India Limited "/>
    <d v="2023-04-15T00:00:00"/>
    <s v="K.P. Woven Pvt Ltd-Sales"/>
    <s v="Sales"/>
    <n v="76"/>
    <x v="0"/>
    <s v="PIL1/D/76"/>
    <d v="2023-04-15T00:00:00"/>
    <s v="Packing Material"/>
    <s v="Paper Cores"/>
    <s v="Spares &amp; Stores"/>
    <s v="Stores &amp; Consumables"/>
    <s v="Paper Core 35 MM X 05 MM X 1020 MM"/>
    <n v="1500"/>
    <n v="27462.400000000001"/>
  </r>
  <r>
    <x v="0"/>
    <s v="Plastene India Limited "/>
    <d v="2023-04-15T00:00:00"/>
    <s v="K.P. Woven Pvt Ltd-Sales"/>
    <s v="Sales"/>
    <n v="76"/>
    <x v="0"/>
    <s v="PIL1/D/76"/>
    <d v="2023-04-15T00:00:00"/>
    <s v="Packing Material"/>
    <s v="Paper Cores"/>
    <s v="Spares &amp; Stores"/>
    <s v="Stores &amp; Consumables"/>
    <s v="Paper Core 35 MM X 05 MM X 1670 MM"/>
    <n v="70"/>
    <n v="1100.58"/>
  </r>
  <r>
    <x v="0"/>
    <s v="Plastene India Limited "/>
    <d v="2023-04-15T00:00:00"/>
    <s v="Plastene Polyfilms Ltd-Sales"/>
    <s v="Sales"/>
    <n v="72"/>
    <x v="1"/>
    <s v="PIL1/D/72"/>
    <d v="2023-04-15T00:00:00"/>
    <s v="SF"/>
    <s v="Yarn All"/>
    <s v="PP Yarn"/>
    <s v="PP Filament Yarn"/>
    <s v="PP MF Yarn Flat 840 MW"/>
    <n v="373.14"/>
    <n v="48463.8"/>
  </r>
  <r>
    <x v="0"/>
    <s v="Plastene India Limited "/>
    <d v="2023-04-15T00:00:00"/>
    <s v="Plastene Polyfilms Ltd-Sales"/>
    <s v="Sales"/>
    <n v="72"/>
    <x v="1"/>
    <s v="PIL1/D/72"/>
    <d v="2023-04-15T00:00:00"/>
    <s v="SF"/>
    <s v="Yarn All"/>
    <s v="PP Yarn"/>
    <s v="PP Filament Yarn"/>
    <s v="PP MF Yarn Twisted 3000 Denier UV NW"/>
    <n v="847.7"/>
    <n v="111795.52"/>
  </r>
  <r>
    <x v="0"/>
    <s v="Plastene India Limited "/>
    <d v="2023-04-15T00:00:00"/>
    <s v="Plastene Polyfilms Ltd-Sales"/>
    <s v="Sales"/>
    <n v="72"/>
    <x v="1"/>
    <s v="PIL1/D/72"/>
    <d v="2023-04-15T00:00:00"/>
    <s v="SF"/>
    <s v="Yarn All"/>
    <s v="PP Yarn"/>
    <s v="PP Filament Yarn"/>
    <s v="PP MF Yarn Twisted 1000 UV NW"/>
    <n v="1362.2"/>
    <n v="179648.3"/>
  </r>
  <r>
    <x v="0"/>
    <s v="Plastene India Limited "/>
    <d v="2023-04-15T00:00:00"/>
    <s v="Plastene Polyfilms Ltd-Sales"/>
    <s v="Sales"/>
    <n v="73"/>
    <x v="1"/>
    <s v="PIL1/D/73"/>
    <d v="2023-04-15T00:00:00"/>
    <s v="SF"/>
    <s v="Liners"/>
    <s v="LDPE/LLDPE Bags"/>
    <s v="LLDPE BAGS"/>
    <s v="LDPE/LLDPE Bags/Liner"/>
    <n v="411.6"/>
    <n v="52600.42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Lam Fabric"/>
    <s v="PP Laminated Fabric"/>
    <s v="PP Lam Fabric With UV"/>
    <n v="2059"/>
    <n v="251284.48000000001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Lam Fabric"/>
    <s v="PP Laminated Fabric"/>
    <s v="PP Lam Fabric With UV"/>
    <n v="87"/>
    <n v="10922.15"/>
  </r>
  <r>
    <x v="0"/>
    <s v="Plastene India Limited "/>
    <d v="2023-04-15T00:00:00"/>
    <s v="Plastene Polyfilms Ltd-Sales"/>
    <s v="Sales"/>
    <n v="74"/>
    <x v="1"/>
    <s v="PIL1/D/74"/>
    <d v="2023-04-15T00:00:00"/>
    <s v="SF"/>
    <s v="Webbing"/>
    <s v="PP Webbing"/>
    <s v="PP Webbing"/>
    <s v="Webbing"/>
    <n v="31.5"/>
    <n v="4941.75"/>
  </r>
  <r>
    <x v="0"/>
    <s v="Plastene India Limited "/>
    <d v="2023-04-15T00:00:00"/>
    <s v="Plastene Polyfilms Ltd-Sales"/>
    <s v="Sales"/>
    <n v="74"/>
    <x v="1"/>
    <s v="PIL1/D/74"/>
    <d v="2023-04-15T00:00:00"/>
    <s v="SF"/>
    <s v="Webbing"/>
    <s v="PP Webbing"/>
    <s v="PP Webbing"/>
    <s v="Webbing"/>
    <n v="411"/>
    <n v="49337.26"/>
  </r>
  <r>
    <x v="0"/>
    <s v="Plastene India Limited "/>
    <d v="2023-04-15T00:00:00"/>
    <s v="Plastene Polyfilms Ltd-Sales"/>
    <s v="Sales"/>
    <n v="74"/>
    <x v="1"/>
    <s v="PIL1/D/74"/>
    <d v="2023-04-15T00:00:00"/>
    <s v="SF"/>
    <s v="Liners"/>
    <s v="LDPE/LLDPE Bags"/>
    <s v="LLDPE BAGS"/>
    <s v="LDPE/LLDPE Bags/Liner"/>
    <n v="3466.3"/>
    <n v="456841.01"/>
  </r>
  <r>
    <x v="0"/>
    <s v="Plastene India Limited "/>
    <d v="2023-04-15T00:00:00"/>
    <s v="Plastene Polyfilms Ltd-Sales"/>
    <s v="Sales"/>
    <n v="74"/>
    <x v="1"/>
    <s v="PIL1/D/74"/>
    <d v="2023-04-15T00:00:00"/>
    <s v="SF"/>
    <s v="Liners"/>
    <s v="LDPE/LLDPE Bags"/>
    <s v="LLDPE BAGS"/>
    <s v="LDPE/LLDPE Bags/Liner"/>
    <n v="274.39999999999998"/>
    <n v="35066.949999999997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UL Fabric"/>
    <s v="PP WOVEN FABRIC (FG)"/>
    <s v="PP UL Fabric With UV"/>
    <n v="230"/>
    <n v="26459.66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UL Fabric"/>
    <s v="PP WOVEN FABRIC (FG)"/>
    <s v="PP UL Fabric With UV"/>
    <n v="1025"/>
    <n v="123043.05"/>
  </r>
  <r>
    <x v="0"/>
    <s v="Plastene India Limited "/>
    <d v="2023-04-15T00:00:00"/>
    <s v="Plastene Polyfilms Ltd-Sales"/>
    <s v="Sales"/>
    <n v="75"/>
    <x v="0"/>
    <s v="PIL1/D/75"/>
    <d v="2023-04-15T00:00:00"/>
    <s v="Stores/Spares"/>
    <s v="MS Structure Items"/>
    <s v="Spares &amp; Stores"/>
    <s v="Stores &amp; Consumables"/>
    <s v="MS Pipe 4  C Class"/>
    <n v="117"/>
    <n v="5616"/>
  </r>
  <r>
    <x v="0"/>
    <s v="Plastene India Limited "/>
    <d v="2023-04-16T00:00:00"/>
    <s v="K.P. Woven Pvt Ltd-Sales"/>
    <s v="Sales"/>
    <n v="81"/>
    <x v="1"/>
    <s v="PIL1/D/81"/>
    <d v="2023-04-16T00:00:00"/>
    <s v="SF"/>
    <s v="PP/PE Fabric"/>
    <s v="PP UL Fabric"/>
    <s v="PP WOVEN FABRIC (FG)"/>
    <s v="PP UL Fabric With UV"/>
    <n v="2760"/>
    <n v="317515.92"/>
  </r>
  <r>
    <x v="0"/>
    <s v="Plastene India Limited "/>
    <d v="2023-04-16T00:00:00"/>
    <s v="K.P. Woven Pvt Ltd-Sales"/>
    <s v="Sales"/>
    <n v="82"/>
    <x v="0"/>
    <s v="PIL1/D/82"/>
    <d v="2023-04-16T00:00:00"/>
    <s v="Stores/Spares"/>
    <s v="MS Structure Items"/>
    <s v="Spares &amp; Stores"/>
    <s v="Stores &amp; Consumables"/>
    <s v="MS Pipe 4  C Class"/>
    <n v="133"/>
    <n v="6384"/>
  </r>
  <r>
    <x v="0"/>
    <s v="Plastene India Limited "/>
    <d v="2023-04-16T00:00:00"/>
    <s v="K.P. Woven Pvt Ltd-Sales"/>
    <s v="SALES (FOREX)"/>
    <s v="PIL1/DE/5/23-24"/>
    <x v="1"/>
    <s v="PIL1/DE/5/23-24"/>
    <d v="2023-04-16T00:00:00"/>
    <s v="SF"/>
    <s v="Liners"/>
    <s v="LDPE/LLDPE Bags"/>
    <s v="LLDPE BAGS"/>
    <s v="LDPE/LLDPE Bags/Liner"/>
    <n v="1739"/>
    <n v="250082.11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UL Fabric"/>
    <s v="PP WOVEN FABRIC (FG)"/>
    <s v="PP UL Fabric With UV"/>
    <n v="2590"/>
    <n v="310908.78000000003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UL Fabric"/>
    <s v="PP WOVEN FABRIC (FG)"/>
    <s v="PP UL Fabric With UV"/>
    <n v="696"/>
    <n v="80069.23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Lam Fabric"/>
    <s v="PP Laminated Fabric"/>
    <s v="PP Lam Fabric With UV"/>
    <n v="745"/>
    <n v="93528.79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Lam Fabric"/>
    <s v="PP Laminated Fabric"/>
    <s v="PP Lam Fabric With UV"/>
    <n v="4020"/>
    <n v="490608.84"/>
  </r>
  <r>
    <x v="0"/>
    <s v="Plastene India Limited "/>
    <d v="2023-04-16T00:00:00"/>
    <s v="Plastene Polyfilms Ltd-Sales"/>
    <s v="Sales"/>
    <n v="77"/>
    <x v="1"/>
    <s v="PIL1/D/77"/>
    <d v="2023-04-16T00:00:00"/>
    <s v="SF"/>
    <s v="Webbing"/>
    <s v="PP Webbing"/>
    <s v="PP Webbing"/>
    <s v="Webbing"/>
    <n v="416.4"/>
    <n v="49985.49"/>
  </r>
  <r>
    <x v="0"/>
    <s v="Plastene India Limited "/>
    <d v="2023-04-16T00:00:00"/>
    <s v="Plastene Polyfilms Ltd-Sales"/>
    <s v="Sales"/>
    <n v="78"/>
    <x v="0"/>
    <s v="PIL1/D/78"/>
    <d v="2023-04-16T00:00:00"/>
    <s v="Stores/Spares"/>
    <s v="MS Structure Items"/>
    <s v="Spares &amp; Stores"/>
    <s v="Stores &amp; Consumables"/>
    <s v="MS Pipe 4  C Class"/>
    <n v="285"/>
    <n v="13680"/>
  </r>
  <r>
    <x v="0"/>
    <s v="Plastene India Limited "/>
    <d v="2023-04-16T00:00:00"/>
    <s v="Plastene Polyfilms Ltd-Sales"/>
    <s v="Sales"/>
    <n v="79"/>
    <x v="1"/>
    <s v="PIL1/D/79"/>
    <d v="2023-04-16T00:00:00"/>
    <s v="SF"/>
    <s v="Liners"/>
    <s v="LDPE/LLDPE Bags"/>
    <s v="LLDPE BAGS"/>
    <s v="LDPE/LLDPE Bags/Liner"/>
    <n v="201"/>
    <n v="25686.799999999999"/>
  </r>
  <r>
    <x v="0"/>
    <s v="Plastene India Limited "/>
    <d v="2023-04-16T00:00:00"/>
    <s v="Plastene Polyfilms Ltd-Sales"/>
    <s v="Sales"/>
    <n v="80"/>
    <x v="1"/>
    <s v="PIL1/D/80"/>
    <d v="2023-04-16T00:00:00"/>
    <s v="SF"/>
    <s v="Liners"/>
    <s v="LDPE/LLDPE Bags"/>
    <s v="LLDPE BAGS"/>
    <s v="LDPE/LLDPE Bags/Liner"/>
    <n v="139.9"/>
    <n v="17878.52"/>
  </r>
  <r>
    <x v="0"/>
    <s v="Plastene India Limited "/>
    <d v="2023-04-17T00:00:00"/>
    <s v="Jain Bulk Pack - Sales"/>
    <s v="Sales"/>
    <n v="87"/>
    <x v="0"/>
    <s v="PIL1/D/87"/>
    <d v="2023-04-17T00:00:00"/>
    <s v="RM"/>
    <s v="Granules"/>
    <s v="HDPE Granules"/>
    <s v="HDPE Granuels"/>
    <s v="HDPE IOCL 010E52"/>
    <n v="24000"/>
    <n v="2649768"/>
  </r>
  <r>
    <x v="0"/>
    <s v="Plastene India Limited "/>
    <d v="2023-04-17T00:00:00"/>
    <s v="K.P. Woven Pvt Ltd - Unit 3 -Sales"/>
    <s v="Export Sales"/>
    <s v="PIL1/E/57/23-24"/>
    <x v="6"/>
    <s v="PIL1/E/57/23-24"/>
    <d v="2023-04-17T00:00:00"/>
    <s v="SF"/>
    <s v="Yarn All"/>
    <s v="PP Yarn"/>
    <s v="PP Filament Yarn"/>
    <s v="PP MF Yarn Twisted 2500 Denier Deep Blue"/>
    <n v="613.1"/>
    <n v="76324.020999999993"/>
  </r>
  <r>
    <x v="0"/>
    <s v="Plastene India Limited "/>
    <d v="2023-04-17T00:00:00"/>
    <s v="K.P. Woven Pvt Ltd - Unit 3 -Sales"/>
    <s v="Export Sales"/>
    <s v="PIL1/E/57/23-24"/>
    <x v="6"/>
    <s v="PIL1/E/57/23-24"/>
    <d v="2023-04-17T00:00:00"/>
    <s v="SF"/>
    <s v="Yarn All"/>
    <s v="PP Yarn"/>
    <s v="PP Filament Yarn"/>
    <s v="PP MF Yarn Twisted 2500 Denier UV NW"/>
    <n v="974.1"/>
    <n v="121263.96399999999"/>
  </r>
  <r>
    <x v="0"/>
    <s v="Plastene India Limited "/>
    <d v="2023-04-17T00:00:00"/>
    <s v="K.P. Woven Pvt Ltd - Unit 3 -Sales"/>
    <s v="Export Sales"/>
    <s v="PIL1/E/57/23-24"/>
    <x v="6"/>
    <s v="PIL1/E/57/23-24"/>
    <d v="2023-04-17T00:00:00"/>
    <s v="SF"/>
    <s v="Yarn All"/>
    <s v="PP Yarn"/>
    <s v="PP Filament Yarn"/>
    <s v="PP MF Yarn Twisted 1000 UV NW"/>
    <n v="2258.3000000000002"/>
    <n v="281132.33899999998"/>
  </r>
  <r>
    <x v="0"/>
    <s v="Plastene India Limited "/>
    <d v="2023-04-17T00:00:00"/>
    <s v="K.P. Woven Pvt Ltd - Unit 3 -Sales"/>
    <s v="Export Sales"/>
    <s v="PIL1/E/58/23-24"/>
    <x v="6"/>
    <s v="PIL1/E/58/23-24"/>
    <d v="2023-04-17T00:00:00"/>
    <s v="SF"/>
    <s v="PP/PE Fabric"/>
    <s v="PP Lam Fabric"/>
    <s v="PP Laminated Fabric"/>
    <s v="PP Lam Fabric With UV"/>
    <n v="3885"/>
    <n v="452730.31650000002"/>
  </r>
  <r>
    <x v="0"/>
    <s v="Plastene India Limited "/>
    <d v="2023-04-17T00:00:00"/>
    <s v="K.P. Woven Pvt Ltd - Unit 3 -Sales"/>
    <s v="Export Sales"/>
    <s v="PIL1/E/59/23-24"/>
    <x v="6"/>
    <s v="PIL1/E/59/23-24"/>
    <d v="2023-04-17T00:00:00"/>
    <s v="SF"/>
    <s v="PP/PE Fabric"/>
    <s v="PP Lam Fabric"/>
    <s v="PP Laminated Fabric"/>
    <s v="PP Lam Fabric With UV"/>
    <n v="2549"/>
    <n v="297042.52600000001"/>
  </r>
  <r>
    <x v="0"/>
    <s v="Plastene India Limited "/>
    <d v="2023-04-17T00:00:00"/>
    <s v="K.P. Woven Pvt Ltd-Sales"/>
    <s v="Sales High-seas"/>
    <s v="PIL1/HSS/1/23-24"/>
    <x v="2"/>
    <s v="PIL1/HSS/1/23-24"/>
    <d v="2023-04-17T00:00:00"/>
    <s v="RM"/>
    <s v="Granules"/>
    <s v="PP Granules"/>
    <s v="PP Granuels"/>
    <s v="PP Luban HP1106K"/>
    <n v="99000"/>
    <n v="8172450"/>
  </r>
  <r>
    <x v="0"/>
    <s v="Plastene India Limited "/>
    <d v="2023-04-17T00:00:00"/>
    <s v="Plastene Polyfilms Ltd-Sales"/>
    <s v="Sales"/>
    <n v="83"/>
    <x v="1"/>
    <s v="PIL1/D/83"/>
    <d v="2023-04-17T00:00:00"/>
    <s v="SF"/>
    <s v="PP/PE Fabric"/>
    <s v="PP Lam Fabric"/>
    <s v="PP Laminated Fabric"/>
    <s v="PP Lam Fabric With UV"/>
    <n v="4463"/>
    <n v="546904.94999999995"/>
  </r>
  <r>
    <x v="0"/>
    <s v="Plastene India Limited "/>
    <d v="2023-04-17T00:00:00"/>
    <s v="Plastene Polyfilms Ltd-Sales"/>
    <s v="Sales"/>
    <n v="83"/>
    <x v="1"/>
    <s v="PIL1/D/83"/>
    <d v="2023-04-17T00:00:00"/>
    <s v="SF"/>
    <s v="PP/PE Fabric"/>
    <s v="PP UL Fabric"/>
    <s v="PP WOVEN FABRIC (FG)"/>
    <s v="PP UL Fabric With UV"/>
    <n v="1311"/>
    <n v="153442.06"/>
  </r>
  <r>
    <x v="0"/>
    <s v="Plastene India Limited "/>
    <d v="2023-04-17T00:00:00"/>
    <s v="Plastene Polyfilms Ltd-Sales"/>
    <s v="Sales"/>
    <n v="85"/>
    <x v="1"/>
    <s v="PIL1/D/85"/>
    <d v="2023-04-17T00:00:00"/>
    <s v="SF"/>
    <s v="Webbing"/>
    <s v="PP Webbing"/>
    <s v="PP Webbing"/>
    <s v="Webbing"/>
    <n v="413.4"/>
    <n v="49625.36"/>
  </r>
  <r>
    <x v="0"/>
    <s v="Plastene India Limited "/>
    <d v="2023-04-17T00:00:00"/>
    <s v="Plastene Polyfilms Ltd-Sales"/>
    <s v="Sales"/>
    <n v="85"/>
    <x v="1"/>
    <s v="PIL1/D/85"/>
    <d v="2023-04-17T00:00:00"/>
    <s v="SF"/>
    <s v="PP/PE Fabric"/>
    <s v="PP Lam Fabric"/>
    <s v="PP Laminated Fabric"/>
    <s v="PP Lam Fabric With UV"/>
    <n v="1426"/>
    <n v="174031.89"/>
  </r>
  <r>
    <x v="0"/>
    <s v="Plastene India Limited "/>
    <d v="2023-04-17T00:00:00"/>
    <s v="Plastene Polyfilms Ltd-Sales"/>
    <s v="Sales"/>
    <n v="85"/>
    <x v="1"/>
    <s v="PIL1/D/85"/>
    <d v="2023-04-17T00:00:00"/>
    <s v="SF"/>
    <s v="PP/PE Fabric"/>
    <s v="PP UL Fabric"/>
    <s v="PP WOVEN FABRIC (FG)"/>
    <s v="PP UL Fabric With UV"/>
    <n v="987"/>
    <n v="113546.45"/>
  </r>
  <r>
    <x v="0"/>
    <s v="Plastene India Limited "/>
    <d v="2023-04-17T00:00:00"/>
    <s v="Plastene Polyfilms Ltd-Sales"/>
    <s v="Sales"/>
    <n v="85"/>
    <x v="1"/>
    <s v="PIL1/D/85"/>
    <d v="2023-04-17T00:00:00"/>
    <s v="SF"/>
    <s v="PP/PE Fabric"/>
    <s v="PP UL Fabric"/>
    <s v="PP WOVEN FABRIC (FG)"/>
    <s v="PP UL Fabric With UV"/>
    <n v="1595"/>
    <n v="191466.99"/>
  </r>
  <r>
    <x v="0"/>
    <s v="Plastene India Limited "/>
    <d v="2023-04-17T00:00:00"/>
    <s v="Plastene Polyfilms Ltd-Sales"/>
    <s v="Sales"/>
    <n v="86"/>
    <x v="0"/>
    <s v="PIL1/D/86"/>
    <d v="2023-04-17T00:00:00"/>
    <s v="Stores/Spares"/>
    <s v="MS Structure Items"/>
    <s v="Spares &amp; Stores"/>
    <s v="Stores &amp; Consumables"/>
    <s v="MS Pipe 4  C Class"/>
    <n v="145"/>
    <n v="6960"/>
  </r>
  <r>
    <x v="0"/>
    <s v="Plastene India Limited "/>
    <d v="2023-04-18T00:00:00"/>
    <s v="K.P. Woven Pvt Ltd - Unit 3 -Sales"/>
    <s v="Export Sales"/>
    <s v="PIL1/E/62/23-24"/>
    <x v="6"/>
    <s v="PIL1/E/62/23-24"/>
    <d v="2023-04-18T00:00:00"/>
    <s v="SF"/>
    <s v="PP/PE Fabric"/>
    <s v="PP UL Fabric"/>
    <s v="PP WOVEN FABRIC (FG)"/>
    <s v="PP UL Fabric With UV"/>
    <n v="7583.1"/>
    <n v="858201.70700000005"/>
  </r>
  <r>
    <x v="0"/>
    <s v="Plastene India Limited "/>
    <d v="2023-04-18T00:00:00"/>
    <s v="Oswal Extrusion Ltd- KASEZ-Sales"/>
    <s v="SALES (FOREX)"/>
    <s v="PIL1/E/61/23-24"/>
    <x v="4"/>
    <s v="PIL1/E/61/23-24"/>
    <d v="2023-04-18T00:00:00"/>
    <s v="Capex"/>
    <s v="Building Material"/>
    <s v="Spares &amp; Stores"/>
    <s v="Stores &amp; Consumables"/>
    <s v="Ac Sheet 3 Ft. X 10 Ft."/>
    <n v="400"/>
    <n v="5203.3999999999996"/>
  </r>
  <r>
    <x v="0"/>
    <s v="Plastene India Limited "/>
    <d v="2023-04-18T00:00:00"/>
    <s v="Oswal Extrusion Ltd- KASEZ-Sales"/>
    <s v="SALES (FOREX)"/>
    <s v="PIL1/E/61/23-24"/>
    <x v="4"/>
    <s v="PIL1/E/61/23-24"/>
    <d v="2023-04-18T00:00:00"/>
    <s v="Capex"/>
    <s v="Building Material"/>
    <s v="Spares &amp; Stores"/>
    <s v="Stores &amp; Consumables"/>
    <s v="Ac Sheet 3 Ft. X 8 Ft."/>
    <n v="700"/>
    <n v="8839"/>
  </r>
  <r>
    <x v="0"/>
    <s v="Plastene India Limited "/>
    <d v="2023-04-19T00:00:00"/>
    <s v="K.P. Woven Pvt Ltd - Unit 3 -Sales"/>
    <s v="Export Sales"/>
    <s v="PIL1/E/63/23-24"/>
    <x v="6"/>
    <s v="PIL1/E/63/23-24"/>
    <d v="2023-04-19T00:00:00"/>
    <s v="SF"/>
    <s v="Liners"/>
    <s v="LDPE/LLDPE Bags"/>
    <s v="LLDPE BAGS"/>
    <s v="LDPE/LLDPE Bags/Liner"/>
    <n v="446.4"/>
    <n v="55056.468500000003"/>
  </r>
  <r>
    <x v="0"/>
    <s v="Plastene India Limited "/>
    <d v="2023-04-19T00:00:00"/>
    <s v="K.P. Woven Pvt Ltd - Unit 3 -Sales"/>
    <s v="Export Sales"/>
    <s v="PIL1/E/64/23-24"/>
    <x v="6"/>
    <s v="PIL1/E/64/23-24"/>
    <d v="2023-04-19T00:00:00"/>
    <s v="SF"/>
    <s v="Webbing"/>
    <s v="PP Webbing"/>
    <s v="PP Webbing"/>
    <s v="Webbing"/>
    <n v="880.7"/>
    <n v="96994.78899999999"/>
  </r>
  <r>
    <x v="0"/>
    <s v="Plastene India Limited "/>
    <d v="2023-04-19T00:00:00"/>
    <s v="K.P. Woven Pvt Ltd - Unit 3 -Sales"/>
    <s v="Export Sales"/>
    <s v="PIL1/E/65/23-24"/>
    <x v="6"/>
    <s v="PIL1/E/65/23-24"/>
    <d v="2023-04-19T00:00:00"/>
    <s v="SF"/>
    <s v="PP/PE Fabric"/>
    <s v="PP Lam Fabric"/>
    <s v="PP Laminated Fabric"/>
    <s v="PP Lam Fabric With UV"/>
    <n v="1977"/>
    <n v="230385.21549999999"/>
  </r>
  <r>
    <x v="0"/>
    <s v="Plastene India Limited "/>
    <d v="2023-04-19T00:00:00"/>
    <s v="K.P. Woven Pvt Ltd-Sales"/>
    <s v="Sales"/>
    <n v="95"/>
    <x v="1"/>
    <s v="PIL1/D/95"/>
    <d v="2023-04-19T00:00:00"/>
    <s v="SF"/>
    <s v="PP/PE Fabric"/>
    <s v="PP UL Fabric"/>
    <s v="PP WOVEN FABRIC (FG)"/>
    <s v="PP UL Fabric With UV"/>
    <n v="572"/>
    <n v="94405.17"/>
  </r>
  <r>
    <x v="0"/>
    <s v="Plastene India Limited "/>
    <d v="2023-04-19T00:00:00"/>
    <s v="K.P. Woven Pvt Ltd-Sales"/>
    <s v="Sales"/>
    <n v="95"/>
    <x v="1"/>
    <s v="PIL1/D/95"/>
    <d v="2023-04-19T00:00:00"/>
    <s v="SF"/>
    <s v="PP/PE Fabric"/>
    <s v="PP UL Fabric"/>
    <s v="PP WOVEN FABRIC (FG)"/>
    <s v="PP UL Fabric With UV"/>
    <n v="352"/>
    <n v="41199.49"/>
  </r>
  <r>
    <x v="0"/>
    <s v="Plastene India Limited "/>
    <d v="2023-04-19T00:00:00"/>
    <s v="K.P. Woven Pvt Ltd-Sales"/>
    <s v="Sales"/>
    <n v="95"/>
    <x v="1"/>
    <s v="PIL1/D/95"/>
    <d v="2023-04-19T00:00:00"/>
    <s v="SF"/>
    <s v="PP/PE Fabric"/>
    <s v="PP Lam Fabric"/>
    <s v="PP Laminated Fabric"/>
    <s v="PP Lam Fabric With UV"/>
    <n v="7204"/>
    <n v="882806.98"/>
  </r>
  <r>
    <x v="0"/>
    <s v="Plastene India Limited "/>
    <d v="2023-04-19T00:00:00"/>
    <s v="Plastene Polyfilms Ltd-Sales"/>
    <s v="Sales"/>
    <n v="89"/>
    <x v="1"/>
    <s v="PIL1/D/89"/>
    <d v="2023-04-19T00:00:00"/>
    <s v="SF"/>
    <s v="Webbing"/>
    <s v="PP Webbing"/>
    <s v="PP Webbing"/>
    <s v="Webbing"/>
    <n v="301.39999999999998"/>
    <n v="36181.26"/>
  </r>
  <r>
    <x v="0"/>
    <s v="Plastene India Limited "/>
    <d v="2023-04-19T00:00:00"/>
    <s v="Plastene Polyfilms Ltd-Sales"/>
    <s v="Sales"/>
    <n v="91"/>
    <x v="1"/>
    <s v="PIL1/D/91"/>
    <d v="2023-04-19T00:00:00"/>
    <s v="SF"/>
    <s v="Webbing"/>
    <s v="PP Webbing"/>
    <s v="PP Webbing"/>
    <s v="Webbing"/>
    <n v="96.4"/>
    <n v="11572.24"/>
  </r>
  <r>
    <x v="0"/>
    <s v="Plastene India Limited "/>
    <d v="2023-04-19T00:00:00"/>
    <s v="Plastene Polyfilms Ltd-Sales"/>
    <s v="Sales"/>
    <n v="91"/>
    <x v="1"/>
    <s v="PIL1/D/91"/>
    <d v="2023-04-19T00:00:00"/>
    <s v="SF"/>
    <s v="Yarn All"/>
    <s v="PP Yarn"/>
    <s v="PP Filament Yarn"/>
    <s v="PP Braided Rope MW 6 to 8 GPM"/>
    <n v="12.5"/>
    <n v="1773.8"/>
  </r>
  <r>
    <x v="0"/>
    <s v="Plastene India Limited "/>
    <d v="2023-04-19T00:00:00"/>
    <s v="Plastene Polyfilms Ltd-Sales"/>
    <s v="Sales"/>
    <n v="91"/>
    <x v="1"/>
    <s v="PIL1/D/91"/>
    <d v="2023-04-19T00:00:00"/>
    <s v="SF"/>
    <s v="PP/PE Fabric"/>
    <s v="PP UL Fabric"/>
    <s v="PP WOVEN FABRIC (FG)"/>
    <s v="PP UL Fabric With UV"/>
    <n v="821"/>
    <n v="98556.12"/>
  </r>
  <r>
    <x v="0"/>
    <s v="Plastene India Limited "/>
    <d v="2023-04-19T00:00:00"/>
    <s v="Plastene Polyfilms Ltd-Sales"/>
    <s v="Sales"/>
    <n v="91"/>
    <x v="1"/>
    <s v="PIL1/D/91"/>
    <d v="2023-04-19T00:00:00"/>
    <s v="SF"/>
    <s v="PP/PE Fabric"/>
    <s v="PP UL Fabric"/>
    <s v="PP WOVEN FABRIC (FG)"/>
    <s v="PP UL Fabric With UV"/>
    <n v="2104"/>
    <n v="242052.58"/>
  </r>
  <r>
    <x v="0"/>
    <s v="Plastene India Limited "/>
    <d v="2023-04-19T00:00:00"/>
    <s v="Plastene Polyfilms Ltd-Sales"/>
    <s v="Sales"/>
    <n v="91"/>
    <x v="1"/>
    <s v="PIL1/D/91"/>
    <d v="2023-04-19T00:00:00"/>
    <s v="SF"/>
    <s v="Liners"/>
    <s v="LDPE/LLDPE Bags"/>
    <s v="LLDPE BAGS"/>
    <s v="LDPE/LLDPE Bags/Liner"/>
    <n v="448.2"/>
    <n v="55973.46"/>
  </r>
  <r>
    <x v="0"/>
    <s v="Plastene India Limited "/>
    <d v="2023-04-19T00:00:00"/>
    <s v="Plastene Polyfilms Ltd-Sales"/>
    <s v="Sales"/>
    <n v="91"/>
    <x v="1"/>
    <s v="PIL1/D/91"/>
    <d v="2023-04-19T00:00:00"/>
    <s v="SF"/>
    <s v="Liners"/>
    <s v="LDPE/LLDPE Bags"/>
    <s v="LLDPE BAGS"/>
    <s v="LDPE/LLDPE Bags/Liner"/>
    <n v="117.3"/>
    <n v="14649.01"/>
  </r>
  <r>
    <x v="0"/>
    <s v="Plastene India Limited "/>
    <d v="2023-04-19T00:00:00"/>
    <s v="Plastene Polyfilms Ltd-Sales"/>
    <s v="Sales"/>
    <n v="92"/>
    <x v="0"/>
    <s v="PIL1/D/92"/>
    <d v="2023-04-19T00:00:00"/>
    <s v="RM"/>
    <s v="Granules"/>
    <s v="Masterbatch"/>
    <s v="Master Batch"/>
    <s v="MB Karnavati Polyplast Blue"/>
    <n v="200"/>
    <n v="42400"/>
  </r>
  <r>
    <x v="0"/>
    <s v="Plastene India Limited "/>
    <d v="2023-04-19T00:00:00"/>
    <s v="Plastene Polyfilms Ltd-Sales"/>
    <s v="Sales"/>
    <n v="93"/>
    <x v="0"/>
    <s v="PIL1/D/93"/>
    <d v="2023-04-19T00:00:00"/>
    <s v="Stores/Spares"/>
    <s v="MS Structure Items"/>
    <s v="Spares &amp; Stores"/>
    <s v="Stores &amp; Consumables"/>
    <s v="MS Pipe 4  C Class"/>
    <n v="125"/>
    <n v="6000"/>
  </r>
  <r>
    <x v="0"/>
    <s v="Plastene India Limited "/>
    <d v="2023-04-19T00:00:00"/>
    <s v="Plastene Polyfilms Ltd-Sales"/>
    <s v="Sales"/>
    <n v="94"/>
    <x v="1"/>
    <s v="PIL1/D/94"/>
    <d v="2023-04-19T00:00:00"/>
    <s v="SF"/>
    <s v="Liners"/>
    <s v="LDPE/LLDPE Bags"/>
    <s v="LLDPE BAGS"/>
    <s v="LDPE/LLDPE Bags/Liner"/>
    <n v="10.4"/>
    <n v="1340.4"/>
  </r>
  <r>
    <x v="0"/>
    <s v="Plastene India Limited "/>
    <d v="2023-04-20T00:00:00"/>
    <s v="K.P. Woven Pvt Ltd-Sales"/>
    <s v="Sales"/>
    <n v="100"/>
    <x v="0"/>
    <s v="PIL1/D/100"/>
    <d v="2023-04-20T00:00:00"/>
    <s v="RM"/>
    <s v="Granules"/>
    <s v="Masterbatch"/>
    <s v="Master Batch"/>
    <s v="MB Clariant CMC Veer HP RED 485B"/>
    <n v="50"/>
    <n v="31070"/>
  </r>
  <r>
    <x v="0"/>
    <s v="Plastene India Limited "/>
    <d v="2023-04-20T00:00:00"/>
    <s v="K.P. Woven Pvt Ltd-Sales"/>
    <s v="Sales"/>
    <n v="101"/>
    <x v="1"/>
    <s v="PIL1/D/101"/>
    <d v="2023-04-20T00:00:00"/>
    <s v="SF"/>
    <s v="PP/PE Fabric"/>
    <s v="PP UL Fabric"/>
    <s v="PP WOVEN FABRIC (FG)"/>
    <s v="PP UL Fabric With UV"/>
    <n v="4246"/>
    <n v="488476.82"/>
  </r>
  <r>
    <x v="0"/>
    <s v="Plastene India Limited "/>
    <d v="2023-04-20T00:00:00"/>
    <s v="K.P. Woven Pvt Ltd-Sales"/>
    <s v="Sales"/>
    <n v="102"/>
    <x v="0"/>
    <s v="PIL1/D/102"/>
    <d v="2023-04-20T00:00:00"/>
    <s v="Stores/Spares"/>
    <s v="MS Structure Items"/>
    <s v="Spares &amp; Stores"/>
    <s v="Stores &amp; Consumables"/>
    <s v="MS Pipe 4  C Class"/>
    <n v="208"/>
    <n v="9984"/>
  </r>
  <r>
    <x v="0"/>
    <s v="Plastene India Limited "/>
    <d v="2023-04-20T00:00:00"/>
    <s v="K.P. Woven Pvt Ltd-Sales"/>
    <s v="Sales"/>
    <n v="104"/>
    <x v="1"/>
    <s v="PIL1/D/104"/>
    <d v="2023-04-20T00:00:00"/>
    <s v="SF"/>
    <s v="Yarn All"/>
    <s v="PP Yarn"/>
    <s v="PP Filament Yarn"/>
    <s v="PP MF Yarn Twisted 1000 UV NW"/>
    <n v="4237.5"/>
    <n v="558943.19999999995"/>
  </r>
  <r>
    <x v="0"/>
    <s v="Plastene India Limited "/>
    <d v="2023-04-20T00:00:00"/>
    <s v="K.P. Woven Pvt Ltd-Sales"/>
    <s v="Sales"/>
    <n v="104"/>
    <x v="1"/>
    <s v="PIL1/D/104"/>
    <d v="2023-04-20T00:00:00"/>
    <s v="SF"/>
    <s v="PP/PE Fabric"/>
    <s v="PP UL Fabric"/>
    <s v="PP WOVEN FABRIC (FG)"/>
    <s v="PP UL Fabric With UV"/>
    <n v="4046"/>
    <n v="485698.02"/>
  </r>
  <r>
    <x v="0"/>
    <s v="Plastene India Limited "/>
    <d v="2023-04-20T00:00:00"/>
    <s v="K.P. Woven Pvt Ltd-Sales"/>
    <s v="Sales"/>
    <n v="104"/>
    <x v="1"/>
    <s v="PIL1/D/104"/>
    <d v="2023-04-20T00:00:00"/>
    <s v="SF"/>
    <s v="PP/PE Fabric"/>
    <s v="PP UL Fabric"/>
    <s v="PP WOVEN FABRIC (FG)"/>
    <s v="PP UL Fabric With UV"/>
    <n v="551"/>
    <n v="63389.24"/>
  </r>
  <r>
    <x v="0"/>
    <s v="Plastene India Limited "/>
    <d v="2023-04-20T00:00:00"/>
    <s v="K.P. Woven Pvt Ltd-Sales"/>
    <s v="Sales"/>
    <n v="105"/>
    <x v="0"/>
    <s v="PIL1/D/105"/>
    <d v="2023-04-20T00:00:00"/>
    <s v="Stores/Spares"/>
    <s v="MS Structure Items"/>
    <s v="Spares &amp; Stores"/>
    <s v="Stores &amp; Consumables"/>
    <s v="MS Pipe 4  C Class"/>
    <n v="222"/>
    <n v="10656"/>
  </r>
  <r>
    <x v="0"/>
    <s v="Plastene India Limited "/>
    <d v="2023-04-20T00:00:00"/>
    <s v="Plastene Polyfilms Ltd-Sales"/>
    <s v="Sales"/>
    <n v="96"/>
    <x v="1"/>
    <s v="PIL1/D/96"/>
    <d v="2023-04-20T00:00:00"/>
    <s v="SF"/>
    <s v="PP/PE Fabric"/>
    <s v="PP Lam Fabric"/>
    <s v="PP Laminated Fabric"/>
    <s v="PP Lam Fabric With UV"/>
    <n v="2637"/>
    <n v="321830.03000000003"/>
  </r>
  <r>
    <x v="0"/>
    <s v="Plastene India Limited "/>
    <d v="2023-04-20T00:00:00"/>
    <s v="Plastene Polyfilms Ltd-Sales"/>
    <s v="Sales"/>
    <n v="96"/>
    <x v="1"/>
    <s v="PIL1/D/96"/>
    <d v="2023-04-20T00:00:00"/>
    <s v="SF"/>
    <s v="Webbing"/>
    <s v="PP Webbing"/>
    <s v="PP Webbing"/>
    <s v="Webbing"/>
    <n v="492.2"/>
    <n v="59085.66"/>
  </r>
  <r>
    <x v="0"/>
    <s v="Plastene India Limited "/>
    <d v="2023-04-20T00:00:00"/>
    <s v="Plastene Polyfilms Ltd-Sales"/>
    <s v="Sales"/>
    <n v="96"/>
    <x v="1"/>
    <s v="PIL1/D/96"/>
    <d v="2023-04-20T00:00:00"/>
    <s v="SF"/>
    <s v="PP/PE Fabric"/>
    <s v="PP UL Fabric"/>
    <s v="PP WOVEN FABRIC (FG)"/>
    <s v="PP UL Fabric With UV"/>
    <n v="3019"/>
    <n v="362412.84"/>
  </r>
  <r>
    <x v="0"/>
    <s v="Plastene India Limited "/>
    <d v="2023-04-20T00:00:00"/>
    <s v="Plastene Polyfilms Ltd-Sales"/>
    <s v="Sales"/>
    <n v="96"/>
    <x v="1"/>
    <s v="PIL1/D/96"/>
    <d v="2023-04-20T00:00:00"/>
    <s v="SF"/>
    <s v="PP/PE Fabric"/>
    <s v="PP UL Fabric"/>
    <s v="PP WOVEN FABRIC (FG)"/>
    <s v="PP UL Fabric With UV"/>
    <n v="1266"/>
    <n v="145645.70000000001"/>
  </r>
  <r>
    <x v="0"/>
    <s v="Plastene India Limited "/>
    <d v="2023-04-20T00:00:00"/>
    <s v="Plastene Polyfilms Ltd-Sales"/>
    <s v="Sales"/>
    <n v="97"/>
    <x v="0"/>
    <s v="PIL1/D/97"/>
    <d v="2023-04-20T00:00:00"/>
    <s v="Stores/Spares"/>
    <s v="MS Structure Items"/>
    <s v="Spares &amp; Stores"/>
    <s v="Stores &amp; Consumables"/>
    <s v="MS Pipe 4  C Class"/>
    <n v="269"/>
    <n v="12912"/>
  </r>
  <r>
    <x v="0"/>
    <s v="Plastene India Limited "/>
    <d v="2023-04-20T00:00:00"/>
    <s v="Plastene Polyfilms Ltd-Sales"/>
    <s v="Sales"/>
    <n v="98"/>
    <x v="1"/>
    <s v="PIL1/D/98"/>
    <d v="2023-04-20T00:00:00"/>
    <s v="SF"/>
    <s v="Yarn All"/>
    <s v="PP Yarn"/>
    <s v="PP Filament Yarn"/>
    <s v="PP MF Yarn Twisted 1000 UV NW"/>
    <n v="1311.1"/>
    <n v="172939.33"/>
  </r>
  <r>
    <x v="0"/>
    <s v="Plastene India Limited "/>
    <d v="2023-04-20T00:00:00"/>
    <s v="Plastene Polyfilms Ltd-Sales"/>
    <s v="Sales"/>
    <n v="98"/>
    <x v="1"/>
    <s v="PIL1/D/98"/>
    <d v="2023-04-20T00:00:00"/>
    <s v="SF"/>
    <s v="Yarn All"/>
    <s v="PP Yarn"/>
    <s v="PP Filament Yarn"/>
    <s v="PP MF Yarn Twisted 3000 Denier UV NW"/>
    <n v="1030.5999999999999"/>
    <n v="135940.26"/>
  </r>
  <r>
    <x v="0"/>
    <s v="Plastene India Limited "/>
    <d v="2023-04-20T00:00:00"/>
    <s v="Plastene Polyfilms Ltd-Sales"/>
    <s v="Sales High-seas"/>
    <s v="PIL1/HSS/2/23-24"/>
    <x v="2"/>
    <s v="PIL1/HSS/2/23-24"/>
    <d v="2023-04-20T00:00:00"/>
    <s v="RM"/>
    <s v="Granules"/>
    <s v="PP Granules"/>
    <s v="PP Granuels"/>
    <s v="PP China PPH T03"/>
    <n v="102000"/>
    <n v="8884200"/>
  </r>
  <r>
    <x v="0"/>
    <s v="Plastene India Limited "/>
    <d v="2023-04-21T00:00:00"/>
    <s v="Jain Bulk Pack - Sales"/>
    <s v="Sales"/>
    <n v="108"/>
    <x v="0"/>
    <s v="PIL1/D/108"/>
    <d v="2023-04-21T00:00:00"/>
    <s v="RM"/>
    <s v="Granules"/>
    <s v="PP Granules"/>
    <s v="PP Granuels"/>
    <s v="PP IOCL 1110MAS"/>
    <n v="24000"/>
    <n v="2102676"/>
  </r>
  <r>
    <x v="0"/>
    <s v="Plastene India Limited "/>
    <d v="2023-04-21T00:00:00"/>
    <s v="K.P. Woven Pvt Ltd - Unit 3 -Sales"/>
    <s v="Export Sales"/>
    <s v="PIL1/E/67/23-24"/>
    <x v="6"/>
    <s v="PIL1/E/67/23-24"/>
    <d v="2023-04-21T00:00:00"/>
    <s v="SF"/>
    <s v="Tape Stock"/>
    <s v="PP Tapes"/>
    <s v="PP TAPE"/>
    <s v="PP Tapes"/>
    <n v="2223.1"/>
    <n v="236004.24399999998"/>
  </r>
  <r>
    <x v="0"/>
    <s v="Plastene India Limited "/>
    <d v="2023-04-21T00:00:00"/>
    <s v="K.P. Woven Pvt Ltd-Sales"/>
    <s v="SALES (FOREX)"/>
    <s v="PIL1/DE/6/23-24"/>
    <x v="1"/>
    <s v="PIL1/DE/6/23-24"/>
    <d v="2023-04-21T00:00:00"/>
    <s v="SF"/>
    <s v="Liners"/>
    <s v="LDPE/LLDPE Bags"/>
    <s v="LLDPE BAGS"/>
    <s v="LDPE/LLDPE Bags/Liner"/>
    <n v="11031.6"/>
    <n v="1292020.99"/>
  </r>
  <r>
    <x v="0"/>
    <s v="Plastene India Limited "/>
    <d v="2023-04-21T00:00:00"/>
    <s v="Plastene Polyfilms Ltd-Sales"/>
    <s v="Sales"/>
    <n v="106"/>
    <x v="1"/>
    <s v="PIL1/D/106"/>
    <d v="2023-04-21T00:00:00"/>
    <s v="SF"/>
    <s v="Yarn All"/>
    <s v="PP Yarn"/>
    <s v="PP Filament Yarn"/>
    <s v="PP Braided Rope MW 6 to 8 GPM"/>
    <n v="38.6"/>
    <n v="5477.49"/>
  </r>
  <r>
    <x v="0"/>
    <s v="Plastene India Limited "/>
    <d v="2023-04-21T00:00:00"/>
    <s v="Plastene Polyfilms Ltd-Sales"/>
    <s v="Sales"/>
    <n v="106"/>
    <x v="1"/>
    <s v="PIL1/D/106"/>
    <d v="2023-04-21T00:00:00"/>
    <s v="SF"/>
    <s v="Webbing"/>
    <s v="PP Webbing"/>
    <s v="PP Webbing"/>
    <s v="Webbing"/>
    <n v="312.39999999999998"/>
    <n v="37501.75"/>
  </r>
  <r>
    <x v="0"/>
    <s v="Plastene India Limited "/>
    <d v="2023-04-21T00:00:00"/>
    <s v="Plastene Polyfilms Ltd-Sales"/>
    <s v="Sales"/>
    <n v="106"/>
    <x v="1"/>
    <s v="PIL1/D/106"/>
    <d v="2023-04-21T00:00:00"/>
    <s v="SF"/>
    <s v="PP/PE Fabric"/>
    <s v="PP UL Fabric"/>
    <s v="PP WOVEN FABRIC (FG)"/>
    <s v="PP UL Fabric With UV"/>
    <n v="1615"/>
    <n v="185796.06"/>
  </r>
  <r>
    <x v="0"/>
    <s v="Plastene India Limited "/>
    <d v="2023-04-21T00:00:00"/>
    <s v="Plastene Polyfilms Ltd-Sales"/>
    <s v="Sales"/>
    <n v="106"/>
    <x v="1"/>
    <s v="PIL1/D/106"/>
    <d v="2023-04-21T00:00:00"/>
    <s v="SF"/>
    <s v="PP/PE Fabric"/>
    <s v="PP UL Fabric"/>
    <s v="PP WOVEN FABRIC (FG)"/>
    <s v="PP UL Fabric With UV"/>
    <n v="416"/>
    <n v="49938.3"/>
  </r>
  <r>
    <x v="0"/>
    <s v="Plastene India Limited "/>
    <d v="2023-04-21T00:00:00"/>
    <s v="Plastene Polyfilms Ltd-Sales"/>
    <s v="Sales"/>
    <n v="106"/>
    <x v="1"/>
    <s v="PIL1/D/106"/>
    <d v="2023-04-21T00:00:00"/>
    <s v="SF"/>
    <s v="Liners"/>
    <s v="LDPE/LLDPE Bags"/>
    <s v="LLDPE BAGS"/>
    <s v="LDPE/LLDPE Bags/Liner - Conductive"/>
    <n v="126.9"/>
    <n v="15847.91"/>
  </r>
  <r>
    <x v="0"/>
    <s v="Plastene India Limited "/>
    <d v="2023-04-21T00:00:00"/>
    <s v="Plastene Polyfilms Ltd-Sales"/>
    <s v="Sales"/>
    <n v="107"/>
    <x v="0"/>
    <s v="PIL1/D/107"/>
    <d v="2023-04-21T00:00:00"/>
    <s v="Stores/Spares"/>
    <s v="MS Structure Items"/>
    <s v="Spares &amp; Stores"/>
    <s v="Stores &amp; Consumables"/>
    <s v="MS Pipe 4  C Class"/>
    <n v="94"/>
    <n v="4512"/>
  </r>
  <r>
    <x v="0"/>
    <s v="Plastene India Limited "/>
    <d v="2023-04-22T00:00:00"/>
    <s v="K.P. Woven Pvt Ltd - Unit 3 -Sales"/>
    <s v="Export Sales"/>
    <s v="PIL1/E/68/23-24"/>
    <x v="6"/>
    <s v="PIL1/E/68/23-24"/>
    <d v="2023-04-22T00:00:00"/>
    <s v="SF"/>
    <s v="PP/PE Fabric"/>
    <s v="PP Lam Fabric"/>
    <s v="PP Laminated Fabric"/>
    <s v="PP Lam Fabric With UV"/>
    <n v="1838"/>
    <n v="214187.79800000001"/>
  </r>
  <r>
    <x v="0"/>
    <s v="Plastene India Limited "/>
    <d v="2023-04-22T00:00:00"/>
    <s v="K.P. Woven Pvt Ltd - Unit 3 -Sales"/>
    <s v="Export Sales"/>
    <s v="PIL1/E/69/23-24"/>
    <x v="6"/>
    <s v="PIL1/E/69/23-24"/>
    <d v="2023-04-22T00:00:00"/>
    <s v="SF"/>
    <s v="Webbing"/>
    <s v="PP Webbing"/>
    <s v="PP Webbing"/>
    <s v="Webbing"/>
    <n v="35"/>
    <n v="3854.683"/>
  </r>
  <r>
    <x v="0"/>
    <s v="Plastene India Limited "/>
    <d v="2023-04-22T00:00:00"/>
    <s v="K.P. Woven Pvt Ltd - Unit 3 -Sales"/>
    <s v="Export Sales"/>
    <s v="PIL1/E/70/23-24"/>
    <x v="6"/>
    <s v="PIL1/E/70/23-24"/>
    <d v="2023-04-22T00:00:00"/>
    <s v="SF"/>
    <s v="Webbing"/>
    <s v="PP Webbing"/>
    <s v="PP Webbing"/>
    <s v="Webbing"/>
    <n v="666.7"/>
    <n v="73426.317999999999"/>
  </r>
  <r>
    <x v="0"/>
    <s v="Plastene India Limited "/>
    <d v="2023-04-22T00:00:00"/>
    <s v="K.P. Woven Pvt Ltd - Unit 3 -Sales"/>
    <s v="Export Sales"/>
    <s v="PIL1/E/71/23-24"/>
    <x v="6"/>
    <s v="PIL1/E/71/23-24"/>
    <d v="2023-04-22T00:00:00"/>
    <s v="SF"/>
    <s v="Yarn All"/>
    <s v="PP Yarn"/>
    <s v="PP Filament Yarn"/>
    <s v="PP MF Yarn Twisted 2500 Denier UV NW"/>
    <n v="2122"/>
    <n v="265141.77799999999"/>
  </r>
  <r>
    <x v="0"/>
    <s v="Plastene India Limited "/>
    <d v="2023-04-22T00:00:00"/>
    <s v="K.P. Woven Pvt Ltd - Unit 3 -Sales"/>
    <s v="Export Sales"/>
    <s v="PIL1/E/72/23-24"/>
    <x v="6"/>
    <s v="PIL1/E/72/23-24"/>
    <d v="2023-04-22T00:00:00"/>
    <s v="SF"/>
    <s v="Liners"/>
    <s v="LDPE/LLDPE Bags"/>
    <s v="LLDPE BAGS"/>
    <s v="LDPE/LLDPE Bags/Liner"/>
    <n v="2435.4"/>
    <n v="300369.69600000005"/>
  </r>
  <r>
    <x v="0"/>
    <s v="Plastene India Limited "/>
    <d v="2023-04-22T00:00:00"/>
    <s v="K.P. Woven Pvt Ltd - Unit 3 -Sales"/>
    <s v="Export Sales"/>
    <s v="PIL1/E/73/23-24"/>
    <x v="6"/>
    <s v="PIL1/E/73/23-24"/>
    <d v="2023-04-22T00:00:00"/>
    <s v="SF"/>
    <s v="Tape Stock"/>
    <s v="PP Tapes"/>
    <s v="PP TAPE"/>
    <s v="PP Tapes"/>
    <n v="582"/>
    <n v="62013.776000000005"/>
  </r>
  <r>
    <x v="0"/>
    <s v="Plastene India Limited "/>
    <d v="2023-04-22T00:00:00"/>
    <s v="K.P. Woven Pvt Ltd - Unit 3 -Sales"/>
    <s v="Export Sales"/>
    <s v="PIL1/E/75/23-24"/>
    <x v="6"/>
    <s v="PIL1/E/75/23-24"/>
    <d v="2023-04-22T00:00:00"/>
    <s v="SF"/>
    <s v="PP/PE Fabric"/>
    <s v="PP UL Fabric"/>
    <s v="PP WOVEN FABRIC (FG)"/>
    <s v="PP UL Fabric With UV"/>
    <n v="2753.9"/>
    <n v="311667.32299999997"/>
  </r>
  <r>
    <x v="0"/>
    <s v="Plastene India Limited "/>
    <d v="2023-04-22T00:00:00"/>
    <s v="K.P. Woven Pvt Ltd - Unit 3 -Sales"/>
    <s v="Export Sales"/>
    <s v="PIL1/E/76/23-24"/>
    <x v="6"/>
    <s v="PIL1/E/76/23-24"/>
    <d v="2023-04-22T00:00:00"/>
    <s v="SF"/>
    <s v="PP/PE Fabric"/>
    <s v="PP UL Fabric"/>
    <s v="PP WOVEN FABRIC (FG)"/>
    <s v="PP UL Fabric With UV"/>
    <n v="1817.6"/>
    <n v="203569.921"/>
  </r>
  <r>
    <x v="0"/>
    <s v="Plastene India Limited "/>
    <d v="2023-04-22T00:00:00"/>
    <s v="Plastene Polyfilms Ltd-Sales"/>
    <s v="Sales"/>
    <n v="109"/>
    <x v="0"/>
    <s v="PIL1/D/109"/>
    <d v="2023-04-22T00:00:00"/>
    <s v="SF"/>
    <s v="PP/PE Fabric"/>
    <s v="PP UL Fabric"/>
    <s v="PP WOVEN FABRIC (FG)"/>
    <s v="PP UL Fabric With UV"/>
    <n v="1610"/>
    <n v="185220.84"/>
  </r>
  <r>
    <x v="0"/>
    <s v="Plastene India Limited "/>
    <d v="2023-04-22T00:00:00"/>
    <s v="Plastene Polyfilms Ltd-Sales"/>
    <s v="Sales"/>
    <n v="109"/>
    <x v="0"/>
    <s v="PIL1/D/109"/>
    <d v="2023-04-22T00:00:00"/>
    <s v="SF"/>
    <s v="PP/PE Fabric"/>
    <s v="PP UL Fabric"/>
    <s v="PP WOVEN FABRIC (FG)"/>
    <s v="PP UL Fabric With UV"/>
    <n v="1934"/>
    <n v="232165.1"/>
  </r>
  <r>
    <x v="0"/>
    <s v="Plastene India Limited "/>
    <d v="2023-04-22T00:00:00"/>
    <s v="Plastene Polyfilms Ltd-Sales"/>
    <s v="Sales"/>
    <n v="109"/>
    <x v="0"/>
    <s v="PIL1/D/109"/>
    <d v="2023-04-22T00:00:00"/>
    <s v="SF"/>
    <s v="Webbing"/>
    <s v="PP Webbing"/>
    <s v="PP Webbing"/>
    <s v="Webbing"/>
    <n v="54.2"/>
    <n v="8504.2000000000007"/>
  </r>
  <r>
    <x v="0"/>
    <s v="Plastene India Limited "/>
    <d v="2023-04-22T00:00:00"/>
    <s v="Plastene Polyfilms Ltd-Sales"/>
    <s v="Sales"/>
    <n v="109"/>
    <x v="0"/>
    <s v="PIL1/D/109"/>
    <d v="2023-04-22T00:00:00"/>
    <s v="SF"/>
    <s v="Webbing"/>
    <s v="PP Webbing"/>
    <s v="PP Webbing"/>
    <s v="Webbing"/>
    <n v="489.8"/>
    <n v="58797.55"/>
  </r>
  <r>
    <x v="0"/>
    <s v="Plastene India Limited "/>
    <d v="2023-04-22T00:00:00"/>
    <s v="Plastene Polyfilms Ltd-Sales"/>
    <s v="Sales"/>
    <n v="109"/>
    <x v="0"/>
    <s v="PIL1/D/109"/>
    <d v="2023-04-22T00:00:00"/>
    <s v="SF"/>
    <s v="Yarn All"/>
    <s v="PP Yarn"/>
    <s v="PP Filament Yarn"/>
    <s v="PP Braided Rope MW 6 to 8 GPM"/>
    <n v="19.100000000000001"/>
    <n v="2710.37"/>
  </r>
  <r>
    <x v="0"/>
    <s v="Plastene India Limited "/>
    <d v="2023-04-22T00:00:00"/>
    <s v="Plastene Polyfilms Ltd-Sales"/>
    <s v="Sales"/>
    <n v="110"/>
    <x v="0"/>
    <s v="PIL1/D/110"/>
    <d v="2023-04-22T00:00:00"/>
    <s v="Stores/Spares"/>
    <s v="MS Structure Items"/>
    <s v="Spares &amp; Stores"/>
    <s v="Stores &amp; Consumables"/>
    <s v="MS Pipe 4  C Class"/>
    <n v="166"/>
    <n v="7968"/>
  </r>
  <r>
    <x v="0"/>
    <s v="Plastene India Limited "/>
    <d v="2023-04-23T00:00:00"/>
    <s v="Plastene Polyfilms Ltd-Sales"/>
    <s v="Sales"/>
    <n v="111"/>
    <x v="1"/>
    <s v="PIL1/D/111"/>
    <d v="2023-04-23T00:00:00"/>
    <s v="SF"/>
    <s v="PP/PE Fabric"/>
    <s v="PP UL Fabric"/>
    <s v="PP WOVEN FABRIC (FG)"/>
    <s v="PP UL Fabric With UV"/>
    <n v="6331"/>
    <n v="741005.56"/>
  </r>
  <r>
    <x v="0"/>
    <s v="Plastene India Limited "/>
    <d v="2023-04-23T00:00:00"/>
    <s v="Plastene Polyfilms Ltd-Sales"/>
    <s v="Sales"/>
    <n v="111"/>
    <x v="1"/>
    <s v="PIL1/D/111"/>
    <d v="2023-04-23T00:00:00"/>
    <s v="SF"/>
    <s v="PP/PE Fabric"/>
    <s v="PP Lam Fabric"/>
    <s v="PP Laminated Fabric"/>
    <s v="PP Lam Fabric With UV"/>
    <n v="2103"/>
    <n v="257710.03"/>
  </r>
  <r>
    <x v="0"/>
    <s v="Plastene India Limited "/>
    <d v="2023-04-23T00:00:00"/>
    <s v="Plastene Polyfilms Ltd-Sales"/>
    <s v="Sales"/>
    <n v="112"/>
    <x v="1"/>
    <s v="PIL1/D/112"/>
    <d v="2023-04-23T00:00:00"/>
    <s v="SF"/>
    <s v="Webbing"/>
    <s v="PP Webbing"/>
    <s v="PP Webbing"/>
    <s v="Webbing"/>
    <n v="90.1"/>
    <n v="14137.05"/>
  </r>
  <r>
    <x v="0"/>
    <s v="Plastene India Limited "/>
    <d v="2023-04-23T00:00:00"/>
    <s v="Plastene Polyfilms Ltd-Sales"/>
    <s v="Sales"/>
    <n v="112"/>
    <x v="1"/>
    <s v="PIL1/D/112"/>
    <d v="2023-04-23T00:00:00"/>
    <s v="SF"/>
    <s v="Webbing"/>
    <s v="PP Webbing"/>
    <s v="PP Webbing"/>
    <s v="Webbing"/>
    <n v="527"/>
    <n v="63263.19"/>
  </r>
  <r>
    <x v="0"/>
    <s v="Plastene India Limited "/>
    <d v="2023-04-23T00:00:00"/>
    <s v="Plastene Polyfilms Ltd-Sales"/>
    <s v="Sales"/>
    <n v="112"/>
    <x v="1"/>
    <s v="PIL1/D/112"/>
    <d v="2023-04-23T00:00:00"/>
    <s v="SF"/>
    <s v="Yarn All"/>
    <s v="PP Yarn"/>
    <s v="PP Filament Yarn"/>
    <s v="PP Braided Rope MW 6 to 8 GPM"/>
    <n v="17.5"/>
    <n v="2483.3200000000002"/>
  </r>
  <r>
    <x v="0"/>
    <s v="Plastene India Limited "/>
    <d v="2023-04-24T00:00:00"/>
    <s v="Jain Bulk Pack - Sales"/>
    <s v="Sales"/>
    <n v="121"/>
    <x v="0"/>
    <s v="PIL1/D/121"/>
    <d v="2023-04-24T00:00:00"/>
    <s v="RM"/>
    <s v="Granules"/>
    <s v="HDPE Granules"/>
    <s v="HDPE Granuels"/>
    <s v="HDPE IOCL 010E52"/>
    <n v="22000"/>
    <n v="2412014"/>
  </r>
  <r>
    <x v="0"/>
    <s v="Plastene India Limited "/>
    <d v="2023-04-24T00:00:00"/>
    <s v="Jain Bulk Pack - Sales"/>
    <s v="Sales"/>
    <n v="122"/>
    <x v="0"/>
    <s v="PIL1/D/122"/>
    <d v="2023-04-24T00:00:00"/>
    <s v="RM"/>
    <s v="Granules"/>
    <s v="PP Granules"/>
    <s v="PP Granuels"/>
    <s v="PP IOCL P1110MG"/>
    <n v="20000"/>
    <n v="1992060"/>
  </r>
  <r>
    <x v="0"/>
    <s v="Plastene India Limited "/>
    <d v="2023-04-24T00:00:00"/>
    <s v="K.P. Woven Pvt Ltd - Unit 3 -Sales"/>
    <s v="Export Sales"/>
    <s v="PIL1/E/78/23-24"/>
    <x v="6"/>
    <s v="PIL1/E/78/23-24"/>
    <d v="2023-04-24T00:00:00"/>
    <s v="SF"/>
    <s v="Webbing"/>
    <s v="PP Webbing"/>
    <s v="PP Webbing"/>
    <s v="Webbing"/>
    <n v="452.6"/>
    <n v="49846.492999999995"/>
  </r>
  <r>
    <x v="0"/>
    <s v="Plastene India Limited "/>
    <d v="2023-04-24T00:00:00"/>
    <s v="K.P. Woven Pvt Ltd - Unit 3 -Sales"/>
    <s v="Export Sales"/>
    <s v="PIL1/E/79/23-24"/>
    <x v="6"/>
    <s v="PIL1/E/79/23-24"/>
    <d v="2023-04-24T00:00:00"/>
    <s v="SF"/>
    <s v="PP/PE Fabric"/>
    <s v="PP Lam Fabric"/>
    <s v="PP Laminated Fabric"/>
    <s v="PP Lam Fabric With UV"/>
    <n v="7270.4"/>
    <n v="847240.89450000005"/>
  </r>
  <r>
    <x v="0"/>
    <s v="Plastene India Limited "/>
    <d v="2023-04-24T00:00:00"/>
    <s v="K.P. Woven Pvt Ltd - Unit 3 -Sales"/>
    <s v="Export Sales"/>
    <s v="PIL1/E/80/23-24"/>
    <x v="6"/>
    <s v="PIL1/E/80/23-24"/>
    <d v="2023-04-24T00:00:00"/>
    <s v="SF"/>
    <s v="PP/PE Fabric"/>
    <s v="PP Lam Fabric"/>
    <s v="PP Laminated Fabric"/>
    <s v="PP Lam Fabric With UV"/>
    <n v="2924.6"/>
    <n v="337277.05799999996"/>
  </r>
  <r>
    <x v="0"/>
    <s v="Plastene India Limited "/>
    <d v="2023-04-24T00:00:00"/>
    <s v="K.P. Woven Pvt Ltd - Unit 3 -Sales"/>
    <s v="Export Sales"/>
    <s v="PIL1/E/81/23-24"/>
    <x v="6"/>
    <s v="PIL1/E/81/23-24"/>
    <d v="2023-04-24T00:00:00"/>
    <s v="SF"/>
    <s v="Liners"/>
    <s v="LDPE/LLDPE Bags"/>
    <s v="LLDPE BAGS"/>
    <s v="LDPE/LLDPE Bags/Liner"/>
    <n v="1174.7"/>
    <n v="144881.04400000002"/>
  </r>
  <r>
    <x v="0"/>
    <s v="Plastene India Limited "/>
    <d v="2023-04-24T00:00:00"/>
    <s v="K.P. Woven Pvt Ltd-Sales"/>
    <s v="Sales"/>
    <n v="117"/>
    <x v="0"/>
    <s v="PIL1/D/117"/>
    <d v="2023-04-24T00:00:00"/>
    <s v="Consumables"/>
    <s v="Consumables"/>
    <s v="Spares &amp; Stores"/>
    <s v="Stores &amp; Consumables"/>
    <s v="Loadlok Posters"/>
    <n v="13.4"/>
    <n v="8287.99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1024"/>
    <n v="122925.06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553"/>
    <n v="65278.33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7105"/>
    <n v="852912.62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961"/>
    <n v="110557.28"/>
  </r>
  <r>
    <x v="0"/>
    <s v="Plastene India Limited "/>
    <d v="2023-04-24T00:00:00"/>
    <s v="K.P. Woven Pvt Ltd-Sales"/>
    <s v="Sales"/>
    <n v="119"/>
    <x v="0"/>
    <s v="PIL1/D/119"/>
    <d v="2023-04-24T00:00:00"/>
    <s v="Stores/Spares"/>
    <s v="MS Structure Items"/>
    <s v="Spares &amp; Stores"/>
    <s v="Stores &amp; Consumables"/>
    <s v="MS Pipe 4  C Class"/>
    <n v="501"/>
    <n v="24048"/>
  </r>
  <r>
    <x v="0"/>
    <s v="Plastene India Limited "/>
    <d v="2023-04-24T00:00:00"/>
    <s v="K.P. Woven Pvt Ltd-Sales"/>
    <s v="Sales"/>
    <n v="120"/>
    <x v="1"/>
    <s v="PIL1/D/120"/>
    <d v="2023-04-24T00:00:00"/>
    <s v="SF"/>
    <s v="PP/PE Fabric"/>
    <s v="PP Lam Fabric"/>
    <s v="PP Laminated Fabric"/>
    <s v="PP Lam Fabric With UV"/>
    <n v="1467"/>
    <n v="179772.05"/>
  </r>
  <r>
    <x v="0"/>
    <s v="Plastene India Limited "/>
    <d v="2023-04-24T00:00:00"/>
    <s v="K.P. Woven Pvt Ltd-Sales"/>
    <s v="Sales"/>
    <n v="120"/>
    <x v="1"/>
    <s v="PIL1/D/120"/>
    <d v="2023-04-24T00:00:00"/>
    <s v="SF"/>
    <s v="PP/PE Fabric"/>
    <s v="PP UL Fabric"/>
    <s v="PP WOVEN FABRIC (FG)"/>
    <s v="PP UL Fabric With UV"/>
    <n v="6570"/>
    <n v="768979.08"/>
  </r>
  <r>
    <x v="0"/>
    <s v="Plastene India Limited "/>
    <d v="2023-04-24T00:00:00"/>
    <s v="Plastene Polyfilms Ltd-Sales"/>
    <s v="Sales"/>
    <n v="113"/>
    <x v="1"/>
    <s v="PIL1/D/113"/>
    <d v="2023-04-24T00:00:00"/>
    <s v="SF"/>
    <s v="Liners"/>
    <s v="LDPE/LLDPE Bags"/>
    <s v="LLDPE BAGS"/>
    <s v="LDPE/LLDPE Bags/Liner"/>
    <n v="357.1"/>
    <n v="46024.83"/>
  </r>
  <r>
    <x v="0"/>
    <s v="Plastene India Limited "/>
    <d v="2023-04-24T00:00:00"/>
    <s v="Plastene Polyfilms Ltd-Sales"/>
    <s v="Sales"/>
    <n v="115"/>
    <x v="1"/>
    <s v="PIL1/D/115"/>
    <d v="2023-04-24T00:00:00"/>
    <s v="SF"/>
    <s v="PP/PE Fabric"/>
    <s v="PP UL Fabric"/>
    <s v="PP WOVEN FABRIC (FG)"/>
    <s v="PP UL Fabric With UV"/>
    <n v="2297"/>
    <n v="264256.07"/>
  </r>
  <r>
    <x v="0"/>
    <s v="Plastene India Limited "/>
    <d v="2023-04-24T00:00:00"/>
    <s v="Plastene Polyfilms Ltd-Sales"/>
    <s v="Sales"/>
    <n v="115"/>
    <x v="1"/>
    <s v="PIL1/D/115"/>
    <d v="2023-04-24T00:00:00"/>
    <s v="SF"/>
    <s v="PP/PE Fabric"/>
    <s v="PP UL Fabric"/>
    <s v="PP WOVEN FABRIC (FG)"/>
    <s v="PP UL Fabric With UV"/>
    <n v="408"/>
    <n v="48977.95"/>
  </r>
  <r>
    <x v="0"/>
    <s v="Plastene India Limited "/>
    <d v="2023-04-24T00:00:00"/>
    <s v="Plastene Polyfilms Ltd-Sales"/>
    <s v="Sales"/>
    <n v="115"/>
    <x v="1"/>
    <s v="PIL1/D/115"/>
    <d v="2023-04-24T00:00:00"/>
    <s v="SF"/>
    <s v="Liners"/>
    <s v="LDPE/LLDPE Bags"/>
    <s v="LLDPE BAGS"/>
    <s v="LDPE/LLDPE Bags/Liner"/>
    <n v="418.9"/>
    <n v="52314.33"/>
  </r>
  <r>
    <x v="0"/>
    <s v="Plastene India Limited "/>
    <d v="2023-04-24T00:00:00"/>
    <s v="Plastene Polyfilms Ltd-Sales"/>
    <s v="Sales"/>
    <n v="116"/>
    <x v="0"/>
    <s v="PIL1/D/116"/>
    <d v="2023-04-24T00:00:00"/>
    <s v="Stores/Spares"/>
    <s v="MS Structure Items"/>
    <s v="Spares &amp; Stores"/>
    <s v="Stores &amp; Consumables"/>
    <s v="MS Pipe 4  C Class"/>
    <n v="123"/>
    <n v="5904"/>
  </r>
  <r>
    <x v="0"/>
    <s v="Plastene India Limited "/>
    <d v="2023-04-25T00:00:00"/>
    <s v="Jain Bulk Pack - Rajkot"/>
    <s v="Sales Return"/>
    <s v="SR 1"/>
    <x v="8"/>
    <s v="PIL1/D/108"/>
    <d v="2023-04-21T00:00:00"/>
    <s v="RM"/>
    <s v="Granules"/>
    <s v="PP Granules"/>
    <s v="PP Granuels"/>
    <s v="PP IOCL 1110MAS"/>
    <n v="-24000"/>
    <n v="-2102676"/>
  </r>
  <r>
    <x v="0"/>
    <s v="Plastene India Limited "/>
    <d v="2023-04-25T00:00:00"/>
    <s v="K.P. Woven Pvt Ltd - Unit 3 -Sales"/>
    <s v="Export Sales"/>
    <s v="PIL1/E/83/23-24"/>
    <x v="6"/>
    <s v="PIL1/E/83/23-24"/>
    <d v="2023-04-25T00:00:00"/>
    <s v="SF"/>
    <s v="PP/PE Fabric"/>
    <s v="PP Lam Fabric"/>
    <s v="PP Laminated Fabric"/>
    <s v="PP Lam Fabric With UV"/>
    <n v="3304"/>
    <n v="381031.31899999996"/>
  </r>
  <r>
    <x v="0"/>
    <s v="Plastene India Limited "/>
    <d v="2023-04-25T00:00:00"/>
    <s v="K.P. Woven Pvt Ltd - Unit 3 -Sales"/>
    <s v="Export Sales"/>
    <s v="PIL1/E/84/23-24"/>
    <x v="6"/>
    <s v="PIL1/E/84/23-24"/>
    <d v="2023-04-25T00:00:00"/>
    <s v="SF"/>
    <s v="Liners"/>
    <s v="LDPE/LLDPE Bags"/>
    <s v="LLDPE BAGS"/>
    <s v="LDPE/LLDPE Bags/Liner"/>
    <n v="1128.2"/>
    <n v="139146.18300000002"/>
  </r>
  <r>
    <x v="0"/>
    <s v="Plastene India Limited "/>
    <d v="2023-04-25T00:00:00"/>
    <s v="K.P. Woven Pvt Ltd - Unit 3 -Sales"/>
    <s v="Export Sales"/>
    <s v="PIL1/E/85/23-24"/>
    <x v="6"/>
    <s v="PIL1/E/85/23-24"/>
    <d v="2023-04-25T00:00:00"/>
    <s v="SF"/>
    <s v="Tape Stock"/>
    <s v="PP Tapes"/>
    <s v="PP TAPE"/>
    <s v="PP Tapes"/>
    <n v="1304"/>
    <n v="138944.91600000003"/>
  </r>
  <r>
    <x v="0"/>
    <s v="Plastene India Limited "/>
    <d v="2023-04-25T00:00:00"/>
    <s v="K.P. Woven Pvt Ltd - Unit 3 -Sales"/>
    <s v="Export Sales"/>
    <s v="PIL1/E/86/23-24"/>
    <x v="6"/>
    <s v="PIL1/E/86/23-24"/>
    <d v="2023-04-25T00:00:00"/>
    <s v="SF"/>
    <s v="PP/PE Fabric"/>
    <s v="PP UL Fabric"/>
    <s v="PP WOVEN FABRIC (FG)"/>
    <s v="PP UL Fabric With UV"/>
    <n v="1414.4"/>
    <n v="158411.81899999999"/>
  </r>
  <r>
    <x v="0"/>
    <s v="Plastene India Limited "/>
    <d v="2023-04-25T00:00:00"/>
    <s v="K.P. Woven Pvt Ltd-Sales"/>
    <s v="Sales"/>
    <n v="128"/>
    <x v="1"/>
    <s v="PIL1/D/128"/>
    <d v="2023-04-25T00:00:00"/>
    <s v="SF"/>
    <s v="PP/PE Fabric"/>
    <s v="PP UL Fabric"/>
    <s v="PP WOVEN FABRIC (FG)"/>
    <s v="PP UL Fabric With UV"/>
    <n v="3178"/>
    <n v="381499.83"/>
  </r>
  <r>
    <x v="0"/>
    <s v="Plastene India Limited "/>
    <d v="2023-04-25T00:00:00"/>
    <s v="K.P. Woven Pvt Ltd-Sales"/>
    <s v="Sales"/>
    <n v="129"/>
    <x v="0"/>
    <s v="PIL1/D/129"/>
    <d v="2023-04-25T00:00:00"/>
    <s v="Stores/Spares"/>
    <s v="MS Structure Items"/>
    <s v="Spares &amp; Stores"/>
    <s v="Stores &amp; Consumables"/>
    <s v="MS Pipe 4  C Class"/>
    <n v="143"/>
    <n v="6864"/>
  </r>
  <r>
    <x v="0"/>
    <s v="Plastene India Limited "/>
    <d v="2023-04-25T00:00:00"/>
    <s v="K.P. Woven Pvt Ltd-Sales"/>
    <s v="SALES (FOREX)"/>
    <s v="PIL1/DE/7/23-24"/>
    <x v="1"/>
    <s v="PIL1/DE/7/23-24"/>
    <d v="2023-04-25T00:00:00"/>
    <s v="SF"/>
    <s v="Liners"/>
    <s v="LDPE/LLDPE Bags"/>
    <s v="LLDPE BAGS"/>
    <s v="LDPE/LLDPE Bags/Liner"/>
    <n v="2590"/>
    <n v="365500.8"/>
  </r>
  <r>
    <x v="0"/>
    <s v="Plastene India Limited "/>
    <d v="2023-04-25T00:00:00"/>
    <s v="Plastene Polyfilms Ltd-Sales"/>
    <s v="Sales"/>
    <n v="123"/>
    <x v="1"/>
    <s v="PIL1/D/123"/>
    <d v="2023-04-25T00:00:00"/>
    <s v="SF"/>
    <s v="Webbing"/>
    <s v="PP Webbing"/>
    <s v="PP Webbing"/>
    <s v="Webbing"/>
    <n v="129.5"/>
    <n v="20319.07"/>
  </r>
  <r>
    <x v="0"/>
    <s v="Plastene India Limited "/>
    <d v="2023-04-25T00:00:00"/>
    <s v="Plastene Polyfilms Ltd-Sales"/>
    <s v="Sales"/>
    <n v="124"/>
    <x v="1"/>
    <s v="PIL1/D/124"/>
    <d v="2023-04-25T00:00:00"/>
    <s v="SF"/>
    <s v="Yarn All"/>
    <s v="PP Yarn"/>
    <s v="PP Filament Yarn"/>
    <s v="PP Braided Rope MW 6 to 8 GPM"/>
    <n v="17.2"/>
    <n v="2440.75"/>
  </r>
  <r>
    <x v="0"/>
    <s v="Plastene India Limited "/>
    <d v="2023-04-25T00:00:00"/>
    <s v="Plastene Polyfilms Ltd-Sales"/>
    <s v="Sales"/>
    <n v="124"/>
    <x v="1"/>
    <s v="PIL1/D/124"/>
    <d v="2023-04-25T00:00:00"/>
    <s v="SF"/>
    <s v="PP/PE Fabric"/>
    <s v="PP UL Fabric"/>
    <s v="PP WOVEN FABRIC (FG)"/>
    <s v="PP UL Fabric With UV"/>
    <n v="1652"/>
    <n v="190052.69"/>
  </r>
  <r>
    <x v="0"/>
    <s v="Plastene India Limited "/>
    <d v="2023-04-25T00:00:00"/>
    <s v="Plastene Polyfilms Ltd-Sales"/>
    <s v="Sales"/>
    <n v="124"/>
    <x v="1"/>
    <s v="PIL1/D/124"/>
    <d v="2023-04-25T00:00:00"/>
    <s v="SF"/>
    <s v="PP/PE Fabric"/>
    <s v="PP UL Fabric"/>
    <s v="PP WOVEN FABRIC (FG)"/>
    <s v="PP UL Fabric With UV"/>
    <n v="3822"/>
    <n v="458808.17"/>
  </r>
  <r>
    <x v="0"/>
    <s v="Plastene India Limited "/>
    <d v="2023-04-25T00:00:00"/>
    <s v="Plastene Polyfilms Ltd-Sales"/>
    <s v="Sales"/>
    <n v="124"/>
    <x v="1"/>
    <s v="PIL1/D/124"/>
    <d v="2023-04-25T00:00:00"/>
    <s v="SF"/>
    <s v="Webbing"/>
    <s v="PP Webbing"/>
    <s v="PP Webbing"/>
    <s v="Webbing"/>
    <n v="573.9"/>
    <n v="68893.25"/>
  </r>
  <r>
    <x v="0"/>
    <s v="Plastene India Limited "/>
    <d v="2023-04-25T00:00:00"/>
    <s v="Plastene Polyfilms Ltd-Sales"/>
    <s v="Sales"/>
    <n v="125"/>
    <x v="0"/>
    <s v="PIL1/D/125"/>
    <d v="2023-04-25T00:00:00"/>
    <s v="Stores/Spares"/>
    <s v="MS Structure Items"/>
    <s v="Spares &amp; Stores"/>
    <s v="Stores &amp; Consumables"/>
    <s v="MS Pipe 4  C Class"/>
    <n v="249"/>
    <n v="11952"/>
  </r>
  <r>
    <x v="0"/>
    <s v="Plastene India Limited "/>
    <d v="2023-04-25T00:00:00"/>
    <s v="Plastene Polyfilms Ltd-Sales"/>
    <s v="Sales"/>
    <n v="126"/>
    <x v="0"/>
    <s v="PIL1/D/126"/>
    <d v="2023-04-25T00:00:00"/>
    <s v="Capex"/>
    <s v="Building Material"/>
    <s v="Spares &amp; Stores"/>
    <s v="Stores &amp; Consumables"/>
    <s v="Supply: Design, Manufacturing, Supply &amp; Transportation Of  Peb Building"/>
    <n v="0.31"/>
    <n v="22010"/>
  </r>
  <r>
    <x v="0"/>
    <s v="Plastene India Limited "/>
    <d v="2023-04-25T00:00:00"/>
    <s v="Plastene Polyfilms Ltd-Sales"/>
    <s v="Sales"/>
    <n v="127"/>
    <x v="1"/>
    <s v="PIL1/D/127"/>
    <d v="2023-04-25T00:00:00"/>
    <s v="SF"/>
    <s v="Liners"/>
    <s v="LDPE/LLDPE Bags"/>
    <s v="LLDPE BAGS"/>
    <s v="LDPE/LLDPE Bags/Liner"/>
    <n v="2292"/>
    <n v="295404.42"/>
  </r>
  <r>
    <x v="0"/>
    <s v="Plastene India Limited "/>
    <d v="2023-04-25T00:00:00"/>
    <s v="Plastene Polyfilms Ltd-Sales"/>
    <s v="Sales"/>
    <n v="127"/>
    <x v="1"/>
    <s v="PIL1/D/127"/>
    <d v="2023-04-25T00:00:00"/>
    <s v="SF"/>
    <s v="Liners"/>
    <s v="LDPE/LLDPE Bags"/>
    <s v="LLDPE BAGS"/>
    <s v="LDPE/LLDPE Bags/Liner"/>
    <n v="619.20000000000005"/>
    <n v="77328.789999999994"/>
  </r>
  <r>
    <x v="0"/>
    <s v="Plastene India Limited "/>
    <d v="2023-04-26T00:00:00"/>
    <s v="Jain Bulk Pack - Sales"/>
    <s v="Sales"/>
    <n v="134"/>
    <x v="0"/>
    <s v="PIL1/D/134"/>
    <d v="2023-04-26T00:00:00"/>
    <s v="RM"/>
    <s v="Granules"/>
    <s v="HDPE Granules"/>
    <s v="HDPE Granuels"/>
    <s v="HDPE IOCL 010E52"/>
    <n v="24000"/>
    <n v="2649768"/>
  </r>
  <r>
    <x v="0"/>
    <s v="Plastene India Limited "/>
    <d v="2023-04-26T00:00:00"/>
    <s v="K.P. Woven Pvt Ltd - Unit 3 -Sales"/>
    <s v="Export Sales"/>
    <s v="PIL1/E/87/23-24"/>
    <x v="6"/>
    <s v="PIL1/E/87/23-24"/>
    <d v="2023-04-26T00:00:00"/>
    <s v="SF"/>
    <s v="Liners"/>
    <s v="LDPE/LLDPE Bags"/>
    <s v="LLDPE BAGS"/>
    <s v="LDPE/LLDPE Bags/Liner"/>
    <n v="5598.6"/>
    <n v="690501.68550000002"/>
  </r>
  <r>
    <x v="0"/>
    <s v="Plastene India Limited "/>
    <d v="2023-04-26T00:00:00"/>
    <s v="K.P. Woven Pvt Ltd - Unit 3 -Sales"/>
    <s v="Export Sales"/>
    <s v="PIL1/E/88/23-24"/>
    <x v="6"/>
    <s v="PIL1/E/88/23-24"/>
    <d v="2023-04-26T00:00:00"/>
    <s v="SF"/>
    <s v="PP/PE Fabric"/>
    <s v="PP Lam Fabric"/>
    <s v="PP Laminated Fabric"/>
    <s v="PP Lam Fabric With UV"/>
    <n v="2060"/>
    <n v="237567.85199999998"/>
  </r>
  <r>
    <x v="0"/>
    <s v="Plastene India Limited "/>
    <d v="2023-04-26T00:00:00"/>
    <s v="Plastene Polyfilms Ltd-Sales"/>
    <s v="Sales"/>
    <n v="130"/>
    <x v="0"/>
    <s v="PIL1/D/130"/>
    <d v="2023-04-26T00:00:00"/>
    <s v="Stores/Spares"/>
    <s v="MS Structure Items"/>
    <s v="Spares &amp; Stores"/>
    <s v="Stores &amp; Consumables"/>
    <s v="MS Plate 20 mm"/>
    <n v="12"/>
    <n v="702"/>
  </r>
  <r>
    <x v="0"/>
    <s v="Plastene India Limited "/>
    <d v="2023-04-26T00:00:00"/>
    <s v="Plastene Polyfilms Ltd-Sales"/>
    <s v="Sales"/>
    <n v="131"/>
    <x v="1"/>
    <s v="PIL1/D/131"/>
    <d v="2023-04-26T00:00:00"/>
    <s v="SF"/>
    <s v="Webbing"/>
    <s v="PP Webbing"/>
    <s v="PP Webbing"/>
    <s v="Webbing"/>
    <n v="724.2"/>
    <n v="86935.86"/>
  </r>
  <r>
    <x v="0"/>
    <s v="Plastene India Limited "/>
    <d v="2023-04-26T00:00:00"/>
    <s v="Plastene Polyfilms Ltd-Sales"/>
    <s v="Sales"/>
    <n v="131"/>
    <x v="1"/>
    <s v="PIL1/D/131"/>
    <d v="2023-04-26T00:00:00"/>
    <s v="SF"/>
    <s v="PP/PE Fabric"/>
    <s v="PP UL Fabric"/>
    <s v="PP WOVEN FABRIC (FG)"/>
    <s v="PP UL Fabric With UV"/>
    <n v="1563"/>
    <n v="179813.77"/>
  </r>
  <r>
    <x v="0"/>
    <s v="Plastene India Limited "/>
    <d v="2023-04-26T00:00:00"/>
    <s v="Plastene Polyfilms Ltd-Sales"/>
    <s v="Sales"/>
    <n v="131"/>
    <x v="1"/>
    <s v="PIL1/D/131"/>
    <d v="2023-04-26T00:00:00"/>
    <s v="SF"/>
    <s v="PP/PE Fabric"/>
    <s v="PP UL Fabric"/>
    <s v="PP WOVEN FABRIC (FG)"/>
    <s v="PP UL Fabric With UV"/>
    <n v="773"/>
    <n v="92794.01"/>
  </r>
  <r>
    <x v="0"/>
    <s v="Plastene India Limited "/>
    <d v="2023-04-26T00:00:00"/>
    <s v="Plastene Polyfilms Ltd-Sales"/>
    <s v="Sales"/>
    <n v="132"/>
    <x v="0"/>
    <s v="PIL1/D/132"/>
    <d v="2023-04-26T00:00:00"/>
    <s v="Stores/Spares"/>
    <s v="MS Structure Items"/>
    <s v="Spares &amp; Stores"/>
    <s v="Stores &amp; Consumables"/>
    <s v="MS Pipe 4  C Class"/>
    <n v="130"/>
    <n v="6240"/>
  </r>
  <r>
    <x v="0"/>
    <s v="Plastene India Limited "/>
    <d v="2023-04-26T00:00:00"/>
    <s v="Plastene Polyfilms Ltd-Sales"/>
    <s v="Sales"/>
    <n v="133"/>
    <x v="0"/>
    <s v="PIL1/D/133"/>
    <d v="2023-04-26T00:00:00"/>
    <s v="RM"/>
    <s v="Granules"/>
    <s v="Filler"/>
    <s v="FILLER - CACO3"/>
    <s v="Filler Everplus E102 PP"/>
    <n v="16000"/>
    <n v="464480"/>
  </r>
  <r>
    <x v="0"/>
    <s v="Plastene India Limited "/>
    <d v="2023-04-27T00:00:00"/>
    <s v="Jain Bulk Pack - Sales"/>
    <s v="Sales"/>
    <n v="137"/>
    <x v="0"/>
    <s v="PIL1/D/137"/>
    <d v="2023-04-27T00:00:00"/>
    <s v="RM"/>
    <s v="Granules"/>
    <s v="PP Granules"/>
    <s v="PP Granuels"/>
    <s v="PP IOCL P1110MAS"/>
    <n v="6000"/>
    <n v="602418"/>
  </r>
  <r>
    <x v="0"/>
    <s v="Plastene India Limited "/>
    <d v="2023-04-27T00:00:00"/>
    <s v="Jain Bulk Pack - Sales"/>
    <s v="Sales"/>
    <n v="138"/>
    <x v="0"/>
    <s v="PIL1/D/138"/>
    <d v="2023-04-27T00:00:00"/>
    <s v="RM"/>
    <s v="Granules"/>
    <s v="PP Granules"/>
    <s v="PP Granuels"/>
    <s v="PP IOCL P1110MG"/>
    <n v="6000"/>
    <n v="597618"/>
  </r>
  <r>
    <x v="0"/>
    <s v="Plastene India Limited "/>
    <d v="2023-04-27T00:00:00"/>
    <s v="K.P. Woven Pvt Ltd - Unit 3 -Sales"/>
    <s v="Export Sales"/>
    <s v="PIL1/E/90/23-24"/>
    <x v="6"/>
    <s v="PIL1/E/90/23-24"/>
    <d v="2023-04-27T00:00:00"/>
    <s v="SF"/>
    <s v="PP/PE Fabric"/>
    <s v="PP UL Fabric"/>
    <s v="PP WOVEN FABRIC (FG)"/>
    <s v="PP UL Fabric With UV"/>
    <n v="114.5"/>
    <n v="12823.531999999999"/>
  </r>
  <r>
    <x v="0"/>
    <s v="Plastene India Limited "/>
    <d v="2023-04-27T00:00:00"/>
    <s v="K.P. Woven Pvt Ltd - Unit 3 -Sales"/>
    <s v="Export Sales"/>
    <s v="PIL1/E/91/23-24"/>
    <x v="6"/>
    <s v="PIL1/E/91/23-24"/>
    <d v="2023-04-27T00:00:00"/>
    <s v="SF"/>
    <s v="PP/PE Fabric"/>
    <s v="PP Lam Fabric"/>
    <s v="PP Laminated Fabric"/>
    <s v="PP Lam Fabric With UV"/>
    <n v="4560"/>
    <n v="525878.35199999996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1000 UV NW"/>
    <n v="2280.8000000000002"/>
    <n v="284983.84200000006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3000 Denier UV NW"/>
    <n v="900.4"/>
    <n v="112503.754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2500 Denier UV NW"/>
    <n v="2215"/>
    <n v="276761.62800000003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1500 Denier UV NW"/>
    <n v="1099.2"/>
    <n v="137343.77800000002"/>
  </r>
  <r>
    <x v="0"/>
    <s v="Plastene India Limited "/>
    <d v="2023-04-27T00:00:00"/>
    <s v="K.P. Woven Pvt Ltd - Unit 3 -Sales"/>
    <s v="Export Sales"/>
    <s v="PIL1/E/93/23-24"/>
    <x v="6"/>
    <s v="PIL1/E/93/23-24"/>
    <d v="2023-04-27T00:00:00"/>
    <s v="SF"/>
    <s v="Liners"/>
    <s v="LDPE/LLDPE Bags"/>
    <s v="LLDPE BAGS"/>
    <s v="LDPE/LLDPE Bags/Liner"/>
    <n v="923.9"/>
    <n v="113949.01650000001"/>
  </r>
  <r>
    <x v="0"/>
    <s v="Plastene India Limited "/>
    <d v="2023-04-27T00:00:00"/>
    <s v="K.P. Woven Pvt Ltd-Sales"/>
    <s v="Sales"/>
    <n v="139"/>
    <x v="1"/>
    <s v="PIL1/D/139"/>
    <d v="2023-04-27T00:00:00"/>
    <s v="SF"/>
    <s v="PP/PE Fabric"/>
    <s v="PP UL Fabric"/>
    <s v="PP WOVEN FABRIC (FG)"/>
    <s v="PP UL Fabric With UV"/>
    <n v="207"/>
    <n v="24435.11"/>
  </r>
  <r>
    <x v="0"/>
    <s v="Plastene India Limited "/>
    <d v="2023-04-27T00:00:00"/>
    <s v="K.P. Woven Pvt Ltd-Sales"/>
    <s v="Sales"/>
    <n v="139"/>
    <x v="1"/>
    <s v="PIL1/D/139"/>
    <d v="2023-04-27T00:00:00"/>
    <s v="SF"/>
    <s v="PP/PE Fabric"/>
    <s v="PP UL Fabric"/>
    <s v="PP WOVEN FABRIC (FG)"/>
    <s v="PP UL Fabric With UV"/>
    <n v="113"/>
    <n v="13564.97"/>
  </r>
  <r>
    <x v="0"/>
    <s v="Plastene India Limited "/>
    <d v="2023-04-27T00:00:00"/>
    <s v="K.P. Woven Pvt Ltd-Sales"/>
    <s v="Sales"/>
    <n v="139"/>
    <x v="1"/>
    <s v="PIL1/D/139"/>
    <d v="2023-04-27T00:00:00"/>
    <s v="SF"/>
    <s v="Webbing"/>
    <s v="PP Webbing"/>
    <s v="PP Webbing"/>
    <s v="Webbing"/>
    <n v="11.5"/>
    <n v="1346.01"/>
  </r>
  <r>
    <x v="0"/>
    <s v="Plastene India Limited "/>
    <d v="2023-04-27T00:00:00"/>
    <s v="K.P. Woven Pvt Ltd-Sales"/>
    <s v="Sales"/>
    <n v="139"/>
    <x v="1"/>
    <s v="PIL1/D/139"/>
    <d v="2023-04-27T00:00:00"/>
    <s v="SF"/>
    <s v="Webbing"/>
    <s v="PP Webbing"/>
    <s v="PP Webbing"/>
    <s v="Webbing"/>
    <n v="1148.9000000000001"/>
    <n v="176820.31"/>
  </r>
  <r>
    <x v="0"/>
    <s v="Plastene India Limited "/>
    <d v="2023-04-27T00:00:00"/>
    <s v="K.P. Woven Pvt Ltd-Sales"/>
    <s v="Sales"/>
    <n v="140"/>
    <x v="0"/>
    <s v="PIL1/D/140"/>
    <d v="2023-04-27T00:00:00"/>
    <s v="Stores/Spares"/>
    <s v="MS Structure Items"/>
    <s v="Spares &amp; Stores"/>
    <s v="Stores &amp; Consumables"/>
    <s v="MS Pipe 4  C Class"/>
    <n v="31"/>
    <n v="1488"/>
  </r>
  <r>
    <x v="0"/>
    <s v="Plastene India Limited "/>
    <d v="2023-04-27T00:00:00"/>
    <s v="K.P. Woven Pvt Ltd-Sales"/>
    <s v="SALES (FOREX)"/>
    <s v="PIL1/DE/8/23-24"/>
    <x v="1"/>
    <s v="PIL1/DE/8/23-24"/>
    <d v="2023-04-27T00:00:00"/>
    <s v="SF"/>
    <s v="Liners"/>
    <s v="LDPE/LLDPE Bags"/>
    <s v="LLDPE BAGS"/>
    <s v="LDPE/LLDPE Bags/Liner"/>
    <n v="18.7"/>
    <n v="2264.94"/>
  </r>
  <r>
    <x v="0"/>
    <s v="Plastene India Limited "/>
    <d v="2023-04-27T00:00:00"/>
    <s v="K.P. Woven Pvt Ltd-Sales"/>
    <s v="SALES (FOREX)"/>
    <s v="PIL1/DE/8/23-24"/>
    <x v="1"/>
    <s v="PIL1/DE/8/23-24"/>
    <d v="2023-04-27T00:00:00"/>
    <s v="SF"/>
    <s v="Liners"/>
    <s v="LDPE/LLDPE Bags"/>
    <s v="LLDPE BAGS"/>
    <s v="LDPE/LLDPE Bags/Liner"/>
    <n v="1728"/>
    <n v="243855.35999999999"/>
  </r>
  <r>
    <x v="0"/>
    <s v="Plastene India Limited "/>
    <d v="2023-04-27T00:00:00"/>
    <s v="Plastene Polyfilms Ltd-Sales"/>
    <s v="Sales"/>
    <n v="135"/>
    <x v="1"/>
    <s v="PIL1/D/135"/>
    <d v="2023-04-27T00:00:00"/>
    <s v="SF"/>
    <s v="Webbing"/>
    <s v="PP Webbing"/>
    <s v="PP Webbing"/>
    <s v="Webbing"/>
    <n v="650.20000000000005"/>
    <n v="78052.61"/>
  </r>
  <r>
    <x v="0"/>
    <s v="Plastene India Limited "/>
    <d v="2023-04-27T00:00:00"/>
    <s v="Plastene Polyfilms Ltd-Sales"/>
    <s v="Sales"/>
    <n v="135"/>
    <x v="1"/>
    <s v="PIL1/D/135"/>
    <d v="2023-04-27T00:00:00"/>
    <s v="SF"/>
    <s v="Webbing"/>
    <s v="PP Webbing"/>
    <s v="PP Webbing"/>
    <s v="Webbing"/>
    <n v="91.7"/>
    <n v="14388.1"/>
  </r>
  <r>
    <x v="0"/>
    <s v="Plastene India Limited "/>
    <d v="2023-04-27T00:00:00"/>
    <s v="Plastene Polyfilms Ltd-Sales"/>
    <s v="Sales"/>
    <n v="135"/>
    <x v="1"/>
    <s v="PIL1/D/135"/>
    <d v="2023-04-27T00:00:00"/>
    <s v="SF"/>
    <s v="PP/PE Fabric"/>
    <s v="PP UL Fabric"/>
    <s v="PP WOVEN FABRIC (FG)"/>
    <s v="PP UL Fabric With UV"/>
    <n v="406"/>
    <n v="48737.86"/>
  </r>
  <r>
    <x v="0"/>
    <s v="Plastene India Limited "/>
    <d v="2023-04-27T00:00:00"/>
    <s v="Plastene Polyfilms Ltd-Sales"/>
    <s v="Sales"/>
    <n v="135"/>
    <x v="1"/>
    <s v="PIL1/D/135"/>
    <d v="2023-04-27T00:00:00"/>
    <s v="SF"/>
    <s v="PP/PE Fabric"/>
    <s v="PP Lam Fabric"/>
    <s v="PP Laminated Fabric"/>
    <s v="PP Lam Fabric With UV"/>
    <n v="3183"/>
    <n v="388466.05"/>
  </r>
  <r>
    <x v="0"/>
    <s v="Plastene India Limited "/>
    <d v="2023-04-27T00:00:00"/>
    <s v="Plastene Polyfilms Ltd-Sales"/>
    <s v="Sales"/>
    <n v="135"/>
    <x v="1"/>
    <s v="PIL1/D/135"/>
    <d v="2023-04-27T00:00:00"/>
    <s v="SF"/>
    <s v="PP/PE Fabric"/>
    <s v="PP UL Fabric"/>
    <s v="PP WOVEN FABRIC (FG)"/>
    <s v="PP UL Fabric With UV"/>
    <n v="896"/>
    <n v="103079.42"/>
  </r>
  <r>
    <x v="0"/>
    <s v="Plastene India Limited "/>
    <d v="2023-04-27T00:00:00"/>
    <s v="Plastene Polyfilms Ltd-Sales"/>
    <s v="Sales"/>
    <n v="136"/>
    <x v="0"/>
    <s v="PIL1/D/136"/>
    <d v="2023-04-27T00:00:00"/>
    <s v="Stores/Spares"/>
    <s v="MS Structure Items"/>
    <s v="Spares &amp; Stores"/>
    <s v="Stores &amp; Consumables"/>
    <s v="MS Pipe 4  C Class"/>
    <n v="157"/>
    <n v="7536"/>
  </r>
  <r>
    <x v="0"/>
    <s v="Plastene India Limited "/>
    <d v="2023-04-27T00:00:00"/>
    <s v="Plastene Polyfilms Ltd-Sales"/>
    <s v="Sales"/>
    <n v="143"/>
    <x v="0"/>
    <s v="PIL1/D/143"/>
    <d v="2023-04-27T00:00:00"/>
    <s v="RM"/>
    <s v="Granules"/>
    <s v="Masterbatch"/>
    <s v="Master Batch"/>
    <s v="MB Karnavati Polyplast Blue"/>
    <n v="100"/>
    <n v="21200"/>
  </r>
  <r>
    <x v="0"/>
    <s v="Plastene India Limited "/>
    <d v="2023-04-28T00:00:00"/>
    <s v="K.P. Woven Pvt Ltd-Sales"/>
    <s v="Sales"/>
    <n v="148"/>
    <x v="1"/>
    <s v="PIL1/D/148"/>
    <d v="2023-04-28T00:00:00"/>
    <s v="SF"/>
    <s v="Yarn All"/>
    <s v="PP Yarn"/>
    <s v="PP Filament Yarn"/>
    <s v="PP MF Yarn Twisted 1000 UV NW"/>
    <n v="1359.4"/>
    <n v="179310.3"/>
  </r>
  <r>
    <x v="0"/>
    <s v="Plastene India Limited "/>
    <d v="2023-04-28T00:00:00"/>
    <s v="Plastene Polyfilms Ltd-Sales"/>
    <s v="Sales"/>
    <n v="145"/>
    <x v="1"/>
    <s v="PIL1/D/145"/>
    <d v="2023-04-28T00:00:00"/>
    <s v="SF"/>
    <s v="Webbing"/>
    <s v="PP Webbing"/>
    <s v="PP Webbing"/>
    <s v="Webbing"/>
    <n v="111.2"/>
    <n v="17447.72"/>
  </r>
  <r>
    <x v="0"/>
    <s v="Plastene India Limited "/>
    <d v="2023-04-28T00:00:00"/>
    <s v="Plastene Polyfilms Ltd-Sales"/>
    <s v="Sales"/>
    <n v="145"/>
    <x v="1"/>
    <s v="PIL1/D/145"/>
    <d v="2023-04-28T00:00:00"/>
    <s v="SF"/>
    <s v="Webbing"/>
    <s v="PP Webbing"/>
    <s v="PP Webbing"/>
    <s v="Webbing"/>
    <n v="503.1"/>
    <n v="60394.14"/>
  </r>
  <r>
    <x v="0"/>
    <s v="Plastene India Limited "/>
    <d v="2023-04-28T00:00:00"/>
    <s v="Plastene Polyfilms Ltd-Sales"/>
    <s v="Sales"/>
    <n v="145"/>
    <x v="1"/>
    <s v="PIL1/D/145"/>
    <d v="2023-04-28T00:00:00"/>
    <s v="SF"/>
    <s v="PP/PE Fabric"/>
    <s v="PP Lam Fabric"/>
    <s v="PP Laminated Fabric"/>
    <s v="PP Lam Fabric With UV"/>
    <n v="749"/>
    <n v="91410.96"/>
  </r>
  <r>
    <x v="0"/>
    <s v="Plastene India Limited "/>
    <d v="2023-04-28T00:00:00"/>
    <s v="Plastene Polyfilms Ltd-Sales"/>
    <s v="Sales"/>
    <n v="145"/>
    <x v="1"/>
    <s v="PIL1/D/145"/>
    <d v="2023-04-28T00:00:00"/>
    <s v="SF"/>
    <s v="PP/PE Fabric"/>
    <s v="PP UL Fabric"/>
    <s v="PP WOVEN FABRIC (FG)"/>
    <s v="PP UL Fabric With UV"/>
    <n v="369"/>
    <n v="43189.24"/>
  </r>
  <r>
    <x v="0"/>
    <s v="Plastene India Limited "/>
    <d v="2023-04-28T00:00:00"/>
    <s v="Plastene Polyfilms Ltd-Sales"/>
    <s v="Sales"/>
    <n v="145"/>
    <x v="1"/>
    <s v="PIL1/D/145"/>
    <d v="2023-04-28T00:00:00"/>
    <s v="SF"/>
    <s v="PP/PE Fabric"/>
    <s v="PP UL Fabric"/>
    <s v="PP WOVEN FABRIC (FG)"/>
    <s v="PP UL Fabric With UV"/>
    <n v="1097"/>
    <n v="126203.27"/>
  </r>
  <r>
    <x v="0"/>
    <s v="Plastene India Limited "/>
    <d v="2023-04-28T00:00:00"/>
    <s v="Plastene Polyfilms Ltd-Sales"/>
    <s v="Sales"/>
    <n v="146"/>
    <x v="0"/>
    <s v="PIL1/D/146"/>
    <d v="2023-04-28T00:00:00"/>
    <s v="Stores/Spares"/>
    <s v="MS Structure Items"/>
    <s v="Spares &amp; Stores"/>
    <s v="Stores &amp; Consumables"/>
    <s v="MS Pipe 4  C Class"/>
    <n v="85"/>
    <n v="4080"/>
  </r>
  <r>
    <x v="0"/>
    <s v="Plastene India Limited "/>
    <d v="2023-04-28T00:00:00"/>
    <s v="Plastene Polyfilms Ltd-Sales"/>
    <s v="Sales"/>
    <n v="147"/>
    <x v="1"/>
    <s v="PIL1/D/147"/>
    <d v="2023-04-28T00:00:00"/>
    <s v="SF"/>
    <s v="Liners"/>
    <s v="LDPE/LLDPE Bags"/>
    <s v="LLDPE BAGS"/>
    <s v="LDPE/LLDPE Bags/Liner"/>
    <n v="2131.1999999999998"/>
    <n v="274679.71000000002"/>
  </r>
  <r>
    <x v="0"/>
    <s v="Plastene India Limited "/>
    <d v="2023-04-29T00:00:00"/>
    <s v="HCP Plastene Bulkpack Limited - Sales"/>
    <s v="Sales"/>
    <n v="153"/>
    <x v="1"/>
    <s v="PIL1/D/153"/>
    <d v="2023-04-29T00:00:00"/>
    <s v="SF"/>
    <s v="PP/PE Fabric"/>
    <s v="PP UL Fabric"/>
    <s v="PP WOVEN FABRIC (FG)"/>
    <s v="PP UL Fabric With UV"/>
    <n v="4513"/>
    <n v="541758.56999999995"/>
  </r>
  <r>
    <x v="0"/>
    <s v="Plastene India Limited "/>
    <d v="2023-04-29T00:00:00"/>
    <s v="HCP Plastene Bulkpack Limited - Sales"/>
    <s v="Sales"/>
    <n v="154"/>
    <x v="0"/>
    <s v="PIL1/D/154"/>
    <d v="2023-04-29T00:00:00"/>
    <s v="Stores/Spares"/>
    <s v="MS Structure Items"/>
    <s v="Spares &amp; Stores"/>
    <s v="Stores &amp; Consumables"/>
    <s v="MS Pipe 4  C Class"/>
    <n v="183"/>
    <n v="8784"/>
  </r>
  <r>
    <x v="0"/>
    <s v="Plastene India Limited "/>
    <d v="2023-04-29T00:00:00"/>
    <s v="Jain Bulk Pack - Sales"/>
    <s v="Sales"/>
    <n v="150"/>
    <x v="0"/>
    <s v="PIL1/D/150"/>
    <d v="2023-04-29T00:00:00"/>
    <s v="RM"/>
    <s v="Granules"/>
    <s v="HDPE Granules"/>
    <s v="HDPE Granuels"/>
    <s v="HDPE IOCL 012E50"/>
    <n v="10000"/>
    <n v="1069500"/>
  </r>
  <r>
    <x v="0"/>
    <s v="Plastene India Limited "/>
    <d v="2023-04-29T00:00:00"/>
    <s v="Jain Bulk Pack - Sales"/>
    <s v="Sales"/>
    <n v="151"/>
    <x v="0"/>
    <s v="PIL1/D/151"/>
    <d v="2023-04-29T00:00:00"/>
    <s v="RM"/>
    <s v="Granules"/>
    <s v="PP Granules"/>
    <s v="PP Granuels"/>
    <s v="PP IOCL P1110MAS"/>
    <n v="24000"/>
    <n v="2410152"/>
  </r>
  <r>
    <x v="0"/>
    <s v="Plastene India Limited "/>
    <d v="2023-04-29T00:00:00"/>
    <s v="K.P. Woven Pvt Ltd - Unit 3 -Sales"/>
    <s v="Export Sales"/>
    <s v="PIL1/E/100/23-24"/>
    <x v="6"/>
    <s v="PIL1/E/100/23-24"/>
    <d v="2023-04-29T00:00:00"/>
    <s v="SF"/>
    <s v="Liners"/>
    <s v="LDPE/LLDPE Bags"/>
    <s v="LLDPE BAGS"/>
    <s v="LDPE/LLDPE Bags/Liner"/>
    <n v="2563.35"/>
    <n v="316149.98800000001"/>
  </r>
  <r>
    <x v="0"/>
    <s v="Plastene India Limited "/>
    <d v="2023-04-29T00:00:00"/>
    <s v="K.P. Woven Pvt Ltd - Unit 3 -Sales"/>
    <s v="SALES (FOREX)"/>
    <s v="PIL1/E/96/23-24"/>
    <x v="6"/>
    <s v="PIL1/E/96/23-24"/>
    <d v="2023-04-29T00:00:00"/>
    <s v="SF"/>
    <s v="Yarn All"/>
    <s v="PP Yarn"/>
    <s v="PP TAPE"/>
    <s v="PP Conductive Tape 1100 Black"/>
    <n v="150.19999999999999"/>
    <n v="72771.899999999994"/>
  </r>
  <r>
    <x v="0"/>
    <s v="Plastene India Limited "/>
    <d v="2023-04-29T00:00:00"/>
    <s v="K.P. Woven Pvt Ltd - Unit 3 -Sales"/>
    <s v="Export Sales"/>
    <s v="PIL1/E/97/23-24"/>
    <x v="6"/>
    <s v="PIL1/E/97/23-24"/>
    <d v="2023-04-29T00:00:00"/>
    <s v="SF"/>
    <s v="PP/PE Fabric"/>
    <s v="PP Lam Fabric"/>
    <s v="PP Laminated Fabric"/>
    <s v="PP Lam Fabric With UV"/>
    <n v="1203"/>
    <n v="138735.337"/>
  </r>
  <r>
    <x v="0"/>
    <s v="Plastene India Limited "/>
    <d v="2023-04-29T00:00:00"/>
    <s v="K.P. Woven Pvt Ltd - Unit 3 -Sales"/>
    <s v="Export Sales"/>
    <s v="PIL1/E/98/23-24"/>
    <x v="6"/>
    <s v="PIL1/E/98/23-24"/>
    <d v="2023-04-29T00:00:00"/>
    <s v="SF"/>
    <s v="PP/PE Fabric"/>
    <s v="PP UL Fabric"/>
    <s v="PP WOVEN FABRIC (FG)"/>
    <s v="PP UL Fabric With UV"/>
    <n v="1508"/>
    <n v="168894.80499999999"/>
  </r>
  <r>
    <x v="0"/>
    <s v="Plastene India Limited "/>
    <d v="2023-04-29T00:00:00"/>
    <s v="K.P. Woven Pvt Ltd - Unit 3 -Sales"/>
    <s v="Export Sales"/>
    <s v="PIL1/E/99/23-24"/>
    <x v="6"/>
    <s v="PIL1/E/99/23-24"/>
    <d v="2023-04-29T00:00:00"/>
    <s v="SF"/>
    <s v="PP/PE Fabric"/>
    <s v="PP Lam Fabric"/>
    <s v="PP Laminated Fabric"/>
    <s v="PP Lam Fabric With UV"/>
    <n v="1798"/>
    <n v="207353.236"/>
  </r>
  <r>
    <x v="0"/>
    <s v="Plastene India Limited "/>
    <d v="2023-04-29T00:00:00"/>
    <s v="K.P. Woven Pvt Ltd-Sales"/>
    <s v="Sales"/>
    <n v="155"/>
    <x v="1"/>
    <s v="PIL1/D/155"/>
    <d v="2023-04-29T00:00:00"/>
    <s v="SF"/>
    <s v="PP/PE Fabric"/>
    <s v="PP UL Fabric"/>
    <s v="PP WOVEN FABRIC (FG)"/>
    <s v="PP UL Fabric With UV"/>
    <n v="4187"/>
    <n v="481689.23"/>
  </r>
  <r>
    <x v="0"/>
    <s v="Plastene India Limited "/>
    <d v="2023-04-29T00:00:00"/>
    <s v="K.P. Woven Pvt Ltd-Sales"/>
    <s v="Sales"/>
    <n v="156"/>
    <x v="0"/>
    <s v="PIL1/D/156"/>
    <d v="2023-04-29T00:00:00"/>
    <s v="Stores/Spares"/>
    <s v="MS Structure Items"/>
    <s v="Spares &amp; Stores"/>
    <s v="Stores &amp; Consumables"/>
    <s v="MS Pipe 4  C Class"/>
    <n v="192"/>
    <n v="9216"/>
  </r>
  <r>
    <x v="0"/>
    <s v="Plastene India Limited "/>
    <d v="2023-04-29T00:00:00"/>
    <s v="Plastene Polyfilms Ltd-Sales"/>
    <s v="Sales"/>
    <n v="149"/>
    <x v="0"/>
    <s v="PIL1/D/149"/>
    <d v="2023-04-29T00:00:00"/>
    <s v="Stores/Spares"/>
    <s v="MS Structure Items"/>
    <s v="Spares &amp; Stores"/>
    <s v="Stores &amp; Consumables"/>
    <s v="Channel 100 X 50 X 5 mm"/>
    <n v="44"/>
    <n v="1848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UL Fabric"/>
    <s v="PP WOVEN FABRIC (FG)"/>
    <s v="PP UL Fabric With UV"/>
    <n v="2019"/>
    <n v="232273.84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UL Fabric"/>
    <s v="PP WOVEN FABRIC (FG)"/>
    <s v="PP UL Fabric With UV"/>
    <n v="1264"/>
    <n v="151735.62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UL Fabric"/>
    <s v="PP WOVEN FABRIC (FG)"/>
    <s v="PP UL Fabric With UV"/>
    <n v="235"/>
    <n v="27505.34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Lam Fabric"/>
    <s v="PP Laminated Fabric"/>
    <s v="PP Lam Fabric With UV"/>
    <n v="658"/>
    <n v="80304.95"/>
  </r>
  <r>
    <x v="0"/>
    <s v="Plastene India Limited "/>
    <d v="2023-04-30T00:00:00"/>
    <s v="Plastene Polyfilms Ltd-Sales"/>
    <s v="Sales"/>
    <n v="158"/>
    <x v="1"/>
    <s v="PIL1/D/158"/>
    <d v="2023-04-30T00:00:00"/>
    <s v="SF"/>
    <s v="Webbing"/>
    <s v="PP Webbing"/>
    <s v="PP Webbing"/>
    <s v="Webbing"/>
    <n v="856"/>
    <n v="102757.66"/>
  </r>
  <r>
    <x v="0"/>
    <s v="Plastene India Limited "/>
    <d v="2023-04-30T00:00:00"/>
    <s v="Plastene Polyfilms Ltd-Sales"/>
    <s v="Sales"/>
    <n v="158"/>
    <x v="1"/>
    <s v="PIL1/D/158"/>
    <d v="2023-04-30T00:00:00"/>
    <s v="SF"/>
    <s v="Webbing"/>
    <s v="PP Webbing"/>
    <s v="PP Webbing"/>
    <s v="Webbing"/>
    <n v="77.900000000000006"/>
    <n v="12222.82"/>
  </r>
  <r>
    <x v="0"/>
    <s v="Plastene India Limited "/>
    <d v="2023-04-30T00:00:00"/>
    <s v="Plastene Polyfilms Ltd-Sales"/>
    <s v="Sales"/>
    <n v="159"/>
    <x v="0"/>
    <s v="PIL1/D/159"/>
    <d v="2023-04-30T00:00:00"/>
    <s v="Stores/Spares"/>
    <s v="MS Structure Items"/>
    <s v="Spares &amp; Stores"/>
    <s v="Stores &amp; Consumables"/>
    <s v="MS Pipe 4  C Class"/>
    <n v="175"/>
    <n v="8400"/>
  </r>
  <r>
    <x v="1"/>
    <s v="Plastene India Limited "/>
    <d v="2023-05-01T00:00:00"/>
    <s v="Jain Bulk Pack - Sales"/>
    <s v="Sales"/>
    <n v="162"/>
    <x v="0"/>
    <s v="PIL1/D/162"/>
    <d v="2023-05-01T00:00:00"/>
    <s v="RM"/>
    <s v="Granules"/>
    <s v="PP Granules"/>
    <s v="PP Granuels"/>
    <s v="PP IOCL 1110MG"/>
    <n v="24000"/>
    <n v="2410152"/>
  </r>
  <r>
    <x v="1"/>
    <s v="Plastene India Limited "/>
    <d v="2023-05-01T00:00:00"/>
    <s v="K.P. Woven Pvt Ltd - Unit 3 -Sales"/>
    <s v="Export Sales"/>
    <s v="PIL1/E/101/23-24"/>
    <x v="6"/>
    <s v="PIL1/E/101/23-24"/>
    <d v="2023-05-01T00:00:00"/>
    <s v="SF"/>
    <s v="Tape Stock"/>
    <s v="PP Tapes"/>
    <s v="PP TAPE"/>
    <s v="PP Tapes"/>
    <n v="1332.5"/>
    <n v="141981.136"/>
  </r>
  <r>
    <x v="1"/>
    <s v="Plastene India Limited "/>
    <d v="2023-05-01T00:00:00"/>
    <s v="K.P. Woven Pvt Ltd - Unit 3 -Sales"/>
    <s v="Export Sales"/>
    <s v="PIL1/E/102/23-24"/>
    <x v="6"/>
    <s v="PIL1/E/102/23-24"/>
    <d v="2023-05-01T00:00:00"/>
    <s v="SF"/>
    <s v="PP/PE Fabric"/>
    <s v="PP UL Fabric"/>
    <s v="PP WOVEN FABRIC (FG)"/>
    <s v="PP UL Fabric With UV"/>
    <n v="2529.5"/>
    <n v="283301.76399999997"/>
  </r>
  <r>
    <x v="1"/>
    <s v="Plastene India Limited "/>
    <d v="2023-05-01T00:00:00"/>
    <s v="K.P. Woven Pvt Ltd - Unit 3 -Sales"/>
    <s v="Export Sales"/>
    <s v="PIL1/E/103/23-24"/>
    <x v="6"/>
    <s v="PIL1/E/103/23-24"/>
    <d v="2023-05-01T00:00:00"/>
    <s v="SF"/>
    <s v="PP/PE Fabric"/>
    <s v="PP Lam Fabric"/>
    <s v="PP Laminated Fabric"/>
    <s v="PP Lam Fabric With UV"/>
    <n v="5803"/>
    <n v="669226.65700000001"/>
  </r>
  <r>
    <x v="1"/>
    <s v="Plastene India Limited "/>
    <d v="2023-05-01T00:00:00"/>
    <s v="K.P. Woven Pvt Ltd - Unit 3 -Sales"/>
    <s v="Export Sales"/>
    <s v="PIL1/E/104/23-24"/>
    <x v="6"/>
    <s v="PIL1/E/104/23-24"/>
    <d v="2023-05-01T00:00:00"/>
    <s v="SF"/>
    <s v="Liners"/>
    <s v="LDPE/LLDPE Bags"/>
    <s v="LLDPE BAGS"/>
    <s v="LDPE/LLDPE Bags/Liner"/>
    <n v="3847.6"/>
    <n v="474542.94800000003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UL Fabric"/>
    <s v="PP WOVEN FABRIC (FG)"/>
    <s v="PP UL Fabric With UV"/>
    <n v="1242"/>
    <n v="142884.65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UL Fabric"/>
    <s v="PP WOVEN FABRIC (FG)"/>
    <s v="PP UL Fabric With UV"/>
    <n v="2356"/>
    <n v="282823.65999999997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Lam Fabric"/>
    <s v="PP Laminated Fabric"/>
    <s v="PP Lam Fabric With UV"/>
    <n v="136"/>
    <n v="19317.98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Lam Fabric"/>
    <s v="PP Laminated Fabric"/>
    <s v="PP Lam Fabric With UV"/>
    <n v="1142"/>
    <n v="139374.25"/>
  </r>
  <r>
    <x v="1"/>
    <s v="Plastene India Limited "/>
    <d v="2023-05-01T00:00:00"/>
    <s v="K.P. Woven Pvt Ltd-Sales"/>
    <s v="Sales"/>
    <n v="165"/>
    <x v="0"/>
    <s v="PIL1/D/165"/>
    <d v="2023-05-01T00:00:00"/>
    <s v="Stores/Spares"/>
    <s v="MS Structure Items"/>
    <s v="Spares &amp; Stores"/>
    <s v="Stores &amp; Consumables"/>
    <s v="MS Pipe 4  C Class"/>
    <n v="226"/>
    <n v="10848"/>
  </r>
  <r>
    <x v="1"/>
    <s v="Plastene India Limited "/>
    <d v="2023-05-01T00:00:00"/>
    <s v="K.P. Woven Pvt Ltd-Sales"/>
    <s v="SALES (FOREX)"/>
    <s v="PIL1/DE/9/23-24"/>
    <x v="1"/>
    <s v="PIL1/DE/9/23-24"/>
    <d v="2023-05-01T00:00:00"/>
    <s v="SF"/>
    <s v="Liners"/>
    <s v="LDPE/LLDPE Bags"/>
    <s v="LLDPE BAGS"/>
    <s v="LDPE/LLDPE Bags/Liner"/>
    <n v="1729"/>
    <n v="243996.48"/>
  </r>
  <r>
    <x v="1"/>
    <s v="Plastene India Limited "/>
    <d v="2023-05-01T00:00:00"/>
    <s v="K.P. Woven Pvt Ltd-Sales"/>
    <s v="SALES (FOREX)"/>
    <s v="PIL1/DE/9/23-24"/>
    <x v="1"/>
    <s v="PIL1/DE/9/23-24"/>
    <d v="2023-05-01T00:00:00"/>
    <s v="SF"/>
    <s v="Liners"/>
    <s v="LDPE/LLDPE Bags"/>
    <s v="LLDPE BAGS"/>
    <s v="LDPE/LLDPE Bags/Liner"/>
    <n v="3275.9"/>
    <n v="383673.41"/>
  </r>
  <r>
    <x v="1"/>
    <s v="Plastene India Limited "/>
    <d v="2023-05-01T00:00:00"/>
    <s v="Plastene Polyfilms Ltd-Sales"/>
    <s v="Sales"/>
    <n v="160"/>
    <x v="1"/>
    <s v="PIL1/D/160"/>
    <d v="2023-05-01T00:00:00"/>
    <s v="SF"/>
    <s v="Liners"/>
    <s v="LDPE/LLDPE Bags"/>
    <s v="LLDPE BAGS"/>
    <s v="LDPE/LLDPE Bags/Liner"/>
    <n v="628.4"/>
    <n v="78477.73"/>
  </r>
  <r>
    <x v="1"/>
    <s v="Plastene India Limited "/>
    <d v="2023-05-01T00:00:00"/>
    <s v="Plastene Polyfilms Ltd-Sales"/>
    <s v="Sales"/>
    <n v="160"/>
    <x v="1"/>
    <s v="PIL1/D/160"/>
    <d v="2023-05-01T00:00:00"/>
    <s v="SF"/>
    <s v="Liners"/>
    <s v="LDPE/LLDPE Bags"/>
    <s v="LLDPE BAGS"/>
    <s v="LDPE/LLDPE Bags/Liner"/>
    <n v="1100.3"/>
    <n v="141812.17000000001"/>
  </r>
  <r>
    <x v="1"/>
    <s v="Plastene India Limited "/>
    <d v="2023-05-01T00:00:00"/>
    <s v="Plastene Polyfilms Ltd-Sales"/>
    <s v="Sales"/>
    <n v="160"/>
    <x v="1"/>
    <s v="PIL1/D/160"/>
    <d v="2023-05-01T00:00:00"/>
    <s v="SF"/>
    <s v="PP/PE Fabric"/>
    <s v="PP UL Fabric"/>
    <s v="PP WOVEN FABRIC (FG)"/>
    <s v="PP UL Fabric With UV"/>
    <n v="289"/>
    <n v="34692.720000000001"/>
  </r>
  <r>
    <x v="1"/>
    <s v="Plastene India Limited "/>
    <d v="2023-05-01T00:00:00"/>
    <s v="Plastene Polyfilms Ltd-Sales"/>
    <s v="Sales"/>
    <n v="160"/>
    <x v="1"/>
    <s v="PIL1/D/160"/>
    <d v="2023-05-01T00:00:00"/>
    <s v="SF"/>
    <s v="PP/PE Fabric"/>
    <s v="PP UL Fabric"/>
    <s v="PP WOVEN FABRIC (FG)"/>
    <s v="PP UL Fabric With UV"/>
    <n v="457"/>
    <n v="52575.11"/>
  </r>
  <r>
    <x v="1"/>
    <s v="Plastene India Limited "/>
    <d v="2023-05-01T00:00:00"/>
    <s v="Plastene Polyfilms Ltd-Sales"/>
    <s v="Sales"/>
    <n v="160"/>
    <x v="1"/>
    <s v="PIL1/D/160"/>
    <d v="2023-05-01T00:00:00"/>
    <s v="SF"/>
    <s v="PP/PE Fabric"/>
    <s v="PP Lam Fabric"/>
    <s v="PP Laminated Fabric"/>
    <s v="PP Lam Fabric With UV"/>
    <n v="371"/>
    <n v="45278.32"/>
  </r>
  <r>
    <x v="1"/>
    <s v="Plastene India Limited "/>
    <d v="2023-05-01T00:00:00"/>
    <s v="Plastene Polyfilms Ltd-Sales"/>
    <s v="Sales"/>
    <n v="161"/>
    <x v="0"/>
    <s v="PIL1/D/161"/>
    <d v="2023-05-01T00:00:00"/>
    <s v="Stores/Spares"/>
    <s v="MS Structure Items"/>
    <s v="Spares &amp; Stores"/>
    <s v="Stores &amp; Consumables"/>
    <s v="MS Pipe 4  C Class"/>
    <n v="62"/>
    <n v="2976"/>
  </r>
  <r>
    <x v="1"/>
    <s v="Plastene India Limited "/>
    <d v="2023-05-01T00:00:00"/>
    <s v="Plastene Polyfilms Ltd-Sales"/>
    <s v="Sales"/>
    <n v="163"/>
    <x v="1"/>
    <s v="PIL1/D/163"/>
    <d v="2023-05-01T00:00:00"/>
    <s v="SF"/>
    <s v="Liners"/>
    <s v="LDPE/LLDPE Bags"/>
    <s v="LLDPE BAGS"/>
    <s v="LDPE/LLDPE Bags/Liner"/>
    <n v="5.0999999999999996"/>
    <n v="1775.31"/>
  </r>
  <r>
    <x v="1"/>
    <s v="Plastene India Limited "/>
    <d v="2023-05-02T00:00:00"/>
    <s v="K.P. Woven Pvt Ltd - Unit 2 (Nani Chirai) -Sales"/>
    <s v="Sales"/>
    <n v="168"/>
    <x v="0"/>
    <s v="PIL1/D/168"/>
    <d v="2023-05-02T00:00:00"/>
    <s v="Capex"/>
    <s v="Blowers"/>
    <s v="Spares &amp; Stores"/>
    <s v="Stores &amp; Consumables"/>
    <s v="Air Blower Set 3Hp,2800Rpm,2.2Kw"/>
    <n v="51"/>
    <n v="11285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MF Yarn Flat 840 MW"/>
    <n v="657.26"/>
    <n v="85380.7"/>
  </r>
  <r>
    <x v="1"/>
    <s v="Plastene India Limited "/>
    <d v="2023-05-02T00:00:00"/>
    <s v="Plastene Polyfilms Ltd-Sales"/>
    <s v="Sales"/>
    <n v="166"/>
    <x v="1"/>
    <s v="PIL1/D/166"/>
    <d v="2023-05-02T00:00:00"/>
    <s v="SF"/>
    <s v="PP/PE Fabric"/>
    <s v="PP UL Fabric"/>
    <s v="PP WOVEN FABRIC (FG)"/>
    <s v="PP UL Fabric With UV"/>
    <n v="456"/>
    <n v="52460.06"/>
  </r>
  <r>
    <x v="1"/>
    <s v="Plastene India Limited "/>
    <d v="2023-05-02T00:00:00"/>
    <s v="Plastene Polyfilms Ltd-Sales"/>
    <s v="Sales"/>
    <n v="166"/>
    <x v="1"/>
    <s v="PIL1/D/166"/>
    <d v="2023-05-02T00:00:00"/>
    <s v="SF"/>
    <s v="PP/PE Fabric"/>
    <s v="PP UL Fabric"/>
    <s v="PP WOVEN FABRIC (FG)"/>
    <s v="PP UL Fabric With UV"/>
    <n v="309"/>
    <n v="37093.599999999999"/>
  </r>
  <r>
    <x v="1"/>
    <s v="Plastene India Limited "/>
    <d v="2023-05-02T00:00:00"/>
    <s v="Plastene Polyfilms Ltd-Sales"/>
    <s v="Sales"/>
    <n v="166"/>
    <x v="1"/>
    <s v="PIL1/D/166"/>
    <d v="2023-05-02T00:00:00"/>
    <s v="SF"/>
    <s v="Liners"/>
    <s v="LDPE/LLDPE Bags"/>
    <s v="LLDPE BAGS"/>
    <s v="LDPE/LLDPE Bags/Liner"/>
    <n v="134.19999999999999"/>
    <n v="16759.57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MF Yarn Twisted 3000 Denier UV NW"/>
    <n v="1500.8"/>
    <n v="197961.52"/>
  </r>
  <r>
    <x v="1"/>
    <s v="Plastene India Limited "/>
    <d v="2023-05-02T00:00:00"/>
    <s v="Plastene Polyfilms Ltd-Sales"/>
    <s v="Sales"/>
    <n v="166"/>
    <x v="1"/>
    <s v="PIL1/D/166"/>
    <d v="2023-05-02T00:00:00"/>
    <s v="SF"/>
    <s v="Webbing"/>
    <s v="PP Webbing"/>
    <s v="PP Webbing"/>
    <s v="Webbing"/>
    <n v="597.20000000000005"/>
    <n v="71690.28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MF Yarn Twisted 1000 UV NW"/>
    <n v="924.3"/>
    <n v="121918.87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Braided Rope MW 6 to 8 GPM"/>
    <n v="160.9"/>
    <n v="22832.35"/>
  </r>
  <r>
    <x v="1"/>
    <s v="Plastene India Limited "/>
    <d v="2023-05-02T00:00:00"/>
    <s v="Plastene Polyfilms Ltd-Sales"/>
    <s v="Sales"/>
    <n v="167"/>
    <x v="0"/>
    <s v="PIL1/D/167"/>
    <d v="2023-05-02T00:00:00"/>
    <s v="Stores/Spares"/>
    <s v="MS Structure Items"/>
    <s v="Spares &amp; Stores"/>
    <s v="Stores &amp; Consumables"/>
    <s v="MS Pipe 4  C Class"/>
    <n v="34"/>
    <n v="1632"/>
  </r>
  <r>
    <x v="1"/>
    <s v="Plastene India Limited "/>
    <d v="2023-05-03T00:00:00"/>
    <s v="K.P. Woven Pvt Ltd - Unit 3 -Sales"/>
    <s v="Export Sales"/>
    <s v="PIL1/E/108/23-24"/>
    <x v="6"/>
    <s v="PIL1/E/108/23-24"/>
    <d v="2023-05-03T00:00:00"/>
    <s v="SF"/>
    <s v="PP/PE Fabric"/>
    <s v="PP Lam Fabric"/>
    <s v="PP Laminated Fabric"/>
    <s v="PP Lam Fabric With UV"/>
    <n v="3061"/>
    <n v="353007.21399999998"/>
  </r>
  <r>
    <x v="1"/>
    <s v="Plastene India Limited "/>
    <d v="2023-05-03T00:00:00"/>
    <s v="K.P. Woven Pvt Ltd - Unit 3 -Sales"/>
    <s v="Export Sales"/>
    <s v="PIL1/E/109/23-24"/>
    <x v="6"/>
    <s v="PIL1/E/109/23-24"/>
    <d v="2023-05-03T00:00:00"/>
    <s v="SF"/>
    <s v="Liners"/>
    <s v="LDPE/LLDPE Bags"/>
    <s v="LLDPE BAGS"/>
    <s v="LDPE/LLDPE Bags/Liner"/>
    <n v="1594.1"/>
    <n v="195288.36800000002"/>
  </r>
  <r>
    <x v="1"/>
    <s v="Plastene India Limited "/>
    <d v="2023-05-03T00:00:00"/>
    <s v="K.P. Woven Pvt Ltd - Unit 3 -Sales"/>
    <s v="Export Sales"/>
    <s v="PIL1/E/110/23-24"/>
    <x v="6"/>
    <s v="PIL1/E/110/23-24"/>
    <d v="2023-05-03T00:00:00"/>
    <s v="SF"/>
    <s v="Yarn All"/>
    <s v="PP Yarn"/>
    <s v="PP Filament Yarn"/>
    <s v="PP MF Yarn Twisted 1000 UV NW"/>
    <n v="1882.7"/>
    <n v="235241.11600000001"/>
  </r>
  <r>
    <x v="1"/>
    <s v="Plastene India Limited "/>
    <d v="2023-05-03T00:00:00"/>
    <s v="K.P. Woven Pvt Ltd - Unit 3 -Sales"/>
    <s v="Export Sales"/>
    <s v="PIL1/E/110/23-24"/>
    <x v="6"/>
    <s v="PIL1/E/110/23-24"/>
    <d v="2023-05-03T00:00:00"/>
    <s v="SF"/>
    <s v="Yarn All"/>
    <s v="PP Yarn"/>
    <s v="PP Filament Yarn"/>
    <s v="PP MF Yarn Twisted 2500 Denier UV NW"/>
    <n v="2020"/>
    <n v="252396.98"/>
  </r>
  <r>
    <x v="1"/>
    <s v="Plastene India Limited "/>
    <d v="2023-05-03T00:00:00"/>
    <s v="Plastene Polyfilms Ltd-Sales"/>
    <s v="Sales"/>
    <n v="169"/>
    <x v="1"/>
    <s v="PIL1/D/169"/>
    <d v="2023-05-03T00:00:00"/>
    <s v="SF"/>
    <s v="Webbing"/>
    <s v="PP Webbing"/>
    <s v="PP Webbing"/>
    <s v="Webbing"/>
    <n v="687.9"/>
    <n v="82578.27"/>
  </r>
  <r>
    <x v="1"/>
    <s v="Plastene India Limited "/>
    <d v="2023-05-03T00:00:00"/>
    <s v="Plastene Polyfilms Ltd-Sales"/>
    <s v="Sales"/>
    <n v="169"/>
    <x v="1"/>
    <s v="PIL1/D/169"/>
    <d v="2023-05-03T00:00:00"/>
    <s v="SF"/>
    <s v="PP/PE Fabric"/>
    <s v="PP Lam Fabric"/>
    <s v="PP Laminated Fabric"/>
    <s v="PP Lam Fabric With UV"/>
    <n v="2126"/>
    <n v="259465.54"/>
  </r>
  <r>
    <x v="1"/>
    <s v="Plastene India Limited "/>
    <d v="2023-05-03T00:00:00"/>
    <s v="Plastene Polyfilms Ltd-Sales"/>
    <s v="Sales"/>
    <n v="169"/>
    <x v="1"/>
    <s v="PIL1/D/169"/>
    <d v="2023-05-03T00:00:00"/>
    <s v="SF"/>
    <s v="Liners"/>
    <s v="LDPE/LLDPE Bags"/>
    <s v="LLDPE BAGS"/>
    <s v="LDPE/LLDPE Bags/Liner"/>
    <n v="200.9"/>
    <n v="25089.4"/>
  </r>
  <r>
    <x v="1"/>
    <s v="Plastene India Limited "/>
    <d v="2023-05-03T00:00:00"/>
    <s v="Plastene Polyfilms Ltd-Sales"/>
    <s v="Sales"/>
    <n v="169"/>
    <x v="1"/>
    <s v="PIL1/D/169"/>
    <d v="2023-05-03T00:00:00"/>
    <s v="SF"/>
    <s v="Liners"/>
    <s v="LDPE/LLDPE Bags"/>
    <s v="LLDPE BAGS"/>
    <s v="LDPE/LLDPE Bags/Liner"/>
    <n v="3961"/>
    <n v="510513.48"/>
  </r>
  <r>
    <x v="1"/>
    <s v="Plastene India Limited "/>
    <d v="2023-05-03T00:00:00"/>
    <s v="Plastene Polyfilms Ltd-Sales"/>
    <s v="Sales"/>
    <n v="170"/>
    <x v="0"/>
    <s v="PIL1/D/170"/>
    <d v="2023-05-03T00:00:00"/>
    <s v="Stores/Spares"/>
    <s v="MS Structure Items"/>
    <s v="Spares &amp; Stores"/>
    <s v="Stores &amp; Consumables"/>
    <s v="MS Pipe 4  C Class"/>
    <n v="60"/>
    <n v="2880"/>
  </r>
  <r>
    <x v="1"/>
    <s v="Plastene India Limited "/>
    <d v="2023-05-04T00:00:00"/>
    <s v="K.P. Woven Pvt Ltd - Unit 3 -Sales"/>
    <s v="Export Sales"/>
    <s v="PIL1/E/112/23-24"/>
    <x v="6"/>
    <s v="PIL1/E/112/23-24"/>
    <d v="2023-05-04T00:00:00"/>
    <s v="SF"/>
    <s v="PP/PE Fabric"/>
    <s v="PP Lam Fabric"/>
    <s v="PP Laminated Fabric"/>
    <s v="PP Lam Fabric With UV"/>
    <n v="2673"/>
    <n v="308261.91100000002"/>
  </r>
  <r>
    <x v="1"/>
    <s v="Plastene India Limited "/>
    <d v="2023-05-04T00:00:00"/>
    <s v="K.P. Woven Pvt Ltd - Unit 3 -Sales"/>
    <s v="Export Sales"/>
    <s v="PIL1/E/113/23-24"/>
    <x v="6"/>
    <s v="PIL1/E/113/23-24"/>
    <d v="2023-05-04T00:00:00"/>
    <s v="SF"/>
    <s v="PP/PE Fabric"/>
    <s v="PP UL Fabric"/>
    <s v="PP WOVEN FABRIC (FG)"/>
    <s v="PP UL Fabric With UV"/>
    <n v="1590"/>
    <n v="178078.56899999999"/>
  </r>
  <r>
    <x v="1"/>
    <s v="Plastene India Limited "/>
    <d v="2023-05-04T00:00:00"/>
    <s v="K.P. Woven Pvt Ltd-Sales"/>
    <s v="Sales"/>
    <n v="177"/>
    <x v="1"/>
    <s v="PIL1/D/177"/>
    <d v="2023-05-04T00:00:00"/>
    <s v="SF"/>
    <s v="PP/PE Fabric"/>
    <s v="PP UL Fabric"/>
    <s v="PP WOVEN FABRIC (FG)"/>
    <s v="PP UL Fabric With UV"/>
    <n v="1185"/>
    <n v="136327.14000000001"/>
  </r>
  <r>
    <x v="1"/>
    <s v="Plastene India Limited "/>
    <d v="2023-05-04T00:00:00"/>
    <s v="K.P. Woven Pvt Ltd-Sales"/>
    <s v="Sales"/>
    <n v="177"/>
    <x v="1"/>
    <s v="PIL1/D/177"/>
    <d v="2023-05-04T00:00:00"/>
    <s v="SF"/>
    <s v="PP/PE Fabric"/>
    <s v="PP UL Fabric"/>
    <s v="PP WOVEN FABRIC (FG)"/>
    <s v="PP UL Fabric With UV"/>
    <n v="2417"/>
    <n v="290146.34999999998"/>
  </r>
  <r>
    <x v="1"/>
    <s v="Plastene India Limited "/>
    <d v="2023-05-04T00:00:00"/>
    <s v="K.P. Woven Pvt Ltd-Sales"/>
    <s v="Sales"/>
    <n v="177"/>
    <x v="1"/>
    <s v="PIL1/D/177"/>
    <d v="2023-05-04T00:00:00"/>
    <s v="SF"/>
    <s v="PP/PE Fabric"/>
    <s v="PP Lam Fabric"/>
    <s v="PP Laminated Fabric"/>
    <s v="PP Lam Fabric With UV"/>
    <n v="1469"/>
    <n v="179282.64"/>
  </r>
  <r>
    <x v="1"/>
    <s v="Plastene India Limited "/>
    <d v="2023-05-04T00:00:00"/>
    <s v="K.P. Woven Pvt Ltd-Sales"/>
    <s v="Sales"/>
    <n v="177"/>
    <x v="1"/>
    <s v="PIL1/D/177"/>
    <d v="2023-05-04T00:00:00"/>
    <s v="SF"/>
    <s v="Webbing"/>
    <s v="PP Webbing"/>
    <s v="PP Webbing"/>
    <s v="Webbing"/>
    <n v="171.6"/>
    <n v="26409.93"/>
  </r>
  <r>
    <x v="1"/>
    <s v="Plastene India Limited "/>
    <d v="2023-05-04T00:00:00"/>
    <s v="K.P. Woven Pvt Ltd-Sales"/>
    <s v="Sales"/>
    <n v="177"/>
    <x v="1"/>
    <s v="PIL1/D/177"/>
    <d v="2023-05-04T00:00:00"/>
    <s v="SF"/>
    <s v="Yarn All"/>
    <s v="PP Yarn"/>
    <s v="PP Filament Yarn"/>
    <s v="PP MF Yarn Twisted 1000 UV NW"/>
    <n v="2206.3000000000002"/>
    <n v="291019.8"/>
  </r>
  <r>
    <x v="1"/>
    <s v="Plastene India Limited "/>
    <d v="2023-05-04T00:00:00"/>
    <s v="K.P. Woven Pvt Ltd-Sales"/>
    <s v="Sales"/>
    <n v="178"/>
    <x v="0"/>
    <s v="PIL1/D/178"/>
    <d v="2023-05-04T00:00:00"/>
    <s v="Stores/Spares"/>
    <s v="MS Structure Items"/>
    <s v="Spares &amp; Stores"/>
    <s v="Stores &amp; Consumables"/>
    <s v="MS Pipe 4  C Class"/>
    <n v="230"/>
    <n v="11040"/>
  </r>
  <r>
    <x v="1"/>
    <s v="Plastene India Limited "/>
    <d v="2023-05-04T00:00:00"/>
    <s v="K.P. Woven Pvt Ltd-Sales"/>
    <s v="Sales"/>
    <n v="179"/>
    <x v="1"/>
    <s v="PIL1/D/179"/>
    <d v="2023-05-04T00:00:00"/>
    <s v="SF"/>
    <s v="PP/PE Fabric"/>
    <s v="PP UL Fabric"/>
    <s v="PP WOVEN FABRIC (FG)"/>
    <s v="PP UL Fabric With UV"/>
    <n v="6796"/>
    <n v="795431.02"/>
  </r>
  <r>
    <x v="1"/>
    <s v="Plastene India Limited "/>
    <d v="2023-05-04T00:00:00"/>
    <s v="K.P. Woven Pvt Ltd-Sales"/>
    <s v="Sales"/>
    <n v="179"/>
    <x v="1"/>
    <s v="PIL1/D/179"/>
    <d v="2023-05-04T00:00:00"/>
    <s v="SF"/>
    <s v="PP/PE Fabric"/>
    <s v="PP Lam Fabric"/>
    <s v="PP Laminated Fabric"/>
    <s v="PP Lam Fabric With UV"/>
    <n v="2004"/>
    <n v="245578.18"/>
  </r>
  <r>
    <x v="1"/>
    <s v="Plastene India Limited "/>
    <d v="2023-05-04T00:00:00"/>
    <s v="K.P. Woven Pvt Ltd-Sales"/>
    <s v="SALES (FOREX)"/>
    <s v="PIL1/DE/10/23-24"/>
    <x v="1"/>
    <s v="PIL1/DE/10/23-24"/>
    <d v="2023-05-04T00:00:00"/>
    <s v="SF"/>
    <s v="Liners"/>
    <s v="LDPE/LLDPE Bags"/>
    <s v="LLDPE BAGS"/>
    <s v="LDPE/LLDPE Bags/Liner"/>
    <n v="12.4"/>
    <n v="1501.89"/>
  </r>
  <r>
    <x v="1"/>
    <s v="Plastene India Limited "/>
    <d v="2023-05-04T00:00:00"/>
    <s v="K.P. Woven Pvt Ltd-Sales"/>
    <s v="SALES (FOREX)"/>
    <s v="PIL1/DE/10/23-24"/>
    <x v="1"/>
    <s v="PIL1/DE/10/23-24"/>
    <d v="2023-05-04T00:00:00"/>
    <s v="SF"/>
    <s v="Liners"/>
    <s v="LDPE/LLDPE Bags"/>
    <s v="LLDPE BAGS"/>
    <s v="LDPE/LLDPE Bags/Liner"/>
    <n v="513"/>
    <n v="72394.559999999998"/>
  </r>
  <r>
    <x v="1"/>
    <s v="Plastene India Limited "/>
    <d v="2023-05-04T00:00:00"/>
    <s v="Plastene Polyfilms Ltd-Sales"/>
    <s v="Sales"/>
    <n v="172"/>
    <x v="1"/>
    <s v="PIL1/D/172"/>
    <d v="2023-05-04T00:00:00"/>
    <s v="SF"/>
    <s v="PP/PE Fabric"/>
    <s v="PP Lam Fabric"/>
    <s v="PP Laminated Fabric"/>
    <s v="PP Lam Fabric With UV"/>
    <n v="1838"/>
    <n v="225235.87"/>
  </r>
  <r>
    <x v="1"/>
    <s v="Plastene India Limited "/>
    <d v="2023-05-04T00:00:00"/>
    <s v="Plastene Polyfilms Ltd-Sales"/>
    <s v="Sales"/>
    <n v="172"/>
    <x v="1"/>
    <s v="PIL1/D/172"/>
    <d v="2023-05-04T00:00:00"/>
    <s v="SF"/>
    <s v="PP/PE Fabric"/>
    <s v="PP UL Fabric"/>
    <s v="PP WOVEN FABRIC (FG)"/>
    <s v="PP UL Fabric With UV"/>
    <n v="868"/>
    <n v="104198.19"/>
  </r>
  <r>
    <x v="1"/>
    <s v="Plastene India Limited "/>
    <d v="2023-05-04T00:00:00"/>
    <s v="Plastene Polyfilms Ltd-Sales"/>
    <s v="Sales"/>
    <n v="172"/>
    <x v="1"/>
    <s v="PIL1/D/172"/>
    <d v="2023-05-04T00:00:00"/>
    <s v="SF"/>
    <s v="PP/PE Fabric"/>
    <s v="PP UL Fabric"/>
    <s v="PP WOVEN FABRIC (FG)"/>
    <s v="PP UL Fabric With UV"/>
    <n v="2764"/>
    <n v="323509.62"/>
  </r>
  <r>
    <x v="1"/>
    <s v="Plastene India Limited "/>
    <d v="2023-05-04T00:00:00"/>
    <s v="Plastene Polyfilms Ltd-Sales"/>
    <s v="Sales"/>
    <n v="173"/>
    <x v="1"/>
    <s v="PIL1/D/173"/>
    <d v="2023-05-04T00:00:00"/>
    <s v="SF"/>
    <s v="Webbing"/>
    <s v="PP Webbing"/>
    <s v="PP Webbing"/>
    <s v="Webbing"/>
    <n v="634"/>
    <n v="76107.899999999994"/>
  </r>
  <r>
    <x v="1"/>
    <s v="Plastene India Limited "/>
    <d v="2023-05-04T00:00:00"/>
    <s v="Plastene Polyfilms Ltd-Sales"/>
    <s v="Sales"/>
    <n v="173"/>
    <x v="1"/>
    <s v="PIL1/D/173"/>
    <d v="2023-05-04T00:00:00"/>
    <s v="SF"/>
    <s v="Liners"/>
    <s v="LDPE/LLDPE Bags"/>
    <s v="LLDPE BAGS"/>
    <s v="LDPE/LLDPE Bags/Liner"/>
    <n v="187.8"/>
    <n v="23453.4"/>
  </r>
  <r>
    <x v="1"/>
    <s v="Plastene India Limited "/>
    <d v="2023-05-04T00:00:00"/>
    <s v="Plastene Polyfilms Ltd-Sales"/>
    <s v="Sales"/>
    <n v="173"/>
    <x v="1"/>
    <s v="PIL1/D/173"/>
    <d v="2023-05-04T00:00:00"/>
    <s v="SF"/>
    <s v="Liners"/>
    <s v="LDPE/LLDPE Bags"/>
    <s v="LLDPE BAGS"/>
    <s v="LDPE/LLDPE Bags/Liner"/>
    <n v="3505.9"/>
    <n v="451857.91999999998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Lam Fabric"/>
    <s v="PP Laminated Fabric"/>
    <s v="PP Lam Fabric With UV"/>
    <n v="1328"/>
    <n v="162074.43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UL Fabric"/>
    <s v="PP WOVEN FABRIC (FG)"/>
    <s v="PP UL Fabric With UV"/>
    <n v="339"/>
    <n v="39677.919999999998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UL Fabric"/>
    <s v="PP WOVEN FABRIC (FG)"/>
    <s v="PP UL Fabric With UV"/>
    <n v="1882"/>
    <n v="225922.81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UL Fabric"/>
    <s v="PP WOVEN FABRIC (FG)"/>
    <s v="PP UL Fabric With UV"/>
    <n v="1141"/>
    <n v="131265.20000000001"/>
  </r>
  <r>
    <x v="1"/>
    <s v="Plastene India Limited "/>
    <d v="2023-05-04T00:00:00"/>
    <s v="Plastene Polyfilms Ltd-Sales"/>
    <s v="Sales"/>
    <n v="174"/>
    <x v="0"/>
    <s v="PIL1/D/174"/>
    <d v="2023-05-04T00:00:00"/>
    <s v="Stores/Spares"/>
    <s v="MS Structure Items"/>
    <s v="Spares &amp; Stores"/>
    <s v="Stores &amp; Consumables"/>
    <s v="MS Pipe 4  C Class"/>
    <n v="176"/>
    <n v="8448"/>
  </r>
  <r>
    <x v="1"/>
    <s v="Plastene India Limited "/>
    <d v="2023-05-04T00:00:00"/>
    <s v="Plastene Polyfilms Ltd-Sales"/>
    <s v="Sales"/>
    <n v="175"/>
    <x v="1"/>
    <s v="PIL1/D/175"/>
    <d v="2023-05-04T00:00:00"/>
    <s v="SF"/>
    <s v="Granules"/>
    <s v="RP Granules"/>
    <s v="Reprocess Granules"/>
    <s v="RP Granules"/>
    <n v="1475"/>
    <n v="92187.5"/>
  </r>
  <r>
    <x v="1"/>
    <s v="Plastene India Limited "/>
    <d v="2023-05-05T00:00:00"/>
    <s v="Plastene Polyfilms Ltd-Sales"/>
    <s v="Sales"/>
    <n v="180"/>
    <x v="1"/>
    <s v="PIL1/D/180"/>
    <d v="2023-05-05T00:00:00"/>
    <s v="SF"/>
    <s v="PP/PE Fabric"/>
    <s v="PP UL Fabric"/>
    <s v="PP WOVEN FABRIC (FG)"/>
    <s v="PP UL Fabric With UV"/>
    <n v="518"/>
    <n v="59592.79"/>
  </r>
  <r>
    <x v="1"/>
    <s v="Plastene India Limited "/>
    <d v="2023-05-05T00:00:00"/>
    <s v="Plastene Polyfilms Ltd-Sales"/>
    <s v="Sales"/>
    <n v="180"/>
    <x v="1"/>
    <s v="PIL1/D/180"/>
    <d v="2023-05-05T00:00:00"/>
    <s v="SF"/>
    <s v="PP/PE Fabric"/>
    <s v="PP UL Fabric"/>
    <s v="PP WOVEN FABRIC (FG)"/>
    <s v="PP UL Fabric With UV"/>
    <n v="638"/>
    <n v="76588.070000000007"/>
  </r>
  <r>
    <x v="1"/>
    <s v="Plastene India Limited "/>
    <d v="2023-05-05T00:00:00"/>
    <s v="Plastene Polyfilms Ltd-Sales"/>
    <s v="Sales"/>
    <n v="180"/>
    <x v="1"/>
    <s v="PIL1/D/180"/>
    <d v="2023-05-05T00:00:00"/>
    <s v="SF"/>
    <s v="PP/PE Fabric"/>
    <s v="PP Lam Fabric"/>
    <s v="PP Laminated Fabric"/>
    <s v="PP Lam Fabric With UV"/>
    <n v="1239"/>
    <n v="145017.51999999999"/>
  </r>
  <r>
    <x v="1"/>
    <s v="Plastene India Limited "/>
    <d v="2023-05-05T00:00:00"/>
    <s v="Plastene Polyfilms Ltd-Sales"/>
    <s v="Sales"/>
    <n v="180"/>
    <x v="1"/>
    <s v="PIL1/D/180"/>
    <d v="2023-05-05T00:00:00"/>
    <s v="SF"/>
    <s v="Webbing"/>
    <s v="PP Webbing"/>
    <s v="PP Webbing"/>
    <s v="Webbing"/>
    <n v="563.6"/>
    <n v="67656.800000000003"/>
  </r>
  <r>
    <x v="1"/>
    <s v="Plastene India Limited "/>
    <d v="2023-05-05T00:00:00"/>
    <s v="Plastene Polyfilms Ltd-Sales"/>
    <s v="Sales"/>
    <n v="180"/>
    <x v="1"/>
    <s v="PIL1/D/180"/>
    <d v="2023-05-05T00:00:00"/>
    <s v="SF"/>
    <s v="Yarn All"/>
    <s v="PP Yarn"/>
    <s v="PP Filament Yarn"/>
    <s v="PP Braided Rope MW 6 to 8 GPM"/>
    <n v="114.7"/>
    <n v="16276.39"/>
  </r>
  <r>
    <x v="1"/>
    <s v="Plastene India Limited "/>
    <d v="2023-05-05T00:00:00"/>
    <s v="Plastene Polyfilms Ltd-Sales"/>
    <s v="Sales"/>
    <n v="180"/>
    <x v="1"/>
    <s v="PIL1/D/180"/>
    <d v="2023-05-05T00:00:00"/>
    <s v="SF"/>
    <s v="Liners"/>
    <s v="LDPE/LLDPE Bags"/>
    <s v="LLDPE BAGS"/>
    <s v="LDPE/LLDPE Bags/Liner"/>
    <n v="848.7"/>
    <n v="105989.9"/>
  </r>
  <r>
    <x v="1"/>
    <s v="Plastene India Limited "/>
    <d v="2023-05-05T00:00:00"/>
    <s v="Plastene Polyfilms Ltd-Sales"/>
    <s v="Sales"/>
    <n v="180"/>
    <x v="1"/>
    <s v="PIL1/D/180"/>
    <d v="2023-05-05T00:00:00"/>
    <s v="SF"/>
    <s v="Liners"/>
    <s v="LDPE/LLDPE Bags"/>
    <s v="LLDPE BAGS"/>
    <s v="LDPE/LLDPE Bags/Liner"/>
    <n v="72.5"/>
    <n v="9054.16"/>
  </r>
  <r>
    <x v="1"/>
    <s v="Plastene India Limited "/>
    <d v="2023-05-05T00:00:00"/>
    <s v="Plastene Polyfilms Ltd-Sales"/>
    <s v="Sales"/>
    <n v="181"/>
    <x v="0"/>
    <s v="PIL1/D/181"/>
    <d v="2023-05-05T00:00:00"/>
    <s v="Stores/Spares"/>
    <s v="MS Structure Items"/>
    <s v="Spares &amp; Stores"/>
    <s v="Stores &amp; Consumables"/>
    <s v="MS Pipe 4  C Class"/>
    <n v="78"/>
    <n v="3744"/>
  </r>
  <r>
    <x v="1"/>
    <s v="Plastene India Limited "/>
    <d v="2023-05-05T00:00:00"/>
    <s v="Plastene Polyfilms Ltd-Sales"/>
    <s v="Sales"/>
    <n v="182"/>
    <x v="0"/>
    <s v="PIL1/D/182"/>
    <d v="2023-05-05T00:00:00"/>
    <s v="RM"/>
    <s v="Granules"/>
    <s v="Masterbatch"/>
    <s v="Master Batch"/>
    <s v="MB Karnavati Polyplast Blue"/>
    <n v="100"/>
    <n v="21200"/>
  </r>
  <r>
    <x v="1"/>
    <s v="Plastene India Limited "/>
    <d v="2023-05-06T00:00:00"/>
    <s v="K.P. Woven Pvt Ltd - Unit 3 -Sales"/>
    <s v="Export Sales"/>
    <s v="PIL1/E/116/23-24"/>
    <x v="6"/>
    <s v="PIL1/E/116/23-24"/>
    <d v="2023-05-06T00:00:00"/>
    <s v="SF"/>
    <s v="Tape Stock"/>
    <s v="PP Tapes"/>
    <s v="PP TAPE"/>
    <s v="PP Tapes"/>
    <n v="2350.3000000000002"/>
    <n v="248738.25899999999"/>
  </r>
  <r>
    <x v="1"/>
    <s v="Plastene India Limited "/>
    <d v="2023-05-06T00:00:00"/>
    <s v="K.P. Woven Pvt Ltd - Unit 3 -Sales"/>
    <s v="Export Sales"/>
    <s v="PIL1/E/117/23-24"/>
    <x v="6"/>
    <s v="PIL1/E/117/23-24"/>
    <d v="2023-05-06T00:00:00"/>
    <s v="SF"/>
    <s v="PP/PE Fabric"/>
    <s v="PP UL Fabric"/>
    <s v="PP WOVEN FABRIC (FG)"/>
    <s v="PP UL Fabric With UV"/>
    <n v="762.1"/>
    <n v="85354.505999999994"/>
  </r>
  <r>
    <x v="1"/>
    <s v="Plastene India Limited "/>
    <d v="2023-05-06T00:00:00"/>
    <s v="K.P. Woven Pvt Ltd - Unit 3 -Sales"/>
    <s v="Export Sales"/>
    <s v="PIL1/E/119/23-24"/>
    <x v="6"/>
    <s v="PIL1/E/119/23-24"/>
    <d v="2023-05-06T00:00:00"/>
    <s v="SF"/>
    <s v="Liners"/>
    <s v="LDPE/LLDPE Bags"/>
    <s v="LLDPE BAGS"/>
    <s v="LDPE/LLDPE Bags/Liner"/>
    <n v="1297.95"/>
    <n v="160081.94950000002"/>
  </r>
  <r>
    <x v="1"/>
    <s v="Plastene India Limited "/>
    <d v="2023-05-06T00:00:00"/>
    <s v="K.P. Woven Pvt Ltd - Unit 3 -Sales"/>
    <s v="Export Sales"/>
    <s v="PIL1/E/120/23-24"/>
    <x v="6"/>
    <s v="PIL1/E/120/23-24"/>
    <d v="2023-05-06T00:00:00"/>
    <s v="SF"/>
    <s v="Liners"/>
    <s v="LDPE/LLDPE Bags"/>
    <s v="LLDPE BAGS"/>
    <s v="LDPE/LLDPE Bags/Liner"/>
    <n v="1123.05"/>
    <n v="137581.46600000001"/>
  </r>
  <r>
    <x v="1"/>
    <s v="Plastene India Limited "/>
    <d v="2023-05-06T00:00:00"/>
    <s v="K.P. Woven Pvt Ltd-Sales"/>
    <s v="Sales"/>
    <n v="185"/>
    <x v="1"/>
    <s v="PIL1/D/185"/>
    <d v="2023-05-06T00:00:00"/>
    <s v="SF"/>
    <s v="PP/PE Fabric"/>
    <s v="PP UL Fabric"/>
    <s v="PP WOVEN FABRIC (FG)"/>
    <s v="PP UL Fabric With UV"/>
    <n v="643"/>
    <n v="73973.289999999994"/>
  </r>
  <r>
    <x v="1"/>
    <s v="Plastene India Limited "/>
    <d v="2023-05-06T00:00:00"/>
    <s v="K.P. Woven Pvt Ltd-Sales"/>
    <s v="Sales"/>
    <n v="185"/>
    <x v="1"/>
    <s v="PIL1/D/185"/>
    <d v="2023-05-06T00:00:00"/>
    <s v="SF"/>
    <s v="PP/PE Fabric"/>
    <s v="PP UL Fabric"/>
    <s v="PP WOVEN FABRIC (FG)"/>
    <s v="PP UL Fabric With UV"/>
    <n v="1697"/>
    <n v="203714.67"/>
  </r>
  <r>
    <x v="1"/>
    <s v="Plastene India Limited "/>
    <d v="2023-05-06T00:00:00"/>
    <s v="K.P. Woven Pvt Ltd-Sales"/>
    <s v="Sales"/>
    <n v="185"/>
    <x v="1"/>
    <s v="PIL1/D/185"/>
    <d v="2023-05-06T00:00:00"/>
    <s v="SF"/>
    <s v="Yarn All"/>
    <s v="PP Yarn"/>
    <s v="PP Filament Yarn"/>
    <s v="PP MF Yarn Twisted 1000 UV NW"/>
    <n v="2310.9"/>
    <n v="304816.95"/>
  </r>
  <r>
    <x v="1"/>
    <s v="Plastene India Limited "/>
    <d v="2023-05-06T00:00:00"/>
    <s v="K.P. Woven Pvt Ltd-Sales"/>
    <s v="Sales"/>
    <n v="186"/>
    <x v="0"/>
    <s v="PIL1/D/186"/>
    <d v="2023-05-06T00:00:00"/>
    <s v="Stores/Spares"/>
    <s v="MS Structure Items"/>
    <s v="Spares &amp; Stores"/>
    <s v="Stores &amp; Consumables"/>
    <s v="MS Pipe 4  C Class"/>
    <n v="95"/>
    <n v="4560"/>
  </r>
  <r>
    <x v="1"/>
    <s v="Plastene India Limited "/>
    <d v="2023-05-06T00:00:00"/>
    <s v="K.P. Woven Pvt Ltd-Sales"/>
    <s v="SALES (FOREX)"/>
    <s v="PIL1/DE/11/23-24"/>
    <x v="1"/>
    <s v="PIL1/DE/11/23-24"/>
    <d v="2023-05-06T00:00:00"/>
    <s v="SF"/>
    <s v="Liners"/>
    <s v="LDPE/LLDPE Bags"/>
    <s v="LLDPE BAGS"/>
    <s v="LDPE/LLDPE Bags/Liner"/>
    <n v="1258"/>
    <n v="177528.95999999999"/>
  </r>
  <r>
    <x v="1"/>
    <s v="Plastene India Limited "/>
    <d v="2023-05-06T00:00:00"/>
    <s v="K.P. Woven Pvt Ltd-Sales"/>
    <s v="SALES (FOREX)"/>
    <s v="PIL1/DE/11/23-24"/>
    <x v="1"/>
    <s v="PIL1/DE/11/23-24"/>
    <d v="2023-05-06T00:00:00"/>
    <s v="SF"/>
    <s v="Liners"/>
    <s v="LDPE/LLDPE Bags"/>
    <s v="LLDPE BAGS"/>
    <s v="LDPE/LLDPE Bags/Liner"/>
    <n v="22.5"/>
    <n v="2725.2"/>
  </r>
  <r>
    <x v="1"/>
    <s v="Plastene India Limited "/>
    <d v="2023-05-06T00:00:00"/>
    <s v="Oswal Extrusion Ltd- KASEZ-Sales"/>
    <s v="SALES (FOREX)"/>
    <s v="PIL1/E/118/23-24"/>
    <x v="4"/>
    <s v="PIL1/E/118/23-24"/>
    <d v="2023-05-06T00:00:00"/>
    <s v="Capex"/>
    <s v="Building Material"/>
    <s v="Spares &amp; Stores"/>
    <s v="Stores &amp; Consumables"/>
    <s v="Cement Bags"/>
    <n v="1000"/>
    <n v="5625"/>
  </r>
  <r>
    <x v="1"/>
    <s v="Plastene India Limited "/>
    <d v="2023-05-06T00:00:00"/>
    <s v="Plastene Polyfilms Ltd-Sales"/>
    <s v="Sales"/>
    <n v="184"/>
    <x v="1"/>
    <s v="PIL1/D/184"/>
    <d v="2023-05-06T00:00:00"/>
    <s v="SF"/>
    <s v="Tape Stock"/>
    <s v="PP Tapes"/>
    <s v="PP TAPE"/>
    <s v="PP Tapes"/>
    <n v="301"/>
    <n v="32521.24"/>
  </r>
  <r>
    <x v="1"/>
    <s v="Plastene India Limited "/>
    <d v="2023-05-06T00:00:00"/>
    <s v="Plastene Polyfilms Ltd-Sales"/>
    <s v="Sales High-seas"/>
    <s v="PIL1/HSS/3/23-24"/>
    <x v="2"/>
    <s v="PIL1/HSS/3/23-24"/>
    <d v="2023-05-06T00:00:00"/>
    <s v="RM"/>
    <s v="Granules"/>
    <s v="PP Granules"/>
    <s v="PP Granuels"/>
    <s v="PP Luban HP1106K"/>
    <n v="99000"/>
    <n v="8147700"/>
  </r>
  <r>
    <x v="1"/>
    <s v="Plastene India Limited "/>
    <d v="2023-05-07T00:00:00"/>
    <s v="Plastene Polyfilms Ltd-Sales"/>
    <s v="Sales"/>
    <n v="187"/>
    <x v="1"/>
    <s v="PIL1/D/187"/>
    <d v="2023-05-07T00:00:00"/>
    <s v="SF"/>
    <s v="PP/PE Fabric"/>
    <s v="PP UL Fabric"/>
    <s v="PP WOVEN FABRIC (FG)"/>
    <s v="PP UL Fabric With UV"/>
    <n v="506"/>
    <n v="59224.26"/>
  </r>
  <r>
    <x v="1"/>
    <s v="Plastene India Limited "/>
    <d v="2023-05-07T00:00:00"/>
    <s v="Plastene Polyfilms Ltd-Sales"/>
    <s v="Sales"/>
    <n v="187"/>
    <x v="1"/>
    <s v="PIL1/D/187"/>
    <d v="2023-05-07T00:00:00"/>
    <s v="SF"/>
    <s v="PP/PE Fabric"/>
    <s v="PP UL Fabric"/>
    <s v="PP WOVEN FABRIC (FG)"/>
    <s v="PP UL Fabric With UV"/>
    <n v="434"/>
    <n v="49929.1"/>
  </r>
  <r>
    <x v="1"/>
    <s v="Plastene India Limited "/>
    <d v="2023-05-07T00:00:00"/>
    <s v="Plastene Polyfilms Ltd-Sales"/>
    <s v="Sales"/>
    <n v="187"/>
    <x v="1"/>
    <s v="PIL1/D/187"/>
    <d v="2023-05-07T00:00:00"/>
    <s v="SF"/>
    <s v="PP/PE Fabric"/>
    <s v="PP UL Fabric"/>
    <s v="PP WOVEN FABRIC (FG)"/>
    <s v="PP UL Fabric With UV"/>
    <n v="1007"/>
    <n v="120884.31"/>
  </r>
  <r>
    <x v="1"/>
    <s v="Plastene India Limited "/>
    <d v="2023-05-07T00:00:00"/>
    <s v="Plastene Polyfilms Ltd-Sales"/>
    <s v="Sales"/>
    <n v="187"/>
    <x v="1"/>
    <s v="PIL1/D/187"/>
    <d v="2023-05-07T00:00:00"/>
    <s v="SF"/>
    <s v="Webbing"/>
    <s v="PP Webbing"/>
    <s v="PP Webbing"/>
    <s v="Webbing"/>
    <n v="1364"/>
    <n v="163740.01999999999"/>
  </r>
  <r>
    <x v="1"/>
    <s v="Plastene India Limited "/>
    <d v="2023-05-07T00:00:00"/>
    <s v="Plastene Polyfilms Ltd-Sales"/>
    <s v="Sales"/>
    <n v="188"/>
    <x v="0"/>
    <s v="PIL1/D/188"/>
    <d v="2023-05-07T00:00:00"/>
    <s v="Stores/Spares"/>
    <s v="MS Structure Items"/>
    <s v="Spares &amp; Stores"/>
    <s v="Stores &amp; Consumables"/>
    <s v="MS Pipe 4  C Class"/>
    <n v="80"/>
    <n v="3840"/>
  </r>
  <r>
    <x v="1"/>
    <s v="Plastene India Limited "/>
    <d v="2023-05-07T00:00:00"/>
    <s v="Plastene Polyfilms Ltd-Sales"/>
    <s v="Sales"/>
    <n v="189"/>
    <x v="0"/>
    <s v="PIL1/D/189"/>
    <d v="2023-05-07T00:00:00"/>
    <s v="RM"/>
    <s v="Granules"/>
    <s v="Masterbatch"/>
    <s v="Master Batch"/>
    <s v="MB Karnavati Shiny Black"/>
    <n v="200"/>
    <n v="27550"/>
  </r>
  <r>
    <x v="1"/>
    <s v="Plastene India Limited "/>
    <d v="2023-05-08T00:00:00"/>
    <s v="K.P. Woven Pvt Ltd - Unit 2 (Nani Chirai) -Sales"/>
    <s v="Sales"/>
    <n v="192"/>
    <x v="1"/>
    <s v="PIL1/D/192"/>
    <d v="2023-05-08T00:00:00"/>
    <s v="SF"/>
    <s v="PP/PE Fabric"/>
    <s v="PP Lam Fabric"/>
    <s v="PP Laminated Fabric"/>
    <s v="PP Lam Fabric With UV"/>
    <n v="740.5"/>
    <n v="86671.08"/>
  </r>
  <r>
    <x v="1"/>
    <s v="Plastene India Limited "/>
    <d v="2023-05-08T00:00:00"/>
    <s v="K.P. Woven Pvt Ltd - Unit 2 (Nani Chirai) -Sales"/>
    <s v="Sales"/>
    <n v="192"/>
    <x v="1"/>
    <s v="PIL1/D/192"/>
    <d v="2023-05-08T00:00:00"/>
    <s v="SF"/>
    <s v="PP/PE Fabric"/>
    <s v="PP Lam Fabric"/>
    <s v="PP Laminated Fabric"/>
    <s v="PP Lam Fabric With UV"/>
    <n v="56"/>
    <n v="6862.46"/>
  </r>
  <r>
    <x v="1"/>
    <s v="Plastene India Limited "/>
    <d v="2023-05-08T00:00:00"/>
    <s v="K.P. Woven Pvt Ltd - Unit 2 (Nani Chirai) -Sales"/>
    <s v="Sales"/>
    <n v="192"/>
    <x v="1"/>
    <s v="PIL1/D/192"/>
    <d v="2023-05-08T00:00:00"/>
    <s v="SF"/>
    <s v="Webbing"/>
    <s v="PP Webbing"/>
    <s v="PP Webbing"/>
    <s v="Webbing"/>
    <n v="110.5"/>
    <n v="13264.86"/>
  </r>
  <r>
    <x v="1"/>
    <s v="Plastene India Limited "/>
    <d v="2023-05-08T00:00:00"/>
    <s v="K.P. Woven Pvt Ltd - Unit 2 (Nani Chirai) -Sales"/>
    <s v="Sales"/>
    <n v="193"/>
    <x v="0"/>
    <s v="PIL1/D/193"/>
    <d v="2023-05-08T00:00:00"/>
    <s v="Stores/Spares"/>
    <s v="MS Structure Items"/>
    <s v="Spares &amp; Stores"/>
    <s v="Stores &amp; Consumables"/>
    <s v="MS Pipe 4  C Class"/>
    <n v="23"/>
    <n v="1104"/>
  </r>
  <r>
    <x v="1"/>
    <s v="Plastene India Limited "/>
    <d v="2023-05-08T00:00:00"/>
    <s v="K.P. Woven Pvt Ltd - Unit 3 -Sales"/>
    <s v="Export Sales"/>
    <s v="PIL1/E/121/23-24"/>
    <x v="6"/>
    <s v="PIL1/E/121/23-24"/>
    <d v="2023-05-08T00:00:00"/>
    <s v="SF"/>
    <s v="PP/PE Fabric"/>
    <s v="PP Lam Fabric"/>
    <s v="PP Laminated Fabric"/>
    <s v="PP Lam Fabric With UV"/>
    <n v="4165"/>
    <n v="480325.29299999995"/>
  </r>
  <r>
    <x v="1"/>
    <s v="Plastene India Limited "/>
    <d v="2023-05-08T00:00:00"/>
    <s v="K.P. Woven Pvt Ltd - Unit 3 -Sales"/>
    <s v="Export Sales"/>
    <s v="PIL1/E/122/23-24"/>
    <x v="6"/>
    <s v="PIL1/E/122/23-24"/>
    <d v="2023-05-08T00:00:00"/>
    <s v="SF"/>
    <s v="Liners"/>
    <s v="LDPE/LLDPE Bags"/>
    <s v="LLDPE BAGS"/>
    <s v="LDPE/LLDPE Bags/Liner"/>
    <n v="1076.2"/>
    <n v="131841.95200000002"/>
  </r>
  <r>
    <x v="1"/>
    <s v="Plastene India Limited "/>
    <d v="2023-05-08T00:00:00"/>
    <s v="Oswal Extrusion Ltd- KASEZ-Sales"/>
    <s v="Sales High-seas"/>
    <s v="PIL1/HSS/5/23-24"/>
    <x v="2"/>
    <s v="PIL1/HSS/5/23-24"/>
    <d v="2023-05-08T00:00:00"/>
    <s v="RM"/>
    <s v="Granules"/>
    <s v="PP Granules"/>
    <s v="PP Granuels"/>
    <s v="PP Basell 456J"/>
    <n v="49500"/>
    <n v="4197600"/>
  </r>
  <r>
    <x v="1"/>
    <s v="Plastene India Limited "/>
    <d v="2023-05-08T00:00:00"/>
    <s v="Plastene Polyfilms Ltd-Sales"/>
    <s v="Sales"/>
    <n v="191"/>
    <x v="1"/>
    <s v="PIL1/D/191"/>
    <d v="2023-05-08T00:00:00"/>
    <s v="SF"/>
    <s v="PP/PE Fabric"/>
    <s v="PP UL Fabric"/>
    <s v="PP WOVEN FABRIC (FG)"/>
    <s v="PP UL Fabric With UV"/>
    <n v="2910"/>
    <n v="340598.04"/>
  </r>
  <r>
    <x v="1"/>
    <s v="Plastene India Limited "/>
    <d v="2023-05-08T00:00:00"/>
    <s v="Plastene Polyfilms Ltd-Sales"/>
    <s v="Sales"/>
    <n v="191"/>
    <x v="1"/>
    <s v="PIL1/D/191"/>
    <d v="2023-05-08T00:00:00"/>
    <s v="SF"/>
    <s v="PP/PE Fabric"/>
    <s v="PP UL Fabric"/>
    <s v="PP WOVEN FABRIC (FG)"/>
    <s v="PP UL Fabric With UV"/>
    <n v="1105"/>
    <n v="132648.62"/>
  </r>
  <r>
    <x v="1"/>
    <s v="Plastene India Limited "/>
    <d v="2023-05-08T00:00:00"/>
    <s v="Plastene Polyfilms Ltd-Sales"/>
    <s v="Sales"/>
    <n v="191"/>
    <x v="1"/>
    <s v="PIL1/D/191"/>
    <d v="2023-05-08T00:00:00"/>
    <s v="SF"/>
    <s v="PP/PE Fabric"/>
    <s v="PP Lam Fabric"/>
    <s v="PP Laminated Fabric"/>
    <s v="PP Lam Fabric With UV"/>
    <n v="3017"/>
    <n v="369715.25"/>
  </r>
  <r>
    <x v="1"/>
    <s v="Plastene India Limited "/>
    <d v="2023-05-08T00:00:00"/>
    <s v="Plastene Polyfilms Ltd-Sales"/>
    <s v="Sales"/>
    <n v="194"/>
    <x v="1"/>
    <s v="PIL1/D/194"/>
    <d v="2023-05-08T00:00:00"/>
    <s v="SF"/>
    <s v="PP/PE Fabric"/>
    <s v="PP Lam Fabric"/>
    <s v="PP Laminated Fabric"/>
    <s v="PP Lam Fabric With UV"/>
    <n v="2994"/>
    <n v="365399.74"/>
  </r>
  <r>
    <x v="1"/>
    <s v="Plastene India Limited "/>
    <d v="2023-05-08T00:00:00"/>
    <s v="Plastene Polyfilms Ltd-Sales"/>
    <s v="Sales"/>
    <n v="195"/>
    <x v="0"/>
    <s v="PIL1/D/195"/>
    <d v="2023-05-08T00:00:00"/>
    <s v="Stores/Spares"/>
    <s v="MS Structure Items"/>
    <s v="Spares &amp; Stores"/>
    <s v="Stores &amp; Consumables"/>
    <s v="MS Pipe 4  C Class"/>
    <n v="120"/>
    <n v="5760"/>
  </r>
  <r>
    <x v="1"/>
    <s v="Plastene India Limited "/>
    <d v="2023-05-08T00:00:00"/>
    <s v="Plastene Polyfilms Ltd-Sales"/>
    <s v="Sales High-seas"/>
    <s v="PIL1/HSS/4/23-24"/>
    <x v="2"/>
    <s v="PIL1/HSS/4/23-24"/>
    <d v="2023-05-08T00:00:00"/>
    <s v="RM"/>
    <s v="Granules"/>
    <s v="PP Granules"/>
    <s v="PP Granuels"/>
    <s v="PP Basell 456J"/>
    <n v="99000"/>
    <n v="8395200"/>
  </r>
  <r>
    <x v="1"/>
    <s v="Plastene India Limited "/>
    <d v="2023-05-09T00:00:00"/>
    <s v="K.P. Woven Pvt Ltd-Sales"/>
    <s v="Sales"/>
    <n v="200"/>
    <x v="1"/>
    <s v="PIL1/D/200"/>
    <d v="2023-05-09T00:00:00"/>
    <s v="SF"/>
    <s v="PP/PE Fabric"/>
    <s v="PP Lam Fabric"/>
    <s v="PP Laminated Fabric"/>
    <s v="PP Lam Fabric With UV"/>
    <n v="100"/>
    <n v="16504.400000000001"/>
  </r>
  <r>
    <x v="1"/>
    <s v="Plastene India Limited "/>
    <d v="2023-05-09T00:00:00"/>
    <s v="K.P. Woven Pvt Ltd-Sales"/>
    <s v="Sales"/>
    <n v="200"/>
    <x v="1"/>
    <s v="PIL1/D/200"/>
    <d v="2023-05-09T00:00:00"/>
    <s v="SF"/>
    <s v="PP/PE Fabric"/>
    <s v="PP Lam Fabric"/>
    <s v="PP Laminated Fabric"/>
    <s v="PP Lam Fabric With UV"/>
    <n v="1992"/>
    <n v="244107.65"/>
  </r>
  <r>
    <x v="1"/>
    <s v="Plastene India Limited "/>
    <d v="2023-05-09T00:00:00"/>
    <s v="K.P. Woven Pvt Ltd-Sales"/>
    <s v="Sales"/>
    <n v="200"/>
    <x v="1"/>
    <s v="PIL1/D/200"/>
    <d v="2023-05-09T00:00:00"/>
    <s v="SF"/>
    <s v="PP/PE Fabric"/>
    <s v="PP UL Fabric"/>
    <s v="PP WOVEN FABRIC (FG)"/>
    <s v="PP UL Fabric With UV"/>
    <n v="5326"/>
    <n v="623376.34"/>
  </r>
  <r>
    <x v="1"/>
    <s v="Plastene India Limited "/>
    <d v="2023-05-10T00:00:00"/>
    <s v="HCP Plastene Bulkpack Ltd (Unit-III) - Sales"/>
    <s v="Sales"/>
    <n v="203"/>
    <x v="1"/>
    <s v="PIL1/D/203"/>
    <d v="2023-05-10T00:00:00"/>
    <s v="SF"/>
    <s v="PP/PE Fabric"/>
    <s v="PP UL Fabric"/>
    <s v="PP WOVEN FABRIC (FG)"/>
    <s v="PP UL Fabric With UV"/>
    <n v="3867"/>
    <n v="444875.15"/>
  </r>
  <r>
    <x v="1"/>
    <s v="Plastene India Limited "/>
    <d v="2023-05-10T00:00:00"/>
    <s v="HCP Plastene Bulkpack Ltd (Unit-III) - Sales"/>
    <s v="Sales"/>
    <n v="204"/>
    <x v="0"/>
    <s v="PIL1/D/204"/>
    <d v="2023-05-10T00:00:00"/>
    <s v="Stores/Spares"/>
    <s v="MS Structure Items"/>
    <s v="Spares &amp; Stores"/>
    <s v="Stores &amp; Consumables"/>
    <s v="MS Pipe 4  C Class"/>
    <n v="188"/>
    <n v="9024"/>
  </r>
  <r>
    <x v="1"/>
    <s v="Plastene India Limited "/>
    <d v="2023-05-10T00:00:00"/>
    <s v="K.P. Woven Pvt Ltd - Unit 3 -Sales"/>
    <s v="Export Sales"/>
    <s v="PIL1/E/124/23-24"/>
    <x v="6"/>
    <s v="PIL1/E/124/23-24"/>
    <d v="2023-05-10T00:00:00"/>
    <s v="SF"/>
    <s v="PP/PE Fabric"/>
    <s v="PP Lam Fabric"/>
    <s v="PP Laminated Fabric"/>
    <s v="PP Lam Fabric With UV"/>
    <n v="4861"/>
    <n v="560590.77399999998"/>
  </r>
  <r>
    <x v="1"/>
    <s v="Plastene India Limited "/>
    <d v="2023-05-10T00:00:00"/>
    <s v="K.P. Woven Pvt Ltd - Unit 3 -Sales"/>
    <s v="Export Sales"/>
    <s v="PIL1/E/125/23-24"/>
    <x v="6"/>
    <s v="PIL1/E/125/23-24"/>
    <d v="2023-05-10T00:00:00"/>
    <s v="SF"/>
    <s v="Liners"/>
    <s v="LDPE/LLDPE Bags"/>
    <s v="LLDPE BAGS"/>
    <s v="LDPE/LLDPE Bags/Liner"/>
    <n v="1173.7"/>
    <n v="143786.58800000002"/>
  </r>
  <r>
    <x v="1"/>
    <s v="Plastene India Limited "/>
    <d v="2023-05-10T00:00:00"/>
    <s v="K.P. Woven Pvt Ltd-Sales"/>
    <s v="Sales"/>
    <n v="201"/>
    <x v="1"/>
    <s v="PIL1/D/201"/>
    <d v="2023-05-10T00:00:00"/>
    <s v="SF"/>
    <s v="PP/PE Fabric"/>
    <s v="PP UL Fabric"/>
    <s v="PP WOVEN FABRIC (FG)"/>
    <s v="PP UL Fabric With UV"/>
    <n v="2232"/>
    <n v="256778.21"/>
  </r>
  <r>
    <x v="1"/>
    <s v="Plastene India Limited "/>
    <d v="2023-05-10T00:00:00"/>
    <s v="K.P. Woven Pvt Ltd-Sales"/>
    <s v="Sales"/>
    <n v="201"/>
    <x v="1"/>
    <s v="PIL1/D/201"/>
    <d v="2023-05-10T00:00:00"/>
    <s v="SF"/>
    <s v="PP/PE Fabric"/>
    <s v="PP UL Fabric"/>
    <s v="PP WOVEN FABRIC (FG)"/>
    <s v="PP UL Fabric With UV"/>
    <n v="2376"/>
    <n v="285224.53999999998"/>
  </r>
  <r>
    <x v="1"/>
    <s v="Plastene India Limited "/>
    <d v="2023-05-10T00:00:00"/>
    <s v="K.P. Woven Pvt Ltd-Sales"/>
    <s v="Sales"/>
    <n v="202"/>
    <x v="0"/>
    <s v="PIL1/D/202"/>
    <d v="2023-05-10T00:00:00"/>
    <s v="Stores/Spares"/>
    <s v="MS Structure Items"/>
    <s v="Spares &amp; Stores"/>
    <s v="Stores &amp; Consumables"/>
    <s v="MS Pipe 4  C Class"/>
    <n v="181"/>
    <n v="8688"/>
  </r>
  <r>
    <x v="1"/>
    <s v="Plastene India Limited "/>
    <d v="2023-05-10T00:00:00"/>
    <s v="K.P. Woven Pvt Ltd-Sales"/>
    <s v="SALES (FOREX)"/>
    <s v="PIL1/DE/12/23-24"/>
    <x v="1"/>
    <s v="PIL1/DE/12/23-24"/>
    <d v="2023-05-10T00:00:00"/>
    <s v="SF"/>
    <s v="Liners"/>
    <s v="LDPE/LLDPE Bags"/>
    <s v="LLDPE BAGS"/>
    <s v="LDPE/LLDPE Bags/Liner"/>
    <n v="818"/>
    <n v="115436.16"/>
  </r>
  <r>
    <x v="1"/>
    <s v="Plastene India Limited "/>
    <d v="2023-05-10T00:00:00"/>
    <s v="K.P. Woven Pvt Ltd-Sales"/>
    <s v="SALES (FOREX)"/>
    <s v="PIL1/DE/12/23-24"/>
    <x v="1"/>
    <s v="PIL1/DE/12/23-24"/>
    <d v="2023-05-10T00:00:00"/>
    <s v="SF"/>
    <s v="Liners"/>
    <s v="LDPE/LLDPE Bags"/>
    <s v="LLDPE BAGS"/>
    <s v="LDPE/LLDPE Bags/Liner"/>
    <n v="666.1"/>
    <n v="80678.03"/>
  </r>
  <r>
    <x v="1"/>
    <s v="Plastene India Limited "/>
    <d v="2023-05-11T00:00:00"/>
    <s v="K.P. Woven Pvt Ltd - Unit 3 -Sales"/>
    <s v="Export Sales"/>
    <s v="PIL1/E/129/23-24"/>
    <x v="6"/>
    <s v="PIL1/E/129/23-24"/>
    <d v="2023-05-11T00:00:00"/>
    <s v="SF"/>
    <s v="PP/PE Fabric"/>
    <s v="PP Lam Fabric"/>
    <s v="PP Laminated Fabric"/>
    <s v="PP Lam Fabric With UV"/>
    <n v="3587.4"/>
    <n v="413713.80799999996"/>
  </r>
  <r>
    <x v="1"/>
    <s v="Plastene India Limited "/>
    <d v="2023-05-11T00:00:00"/>
    <s v="K.P. Woven Pvt Ltd - Unit 3 -Sales"/>
    <s v="Export Sales"/>
    <s v="PIL1/E/130/23-24"/>
    <x v="6"/>
    <s v="PIL1/E/130/23-24"/>
    <d v="2023-05-11T00:00:00"/>
    <s v="SF"/>
    <s v="PP/PE Fabric"/>
    <s v="PP Lam Fabric"/>
    <s v="PP Laminated Fabric"/>
    <s v="PP Lam Fabric With UV"/>
    <n v="202.6"/>
    <n v="23292.884999999998"/>
  </r>
  <r>
    <x v="1"/>
    <s v="Plastene India Limited "/>
    <d v="2023-05-11T00:00:00"/>
    <s v="K.P. Woven Pvt Ltd - Unit 3 -Sales"/>
    <s v="Export Sales"/>
    <s v="PIL1/E/131/23-24"/>
    <x v="6"/>
    <s v="PIL1/E/131/23-24"/>
    <d v="2023-05-11T00:00:00"/>
    <s v="SF"/>
    <s v="Liners"/>
    <s v="LDPE/LLDPE Bags"/>
    <s v="LLDPE BAGS"/>
    <s v="LDPE/LLDPE Bags/Liner"/>
    <n v="155.4"/>
    <n v="19037.832000000002"/>
  </r>
  <r>
    <x v="1"/>
    <s v="Plastene India Limited "/>
    <d v="2023-05-11T00:00:00"/>
    <s v="Plastene Polyfilms Ltd-Sales"/>
    <s v="Sales"/>
    <n v="205"/>
    <x v="1"/>
    <s v="PIL1/D/205"/>
    <d v="2023-05-11T00:00:00"/>
    <s v="SF"/>
    <s v="PP/PE Fabric"/>
    <s v="PP Lam Fabric"/>
    <s v="PP Laminated Fabric"/>
    <s v="PP Lam Fabric With UV"/>
    <n v="1429"/>
    <n v="174400.88"/>
  </r>
  <r>
    <x v="1"/>
    <s v="Plastene India Limited "/>
    <d v="2023-05-11T00:00:00"/>
    <s v="Plastene Polyfilms Ltd-Sales"/>
    <s v="Sales"/>
    <n v="205"/>
    <x v="1"/>
    <s v="PIL1/D/205"/>
    <d v="2023-05-11T00:00:00"/>
    <s v="SF"/>
    <s v="Webbing"/>
    <s v="PP Webbing"/>
    <s v="PP Webbing"/>
    <s v="Webbing"/>
    <n v="807.7"/>
    <n v="96959.54"/>
  </r>
  <r>
    <x v="1"/>
    <s v="Plastene India Limited "/>
    <d v="2023-05-11T00:00:00"/>
    <s v="Plastene Polyfilms Ltd-Sales"/>
    <s v="Sales"/>
    <n v="205"/>
    <x v="1"/>
    <s v="PIL1/D/205"/>
    <d v="2023-05-11T00:00:00"/>
    <s v="SF"/>
    <s v="PP/PE Fabric"/>
    <s v="PP UL Fabric"/>
    <s v="PP WOVEN FABRIC (FG)"/>
    <s v="PP UL Fabric With UV"/>
    <n v="193"/>
    <n v="22203.49"/>
  </r>
  <r>
    <x v="1"/>
    <s v="Plastene India Limited "/>
    <d v="2023-05-11T00:00:00"/>
    <s v="Plastene Polyfilms Ltd-Sales"/>
    <s v="Sales"/>
    <n v="205"/>
    <x v="1"/>
    <s v="PIL1/D/205"/>
    <d v="2023-05-11T00:00:00"/>
    <s v="SF"/>
    <s v="PP/PE Fabric"/>
    <s v="PP UL Fabric"/>
    <s v="PP WOVEN FABRIC (FG)"/>
    <s v="PP UL Fabric With UV"/>
    <n v="1071"/>
    <n v="128567.12"/>
  </r>
  <r>
    <x v="1"/>
    <s v="Plastene India Limited "/>
    <d v="2023-05-11T00:00:00"/>
    <s v="Plastene Polyfilms Ltd-Sales"/>
    <s v="Sales"/>
    <n v="206"/>
    <x v="0"/>
    <s v="PIL1/D/206"/>
    <d v="2023-05-11T00:00:00"/>
    <s v="Stores/Spares"/>
    <s v="MS Structure Items"/>
    <s v="Spares &amp; Stores"/>
    <s v="Stores &amp; Consumables"/>
    <s v="MS Pipe 4  C Class"/>
    <n v="86"/>
    <n v="4128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UL Fabric"/>
    <s v="PP WOVEN FABRIC (FG)"/>
    <s v="PP UL Fabric With UV"/>
    <n v="445"/>
    <n v="51193.69"/>
  </r>
  <r>
    <x v="1"/>
    <s v="Plastene India Limited "/>
    <d v="2023-05-12T00:00:00"/>
    <s v="Plastene Polyfilms Ltd-Sales"/>
    <s v="Sales"/>
    <n v="208"/>
    <x v="1"/>
    <s v="PIL1/D/208"/>
    <d v="2023-05-12T00:00:00"/>
    <s v="SF"/>
    <s v="Liners"/>
    <s v="LDPE/LLDPE Bags"/>
    <s v="LLDPE BAGS"/>
    <s v="LDPE/LLDPE Bags/Liner"/>
    <n v="560"/>
    <n v="70926.8"/>
  </r>
  <r>
    <x v="1"/>
    <s v="Plastene India Limited "/>
    <d v="2023-05-12T00:00:00"/>
    <s v="Plastene Polyfilms Ltd-Sales"/>
    <s v="Sales"/>
    <n v="208"/>
    <x v="1"/>
    <s v="PIL1/D/208"/>
    <d v="2023-05-12T00:00:00"/>
    <s v="SF"/>
    <s v="Liners"/>
    <s v="LDPE/LLDPE Bags"/>
    <s v="LLDPE BAGS"/>
    <s v="LDPE/LLDPE Bags/Liner"/>
    <n v="158"/>
    <n v="19379.490000000002"/>
  </r>
  <r>
    <x v="1"/>
    <s v="Plastene India Limited "/>
    <d v="2023-05-12T00:00:00"/>
    <s v="Plastene Polyfilms Ltd-Sales"/>
    <s v="Sales"/>
    <n v="208"/>
    <x v="1"/>
    <s v="PIL1/D/208"/>
    <d v="2023-05-12T00:00:00"/>
    <s v="SF"/>
    <s v="Liners"/>
    <s v="LDPE/LLDPE Bags"/>
    <s v="LLDPE BAGS"/>
    <s v="LDPE/LLDPE Bags/Liner"/>
    <n v="614"/>
    <n v="75310.17"/>
  </r>
  <r>
    <x v="1"/>
    <s v="Plastene India Limited "/>
    <d v="2023-05-12T00:00:00"/>
    <s v="Plastene Polyfilms Ltd-Sales"/>
    <s v="Sales"/>
    <n v="208"/>
    <x v="1"/>
    <s v="PIL1/D/208"/>
    <d v="2023-05-12T00:00:00"/>
    <s v="SF"/>
    <s v="Webbing"/>
    <s v="PP Webbing"/>
    <s v="PP Webbing"/>
    <s v="Webbing"/>
    <n v="339.9"/>
    <n v="40802.28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Lam Fabric"/>
    <s v="PP Laminated Fabric"/>
    <s v="PP Lam Fabric With UV"/>
    <n v="641"/>
    <n v="91048.92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Lam Fabric"/>
    <s v="PP Laminated Fabric"/>
    <s v="PP Lam Fabric With UV"/>
    <n v="1300"/>
    <n v="152154.6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Lam Fabric"/>
    <s v="PP Laminated Fabric"/>
    <s v="PP Lam Fabric With UV"/>
    <n v="705"/>
    <n v="86039.61"/>
  </r>
  <r>
    <x v="1"/>
    <s v="Plastene India Limited "/>
    <d v="2023-05-12T00:00:00"/>
    <s v="Plastene Polyfilms Ltd-Sales"/>
    <s v="Sales"/>
    <n v="208"/>
    <x v="1"/>
    <s v="PIL1/D/208"/>
    <d v="2023-05-12T00:00:00"/>
    <s v="SF"/>
    <s v="Yarn All"/>
    <s v="PP Yarn"/>
    <s v="PP Filament Yarn"/>
    <s v="PP MF Yarn Twisted 3000 Denier UV NW"/>
    <n v="832.5"/>
    <n v="109790.93"/>
  </r>
  <r>
    <x v="1"/>
    <s v="Plastene India Limited "/>
    <d v="2023-05-12T00:00:00"/>
    <s v="Plastene Polyfilms Ltd-Sales"/>
    <s v="Sales"/>
    <n v="208"/>
    <x v="1"/>
    <s v="PIL1/D/208"/>
    <d v="2023-05-12T00:00:00"/>
    <s v="SF"/>
    <s v="Yarn All"/>
    <s v="PP Yarn"/>
    <s v="PP Filament Yarn"/>
    <s v="PP MF Yarn Twisted 3000 Denier UV Deep Blue"/>
    <n v="394.5"/>
    <n v="53210.55"/>
  </r>
  <r>
    <x v="1"/>
    <s v="Plastene India Limited "/>
    <d v="2023-05-12T00:00:00"/>
    <s v="Plastene Polyfilms Ltd-Sales"/>
    <s v="Sales"/>
    <n v="208"/>
    <x v="1"/>
    <s v="PIL1/D/208"/>
    <d v="2023-05-12T00:00:00"/>
    <s v="SF"/>
    <s v="Yarn All"/>
    <s v="PP Yarn"/>
    <s v="PP Filament Yarn"/>
    <s v="PP MF Yarn Flat 840 MW"/>
    <n v="460.06"/>
    <n v="59753.05"/>
  </r>
  <r>
    <x v="1"/>
    <s v="Plastene India Limited "/>
    <d v="2023-05-12T00:00:00"/>
    <s v="Plastene Polyfilms Ltd-Sales"/>
    <s v="Sales"/>
    <n v="209"/>
    <x v="0"/>
    <s v="PIL1/D/209"/>
    <d v="2023-05-12T00:00:00"/>
    <s v="Stores/Spares"/>
    <s v="MS Structure Items"/>
    <s v="Spares &amp; Stores"/>
    <s v="Stores &amp; Consumables"/>
    <s v="MS Pipe 4  C Class"/>
    <n v="121"/>
    <n v="5808"/>
  </r>
  <r>
    <x v="1"/>
    <s v="Plastene India Limited "/>
    <d v="2023-05-12T00:00:00"/>
    <s v="Plastene Polyfilms Ltd-Sales"/>
    <s v="Sales"/>
    <n v="210"/>
    <x v="1"/>
    <s v="PIL1/D/210"/>
    <d v="2023-05-12T00:00:00"/>
    <s v="SF"/>
    <s v="PP/PE Fabric"/>
    <s v="PP Lam Fabric"/>
    <s v="PP Laminated Fabric"/>
    <s v="PP Lam Fabric With UV"/>
    <n v="3499"/>
    <n v="427024.96"/>
  </r>
  <r>
    <x v="1"/>
    <s v="Plastene India Limited "/>
    <d v="2023-05-12T00:00:00"/>
    <s v="Plastene Polyfilms Ltd-Sales"/>
    <s v="Sales"/>
    <n v="211"/>
    <x v="0"/>
    <s v="PIL1/D/211"/>
    <d v="2023-05-12T00:00:00"/>
    <s v="Stores/Spares"/>
    <s v="MS Structure Items"/>
    <s v="Spares &amp; Stores"/>
    <s v="Stores &amp; Consumables"/>
    <s v="MS Pipe 4  C Class"/>
    <n v="100"/>
    <n v="4800"/>
  </r>
  <r>
    <x v="1"/>
    <s v="Plastene India Limited "/>
    <d v="2023-05-13T00:00:00"/>
    <s v="HCP Plastene Bulkpack Ltd (Unit-III) - Sales"/>
    <s v="Sales"/>
    <n v="213"/>
    <x v="1"/>
    <s v="PIL1/D/213"/>
    <d v="2023-05-13T00:00:00"/>
    <s v="SF"/>
    <s v="PP/PE Fabric"/>
    <s v="PP UL Fabric"/>
    <s v="PP WOVEN FABRIC (FG)"/>
    <s v="PP UL Fabric With UV"/>
    <n v="4151"/>
    <n v="477539.34"/>
  </r>
  <r>
    <x v="1"/>
    <s v="Plastene India Limited "/>
    <d v="2023-05-13T00:00:00"/>
    <s v="HCP Plastene Bulkpack Ltd (Unit-III) - Sales"/>
    <s v="Sales"/>
    <n v="214"/>
    <x v="0"/>
    <s v="PIL1/D/214"/>
    <d v="2023-05-13T00:00:00"/>
    <s v="Stores/Spares"/>
    <s v="MS Structure Items"/>
    <s v="Spares &amp; Stores"/>
    <s v="Stores &amp; Consumables"/>
    <s v="MS Pipe 4  C Class"/>
    <n v="198"/>
    <n v="9504"/>
  </r>
  <r>
    <x v="1"/>
    <s v="Plastene India Limited "/>
    <d v="2023-05-13T00:00:00"/>
    <s v="Jain Bulk Pack - Sales"/>
    <s v="Sales"/>
    <n v="212"/>
    <x v="0"/>
    <s v="PIL1/D/212"/>
    <d v="2023-05-13T00:00:00"/>
    <s v="RM"/>
    <s v="Granules"/>
    <s v="PP Granules"/>
    <s v="PP Granuels"/>
    <s v="PP IOCL P1110MAS"/>
    <n v="12000"/>
    <n v="1204836"/>
  </r>
  <r>
    <x v="1"/>
    <s v="Plastene India Limited "/>
    <d v="2023-05-13T00:00:00"/>
    <s v="K.P. Woven Pvt Ltd - Unit 3 -Sales"/>
    <s v="Export Sales"/>
    <s v="PIL1/E/136/23-24"/>
    <x v="6"/>
    <s v="PIL1/E/136/23-24"/>
    <d v="2023-05-13T00:00:00"/>
    <s v="SF"/>
    <s v="PP/PE Fabric"/>
    <s v="PP Lam Fabric"/>
    <s v="PP Laminated Fabric"/>
    <s v="PP Lam Fabric With UV"/>
    <n v="705"/>
    <n v="81052.933499999999"/>
  </r>
  <r>
    <x v="1"/>
    <s v="Plastene India Limited "/>
    <d v="2023-05-13T00:00:00"/>
    <s v="K.P. Woven Pvt Ltd - Unit 3 -Sales"/>
    <s v="Export Sales"/>
    <s v="PIL1/E/137/23-24"/>
    <x v="6"/>
    <s v="PIL1/E/137/23-24"/>
    <d v="2023-05-13T00:00:00"/>
    <s v="SF"/>
    <s v="Liners"/>
    <s v="LDPE/LLDPE Bags"/>
    <s v="LLDPE BAGS"/>
    <s v="LDPE/LLDPE Bags/Liner"/>
    <n v="298.7"/>
    <n v="36592.556000000004"/>
  </r>
  <r>
    <x v="1"/>
    <s v="Plastene India Limited "/>
    <d v="2023-05-13T00:00:00"/>
    <s v="K.P. Woven Pvt Ltd - Unit 3 -Sales"/>
    <s v="SALES (FOREX)"/>
    <s v="PIL1/E/138/23-24"/>
    <x v="6"/>
    <s v="PIL1/E/138/23-24"/>
    <d v="2023-05-13T00:00:00"/>
    <s v="SF"/>
    <s v="Granules"/>
    <s v="RP Granules"/>
    <s v="Reprocess Granules"/>
    <s v="RP Granules"/>
    <n v="500"/>
    <n v="45080.5"/>
  </r>
  <r>
    <x v="1"/>
    <s v="Plastene India Limited "/>
    <d v="2023-05-13T00:00:00"/>
    <s v="K.P. Woven Pvt Ltd - Unit 3 -Sales"/>
    <s v="Export Sales"/>
    <s v="PIL1/E/139/23-24"/>
    <x v="6"/>
    <s v="PIL1/E/139/23-24"/>
    <d v="2023-05-13T00:00:00"/>
    <s v="SF"/>
    <s v="Tape Stock"/>
    <s v="PP Tapes"/>
    <s v="PP TAPE"/>
    <s v="PP Tapes"/>
    <n v="2552.1999999999998"/>
    <n v="270106.10549999995"/>
  </r>
  <r>
    <x v="1"/>
    <s v="Plastene India Limited "/>
    <d v="2023-05-13T00:00:00"/>
    <s v="K.P. Woven Pvt Ltd - Unit 3 -Sales"/>
    <s v="Export Sales"/>
    <s v="PIL1/E/140/23-24"/>
    <x v="6"/>
    <s v="PIL1/E/140/23-24"/>
    <d v="2023-05-13T00:00:00"/>
    <s v="SF"/>
    <s v="PP/PE Fabric"/>
    <s v="PP UL Fabric"/>
    <s v="PP WOVEN FABRIC (FG)"/>
    <s v="PP UL Fabric With UV"/>
    <n v="28.8"/>
    <n v="3225.3470000000002"/>
  </r>
  <r>
    <x v="1"/>
    <s v="Plastene India Limited "/>
    <d v="2023-05-13T00:00:00"/>
    <s v="Plastene Polyfilms Ltd-Sales"/>
    <s v="Sales"/>
    <n v="216"/>
    <x v="1"/>
    <s v="PIL1/D/216"/>
    <d v="2023-05-13T00:00:00"/>
    <s v="SF"/>
    <s v="Webbing"/>
    <s v="PP Webbing"/>
    <s v="PP Webbing"/>
    <s v="Webbing"/>
    <n v="413.4"/>
    <n v="49625.36"/>
  </r>
  <r>
    <x v="1"/>
    <s v="Plastene India Limited "/>
    <d v="2023-05-13T00:00:00"/>
    <s v="Plastene Polyfilms Ltd-Sales"/>
    <s v="Sales"/>
    <n v="216"/>
    <x v="1"/>
    <s v="PIL1/D/216"/>
    <d v="2023-05-13T00:00:00"/>
    <s v="SF"/>
    <s v="PP/PE Fabric"/>
    <s v="PP UL Fabric"/>
    <s v="PP WOVEN FABRIC (FG)"/>
    <s v="PP UL Fabric With UV"/>
    <n v="1037"/>
    <n v="124483.55"/>
  </r>
  <r>
    <x v="1"/>
    <s v="Plastene India Limited "/>
    <d v="2023-05-13T00:00:00"/>
    <s v="Plastene Polyfilms Ltd-Sales"/>
    <s v="Sales"/>
    <n v="216"/>
    <x v="1"/>
    <s v="PIL1/D/216"/>
    <d v="2023-05-13T00:00:00"/>
    <s v="SF"/>
    <s v="PP/PE Fabric"/>
    <s v="PP Lam Fabric"/>
    <s v="PP Laminated Fabric"/>
    <s v="PP Lam Fabric With UV"/>
    <n v="706"/>
    <n v="86161.65"/>
  </r>
  <r>
    <x v="1"/>
    <s v="Plastene India Limited "/>
    <d v="2023-05-13T00:00:00"/>
    <s v="Plastene Polyfilms Ltd-Sales"/>
    <s v="Sales"/>
    <n v="217"/>
    <x v="0"/>
    <s v="PIL1/D/217"/>
    <d v="2023-05-13T00:00:00"/>
    <s v="Stores/Spares"/>
    <s v="MS Structure Items"/>
    <s v="Spares &amp; Stores"/>
    <s v="Stores &amp; Consumables"/>
    <s v="MS Pipe 4  C Class"/>
    <n v="58"/>
    <n v="2784"/>
  </r>
  <r>
    <x v="1"/>
    <s v="Plastene India Limited "/>
    <d v="2023-05-14T00:00:00"/>
    <s v="K.P. Woven Pvt Ltd - Unit 2 (Nani Chirai) -Sales"/>
    <s v="Sales"/>
    <n v="219"/>
    <x v="1"/>
    <s v="PIL1/D/219"/>
    <d v="2023-05-14T00:00:00"/>
    <s v="SF"/>
    <s v="Yarn All"/>
    <s v="PP Yarn"/>
    <s v="Twisted Polyester Texturised Yarn"/>
    <s v="Polyester Yarn Twisted"/>
    <n v="7"/>
    <n v="1023.89"/>
  </r>
  <r>
    <x v="1"/>
    <s v="Plastene India Limited "/>
    <d v="2023-05-14T00:00:00"/>
    <s v="K.P. Woven Pvt Ltd - Unit 2 (Nani Chirai) -Sales"/>
    <s v="Sales"/>
    <n v="220"/>
    <x v="0"/>
    <s v="PIL1/D/220"/>
    <d v="2023-05-14T00:00:00"/>
    <s v="Stores/Spares"/>
    <s v="Needles"/>
    <s v="Spares &amp; Stores"/>
    <s v="Stores &amp; Consumables"/>
    <s v="Needle 25 No. Dpx17"/>
    <n v="1"/>
    <n v="81.400000000000006"/>
  </r>
  <r>
    <x v="1"/>
    <s v="Plastene India Limited "/>
    <d v="2023-05-14T00:00:00"/>
    <s v="K.P. Woven Pvt Ltd - Unit 2 (Nani Chirai) -Sales"/>
    <s v="Sales"/>
    <n v="220"/>
    <x v="0"/>
    <s v="PIL1/D/220"/>
    <d v="2023-05-14T00:00:00"/>
    <s v="Stores/Spares"/>
    <s v="Stitching Spares"/>
    <s v="Spares &amp; Stores"/>
    <s v="Stores &amp; Consumables"/>
    <s v="Bobin B9117-563-000"/>
    <n v="1"/>
    <n v="120"/>
  </r>
  <r>
    <x v="1"/>
    <s v="Plastene India Limited "/>
    <d v="2023-05-14T00:00:00"/>
    <s v="K.P. Woven Pvt Ltd - Unit 3 -Sales"/>
    <s v="Export Sales"/>
    <s v="PIL1/E/141/23-24"/>
    <x v="6"/>
    <s v="PIL1/E/141/23-24"/>
    <d v="2023-05-14T00:00:00"/>
    <s v="SF"/>
    <s v="PP/PE Fabric"/>
    <s v="PP UL Fabric"/>
    <s v="PP WOVEN FABRIC (FG)"/>
    <s v="PP UL Fabric With UV"/>
    <n v="2053"/>
    <n v="229933.90899999999"/>
  </r>
  <r>
    <x v="1"/>
    <s v="Plastene India Limited "/>
    <d v="2023-05-14T00:00:00"/>
    <s v="K.P. Woven Pvt Ltd - Unit 3 -Sales"/>
    <s v="Export Sales"/>
    <s v="PIL1/E/142/23-24"/>
    <x v="6"/>
    <s v="PIL1/E/142/23-24"/>
    <d v="2023-05-14T00:00:00"/>
    <s v="SF"/>
    <s v="PP/PE Fabric"/>
    <s v="PP Lam Fabric"/>
    <s v="PP Laminated Fabric"/>
    <s v="PP Lam Fabric With UV"/>
    <n v="3044"/>
    <n v="349964.88449999993"/>
  </r>
  <r>
    <x v="1"/>
    <s v="Plastene India Limited "/>
    <d v="2023-05-14T00:00:00"/>
    <s v="K.P. Woven Pvt Ltd-Sales"/>
    <s v="Sales"/>
    <n v="218"/>
    <x v="1"/>
    <s v="PIL1/D/218"/>
    <d v="2023-05-14T00:00:00"/>
    <s v="SF"/>
    <s v="PP/PE Fabric"/>
    <s v="PP UL Fabric"/>
    <s v="PP WOVEN FABRIC (FG)"/>
    <s v="PP UL Fabric With UV"/>
    <n v="852"/>
    <n v="140615.78"/>
  </r>
  <r>
    <x v="1"/>
    <s v="Plastene India Limited "/>
    <d v="2023-05-14T00:00:00"/>
    <s v="K.P. Woven Pvt Ltd-Sales"/>
    <s v="Sales"/>
    <n v="218"/>
    <x v="1"/>
    <s v="PIL1/D/218"/>
    <d v="2023-05-14T00:00:00"/>
    <s v="SF"/>
    <s v="PP/PE Fabric"/>
    <s v="PP UL Fabric"/>
    <s v="PP WOVEN FABRIC (FG)"/>
    <s v="PP UL Fabric With UV"/>
    <n v="4584"/>
    <n v="536520.53"/>
  </r>
  <r>
    <x v="1"/>
    <s v="Plastene India Limited "/>
    <d v="2023-05-14T00:00:00"/>
    <s v="K.P. Woven Pvt Ltd-Sales"/>
    <s v="Sales"/>
    <n v="218"/>
    <x v="1"/>
    <s v="PIL1/D/218"/>
    <d v="2023-05-14T00:00:00"/>
    <s v="SF"/>
    <s v="PP/PE Fabric"/>
    <s v="PP Lam Fabric"/>
    <s v="PP Laminated Fabric"/>
    <s v="PP Lam Fabric With UV"/>
    <n v="1967"/>
    <n v="241040.11"/>
  </r>
  <r>
    <x v="1"/>
    <s v="Plastene India Limited "/>
    <d v="2023-05-14T00:00:00"/>
    <s v="Plastene Polyfilms Ltd-Sales"/>
    <s v="Sales"/>
    <n v="221"/>
    <x v="1"/>
    <s v="PIL1/D/221"/>
    <d v="2023-05-14T00:00:00"/>
    <s v="SF"/>
    <s v="Yarn All"/>
    <s v="PP Yarn"/>
    <s v="PP Filament Yarn"/>
    <s v="PP MF Yarn Twisted 3000 Denier UV Black"/>
    <n v="1027.5"/>
    <n v="138590.23000000001"/>
  </r>
  <r>
    <x v="1"/>
    <s v="Plastene India Limited "/>
    <d v="2023-05-14T00:00:00"/>
    <s v="Plastene Polyfilms Ltd-Sales"/>
    <s v="Sales"/>
    <n v="221"/>
    <x v="1"/>
    <s v="PIL1/D/221"/>
    <d v="2023-05-14T00:00:00"/>
    <s v="SF"/>
    <s v="Yarn All"/>
    <s v="PP Yarn"/>
    <s v="PP Filament Yarn"/>
    <s v="PP Braided Rope MW 6 to 8 GPM"/>
    <n v="122.8"/>
    <n v="17422.990000000002"/>
  </r>
  <r>
    <x v="1"/>
    <s v="Plastene India Limited "/>
    <d v="2023-05-14T00:00:00"/>
    <s v="Plastene Polyfilms Ltd-Sales"/>
    <s v="Sales"/>
    <n v="221"/>
    <x v="1"/>
    <s v="PIL1/D/221"/>
    <d v="2023-05-14T00:00:00"/>
    <s v="SF"/>
    <s v="Webbing"/>
    <s v="PP Webbing"/>
    <s v="PP Webbing"/>
    <s v="Webbing"/>
    <n v="607.29999999999995"/>
    <n v="72901.509999999995"/>
  </r>
  <r>
    <x v="1"/>
    <s v="Plastene India Limited "/>
    <d v="2023-05-14T00:00:00"/>
    <s v="Plastene Polyfilms Ltd-Sales"/>
    <s v="Sales"/>
    <n v="221"/>
    <x v="1"/>
    <s v="PIL1/D/221"/>
    <d v="2023-05-14T00:00:00"/>
    <s v="SF"/>
    <s v="Yarn All"/>
    <s v="PP Yarn"/>
    <s v="PP Filament Yarn"/>
    <s v="PP MF Yarn Twisted 1000 UV NW"/>
    <n v="912.3"/>
    <n v="120315.04"/>
  </r>
  <r>
    <x v="1"/>
    <s v="Plastene India Limited "/>
    <d v="2023-05-14T00:00:00"/>
    <s v="Plastene Polyfilms Ltd-Sales"/>
    <s v="Sales"/>
    <n v="221"/>
    <x v="1"/>
    <s v="PIL1/D/221"/>
    <d v="2023-05-14T00:00:00"/>
    <s v="SF"/>
    <s v="PP/PE Fabric"/>
    <s v="PP Lam Fabric"/>
    <s v="PP Laminated Fabric"/>
    <s v="PP Lam Fabric With UV"/>
    <n v="1634"/>
    <n v="191246.63"/>
  </r>
  <r>
    <x v="1"/>
    <s v="Plastene India Limited "/>
    <d v="2023-05-14T00:00:00"/>
    <s v="Plastene Polyfilms Ltd-Sales"/>
    <s v="Sales"/>
    <n v="221"/>
    <x v="1"/>
    <s v="PIL1/D/221"/>
    <d v="2023-05-14T00:00:00"/>
    <s v="SF"/>
    <s v="PP/PE Fabric"/>
    <s v="PP Lam Fabric"/>
    <s v="PP Laminated Fabric"/>
    <s v="PP Lam Fabric With UV"/>
    <n v="1700"/>
    <n v="207471.4"/>
  </r>
  <r>
    <x v="1"/>
    <s v="Plastene India Limited "/>
    <d v="2023-05-14T00:00:00"/>
    <s v="Plastene Polyfilms Ltd-Sales"/>
    <s v="Sales"/>
    <n v="222"/>
    <x v="0"/>
    <s v="PIL1/D/222"/>
    <d v="2023-05-14T00:00:00"/>
    <s v="Stores/Spares"/>
    <s v="MS Structure Items"/>
    <s v="Spares &amp; Stores"/>
    <s v="Stores &amp; Consumables"/>
    <s v="MS Pipe 4  C Class"/>
    <n v="156"/>
    <n v="7488"/>
  </r>
  <r>
    <x v="1"/>
    <s v="Plastene India Limited "/>
    <d v="2023-05-14T00:00:00"/>
    <s v="Plastene Polyfilms Ltd-Sales"/>
    <s v="Sales"/>
    <n v="223"/>
    <x v="1"/>
    <s v="PIL1/D/223"/>
    <d v="2023-05-14T00:00:00"/>
    <s v="SF"/>
    <s v="PP/PE Fabric"/>
    <s v="PP Lam Fabric"/>
    <s v="PP Laminated Fabric"/>
    <s v="PP Lam Fabric With UV"/>
    <n v="2230"/>
    <n v="273268.65999999997"/>
  </r>
  <r>
    <x v="1"/>
    <s v="Plastene India Limited "/>
    <d v="2023-05-14T00:00:00"/>
    <s v="Plastene Polyfilms Ltd-Sales"/>
    <s v="Sales"/>
    <n v="223"/>
    <x v="1"/>
    <s v="PIL1/D/223"/>
    <d v="2023-05-14T00:00:00"/>
    <s v="SF"/>
    <s v="PP/PE Fabric"/>
    <s v="PP UL Fabric"/>
    <s v="PP WOVEN FABRIC (FG)"/>
    <s v="PP UL Fabric With UV"/>
    <n v="5700"/>
    <n v="667139.4"/>
  </r>
  <r>
    <x v="1"/>
    <s v="Plastene India Limited "/>
    <d v="2023-05-14T00:00:00"/>
    <s v="Plastene Polyfilms Ltd-Sales"/>
    <s v="Sales"/>
    <n v="223"/>
    <x v="1"/>
    <s v="PIL1/D/223"/>
    <d v="2023-05-14T00:00:00"/>
    <s v="SF"/>
    <s v="PP/PE Fabric"/>
    <s v="PP UL Fabric"/>
    <s v="PP WOVEN FABRIC (FG)"/>
    <s v="PP UL Fabric With UV"/>
    <n v="624"/>
    <n v="74906.210000000006"/>
  </r>
  <r>
    <x v="1"/>
    <s v="Plastene India Limited "/>
    <d v="2023-05-15T00:00:00"/>
    <s v="Jain Bulk Pack - Sales"/>
    <s v="Sales"/>
    <n v="229"/>
    <x v="0"/>
    <s v="PIL1/D/229"/>
    <d v="2023-05-15T00:00:00"/>
    <s v="RM"/>
    <s v="Granules"/>
    <s v="HDPE Granules"/>
    <s v="HDPE Granuels"/>
    <s v="HDPE IOCL 010E52"/>
    <n v="24000"/>
    <n v="2601768"/>
  </r>
  <r>
    <x v="1"/>
    <s v="Plastene India Limited "/>
    <d v="2023-05-15T00:00:00"/>
    <s v="K.P. Woven Pvt Ltd - Unit 2 (Nani Chirai) -Sales"/>
    <s v="Sales"/>
    <n v="226"/>
    <x v="1"/>
    <s v="PIL1/D/226"/>
    <d v="2023-05-15T00:00:00"/>
    <s v="SF"/>
    <s v="Webbing"/>
    <s v="PP Webbing"/>
    <s v="PP Webbing"/>
    <s v="Webbing"/>
    <n v="13"/>
    <n v="2039.45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Measuring Scale  1000 mm ( 1 Mtr )"/>
    <n v="1"/>
    <n v="46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Printing &amp; Stationery"/>
    <s v="Stationery Items"/>
    <s v="Spares &amp; Stores"/>
    <s v="Stores &amp; Consumables"/>
    <s v="RooMSpray ( Air Freshner )"/>
    <n v="1"/>
    <n v="40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Printing &amp; Stationery"/>
    <s v="Stationery Items"/>
    <s v="Spares &amp; Stores"/>
    <s v="Stores &amp; Consumables"/>
    <s v="Permanent Marker Pen"/>
    <n v="1"/>
    <n v="50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Tools"/>
    <s v="Spares &amp; Stores"/>
    <s v="Stores &amp; Consumables"/>
    <s v="Box Sealing Tape Dispenser ( Hercules Make )"/>
    <n v="1"/>
    <n v="24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Measuring Tape 03 Mtr ( Steel )"/>
    <n v="1"/>
    <n v="72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Allen Key Set mm"/>
    <n v="0.5"/>
    <n v="278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Steel Scale 12&quot;"/>
    <n v="1"/>
    <n v="12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Allen Key Set mm"/>
    <n v="0.5"/>
    <n v="91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Allen Key Set Inch"/>
    <n v="1"/>
    <n v="30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Consumables"/>
    <s v="Consumables"/>
    <s v="Spares &amp; Stores"/>
    <s v="Stores &amp; Consumables"/>
    <s v="Marker Pen White Board"/>
    <n v="1"/>
    <n v="75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Consumables"/>
    <s v="Consumables"/>
    <s v="Spares &amp; Stores"/>
    <s v="Stores &amp; Consumables"/>
    <s v="Marker Pen CD/DVD/OHP"/>
    <n v="1"/>
    <n v="325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Fix Spanner Set From 6 mm / 7 mm To 30 mm / 32 mm &quot;Taparia&quot; Make"/>
    <n v="1"/>
    <n v="92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Ring Spanner Set From 6 mm / 7 mm To 30 mm / 32 mm &quot;Taparia&quot; Make"/>
    <n v="1"/>
    <n v="1950"/>
  </r>
  <r>
    <x v="1"/>
    <s v="Plastene India Limited "/>
    <d v="2023-05-15T00:00:00"/>
    <s v="K.P. Woven Pvt Ltd - Unit 3 -Sales"/>
    <s v="Export Sales"/>
    <s v="PIL1/E/143/23-24"/>
    <x v="6"/>
    <s v="PIL1/E/143/23-24"/>
    <d v="2023-05-15T00:00:00"/>
    <s v="SF"/>
    <s v="Tape Stock"/>
    <s v="PP Tapes"/>
    <s v="PP TAPE"/>
    <s v="PP Tapes"/>
    <n v="439.2"/>
    <n v="46481.473499999993"/>
  </r>
  <r>
    <x v="1"/>
    <s v="Plastene India Limited "/>
    <d v="2023-05-15T00:00:00"/>
    <s v="K.P. Woven Pvt Ltd - Unit 3 -Sales"/>
    <s v="Export Sales"/>
    <s v="PIL1/E/144/23-24"/>
    <x v="6"/>
    <s v="PIL1/E/144/23-24"/>
    <d v="2023-05-15T00:00:00"/>
    <s v="SF"/>
    <s v="Webbing"/>
    <s v="PP Webbing"/>
    <s v="PP Webbing"/>
    <s v="Webbing"/>
    <n v="1869.2"/>
    <n v="205227.21449999997"/>
  </r>
  <r>
    <x v="1"/>
    <s v="Plastene India Limited "/>
    <d v="2023-05-15T00:00:00"/>
    <s v="K.P. Woven Pvt Ltd - Unit 3 -Sales"/>
    <s v="Export Sales"/>
    <s v="PIL1/E/145/23-24"/>
    <x v="6"/>
    <s v="PIL1/E/145/23-24"/>
    <d v="2023-05-15T00:00:00"/>
    <s v="SF"/>
    <s v="PP/PE Fabric"/>
    <s v="PP UL Fabric"/>
    <s v="PP WOVEN FABRIC (FG)"/>
    <s v="PP UL Fabric With UV"/>
    <n v="4319.1000000000004"/>
    <n v="483735.54800000001"/>
  </r>
  <r>
    <x v="1"/>
    <s v="Plastene India Limited "/>
    <d v="2023-05-15T00:00:00"/>
    <s v="K.P. Woven Pvt Ltd - Unit 3 -Sales"/>
    <s v="Export Sales"/>
    <s v="PIL1/E/146/23-24"/>
    <x v="6"/>
    <s v="PIL1/E/146/23-24"/>
    <d v="2023-05-15T00:00:00"/>
    <s v="SF"/>
    <s v="PP/PE Fabric"/>
    <s v="PP Lam Fabric"/>
    <s v="PP Laminated Fabric"/>
    <s v="PP Lam Fabric With UV"/>
    <n v="283"/>
    <n v="32536.465499999998"/>
  </r>
  <r>
    <x v="1"/>
    <s v="Plastene India Limited "/>
    <d v="2023-05-15T00:00:00"/>
    <s v="K.P. Woven Pvt Ltd-Sales"/>
    <s v="Sales High-seas"/>
    <s v="PIL1/HSS/6/23-24"/>
    <x v="2"/>
    <s v="PIL1/HSS/6/23-24"/>
    <d v="2023-05-15T00:00:00"/>
    <s v="RM"/>
    <s v="Granules"/>
    <s v="PP Granules"/>
    <s v="PP Granuels"/>
    <s v="PP Luban HP2100S"/>
    <n v="49500"/>
    <n v="4237200"/>
  </r>
  <r>
    <x v="1"/>
    <s v="Plastene India Limited "/>
    <d v="2023-05-15T00:00:00"/>
    <s v="Plastene Polyfilms Ltd-Sales"/>
    <s v="Sales"/>
    <n v="224"/>
    <x v="1"/>
    <s v="PIL1/D/224"/>
    <d v="2023-05-15T00:00:00"/>
    <s v="SF"/>
    <s v="Liners"/>
    <s v="LDPE/LLDPE Bags"/>
    <s v="LLDPE BAGS"/>
    <s v="LDPE/LLDPE Bags/Liner"/>
    <n v="563.29999999999995"/>
    <n v="69091.56"/>
  </r>
  <r>
    <x v="1"/>
    <s v="Plastene India Limited "/>
    <d v="2023-05-15T00:00:00"/>
    <s v="Plastene Polyfilms Ltd-Sales"/>
    <s v="Sales"/>
    <n v="225"/>
    <x v="1"/>
    <s v="PIL1/D/225"/>
    <d v="2023-05-15T00:00:00"/>
    <s v="SF"/>
    <s v="Webbing"/>
    <s v="PP Webbing"/>
    <s v="PP Webbing"/>
    <s v="Webbing"/>
    <n v="60.5"/>
    <n v="7262.54"/>
  </r>
  <r>
    <x v="1"/>
    <s v="Plastene India Limited "/>
    <d v="2023-05-15T00:00:00"/>
    <s v="Plastene Polyfilms Ltd-Sales"/>
    <s v="Sales"/>
    <n v="228"/>
    <x v="1"/>
    <s v="PIL1/D/228"/>
    <d v="2023-05-15T00:00:00"/>
    <s v="SF"/>
    <s v="Liners"/>
    <s v="LDPE/LLDPE Bags"/>
    <s v="LLDPE BAGS"/>
    <s v="LDPE/LLDPE Bags/Liner"/>
    <n v="530.29999999999995"/>
    <n v="75649.95"/>
  </r>
  <r>
    <x v="1"/>
    <s v="Plastene India Limited "/>
    <d v="2023-05-16T00:00:00"/>
    <s v="K.P. Woven Pvt Ltd - Unit 3 -Sales"/>
    <s v="Export Sales"/>
    <s v="PIL1/E/147/23-24"/>
    <x v="6"/>
    <s v="PIL1/E/147/23-24"/>
    <d v="2023-05-16T00:00:00"/>
    <s v="SF"/>
    <s v="Webbing"/>
    <s v="PP Webbing"/>
    <s v="PP Webbing"/>
    <s v="Webbing"/>
    <n v="498"/>
    <n v="54677.237999999998"/>
  </r>
  <r>
    <x v="1"/>
    <s v="Plastene India Limited "/>
    <d v="2023-05-16T00:00:00"/>
    <s v="K.P. Woven Pvt Ltd - Unit 3 -Sales"/>
    <s v="Export Sales"/>
    <s v="PIL1/E/148/23-24"/>
    <x v="6"/>
    <s v="PIL1/E/148/23-24"/>
    <d v="2023-05-16T00:00:00"/>
    <s v="SF"/>
    <s v="PP/PE Fabric"/>
    <s v="PP UL Fabric"/>
    <s v="PP WOVEN FABRIC (FG)"/>
    <s v="PP UL Fabric With UV"/>
    <n v="3852"/>
    <n v="431420.37099999993"/>
  </r>
  <r>
    <x v="1"/>
    <s v="Plastene India Limited "/>
    <d v="2023-05-16T00:00:00"/>
    <s v="K.P. Woven Pvt Ltd - Unit 3 -Sales"/>
    <s v="Export Sales"/>
    <s v="PIL1/E/149/23-24"/>
    <x v="6"/>
    <s v="PIL1/E/149/23-24"/>
    <d v="2023-05-16T00:00:00"/>
    <s v="SF"/>
    <s v="PP/PE Fabric"/>
    <s v="PP Lam Fabric"/>
    <s v="PP Laminated Fabric"/>
    <s v="PP Lam Fabric With UV"/>
    <n v="477"/>
    <n v="54839.746499999994"/>
  </r>
  <r>
    <x v="1"/>
    <s v="Plastene India Limited "/>
    <d v="2023-05-16T00:00:00"/>
    <s v="K.P. Woven Pvt Ltd - Unit 3 -Sales"/>
    <s v="Export Sales"/>
    <s v="PIL1/E/151/23-24"/>
    <x v="6"/>
    <s v="PIL1/E/151/23-24"/>
    <d v="2023-05-16T00:00:00"/>
    <s v="SF"/>
    <s v="PP/PE Fabric"/>
    <s v="PP Lam Fabric"/>
    <s v="PP Laminated Fabric"/>
    <s v="PP Lam Fabric With UV"/>
    <n v="4480"/>
    <n v="515059.77600000001"/>
  </r>
  <r>
    <x v="1"/>
    <s v="Plastene India Limited "/>
    <d v="2023-05-16T00:00:00"/>
    <s v="K.P. Woven Pvt Ltd - Unit 3 -Sales"/>
    <s v="Export Sales"/>
    <s v="PIL1/E/152/23-24"/>
    <x v="6"/>
    <s v="PIL1/E/152/23-24"/>
    <d v="2023-05-16T00:00:00"/>
    <s v="SF"/>
    <s v="Yarn All"/>
    <s v="PP Yarn"/>
    <s v="PP Filament Yarn"/>
    <s v="PP MF Yarn Twisted 1500 Denier UV NW"/>
    <n v="279.2"/>
    <n v="34649.8845"/>
  </r>
  <r>
    <x v="1"/>
    <s v="Plastene India Limited "/>
    <d v="2023-05-16T00:00:00"/>
    <s v="K.P. Woven Pvt Ltd - Unit 3 -Sales"/>
    <s v="Export Sales"/>
    <s v="PIL1/E/152/23-24"/>
    <x v="6"/>
    <s v="PIL1/E/152/23-24"/>
    <d v="2023-05-16T00:00:00"/>
    <s v="SF"/>
    <s v="Yarn All"/>
    <s v="PP Yarn"/>
    <s v="PP Filament Yarn"/>
    <s v="PP MF Yarn Twisted 2500 Denier UV NW"/>
    <n v="1430.4"/>
    <n v="177519.11099999998"/>
  </r>
  <r>
    <x v="1"/>
    <s v="Plastene India Limited "/>
    <d v="2023-05-16T00:00:00"/>
    <s v="K.P. Woven Pvt Ltd - Unit 3 -Sales"/>
    <s v="Export Sales"/>
    <s v="PIL1/E/152/23-24"/>
    <x v="6"/>
    <s v="PIL1/E/152/23-24"/>
    <d v="2023-05-16T00:00:00"/>
    <s v="SF"/>
    <s v="Yarn All"/>
    <s v="PP Yarn"/>
    <s v="PP Filament Yarn"/>
    <s v="PP MF Yarn Twisted 2500 Denier Deep Blue"/>
    <n v="604.4"/>
    <n v="75008.587499999994"/>
  </r>
  <r>
    <x v="1"/>
    <s v="Plastene India Limited "/>
    <d v="2023-05-16T00:00:00"/>
    <s v="K.P. Woven Pvt Ltd - Unit 3 -Sales"/>
    <s v="Export Sales"/>
    <s v="PIL1/E/153/23-24"/>
    <x v="6"/>
    <s v="PIL1/E/153/23-24"/>
    <d v="2023-05-16T00:00:00"/>
    <s v="SF"/>
    <s v="Liners"/>
    <s v="LDPE/LLDPE Bags"/>
    <s v="LLDPE BAGS"/>
    <s v="LDPE/LLDPE Bags/Liner"/>
    <n v="167.5"/>
    <n v="20520.126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Lam Fabric"/>
    <s v="PP Laminated Fabric"/>
    <s v="PP Lam Fabric With UV"/>
    <n v="1570"/>
    <n v="223005.94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Lam Fabric"/>
    <s v="PP Laminated Fabric"/>
    <s v="PP Lam Fabric With UV"/>
    <n v="1169"/>
    <n v="136822.1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UL Fabric"/>
    <s v="PP WOVEN FABRIC (FG)"/>
    <s v="PP UL Fabric With UV"/>
    <n v="1035"/>
    <n v="124243.47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UL Fabric"/>
    <s v="PP WOVEN FABRIC (FG)"/>
    <s v="PP UL Fabric With UV"/>
    <n v="67.5"/>
    <n v="7790.85"/>
  </r>
  <r>
    <x v="1"/>
    <s v="Plastene India Limited "/>
    <d v="2023-05-16T00:00:00"/>
    <s v="K.P. Woven Pvt Ltd-Sales"/>
    <s v="Sales"/>
    <n v="233"/>
    <x v="1"/>
    <s v="PIL1/D/233"/>
    <d v="2023-05-16T00:00:00"/>
    <s v="SF"/>
    <s v="Webbing"/>
    <s v="PP Webbing"/>
    <s v="PP Webbing"/>
    <s v="Webbing"/>
    <n v="1227.7"/>
    <n v="147375.56"/>
  </r>
  <r>
    <x v="1"/>
    <s v="Plastene India Limited "/>
    <d v="2023-05-16T00:00:00"/>
    <s v="K.P. Woven Pvt Ltd-Sales"/>
    <s v="Sales"/>
    <n v="234"/>
    <x v="0"/>
    <s v="PIL1/D/234"/>
    <d v="2023-05-16T00:00:00"/>
    <s v="Stores/Spares"/>
    <s v="MS Structure Items"/>
    <s v="Spares &amp; Stores"/>
    <s v="Stores &amp; Consumables"/>
    <s v="MS Pipe 4  C Class"/>
    <n v="166"/>
    <n v="7968"/>
  </r>
  <r>
    <x v="1"/>
    <s v="Plastene India Limited "/>
    <d v="2023-05-16T00:00:00"/>
    <s v="K.P. Woven Pvt Ltd-Sales"/>
    <s v="Sales"/>
    <n v="235"/>
    <x v="1"/>
    <s v="PIL1/D/235"/>
    <d v="2023-05-16T00:00:00"/>
    <s v="SF"/>
    <s v="PP/PE Fabric"/>
    <s v="PP Lam Fabric"/>
    <s v="PP Laminated Fabric"/>
    <s v="PP Lam Fabric With UV"/>
    <n v="1286"/>
    <n v="157589.01"/>
  </r>
  <r>
    <x v="1"/>
    <s v="Plastene India Limited "/>
    <d v="2023-05-16T00:00:00"/>
    <s v="K.P. Woven Pvt Ltd-Sales"/>
    <s v="Sales"/>
    <n v="235"/>
    <x v="1"/>
    <s v="PIL1/D/235"/>
    <d v="2023-05-16T00:00:00"/>
    <s v="SF"/>
    <s v="PP/PE Fabric"/>
    <s v="PP UL Fabric"/>
    <s v="PP WOVEN FABRIC (FG)"/>
    <s v="PP UL Fabric With UV"/>
    <n v="186"/>
    <n v="30697.81"/>
  </r>
  <r>
    <x v="1"/>
    <s v="Plastene India Limited "/>
    <d v="2023-05-16T00:00:00"/>
    <s v="K.P. Woven Pvt Ltd-Sales"/>
    <s v="Sales"/>
    <n v="235"/>
    <x v="1"/>
    <s v="PIL1/D/235"/>
    <d v="2023-05-16T00:00:00"/>
    <s v="SF"/>
    <s v="PP/PE Fabric"/>
    <s v="PP UL Fabric"/>
    <s v="PP WOVEN FABRIC (FG)"/>
    <s v="PP UL Fabric With UV"/>
    <n v="6275"/>
    <n v="734438.55"/>
  </r>
  <r>
    <x v="1"/>
    <s v="Plastene India Limited "/>
    <d v="2023-05-16T00:00:00"/>
    <s v="Plastene Polyfilms Ltd-Sales"/>
    <s v="Sales"/>
    <n v="230"/>
    <x v="1"/>
    <s v="PIL1/D/230"/>
    <d v="2023-05-16T00:00:00"/>
    <s v="SF"/>
    <s v="PP/PE Fabric"/>
    <s v="PP Lam Fabric"/>
    <s v="PP Laminated Fabric"/>
    <s v="PP Lam Fabric With UV"/>
    <n v="2076"/>
    <n v="253359.19"/>
  </r>
  <r>
    <x v="1"/>
    <s v="Plastene India Limited "/>
    <d v="2023-05-16T00:00:00"/>
    <s v="Plastene Polyfilms Ltd-Sales"/>
    <s v="Sales"/>
    <n v="230"/>
    <x v="1"/>
    <s v="PIL1/D/230"/>
    <d v="2023-05-16T00:00:00"/>
    <s v="SF"/>
    <s v="Films All"/>
    <s v="PE Film"/>
    <s v="LLDPE Co-Extruded Film."/>
    <s v="LDPE/LLDPE Film"/>
    <n v="313.7"/>
    <n v="36280.97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797.4"/>
    <n v="97805.1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745.2"/>
    <n v="106306.51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270"/>
    <n v="33116.85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1239"/>
    <n v="156925.54999999999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365.1"/>
    <n v="44781.34"/>
  </r>
  <r>
    <x v="1"/>
    <s v="Plastene India Limited "/>
    <d v="2023-05-16T00:00:00"/>
    <s v="Plastene Polyfilms Ltd-Sales"/>
    <s v="Sales"/>
    <n v="231"/>
    <x v="0"/>
    <s v="PIL1/D/231"/>
    <d v="2023-05-16T00:00:00"/>
    <s v="Stores/Spares"/>
    <s v="MS Structure Items"/>
    <s v="Spares &amp; Stores"/>
    <s v="Stores &amp; Consumables"/>
    <s v="MS Pipe 4  C Class"/>
    <n v="60"/>
    <n v="2880"/>
  </r>
  <r>
    <x v="1"/>
    <s v="Plastene India Limited "/>
    <d v="2023-05-17T00:00:00"/>
    <s v="Jain Bulk Pack - Sales"/>
    <s v="Sales"/>
    <n v="238"/>
    <x v="0"/>
    <s v="PIL1/D/238"/>
    <d v="2023-05-17T00:00:00"/>
    <s v="RM"/>
    <s v="Granules"/>
    <s v="PP Granules"/>
    <s v="PP Granuels"/>
    <s v="PP IOCL 1030RG"/>
    <n v="12000"/>
    <n v="1188636"/>
  </r>
  <r>
    <x v="1"/>
    <s v="Plastene India Limited "/>
    <d v="2023-05-17T00:00:00"/>
    <s v="Plastene Polyfilms Ltd-Sales"/>
    <s v="Sales"/>
    <n v="237"/>
    <x v="1"/>
    <s v="PIL1/D/237"/>
    <d v="2023-05-17T00:00:00"/>
    <s v="SF"/>
    <s v="Liners"/>
    <s v="LDPE/LLDPE Bags"/>
    <s v="LLDPE BAGS"/>
    <s v="LDPE/LLDPE Bags/Liner"/>
    <n v="378"/>
    <n v="47875.59"/>
  </r>
  <r>
    <x v="1"/>
    <s v="Plastene India Limited "/>
    <d v="2023-05-17T00:00:00"/>
    <s v="Plastene Polyfilms Ltd-Sales"/>
    <s v="Sales"/>
    <n v="237"/>
    <x v="1"/>
    <s v="PIL1/D/237"/>
    <d v="2023-05-17T00:00:00"/>
    <s v="SF"/>
    <s v="Liners"/>
    <s v="LDPE/LLDPE Bags"/>
    <s v="LLDPE BAGS"/>
    <s v="LDPE/LLDPE Bags/Liner"/>
    <n v="429"/>
    <n v="54335"/>
  </r>
  <r>
    <x v="1"/>
    <s v="Plastene India Limited "/>
    <d v="2023-05-18T00:00:00"/>
    <s v="K.P. Woven Pvt Ltd - Unit 3 -Sales"/>
    <s v="Export Sales"/>
    <s v="PIL1/E/155/23-24"/>
    <x v="6"/>
    <s v="PIL1/E/155/23-24"/>
    <d v="2023-05-18T00:00:00"/>
    <s v="SF"/>
    <s v="PP/PE Fabric"/>
    <s v="PP Lam Fabric"/>
    <s v="PP Laminated Fabric"/>
    <s v="PP Lam Fabric With UV"/>
    <n v="5782"/>
    <n v="664748.69999999995"/>
  </r>
  <r>
    <x v="1"/>
    <s v="Plastene India Limited "/>
    <d v="2023-05-18T00:00:00"/>
    <s v="K.P. Woven Pvt Ltd - Unit 3 -Sales"/>
    <s v="SALES (FOREX)"/>
    <s v="PIL1/E/156/23-24"/>
    <x v="6"/>
    <s v="PIL1/E/156/23-24"/>
    <d v="2023-05-18T00:00:00"/>
    <s v="SF"/>
    <s v="Yarn All"/>
    <s v="PP Yarn"/>
    <s v="PP TAPE"/>
    <s v="PP Conductive Tape 1100 Black"/>
    <n v="887"/>
    <n v="429751.5"/>
  </r>
  <r>
    <x v="1"/>
    <s v="Plastene India Limited "/>
    <d v="2023-05-18T00:00:00"/>
    <s v="K.P. Woven Pvt Ltd-Sales"/>
    <s v="Sales"/>
    <n v="240"/>
    <x v="1"/>
    <s v="PIL1/D/240"/>
    <d v="2023-05-18T00:00:00"/>
    <s v="SF"/>
    <s v="PP/PE Fabric"/>
    <s v="PP UL Fabric"/>
    <s v="PP WOVEN FABRIC (FG)"/>
    <s v="PP UL Fabric With UV"/>
    <n v="407"/>
    <n v="46822.09"/>
  </r>
  <r>
    <x v="1"/>
    <s v="Plastene India Limited "/>
    <d v="2023-05-18T00:00:00"/>
    <s v="K.P. Woven Pvt Ltd-Sales"/>
    <s v="Sales"/>
    <n v="240"/>
    <x v="1"/>
    <s v="PIL1/D/240"/>
    <d v="2023-05-18T00:00:00"/>
    <s v="SF"/>
    <s v="PP/PE Fabric"/>
    <s v="PP Lam Fabric"/>
    <s v="PP Laminated Fabric"/>
    <s v="PP Lam Fabric With UV"/>
    <n v="590"/>
    <n v="83804.78"/>
  </r>
  <r>
    <x v="1"/>
    <s v="Plastene India Limited "/>
    <d v="2023-05-18T00:00:00"/>
    <s v="K.P. Woven Pvt Ltd-Sales"/>
    <s v="Sales"/>
    <n v="240"/>
    <x v="1"/>
    <s v="PIL1/D/240"/>
    <d v="2023-05-18T00:00:00"/>
    <s v="SF"/>
    <s v="Yarn All"/>
    <s v="PP Yarn"/>
    <s v="PP Filament Yarn"/>
    <s v="PP MF Yarn Twisted 1000 UV NW"/>
    <n v="3304.5"/>
    <n v="435800.76"/>
  </r>
  <r>
    <x v="1"/>
    <s v="Plastene India Limited "/>
    <d v="2023-05-18T00:00:00"/>
    <s v="K.P. Woven Pvt Ltd-Sales"/>
    <s v="Sales"/>
    <n v="240"/>
    <x v="1"/>
    <s v="PIL1/D/240"/>
    <d v="2023-05-18T00:00:00"/>
    <s v="SF"/>
    <s v="Yarn All"/>
    <s v="PP Yarn"/>
    <s v="PP Filament Yarn"/>
    <s v="PP MF Yarn Twisted 2500 Denier UV NW"/>
    <n v="713.2"/>
    <n v="96197.13"/>
  </r>
  <r>
    <x v="1"/>
    <s v="Plastene India Limited "/>
    <d v="2023-05-18T00:00:00"/>
    <s v="K.P. Woven Pvt Ltd-Sales"/>
    <s v="Sales"/>
    <n v="241"/>
    <x v="0"/>
    <s v="PIL1/D/241"/>
    <d v="2023-05-18T00:00:00"/>
    <s v="Stores/Spares"/>
    <s v="MS Structure Items"/>
    <s v="Spares &amp; Stores"/>
    <s v="Stores &amp; Consumables"/>
    <s v="MS Pipe 4  C Class"/>
    <n v="42"/>
    <n v="2016"/>
  </r>
  <r>
    <x v="1"/>
    <s v="Plastene India Limited "/>
    <d v="2023-05-18T00:00:00"/>
    <s v="K.P. Woven Pvt Ltd-Sales"/>
    <s v="Sales High-seas"/>
    <s v="PIL1/HSS/7/23-24"/>
    <x v="2"/>
    <s v="PIL1/HSS/7/23-24"/>
    <d v="2023-05-18T00:00:00"/>
    <s v="RM"/>
    <s v="Granules"/>
    <s v="PP Granules"/>
    <s v="PP Granuels"/>
    <s v="PP Basell 456J"/>
    <n v="99000"/>
    <n v="8390250"/>
  </r>
  <r>
    <x v="1"/>
    <s v="Plastene India Limited "/>
    <d v="2023-05-18T00:00:00"/>
    <s v="Plastene Polyfilms Ltd-Sales"/>
    <s v="Sales"/>
    <n v="239"/>
    <x v="0"/>
    <s v="PIL1/D/239"/>
    <d v="2023-05-18T00:00:00"/>
    <s v="RM"/>
    <s v="Granules"/>
    <s v="Masterbatch"/>
    <s v="Master Batch"/>
    <s v="MB Karnavati Polyplast Blue"/>
    <n v="100"/>
    <n v="21200"/>
  </r>
  <r>
    <x v="1"/>
    <s v="Plastene India Limited "/>
    <d v="2023-05-18T00:00:00"/>
    <s v="Plastene Polyfilms Ltd-Sales"/>
    <s v="Sales High-seas"/>
    <s v="PIL1/HSS/8/23-24"/>
    <x v="2"/>
    <s v="PIL1/HSS/8/23-24"/>
    <d v="2023-05-18T00:00:00"/>
    <s v="RM"/>
    <s v="Granules"/>
    <s v="PP Granules"/>
    <s v="PP Granuels"/>
    <s v="PP Basell 456J"/>
    <n v="49500"/>
    <n v="4195125"/>
  </r>
  <r>
    <x v="1"/>
    <s v="Plastene India Limited "/>
    <d v="2023-05-19T00:00:00"/>
    <s v="K.P. Woven Pvt Ltd - Unit 3 -Sales"/>
    <s v="Export Sales"/>
    <s v="PIL1/E/157/23-24"/>
    <x v="6"/>
    <s v="PIL1/E/157/23-24"/>
    <d v="2023-05-19T00:00:00"/>
    <s v="SF"/>
    <s v="Tape Stock"/>
    <s v="PP Tapes"/>
    <s v="PP TAPE"/>
    <s v="PP Tapes"/>
    <n v="1172.0999999999999"/>
    <n v="124046.53799999999"/>
  </r>
  <r>
    <x v="1"/>
    <s v="Plastene India Limited "/>
    <d v="2023-05-19T00:00:00"/>
    <s v="K.P. Woven Pvt Ltd - Unit 3 -Sales"/>
    <s v="Export Sales"/>
    <s v="PIL1/E/158/23-24"/>
    <x v="6"/>
    <s v="PIL1/E/158/23-24"/>
    <d v="2023-05-19T00:00:00"/>
    <s v="SF"/>
    <s v="PP/PE Fabric"/>
    <s v="PP UL Fabric"/>
    <s v="PP WOVEN FABRIC (FG)"/>
    <s v="PP UL Fabric With UV"/>
    <n v="11"/>
    <n v="1231.9089999999999"/>
  </r>
  <r>
    <x v="1"/>
    <s v="Plastene India Limited "/>
    <d v="2023-05-19T00:00:00"/>
    <s v="K.P. Woven Pvt Ltd - Unit 3 -Sales"/>
    <s v="Export Sales"/>
    <s v="PIL1/E/159/23-24"/>
    <x v="6"/>
    <s v="PIL1/E/159/23-24"/>
    <d v="2023-05-19T00:00:00"/>
    <s v="SF"/>
    <s v="PP/PE Fabric"/>
    <s v="PP UL Fabric"/>
    <s v="PP WOVEN FABRIC (FG)"/>
    <s v="PP UL Fabric With UV"/>
    <n v="201.9"/>
    <n v="22542.596999999998"/>
  </r>
  <r>
    <x v="1"/>
    <s v="Plastene India Limited "/>
    <d v="2023-05-19T00:00:00"/>
    <s v="Plastene Polyfilms Ltd-Sales"/>
    <s v="Sales"/>
    <n v="242"/>
    <x v="1"/>
    <s v="PIL1/D/242"/>
    <d v="2023-05-19T00:00:00"/>
    <s v="SF"/>
    <s v="PP/PE Fabric"/>
    <s v="PP UL Fabric"/>
    <s v="PP WOVEN FABRIC (FG)"/>
    <s v="PP UL Fabric With UV"/>
    <n v="1239"/>
    <n v="148732.04"/>
  </r>
  <r>
    <x v="1"/>
    <s v="Plastene India Limited "/>
    <d v="2023-05-19T00:00:00"/>
    <s v="Plastene Polyfilms Ltd-Sales"/>
    <s v="Sales"/>
    <n v="242"/>
    <x v="1"/>
    <s v="PIL1/D/242"/>
    <d v="2023-05-19T00:00:00"/>
    <s v="SF"/>
    <s v="Liners"/>
    <s v="LDPE/LLDPE Bags"/>
    <s v="LLDPE BAGS"/>
    <s v="LDPE/LLDPE Bags/Liner"/>
    <n v="270"/>
    <n v="33116.85"/>
  </r>
  <r>
    <x v="1"/>
    <s v="Plastene India Limited "/>
    <d v="2023-05-19T00:00:00"/>
    <s v="Plastene Polyfilms Ltd-Sales"/>
    <s v="Sales"/>
    <n v="242"/>
    <x v="1"/>
    <s v="PIL1/D/242"/>
    <d v="2023-05-19T00:00:00"/>
    <s v="SF"/>
    <s v="PP/PE Fabric"/>
    <s v="PP Lam Fabric"/>
    <s v="PP Laminated Fabric"/>
    <s v="PP Lam Fabric With UV"/>
    <n v="945"/>
    <n v="118164.69"/>
  </r>
  <r>
    <x v="1"/>
    <s v="Plastene India Limited "/>
    <d v="2023-05-19T00:00:00"/>
    <s v="Plastene Polyfilms Ltd-Sales"/>
    <s v="Sales"/>
    <n v="242"/>
    <x v="1"/>
    <s v="PIL1/D/242"/>
    <d v="2023-05-19T00:00:00"/>
    <s v="SF"/>
    <s v="Yarn All"/>
    <s v="PP Yarn"/>
    <s v="PP Filament Yarn"/>
    <s v="PP MF Yarn Twisted 3000 Denier UV NW"/>
    <n v="1775.6"/>
    <n v="234167.9"/>
  </r>
  <r>
    <x v="1"/>
    <s v="Plastene India Limited "/>
    <d v="2023-05-19T00:00:00"/>
    <s v="Plastene Polyfilms Ltd-Sales"/>
    <s v="Sales"/>
    <n v="242"/>
    <x v="1"/>
    <s v="PIL1/D/242"/>
    <d v="2023-05-19T00:00:00"/>
    <s v="SF"/>
    <s v="Yarn All"/>
    <s v="PP Yarn"/>
    <s v="PP Filament Yarn"/>
    <s v="PP MF Yarn Twisted 3000 Denier UV Deep Blue"/>
    <n v="445.9"/>
    <n v="60143.44"/>
  </r>
  <r>
    <x v="1"/>
    <s v="Plastene India Limited "/>
    <d v="2023-05-19T00:00:00"/>
    <s v="Plastene Polyfilms Ltd-Sales"/>
    <s v="Sales"/>
    <n v="243"/>
    <x v="0"/>
    <s v="PIL1/D/243"/>
    <d v="2023-05-19T00:00:00"/>
    <s v="Stores/Spares"/>
    <s v="MS Structure Items"/>
    <s v="Spares &amp; Stores"/>
    <s v="Stores &amp; Consumables"/>
    <s v="MS Pipe 4  C Class"/>
    <n v="71"/>
    <n v="3408"/>
  </r>
  <r>
    <x v="1"/>
    <s v="Plastene India Limited "/>
    <d v="2023-05-20T00:00:00"/>
    <s v="Jain Bulk Pack - Sales"/>
    <s v="Sales"/>
    <n v="247"/>
    <x v="0"/>
    <s v="PIL1/D/247"/>
    <d v="2023-05-20T00:00:00"/>
    <s v="RM"/>
    <s v="Granules"/>
    <s v="PP Granules"/>
    <s v="PP Granuels"/>
    <s v="PP IOCL P1110MAS"/>
    <n v="12000"/>
    <n v="1186836"/>
  </r>
  <r>
    <x v="1"/>
    <s v="Plastene India Limited "/>
    <d v="2023-05-20T00:00:00"/>
    <s v="K.P. Woven Pvt Ltd - Unit 3 -Sales"/>
    <s v="SALES (FOREX)"/>
    <s v="PIL1/E/162/23-24"/>
    <x v="4"/>
    <s v="PIL1/E/162/23-24"/>
    <d v="2023-05-20T00:00:00"/>
    <s v="RM"/>
    <s v="Granules"/>
    <s v="Masterbatch"/>
    <s v="Master Batch"/>
    <s v="MB Karnavati Ambuja Yellow"/>
    <n v="100"/>
    <n v="17950"/>
  </r>
  <r>
    <x v="1"/>
    <s v="Plastene India Limited "/>
    <d v="2023-05-20T00:00:00"/>
    <s v="K.P. Woven Pvt Ltd - Unit 3 -Sales"/>
    <s v="SALES (FOREX)"/>
    <s v="PIL1/E/162/23-24"/>
    <x v="4"/>
    <s v="PIL1/E/162/23-24"/>
    <d v="2023-05-20T00:00:00"/>
    <s v="RM"/>
    <s v="Granules"/>
    <s v="Masterbatch"/>
    <s v="Master Batch"/>
    <s v="MB Karnavati Super Blue"/>
    <n v="50"/>
    <n v="7875"/>
  </r>
  <r>
    <x v="1"/>
    <s v="Plastene India Limited "/>
    <d v="2023-05-20T00:00:00"/>
    <s v="K.P. Woven Pvt Ltd - Unit 3 -Sales"/>
    <s v="Export Sales"/>
    <s v="PIL1/E/163/23-24"/>
    <x v="6"/>
    <s v="PIL1/E/163/23-24"/>
    <d v="2023-05-20T00:00:00"/>
    <s v="SF"/>
    <s v="Liners"/>
    <s v="LDPE/LLDPE Bags"/>
    <s v="LLDPE BAGS"/>
    <s v="LDPE/LLDPE Bags/Liner"/>
    <n v="6515.7"/>
    <n v="798218.98199999996"/>
  </r>
  <r>
    <x v="1"/>
    <s v="Plastene India Limited "/>
    <d v="2023-05-20T00:00:00"/>
    <s v="K.P. Woven Pvt Ltd - Unit 3 -Sales"/>
    <s v="Export Sales"/>
    <s v="PIL1/E/164/23-24"/>
    <x v="6"/>
    <s v="PIL1/E/164/23-24"/>
    <d v="2023-05-20T00:00:00"/>
    <s v="SF"/>
    <s v="PP/PE Fabric"/>
    <s v="PP Lam Fabric"/>
    <s v="PP Laminated Fabric"/>
    <s v="PP Lam Fabric With UV"/>
    <n v="4900"/>
    <n v="563346.63"/>
  </r>
  <r>
    <x v="1"/>
    <s v="Plastene India Limited "/>
    <d v="2023-05-20T00:00:00"/>
    <s v="K.P. Woven Pvt Ltd-Sales"/>
    <s v="Sales"/>
    <n v="248"/>
    <x v="1"/>
    <s v="PIL1/D/248"/>
    <d v="2023-05-20T00:00:00"/>
    <s v="SF"/>
    <s v="Yarn All"/>
    <s v="PP Yarn"/>
    <s v="PP Filament Yarn"/>
    <s v="PP MF Yarn Twisted 2500 Denier UV NW"/>
    <n v="384.2"/>
    <n v="51821.279999999999"/>
  </r>
  <r>
    <x v="1"/>
    <s v="Plastene India Limited "/>
    <d v="2023-05-20T00:00:00"/>
    <s v="K.P. Woven Pvt Ltd-Sales"/>
    <s v="Sales"/>
    <n v="248"/>
    <x v="1"/>
    <s v="PIL1/D/248"/>
    <d v="2023-05-20T00:00:00"/>
    <s v="SF"/>
    <s v="Yarn All"/>
    <s v="PP Yarn"/>
    <s v="PP Filament Yarn"/>
    <s v="PP MF Yarn Twisted 1000 UV NW"/>
    <n v="532.6"/>
    <n v="70239.820000000007"/>
  </r>
  <r>
    <x v="1"/>
    <s v="Plastene India Limited "/>
    <d v="2023-05-20T00:00:00"/>
    <s v="K.P. Woven Pvt Ltd-Sales"/>
    <s v="SALES (FOREX)"/>
    <s v="PIL1/DE/13/23-24"/>
    <x v="1"/>
    <s v="PIL1/DE/13/23-24"/>
    <d v="2023-05-20T00:00:00"/>
    <s v="SF"/>
    <s v="Liners"/>
    <s v="LDPE/LLDPE Bags"/>
    <s v="LLDPE BAGS"/>
    <s v="LDPE/LLDPE Bags/Liner"/>
    <n v="4385.8"/>
    <n v="609889.35"/>
  </r>
  <r>
    <x v="1"/>
    <s v="Plastene India Limited "/>
    <d v="2023-05-20T00:00:00"/>
    <s v="K.P. Woven Pvt Ltd-Sales"/>
    <s v="SALES (FOREX)"/>
    <s v="PIL1/DE/13/23-24"/>
    <x v="1"/>
    <s v="PIL1/DE/13/23-24"/>
    <d v="2023-05-20T00:00:00"/>
    <s v="SF"/>
    <s v="Liners"/>
    <s v="LDPE/LLDPE Bags"/>
    <s v="LLDPE BAGS"/>
    <s v="LDPE/LLDPE Bags/Liner"/>
    <n v="433.7"/>
    <n v="49901.52"/>
  </r>
  <r>
    <x v="1"/>
    <s v="Plastene India Limited "/>
    <d v="2023-05-20T00:00:00"/>
    <s v="Oswal Extrusion Ltd- KASEZ-Sales"/>
    <s v="SALES (FOREX)"/>
    <s v="PIL1/E/165/23-24"/>
    <x v="4"/>
    <s v="PIL1/E/165/23-24"/>
    <d v="2023-05-20T00:00:00"/>
    <s v="Stores/Spares"/>
    <s v="Electrical Items/Spares"/>
    <s v="Spares &amp; Stores"/>
    <s v="Stores &amp; Consumables"/>
    <s v="Pressure Transducer Zhyq Pt124B-124-30Mpa-M14,0.5% F.S, 00-10V, 24Vdc"/>
    <n v="0.91"/>
    <n v="31461.39"/>
  </r>
  <r>
    <x v="1"/>
    <s v="Plastene India Limited "/>
    <d v="2023-05-20T00:00:00"/>
    <s v="Oswal Extrusion Ltd- KASEZ-Sales"/>
    <s v="SALES (FOREX)"/>
    <s v="PIL1/E/165/23-24"/>
    <x v="4"/>
    <s v="PIL1/E/165/23-24"/>
    <d v="2023-05-20T00:00:00"/>
    <s v="Stores/Spares"/>
    <s v="Electrical Items/Spares"/>
    <s v="Spares &amp; Stores"/>
    <s v="Stores &amp; Consumables"/>
    <s v="Pressure Transducer Zhyq Pt124G-124-30Mpa-M14, 0.5% F.S, 2Mv, 10Vdc"/>
    <n v="0.91"/>
    <n v="31461.39"/>
  </r>
  <r>
    <x v="1"/>
    <s v="Plastene India Limited "/>
    <d v="2023-05-20T00:00:00"/>
    <s v="Oswal Extrusion Ltd- KASEZ-Sales"/>
    <s v="SALES (FOREX)"/>
    <s v="PIL1/E/166/23-24"/>
    <x v="3"/>
    <s v="PIL1/E/166/23-24"/>
    <d v="2023-05-20T00:00:00"/>
    <s v="SF"/>
    <s v="Wastage/Scrap"/>
    <s v="Wastage/Scrap"/>
    <s v="HDPE/PP Plastik Waste"/>
    <s v="PP/HD Wastage/Scrap"/>
    <n v="8062.39"/>
    <n v="161247.79999999999"/>
  </r>
  <r>
    <x v="1"/>
    <s v="Plastene India Limited "/>
    <d v="2023-05-20T00:00:00"/>
    <s v="Plastene Polyfilms Ltd-Sales"/>
    <s v="Sales"/>
    <n v="245"/>
    <x v="1"/>
    <s v="PIL1/D/245"/>
    <d v="2023-05-20T00:00:00"/>
    <s v="SF"/>
    <s v="PP/PE Fabric"/>
    <s v="PP UL Fabric"/>
    <s v="PP WOVEN FABRIC (FG)"/>
    <s v="PP UL Fabric With UV"/>
    <n v="608"/>
    <n v="72985.539999999994"/>
  </r>
  <r>
    <x v="1"/>
    <s v="Plastene India Limited "/>
    <d v="2023-05-20T00:00:00"/>
    <s v="Plastene Polyfilms Ltd-Sales"/>
    <s v="Sales"/>
    <n v="245"/>
    <x v="1"/>
    <s v="PIL1/D/245"/>
    <d v="2023-05-20T00:00:00"/>
    <s v="SF"/>
    <s v="Liners"/>
    <s v="LDPE/LLDPE Bags"/>
    <s v="LLDPE BAGS"/>
    <s v="LDPE/LLDPE Bags/Liner"/>
    <n v="291.7"/>
    <n v="35778.46"/>
  </r>
  <r>
    <x v="1"/>
    <s v="Plastene India Limited "/>
    <d v="2023-05-20T00:00:00"/>
    <s v="Plastene Polyfilms Ltd-Sales"/>
    <s v="Sales"/>
    <n v="246"/>
    <x v="0"/>
    <s v="PIL1/D/246"/>
    <d v="2023-05-20T00:00:00"/>
    <s v="Stores/Spares"/>
    <s v="MS Structure Items"/>
    <s v="Spares &amp; Stores"/>
    <s v="Stores &amp; Consumables"/>
    <s v="MS Pipe 4  C Class"/>
    <n v="26"/>
    <n v="1248"/>
  </r>
  <r>
    <x v="1"/>
    <s v="Plastene India Limited "/>
    <d v="2023-05-21T00:00:00"/>
    <s v="K.P. Woven Pvt Ltd - Unit 3 -Sales"/>
    <s v="Export Sales"/>
    <s v="PIL1/E/168/23-24"/>
    <x v="6"/>
    <s v="PIL1/E/168/23-24"/>
    <d v="2023-05-21T00:00:00"/>
    <s v="SF"/>
    <s v="PP/PE Fabric"/>
    <s v="PP Lam Fabric"/>
    <s v="PP Laminated Fabric"/>
    <s v="PP Lam Fabric With UV"/>
    <n v="2046"/>
    <n v="235225.79849999998"/>
  </r>
  <r>
    <x v="1"/>
    <s v="Plastene India Limited "/>
    <d v="2023-05-21T00:00:00"/>
    <s v="K.P. Woven Pvt Ltd - Unit 3 -Sales"/>
    <s v="Export Sales"/>
    <s v="PIL1/E/169/23-24"/>
    <x v="6"/>
    <s v="PIL1/E/169/23-24"/>
    <d v="2023-05-21T00:00:00"/>
    <s v="SF"/>
    <s v="PP/PE Fabric"/>
    <s v="PP UL Fabric"/>
    <s v="PP WOVEN FABRIC (FG)"/>
    <s v="PP UL Fabric With UV"/>
    <n v="1626"/>
    <n v="181549.4835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3000 Denier Orange"/>
    <n v="486.3"/>
    <n v="60874.628499999999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2500 Denier UV NW"/>
    <n v="1446.6"/>
    <n v="181084.22150000001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1000 UV NW"/>
    <n v="1471.9"/>
    <n v="184251.62349999999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1000 UV NW"/>
    <n v="1354.3"/>
    <n v="169530.2175"/>
  </r>
  <r>
    <x v="1"/>
    <s v="Plastene India Limited "/>
    <d v="2023-05-22T00:00:00"/>
    <s v="K.P. Woven Pvt Ltd - Unit 3 -Sales"/>
    <s v="Export Sales"/>
    <s v="PIL1/E/171/23-24"/>
    <x v="6"/>
    <s v="PIL1/E/171/23-24"/>
    <d v="2023-05-22T00:00:00"/>
    <s v="SF"/>
    <s v="Liners"/>
    <s v="LDPE/LLDPE Bags"/>
    <s v="LLDPE BAGS"/>
    <s v="LDPE/LLDPE Bags/Liner"/>
    <n v="2371.3000000000002"/>
    <n v="290501.13400000002"/>
  </r>
  <r>
    <x v="1"/>
    <s v="Plastene India Limited "/>
    <d v="2023-05-22T00:00:00"/>
    <s v="K.P. Woven Pvt Ltd - Unit 3 -Sales"/>
    <s v="Sales High-seas"/>
    <s v="PIL1/HSS/10/23-24"/>
    <x v="2"/>
    <s v="PIL1/HSS/10/23-24"/>
    <d v="2023-05-22T00:00:00"/>
    <s v="RM"/>
    <s v="Granules"/>
    <s v="PP Granules"/>
    <s v="PP Granuels"/>
    <s v="PP Basell 456J"/>
    <n v="49500"/>
    <n v="4182750"/>
  </r>
  <r>
    <x v="1"/>
    <s v="Plastene India Limited "/>
    <d v="2023-05-22T00:00:00"/>
    <s v="K.P. Woven Pvt Ltd-Sales"/>
    <s v="Sales"/>
    <n v="249"/>
    <x v="1"/>
    <s v="PIL1/D/249"/>
    <d v="2023-05-22T00:00:00"/>
    <s v="SF"/>
    <s v="PP/PE Fabric"/>
    <s v="PP Lam Fabric"/>
    <s v="PP Laminated Fabric"/>
    <s v="PP Lam Fabric With UV"/>
    <n v="306"/>
    <n v="37497.85"/>
  </r>
  <r>
    <x v="1"/>
    <s v="Plastene India Limited "/>
    <d v="2023-05-22T00:00:00"/>
    <s v="K.P. Woven Pvt Ltd-Sales"/>
    <s v="Sales"/>
    <n v="249"/>
    <x v="1"/>
    <s v="PIL1/D/249"/>
    <d v="2023-05-22T00:00:00"/>
    <s v="SF"/>
    <s v="PP/PE Fabric"/>
    <s v="PP UL Fabric"/>
    <s v="PP WOVEN FABRIC (FG)"/>
    <s v="PP UL Fabric With UV"/>
    <n v="7089"/>
    <n v="829710.74"/>
  </r>
  <r>
    <x v="1"/>
    <s v="Plastene India Limited "/>
    <d v="2023-05-22T00:00:00"/>
    <s v="K.P. Woven Pvt Ltd-Sales"/>
    <s v="Sales"/>
    <n v="249"/>
    <x v="1"/>
    <s v="PIL1/D/249"/>
    <d v="2023-05-22T00:00:00"/>
    <s v="SF"/>
    <s v="PP/PE Fabric"/>
    <s v="PP UL Fabric"/>
    <s v="PP WOVEN FABRIC (FG)"/>
    <s v="PP UL Fabric With UV"/>
    <n v="188"/>
    <n v="31027.9"/>
  </r>
  <r>
    <x v="1"/>
    <s v="Plastene India Limited "/>
    <d v="2023-05-22T00:00:00"/>
    <s v="K.P. Woven Pvt Ltd-Sales"/>
    <s v="Sales High-seas"/>
    <s v="PIL1/HSS/9/23-24"/>
    <x v="2"/>
    <s v="PIL1/HSS/9/23-24"/>
    <d v="2023-05-22T00:00:00"/>
    <s v="RM"/>
    <s v="Granules"/>
    <s v="PP Granules"/>
    <s v="PP Granuels"/>
    <s v="PP Basell 456J"/>
    <n v="99000"/>
    <n v="8365500"/>
  </r>
  <r>
    <x v="1"/>
    <s v="Plastene India Limited "/>
    <d v="2023-05-22T00:00:00"/>
    <s v="Oswal Extrusion Ltd- KASEZ-Sales"/>
    <s v="SALES (FOREX)"/>
    <s v="PIL1/E/172/23-24"/>
    <x v="4"/>
    <s v="PIL1/E/172/23-24"/>
    <d v="2023-05-22T00:00:00"/>
    <s v="Stores/Spares"/>
    <s v="Needle Loom Spares"/>
    <s v="Spares &amp; Stores"/>
    <s v="Stores &amp; Consumables"/>
    <s v="Pinion Intermediate  8234"/>
    <n v="0.4"/>
    <n v="1400"/>
  </r>
  <r>
    <x v="1"/>
    <s v="Plastene India Limited "/>
    <d v="2023-05-22T00:00:00"/>
    <s v="Oswal Extrusion Ltd- KASEZ-Sales"/>
    <s v="SALES (FOREX)"/>
    <s v="PIL1/E/172/23-24"/>
    <x v="4"/>
    <s v="PIL1/E/172/23-24"/>
    <d v="2023-05-22T00:00:00"/>
    <s v="Stores/Spares"/>
    <s v="Gears"/>
    <s v="Spares &amp; Stores"/>
    <s v="Stores &amp; Consumables"/>
    <s v="Gear 22 T ( 8049 )"/>
    <n v="0.4"/>
    <n v="1300"/>
  </r>
  <r>
    <x v="1"/>
    <s v="Plastene India Limited "/>
    <d v="2023-05-23T00:00:00"/>
    <s v="Jain Bulk Pack - Sales"/>
    <s v="Sales"/>
    <n v="254"/>
    <x v="0"/>
    <s v="PIL1/D/254"/>
    <d v="2023-05-23T00:00:00"/>
    <s v="RM"/>
    <s v="Granules"/>
    <s v="PP Granules"/>
    <s v="PP Granuels"/>
    <s v="PP IOCL P1030RG"/>
    <n v="8000"/>
    <n v="780424"/>
  </r>
  <r>
    <x v="1"/>
    <s v="Plastene India Limited "/>
    <d v="2023-05-23T00:00:00"/>
    <s v="Jain Bulk Pack - Sales"/>
    <s v="Sales"/>
    <n v="255"/>
    <x v="0"/>
    <s v="PIL1/D/255"/>
    <d v="2023-05-23T00:00:00"/>
    <s v="RM"/>
    <s v="Granules"/>
    <s v="HDPE Granules"/>
    <s v="HDPE Granuels"/>
    <s v="HDPE IOCL 010E52"/>
    <n v="24000"/>
    <n v="2601768"/>
  </r>
  <r>
    <x v="1"/>
    <s v="Plastene India Limited "/>
    <d v="2023-05-23T00:00:00"/>
    <s v="K.P. Woven Pvt Ltd - Unit 3 -Sales"/>
    <s v="Export Sales"/>
    <s v="PIL1/E/173/23-24"/>
    <x v="6"/>
    <s v="PIL1/E/173/23-24"/>
    <d v="2023-05-23T00:00:00"/>
    <s v="SF"/>
    <s v="PP/PE Fabric"/>
    <s v="PP Lam Fabric"/>
    <s v="PP Laminated Fabric"/>
    <s v="PP Lam Fabric With UV"/>
    <n v="1766"/>
    <n v="203034.5625"/>
  </r>
  <r>
    <x v="1"/>
    <s v="Plastene India Limited "/>
    <d v="2023-05-23T00:00:00"/>
    <s v="K.P. Woven Pvt Ltd - Unit 3 -Sales"/>
    <s v="Export Sales"/>
    <s v="PIL1/E/174/23-24"/>
    <x v="6"/>
    <s v="PIL1/E/174/23-24"/>
    <d v="2023-05-23T00:00:00"/>
    <s v="SF"/>
    <s v="Liners"/>
    <s v="LDPE/LLDPE Bags"/>
    <s v="LLDPE BAGS"/>
    <s v="LDPE/LLDPE Bags/Liner"/>
    <n v="433.3"/>
    <n v="53082.568000000007"/>
  </r>
  <r>
    <x v="1"/>
    <s v="Plastene India Limited "/>
    <d v="2023-05-23T00:00:00"/>
    <s v="Plastene Polyfilms Ltd-Sales"/>
    <s v="Sales"/>
    <n v="250"/>
    <x v="1"/>
    <s v="PIL1/D/250"/>
    <d v="2023-05-23T00:00:00"/>
    <s v="SF"/>
    <s v="Yarn All"/>
    <s v="PP Yarn"/>
    <s v="PP Filament Yarn"/>
    <s v="Filler Cord"/>
    <n v="2968.1"/>
    <n v="426990.87"/>
  </r>
  <r>
    <x v="1"/>
    <s v="Plastene India Limited "/>
    <d v="2023-05-23T00:00:00"/>
    <s v="Plastene Polyfilms Ltd-Sales"/>
    <s v="Sales"/>
    <n v="250"/>
    <x v="1"/>
    <s v="PIL1/D/250"/>
    <d v="2023-05-23T00:00:00"/>
    <s v="SF"/>
    <s v="PP/PE Fabric"/>
    <s v="PP UL Fabric"/>
    <s v="PP WOVEN FABRIC (FG)"/>
    <s v="PP UL Fabric With UV"/>
    <n v="1692"/>
    <n v="203111.06"/>
  </r>
  <r>
    <x v="1"/>
    <s v="Plastene India Limited "/>
    <d v="2023-05-23T00:00:00"/>
    <s v="Plastene Polyfilms Ltd-Sales"/>
    <s v="Sales"/>
    <n v="250"/>
    <x v="1"/>
    <s v="PIL1/D/250"/>
    <d v="2023-05-23T00:00:00"/>
    <s v="SF"/>
    <s v="PP/PE Fabric"/>
    <s v="PP Lam Fabric"/>
    <s v="PP Laminated Fabric"/>
    <s v="PP Lam Fabric With UV"/>
    <n v="547"/>
    <n v="66756.97"/>
  </r>
  <r>
    <x v="1"/>
    <s v="Plastene India Limited "/>
    <d v="2023-05-23T00:00:00"/>
    <s v="Plastene Polyfilms Ltd-Sales"/>
    <s v="Sales"/>
    <n v="251"/>
    <x v="0"/>
    <s v="PIL1/D/251"/>
    <d v="2023-05-23T00:00:00"/>
    <s v="Stores/Spares"/>
    <s v="MS Structure Items"/>
    <s v="Spares &amp; Stores"/>
    <s v="Stores &amp; Consumables"/>
    <s v="MS Pipe 4  C Class"/>
    <n v="83"/>
    <n v="3984"/>
  </r>
  <r>
    <x v="1"/>
    <s v="Plastene India Limited "/>
    <d v="2023-05-23T00:00:00"/>
    <s v="Plastene Polyfilms Ltd-Sales"/>
    <s v="Sales"/>
    <n v="252"/>
    <x v="1"/>
    <s v="PIL1/D/252"/>
    <d v="2023-05-23T00:00:00"/>
    <s v="SF"/>
    <s v="Liners"/>
    <s v="LDPE/LLDPE Bags"/>
    <s v="LLDPE BAGS"/>
    <s v="LDPE/LLDPE Bags/Liner"/>
    <n v="504.3"/>
    <n v="63872.12"/>
  </r>
  <r>
    <x v="1"/>
    <s v="Plastene India Limited "/>
    <d v="2023-05-23T00:00:00"/>
    <s v="Plastene Polyfilms Ltd-Sales"/>
    <s v="Sales"/>
    <n v="253"/>
    <x v="1"/>
    <s v="PIL1/D/253"/>
    <d v="2023-05-23T00:00:00"/>
    <s v="SF"/>
    <s v="Tape Stock"/>
    <s v="PP Tapes"/>
    <s v="PP TAPE"/>
    <s v="PP Tapes"/>
    <n v="53"/>
    <n v="5726.23"/>
  </r>
  <r>
    <x v="1"/>
    <s v="Plastene India Limited "/>
    <d v="2023-05-23T00:00:00"/>
    <s v="Plastene Polyfilms Ltd-Sales"/>
    <s v="Sales"/>
    <n v="253"/>
    <x v="1"/>
    <s v="PIL1/D/253"/>
    <d v="2023-05-23T00:00:00"/>
    <s v="SF"/>
    <s v="Tape Stock"/>
    <s v="PP Tapes"/>
    <s v="PP TAPE"/>
    <s v="PP Tapes"/>
    <n v="146"/>
    <n v="15774.13"/>
  </r>
  <r>
    <x v="1"/>
    <s v="Plastene India Limited "/>
    <d v="2023-05-24T00:00:00"/>
    <s v="K.P. Woven Pvt Ltd - Unit 2 (Nani Chirai) -Sales"/>
    <s v="Sales"/>
    <n v="258"/>
    <x v="1"/>
    <s v="PIL1/D/258"/>
    <d v="2023-05-24T00:00:00"/>
    <s v="SF"/>
    <s v="Webbing"/>
    <s v="PP Webbing"/>
    <s v="PP Webbing"/>
    <s v="Webbing"/>
    <n v="32.5"/>
    <n v="3901.36"/>
  </r>
  <r>
    <x v="1"/>
    <s v="Plastene India Limited "/>
    <d v="2023-05-24T00:00:00"/>
    <s v="Plastene Polyfilms Ltd-Sales"/>
    <s v="Sales"/>
    <n v="256"/>
    <x v="0"/>
    <s v="PIL1/D/256"/>
    <d v="2023-05-24T00:00:00"/>
    <s v="Stores/Spares"/>
    <s v="MS Structure Items"/>
    <s v="Spares &amp; Stores"/>
    <s v="Stores &amp; Consumables"/>
    <s v="MS Angle 50X50X5 mm"/>
    <n v="30"/>
    <n v="1725"/>
  </r>
  <r>
    <x v="1"/>
    <s v="Plastene India Limited "/>
    <d v="2023-05-24T00:00:00"/>
    <s v="Plastene Polyfilms Ltd-Sales"/>
    <s v="Sales"/>
    <n v="257"/>
    <x v="0"/>
    <s v="PIL1/D/257"/>
    <d v="2023-05-24T00:00:00"/>
    <s v="RM"/>
    <s v="Granules"/>
    <s v="Masterbatch"/>
    <s v="Master Batch"/>
    <s v="MB Karnavati Polyplast Blue"/>
    <n v="100"/>
    <n v="20800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Twisted 1000 UV NW"/>
    <n v="1334.8"/>
    <n v="176034.76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Twisted 3000 Denier UV NW"/>
    <n v="1814.8"/>
    <n v="239337.64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Twisted 3000 Denier UV Deep Blue"/>
    <n v="406"/>
    <n v="54761.69"/>
  </r>
  <r>
    <x v="1"/>
    <s v="Plastene India Limited "/>
    <d v="2023-05-24T00:00:00"/>
    <s v="Plastene Polyfilms Ltd-Sales"/>
    <s v="Sales"/>
    <n v="259"/>
    <x v="1"/>
    <s v="PIL1/D/259"/>
    <d v="2023-05-24T00:00:00"/>
    <s v="SF"/>
    <s v="PP/PE Fabric"/>
    <s v="PP UL Fabric"/>
    <s v="PP WOVEN FABRIC (FG)"/>
    <s v="PP UL Fabric With UV"/>
    <n v="1209"/>
    <n v="145130.78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Flat 840 MW"/>
    <n v="460"/>
    <n v="59745.26"/>
  </r>
  <r>
    <x v="1"/>
    <s v="Plastene India Limited "/>
    <d v="2023-05-24T00:00:00"/>
    <s v="Plastene Polyfilms Ltd-Sales"/>
    <s v="Sales"/>
    <n v="260"/>
    <x v="0"/>
    <s v="PIL1/D/260"/>
    <d v="2023-05-24T00:00:00"/>
    <s v="Stores/Spares"/>
    <s v="MS Structure Items"/>
    <s v="Spares &amp; Stores"/>
    <s v="Stores &amp; Consumables"/>
    <s v="MS Pipe 4  C Class"/>
    <n v="45"/>
    <n v="2160"/>
  </r>
  <r>
    <x v="1"/>
    <s v="Plastene India Limited "/>
    <d v="2023-05-25T00:00:00"/>
    <s v="K.P. Woven Pvt Ltd - Unit 3 -Sales"/>
    <s v="Export Sales"/>
    <s v="PIL1/E/175/23-24"/>
    <x v="6"/>
    <s v="PIL1/E/175/23-24"/>
    <d v="2023-05-25T00:00:00"/>
    <s v="SF"/>
    <s v="Yarn All"/>
    <s v="PP Yarn"/>
    <s v="PP Filament Yarn"/>
    <s v="Filler Cord"/>
    <n v="1534.1"/>
    <n v="239577.59"/>
  </r>
  <r>
    <x v="1"/>
    <s v="Plastene India Limited "/>
    <d v="2023-05-25T00:00:00"/>
    <s v="K.P. Woven Pvt Ltd - Unit 3 -Sales"/>
    <s v="Export Sales"/>
    <s v="PIL1/E/176/23-24"/>
    <x v="6"/>
    <s v="PIL1/E/176/23-24"/>
    <d v="2023-05-25T00:00:00"/>
    <s v="SF"/>
    <s v="Liners"/>
    <s v="LDPE/LLDPE Bags"/>
    <s v="LLDPE BAGS"/>
    <s v="LDPE/LLDPE Bags/Liner"/>
    <n v="88.2"/>
    <n v="10805.036000000002"/>
  </r>
  <r>
    <x v="1"/>
    <s v="Plastene India Limited "/>
    <d v="2023-05-25T00:00:00"/>
    <s v="K.P. Woven Pvt Ltd - Unit 3 -Sales"/>
    <s v="Export Sales"/>
    <s v="PIL1/E/177/23-24"/>
    <x v="6"/>
    <s v="PIL1/E/177/23-24"/>
    <d v="2023-05-25T00:00:00"/>
    <s v="SF"/>
    <s v="PP/PE Fabric"/>
    <s v="PP Lam Fabric"/>
    <s v="PP Laminated Fabric"/>
    <s v="PP Lam Fabric With UV"/>
    <n v="5294"/>
    <n v="608644.45949999988"/>
  </r>
  <r>
    <x v="1"/>
    <s v="Plastene India Limited "/>
    <d v="2023-05-25T00:00:00"/>
    <s v="K.P. Woven Pvt Ltd - Unit 3 -Sales"/>
    <s v="Export Sales"/>
    <s v="PIL1/E/178/23-24"/>
    <x v="6"/>
    <s v="PIL1/E/178/23-24"/>
    <d v="2023-05-25T00:00:00"/>
    <s v="SF"/>
    <s v="PP/PE Fabric"/>
    <s v="PP UL Fabric"/>
    <s v="PP WOVEN FABRIC (FG)"/>
    <s v="PP UL Fabric With UV"/>
    <n v="787"/>
    <n v="87871.82249999998"/>
  </r>
  <r>
    <x v="1"/>
    <s v="Plastene India Limited "/>
    <d v="2023-05-25T00:00:00"/>
    <s v="K.P. Woven Pvt Ltd - Unit 3 -Sales"/>
    <s v="Export Sales"/>
    <s v="PIL1/E/179/23-24"/>
    <x v="6"/>
    <s v="PIL1/E/179/23-24"/>
    <d v="2023-05-25T00:00:00"/>
    <s v="SF"/>
    <s v="PP/PE Fabric"/>
    <s v="PP Lam Fabric"/>
    <s v="PP Laminated Fabric"/>
    <s v="PP Lam Fabric Without UV"/>
    <n v="1009"/>
    <n v="116003.57999999999"/>
  </r>
  <r>
    <x v="1"/>
    <s v="Plastene India Limited "/>
    <d v="2023-05-25T00:00:00"/>
    <s v="K.P. Woven Pvt Ltd - Unit 3 -Sales"/>
    <s v="Export Sales"/>
    <s v="PIL1/E/179/23-24"/>
    <x v="6"/>
    <s v="PIL1/E/179/23-24"/>
    <d v="2023-05-25T00:00:00"/>
    <s v="SF"/>
    <s v="PP/PE Fabric"/>
    <s v="PP Lam Fabric"/>
    <s v="PP Laminated Fabric"/>
    <s v="PP Lam Fabric With UV"/>
    <n v="5250"/>
    <n v="603585.67499999993"/>
  </r>
  <r>
    <x v="1"/>
    <s v="Plastene India Limited "/>
    <d v="2023-05-25T00:00:00"/>
    <s v="K.P. Woven Pvt Ltd - Unit 3 -Sales"/>
    <s v="Export Sales"/>
    <s v="PIL1/E/180/23-24"/>
    <x v="6"/>
    <s v="PIL1/E/180/23-24"/>
    <d v="2023-05-25T00:00:00"/>
    <s v="SF"/>
    <s v="PP/PE Fabric"/>
    <s v="PP UL Fabric"/>
    <s v="PP WOVEN FABRIC (FG)"/>
    <s v="PP UL Fabric With UV"/>
    <n v="2263"/>
    <n v="252672.41999999995"/>
  </r>
  <r>
    <x v="1"/>
    <s v="Plastene India Limited "/>
    <d v="2023-05-25T00:00:00"/>
    <s v="K.P. Woven Pvt Ltd - Unit 3 -Sales"/>
    <s v="Export Sales"/>
    <s v="PIL1/E/181/23-24"/>
    <x v="6"/>
    <s v="PIL1/E/181/23-24"/>
    <d v="2023-05-25T00:00:00"/>
    <s v="SF"/>
    <s v="PP/PE Fabric"/>
    <s v="PP Lam Fabric"/>
    <s v="PP Laminated Fabric"/>
    <s v="PP Lam Fabric With UV"/>
    <n v="508"/>
    <n v="58404.422999999995"/>
  </r>
  <r>
    <x v="1"/>
    <s v="Plastene India Limited "/>
    <d v="2023-05-25T00:00:00"/>
    <s v="K.P. Woven Pvt Ltd-Sales"/>
    <s v="Sales"/>
    <n v="265"/>
    <x v="1"/>
    <s v="PIL1/D/265"/>
    <d v="2023-05-25T00:00:00"/>
    <s v="SF"/>
    <s v="PP/PE Fabric"/>
    <s v="PP UL Fabric"/>
    <s v="PP WOVEN FABRIC (FG)"/>
    <s v="PP UL Fabric With UV"/>
    <n v="1034"/>
    <n v="118953.43"/>
  </r>
  <r>
    <x v="1"/>
    <s v="Plastene India Limited "/>
    <d v="2023-05-25T00:00:00"/>
    <s v="K.P. Woven Pvt Ltd-Sales"/>
    <s v="Sales"/>
    <n v="265"/>
    <x v="1"/>
    <s v="PIL1/D/265"/>
    <d v="2023-05-25T00:00:00"/>
    <s v="SF"/>
    <s v="Yarn All"/>
    <s v="PP Yarn"/>
    <s v="PP Filament Yarn"/>
    <s v="PP MF Yarn Twisted 1000 UV NW"/>
    <n v="1829.2"/>
    <n v="241236.73"/>
  </r>
  <r>
    <x v="1"/>
    <s v="Plastene India Limited "/>
    <d v="2023-05-25T00:00:00"/>
    <s v="K.P. Woven Pvt Ltd-Sales"/>
    <s v="Sales"/>
    <n v="266"/>
    <x v="0"/>
    <s v="PIL1/D/266"/>
    <d v="2023-05-25T00:00:00"/>
    <s v="Stores/Spares"/>
    <s v="MS Structure Items"/>
    <s v="Spares &amp; Stores"/>
    <s v="Stores &amp; Consumables"/>
    <s v="MS Pipe 4  C Class"/>
    <n v="48"/>
    <n v="2304"/>
  </r>
  <r>
    <x v="1"/>
    <s v="Plastene India Limited "/>
    <d v="2023-05-25T00:00:00"/>
    <s v="K.P. Woven Pvt Ltd-Sales"/>
    <s v="SALES (FOREX)"/>
    <s v="PIL1/DE/14/23-24"/>
    <x v="1"/>
    <s v="PIL1/DE/14/23-24"/>
    <d v="2023-05-25T00:00:00"/>
    <s v="SF"/>
    <s v="Liners"/>
    <s v="LDPE/LLDPE Bags"/>
    <s v="LLDPE BAGS"/>
    <s v="LDPE/LLDPE Bags/Liner"/>
    <n v="530.5"/>
    <n v="63161.33"/>
  </r>
  <r>
    <x v="1"/>
    <s v="Plastene India Limited "/>
    <d v="2023-05-25T00:00:00"/>
    <s v="K.P. Woven Pvt Ltd-Sales"/>
    <s v="SALES (FOREX)"/>
    <s v="PIL1/DE/14/23-24"/>
    <x v="1"/>
    <s v="PIL1/DE/14/23-24"/>
    <d v="2023-05-25T00:00:00"/>
    <s v="SF"/>
    <s v="Liners"/>
    <s v="LDPE/LLDPE Bags"/>
    <s v="LLDPE BAGS"/>
    <s v="LDPE/LLDPE Bags/Liner"/>
    <n v="435"/>
    <n v="60491.1"/>
  </r>
  <r>
    <x v="1"/>
    <s v="Plastene India Limited "/>
    <d v="2023-05-25T00:00:00"/>
    <s v="K.P. Woven Pvt Ltd-Sales"/>
    <s v="SALES (FOREX)"/>
    <s v="PIL1/DE/14/23-24"/>
    <x v="1"/>
    <s v="PIL1/DE/14/23-24"/>
    <d v="2023-05-25T00:00:00"/>
    <s v="SF"/>
    <s v="Liners"/>
    <s v="LDPE/LLDPE Bags"/>
    <s v="LLDPE BAGS"/>
    <s v="LDPE/LLDPE Bags/Liner"/>
    <n v="290.5"/>
    <n v="33424.93"/>
  </r>
  <r>
    <x v="1"/>
    <s v="Plastene India Limited "/>
    <d v="2023-05-25T00:00:00"/>
    <s v="Plastene Polyfilms Ltd-Sales"/>
    <s v="Sales"/>
    <n v="261"/>
    <x v="1"/>
    <s v="PIL1/D/261"/>
    <d v="2023-05-25T00:00:00"/>
    <s v="SF"/>
    <s v="Granules"/>
    <s v="RP Granules"/>
    <s v="Reprocess Granules"/>
    <s v="RP Granules"/>
    <n v="1075"/>
    <n v="67187.5"/>
  </r>
  <r>
    <x v="1"/>
    <s v="Plastene India Limited "/>
    <d v="2023-05-25T00:00:00"/>
    <s v="Plastene Polyfilms Ltd-Sales"/>
    <s v="Sales"/>
    <n v="262"/>
    <x v="1"/>
    <s v="PIL1/D/262"/>
    <d v="2023-05-25T00:00:00"/>
    <s v="SF"/>
    <s v="PP/PE Fabric"/>
    <s v="PP Lam Fabric"/>
    <s v="PP Laminated Fabric"/>
    <s v="PP Lam Fabric With UV"/>
    <n v="2180"/>
    <n v="267141.56"/>
  </r>
  <r>
    <x v="1"/>
    <s v="Plastene India Limited "/>
    <d v="2023-05-25T00:00:00"/>
    <s v="Plastene Polyfilms Ltd-Sales"/>
    <s v="Sales"/>
    <n v="262"/>
    <x v="1"/>
    <s v="PIL1/D/262"/>
    <d v="2023-05-25T00:00:00"/>
    <s v="SF"/>
    <s v="PP/PE Fabric"/>
    <s v="PP UL Fabric"/>
    <s v="PP WOVEN FABRIC (FG)"/>
    <s v="PP UL Fabric With UV"/>
    <n v="143"/>
    <n v="17166.009999999998"/>
  </r>
  <r>
    <x v="1"/>
    <s v="Plastene India Limited "/>
    <d v="2023-05-25T00:00:00"/>
    <s v="Plastene Polyfilms Ltd-Sales"/>
    <s v="Sales"/>
    <n v="262"/>
    <x v="1"/>
    <s v="PIL1/D/262"/>
    <d v="2023-05-25T00:00:00"/>
    <s v="SF"/>
    <s v="PP/PE Fabric"/>
    <s v="PP UL Fabric"/>
    <s v="PP WOVEN FABRIC (FG)"/>
    <s v="PP UL Fabric With UV"/>
    <n v="845"/>
    <n v="98900.49"/>
  </r>
  <r>
    <x v="1"/>
    <s v="Plastene India Limited "/>
    <d v="2023-05-25T00:00:00"/>
    <s v="Plastene Polyfilms Ltd-Sales"/>
    <s v="Sales"/>
    <n v="263"/>
    <x v="1"/>
    <s v="PIL1/D/263"/>
    <d v="2023-05-25T00:00:00"/>
    <s v="SF"/>
    <s v="PP/PE Fabric"/>
    <s v="PP UL Fabric"/>
    <s v="PP WOVEN FABRIC (FG)"/>
    <s v="PP UL Fabric With UV"/>
    <n v="595"/>
    <n v="71424.990000000005"/>
  </r>
  <r>
    <x v="1"/>
    <s v="Plastene India Limited "/>
    <d v="2023-05-25T00:00:00"/>
    <s v="Plastene Polyfilms Ltd-Sales"/>
    <s v="Sales"/>
    <n v="263"/>
    <x v="1"/>
    <s v="PIL1/D/263"/>
    <d v="2023-05-25T00:00:00"/>
    <s v="SF"/>
    <s v="Liners"/>
    <s v="LDPE/LLDPE Bags"/>
    <s v="LLDPE BAGS"/>
    <s v="LDPE/LLDPE Bags/Liner"/>
    <n v="3637.1"/>
    <n v="446108.5"/>
  </r>
  <r>
    <x v="1"/>
    <s v="Plastene India Limited "/>
    <d v="2023-05-25T00:00:00"/>
    <s v="Plastene Polyfilms Ltd-Sales"/>
    <s v="Sales"/>
    <n v="263"/>
    <x v="1"/>
    <s v="PIL1/D/263"/>
    <d v="2023-05-25T00:00:00"/>
    <s v="SF"/>
    <s v="Yarn All"/>
    <s v="PP Yarn"/>
    <s v="PP Filament Yarn"/>
    <s v="PP Braided Rope MW 6 to 8 GPM"/>
    <n v="162.9"/>
    <n v="23112.41"/>
  </r>
  <r>
    <x v="1"/>
    <s v="Plastene India Limited "/>
    <d v="2023-05-25T00:00:00"/>
    <s v="Plastene Polyfilms Ltd-Sales"/>
    <s v="Sales"/>
    <n v="264"/>
    <x v="0"/>
    <s v="PIL1/D/264"/>
    <d v="2023-05-25T00:00:00"/>
    <s v="Stores/Spares"/>
    <s v="MS Structure Items"/>
    <s v="Spares &amp; Stores"/>
    <s v="Stores &amp; Consumables"/>
    <s v="MS Pipe 4  C Class"/>
    <n v="22"/>
    <n v="1056"/>
  </r>
  <r>
    <x v="1"/>
    <s v="Plastene India Limited "/>
    <d v="2023-05-26T00:00:00"/>
    <s v="Plastene Polyfilms Ltd-Sales"/>
    <s v="Sales"/>
    <n v="270"/>
    <x v="1"/>
    <s v="PIL1/D/270"/>
    <d v="2023-05-26T00:00:00"/>
    <s v="SF"/>
    <s v="PP/PE Fabric"/>
    <s v="PP UL Fabric"/>
    <s v="PP WOVEN FABRIC (FG)"/>
    <s v="PP UL Fabric With UV"/>
    <n v="1143"/>
    <n v="137208.01"/>
  </r>
  <r>
    <x v="1"/>
    <s v="Plastene India Limited "/>
    <d v="2023-05-26T00:00:00"/>
    <s v="Plastene Polyfilms Ltd-Sales"/>
    <s v="Sales"/>
    <n v="270"/>
    <x v="1"/>
    <s v="PIL1/D/270"/>
    <d v="2023-05-26T00:00:00"/>
    <s v="SF"/>
    <s v="Liners"/>
    <s v="LDPE/LLDPE Bags"/>
    <s v="LLDPE BAGS"/>
    <s v="LDPE/LLDPE Bags/Liner"/>
    <n v="355.4"/>
    <n v="45013.19"/>
  </r>
  <r>
    <x v="1"/>
    <s v="Plastene India Limited "/>
    <d v="2023-05-26T00:00:00"/>
    <s v="Plastene Polyfilms Ltd-Sales"/>
    <s v="Sales"/>
    <n v="270"/>
    <x v="1"/>
    <s v="PIL1/D/270"/>
    <d v="2023-05-26T00:00:00"/>
    <s v="SF"/>
    <s v="Liners"/>
    <s v="LDPE/LLDPE Bags"/>
    <s v="LLDPE BAGS"/>
    <s v="LDPE/LLDPE Bags/Liner"/>
    <n v="2942"/>
    <n v="360851.01"/>
  </r>
  <r>
    <x v="1"/>
    <s v="Plastene India Limited "/>
    <d v="2023-05-26T00:00:00"/>
    <s v="Plastene Polyfilms Ltd-Sales"/>
    <s v="Sales"/>
    <n v="270"/>
    <x v="1"/>
    <s v="PIL1/D/270"/>
    <d v="2023-05-26T00:00:00"/>
    <s v="SF"/>
    <s v="Webbing"/>
    <s v="PP Webbing"/>
    <s v="PP Webbing"/>
    <s v="Webbing"/>
    <n v="175.3"/>
    <n v="21043.360000000001"/>
  </r>
  <r>
    <x v="1"/>
    <s v="Plastene India Limited "/>
    <d v="2023-05-26T00:00:00"/>
    <s v="Plastene Polyfilms Ltd-Sales"/>
    <s v="Sales"/>
    <n v="271"/>
    <x v="0"/>
    <s v="PIL1/D/271"/>
    <d v="2023-05-26T00:00:00"/>
    <s v="Stores/Spares"/>
    <s v="MS Structure Items"/>
    <s v="Spares &amp; Stores"/>
    <s v="Stores &amp; Consumables"/>
    <s v="MS Pipe 4  C Class"/>
    <n v="47"/>
    <n v="2256"/>
  </r>
  <r>
    <x v="1"/>
    <s v="Plastene India Limited "/>
    <d v="2023-05-27T00:00:00"/>
    <s v="Jain Bulk Pack - Sales"/>
    <s v="Sales"/>
    <n v="274"/>
    <x v="0"/>
    <s v="PIL1/D/274"/>
    <d v="2023-05-27T00:00:00"/>
    <s v="RM"/>
    <s v="Granules"/>
    <s v="PP Granules"/>
    <s v="PP Granuels"/>
    <s v="PP IOCL 1030RG"/>
    <n v="5000"/>
    <n v="482265"/>
  </r>
  <r>
    <x v="1"/>
    <s v="Plastene India Limited "/>
    <d v="2023-05-27T00:00:00"/>
    <s v="Jain Bulk Pack - Sales"/>
    <s v="Sales"/>
    <n v="275"/>
    <x v="0"/>
    <s v="PIL1/D/275"/>
    <d v="2023-05-27T00:00:00"/>
    <s v="RM"/>
    <s v="Granules"/>
    <s v="PP Granules"/>
    <s v="PP Granuels"/>
    <s v="PP IOCL P1110MAS"/>
    <n v="4000"/>
    <n v="389612"/>
  </r>
  <r>
    <x v="1"/>
    <s v="Plastene India Limited "/>
    <d v="2023-05-27T00:00:00"/>
    <s v="Jain Bulk Pack - Sales"/>
    <s v="Sales"/>
    <n v="276"/>
    <x v="0"/>
    <s v="PIL1/D/276"/>
    <d v="2023-05-27T00:00:00"/>
    <s v="RM"/>
    <s v="Granules"/>
    <s v="PP Granules"/>
    <s v="PP Granuels"/>
    <s v="PP IOCL P1110MAS"/>
    <n v="1000"/>
    <n v="96303"/>
  </r>
  <r>
    <x v="1"/>
    <s v="Plastene India Limited "/>
    <d v="2023-05-27T00:00:00"/>
    <s v="Plastene Polyfilms Ltd-Sales"/>
    <s v="Sales"/>
    <n v="272"/>
    <x v="1"/>
    <s v="PIL1/D/272"/>
    <d v="2023-05-27T00:00:00"/>
    <s v="SF"/>
    <s v="Webbing"/>
    <s v="PP Webbing"/>
    <s v="PP Webbing"/>
    <s v="Webbing"/>
    <n v="82.7"/>
    <n v="9927.4699999999993"/>
  </r>
  <r>
    <x v="1"/>
    <s v="Plastene India Limited "/>
    <d v="2023-05-27T00:00:00"/>
    <s v="Plastene Polyfilms Ltd-Sales"/>
    <s v="Sales"/>
    <n v="272"/>
    <x v="1"/>
    <s v="PIL1/D/272"/>
    <d v="2023-05-27T00:00:00"/>
    <s v="SF"/>
    <s v="PP/PE Fabric"/>
    <s v="PP UL Fabric"/>
    <s v="PP WOVEN FABRIC (FG)"/>
    <s v="PP UL Fabric With UV"/>
    <n v="1773"/>
    <n v="212834.47"/>
  </r>
  <r>
    <x v="1"/>
    <s v="Plastene India Limited "/>
    <d v="2023-05-27T00:00:00"/>
    <s v="Plastene Polyfilms Ltd-Sales"/>
    <s v="Sales"/>
    <n v="272"/>
    <x v="1"/>
    <s v="PIL1/D/272"/>
    <d v="2023-05-27T00:00:00"/>
    <s v="SF"/>
    <s v="Liners"/>
    <s v="LDPE/LLDPE Bags"/>
    <s v="LLDPE BAGS"/>
    <s v="LDPE/LLDPE Bags/Liner"/>
    <n v="1892.7"/>
    <n v="239719.92"/>
  </r>
  <r>
    <x v="1"/>
    <s v="Plastene India Limited "/>
    <d v="2023-05-27T00:00:00"/>
    <s v="Plastene Polyfilms Ltd-Sales"/>
    <s v="Sales"/>
    <n v="273"/>
    <x v="0"/>
    <s v="PIL1/D/273"/>
    <d v="2023-05-27T00:00:00"/>
    <s v="Stores/Spares"/>
    <s v="MS Structure Items"/>
    <s v="Spares &amp; Stores"/>
    <s v="Stores &amp; Consumables"/>
    <s v="MS Pipe 4  C Class"/>
    <n v="74"/>
    <n v="3552"/>
  </r>
  <r>
    <x v="1"/>
    <s v="Plastene India Limited "/>
    <d v="2023-05-28T00:00:00"/>
    <s v="Plastene Polyfilms Ltd-Sales"/>
    <s v="Sales"/>
    <n v="277"/>
    <x v="1"/>
    <s v="PIL1/D/277"/>
    <d v="2023-05-28T00:00:00"/>
    <s v="SF"/>
    <s v="Webbing"/>
    <s v="PP Webbing"/>
    <s v="PP Webbing"/>
    <s v="Webbing"/>
    <n v="209.7"/>
    <n v="25172.81"/>
  </r>
  <r>
    <x v="1"/>
    <s v="Plastene India Limited "/>
    <d v="2023-05-28T00:00:00"/>
    <s v="Plastene Polyfilms Ltd-Sales"/>
    <s v="Sales"/>
    <n v="277"/>
    <x v="1"/>
    <s v="PIL1/D/277"/>
    <d v="2023-05-28T00:00:00"/>
    <s v="SF"/>
    <s v="PP/PE Fabric"/>
    <s v="PP UL Fabric"/>
    <s v="PP WOVEN FABRIC (FG)"/>
    <s v="PP UL Fabric With UV"/>
    <n v="1449"/>
    <n v="173940.86"/>
  </r>
  <r>
    <x v="1"/>
    <s v="Plastene India Limited "/>
    <d v="2023-05-28T00:00:00"/>
    <s v="Plastene Polyfilms Ltd-Sales"/>
    <s v="Sales"/>
    <n v="277"/>
    <x v="1"/>
    <s v="PIL1/D/277"/>
    <d v="2023-05-28T00:00:00"/>
    <s v="SF"/>
    <s v="PP/PE Fabric"/>
    <s v="PP UL Fabric"/>
    <s v="PP WOVEN FABRIC (FG)"/>
    <s v="PP UL Fabric With UV"/>
    <n v="464"/>
    <n v="53379.49"/>
  </r>
  <r>
    <x v="1"/>
    <s v="Plastene India Limited "/>
    <d v="2023-05-28T00:00:00"/>
    <s v="Plastene Polyfilms Ltd-Sales"/>
    <s v="Sales"/>
    <n v="278"/>
    <x v="0"/>
    <s v="PIL1/D/278"/>
    <d v="2023-05-28T00:00:00"/>
    <s v="Stores/Spares"/>
    <s v="MS Structure Items"/>
    <s v="Spares &amp; Stores"/>
    <s v="Stores &amp; Consumables"/>
    <s v="MS Pipe 4  C Class"/>
    <n v="93"/>
    <n v="4464"/>
  </r>
  <r>
    <x v="1"/>
    <s v="Plastene India Limited "/>
    <d v="2023-05-29T00:00:00"/>
    <s v="K.P. Woven Pvt Ltd - Unit 2 (Nani Chirai) -Sales"/>
    <s v="Sales"/>
    <n v="281"/>
    <x v="1"/>
    <s v="PIL1/D/281"/>
    <d v="2023-05-29T00:00:00"/>
    <s v="SF"/>
    <s v="PP/PE Fabric"/>
    <s v="PP Lam Fabric"/>
    <s v="PP Laminated Fabric"/>
    <s v="PP Lam Fabric With UV"/>
    <n v="738"/>
    <n v="90067"/>
  </r>
  <r>
    <x v="1"/>
    <s v="Plastene India Limited "/>
    <d v="2023-05-29T00:00:00"/>
    <s v="K.P. Woven Pvt Ltd - Unit 2 (Nani Chirai) -Sales"/>
    <s v="Sales"/>
    <n v="282"/>
    <x v="0"/>
    <s v="PIL1/D/282"/>
    <d v="2023-05-29T00:00:00"/>
    <s v="Stores/Spares"/>
    <s v="MS Structure Items"/>
    <s v="Spares &amp; Stores"/>
    <s v="Stores &amp; Consumables"/>
    <s v="MS Pipe 4  C Class"/>
    <n v="20"/>
    <n v="960"/>
  </r>
  <r>
    <x v="1"/>
    <s v="Plastene India Limited "/>
    <d v="2023-05-29T00:00:00"/>
    <s v="K.P. Woven Pvt Ltd - Unit 3 -Sales"/>
    <s v="Export Sales"/>
    <s v="PIL1/E/185/23-24"/>
    <x v="6"/>
    <s v="PIL1/E/185/23-24"/>
    <d v="2023-05-29T00:00:00"/>
    <s v="SF"/>
    <s v="Yarn All"/>
    <s v="PP Yarn"/>
    <s v="PP Filament Yarn"/>
    <s v="PP MF Yarn Twisted 2500 Denier Deep Blue"/>
    <n v="798.6"/>
    <n v="124716.04599999999"/>
  </r>
  <r>
    <x v="1"/>
    <s v="Plastene India Limited "/>
    <d v="2023-05-29T00:00:00"/>
    <s v="K.P. Woven Pvt Ltd - Unit 3 -Sales"/>
    <s v="Export Sales"/>
    <s v="PIL1/E/185/23-24"/>
    <x v="6"/>
    <s v="PIL1/E/185/23-24"/>
    <d v="2023-05-29T00:00:00"/>
    <s v="SF"/>
    <s v="Yarn All"/>
    <s v="PP Yarn"/>
    <s v="PP Filament Yarn"/>
    <s v="PP MF Yarn Twisted 1000 UV NW"/>
    <n v="1816"/>
    <n v="283601.54199999996"/>
  </r>
  <r>
    <x v="1"/>
    <s v="Plastene India Limited "/>
    <d v="2023-05-29T00:00:00"/>
    <s v="K.P. Woven Pvt Ltd - Unit 3 -Sales"/>
    <s v="Export Sales"/>
    <s v="PIL1/E/186/23-24"/>
    <x v="6"/>
    <s v="PIL1/E/186/23-24"/>
    <d v="2023-05-29T00:00:00"/>
    <s v="SF"/>
    <s v="Liners"/>
    <s v="LDPE/LLDPE Bags"/>
    <s v="LLDPE BAGS"/>
    <s v="LDPE/LLDPE Bags/Liner"/>
    <n v="1303.8"/>
    <n v="159724.70800000001"/>
  </r>
  <r>
    <x v="1"/>
    <s v="Plastene India Limited "/>
    <d v="2023-05-29T00:00:00"/>
    <s v="K.P. Woven Pvt Ltd - Unit 3 -Sales"/>
    <s v="Export Sales"/>
    <s v="PIL1/E/187/23-24"/>
    <x v="6"/>
    <s v="PIL1/E/187/23-24"/>
    <d v="2023-05-29T00:00:00"/>
    <s v="SF"/>
    <s v="PP/PE Fabric"/>
    <s v="PP Lam Fabric"/>
    <s v="PP Laminated Fabric"/>
    <s v="PP Lam Fabric With UV"/>
    <n v="4253.3999999999996"/>
    <n v="489007.48049999995"/>
  </r>
  <r>
    <x v="1"/>
    <s v="Plastene India Limited "/>
    <d v="2023-05-29T00:00:00"/>
    <s v="K.P. Woven Pvt Ltd - Unit 3 -Sales"/>
    <s v="Export Sales"/>
    <s v="PIL1/E/188/23-24"/>
    <x v="6"/>
    <s v="PIL1/E/188/23-24"/>
    <d v="2023-05-29T00:00:00"/>
    <s v="SF"/>
    <s v="PP/PE Fabric"/>
    <s v="PP Lam Fabric"/>
    <s v="PP Laminated Fabric"/>
    <s v="PP Lam Fabric With UV"/>
    <n v="2734.6"/>
    <n v="317115.32999999996"/>
  </r>
  <r>
    <x v="1"/>
    <s v="Plastene India Limited "/>
    <d v="2023-05-29T00:00:00"/>
    <s v="K.P. Woven Pvt Ltd - Unit 3 -Sales"/>
    <s v="Export Sales"/>
    <s v="PIL1/E/189/23-24"/>
    <x v="6"/>
    <s v="PIL1/E/189/23-24"/>
    <d v="2023-05-29T00:00:00"/>
    <s v="SF"/>
    <s v="Tape Stock"/>
    <s v="PP Tapes"/>
    <s v="PP TAPE"/>
    <s v="PP Tapes"/>
    <n v="2455.1999999999998"/>
    <n v="262090.283"/>
  </r>
  <r>
    <x v="1"/>
    <s v="Plastene India Limited "/>
    <d v="2023-05-29T00:00:00"/>
    <s v="K.P. Woven Pvt Ltd-Sales"/>
    <s v="Sales"/>
    <n v="284"/>
    <x v="1"/>
    <s v="PIL1/D/284"/>
    <d v="2023-05-29T00:00:00"/>
    <s v="SF"/>
    <s v="PP/PE Fabric"/>
    <s v="PP Lam Fabric"/>
    <s v="PP Laminated Fabric"/>
    <s v="PP Lam Fabric With UV"/>
    <n v="6473"/>
    <n v="793214.37"/>
  </r>
  <r>
    <x v="1"/>
    <s v="Plastene India Limited "/>
    <d v="2023-05-29T00:00:00"/>
    <s v="K.P. Woven Pvt Ltd-Sales"/>
    <s v="Sales"/>
    <n v="284"/>
    <x v="1"/>
    <s v="PIL1/D/284"/>
    <d v="2023-05-29T00:00:00"/>
    <s v="SF"/>
    <s v="PP/PE Fabric"/>
    <s v="PP UL Fabric"/>
    <s v="PP WOVEN FABRIC (FG)"/>
    <s v="PP UL Fabric With UV"/>
    <n v="214"/>
    <n v="35318.99"/>
  </r>
  <r>
    <x v="1"/>
    <s v="Plastene India Limited "/>
    <d v="2023-05-29T00:00:00"/>
    <s v="Plastene Polyfilms Ltd-Sales"/>
    <s v="Sales"/>
    <n v="279"/>
    <x v="1"/>
    <s v="PIL1/D/279"/>
    <d v="2023-05-29T00:00:00"/>
    <s v="SF"/>
    <s v="PP/PE Fabric"/>
    <s v="PP Lam Fabric"/>
    <s v="PP Laminated Fabric"/>
    <s v="PP Lam Fabric With UV"/>
    <n v="441"/>
    <n v="53820.52"/>
  </r>
  <r>
    <x v="1"/>
    <s v="Plastene India Limited "/>
    <d v="2023-05-29T00:00:00"/>
    <s v="Plastene Polyfilms Ltd-Sales"/>
    <s v="Sales"/>
    <n v="279"/>
    <x v="1"/>
    <s v="PIL1/D/279"/>
    <d v="2023-05-29T00:00:00"/>
    <s v="SF"/>
    <s v="PP/PE Fabric"/>
    <s v="PP UL Fabric"/>
    <s v="PP WOVEN FABRIC (FG)"/>
    <s v="PP UL Fabric With UV"/>
    <n v="459"/>
    <n v="52804.28"/>
  </r>
  <r>
    <x v="1"/>
    <s v="Plastene India Limited "/>
    <d v="2023-05-29T00:00:00"/>
    <s v="Plastene Polyfilms Ltd-Sales"/>
    <s v="Sales"/>
    <n v="279"/>
    <x v="1"/>
    <s v="PIL1/D/279"/>
    <d v="2023-05-29T00:00:00"/>
    <s v="SF"/>
    <s v="PP/PE Fabric"/>
    <s v="PP UL Fabric"/>
    <s v="PP WOVEN FABRIC (FG)"/>
    <s v="PP UL Fabric With UV"/>
    <n v="1644"/>
    <n v="197349.05"/>
  </r>
  <r>
    <x v="1"/>
    <s v="Plastene India Limited "/>
    <d v="2023-05-29T00:00:00"/>
    <s v="Plastene Polyfilms Ltd-Sales"/>
    <s v="Sales"/>
    <n v="280"/>
    <x v="0"/>
    <s v="PIL1/D/280"/>
    <d v="2023-05-29T00:00:00"/>
    <s v="Stores/Spares"/>
    <s v="MS Structure Items"/>
    <s v="Spares &amp; Stores"/>
    <s v="Stores &amp; Consumables"/>
    <s v="MS Pipe 4  C Class"/>
    <n v="115"/>
    <n v="5520"/>
  </r>
  <r>
    <x v="1"/>
    <s v="Plastene India Limited "/>
    <d v="2023-05-29T00:00:00"/>
    <s v="Plastene Polyfilms Ltd-Sales"/>
    <s v="Sales"/>
    <n v="283"/>
    <x v="0"/>
    <s v="PIL1/D/283"/>
    <d v="2023-05-29T00:00:00"/>
    <s v="RM"/>
    <s v="Granules"/>
    <s v="Filler"/>
    <s v="FILLER - CACO3"/>
    <s v="Filler Everplus E102 PP"/>
    <n v="21000"/>
    <n v="597660"/>
  </r>
  <r>
    <x v="1"/>
    <s v="Plastene India Limited "/>
    <d v="2023-05-29T00:00:00"/>
    <s v="Plastene Polyfilms Ltd-Sales"/>
    <s v="Sales High-seas"/>
    <s v="PIL1/HSS/11/23-24"/>
    <x v="2"/>
    <s v="PIL1/HSS/11/23-24"/>
    <d v="2023-05-29T00:00:00"/>
    <s v="RM"/>
    <s v="Granules"/>
    <s v="PP Granules"/>
    <s v="PP Granuels"/>
    <s v="PP Luban HP1106K"/>
    <n v="99000"/>
    <n v="8380350"/>
  </r>
  <r>
    <x v="1"/>
    <s v="Plastene India Limited "/>
    <d v="2023-05-30T00:00:00"/>
    <s v="Jain Bulk Pack - Sales"/>
    <s v="Sales"/>
    <n v="288"/>
    <x v="0"/>
    <s v="PIL1/D/288"/>
    <d v="2023-05-30T00:00:00"/>
    <s v="RM"/>
    <s v="Granules"/>
    <s v="HDPE Granules"/>
    <s v="HDPE Granuels"/>
    <s v="HDPE IOCL 010E52"/>
    <n v="24000"/>
    <n v="2601768"/>
  </r>
  <r>
    <x v="1"/>
    <s v="Plastene India Limited "/>
    <d v="2023-05-30T00:00:00"/>
    <s v="K.P. Woven Pvt Ltd-Sales"/>
    <s v="Sales"/>
    <n v="285"/>
    <x v="1"/>
    <s v="PIL1/D/285"/>
    <d v="2023-05-30T00:00:00"/>
    <s v="SF"/>
    <s v="Yarn All"/>
    <s v="PP Yarn"/>
    <s v="PP Filament Yarn"/>
    <s v="PP MF Yarn Twisted 3000 Denier Red"/>
    <n v="1174.3"/>
    <n v="154455.67999999999"/>
  </r>
  <r>
    <x v="1"/>
    <s v="Plastene India Limited "/>
    <d v="2023-05-30T00:00:00"/>
    <s v="K.P. Woven Pvt Ltd-Sales"/>
    <s v="Sales"/>
    <n v="289"/>
    <x v="1"/>
    <s v="PIL1/D/289"/>
    <d v="2023-05-30T00:00:00"/>
    <s v="SF"/>
    <s v="Yarn All"/>
    <s v="PP Yarn"/>
    <s v="PP Filament Yarn"/>
    <s v="PP MF Yarn Twisted 1000 UV NW"/>
    <n v="1903.6"/>
    <n v="251048.67"/>
  </r>
  <r>
    <x v="1"/>
    <s v="Plastene India Limited "/>
    <d v="2023-05-30T00:00:00"/>
    <s v="K.P. Woven Pvt Ltd-Sales"/>
    <s v="Sales"/>
    <n v="289"/>
    <x v="1"/>
    <s v="PIL1/D/289"/>
    <d v="2023-05-30T00:00:00"/>
    <s v="SF"/>
    <s v="Webbing"/>
    <s v="PP Webbing"/>
    <s v="PP Webbing"/>
    <s v="Webbing"/>
    <n v="2625.7"/>
    <n v="315194.28000000003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595.5"/>
    <n v="82810.23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62.19999999999999"/>
    <n v="18662.73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617.5"/>
    <n v="224929.55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3.2"/>
    <n v="1571.59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186.7"/>
    <n v="160275.70000000001"/>
  </r>
  <r>
    <x v="1"/>
    <s v="Plastene India Limited "/>
    <d v="2023-05-30T00:00:00"/>
    <s v="Plastene Polyfilms Ltd-Sales"/>
    <s v="Sales"/>
    <n v="286"/>
    <x v="1"/>
    <s v="PIL1/D/286"/>
    <d v="2023-05-30T00:00:00"/>
    <s v="SF"/>
    <s v="PP/PE Fabric"/>
    <s v="PP UL Fabric"/>
    <s v="PP WOVEN FABRIC (FG)"/>
    <s v="PP UL Fabric With UV"/>
    <n v="459"/>
    <n v="52804.28"/>
  </r>
  <r>
    <x v="1"/>
    <s v="Plastene India Limited "/>
    <d v="2023-05-30T00:00:00"/>
    <s v="Plastene Polyfilms Ltd-Sales"/>
    <s v="Sales"/>
    <n v="286"/>
    <x v="1"/>
    <s v="PIL1/D/286"/>
    <d v="2023-05-30T00:00:00"/>
    <s v="SF"/>
    <s v="PP/PE Fabric"/>
    <s v="PP UL Fabric"/>
    <s v="PP WOVEN FABRIC (FG)"/>
    <s v="PP UL Fabric With UV"/>
    <n v="567"/>
    <n v="68063.81"/>
  </r>
  <r>
    <x v="1"/>
    <s v="Plastene India Limited "/>
    <d v="2023-05-30T00:00:00"/>
    <s v="Plastene Polyfilms Ltd-Sales"/>
    <s v="Sales"/>
    <n v="286"/>
    <x v="1"/>
    <s v="PIL1/D/286"/>
    <d v="2023-05-30T00:00:00"/>
    <s v="SF"/>
    <s v="Webbing"/>
    <s v="PP Webbing"/>
    <s v="PP Webbing"/>
    <s v="Webbing"/>
    <n v="1301.9000000000001"/>
    <n v="156282.68"/>
  </r>
  <r>
    <x v="1"/>
    <s v="Plastene India Limited "/>
    <d v="2023-05-30T00:00:00"/>
    <s v="Plastene Polyfilms Ltd-Sales"/>
    <s v="Sales"/>
    <n v="286"/>
    <x v="1"/>
    <s v="PIL1/D/286"/>
    <d v="2023-05-30T00:00:00"/>
    <s v="SF"/>
    <s v="Liners"/>
    <s v="LDPE/LLDPE Bags"/>
    <s v="LLDPE BAGS"/>
    <s v="LDPE/LLDPE Bags/Liner"/>
    <n v="1920.4"/>
    <n v="243228.26"/>
  </r>
  <r>
    <x v="1"/>
    <s v="Plastene India Limited "/>
    <d v="2023-05-30T00:00:00"/>
    <s v="Plastene Polyfilms Ltd-Sales"/>
    <s v="Sales"/>
    <n v="286"/>
    <x v="1"/>
    <s v="PIL1/D/286"/>
    <d v="2023-05-30T00:00:00"/>
    <s v="SF"/>
    <s v="Liners"/>
    <s v="LDPE/LLDPE Bags"/>
    <s v="LLDPE BAGS"/>
    <s v="LDPE/LLDPE Bags/Liner"/>
    <n v="127"/>
    <n v="15577.18"/>
  </r>
  <r>
    <x v="1"/>
    <s v="Plastene India Limited "/>
    <d v="2023-05-30T00:00:00"/>
    <s v="Plastene Polyfilms Ltd-Sales"/>
    <s v="Sales"/>
    <n v="286"/>
    <x v="1"/>
    <s v="PIL1/D/286"/>
    <d v="2023-05-30T00:00:00"/>
    <s v="SF"/>
    <s v="Liners"/>
    <s v="LDPE/LLDPE Bags"/>
    <s v="LLDPE BAGS"/>
    <s v="LDPE/LLDPE Bags/Liner"/>
    <n v="17.100000000000001"/>
    <n v="2097.4"/>
  </r>
  <r>
    <x v="1"/>
    <s v="Plastene India Limited "/>
    <d v="2023-05-30T00:00:00"/>
    <s v="Plastene Polyfilms Ltd-Sales"/>
    <s v="Sales"/>
    <n v="287"/>
    <x v="0"/>
    <s v="PIL1/D/287"/>
    <d v="2023-05-30T00:00:00"/>
    <s v="Stores/Spares"/>
    <s v="MS Structure Items"/>
    <s v="Spares &amp; Stores"/>
    <s v="Stores &amp; Consumables"/>
    <s v="MS Pipe 4  C Class"/>
    <n v="46"/>
    <n v="2208"/>
  </r>
  <r>
    <x v="1"/>
    <s v="Plastene India Limited "/>
    <d v="2023-05-31T00:00:00"/>
    <s v="Plastene Polyfilms Ltd-Sales"/>
    <s v="Sales"/>
    <n v="290"/>
    <x v="1"/>
    <s v="PIL1/D/290"/>
    <d v="2023-05-31T00:00:00"/>
    <s v="SF"/>
    <s v="PP/PE Fabric"/>
    <s v="PP UL Fabric"/>
    <s v="PP WOVEN FABRIC (FG)"/>
    <s v="PP UL Fabric With UV"/>
    <n v="560"/>
    <n v="67223.520000000004"/>
  </r>
  <r>
    <x v="1"/>
    <s v="Plastene India Limited "/>
    <d v="2023-05-31T00:00:00"/>
    <s v="Plastene Polyfilms Ltd-Sales"/>
    <s v="Sales"/>
    <n v="290"/>
    <x v="1"/>
    <s v="PIL1/D/290"/>
    <d v="2023-05-31T00:00:00"/>
    <s v="SF"/>
    <s v="PP/PE Fabric"/>
    <s v="PP UL Fabric"/>
    <s v="PP WOVEN FABRIC (FG)"/>
    <s v="PP UL Fabric With UV"/>
    <n v="869"/>
    <n v="99971.5"/>
  </r>
  <r>
    <x v="1"/>
    <s v="Plastene India Limited "/>
    <d v="2023-05-31T00:00:00"/>
    <s v="Plastene Polyfilms Ltd-Sales"/>
    <s v="Sales"/>
    <n v="290"/>
    <x v="1"/>
    <s v="PIL1/D/290"/>
    <d v="2023-05-31T00:00:00"/>
    <s v="SF"/>
    <s v="Webbing"/>
    <s v="PP Webbing"/>
    <s v="PP Webbing"/>
    <s v="Webbing"/>
    <n v="1245.0999999999999"/>
    <n v="149464.29"/>
  </r>
  <r>
    <x v="1"/>
    <s v="Plastene India Limited "/>
    <d v="2023-05-31T00:00:00"/>
    <s v="Plastene Polyfilms Ltd-Sales"/>
    <s v="Sales"/>
    <n v="290"/>
    <x v="1"/>
    <s v="PIL1/D/290"/>
    <d v="2023-05-31T00:00:00"/>
    <s v="SF"/>
    <s v="Webbing"/>
    <s v="PP Webbing"/>
    <s v="PP Webbing"/>
    <s v="Webbing"/>
    <n v="408.5"/>
    <n v="47811.66"/>
  </r>
  <r>
    <x v="1"/>
    <s v="Plastene India Limited "/>
    <d v="2023-05-31T00:00:00"/>
    <s v="Plastene Polyfilms Ltd-Sales"/>
    <s v="Sales"/>
    <n v="290"/>
    <x v="1"/>
    <s v="PIL1/D/290"/>
    <d v="2023-05-31T00:00:00"/>
    <s v="SF"/>
    <s v="Liners"/>
    <s v="LDPE/LLDPE Bags"/>
    <s v="LLDPE BAGS"/>
    <s v="LDPE/LLDPE Bags/Liner"/>
    <n v="243.6"/>
    <n v="29878.76"/>
  </r>
  <r>
    <x v="1"/>
    <s v="Plastene India Limited "/>
    <d v="2023-05-31T00:00:00"/>
    <s v="Plastene Polyfilms Ltd-Sales"/>
    <s v="Sales"/>
    <n v="291"/>
    <x v="0"/>
    <s v="PIL1/D/291"/>
    <d v="2023-05-31T00:00:00"/>
    <s v="Stores/Spares"/>
    <s v="MS Structure Items"/>
    <s v="Spares &amp; Stores"/>
    <s v="Stores &amp; Consumables"/>
    <s v="MS Pipe 4  C Class"/>
    <n v="68"/>
    <n v="3264"/>
  </r>
  <r>
    <x v="1"/>
    <s v="Plastene India Limited "/>
    <d v="2023-05-31T00:00:00"/>
    <s v="Plastene Polyfilms Ltd-Sales"/>
    <s v="Sales"/>
    <n v="292"/>
    <x v="1"/>
    <s v="PIL1/D/292"/>
    <d v="2023-05-31T00:00:00"/>
    <s v="SF"/>
    <s v="PP/PE Fabric"/>
    <s v="PP Lam Fabric"/>
    <s v="PP Laminated Fabric"/>
    <s v="PP Lam Fabric With UV"/>
    <n v="4902"/>
    <n v="593142"/>
  </r>
  <r>
    <x v="1"/>
    <s v="Plastene India Limited "/>
    <d v="2023-05-31T00:00:00"/>
    <s v="Plastene Polyfilms Ltd-Sales"/>
    <s v="Sales"/>
    <n v="292"/>
    <x v="1"/>
    <s v="PIL1/D/292"/>
    <d v="2023-05-31T00:00:00"/>
    <s v="SF"/>
    <s v="PP/PE Fabric"/>
    <s v="PP Lam Fabric"/>
    <s v="PP Laminated Fabric"/>
    <s v="PP Lam Fabric With UV"/>
    <n v="3651"/>
    <n v="441771"/>
  </r>
  <r>
    <x v="2"/>
    <s v="Plastene India Limited "/>
    <d v="2023-06-01T00:00:00"/>
    <s v="K.P. Woven Pvt Ltd - Unit 3 -Sales"/>
    <s v="Export Sales"/>
    <s v="PIL1/E/191/23-24"/>
    <x v="6"/>
    <s v="PIL1/E/191/23-24"/>
    <d v="2023-06-01T00:00:00"/>
    <s v="SF"/>
    <s v="Yarn All"/>
    <s v="PP Yarn"/>
    <s v="PP Filament Yarn"/>
    <s v="PP MF Yarn Twisted 2500 Denier UV NW"/>
    <n v="1775.4"/>
    <n v="222243.32199999999"/>
  </r>
  <r>
    <x v="2"/>
    <s v="Plastene India Limited "/>
    <d v="2023-06-01T00:00:00"/>
    <s v="K.P. Woven Pvt Ltd - Unit 3 -Sales"/>
    <s v="Export Sales"/>
    <s v="PIL1/E/191/23-24"/>
    <x v="6"/>
    <s v="PIL1/E/191/23-24"/>
    <d v="2023-06-01T00:00:00"/>
    <s v="SF"/>
    <s v="Yarn All"/>
    <s v="PP Yarn"/>
    <s v="PP Filament Yarn"/>
    <s v="PP MF Yarn Twisted 1000 Blue"/>
    <n v="516.5"/>
    <n v="64655.286500000002"/>
  </r>
  <r>
    <x v="2"/>
    <s v="Plastene India Limited "/>
    <d v="2023-06-01T00:00:00"/>
    <s v="K.P. Woven Pvt Ltd - Unit 3 -Sales"/>
    <s v="Export Sales"/>
    <s v="PIL1/E/193/23-24"/>
    <x v="6"/>
    <s v="PIL1/E/193/23-24"/>
    <d v="2023-06-01T00:00:00"/>
    <s v="SF"/>
    <s v="Liners"/>
    <s v="LDPE/LLDPE Bags"/>
    <s v="LLDPE BAGS"/>
    <s v="LDPE/LLDPE Bags/Liner"/>
    <n v="1983.4"/>
    <n v="242980.62800000003"/>
  </r>
  <r>
    <x v="2"/>
    <s v="Plastene India Limited "/>
    <d v="2023-06-01T00:00:00"/>
    <s v="K.P. Woven Pvt Ltd - Unit 3 -Sales"/>
    <s v="Export Sales"/>
    <s v="PIL1/E/194/23-24"/>
    <x v="6"/>
    <s v="PIL1/E/194/23-24"/>
    <d v="2023-06-01T00:00:00"/>
    <s v="SF"/>
    <s v="PP/PE Fabric"/>
    <s v="PP Lam Fabric"/>
    <s v="PP Laminated Fabric"/>
    <s v="PP Lam Fabric With UV"/>
    <n v="2541"/>
    <n v="294664.61499999999"/>
  </r>
  <r>
    <x v="2"/>
    <s v="Plastene India Limited "/>
    <d v="2023-06-01T00:00:00"/>
    <s v="Plastene Polyfilms Ltd-Sales"/>
    <s v="Sales"/>
    <n v="294"/>
    <x v="1"/>
    <s v="PIL1/D/294"/>
    <d v="2023-06-01T00:00:00"/>
    <s v="SF"/>
    <s v="PP/PE Fabric"/>
    <s v="PP Lam Fabric"/>
    <s v="PP Laminated Fabric"/>
    <s v="PP Lam Fabric With UV"/>
    <n v="4093"/>
    <n v="501564.41"/>
  </r>
  <r>
    <x v="2"/>
    <s v="Plastene India Limited "/>
    <d v="2023-06-01T00:00:00"/>
    <s v="Plastene Polyfilms Ltd-Sales"/>
    <s v="Sales"/>
    <n v="294"/>
    <x v="1"/>
    <s v="PIL1/D/294"/>
    <d v="2023-06-01T00:00:00"/>
    <s v="SF"/>
    <s v="Liners"/>
    <s v="LDPE/LLDPE Bags"/>
    <s v="LLDPE BAGS"/>
    <s v="LDPE/LLDPE Bags/Liner"/>
    <n v="643.5"/>
    <n v="80858.990000000005"/>
  </r>
  <r>
    <x v="2"/>
    <s v="Plastene India Limited "/>
    <d v="2023-06-01T00:00:00"/>
    <s v="Plastene Polyfilms Ltd-Sales"/>
    <s v="Sales"/>
    <n v="294"/>
    <x v="1"/>
    <s v="PIL1/D/294"/>
    <d v="2023-06-01T00:00:00"/>
    <s v="SF"/>
    <s v="PP/PE Fabric"/>
    <s v="PP UL Fabric"/>
    <s v="PP WOVEN FABRIC (FG)"/>
    <s v="PP UL Fabric With UV"/>
    <n v="2505"/>
    <n v="293190.21000000002"/>
  </r>
  <r>
    <x v="2"/>
    <s v="Plastene India Limited "/>
    <d v="2023-06-01T00:00:00"/>
    <s v="Plastene Polyfilms Ltd-Sales"/>
    <s v="Sales"/>
    <n v="295"/>
    <x v="0"/>
    <s v="PIL1/D/295"/>
    <d v="2023-06-01T00:00:00"/>
    <s v="RM"/>
    <s v="Granules"/>
    <s v="Masterbatch"/>
    <s v="Master Batch"/>
    <s v="MB Karnavati Polyplast Blue"/>
    <n v="225"/>
    <n v="46800"/>
  </r>
  <r>
    <x v="2"/>
    <s v="Plastene India Limited "/>
    <d v="2023-06-01T00:00:00"/>
    <s v="Plastene Polyfilms Ltd-Sales"/>
    <s v="Sales"/>
    <n v="296"/>
    <x v="0"/>
    <s v="PIL1/D/296"/>
    <d v="2023-06-01T00:00:00"/>
    <s v="Consumables"/>
    <s v="Consumables"/>
    <s v="Spares &amp; Stores"/>
    <s v="Stores &amp; Consumables"/>
    <s v="White Sheet Felt 07 mm +/- 1 mm"/>
    <n v="11"/>
    <n v="2035"/>
  </r>
  <r>
    <x v="2"/>
    <s v="Plastene India Limited "/>
    <d v="2023-06-01T00:00:00"/>
    <s v="Plastene Polyfilms Ltd-Sales"/>
    <s v="Sales"/>
    <n v="297"/>
    <x v="1"/>
    <s v="PIL1/D/297"/>
    <d v="2023-06-01T00:00:00"/>
    <s v="SF"/>
    <s v="Webbing"/>
    <s v="PP Webbing"/>
    <s v="PP Webbing"/>
    <s v="Webbing"/>
    <n v="508.2"/>
    <n v="59480.74"/>
  </r>
  <r>
    <x v="2"/>
    <s v="Plastene India Limited "/>
    <d v="2023-06-01T00:00:00"/>
    <s v="Plastene Polyfilms Ltd-Sales"/>
    <s v="Sales"/>
    <n v="297"/>
    <x v="1"/>
    <s v="PIL1/D/297"/>
    <d v="2023-06-01T00:00:00"/>
    <s v="SF"/>
    <s v="Webbing"/>
    <s v="PP Webbing"/>
    <s v="PP Webbing"/>
    <s v="Webbing"/>
    <n v="1406.3"/>
    <n v="168815.06"/>
  </r>
  <r>
    <x v="2"/>
    <s v="Plastene India Limited "/>
    <d v="2023-06-01T00:00:00"/>
    <s v="Plastene Polyfilms Ltd-Sales"/>
    <s v="Sales"/>
    <n v="297"/>
    <x v="1"/>
    <s v="PIL1/D/297"/>
    <d v="2023-06-01T00:00:00"/>
    <s v="SF"/>
    <s v="PP/PE Fabric"/>
    <s v="PP UL Fabric"/>
    <s v="PP WOVEN FABRIC (FG)"/>
    <s v="PP UL Fabric With UV"/>
    <n v="602"/>
    <n v="70459.28"/>
  </r>
  <r>
    <x v="2"/>
    <s v="Plastene India Limited "/>
    <d v="2023-06-01T00:00:00"/>
    <s v="Plastene Polyfilms Ltd-Sales"/>
    <s v="Sales"/>
    <n v="297"/>
    <x v="1"/>
    <s v="PIL1/D/297"/>
    <d v="2023-06-01T00:00:00"/>
    <s v="SF"/>
    <s v="PP/PE Fabric"/>
    <s v="PP UL Fabric"/>
    <s v="PP WOVEN FABRIC (FG)"/>
    <s v="PP UL Fabric With UV"/>
    <n v="562"/>
    <n v="67463.600000000006"/>
  </r>
  <r>
    <x v="2"/>
    <s v="Plastene India Limited "/>
    <d v="2023-06-01T00:00:00"/>
    <s v="Plastene Polyfilms Ltd-Sales"/>
    <s v="Sales"/>
    <n v="297"/>
    <x v="1"/>
    <s v="PIL1/D/297"/>
    <d v="2023-06-01T00:00:00"/>
    <s v="SF"/>
    <s v="PP/PE Fabric"/>
    <s v="PP UL Fabric"/>
    <s v="PP WOVEN FABRIC (FG)"/>
    <s v="PP UL Fabric With UV"/>
    <n v="1486"/>
    <n v="170952.41"/>
  </r>
  <r>
    <x v="2"/>
    <s v="Plastene India Limited "/>
    <d v="2023-06-01T00:00:00"/>
    <s v="Plastene Polyfilms Ltd-Sales"/>
    <s v="Sales"/>
    <n v="297"/>
    <x v="1"/>
    <s v="PIL1/D/297"/>
    <d v="2023-06-01T00:00:00"/>
    <s v="SF"/>
    <s v="Liners"/>
    <s v="LDPE/LLDPE Bags"/>
    <s v="LLDPE BAGS"/>
    <s v="LDPE/LLDPE Bags/Liner"/>
    <n v="385"/>
    <n v="47222.18"/>
  </r>
  <r>
    <x v="2"/>
    <s v="Plastene India Limited "/>
    <d v="2023-06-01T00:00:00"/>
    <s v="Plastene Polyfilms Ltd-Sales"/>
    <s v="Sales"/>
    <n v="297"/>
    <x v="1"/>
    <s v="PIL1/D/297"/>
    <d v="2023-06-01T00:00:00"/>
    <s v="SF"/>
    <s v="Liners"/>
    <s v="LDPE/LLDPE Bags"/>
    <s v="LLDPE BAGS"/>
    <s v="LDPE/LLDPE Bags/Liner"/>
    <n v="428"/>
    <n v="52496.34"/>
  </r>
  <r>
    <x v="2"/>
    <s v="Plastene India Limited "/>
    <d v="2023-06-01T00:00:00"/>
    <s v="Plastene Polyfilms Ltd-Sales"/>
    <s v="Sales"/>
    <n v="297"/>
    <x v="1"/>
    <s v="PIL1/D/297"/>
    <d v="2023-06-01T00:00:00"/>
    <s v="SF"/>
    <s v="Films All"/>
    <s v="PE Film"/>
    <s v="LLDPE Co-Extruded Film."/>
    <s v="LDPE/LLDPE Film"/>
    <n v="325.3"/>
    <n v="37622.57"/>
  </r>
  <r>
    <x v="2"/>
    <s v="Plastene India Limited "/>
    <d v="2023-06-01T00:00:00"/>
    <s v="Plastene Polyfilms Ltd-Sales"/>
    <s v="Sales"/>
    <n v="298"/>
    <x v="0"/>
    <s v="PIL1/D/298"/>
    <d v="2023-06-01T00:00:00"/>
    <s v="Stores/Spares"/>
    <s v="MS Structure Items"/>
    <s v="Spares &amp; Stores"/>
    <s v="Stores &amp; Consumables"/>
    <s v="MS Pipe 4  C Class"/>
    <n v="131"/>
    <n v="6288"/>
  </r>
  <r>
    <x v="2"/>
    <s v="Plastene India Limited "/>
    <d v="2023-06-02T00:00:00"/>
    <s v="HCP Plastene Bulkpack Limited - Sales"/>
    <s v="Sales"/>
    <n v="302"/>
    <x v="1"/>
    <s v="PIL1/D/302"/>
    <d v="2023-06-02T00:00:00"/>
    <s v="SF"/>
    <s v="Granules"/>
    <s v="RP Granules"/>
    <s v="Reprocess Granules"/>
    <s v="RP Granules"/>
    <n v="250"/>
    <n v="20542.5"/>
  </r>
  <r>
    <x v="2"/>
    <s v="Plastene India Limited "/>
    <d v="2023-06-02T00:00:00"/>
    <s v="HCP Plastene Bulkpack Limited - Sales"/>
    <s v="Sales"/>
    <n v="303"/>
    <x v="1"/>
    <s v="PIL1/D/303"/>
    <d v="2023-06-02T00:00:00"/>
    <s v="SF"/>
    <s v="Yarn All"/>
    <s v="PP Yarn"/>
    <s v="PP Filament Yarn"/>
    <s v="PP MF Yarn Twisted 1000 UV NW"/>
    <n v="737.3"/>
    <n v="93956.35"/>
  </r>
  <r>
    <x v="2"/>
    <s v="Plastene India Limited "/>
    <d v="2023-06-02T00:00:00"/>
    <s v="Plastene Polyfilms Ltd-Sales"/>
    <s v="Sales"/>
    <n v="300"/>
    <x v="1"/>
    <s v="PIL1/D/300"/>
    <d v="2023-06-02T00:00:00"/>
    <s v="SF"/>
    <s v="Webbing"/>
    <s v="PP Webbing"/>
    <s v="PP Webbing"/>
    <s v="Webbing"/>
    <n v="983.6"/>
    <n v="113677.6"/>
  </r>
  <r>
    <x v="2"/>
    <s v="Plastene India Limited "/>
    <d v="2023-06-02T00:00:00"/>
    <s v="Plastene Polyfilms Ltd-Sales"/>
    <s v="Sales"/>
    <n v="300"/>
    <x v="1"/>
    <s v="PIL1/D/300"/>
    <d v="2023-06-02T00:00:00"/>
    <s v="SF"/>
    <s v="Webbing"/>
    <s v="PP Webbing"/>
    <s v="PP Webbing"/>
    <s v="Webbing"/>
    <n v="500.9"/>
    <n v="56387.82"/>
  </r>
  <r>
    <x v="2"/>
    <s v="Plastene India Limited "/>
    <d v="2023-06-02T00:00:00"/>
    <s v="Plastene Polyfilms Ltd-Sales"/>
    <s v="Sales"/>
    <n v="300"/>
    <x v="1"/>
    <s v="PIL1/D/300"/>
    <d v="2023-06-02T00:00:00"/>
    <s v="SF"/>
    <s v="Liners"/>
    <s v="LDPE/LLDPE Bags"/>
    <s v="LLDPE BAGS"/>
    <s v="LDPE/LLDPE Bags/Liner"/>
    <n v="1204"/>
    <n v="173890.11"/>
  </r>
  <r>
    <x v="2"/>
    <s v="Plastene India Limited "/>
    <d v="2023-06-02T00:00:00"/>
    <s v="Plastene Polyfilms Ltd-Sales"/>
    <s v="Sales"/>
    <n v="300"/>
    <x v="1"/>
    <s v="PIL1/D/300"/>
    <d v="2023-06-02T00:00:00"/>
    <s v="SF"/>
    <s v="PP/PE Fabric"/>
    <s v="PP UL Fabric"/>
    <s v="PP WOVEN FABRIC (FG)"/>
    <s v="PP UL Fabric With UV"/>
    <n v="860"/>
    <n v="95092.78"/>
  </r>
  <r>
    <x v="2"/>
    <s v="Plastene India Limited "/>
    <d v="2023-06-02T00:00:00"/>
    <s v="Plastene Polyfilms Ltd-Sales"/>
    <s v="Sales"/>
    <n v="301"/>
    <x v="0"/>
    <s v="PIL1/D/301"/>
    <d v="2023-06-02T00:00:00"/>
    <s v="Stores/Spares"/>
    <s v="MS Structure Items"/>
    <s v="Spares &amp; Stores"/>
    <s v="Stores &amp; Consumables"/>
    <s v="MS Pipe 4  C Class"/>
    <n v="57"/>
    <n v="2736"/>
  </r>
  <r>
    <x v="2"/>
    <s v="Plastene India Limited "/>
    <d v="2023-06-03T00:00:00"/>
    <s v="Jain Bulk Pack - Sales"/>
    <s v="Sales"/>
    <n v="304"/>
    <x v="0"/>
    <s v="PIL1/D/304"/>
    <d v="2023-06-03T00:00:00"/>
    <s v="RM"/>
    <s v="Granules"/>
    <s v="PP Granules"/>
    <s v="PP Granuels"/>
    <s v="PP IOCL 1350YG"/>
    <n v="10900"/>
    <n v="1077279.7"/>
  </r>
  <r>
    <x v="2"/>
    <s v="Plastene India Limited "/>
    <d v="2023-06-03T00:00:00"/>
    <s v="Jain Bulk Pack - Sales"/>
    <s v="Sales"/>
    <n v="304"/>
    <x v="0"/>
    <s v="PIL1/D/304"/>
    <d v="2023-06-03T00:00:00"/>
    <s v="RM"/>
    <s v="Granules"/>
    <s v="PP Granules"/>
    <s v="PP Granuels"/>
    <s v="PP IOCL 1350YG"/>
    <n v="8100"/>
    <n v="800547.3"/>
  </r>
  <r>
    <x v="2"/>
    <s v="Plastene India Limited "/>
    <d v="2023-06-03T00:00:00"/>
    <s v="Jain Bulk Pack - Sales"/>
    <s v="Sales"/>
    <n v="309"/>
    <x v="0"/>
    <s v="PIL1/D/309"/>
    <d v="2023-06-03T00:00:00"/>
    <s v="RM"/>
    <s v="Granules"/>
    <s v="HDPE Granules"/>
    <s v="HDPE Granuels"/>
    <s v="HDPE IOCL 012E50"/>
    <n v="8000"/>
    <n v="823600"/>
  </r>
  <r>
    <x v="2"/>
    <s v="Plastene India Limited "/>
    <d v="2023-06-03T00:00:00"/>
    <s v="K.P. Woven Pvt Ltd - Unit 3 -Sales"/>
    <s v="Export Sales"/>
    <s v="PIL1/E/197/23-24"/>
    <x v="6"/>
    <s v="PIL1/E/197/23-24"/>
    <d v="2023-06-03T00:00:00"/>
    <s v="SF"/>
    <s v="PP/PE Fabric"/>
    <s v="PP Lam Fabric"/>
    <s v="PP Laminated Fabric"/>
    <s v="PP Lam Fabric With UV"/>
    <n v="9677"/>
    <n v="1122184.2694999999"/>
  </r>
  <r>
    <x v="2"/>
    <s v="Plastene India Limited "/>
    <d v="2023-06-03T00:00:00"/>
    <s v="K.P. Woven Pvt Ltd - Unit 3 -Sales"/>
    <s v="Export Sales"/>
    <s v="PIL1/E/198/23-24"/>
    <x v="6"/>
    <s v="PIL1/E/198/23-24"/>
    <d v="2023-06-03T00:00:00"/>
    <s v="SF"/>
    <s v="Liners"/>
    <s v="LDPE/LLDPE Bags"/>
    <s v="LLDPE BAGS"/>
    <s v="LDPE/LLDPE Bags/Liner"/>
    <n v="762.3"/>
    <n v="93386.964000000007"/>
  </r>
  <r>
    <x v="2"/>
    <s v="Plastene India Limited "/>
    <d v="2023-06-03T00:00:00"/>
    <s v="K.P. Woven Pvt Ltd-Sales"/>
    <s v="Sales"/>
    <n v="307"/>
    <x v="1"/>
    <s v="PIL1/D/307"/>
    <d v="2023-06-03T00:00:00"/>
    <s v="SF"/>
    <s v="Webbing"/>
    <s v="PP Webbing"/>
    <s v="PP Webbing"/>
    <s v="Webbing"/>
    <n v="167.7"/>
    <n v="19381.59"/>
  </r>
  <r>
    <x v="2"/>
    <s v="Plastene India Limited "/>
    <d v="2023-06-03T00:00:00"/>
    <s v="K.P. Woven Pvt Ltd-Sales"/>
    <s v="Sales"/>
    <n v="307"/>
    <x v="1"/>
    <s v="PIL1/D/307"/>
    <d v="2023-06-03T00:00:00"/>
    <s v="SF"/>
    <s v="PP/PE Fabric"/>
    <s v="PP Lam Fabric"/>
    <s v="PP Laminated Fabric"/>
    <s v="PP Lam Fabric With UV"/>
    <n v="3098"/>
    <n v="364241.15"/>
  </r>
  <r>
    <x v="2"/>
    <s v="Plastene India Limited "/>
    <d v="2023-06-03T00:00:00"/>
    <s v="K.P. Woven Pvt Ltd-Sales"/>
    <s v="Sales"/>
    <n v="307"/>
    <x v="1"/>
    <s v="PIL1/D/307"/>
    <d v="2023-06-03T00:00:00"/>
    <s v="SF"/>
    <s v="PP/PE Fabric"/>
    <s v="PP Lam Fabric"/>
    <s v="PP Laminated Fabric"/>
    <s v="PP Lam Fabric With UV"/>
    <n v="1303"/>
    <n v="157106.62"/>
  </r>
  <r>
    <x v="2"/>
    <s v="Plastene India Limited "/>
    <d v="2023-06-03T00:00:00"/>
    <s v="K.P. Woven Pvt Ltd-Sales"/>
    <s v="Sales"/>
    <n v="307"/>
    <x v="1"/>
    <s v="PIL1/D/307"/>
    <d v="2023-06-03T00:00:00"/>
    <s v="SF"/>
    <s v="PP/PE Fabric"/>
    <s v="PP UL Fabric"/>
    <s v="PP WOVEN FABRIC (FG)"/>
    <s v="PP UL Fabric With UV"/>
    <n v="1063"/>
    <n v="117539.1"/>
  </r>
  <r>
    <x v="2"/>
    <s v="Plastene India Limited "/>
    <d v="2023-06-03T00:00:00"/>
    <s v="K.P. Woven Pvt Ltd-Sales"/>
    <s v="Sales"/>
    <n v="308"/>
    <x v="0"/>
    <s v="PIL1/D/308"/>
    <d v="2023-06-03T00:00:00"/>
    <s v="Stores/Spares"/>
    <s v="MS Structure Items"/>
    <s v="Spares &amp; Stores"/>
    <s v="Stores &amp; Consumables"/>
    <s v="MS Pipe 4  C Class"/>
    <n v="176"/>
    <n v="8448"/>
  </r>
  <r>
    <x v="2"/>
    <s v="Plastene India Limited "/>
    <d v="2023-06-03T00:00:00"/>
    <s v="K.P. Woven Pvt Ltd-Sales"/>
    <s v="SALES (FOREX)"/>
    <s v="PIL1/DE/16/23-24"/>
    <x v="1"/>
    <s v="PIL1/DE/16/23-24"/>
    <d v="2023-06-03T00:00:00"/>
    <s v="SF"/>
    <s v="Liners"/>
    <s v="LDPE/LLDPE Bags"/>
    <s v="LLDPE BAGS"/>
    <s v="LDPE/LLDPE Bags/Liner"/>
    <n v="297.60000000000002"/>
    <n v="33629.4"/>
  </r>
  <r>
    <x v="2"/>
    <s v="Plastene India Limited "/>
    <d v="2023-06-03T00:00:00"/>
    <s v="Plastene Polyfilms Ltd-Sales"/>
    <s v="Sales"/>
    <n v="305"/>
    <x v="1"/>
    <s v="PIL1/D/305"/>
    <d v="2023-06-03T00:00:00"/>
    <s v="SF"/>
    <s v="PP/PE Fabric"/>
    <s v="PP UL Fabric"/>
    <s v="PP WOVEN FABRIC (FG)"/>
    <s v="PP UL Fabric With UV"/>
    <n v="2209"/>
    <n v="255300.76"/>
  </r>
  <r>
    <x v="2"/>
    <s v="Plastene India Limited "/>
    <d v="2023-06-03T00:00:00"/>
    <s v="Plastene Polyfilms Ltd-Sales"/>
    <s v="Sales"/>
    <n v="305"/>
    <x v="1"/>
    <s v="PIL1/D/305"/>
    <d v="2023-06-03T00:00:00"/>
    <s v="SF"/>
    <s v="PP/PE Fabric"/>
    <s v="PP UL Fabric"/>
    <s v="PP WOVEN FABRIC (FG)"/>
    <s v="PP UL Fabric With UV"/>
    <n v="612"/>
    <n v="67670.679999999993"/>
  </r>
  <r>
    <x v="2"/>
    <s v="Plastene India Limited "/>
    <d v="2023-06-03T00:00:00"/>
    <s v="Plastene Polyfilms Ltd-Sales"/>
    <s v="Sales"/>
    <n v="305"/>
    <x v="1"/>
    <s v="PIL1/D/305"/>
    <d v="2023-06-03T00:00:00"/>
    <s v="SF"/>
    <s v="Films All"/>
    <s v="PE Film"/>
    <s v="LLDPE Co-Extruded Film."/>
    <s v="LDPE/LLDPE Film"/>
    <n v="707.3"/>
    <n v="80226.92"/>
  </r>
  <r>
    <x v="2"/>
    <s v="Plastene India Limited "/>
    <d v="2023-06-03T00:00:00"/>
    <s v="Plastene Polyfilms Ltd-Sales"/>
    <s v="Sales"/>
    <n v="305"/>
    <x v="1"/>
    <s v="PIL1/D/305"/>
    <d v="2023-06-03T00:00:00"/>
    <s v="SF"/>
    <s v="Webbing"/>
    <s v="PP Webbing"/>
    <s v="PP Webbing"/>
    <s v="Webbing"/>
    <n v="481.8"/>
    <n v="54237.67"/>
  </r>
  <r>
    <x v="2"/>
    <s v="Plastene India Limited "/>
    <d v="2023-06-03T00:00:00"/>
    <s v="Plastene Polyfilms Ltd-Sales"/>
    <s v="Sales"/>
    <n v="305"/>
    <x v="1"/>
    <s v="PIL1/D/305"/>
    <d v="2023-06-03T00:00:00"/>
    <s v="SF"/>
    <s v="Webbing"/>
    <s v="PP Webbing"/>
    <s v="PP Webbing"/>
    <s v="Webbing"/>
    <n v="486.2"/>
    <n v="56191.59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1000 UV NW"/>
    <n v="1271.3"/>
    <n v="162005.57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3000 Denier UV NW"/>
    <n v="862.5"/>
    <n v="109910.96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3000 Denier UV Deep Blue"/>
    <n v="407.7"/>
    <n v="53177.53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3000 Denier UV Black"/>
    <n v="408.8"/>
    <n v="53321.01"/>
  </r>
  <r>
    <x v="2"/>
    <s v="Plastene India Limited "/>
    <d v="2023-06-03T00:00:00"/>
    <s v="Plastene Polyfilms Ltd-Sales"/>
    <s v="Sales"/>
    <n v="306"/>
    <x v="0"/>
    <s v="PIL1/D/306"/>
    <d v="2023-06-03T00:00:00"/>
    <s v="Stores/Spares"/>
    <s v="MS Structure Items"/>
    <s v="Spares &amp; Stores"/>
    <s v="Stores &amp; Consumables"/>
    <s v="MS Pipe 4  C Class"/>
    <n v="115"/>
    <n v="5520"/>
  </r>
  <r>
    <x v="2"/>
    <s v="Plastene India Limited "/>
    <d v="2023-06-04T00:00:00"/>
    <s v="K.P. Woven Pvt Ltd - Unit 3 -Sales"/>
    <s v="Export Sales"/>
    <s v="PIL1/E/199/23-24"/>
    <x v="6"/>
    <s v="PIL1/E/199/23-24"/>
    <d v="2023-06-04T00:00:00"/>
    <s v="SF"/>
    <s v="Tape Stock"/>
    <s v="PP Tapes"/>
    <s v="PP TAPE"/>
    <s v="PP Tapes"/>
    <n v="2258.9"/>
    <n v="233458.56700000004"/>
  </r>
  <r>
    <x v="2"/>
    <s v="Plastene India Limited "/>
    <d v="2023-06-04T00:00:00"/>
    <s v="Plastene Polyfilms Ltd-Sales"/>
    <s v="Sales"/>
    <n v="310"/>
    <x v="1"/>
    <s v="PIL1/D/310"/>
    <d v="2023-06-04T00:00:00"/>
    <s v="SF"/>
    <s v="PP/PE Fabric"/>
    <s v="PP UL Fabric"/>
    <s v="PP WOVEN FABRIC (FG)"/>
    <s v="PP UL Fabric With UV"/>
    <n v="1587"/>
    <n v="183414.35"/>
  </r>
  <r>
    <x v="2"/>
    <s v="Plastene India Limited "/>
    <d v="2023-06-04T00:00:00"/>
    <s v="Plastene Polyfilms Ltd-Sales"/>
    <s v="Sales"/>
    <n v="310"/>
    <x v="1"/>
    <s v="PIL1/D/310"/>
    <d v="2023-06-04T00:00:00"/>
    <s v="SF"/>
    <s v="PP/PE Fabric"/>
    <s v="PP UL Fabric"/>
    <s v="PP WOVEN FABRIC (FG)"/>
    <s v="PP UL Fabric With UV"/>
    <n v="1007"/>
    <n v="111347.01"/>
  </r>
  <r>
    <x v="2"/>
    <s v="Plastene India Limited "/>
    <d v="2023-06-04T00:00:00"/>
    <s v="Plastene Polyfilms Ltd-Sales"/>
    <s v="Sales"/>
    <n v="310"/>
    <x v="1"/>
    <s v="PIL1/D/310"/>
    <d v="2023-06-04T00:00:00"/>
    <s v="SF"/>
    <s v="Liners"/>
    <s v="LDPE/LLDPE Bags"/>
    <s v="LLDPE BAGS"/>
    <s v="LDPE/LLDPE Bags/Liner"/>
    <n v="381"/>
    <n v="45882.69"/>
  </r>
  <r>
    <x v="2"/>
    <s v="Plastene India Limited "/>
    <d v="2023-06-04T00:00:00"/>
    <s v="Plastene Polyfilms Ltd-Sales"/>
    <s v="Sales"/>
    <n v="310"/>
    <x v="1"/>
    <s v="PIL1/D/310"/>
    <d v="2023-06-04T00:00:00"/>
    <s v="SF"/>
    <s v="Films All"/>
    <s v="PE Film"/>
    <s v="LLDPE Co-Extruded Film."/>
    <s v="LDPE/LLDPE Film"/>
    <n v="803.5"/>
    <n v="91138.59"/>
  </r>
  <r>
    <x v="2"/>
    <s v="Plastene India Limited "/>
    <d v="2023-06-04T00:00:00"/>
    <s v="Plastene Polyfilms Ltd-Sales"/>
    <s v="Sales"/>
    <n v="310"/>
    <x v="1"/>
    <s v="PIL1/D/310"/>
    <d v="2023-06-04T00:00:00"/>
    <s v="SF"/>
    <s v="Webbing"/>
    <s v="PP Webbing"/>
    <s v="PP Webbing"/>
    <s v="Webbing"/>
    <n v="556.5"/>
    <n v="62646.87"/>
  </r>
  <r>
    <x v="2"/>
    <s v="Plastene India Limited "/>
    <d v="2023-06-04T00:00:00"/>
    <s v="Plastene Polyfilms Ltd-Sales"/>
    <s v="Sales"/>
    <n v="310"/>
    <x v="1"/>
    <s v="PIL1/D/310"/>
    <d v="2023-06-04T00:00:00"/>
    <s v="SF"/>
    <s v="Webbing"/>
    <s v="PP Webbing"/>
    <s v="PP Webbing"/>
    <s v="Webbing"/>
    <n v="761.7"/>
    <n v="88031.95"/>
  </r>
  <r>
    <x v="2"/>
    <s v="Plastene India Limited "/>
    <d v="2023-06-04T00:00:00"/>
    <s v="Plastene Polyfilms Ltd-Sales"/>
    <s v="Sales"/>
    <n v="310"/>
    <x v="1"/>
    <s v="PIL1/D/310"/>
    <d v="2023-06-04T00:00:00"/>
    <s v="SF"/>
    <s v="Yarn All"/>
    <s v="PP Yarn"/>
    <s v="PP Filament Yarn"/>
    <s v="PP Braided Rope MW 6 to 8 GPM"/>
    <n v="84.1"/>
    <n v="11558.12"/>
  </r>
  <r>
    <x v="2"/>
    <s v="Plastene India Limited "/>
    <d v="2023-06-04T00:00:00"/>
    <s v="Plastene Polyfilms Ltd-Sales"/>
    <s v="Sales"/>
    <n v="311"/>
    <x v="0"/>
    <s v="PIL1/D/311"/>
    <d v="2023-06-04T00:00:00"/>
    <s v="Stores/Spares"/>
    <s v="MS Structure Items"/>
    <s v="Spares &amp; Stores"/>
    <s v="Stores &amp; Consumables"/>
    <s v="MS Pipe 4  C Class"/>
    <n v="106"/>
    <n v="5088"/>
  </r>
  <r>
    <x v="2"/>
    <s v="Plastene India Limited "/>
    <d v="2023-06-06T00:00:00"/>
    <s v="K.P. Woven Pvt Ltd - Unit 3 -Sales"/>
    <s v="SALES (FOREX)"/>
    <s v="PIL1/E/200/23-24"/>
    <x v="6"/>
    <s v="PIL1/E/200/23-24"/>
    <d v="2023-06-06T00:00:00"/>
    <s v="SF"/>
    <s v="Granules"/>
    <s v="RP Granules"/>
    <s v="Reprocess Granules"/>
    <s v="RP Granules"/>
    <n v="1000"/>
    <n v="81270"/>
  </r>
  <r>
    <x v="2"/>
    <s v="Plastene India Limited "/>
    <d v="2023-06-06T00:00:00"/>
    <s v="K.P. Woven Pvt Ltd - Unit 3 -Sales"/>
    <s v="Export Sales"/>
    <s v="PIL1/E/201/23-24"/>
    <x v="6"/>
    <s v="PIL1/E/201/23-24"/>
    <d v="2023-06-06T00:00:00"/>
    <s v="SF"/>
    <s v="PP/PE Fabric"/>
    <s v="PP Lam Fabric"/>
    <s v="PP Laminated Fabric"/>
    <s v="PP Lam Fabric With UV"/>
    <n v="655"/>
    <n v="75956.485499999995"/>
  </r>
  <r>
    <x v="2"/>
    <s v="Plastene India Limited "/>
    <d v="2023-06-06T00:00:00"/>
    <s v="K.P. Woven Pvt Ltd - Unit 3 -Sales"/>
    <s v="Export Sales"/>
    <s v="PIL1/E/202/23-24"/>
    <x v="6"/>
    <s v="PIL1/E/202/23-24"/>
    <d v="2023-06-06T00:00:00"/>
    <s v="SF"/>
    <s v="Liners"/>
    <s v="LDPE/LLDPE Bags"/>
    <s v="LLDPE BAGS"/>
    <s v="LDPE/LLDPE Bags/Liner"/>
    <n v="953.35"/>
    <n v="116791.906"/>
  </r>
  <r>
    <x v="2"/>
    <s v="Plastene India Limited "/>
    <d v="2023-06-06T00:00:00"/>
    <s v="K.P. Woven Pvt Ltd - Unit 3 -Sales"/>
    <s v="Export Sales"/>
    <s v="PIL1/E/203/23-24"/>
    <x v="6"/>
    <s v="PIL1/E/203/23-24"/>
    <d v="2023-06-06T00:00:00"/>
    <s v="SF"/>
    <s v="Liners"/>
    <s v="LDPE/LLDPE Bags"/>
    <s v="LLDPE BAGS"/>
    <s v="LDPE/LLDPE Bags/Liner"/>
    <n v="2505.1"/>
    <n v="307458.179"/>
  </r>
  <r>
    <x v="2"/>
    <s v="Plastene India Limited "/>
    <d v="2023-06-06T00:00:00"/>
    <s v="K.P. Woven Pvt Ltd-Sales"/>
    <s v="Sales"/>
    <n v="313"/>
    <x v="1"/>
    <s v="PIL1/D/313"/>
    <d v="2023-06-06T00:00:00"/>
    <s v="SF"/>
    <s v="PP/PE Fabric"/>
    <s v="PP UL Fabric"/>
    <s v="PP WOVEN FABRIC (FG)"/>
    <s v="PP UL Fabric With UV"/>
    <n v="498"/>
    <n v="56061.35"/>
  </r>
  <r>
    <x v="2"/>
    <s v="Plastene India Limited "/>
    <d v="2023-06-06T00:00:00"/>
    <s v="K.P. Woven Pvt Ltd-Sales"/>
    <s v="Sales"/>
    <n v="313"/>
    <x v="1"/>
    <s v="PIL1/D/313"/>
    <d v="2023-06-06T00:00:00"/>
    <s v="SF"/>
    <s v="PP/PE Fabric"/>
    <s v="PP Lam Fabric"/>
    <s v="PP Laminated Fabric"/>
    <s v="PP Lam Fabric With UV"/>
    <n v="6841"/>
    <n v="807737.39"/>
  </r>
  <r>
    <x v="2"/>
    <s v="Plastene India Limited "/>
    <d v="2023-06-06T00:00:00"/>
    <s v="K.P. Woven Pvt Ltd-Sales"/>
    <s v="Sales"/>
    <n v="314"/>
    <x v="1"/>
    <s v="PIL1/D/314"/>
    <d v="2023-06-06T00:00:00"/>
    <s v="FG"/>
    <s v="Small Bags"/>
    <s v="PP Bags"/>
    <s v="PP Laminated Bags"/>
    <s v="PP Lam Bags With UV - Ad Star"/>
    <n v="1750"/>
    <n v="246842.75"/>
  </r>
  <r>
    <x v="2"/>
    <s v="Plastene India Limited "/>
    <d v="2023-06-06T00:00:00"/>
    <s v="K.P. Woven Pvt Ltd-Sales"/>
    <s v="Sales"/>
    <n v="319"/>
    <x v="1"/>
    <s v="PIL1/D/319"/>
    <d v="2023-06-06T00:00:00"/>
    <s v="SF"/>
    <s v="PP/PE Fabric"/>
    <s v="PP UL Fabric"/>
    <s v="PP WOVEN FABRIC (FG)"/>
    <s v="PP UL Fabric With UV"/>
    <n v="1341"/>
    <n v="148278.39000000001"/>
  </r>
  <r>
    <x v="2"/>
    <s v="Plastene India Limited "/>
    <d v="2023-06-06T00:00:00"/>
    <s v="K.P. Woven Pvt Ltd-Sales"/>
    <s v="Sales"/>
    <n v="319"/>
    <x v="1"/>
    <s v="PIL1/D/319"/>
    <d v="2023-06-06T00:00:00"/>
    <s v="SF"/>
    <s v="PP/PE Fabric"/>
    <s v="PP UL Fabric"/>
    <s v="PP WOVEN FABRIC (FG)"/>
    <s v="PP UL Fabric With UV"/>
    <n v="640"/>
    <n v="73966.720000000001"/>
  </r>
  <r>
    <x v="2"/>
    <s v="Plastene India Limited "/>
    <d v="2023-06-06T00:00:00"/>
    <s v="K.P. Woven Pvt Ltd-Sales"/>
    <s v="Sales"/>
    <n v="319"/>
    <x v="1"/>
    <s v="PIL1/D/319"/>
    <d v="2023-06-06T00:00:00"/>
    <s v="SF"/>
    <s v="Yarn All"/>
    <s v="PP Yarn"/>
    <s v="PP Filament Yarn"/>
    <s v="PP MF Yarn Twisted 1000 UV NW"/>
    <n v="3831.7"/>
    <n v="488285.03"/>
  </r>
  <r>
    <x v="2"/>
    <s v="Plastene India Limited "/>
    <d v="2023-06-06T00:00:00"/>
    <s v="K.P. Woven Pvt Ltd-Sales"/>
    <s v="Sales"/>
    <n v="319"/>
    <x v="1"/>
    <s v="PIL1/D/319"/>
    <d v="2023-06-06T00:00:00"/>
    <s v="SF"/>
    <s v="Yarn All"/>
    <s v="PP Yarn"/>
    <s v="PP Filament Yarn"/>
    <s v="PP MF Yarn Twisted 2500 Denier UV NW"/>
    <n v="1143.7"/>
    <n v="149176.22"/>
  </r>
  <r>
    <x v="2"/>
    <s v="Plastene India Limited "/>
    <d v="2023-06-06T00:00:00"/>
    <s v="K.P. Woven Pvt Ltd-Sales"/>
    <s v="Sales"/>
    <n v="320"/>
    <x v="0"/>
    <s v="PIL1/D/320"/>
    <d v="2023-06-06T00:00:00"/>
    <s v="Stores/Spares"/>
    <s v="MS Structure Items"/>
    <s v="Spares &amp; Stores"/>
    <s v="Stores &amp; Consumables"/>
    <s v="MS Pipe 4  C Class"/>
    <n v="72"/>
    <n v="3456"/>
  </r>
  <r>
    <x v="2"/>
    <s v="Plastene India Limited "/>
    <d v="2023-06-06T00:00:00"/>
    <s v="Plastene Polyfilms Ltd-Sales"/>
    <s v="Sales"/>
    <n v="315"/>
    <x v="0"/>
    <s v="PIL1/D/315"/>
    <d v="2023-06-06T00:00:00"/>
    <s v="Stores/Spares"/>
    <s v="Cables/Wires"/>
    <s v="Spares &amp; Stores"/>
    <s v="Stores &amp; Consumables"/>
    <s v="Pvc Aluminium Armoured Cable 150 Sq mm x 3.5 Core"/>
    <n v="120"/>
    <n v="55700"/>
  </r>
  <r>
    <x v="2"/>
    <s v="Plastene India Limited "/>
    <d v="2023-06-06T00:00:00"/>
    <s v="Plastene Polyfilms Ltd-Sales"/>
    <s v="Sales"/>
    <n v="317"/>
    <x v="1"/>
    <s v="PIL1/D/317"/>
    <d v="2023-06-06T00:00:00"/>
    <s v="SF"/>
    <s v="Webbing"/>
    <s v="PP Webbing"/>
    <s v="PP Webbing"/>
    <s v="Webbing"/>
    <n v="567.20000000000005"/>
    <n v="65553.009999999995"/>
  </r>
  <r>
    <x v="2"/>
    <s v="Plastene India Limited "/>
    <d v="2023-06-06T00:00:00"/>
    <s v="Plastene Polyfilms Ltd-Sales"/>
    <s v="Sales"/>
    <n v="317"/>
    <x v="1"/>
    <s v="PIL1/D/317"/>
    <d v="2023-06-06T00:00:00"/>
    <s v="SF"/>
    <s v="Webbing"/>
    <s v="PP Webbing"/>
    <s v="PP Webbing"/>
    <s v="Webbing"/>
    <n v="321.10000000000002"/>
    <n v="36147.19"/>
  </r>
  <r>
    <x v="2"/>
    <s v="Plastene India Limited "/>
    <d v="2023-06-06T00:00:00"/>
    <s v="Plastene Polyfilms Ltd-Sales"/>
    <s v="Sales"/>
    <n v="317"/>
    <x v="1"/>
    <s v="PIL1/D/317"/>
    <d v="2023-06-06T00:00:00"/>
    <s v="SF"/>
    <s v="PP/PE Fabric"/>
    <s v="PP UL Fabric"/>
    <s v="PP WOVEN FABRIC (FG)"/>
    <s v="PP UL Fabric With UV"/>
    <n v="850"/>
    <n v="93987.05"/>
  </r>
  <r>
    <x v="2"/>
    <s v="Plastene India Limited "/>
    <d v="2023-06-06T00:00:00"/>
    <s v="Plastene Polyfilms Ltd-Sales"/>
    <s v="Sales"/>
    <n v="317"/>
    <x v="1"/>
    <s v="PIL1/D/317"/>
    <d v="2023-06-06T00:00:00"/>
    <s v="SF"/>
    <s v="PP/PE Fabric"/>
    <s v="PP UL Fabric"/>
    <s v="PP WOVEN FABRIC (FG)"/>
    <s v="PP UL Fabric With UV"/>
    <n v="931"/>
    <n v="107598.46"/>
  </r>
  <r>
    <x v="2"/>
    <s v="Plastene India Limited "/>
    <d v="2023-06-06T00:00:00"/>
    <s v="Plastene Polyfilms Ltd-Sales"/>
    <s v="Sales"/>
    <n v="318"/>
    <x v="0"/>
    <s v="PIL1/D/318"/>
    <d v="2023-06-06T00:00:00"/>
    <s v="Stores/Spares"/>
    <s v="MS Structure Items"/>
    <s v="Spares &amp; Stores"/>
    <s v="Stores &amp; Consumables"/>
    <s v="MS Pipe 4  C Class"/>
    <n v="81"/>
    <n v="3888"/>
  </r>
  <r>
    <x v="2"/>
    <s v="Plastene India Limited "/>
    <d v="2023-06-07T00:00:00"/>
    <s v="K.P. Woven Pvt Ltd - Unit 3 -Sales"/>
    <s v="Export Sales"/>
    <s v="PIL1/E/206/23-24"/>
    <x v="6"/>
    <s v="PIL1/E/206/23-24"/>
    <d v="2023-06-07T00:00:00"/>
    <s v="SF"/>
    <s v="Yarn All"/>
    <s v="PP Yarn"/>
    <s v="PP Filament Yarn"/>
    <s v="PP MF Yarn Twisted 2500 Denier UV NW"/>
    <n v="1331.4"/>
    <n v="162292.965"/>
  </r>
  <r>
    <x v="2"/>
    <s v="Plastene India Limited "/>
    <d v="2023-06-07T00:00:00"/>
    <s v="K.P. Woven Pvt Ltd - Unit 3 -Sales"/>
    <s v="Export Sales"/>
    <s v="PIL1/E/206/23-24"/>
    <x v="6"/>
    <s v="PIL1/E/206/23-24"/>
    <d v="2023-06-07T00:00:00"/>
    <s v="SF"/>
    <s v="Yarn All"/>
    <s v="PP Yarn"/>
    <s v="PP Filament Yarn"/>
    <s v="PP MF Yarn Twisted 1000 UV NW"/>
    <n v="2318"/>
    <n v="282556.18200000003"/>
  </r>
  <r>
    <x v="2"/>
    <s v="Plastene India Limited "/>
    <d v="2023-06-07T00:00:00"/>
    <s v="K.P. Woven Pvt Ltd - Unit 3 -Sales"/>
    <s v="Export Sales"/>
    <s v="PIL1/E/207/23-24"/>
    <x v="6"/>
    <s v="PIL1/E/207/23-24"/>
    <d v="2023-06-07T00:00:00"/>
    <s v="SF"/>
    <s v="PP/PE Fabric"/>
    <s v="PP Lam Fabric"/>
    <s v="PP Laminated Fabric"/>
    <s v="PP Lam Fabric With UV"/>
    <n v="1898"/>
    <n v="220100.18799999999"/>
  </r>
  <r>
    <x v="2"/>
    <s v="Plastene India Limited "/>
    <d v="2023-06-07T00:00:00"/>
    <s v="K.P. Woven Pvt Ltd - Unit 3 -Sales"/>
    <s v="Export Sales"/>
    <s v="PIL1/E/208/23-24"/>
    <x v="6"/>
    <s v="PIL1/E/208/23-24"/>
    <d v="2023-06-07T00:00:00"/>
    <s v="SF"/>
    <s v="Tape Stock"/>
    <s v="PP Tapes"/>
    <s v="PP TAPE"/>
    <s v="PP Tapes"/>
    <n v="5149"/>
    <n v="532151.31599999999"/>
  </r>
  <r>
    <x v="2"/>
    <s v="Plastene India Limited "/>
    <d v="2023-06-07T00:00:00"/>
    <s v="Plastene Polyfilms Ltd-Sales"/>
    <s v="Sales"/>
    <n v="322"/>
    <x v="1"/>
    <s v="PIL1/D/322"/>
    <d v="2023-06-07T00:00:00"/>
    <s v="SF"/>
    <s v="PP/PE Fabric"/>
    <s v="PP UL Fabric"/>
    <s v="PP WOVEN FABRIC (FG)"/>
    <s v="PP UL Fabric With UV"/>
    <n v="704"/>
    <n v="81363.39"/>
  </r>
  <r>
    <x v="2"/>
    <s v="Plastene India Limited "/>
    <d v="2023-06-07T00:00:00"/>
    <s v="Plastene Polyfilms Ltd-Sales"/>
    <s v="Sales"/>
    <n v="322"/>
    <x v="1"/>
    <s v="PIL1/D/322"/>
    <d v="2023-06-07T00:00:00"/>
    <s v="SF"/>
    <s v="PP/PE Fabric"/>
    <s v="PP UL Fabric"/>
    <s v="PP WOVEN FABRIC (FG)"/>
    <s v="PP UL Fabric With UV"/>
    <n v="1034"/>
    <n v="114332.48"/>
  </r>
  <r>
    <x v="2"/>
    <s v="Plastene India Limited "/>
    <d v="2023-06-07T00:00:00"/>
    <s v="Plastene Polyfilms Ltd-Sales"/>
    <s v="Sales"/>
    <n v="322"/>
    <x v="1"/>
    <s v="PIL1/D/322"/>
    <d v="2023-06-07T00:00:00"/>
    <s v="SF"/>
    <s v="Webbing"/>
    <s v="PP Webbing"/>
    <s v="PP Webbing"/>
    <s v="Webbing"/>
    <n v="410.9"/>
    <n v="47488.95"/>
  </r>
  <r>
    <x v="2"/>
    <s v="Plastene India Limited "/>
    <d v="2023-06-07T00:00:00"/>
    <s v="Plastene Polyfilms Ltd-Sales"/>
    <s v="Sales"/>
    <n v="322"/>
    <x v="1"/>
    <s v="PIL1/D/322"/>
    <d v="2023-06-07T00:00:00"/>
    <s v="SF"/>
    <s v="Webbing"/>
    <s v="PP Webbing"/>
    <s v="PP Webbing"/>
    <s v="Webbing"/>
    <n v="475.5"/>
    <n v="53528.46"/>
  </r>
  <r>
    <x v="2"/>
    <s v="Plastene India Limited "/>
    <d v="2023-06-07T00:00:00"/>
    <s v="Plastene Polyfilms Ltd-Sales"/>
    <s v="Sales"/>
    <n v="322"/>
    <x v="1"/>
    <s v="PIL1/D/322"/>
    <d v="2023-06-07T00:00:00"/>
    <s v="SF"/>
    <s v="Liners"/>
    <s v="LDPE/LLDPE Bags"/>
    <s v="LLDPE BAGS"/>
    <s v="LDPE/LLDPE Bags/Liner"/>
    <n v="928"/>
    <n v="323036.79999999999"/>
  </r>
  <r>
    <x v="2"/>
    <s v="Plastene India Limited "/>
    <d v="2023-06-07T00:00:00"/>
    <s v="Plastene Polyfilms Ltd-Sales"/>
    <s v="Sales"/>
    <n v="323"/>
    <x v="0"/>
    <s v="PIL1/D/323"/>
    <d v="2023-06-07T00:00:00"/>
    <s v="Stores/Spares"/>
    <s v="MS Structure Items"/>
    <s v="Spares &amp; Stores"/>
    <s v="Stores &amp; Consumables"/>
    <s v="MS Pipe 4  C Class"/>
    <n v="73"/>
    <n v="3504"/>
  </r>
  <r>
    <x v="2"/>
    <s v="Plastene India Limited "/>
    <d v="2023-06-08T00:00:00"/>
    <s v="K.P. Woven Pvt Ltd - Unit 3 -Sales"/>
    <s v="Export Sales"/>
    <s v="PIL1/E/209/23-24"/>
    <x v="6"/>
    <s v="PIL1/E/209/23-24"/>
    <d v="2023-06-08T00:00:00"/>
    <s v="SF"/>
    <s v="Tape Stock"/>
    <s v="PP Tapes"/>
    <s v="PP TAPE"/>
    <s v="PP Tapes"/>
    <n v="3980"/>
    <n v="411334.99"/>
  </r>
  <r>
    <x v="2"/>
    <s v="Plastene India Limited "/>
    <d v="2023-06-08T00:00:00"/>
    <s v="K.P. Woven Pvt Ltd - Unit 3 -Sales"/>
    <s v="Export Sales"/>
    <s v="PIL1/E/210/23-24"/>
    <x v="6"/>
    <s v="PIL1/E/210/23-24"/>
    <d v="2023-06-08T00:00:00"/>
    <s v="SF"/>
    <s v="PP/PE Fabric"/>
    <s v="PP Lam Fabric"/>
    <s v="PP Laminated Fabric"/>
    <s v="PP Lam Fabric With UV"/>
    <n v="5907"/>
    <n v="684999.61249999993"/>
  </r>
  <r>
    <x v="2"/>
    <s v="Plastene India Limited "/>
    <d v="2023-06-08T00:00:00"/>
    <s v="K.P. Woven Pvt Ltd - Unit 3 -Sales"/>
    <s v="Export Sales"/>
    <s v="PIL1/E/211/23-24"/>
    <x v="6"/>
    <s v="PIL1/E/211/23-24"/>
    <d v="2023-06-08T00:00:00"/>
    <s v="SF"/>
    <s v="Liners"/>
    <s v="LDPE/LLDPE Bags"/>
    <s v="LLDPE BAGS"/>
    <s v="LDPE/LLDPE Bags/Liner"/>
    <n v="1000.1"/>
    <n v="122744.9825"/>
  </r>
  <r>
    <x v="2"/>
    <s v="Plastene India Limited "/>
    <d v="2023-06-08T00:00:00"/>
    <s v="Plastene Polyfilms Ltd-Sales"/>
    <s v="Sales"/>
    <n v="324"/>
    <x v="0"/>
    <s v="PIL1/D/324"/>
    <d v="2023-06-08T00:00:00"/>
    <s v="Capex"/>
    <s v="Building Material"/>
    <s v="Spares &amp; Stores"/>
    <s v="Stores &amp; Consumables"/>
    <s v="Supply: Design, Manufacturing, Supply &amp; Transportation Of  Peb Building"/>
    <n v="0.4"/>
    <n v="28400"/>
  </r>
  <r>
    <x v="2"/>
    <s v="Plastene India Limited "/>
    <d v="2023-06-08T00:00:00"/>
    <s v="Plastene Polyfilms Ltd-Sales"/>
    <s v="Sales"/>
    <n v="325"/>
    <x v="1"/>
    <s v="PIL1/D/325"/>
    <d v="2023-06-08T00:00:00"/>
    <s v="SF"/>
    <s v="PP/PE Fabric"/>
    <s v="PP UL Fabric"/>
    <s v="PP WOVEN FABRIC (FG)"/>
    <s v="PP UL Fabric With UV"/>
    <n v="1024"/>
    <n v="113226.75"/>
  </r>
  <r>
    <x v="2"/>
    <s v="Plastene India Limited "/>
    <d v="2023-06-08T00:00:00"/>
    <s v="Plastene Polyfilms Ltd-Sales"/>
    <s v="Sales"/>
    <n v="325"/>
    <x v="1"/>
    <s v="PIL1/D/325"/>
    <d v="2023-06-08T00:00:00"/>
    <s v="SF"/>
    <s v="Webbing"/>
    <s v="PP Webbing"/>
    <s v="PP Webbing"/>
    <s v="Webbing"/>
    <n v="167.6"/>
    <n v="19370.03"/>
  </r>
  <r>
    <x v="2"/>
    <s v="Plastene India Limited "/>
    <d v="2023-06-08T00:00:00"/>
    <s v="Plastene Polyfilms Ltd-Sales"/>
    <s v="Sales"/>
    <n v="325"/>
    <x v="1"/>
    <s v="PIL1/D/325"/>
    <d v="2023-06-08T00:00:00"/>
    <s v="SF"/>
    <s v="Webbing"/>
    <s v="PP Webbing"/>
    <s v="PP Webbing"/>
    <s v="Webbing"/>
    <n v="399.6"/>
    <n v="44984.17"/>
  </r>
  <r>
    <x v="2"/>
    <s v="Plastene India Limited "/>
    <d v="2023-06-08T00:00:00"/>
    <s v="Plastene Polyfilms Ltd-Sales"/>
    <s v="Sales"/>
    <n v="326"/>
    <x v="0"/>
    <s v="PIL1/D/326"/>
    <d v="2023-06-08T00:00:00"/>
    <s v="Stores/Spares"/>
    <s v="MS Structure Items"/>
    <s v="Spares &amp; Stores"/>
    <s v="Stores &amp; Consumables"/>
    <s v="MS Pipe 4  C Class"/>
    <n v="51"/>
    <n v="2448"/>
  </r>
  <r>
    <x v="2"/>
    <s v="Plastene India Limited "/>
    <d v="2023-06-09T00:00:00"/>
    <s v="K.P. Woven Pvt Ltd - Unit 3 -Sales"/>
    <s v="Export Sales"/>
    <s v="PIL1/E/212/23-24"/>
    <x v="6"/>
    <s v="PIL1/E/212/23-24"/>
    <d v="2023-06-09T00:00:00"/>
    <s v="SF"/>
    <s v="PP/PE Fabric"/>
    <s v="PP UL Fabric"/>
    <s v="PP WOVEN FABRIC (FG)"/>
    <s v="PP UL Fabric With UV"/>
    <n v="1282.5"/>
    <n v="143195.86050000001"/>
  </r>
  <r>
    <x v="2"/>
    <s v="Plastene India Limited "/>
    <d v="2023-06-09T00:00:00"/>
    <s v="K.P. Woven Pvt Ltd - Unit 3 -Sales"/>
    <s v="Export Sales"/>
    <s v="PIL1/E/213/23-24"/>
    <x v="6"/>
    <s v="PIL1/E/213/23-24"/>
    <d v="2023-06-09T00:00:00"/>
    <s v="SF"/>
    <s v="PP/PE Fabric"/>
    <s v="PP Lam Fabric"/>
    <s v="PP Laminated Fabric"/>
    <s v="PP Lam Fabric With UV"/>
    <n v="554"/>
    <n v="64244.274499999992"/>
  </r>
  <r>
    <x v="2"/>
    <s v="Plastene India Limited "/>
    <d v="2023-06-09T00:00:00"/>
    <s v="K.P. Woven Pvt Ltd - Unit 3 -Sales"/>
    <s v="Export Sales"/>
    <s v="PIL1/E/214/23-24"/>
    <x v="6"/>
    <s v="PIL1/E/214/23-24"/>
    <d v="2023-06-09T00:00:00"/>
    <s v="SF"/>
    <s v="Liners"/>
    <s v="LDPE/LLDPE Bags"/>
    <s v="LLDPE BAGS"/>
    <s v="LDPE/LLDPE Bags/Liner"/>
    <n v="1363.3"/>
    <n v="167321.84349999999"/>
  </r>
  <r>
    <x v="2"/>
    <s v="Plastene India Limited "/>
    <d v="2023-06-09T00:00:00"/>
    <s v="K.P. Woven Pvt Ltd - Unit 3 -Sales"/>
    <s v="Export Sales"/>
    <s v="PIL1/E/215/23-24"/>
    <x v="6"/>
    <s v="PIL1/E/215/23-24"/>
    <d v="2023-06-09T00:00:00"/>
    <s v="SF"/>
    <s v="Tape Stock"/>
    <s v="PP Tapes"/>
    <s v="PP TAPE"/>
    <s v="PP Tapes"/>
    <n v="871"/>
    <n v="90017.876999999993"/>
  </r>
  <r>
    <x v="2"/>
    <s v="Plastene India Limited "/>
    <d v="2023-06-09T00:00:00"/>
    <s v="K.P. Woven Pvt Ltd - Unit 3 -Sales"/>
    <s v="Export Sales"/>
    <s v="PIL1/E/216/23-24"/>
    <x v="6"/>
    <s v="PIL1/E/216/23-24"/>
    <d v="2023-06-09T00:00:00"/>
    <s v="SF"/>
    <s v="Tape Stock"/>
    <s v="PP Tapes"/>
    <s v="PP TAPE"/>
    <s v="PP Tapes"/>
    <n v="4477"/>
    <n v="462699.77999999997"/>
  </r>
  <r>
    <x v="2"/>
    <s v="Plastene India Limited "/>
    <d v="2023-06-09T00:00:00"/>
    <s v="K.P. Woven Pvt Ltd-Sales"/>
    <s v="Sales"/>
    <n v="331"/>
    <x v="1"/>
    <s v="PIL1/D/331"/>
    <d v="2023-06-09T00:00:00"/>
    <s v="SF"/>
    <s v="PP/PE Fabric"/>
    <s v="PP UL Fabric"/>
    <s v="PP WOVEN FABRIC (FG)"/>
    <s v="PP UL Fabric With UV"/>
    <n v="1988"/>
    <n v="223795.12"/>
  </r>
  <r>
    <x v="2"/>
    <s v="Plastene India Limited "/>
    <d v="2023-06-09T00:00:00"/>
    <s v="K.P. Woven Pvt Ltd-Sales"/>
    <s v="Sales"/>
    <n v="331"/>
    <x v="1"/>
    <s v="PIL1/D/331"/>
    <d v="2023-06-09T00:00:00"/>
    <s v="SF"/>
    <s v="PP/PE Fabric"/>
    <s v="PP Lam Fabric"/>
    <s v="PP Laminated Fabric"/>
    <s v="PP Lam Fabric With UV"/>
    <n v="1745"/>
    <n v="206037.38"/>
  </r>
  <r>
    <x v="2"/>
    <s v="Plastene India Limited "/>
    <d v="2023-06-09T00:00:00"/>
    <s v="Plastene Polyfilms Ltd-Sales"/>
    <s v="Sales"/>
    <n v="327"/>
    <x v="1"/>
    <s v="PIL1/D/327"/>
    <d v="2023-06-09T00:00:00"/>
    <s v="SF"/>
    <s v="PP/PE Fabric"/>
    <s v="PP Lam Fabric"/>
    <s v="PP Laminated Fabric"/>
    <s v="PP Lam Fabric With UV"/>
    <n v="517"/>
    <n v="57355.98"/>
  </r>
  <r>
    <x v="2"/>
    <s v="Plastene India Limited "/>
    <d v="2023-06-09T00:00:00"/>
    <s v="Plastene Polyfilms Ltd-Sales"/>
    <s v="Sales"/>
    <n v="328"/>
    <x v="0"/>
    <s v="PIL1/D/328"/>
    <d v="2023-06-09T00:00:00"/>
    <s v="Capex"/>
    <s v="Building Material"/>
    <s v="Spares &amp; Stores"/>
    <s v="Stores &amp; Consumables"/>
    <s v="Supply: Design, Manufacturing, Supply &amp; Transportation Of  Peb Building"/>
    <n v="0.14000000000000001"/>
    <n v="9940"/>
  </r>
  <r>
    <x v="2"/>
    <s v="Plastene India Limited "/>
    <d v="2023-06-09T00:00:00"/>
    <s v="Plastene Polyfilms Ltd-Sales"/>
    <s v="Sales"/>
    <n v="329"/>
    <x v="1"/>
    <s v="PIL1/D/329"/>
    <d v="2023-06-09T00:00:00"/>
    <s v="SF"/>
    <s v="PP/PE Fabric"/>
    <s v="PP UL Fabric"/>
    <s v="PP WOVEN FABRIC (FG)"/>
    <s v="PP UL Fabric With UV"/>
    <n v="838"/>
    <n v="96850.17"/>
  </r>
  <r>
    <x v="2"/>
    <s v="Plastene India Limited "/>
    <d v="2023-06-09T00:00:00"/>
    <s v="Plastene Polyfilms Ltd-Sales"/>
    <s v="Sales"/>
    <n v="329"/>
    <x v="1"/>
    <s v="PIL1/D/329"/>
    <d v="2023-06-09T00:00:00"/>
    <s v="SF"/>
    <s v="PP/PE Fabric"/>
    <s v="PP UL Fabric"/>
    <s v="PP WOVEN FABRIC (FG)"/>
    <s v="PP UL Fabric With UV"/>
    <n v="826"/>
    <n v="91333.3"/>
  </r>
  <r>
    <x v="2"/>
    <s v="Plastene India Limited "/>
    <d v="2023-06-09T00:00:00"/>
    <s v="Plastene Polyfilms Ltd-Sales"/>
    <s v="Sales"/>
    <n v="329"/>
    <x v="1"/>
    <s v="PIL1/D/329"/>
    <d v="2023-06-09T00:00:00"/>
    <s v="SF"/>
    <s v="Webbing"/>
    <s v="PP Webbing"/>
    <s v="PP Webbing"/>
    <s v="Webbing"/>
    <n v="245.6"/>
    <n v="28384.73"/>
  </r>
  <r>
    <x v="2"/>
    <s v="Plastene India Limited "/>
    <d v="2023-06-09T00:00:00"/>
    <s v="Plastene Polyfilms Ltd-Sales"/>
    <s v="Sales"/>
    <n v="329"/>
    <x v="1"/>
    <s v="PIL1/D/329"/>
    <d v="2023-06-09T00:00:00"/>
    <s v="SF"/>
    <s v="Webbing"/>
    <s v="PP Webbing"/>
    <s v="PP Webbing"/>
    <s v="Webbing"/>
    <n v="587.1"/>
    <n v="66091.61"/>
  </r>
  <r>
    <x v="2"/>
    <s v="Plastene India Limited "/>
    <d v="2023-06-09T00:00:00"/>
    <s v="Plastene Polyfilms Ltd-Sales"/>
    <s v="Sales"/>
    <n v="329"/>
    <x v="1"/>
    <s v="PIL1/D/329"/>
    <d v="2023-06-09T00:00:00"/>
    <s v="SF"/>
    <s v="Liners"/>
    <s v="LDPE/LLDPE Bags"/>
    <s v="LLDPE BAGS"/>
    <s v="LDPE/LLDPE Bags/Liner"/>
    <n v="2700"/>
    <n v="335952.9"/>
  </r>
  <r>
    <x v="2"/>
    <s v="Plastene India Limited "/>
    <d v="2023-06-09T00:00:00"/>
    <s v="Plastene Polyfilms Ltd-Sales"/>
    <s v="Sales"/>
    <n v="330"/>
    <x v="0"/>
    <s v="PIL1/D/330"/>
    <d v="2023-06-09T00:00:00"/>
    <s v="Stores/Spares"/>
    <s v="MS Structure Items"/>
    <s v="Spares &amp; Stores"/>
    <s v="Stores &amp; Consumables"/>
    <s v="MS Pipe 4  C Class"/>
    <n v="79"/>
    <n v="3792"/>
  </r>
  <r>
    <x v="2"/>
    <s v="Plastene India Limited "/>
    <d v="2023-06-10T00:00:00"/>
    <s v="Jain Bulk Pack - Sales"/>
    <s v="Sales"/>
    <n v="334"/>
    <x v="0"/>
    <s v="PIL1/D/334"/>
    <d v="2023-06-10T00:00:00"/>
    <s v="RM"/>
    <s v="Granules"/>
    <s v="PP Granules"/>
    <s v="PP Granuels"/>
    <s v="PP IOCL 1030RG"/>
    <n v="1000"/>
    <n v="93453"/>
  </r>
  <r>
    <x v="2"/>
    <s v="Plastene India Limited "/>
    <d v="2023-06-10T00:00:00"/>
    <s v="Jain Bulk Pack - Sales"/>
    <s v="Sales"/>
    <n v="335"/>
    <x v="0"/>
    <s v="PIL1/D/335"/>
    <d v="2023-06-10T00:00:00"/>
    <s v="RM"/>
    <s v="Granules"/>
    <s v="PP Granules"/>
    <s v="PP Granuels"/>
    <s v="PP IOCL P1XHF/P1XLF"/>
    <n v="9000"/>
    <n v="789057"/>
  </r>
  <r>
    <x v="2"/>
    <s v="Plastene India Limited "/>
    <d v="2023-06-10T00:00:00"/>
    <s v="K.P. Woven Pvt Ltd - Unit 3 -Sales"/>
    <s v="Export Sales"/>
    <s v="PIL1/E/219/23-24"/>
    <x v="6"/>
    <s v="PIL1/E/219/23-24"/>
    <d v="2023-06-10T00:00:00"/>
    <s v="SF"/>
    <s v="PP/PE Fabric"/>
    <s v="PP Lam Fabric"/>
    <s v="PP Laminated Fabric"/>
    <s v="PP Lam Fabric With UV"/>
    <n v="1033.4000000000001"/>
    <n v="119836.90949999999"/>
  </r>
  <r>
    <x v="2"/>
    <s v="Plastene India Limited "/>
    <d v="2023-06-10T00:00:00"/>
    <s v="K.P. Woven Pvt Ltd - Unit 3 -Sales"/>
    <s v="Export Sales"/>
    <s v="PIL1/E/220/23-24"/>
    <x v="6"/>
    <s v="PIL1/E/220/23-24"/>
    <d v="2023-06-10T00:00:00"/>
    <s v="SF"/>
    <s v="PP/PE Fabric"/>
    <s v="PP Lam Fabric"/>
    <s v="PP Laminated Fabric"/>
    <s v="PP Lam Fabric With UV"/>
    <n v="509.6"/>
    <n v="57163.856"/>
  </r>
  <r>
    <x v="2"/>
    <s v="Plastene India Limited "/>
    <d v="2023-06-10T00:00:00"/>
    <s v="K.P. Woven Pvt Ltd - Unit 3 -Sales"/>
    <s v="Export Sales"/>
    <s v="PIL1/E/221/23-24"/>
    <x v="6"/>
    <s v="PIL1/E/221/23-24"/>
    <d v="2023-06-10T00:00:00"/>
    <s v="SF"/>
    <s v="PP/PE Fabric"/>
    <s v="PP UL Fabric"/>
    <s v="PP WOVEN FABRIC (FG)"/>
    <s v="PP UL Fabric With UV"/>
    <n v="645"/>
    <n v="72016.328999999998"/>
  </r>
  <r>
    <x v="2"/>
    <s v="Plastene India Limited "/>
    <d v="2023-06-10T00:00:00"/>
    <s v="K.P. Woven Pvt Ltd - Unit 3 -Sales"/>
    <s v="Export Sales"/>
    <s v="PIL1/E/222/23-24"/>
    <x v="6"/>
    <s v="PIL1/E/222/23-24"/>
    <d v="2023-06-10T00:00:00"/>
    <s v="SF"/>
    <s v="Tape Stock"/>
    <s v="PP Tapes"/>
    <s v="PP TAPE"/>
    <s v="PP Tapes"/>
    <n v="4265"/>
    <n v="440789.47400000005"/>
  </r>
  <r>
    <x v="2"/>
    <s v="Plastene India Limited "/>
    <d v="2023-06-10T00:00:00"/>
    <s v="K.P. Woven Pvt Ltd - Unit 3 -Sales"/>
    <s v="Export Sales"/>
    <s v="PIL1/E/223/23-24"/>
    <x v="6"/>
    <s v="PIL1/E/223/23-24"/>
    <d v="2023-06-10T00:00:00"/>
    <s v="SF"/>
    <s v="Liners"/>
    <s v="LDPE/LLDPE Bags"/>
    <s v="LLDPE BAGS"/>
    <s v="LDPE/LLDPE Bags/Liner"/>
    <n v="1214.9000000000001"/>
    <n v="149107.65100000001"/>
  </r>
  <r>
    <x v="2"/>
    <s v="Plastene India Limited "/>
    <d v="2023-06-10T00:00:00"/>
    <s v="K.P. Woven Pvt Ltd-Sales"/>
    <s v="Sales"/>
    <n v="336"/>
    <x v="1"/>
    <s v="PIL1/D/336"/>
    <d v="2023-06-10T00:00:00"/>
    <s v="SF"/>
    <s v="PP/PE Fabric"/>
    <s v="PP Lam Fabric"/>
    <s v="PP Laminated Fabric"/>
    <s v="PP Lam Fabric With UV"/>
    <n v="2589"/>
    <n v="304396.5"/>
  </r>
  <r>
    <x v="2"/>
    <s v="Plastene India Limited "/>
    <d v="2023-06-10T00:00:00"/>
    <s v="K.P. Woven Pvt Ltd-Sales"/>
    <s v="Sales"/>
    <n v="336"/>
    <x v="1"/>
    <s v="PIL1/D/336"/>
    <d v="2023-06-10T00:00:00"/>
    <s v="SF"/>
    <s v="PP/PE Fabric"/>
    <s v="PP UL Fabric"/>
    <s v="PP WOVEN FABRIC (FG)"/>
    <s v="PP UL Fabric With UV"/>
    <n v="1309"/>
    <n v="151285.06"/>
  </r>
  <r>
    <x v="2"/>
    <s v="Plastene India Limited "/>
    <d v="2023-06-10T00:00:00"/>
    <s v="K.P. Woven Pvt Ltd-Sales"/>
    <s v="Sales"/>
    <n v="337"/>
    <x v="0"/>
    <s v="PIL1/D/337"/>
    <d v="2023-06-10T00:00:00"/>
    <s v="Stores/Spares"/>
    <s v="MS Structure Items"/>
    <s v="Spares &amp; Stores"/>
    <s v="Stores &amp; Consumables"/>
    <s v="MS Pipe 4  C Class"/>
    <n v="132"/>
    <n v="6336"/>
  </r>
  <r>
    <x v="2"/>
    <s v="Plastene India Limited "/>
    <d v="2023-06-10T00:00:00"/>
    <s v="K.P. Woven Pvt Ltd-Sales"/>
    <s v="SALES (FOREX)"/>
    <s v="PIL1/DE/17/23-24"/>
    <x v="1"/>
    <s v="PIL1/DE/17/23-24"/>
    <d v="2023-06-10T00:00:00"/>
    <s v="SF"/>
    <s v="Liners"/>
    <s v="LDPE/LLDPE Bags"/>
    <s v="LLDPE BAGS"/>
    <s v="LDPE/LLDPE Bags/Liner"/>
    <n v="693"/>
    <n v="78310.39"/>
  </r>
  <r>
    <x v="2"/>
    <s v="Plastene India Limited "/>
    <d v="2023-06-10T00:00:00"/>
    <s v="K.P. Woven Pvt Ltd-Sales"/>
    <s v="SALES (FOREX)"/>
    <s v="PIL1/DE/17/23-24"/>
    <x v="1"/>
    <s v="PIL1/DE/17/23-24"/>
    <d v="2023-06-10T00:00:00"/>
    <s v="SF"/>
    <s v="Liners"/>
    <s v="LDPE/LLDPE Bags"/>
    <s v="LLDPE BAGS"/>
    <s v="LDPE/LLDPE Bags/Liner"/>
    <n v="406.9"/>
    <n v="45980.51"/>
  </r>
  <r>
    <x v="2"/>
    <s v="Plastene India Limited "/>
    <d v="2023-06-10T00:00:00"/>
    <s v="K.P. Woven Pvt Ltd-Sales"/>
    <s v="SALES (FOREX)"/>
    <s v="PIL1/DE/17/23-24"/>
    <x v="1"/>
    <s v="PIL1/DE/17/23-24"/>
    <d v="2023-06-10T00:00:00"/>
    <s v="SF"/>
    <s v="Liners"/>
    <s v="LDPE/LLDPE Bags"/>
    <s v="LLDPE BAGS"/>
    <s v="LDPE/LLDPE Bags/Liner"/>
    <n v="21.9"/>
    <n v="2474.7399999999998"/>
  </r>
  <r>
    <x v="2"/>
    <s v="Plastene India Limited "/>
    <d v="2023-06-10T00:00:00"/>
    <s v="Plastene Polyfilms Ltd-Sales"/>
    <s v="Sales"/>
    <n v="332"/>
    <x v="1"/>
    <s v="PIL1/D/332"/>
    <d v="2023-06-10T00:00:00"/>
    <s v="SF"/>
    <s v="PP/PE Fabric"/>
    <s v="PP UL Fabric"/>
    <s v="PP WOVEN FABRIC (FG)"/>
    <s v="PP UL Fabric With UV"/>
    <n v="2268"/>
    <n v="255315.56"/>
  </r>
  <r>
    <x v="2"/>
    <s v="Plastene India Limited "/>
    <d v="2023-06-10T00:00:00"/>
    <s v="Plastene Polyfilms Ltd-Sales"/>
    <s v="Sales"/>
    <n v="332"/>
    <x v="1"/>
    <s v="PIL1/D/332"/>
    <d v="2023-06-10T00:00:00"/>
    <s v="SF"/>
    <s v="PP/PE Fabric"/>
    <s v="PP Lam Fabric"/>
    <s v="PP Laminated Fabric"/>
    <s v="PP Lam Fabric With UV"/>
    <n v="1643"/>
    <n v="193993.94"/>
  </r>
  <r>
    <x v="2"/>
    <s v="Plastene India Limited "/>
    <d v="2023-06-10T00:00:00"/>
    <s v="Plastene Polyfilms Ltd-Sales"/>
    <s v="Sales"/>
    <n v="332"/>
    <x v="1"/>
    <s v="PIL1/D/332"/>
    <d v="2023-06-10T00:00:00"/>
    <s v="SF"/>
    <s v="Liners"/>
    <s v="LDPE/LLDPE Bags"/>
    <s v="LLDPE BAGS"/>
    <s v="DOC Pouch"/>
    <n v="314.5"/>
    <n v="38817.79"/>
  </r>
  <r>
    <x v="2"/>
    <s v="Plastene India Limited "/>
    <d v="2023-06-10T00:00:00"/>
    <s v="Plastene Polyfilms Ltd-Sales"/>
    <s v="Sales"/>
    <n v="333"/>
    <x v="0"/>
    <s v="PIL1/D/333"/>
    <d v="2023-06-10T00:00:00"/>
    <s v="RM"/>
    <s v="Granules"/>
    <s v="Masterbatch"/>
    <s v="Master Batch"/>
    <s v="MB Alok Green AM2287 Pantone 3415C"/>
    <n v="50"/>
    <n v="14500"/>
  </r>
  <r>
    <x v="2"/>
    <s v="Plastene India Limited "/>
    <d v="2023-06-10T00:00:00"/>
    <s v="Plastene Polyfilms Ltd-Sales"/>
    <s v="Sales"/>
    <n v="338"/>
    <x v="1"/>
    <s v="PIL1/D/338"/>
    <d v="2023-06-10T00:00:00"/>
    <s v="SF"/>
    <s v="Webbing"/>
    <s v="PP Webbing"/>
    <s v="PP Webbing"/>
    <s v="Webbing"/>
    <n v="499.2"/>
    <n v="56196.44"/>
  </r>
  <r>
    <x v="2"/>
    <s v="Plastene India Limited "/>
    <d v="2023-06-10T00:00:00"/>
    <s v="Plastene Polyfilms Ltd-Sales"/>
    <s v="Sales"/>
    <n v="338"/>
    <x v="1"/>
    <s v="PIL1/D/338"/>
    <d v="2023-06-10T00:00:00"/>
    <s v="SF"/>
    <s v="Webbing"/>
    <s v="PP Webbing"/>
    <s v="PP Webbing"/>
    <s v="Webbing"/>
    <n v="356.6"/>
    <n v="41213.33"/>
  </r>
  <r>
    <x v="2"/>
    <s v="Plastene India Limited "/>
    <d v="2023-06-10T00:00:00"/>
    <s v="Plastene Polyfilms Ltd-Sales"/>
    <s v="Sales"/>
    <n v="338"/>
    <x v="1"/>
    <s v="PIL1/D/338"/>
    <d v="2023-06-10T00:00:00"/>
    <s v="SF"/>
    <s v="PP/PE Fabric"/>
    <s v="PP UL Fabric"/>
    <s v="PP WOVEN FABRIC (FG)"/>
    <s v="PP UL Fabric With UV"/>
    <n v="504"/>
    <n v="58248.79"/>
  </r>
  <r>
    <x v="2"/>
    <s v="Plastene India Limited "/>
    <d v="2023-06-10T00:00:00"/>
    <s v="Plastene Polyfilms Ltd-Sales"/>
    <s v="Sales"/>
    <n v="338"/>
    <x v="1"/>
    <s v="PIL1/D/338"/>
    <d v="2023-06-10T00:00:00"/>
    <s v="SF"/>
    <s v="PP/PE Fabric"/>
    <s v="PP UL Fabric"/>
    <s v="PP WOVEN FABRIC (FG)"/>
    <s v="PP UL Fabric With UV"/>
    <n v="844"/>
    <n v="93323.61"/>
  </r>
  <r>
    <x v="2"/>
    <s v="Plastene India Limited "/>
    <d v="2023-06-10T00:00:00"/>
    <s v="Plastene Polyfilms Ltd-Sales"/>
    <s v="Sales"/>
    <n v="338"/>
    <x v="1"/>
    <s v="PIL1/D/338"/>
    <d v="2023-06-10T00:00:00"/>
    <s v="SF"/>
    <s v="Liners"/>
    <s v="LDPE/LLDPE Bags"/>
    <s v="LLDPE BAGS"/>
    <s v="LDPE/LLDPE Bags/Liner"/>
    <n v="244.4"/>
    <n v="29432.36"/>
  </r>
  <r>
    <x v="2"/>
    <s v="Plastene India Limited "/>
    <d v="2023-06-10T00:00:00"/>
    <s v="Plastene Polyfilms Ltd-Sales"/>
    <s v="Sales"/>
    <n v="339"/>
    <x v="0"/>
    <s v="PIL1/D/339"/>
    <d v="2023-06-10T00:00:00"/>
    <s v="Stores/Spares"/>
    <s v="MS Structure Items"/>
    <s v="Spares &amp; Stores"/>
    <s v="Stores &amp; Consumables"/>
    <s v="MS Pipe 4  C Class"/>
    <n v="72"/>
    <n v="3456"/>
  </r>
  <r>
    <x v="2"/>
    <s v="Plastene India Limited "/>
    <d v="2023-06-11T00:00:00"/>
    <s v="Plastene Polyfilms Ltd-Sales"/>
    <s v="Sales"/>
    <n v="341"/>
    <x v="1"/>
    <s v="PIL1/D/341"/>
    <d v="2023-06-11T00:00:00"/>
    <s v="SF"/>
    <s v="PP/PE Fabric"/>
    <s v="PP UL Fabric"/>
    <s v="PP WOVEN FABRIC (FG)"/>
    <s v="PP UL Fabric With UV"/>
    <n v="502"/>
    <n v="58017.65"/>
  </r>
  <r>
    <x v="2"/>
    <s v="Plastene India Limited "/>
    <d v="2023-06-11T00:00:00"/>
    <s v="Plastene Polyfilms Ltd-Sales"/>
    <s v="Sales"/>
    <n v="341"/>
    <x v="1"/>
    <s v="PIL1/D/341"/>
    <d v="2023-06-11T00:00:00"/>
    <s v="SF"/>
    <s v="PP/PE Fabric"/>
    <s v="PP UL Fabric"/>
    <s v="PP WOVEN FABRIC (FG)"/>
    <s v="PP UL Fabric With UV"/>
    <n v="840"/>
    <n v="92881.32"/>
  </r>
  <r>
    <x v="2"/>
    <s v="Plastene India Limited "/>
    <d v="2023-06-11T00:00:00"/>
    <s v="Plastene Polyfilms Ltd-Sales"/>
    <s v="Sales"/>
    <n v="341"/>
    <x v="1"/>
    <s v="PIL1/D/341"/>
    <d v="2023-06-11T00:00:00"/>
    <s v="SF"/>
    <s v="PP/PE Fabric"/>
    <s v="PP Lam Fabric"/>
    <s v="PP Laminated Fabric"/>
    <s v="PP Lam Fabric With UV"/>
    <n v="165"/>
    <n v="19894.54"/>
  </r>
  <r>
    <x v="2"/>
    <s v="Plastene India Limited "/>
    <d v="2023-06-11T00:00:00"/>
    <s v="Plastene Polyfilms Ltd-Sales"/>
    <s v="Sales"/>
    <n v="341"/>
    <x v="1"/>
    <s v="PIL1/D/341"/>
    <d v="2023-06-11T00:00:00"/>
    <s v="SF"/>
    <s v="Webbing"/>
    <s v="PP Webbing"/>
    <s v="PP Webbing"/>
    <s v="Webbing"/>
    <n v="310.39999999999998"/>
    <n v="35873.86"/>
  </r>
  <r>
    <x v="2"/>
    <s v="Plastene India Limited "/>
    <d v="2023-06-11T00:00:00"/>
    <s v="Plastene Polyfilms Ltd-Sales"/>
    <s v="Sales"/>
    <n v="341"/>
    <x v="1"/>
    <s v="PIL1/D/341"/>
    <d v="2023-06-11T00:00:00"/>
    <s v="SF"/>
    <s v="Webbing"/>
    <s v="PP Webbing"/>
    <s v="PP Webbing"/>
    <s v="Webbing"/>
    <n v="482.2"/>
    <n v="54282.7"/>
  </r>
  <r>
    <x v="2"/>
    <s v="Plastene India Limited "/>
    <d v="2023-06-11T00:00:00"/>
    <s v="Plastene Polyfilms Ltd-Sales"/>
    <s v="Sales"/>
    <n v="342"/>
    <x v="0"/>
    <s v="PIL1/D/342"/>
    <d v="2023-06-11T00:00:00"/>
    <s v="Stores/Spares"/>
    <s v="MS Structure Items"/>
    <s v="Spares &amp; Stores"/>
    <s v="Stores &amp; Consumables"/>
    <s v="MS Pipe 4  C Class"/>
    <n v="81"/>
    <n v="3888"/>
  </r>
  <r>
    <x v="2"/>
    <s v="Plastene India Limited "/>
    <d v="2023-06-12T00:00:00"/>
    <s v="K.P. Woven Pvt Ltd - Unit 3 -Sales"/>
    <s v="Export Sales"/>
    <s v="PIL1/E/224/23-24"/>
    <x v="6"/>
    <s v="PIL1/E/224/23-24"/>
    <d v="2023-06-12T00:00:00"/>
    <s v="SF"/>
    <s v="Tape Stock"/>
    <s v="PP Tapes"/>
    <s v="PP TAPE"/>
    <s v="PP Tapes"/>
    <n v="2238.1999999999998"/>
    <n v="231318.84400000001"/>
  </r>
  <r>
    <x v="2"/>
    <s v="Plastene India Limited "/>
    <d v="2023-06-12T00:00:00"/>
    <s v="K.P. Woven Pvt Ltd - Unit 3 -Sales"/>
    <s v="Export Sales"/>
    <s v="PIL1/E/225/23-24"/>
    <x v="6"/>
    <s v="PIL1/E/225/23-24"/>
    <d v="2023-06-12T00:00:00"/>
    <s v="SF"/>
    <s v="PP/PE Fabric"/>
    <s v="PP Lam Fabric"/>
    <s v="PP Laminated Fabric"/>
    <s v="PP Lam Fabric With UV"/>
    <n v="3679"/>
    <n v="412688.75900000008"/>
  </r>
  <r>
    <x v="2"/>
    <s v="Plastene India Limited "/>
    <d v="2023-06-12T00:00:00"/>
    <s v="K.P. Woven Pvt Ltd - Unit 3 -Sales"/>
    <s v="Export Sales"/>
    <s v="PIL1/E/226/23-24"/>
    <x v="6"/>
    <s v="PIL1/E/226/23-24"/>
    <d v="2023-06-12T00:00:00"/>
    <s v="SF"/>
    <s v="PP/PE Fabric"/>
    <s v="PP UL Fabric"/>
    <s v="PP WOVEN FABRIC (FG)"/>
    <s v="PP UL Fabric With UV"/>
    <n v="843.5"/>
    <n v="94179.739499999981"/>
  </r>
  <r>
    <x v="2"/>
    <s v="Plastene India Limited "/>
    <d v="2023-06-12T00:00:00"/>
    <s v="K.P. Woven Pvt Ltd - Unit 3 -Sales"/>
    <s v="Export Sales"/>
    <s v="PIL1/E/228/23-24"/>
    <x v="6"/>
    <s v="PIL1/E/228/23-24"/>
    <d v="2023-06-12T00:00:00"/>
    <s v="SF"/>
    <s v="PP/PE Fabric"/>
    <s v="PP Lam Fabric"/>
    <s v="PP Laminated Fabric"/>
    <s v="PP Lam Fabric With UV"/>
    <n v="4214"/>
    <n v="472701.49400000001"/>
  </r>
  <r>
    <x v="2"/>
    <s v="Plastene India Limited "/>
    <d v="2023-06-12T00:00:00"/>
    <s v="K.P. Woven Pvt Ltd - Unit 3 -Sales"/>
    <s v="Export Sales"/>
    <s v="PIL1/E/229/23-24"/>
    <x v="6"/>
    <s v="PIL1/E/229/23-24"/>
    <d v="2023-06-12T00:00:00"/>
    <s v="SF"/>
    <s v="Liners"/>
    <s v="LDPE/LLDPE Bags"/>
    <s v="LLDPE BAGS"/>
    <s v="LDPE/LLDPE Bags/Liner"/>
    <n v="1774.1"/>
    <n v="217740.13099999999"/>
  </r>
  <r>
    <x v="2"/>
    <s v="Plastene India Limited "/>
    <d v="2023-06-12T00:00:00"/>
    <s v="K.P. Woven Pvt Ltd - Unit 3 -Sales"/>
    <s v="Export Sales"/>
    <s v="PIL1/E/230/23-24"/>
    <x v="6"/>
    <s v="PIL1/E/230/23-24"/>
    <d v="2023-06-12T00:00:00"/>
    <s v="SF"/>
    <s v="Tape Stock"/>
    <s v="PP Tapes"/>
    <s v="PP TAPE"/>
    <s v="PP Tapes"/>
    <n v="1258"/>
    <n v="130014.92899999999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1000 UV NW"/>
    <n v="1483.1"/>
    <n v="188995.88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3000 Denier UV NW"/>
    <n v="1948.5"/>
    <n v="248303.2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3000 Denier UV Deep Blue"/>
    <n v="423.4"/>
    <n v="55225.33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3000 Denier UV Black"/>
    <n v="563.20000000000005"/>
    <n v="73459.87"/>
  </r>
  <r>
    <x v="2"/>
    <s v="Plastene India Limited "/>
    <d v="2023-06-12T00:00:00"/>
    <s v="Plastene Polyfilms Ltd-Sales"/>
    <s v="Sales"/>
    <n v="344"/>
    <x v="1"/>
    <s v="PIL1/D/344"/>
    <d v="2023-06-12T00:00:00"/>
    <s v="SF"/>
    <s v="PP/PE Fabric"/>
    <s v="PP UL Fabric"/>
    <s v="PP WOVEN FABRIC (FG)"/>
    <s v="PP UL Fabric With UV"/>
    <n v="1002"/>
    <n v="115804.15"/>
  </r>
  <r>
    <x v="2"/>
    <s v="Plastene India Limited "/>
    <d v="2023-06-12T00:00:00"/>
    <s v="Plastene Polyfilms Ltd-Sales"/>
    <s v="Sales"/>
    <n v="344"/>
    <x v="1"/>
    <s v="PIL1/D/344"/>
    <d v="2023-06-12T00:00:00"/>
    <s v="SF"/>
    <s v="PP/PE Fabric"/>
    <s v="PP UL Fabric"/>
    <s v="PP WOVEN FABRIC (FG)"/>
    <s v="PP UL Fabric With UV"/>
    <n v="829"/>
    <n v="91665.02"/>
  </r>
  <r>
    <x v="2"/>
    <s v="Plastene India Limited "/>
    <d v="2023-06-12T00:00:00"/>
    <s v="Plastene Polyfilms Ltd-Sales"/>
    <s v="Sales"/>
    <n v="344"/>
    <x v="1"/>
    <s v="PIL1/D/344"/>
    <d v="2023-06-12T00:00:00"/>
    <s v="SF"/>
    <s v="Liners"/>
    <s v="LDPE/LLDPE Bags"/>
    <s v="LLDPE BAGS"/>
    <s v="LDPE/LLDPE Bags/Liner"/>
    <n v="177.8"/>
    <n v="21411.919999999998"/>
  </r>
  <r>
    <x v="2"/>
    <s v="Plastene India Limited "/>
    <d v="2023-06-12T00:00:00"/>
    <s v="Plastene Polyfilms Ltd-Sales"/>
    <s v="Sales"/>
    <n v="344"/>
    <x v="1"/>
    <s v="PIL1/D/344"/>
    <d v="2023-06-12T00:00:00"/>
    <s v="SF"/>
    <s v="PP/PE Fabric"/>
    <s v="HD UL Fabric"/>
    <s v="HDPE Fabrics"/>
    <s v="HD UL Fabric Without UV"/>
    <n v="2289"/>
    <n v="312173.82"/>
  </r>
  <r>
    <x v="2"/>
    <s v="Plastene India Limited "/>
    <d v="2023-06-12T00:00:00"/>
    <s v="Plastene Polyfilms Ltd-Sales"/>
    <s v="Sales"/>
    <n v="344"/>
    <x v="1"/>
    <s v="PIL1/D/344"/>
    <d v="2023-06-12T00:00:00"/>
    <s v="SF"/>
    <s v="Liners"/>
    <s v="LDPE/LLDPE Bags"/>
    <s v="LLDPE BAGS"/>
    <s v="LDPE/LLDPE Bags/Liner"/>
    <n v="1379"/>
    <n v="199164.83"/>
  </r>
  <r>
    <x v="2"/>
    <s v="Plastene India Limited "/>
    <d v="2023-06-12T00:00:00"/>
    <s v="Plastene Polyfilms Ltd-Sales"/>
    <s v="Sales"/>
    <n v="344"/>
    <x v="1"/>
    <s v="PIL1/D/344"/>
    <d v="2023-06-12T00:00:00"/>
    <s v="SF"/>
    <s v="Liners"/>
    <s v="LDPE/LLDPE Bags"/>
    <s v="LLDPE BAGS"/>
    <s v="LDPE/LLDPE Bags/Liner"/>
    <n v="604.4"/>
    <n v="75203.679999999993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Flat 840 MW"/>
    <n v="484.56"/>
    <n v="60779.81"/>
  </r>
  <r>
    <x v="2"/>
    <s v="Plastene India Limited "/>
    <d v="2023-06-12T00:00:00"/>
    <s v="Plastene Polyfilms Ltd-Sales"/>
    <s v="Sales"/>
    <n v="345"/>
    <x v="0"/>
    <s v="PIL1/D/345"/>
    <d v="2023-06-12T00:00:00"/>
    <s v="Stores/Spares"/>
    <s v="MS Structure Items"/>
    <s v="Spares &amp; Stores"/>
    <s v="Stores &amp; Consumables"/>
    <s v="MS Pipe 4  C Class"/>
    <n v="225"/>
    <n v="10800"/>
  </r>
  <r>
    <x v="2"/>
    <s v="Plastene India Limited "/>
    <d v="2023-06-13T00:00:00"/>
    <s v="K.P. Woven Pvt Ltd - Unit 3 -Sales"/>
    <s v="Export Sales"/>
    <s v="PIL1/E/232/23-24"/>
    <x v="6"/>
    <s v="PIL1/E/232/23-24"/>
    <d v="2023-06-13T00:00:00"/>
    <s v="SF"/>
    <s v="Liners"/>
    <s v="LDPE/LLDPE Bags"/>
    <s v="LLDPE BAGS"/>
    <s v="LDPE/LLDPE Bags/Liner"/>
    <n v="995.7"/>
    <n v="122205.12149999999"/>
  </r>
  <r>
    <x v="2"/>
    <s v="Plastene India Limited "/>
    <d v="2023-06-13T00:00:00"/>
    <s v="K.P. Woven Pvt Ltd - Unit 3 -Sales"/>
    <s v="Export Sales"/>
    <s v="PIL1/E/233/23-24"/>
    <x v="6"/>
    <s v="PIL1/E/233/23-24"/>
    <d v="2023-06-13T00:00:00"/>
    <s v="SF"/>
    <s v="Tape Stock"/>
    <s v="PP Tapes"/>
    <s v="PP TAPE"/>
    <s v="PP Tapes"/>
    <n v="2127"/>
    <n v="219826.92199999999"/>
  </r>
  <r>
    <x v="2"/>
    <s v="Plastene India Limited "/>
    <d v="2023-06-13T00:00:00"/>
    <s v="K.P. Woven Pvt Ltd-Sales"/>
    <s v="Sales"/>
    <n v="351"/>
    <x v="1"/>
    <s v="PIL1/D/351"/>
    <d v="2023-06-13T00:00:00"/>
    <s v="SF"/>
    <s v="PP/PE Fabric"/>
    <s v="PP Lam Fabric"/>
    <s v="PP Laminated Fabric"/>
    <s v="PP Lam Fabric With UV"/>
    <n v="1323"/>
    <n v="155549.07999999999"/>
  </r>
  <r>
    <x v="2"/>
    <s v="Plastene India Limited "/>
    <d v="2023-06-13T00:00:00"/>
    <s v="K.P. Woven Pvt Ltd-Sales"/>
    <s v="Sales"/>
    <n v="351"/>
    <x v="1"/>
    <s v="PIL1/D/351"/>
    <d v="2023-06-13T00:00:00"/>
    <s v="SF"/>
    <s v="PP/PE Fabric"/>
    <s v="PP UL Fabric"/>
    <s v="PP WOVEN FABRIC (FG)"/>
    <s v="PP UL Fabric With UV"/>
    <n v="2615"/>
    <n v="289148.39"/>
  </r>
  <r>
    <x v="2"/>
    <s v="Plastene India Limited "/>
    <d v="2023-06-13T00:00:00"/>
    <s v="K.P. Woven Pvt Ltd-Sales"/>
    <s v="Sales"/>
    <n v="351"/>
    <x v="1"/>
    <s v="PIL1/D/351"/>
    <d v="2023-06-13T00:00:00"/>
    <s v="SF"/>
    <s v="PP/PE Fabric"/>
    <s v="PP UL Fabric"/>
    <s v="PP WOVEN FABRIC (FG)"/>
    <s v="PP UL Fabric With UV"/>
    <n v="342"/>
    <n v="39525.97"/>
  </r>
  <r>
    <x v="2"/>
    <s v="Plastene India Limited "/>
    <d v="2023-06-13T00:00:00"/>
    <s v="K.P. Woven Pvt Ltd-Sales"/>
    <s v="Sales"/>
    <n v="351"/>
    <x v="1"/>
    <s v="PIL1/D/351"/>
    <d v="2023-06-13T00:00:00"/>
    <s v="SF"/>
    <s v="Yarn All"/>
    <s v="PP Yarn"/>
    <s v="PP Filament Yarn"/>
    <s v="PP MF Yarn Twisted 1000 UV NW"/>
    <n v="3907.7"/>
    <n v="497969.93"/>
  </r>
  <r>
    <x v="2"/>
    <s v="Plastene India Limited "/>
    <d v="2023-06-13T00:00:00"/>
    <s v="K.P. Woven Pvt Ltd-Sales"/>
    <s v="Sales"/>
    <n v="352"/>
    <x v="0"/>
    <s v="PIL1/D/352"/>
    <d v="2023-06-13T00:00:00"/>
    <s v="Stores/Spares"/>
    <s v="MS Structure Items"/>
    <s v="Spares &amp; Stores"/>
    <s v="Stores &amp; Consumables"/>
    <s v="MS Pipe 4  C Class"/>
    <n v="174"/>
    <n v="8352"/>
  </r>
  <r>
    <x v="2"/>
    <s v="Plastene India Limited "/>
    <d v="2023-06-13T00:00:00"/>
    <s v="Plastene Polyfilms Ltd-Sales"/>
    <s v="Sales"/>
    <n v="347"/>
    <x v="0"/>
    <s v="PIL1/D/347"/>
    <d v="2023-06-13T00:00:00"/>
    <s v="RM Consumables"/>
    <s v="RM Consumables"/>
    <s v="FIBC Accessories"/>
    <s v="Stores &amp; Consumables"/>
    <s v="Fabric Tape 80 mm * 50Mtrs Blue"/>
    <n v="170"/>
    <n v="32100"/>
  </r>
  <r>
    <x v="2"/>
    <s v="Plastene India Limited "/>
    <d v="2023-06-13T00:00:00"/>
    <s v="Plastene Polyfilms Ltd-Sales"/>
    <s v="Sales"/>
    <n v="348"/>
    <x v="1"/>
    <s v="PIL1/D/348"/>
    <d v="2023-06-13T00:00:00"/>
    <s v="SF"/>
    <s v="Webbing"/>
    <s v="PP Webbing"/>
    <s v="PP Webbing"/>
    <s v="Webbing"/>
    <n v="527.20000000000005"/>
    <n v="59348.49"/>
  </r>
  <r>
    <x v="2"/>
    <s v="Plastene India Limited "/>
    <d v="2023-06-13T00:00:00"/>
    <s v="Plastene Polyfilms Ltd-Sales"/>
    <s v="Sales"/>
    <n v="348"/>
    <x v="1"/>
    <s v="PIL1/D/348"/>
    <d v="2023-06-13T00:00:00"/>
    <s v="SF"/>
    <s v="PP/PE Fabric"/>
    <s v="PP UL Fabric"/>
    <s v="PP WOVEN FABRIC (FG)"/>
    <s v="PP UL Fabric With UV"/>
    <n v="509"/>
    <n v="58826.66"/>
  </r>
  <r>
    <x v="2"/>
    <s v="Plastene India Limited "/>
    <d v="2023-06-13T00:00:00"/>
    <s v="Plastene Polyfilms Ltd-Sales"/>
    <s v="Sales"/>
    <n v="349"/>
    <x v="0"/>
    <s v="PIL1/D/349"/>
    <d v="2023-06-13T00:00:00"/>
    <s v="Stores/Spares"/>
    <s v="MS Structure Items"/>
    <s v="Spares &amp; Stores"/>
    <s v="Stores &amp; Consumables"/>
    <s v="MS Pipe 4  C Class"/>
    <n v="24"/>
    <n v="1152"/>
  </r>
  <r>
    <x v="2"/>
    <s v="Plastene India Limited "/>
    <d v="2023-06-14T00:00:00"/>
    <s v="K.P. Woven Pvt Ltd - Unit 3 -Sales"/>
    <s v="SALES (FOREX)"/>
    <s v="PIL1/E/234/23-24"/>
    <x v="4"/>
    <s v="PIL1/E/234/23-24"/>
    <d v="2023-06-14T00:00:00"/>
    <s v="RM"/>
    <s v="Granules"/>
    <s v="Filler"/>
    <s v="FILLER - CACO3"/>
    <s v="Filler Everplus E102 PP"/>
    <n v="8700"/>
    <n v="250212"/>
  </r>
  <r>
    <x v="2"/>
    <s v="Plastene India Limited "/>
    <d v="2023-06-14T00:00:00"/>
    <s v="K.P. Woven Pvt Ltd - Unit 3 -Sales"/>
    <s v="Export Sales"/>
    <s v="PIL1/E/235/23-24"/>
    <x v="6"/>
    <s v="PIL1/E/235/23-24"/>
    <d v="2023-06-14T00:00:00"/>
    <s v="SF"/>
    <s v="Liners"/>
    <s v="LDPE/LLDPE Bags"/>
    <s v="LLDPE BAGS"/>
    <s v="LDPE/LLDPE Bags/Liner"/>
    <n v="1018.6"/>
    <n v="125015.3345"/>
  </r>
  <r>
    <x v="2"/>
    <s v="Plastene India Limited "/>
    <d v="2023-06-14T00:00:00"/>
    <s v="K.P. Woven Pvt Ltd - Unit 3 -Sales"/>
    <s v="Export Sales"/>
    <s v="PIL1/E/236/23-24"/>
    <x v="6"/>
    <s v="PIL1/E/236/23-24"/>
    <d v="2023-06-14T00:00:00"/>
    <s v="SF"/>
    <s v="Tape Stock"/>
    <s v="PP Tapes"/>
    <s v="PP TAPE"/>
    <s v="PP Tapes"/>
    <n v="2409"/>
    <n v="248970.94600000003"/>
  </r>
  <r>
    <x v="2"/>
    <s v="Plastene India Limited "/>
    <d v="2023-06-14T00:00:00"/>
    <s v="K.P. Woven Pvt Ltd-Sales"/>
    <s v="Sales"/>
    <n v="353"/>
    <x v="1"/>
    <s v="PIL1/D/353"/>
    <d v="2023-06-14T00:00:00"/>
    <s v="SF"/>
    <s v="PP/PE Fabric"/>
    <s v="PP UL Fabric"/>
    <s v="PP WOVEN FABRIC (FG)"/>
    <s v="PP UL Fabric With UV"/>
    <n v="3822"/>
    <n v="430254.01"/>
  </r>
  <r>
    <x v="2"/>
    <s v="Plastene India Limited "/>
    <d v="2023-06-14T00:00:00"/>
    <s v="K.P. Woven Pvt Ltd-Sales"/>
    <s v="Sales"/>
    <n v="353"/>
    <x v="1"/>
    <s v="PIL1/D/353"/>
    <d v="2023-06-14T00:00:00"/>
    <s v="SF"/>
    <s v="PP/PE Fabric"/>
    <s v="PP Lam Fabric"/>
    <s v="PP Laminated Fabric"/>
    <s v="PP Lam Fabric With UV"/>
    <n v="991"/>
    <n v="117010.34"/>
  </r>
  <r>
    <x v="2"/>
    <s v="Plastene India Limited "/>
    <d v="2023-06-14T00:00:00"/>
    <s v="Plastene Polyfilms Ltd-Sales"/>
    <s v="Sales"/>
    <n v="354"/>
    <x v="1"/>
    <s v="PIL1/D/354"/>
    <d v="2023-06-14T00:00:00"/>
    <s v="SF"/>
    <s v="PP/PE Fabric"/>
    <s v="PP UL Fabric"/>
    <s v="PP WOVEN FABRIC (FG)"/>
    <s v="PP UL Fabric With UV"/>
    <n v="829"/>
    <n v="91665.02"/>
  </r>
  <r>
    <x v="2"/>
    <s v="Plastene India Limited "/>
    <d v="2023-06-14T00:00:00"/>
    <s v="Plastene Polyfilms Ltd-Sales"/>
    <s v="Sales"/>
    <n v="354"/>
    <x v="1"/>
    <s v="PIL1/D/354"/>
    <d v="2023-06-14T00:00:00"/>
    <s v="SF"/>
    <s v="PP/PE Fabric"/>
    <s v="PP UL Fabric"/>
    <s v="PP WOVEN FABRIC (FG)"/>
    <s v="PP UL Fabric With UV"/>
    <n v="998"/>
    <n v="115341.85"/>
  </r>
  <r>
    <x v="2"/>
    <s v="Plastene India Limited "/>
    <d v="2023-06-14T00:00:00"/>
    <s v="Plastene Polyfilms Ltd-Sales"/>
    <s v="Sales"/>
    <n v="354"/>
    <x v="1"/>
    <s v="PIL1/D/354"/>
    <d v="2023-06-14T00:00:00"/>
    <s v="SF"/>
    <s v="Webbing"/>
    <s v="PP Webbing"/>
    <s v="PP Webbing"/>
    <s v="Webbing"/>
    <n v="250.6"/>
    <n v="28210.79"/>
  </r>
  <r>
    <x v="2"/>
    <s v="Plastene India Limited "/>
    <d v="2023-06-14T00:00:00"/>
    <s v="Plastene Polyfilms Ltd-Sales"/>
    <s v="Sales"/>
    <n v="355"/>
    <x v="0"/>
    <s v="PIL1/D/355"/>
    <d v="2023-06-14T00:00:00"/>
    <s v="Stores/Spares"/>
    <s v="MS Structure Items"/>
    <s v="Spares &amp; Stores"/>
    <s v="Stores &amp; Consumables"/>
    <s v="MS Pipe 4  C Class"/>
    <n v="95"/>
    <n v="4560"/>
  </r>
  <r>
    <x v="2"/>
    <s v="Plastene India Limited "/>
    <d v="2023-06-17T00:00:00"/>
    <s v="K.P. Woven Pvt Ltd-Sales"/>
    <s v="Sales"/>
    <n v="356"/>
    <x v="1"/>
    <s v="PIL1/D/356"/>
    <d v="2023-06-17T00:00:00"/>
    <s v="SF"/>
    <s v="PP/PE Fabric"/>
    <s v="PP UL Fabric"/>
    <s v="PP WOVEN FABRIC (FG)"/>
    <s v="PP UL Fabric With UV"/>
    <n v="4286"/>
    <n v="445276.83"/>
  </r>
  <r>
    <x v="2"/>
    <s v="Plastene India Limited "/>
    <d v="2023-06-17T00:00:00"/>
    <s v="K.P. Woven Pvt Ltd-Sales"/>
    <s v="Sales"/>
    <n v="356"/>
    <x v="1"/>
    <s v="PIL1/D/356"/>
    <d v="2023-06-17T00:00:00"/>
    <s v="SF"/>
    <s v="PP/PE Fabric"/>
    <s v="PP Lam Fabric"/>
    <s v="PP Laminated Fabric"/>
    <s v="PP Lam Fabric With UV"/>
    <n v="2986"/>
    <n v="326641.53000000003"/>
  </r>
  <r>
    <x v="2"/>
    <s v="Plastene India Limited "/>
    <d v="2023-06-20T00:00:00"/>
    <s v="Jain Bulk Pack - Sales"/>
    <s v="Sales"/>
    <n v="361"/>
    <x v="0"/>
    <s v="PIL1/D/361"/>
    <d v="2023-06-20T00:00:00"/>
    <s v="RM"/>
    <s v="Granules"/>
    <s v="HDPE Granules"/>
    <s v="HDPE Granuels"/>
    <s v="HDPE IOCL 010E52"/>
    <n v="24000"/>
    <n v="2480568"/>
  </r>
  <r>
    <x v="2"/>
    <s v="Plastene India Limited "/>
    <d v="2023-06-20T00:00:00"/>
    <s v="Jain Bulk Pack - Sales"/>
    <s v="Sales"/>
    <n v="362"/>
    <x v="0"/>
    <s v="PIL1/D/362"/>
    <d v="2023-06-20T00:00:00"/>
    <s v="RM"/>
    <s v="Granules"/>
    <s v="PP Granules"/>
    <s v="PP Granuels"/>
    <s v="PP IOCL 1030RG"/>
    <n v="21000"/>
    <n v="1838613"/>
  </r>
  <r>
    <x v="2"/>
    <s v="Plastene India Limited "/>
    <d v="2023-06-20T00:00:00"/>
    <s v="Jain Bulk Pack - Sales"/>
    <s v="Sales"/>
    <n v="363"/>
    <x v="0"/>
    <s v="PIL1/D/363"/>
    <d v="2023-06-20T00:00:00"/>
    <s v="RM"/>
    <s v="Granules"/>
    <s v="PP Granules"/>
    <s v="PP Granuels"/>
    <s v="PP IOCL 1350YG"/>
    <n v="21000"/>
    <n v="1928493"/>
  </r>
  <r>
    <x v="2"/>
    <s v="Plastene India Limited "/>
    <d v="2023-06-20T00:00:00"/>
    <s v="Jain Bulk Pack - Sales"/>
    <s v="Sales"/>
    <n v="364"/>
    <x v="0"/>
    <s v="PIL1/D/364"/>
    <d v="2023-06-20T00:00:00"/>
    <s v="RM"/>
    <s v="Granules"/>
    <s v="PP Granules"/>
    <s v="PP Granuels"/>
    <s v="PP IOCL P1XHF/P1XLF"/>
    <n v="12000"/>
    <n v="968076"/>
  </r>
  <r>
    <x v="2"/>
    <s v="Plastene India Limited "/>
    <d v="2023-06-20T00:00:00"/>
    <s v="Jain Bulk Pack - Sales"/>
    <s v="Sales"/>
    <n v="365"/>
    <x v="0"/>
    <s v="PIL1/D/365"/>
    <d v="2023-06-20T00:00:00"/>
    <s v="RM"/>
    <s v="Granules"/>
    <s v="PP Granules"/>
    <s v="PP Granuels"/>
    <s v="PP IOCL P1110MAS"/>
    <n v="22000"/>
    <n v="1898666"/>
  </r>
  <r>
    <x v="2"/>
    <s v="Plastene India Limited "/>
    <d v="2023-06-20T00:00:00"/>
    <s v="K.P. Woven Pvt Ltd - Unit 3 -Sales"/>
    <s v="Export Sales"/>
    <s v="PIL1/E/237/23-24"/>
    <x v="6"/>
    <s v="PIL1/E/237/23-24"/>
    <d v="2023-06-20T00:00:00"/>
    <s v="SF"/>
    <s v="PP/PE Fabric"/>
    <s v="PP UL Fabric"/>
    <s v="PP WOVEN FABRIC (FG)"/>
    <s v="PP UL Fabric With UV"/>
    <n v="2408"/>
    <n v="268862.63249999995"/>
  </r>
  <r>
    <x v="2"/>
    <s v="Plastene India Limited "/>
    <d v="2023-06-20T00:00:00"/>
    <s v="K.P. Woven Pvt Ltd - Unit 3 -Sales"/>
    <s v="Export Sales"/>
    <s v="PIL1/E/238/23-24"/>
    <x v="6"/>
    <s v="PIL1/E/238/23-24"/>
    <d v="2023-06-20T00:00:00"/>
    <s v="SF"/>
    <s v="PP/PE Fabric"/>
    <s v="PP Lam Fabric"/>
    <s v="PP Laminated Fabric"/>
    <s v="PP Lam Fabric With UV"/>
    <n v="1316"/>
    <n v="147621.27900000001"/>
  </r>
  <r>
    <x v="2"/>
    <s v="Plastene India Limited "/>
    <d v="2023-06-20T00:00:00"/>
    <s v="K.P. Woven Pvt Ltd - Unit 3 -Sales"/>
    <s v="Export Sales"/>
    <s v="PIL1/E/240/23-24"/>
    <x v="6"/>
    <s v="PIL1/E/240/23-24"/>
    <d v="2023-06-20T00:00:00"/>
    <s v="SF"/>
    <s v="Tape Stock"/>
    <s v="PP Tapes"/>
    <s v="PP TAPE"/>
    <s v="PP Tapes"/>
    <n v="3937.3"/>
    <n v="406921.55600000004"/>
  </r>
  <r>
    <x v="2"/>
    <s v="Plastene India Limited "/>
    <d v="2023-06-20T00:00:00"/>
    <s v="K.P. Woven Pvt Ltd - Unit 3 -Sales"/>
    <s v="Export Sales"/>
    <s v="PIL1/E/241/23-24"/>
    <x v="6"/>
    <s v="PIL1/E/241/23-24"/>
    <d v="2023-06-20T00:00:00"/>
    <s v="SF"/>
    <s v="PP/PE Fabric"/>
    <s v="PP UL Fabric"/>
    <s v="PP WOVEN FABRIC (FG)"/>
    <s v="PP UL Fabric With UV"/>
    <n v="3133.4"/>
    <n v="349856.54549999995"/>
  </r>
  <r>
    <x v="2"/>
    <s v="Plastene India Limited "/>
    <d v="2023-06-20T00:00:00"/>
    <s v="K.P. Woven Pvt Ltd-Sales"/>
    <s v="Sales"/>
    <n v="360"/>
    <x v="1"/>
    <s v="PIL1/D/360"/>
    <d v="2023-06-20T00:00:00"/>
    <s v="SF"/>
    <s v="PP/PE Fabric"/>
    <s v="PP Lam Fabric"/>
    <s v="PP Laminated Fabric"/>
    <s v="PP Lam Fabric With UV"/>
    <n v="5101"/>
    <n v="558003.49"/>
  </r>
  <r>
    <x v="2"/>
    <s v="Plastene India Limited "/>
    <d v="2023-06-20T00:00:00"/>
    <s v="K.P. Woven Pvt Ltd-Sales"/>
    <s v="Sales"/>
    <n v="360"/>
    <x v="1"/>
    <s v="PIL1/D/360"/>
    <d v="2023-06-20T00:00:00"/>
    <s v="SF"/>
    <s v="PP/PE Fabric"/>
    <s v="PP UL Fabric"/>
    <s v="PP WOVEN FABRIC (FG)"/>
    <s v="PP UL Fabric With UV"/>
    <n v="250"/>
    <n v="37972.75"/>
  </r>
  <r>
    <x v="2"/>
    <s v="Plastene India Limited "/>
    <d v="2023-06-20T00:00:00"/>
    <s v="Plastene Polyfilms Ltd-Sales"/>
    <s v="Sales"/>
    <n v="357"/>
    <x v="1"/>
    <s v="PIL1/D/357"/>
    <d v="2023-06-20T00:00:00"/>
    <s v="SF"/>
    <s v="Webbing"/>
    <s v="PP Webbing"/>
    <s v="PP Webbing"/>
    <s v="Webbing"/>
    <n v="52.4"/>
    <n v="5443.89"/>
  </r>
  <r>
    <x v="2"/>
    <s v="Plastene India Limited "/>
    <d v="2023-06-20T00:00:00"/>
    <s v="Plastene Polyfilms Ltd-Sales"/>
    <s v="Sales"/>
    <n v="357"/>
    <x v="1"/>
    <s v="PIL1/D/357"/>
    <d v="2023-06-20T00:00:00"/>
    <s v="SF"/>
    <s v="PP/PE Fabric"/>
    <s v="PP UL Fabric"/>
    <s v="PP WOVEN FABRIC (FG)"/>
    <s v="PP UL Fabric With UV"/>
    <n v="524"/>
    <n v="56010.879999999997"/>
  </r>
  <r>
    <x v="2"/>
    <s v="Plastene India Limited "/>
    <d v="2023-06-20T00:00:00"/>
    <s v="Plastene Polyfilms Ltd-Sales"/>
    <s v="Sales"/>
    <n v="357"/>
    <x v="1"/>
    <s v="PIL1/D/357"/>
    <d v="2023-06-20T00:00:00"/>
    <s v="SF"/>
    <s v="PP/PE Fabric"/>
    <s v="PP UL Fabric"/>
    <s v="PP WOVEN FABRIC (FG)"/>
    <s v="PP UL Fabric With UV"/>
    <n v="418"/>
    <n v="42590.44"/>
  </r>
  <r>
    <x v="2"/>
    <s v="Plastene India Limited "/>
    <d v="2023-06-20T00:00:00"/>
    <s v="Plastene Polyfilms Ltd-Sales"/>
    <s v="Sales"/>
    <n v="358"/>
    <x v="0"/>
    <s v="PIL1/D/358"/>
    <d v="2023-06-20T00:00:00"/>
    <s v="Stores/Spares"/>
    <s v="MS Structure Items"/>
    <s v="Spares &amp; Stores"/>
    <s v="Stores &amp; Consumables"/>
    <s v="MS Pipe 4  C Class"/>
    <n v="50"/>
    <n v="2400"/>
  </r>
  <r>
    <x v="2"/>
    <s v="Plastene India Limited "/>
    <d v="2023-06-20T00:00:00"/>
    <s v="Plastene Polyfilms Ltd-Sales"/>
    <s v="Sales"/>
    <n v="359"/>
    <x v="1"/>
    <s v="PIL1/D/359"/>
    <d v="2023-06-20T00:00:00"/>
    <s v="SF"/>
    <s v="PP/PE Fabric"/>
    <s v="PP Lam Fabric"/>
    <s v="PP Laminated Fabric"/>
    <s v="PP Lam Fabric With UV"/>
    <n v="2792"/>
    <n v="305419.67"/>
  </r>
  <r>
    <x v="2"/>
    <s v="Plastene India Limited "/>
    <d v="2023-06-20T00:00:00"/>
    <s v="Plastene Polyfilms Ltd-Sales"/>
    <s v="Sales"/>
    <n v="359"/>
    <x v="1"/>
    <s v="PIL1/D/359"/>
    <d v="2023-06-20T00:00:00"/>
    <s v="SF"/>
    <s v="PP/PE Fabric"/>
    <s v="PP UL Fabric"/>
    <s v="PP WOVEN FABRIC (FG)"/>
    <s v="PP UL Fabric With UV"/>
    <n v="286"/>
    <n v="29712.83"/>
  </r>
  <r>
    <x v="2"/>
    <s v="Plastene India Limited "/>
    <d v="2023-06-22T00:00:00"/>
    <s v="Jain Bulk Pack - Sales"/>
    <s v="Sales"/>
    <n v="369"/>
    <x v="0"/>
    <s v="PIL1/D/369"/>
    <d v="2023-06-22T00:00:00"/>
    <s v="RM"/>
    <s v="Granules"/>
    <s v="PP Granules"/>
    <s v="PP Granuels"/>
    <s v="PP IOCL 1110MAS"/>
    <n v="3000"/>
    <n v="258909"/>
  </r>
  <r>
    <x v="2"/>
    <s v="Plastene India Limited "/>
    <d v="2023-06-22T00:00:00"/>
    <s v="K.P. Woven Pvt Ltd - Unit 3 -Sales"/>
    <s v="Export Sales"/>
    <s v="PIL1/E/245/23-24"/>
    <x v="6"/>
    <s v="PIL1/E/245/23-24"/>
    <d v="2023-06-22T00:00:00"/>
    <s v="SF"/>
    <s v="Liners"/>
    <s v="LDPE/LLDPE Bags"/>
    <s v="LLDPE BAGS"/>
    <s v="LDPE/LLDPE Bags/Liner"/>
    <n v="1242.9000000000001"/>
    <n v="145107.37"/>
  </r>
  <r>
    <x v="2"/>
    <s v="Plastene India Limited "/>
    <d v="2023-06-22T00:00:00"/>
    <s v="K.P. Woven Pvt Ltd-Sales"/>
    <s v="Sales"/>
    <n v="368"/>
    <x v="1"/>
    <s v="PIL1/D/368"/>
    <d v="2023-06-22T00:00:00"/>
    <s v="SF"/>
    <s v="PP/PE Fabric"/>
    <s v="PP UL Fabric"/>
    <s v="PP WOVEN FABRIC (FG)"/>
    <s v="PP UL Fabric With UV"/>
    <n v="1688"/>
    <n v="256392.01"/>
  </r>
  <r>
    <x v="2"/>
    <s v="Plastene India Limited "/>
    <d v="2023-06-22T00:00:00"/>
    <s v="K.P. Woven Pvt Ltd-Sales"/>
    <s v="Sales"/>
    <n v="368"/>
    <x v="1"/>
    <s v="PIL1/D/368"/>
    <d v="2023-06-22T00:00:00"/>
    <s v="SF"/>
    <s v="PP/PE Fabric"/>
    <s v="PP UL Fabric"/>
    <s v="PP WOVEN FABRIC (FG)"/>
    <s v="PP UL Fabric With UV"/>
    <n v="1170"/>
    <n v="121552.47"/>
  </r>
  <r>
    <x v="2"/>
    <s v="Plastene India Limited "/>
    <d v="2023-06-22T00:00:00"/>
    <s v="K.P. Woven Pvt Ltd-Sales"/>
    <s v="Sales"/>
    <n v="368"/>
    <x v="1"/>
    <s v="PIL1/D/368"/>
    <d v="2023-06-22T00:00:00"/>
    <s v="SF"/>
    <s v="PP/PE Fabric"/>
    <s v="PP Lam Fabric"/>
    <s v="PP Laminated Fabric"/>
    <s v="PP Lam Fabric With UV"/>
    <n v="2822"/>
    <n v="308701.40000000002"/>
  </r>
  <r>
    <x v="2"/>
    <s v="Plastene India Limited "/>
    <d v="2023-06-22T00:00:00"/>
    <s v="Plastene Polyfilms Ltd-Sales"/>
    <s v="Sales"/>
    <n v="366"/>
    <x v="1"/>
    <s v="PIL1/D/366"/>
    <d v="2023-06-22T00:00:00"/>
    <s v="SF"/>
    <s v="PP/PE Fabric"/>
    <s v="PP UL Fabric"/>
    <s v="PP WOVEN FABRIC (FG)"/>
    <s v="PP UL Fabric With UV"/>
    <n v="1425"/>
    <n v="152319.67999999999"/>
  </r>
  <r>
    <x v="2"/>
    <s v="Plastene India Limited "/>
    <d v="2023-06-22T00:00:00"/>
    <s v="Plastene Polyfilms Ltd-Sales"/>
    <s v="Sales"/>
    <n v="366"/>
    <x v="1"/>
    <s v="PIL1/D/366"/>
    <d v="2023-06-22T00:00:00"/>
    <s v="SF"/>
    <s v="PP/PE Fabric"/>
    <s v="PP UL Fabric"/>
    <s v="PP WOVEN FABRIC (FG)"/>
    <s v="PP UL Fabric With UV"/>
    <n v="420"/>
    <n v="42794.22"/>
  </r>
  <r>
    <x v="2"/>
    <s v="Plastene India Limited "/>
    <d v="2023-06-22T00:00:00"/>
    <s v="Plastene Polyfilms Ltd-Sales"/>
    <s v="Sales"/>
    <n v="366"/>
    <x v="1"/>
    <s v="PIL1/D/366"/>
    <d v="2023-06-22T00:00:00"/>
    <s v="SF"/>
    <s v="Webbing"/>
    <s v="PP Webbing"/>
    <s v="PP Webbing"/>
    <s v="Webbing"/>
    <n v="106"/>
    <n v="11012.45"/>
  </r>
  <r>
    <x v="2"/>
    <s v="Plastene India Limited "/>
    <d v="2023-06-22T00:00:00"/>
    <s v="Plastene Polyfilms Ltd-Sales"/>
    <s v="Sales"/>
    <n v="366"/>
    <x v="1"/>
    <s v="PIL1/D/366"/>
    <d v="2023-06-22T00:00:00"/>
    <s v="SF"/>
    <s v="Yarn All"/>
    <s v="PP Yarn"/>
    <s v="PP Filament Yarn"/>
    <s v="PP Braided Rope MW 6 to 8 GPM"/>
    <n v="64.2"/>
    <n v="8265.8799999999992"/>
  </r>
  <r>
    <x v="2"/>
    <s v="Plastene India Limited "/>
    <d v="2023-06-22T00:00:00"/>
    <s v="Plastene Polyfilms Ltd-Sales"/>
    <s v="Sales"/>
    <n v="367"/>
    <x v="0"/>
    <s v="PIL1/D/367"/>
    <d v="2023-06-22T00:00:00"/>
    <s v="Stores/Spares"/>
    <s v="MS Structure Items"/>
    <s v="Spares &amp; Stores"/>
    <s v="Stores &amp; Consumables"/>
    <s v="MS Pipe 4  C Class"/>
    <n v="92"/>
    <n v="4416"/>
  </r>
  <r>
    <x v="2"/>
    <s v="Plastene India Limited "/>
    <d v="2023-06-23T00:00:00"/>
    <s v="K.P. Woven Pvt Ltd - Unit 3 -Sales"/>
    <s v="Export Sales"/>
    <s v="PIL1/E/247/23-24"/>
    <x v="6"/>
    <s v="PIL1/E/247/23-24"/>
    <d v="2023-06-23T00:00:00"/>
    <s v="SF"/>
    <s v="PP/PE Fabric"/>
    <s v="PP UL Fabric"/>
    <s v="PP WOVEN FABRIC (FG)"/>
    <s v="PP UL Fabric With UV"/>
    <n v="6423.5"/>
    <n v="717208.22250000003"/>
  </r>
  <r>
    <x v="2"/>
    <s v="Plastene India Limited "/>
    <d v="2023-06-23T00:00:00"/>
    <s v="K.P. Woven Pvt Ltd - Unit 3 -Sales"/>
    <s v="Export Sales"/>
    <s v="PIL1/E/248/23-24"/>
    <x v="6"/>
    <s v="PIL1/E/248/23-24"/>
    <d v="2023-06-23T00:00:00"/>
    <s v="SF"/>
    <s v="Liners"/>
    <s v="LDPE/LLDPE Bags"/>
    <s v="LLDPE BAGS"/>
    <s v="LDPE/LLDPE Bags/Liner"/>
    <n v="128.19999999999999"/>
    <n v="15734.257"/>
  </r>
  <r>
    <x v="2"/>
    <s v="Plastene India Limited "/>
    <d v="2023-06-23T00:00:00"/>
    <s v="K.P. Woven Pvt Ltd - Unit 3 -Sales"/>
    <s v="Export Sales"/>
    <s v="PIL1/E/249/23-24"/>
    <x v="6"/>
    <s v="PIL1/E/249/23-24"/>
    <d v="2023-06-23T00:00:00"/>
    <s v="SF"/>
    <s v="Liners"/>
    <s v="LDPE/LLDPE Bags"/>
    <s v="LLDPE BAGS"/>
    <s v="LDPE/LLDPE Bags/Liner"/>
    <n v="1031.2"/>
    <n v="120391.486"/>
  </r>
  <r>
    <x v="2"/>
    <s v="Plastene India Limited "/>
    <d v="2023-06-23T00:00:00"/>
    <s v="K.P. Woven Pvt Ltd - Unit 3 -Sales"/>
    <s v="Export Sales"/>
    <s v="PIL1/E/250/23-24"/>
    <x v="6"/>
    <s v="PIL1/E/250/23-24"/>
    <d v="2023-06-23T00:00:00"/>
    <s v="SF"/>
    <s v="PP/PE Fabric"/>
    <s v="PP UL Fabric"/>
    <s v="PP WOVEN FABRIC (FG)"/>
    <s v="PP UL Fabric With UV"/>
    <n v="530"/>
    <n v="59176.540499999988"/>
  </r>
  <r>
    <x v="2"/>
    <s v="Plastene India Limited "/>
    <d v="2023-06-23T00:00:00"/>
    <s v="K.P. Woven Pvt Ltd - Unit 3 -Sales"/>
    <s v="Export Sales"/>
    <s v="PIL1/E/251/23-24"/>
    <x v="6"/>
    <s v="PIL1/E/251/23-24"/>
    <d v="2023-06-23T00:00:00"/>
    <s v="SF"/>
    <s v="PP/PE Fabric"/>
    <s v="PP Lam Fabric"/>
    <s v="PP Laminated Fabric"/>
    <s v="PP Lam Fabric With UV"/>
    <n v="246"/>
    <n v="27594.992000000002"/>
  </r>
  <r>
    <x v="2"/>
    <s v="Plastene India Limited "/>
    <d v="2023-06-23T00:00:00"/>
    <s v="K.P. Woven Pvt Ltd - Unit 3 -Sales"/>
    <s v="Export Sales"/>
    <s v="PIL1/E/253/23-24"/>
    <x v="6"/>
    <s v="PIL1/E/253/23-24"/>
    <d v="2023-06-23T00:00:00"/>
    <s v="SF"/>
    <s v="PP/PE Fabric"/>
    <s v="PP Lam Fabric"/>
    <s v="PP Laminated Fabric"/>
    <s v="PP Lam Fabric With UV"/>
    <n v="3209"/>
    <n v="359966.93200000003"/>
  </r>
  <r>
    <x v="2"/>
    <s v="Plastene India Limited "/>
    <d v="2023-06-23T00:00:00"/>
    <s v="Plastene Polyfilms Ltd-Sales"/>
    <s v="Sales"/>
    <n v="370"/>
    <x v="1"/>
    <s v="PIL1/D/370"/>
    <d v="2023-06-23T00:00:00"/>
    <s v="SF"/>
    <s v="PP/PE Fabric"/>
    <s v="PP UL Fabric"/>
    <s v="PP WOVEN FABRIC (FG)"/>
    <s v="PP UL Fabric With UV"/>
    <n v="1234"/>
    <n v="131903.49"/>
  </r>
  <r>
    <x v="2"/>
    <s v="Plastene India Limited "/>
    <d v="2023-06-23T00:00:00"/>
    <s v="Plastene Polyfilms Ltd-Sales"/>
    <s v="Sales"/>
    <n v="371"/>
    <x v="0"/>
    <s v="PIL1/D/371"/>
    <d v="2023-06-23T00:00:00"/>
    <s v="Stores/Spares"/>
    <s v="MS Structure Items"/>
    <s v="Spares &amp; Stores"/>
    <s v="Stores &amp; Consumables"/>
    <s v="MS Pipe 4  C Class"/>
    <n v="49"/>
    <n v="2352"/>
  </r>
  <r>
    <x v="2"/>
    <s v="Plastene India Limited "/>
    <d v="2023-06-24T00:00:00"/>
    <s v="Jain Bulk Pack - Sales"/>
    <s v="Sales"/>
    <n v="378"/>
    <x v="0"/>
    <s v="PIL1/D/378"/>
    <d v="2023-06-24T00:00:00"/>
    <s v="RM"/>
    <s v="Granules"/>
    <s v="PP Granules"/>
    <s v="PP Granuels"/>
    <s v="PP IOCL P1XHF/P1XLF"/>
    <n v="22000"/>
    <n v="1774806"/>
  </r>
  <r>
    <x v="2"/>
    <s v="Plastene India Limited "/>
    <d v="2023-06-24T00:00:00"/>
    <s v="K.P. Woven Pvt Ltd - Unit 3 -Sales"/>
    <s v="Export Sales"/>
    <s v="PIL1/E/256/23-24"/>
    <x v="6"/>
    <s v="PIL1/E/256/23-24"/>
    <d v="2023-06-24T00:00:00"/>
    <s v="SF"/>
    <s v="Liners"/>
    <s v="LDPE/LLDPE Bags"/>
    <s v="LLDPE BAGS"/>
    <s v="LDPE/LLDPE Bags/Liner"/>
    <n v="1106.8"/>
    <n v="129218.35399999999"/>
  </r>
  <r>
    <x v="2"/>
    <s v="Plastene India Limited "/>
    <d v="2023-06-24T00:00:00"/>
    <s v="K.P. Woven Pvt Ltd - Unit 3 -Sales"/>
    <s v="Export Sales"/>
    <s v="PIL1/E/257/23-24"/>
    <x v="6"/>
    <s v="PIL1/E/257/23-24"/>
    <d v="2023-06-24T00:00:00"/>
    <s v="SF"/>
    <s v="PP/PE Fabric"/>
    <s v="PP Lam Fabric"/>
    <s v="PP Laminated Fabric"/>
    <s v="PP Lam Fabric With UV"/>
    <n v="4268"/>
    <n v="478758.73200000002"/>
  </r>
  <r>
    <x v="2"/>
    <s v="Plastene India Limited "/>
    <d v="2023-06-24T00:00:00"/>
    <s v="K.P. Woven Pvt Ltd - Unit 3 -Sales"/>
    <s v="Export Sales"/>
    <s v="PIL1/E/258/23-24"/>
    <x v="6"/>
    <s v="PIL1/E/258/23-24"/>
    <d v="2023-06-24T00:00:00"/>
    <s v="SF"/>
    <s v="PP/PE Fabric"/>
    <s v="PP UL Fabric"/>
    <s v="PP WOVEN FABRIC (FG)"/>
    <s v="PP UL Fabric With UV"/>
    <n v="819.4"/>
    <n v="91489.051499999987"/>
  </r>
  <r>
    <x v="2"/>
    <s v="Plastene India Limited "/>
    <d v="2023-06-24T00:00:00"/>
    <s v="K.P. Woven Pvt Ltd - Unit 3 -Sales"/>
    <s v="Export Sales"/>
    <s v="PIL1/E/259/23-24"/>
    <x v="6"/>
    <s v="PIL1/E/259/23-24"/>
    <d v="2023-06-24T00:00:00"/>
    <s v="SF"/>
    <s v="PP/PE Fabric"/>
    <s v="PP Lam Fabric"/>
    <s v="PP Laminated Fabric"/>
    <s v="PP Lam Fabric With UV"/>
    <n v="305"/>
    <n v="34212.692000000003"/>
  </r>
  <r>
    <x v="2"/>
    <s v="Plastene India Limited "/>
    <d v="2023-06-24T00:00:00"/>
    <s v="K.P. Woven Pvt Ltd-Sales"/>
    <s v="Sales"/>
    <n v="372"/>
    <x v="1"/>
    <s v="PIL1/D/372"/>
    <d v="2023-06-24T00:00:00"/>
    <s v="SF"/>
    <s v="PP/PE Fabric"/>
    <s v="PP UL Fabric"/>
    <s v="PP WOVEN FABRIC (FG)"/>
    <s v="PP UL Fabric With UV"/>
    <n v="119"/>
    <n v="18075.03"/>
  </r>
  <r>
    <x v="2"/>
    <s v="Plastene India Limited "/>
    <d v="2023-06-24T00:00:00"/>
    <s v="K.P. Woven Pvt Ltd-Sales"/>
    <s v="Sales"/>
    <n v="372"/>
    <x v="1"/>
    <s v="PIL1/D/372"/>
    <d v="2023-06-24T00:00:00"/>
    <s v="SF"/>
    <s v="PP/PE Fabric"/>
    <s v="PP UL Fabric"/>
    <s v="PP WOVEN FABRIC (FG)"/>
    <s v="PP UL Fabric With UV"/>
    <n v="1877"/>
    <n v="195003.41"/>
  </r>
  <r>
    <x v="2"/>
    <s v="Plastene India Limited "/>
    <d v="2023-06-24T00:00:00"/>
    <s v="K.P. Woven Pvt Ltd-Sales"/>
    <s v="Sales"/>
    <n v="376"/>
    <x v="1"/>
    <s v="PIL1/D/376"/>
    <d v="2023-06-24T00:00:00"/>
    <s v="SF"/>
    <s v="Liners"/>
    <s v="LDPE/LLDPE Bags"/>
    <s v="LLDPE BAGS"/>
    <s v="LDPE/LLDPE Bags/Liner"/>
    <n v="6.2"/>
    <n v="709.83"/>
  </r>
  <r>
    <x v="2"/>
    <s v="Plastene India Limited "/>
    <d v="2023-06-24T00:00:00"/>
    <s v="K.P. Woven Pvt Ltd-Sales"/>
    <s v="Sales"/>
    <n v="376"/>
    <x v="1"/>
    <s v="PIL1/D/376"/>
    <d v="2023-06-24T00:00:00"/>
    <s v="SF"/>
    <s v="PP/PE Fabric"/>
    <s v="PP Lam Fabric"/>
    <s v="PP Laminated Fabric"/>
    <s v="PP Lam Fabric With UV"/>
    <n v="1400"/>
    <n v="152447.4"/>
  </r>
  <r>
    <x v="2"/>
    <s v="Plastene India Limited "/>
    <d v="2023-06-24T00:00:00"/>
    <s v="K.P. Woven Pvt Ltd-Sales"/>
    <s v="Sales"/>
    <n v="376"/>
    <x v="1"/>
    <s v="PIL1/D/376"/>
    <d v="2023-06-24T00:00:00"/>
    <s v="SF"/>
    <s v="Yarn All"/>
    <s v="PP Yarn"/>
    <s v="PP Filament Yarn"/>
    <s v="PP MF Yarn Twisted 1000 UV NW"/>
    <n v="2468.8000000000002"/>
    <n v="293174.94"/>
  </r>
  <r>
    <x v="2"/>
    <s v="Plastene India Limited "/>
    <d v="2023-06-24T00:00:00"/>
    <s v="K.P. Woven Pvt Ltd-Sales"/>
    <s v="Sales"/>
    <n v="377"/>
    <x v="0"/>
    <s v="PIL1/D/377"/>
    <d v="2023-06-24T00:00:00"/>
    <s v="Stores/Spares"/>
    <s v="MS Structure Items"/>
    <s v="Spares &amp; Stores"/>
    <s v="Stores &amp; Consumables"/>
    <s v="MS Pipe 4  C Class"/>
    <n v="40"/>
    <n v="1920"/>
  </r>
  <r>
    <x v="2"/>
    <s v="Plastene India Limited "/>
    <d v="2023-06-24T00:00:00"/>
    <s v="Plastene Polyfilms Ltd-Sales"/>
    <s v="Sales"/>
    <n v="374"/>
    <x v="1"/>
    <s v="PIL1/D/374"/>
    <d v="2023-06-24T00:00:00"/>
    <s v="SF"/>
    <s v="PP/PE Fabric"/>
    <s v="PP UL Fabric"/>
    <s v="PP WOVEN FABRIC (FG)"/>
    <s v="PP UL Fabric With UV"/>
    <n v="828"/>
    <n v="84365.75"/>
  </r>
  <r>
    <x v="2"/>
    <s v="Plastene India Limited "/>
    <d v="2023-06-24T00:00:00"/>
    <s v="Plastene Polyfilms Ltd-Sales"/>
    <s v="Sales"/>
    <n v="374"/>
    <x v="1"/>
    <s v="PIL1/D/374"/>
    <d v="2023-06-24T00:00:00"/>
    <s v="SF"/>
    <s v="Liners"/>
    <s v="LDPE/LLDPE Bags"/>
    <s v="LLDPE BAGS"/>
    <s v="LDPE/LLDPE Bags/Liner"/>
    <n v="1458"/>
    <n v="172756.96"/>
  </r>
  <r>
    <x v="2"/>
    <s v="Plastene India Limited "/>
    <d v="2023-06-24T00:00:00"/>
    <s v="Plastene Polyfilms Ltd-Sales"/>
    <s v="Sales"/>
    <n v="374"/>
    <x v="1"/>
    <s v="PIL1/D/374"/>
    <d v="2023-06-24T00:00:00"/>
    <s v="SF"/>
    <s v="Yarn All"/>
    <s v="PP Yarn"/>
    <s v="PP Filament Yarn"/>
    <s v="PP Braided Rope MW 6 to 8 GPM"/>
    <n v="98.2"/>
    <n v="12643.45"/>
  </r>
  <r>
    <x v="2"/>
    <s v="Plastene India Limited "/>
    <d v="2023-06-24T00:00:00"/>
    <s v="Plastene Polyfilms Ltd-Sales"/>
    <s v="Sales"/>
    <n v="374"/>
    <x v="1"/>
    <s v="PIL1/D/374"/>
    <d v="2023-06-24T00:00:00"/>
    <s v="SF"/>
    <s v="Webbing"/>
    <s v="PP Webbing"/>
    <s v="PP Webbing"/>
    <s v="Webbing"/>
    <n v="39.700000000000003"/>
    <n v="4124.47"/>
  </r>
  <r>
    <x v="2"/>
    <s v="Plastene India Limited "/>
    <d v="2023-06-24T00:00:00"/>
    <s v="Plastene Polyfilms Ltd-Sales"/>
    <s v="Sales"/>
    <n v="375"/>
    <x v="0"/>
    <s v="PIL1/D/375"/>
    <d v="2023-06-24T00:00:00"/>
    <s v="Stores/Spares"/>
    <s v="MS Structure Items"/>
    <s v="Spares &amp; Stores"/>
    <s v="Stores &amp; Consumables"/>
    <s v="MS Pipe 4  C Class"/>
    <n v="44"/>
    <n v="2112"/>
  </r>
  <r>
    <x v="2"/>
    <s v="Plastene India Limited "/>
    <d v="2023-06-25T00:00:00"/>
    <s v="K.P. Woven Pvt Ltd - Unit 3 -Sales"/>
    <s v="Export Sales"/>
    <s v="PIL1/E/260/23-24"/>
    <x v="6"/>
    <s v="PIL1/E/260/23-24"/>
    <d v="2023-06-25T00:00:00"/>
    <s v="SF"/>
    <s v="PP/PE Fabric"/>
    <s v="PP UL Fabric"/>
    <s v="PP WOVEN FABRIC (FG)"/>
    <s v="PP UL Fabric With UV"/>
    <n v="4036.8"/>
    <n v="450724.19699999993"/>
  </r>
  <r>
    <x v="2"/>
    <s v="Plastene India Limited "/>
    <d v="2023-06-25T00:00:00"/>
    <s v="K.P. Woven Pvt Ltd - Unit 3 -Sales"/>
    <s v="Export Sales"/>
    <s v="PIL1/E/261/23-24"/>
    <x v="6"/>
    <s v="PIL1/E/261/23-24"/>
    <d v="2023-06-25T00:00:00"/>
    <s v="SF"/>
    <s v="PP/PE Fabric"/>
    <s v="PP UL Fabric"/>
    <s v="PP WOVEN FABRIC (FG)"/>
    <s v="PP UL Fabric With UV"/>
    <n v="1872.2"/>
    <n v="203629.62549999999"/>
  </r>
  <r>
    <x v="2"/>
    <s v="Plastene India Limited "/>
    <d v="2023-06-25T00:00:00"/>
    <s v="Plastene Polyfilms Ltd-Sales"/>
    <s v="Sales"/>
    <n v="379"/>
    <x v="1"/>
    <s v="PIL1/D/379"/>
    <d v="2023-06-25T00:00:00"/>
    <s v="SF"/>
    <s v="Yarn All"/>
    <s v="PP Yarn"/>
    <s v="PP Filament Yarn"/>
    <s v="PP Braided Rope MW 6 to 8 GPM"/>
    <n v="28.3"/>
    <n v="3643.68"/>
  </r>
  <r>
    <x v="2"/>
    <s v="Plastene India Limited "/>
    <d v="2023-06-25T00:00:00"/>
    <s v="Plastene Polyfilms Ltd-Sales"/>
    <s v="Sales"/>
    <n v="379"/>
    <x v="1"/>
    <s v="PIL1/D/379"/>
    <d v="2023-06-25T00:00:00"/>
    <s v="SF"/>
    <s v="PP/PE Fabric"/>
    <s v="PP Lam Fabric"/>
    <s v="PP Laminated Fabric"/>
    <s v="PP Lam Fabric With UV"/>
    <n v="2210"/>
    <n v="247279.11"/>
  </r>
  <r>
    <x v="2"/>
    <s v="Plastene India Limited "/>
    <d v="2023-06-25T00:00:00"/>
    <s v="Plastene Polyfilms Ltd-Sales"/>
    <s v="Sales"/>
    <n v="379"/>
    <x v="1"/>
    <s v="PIL1/D/379"/>
    <d v="2023-06-25T00:00:00"/>
    <s v="SF"/>
    <s v="Webbing"/>
    <s v="PP Webbing"/>
    <s v="PP Webbing"/>
    <s v="Webbing"/>
    <n v="60.8"/>
    <n v="6316.57"/>
  </r>
  <r>
    <x v="2"/>
    <s v="Plastene India Limited "/>
    <d v="2023-06-25T00:00:00"/>
    <s v="Plastene Polyfilms Ltd-Sales"/>
    <s v="Sales"/>
    <n v="379"/>
    <x v="1"/>
    <s v="PIL1/D/379"/>
    <d v="2023-06-25T00:00:00"/>
    <s v="SF"/>
    <s v="PP/PE Fabric"/>
    <s v="PP UL Fabric"/>
    <s v="PP WOVEN FABRIC (FG)"/>
    <s v="PP UL Fabric With UV"/>
    <n v="626"/>
    <n v="63783.77"/>
  </r>
  <r>
    <x v="2"/>
    <s v="Plastene India Limited "/>
    <d v="2023-06-25T00:00:00"/>
    <s v="Plastene Polyfilms Ltd-Sales"/>
    <s v="Sales"/>
    <n v="379"/>
    <x v="1"/>
    <s v="PIL1/D/379"/>
    <d v="2023-06-25T00:00:00"/>
    <s v="SF"/>
    <s v="PP/PE Fabric"/>
    <s v="PP UL Fabric"/>
    <s v="PP WOVEN FABRIC (FG)"/>
    <s v="PP UL Fabric With UV"/>
    <n v="1379"/>
    <n v="147402.69"/>
  </r>
  <r>
    <x v="2"/>
    <s v="Plastene India Limited "/>
    <d v="2023-06-25T00:00:00"/>
    <s v="Plastene Polyfilms Ltd-Sales"/>
    <s v="Sales"/>
    <n v="379"/>
    <x v="1"/>
    <s v="PIL1/D/379"/>
    <d v="2023-06-25T00:00:00"/>
    <s v="SF"/>
    <s v="Liners"/>
    <s v="LDPE/LLDPE Bags"/>
    <s v="LLDPE BAGS"/>
    <s v="LDPE/LLDPE Bags/Liner"/>
    <n v="56.7"/>
    <n v="6491.53"/>
  </r>
  <r>
    <x v="2"/>
    <s v="Plastene India Limited "/>
    <d v="2023-06-25T00:00:00"/>
    <s v="Plastene Polyfilms Ltd-Sales"/>
    <s v="Sales"/>
    <n v="380"/>
    <x v="0"/>
    <s v="PIL1/D/380"/>
    <d v="2023-06-25T00:00:00"/>
    <s v="Stores/Spares"/>
    <s v="MS Structure Items"/>
    <s v="Spares &amp; Stores"/>
    <s v="Stores &amp; Consumables"/>
    <s v="MS Pipe 4  C Class"/>
    <n v="190"/>
    <n v="9120"/>
  </r>
  <r>
    <x v="2"/>
    <s v="Plastene India Limited "/>
    <d v="2023-06-25T00:00:00"/>
    <s v="Plastene Polyfilms Ltd-Sales"/>
    <s v="Sales"/>
    <n v="381"/>
    <x v="1"/>
    <s v="PIL1/D/381"/>
    <d v="2023-06-25T00:00:00"/>
    <s v="SF"/>
    <s v="PP/PE Fabric"/>
    <s v="PP UL Fabric"/>
    <s v="PP WOVEN FABRIC (FG)"/>
    <s v="PP UL Fabric With UV"/>
    <n v="2408"/>
    <n v="250169.53"/>
  </r>
  <r>
    <x v="2"/>
    <s v="Plastene India Limited "/>
    <d v="2023-06-25T00:00:00"/>
    <s v="Plastene Polyfilms Ltd-Sales"/>
    <s v="Sales"/>
    <n v="381"/>
    <x v="1"/>
    <s v="PIL1/D/381"/>
    <d v="2023-06-25T00:00:00"/>
    <s v="SF"/>
    <s v="PP/PE Fabric"/>
    <s v="PP Lam Fabric"/>
    <s v="PP Laminated Fabric"/>
    <s v="PP Lam Fabric With UV"/>
    <n v="502"/>
    <n v="56420.28"/>
  </r>
  <r>
    <x v="2"/>
    <s v="Plastene India Limited "/>
    <d v="2023-06-25T00:00:00"/>
    <s v="Plastene Polyfilms Ltd-Sales"/>
    <s v="Sales"/>
    <n v="381"/>
    <x v="1"/>
    <s v="PIL1/D/381"/>
    <d v="2023-06-25T00:00:00"/>
    <s v="SF"/>
    <s v="PP/PE Fabric"/>
    <s v="PP Lam Fabric"/>
    <s v="PP Laminated Fabric"/>
    <s v="PP Lam Fabric With UV"/>
    <n v="59"/>
    <n v="6454.07"/>
  </r>
  <r>
    <x v="2"/>
    <s v="Plastene India Limited "/>
    <d v="2023-06-26T00:00:00"/>
    <s v="K.P. Woven Pvt Ltd - Unit 3 -Sales"/>
    <s v="Export Sales"/>
    <s v="PIL1/E/262/23-24"/>
    <x v="6"/>
    <s v="PIL1/E/262/23-24"/>
    <d v="2023-06-26T00:00:00"/>
    <s v="SF"/>
    <s v="Liners"/>
    <s v="LDPE/LLDPE Bags"/>
    <s v="LLDPE BAGS"/>
    <s v="LDPE/LLDPE Bags/Liner"/>
    <n v="6316.1"/>
    <n v="737400.50699999998"/>
  </r>
  <r>
    <x v="2"/>
    <s v="Plastene India Limited "/>
    <d v="2023-06-26T00:00:00"/>
    <s v="K.P. Woven Pvt Ltd - Unit 3 -Sales"/>
    <s v="Export Sales"/>
    <s v="PIL1/E/263/23-24"/>
    <x v="6"/>
    <s v="PIL1/E/263/23-24"/>
    <d v="2023-06-26T00:00:00"/>
    <s v="SF"/>
    <s v="PP/PE Fabric"/>
    <s v="PP Lam Fabric"/>
    <s v="PP Laminated Fabric"/>
    <s v="PP Lam Fabric With UV"/>
    <n v="1486"/>
    <n v="166690.87599999999"/>
  </r>
  <r>
    <x v="2"/>
    <s v="Plastene India Limited "/>
    <d v="2023-06-26T00:00:00"/>
    <s v="K.P. Woven Pvt Ltd-Sales"/>
    <s v="Sales"/>
    <n v="382"/>
    <x v="1"/>
    <s v="PIL1/D/382"/>
    <d v="2023-06-26T00:00:00"/>
    <s v="SF"/>
    <s v="Yarn All"/>
    <s v="PP Yarn"/>
    <s v="PP Filament Yarn"/>
    <s v="PP MF Yarn Twisted 3000 Denier Red"/>
    <n v="1441.8"/>
    <n v="176707.01"/>
  </r>
  <r>
    <x v="2"/>
    <s v="Plastene India Limited "/>
    <d v="2023-06-26T00:00:00"/>
    <s v="Plastene Polyfilms Ltd-Sales"/>
    <s v="Sales"/>
    <n v="383"/>
    <x v="1"/>
    <s v="PIL1/D/383"/>
    <d v="2023-06-26T00:00:00"/>
    <s v="SF"/>
    <s v="PP/PE Fabric"/>
    <s v="PP Lam Fabric"/>
    <s v="PP Laminated Fabric"/>
    <s v="PP Lam Fabric With UV"/>
    <n v="827"/>
    <n v="88398.86"/>
  </r>
  <r>
    <x v="2"/>
    <s v="Plastene India Limited "/>
    <d v="2023-06-26T00:00:00"/>
    <s v="Plastene Polyfilms Ltd-Sales"/>
    <s v="Sales"/>
    <n v="383"/>
    <x v="1"/>
    <s v="PIL1/D/383"/>
    <d v="2023-06-26T00:00:00"/>
    <s v="SF"/>
    <s v="Webbing"/>
    <s v="PP Webbing"/>
    <s v="PP Webbing"/>
    <s v="Webbing"/>
    <n v="65.400000000000006"/>
    <n v="6794.47"/>
  </r>
  <r>
    <x v="2"/>
    <s v="Plastene India Limited "/>
    <d v="2023-06-26T00:00:00"/>
    <s v="Plastene Polyfilms Ltd-Sales"/>
    <s v="Sales"/>
    <n v="383"/>
    <x v="1"/>
    <s v="PIL1/D/383"/>
    <d v="2023-06-26T00:00:00"/>
    <s v="SF"/>
    <s v="PP/PE Fabric"/>
    <s v="PP UL Fabric"/>
    <s v="PP WOVEN FABRIC (FG)"/>
    <s v="PP UL Fabric With UV"/>
    <n v="1887"/>
    <n v="201703.32"/>
  </r>
  <r>
    <x v="2"/>
    <s v="Plastene India Limited "/>
    <d v="2023-06-26T00:00:00"/>
    <s v="Plastene Polyfilms Ltd-Sales"/>
    <s v="Sales"/>
    <n v="383"/>
    <x v="1"/>
    <s v="PIL1/D/383"/>
    <d v="2023-06-26T00:00:00"/>
    <s v="SF"/>
    <s v="PP/PE Fabric"/>
    <s v="PP UL Fabric"/>
    <s v="PP WOVEN FABRIC (FG)"/>
    <s v="PP UL Fabric With UV"/>
    <n v="687"/>
    <n v="69999.12"/>
  </r>
  <r>
    <x v="2"/>
    <s v="Plastene India Limited "/>
    <d v="2023-06-26T00:00:00"/>
    <s v="Plastene Polyfilms Ltd-Sales"/>
    <s v="Sales"/>
    <n v="384"/>
    <x v="0"/>
    <s v="PIL1/D/384"/>
    <d v="2023-06-26T00:00:00"/>
    <s v="Stores/Spares"/>
    <s v="MS Structure Items"/>
    <s v="Spares &amp; Stores"/>
    <s v="Stores &amp; Consumables"/>
    <s v="MS Pipe 4  C Class"/>
    <n v="144"/>
    <n v="6912"/>
  </r>
  <r>
    <x v="2"/>
    <s v="Plastene India Limited "/>
    <d v="2023-06-26T00:00:00"/>
    <s v="Plastene Polyfilms Ltd-Sales"/>
    <s v="Sales"/>
    <n v="385"/>
    <x v="0"/>
    <s v="PIL1/D/385"/>
    <d v="2023-06-26T00:00:00"/>
    <s v="RM"/>
    <s v="Granules"/>
    <s v="Masterbatch"/>
    <s v="Master Batch"/>
    <s v="MB Karnavati Ambuja Yellow"/>
    <n v="2"/>
    <n v="370"/>
  </r>
  <r>
    <x v="2"/>
    <s v="Plastene India Limited "/>
    <d v="2023-06-26T00:00:00"/>
    <s v="Plastene Polyfilms Ltd-Sales"/>
    <s v="Sales"/>
    <n v="386"/>
    <x v="0"/>
    <s v="PIL1/D/386"/>
    <d v="2023-06-26T00:00:00"/>
    <s v="RM"/>
    <s v="Granules"/>
    <s v="Masterbatch"/>
    <s v="Master Batch"/>
    <s v="MB Karnavati Ambuja Yellow"/>
    <n v="12.2"/>
    <n v="2257"/>
  </r>
  <r>
    <x v="2"/>
    <s v="Plastene India Limited "/>
    <d v="2023-06-27T00:00:00"/>
    <s v="K.P. Woven Pvt Ltd - Unit 3 -Sales"/>
    <s v="Export Sales"/>
    <s v="PIL1/E/265/23-24"/>
    <x v="6"/>
    <s v="PIL1/E/265/23-24"/>
    <d v="2023-06-27T00:00:00"/>
    <s v="SF"/>
    <s v="PP/PE Fabric"/>
    <s v="PP Lam Fabric"/>
    <s v="PP Laminated Fabric"/>
    <s v="PP Lam Fabric With UV"/>
    <n v="1326"/>
    <n v="148743.01999999999"/>
  </r>
  <r>
    <x v="2"/>
    <s v="Plastene India Limited "/>
    <d v="2023-06-27T00:00:00"/>
    <s v="K.P. Woven Pvt Ltd - Unit 3 -Sales"/>
    <s v="Export Sales"/>
    <s v="PIL1/E/266/23-24"/>
    <x v="6"/>
    <s v="PIL1/E/266/23-24"/>
    <d v="2023-06-27T00:00:00"/>
    <s v="SF"/>
    <s v="PP/PE Fabric"/>
    <s v="PP UL Fabric"/>
    <s v="PP WOVEN FABRIC (FG)"/>
    <s v="PP UL Fabric With UV"/>
    <n v="244"/>
    <n v="26538.8105"/>
  </r>
  <r>
    <x v="2"/>
    <s v="Plastene India Limited "/>
    <d v="2023-06-27T00:00:00"/>
    <s v="K.P. Woven Pvt Ltd-Sales"/>
    <s v="Sales"/>
    <n v="387"/>
    <x v="1"/>
    <s v="PIL1/D/387"/>
    <d v="2023-06-27T00:00:00"/>
    <s v="SF"/>
    <s v="PP/PE Fabric"/>
    <s v="PP Lam Fabric"/>
    <s v="PP Laminated Fabric"/>
    <s v="PP Lam Fabric With UV"/>
    <n v="1196"/>
    <n v="130831.64"/>
  </r>
  <r>
    <x v="2"/>
    <s v="Plastene India Limited "/>
    <d v="2023-06-27T00:00:00"/>
    <s v="K.P. Woven Pvt Ltd-Sales"/>
    <s v="Sales"/>
    <n v="387"/>
    <x v="1"/>
    <s v="PIL1/D/387"/>
    <d v="2023-06-27T00:00:00"/>
    <s v="SF"/>
    <s v="PP/PE Fabric"/>
    <s v="PP UL Fabric"/>
    <s v="PP WOVEN FABRIC (FG)"/>
    <s v="PP UL Fabric With UV"/>
    <n v="4110"/>
    <n v="426992.01"/>
  </r>
  <r>
    <x v="2"/>
    <s v="Plastene India Limited "/>
    <d v="2023-06-27T00:00:00"/>
    <s v="K.P. Woven Pvt Ltd-Sales"/>
    <s v="Sales"/>
    <n v="390"/>
    <x v="1"/>
    <s v="PIL1/D/390"/>
    <d v="2023-06-27T00:00:00"/>
    <s v="SF"/>
    <s v="PP/PE Fabric"/>
    <s v="PP Lam Fabric"/>
    <s v="PP Laminated Fabric"/>
    <s v="PP Lam Fabric With UV"/>
    <n v="1486"/>
    <n v="161812.03"/>
  </r>
  <r>
    <x v="2"/>
    <s v="Plastene India Limited "/>
    <d v="2023-06-27T00:00:00"/>
    <s v="K.P. Woven Pvt Ltd-Sales"/>
    <s v="Sales"/>
    <n v="391"/>
    <x v="0"/>
    <s v="PIL1/D/391"/>
    <d v="2023-06-27T00:00:00"/>
    <s v="Stores/Spares"/>
    <s v="MS Structure Items"/>
    <s v="Spares &amp; Stores"/>
    <s v="Stores &amp; Consumables"/>
    <s v="MS Pipe 4  C Class"/>
    <n v="62"/>
    <n v="2976"/>
  </r>
  <r>
    <x v="2"/>
    <s v="Plastene India Limited "/>
    <d v="2023-06-27T00:00:00"/>
    <s v="K.P. Woven Pvt Ltd-Sales"/>
    <s v="SALES (FOREX)"/>
    <s v="PIL1/DE/18/23-24"/>
    <x v="1"/>
    <s v="PIL1/DE/18/23-24"/>
    <d v="2023-06-27T00:00:00"/>
    <s v="SF"/>
    <s v="Liners"/>
    <s v="LDPE/LLDPE Bags"/>
    <s v="LLDPE BAGS"/>
    <s v="LDPE/LLDPE Bags/Liner"/>
    <n v="7615.3"/>
    <n v="1001533.79"/>
  </r>
  <r>
    <x v="2"/>
    <s v="Plastene India Limited "/>
    <d v="2023-06-27T00:00:00"/>
    <s v="K.P. Woven Pvt Ltd-Sales"/>
    <s v="SALES (FOREX)"/>
    <s v="PIL1/DE/18/23-24"/>
    <x v="1"/>
    <s v="PIL1/DE/18/23-24"/>
    <d v="2023-06-27T00:00:00"/>
    <s v="SF"/>
    <s v="Liners"/>
    <s v="LDPE/LLDPE Bags"/>
    <s v="LLDPE BAGS"/>
    <s v="LDPE/LLDPE Bags/Liner"/>
    <n v="166.1"/>
    <n v="17858.41"/>
  </r>
  <r>
    <x v="2"/>
    <s v="Plastene India Limited "/>
    <d v="2023-06-27T00:00:00"/>
    <s v="K.P. Woven Pvt Ltd-Sales"/>
    <s v="SALES (FOREX)"/>
    <s v="PIL1/DE/18/23-24"/>
    <x v="1"/>
    <s v="PIL1/DE/18/23-24"/>
    <d v="2023-06-27T00:00:00"/>
    <s v="SF"/>
    <s v="Liners"/>
    <s v="LDPE/LLDPE Bags"/>
    <s v="LLDPE BAGS"/>
    <s v="LDPE/LLDPE Bags/Liner"/>
    <n v="560.20000000000005"/>
    <n v="60230.46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Lam Fabric"/>
    <s v="PP Laminated Fabric"/>
    <s v="PP Lam Fabric With UV"/>
    <n v="732"/>
    <n v="79708.210000000006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Lam Fabric"/>
    <s v="PP Laminated Fabric"/>
    <s v="PP Lam Fabric With UV"/>
    <n v="2030"/>
    <n v="227138.73"/>
  </r>
  <r>
    <x v="2"/>
    <s v="Plastene India Limited "/>
    <d v="2023-06-27T00:00:00"/>
    <s v="Plastene Polyfilms Ltd-Sales"/>
    <s v="Sales"/>
    <n v="388"/>
    <x v="1"/>
    <s v="PIL1/D/388"/>
    <d v="2023-06-27T00:00:00"/>
    <s v="SF"/>
    <s v="Yarn All"/>
    <s v="PP Yarn"/>
    <s v="PP Filament Yarn"/>
    <s v="PP Braided Rope MW 6 to 8 GPM"/>
    <n v="31.9"/>
    <n v="4107.1899999999996"/>
  </r>
  <r>
    <x v="2"/>
    <s v="Plastene India Limited "/>
    <d v="2023-06-27T00:00:00"/>
    <s v="Plastene Polyfilms Ltd-Sales"/>
    <s v="Sales"/>
    <n v="388"/>
    <x v="1"/>
    <s v="PIL1/D/388"/>
    <d v="2023-06-27T00:00:00"/>
    <s v="SF"/>
    <s v="Webbing"/>
    <s v="PP Webbing"/>
    <s v="PP Webbing"/>
    <s v="Webbing"/>
    <n v="52.8"/>
    <n v="5485.44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UL Fabric"/>
    <s v="PP WOVEN FABRIC (FG)"/>
    <s v="PP UL Fabric With UV"/>
    <n v="417"/>
    <n v="42488.55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UL Fabric"/>
    <s v="PP WOVEN FABRIC (FG)"/>
    <s v="PP UL Fabric With UV"/>
    <n v="2084"/>
    <n v="222760.84"/>
  </r>
  <r>
    <x v="2"/>
    <s v="Plastene India Limited "/>
    <d v="2023-06-27T00:00:00"/>
    <s v="Plastene Polyfilms Ltd-Sales"/>
    <s v="Sales"/>
    <n v="389"/>
    <x v="0"/>
    <s v="PIL1/D/389"/>
    <d v="2023-06-27T00:00:00"/>
    <s v="Stores/Spares"/>
    <s v="MS Structure Items"/>
    <s v="Spares &amp; Stores"/>
    <s v="Stores &amp; Consumables"/>
    <s v="MS Pipe 4  C Class"/>
    <n v="197"/>
    <n v="9456"/>
  </r>
  <r>
    <x v="2"/>
    <s v="Plastene India Limited "/>
    <d v="2023-06-28T00:00:00"/>
    <s v="K.P. Woven Pvt Ltd - Unit 3 -Sales"/>
    <s v="Export Sales"/>
    <s v="PIL1/E/267/23-24"/>
    <x v="6"/>
    <s v="PIL1/E/267/23-24"/>
    <d v="2023-06-28T00:00:00"/>
    <s v="SF"/>
    <s v="Tape Stock"/>
    <s v="PP Tapes"/>
    <s v="PP TAPE"/>
    <s v="PP Tapes"/>
    <n v="1526.7"/>
    <n v="157785.576"/>
  </r>
  <r>
    <x v="2"/>
    <s v="Plastene India Limited "/>
    <d v="2023-06-28T00:00:00"/>
    <s v="K.P. Woven Pvt Ltd - Unit 3 -Sales"/>
    <s v="Export Sales"/>
    <s v="PIL1/E/268/23-24"/>
    <x v="6"/>
    <s v="PIL1/E/268/23-24"/>
    <d v="2023-06-28T00:00:00"/>
    <s v="SF"/>
    <s v="PP/PE Fabric"/>
    <s v="PP UL Fabric"/>
    <s v="PP WOVEN FABRIC (FG)"/>
    <s v="PP UL Fabric With UV"/>
    <n v="2010.1"/>
    <n v="218628.12499999997"/>
  </r>
  <r>
    <x v="2"/>
    <s v="Plastene India Limited "/>
    <d v="2023-06-28T00:00:00"/>
    <s v="K.P. Woven Pvt Ltd - Unit 3 -Sales"/>
    <s v="Export Sales"/>
    <s v="PIL1/E/269/23-24"/>
    <x v="6"/>
    <s v="PIL1/E/269/23-24"/>
    <d v="2023-06-28T00:00:00"/>
    <s v="SF"/>
    <s v="Liners"/>
    <s v="LDPE/LLDPE Bags"/>
    <s v="LLDPE BAGS"/>
    <s v="LDPE/LLDPE Bags/Liner"/>
    <n v="303"/>
    <n v="35375.283000000003"/>
  </r>
  <r>
    <x v="2"/>
    <s v="Plastene India Limited "/>
    <d v="2023-06-28T00:00:00"/>
    <s v="K.P. Woven Pvt Ltd - Unit 3 -Sales"/>
    <s v="Export Sales"/>
    <s v="PIL1/E/270/23-24"/>
    <x v="6"/>
    <s v="PIL1/E/270/23-24"/>
    <d v="2023-06-28T00:00:00"/>
    <s v="SF"/>
    <s v="Liners"/>
    <s v="LDPE/LLDPE Bags"/>
    <s v="LLDPE BAGS"/>
    <s v="LDPE/LLDPE Bags/Liner"/>
    <n v="5423.4"/>
    <n v="630465.75399999996"/>
  </r>
  <r>
    <x v="2"/>
    <s v="Plastene India Limited "/>
    <d v="2023-06-28T00:00:00"/>
    <s v="Plastene Polyfilms Ltd-Sales"/>
    <s v="Sales"/>
    <n v="393"/>
    <x v="1"/>
    <s v="PIL1/D/393"/>
    <d v="2023-06-28T00:00:00"/>
    <s v="SF"/>
    <s v="Webbing"/>
    <s v="PP Webbing"/>
    <s v="PP Webbing"/>
    <s v="Webbing"/>
    <n v="96.2"/>
    <n v="9994.31"/>
  </r>
  <r>
    <x v="2"/>
    <s v="Plastene India Limited "/>
    <d v="2023-06-28T00:00:00"/>
    <s v="Plastene Polyfilms Ltd-Sales"/>
    <s v="Sales"/>
    <n v="393"/>
    <x v="1"/>
    <s v="PIL1/D/393"/>
    <d v="2023-06-28T00:00:00"/>
    <s v="SF"/>
    <s v="Yarn All"/>
    <s v="PP Yarn"/>
    <s v="PP Filament Yarn"/>
    <s v="PP Braided Rope MW 6 to 8 GPM"/>
    <n v="30.8"/>
    <n v="3965.56"/>
  </r>
  <r>
    <x v="2"/>
    <s v="Plastene India Limited "/>
    <d v="2023-06-28T00:00:00"/>
    <s v="Plastene Polyfilms Ltd-Sales"/>
    <s v="Sales"/>
    <n v="393"/>
    <x v="1"/>
    <s v="PIL1/D/393"/>
    <d v="2023-06-28T00:00:00"/>
    <s v="SF"/>
    <s v="PP/PE Fabric"/>
    <s v="PP UL Fabric"/>
    <s v="PP WOVEN FABRIC (FG)"/>
    <s v="PP UL Fabric With UV"/>
    <n v="1411"/>
    <n v="150823.20000000001"/>
  </r>
  <r>
    <x v="2"/>
    <s v="Plastene India Limited "/>
    <d v="2023-06-28T00:00:00"/>
    <s v="Plastene Polyfilms Ltd-Sales"/>
    <s v="Sales"/>
    <n v="393"/>
    <x v="1"/>
    <s v="PIL1/D/393"/>
    <d v="2023-06-28T00:00:00"/>
    <s v="SF"/>
    <s v="PP/PE Fabric"/>
    <s v="PP UL Fabric"/>
    <s v="PP WOVEN FABRIC (FG)"/>
    <s v="PP UL Fabric With UV"/>
    <n v="786"/>
    <n v="80086.33"/>
  </r>
  <r>
    <x v="2"/>
    <s v="Plastene India Limited "/>
    <d v="2023-06-28T00:00:00"/>
    <s v="Plastene Polyfilms Ltd-Sales"/>
    <s v="Sales"/>
    <n v="393"/>
    <x v="1"/>
    <s v="PIL1/D/393"/>
    <d v="2023-06-28T00:00:00"/>
    <s v="SF"/>
    <s v="PP/PE Fabric"/>
    <s v="PP Lam Fabric"/>
    <s v="PP Laminated Fabric"/>
    <s v="PP Lam Fabric With UV"/>
    <n v="692"/>
    <n v="75352.570000000007"/>
  </r>
  <r>
    <x v="2"/>
    <s v="Plastene India Limited "/>
    <d v="2023-06-28T00:00:00"/>
    <s v="Plastene Polyfilms Ltd-Sales"/>
    <s v="Sales"/>
    <n v="394"/>
    <x v="0"/>
    <s v="PIL1/D/394"/>
    <d v="2023-06-28T00:00:00"/>
    <s v="Stores/Spares"/>
    <s v="MS Structure Items"/>
    <s v="Spares &amp; Stores"/>
    <s v="Stores &amp; Consumables"/>
    <s v="MS Pipe 4  C Class"/>
    <n v="130"/>
    <n v="6240"/>
  </r>
  <r>
    <x v="2"/>
    <s v="Plastene India Limited "/>
    <d v="2023-06-29T00:00:00"/>
    <s v="Jain Bulk Pack - Sales"/>
    <s v="Sales"/>
    <n v="395"/>
    <x v="0"/>
    <s v="PIL1/D/395"/>
    <d v="2023-06-29T00:00:00"/>
    <s v="RM"/>
    <s v="Granules"/>
    <s v="PP Granules"/>
    <s v="PP Granuels"/>
    <s v="PP IOCL 1060MG"/>
    <n v="7000"/>
    <n v="598171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Lam Fabric"/>
    <s v="PP Laminated Fabric"/>
    <s v="PP Lam Fabric With UV"/>
    <n v="1977"/>
    <n v="215277.51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UL Fabric"/>
    <s v="PP WOVEN FABRIC (FG)"/>
    <s v="PP UL Fabric With UV"/>
    <n v="84.4"/>
    <n v="8768.4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UL Fabric"/>
    <s v="PP WOVEN FABRIC (FG)"/>
    <s v="PP UL Fabric With UV"/>
    <n v="3603.4"/>
    <n v="367154.03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UL Fabric"/>
    <s v="PP WOVEN FABRIC (FG)"/>
    <s v="PP UL Fabric With UV"/>
    <n v="737"/>
    <n v="78778.67"/>
  </r>
  <r>
    <x v="2"/>
    <s v="Plastene India Limited "/>
    <d v="2023-06-29T00:00:00"/>
    <s v="K.P. Woven Pvt Ltd-Sales"/>
    <s v="Sales"/>
    <n v="397"/>
    <x v="0"/>
    <s v="PIL1/D/397"/>
    <d v="2023-06-29T00:00:00"/>
    <s v="Stores/Spares"/>
    <s v="MS Structure Items"/>
    <s v="Spares &amp; Stores"/>
    <s v="Stores &amp; Consumables"/>
    <s v="MS Pipe 4  C Class"/>
    <n v="233"/>
    <n v="11184"/>
  </r>
  <r>
    <x v="2"/>
    <s v="Plastene India Limited "/>
    <d v="2023-06-29T00:00:00"/>
    <s v="K.P. Woven Pvt Ltd-Sales"/>
    <s v="SALES (FOREX)"/>
    <s v="PIL1/DE/19/23-24"/>
    <x v="1"/>
    <s v="PIL1/DE/19/23-24"/>
    <d v="2023-06-29T00:00:00"/>
    <s v="SF"/>
    <s v="Liners"/>
    <s v="LDPE/LLDPE Bags"/>
    <s v="LLDPE BAGS"/>
    <s v="LDPE/LLDPE Bags/Liner"/>
    <n v="318.89999999999998"/>
    <n v="34286.85"/>
  </r>
  <r>
    <x v="2"/>
    <s v="Plastene India Limited "/>
    <d v="2023-06-29T00:00:00"/>
    <s v="K.P. Woven Pvt Ltd-Sales"/>
    <s v="SALES (FOREX)"/>
    <s v="PIL1/DE/19/23-24"/>
    <x v="1"/>
    <s v="PIL1/DE/19/23-24"/>
    <d v="2023-06-29T00:00:00"/>
    <s v="SF"/>
    <s v="Liners"/>
    <s v="LDPE/LLDPE Bags"/>
    <s v="LLDPE BAGS"/>
    <s v="LDPE/LLDPE Bags/Liner"/>
    <n v="4.5"/>
    <n v="483.82"/>
  </r>
  <r>
    <x v="2"/>
    <s v="Plastene India Limited "/>
    <d v="2023-06-29T00:00:00"/>
    <s v="Plastene Polyfilms Ltd-Sales"/>
    <s v="Sales"/>
    <n v="398"/>
    <x v="1"/>
    <s v="PIL1/D/398"/>
    <d v="2023-06-29T00:00:00"/>
    <s v="SF"/>
    <s v="Liners"/>
    <s v="LDPE/LLDPE Bags"/>
    <s v="LLDPE BAGS"/>
    <s v="LDPE/LLDPE Bags/Liner"/>
    <n v="340.4"/>
    <n v="45780.06"/>
  </r>
  <r>
    <x v="2"/>
    <s v="Plastene India Limited "/>
    <d v="2023-06-29T00:00:00"/>
    <s v="Plastene Polyfilms Ltd-Sales"/>
    <s v="Sales"/>
    <n v="398"/>
    <x v="1"/>
    <s v="PIL1/D/398"/>
    <d v="2023-06-29T00:00:00"/>
    <s v="SF"/>
    <s v="Liners"/>
    <s v="LDPE/LLDPE Bags"/>
    <s v="LLDPE BAGS"/>
    <s v="LDPE/LLDPE Bags/Liner"/>
    <n v="728.9"/>
    <n v="83451.03"/>
  </r>
  <r>
    <x v="2"/>
    <s v="Plastene India Limited "/>
    <d v="2023-06-29T00:00:00"/>
    <s v="Plastene Polyfilms Ltd-Sales"/>
    <s v="Sales"/>
    <n v="398"/>
    <x v="1"/>
    <s v="PIL1/D/398"/>
    <d v="2023-06-29T00:00:00"/>
    <s v="SF"/>
    <s v="Liners"/>
    <s v="LDPE/LLDPE Bags"/>
    <s v="LLDPE BAGS"/>
    <s v="LDPE/LLDPE Bags/Liner"/>
    <n v="92.7"/>
    <n v="10613.13"/>
  </r>
  <r>
    <x v="2"/>
    <s v="Plastene India Limited "/>
    <d v="2023-06-29T00:00:00"/>
    <s v="Plastene Polyfilms Ltd-Sales"/>
    <s v="Sales"/>
    <n v="398"/>
    <x v="1"/>
    <s v="PIL1/D/398"/>
    <d v="2023-06-29T00:00:00"/>
    <s v="SF"/>
    <s v="PP/PE Fabric"/>
    <s v="PP UL Fabric"/>
    <s v="PP WOVEN FABRIC (FG)"/>
    <s v="PP UL Fabric With UV"/>
    <n v="406"/>
    <n v="41367.75"/>
  </r>
  <r>
    <x v="2"/>
    <s v="Plastene India Limited "/>
    <d v="2023-06-29T00:00:00"/>
    <s v="Plastene Polyfilms Ltd-Sales"/>
    <s v="Sales"/>
    <n v="398"/>
    <x v="1"/>
    <s v="PIL1/D/398"/>
    <d v="2023-06-29T00:00:00"/>
    <s v="SF"/>
    <s v="PP/PE Fabric"/>
    <s v="PP UL Fabric"/>
    <s v="PP WOVEN FABRIC (FG)"/>
    <s v="PP UL Fabric With UV"/>
    <n v="1367"/>
    <n v="146120"/>
  </r>
  <r>
    <x v="2"/>
    <s v="Plastene India Limited "/>
    <d v="2023-06-29T00:00:00"/>
    <s v="Plastene Polyfilms Ltd-Sales"/>
    <s v="Sales"/>
    <n v="398"/>
    <x v="1"/>
    <s v="PIL1/D/398"/>
    <d v="2023-06-29T00:00:00"/>
    <s v="SF"/>
    <s v="Webbing"/>
    <s v="PP Webbing"/>
    <s v="PP Webbing"/>
    <s v="Webbing"/>
    <n v="81.2"/>
    <n v="8679.5499999999993"/>
  </r>
  <r>
    <x v="2"/>
    <s v="Plastene India Limited "/>
    <d v="2023-06-29T00:00:00"/>
    <s v="Plastene Polyfilms Ltd-Sales"/>
    <s v="Sales"/>
    <n v="398"/>
    <x v="1"/>
    <s v="PIL1/D/398"/>
    <d v="2023-06-29T00:00:00"/>
    <s v="SF"/>
    <s v="Webbing"/>
    <s v="PP Webbing"/>
    <s v="PP Webbing"/>
    <s v="Webbing"/>
    <n v="333.8"/>
    <n v="34678.82"/>
  </r>
  <r>
    <x v="2"/>
    <s v="Plastene India Limited "/>
    <d v="2023-06-29T00:00:00"/>
    <s v="Plastene Polyfilms Ltd-Sales"/>
    <s v="Sales"/>
    <n v="398"/>
    <x v="1"/>
    <s v="PIL1/D/398"/>
    <d v="2023-06-29T00:00:00"/>
    <s v="SF"/>
    <s v="PP/PE Fabric"/>
    <s v="PP Lam Fabric"/>
    <s v="PP Laminated Fabric"/>
    <s v="PP Lam Fabric With UV"/>
    <n v="877"/>
    <n v="98128.41"/>
  </r>
  <r>
    <x v="2"/>
    <s v="Plastene India Limited "/>
    <d v="2023-06-29T00:00:00"/>
    <s v="Plastene Polyfilms Ltd-Sales"/>
    <s v="Sales"/>
    <n v="398"/>
    <x v="1"/>
    <s v="PIL1/D/398"/>
    <d v="2023-06-29T00:00:00"/>
    <s v="SF"/>
    <s v="Yarn All"/>
    <s v="PP Yarn"/>
    <s v="PP Filament Yarn"/>
    <s v="PP Braided Rope MW 6 to 8 GPM"/>
    <n v="28.2"/>
    <n v="3630.81"/>
  </r>
  <r>
    <x v="2"/>
    <s v="Plastene India Limited "/>
    <d v="2023-06-29T00:00:00"/>
    <s v="Plastene Polyfilms Ltd-Sales"/>
    <s v="Sales"/>
    <n v="399"/>
    <x v="0"/>
    <s v="PIL1/D/399"/>
    <d v="2023-06-29T00:00:00"/>
    <s v="Stores/Spares"/>
    <s v="MS Structure Items"/>
    <s v="Spares &amp; Stores"/>
    <s v="Stores &amp; Consumables"/>
    <s v="MS Pipe 4  C Class"/>
    <n v="124"/>
    <n v="5952"/>
  </r>
  <r>
    <x v="2"/>
    <s v="Plastene India Limited "/>
    <d v="2023-06-30T00:00:00"/>
    <s v="Jain Bulk Pack - Sales"/>
    <s v="Sales"/>
    <n v="406"/>
    <x v="0"/>
    <s v="PIL1/D/406"/>
    <d v="2023-06-30T00:00:00"/>
    <s v="RM"/>
    <s v="Granules"/>
    <s v="PP Granules"/>
    <s v="PP Granuels"/>
    <s v="PP IOCL P1110MG"/>
    <n v="10000"/>
    <n v="866030"/>
  </r>
  <r>
    <x v="2"/>
    <s v="Plastene India Limited "/>
    <d v="2023-06-30T00:00:00"/>
    <s v="K.P. Woven Pvt Ltd - Unit 3 -Sales"/>
    <s v="Export Sales"/>
    <s v="PIL1/E/275/23-24"/>
    <x v="6"/>
    <s v="PIL1/E/275/23-24"/>
    <d v="2023-06-30T00:00:00"/>
    <s v="SF"/>
    <s v="PP/PE Fabric"/>
    <s v="PP Lam Fabric"/>
    <s v="PP Laminated Fabric"/>
    <s v="PP Lam Fabric With UV"/>
    <n v="3206"/>
    <n v="359630.32800000004"/>
  </r>
  <r>
    <x v="2"/>
    <s v="Plastene India Limited "/>
    <d v="2023-06-30T00:00:00"/>
    <s v="K.P. Woven Pvt Ltd - Unit 3 -Sales"/>
    <s v="Export Sales"/>
    <s v="PIL1/E/276/23-24"/>
    <x v="6"/>
    <s v="PIL1/E/276/23-24"/>
    <d v="2023-06-30T00:00:00"/>
    <s v="SF"/>
    <s v="Liners"/>
    <s v="LDPE/LLDPE Bags"/>
    <s v="LLDPE BAGS"/>
    <s v="LDPE/LLDPE Bags/Liner"/>
    <n v="1259.0999999999999"/>
    <n v="146368.98749999999"/>
  </r>
  <r>
    <x v="2"/>
    <s v="Plastene India Limited "/>
    <d v="2023-06-30T00:00:00"/>
    <s v="K.P. Woven Pvt Ltd - Unit 3 -Sales"/>
    <s v="Export Sales"/>
    <s v="PIL1/E/277/23-24"/>
    <x v="6"/>
    <s v="PIL1/E/277/23-24"/>
    <d v="2023-06-30T00:00:00"/>
    <s v="SF"/>
    <s v="PP/PE Fabric"/>
    <s v="PP Lam Fabric"/>
    <s v="PP Laminated Fabric"/>
    <s v="PP Lam Fabric With UV"/>
    <n v="393"/>
    <n v="44084.503000000004"/>
  </r>
  <r>
    <x v="2"/>
    <s v="Plastene India Limited "/>
    <d v="2023-06-30T00:00:00"/>
    <s v="K.P. Woven Pvt Ltd - Unit 3 -Sales"/>
    <s v="Export Sales"/>
    <s v="PIL1/E/278/23-24"/>
    <x v="6"/>
    <s v="PIL1/E/278/23-24"/>
    <d v="2023-06-30T00:00:00"/>
    <s v="SF"/>
    <s v="PP/PE Fabric"/>
    <s v="PP UL Fabric"/>
    <s v="PP WOVEN FABRIC (FG)"/>
    <s v="PP UL Fabric With UV"/>
    <n v="3303"/>
    <n v="359250.54849999998"/>
  </r>
  <r>
    <x v="2"/>
    <s v="Plastene India Limited "/>
    <d v="2023-06-30T00:00:00"/>
    <s v="K.P. Woven Pvt Ltd-Sales"/>
    <s v="Sales"/>
    <n v="402"/>
    <x v="1"/>
    <s v="PIL1/D/402"/>
    <d v="2023-06-30T00:00:00"/>
    <s v="SF"/>
    <s v="PP/PE Fabric"/>
    <s v="PP UL Fabric"/>
    <s v="PP WOVEN FABRIC (FG)"/>
    <s v="PP UL Fabric With UV"/>
    <n v="4530"/>
    <n v="470626.23"/>
  </r>
  <r>
    <x v="2"/>
    <s v="Plastene India Limited "/>
    <d v="2023-06-30T00:00:00"/>
    <s v="K.P. Woven Pvt Ltd-Sales"/>
    <s v="Sales"/>
    <n v="402"/>
    <x v="1"/>
    <s v="PIL1/D/402"/>
    <d v="2023-06-30T00:00:00"/>
    <s v="SF"/>
    <s v="Liners"/>
    <s v="LDPE/LLDPE Bags"/>
    <s v="LLDPE BAGS"/>
    <s v="LDPE/LLDPE Bags/Liner"/>
    <n v="259"/>
    <n v="30429.65"/>
  </r>
  <r>
    <x v="2"/>
    <s v="Plastene India Limited "/>
    <d v="2023-06-30T00:00:00"/>
    <s v="K.P. Woven Pvt Ltd-Sales"/>
    <s v="Sales"/>
    <n v="403"/>
    <x v="3"/>
    <s v="PIL1/D/403"/>
    <d v="2023-06-30T00:00:00"/>
    <s v="SF"/>
    <s v="Wastage/Scrap"/>
    <s v="Wastage/Scrap"/>
    <s v="HDPE/PP Plastik Waste"/>
    <s v="PP/HD Wastage/Scrap"/>
    <n v="610.5"/>
    <n v="46642.2"/>
  </r>
  <r>
    <x v="2"/>
    <s v="Plastene India Limited "/>
    <d v="2023-06-30T00:00:00"/>
    <s v="K.P. Woven Pvt Ltd-Sales"/>
    <s v="Sales"/>
    <n v="404"/>
    <x v="3"/>
    <s v="PIL1/D/404"/>
    <d v="2023-06-30T00:00:00"/>
    <s v="SF"/>
    <s v="Wastage/Scrap"/>
    <s v="Wastage/Scrap"/>
    <s v="HDPE/PP Plastik Waste"/>
    <s v="PP/HD Wastage/Scrap"/>
    <n v="432.4"/>
    <n v="33035.360000000001"/>
  </r>
  <r>
    <x v="2"/>
    <s v="Plastene India Limited "/>
    <d v="2023-06-30T00:00:00"/>
    <s v="K.P. Woven Pvt Ltd-Sales"/>
    <s v="Sales"/>
    <n v="405"/>
    <x v="3"/>
    <s v="PIL1/D/405"/>
    <d v="2023-06-30T00:00:00"/>
    <s v="SF"/>
    <s v="Wastage/Scrap"/>
    <s v="Wastage/Scrap"/>
    <s v="HDPE/PP Plastik Waste"/>
    <s v="PP/HD Wastage/Scrap"/>
    <n v="486.7"/>
    <n v="37183.879999999997"/>
  </r>
  <r>
    <x v="2"/>
    <s v="Plastene India Limited "/>
    <d v="2023-06-30T00:00:00"/>
    <s v="K.P. Woven Pvt Ltd-Sales"/>
    <s v="Sales"/>
    <n v="407"/>
    <x v="1"/>
    <s v="PIL1/D/407"/>
    <d v="2023-06-30T00:00:00"/>
    <s v="SF"/>
    <s v="Yarn All"/>
    <s v="PP Yarn"/>
    <s v="PP Filament Yarn"/>
    <s v="PP MF Yarn Twisted 1000 UV NW"/>
    <n v="4433.7"/>
    <n v="526510.74"/>
  </r>
  <r>
    <x v="2"/>
    <s v="Plastene India Limited "/>
    <d v="2023-06-30T00:00:00"/>
    <s v="K.P. Woven Pvt Ltd-Sales"/>
    <s v="SALES (FOREX)"/>
    <s v="PIL1/DE/20/23-24"/>
    <x v="1"/>
    <s v="PIL1/DE/20/23-24"/>
    <d v="2023-06-30T00:00:00"/>
    <s v="SF"/>
    <s v="Liners"/>
    <s v="LDPE/LLDPE Bags"/>
    <s v="LLDPE BAGS"/>
    <s v="LDPE/LLDPE Bags/Liner"/>
    <n v="2358.5"/>
    <n v="298821.95"/>
  </r>
  <r>
    <x v="2"/>
    <s v="Plastene India Limited "/>
    <d v="2023-06-30T00:00:00"/>
    <s v="K.P. Woven Pvt Ltd-Sales"/>
    <s v="SALES (FOREX)"/>
    <s v="PIL1/DE/20/23-24"/>
    <x v="1"/>
    <s v="PIL1/DE/20/23-24"/>
    <d v="2023-06-30T00:00:00"/>
    <s v="SF"/>
    <s v="Films All"/>
    <s v="PE Film"/>
    <s v="LLDPE Co-Extruded Film."/>
    <s v="LDPE/LLDPE Film"/>
    <n v="569.79999999999995"/>
    <n v="59863.19"/>
  </r>
  <r>
    <x v="2"/>
    <s v="Plastene India Limited "/>
    <d v="2023-06-30T00:00:00"/>
    <s v="K.P. Woven Pvt Ltd-Sales"/>
    <s v="SALES (FOREX)"/>
    <s v="PIL1/DE/21/23-24"/>
    <x v="1"/>
    <s v="PIL1/DE/21/23-24"/>
    <d v="2023-06-30T00:00:00"/>
    <s v="SF"/>
    <s v="Liners"/>
    <s v="LDPE/LLDPE Bags"/>
    <s v="LLDPE BAGS"/>
    <s v="LDPE/LLDPE Bags/Liner"/>
    <n v="1392"/>
    <n v="176366.4"/>
  </r>
  <r>
    <x v="2"/>
    <s v="Plastene India Limited "/>
    <d v="2023-06-30T00:00:00"/>
    <s v="K.P. Woven Pvt Ltd-Sales"/>
    <s v="SALES (FOREX)"/>
    <s v="PIL1/DE/22/23-24"/>
    <x v="1"/>
    <s v="PIL1/DE/22/23-24"/>
    <d v="2023-06-30T00:00:00"/>
    <s v="SF"/>
    <s v="Liners"/>
    <s v="LDPE/LLDPE Bags"/>
    <s v="LLDPE BAGS"/>
    <s v="LDPE/LLDPE Bags/Liner"/>
    <n v="1695.1"/>
    <n v="214769.17"/>
  </r>
  <r>
    <x v="2"/>
    <s v="Plastene India Limited "/>
    <d v="2023-06-30T00:00:00"/>
    <s v="Plastene Polyfilms Ltd-Sales"/>
    <s v="Sales"/>
    <n v="400"/>
    <x v="1"/>
    <s v="PIL1/D/400"/>
    <d v="2023-06-30T00:00:00"/>
    <s v="SF"/>
    <s v="Liners"/>
    <s v="LDPE/LLDPE Bags"/>
    <s v="LLDPE BAGS"/>
    <s v="LDPE/LLDPE Bags/Liner"/>
    <n v="282.2"/>
    <n v="33437.599999999999"/>
  </r>
  <r>
    <x v="2"/>
    <s v="Plastene India Limited "/>
    <d v="2023-06-30T00:00:00"/>
    <s v="Plastene Polyfilms Ltd-Sales"/>
    <s v="Sales"/>
    <n v="401"/>
    <x v="1"/>
    <s v="PIL1/D/401"/>
    <d v="2023-06-30T00:00:00"/>
    <s v="SF"/>
    <s v="PP/PE Fabric"/>
    <s v="PP Lam Fabric"/>
    <s v="PP Laminated Fabric"/>
    <s v="PP Lam Fabric With UV"/>
    <n v="4722"/>
    <n v="516544.3"/>
  </r>
  <r>
    <x v="2"/>
    <s v="Plastene India Limited "/>
    <d v="2023-06-30T00:00:00"/>
    <s v="Plastene Polyfilms Ltd-Sales"/>
    <s v="Sales"/>
    <n v="401"/>
    <x v="1"/>
    <s v="PIL1/D/401"/>
    <d v="2023-06-30T00:00:00"/>
    <s v="SF"/>
    <s v="PP/PE Fabric"/>
    <s v="PP UL Fabric"/>
    <s v="PP WOVEN FABRIC (FG)"/>
    <s v="PP UL Fabric With UV"/>
    <n v="201"/>
    <n v="20882.09"/>
  </r>
  <r>
    <x v="0"/>
    <s v="Plastene India Limited (Unit -II)"/>
    <d v="2023-04-02T00:00:00"/>
    <s v="K.P. Woven Pvt Ltd-Sales"/>
    <s v="Sales"/>
    <n v="1"/>
    <x v="1"/>
    <s v="PIL2/D/1"/>
    <d v="2023-04-02T00:00:00"/>
    <s v="SF"/>
    <s v="PP/PE Fabric"/>
    <s v="PP UL Fabric"/>
    <s v="PP Woven Fabrics(FG)"/>
    <s v="PP UL Fabric With UV"/>
    <n v="6948"/>
    <n v="799297.92"/>
  </r>
  <r>
    <x v="0"/>
    <s v="Plastene India Limited (Unit -II)"/>
    <d v="2023-04-02T00:00:00"/>
    <s v="K.P. Woven Pvt Ltd-Sales"/>
    <s v="Sales"/>
    <n v="1"/>
    <x v="1"/>
    <s v="PIL2/D/1"/>
    <d v="2023-04-02T00:00:00"/>
    <s v="SF"/>
    <s v="Webbing"/>
    <s v="PP Webbing"/>
    <s v="PP WEBBING (FG)"/>
    <s v="Webbing Tie"/>
    <n v="111.4"/>
    <n v="13038.26"/>
  </r>
  <r>
    <x v="0"/>
    <s v="Plastene India Limited (Unit -II)"/>
    <d v="2023-04-02T00:00:00"/>
    <s v="K.P. Woven Pvt Ltd-Sales"/>
    <s v="Sales"/>
    <n v="2"/>
    <x v="0"/>
    <s v="PIL2/D/2"/>
    <d v="2023-04-02T00:00:00"/>
    <s v="Stores/Spares"/>
    <s v="MS Structure Items"/>
    <s v="Other Purchase"/>
    <s v="Consumble Stores"/>
    <s v="MS Pipe"/>
    <n v="371"/>
    <n v="17808"/>
  </r>
  <r>
    <x v="0"/>
    <s v="Plastene India Limited (Unit -II)"/>
    <d v="2023-04-02T00:00:00"/>
    <s v="Plastene Polyfilms Ltd-Sales"/>
    <s v="Sales"/>
    <n v="3"/>
    <x v="1"/>
    <s v="PIL2/D/3"/>
    <d v="2023-04-02T00:00:00"/>
    <s v="FG"/>
    <s v="FIBC Bags"/>
    <s v="FIBC Bags"/>
    <s v="PP WOVEN BAG &amp; SACK"/>
    <s v="FIBC Bags With UV With Liner"/>
    <n v="6498"/>
    <n v="1152355.32"/>
  </r>
  <r>
    <x v="0"/>
    <s v="Plastene India Limited (Unit -II)"/>
    <d v="2023-04-03T00:00:00"/>
    <s v="Plastene Polyfilms Ltd-Sales"/>
    <s v="Sales"/>
    <n v="4"/>
    <x v="1"/>
    <s v="PIL2/D/4"/>
    <d v="2023-04-03T00:00:00"/>
    <s v="FG"/>
    <s v="FIBC Bags"/>
    <s v="FIBC Bags"/>
    <s v="PP WOVEN BAG &amp; SACK"/>
    <s v="FIBC Bags With UV With Liner"/>
    <n v="3442"/>
    <n v="610404.28"/>
  </r>
  <r>
    <x v="0"/>
    <s v="Plastene India Limited (Unit -II)"/>
    <d v="2023-04-03T00:00:00"/>
    <s v="Plastene Polyfilms Ltd-Sales"/>
    <s v="Sales"/>
    <n v="4"/>
    <x v="1"/>
    <s v="PIL2/D/4"/>
    <d v="2023-04-03T00:00:00"/>
    <s v="SF"/>
    <s v="PP/PE Fabric"/>
    <s v="PP UL Fabric"/>
    <s v="PP Woven Fabrics(FG)"/>
    <s v="PP UL Fabric Without UV"/>
    <n v="3204"/>
    <n v="358848"/>
  </r>
  <r>
    <x v="0"/>
    <s v="Plastene India Limited (Unit -II)"/>
    <d v="2023-04-03T00:00:00"/>
    <s v="Plastene Polyfilms Ltd-Sales"/>
    <s v="Sales"/>
    <n v="4"/>
    <x v="1"/>
    <s v="PIL2/D/4"/>
    <d v="2023-04-03T00:00:00"/>
    <s v="SF"/>
    <s v="Webbing"/>
    <s v="PP Webbing"/>
    <s v="PP WEBBING (FG)"/>
    <s v="Webbing MF"/>
    <n v="451.2"/>
    <n v="52808.45"/>
  </r>
  <r>
    <x v="0"/>
    <s v="Plastene India Limited (Unit -II)"/>
    <d v="2023-04-03T00:00:00"/>
    <s v="Plastene Polyfilms Ltd-Sales"/>
    <s v="Sales"/>
    <n v="5"/>
    <x v="0"/>
    <s v="PIL2/D/5"/>
    <d v="2023-04-03T00:00:00"/>
    <s v="Stores/Spares"/>
    <s v="MS Structure Items"/>
    <s v="Other Purchase"/>
    <s v="Consumble Stores"/>
    <s v="MS Pipe"/>
    <n v="125"/>
    <n v="6000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FG"/>
    <s v="FIBC WIP"/>
    <s v="FIBC WIP"/>
    <s v="LLDPE BAGS (LINER)"/>
    <s v="FIBC WIP"/>
    <n v="25.2"/>
    <n v="4725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SF"/>
    <s v="Webbing"/>
    <s v="PP Webbing"/>
    <s v="PP WEBBING (FG)"/>
    <s v="Webbing"/>
    <n v="341.8"/>
    <n v="41029.67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SF"/>
    <s v="Webbing"/>
    <s v="PP Webbing"/>
    <s v="PP WEBBING (FG)"/>
    <s v="Webbing"/>
    <n v="1602.6"/>
    <n v="187568.3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SF"/>
    <s v="PP/PE Fabric"/>
    <s v="PP UL Fabric"/>
    <s v="PP Woven Fabrics(FG)"/>
    <s v="PP UL Fabric With UV"/>
    <n v="2059"/>
    <n v="243044.36"/>
  </r>
  <r>
    <x v="0"/>
    <s v="Plastene India Limited (Unit -II)"/>
    <d v="2023-04-05T00:00:00"/>
    <s v="HCP Plastene Bulkpack Ltd (Unit-III) - Sales"/>
    <s v="Sales"/>
    <n v="8"/>
    <x v="0"/>
    <s v="PIL2/D/8"/>
    <d v="2023-04-05T00:00:00"/>
    <s v="Stores/Spares"/>
    <s v="MS Structure Items"/>
    <s v="Other Purchase"/>
    <s v="Consumble Stores"/>
    <s v="MS Pipe"/>
    <n v="91"/>
    <n v="4368"/>
  </r>
  <r>
    <x v="0"/>
    <s v="Plastene India Limited (Unit -II)"/>
    <d v="2023-04-05T00:00:00"/>
    <s v="K.P. Woven Pvt Ltd-Sales"/>
    <s v="Sales"/>
    <n v="10"/>
    <x v="1"/>
    <s v="PIL2/D/10"/>
    <d v="2023-04-05T00:00:00"/>
    <s v="SF"/>
    <s v="PP/PE Fabric"/>
    <s v="PP UL Fabric"/>
    <s v="PP Woven Fabrics(FG)"/>
    <s v="PP UL Fabric With UV"/>
    <n v="28"/>
    <n v="3921.12"/>
  </r>
  <r>
    <x v="0"/>
    <s v="Plastene India Limited (Unit -II)"/>
    <d v="2023-04-05T00:00:00"/>
    <s v="K.P. Woven Pvt Ltd-Sales"/>
    <s v="Sales"/>
    <n v="10"/>
    <x v="1"/>
    <s v="PIL2/D/10"/>
    <d v="2023-04-05T00:00:00"/>
    <s v="SF"/>
    <s v="PP/PE Fabric"/>
    <s v="PP UL Fabric"/>
    <s v="PP Woven Fabrics(FG)"/>
    <s v="PP UL Fabric With UV"/>
    <n v="5897"/>
    <n v="678390.88"/>
  </r>
  <r>
    <x v="0"/>
    <s v="Plastene India Limited (Unit -II)"/>
    <d v="2023-04-05T00:00:00"/>
    <s v="K.P. Woven Pvt Ltd-Sales"/>
    <s v="Sales"/>
    <n v="10"/>
    <x v="1"/>
    <s v="PIL2/D/10"/>
    <d v="2023-04-05T00:00:00"/>
    <s v="SF"/>
    <s v="Granules"/>
    <s v="RP Granules"/>
    <s v="REPROCESS GRANULES(RM)"/>
    <s v="RP Granules"/>
    <n v="1000"/>
    <n v="91561"/>
  </r>
  <r>
    <x v="0"/>
    <s v="Plastene India Limited (Unit -II)"/>
    <d v="2023-04-05T00:00:00"/>
    <s v="K.P. Woven Pvt Ltd-Sales"/>
    <s v="Sales"/>
    <n v="10"/>
    <x v="1"/>
    <s v="PIL2/D/10"/>
    <d v="2023-04-05T00:00:00"/>
    <s v="FG"/>
    <s v="FIBC WIP"/>
    <s v="FIBC WIP"/>
    <s v="LLDPE BAGS (LINER)"/>
    <s v="FIBC WIP"/>
    <n v="28.4"/>
    <n v="6148"/>
  </r>
  <r>
    <x v="0"/>
    <s v="Plastene India Limited (Unit -II)"/>
    <d v="2023-04-05T00:00:00"/>
    <s v="K.P. Woven Pvt Ltd-Sales"/>
    <s v="Sales"/>
    <n v="11"/>
    <x v="0"/>
    <s v="PIL2/D/11"/>
    <d v="2023-04-05T00:00:00"/>
    <s v="Stores/Spares"/>
    <s v="MS Structure Items"/>
    <s v="Other Purchase"/>
    <s v="Consumble Stores"/>
    <s v="MS Pipe"/>
    <n v="310"/>
    <n v="14880"/>
  </r>
  <r>
    <x v="0"/>
    <s v="Plastene India Limited (Unit -II)"/>
    <d v="2023-04-05T00:00:00"/>
    <s v="Plastene Polyfilms Ltd-Sales"/>
    <s v="Sales"/>
    <n v="9"/>
    <x v="1"/>
    <s v="PIL2/D/9"/>
    <d v="2023-04-05T00:00:00"/>
    <s v="FG"/>
    <s v="FIBC Bags"/>
    <s v="FIBC Bags"/>
    <s v="PP WOVEN BIG BAGS / SACKS"/>
    <s v="FIBC Bags With UV Without Liner"/>
    <n v="19947"/>
    <n v="3266720.19"/>
  </r>
  <r>
    <x v="0"/>
    <s v="Plastene India Limited (Unit -II)"/>
    <d v="2023-04-06T00:00:00"/>
    <s v="HCP Plastene Bulkpack Ltd (Unit-III) - Sales"/>
    <s v="Sales"/>
    <n v="15"/>
    <x v="1"/>
    <s v="PIL2/D/15"/>
    <d v="2023-04-06T00:00:00"/>
    <s v="FG"/>
    <s v="FIBC WIP"/>
    <s v="FIBC WIP"/>
    <s v="LLDPE BAGS (LINER)"/>
    <s v="FIBC WIP"/>
    <n v="0.6"/>
    <n v="140"/>
  </r>
  <r>
    <x v="0"/>
    <s v="Plastene India Limited (Unit -II)"/>
    <d v="2023-04-06T00:00:00"/>
    <s v="K.P. Woven Pvt Ltd - Unit 3 -Sales"/>
    <s v="Export Sales"/>
    <s v="PIL2/E/1/23-24"/>
    <x v="6"/>
    <s v="PIL2/E/1/23-24"/>
    <d v="2023-04-06T00:00:00"/>
    <s v="SF"/>
    <s v="Yarn All"/>
    <s v="PP Yarn"/>
    <s v="PP Filament Yarn"/>
    <s v="Polyester Yarn Twisted"/>
    <n v="1909.3"/>
    <n v="279273.31"/>
  </r>
  <r>
    <x v="0"/>
    <s v="Plastene India Limited (Unit -II)"/>
    <d v="2023-04-06T00:00:00"/>
    <s v="K.P. Woven Pvt Ltd-Sales"/>
    <s v="Sales"/>
    <n v="12"/>
    <x v="1"/>
    <s v="PIL2/D/12"/>
    <d v="2023-04-06T00:00:00"/>
    <s v="FG"/>
    <s v="FIBC Bags"/>
    <s v="FIBC Bags"/>
    <s v="PP WOVEN BIG BAGS / SACKS"/>
    <s v="FIBC Bags With UV Without Liner"/>
    <n v="18420.2"/>
    <n v="3315267.6"/>
  </r>
  <r>
    <x v="0"/>
    <s v="Plastene India Limited (Unit -II)"/>
    <d v="2023-04-06T00:00:00"/>
    <s v="K.P. Woven Pvt Ltd-Sales"/>
    <s v="Sales"/>
    <n v="13"/>
    <x v="1"/>
    <s v="PIL2/D/13"/>
    <d v="2023-04-06T00:00:00"/>
    <s v="SF"/>
    <s v="PP/PE Fabric"/>
    <s v="PP UL Fabric"/>
    <s v="PP Woven Fabrics(FG)"/>
    <s v="PP UL Fabric With UV"/>
    <n v="6331"/>
    <n v="728318.24"/>
  </r>
  <r>
    <x v="0"/>
    <s v="Plastene India Limited (Unit -II)"/>
    <d v="2023-04-06T00:00:00"/>
    <s v="K.P. Woven Pvt Ltd-Sales"/>
    <s v="Sales"/>
    <n v="14"/>
    <x v="0"/>
    <s v="PIL2/D/14"/>
    <d v="2023-04-06T00:00:00"/>
    <s v="Stores/Spares"/>
    <s v="MS Structure Items"/>
    <s v="Other Purchase"/>
    <s v="Consumble Stores"/>
    <s v="MS Pipe"/>
    <n v="302"/>
    <n v="14496"/>
  </r>
  <r>
    <x v="0"/>
    <s v="Plastene India Limited (Unit -II)"/>
    <d v="2023-04-06T00:00:00"/>
    <s v="Plastene Polyfilms Ltd-Sales"/>
    <s v="Sales"/>
    <n v="17"/>
    <x v="1"/>
    <s v="PIL2/D/17"/>
    <d v="2023-04-06T00:00:00"/>
    <s v="SF"/>
    <s v="Yarn All"/>
    <s v="PP Yarn"/>
    <s v="PP Filament Yarn"/>
    <s v="Polyester Yarn Twisted"/>
    <n v="1893.1"/>
    <n v="276903.74"/>
  </r>
  <r>
    <x v="0"/>
    <s v="Plastene India Limited (Unit -II)"/>
    <d v="2023-04-07T00:00:00"/>
    <s v="K.P. Woven Pvt Ltd-Sales"/>
    <s v="Sales"/>
    <n v="18"/>
    <x v="1"/>
    <s v="PIL2/D/18"/>
    <d v="2023-04-07T00:00:00"/>
    <s v="SF"/>
    <s v="PP/PE Fabric"/>
    <s v="PP UL Fabric"/>
    <s v="PP Woven Fabrics(FG)"/>
    <s v="PP UL Fabric With UV"/>
    <n v="2844"/>
    <n v="327173.76000000001"/>
  </r>
  <r>
    <x v="0"/>
    <s v="Plastene India Limited (Unit -II)"/>
    <d v="2023-04-07T00:00:00"/>
    <s v="K.P. Woven Pvt Ltd-Sales"/>
    <s v="Sales"/>
    <n v="19"/>
    <x v="0"/>
    <s v="PIL2/D/19"/>
    <d v="2023-04-07T00:00:00"/>
    <s v="Stores/Spares"/>
    <s v="MS Structure Items"/>
    <s v="Other Purchase"/>
    <s v="Consumble Stores"/>
    <s v="MS Pipe"/>
    <n v="123"/>
    <n v="5904"/>
  </r>
  <r>
    <x v="0"/>
    <s v="Plastene India Limited (Unit -II)"/>
    <d v="2023-04-07T00:00:00"/>
    <s v="K.P. Woven Pvt Ltd-Sales"/>
    <s v="Sales"/>
    <n v="23"/>
    <x v="1"/>
    <s v="PIL2/D/23"/>
    <d v="2023-04-07T00:00:00"/>
    <s v="SF"/>
    <s v="Yarn All"/>
    <s v="PP Yarn"/>
    <s v="PP Filament Yarn"/>
    <s v="Polyester Yarn Twisted"/>
    <n v="840.1"/>
    <n v="120638.36"/>
  </r>
  <r>
    <x v="0"/>
    <s v="Plastene India Limited (Unit -II)"/>
    <d v="2023-04-07T00:00:00"/>
    <s v="Plastene Polyfilms Ltd-Sales"/>
    <s v="Sales"/>
    <n v="22"/>
    <x v="1"/>
    <s v="PIL2/D/22"/>
    <d v="2023-04-07T00:00:00"/>
    <s v="FG"/>
    <s v="FIBC Bags"/>
    <s v="FIBC Bags"/>
    <s v="PP WOVEN BIG BAGS / SACKS"/>
    <s v="FIBC Bags With UV Without Liner"/>
    <n v="19995"/>
    <n v="3294576.15"/>
  </r>
  <r>
    <x v="0"/>
    <s v="Plastene India Limited (Unit -II)"/>
    <d v="2023-04-08T00:00:00"/>
    <s v="K.P. Woven Pvt Ltd - Unit 3 -Sales"/>
    <s v="Export Sales"/>
    <s v="PIL2/E/2/23-24"/>
    <x v="6"/>
    <s v="PIL2/E/2/23-24"/>
    <d v="2023-04-08T00:00:00"/>
    <s v="FG"/>
    <s v="FIBC Bags"/>
    <s v="FIBC Bags"/>
    <s v="PP WOVEN BIG BAGS / SACKS"/>
    <s v="FIBC Bags With UV Without Liner"/>
    <n v="1680"/>
    <n v="268468.2"/>
  </r>
  <r>
    <x v="0"/>
    <s v="Plastene India Limited (Unit -II)"/>
    <d v="2023-04-08T00:00:00"/>
    <s v="K.P. Woven Pvt Ltd - Unit 3 -Sales"/>
    <s v="Export Sales"/>
    <s v="PIL2/E/2/23-24"/>
    <x v="6"/>
    <s v="PIL2/E/2/23-24"/>
    <d v="2023-04-08T00:00:00"/>
    <s v="FG"/>
    <s v="FIBC Bags"/>
    <s v="FIBC Bags"/>
    <s v="PP WOVEN BIG BAGS / SACKS"/>
    <s v="FIBC Bags With UV With Liner"/>
    <n v="4581"/>
    <n v="732055.25250000006"/>
  </r>
  <r>
    <x v="0"/>
    <s v="Plastene India Limited (Unit -II)"/>
    <d v="2023-04-08T00:00:00"/>
    <s v="K.P. Woven Pvt Ltd - Unit 3 -Sales"/>
    <s v="Export Sales"/>
    <s v="PIL2/E/3/23-24"/>
    <x v="6"/>
    <s v="PIL2/E/3/23-24"/>
    <d v="2023-04-08T00:00:00"/>
    <s v="SF"/>
    <s v="Webbing"/>
    <s v="PP Webbing"/>
    <s v="WIP-PP FABRIC (LOOMS)"/>
    <s v="Webbing"/>
    <n v="464.1"/>
    <n v="52351.671999999991"/>
  </r>
  <r>
    <x v="0"/>
    <s v="Plastene India Limited (Unit -II)"/>
    <d v="2023-04-08T00:00:00"/>
    <s v="Oswal Extrusion Ltd- KASEZ-Sales"/>
    <s v="Export Sales"/>
    <s v="PIL2/E/4/23-24"/>
    <x v="4"/>
    <s v="PIL2/E/4/23-24"/>
    <d v="2023-04-08T00:00:00"/>
    <s v="Stores/Spares"/>
    <s v="Circular Loom Spares"/>
    <s v="Spares &amp; Stores"/>
    <s v="Spares &amp; Stores"/>
    <s v="Spring 04-12"/>
    <n v="10"/>
    <n v="37.5"/>
  </r>
  <r>
    <x v="0"/>
    <s v="Plastene India Limited (Unit -II)"/>
    <d v="2023-04-09T00:00:00"/>
    <s v="K.P. Woven Pvt Ltd - Unit 3 -Sales"/>
    <s v="Export Sales"/>
    <s v="PIL2/E/5/23-24"/>
    <x v="6"/>
    <s v="PIL2/E/5/23-24"/>
    <d v="2023-04-09T00:00:00"/>
    <s v="FG"/>
    <s v="FIBC Bags"/>
    <s v="FIBC Bags"/>
    <s v="PP WOVEN BIG BAGS / SACKS"/>
    <s v="FIBC Bags With UV With Liner"/>
    <n v="3033"/>
    <n v="484680.98250000004"/>
  </r>
  <r>
    <x v="0"/>
    <s v="Plastene India Limited (Unit -II)"/>
    <d v="2023-04-09T00:00:00"/>
    <s v="K.P. Woven Pvt Ltd - Unit 3 -Sales"/>
    <s v="Export Sales"/>
    <s v="PIL2/E/5/23-24"/>
    <x v="6"/>
    <s v="PIL2/E/5/23-24"/>
    <d v="2023-04-09T00:00:00"/>
    <s v="FG"/>
    <s v="FIBC Bags"/>
    <s v="FIBC Bags"/>
    <s v="PP WOVEN BIG BAGS / SACKS"/>
    <s v="FIBC Bags With UV Without Liner"/>
    <n v="5038"/>
    <n v="805084.99500000011"/>
  </r>
  <r>
    <x v="0"/>
    <s v="Plastene India Limited (Unit -II)"/>
    <d v="2023-04-10T00:00:00"/>
    <s v="K.P. Woven Pvt Ltd-Sales"/>
    <s v="Sales"/>
    <n v="24"/>
    <x v="0"/>
    <s v="PIL2/D/24"/>
    <d v="2023-04-10T00:00:00"/>
    <s v="Consumables"/>
    <s v="Consumables"/>
    <s v="Other Purchase"/>
    <s v="Consumble Stores"/>
    <s v="Elastic Band Width 38 mmWhite"/>
    <n v="150"/>
    <n v="495"/>
  </r>
  <r>
    <x v="0"/>
    <s v="Plastene India Limited (Unit -II)"/>
    <d v="2023-04-10T00:00:00"/>
    <s v="K.P. Woven Pvt Ltd-Sales"/>
    <s v="Sales"/>
    <n v="25"/>
    <x v="1"/>
    <s v="PIL2/D/25"/>
    <d v="2023-04-10T00:00:00"/>
    <s v="SF"/>
    <s v="PP/PE Fabric"/>
    <s v="PP UL Fabric"/>
    <s v="PP Woven Fabrics(FG)"/>
    <s v="PP UL Fabric With UV"/>
    <n v="7354"/>
    <n v="846004.16"/>
  </r>
  <r>
    <x v="0"/>
    <s v="Plastene India Limited (Unit -II)"/>
    <d v="2023-04-10T00:00:00"/>
    <s v="K.P. Woven Pvt Ltd-Sales"/>
    <s v="Sales"/>
    <n v="25"/>
    <x v="1"/>
    <s v="PIL2/D/25"/>
    <d v="2023-04-10T00:00:00"/>
    <s v="FG"/>
    <s v="FIBC WIP"/>
    <s v="FIBC WIP"/>
    <s v="LLDPE BAGS (LINER)"/>
    <s v="FIBC WIP"/>
    <n v="70.099999999999994"/>
    <n v="14548.5"/>
  </r>
  <r>
    <x v="0"/>
    <s v="Plastene India Limited (Unit -II)"/>
    <d v="2023-04-10T00:00:00"/>
    <s v="K.P. Woven Pvt Ltd-Sales"/>
    <s v="Sales"/>
    <n v="26"/>
    <x v="0"/>
    <s v="PIL2/D/26"/>
    <d v="2023-04-10T00:00:00"/>
    <s v="Stores/Spares"/>
    <s v="MS Structure Items"/>
    <s v="Other Purchase"/>
    <s v="Consumble Stores"/>
    <s v="MS Pipe"/>
    <n v="301"/>
    <n v="14448"/>
  </r>
  <r>
    <x v="0"/>
    <s v="Plastene India Limited (Unit -II)"/>
    <d v="2023-04-10T00:00:00"/>
    <s v="K.P. Woven Pvt Ltd-Sales"/>
    <s v="Sales"/>
    <n v="27"/>
    <x v="1"/>
    <s v="PIL2/D/27"/>
    <d v="2023-04-10T00:00:00"/>
    <s v="FG"/>
    <s v="FIBC Bags"/>
    <s v="FIBC Bags"/>
    <s v="PP WOVEN BIG BAGS / SACKS"/>
    <s v="FIBC Bags With UV Without Liner"/>
    <n v="10107"/>
    <n v="1699289.91"/>
  </r>
  <r>
    <x v="0"/>
    <s v="Plastene India Limited (Unit -II)"/>
    <d v="2023-04-10T00:00:00"/>
    <s v="Plastene Polyfilms Ltd-Sales"/>
    <s v="Sales"/>
    <n v="29"/>
    <x v="1"/>
    <s v="PIL2/D/29"/>
    <d v="2023-04-10T00:00:00"/>
    <s v="FG"/>
    <s v="FIBC Bags"/>
    <s v="FIBC Bags"/>
    <s v="PP WOVEN BIG BAGS / SACKS"/>
    <s v="FIBC Bags With UV Without Liner"/>
    <n v="12865"/>
    <n v="2150127.4500000002"/>
  </r>
  <r>
    <x v="0"/>
    <s v="Plastene India Limited (Unit -II)"/>
    <d v="2023-04-10T00:00:00"/>
    <s v="Plastene Polyfilms Ltd-Sales"/>
    <s v="Sales"/>
    <n v="29"/>
    <x v="1"/>
    <s v="PIL2/D/29"/>
    <d v="2023-04-10T00:00:00"/>
    <s v="FG"/>
    <s v="FIBC Bags"/>
    <s v="FIBC Bags"/>
    <s v="PP WOVEN BIG BAGS / SACKS"/>
    <s v="FIBC Bags With UV Without Liner"/>
    <n v="6751"/>
    <n v="1153813.4099999999"/>
  </r>
  <r>
    <x v="0"/>
    <s v="Plastene India Limited (Unit -II)"/>
    <d v="2023-04-11T00:00:00"/>
    <s v="HCP Plastene Bulkpack Ltd (Unit-III) - Sales"/>
    <s v="Sales"/>
    <n v="31"/>
    <x v="1"/>
    <s v="PIL2/D/31"/>
    <d v="2023-04-11T00:00:00"/>
    <s v="FG"/>
    <s v="FIBC WIP"/>
    <s v="FIBC WIP"/>
    <s v="LLDPE BAGS (LINER)"/>
    <s v="FIBC WIP"/>
    <n v="27.8"/>
    <n v="5222.3999999999996"/>
  </r>
  <r>
    <x v="0"/>
    <s v="Plastene India Limited (Unit -II)"/>
    <d v="2023-04-11T00:00:00"/>
    <s v="HCP Plastene Bulkpack Ltd (Unit-III) - Sales"/>
    <s v="Sales"/>
    <n v="31"/>
    <x v="1"/>
    <s v="PIL2/D/31"/>
    <d v="2023-04-11T00:00:00"/>
    <s v="SF"/>
    <s v="Webbing"/>
    <s v="PP Webbing"/>
    <s v="PP WEBBING (FG)"/>
    <s v="Webbing"/>
    <n v="702.3"/>
    <n v="84304.09"/>
  </r>
  <r>
    <x v="0"/>
    <s v="Plastene India Limited (Unit -II)"/>
    <d v="2023-04-11T00:00:00"/>
    <s v="HCP Plastene Bulkpack Ltd (Unit-III) - Sales"/>
    <s v="Sales"/>
    <n v="31"/>
    <x v="1"/>
    <s v="PIL2/D/31"/>
    <d v="2023-04-11T00:00:00"/>
    <s v="SF"/>
    <s v="PP/PE Fabric"/>
    <s v="PP UL Fabric"/>
    <s v="PP Woven Fabrics(FG)"/>
    <s v="PP UL Fabric With UV"/>
    <n v="1852.5"/>
    <n v="218669.1"/>
  </r>
  <r>
    <x v="0"/>
    <s v="Plastene India Limited (Unit -II)"/>
    <d v="2023-04-11T00:00:00"/>
    <s v="HCP Plastene Bulkpack Ltd (Unit-III) - Sales"/>
    <s v="Sales"/>
    <n v="32"/>
    <x v="0"/>
    <s v="PIL2/D/32"/>
    <d v="2023-04-11T00:00:00"/>
    <s v="Stores/Spares"/>
    <s v="MS Structure Items"/>
    <s v="Other Purchase"/>
    <s v="Consumble Stores"/>
    <s v="MS Pipe"/>
    <n v="75"/>
    <n v="3600"/>
  </r>
  <r>
    <x v="0"/>
    <s v="Plastene India Limited (Unit -II)"/>
    <d v="2023-04-12T00:00:00"/>
    <s v="HCP Plastene Bulkpack Limited - Sales"/>
    <s v="Sales"/>
    <n v="35"/>
    <x v="0"/>
    <s v="PIL2/D/35"/>
    <d v="2023-04-12T00:00:00"/>
    <s v="Stores/Spares"/>
    <s v="MS Structure Items"/>
    <s v="Other Purchase"/>
    <s v="Consumble Stores"/>
    <s v="MS Pipe"/>
    <n v="1430"/>
    <n v="68640"/>
  </r>
  <r>
    <x v="0"/>
    <s v="Plastene India Limited (Unit -II)"/>
    <d v="2023-04-12T00:00:00"/>
    <s v="HCP Plastene Bulkpack Limited - Sales"/>
    <s v="Sales"/>
    <n v="36"/>
    <x v="1"/>
    <s v="PIL2/D/36"/>
    <d v="2023-04-12T00:00:00"/>
    <s v="RM"/>
    <s v="Granules"/>
    <s v="Filler"/>
    <s v="Filler"/>
    <s v="Filler Everplus E102 PP"/>
    <n v="16000"/>
    <n v="464480"/>
  </r>
  <r>
    <x v="0"/>
    <s v="Plastene India Limited (Unit -II)"/>
    <d v="2023-04-12T00:00:00"/>
    <s v="K.P. Woven Pvt Ltd - Unit 3 -Sales"/>
    <s v="Export Sales"/>
    <s v="PIL2/E/7/23-24"/>
    <x v="6"/>
    <s v="PIL2/E/7/23-24"/>
    <d v="2023-04-12T00:00:00"/>
    <s v="FG"/>
    <s v="FIBC Bags"/>
    <s v="FIBC Bags"/>
    <s v="PP WOVEN BIG BAGS / SACKS"/>
    <s v="FIBC Bags With UV Without Liner"/>
    <n v="7839"/>
    <n v="1252691.7974999999"/>
  </r>
  <r>
    <x v="0"/>
    <s v="Plastene India Limited (Unit -II)"/>
    <d v="2023-04-12T00:00:00"/>
    <s v="K.P. Woven Pvt Ltd-Sales"/>
    <s v="Sales"/>
    <n v="39"/>
    <x v="1"/>
    <s v="PIL2/D/39"/>
    <d v="2023-04-12T00:00:00"/>
    <s v="SF"/>
    <s v="Yarn All"/>
    <s v="PP Yarn"/>
    <s v="PP Filament Yarn"/>
    <s v="Polyester Yarn Twisted"/>
    <n v="735.9"/>
    <n v="107316.3"/>
  </r>
  <r>
    <x v="0"/>
    <s v="Plastene India Limited (Unit -II)"/>
    <d v="2023-04-13T00:00:00"/>
    <s v="HCP Plastene Bulkpack Ltd (Unit-III) - Sales"/>
    <s v="Sales"/>
    <n v="42"/>
    <x v="1"/>
    <s v="PIL2/D/42"/>
    <d v="2023-04-13T00:00:00"/>
    <s v="SF"/>
    <s v="PP/PE Fabric"/>
    <s v="PP UL Fabric"/>
    <s v="PP Woven Fabrics(FG)"/>
    <s v="PP UL Fabric With UV"/>
    <n v="443"/>
    <n v="52291.72"/>
  </r>
  <r>
    <x v="0"/>
    <s v="Plastene India Limited (Unit -II)"/>
    <d v="2023-04-13T00:00:00"/>
    <s v="HCP Plastene Bulkpack Ltd (Unit-III) - Sales"/>
    <s v="Sales"/>
    <n v="42"/>
    <x v="1"/>
    <s v="PIL2/D/42"/>
    <d v="2023-04-13T00:00:00"/>
    <s v="SF"/>
    <s v="Webbing"/>
    <s v="PP Webbing"/>
    <s v="PP WEBBING (FG)"/>
    <s v="Webbing"/>
    <n v="474.8"/>
    <n v="56994.99"/>
  </r>
  <r>
    <x v="0"/>
    <s v="Plastene India Limited (Unit -II)"/>
    <d v="2023-04-13T00:00:00"/>
    <s v="HCP Plastene Bulkpack Ltd (Unit-III) - Sales"/>
    <s v="Sales"/>
    <n v="42"/>
    <x v="1"/>
    <s v="PIL2/D/42"/>
    <d v="2023-04-13T00:00:00"/>
    <s v="SF"/>
    <s v="Webbing"/>
    <s v="PP Webbing"/>
    <s v="PP WEBBING (FG)"/>
    <s v="Webbing"/>
    <n v="405.8"/>
    <n v="47494.83"/>
  </r>
  <r>
    <x v="0"/>
    <s v="Plastene India Limited (Unit -II)"/>
    <d v="2023-04-13T00:00:00"/>
    <s v="HCP Plastene Bulkpack Ltd (Unit-III) - Sales"/>
    <s v="Sales"/>
    <n v="43"/>
    <x v="0"/>
    <s v="PIL2/D/43"/>
    <d v="2023-04-13T00:00:00"/>
    <s v="Stores/Spares"/>
    <s v="MS Structure Items"/>
    <s v="Other Purchase"/>
    <s v="Consumble Stores"/>
    <s v="MS Pipe"/>
    <n v="18"/>
    <n v="864"/>
  </r>
  <r>
    <x v="0"/>
    <s v="Plastene India Limited (Unit -II)"/>
    <d v="2023-04-13T00:00:00"/>
    <s v="K.P. Woven Pvt Ltd - Unit 3 -Sales"/>
    <s v="Export Sales"/>
    <s v="PIL2/E/8/23-24"/>
    <x v="6"/>
    <s v="PIL2/E/8/23-24"/>
    <d v="2023-04-13T00:00:00"/>
    <s v="FG"/>
    <s v="FIBC Bags"/>
    <s v="FIBC Bags"/>
    <s v="PP WOVEN BIG BAGS / SACKS"/>
    <s v="FIBC Bags With UV Without Liner"/>
    <n v="8625"/>
    <n v="1329026.25"/>
  </r>
  <r>
    <x v="0"/>
    <s v="Plastene India Limited (Unit -II)"/>
    <d v="2023-04-13T00:00:00"/>
    <s v="K.P. Woven Pvt Ltd - Unit 3 -Sales"/>
    <s v="Export Sales"/>
    <s v="PIL2/E/9/23-24"/>
    <x v="6"/>
    <s v="PIL2/E/9/23-24"/>
    <d v="2023-04-13T00:00:00"/>
    <s v="RM"/>
    <s v="Granules"/>
    <s v="UV MB"/>
    <s v="Master Batch"/>
    <s v="UV PIL NFG 20LD"/>
    <n v="1000"/>
    <n v="182000"/>
  </r>
  <r>
    <x v="0"/>
    <s v="Plastene India Limited (Unit -II)"/>
    <d v="2023-04-13T00:00:00"/>
    <s v="K.P. Woven Pvt Ltd-Sales"/>
    <s v="Sales"/>
    <n v="41"/>
    <x v="1"/>
    <s v="PIL2/D/41"/>
    <d v="2023-04-13T00:00:00"/>
    <s v="FG"/>
    <s v="FIBC Bags"/>
    <s v="FIBC Bags"/>
    <s v="PP WOVEN BIG BAGS / SACKS"/>
    <s v="FIBC Bags With UV Without Liner"/>
    <n v="394"/>
    <n v="68855.44"/>
  </r>
  <r>
    <x v="0"/>
    <s v="Plastene India Limited (Unit -II)"/>
    <d v="2023-04-13T00:00:00"/>
    <s v="K.P. Woven Pvt Ltd-Sales"/>
    <s v="Sales"/>
    <n v="41"/>
    <x v="1"/>
    <s v="PIL2/D/41"/>
    <d v="2023-04-13T00:00:00"/>
    <s v="FG"/>
    <s v="FIBC Bags"/>
    <s v="FIBC Bags"/>
    <s v="PP WOVEN BIG BAGS / SACKS"/>
    <s v="FIBC Bags With UV Without Liner"/>
    <n v="1230"/>
    <n v="215016.3"/>
  </r>
  <r>
    <x v="0"/>
    <s v="Plastene India Limited (Unit -II)"/>
    <d v="2023-04-13T00:00:00"/>
    <s v="K.P. Woven Pvt Ltd-Sales"/>
    <s v="Sales"/>
    <n v="41"/>
    <x v="1"/>
    <s v="PIL2/D/41"/>
    <d v="2023-04-13T00:00:00"/>
    <s v="FG"/>
    <s v="FIBC WIP"/>
    <s v="FIBC WIP"/>
    <s v="LLDPE BAGS (LINER)"/>
    <s v="FIBC WIP"/>
    <n v="57"/>
    <n v="12352"/>
  </r>
  <r>
    <x v="0"/>
    <s v="Plastene India Limited (Unit -II)"/>
    <d v="2023-04-13T00:00:00"/>
    <s v="K.P. Woven Pvt Ltd-Sales"/>
    <s v="Sales"/>
    <n v="41"/>
    <x v="1"/>
    <s v="PIL2/D/41"/>
    <d v="2023-04-13T00:00:00"/>
    <s v="RM"/>
    <s v="Granules"/>
    <s v="UV MB"/>
    <s v="Master Batch"/>
    <s v="UV PIL NFG 20LD"/>
    <n v="2500"/>
    <n v="455000"/>
  </r>
  <r>
    <x v="0"/>
    <s v="Plastene India Limited (Unit -II)"/>
    <d v="2023-04-13T00:00:00"/>
    <s v="Plastene Polyfilms Ltd-Sales"/>
    <s v="Sales"/>
    <n v="40"/>
    <x v="1"/>
    <s v="PIL2/D/40"/>
    <d v="2023-04-13T00:00:00"/>
    <s v="SF"/>
    <s v="Webbing"/>
    <s v="PP Webbing"/>
    <s v="PP WEBBING (FG)"/>
    <s v="Webbing"/>
    <n v="601.79999999999995"/>
    <n v="72240.070000000007"/>
  </r>
  <r>
    <x v="0"/>
    <s v="Plastene India Limited (Unit -II)"/>
    <d v="2023-04-13T00:00:00"/>
    <s v="Plastene Polyfilms Ltd-Sales"/>
    <s v="Sales"/>
    <n v="40"/>
    <x v="1"/>
    <s v="PIL2/D/40"/>
    <d v="2023-04-13T00:00:00"/>
    <s v="SF"/>
    <s v="Webbing"/>
    <s v="PP Webbing"/>
    <s v="PP WEBBING (FG)"/>
    <s v="Webbing MF"/>
    <n v="148.30000000000001"/>
    <n v="17357.03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4704"/>
    <n v="1098666.24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3338"/>
    <n v="554675.46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3874"/>
    <n v="684458.32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2585"/>
    <n v="451987.25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3498"/>
    <n v="629709.96"/>
  </r>
  <r>
    <x v="0"/>
    <s v="Plastene India Limited (Unit -II)"/>
    <d v="2023-04-14T00:00:00"/>
    <s v="K.P. Woven Pvt Ltd - Unit 3 -Sales"/>
    <s v="Export Sales"/>
    <s v="PIL2/E/10/23-24"/>
    <x v="6"/>
    <s v="PIL2/E/10/23-24"/>
    <d v="2023-04-14T00:00:00"/>
    <s v="FG"/>
    <s v="FIBC Bags"/>
    <s v="FIBC Bags"/>
    <s v="PP WOVEN BIG BAGS / SACKS"/>
    <s v="FIBC Bags With UV Without Liner"/>
    <n v="5953"/>
    <n v="917297.77"/>
  </r>
  <r>
    <x v="0"/>
    <s v="Plastene India Limited (Unit -II)"/>
    <d v="2023-04-14T00:00:00"/>
    <s v="K.P. Woven Pvt Ltd-Sales"/>
    <s v="Sales"/>
    <n v="45"/>
    <x v="1"/>
    <s v="PIL2/D/45"/>
    <d v="2023-04-14T00:00:00"/>
    <s v="FG"/>
    <s v="FIBC WIP"/>
    <s v="FIBC WIP"/>
    <s v="LLDPE BAGS (LINER)"/>
    <s v="FIBC WIP"/>
    <n v="17.600000000000001"/>
    <n v="2805"/>
  </r>
  <r>
    <x v="0"/>
    <s v="Plastene India Limited (Unit -II)"/>
    <d v="2023-04-14T00:00:00"/>
    <s v="K.P. Woven Pvt Ltd-Sales"/>
    <s v="Sales"/>
    <n v="45"/>
    <x v="1"/>
    <s v="PIL2/D/45"/>
    <d v="2023-04-14T00:00:00"/>
    <s v="SF"/>
    <s v="PP/PE Fabric"/>
    <s v="PP UL Fabric"/>
    <s v="PP Woven Fabrics(FG)"/>
    <s v="PP UL Fabric With UV"/>
    <n v="5607"/>
    <n v="645029.28"/>
  </r>
  <r>
    <x v="0"/>
    <s v="Plastene India Limited (Unit -II)"/>
    <d v="2023-04-14T00:00:00"/>
    <s v="K.P. Woven Pvt Ltd-Sales"/>
    <s v="Sales"/>
    <n v="46"/>
    <x v="0"/>
    <s v="PIL2/D/46"/>
    <d v="2023-04-14T00:00:00"/>
    <s v="Stores/Spares"/>
    <s v="MS Structure Items"/>
    <s v="Other Purchase"/>
    <s v="Consumble Stores"/>
    <s v="MS Pipe"/>
    <n v="267"/>
    <n v="12816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3632"/>
    <n v="557512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3303.6"/>
    <n v="557878.93000000005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9873"/>
    <n v="1414998.36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3214.8"/>
    <n v="583904.12"/>
  </r>
  <r>
    <x v="0"/>
    <s v="Plastene India Limited (Unit -II)"/>
    <d v="2023-04-15T00:00:00"/>
    <s v="K.P. Woven Pvt Ltd-Sales"/>
    <s v="Sales"/>
    <n v="50"/>
    <x v="1"/>
    <s v="PIL2/D/50"/>
    <d v="2023-04-15T00:00:00"/>
    <s v="SF"/>
    <s v="PP/PE Fabric"/>
    <s v="PP UL Fabric"/>
    <s v="PP Woven Fabrics(FG)"/>
    <s v="PP UL Fabric With UV"/>
    <n v="1324.4"/>
    <n v="178846.98"/>
  </r>
  <r>
    <x v="0"/>
    <s v="Plastene India Limited (Unit -II)"/>
    <d v="2023-04-15T00:00:00"/>
    <s v="K.P. Woven Pvt Ltd-Sales"/>
    <s v="Sales"/>
    <n v="50"/>
    <x v="1"/>
    <s v="PIL2/D/50"/>
    <d v="2023-04-15T00:00:00"/>
    <s v="SF"/>
    <s v="PP/PE Fabric"/>
    <s v="PP UL Fabric"/>
    <s v="PP Woven Fabrics(FG)"/>
    <s v="PP UL Fabric With UV"/>
    <n v="4015.5"/>
    <n v="461943.12"/>
  </r>
  <r>
    <x v="0"/>
    <s v="Plastene India Limited (Unit -II)"/>
    <d v="2023-04-15T00:00:00"/>
    <s v="K.P. Woven Pvt Ltd-Sales"/>
    <s v="Sales"/>
    <n v="51"/>
    <x v="0"/>
    <s v="PIL2/D/51"/>
    <d v="2023-04-15T00:00:00"/>
    <s v="Stores/Spares"/>
    <s v="MS Structure Items"/>
    <s v="Other Purchase"/>
    <s v="Consumble Stores"/>
    <s v="MS Pipe"/>
    <n v="195.5"/>
    <n v="9384"/>
  </r>
  <r>
    <x v="0"/>
    <s v="Plastene India Limited (Unit -II)"/>
    <d v="2023-04-17T00:00:00"/>
    <s v="K.P. Woven Pvt Ltd - Unit 3 -Sales"/>
    <s v="Export Sales"/>
    <s v="PIL2/E/13/23-24"/>
    <x v="6"/>
    <s v="PIL2/E/13/23-24"/>
    <d v="2023-04-17T00:00:00"/>
    <s v="FG"/>
    <s v="FIBC Bags"/>
    <s v="FIBC Bags"/>
    <s v="PP WOVEN BIG BAGS / SACKS"/>
    <s v="FIBC Bags With UV Without Liner"/>
    <n v="9461"/>
    <n v="1457845.49"/>
  </r>
  <r>
    <x v="0"/>
    <s v="Plastene India Limited (Unit -II)"/>
    <d v="2023-04-17T00:00:00"/>
    <s v="K.P. Woven Pvt Ltd-Sales"/>
    <s v="Sales"/>
    <n v="55"/>
    <x v="1"/>
    <s v="PIL2/D/55"/>
    <d v="2023-04-17T00:00:00"/>
    <s v="RM"/>
    <s v="Granules"/>
    <s v="Filler"/>
    <s v="Filler"/>
    <s v="Filler Everplus E102 PP"/>
    <n v="16000"/>
    <n v="464544"/>
  </r>
  <r>
    <x v="0"/>
    <s v="Plastene India Limited (Unit -II)"/>
    <d v="2023-04-17T00:00:00"/>
    <s v="Plastene Polyfilms Ltd-Sales"/>
    <s v="Sales"/>
    <n v="53"/>
    <x v="1"/>
    <s v="PIL2/D/53"/>
    <d v="2023-04-17T00:00:00"/>
    <s v="SF"/>
    <s v="PP/PE Fabric"/>
    <s v="PP UL Fabric"/>
    <s v="PP Woven Fabrics(FG)"/>
    <s v="PP UL Fabric Without UV"/>
    <n v="5103"/>
    <n v="571536"/>
  </r>
  <r>
    <x v="0"/>
    <s v="Plastene India Limited (Unit -II)"/>
    <d v="2023-04-17T00:00:00"/>
    <s v="Plastene Polyfilms Ltd-Sales"/>
    <s v="Sales"/>
    <n v="53"/>
    <x v="1"/>
    <s v="PIL2/D/53"/>
    <d v="2023-04-17T00:00:00"/>
    <s v="SF"/>
    <s v="Webbing"/>
    <s v="PP Webbing"/>
    <s v="PP WEBBING (FG)"/>
    <s v="Webbing MF"/>
    <n v="147.9"/>
    <n v="17310.22"/>
  </r>
  <r>
    <x v="0"/>
    <s v="Plastene India Limited (Unit -II)"/>
    <d v="2023-04-17T00:00:00"/>
    <s v="Plastene Polyfilms Ltd-Sales"/>
    <s v="Sales"/>
    <n v="53"/>
    <x v="1"/>
    <s v="PIL2/D/53"/>
    <d v="2023-04-17T00:00:00"/>
    <s v="SF"/>
    <s v="Webbing"/>
    <s v="PP Webbing"/>
    <s v="PP WEBBING (FG)"/>
    <s v="Webbing"/>
    <n v="43.6"/>
    <n v="5102.9399999999996"/>
  </r>
  <r>
    <x v="0"/>
    <s v="Plastene India Limited (Unit -II)"/>
    <d v="2023-04-17T00:00:00"/>
    <s v="Plastene Polyfilms Ltd-Sales"/>
    <s v="Sales"/>
    <n v="54"/>
    <x v="0"/>
    <s v="PIL2/D/54"/>
    <d v="2023-04-17T00:00:00"/>
    <s v="Stores/Spares"/>
    <s v="MS Structure Items"/>
    <s v="Other Purchase"/>
    <s v="Consumble Stores"/>
    <s v="MS Pipe"/>
    <n v="162"/>
    <n v="7776"/>
  </r>
  <r>
    <x v="0"/>
    <s v="Plastene India Limited (Unit -II)"/>
    <d v="2023-04-18T00:00:00"/>
    <s v="K.P. Woven Pvt Ltd-Sales"/>
    <s v="Sales"/>
    <n v="56"/>
    <x v="1"/>
    <s v="PIL2/D/56"/>
    <d v="2023-04-18T00:00:00"/>
    <s v="FG"/>
    <s v="FIBC WIP"/>
    <s v="FIBC WIP"/>
    <s v="LLDPE BAGS (LINER)"/>
    <s v="FIBC WIP"/>
    <n v="13.6"/>
    <n v="3016"/>
  </r>
  <r>
    <x v="0"/>
    <s v="Plastene India Limited (Unit -II)"/>
    <d v="2023-04-18T00:00:00"/>
    <s v="K.P. Woven Pvt Ltd-Sales"/>
    <s v="Sales"/>
    <n v="56"/>
    <x v="1"/>
    <s v="PIL2/D/56"/>
    <d v="2023-04-18T00:00:00"/>
    <s v="FG"/>
    <s v="FIBC WIP"/>
    <s v="FIBC WIP"/>
    <s v="LLDPE BAGS (LINER)"/>
    <s v="FIBC WIP"/>
    <n v="154"/>
    <n v="21791"/>
  </r>
  <r>
    <x v="0"/>
    <s v="Plastene India Limited (Unit -II)"/>
    <d v="2023-04-18T00:00:00"/>
    <s v="K.P. Woven Pvt Ltd-Sales"/>
    <s v="Sales"/>
    <n v="56"/>
    <x v="1"/>
    <s v="PIL2/D/56"/>
    <d v="2023-04-18T00:00:00"/>
    <s v="SF"/>
    <s v="PP/PE Fabric"/>
    <s v="PP UL Fabric"/>
    <s v="PP Woven Fabrics(FG)"/>
    <s v="PP UL Fabric With UV"/>
    <n v="3991"/>
    <n v="459124.64"/>
  </r>
  <r>
    <x v="0"/>
    <s v="Plastene India Limited (Unit -II)"/>
    <d v="2023-04-18T00:00:00"/>
    <s v="K.P. Woven Pvt Ltd-Sales"/>
    <s v="Sales"/>
    <n v="56"/>
    <x v="1"/>
    <s v="PIL2/D/56"/>
    <d v="2023-04-18T00:00:00"/>
    <s v="SF"/>
    <s v="PP/PE Fabric"/>
    <s v="PP Lam Fabric"/>
    <s v="PP Laminated Fabric"/>
    <s v="PP Lam Fabric With UV"/>
    <n v="119"/>
    <n v="13927.76"/>
  </r>
  <r>
    <x v="0"/>
    <s v="Plastene India Limited (Unit -II)"/>
    <d v="2023-04-18T00:00:00"/>
    <s v="K.P. Woven Pvt Ltd-Sales"/>
    <s v="Sales"/>
    <n v="57"/>
    <x v="0"/>
    <s v="PIL2/D/57"/>
    <d v="2023-04-18T00:00:00"/>
    <s v="Stores/Spares"/>
    <s v="MS Structure Items"/>
    <s v="Other Purchase"/>
    <s v="Consumble Stores"/>
    <s v="MS Pipe"/>
    <n v="186"/>
    <n v="8928"/>
  </r>
  <r>
    <x v="0"/>
    <s v="Plastene India Limited (Unit -II)"/>
    <d v="2023-04-19T00:00:00"/>
    <s v="HCP Plastene Bulkpack Ltd (Unit-III) - Sales"/>
    <s v="Sales"/>
    <n v="58"/>
    <x v="1"/>
    <s v="PIL2/D/58"/>
    <d v="2023-04-19T00:00:00"/>
    <s v="SF"/>
    <s v="Webbing"/>
    <s v="PP Webbing"/>
    <s v="PP WEBBING (FG)"/>
    <s v="Webbing"/>
    <n v="1460.2"/>
    <n v="175282.41"/>
  </r>
  <r>
    <x v="0"/>
    <s v="Plastene India Limited (Unit -II)"/>
    <d v="2023-04-19T00:00:00"/>
    <s v="HCP Plastene Bulkpack Ltd (Unit-III) - Sales"/>
    <s v="Sales"/>
    <n v="58"/>
    <x v="1"/>
    <s v="PIL2/D/58"/>
    <d v="2023-04-19T00:00:00"/>
    <s v="SF"/>
    <s v="PP/PE Fabric"/>
    <s v="PP UL Fabric"/>
    <s v="PP Woven Fabrics(FG)"/>
    <s v="PP UL Fabric With UV"/>
    <n v="1720"/>
    <n v="203028.8"/>
  </r>
  <r>
    <x v="0"/>
    <s v="Plastene India Limited (Unit -II)"/>
    <d v="2023-04-19T00:00:00"/>
    <s v="HCP Plastene Bulkpack Ltd (Unit-III) - Sales"/>
    <s v="Sales"/>
    <n v="59"/>
    <x v="0"/>
    <s v="PIL2/D/59"/>
    <d v="2023-04-19T00:00:00"/>
    <s v="Stores/Spares"/>
    <s v="MS Structure Items"/>
    <s v="Other Purchase"/>
    <s v="Consumble Stores"/>
    <s v="MS Pipe"/>
    <n v="60"/>
    <n v="2880"/>
  </r>
  <r>
    <x v="0"/>
    <s v="Plastene India Limited (Unit -II)"/>
    <d v="2023-04-19T00:00:00"/>
    <s v="K.P. Woven Pvt Ltd - Unit 3 -Sales"/>
    <s v="Export Sales"/>
    <s v="PIL2/E/14/23-24"/>
    <x v="6"/>
    <s v="PIL2/E/14/23-24"/>
    <d v="2023-04-19T00:00:00"/>
    <s v="FG"/>
    <s v="FIBC Bags"/>
    <s v="FIBC Bags"/>
    <s v="PP WOVEN BIG BAGS / SACKS"/>
    <s v="FIBC Bags With UV Without Liner"/>
    <n v="6624"/>
    <n v="1020692.1599999999"/>
  </r>
  <r>
    <x v="0"/>
    <s v="Plastene India Limited (Unit -II)"/>
    <d v="2023-04-20T00:00:00"/>
    <s v="K.P. Woven Pvt Ltd-Sales"/>
    <s v="Sales"/>
    <n v="60"/>
    <x v="1"/>
    <s v="PIL2/D/60"/>
    <d v="2023-04-20T00:00:00"/>
    <s v="SF"/>
    <s v="PP/PE Fabric"/>
    <s v="PP UL Fabric"/>
    <s v="PP Woven Fabrics(FG)"/>
    <s v="PP UL Fabric With UV"/>
    <n v="4972"/>
    <n v="571978.88"/>
  </r>
  <r>
    <x v="0"/>
    <s v="Plastene India Limited (Unit -II)"/>
    <d v="2023-04-20T00:00:00"/>
    <s v="K.P. Woven Pvt Ltd-Sales"/>
    <s v="Sales"/>
    <n v="60"/>
    <x v="1"/>
    <s v="PIL2/D/60"/>
    <d v="2023-04-20T00:00:00"/>
    <s v="SF"/>
    <s v="Yarn All"/>
    <s v="PP Yarn"/>
    <s v="PP Rope"/>
    <s v="PP Braided Rope MW 6 to 8 GPM"/>
    <n v="180"/>
    <n v="32400"/>
  </r>
  <r>
    <x v="0"/>
    <s v="Plastene India Limited (Unit -II)"/>
    <d v="2023-04-20T00:00:00"/>
    <s v="K.P. Woven Pvt Ltd-Sales"/>
    <s v="Sales"/>
    <n v="60"/>
    <x v="1"/>
    <s v="PIL2/D/60"/>
    <d v="2023-04-20T00:00:00"/>
    <s v="RM"/>
    <s v="Granules"/>
    <s v="UV MB"/>
    <s v="Master Batch"/>
    <s v="UV PIL NFG 20LD"/>
    <n v="2500"/>
    <n v="455000"/>
  </r>
  <r>
    <x v="0"/>
    <s v="Plastene India Limited (Unit -II)"/>
    <d v="2023-04-20T00:00:00"/>
    <s v="K.P. Woven Pvt Ltd-Sales"/>
    <s v="Sales"/>
    <n v="61"/>
    <x v="0"/>
    <s v="PIL2/D/61"/>
    <d v="2023-04-20T00:00:00"/>
    <s v="Stores/Spares"/>
    <s v="MS Structure Items"/>
    <s v="Other Purchase"/>
    <s v="Consumble Stores"/>
    <s v="MS Pipe"/>
    <n v="214"/>
    <n v="10272"/>
  </r>
  <r>
    <x v="0"/>
    <s v="Plastene India Limited (Unit -II)"/>
    <d v="2023-04-20T00:00:00"/>
    <s v="Plastene Polyfilms Ltd-Sales"/>
    <s v="Sales"/>
    <n v="62"/>
    <x v="0"/>
    <s v="PIL2/D/62"/>
    <d v="2023-04-20T00:00:00"/>
    <s v="RM"/>
    <s v="Granules"/>
    <s v="UV MB"/>
    <s v="Master Batch"/>
    <s v="UV PIL NFG 20LD"/>
    <n v="5000"/>
    <n v="910000"/>
  </r>
  <r>
    <x v="0"/>
    <s v="Plastene India Limited (Unit -II)"/>
    <d v="2023-04-21T00:00:00"/>
    <s v="HCP Plastene Bulkpack Limited - Sales"/>
    <s v="Sales"/>
    <n v="65"/>
    <x v="0"/>
    <s v="PIL2/D/65"/>
    <d v="2023-04-21T00:00:00"/>
    <s v="RM"/>
    <s v="Granules"/>
    <s v="UV MB"/>
    <s v="Master Batch"/>
    <s v="UV PIL NFG 20LD"/>
    <n v="2500"/>
    <n v="455000"/>
  </r>
  <r>
    <x v="0"/>
    <s v="Plastene India Limited (Unit -II)"/>
    <d v="2023-04-21T00:00:00"/>
    <s v="HCP Plastene Bulkpack Limited - Sales"/>
    <s v="Sales"/>
    <n v="69"/>
    <x v="0"/>
    <s v="PIL2/D/69"/>
    <d v="2023-04-21T00:00:00"/>
    <s v="RM"/>
    <s v="Granules"/>
    <s v="UV MB"/>
    <s v="Master Batch"/>
    <s v="UV PIL NFG 20LD"/>
    <n v="125"/>
    <n v="22750"/>
  </r>
  <r>
    <x v="0"/>
    <s v="Plastene India Limited (Unit -II)"/>
    <d v="2023-04-21T00:00:00"/>
    <s v="HCP Plastene Bulkpack Ltd (Unit-III) - Sales"/>
    <s v="Sales"/>
    <n v="66"/>
    <x v="0"/>
    <s v="PIL2/D/66"/>
    <d v="2023-04-21T00:00:00"/>
    <s v="Stores/Spares"/>
    <s v="MS Structure Items"/>
    <s v="Other Purchase"/>
    <s v="Consumble Stores"/>
    <s v="MS Pipe"/>
    <n v="34"/>
    <n v="1632"/>
  </r>
  <r>
    <x v="0"/>
    <s v="Plastene India Limited (Unit -II)"/>
    <d v="2023-04-21T00:00:00"/>
    <s v="HCP Plastene Bulkpack Ltd (Unit-III) - Sales"/>
    <s v="Sales"/>
    <n v="67"/>
    <x v="1"/>
    <s v="PIL2/D/67"/>
    <d v="2023-04-21T00:00:00"/>
    <s v="SF"/>
    <s v="Webbing"/>
    <s v="PP Webbing"/>
    <s v="PP WEBBING (FG)"/>
    <s v="Webbing"/>
    <n v="150.9"/>
    <n v="17661.34"/>
  </r>
  <r>
    <x v="0"/>
    <s v="Plastene India Limited (Unit -II)"/>
    <d v="2023-04-21T00:00:00"/>
    <s v="HCP Plastene Bulkpack Ltd (Unit-III) - Sales"/>
    <s v="Sales"/>
    <n v="67"/>
    <x v="1"/>
    <s v="PIL2/D/67"/>
    <d v="2023-04-21T00:00:00"/>
    <s v="SF"/>
    <s v="Webbing"/>
    <s v="PP Webbing"/>
    <s v="PP WEBBING (FG)"/>
    <s v="Webbing"/>
    <n v="756.9"/>
    <n v="90858.28"/>
  </r>
  <r>
    <x v="0"/>
    <s v="Plastene India Limited (Unit -II)"/>
    <d v="2023-04-21T00:00:00"/>
    <s v="HCP Plastene Bulkpack Ltd (Unit-III) - Sales"/>
    <s v="Sales"/>
    <n v="67"/>
    <x v="1"/>
    <s v="PIL2/D/67"/>
    <d v="2023-04-21T00:00:00"/>
    <s v="SF"/>
    <s v="PP/PE Fabric"/>
    <s v="PP UL Fabric"/>
    <s v="PP Woven Fabrics(FG)"/>
    <s v="PP UL Fabric With UV"/>
    <n v="853"/>
    <n v="100688.12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PP/PE Fabric"/>
    <s v="PP UL Fabric"/>
    <s v="PP Woven Fabrics(FG)"/>
    <s v="PP UL Fabric With UV"/>
    <n v="5795"/>
    <n v="666656.80000000005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Yarn All"/>
    <s v="PP Yarn"/>
    <s v="PP Rope"/>
    <s v="PP Braided Rope MW 6 to 8 GPM"/>
    <n v="180"/>
    <n v="32400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PP/PE Fabric"/>
    <s v="PP UL Fabric"/>
    <s v="PP Woven Fabrics(FG)"/>
    <s v="PP UL Fabric With UV"/>
    <n v="149"/>
    <n v="20865.96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PP/PE Fabric"/>
    <s v="PP Lam Fabric"/>
    <s v="PP Laminated Fabric"/>
    <s v="PP Lam Fabric With UV"/>
    <n v="600"/>
    <n v="70224"/>
  </r>
  <r>
    <x v="0"/>
    <s v="Plastene India Limited (Unit -II)"/>
    <d v="2023-04-22T00:00:00"/>
    <s v="K.P. Woven Pvt Ltd-Sales"/>
    <s v="Sales"/>
    <n v="71"/>
    <x v="0"/>
    <s v="PIL2/D/71"/>
    <d v="2023-04-22T00:00:00"/>
    <s v="Stores/Spares"/>
    <s v="MS Structure Items"/>
    <s v="Other Purchase"/>
    <s v="Consumble Stores"/>
    <s v="MS Pipe"/>
    <n v="294"/>
    <n v="14112"/>
  </r>
  <r>
    <x v="0"/>
    <s v="Plastene India Limited (Unit -II)"/>
    <d v="2023-04-23T00:00:00"/>
    <s v="K.P. Woven Pvt Ltd - Unit 3 -Sales"/>
    <s v="Export Sales"/>
    <s v="PIL2/E/18/23-24"/>
    <x v="6"/>
    <s v="PIL2/E/18/23-24"/>
    <d v="2023-04-23T00:00:00"/>
    <s v="FG"/>
    <s v="FIBC Bags"/>
    <s v="FIBC Bags"/>
    <s v="PP WOVEN BIG BAGS / SACKS"/>
    <s v="FIBC Bags With UV With Liner"/>
    <n v="1060"/>
    <n v="163335.4"/>
  </r>
  <r>
    <x v="0"/>
    <s v="Plastene India Limited (Unit -II)"/>
    <d v="2023-04-23T00:00:00"/>
    <s v="K.P. Woven Pvt Ltd - Unit 3 -Sales"/>
    <s v="Export Sales"/>
    <s v="PIL2/E/18/23-24"/>
    <x v="6"/>
    <s v="PIL2/E/18/23-24"/>
    <d v="2023-04-23T00:00:00"/>
    <s v="FG"/>
    <s v="FIBC Bags"/>
    <s v="FIBC Bags"/>
    <s v="PP WOVEN BIG BAGS / SACKS"/>
    <s v="FIBC Bags With UV Without Liner"/>
    <n v="8072"/>
    <n v="1243814.4799999997"/>
  </r>
  <r>
    <x v="0"/>
    <s v="Plastene India Limited (Unit -II)"/>
    <d v="2023-04-23T00:00:00"/>
    <s v="K.P. Woven Pvt Ltd-Sales"/>
    <s v="Sales"/>
    <n v="72"/>
    <x v="0"/>
    <s v="PIL2/D/72"/>
    <d v="2023-04-23T00:00:00"/>
    <s v="RM Consumables"/>
    <s v="Ink"/>
    <s v="Ink"/>
    <s v="Ink"/>
    <s v="Ink Vyankatesh Poly Process Blue VLX 643"/>
    <n v="25"/>
    <n v="7625"/>
  </r>
  <r>
    <x v="0"/>
    <s v="Plastene India Limited (Unit -II)"/>
    <d v="2023-04-23T00:00:00"/>
    <s v="K.P. Woven Pvt Ltd-Sales"/>
    <s v="Sales"/>
    <n v="72"/>
    <x v="0"/>
    <s v="PIL2/D/72"/>
    <d v="2023-04-23T00:00:00"/>
    <s v="RM Consumables"/>
    <s v="Ink"/>
    <s v="Ink"/>
    <s v="Ink"/>
    <s v="Ink Vyankatesh Poly Blue 072C  VLX 505"/>
    <n v="25"/>
    <n v="7625"/>
  </r>
  <r>
    <x v="0"/>
    <s v="Plastene India Limited (Unit -II)"/>
    <d v="2023-04-23T00:00:00"/>
    <s v="K.P. Woven Pvt Ltd-Sales"/>
    <s v="Sales"/>
    <n v="72"/>
    <x v="0"/>
    <s v="PIL2/D/72"/>
    <d v="2023-04-23T00:00:00"/>
    <s v="RM Consumables"/>
    <s v="Ink"/>
    <s v="Ink"/>
    <s v="Ink"/>
    <s v="Ink Varsha Poly Process Yellow VLX 671"/>
    <n v="25"/>
    <n v="7750"/>
  </r>
  <r>
    <x v="0"/>
    <s v="Plastene India Limited (Unit -II)"/>
    <d v="2023-04-23T00:00:00"/>
    <s v="K.P. Woven Pvt Ltd-Sales"/>
    <s v="Sales"/>
    <n v="73"/>
    <x v="1"/>
    <s v="PIL2/D/73"/>
    <d v="2023-04-23T00:00:00"/>
    <s v="FG"/>
    <s v="FIBC WIP"/>
    <s v="FIBC WIP"/>
    <s v="LLDPE BAGS (LINER)"/>
    <s v="FIBC WIP"/>
    <n v="38.5"/>
    <n v="8864.1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FG"/>
    <s v="FIBC WIP"/>
    <s v="FIBC WIP"/>
    <s v="LLDPE BAGS (LINER)"/>
    <s v="FIBC WIP"/>
    <n v="8"/>
    <n v="1587.6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SF"/>
    <s v="PP/PE Fabric"/>
    <s v="PP UL Fabric"/>
    <s v="PP Woven Fabrics(FG)"/>
    <s v="PP UL Fabric With UV"/>
    <n v="2308"/>
    <n v="272436.32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SF"/>
    <s v="Webbing"/>
    <s v="PP Webbing"/>
    <s v="PP WEBBING (FG)"/>
    <s v="Webbing"/>
    <n v="806.8"/>
    <n v="96848.27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SF"/>
    <s v="Webbing"/>
    <s v="PP Webbing"/>
    <s v="PP WEBBING (FG)"/>
    <s v="Webbing"/>
    <n v="1222.9000000000001"/>
    <n v="143128.22"/>
  </r>
  <r>
    <x v="0"/>
    <s v="Plastene India Limited (Unit -II)"/>
    <d v="2023-04-24T00:00:00"/>
    <s v="HCP Plastene Bulkpack Ltd (Unit-III) - Sales"/>
    <s v="Sales"/>
    <n v="75"/>
    <x v="0"/>
    <s v="PIL2/D/75"/>
    <d v="2023-04-24T00:00:00"/>
    <s v="Stores/Spares"/>
    <s v="MS Structure Items"/>
    <s v="Other Purchase"/>
    <s v="Consumble Stores"/>
    <s v="MS Pipe"/>
    <n v="104"/>
    <n v="4992"/>
  </r>
  <r>
    <x v="0"/>
    <s v="Plastene India Limited (Unit -II)"/>
    <d v="2023-04-24T00:00:00"/>
    <s v="K.P. Woven Pvt Ltd - Unit 3 -Sales"/>
    <s v="Export Sales"/>
    <s v="PIL2/E/19/23-24"/>
    <x v="6"/>
    <s v="PIL2/E/19/23-24"/>
    <d v="2023-04-24T00:00:00"/>
    <s v="FG"/>
    <s v="FIBC Bags"/>
    <s v="FIBC Bags"/>
    <s v="PP WOVEN BIG BAGS / SACKS"/>
    <s v="FIBC Bags With UV Without Liner"/>
    <n v="4771"/>
    <n v="735163.3899999999"/>
  </r>
  <r>
    <x v="0"/>
    <s v="Plastene India Limited (Unit -II)"/>
    <d v="2023-04-24T00:00:00"/>
    <s v="K.P. Woven Pvt Ltd-Sales"/>
    <s v="Sales"/>
    <n v="76"/>
    <x v="1"/>
    <s v="PIL2/D/76"/>
    <d v="2023-04-24T00:00:00"/>
    <s v="FG"/>
    <s v="FIBC Bags"/>
    <s v="FIBC Bags"/>
    <s v="PP WOVEN BIG BAGS / SACKS"/>
    <s v="FIBC Bags With UV Without Liner"/>
    <n v="490"/>
    <n v="104291.6"/>
  </r>
  <r>
    <x v="0"/>
    <s v="Plastene India Limited (Unit -II)"/>
    <d v="2023-04-24T00:00:00"/>
    <s v="Plastene Polyfilms Ltd-Sales"/>
    <s v="Sales"/>
    <n v="77"/>
    <x v="1"/>
    <s v="PIL2/D/77"/>
    <d v="2023-04-24T00:00:00"/>
    <s v="SF"/>
    <s v="PP/PE Fabric"/>
    <s v="PP UL Fabric"/>
    <s v="PP Woven Fabrics(FG)"/>
    <s v="PP UL Fabric Without UV"/>
    <n v="3436"/>
    <n v="384832"/>
  </r>
  <r>
    <x v="0"/>
    <s v="Plastene India Limited (Unit -II)"/>
    <d v="2023-04-24T00:00:00"/>
    <s v="Plastene Polyfilms Ltd-Sales"/>
    <s v="Sales"/>
    <n v="78"/>
    <x v="0"/>
    <s v="PIL2/D/78"/>
    <d v="2023-04-24T00:00:00"/>
    <s v="Stores/Spares"/>
    <s v="MS Structure Items"/>
    <s v="Other Purchase"/>
    <s v="Consumble Stores"/>
    <s v="MS Pipe"/>
    <n v="108"/>
    <n v="5184"/>
  </r>
  <r>
    <x v="0"/>
    <s v="Plastene India Limited (Unit -II)"/>
    <d v="2023-04-25T00:00:00"/>
    <s v="K.P. Woven Pvt Ltd - Unit 3 -Sales"/>
    <s v="Export Sales"/>
    <s v="PIL2/E/20/23-24"/>
    <x v="6"/>
    <s v="PIL2/E/20/23-24"/>
    <d v="2023-04-25T00:00:00"/>
    <s v="FG"/>
    <s v="FIBC Bags"/>
    <s v="FIBC Bags"/>
    <s v="PP WOVEN BIG BAGS / SACKS"/>
    <s v="FIBC Bags With UV Without Liner"/>
    <n v="5434"/>
    <n v="837325.05999999994"/>
  </r>
  <r>
    <x v="0"/>
    <s v="Plastene India Limited (Unit -II)"/>
    <d v="2023-04-25T00:00:00"/>
    <s v="K.P. Woven Pvt Ltd - Unit 3 -Sales"/>
    <s v="Export Sales"/>
    <s v="PIL2/E/21/23-24"/>
    <x v="6"/>
    <s v="PIL2/E/21/23-24"/>
    <d v="2023-04-25T00:00:00"/>
    <s v="FG"/>
    <s v="FIBC Bags"/>
    <s v="FIBC Bags"/>
    <s v="PP WOVEN BIG BAGS / SACKS"/>
    <s v="FIBC Bags With UV Without Liner"/>
    <n v="406"/>
    <n v="64444.380000000005"/>
  </r>
  <r>
    <x v="0"/>
    <s v="Plastene India Limited (Unit -II)"/>
    <d v="2023-04-25T00:00:00"/>
    <s v="K.P. Woven Pvt Ltd-Sales"/>
    <s v="Sales"/>
    <n v="79"/>
    <x v="1"/>
    <s v="PIL2/D/79"/>
    <d v="2023-04-25T00:00:00"/>
    <s v="SF"/>
    <s v="PP/PE Fabric"/>
    <s v="PP UL Fabric"/>
    <s v="PP Woven Fabrics(FG)"/>
    <s v="PP UL Fabric With UV"/>
    <n v="5162"/>
    <n v="593836.48"/>
  </r>
  <r>
    <x v="0"/>
    <s v="Plastene India Limited (Unit -II)"/>
    <d v="2023-04-25T00:00:00"/>
    <s v="K.P. Woven Pvt Ltd-Sales"/>
    <s v="Sales"/>
    <n v="79"/>
    <x v="1"/>
    <s v="PIL2/D/79"/>
    <d v="2023-04-25T00:00:00"/>
    <s v="SF"/>
    <s v="PP/PE Fabric"/>
    <s v="PP UL Fabric"/>
    <s v="PP Woven Fabrics(FG)"/>
    <s v="PP UL Fabric With UV"/>
    <n v="728.6"/>
    <n v="98390.14"/>
  </r>
  <r>
    <x v="0"/>
    <s v="Plastene India Limited (Unit -II)"/>
    <d v="2023-04-25T00:00:00"/>
    <s v="K.P. Woven Pvt Ltd-Sales"/>
    <s v="Sales"/>
    <n v="79"/>
    <x v="1"/>
    <s v="PIL2/D/79"/>
    <d v="2023-04-25T00:00:00"/>
    <s v="SF"/>
    <s v="Yarn All"/>
    <s v="PP Yarn"/>
    <s v="PP Rope"/>
    <s v="PP Braided Rope MW 6 to 8 GPM"/>
    <n v="372"/>
    <n v="66960"/>
  </r>
  <r>
    <x v="0"/>
    <s v="Plastene India Limited (Unit -II)"/>
    <d v="2023-04-25T00:00:00"/>
    <s v="K.P. Woven Pvt Ltd-Sales"/>
    <s v="Sales"/>
    <n v="79"/>
    <x v="1"/>
    <s v="PIL2/D/79"/>
    <d v="2023-04-25T00:00:00"/>
    <s v="FG"/>
    <s v="FIBC WIP"/>
    <s v="FIBC WIP"/>
    <s v="LLDPE BAGS (LINER)"/>
    <s v="FIBC WIP"/>
    <n v="24"/>
    <n v="5488"/>
  </r>
  <r>
    <x v="0"/>
    <s v="Plastene India Limited (Unit -II)"/>
    <d v="2023-04-25T00:00:00"/>
    <s v="K.P. Woven Pvt Ltd-Sales"/>
    <s v="Sales"/>
    <n v="79"/>
    <x v="1"/>
    <s v="PIL2/D/79"/>
    <d v="2023-04-25T00:00:00"/>
    <s v="RM"/>
    <s v="Granules"/>
    <s v="Masterbatch"/>
    <s v="Master Batch"/>
    <s v="MB JJ White WE9381PT"/>
    <n v="50"/>
    <n v="7825"/>
  </r>
  <r>
    <x v="0"/>
    <s v="Plastene India Limited (Unit -II)"/>
    <d v="2023-04-25T00:00:00"/>
    <s v="K.P. Woven Pvt Ltd-Sales"/>
    <s v="Sales"/>
    <n v="80"/>
    <x v="0"/>
    <s v="PIL2/D/80"/>
    <d v="2023-04-25T00:00:00"/>
    <s v="Stores/Spares"/>
    <s v="MS Structure Items"/>
    <s v="Other Purchase"/>
    <s v="Consumble Stores"/>
    <s v="MS Pipe"/>
    <n v="267"/>
    <n v="12816"/>
  </r>
  <r>
    <x v="0"/>
    <s v="Plastene India Limited (Unit -II)"/>
    <d v="2023-04-25T00:00:00"/>
    <s v="Plastene Polyfilms Ltd-Sales"/>
    <s v="Sales"/>
    <n v="81"/>
    <x v="1"/>
    <s v="PIL2/D/81"/>
    <d v="2023-04-25T00:00:00"/>
    <s v="FG"/>
    <s v="FIBC Bags"/>
    <s v="FIBC Bags"/>
    <s v="PP WOVEN BIG BAGS / SACKS"/>
    <s v="FIBC Bags With UV Without Liner"/>
    <n v="20106"/>
    <n v="3648836.88"/>
  </r>
  <r>
    <x v="0"/>
    <s v="Plastene India Limited (Unit -II)"/>
    <d v="2023-04-26T00:00:00"/>
    <s v="K.P. Woven Pvt Ltd-Sales"/>
    <s v="Sales"/>
    <n v="83"/>
    <x v="1"/>
    <s v="PIL2/D/83"/>
    <d v="2023-04-26T00:00:00"/>
    <s v="SF"/>
    <s v="PP/PE Fabric"/>
    <s v="PP UL Fabric"/>
    <s v="PP Woven Fabrics(FG)"/>
    <s v="PP UL Fabric With UV"/>
    <n v="4550"/>
    <n v="523432"/>
  </r>
  <r>
    <x v="0"/>
    <s v="Plastene India Limited (Unit -II)"/>
    <d v="2023-04-26T00:00:00"/>
    <s v="K.P. Woven Pvt Ltd-Sales"/>
    <s v="Sales"/>
    <n v="83"/>
    <x v="1"/>
    <s v="PIL2/D/83"/>
    <d v="2023-04-26T00:00:00"/>
    <s v="SF"/>
    <s v="Yarn All"/>
    <s v="PP Yarn"/>
    <s v="PP Rope"/>
    <s v="PP Braided Rope MW 6 to 8 GPM"/>
    <n v="168.7"/>
    <n v="30366"/>
  </r>
  <r>
    <x v="0"/>
    <s v="Plastene India Limited (Unit -II)"/>
    <d v="2023-04-26T00:00:00"/>
    <s v="K.P. Woven Pvt Ltd-Sales"/>
    <s v="Sales"/>
    <n v="83"/>
    <x v="1"/>
    <s v="PIL2/D/83"/>
    <d v="2023-04-26T00:00:00"/>
    <s v="SF"/>
    <s v="Webbing"/>
    <s v="PP Webbing"/>
    <s v="PP WEBBING (FG)"/>
    <s v="Webbing Tie"/>
    <n v="55.2"/>
    <n v="6460.61"/>
  </r>
  <r>
    <x v="0"/>
    <s v="Plastene India Limited (Unit -II)"/>
    <d v="2023-04-26T00:00:00"/>
    <s v="K.P. Woven Pvt Ltd-Sales"/>
    <s v="Sales"/>
    <n v="84"/>
    <x v="0"/>
    <s v="PIL2/D/84"/>
    <d v="2023-04-26T00:00:00"/>
    <s v="Stores/Spares"/>
    <s v="MS Structure Items"/>
    <s v="Other Purchase"/>
    <s v="Consumble Stores"/>
    <s v="MS Pipe"/>
    <n v="147"/>
    <n v="7056"/>
  </r>
  <r>
    <x v="0"/>
    <s v="Plastene India Limited (Unit -II)"/>
    <d v="2023-04-26T00:00:00"/>
    <s v="K.P. Woven Pvt Ltd-Sales"/>
    <s v="Sales"/>
    <n v="86"/>
    <x v="1"/>
    <s v="PIL2/D/86"/>
    <d v="2023-04-26T00:00:00"/>
    <s v="SF"/>
    <s v="PP/PE Fabric"/>
    <s v="PP Lam Fabric"/>
    <s v="PP Laminated Fabric"/>
    <s v="PP Lam Fabric With UV"/>
    <n v="52"/>
    <n v="6086.08"/>
  </r>
  <r>
    <x v="0"/>
    <s v="Plastene India Limited (Unit -II)"/>
    <d v="2023-04-26T00:00:00"/>
    <s v="K.P. Woven Pvt Ltd-Sales"/>
    <s v="Sales"/>
    <n v="86"/>
    <x v="1"/>
    <s v="PIL2/D/86"/>
    <d v="2023-04-26T00:00:00"/>
    <s v="SF"/>
    <s v="PP/PE Fabric"/>
    <s v="PP Lam Fabric"/>
    <s v="PP Laminated Fabric"/>
    <s v="PP Lam Fabric With UV"/>
    <n v="175"/>
    <n v="24507"/>
  </r>
  <r>
    <x v="0"/>
    <s v="Plastene India Limited (Unit -II)"/>
    <d v="2023-04-26T00:00:00"/>
    <s v="K.P. Woven Pvt Ltd-Sales"/>
    <s v="Sales"/>
    <n v="86"/>
    <x v="1"/>
    <s v="PIL2/D/86"/>
    <d v="2023-04-26T00:00:00"/>
    <s v="SF"/>
    <s v="PP/PE Fabric"/>
    <s v="PP Lam Fabric"/>
    <s v="PP Laminated Fabric"/>
    <s v="PP Lam Fabric With UV"/>
    <n v="174"/>
    <n v="20364.96"/>
  </r>
  <r>
    <x v="0"/>
    <s v="Plastene India Limited (Unit -II)"/>
    <d v="2023-04-26T00:00:00"/>
    <s v="K.P. Woven Pvt Ltd-Sales"/>
    <s v="Sales"/>
    <n v="87"/>
    <x v="0"/>
    <s v="PIL2/D/87"/>
    <d v="2023-04-26T00:00:00"/>
    <s v="Stores/Spares"/>
    <s v="MS Structure Items"/>
    <s v="Other Purchase"/>
    <s v="Consumble Stores"/>
    <s v="MS Pipe"/>
    <n v="64"/>
    <n v="3072"/>
  </r>
  <r>
    <x v="0"/>
    <s v="Plastene India Limited (Unit -II)"/>
    <d v="2023-04-26T00:00:00"/>
    <s v="K.P. Woven Pvt Ltd-Sales"/>
    <s v="Sales"/>
    <n v="88"/>
    <x v="0"/>
    <s v="PIL2/D/88"/>
    <d v="2023-04-26T00:00:00"/>
    <s v="Stores/Spares"/>
    <s v="MS Structure Items"/>
    <s v="Other Purchase"/>
    <s v="Consumble Stores"/>
    <s v="MS Pipe"/>
    <n v="840"/>
    <n v="40320"/>
  </r>
  <r>
    <x v="0"/>
    <s v="Plastene India Limited (Unit -II)"/>
    <d v="2023-04-27T00:00:00"/>
    <s v="HCP Plastene Bulkpack Ltd (Unit-III) - Sales"/>
    <s v="Sales"/>
    <n v="89"/>
    <x v="1"/>
    <s v="PIL2/D/89"/>
    <d v="2023-04-27T00:00:00"/>
    <s v="SF"/>
    <s v="Webbing"/>
    <s v="PP Webbing"/>
    <s v="PP WEBBING (FG)"/>
    <s v="Webbing"/>
    <n v="1282.0999999999999"/>
    <n v="150056.98000000001"/>
  </r>
  <r>
    <x v="0"/>
    <s v="Plastene India Limited (Unit -II)"/>
    <d v="2023-04-27T00:00:00"/>
    <s v="HCP Plastene Bulkpack Ltd (Unit-III) - Sales"/>
    <s v="Sales"/>
    <n v="89"/>
    <x v="1"/>
    <s v="PIL2/D/89"/>
    <d v="2023-04-27T00:00:00"/>
    <s v="SF"/>
    <s v="PP/PE Fabric"/>
    <s v="PP UL Fabric"/>
    <s v="PP Woven Fabrics(FG)"/>
    <s v="PP UL Fabric With UV"/>
    <n v="1711"/>
    <n v="201966.44"/>
  </r>
  <r>
    <x v="0"/>
    <s v="Plastene India Limited (Unit -II)"/>
    <d v="2023-04-27T00:00:00"/>
    <s v="HCP Plastene Bulkpack Ltd (Unit-III) - Sales"/>
    <s v="Sales"/>
    <n v="90"/>
    <x v="0"/>
    <s v="PIL2/D/90"/>
    <d v="2023-04-27T00:00:00"/>
    <s v="Stores/Spares"/>
    <s v="MS Structure Items"/>
    <s v="Other Purchase"/>
    <s v="Consumble Stores"/>
    <s v="MS Pipe"/>
    <n v="81"/>
    <n v="3888"/>
  </r>
  <r>
    <x v="0"/>
    <s v="Plastene India Limited (Unit -II)"/>
    <d v="2023-04-27T00:00:00"/>
    <s v="Plastene Polyfilms Ltd-Sales"/>
    <s v="Sales"/>
    <n v="91"/>
    <x v="1"/>
    <s v="PIL2/D/91"/>
    <d v="2023-04-27T00:00:00"/>
    <s v="FG"/>
    <s v="FIBC Bags"/>
    <s v="FIBC Bags"/>
    <s v="PP WOVEN BIG BAGS / SACKS"/>
    <s v="FIBC Bags With UV Without Liner"/>
    <n v="4821"/>
    <n v="858138"/>
  </r>
  <r>
    <x v="0"/>
    <s v="Plastene India Limited (Unit -II)"/>
    <d v="2023-04-27T00:00:00"/>
    <s v="Plastene Polyfilms Ltd-Sales"/>
    <s v="Sales"/>
    <n v="91"/>
    <x v="1"/>
    <s v="PIL2/D/91"/>
    <d v="2023-04-27T00:00:00"/>
    <s v="FG"/>
    <s v="FIBC Bags"/>
    <s v="FIBC Bags"/>
    <s v="PP WOVEN BIG BAGS / SACKS"/>
    <s v="FIBC Bags With UV Without Liner"/>
    <n v="2821"/>
    <n v="501263.49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CutPcs With UV"/>
    <n v="6491"/>
    <n v="1006429.55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229.7"/>
    <n v="29888.560000000001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201"/>
    <n v="26154.12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4232.7"/>
    <n v="568366.96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5743.7"/>
    <n v="747370.24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474"/>
    <n v="61676.88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Yarn All"/>
    <s v="PP Yarn"/>
    <s v="PP Filament Yarn"/>
    <s v="Polyester Yarn Twisted"/>
    <n v="913.64"/>
    <n v="145807.81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Webbing"/>
    <s v="PP Webbing"/>
    <s v="PP WEBBING (FG)"/>
    <s v="Webbing"/>
    <n v="5028.3"/>
    <n v="698028.61"/>
  </r>
  <r>
    <x v="0"/>
    <s v="Plastene India Limited (Unit -II)"/>
    <d v="2023-04-28T00:00:00"/>
    <s v="K.P. Woven Pvt Ltd-Sales"/>
    <s v="Sales"/>
    <n v="93"/>
    <x v="1"/>
    <s v="PIL2/D/93"/>
    <d v="2023-04-28T00:00:00"/>
    <s v="SF"/>
    <s v="PP/PE Fabric"/>
    <s v="PP UL Fabric"/>
    <s v="PP Woven Fabrics(FG)"/>
    <s v="PP UL Fabric With UV"/>
    <n v="3471"/>
    <n v="399303.84"/>
  </r>
  <r>
    <x v="0"/>
    <s v="Plastene India Limited (Unit -II)"/>
    <d v="2023-04-28T00:00:00"/>
    <s v="K.P. Woven Pvt Ltd-Sales"/>
    <s v="Sales"/>
    <n v="94"/>
    <x v="0"/>
    <s v="PIL2/D/94"/>
    <d v="2023-04-28T00:00:00"/>
    <s v="Stores/Spares"/>
    <s v="MS Structure Items"/>
    <s v="Other Purchase"/>
    <s v="Consumble Stores"/>
    <s v="MS Pipe"/>
    <n v="184"/>
    <n v="8832"/>
  </r>
  <r>
    <x v="0"/>
    <s v="Plastene India Limited (Unit -II)"/>
    <d v="2023-04-29T00:00:00"/>
    <s v="K.P. Woven Pvt Ltd-Sales"/>
    <s v="Sales"/>
    <n v="96"/>
    <x v="1"/>
    <s v="PIL2/D/96"/>
    <d v="2023-04-29T00:00:00"/>
    <s v="SF"/>
    <s v="PP/PE Fabric"/>
    <s v="PP UL Fabric"/>
    <s v="PP Woven Fabrics(FG)"/>
    <s v="PP UL Fabric With UV"/>
    <n v="6741"/>
    <n v="775484.64"/>
  </r>
  <r>
    <x v="0"/>
    <s v="Plastene India Limited (Unit -II)"/>
    <d v="2023-04-29T00:00:00"/>
    <s v="K.P. Woven Pvt Ltd-Sales"/>
    <s v="Sales"/>
    <n v="97"/>
    <x v="0"/>
    <s v="PIL2/D/97"/>
    <d v="2023-04-29T00:00:00"/>
    <s v="Stores/Spares"/>
    <s v="MS Structure Items"/>
    <s v="Other Purchase"/>
    <s v="Consumble Stores"/>
    <s v="MS Pipe"/>
    <n v="326"/>
    <n v="15648"/>
  </r>
  <r>
    <x v="0"/>
    <s v="Plastene India Limited (Unit -II)"/>
    <d v="2023-04-29T00:00:00"/>
    <s v="Plastene Polyfilms Ltd-Sales"/>
    <s v="Sales"/>
    <n v="95"/>
    <x v="1"/>
    <s v="PIL2/D/95"/>
    <d v="2023-04-29T00:00:00"/>
    <s v="FG"/>
    <s v="FIBC Bags"/>
    <s v="FIBC Bags"/>
    <s v="PP WOVEN BIG BAGS / SACKS"/>
    <s v="FIBC Bags With UV Without Liner"/>
    <n v="5863"/>
    <n v="900263.65"/>
  </r>
  <r>
    <x v="0"/>
    <s v="Plastene India Limited (Unit -II)"/>
    <d v="2023-04-29T00:00:00"/>
    <s v="Plastene Polyfilms Ltd-Sales"/>
    <s v="Sales"/>
    <n v="95"/>
    <x v="1"/>
    <s v="PIL2/D/95"/>
    <d v="2023-04-29T00:00:00"/>
    <s v="FG"/>
    <s v="FIBC Bags"/>
    <s v="FIBC Bags"/>
    <s v="PP WOVEN BAG &amp; SACK"/>
    <s v="FIBC Bags With UV With Liner"/>
    <n v="772"/>
    <n v="140303.28"/>
  </r>
  <r>
    <x v="0"/>
    <s v="Plastene India Limited (Unit -II)"/>
    <d v="2023-04-30T00:00:00"/>
    <s v="HCP Plastene Bulkpack Ltd (Unit-III) - Sales"/>
    <s v="Sales"/>
    <n v="98"/>
    <x v="1"/>
    <s v="PIL2/D/98"/>
    <d v="2023-04-30T00:00:00"/>
    <s v="SF"/>
    <s v="Webbing"/>
    <s v="PP Webbing"/>
    <s v="PP WEBBING (FG)"/>
    <s v="Webbing"/>
    <n v="1268.5999999999999"/>
    <n v="152282.74"/>
  </r>
  <r>
    <x v="0"/>
    <s v="Plastene India Limited (Unit -II)"/>
    <d v="2023-04-30T00:00:00"/>
    <s v="HCP Plastene Bulkpack Ltd (Unit-III) - Sales"/>
    <s v="Sales"/>
    <n v="98"/>
    <x v="1"/>
    <s v="PIL2/D/98"/>
    <d v="2023-04-30T00:00:00"/>
    <s v="SF"/>
    <s v="PP/PE Fabric"/>
    <s v="PP UL Fabric"/>
    <s v="PP Woven Fabrics(FG)"/>
    <s v="PP UL Fabric With UV"/>
    <n v="1003"/>
    <n v="118394.12"/>
  </r>
  <r>
    <x v="0"/>
    <s v="Plastene India Limited (Unit -II)"/>
    <d v="2023-04-30T00:00:00"/>
    <s v="HCP Plastene Bulkpack Ltd (Unit-III) - Sales"/>
    <s v="Sales"/>
    <n v="98"/>
    <x v="1"/>
    <s v="PIL2/D/98"/>
    <d v="2023-04-30T00:00:00"/>
    <s v="SF"/>
    <s v="PP/PE Fabric"/>
    <s v="PP UL Fabric"/>
    <s v="PP Woven Fabrics(FG)"/>
    <s v="PP UL Fabric With UV"/>
    <n v="1053"/>
    <n v="121137.12"/>
  </r>
  <r>
    <x v="0"/>
    <s v="Plastene India Limited (Unit -II)"/>
    <d v="2023-04-30T00:00:00"/>
    <s v="HCP Plastene Bulkpack Ltd (Unit-III) - Sales"/>
    <s v="Sales"/>
    <n v="99"/>
    <x v="0"/>
    <s v="PIL2/D/99"/>
    <d v="2023-04-30T00:00:00"/>
    <s v="Stores/Spares"/>
    <s v="MS Structure Items"/>
    <s v="Other Purchase"/>
    <s v="Consumble Stores"/>
    <s v="MS Pipe"/>
    <n v="119"/>
    <n v="5712"/>
  </r>
  <r>
    <x v="0"/>
    <s v="Plastene India Limited (Unit -II)"/>
    <d v="2023-04-30T00:00:00"/>
    <s v="K.P. Woven Pvt Ltd-Sales"/>
    <s v="Sales"/>
    <n v="100"/>
    <x v="1"/>
    <s v="PIL2/D/100"/>
    <d v="2023-04-30T00:00:00"/>
    <s v="SF"/>
    <s v="PP/PE Fabric"/>
    <s v="PP UL Fabric"/>
    <s v="PP Woven Fabrics(FG)"/>
    <s v="PP UL Fabric With UV"/>
    <n v="7422"/>
    <n v="853826.88"/>
  </r>
  <r>
    <x v="0"/>
    <s v="Plastene India Limited (Unit -II)"/>
    <d v="2023-04-30T00:00:00"/>
    <s v="K.P. Woven Pvt Ltd-Sales"/>
    <s v="Sales"/>
    <n v="101"/>
    <x v="0"/>
    <s v="PIL2/D/101"/>
    <d v="2023-04-30T00:00:00"/>
    <s v="Stores/Spares"/>
    <s v="MS Structure Items"/>
    <s v="Other Purchase"/>
    <s v="Consumble Stores"/>
    <s v="MS Pipe"/>
    <n v="274"/>
    <n v="13152"/>
  </r>
  <r>
    <x v="1"/>
    <s v="Plastene India Limited (Unit -II)"/>
    <d v="2023-05-02T00:00:00"/>
    <s v="HCP Plastene Bulkpack Limited - Sales"/>
    <s v="Sales"/>
    <n v="104"/>
    <x v="0"/>
    <s v="PIL2/D/104"/>
    <d v="2023-05-02T00:00:00"/>
    <s v="RM"/>
    <s v="Granules"/>
    <s v="UV MB"/>
    <s v="Master Batch"/>
    <s v="UV PIL NFG 20LD"/>
    <n v="3000"/>
    <n v="546000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PP/PE Fabric"/>
    <s v="PP UL Fabric"/>
    <s v="PP Woven Fabrics(FG)"/>
    <s v="PP UL Fabric With UV"/>
    <n v="61"/>
    <n v="7200.44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PP/PE Fabric"/>
    <s v="PP UL Fabric"/>
    <s v="PP Woven Fabrics(FG)"/>
    <s v="PP UL Fabric With UV"/>
    <n v="934"/>
    <n v="107447.36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Webbing"/>
    <s v="PP Webbing"/>
    <s v="PP WEBBING (FG)"/>
    <s v="Webbing"/>
    <n v="1337.4"/>
    <n v="156529.29999999999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Webbing"/>
    <s v="PP Webbing"/>
    <s v="PP WEBBING (FG)"/>
    <s v="Webbing"/>
    <n v="696.2"/>
    <n v="83571.850000000006"/>
  </r>
  <r>
    <x v="1"/>
    <s v="Plastene India Limited (Unit -II)"/>
    <d v="2023-05-02T00:00:00"/>
    <s v="HCP Plastene Bulkpack Ltd (Unit-III) - Sales"/>
    <s v="Sales"/>
    <n v="103"/>
    <x v="0"/>
    <s v="PIL2/D/103"/>
    <d v="2023-05-02T00:00:00"/>
    <s v="Stores/Spares"/>
    <s v="MS Structure Items"/>
    <s v="Other Purchase"/>
    <s v="Consumble Stores"/>
    <s v="MS Pipe"/>
    <n v="50"/>
    <n v="2400"/>
  </r>
  <r>
    <x v="1"/>
    <s v="Plastene India Limited (Unit -II)"/>
    <d v="2023-05-02T00:00:00"/>
    <s v="K.P. Woven Pvt Ltd-Sales"/>
    <s v="Sales"/>
    <n v="105"/>
    <x v="1"/>
    <s v="PIL2/D/105"/>
    <d v="2023-05-02T00:00:00"/>
    <s v="SF"/>
    <s v="PP/PE Fabric"/>
    <s v="PP UL Fabric"/>
    <s v="PP Woven Fabrics(FG)"/>
    <s v="PP UL Fabric With UV"/>
    <n v="1224"/>
    <n v="140808.95999999999"/>
  </r>
  <r>
    <x v="1"/>
    <s v="Plastene India Limited (Unit -II)"/>
    <d v="2023-05-02T00:00:00"/>
    <s v="K.P. Woven Pvt Ltd-Sales"/>
    <s v="Sales"/>
    <n v="106"/>
    <x v="0"/>
    <s v="PIL2/D/106"/>
    <d v="2023-05-02T00:00:00"/>
    <s v="Stores/Spares"/>
    <s v="MS Structure Items"/>
    <s v="Other Purchase"/>
    <s v="Consumble Stores"/>
    <s v="MS Pipe"/>
    <n v="60"/>
    <n v="2880"/>
  </r>
  <r>
    <x v="1"/>
    <s v="Plastene India Limited (Unit -II)"/>
    <d v="2023-05-03T00:00:00"/>
    <s v="HCP Plastene Bulkpack Ltd (Unit-III) - Sales"/>
    <s v="Sales"/>
    <n v="111"/>
    <x v="1"/>
    <s v="PIL2/D/111"/>
    <d v="2023-05-03T00:00:00"/>
    <s v="SF"/>
    <s v="PP/PE Fabric"/>
    <s v="PP UL Fabric"/>
    <s v="PP Woven Fabrics(FG)"/>
    <s v="PP UL Fabric With UV"/>
    <n v="711"/>
    <n v="81793.440000000002"/>
  </r>
  <r>
    <x v="1"/>
    <s v="Plastene India Limited (Unit -II)"/>
    <d v="2023-05-03T00:00:00"/>
    <s v="HCP Plastene Bulkpack Ltd (Unit-III) - Sales"/>
    <s v="Sales"/>
    <n v="111"/>
    <x v="1"/>
    <s v="PIL2/D/111"/>
    <d v="2023-05-03T00:00:00"/>
    <s v="SF"/>
    <s v="Webbing"/>
    <s v="PP Webbing"/>
    <s v="PP WEBBING (FG)"/>
    <s v="Webbing"/>
    <n v="152.69999999999999"/>
    <n v="18330.11"/>
  </r>
  <r>
    <x v="1"/>
    <s v="Plastene India Limited (Unit -II)"/>
    <d v="2023-05-03T00:00:00"/>
    <s v="HCP Plastene Bulkpack Ltd (Unit-III) - Sales"/>
    <s v="Sales"/>
    <n v="111"/>
    <x v="1"/>
    <s v="PIL2/D/111"/>
    <d v="2023-05-03T00:00:00"/>
    <s v="FG"/>
    <s v="FIBC WIP"/>
    <s v="FIBC WIP"/>
    <s v="LLDPE BAGS (LINER)"/>
    <s v="FIBC WIP"/>
    <n v="29.2"/>
    <n v="5260.8"/>
  </r>
  <r>
    <x v="1"/>
    <s v="Plastene India Limited (Unit -II)"/>
    <d v="2023-05-03T00:00:00"/>
    <s v="HCP Plastene Bulkpack Ltd (Unit-III) - Sales"/>
    <s v="Sales"/>
    <n v="112"/>
    <x v="0"/>
    <s v="PIL2/D/112"/>
    <d v="2023-05-03T00:00:00"/>
    <s v="Stores/Spares"/>
    <s v="MS Structure Items"/>
    <s v="Other Purchase"/>
    <s v="Consumble Stores"/>
    <s v="MS Pipe"/>
    <n v="41"/>
    <n v="1968"/>
  </r>
  <r>
    <x v="1"/>
    <s v="Plastene India Limited (Unit -II)"/>
    <d v="2023-05-03T00:00:00"/>
    <s v="K.P. Woven Pvt Ltd - Unit 3 -Sales"/>
    <s v="Export Sales"/>
    <s v="PIL2/E/29/23-24"/>
    <x v="6"/>
    <s v="PIL2/E/29/23-24"/>
    <d v="2023-05-03T00:00:00"/>
    <s v="FG"/>
    <s v="FIBC Bags"/>
    <s v="FIBC Bags"/>
    <s v="PP WOVEN BIG BAGS / SACKS"/>
    <s v="FIBC Bags With UV With Liner"/>
    <n v="1772"/>
    <n v="281269.56000000006"/>
  </r>
  <r>
    <x v="1"/>
    <s v="Plastene India Limited (Unit -II)"/>
    <d v="2023-05-03T00:00:00"/>
    <s v="K.P. Woven Pvt Ltd - Unit 3 -Sales"/>
    <s v="Export Sales"/>
    <s v="PIL2/E/29/23-24"/>
    <x v="6"/>
    <s v="PIL2/E/29/23-24"/>
    <d v="2023-05-03T00:00:00"/>
    <s v="FG"/>
    <s v="FIBC Bags"/>
    <s v="FIBC Bags"/>
    <s v="PP WOVEN BIG BAGS / SACKS"/>
    <s v="FIBC Bags With UV Without Liner"/>
    <n v="2561"/>
    <n v="406507.53"/>
  </r>
  <r>
    <x v="1"/>
    <s v="Plastene India Limited (Unit -II)"/>
    <d v="2023-05-03T00:00:00"/>
    <s v="K.P. Woven Pvt Ltd-Sales"/>
    <s v="Sales"/>
    <n v="110"/>
    <x v="0"/>
    <s v="PIL2/D/110"/>
    <d v="2023-05-03T00:00:00"/>
    <s v="RM Consumables"/>
    <s v="FIBC Accessories"/>
    <s v="FIBC Accessories"/>
    <s v="Consumble Stores"/>
    <s v="Zipper Bags"/>
    <n v="3000"/>
    <n v="6090"/>
  </r>
  <r>
    <x v="1"/>
    <s v="Plastene India Limited (Unit -II)"/>
    <d v="2023-05-03T00:00:00"/>
    <s v="K.P. Woven Pvt Ltd-Sales"/>
    <s v="Sales"/>
    <n v="113"/>
    <x v="1"/>
    <s v="PIL2/D/113"/>
    <d v="2023-05-03T00:00:00"/>
    <s v="SF"/>
    <s v="PP/PE Fabric"/>
    <s v="PP UL Fabric"/>
    <s v="PP Woven Fabrics(FG)"/>
    <s v="PP UL Fabric With UV"/>
    <n v="3115"/>
    <n v="358349.6"/>
  </r>
  <r>
    <x v="1"/>
    <s v="Plastene India Limited (Unit -II)"/>
    <d v="2023-05-03T00:00:00"/>
    <s v="K.P. Woven Pvt Ltd-Sales"/>
    <s v="Sales"/>
    <n v="113"/>
    <x v="1"/>
    <s v="PIL2/D/113"/>
    <d v="2023-05-03T00:00:00"/>
    <s v="FG"/>
    <s v="FIBC WIP"/>
    <s v="FIBC WIP"/>
    <s v="LLDPE BAGS (LINER)"/>
    <s v="FIBC WIP"/>
    <n v="8"/>
    <n v="1420.4"/>
  </r>
  <r>
    <x v="1"/>
    <s v="Plastene India Limited (Unit -II)"/>
    <d v="2023-05-03T00:00:00"/>
    <s v="K.P. Woven Pvt Ltd-Sales"/>
    <s v="Sales"/>
    <n v="114"/>
    <x v="0"/>
    <s v="PIL2/D/114"/>
    <d v="2023-05-03T00:00:00"/>
    <s v="Stores/Spares"/>
    <s v="MS Structure Items"/>
    <s v="Other Purchase"/>
    <s v="Consumble Stores"/>
    <s v="MS Pipe"/>
    <n v="139"/>
    <n v="6672"/>
  </r>
  <r>
    <x v="1"/>
    <s v="Plastene India Limited (Unit -II)"/>
    <d v="2023-05-03T00:00:00"/>
    <s v="Plastene Polyfilms Ltd-Sales"/>
    <s v="Sales"/>
    <n v="108"/>
    <x v="1"/>
    <s v="PIL2/D/108"/>
    <d v="2023-05-03T00:00:00"/>
    <s v="SF"/>
    <s v="PP/PE Fabric"/>
    <s v="PP UL Fabric"/>
    <s v="PP Woven Fabrics(FG)"/>
    <s v="PP UL Fabric Without UV"/>
    <n v="3338"/>
    <n v="373856"/>
  </r>
  <r>
    <x v="1"/>
    <s v="Plastene India Limited (Unit -II)"/>
    <d v="2023-05-03T00:00:00"/>
    <s v="Plastene Polyfilms Ltd-Sales"/>
    <s v="Sales"/>
    <n v="109"/>
    <x v="0"/>
    <s v="PIL2/D/109"/>
    <d v="2023-05-03T00:00:00"/>
    <s v="Stores/Spares"/>
    <s v="MS Structure Items"/>
    <s v="Other Purchase"/>
    <s v="Consumble Stores"/>
    <s v="MS Pipe"/>
    <n v="108"/>
    <n v="5184"/>
  </r>
  <r>
    <x v="1"/>
    <s v="Plastene India Limited (Unit -II)"/>
    <d v="2023-05-03T00:00:00"/>
    <s v="Plastene Polyfilms Ltd-Sales"/>
    <s v="Sales"/>
    <n v="115"/>
    <x v="1"/>
    <s v="PIL2/D/115"/>
    <d v="2023-05-03T00:00:00"/>
    <s v="FG"/>
    <s v="FIBC Bags"/>
    <s v="FIBC Bags"/>
    <s v="PP WOVEN BIG BAGS / SACKS"/>
    <s v="FIBC Bags With UV Without Liner"/>
    <n v="2338"/>
    <n v="358999.9"/>
  </r>
  <r>
    <x v="1"/>
    <s v="Plastene India Limited (Unit -II)"/>
    <d v="2023-05-03T00:00:00"/>
    <s v="Plastene Polyfilms Ltd-Sales"/>
    <s v="Sales"/>
    <n v="115"/>
    <x v="1"/>
    <s v="PIL2/D/115"/>
    <d v="2023-05-03T00:00:00"/>
    <s v="FG"/>
    <s v="FIBC Bags"/>
    <s v="FIBC Bags"/>
    <s v="PP WOVEN BIG BAGS / SACKS"/>
    <s v="FIBC Bags With UV Without Liner"/>
    <n v="878"/>
    <n v="145800.68"/>
  </r>
  <r>
    <x v="1"/>
    <s v="Plastene India Limited (Unit -II)"/>
    <d v="2023-05-04T00:00:00"/>
    <s v="HCP Plastene Bulkpack Ltd (Unit-III) - Sales"/>
    <s v="Sales"/>
    <n v="116"/>
    <x v="1"/>
    <s v="PIL2/D/116"/>
    <d v="2023-05-04T00:00:00"/>
    <s v="SF"/>
    <s v="Webbing"/>
    <s v="PP Webbing"/>
    <s v="PP WEBBING (FG)"/>
    <s v="Webbing"/>
    <n v="526.20000000000005"/>
    <n v="63165.05"/>
  </r>
  <r>
    <x v="1"/>
    <s v="Plastene India Limited (Unit -II)"/>
    <d v="2023-05-04T00:00:00"/>
    <s v="HCP Plastene Bulkpack Ltd (Unit-III) - Sales"/>
    <s v="Sales"/>
    <n v="116"/>
    <x v="1"/>
    <s v="PIL2/D/116"/>
    <d v="2023-05-04T00:00:00"/>
    <s v="SF"/>
    <s v="PP/PE Fabric"/>
    <s v="PP UL Fabric"/>
    <s v="PP Woven Fabrics(FG)"/>
    <s v="PP UL Fabric With UV"/>
    <n v="691.5"/>
    <n v="79550.16"/>
  </r>
  <r>
    <x v="1"/>
    <s v="Plastene India Limited (Unit -II)"/>
    <d v="2023-05-04T00:00:00"/>
    <s v="HCP Plastene Bulkpack Ltd (Unit-III) - Sales"/>
    <s v="Sales"/>
    <n v="117"/>
    <x v="0"/>
    <s v="PIL2/D/117"/>
    <d v="2023-05-04T00:00:00"/>
    <s v="Stores/Spares"/>
    <s v="MS Structure Items"/>
    <s v="Other Purchase"/>
    <s v="Consumble Stores"/>
    <s v="MS Pipe"/>
    <n v="40"/>
    <n v="1920"/>
  </r>
  <r>
    <x v="1"/>
    <s v="Plastene India Limited (Unit -II)"/>
    <d v="2023-05-04T00:00:00"/>
    <s v="K.P. Woven Pvt Ltd - Unit 3 -Sales"/>
    <s v="Export Sales"/>
    <s v="PIL2/E/30/23-24"/>
    <x v="6"/>
    <s v="PIL2/E/30/23-24"/>
    <d v="2023-05-04T00:00:00"/>
    <s v="FG"/>
    <s v="FIBC Bags"/>
    <s v="FIBC Bags"/>
    <s v="PP WOVEN BIG BAGS / SACKS"/>
    <s v="FIBC Bags With UV Without Liner"/>
    <n v="7332"/>
    <n v="1163808.3600000001"/>
  </r>
  <r>
    <x v="1"/>
    <s v="Plastene India Limited (Unit -II)"/>
    <d v="2023-05-04T00:00:00"/>
    <s v="Plastene Polyfilms Ltd-Sales"/>
    <s v="Sales"/>
    <n v="118"/>
    <x v="1"/>
    <s v="PIL2/D/118"/>
    <d v="2023-05-04T00:00:00"/>
    <s v="FG"/>
    <s v="FIBC Bags"/>
    <s v="FIBC Bags"/>
    <s v="PP WOVEN BIG BAGS / SACKS"/>
    <s v="FIBC Bags With UV Without Liner"/>
    <n v="1264"/>
    <n v="210607.68"/>
  </r>
  <r>
    <x v="1"/>
    <s v="Plastene India Limited (Unit -II)"/>
    <d v="2023-05-04T00:00:00"/>
    <s v="Plastene Polyfilms Ltd-Sales"/>
    <s v="Sales"/>
    <n v="118"/>
    <x v="1"/>
    <s v="PIL2/D/118"/>
    <d v="2023-05-04T00:00:00"/>
    <s v="FG"/>
    <s v="FIBC Bags"/>
    <s v="FIBC Bags"/>
    <s v="PP WOVEN BIG BAGS / SACKS"/>
    <s v="FIBC Bags With UV Without Liner"/>
    <n v="400"/>
    <n v="72252"/>
  </r>
  <r>
    <x v="1"/>
    <s v="Plastene India Limited (Unit -II)"/>
    <d v="2023-05-04T00:00:00"/>
    <s v="Plastene Polyfilms Ltd-Sales"/>
    <s v="Sales"/>
    <n v="118"/>
    <x v="1"/>
    <s v="PIL2/D/118"/>
    <d v="2023-05-04T00:00:00"/>
    <s v="FG"/>
    <s v="FIBC Bags"/>
    <s v="FIBC Bags"/>
    <s v="PP WOVEN BIG BAGS / SACKS"/>
    <s v="FIBC Bags With UV Without Liner"/>
    <n v="777"/>
    <n v="119308.35"/>
  </r>
  <r>
    <x v="1"/>
    <s v="Plastene India Limited (Unit -II)"/>
    <d v="2023-05-05T00:00:00"/>
    <s v="K.P. Woven Pvt Ltd-Sales"/>
    <s v="Sales"/>
    <n v="119"/>
    <x v="1"/>
    <s v="PIL2/D/119"/>
    <d v="2023-05-05T00:00:00"/>
    <s v="FG"/>
    <s v="FIBC WIP"/>
    <s v="FIBC WIP"/>
    <s v="LLDPE BAGS (LINER)"/>
    <s v="FIBC WIP"/>
    <n v="28.8"/>
    <n v="5167.5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Yarn All"/>
    <s v="PP Yarn"/>
    <s v="FILLER CORD"/>
    <s v="Filler Cord"/>
    <n v="644.29999999999995"/>
    <n v="90202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PP/PE Fabric"/>
    <s v="PP UL Fabric"/>
    <s v="PP Woven Fabrics(FG)"/>
    <s v="PP UL Fabric With UV"/>
    <n v="1304"/>
    <n v="150012.16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Webbing"/>
    <s v="PP Webbing"/>
    <s v="PP WEBBING (FG)"/>
    <s v="Webbing Tie"/>
    <n v="79.400000000000006"/>
    <n v="9292.98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Yarn All"/>
    <s v="PP Yarn"/>
    <s v="PP Rope"/>
    <s v="PP Braided Rope MW 6 to 8 GPM"/>
    <n v="634.6"/>
    <n v="114228"/>
  </r>
  <r>
    <x v="1"/>
    <s v="Plastene India Limited (Unit -II)"/>
    <d v="2023-05-05T00:00:00"/>
    <s v="K.P. Woven Pvt Ltd-Sales"/>
    <s v="Sales"/>
    <n v="120"/>
    <x v="0"/>
    <s v="PIL2/D/120"/>
    <d v="2023-05-05T00:00:00"/>
    <s v="Stores/Spares"/>
    <s v="MS Structure Items"/>
    <s v="Other Purchase"/>
    <s v="Consumble Stores"/>
    <s v="MS Pipe"/>
    <n v="85"/>
    <n v="4080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Webbing"/>
    <s v="PP Webbing"/>
    <s v="PP WEBBING (FG)"/>
    <s v="Webbing"/>
    <n v="2433.6"/>
    <n v="292129.34000000003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Webbing"/>
    <s v="PP Webbing"/>
    <s v="PP WEBBING (FG)"/>
    <s v="Webbing"/>
    <n v="154.80000000000001"/>
    <n v="18117.79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PP/PE Fabric"/>
    <s v="PP UL Fabric"/>
    <s v="PP Woven Fabrics(FG)"/>
    <s v="PP UL Fabric With UV"/>
    <n v="601"/>
    <n v="69139.039999999994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FG"/>
    <s v="FIBC WIP"/>
    <s v="FIBC WIP"/>
    <s v="LLDPE BAGS (LINER)"/>
    <s v="FIBC WIP"/>
    <n v="12"/>
    <n v="2349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Yarn All"/>
    <s v="PP Yarn"/>
    <s v="PP TAPE / YARN"/>
    <s v="PP Fibrillated Tape Twisted 3200 Black"/>
    <n v="503"/>
    <n v="63639.56"/>
  </r>
  <r>
    <x v="1"/>
    <s v="Plastene India Limited (Unit -II)"/>
    <d v="2023-05-07T00:00:00"/>
    <s v="HCP Plastene Bulkpack Ltd (Unit-III) - Sales"/>
    <s v="Sales"/>
    <n v="124"/>
    <x v="0"/>
    <s v="PIL2/D/124"/>
    <d v="2023-05-07T00:00:00"/>
    <s v="Stores/Spares"/>
    <s v="MS Structure Items"/>
    <s v="Other Purchase"/>
    <s v="Consumble Stores"/>
    <s v="MS Pipe"/>
    <n v="40"/>
    <n v="1920"/>
  </r>
  <r>
    <x v="1"/>
    <s v="Plastene India Limited (Unit -II)"/>
    <d v="2023-05-07T00:00:00"/>
    <s v="K.P. Woven Pvt Ltd-Sales"/>
    <s v="Sales"/>
    <n v="125"/>
    <x v="1"/>
    <s v="PIL2/D/125"/>
    <d v="2023-05-07T00:00:00"/>
    <s v="SF"/>
    <s v="Yarn All"/>
    <s v="PP Yarn"/>
    <s v="FILLER CORD"/>
    <s v="Filler Cord"/>
    <n v="163.34"/>
    <n v="22540.92"/>
  </r>
  <r>
    <x v="1"/>
    <s v="Plastene India Limited (Unit -II)"/>
    <d v="2023-05-07T00:00:00"/>
    <s v="K.P. Woven Pvt Ltd-Sales"/>
    <s v="Sales"/>
    <n v="126"/>
    <x v="1"/>
    <s v="PIL2/D/126"/>
    <d v="2023-05-07T00:00:00"/>
    <s v="SF"/>
    <s v="Yarn All"/>
    <s v="PP Yarn"/>
    <s v="FILLER CORD"/>
    <s v="Filler Cord"/>
    <n v="3371.31"/>
    <n v="465240.78"/>
  </r>
  <r>
    <x v="1"/>
    <s v="Plastene India Limited (Unit -II)"/>
    <d v="2023-05-07T00:00:00"/>
    <s v="K.P. Woven Pvt Ltd-Sales"/>
    <s v="Sales"/>
    <n v="129"/>
    <x v="1"/>
    <s v="PIL2/D/129"/>
    <d v="2023-05-07T00:00:00"/>
    <s v="FG"/>
    <s v="FIBC WIP"/>
    <s v="FIBC WIP"/>
    <s v="LLDPE BAGS (LINER)"/>
    <s v="FIBC WIP"/>
    <n v="0.20399999999999999"/>
    <n v="48"/>
  </r>
  <r>
    <x v="1"/>
    <s v="Plastene India Limited (Unit -II)"/>
    <d v="2023-05-07T00:00:00"/>
    <s v="Plastene Polyfilms Ltd-Sales"/>
    <s v="Sales"/>
    <n v="127"/>
    <x v="1"/>
    <s v="PIL2/D/127"/>
    <d v="2023-05-07T00:00:00"/>
    <s v="SF"/>
    <s v="Webbing"/>
    <s v="PP Webbing"/>
    <s v="PP WEBBING (FG)"/>
    <s v="Webbing"/>
    <n v="97.7"/>
    <n v="11727.91"/>
  </r>
  <r>
    <x v="1"/>
    <s v="Plastene India Limited (Unit -II)"/>
    <d v="2023-05-07T00:00:00"/>
    <s v="Plastene Polyfilms Ltd-Sales"/>
    <s v="Sales"/>
    <n v="127"/>
    <x v="1"/>
    <s v="PIL2/D/127"/>
    <d v="2023-05-07T00:00:00"/>
    <s v="SF"/>
    <s v="PP/PE Fabric"/>
    <s v="PP UL Fabric"/>
    <s v="PP Woven Fabrics(FG)"/>
    <s v="PP UL Fabric Without UV"/>
    <n v="1888"/>
    <n v="211456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869"/>
    <n v="156645.94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1259"/>
    <n v="209774.58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404"/>
    <n v="71786.759999999995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1603"/>
    <n v="289549.89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394"/>
    <n v="69040.62"/>
  </r>
  <r>
    <x v="1"/>
    <s v="Plastene India Limited (Unit -II)"/>
    <d v="2023-05-07T00:00:00"/>
    <s v="Plastene Polyfilms Ltd-Sales"/>
    <s v="Sales"/>
    <n v="128"/>
    <x v="0"/>
    <s v="PIL2/D/128"/>
    <d v="2023-05-07T00:00:00"/>
    <s v="Stores/Spares"/>
    <s v="MS Structure Items"/>
    <s v="Other Purchase"/>
    <s v="Consumble Stores"/>
    <s v="MS Pipe"/>
    <n v="54"/>
    <n v="2592"/>
  </r>
  <r>
    <x v="1"/>
    <s v="Plastene India Limited (Unit -II)"/>
    <d v="2023-05-08T00:00:00"/>
    <s v="HCP Plastene Bulkpack Ltd (Unit-III) - Sales"/>
    <s v="Sales"/>
    <n v="133"/>
    <x v="1"/>
    <s v="PIL2/D/133"/>
    <d v="2023-05-08T00:00:00"/>
    <s v="SF"/>
    <s v="PP/PE Fabric"/>
    <s v="PP UL Fabric"/>
    <s v="PP Woven Fabrics(FG)"/>
    <s v="PP UL Fabric With UV"/>
    <n v="1617"/>
    <n v="186019.68"/>
  </r>
  <r>
    <x v="1"/>
    <s v="Plastene India Limited (Unit -II)"/>
    <d v="2023-05-08T00:00:00"/>
    <s v="HCP Plastene Bulkpack Ltd (Unit-III) - Sales"/>
    <s v="Sales"/>
    <n v="133"/>
    <x v="1"/>
    <s v="PIL2/D/133"/>
    <d v="2023-05-08T00:00:00"/>
    <s v="SF"/>
    <s v="Webbing"/>
    <s v="PP Webbing"/>
    <s v="PP WEBBING (FG)"/>
    <s v="Webbing"/>
    <n v="392.9"/>
    <n v="47163.72"/>
  </r>
  <r>
    <x v="1"/>
    <s v="Plastene India Limited (Unit -II)"/>
    <d v="2023-05-08T00:00:00"/>
    <s v="HCP Plastene Bulkpack Ltd (Unit-III) - Sales"/>
    <s v="Sales"/>
    <n v="134"/>
    <x v="0"/>
    <s v="PIL2/D/134"/>
    <d v="2023-05-08T00:00:00"/>
    <s v="Stores/Spares"/>
    <s v="MS Structure Items"/>
    <s v="Other Purchase"/>
    <s v="Consumble Stores"/>
    <s v="MS Pipe"/>
    <n v="76"/>
    <n v="3648"/>
  </r>
  <r>
    <x v="1"/>
    <s v="Plastene India Limited (Unit -II)"/>
    <d v="2023-05-08T00:00:00"/>
    <s v="K.P. Woven Pvt Ltd-Sales"/>
    <s v="Sales"/>
    <n v="130"/>
    <x v="1"/>
    <s v="PIL2/D/130"/>
    <d v="2023-05-08T00:00:00"/>
    <s v="FG"/>
    <s v="FIBC Bags"/>
    <s v="FIBC Bags"/>
    <s v="PP WOVEN BIG BAGS / SACKS"/>
    <s v="FIBC Bags With UV Without Liner"/>
    <n v="817"/>
    <n v="158195.71"/>
  </r>
  <r>
    <x v="1"/>
    <s v="Plastene India Limited (Unit -II)"/>
    <d v="2023-05-08T00:00:00"/>
    <s v="K.P. Woven Pvt Ltd-Sales"/>
    <s v="Sales"/>
    <n v="130"/>
    <x v="1"/>
    <s v="PIL2/D/130"/>
    <d v="2023-05-08T00:00:00"/>
    <s v="FG"/>
    <s v="FIBC Bags"/>
    <s v="FIBC Bags"/>
    <s v="PP WOVEN BIG BAGS / SACKS"/>
    <s v="FIBC Bags With UV Without Liner"/>
    <n v="10859"/>
    <n v="2127603.87"/>
  </r>
  <r>
    <x v="1"/>
    <s v="Plastene India Limited (Unit -II)"/>
    <d v="2023-05-08T00:00:00"/>
    <s v="K.P. Woven Pvt Ltd-Sales"/>
    <s v="Sales"/>
    <n v="130"/>
    <x v="1"/>
    <s v="PIL2/D/130"/>
    <d v="2023-05-08T00:00:00"/>
    <s v="FG"/>
    <s v="FIBC Bags"/>
    <s v="FIBC Bags"/>
    <s v="PP WOVEN BAG &amp; SACK"/>
    <s v="FIBC Bags With UV With Liner"/>
    <n v="8142"/>
    <n v="1589481.24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PP/PE Fabric"/>
    <s v="PP UL Fabric"/>
    <s v="PP Woven Fabrics(FG)"/>
    <s v="PP UL Fabric With UV"/>
    <n v="5292"/>
    <n v="608791.68000000005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Webbing"/>
    <s v="PP Webbing"/>
    <s v="PP WEBBING (FG)"/>
    <s v="Webbing"/>
    <n v="49.9"/>
    <n v="5990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Yarn All"/>
    <s v="PP Yarn"/>
    <s v="PP Rope"/>
    <s v="PP Braided Rope MW 6 to 8 GPM"/>
    <n v="126.9"/>
    <n v="22842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Webbing"/>
    <s v="PP Webbing"/>
    <s v="PP WEBBING (FG)"/>
    <s v="Webbing Tie"/>
    <n v="35.200000000000003"/>
    <n v="4119.8100000000004"/>
  </r>
  <r>
    <x v="1"/>
    <s v="Plastene India Limited (Unit -II)"/>
    <d v="2023-05-08T00:00:00"/>
    <s v="K.P. Woven Pvt Ltd-Sales"/>
    <s v="Sales"/>
    <n v="132"/>
    <x v="0"/>
    <s v="PIL2/D/132"/>
    <d v="2023-05-08T00:00:00"/>
    <s v="Stores/Spares"/>
    <s v="MS Structure Items"/>
    <s v="Other Purchase"/>
    <s v="Consumble Stores"/>
    <s v="MS Pipe"/>
    <n v="212"/>
    <n v="10176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FIBC Bags"/>
    <s v="FIBC Bags"/>
    <s v="PP WOVEN BIG BAGS / SACKS"/>
    <s v="FIBC Bags With UV Without Liner"/>
    <n v="11159"/>
    <n v="1705876.33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FIBC Bags"/>
    <s v="FIBC Bags"/>
    <s v="PP WOVEN BIG BAGS / SACKS"/>
    <s v="FIBC Bags With UV Without Liner"/>
    <n v="832"/>
    <n v="129525.75999999999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FIBC Bags"/>
    <s v="FIBC Bags"/>
    <s v="PP WOVEN BIG BAGS / SACKS"/>
    <s v="FIBC Bags With UV Without Liner"/>
    <n v="844"/>
    <n v="132558.64000000001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Small Bags"/>
    <s v="PP Bags"/>
    <s v="PP WOVEN BIG BAGS / SACKS"/>
    <s v="PP Lam Bags With UV"/>
    <n v="1824.4"/>
    <n v="267931.38"/>
  </r>
  <r>
    <x v="1"/>
    <s v="Plastene India Limited (Unit -II)"/>
    <d v="2023-05-09T00:00:00"/>
    <s v="Plastene Polyfilms Ltd-Sales"/>
    <s v="Sales"/>
    <n v="136"/>
    <x v="1"/>
    <s v="PIL2/D/136"/>
    <d v="2023-05-09T00:00:00"/>
    <s v="SF"/>
    <s v="PP/PE Fabric"/>
    <s v="PP UL Fabric"/>
    <s v="PP Woven Fabrics(FG)"/>
    <s v="PP UL Fabric Without UV"/>
    <n v="2592.8000000000002"/>
    <n v="391435.02"/>
  </r>
  <r>
    <x v="1"/>
    <s v="Plastene India Limited (Unit -II)"/>
    <d v="2023-05-09T00:00:00"/>
    <s v="Plastene Polyfilms Ltd-Sales"/>
    <s v="Sales"/>
    <n v="136"/>
    <x v="1"/>
    <s v="PIL2/D/136"/>
    <d v="2023-05-09T00:00:00"/>
    <s v="SF"/>
    <s v="PP/PE Fabric"/>
    <s v="PP UL Fabric"/>
    <s v="PP Woven Fabrics(FG)"/>
    <s v="PP UL Fabric Without UV"/>
    <n v="823.8"/>
    <n v="124006.61"/>
  </r>
  <r>
    <x v="1"/>
    <s v="Plastene India Limited (Unit -II)"/>
    <d v="2023-05-10T00:00:00"/>
    <s v="HCP Plastene Bulkpack Limited - Sales"/>
    <s v="Sales"/>
    <n v="138"/>
    <x v="1"/>
    <s v="PIL2/D/138"/>
    <d v="2023-05-10T00:00:00"/>
    <s v="RM"/>
    <s v="Granules"/>
    <s v="Filler"/>
    <s v="Filler"/>
    <s v="Filler Everplus E102 PP"/>
    <n v="16000"/>
    <n v="464480"/>
  </r>
  <r>
    <x v="1"/>
    <s v="Plastene India Limited (Unit -II)"/>
    <d v="2023-05-11T00:00:00"/>
    <s v="K.P. Woven Pvt Ltd-Sales"/>
    <s v="Sales"/>
    <n v="139"/>
    <x v="1"/>
    <s v="PIL2/D/139"/>
    <d v="2023-05-11T00:00:00"/>
    <s v="SF"/>
    <s v="PP/PE Fabric"/>
    <s v="PP UL Fabric"/>
    <s v="PP Woven Fabrics(FG)"/>
    <s v="PP UL Fabric With UV"/>
    <n v="518.29999999999995"/>
    <n v="69991.23"/>
  </r>
  <r>
    <x v="1"/>
    <s v="Plastene India Limited (Unit -II)"/>
    <d v="2023-05-11T00:00:00"/>
    <s v="K.P. Woven Pvt Ltd-Sales"/>
    <s v="Sales"/>
    <n v="139"/>
    <x v="1"/>
    <s v="PIL2/D/139"/>
    <d v="2023-05-11T00:00:00"/>
    <s v="SF"/>
    <s v="PP/PE Fabric"/>
    <s v="PP UL Fabric"/>
    <s v="PP Woven Fabrics(FG)"/>
    <s v="PP UL Fabric With UV"/>
    <n v="4718"/>
    <n v="552194.72"/>
  </r>
  <r>
    <x v="1"/>
    <s v="Plastene India Limited (Unit -II)"/>
    <d v="2023-05-11T00:00:00"/>
    <s v="K.P. Woven Pvt Ltd-Sales"/>
    <s v="Sales"/>
    <n v="139"/>
    <x v="1"/>
    <s v="PIL2/D/139"/>
    <d v="2023-05-11T00:00:00"/>
    <s v="FG"/>
    <s v="FIBC Bags"/>
    <s v="FIBC Bags"/>
    <s v="PP WOVEN BIG BAGS / SACKS"/>
    <s v="FIBC Bags With UV Without Liner"/>
    <n v="1663"/>
    <n v="281146.78000000003"/>
  </r>
  <r>
    <x v="1"/>
    <s v="Plastene India Limited (Unit -II)"/>
    <d v="2023-05-11T00:00:00"/>
    <s v="K.P. Woven Pvt Ltd-Sales"/>
    <s v="Sales"/>
    <n v="139"/>
    <x v="1"/>
    <s v="PIL2/D/139"/>
    <d v="2023-05-11T00:00:00"/>
    <s v="RM"/>
    <s v="Granules"/>
    <s v="Masterbatch"/>
    <s v="Master Batch"/>
    <s v="MB JJ White WE9381PT"/>
    <n v="150"/>
    <n v="23400"/>
  </r>
  <r>
    <x v="1"/>
    <s v="Plastene India Limited (Unit -II)"/>
    <d v="2023-05-11T00:00:00"/>
    <s v="K.P. Woven Pvt Ltd-Sales"/>
    <s v="Sales"/>
    <n v="140"/>
    <x v="0"/>
    <s v="PIL2/D/140"/>
    <d v="2023-05-11T00:00:00"/>
    <s v="Stores/Spares"/>
    <s v="MS Structure Items"/>
    <s v="Other Purchase"/>
    <s v="Consumble Stores"/>
    <s v="MS Pipe"/>
    <n v="176"/>
    <n v="8448"/>
  </r>
  <r>
    <x v="1"/>
    <s v="Plastene India Limited (Unit -II)"/>
    <d v="2023-05-12T00:00:00"/>
    <s v="HCP Plastene Bulkpack Ltd (Unit-III) - Sales"/>
    <s v="Sales"/>
    <n v="144"/>
    <x v="1"/>
    <s v="PIL2/D/144"/>
    <d v="2023-05-12T00:00:00"/>
    <s v="SF"/>
    <s v="Webbing"/>
    <s v="PP Webbing"/>
    <s v="PP WEBBING (FG)"/>
    <s v="Webbing"/>
    <n v="816.3"/>
    <n v="97988.65"/>
  </r>
  <r>
    <x v="1"/>
    <s v="Plastene India Limited (Unit -II)"/>
    <d v="2023-05-12T00:00:00"/>
    <s v="HCP Plastene Bulkpack Ltd (Unit-III) - Sales"/>
    <s v="Sales"/>
    <n v="144"/>
    <x v="1"/>
    <s v="PIL2/D/144"/>
    <d v="2023-05-12T00:00:00"/>
    <s v="SF"/>
    <s v="Yarn All"/>
    <s v="PP Yarn"/>
    <s v="PP Filament Yarn"/>
    <s v="PP MF Yarn Twisted 3000 MW"/>
    <n v="264.2"/>
    <n v="34842.959999999999"/>
  </r>
  <r>
    <x v="1"/>
    <s v="Plastene India Limited (Unit -II)"/>
    <d v="2023-05-12T00:00:00"/>
    <s v="K.P. Woven Pvt Ltd-Sales"/>
    <s v="Sales"/>
    <n v="142"/>
    <x v="1"/>
    <s v="PIL2/D/142"/>
    <d v="2023-05-12T00:00:00"/>
    <s v="SF"/>
    <s v="PP/PE Fabric"/>
    <s v="PP UL Fabric"/>
    <s v="PP Woven Fabrics(FG)"/>
    <s v="PP UL Fabric With UV"/>
    <n v="462"/>
    <n v="53148.480000000003"/>
  </r>
  <r>
    <x v="1"/>
    <s v="Plastene India Limited (Unit -II)"/>
    <d v="2023-05-12T00:00:00"/>
    <s v="K.P. Woven Pvt Ltd-Sales"/>
    <s v="Sales"/>
    <n v="143"/>
    <x v="0"/>
    <s v="PIL2/D/143"/>
    <d v="2023-05-12T00:00:00"/>
    <s v="Stores/Spares"/>
    <s v="MS Structure Items"/>
    <s v="Other Purchase"/>
    <s v="Consumble Stores"/>
    <s v="MS Pipe"/>
    <n v="21"/>
    <n v="1008"/>
  </r>
  <r>
    <x v="1"/>
    <s v="Plastene India Limited (Unit -II)"/>
    <d v="2023-05-12T00:00:00"/>
    <s v="Plastene Polyfilms Ltd-Sales"/>
    <s v="Sales"/>
    <n v="145"/>
    <x v="1"/>
    <s v="PIL2/D/145"/>
    <d v="2023-05-12T00:00:00"/>
    <s v="SF"/>
    <s v="PP/PE Fabric"/>
    <s v="PP UL Fabric"/>
    <s v="PP Woven Fabrics(FG)"/>
    <s v="PP UL Fabric Without UV"/>
    <n v="1616"/>
    <n v="180992"/>
  </r>
  <r>
    <x v="1"/>
    <s v="Plastene India Limited (Unit -II)"/>
    <d v="2023-05-12T00:00:00"/>
    <s v="Plastene Polyfilms Ltd-Sales"/>
    <s v="Sales"/>
    <n v="145"/>
    <x v="1"/>
    <s v="PIL2/D/145"/>
    <d v="2023-05-12T00:00:00"/>
    <s v="SF"/>
    <s v="PP/PE Fabric"/>
    <s v="PP UL Fabric"/>
    <s v="PP Woven Fabrics(FG)"/>
    <s v="PP UL Fabric With UV"/>
    <n v="27"/>
    <n v="3106.08"/>
  </r>
  <r>
    <x v="1"/>
    <s v="Plastene India Limited (Unit -II)"/>
    <d v="2023-05-12T00:00:00"/>
    <s v="Plastene Polyfilms Ltd-Sales"/>
    <s v="Sales"/>
    <n v="145"/>
    <x v="1"/>
    <s v="PIL2/D/145"/>
    <d v="2023-05-12T00:00:00"/>
    <s v="SF"/>
    <s v="PP/PE Fabric"/>
    <s v="PP Lam Fabric"/>
    <s v="PP Laminated Fabric"/>
    <s v="PP Lam Fabric With UV"/>
    <n v="325"/>
    <n v="38363"/>
  </r>
  <r>
    <x v="1"/>
    <s v="Plastene India Limited (Unit -II)"/>
    <d v="2023-05-12T00:00:00"/>
    <s v="Plastene Polyfilms Ltd-Sales"/>
    <s v="Sales"/>
    <n v="146"/>
    <x v="0"/>
    <s v="PIL2/D/146"/>
    <d v="2023-05-12T00:00:00"/>
    <s v="Stores/Spares"/>
    <s v="MS Structure Items"/>
    <s v="Other Purchase"/>
    <s v="Consumble Stores"/>
    <s v="MS Pipe"/>
    <n v="76"/>
    <n v="3648"/>
  </r>
  <r>
    <x v="1"/>
    <s v="Plastene India Limited (Unit -II)"/>
    <d v="2023-05-14T00:00:00"/>
    <s v="K.P. Woven Pvt Ltd - Unit 3 -Sales"/>
    <s v="Export Sales"/>
    <s v="PIL2/E/37/23-24"/>
    <x v="6"/>
    <s v="PIL2/E/37/23-24"/>
    <d v="2023-05-14T00:00:00"/>
    <s v="FG"/>
    <s v="FIBC Bags"/>
    <s v="FIBC Bags"/>
    <s v="PP WOVEN BIG BAGS / SACKS"/>
    <s v="FIBC Bags With UV Without Liner"/>
    <n v="3321"/>
    <n v="527142.33000000007"/>
  </r>
  <r>
    <x v="1"/>
    <s v="Plastene India Limited (Unit -II)"/>
    <d v="2023-05-14T00:00:00"/>
    <s v="K.P. Woven Pvt Ltd - Unit 3 -Sales"/>
    <s v="Export Sales"/>
    <s v="PIL2/E/37/23-24"/>
    <x v="6"/>
    <s v="PIL2/E/37/23-24"/>
    <d v="2023-05-14T00:00:00"/>
    <s v="FG"/>
    <s v="FIBC Bags"/>
    <s v="FIBC Bags"/>
    <s v="PP WOVEN BIG BAGS / SACKS"/>
    <s v="FIBC Bags With UV With Liner"/>
    <n v="1210"/>
    <n v="192063.30000000002"/>
  </r>
  <r>
    <x v="1"/>
    <s v="Plastene India Limited (Unit -II)"/>
    <d v="2023-05-14T00:00:00"/>
    <s v="K.P. Woven Pvt Ltd - Unit 3 -Sales"/>
    <s v="Export Sales"/>
    <s v="PIL2/E/38/23-24"/>
    <x v="6"/>
    <s v="PIL2/E/38/23-24"/>
    <d v="2023-05-14T00:00:00"/>
    <s v="SF"/>
    <s v="Yarn All"/>
    <s v="PP Yarn"/>
    <s v="PP Fabric Wastage"/>
    <s v="Polyester Yarn Twisted"/>
    <n v="1664.4"/>
    <n v="252988.79999999999"/>
  </r>
  <r>
    <x v="1"/>
    <s v="Plastene India Limited (Unit -II)"/>
    <d v="2023-05-14T00:00:00"/>
    <s v="K.P. Woven Pvt Ltd-Sales"/>
    <s v="Sales"/>
    <n v="147"/>
    <x v="1"/>
    <s v="PIL2/D/147"/>
    <d v="2023-05-14T00:00:00"/>
    <s v="SF"/>
    <s v="PP/PE Fabric"/>
    <s v="PP UL Fabric"/>
    <s v="PP Woven Fabrics(FG)"/>
    <s v="PP UL Fabric With UV"/>
    <n v="648.79999999999995"/>
    <n v="87613.95"/>
  </r>
  <r>
    <x v="1"/>
    <s v="Plastene India Limited (Unit -II)"/>
    <d v="2023-05-14T00:00:00"/>
    <s v="K.P. Woven Pvt Ltd-Sales"/>
    <s v="Sales"/>
    <n v="147"/>
    <x v="1"/>
    <s v="PIL2/D/147"/>
    <d v="2023-05-14T00:00:00"/>
    <s v="SF"/>
    <s v="PP/PE Fabric"/>
    <s v="PP UL Fabric"/>
    <s v="PP Woven Fabrics(FG)"/>
    <s v="PP UL Fabric With UV"/>
    <n v="5771.5"/>
    <n v="663953.36"/>
  </r>
  <r>
    <x v="1"/>
    <s v="Plastene India Limited (Unit -II)"/>
    <d v="2023-05-14T00:00:00"/>
    <s v="K.P. Woven Pvt Ltd-Sales"/>
    <s v="Sales"/>
    <n v="148"/>
    <x v="0"/>
    <s v="PIL2/D/148"/>
    <d v="2023-05-14T00:00:00"/>
    <s v="Stores/Spares"/>
    <s v="MS Structure Items"/>
    <s v="Other Purchase"/>
    <s v="Consumble Stores"/>
    <s v="MS Pipe"/>
    <n v="225"/>
    <n v="10800"/>
  </r>
  <r>
    <x v="1"/>
    <s v="Plastene India Limited (Unit -II)"/>
    <d v="2023-05-15T00:00:00"/>
    <s v="HCP Plastene Bulkpack Limited - Sales"/>
    <s v="Sales"/>
    <n v="153"/>
    <x v="0"/>
    <s v="PIL2/D/153"/>
    <d v="2023-05-15T00:00:00"/>
    <s v="RM"/>
    <s v="Granules"/>
    <s v="UV MB"/>
    <s v="Master Batch"/>
    <s v="UV PIL NFG 20LD"/>
    <n v="5000"/>
    <n v="910000"/>
  </r>
  <r>
    <x v="1"/>
    <s v="Plastene India Limited (Unit -II)"/>
    <d v="2023-05-15T00:00:00"/>
    <s v="HCP Plastene Bulkpack Ltd (Unit-III) - Sales"/>
    <s v="Sales"/>
    <n v="152"/>
    <x v="1"/>
    <s v="PIL2/D/152"/>
    <d v="2023-05-15T00:00:00"/>
    <s v="SF"/>
    <s v="Webbing"/>
    <s v="PP Webbing"/>
    <s v="PP WEBBING (FG)"/>
    <s v="Webbing"/>
    <n v="1515.5"/>
    <n v="181920.62"/>
  </r>
  <r>
    <x v="1"/>
    <s v="Plastene India Limited (Unit -II)"/>
    <d v="2023-05-15T00:00:00"/>
    <s v="HCP Plastene Bulkpack Ltd (Unit-III) - Sales"/>
    <s v="Sales"/>
    <n v="152"/>
    <x v="1"/>
    <s v="PIL2/D/152"/>
    <d v="2023-05-15T00:00:00"/>
    <s v="SF"/>
    <s v="Webbing"/>
    <s v="PP Webbing"/>
    <s v="PP WEBBING (FG)"/>
    <s v="Webbing MF"/>
    <n v="34.5"/>
    <n v="4037.88"/>
  </r>
  <r>
    <x v="1"/>
    <s v="Plastene India Limited (Unit -II)"/>
    <d v="2023-05-15T00:00:00"/>
    <s v="K.P. Woven Pvt Ltd - Unit 3 -Sales"/>
    <s v="Export Sales"/>
    <s v="PIL2/E/40/23-24"/>
    <x v="6"/>
    <s v="PIL2/E/40/23-24"/>
    <d v="2023-05-15T00:00:00"/>
    <s v="SF"/>
    <s v="Yarn All"/>
    <s v="PP Yarn"/>
    <s v="FILLER CORD"/>
    <s v="Filler Cord"/>
    <n v="4480.93"/>
    <n v="627330.19999999995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PP/PE Fabric"/>
    <s v="PP UL Fabric"/>
    <s v="PP Woven Fabrics(FG)"/>
    <s v="PP UL Fabric With UV"/>
    <n v="531"/>
    <n v="61086.239999999998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Liners"/>
    <s v="LDPE/LLDPE Bags"/>
    <s v="LLDPE BAGS (LINER)"/>
    <s v="LDPE/LLDPE Bags/Liner"/>
    <n v="75"/>
    <n v="11036.62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Liners"/>
    <s v="LDPE/LLDPE Bags"/>
    <s v="LLDPE BAGS (LINER)"/>
    <s v="LDPE/LLDPE Bags/Liner"/>
    <n v="498"/>
    <n v="73283.19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Liners"/>
    <s v="LDPE/LLDPE Bags"/>
    <s v="LLDPE BAGS (LINER)"/>
    <s v="LDPE/LLDPE Bags/Liner"/>
    <n v="6.4"/>
    <n v="813.79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PP/PE Fabric"/>
    <s v="PP Lam Fabric"/>
    <s v="PP Laminated Fabric"/>
    <s v="PP Lam Fabric With UV"/>
    <n v="622"/>
    <n v="74042.880000000005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PP/PE Fabric"/>
    <s v="PP Lam Fabric"/>
    <s v="PP Laminated Fabric"/>
    <s v="PP Lam Fabric With UV"/>
    <n v="100"/>
    <n v="11704"/>
  </r>
  <r>
    <x v="1"/>
    <s v="Plastene India Limited (Unit -II)"/>
    <d v="2023-05-15T00:00:00"/>
    <s v="K.P. Woven Pvt Ltd-Sales"/>
    <s v="Sales"/>
    <n v="149"/>
    <x v="1"/>
    <s v="PIL2/D/149"/>
    <d v="2023-05-15T00:00:00"/>
    <s v="RM"/>
    <s v="Granules"/>
    <s v="UV MB"/>
    <s v="Master Batch"/>
    <s v="UV PIL NFG 20LD"/>
    <n v="5000"/>
    <n v="910000"/>
  </r>
  <r>
    <x v="1"/>
    <s v="Plastene India Limited (Unit -II)"/>
    <d v="2023-05-15T00:00:00"/>
    <s v="K.P. Woven Pvt Ltd-Sales"/>
    <s v="Sales"/>
    <n v="149"/>
    <x v="1"/>
    <s v="PIL2/D/149"/>
    <d v="2023-05-15T00:00:00"/>
    <s v="FG"/>
    <s v="FIBC WIP"/>
    <s v="FIBC WIP"/>
    <s v="LLDPE BAGS (LINER)"/>
    <s v="FIBC WIP"/>
    <n v="66"/>
    <n v="14570"/>
  </r>
  <r>
    <x v="1"/>
    <s v="Plastene India Limited (Unit -II)"/>
    <d v="2023-05-15T00:00:00"/>
    <s v="K.P. Woven Pvt Ltd-Sales"/>
    <s v="Sales"/>
    <n v="150"/>
    <x v="0"/>
    <s v="PIL2/D/150"/>
    <d v="2023-05-15T00:00:00"/>
    <s v="Stores/Spares"/>
    <s v="MS Structure Items"/>
    <s v="Other Purchase"/>
    <s v="Consumble Stores"/>
    <s v="MS Pipe"/>
    <n v="75"/>
    <n v="3600"/>
  </r>
  <r>
    <x v="1"/>
    <s v="Plastene India Limited (Unit -II)"/>
    <d v="2023-05-16T00:00:00"/>
    <s v="HCP Plastene Bulkpack Ltd (Unit-III) - Sales"/>
    <s v="Sales"/>
    <n v="154"/>
    <x v="0"/>
    <s v="PIL2/D/154"/>
    <d v="2023-05-16T00:00:00"/>
    <s v="RM Consumables"/>
    <s v="Ink"/>
    <s v="Ink"/>
    <s v="Ink"/>
    <s v="Ink Varsha Poly Process Yellow VLX 671"/>
    <n v="25"/>
    <n v="7712.5"/>
  </r>
  <r>
    <x v="1"/>
    <s v="Plastene India Limited (Unit -II)"/>
    <d v="2023-05-16T00:00:00"/>
    <s v="HCP Plastene Bulkpack Ltd (Unit-III) - Sales"/>
    <s v="Sales"/>
    <n v="154"/>
    <x v="0"/>
    <s v="PIL2/D/154"/>
    <d v="2023-05-16T00:00:00"/>
    <s v="RM Consumables"/>
    <s v="Ink"/>
    <s v="Ink"/>
    <s v="Ink"/>
    <s v="Ink Elite Poly Orange 021 C VLX 528"/>
    <n v="20"/>
    <n v="5200"/>
  </r>
  <r>
    <x v="1"/>
    <s v="Plastene India Limited (Unit -II)"/>
    <d v="2023-05-16T00:00:00"/>
    <s v="HCP Plastene Bulkpack Ltd (Unit-III) - Sales"/>
    <s v="Sales"/>
    <n v="155"/>
    <x v="1"/>
    <s v="PIL2/D/155"/>
    <d v="2023-05-16T00:00:00"/>
    <s v="FG"/>
    <s v="FIBC WIP"/>
    <s v="FIBC WIP"/>
    <s v="LLDPE BAGS (LINER)"/>
    <s v="FIBC WIP"/>
    <n v="29.5"/>
    <n v="5520"/>
  </r>
  <r>
    <x v="1"/>
    <s v="Plastene India Limited (Unit -II)"/>
    <d v="2023-05-16T00:00:00"/>
    <s v="K.P. Woven Pvt Ltd - Unit 3 -Sales"/>
    <s v="Export Sales"/>
    <s v="PIL2/E/41/23-24"/>
    <x v="4"/>
    <s v="PIL2/E/41/23-24"/>
    <d v="2023-05-16T00:00:00"/>
    <s v="RM"/>
    <s v="Granules"/>
    <s v="UV MB"/>
    <s v="Master Batch"/>
    <s v="UV PIL NFG 20LD"/>
    <n v="3000"/>
    <n v="546000"/>
  </r>
  <r>
    <x v="1"/>
    <s v="Plastene India Limited (Unit -II)"/>
    <d v="2023-05-16T00:00:00"/>
    <s v="K.P. Woven Pvt Ltd-Sales"/>
    <s v="Sales"/>
    <n v="158"/>
    <x v="1"/>
    <s v="PIL2/D/158"/>
    <d v="2023-05-16T00:00:00"/>
    <s v="SF"/>
    <s v="PP/PE Fabric"/>
    <s v="PP UL Fabric"/>
    <s v="PP Woven Fabrics(FG)"/>
    <s v="PP UL Fabric With UV"/>
    <n v="2787.2"/>
    <n v="376383.49"/>
  </r>
  <r>
    <x v="1"/>
    <s v="Plastene India Limited (Unit -II)"/>
    <d v="2023-05-16T00:00:00"/>
    <s v="Plastene Polyfilms Ltd-Sales"/>
    <s v="Sales"/>
    <n v="156"/>
    <x v="1"/>
    <s v="PIL2/D/156"/>
    <d v="2023-05-16T00:00:00"/>
    <s v="SF"/>
    <s v="PP/PE Fabric"/>
    <s v="PP UL Fabric"/>
    <s v="PP Woven Fabrics(FG)"/>
    <s v="PP UL Fabric Without UV"/>
    <n v="1712"/>
    <n v="191744"/>
  </r>
  <r>
    <x v="1"/>
    <s v="Plastene India Limited (Unit -II)"/>
    <d v="2023-05-16T00:00:00"/>
    <s v="Plastene Polyfilms Ltd-Sales"/>
    <s v="Sales"/>
    <n v="157"/>
    <x v="0"/>
    <s v="PIL2/D/157"/>
    <d v="2023-05-16T00:00:00"/>
    <s v="Stores/Spares"/>
    <s v="MS Structure Items"/>
    <s v="Other Purchase"/>
    <s v="Consumble Stores"/>
    <s v="MS Pipe"/>
    <n v="54"/>
    <n v="2592"/>
  </r>
  <r>
    <x v="1"/>
    <s v="Plastene India Limited (Unit -II)"/>
    <d v="2023-05-17T00:00:00"/>
    <s v="K.P. Woven Pvt Ltd - Unit 3 -Sales"/>
    <s v="Export Sales"/>
    <s v="PIL2/E/42/23-24"/>
    <x v="6"/>
    <s v="PIL2/E/42/23-24"/>
    <d v="2023-05-17T00:00:00"/>
    <s v="FG"/>
    <s v="FIBC Bags"/>
    <s v="FIBC Bags"/>
    <s v="PP WOVEN BIG BAGS / SACKS"/>
    <s v="FIBC Bags With UV Without Liner"/>
    <n v="8071"/>
    <n v="1281109.83"/>
  </r>
  <r>
    <x v="1"/>
    <s v="Plastene India Limited (Unit -II)"/>
    <d v="2023-05-17T00:00:00"/>
    <s v="K.P. Woven Pvt Ltd-Sales"/>
    <s v="Sales"/>
    <n v="159"/>
    <x v="1"/>
    <s v="PIL2/D/159"/>
    <d v="2023-05-17T00:00:00"/>
    <s v="FG"/>
    <s v="FIBC Bags"/>
    <s v="FIBC Bags"/>
    <s v="PP WOVEN BIG BAGS / SACKS"/>
    <s v="FIBC Bags With UV Without Liner"/>
    <n v="7975"/>
    <n v="1312525.5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998"/>
    <n v="330469.2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578"/>
    <n v="262310.94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146"/>
    <n v="197432.88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942"/>
    <n v="342160.98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2311"/>
    <n v="388802.64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3564"/>
    <n v="627264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561"/>
    <n v="269537.87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231"/>
    <n v="225149.9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690"/>
    <n v="288077.40000000002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AG &amp; SACK"/>
    <s v="FIBC Bags With UV With Liner"/>
    <n v="1473"/>
    <n v="374524.98"/>
  </r>
  <r>
    <x v="1"/>
    <s v="Plastene India Limited (Unit -II)"/>
    <d v="2023-05-18T00:00:00"/>
    <s v="HCP Plastene Bulkpack Ltd (Unit-III) - Sales"/>
    <s v="Sales"/>
    <n v="162"/>
    <x v="1"/>
    <s v="PIL2/D/162"/>
    <d v="2023-05-18T00:00:00"/>
    <s v="SF"/>
    <s v="PP/PE Fabric"/>
    <s v="PP UL Fabric"/>
    <s v="PP Woven Fabrics(FG)"/>
    <s v="PP UL Fabric With UV"/>
    <n v="634"/>
    <n v="72935.360000000001"/>
  </r>
  <r>
    <x v="1"/>
    <s v="Plastene India Limited (Unit -II)"/>
    <d v="2023-05-18T00:00:00"/>
    <s v="HCP Plastene Bulkpack Ltd (Unit-III) - Sales"/>
    <s v="Sales"/>
    <n v="162"/>
    <x v="1"/>
    <s v="PIL2/D/162"/>
    <d v="2023-05-18T00:00:00"/>
    <s v="SF"/>
    <s v="Yarn All"/>
    <s v="PP Yarn"/>
    <s v="PP TAPE / YARN"/>
    <s v="PP Fibrillated Tape Twisted 3200 Black"/>
    <n v="262.89999999999998"/>
    <n v="30506.92"/>
  </r>
  <r>
    <x v="1"/>
    <s v="Plastene India Limited (Unit -II)"/>
    <d v="2023-05-18T00:00:00"/>
    <s v="HCP Plastene Bulkpack Ltd (Unit-III) - Sales"/>
    <s v="Sales"/>
    <n v="162"/>
    <x v="1"/>
    <s v="PIL2/D/162"/>
    <d v="2023-05-18T00:00:00"/>
    <s v="SF"/>
    <s v="Webbing"/>
    <s v="PP Webbing"/>
    <s v="PP WEBBING (FG)"/>
    <s v="Webbing"/>
    <n v="521.29999999999995"/>
    <n v="62576.85"/>
  </r>
  <r>
    <x v="1"/>
    <s v="Plastene India Limited (Unit -II)"/>
    <d v="2023-05-18T00:00:00"/>
    <s v="HCP Plastene Bulkpack Ltd (Unit-III) - Sales"/>
    <s v="Sales"/>
    <n v="163"/>
    <x v="0"/>
    <s v="PIL2/D/163"/>
    <d v="2023-05-18T00:00:00"/>
    <s v="Stores/Spares"/>
    <s v="MS Structure Items"/>
    <s v="Other Purchase"/>
    <s v="Consumble Stores"/>
    <s v="MS Pipe"/>
    <n v="33"/>
    <n v="1584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Lam Fabric"/>
    <s v="PP Laminated Fabric"/>
    <s v="PP Lam Fabric With UV"/>
    <n v="110"/>
    <n v="13094.4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Lam Fabric"/>
    <s v="PP Laminated Fabric"/>
    <s v="PP Lam Fabric With UV"/>
    <n v="534"/>
    <n v="62499.360000000001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UL Fabric"/>
    <s v="PP Woven Fabrics(FG)"/>
    <s v="PP UL Fabric With UV"/>
    <n v="287"/>
    <n v="33877.480000000003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UL Fabric"/>
    <s v="PP Woven Fabrics(FG)"/>
    <s v="PP UL Fabric With UV"/>
    <n v="1130"/>
    <n v="129995.2"/>
  </r>
  <r>
    <x v="1"/>
    <s v="Plastene India Limited (Unit -II)"/>
    <d v="2023-05-19T00:00:00"/>
    <s v="K.P. Woven Pvt Ltd-Sales"/>
    <s v="Sales"/>
    <n v="165"/>
    <x v="0"/>
    <s v="PIL2/D/165"/>
    <d v="2023-05-19T00:00:00"/>
    <s v="Stores/Spares"/>
    <s v="MS Structure Items"/>
    <s v="Other Purchase"/>
    <s v="Consumble Stores"/>
    <s v="MS Pipe"/>
    <n v="146"/>
    <n v="7008"/>
  </r>
  <r>
    <x v="1"/>
    <s v="Plastene India Limited (Unit -II)"/>
    <d v="2023-05-19T00:00:00"/>
    <s v="K.P. Woven Pvt Ltd-Sales"/>
    <s v="Sales"/>
    <n v="166"/>
    <x v="3"/>
    <s v="PIL2/D/166"/>
    <d v="2023-05-19T00:00:00"/>
    <s v="Other Scrap"/>
    <s v="Wastage/Scrap"/>
    <s v="Waste"/>
    <s v="Pp Wastage"/>
    <s v="Paper/Puttha Scrap"/>
    <n v="1680"/>
    <n v="26880"/>
  </r>
  <r>
    <x v="1"/>
    <s v="Plastene India Limited (Unit -II)"/>
    <d v="2023-05-19T00:00:00"/>
    <s v="K.P. Woven Pvt Ltd-Sales"/>
    <s v="Sales"/>
    <n v="167"/>
    <x v="1"/>
    <s v="PIL2/D/167"/>
    <d v="2023-05-19T00:00:00"/>
    <s v="FG"/>
    <s v="FIBC WIP"/>
    <s v="FIBC WIP"/>
    <s v="LLDPE BAGS (LINER)"/>
    <s v="FIBC WIP"/>
    <n v="5"/>
    <n v="944"/>
  </r>
  <r>
    <x v="1"/>
    <s v="Plastene India Limited (Unit -II)"/>
    <d v="2023-05-19T00:00:00"/>
    <s v="Plastene Polyfilms Ltd-Sales"/>
    <s v="Sales"/>
    <n v="168"/>
    <x v="1"/>
    <s v="PIL2/D/168"/>
    <d v="2023-05-19T00:00:00"/>
    <s v="SF"/>
    <s v="PP/PE Fabric"/>
    <s v="PP UL Fabric"/>
    <s v="PP Woven Fabrics(FG)"/>
    <s v="PP UL Fabric With UV"/>
    <n v="160"/>
    <n v="18726.400000000001"/>
  </r>
  <r>
    <x v="1"/>
    <s v="Plastene India Limited (Unit -II)"/>
    <d v="2023-05-19T00:00:00"/>
    <s v="Plastene Polyfilms Ltd-Sales"/>
    <s v="Sales"/>
    <n v="168"/>
    <x v="1"/>
    <s v="PIL2/D/168"/>
    <d v="2023-05-19T00:00:00"/>
    <s v="SF"/>
    <s v="PP/PE Fabric"/>
    <s v="PP UL Fabric"/>
    <s v="PP Woven Fabrics(FG)"/>
    <s v="PP UL Fabric Without UV"/>
    <n v="1144"/>
    <n v="128128"/>
  </r>
  <r>
    <x v="1"/>
    <s v="Plastene India Limited (Unit -II)"/>
    <d v="2023-05-19T00:00:00"/>
    <s v="Plastene Polyfilms Ltd-Sales"/>
    <s v="Sales"/>
    <n v="168"/>
    <x v="1"/>
    <s v="PIL2/D/168"/>
    <d v="2023-05-19T00:00:00"/>
    <s v="SF"/>
    <s v="Webbing"/>
    <s v="PP Webbing"/>
    <s v="PP WEBBING (FG)"/>
    <s v="Webbing"/>
    <n v="566.6"/>
    <n v="68014.66"/>
  </r>
  <r>
    <x v="1"/>
    <s v="Plastene India Limited (Unit -II)"/>
    <d v="2023-05-19T00:00:00"/>
    <s v="Plastene Polyfilms Ltd-Sales"/>
    <s v="Sales"/>
    <n v="169"/>
    <x v="0"/>
    <s v="PIL2/D/169"/>
    <d v="2023-05-19T00:00:00"/>
    <s v="Stores/Spares"/>
    <s v="MS Structure Items"/>
    <s v="Other Purchase"/>
    <s v="Consumble Stores"/>
    <s v="MS Pipe"/>
    <n v="46"/>
    <n v="2208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411"/>
    <n v="72660.69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3571"/>
    <n v="590643.4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1789"/>
    <n v="310141.03999999998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2059"/>
    <n v="319412.67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5925"/>
    <n v="979995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1184"/>
    <n v="198852.8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2150"/>
    <n v="370638.5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1534"/>
    <n v="264277.52"/>
  </r>
  <r>
    <x v="1"/>
    <s v="Plastene India Limited (Unit -II)"/>
    <d v="2023-05-20T00:00:00"/>
    <s v="Plastene Polyfilms Ltd-Sales"/>
    <s v="Sales"/>
    <n v="170"/>
    <x v="1"/>
    <s v="PIL2/D/170"/>
    <d v="2023-05-20T00:00:00"/>
    <s v="SF"/>
    <s v="Webbing"/>
    <s v="PP Webbing"/>
    <s v="PP WEBBING (FG)"/>
    <s v="Webbing"/>
    <n v="832.1"/>
    <n v="97388.98"/>
  </r>
  <r>
    <x v="1"/>
    <s v="Plastene India Limited (Unit -II)"/>
    <d v="2023-05-20T00:00:00"/>
    <s v="Plastene Polyfilms Ltd-Sales"/>
    <s v="Sales"/>
    <n v="170"/>
    <x v="1"/>
    <s v="PIL2/D/170"/>
    <d v="2023-05-20T00:00:00"/>
    <s v="SF"/>
    <s v="Webbing"/>
    <s v="PP Webbing"/>
    <s v="PP WEBBING (FG)"/>
    <s v="Webbing"/>
    <n v="1478.8"/>
    <n v="177515.15"/>
  </r>
  <r>
    <x v="1"/>
    <s v="Plastene India Limited (Unit -II)"/>
    <d v="2023-05-20T00:00:00"/>
    <s v="Plastene Polyfilms Ltd-Sales"/>
    <s v="Sales"/>
    <n v="170"/>
    <x v="1"/>
    <s v="PIL2/D/170"/>
    <d v="2023-05-20T00:00:00"/>
    <s v="SF"/>
    <s v="PP/PE Fabric"/>
    <s v="PP UL Fabric"/>
    <s v="PP Woven Fabrics(FG)"/>
    <s v="PP UL Fabric Without UV"/>
    <n v="541"/>
    <n v="60592"/>
  </r>
  <r>
    <x v="1"/>
    <s v="Plastene India Limited (Unit -II)"/>
    <d v="2023-05-20T00:00:00"/>
    <s v="Plastene Polyfilms Ltd-Sales"/>
    <s v="Sales"/>
    <n v="170"/>
    <x v="1"/>
    <s v="PIL2/D/170"/>
    <d v="2023-05-20T00:00:00"/>
    <s v="FG"/>
    <s v="FIBC Bags"/>
    <s v="FIBC Bags"/>
    <s v="PP WOVEN BAG &amp; SACK"/>
    <s v="FIBC Bags With UV With Liner"/>
    <n v="775"/>
    <n v="163230.5"/>
  </r>
  <r>
    <x v="1"/>
    <s v="Plastene India Limited (Unit -II)"/>
    <d v="2023-05-20T00:00:00"/>
    <s v="Plastene Polyfilms Ltd-Sales"/>
    <s v="Sales"/>
    <n v="171"/>
    <x v="0"/>
    <s v="PIL2/D/171"/>
    <d v="2023-05-20T00:00:00"/>
    <s v="Stores/Spares"/>
    <s v="MS Structure Items"/>
    <s v="Other Purchase"/>
    <s v="Consumble Stores"/>
    <s v="MS Pipe"/>
    <n v="18"/>
    <n v="864"/>
  </r>
  <r>
    <x v="1"/>
    <s v="Plastene India Limited (Unit -II)"/>
    <d v="2023-05-21T00:00:00"/>
    <s v="K.P. Woven Pvt Ltd - Unit 3 -Sales"/>
    <s v="Export Sales"/>
    <s v="PIL2/E/44/23-24"/>
    <x v="6"/>
    <s v="PIL2/E/44/23-24"/>
    <d v="2023-05-21T00:00:00"/>
    <s v="FG"/>
    <s v="FIBC Bags"/>
    <s v="FIBC Bags"/>
    <s v="PP WOVEN BIG BAGS / SACKS"/>
    <s v="FIBC Bags With UV Without Liner"/>
    <n v="2388"/>
    <n v="379047.24000000005"/>
  </r>
  <r>
    <x v="1"/>
    <s v="Plastene India Limited (Unit -II)"/>
    <d v="2023-05-22T00:00:00"/>
    <s v="K.P. Woven Pvt Ltd-Sales"/>
    <s v="Sales"/>
    <n v="174"/>
    <x v="1"/>
    <s v="PIL2/D/174"/>
    <d v="2023-05-22T00:00:00"/>
    <s v="SF"/>
    <s v="PP/PE Fabric"/>
    <s v="PP UL Fabric"/>
    <s v="PP Woven Fabrics(FG)"/>
    <s v="PP UL Fabric With UV"/>
    <n v="2185"/>
    <n v="251362.4"/>
  </r>
  <r>
    <x v="1"/>
    <s v="Plastene India Limited (Unit -II)"/>
    <d v="2023-05-22T00:00:00"/>
    <s v="K.P. Woven Pvt Ltd-Sales"/>
    <s v="Sales"/>
    <n v="174"/>
    <x v="1"/>
    <s v="PIL2/D/174"/>
    <d v="2023-05-22T00:00:00"/>
    <s v="SF"/>
    <s v="PP/PE Fabric"/>
    <s v="PP Lam Fabric"/>
    <s v="PP Laminated Fabric"/>
    <s v="PP Lam Fabric With UV"/>
    <n v="379"/>
    <n v="53075.16"/>
  </r>
  <r>
    <x v="1"/>
    <s v="Plastene India Limited (Unit -II)"/>
    <d v="2023-05-22T00:00:00"/>
    <s v="K.P. Woven Pvt Ltd-Sales"/>
    <s v="Sales"/>
    <n v="174"/>
    <x v="1"/>
    <s v="PIL2/D/174"/>
    <d v="2023-05-22T00:00:00"/>
    <s v="SF"/>
    <s v="Webbing"/>
    <s v="PP Webbing"/>
    <s v="PP WEBBING (FG)"/>
    <s v="Webbing Tie"/>
    <n v="367.1"/>
    <n v="42965.38"/>
  </r>
  <r>
    <x v="1"/>
    <s v="Plastene India Limited (Unit -II)"/>
    <d v="2023-05-22T00:00:00"/>
    <s v="K.P. Woven Pvt Ltd-Sales"/>
    <s v="Sales"/>
    <n v="175"/>
    <x v="0"/>
    <s v="PIL2/D/175"/>
    <d v="2023-05-22T00:00:00"/>
    <s v="Stores/Spares"/>
    <s v="MS Structure Items"/>
    <s v="Other Purchase"/>
    <s v="Consumble Stores"/>
    <s v="MS Pipe"/>
    <n v="169"/>
    <n v="8112"/>
  </r>
  <r>
    <x v="1"/>
    <s v="Plastene India Limited (Unit -II)"/>
    <d v="2023-05-22T00:00:00"/>
    <s v="K.P. Woven Pvt Ltd-Sales"/>
    <s v="Sales"/>
    <n v="176"/>
    <x v="1"/>
    <s v="PIL2/D/176"/>
    <d v="2023-05-22T00:00:00"/>
    <s v="SF"/>
    <s v="Yarn All"/>
    <s v="PP Yarn"/>
    <s v="PP Filament Yarn"/>
    <s v="Polyester Yarn Twisted"/>
    <n v="1433.9"/>
    <n v="216690.97"/>
  </r>
  <r>
    <x v="1"/>
    <s v="Plastene India Limited (Unit -II)"/>
    <d v="2023-05-23T00:00:00"/>
    <s v="K.P. Woven Pvt Ltd-Sales"/>
    <s v="Sales"/>
    <n v="178"/>
    <x v="1"/>
    <s v="PIL2/D/178"/>
    <d v="2023-05-23T00:00:00"/>
    <s v="RM"/>
    <s v="Granules"/>
    <s v="Filler"/>
    <s v="Filler"/>
    <s v="Filler Everplus E102 PP"/>
    <n v="16000"/>
    <n v="464480"/>
  </r>
  <r>
    <x v="1"/>
    <s v="Plastene India Limited (Unit -II)"/>
    <d v="2023-05-23T00:00:00"/>
    <s v="K.P. Woven Pvt Ltd-Sales"/>
    <s v="Sales"/>
    <n v="180"/>
    <x v="1"/>
    <s v="PIL2/D/180"/>
    <d v="2023-05-23T00:00:00"/>
    <s v="FG"/>
    <s v="FIBC WIP"/>
    <s v="FIBC WIP"/>
    <s v="LLDPE BAGS (LINER)"/>
    <s v="FIBC WIP"/>
    <n v="0.6"/>
    <n v="130"/>
  </r>
  <r>
    <x v="1"/>
    <s v="Plastene India Limited (Unit -II)"/>
    <d v="2023-05-24T00:00:00"/>
    <s v="HCP Plastene Bulkpack Ltd (Unit-III) - Sales"/>
    <s v="Sales"/>
    <n v="185"/>
    <x v="1"/>
    <s v="PIL2/D/185"/>
    <d v="2023-05-24T00:00:00"/>
    <s v="FG"/>
    <s v="FIBC WIP"/>
    <s v="FIBC WIP"/>
    <s v="LLDPE BAGS (LINER)"/>
    <s v="FIBC WIP"/>
    <n v="28"/>
    <n v="5544"/>
  </r>
  <r>
    <x v="1"/>
    <s v="Plastene India Limited (Unit -II)"/>
    <d v="2023-05-24T00:00:00"/>
    <s v="HCP Plastene Bulkpack Ltd (Unit-III) - Sales"/>
    <s v="Sales"/>
    <n v="185"/>
    <x v="1"/>
    <s v="PIL2/D/185"/>
    <d v="2023-05-24T00:00:00"/>
    <s v="SF"/>
    <s v="PP/PE Fabric"/>
    <s v="PP UL Fabric"/>
    <s v="PP Woven Fabrics(FG)"/>
    <s v="PP UL Fabric With UV"/>
    <n v="1465"/>
    <n v="168533.6"/>
  </r>
  <r>
    <x v="1"/>
    <s v="Plastene India Limited (Unit -II)"/>
    <d v="2023-05-24T00:00:00"/>
    <s v="HCP Plastene Bulkpack Ltd (Unit-III) - Sales"/>
    <s v="Sales"/>
    <n v="185"/>
    <x v="1"/>
    <s v="PIL2/D/185"/>
    <d v="2023-05-24T00:00:00"/>
    <s v="SF"/>
    <s v="Webbing"/>
    <s v="PP Webbing"/>
    <s v="PP WEBBING (FG)"/>
    <s v="Webbing"/>
    <n v="2254"/>
    <n v="270570.15999999997"/>
  </r>
  <r>
    <x v="1"/>
    <s v="Plastene India Limited (Unit -II)"/>
    <d v="2023-05-24T00:00:00"/>
    <s v="HCP Plastene Bulkpack Ltd (Unit-III) - Sales"/>
    <s v="Sales"/>
    <n v="186"/>
    <x v="0"/>
    <s v="PIL2/D/186"/>
    <d v="2023-05-24T00:00:00"/>
    <s v="Stores/Spares"/>
    <s v="MS Structure Items"/>
    <s v="Other Purchase"/>
    <s v="Consumble Stores"/>
    <s v="MS Pipe"/>
    <n v="74"/>
    <n v="3552"/>
  </r>
  <r>
    <x v="1"/>
    <s v="Plastene India Limited (Unit -II)"/>
    <d v="2023-05-24T00:00:00"/>
    <s v="K.P. Woven Pvt Ltd-Sales"/>
    <s v="Sales"/>
    <n v="182"/>
    <x v="1"/>
    <s v="PIL2/D/182"/>
    <d v="2023-05-24T00:00:00"/>
    <s v="FG"/>
    <s v="FIBC WIP"/>
    <s v="FIBC WIP"/>
    <s v="LLDPE BAGS (LINER)"/>
    <s v="FIBC WIP"/>
    <n v="21.5"/>
    <n v="5251"/>
  </r>
  <r>
    <x v="1"/>
    <s v="Plastene India Limited (Unit -II)"/>
    <d v="2023-05-24T00:00:00"/>
    <s v="K.P. Woven Pvt Ltd-Sales"/>
    <s v="Sales"/>
    <n v="182"/>
    <x v="1"/>
    <s v="PIL2/D/182"/>
    <d v="2023-05-24T00:00:00"/>
    <s v="SF"/>
    <s v="PP/PE Fabric"/>
    <s v="PP UL Fabric"/>
    <s v="PP Woven Fabrics(FG)"/>
    <s v="PP UL Fabric With UV"/>
    <n v="1104"/>
    <n v="127004.16"/>
  </r>
  <r>
    <x v="1"/>
    <s v="Plastene India Limited (Unit -II)"/>
    <d v="2023-05-24T00:00:00"/>
    <s v="K.P. Woven Pvt Ltd-Sales"/>
    <s v="Sales"/>
    <n v="182"/>
    <x v="1"/>
    <s v="PIL2/D/182"/>
    <d v="2023-05-24T00:00:00"/>
    <s v="SF"/>
    <s v="PP/PE Fabric"/>
    <s v="PP UL Fabric"/>
    <s v="PP Woven Fabrics(FG)"/>
    <s v="PP UL Fabric With UV"/>
    <n v="2091.5"/>
    <n v="282436.15999999997"/>
  </r>
  <r>
    <x v="1"/>
    <s v="Plastene India Limited (Unit -II)"/>
    <d v="2023-05-24T00:00:00"/>
    <s v="K.P. Woven Pvt Ltd-Sales"/>
    <s v="Sales"/>
    <n v="183"/>
    <x v="0"/>
    <s v="PIL2/D/183"/>
    <d v="2023-05-24T00:00:00"/>
    <s v="Stores/Spares"/>
    <s v="MS Structure Items"/>
    <s v="Other Purchase"/>
    <s v="Consumble Stores"/>
    <s v="MS Pipe"/>
    <n v="56"/>
    <n v="2688"/>
  </r>
  <r>
    <x v="1"/>
    <s v="Plastene India Limited (Unit -II)"/>
    <d v="2023-05-25T00:00:00"/>
    <s v="K.P. Woven Pvt Ltd-Sales"/>
    <s v="Sales"/>
    <n v="190"/>
    <x v="1"/>
    <s v="PIL2/D/190"/>
    <d v="2023-05-25T00:00:00"/>
    <s v="FG"/>
    <s v="FIBC WIP"/>
    <s v="FIBC WIP"/>
    <s v="LLDPE BAGS (LINER)"/>
    <s v="FIBC WIP"/>
    <n v="9.4"/>
    <n v="1925"/>
  </r>
  <r>
    <x v="1"/>
    <s v="Plastene India Limited (Unit -II)"/>
    <d v="2023-05-25T00:00:00"/>
    <s v="K.P. Woven Pvt Ltd-Sales"/>
    <s v="Sales"/>
    <n v="190"/>
    <x v="1"/>
    <s v="PIL2/D/190"/>
    <d v="2023-05-25T00:00:00"/>
    <s v="SF"/>
    <s v="PP/PE Fabric"/>
    <s v="PP UL Fabric"/>
    <s v="PP Woven Fabrics(FG)"/>
    <s v="PP UL Fabric With UV"/>
    <n v="5721"/>
    <n v="658143.84"/>
  </r>
  <r>
    <x v="1"/>
    <s v="Plastene India Limited (Unit -II)"/>
    <d v="2023-05-25T00:00:00"/>
    <s v="K.P. Woven Pvt Ltd-Sales"/>
    <s v="Sales"/>
    <n v="191"/>
    <x v="0"/>
    <s v="PIL2/D/191"/>
    <d v="2023-05-25T00:00:00"/>
    <s v="Stores/Spares"/>
    <s v="MS Structure Items"/>
    <s v="Other Purchase"/>
    <s v="Consumble Stores"/>
    <s v="MS Pipe"/>
    <n v="277"/>
    <n v="13296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PP/PE Fabric"/>
    <s v="PP UL Fabric"/>
    <s v="PP Woven Fabrics(FG)"/>
    <s v="PP UL Fabric CutPcs With UV"/>
    <n v="3051"/>
    <n v="437421.87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PP/PE Fabric"/>
    <s v="PP UL Fabric"/>
    <s v="PP Woven Fabrics(FG)"/>
    <s v="PP UL Fabric With UV"/>
    <n v="89"/>
    <n v="10238.56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PP/PE Fabric"/>
    <s v="PP UL Fabric"/>
    <s v="PP Woven Fabrics(FG)"/>
    <s v="PP UL Fabric Without UV"/>
    <n v="2272"/>
    <n v="254464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Yarn All"/>
    <s v="PP Yarn"/>
    <s v="PP Tape (Bobbin)"/>
    <s v="PP Conductive Tape 1100 Black"/>
    <n v="1341"/>
    <n v="651726"/>
  </r>
  <r>
    <x v="1"/>
    <s v="Plastene India Limited (Unit -II)"/>
    <d v="2023-05-25T00:00:00"/>
    <s v="Plastene Polyfilms Ltd-Sales"/>
    <s v="Sales"/>
    <n v="188"/>
    <x v="0"/>
    <s v="PIL2/D/188"/>
    <d v="2023-05-25T00:00:00"/>
    <s v="Stores/Spares"/>
    <s v="MS Structure Items"/>
    <s v="Other Purchase"/>
    <s v="Consumble Stores"/>
    <s v="MS Pipe"/>
    <n v="84"/>
    <n v="4032"/>
  </r>
  <r>
    <x v="1"/>
    <s v="Plastene India Limited (Unit -II)"/>
    <d v="2023-05-26T00:00:00"/>
    <s v="HCP Plastene Bulkpack Limited - Sales"/>
    <s v="Sales"/>
    <n v="192"/>
    <x v="0"/>
    <s v="PIL2/D/192"/>
    <d v="2023-05-26T00:00:00"/>
    <s v="RM"/>
    <s v="Granules"/>
    <s v="Masterbatch"/>
    <s v="Master Batch"/>
    <s v="MB Karnavati Varana Brown"/>
    <n v="2"/>
    <n v="322"/>
  </r>
  <r>
    <x v="1"/>
    <s v="Plastene India Limited (Unit -II)"/>
    <d v="2023-05-26T00:00:00"/>
    <s v="HCP Plastene Bulkpack Limited - Sales"/>
    <s v="Sales"/>
    <n v="192"/>
    <x v="0"/>
    <s v="PIL2/D/192"/>
    <d v="2023-05-26T00:00:00"/>
    <s v="RM"/>
    <s v="Granules"/>
    <s v="Masterbatch"/>
    <s v="Master Batch"/>
    <s v="MB karnavati White Beige"/>
    <n v="5"/>
    <n v="750"/>
  </r>
  <r>
    <x v="1"/>
    <s v="Plastene India Limited (Unit -II)"/>
    <d v="2023-05-26T00:00:00"/>
    <s v="HCP Plastene Bulkpack Limited - Sales"/>
    <s v="Sales"/>
    <n v="192"/>
    <x v="0"/>
    <s v="PIL2/D/192"/>
    <d v="2023-05-26T00:00:00"/>
    <s v="RM"/>
    <s v="Granules"/>
    <s v="Masterbatch"/>
    <s v="Master Batch"/>
    <s v="MB Alok Beige AM 2257"/>
    <n v="5"/>
    <n v="865"/>
  </r>
  <r>
    <x v="1"/>
    <s v="Plastene India Limited (Unit -II)"/>
    <d v="2023-05-26T00:00:00"/>
    <s v="K.P. Woven Pvt Ltd - Unit 3 -Sales"/>
    <s v="Export Sales"/>
    <s v="PIL2/E/48/23-24"/>
    <x v="6"/>
    <s v="PIL2/E/48/23-24"/>
    <d v="2023-05-26T00:00:00"/>
    <s v="FG"/>
    <s v="FIBC Bags"/>
    <s v="FIBC Bags"/>
    <s v="PP WOVEN BIG BAGS / SACKS"/>
    <s v="FIBC Bags With UV Without Liner"/>
    <n v="9528"/>
    <n v="1512379.44"/>
  </r>
  <r>
    <x v="1"/>
    <s v="Plastene India Limited (Unit -II)"/>
    <d v="2023-05-27T00:00:00"/>
    <s v="HCP Plastene Bulkpack Ltd (Unit-III) - Sales"/>
    <s v="Sales"/>
    <n v="193"/>
    <x v="1"/>
    <s v="PIL2/D/193"/>
    <d v="2023-05-27T00:00:00"/>
    <s v="SF"/>
    <s v="Webbing"/>
    <s v="PP Webbing"/>
    <s v="PP WEBBING (FG)"/>
    <s v="Webbing"/>
    <n v="1062.2"/>
    <n v="127506.49"/>
  </r>
  <r>
    <x v="1"/>
    <s v="Plastene India Limited (Unit -II)"/>
    <d v="2023-05-27T00:00:00"/>
    <s v="HCP Plastene Bulkpack Ltd (Unit-III) - Sales"/>
    <s v="Sales"/>
    <n v="193"/>
    <x v="1"/>
    <s v="PIL2/D/193"/>
    <d v="2023-05-27T00:00:00"/>
    <s v="SF"/>
    <s v="PP/PE Fabric"/>
    <s v="PP UL Fabric"/>
    <s v="PP Woven Fabrics(FG)"/>
    <s v="PP UL Fabric With UV"/>
    <n v="2269"/>
    <n v="261025.76"/>
  </r>
  <r>
    <x v="1"/>
    <s v="Plastene India Limited (Unit -II)"/>
    <d v="2023-05-27T00:00:00"/>
    <s v="HCP Plastene Bulkpack Ltd (Unit-III) - Sales"/>
    <s v="Sales"/>
    <n v="194"/>
    <x v="0"/>
    <s v="PIL2/D/194"/>
    <d v="2023-05-27T00:00:00"/>
    <s v="Stores/Spares"/>
    <s v="MS Structure Items"/>
    <s v="Other Purchase"/>
    <s v="Consumble Stores"/>
    <s v="MS Pipe"/>
    <n v="125"/>
    <n v="6000"/>
  </r>
  <r>
    <x v="1"/>
    <s v="Plastene India Limited (Unit -II)"/>
    <d v="2023-05-27T00:00:00"/>
    <s v="Plastene Polyfilms Ltd-Sales"/>
    <s v="Sales"/>
    <n v="195"/>
    <x v="0"/>
    <s v="PIL2/D/195"/>
    <d v="2023-05-27T00:00:00"/>
    <s v="RM"/>
    <s v="Granules"/>
    <s v="UV MB"/>
    <s v="Master Batch"/>
    <s v="UV PIL NFG 20LD"/>
    <n v="4000"/>
    <n v="728000"/>
  </r>
  <r>
    <x v="1"/>
    <s v="Plastene India Limited (Unit -II)"/>
    <d v="2023-05-27T00:00:00"/>
    <s v="Plastene Polyfilms Ltd-Sales"/>
    <s v="Sales"/>
    <n v="196"/>
    <x v="1"/>
    <s v="PIL2/D/196"/>
    <d v="2023-05-27T00:00:00"/>
    <s v="SF"/>
    <s v="Webbing"/>
    <s v="PP Webbing"/>
    <s v="PP WEBBING (FG)"/>
    <s v="Webbing"/>
    <n v="1089.5"/>
    <n v="127515.08"/>
  </r>
  <r>
    <x v="1"/>
    <s v="Plastene India Limited (Unit -II)"/>
    <d v="2023-05-27T00:00:00"/>
    <s v="Plastene Polyfilms Ltd-Sales"/>
    <s v="Sales"/>
    <n v="196"/>
    <x v="1"/>
    <s v="PIL2/D/196"/>
    <d v="2023-05-27T00:00:00"/>
    <s v="SF"/>
    <s v="Webbing"/>
    <s v="PP Webbing"/>
    <s v="PP WEBBING (FG)"/>
    <s v="Webbing"/>
    <n v="1812.6"/>
    <n v="217584.5"/>
  </r>
  <r>
    <x v="1"/>
    <s v="Plastene India Limited (Unit -II)"/>
    <d v="2023-05-27T00:00:00"/>
    <s v="Plastene Polyfilms Ltd-Sales"/>
    <s v="Sales"/>
    <n v="196"/>
    <x v="1"/>
    <s v="PIL2/D/196"/>
    <d v="2023-05-27T00:00:00"/>
    <s v="FG"/>
    <s v="FIBC Bags"/>
    <s v="FIBC Bags"/>
    <s v="PP WOVEN BIG BAGS / SACKS"/>
    <s v="FIBC Bags With UV Without Liner"/>
    <n v="6609"/>
    <n v="1046204.7"/>
  </r>
  <r>
    <x v="1"/>
    <s v="Plastene India Limited (Unit -II)"/>
    <d v="2023-05-27T00:00:00"/>
    <s v="Plastene Polyfilms Ltd-Sales"/>
    <s v="Sales"/>
    <n v="196"/>
    <x v="1"/>
    <s v="PIL2/D/196"/>
    <d v="2023-05-27T00:00:00"/>
    <s v="SF"/>
    <s v="Webbing"/>
    <s v="PP Webbing"/>
    <s v="PP WEBBING (FG)"/>
    <s v="Webbing Tie"/>
    <n v="109.4"/>
    <n v="12804.18"/>
  </r>
  <r>
    <x v="1"/>
    <s v="Plastene India Limited (Unit -II)"/>
    <d v="2023-05-28T00:00:00"/>
    <s v="K.P. Woven Pvt Ltd - Unit 3 -Sales"/>
    <s v="Export Sales"/>
    <s v="PIL2/E/50/23-24"/>
    <x v="6"/>
    <s v="PIL2/E/50/23-24"/>
    <d v="2023-05-28T00:00:00"/>
    <s v="FG"/>
    <s v="FIBC Bags"/>
    <s v="FIBC Bags"/>
    <s v="PP WOVEN BIG BAGS / SACKS"/>
    <s v="FIBC Bags With UV Without Liner"/>
    <n v="2334"/>
    <n v="370475.82000000007"/>
  </r>
  <r>
    <x v="1"/>
    <s v="Plastene India Limited (Unit -II)"/>
    <d v="2023-05-28T00:00:00"/>
    <s v="K.P. Woven Pvt Ltd-Sales"/>
    <s v="Sales"/>
    <n v="197"/>
    <x v="0"/>
    <s v="PIL2/D/197"/>
    <d v="2023-05-28T00:00:00"/>
    <s v="RM Consumables"/>
    <s v="FIBC Accessories"/>
    <s v="FIBC Accessories"/>
    <s v="Consumble Stores"/>
    <s v="Velcro 25 mm Male And Female ( White )"/>
    <n v="500"/>
    <n v="2250"/>
  </r>
  <r>
    <x v="1"/>
    <s v="Plastene India Limited (Unit -II)"/>
    <d v="2023-05-28T00:00:00"/>
    <s v="K.P. Woven Pvt Ltd-Sales"/>
    <s v="Sales"/>
    <n v="198"/>
    <x v="1"/>
    <s v="PIL2/D/198"/>
    <d v="2023-05-28T00:00:00"/>
    <s v="FG"/>
    <s v="FIBC WIP"/>
    <s v="FIBC WIP"/>
    <s v="LLDPE BAGS (LINER)"/>
    <s v="FIBC WIP"/>
    <n v="48.2"/>
    <n v="11244"/>
  </r>
  <r>
    <x v="1"/>
    <s v="Plastene India Limited (Unit -II)"/>
    <d v="2023-05-28T00:00:00"/>
    <s v="K.P. Woven Pvt Ltd-Sales"/>
    <s v="Sales"/>
    <n v="198"/>
    <x v="1"/>
    <s v="PIL2/D/198"/>
    <d v="2023-05-28T00:00:00"/>
    <s v="FG"/>
    <s v="FIBC WIP"/>
    <s v="FIBC WIP"/>
    <s v="LLDPE BAGS (LINER)"/>
    <s v="FIBC WIP"/>
    <n v="3060"/>
    <n v="7650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Yarn All"/>
    <s v="PP Yarn"/>
    <s v="PP TAPE / YARN"/>
    <s v="PP Fibrillated Tape Twisted 3200 Blue"/>
    <n v="505.2"/>
    <n v="52158.36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PP/PE Fabric"/>
    <s v="PP UL Fabric"/>
    <s v="PP Woven Fabrics(FG)"/>
    <s v="PP UL Fabric With UV"/>
    <n v="4203"/>
    <n v="483513.12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PP/PE Fabric"/>
    <s v="PP Lam Fabric"/>
    <s v="PP Laminated Fabric"/>
    <s v="PP Lam Fabric With UV"/>
    <n v="2407"/>
    <n v="281715.28000000003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Webbing"/>
    <s v="PP Webbing"/>
    <s v="PP WEBBING (FG)"/>
    <s v="Webbing Tie"/>
    <n v="309.39999999999998"/>
    <n v="36212.18"/>
  </r>
  <r>
    <x v="1"/>
    <s v="Plastene India Limited (Unit -II)"/>
    <d v="2023-05-28T00:00:00"/>
    <s v="K.P. Woven Pvt Ltd-Sales"/>
    <s v="Sales"/>
    <n v="199"/>
    <x v="0"/>
    <s v="PIL2/D/199"/>
    <d v="2023-05-28T00:00:00"/>
    <s v="Stores/Spares"/>
    <s v="MS Structure Items"/>
    <s v="Other Purchase"/>
    <s v="Consumble Stores"/>
    <s v="MS Pipe"/>
    <n v="290"/>
    <n v="13920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UL Fabric"/>
    <s v="PP Woven Fabrics(FG)"/>
    <s v="PP UL Fabric With UV"/>
    <n v="354"/>
    <n v="41432.160000000003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Lam Fabric"/>
    <s v="PP Laminated Fabric"/>
    <s v="PP Lam Fabric With UV"/>
    <n v="341"/>
    <n v="39910.639999999999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Lam Fabric"/>
    <s v="PP Laminated Fabric"/>
    <s v="PP Lam Fabric With UV"/>
    <n v="190"/>
    <n v="23187.599999999999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Lam Fabric"/>
    <s v="PP Laminated Fabric"/>
    <s v="PP Lam Fabric With UV"/>
    <n v="76"/>
    <n v="10643.04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UL Fabric"/>
    <s v="PP Woven Fabrics(FG)"/>
    <s v="PP UL Fabric With UV"/>
    <n v="852"/>
    <n v="119314.08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UL Fabric"/>
    <s v="PP Woven Fabrics(FG)"/>
    <s v="PP UL Fabric With UV"/>
    <n v="2156"/>
    <n v="248026.23999999999"/>
  </r>
  <r>
    <x v="1"/>
    <s v="Plastene India Limited (Unit -II)"/>
    <d v="2023-05-28T00:00:00"/>
    <s v="K.P. Woven Pvt Ltd-Sales"/>
    <s v="Sales"/>
    <n v="201"/>
    <x v="0"/>
    <s v="PIL2/D/201"/>
    <d v="2023-05-28T00:00:00"/>
    <s v="Stores/Spares"/>
    <s v="MS Structure Items"/>
    <s v="Other Purchase"/>
    <s v="Consumble Stores"/>
    <s v="MS Pipe"/>
    <n v="238"/>
    <n v="11424"/>
  </r>
  <r>
    <x v="1"/>
    <s v="Plastene India Limited (Unit -II)"/>
    <d v="2023-05-28T00:00:00"/>
    <s v="K.P. Woven Pvt Ltd-Sales"/>
    <s v="Sales"/>
    <n v="204"/>
    <x v="1"/>
    <s v="PIL2/D/204"/>
    <d v="2023-05-28T00:00:00"/>
    <s v="SF"/>
    <s v="Yarn All"/>
    <s v="PP Yarn"/>
    <s v="PP Rope"/>
    <s v="PP Braided Rope MW 6 to 8 GPM"/>
    <n v="320.8"/>
    <n v="57744"/>
  </r>
  <r>
    <x v="1"/>
    <s v="Plastene India Limited (Unit -II)"/>
    <d v="2023-05-28T00:00:00"/>
    <s v="K.P. Woven Pvt Ltd-Sales"/>
    <s v="Sales"/>
    <n v="204"/>
    <x v="1"/>
    <s v="PIL2/D/204"/>
    <d v="2023-05-28T00:00:00"/>
    <s v="SF"/>
    <s v="Webbing"/>
    <s v="PP Webbing"/>
    <s v="PP WEBBING (FG)"/>
    <s v="Webbing Tie"/>
    <n v="256.7"/>
    <n v="30044.17"/>
  </r>
  <r>
    <x v="1"/>
    <s v="Plastene India Limited (Unit -II)"/>
    <d v="2023-05-28T00:00:00"/>
    <s v="K.P. Woven Pvt Ltd-Sales"/>
    <s v="Sales"/>
    <n v="204"/>
    <x v="1"/>
    <s v="PIL2/D/204"/>
    <d v="2023-05-28T00:00:00"/>
    <s v="SF"/>
    <s v="Webbing"/>
    <s v="PP Webbing"/>
    <s v="PP WEBBING (FG)"/>
    <s v="Webbing"/>
    <n v="751.4"/>
    <n v="90198.06"/>
  </r>
  <r>
    <x v="1"/>
    <s v="Plastene India Limited (Unit -II)"/>
    <d v="2023-05-28T00:00:00"/>
    <s v="Plastene Polyfilms Ltd-Sales"/>
    <s v="Sales"/>
    <n v="202"/>
    <x v="1"/>
    <s v="PIL2/D/202"/>
    <d v="2023-05-28T00:00:00"/>
    <s v="SF"/>
    <s v="PP/PE Fabric"/>
    <s v="PP UL Fabric"/>
    <s v="PP Woven Fabrics(FG)"/>
    <s v="PP UL Fabric Without UV"/>
    <n v="1108"/>
    <n v="124096"/>
  </r>
  <r>
    <x v="1"/>
    <s v="Plastene India Limited (Unit -II)"/>
    <d v="2023-05-28T00:00:00"/>
    <s v="Plastene Polyfilms Ltd-Sales"/>
    <s v="Sales"/>
    <n v="203"/>
    <x v="0"/>
    <s v="PIL2/D/203"/>
    <d v="2023-05-28T00:00:00"/>
    <s v="Stores/Spares"/>
    <s v="MS Structure Items"/>
    <s v="Other Purchase"/>
    <s v="Consumble Stores"/>
    <s v="MS Pipe"/>
    <n v="36"/>
    <n v="1728"/>
  </r>
  <r>
    <x v="1"/>
    <s v="Plastene India Limited (Unit -II)"/>
    <d v="2023-05-30T00:00:00"/>
    <s v="HCP Plastene Bulkpack Limited - Sales"/>
    <s v="Sales"/>
    <n v="207"/>
    <x v="0"/>
    <s v="PIL2/D/207"/>
    <d v="2023-05-30T00:00:00"/>
    <s v="Stores/Spares"/>
    <s v="MS Structure Items"/>
    <s v="Other Purchase"/>
    <s v="Consumble Stores"/>
    <s v="MS Pipe"/>
    <n v="530"/>
    <n v="25440"/>
  </r>
  <r>
    <x v="1"/>
    <s v="Plastene India Limited (Unit -II)"/>
    <d v="2023-05-30T00:00:00"/>
    <s v="K.P. Woven Pvt Ltd-Sales"/>
    <s v="Sales"/>
    <n v="208"/>
    <x v="1"/>
    <s v="PIL2/D/208"/>
    <d v="2023-05-30T00:00:00"/>
    <s v="SF"/>
    <s v="PP/PE Fabric"/>
    <s v="PP Lam Fabric"/>
    <s v="PP Laminated Fabric"/>
    <s v="PP Lam Fabric With UV"/>
    <n v="828"/>
    <n v="98565.119999999995"/>
  </r>
  <r>
    <x v="1"/>
    <s v="Plastene India Limited (Unit -II)"/>
    <d v="2023-05-30T00:00:00"/>
    <s v="K.P. Woven Pvt Ltd-Sales"/>
    <s v="Sales"/>
    <n v="208"/>
    <x v="1"/>
    <s v="PIL2/D/208"/>
    <d v="2023-05-30T00:00:00"/>
    <s v="SF"/>
    <s v="PP/PE Fabric"/>
    <s v="PP UL Fabric"/>
    <s v="PP Woven Fabrics(FG)"/>
    <s v="PP UL Fabric With UV"/>
    <n v="76"/>
    <n v="10643.04"/>
  </r>
  <r>
    <x v="1"/>
    <s v="Plastene India Limited (Unit -II)"/>
    <d v="2023-05-30T00:00:00"/>
    <s v="K.P. Woven Pvt Ltd-Sales"/>
    <s v="Sales"/>
    <n v="208"/>
    <x v="1"/>
    <s v="PIL2/D/208"/>
    <d v="2023-05-30T00:00:00"/>
    <s v="SF"/>
    <s v="PP/PE Fabric"/>
    <s v="PP UL Fabric"/>
    <s v="PP Woven Fabrics(FG)"/>
    <s v="PP UL Fabric With UV"/>
    <n v="178"/>
    <n v="20477.12"/>
  </r>
  <r>
    <x v="1"/>
    <s v="Plastene India Limited (Unit -II)"/>
    <d v="2023-05-30T00:00:00"/>
    <s v="K.P. Woven Pvt Ltd-Sales"/>
    <s v="Sales"/>
    <n v="209"/>
    <x v="0"/>
    <s v="PIL2/D/209"/>
    <d v="2023-05-30T00:00:00"/>
    <s v="Stores/Spares"/>
    <s v="MS Structure Items"/>
    <s v="Other Purchase"/>
    <s v="Consumble Stores"/>
    <s v="MS Pipe"/>
    <n v="50"/>
    <n v="2400"/>
  </r>
  <r>
    <x v="1"/>
    <s v="Plastene India Limited (Unit -II)"/>
    <d v="2023-05-31T00:00:00"/>
    <s v="K.P. Woven Pvt Ltd - Unit 3 -Sales"/>
    <s v="Export Sales"/>
    <s v="PIL2/E/51/23-24"/>
    <x v="6"/>
    <s v="PIL2/E/51/23-24"/>
    <d v="2023-05-31T00:00:00"/>
    <s v="FG"/>
    <s v="FIBC Bags"/>
    <s v="FIBC Bags"/>
    <s v="PP WOVEN BIG BAGS / SACKS"/>
    <s v="FIBC Bags With UV Without Liner"/>
    <n v="2739"/>
    <n v="434761.47000000003"/>
  </r>
  <r>
    <x v="1"/>
    <s v="Plastene India Limited (Unit -II)"/>
    <d v="2023-05-31T00:00:00"/>
    <s v="Plastene Polyfilms Ltd-Sales"/>
    <s v="Sales"/>
    <n v="210"/>
    <x v="1"/>
    <s v="PIL2/D/210"/>
    <d v="2023-05-31T00:00:00"/>
    <s v="FG"/>
    <s v="FIBC Bags"/>
    <s v="FIBC Bags"/>
    <s v="PP WOVEN BIG BAGS / SACKS"/>
    <s v="FIBC Bags With UV Without Liner"/>
    <n v="1585"/>
    <n v="223072.9"/>
  </r>
  <r>
    <x v="1"/>
    <s v="Plastene India Limited (Unit -II)"/>
    <d v="2023-05-31T00:00:00"/>
    <s v="Plastene Polyfilms Ltd-Sales"/>
    <s v="Sales"/>
    <n v="210"/>
    <x v="1"/>
    <s v="PIL2/D/210"/>
    <d v="2023-05-31T00:00:00"/>
    <s v="FG"/>
    <s v="FIBC Bags"/>
    <s v="FIBC Bags"/>
    <s v="PP WOVEN BIG BAGS / SACKS"/>
    <s v="FIBC Bags With UV Without Liner"/>
    <n v="410"/>
    <n v="64903"/>
  </r>
  <r>
    <x v="2"/>
    <s v="Plastene India Limited (Unit -II)"/>
    <d v="2023-06-02T00:00:00"/>
    <s v="K.P. Woven Pvt Ltd-Sales"/>
    <s v="Sales"/>
    <n v="212"/>
    <x v="1"/>
    <s v="PIL2/D/212"/>
    <d v="2023-06-02T00:00:00"/>
    <s v="FG"/>
    <s v="FIBC WIP"/>
    <s v="FIBC WIP"/>
    <s v="LLDPE BAGS (LINER)"/>
    <s v="FIBC WIP"/>
    <n v="37.5"/>
    <n v="8070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PP/PE Fabric"/>
    <s v="PP UL Fabric"/>
    <s v="PP Woven Fabrics(FG)"/>
    <s v="PP UL Fabric With UV"/>
    <n v="93"/>
    <n v="10283.01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Webbing"/>
    <s v="PP Webbing"/>
    <s v="PP WEBBING (FG)"/>
    <s v="Webbing Tie"/>
    <n v="130.5"/>
    <n v="14690.38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Webbing"/>
    <s v="PP Webbing"/>
    <s v="PP WEBBING (FG)"/>
    <s v="Webbing MF"/>
    <n v="119.2"/>
    <n v="13775.94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Webbing"/>
    <s v="PP Webbing"/>
    <s v="PP WEBBING (FG)"/>
    <s v="Webbing"/>
    <n v="637.5"/>
    <n v="73675.88"/>
  </r>
  <r>
    <x v="2"/>
    <s v="Plastene India Limited (Unit -II)"/>
    <d v="2023-06-02T00:00:00"/>
    <s v="K.P. Woven Pvt Ltd-Sales"/>
    <s v="Sales"/>
    <n v="213"/>
    <x v="0"/>
    <s v="PIL2/D/213"/>
    <d v="2023-06-02T00:00:00"/>
    <s v="Stores/Spares"/>
    <s v="MS Structure Items"/>
    <s v="Other Purchase"/>
    <s v="Consumble Stores"/>
    <s v="MS Pipe"/>
    <n v="24"/>
    <n v="1152"/>
  </r>
  <r>
    <x v="2"/>
    <s v="Plastene India Limited (Unit -II)"/>
    <d v="2023-06-03T00:00:00"/>
    <s v="HCP Plastene Bulkpack Ltd (Unit-III) - Sales"/>
    <s v="Sales"/>
    <n v="215"/>
    <x v="1"/>
    <s v="PIL2/D/215"/>
    <d v="2023-06-03T00:00:00"/>
    <s v="SF"/>
    <s v="Webbing"/>
    <s v="PP Webbing"/>
    <s v="PP WEBBING (FG)"/>
    <s v="Webbing"/>
    <n v="1842.8"/>
    <n v="212972.4"/>
  </r>
  <r>
    <x v="2"/>
    <s v="Plastene India Limited (Unit -II)"/>
    <d v="2023-06-03T00:00:00"/>
    <s v="HCP Plastene Bulkpack Ltd (Unit-III) - Sales"/>
    <s v="Sales"/>
    <n v="215"/>
    <x v="1"/>
    <s v="PIL2/D/215"/>
    <d v="2023-06-03T00:00:00"/>
    <s v="SF"/>
    <s v="PP/PE Fabric"/>
    <s v="PP UL Fabric"/>
    <s v="PP Woven Fabrics(FG)"/>
    <s v="PP UL Fabric With UV"/>
    <n v="2971"/>
    <n v="328503.46999999997"/>
  </r>
  <r>
    <x v="2"/>
    <s v="Plastene India Limited (Unit -II)"/>
    <d v="2023-06-03T00:00:00"/>
    <s v="HCP Plastene Bulkpack Ltd (Unit-III) - Sales"/>
    <s v="Sales"/>
    <n v="215"/>
    <x v="1"/>
    <s v="PIL2/D/215"/>
    <d v="2023-06-03T00:00:00"/>
    <s v="FG"/>
    <s v="FIBC Bags"/>
    <s v="FIBC Bags"/>
    <s v="PP WOVEN BIG BAGS / SACKS"/>
    <s v="FIBC Bags With UV Without Liner"/>
    <n v="414"/>
    <n v="64074.78"/>
  </r>
  <r>
    <x v="2"/>
    <s v="Plastene India Limited (Unit -II)"/>
    <d v="2023-06-03T00:00:00"/>
    <s v="HCP Plastene Bulkpack Ltd (Unit-III) - Sales"/>
    <s v="Sales"/>
    <n v="216"/>
    <x v="0"/>
    <s v="PIL2/D/216"/>
    <d v="2023-06-03T00:00:00"/>
    <s v="Stores/Spares"/>
    <s v="MS Structure Items"/>
    <s v="Other Purchase"/>
    <s v="Consumble Stores"/>
    <s v="MS Pipe"/>
    <n v="145"/>
    <n v="6960"/>
  </r>
  <r>
    <x v="2"/>
    <s v="Plastene India Limited (Unit -II)"/>
    <d v="2023-06-04T00:00:00"/>
    <s v="K.P. Woven Pvt Ltd - Unit 3 -Sales"/>
    <s v="Export Sales"/>
    <s v="PIL2/E/53/23-24"/>
    <x v="6"/>
    <s v="PIL2/E/53/23-24"/>
    <d v="2023-06-04T00:00:00"/>
    <s v="FG"/>
    <s v="FIBC Bags"/>
    <s v="FIBC Bags"/>
    <s v="PP WOVEN BIG BAGS / SACKS"/>
    <s v="FIBC Bags With UV Without Liner"/>
    <n v="8338"/>
    <n v="1323490.7400000002"/>
  </r>
  <r>
    <x v="2"/>
    <s v="Plastene India Limited (Unit -II)"/>
    <d v="2023-06-05T00:00:00"/>
    <s v="K.P. Woven Pvt Ltd-Sales"/>
    <s v="Sales"/>
    <n v="219"/>
    <x v="1"/>
    <s v="PIL2/D/219"/>
    <d v="2023-06-05T00:00:00"/>
    <s v="SF"/>
    <s v="Webbing"/>
    <s v="PP Webbing"/>
    <s v="PP WEBBING (FG)"/>
    <s v="Webbing MF"/>
    <n v="112.4"/>
    <n v="12990.07"/>
  </r>
  <r>
    <x v="2"/>
    <s v="Plastene India Limited (Unit -II)"/>
    <d v="2023-06-05T00:00:00"/>
    <s v="K.P. Woven Pvt Ltd-Sales"/>
    <s v="Sales"/>
    <n v="219"/>
    <x v="1"/>
    <s v="PIL2/D/219"/>
    <d v="2023-06-05T00:00:00"/>
    <s v="SF"/>
    <s v="PP/PE Fabric"/>
    <s v="PP UL Fabric"/>
    <s v="PP Woven Fabrics(FG)"/>
    <s v="PP UL Fabric With UV"/>
    <n v="652"/>
    <n v="74047.64"/>
  </r>
  <r>
    <x v="2"/>
    <s v="Plastene India Limited (Unit -II)"/>
    <d v="2023-06-05T00:00:00"/>
    <s v="K.P. Woven Pvt Ltd-Sales"/>
    <s v="Sales"/>
    <n v="219"/>
    <x v="1"/>
    <s v="PIL2/D/219"/>
    <d v="2023-06-05T00:00:00"/>
    <s v="SF"/>
    <s v="PP/PE Fabric"/>
    <s v="PP UL Fabric"/>
    <s v="PP Woven Fabrics(FG)"/>
    <s v="PP UL Fabric With UV"/>
    <n v="1335"/>
    <n v="147610.95000000001"/>
  </r>
  <r>
    <x v="2"/>
    <s v="Plastene India Limited (Unit -II)"/>
    <d v="2023-06-05T00:00:00"/>
    <s v="K.P. Woven Pvt Ltd-Sales"/>
    <s v="Sales"/>
    <n v="219"/>
    <x v="1"/>
    <s v="PIL2/D/219"/>
    <d v="2023-06-05T00:00:00"/>
    <s v="FG"/>
    <s v="FIBC WIP"/>
    <s v="FIBC WIP"/>
    <s v="LLDPE BAGS (LINER)"/>
    <s v="FIBC WIP"/>
    <n v="54.6"/>
    <n v="11137.8"/>
  </r>
  <r>
    <x v="2"/>
    <s v="Plastene India Limited (Unit -II)"/>
    <d v="2023-06-05T00:00:00"/>
    <s v="K.P. Woven Pvt Ltd-Sales"/>
    <s v="Sales"/>
    <n v="220"/>
    <x v="0"/>
    <s v="PIL2/D/220"/>
    <d v="2023-06-05T00:00:00"/>
    <s v="Stores/Spares"/>
    <s v="MS Structure Items"/>
    <s v="Other Purchase"/>
    <s v="Consumble Stores"/>
    <s v="MS Pipe"/>
    <n v="105"/>
    <n v="5040"/>
  </r>
  <r>
    <x v="2"/>
    <s v="Plastene India Limited (Unit -II)"/>
    <d v="2023-06-05T00:00:00"/>
    <s v="Plastene Polyfilms Ltd-Sales"/>
    <s v="Sales"/>
    <n v="217"/>
    <x v="1"/>
    <s v="PIL2/D/217"/>
    <d v="2023-06-05T00:00:00"/>
    <s v="SF"/>
    <s v="PP/PE Fabric"/>
    <s v="PP UL Fabric"/>
    <s v="PP Woven Fabrics(FG)"/>
    <s v="PP UL Fabric Without UV"/>
    <n v="1646"/>
    <n v="184352"/>
  </r>
  <r>
    <x v="2"/>
    <s v="Plastene India Limited (Unit -II)"/>
    <d v="2023-06-05T00:00:00"/>
    <s v="Plastene Polyfilms Ltd-Sales"/>
    <s v="Sales"/>
    <n v="217"/>
    <x v="1"/>
    <s v="PIL2/D/217"/>
    <d v="2023-06-05T00:00:00"/>
    <s v="SF"/>
    <s v="Webbing"/>
    <s v="PP Webbing"/>
    <s v="PP WEBBING (FG)"/>
    <s v="Webbing"/>
    <n v="1705.9"/>
    <n v="192033.16"/>
  </r>
  <r>
    <x v="2"/>
    <s v="Plastene India Limited (Unit -II)"/>
    <d v="2023-06-05T00:00:00"/>
    <s v="Plastene Polyfilms Ltd-Sales"/>
    <s v="Sales"/>
    <n v="217"/>
    <x v="1"/>
    <s v="PIL2/D/217"/>
    <d v="2023-06-05T00:00:00"/>
    <s v="FG"/>
    <s v="FIBC Bags"/>
    <s v="FIBC Bags"/>
    <s v="PP WOVEN BIG BAGS / SACKS"/>
    <s v="FIBC Bags With UV Without Liner"/>
    <n v="6829"/>
    <n v="1118999.94"/>
  </r>
  <r>
    <x v="2"/>
    <s v="Plastene India Limited (Unit -II)"/>
    <d v="2023-06-05T00:00:00"/>
    <s v="Plastene Polyfilms Ltd-Sales"/>
    <s v="Sales"/>
    <n v="218"/>
    <x v="0"/>
    <s v="PIL2/D/218"/>
    <d v="2023-06-05T00:00:00"/>
    <s v="Stores/Spares"/>
    <s v="MS Structure Items"/>
    <s v="Other Purchase"/>
    <s v="Consumble Stores"/>
    <s v="MS Pipe"/>
    <n v="54"/>
    <n v="2592"/>
  </r>
  <r>
    <x v="2"/>
    <s v="Plastene India Limited (Unit -II)"/>
    <d v="2023-06-06T00:00:00"/>
    <s v="Plastene Polyfilms Ltd-Sales"/>
    <s v="Sales"/>
    <n v="222"/>
    <x v="0"/>
    <s v="PIL2/D/222"/>
    <d v="2023-06-06T00:00:00"/>
    <s v="RM Consumables"/>
    <s v="FIBC Accessories"/>
    <s v="Tangible Assets"/>
    <s v="Computers &amp; Printers"/>
    <s v="Nylon Rope Lock - Natural Colour"/>
    <n v="4000"/>
    <n v="9400"/>
  </r>
  <r>
    <x v="2"/>
    <s v="Plastene India Limited (Unit -II)"/>
    <d v="2023-06-06T00:00:00"/>
    <s v="Plastene Polyfilms Ltd-Sales"/>
    <s v="Sales"/>
    <n v="223"/>
    <x v="1"/>
    <s v="PIL2/D/223"/>
    <d v="2023-06-06T00:00:00"/>
    <s v="FG"/>
    <s v="FIBC Bags"/>
    <s v="FIBC Bags"/>
    <s v="PP WOVEN BIG BAGS / SACKS"/>
    <s v="FIBC Bags With UV Without Liner"/>
    <n v="2091"/>
    <n v="342631.26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Webbing"/>
    <s v="PP Webbing"/>
    <s v="PP WEBBING (FG)"/>
    <s v="Webbing"/>
    <n v="1008.8"/>
    <n v="116587.02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Webbing"/>
    <s v="PP Webbing"/>
    <s v="PP WEBBING (FG)"/>
    <s v="Webbing"/>
    <n v="1000.4"/>
    <n v="112615.03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PP/PE Fabric"/>
    <s v="PP UL Fabric"/>
    <s v="PP Woven Fabrics(FG)"/>
    <s v="PP UL Fabric With UV"/>
    <n v="310"/>
    <n v="34896.699999999997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PP/PE Fabric"/>
    <s v="PP UL Fabric"/>
    <s v="PP Woven Fabrics(FG)"/>
    <s v="PP UL Fabric With UV"/>
    <n v="199"/>
    <n v="22003.43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PP/PE Fabric"/>
    <s v="PP UL Fabric"/>
    <s v="PP Woven Fabrics(FG)"/>
    <s v="PP UL Fabric Without UV"/>
    <n v="1106"/>
    <n v="123872"/>
  </r>
  <r>
    <x v="2"/>
    <s v="Plastene India Limited (Unit -II)"/>
    <d v="2023-06-06T00:00:00"/>
    <s v="Plastene Polyfilms Ltd-Sales"/>
    <s v="Sales"/>
    <n v="224"/>
    <x v="0"/>
    <s v="PIL2/D/224"/>
    <d v="2023-06-06T00:00:00"/>
    <s v="Stores/Spares"/>
    <s v="MS Structure Items"/>
    <s v="Other Purchase"/>
    <s v="Consumble Stores"/>
    <s v="MS Pipe"/>
    <n v="54"/>
    <n v="2592"/>
  </r>
  <r>
    <x v="2"/>
    <s v="Plastene India Limited (Unit -II)"/>
    <d v="2023-06-06T00:00:00"/>
    <s v="Plastene Polyfilms Ltd-Sales"/>
    <s v="Sales"/>
    <n v="225"/>
    <x v="1"/>
    <s v="PIL2/D/225"/>
    <d v="2023-06-06T00:00:00"/>
    <s v="FG"/>
    <s v="FIBC WIP"/>
    <s v="FIBC WIP"/>
    <s v="PP Woven Fabrics(FG)"/>
    <s v="FIBC WIP"/>
    <n v="26"/>
    <n v="2926.82"/>
  </r>
  <r>
    <x v="2"/>
    <s v="Plastene India Limited (Unit -II)"/>
    <d v="2023-06-07T00:00:00"/>
    <s v="K.P. Woven Pvt Ltd - Unit 3 -Sales"/>
    <s v="Export Sales"/>
    <s v="PIL2/E/59/23-24"/>
    <x v="6"/>
    <s v="PIL2/E/59/23-24"/>
    <d v="2023-06-07T00:00:00"/>
    <s v="FG"/>
    <s v="FIBC Bags"/>
    <s v="FIBC Bags"/>
    <s v="PP WOVEN BIG BAGS / SACKS"/>
    <s v="FIBC Bags With UV Without Liner"/>
    <n v="3490"/>
    <n v="597679.94999999995"/>
  </r>
  <r>
    <x v="2"/>
    <s v="Plastene India Limited (Unit -II)"/>
    <d v="2023-06-08T00:00:00"/>
    <s v="HCP Plastene Bulkpack Limited - Sales"/>
    <s v="Sales"/>
    <n v="229"/>
    <x v="1"/>
    <s v="PIL2/D/229"/>
    <d v="2023-06-08T00:00:00"/>
    <s v="RM"/>
    <s v="Granules"/>
    <s v="Filler"/>
    <s v="Filler"/>
    <s v="Filler Everplus E102 PP"/>
    <n v="16000"/>
    <n v="446240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PP/PE Fabric"/>
    <s v="PP UL Fabric"/>
    <s v="PP Woven Fabrics(FG)"/>
    <s v="PP UL Fabric With UV"/>
    <n v="615.29999999999995"/>
    <n v="80339.72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PP/PE Fabric"/>
    <s v="PP UL Fabric"/>
    <s v="PP Woven Fabrics(FG)"/>
    <s v="PP UL Fabric With UV"/>
    <n v="733"/>
    <n v="83246.81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PP/PE Fabric"/>
    <s v="PP UL Fabric"/>
    <s v="PP Woven Fabrics(FG)"/>
    <s v="PP UL Fabric With UV"/>
    <n v="3827"/>
    <n v="423151.39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Webbing"/>
    <s v="PP Webbing"/>
    <s v="PP WEBBING (FG)"/>
    <s v="Webbing"/>
    <n v="1163.8"/>
    <n v="131008.97"/>
  </r>
  <r>
    <x v="2"/>
    <s v="Plastene India Limited (Unit -II)"/>
    <d v="2023-06-08T00:00:00"/>
    <s v="K.P. Woven Pvt Ltd-Sales"/>
    <s v="Sales"/>
    <n v="228"/>
    <x v="0"/>
    <s v="PIL2/D/228"/>
    <d v="2023-06-08T00:00:00"/>
    <s v="Stores/Spares"/>
    <s v="MS Structure Items"/>
    <s v="Other Purchase"/>
    <s v="Consumble Stores"/>
    <s v="MS Pipe"/>
    <n v="242"/>
    <n v="11616"/>
  </r>
  <r>
    <x v="2"/>
    <s v="Plastene India Limited (Unit -II)"/>
    <d v="2023-06-09T00:00:00"/>
    <s v="HCP Plastene Bulkpack Limited - Sales"/>
    <s v="Sales"/>
    <n v="232"/>
    <x v="0"/>
    <s v="PIL2/D/232"/>
    <d v="2023-06-09T00:00:00"/>
    <s v="Stores/Spares"/>
    <s v="MS Structure Items"/>
    <s v="Other Purchase"/>
    <s v="Consumble Stores"/>
    <s v="MS Pipe"/>
    <n v="1290"/>
    <n v="61920"/>
  </r>
  <r>
    <x v="2"/>
    <s v="Plastene India Limited (Unit -II)"/>
    <d v="2023-06-09T00:00:00"/>
    <s v="HCP Plastene Bulkpack Ltd (Unit-III) - Sales"/>
    <s v="Sales"/>
    <n v="230"/>
    <x v="1"/>
    <s v="PIL2/D/230"/>
    <d v="2023-06-09T00:00:00"/>
    <s v="SF"/>
    <s v="Webbing"/>
    <s v="PP Webbing"/>
    <s v="PP WEBBING (FG)"/>
    <s v="Webbing"/>
    <n v="361.2"/>
    <n v="41743.879999999997"/>
  </r>
  <r>
    <x v="2"/>
    <s v="Plastene India Limited (Unit -II)"/>
    <d v="2023-06-09T00:00:00"/>
    <s v="HCP Plastene Bulkpack Ltd (Unit-III) - Sales"/>
    <s v="Sales"/>
    <n v="230"/>
    <x v="1"/>
    <s v="PIL2/D/230"/>
    <d v="2023-06-09T00:00:00"/>
    <s v="SF"/>
    <s v="PP/PE Fabric"/>
    <s v="PP UL Fabric"/>
    <s v="PP Woven Fabrics(FG)"/>
    <s v="PP UL Fabric With UV"/>
    <n v="1819"/>
    <n v="201126.83"/>
  </r>
  <r>
    <x v="2"/>
    <s v="Plastene India Limited (Unit -II)"/>
    <d v="2023-06-09T00:00:00"/>
    <s v="HCP Plastene Bulkpack Ltd (Unit-III) - Sales"/>
    <s v="Sales"/>
    <n v="231"/>
    <x v="0"/>
    <s v="PIL2/D/231"/>
    <d v="2023-06-09T00:00:00"/>
    <s v="Stores/Spares"/>
    <s v="MS Structure Items"/>
    <s v="Other Purchase"/>
    <s v="Consumble Stores"/>
    <s v="MS Pipe"/>
    <n v="96"/>
    <n v="4608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Bags"/>
    <s v="FIBC Bags"/>
    <s v="PP WOVEN BIG BAGS / SACKS"/>
    <s v="FIBC Bags With UV Without Liner"/>
    <n v="2763"/>
    <n v="429176.79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Bags"/>
    <s v="FIBC Bags"/>
    <s v="PP WOVEN BIG BAGS / SACKS"/>
    <s v="FIBC Bags With UV Without Liner"/>
    <n v="5173.2"/>
    <n v="825901.38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WIP"/>
    <s v="FIBC WIP"/>
    <s v="LLDPE BAGS (LINER)"/>
    <s v="FIBC WIP"/>
    <n v="7.3"/>
    <n v="1338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Bags"/>
    <s v="FIBC Bags"/>
    <s v="PP WOVEN BIG BAGS / SACKS"/>
    <s v="FIBC Bags With UV Without Liner"/>
    <n v="2197.4"/>
    <n v="349035.02"/>
  </r>
  <r>
    <x v="2"/>
    <s v="Plastene India Limited (Unit -II)"/>
    <d v="2023-06-10T00:00:00"/>
    <s v="K.P. Woven Pvt Ltd-Sales"/>
    <s v="Sales"/>
    <n v="234"/>
    <x v="0"/>
    <s v="PIL2/D/234"/>
    <d v="2023-06-10T00:00:00"/>
    <s v="RM Consumables"/>
    <s v="FIBC Accessories"/>
    <s v="FIBC Accessories"/>
    <s v="Consumble Stores"/>
    <s v="Velcro 50 mm Male And Female ( White )"/>
    <n v="1000"/>
    <n v="10200"/>
  </r>
  <r>
    <x v="2"/>
    <s v="Plastene India Limited (Unit -II)"/>
    <d v="2023-06-10T00:00:00"/>
    <s v="K.P. Woven Pvt Ltd-Sales"/>
    <s v="Sales"/>
    <n v="236"/>
    <x v="1"/>
    <s v="PIL2/D/236"/>
    <d v="2023-06-10T00:00:00"/>
    <s v="FG"/>
    <s v="FIBC WIP"/>
    <s v="FIBC WIP"/>
    <s v="LLDPE BAGS (LINER)"/>
    <s v="FIBC WIP"/>
    <n v="923"/>
    <n v="145463.88"/>
  </r>
  <r>
    <x v="2"/>
    <s v="Plastene India Limited (Unit -II)"/>
    <d v="2023-06-10T00:00:00"/>
    <s v="K.P. Woven Pvt Ltd-Sales"/>
    <s v="Sales"/>
    <n v="236"/>
    <x v="1"/>
    <s v="PIL2/D/236"/>
    <d v="2023-06-10T00:00:00"/>
    <s v="FG"/>
    <s v="FIBC WIP"/>
    <s v="FIBC WIP"/>
    <s v="PP Woven Fabrics(FG)"/>
    <s v="FIBC WIP"/>
    <n v="230"/>
    <n v="25891.1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PP/PE Fabric"/>
    <s v="PP UL Fabric"/>
    <s v="PP Woven Fabrics(FG)"/>
    <s v="PP UL Fabric With UV"/>
    <n v="605"/>
    <n v="68709.850000000006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PP/PE Fabric"/>
    <s v="PP UL Fabric"/>
    <s v="PP Woven Fabrics(FG)"/>
    <s v="PP UL Fabric With UV"/>
    <n v="3803"/>
    <n v="420497.71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Webbing"/>
    <s v="PP Webbing"/>
    <s v="PP WEBBING (FG)"/>
    <s v="Webbing Tie"/>
    <n v="39"/>
    <n v="4390.2299999999996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Webbing"/>
    <s v="PP Webbing"/>
    <s v="PP WEBBING (FG)"/>
    <s v="Webbing MF"/>
    <n v="76.8"/>
    <n v="8645.3799999999992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PP/PE Fabric"/>
    <s v="PP Lam Fabric"/>
    <s v="PP Laminated Fabric"/>
    <s v="PP Lam Fabric With UV"/>
    <n v="310"/>
    <n v="42026.7"/>
  </r>
  <r>
    <x v="2"/>
    <s v="Plastene India Limited (Unit -II)"/>
    <d v="2023-06-10T00:00:00"/>
    <s v="K.P. Woven Pvt Ltd-Sales"/>
    <s v="Sales"/>
    <n v="237"/>
    <x v="0"/>
    <s v="PIL2/D/237"/>
    <d v="2023-06-10T00:00:00"/>
    <s v="Stores/Spares"/>
    <s v="MS Structure Items"/>
    <s v="Other Purchase"/>
    <s v="Consumble Stores"/>
    <s v="MS Pipe"/>
    <n v="233"/>
    <n v="11184"/>
  </r>
  <r>
    <x v="2"/>
    <s v="Plastene India Limited (Unit -II)"/>
    <d v="2023-06-10T00:00:00"/>
    <s v="Plastene Polyfilms Ltd-Sales"/>
    <s v="Sales"/>
    <n v="235"/>
    <x v="1"/>
    <s v="PIL2/D/235"/>
    <d v="2023-06-10T00:00:00"/>
    <s v="FG"/>
    <s v="FIBC Bags"/>
    <s v="FIBC Bags"/>
    <s v="PP WOVEN BIG BAGS / SACKS"/>
    <s v="FIBC Bags With UV Without Liner"/>
    <n v="4764"/>
    <n v="739992.12"/>
  </r>
  <r>
    <x v="2"/>
    <s v="Plastene India Limited (Unit -II)"/>
    <d v="2023-06-10T00:00:00"/>
    <s v="Plastene Polyfilms Ltd-Sales"/>
    <s v="Sales"/>
    <n v="235"/>
    <x v="1"/>
    <s v="PIL2/D/235"/>
    <d v="2023-06-10T00:00:00"/>
    <s v="FG"/>
    <s v="FIBC Bags"/>
    <s v="FIBC Bags"/>
    <s v="PP WOVEN BIG BAGS / SACKS"/>
    <s v="FIBC Bags With UV Without Liner"/>
    <n v="2550"/>
    <n v="415522.5"/>
  </r>
  <r>
    <x v="2"/>
    <s v="Plastene India Limited (Unit -II)"/>
    <d v="2023-06-11T00:00:00"/>
    <s v="K.P. Woven Pvt Ltd - Unit 3 -Sales"/>
    <s v="Export Sales"/>
    <s v="PIL2/E/62/23-24"/>
    <x v="6"/>
    <s v="PIL2/E/62/23-24"/>
    <d v="2023-06-11T00:00:00"/>
    <s v="SF"/>
    <s v="Yarn All"/>
    <s v="PP Yarn"/>
    <s v="PP Filament Yarn"/>
    <s v="Polyester Yarn Twisted"/>
    <n v="1548.4"/>
    <n v="235356.79999999999"/>
  </r>
  <r>
    <x v="2"/>
    <s v="Plastene India Limited (Unit -II)"/>
    <d v="2023-06-11T00:00:00"/>
    <s v="K.P. Woven Pvt Ltd - Unit 3 -Sales"/>
    <s v="Export Sales"/>
    <s v="PIL2/E/63/23-24"/>
    <x v="6"/>
    <s v="PIL2/E/63/23-24"/>
    <d v="2023-06-11T00:00:00"/>
    <s v="FG"/>
    <s v="FIBC Bags"/>
    <s v="FIBC Bags"/>
    <s v="PP WOVEN BIG BAGS / SACKS"/>
    <s v="FIBC Bags With UV Without Liner"/>
    <n v="8504"/>
    <n v="1456352.52"/>
  </r>
  <r>
    <x v="2"/>
    <s v="Plastene India Limited (Unit -II)"/>
    <d v="2023-06-12T00:00:00"/>
    <s v="K.P. Woven Pvt Ltd-Sales"/>
    <s v="Sales"/>
    <n v="239"/>
    <x v="1"/>
    <s v="PIL2/D/239"/>
    <d v="2023-06-12T00:00:00"/>
    <s v="SF"/>
    <s v="Yarn All"/>
    <s v="PP Yarn"/>
    <s v="PP Rope"/>
    <s v="PP Braided Rope MW 6 to 8 GPM"/>
    <n v="720"/>
    <n v="129600"/>
  </r>
  <r>
    <x v="2"/>
    <s v="Plastene India Limited (Unit -II)"/>
    <d v="2023-06-12T00:00:00"/>
    <s v="K.P. Woven Pvt Ltd-Sales"/>
    <s v="Sales"/>
    <n v="239"/>
    <x v="1"/>
    <s v="PIL2/D/239"/>
    <d v="2023-06-12T00:00:00"/>
    <s v="SF"/>
    <s v="PP/PE Fabric"/>
    <s v="PP UL Fabric"/>
    <s v="PP Woven Fabrics(FG)"/>
    <s v="PP UL Fabric With UV"/>
    <n v="531"/>
    <n v="60305.67"/>
  </r>
  <r>
    <x v="2"/>
    <s v="Plastene India Limited (Unit -II)"/>
    <d v="2023-06-12T00:00:00"/>
    <s v="K.P. Woven Pvt Ltd-Sales"/>
    <s v="Sales"/>
    <n v="239"/>
    <x v="1"/>
    <s v="PIL2/D/239"/>
    <d v="2023-06-12T00:00:00"/>
    <s v="SF"/>
    <s v="PP/PE Fabric"/>
    <s v="PP UL Fabric"/>
    <s v="PP Woven Fabrics(FG)"/>
    <s v="PP UL Fabric With UV"/>
    <n v="3751"/>
    <n v="414748.07"/>
  </r>
  <r>
    <x v="2"/>
    <s v="Plastene India Limited (Unit -II)"/>
    <d v="2023-06-12T00:00:00"/>
    <s v="K.P. Woven Pvt Ltd-Sales"/>
    <s v="Sales"/>
    <n v="240"/>
    <x v="0"/>
    <s v="PIL2/D/240"/>
    <d v="2023-06-12T00:00:00"/>
    <s v="Stores/Spares"/>
    <s v="MS Structure Items"/>
    <s v="Other Purchase"/>
    <s v="Consumble Stores"/>
    <s v="MS Pipe"/>
    <n v="186"/>
    <n v="8928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1248"/>
    <n v="223891.20000000001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408"/>
    <n v="72885.119999999995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823"/>
    <n v="145827.37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407"/>
    <n v="67863.179999999993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8699"/>
    <n v="1458126.38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2169"/>
    <n v="377080.65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2939"/>
    <n v="448550.18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2026"/>
    <n v="335606.9"/>
  </r>
  <r>
    <x v="2"/>
    <s v="Plastene India Limited (Unit -II)"/>
    <d v="2023-06-12T00:00:00"/>
    <s v="K.P. Woven Pvt Ltd-Sales"/>
    <s v="Sales"/>
    <n v="242"/>
    <x v="1"/>
    <s v="PIL2/D/242"/>
    <d v="2023-06-12T00:00:00"/>
    <s v="SF"/>
    <s v="Yarn All"/>
    <s v="PP Yarn"/>
    <s v="FILLER CORD"/>
    <s v="Filler Cord"/>
    <n v="1777.8"/>
    <n v="241211.9"/>
  </r>
  <r>
    <x v="2"/>
    <s v="Plastene India Limited (Unit -II)"/>
    <d v="2023-06-14T00:00:00"/>
    <s v="Plastene Polyfilms Ltd-Sales"/>
    <s v="Sales"/>
    <n v="243"/>
    <x v="1"/>
    <s v="PIL2/D/243"/>
    <d v="2023-06-14T00:00:00"/>
    <s v="SF"/>
    <s v="PP/PE Fabric"/>
    <s v="PP UL Fabric"/>
    <s v="PP Woven Fabrics(FG)"/>
    <s v="PP UL Fabric Without UV"/>
    <n v="2771"/>
    <n v="310352"/>
  </r>
  <r>
    <x v="2"/>
    <s v="Plastene India Limited (Unit -II)"/>
    <d v="2023-06-14T00:00:00"/>
    <s v="Plastene Polyfilms Ltd-Sales"/>
    <s v="Sales"/>
    <n v="243"/>
    <x v="1"/>
    <s v="PIL2/D/243"/>
    <d v="2023-06-14T00:00:00"/>
    <s v="FG"/>
    <s v="FIBC Bags"/>
    <s v="FIBC Bags"/>
    <s v="PP WOVEN BIG BAGS / SACKS"/>
    <s v="FIBC Bags With UV Without Liner"/>
    <n v="5083"/>
    <n v="828274.85"/>
  </r>
  <r>
    <x v="2"/>
    <s v="Plastene India Limited (Unit -II)"/>
    <d v="2023-06-14T00:00:00"/>
    <s v="Plastene Polyfilms Ltd-Sales"/>
    <s v="Sales"/>
    <n v="244"/>
    <x v="0"/>
    <s v="PIL2/D/244"/>
    <d v="2023-06-14T00:00:00"/>
    <s v="Stores/Spares"/>
    <s v="MS Structure Items"/>
    <s v="Other Purchase"/>
    <s v="Consumble Stores"/>
    <s v="MS Pipe"/>
    <n v="92"/>
    <n v="4416"/>
  </r>
  <r>
    <x v="2"/>
    <s v="Plastene India Limited (Unit -II)"/>
    <d v="2023-06-14T00:00:00"/>
    <s v="Plastene Polyfilms Ltd-Sales"/>
    <s v="Sales"/>
    <n v="245"/>
    <x v="1"/>
    <s v="PIL2/D/245"/>
    <d v="2023-06-14T00:00:00"/>
    <s v="SF"/>
    <s v="Webbing"/>
    <s v="PP Webbing"/>
    <s v="PP WEBBING (FG)"/>
    <s v="Webbing"/>
    <n v="581.79999999999995"/>
    <n v="67238.63"/>
  </r>
  <r>
    <x v="2"/>
    <s v="Plastene India Limited (Unit -II)"/>
    <d v="2023-06-14T00:00:00"/>
    <s v="Plastene Polyfilms Ltd-Sales"/>
    <s v="Sales"/>
    <n v="245"/>
    <x v="1"/>
    <s v="PIL2/D/245"/>
    <d v="2023-06-14T00:00:00"/>
    <s v="SF"/>
    <s v="Webbing"/>
    <s v="PP Webbing"/>
    <s v="PP WEBBING (FG)"/>
    <s v="Webbing"/>
    <n v="387"/>
    <n v="43564.59"/>
  </r>
  <r>
    <x v="2"/>
    <s v="Plastene India Limited (Unit -II)"/>
    <d v="2023-06-16T00:00:00"/>
    <s v="K.P. Woven Pvt Ltd-Sales"/>
    <s v="Sales"/>
    <n v="246"/>
    <x v="0"/>
    <s v="PIL2/D/246"/>
    <d v="2023-06-16T00:00:00"/>
    <s v="RM Consumables"/>
    <s v="FIBC Accessories"/>
    <s v="FIBC Accessories"/>
    <s v="Consumble Stores"/>
    <s v="Zipper Bags"/>
    <n v="10000"/>
    <n v="20980"/>
  </r>
  <r>
    <x v="2"/>
    <s v="Plastene India Limited (Unit -II)"/>
    <d v="2023-06-16T00:00:00"/>
    <s v="K.P. Woven Pvt Ltd-Sales"/>
    <s v="Sales"/>
    <n v="247"/>
    <x v="1"/>
    <s v="PIL2/D/247"/>
    <d v="2023-06-16T00:00:00"/>
    <s v="FG"/>
    <s v="FIBC WIP"/>
    <s v="FIBC WIP"/>
    <s v="LLDPE BAGS (LINER)"/>
    <s v="FIBC WIP"/>
    <n v="23"/>
    <n v="4480"/>
  </r>
  <r>
    <x v="2"/>
    <s v="Plastene India Limited (Unit -II)"/>
    <d v="2023-06-16T00:00:00"/>
    <s v="K.P. Woven Pvt Ltd-Sales"/>
    <s v="Sales"/>
    <n v="247"/>
    <x v="1"/>
    <s v="PIL2/D/247"/>
    <d v="2023-06-16T00:00:00"/>
    <s v="SF"/>
    <s v="PP/PE Fabric"/>
    <s v="PP UL Fabric"/>
    <s v="PP Woven Fabrics(FG)"/>
    <s v="PP UL Fabric With UV"/>
    <n v="5050"/>
    <n v="558378.5"/>
  </r>
  <r>
    <x v="2"/>
    <s v="Plastene India Limited (Unit -II)"/>
    <d v="2023-06-16T00:00:00"/>
    <s v="K.P. Woven Pvt Ltd-Sales"/>
    <s v="Sales"/>
    <n v="247"/>
    <x v="1"/>
    <s v="PIL2/D/247"/>
    <d v="2023-06-16T00:00:00"/>
    <s v="SF"/>
    <s v="PP/PE Fabric"/>
    <s v="PP UL Fabric"/>
    <s v="PP Woven Fabrics(FG)"/>
    <s v="PP UL Fabric With UV"/>
    <n v="224"/>
    <n v="25439.68"/>
  </r>
  <r>
    <x v="2"/>
    <s v="Plastene India Limited (Unit -II)"/>
    <d v="2023-06-16T00:00:00"/>
    <s v="K.P. Woven Pvt Ltd-Sales"/>
    <s v="Sales"/>
    <n v="248"/>
    <x v="0"/>
    <s v="PIL2/D/248"/>
    <d v="2023-06-16T00:00:00"/>
    <s v="Stores/Spares"/>
    <s v="MS Structure Items"/>
    <s v="Other Purchase"/>
    <s v="Consumble Stores"/>
    <s v="MS Pipe"/>
    <n v="271"/>
    <n v="13008"/>
  </r>
  <r>
    <x v="2"/>
    <s v="Plastene India Limited (Unit -II)"/>
    <d v="2023-06-17T00:00:00"/>
    <s v="K.P. Woven Pvt Ltd-Sales"/>
    <s v="Sales"/>
    <n v="249"/>
    <x v="0"/>
    <s v="PIL2/D/249"/>
    <d v="2023-06-17T00:00:00"/>
    <s v="RM Consumables"/>
    <s v="FIBC Accessories"/>
    <s v="FIBC Accessories"/>
    <s v="Consumble Stores"/>
    <s v="Zipper Bags"/>
    <n v="7900"/>
    <n v="18486"/>
  </r>
  <r>
    <x v="2"/>
    <s v="Plastene India Limited (Unit -II)"/>
    <d v="2023-06-17T00:00:00"/>
    <s v="K.P. Woven Pvt Ltd-Sales"/>
    <s v="Sales"/>
    <n v="250"/>
    <x v="1"/>
    <s v="PIL2/D/250"/>
    <d v="2023-06-17T00:00:00"/>
    <s v="SF"/>
    <s v="PP/PE Fabric"/>
    <s v="PP UL Fabric"/>
    <s v="PP Woven Fabrics(FG)"/>
    <s v="PP UL Fabric With UV"/>
    <n v="763"/>
    <n v="77742.070000000007"/>
  </r>
  <r>
    <x v="2"/>
    <s v="Plastene India Limited (Unit -II)"/>
    <d v="2023-06-17T00:00:00"/>
    <s v="K.P. Woven Pvt Ltd-Sales"/>
    <s v="Sales"/>
    <n v="250"/>
    <x v="1"/>
    <s v="PIL2/D/250"/>
    <d v="2023-06-17T00:00:00"/>
    <s v="FG"/>
    <s v="FIBC WIP"/>
    <s v="FIBC WIP"/>
    <s v="LLDPE BAGS (LINER)"/>
    <s v="FIBC WIP"/>
    <n v="39"/>
    <n v="7803"/>
  </r>
  <r>
    <x v="2"/>
    <s v="Plastene India Limited (Unit -II)"/>
    <d v="2023-06-17T00:00:00"/>
    <s v="K.P. Woven Pvt Ltd-Sales"/>
    <s v="Sales"/>
    <n v="251"/>
    <x v="0"/>
    <s v="PIL2/D/251"/>
    <d v="2023-06-17T00:00:00"/>
    <s v="Stores/Spares"/>
    <s v="MS Structure Items"/>
    <s v="Other Purchase"/>
    <s v="Consumble Stores"/>
    <s v="MS Pipe"/>
    <n v="42"/>
    <n v="2016"/>
  </r>
  <r>
    <x v="2"/>
    <s v="Plastene India Limited (Unit -II)"/>
    <d v="2023-06-17T00:00:00"/>
    <s v="K.P. Woven Pvt Ltd-Sales"/>
    <s v="Sales"/>
    <n v="252"/>
    <x v="1"/>
    <s v="PIL2/D/252"/>
    <d v="2023-06-17T00:00:00"/>
    <s v="FG"/>
    <s v="FIBC WIP"/>
    <s v="FIBC WIP"/>
    <s v="LLDPE BAGS (LINER)"/>
    <s v="FIBC WIP"/>
    <n v="1"/>
    <n v="185.5"/>
  </r>
  <r>
    <x v="2"/>
    <s v="Plastene India Limited (Unit -II)"/>
    <d v="2023-06-18T00:00:00"/>
    <s v="K.P. Woven Pvt Ltd-Sales"/>
    <s v="Sales"/>
    <n v="253"/>
    <x v="1"/>
    <s v="PIL2/D/253"/>
    <d v="2023-06-18T00:00:00"/>
    <s v="SF"/>
    <s v="PP/PE Fabric"/>
    <s v="PP UL Fabric"/>
    <s v="PP Woven Fabrics(FG)"/>
    <s v="PP UL Fabric With UV"/>
    <n v="2718"/>
    <n v="276937.02"/>
  </r>
  <r>
    <x v="2"/>
    <s v="Plastene India Limited (Unit -II)"/>
    <d v="2023-06-18T00:00:00"/>
    <s v="K.P. Woven Pvt Ltd-Sales"/>
    <s v="Sales"/>
    <n v="254"/>
    <x v="0"/>
    <s v="PIL2/D/254"/>
    <d v="2023-06-18T00:00:00"/>
    <s v="Stores/Spares"/>
    <s v="MS Structure Items"/>
    <s v="Other Purchase"/>
    <s v="Consumble Stores"/>
    <s v="MS Pipe"/>
    <n v="148"/>
    <n v="7104"/>
  </r>
  <r>
    <x v="2"/>
    <s v="Plastene India Limited (Unit -II)"/>
    <d v="2023-06-19T00:00:00"/>
    <s v="K.P. Woven Pvt Ltd-Sales"/>
    <s v="Sales"/>
    <n v="256"/>
    <x v="1"/>
    <s v="PIL2/D/256"/>
    <d v="2023-06-19T00:00:00"/>
    <s v="FG"/>
    <s v="FIBC WIP"/>
    <s v="FIBC WIP"/>
    <s v="LLDPE BAGS (LINER)"/>
    <s v="FIBC WIP"/>
    <n v="0.5"/>
    <n v="88.5"/>
  </r>
  <r>
    <x v="2"/>
    <s v="Plastene India Limited (Unit -II)"/>
    <d v="2023-06-20T00:00:00"/>
    <s v="HCP Plastene Bulkpack Ltd (Unit-III) - Sales"/>
    <s v="Sales"/>
    <n v="260"/>
    <x v="1"/>
    <s v="PIL2/D/260"/>
    <d v="2023-06-20T00:00:00"/>
    <s v="SF"/>
    <s v="Webbing"/>
    <s v="PP Webbing"/>
    <s v="PP WEBBING (FG)"/>
    <s v="Webbing"/>
    <n v="1868.6"/>
    <n v="199734.65"/>
  </r>
  <r>
    <x v="2"/>
    <s v="Plastene India Limited (Unit -II)"/>
    <d v="2023-06-20T00:00:00"/>
    <s v="HCP Plastene Bulkpack Ltd (Unit-III) - Sales"/>
    <s v="Sales"/>
    <n v="260"/>
    <x v="1"/>
    <s v="PIL2/D/260"/>
    <d v="2023-06-20T00:00:00"/>
    <s v="SF"/>
    <s v="PP/PE Fabric"/>
    <s v="PP UL Fabric"/>
    <s v="PP Woven Fabrics(FG)"/>
    <s v="PP UL Fabric With UV"/>
    <n v="2197"/>
    <n v="223852.33"/>
  </r>
  <r>
    <x v="2"/>
    <s v="Plastene India Limited (Unit -II)"/>
    <d v="2023-06-20T00:00:00"/>
    <s v="HCP Plastene Bulkpack Ltd (Unit-III) - Sales"/>
    <s v="Sales"/>
    <n v="260"/>
    <x v="1"/>
    <s v="PIL2/D/260"/>
    <d v="2023-06-20T00:00:00"/>
    <s v="SF"/>
    <s v="PP/PE Fabric"/>
    <s v="PP Lam Fabric"/>
    <s v="PP Laminated Fabric"/>
    <s v="PP Lam Fabric With UV"/>
    <n v="1102"/>
    <n v="114486.78"/>
  </r>
  <r>
    <x v="2"/>
    <s v="Plastene India Limited (Unit -II)"/>
    <d v="2023-06-20T00:00:00"/>
    <s v="HCP Plastene Bulkpack Ltd (Unit-III) - Sales"/>
    <s v="Sales"/>
    <n v="261"/>
    <x v="0"/>
    <s v="PIL2/D/261"/>
    <d v="2023-06-20T00:00:00"/>
    <s v="Stores/Spares"/>
    <s v="MS Structure Items"/>
    <s v="Other Purchase"/>
    <s v="Consumble Stores"/>
    <s v="MS Pipe"/>
    <n v="143"/>
    <n v="6864"/>
  </r>
  <r>
    <x v="2"/>
    <s v="Plastene India Limited (Unit -II)"/>
    <d v="2023-06-20T00:00:00"/>
    <s v="K.P. Woven Pvt Ltd-Sales"/>
    <s v="Sales"/>
    <n v="257"/>
    <x v="1"/>
    <s v="PIL2/D/257"/>
    <d v="2023-06-20T00:00:00"/>
    <s v="SF"/>
    <s v="PP/PE Fabric"/>
    <s v="PP UL Fabric"/>
    <s v="PP Woven Fabrics(FG)"/>
    <s v="PP UL Fabric With UV"/>
    <n v="81"/>
    <n v="8496.09"/>
  </r>
  <r>
    <x v="2"/>
    <s v="Plastene India Limited (Unit -II)"/>
    <d v="2023-06-20T00:00:00"/>
    <s v="K.P. Woven Pvt Ltd-Sales"/>
    <s v="Sales"/>
    <n v="257"/>
    <x v="1"/>
    <s v="PIL2/D/257"/>
    <d v="2023-06-20T00:00:00"/>
    <s v="SF"/>
    <s v="PP/PE Fabric"/>
    <s v="PP UL Fabric"/>
    <s v="PP Woven Fabrics(FG)"/>
    <s v="PP UL Fabric With UV"/>
    <n v="3413"/>
    <n v="347750.57"/>
  </r>
  <r>
    <x v="2"/>
    <s v="Plastene India Limited (Unit -II)"/>
    <d v="2023-06-20T00:00:00"/>
    <s v="K.P. Woven Pvt Ltd-Sales"/>
    <s v="Sales"/>
    <n v="258"/>
    <x v="0"/>
    <s v="PIL2/D/258"/>
    <d v="2023-06-20T00:00:00"/>
    <s v="Stores/Spares"/>
    <s v="MS Structure Items"/>
    <s v="Other Purchase"/>
    <s v="Consumble Stores"/>
    <s v="MS Pipe"/>
    <n v="187"/>
    <n v="8976"/>
  </r>
  <r>
    <x v="2"/>
    <s v="Plastene India Limited (Unit -II)"/>
    <d v="2023-06-20T00:00:00"/>
    <s v="K.P. Woven Pvt Ltd-Sales"/>
    <s v="Sales"/>
    <n v="259"/>
    <x v="1"/>
    <s v="PIL2/D/259"/>
    <d v="2023-06-20T00:00:00"/>
    <s v="SF"/>
    <s v="Yarn All"/>
    <s v="PP Yarn"/>
    <s v="FILLER CORD"/>
    <s v="Filler Cord"/>
    <n v="4225.97"/>
    <n v="573379.61"/>
  </r>
  <r>
    <x v="2"/>
    <s v="Plastene India Limited (Unit -II)"/>
    <d v="2023-06-21T00:00:00"/>
    <s v="K.P. Woven Pvt Ltd-Sales"/>
    <s v="Sales"/>
    <n v="263"/>
    <x v="1"/>
    <s v="PIL2/D/263"/>
    <d v="2023-06-21T00:00:00"/>
    <s v="SF"/>
    <s v="PP/PE Fabric"/>
    <s v="PP UL Fabric"/>
    <s v="PP Woven Fabrics(FG)"/>
    <s v="PP UL Fabric With UV"/>
    <n v="1620"/>
    <n v="165061.79999999999"/>
  </r>
  <r>
    <x v="2"/>
    <s v="Plastene India Limited (Unit -II)"/>
    <d v="2023-06-21T00:00:00"/>
    <s v="K.P. Woven Pvt Ltd-Sales"/>
    <s v="Sales"/>
    <n v="263"/>
    <x v="1"/>
    <s v="PIL2/D/263"/>
    <d v="2023-06-21T00:00:00"/>
    <s v="SF"/>
    <s v="PP/PE Fabric"/>
    <s v="PP UL Fabric"/>
    <s v="PP Woven Fabrics(FG)"/>
    <s v="PP UL Fabric With UV"/>
    <n v="944.2"/>
    <n v="115088.54"/>
  </r>
  <r>
    <x v="2"/>
    <s v="Plastene India Limited (Unit -II)"/>
    <d v="2023-06-21T00:00:00"/>
    <s v="K.P. Woven Pvt Ltd-Sales"/>
    <s v="Sales"/>
    <n v="263"/>
    <x v="1"/>
    <s v="PIL2/D/263"/>
    <d v="2023-06-21T00:00:00"/>
    <s v="RM"/>
    <s v="Granules"/>
    <s v="UV MB"/>
    <s v="Master Batch"/>
    <s v="UV PIL NFG 20LD"/>
    <n v="5000"/>
    <n v="910000"/>
  </r>
  <r>
    <x v="2"/>
    <s v="Plastene India Limited (Unit -II)"/>
    <d v="2023-06-21T00:00:00"/>
    <s v="K.P. Woven Pvt Ltd-Sales"/>
    <s v="Sales"/>
    <n v="264"/>
    <x v="0"/>
    <s v="PIL2/D/264"/>
    <d v="2023-06-21T00:00:00"/>
    <s v="Stores/Spares"/>
    <s v="MS Structure Items"/>
    <s v="Other Purchase"/>
    <s v="Consumble Stores"/>
    <s v="MS Pipe"/>
    <n v="64"/>
    <n v="3072"/>
  </r>
  <r>
    <x v="2"/>
    <s v="Plastene India Limited (Unit -II)"/>
    <d v="2023-06-22T00:00:00"/>
    <s v="K.P. Woven Pvt Ltd - Unit 3 -Sales"/>
    <s v="Export Sales"/>
    <s v="PIL2/E/67/23-24"/>
    <x v="6"/>
    <s v="PIL2/E/67/23-24"/>
    <d v="2023-06-22T00:00:00"/>
    <s v="FG"/>
    <s v="FIBC Bags"/>
    <s v="FIBC Bags"/>
    <s v="PP WOVEN BIG BAGS / SACKS"/>
    <s v="FIBC Bags With UV Without Liner"/>
    <n v="7378"/>
    <n v="1263519.3899999999"/>
  </r>
  <r>
    <x v="2"/>
    <s v="Plastene India Limited (Unit -II)"/>
    <d v="2023-06-22T00:00:00"/>
    <s v="K.P. Woven Pvt Ltd - Unit 3 -Sales"/>
    <s v="Export Sales"/>
    <s v="PIL2/E/68/23-24"/>
    <x v="6"/>
    <s v="PIL2/E/68/23-24"/>
    <d v="2023-06-22T00:00:00"/>
    <s v="RM"/>
    <s v="Granules"/>
    <s v="UV MB"/>
    <s v="Master Batch"/>
    <s v="UV PIL NFG 20LD"/>
    <n v="3000"/>
    <n v="546000"/>
  </r>
  <r>
    <x v="2"/>
    <s v="Plastene India Limited (Unit -II)"/>
    <d v="2023-06-22T00:00:00"/>
    <s v="K.P. Woven Pvt Ltd-Sales"/>
    <s v="Sales"/>
    <n v="265"/>
    <x v="1"/>
    <s v="PIL2/D/265"/>
    <d v="2023-06-22T00:00:00"/>
    <s v="SF"/>
    <s v="PP/PE Fabric"/>
    <s v="PP UL Fabric"/>
    <s v="PP Woven Fabrics(FG)"/>
    <s v="PP UL Fabric With UV"/>
    <n v="6461"/>
    <n v="658311.29"/>
  </r>
  <r>
    <x v="2"/>
    <s v="Plastene India Limited (Unit -II)"/>
    <d v="2023-06-22T00:00:00"/>
    <s v="K.P. Woven Pvt Ltd-Sales"/>
    <s v="Sales"/>
    <n v="265"/>
    <x v="1"/>
    <s v="PIL2/D/265"/>
    <d v="2023-06-22T00:00:00"/>
    <s v="FG"/>
    <s v="FIBC WIP"/>
    <s v="FIBC WIP"/>
    <s v="LLDPE BAGS (LINER)"/>
    <s v="FIBC WIP"/>
    <n v="28.8"/>
    <n v="5839.5"/>
  </r>
  <r>
    <x v="2"/>
    <s v="Plastene India Limited (Unit -II)"/>
    <d v="2023-06-22T00:00:00"/>
    <s v="K.P. Woven Pvt Ltd-Sales"/>
    <s v="Sales"/>
    <n v="266"/>
    <x v="0"/>
    <s v="PIL2/D/266"/>
    <d v="2023-06-22T00:00:00"/>
    <s v="Stores/Spares"/>
    <s v="MS Structure Items"/>
    <s v="Other Purchase"/>
    <s v="Consumble Stores"/>
    <s v="MS Pipe"/>
    <n v="274"/>
    <n v="13152"/>
  </r>
  <r>
    <x v="2"/>
    <s v="Plastene India Limited (Unit -II)"/>
    <d v="2023-06-22T00:00:00"/>
    <s v="Plastene Polyfilms Ltd-Sales"/>
    <s v="Sales"/>
    <n v="267"/>
    <x v="1"/>
    <s v="PIL2/D/267"/>
    <d v="2023-06-22T00:00:00"/>
    <s v="FG"/>
    <s v="FIBC Bags"/>
    <s v="FIBC Bags"/>
    <s v="PP WOVEN BIG BAGS / SACKS"/>
    <s v="FIBC Bags With UV Without Liner"/>
    <n v="1878"/>
    <n v="306020.09999999998"/>
  </r>
  <r>
    <x v="2"/>
    <s v="Plastene India Limited (Unit -II)"/>
    <d v="2023-06-22T00:00:00"/>
    <s v="Plastene Polyfilms Ltd-Sales"/>
    <s v="Sales"/>
    <n v="267"/>
    <x v="1"/>
    <s v="PIL2/D/267"/>
    <d v="2023-06-22T00:00:00"/>
    <s v="SF"/>
    <s v="PP/PE Fabric"/>
    <s v="PP UL Fabric"/>
    <s v="PP Woven Fabrics(FG)"/>
    <s v="PP UL Fabric Without UV"/>
    <n v="2810"/>
    <n v="314720"/>
  </r>
  <r>
    <x v="2"/>
    <s v="Plastene India Limited (Unit -II)"/>
    <d v="2023-06-22T00:00:00"/>
    <s v="Plastene Polyfilms Ltd-Sales"/>
    <s v="Sales"/>
    <n v="268"/>
    <x v="0"/>
    <s v="PIL2/D/268"/>
    <d v="2023-06-22T00:00:00"/>
    <s v="Stores/Spares"/>
    <s v="MS Structure Items"/>
    <s v="Other Purchase"/>
    <s v="Consumble Stores"/>
    <s v="MS Pipe"/>
    <n v="90"/>
    <n v="4320"/>
  </r>
  <r>
    <x v="2"/>
    <s v="Plastene India Limited (Unit -II)"/>
    <d v="2023-06-22T00:00:00"/>
    <s v="Plastene Polyfilms Ltd-Sales"/>
    <s v="Sales"/>
    <n v="269"/>
    <x v="0"/>
    <s v="PIL2/D/269"/>
    <d v="2023-06-22T00:00:00"/>
    <s v="RM"/>
    <s v="Granules"/>
    <s v="UV MB"/>
    <s v="Master Batch"/>
    <s v="UV PIL NFG 20LD"/>
    <n v="3000"/>
    <n v="54600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Karnavati Site Green 3400"/>
    <n v="10"/>
    <n v="204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UV MB"/>
    <s v="Master Batch"/>
    <s v="UV PIL NFG 20LD"/>
    <n v="5000"/>
    <n v="91000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Karnavati Light AP Green"/>
    <n v="10"/>
    <n v="199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Clariant CMC Veer HP RED 485B"/>
    <n v="5"/>
    <n v="310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Karnavati  New Chrome Yellow"/>
    <n v="25"/>
    <n v="5500"/>
  </r>
  <r>
    <x v="2"/>
    <s v="Plastene India Limited (Unit -II)"/>
    <d v="2023-06-23T00:00:00"/>
    <s v="K.P. Woven Pvt Ltd-Sales"/>
    <s v="Sales"/>
    <n v="271"/>
    <x v="1"/>
    <s v="PIL2/D/271"/>
    <d v="2023-06-23T00:00:00"/>
    <s v="SF"/>
    <s v="PP/PE Fabric"/>
    <s v="PP UL Fabric"/>
    <s v="PP Woven Fabrics(FG)"/>
    <s v="PP UL Fabric With UV"/>
    <n v="2415"/>
    <n v="246064.35"/>
  </r>
  <r>
    <x v="2"/>
    <s v="Plastene India Limited (Unit -II)"/>
    <d v="2023-06-23T00:00:00"/>
    <s v="K.P. Woven Pvt Ltd-Sales"/>
    <s v="Sales"/>
    <n v="272"/>
    <x v="0"/>
    <s v="PIL2/D/272"/>
    <d v="2023-06-23T00:00:00"/>
    <s v="Stores/Spares"/>
    <s v="MS Structure Items"/>
    <s v="Other Purchase"/>
    <s v="Consumble Stores"/>
    <s v="MS Pipe"/>
    <n v="118"/>
    <n v="5664"/>
  </r>
  <r>
    <x v="2"/>
    <s v="Plastene India Limited (Unit -II)"/>
    <d v="2023-06-24T00:00:00"/>
    <s v="HCP Plastene Bulkpack Ltd (Unit-III) - Sales"/>
    <s v="Sales"/>
    <n v="273"/>
    <x v="1"/>
    <s v="PIL2/D/273"/>
    <d v="2023-06-24T00:00:00"/>
    <s v="SF"/>
    <s v="Webbing"/>
    <s v="PP Webbing"/>
    <s v="PP WEBBING (FG)"/>
    <s v="Webbing"/>
    <n v="969.9"/>
    <n v="103672.61"/>
  </r>
  <r>
    <x v="2"/>
    <s v="Plastene India Limited (Unit -II)"/>
    <d v="2023-06-24T00:00:00"/>
    <s v="HCP Plastene Bulkpack Ltd (Unit-III) - Sales"/>
    <s v="Sales"/>
    <n v="273"/>
    <x v="1"/>
    <s v="PIL2/D/273"/>
    <d v="2023-06-24T00:00:00"/>
    <s v="SF"/>
    <s v="PP/PE Fabric"/>
    <s v="PP UL Fabric"/>
    <s v="PP Woven Fabrics(FG)"/>
    <s v="PP UL Fabric With UV"/>
    <n v="4440"/>
    <n v="452391.6"/>
  </r>
  <r>
    <x v="2"/>
    <s v="Plastene India Limited (Unit -II)"/>
    <d v="2023-06-24T00:00:00"/>
    <s v="HCP Plastene Bulkpack Ltd (Unit-III) - Sales"/>
    <s v="Sales"/>
    <n v="274"/>
    <x v="0"/>
    <s v="PIL2/D/274"/>
    <d v="2023-06-24T00:00:00"/>
    <s v="Stores/Spares"/>
    <s v="MS Structure Items"/>
    <s v="Other Purchase"/>
    <s v="Consumble Stores"/>
    <s v="MS Pipe"/>
    <n v="213"/>
    <n v="10224"/>
  </r>
  <r>
    <x v="2"/>
    <s v="Plastene India Limited (Unit -II)"/>
    <d v="2023-06-24T00:00:00"/>
    <s v="Plastene Polyfilms Ltd-Sales"/>
    <s v="Sales"/>
    <n v="275"/>
    <x v="1"/>
    <s v="PIL2/D/275"/>
    <d v="2023-06-24T00:00:00"/>
    <s v="SF"/>
    <s v="Webbing"/>
    <s v="PP Webbing"/>
    <s v="PP WEBBING (FG)"/>
    <s v="Webbing"/>
    <n v="2677.5"/>
    <n v="317685.38"/>
  </r>
  <r>
    <x v="2"/>
    <s v="Plastene India Limited (Unit -II)"/>
    <d v="2023-06-24T00:00:00"/>
    <s v="Plastene Polyfilms Ltd-Sales"/>
    <s v="Sales"/>
    <n v="276"/>
    <x v="1"/>
    <s v="PIL2/D/276"/>
    <d v="2023-06-24T00:00:00"/>
    <s v="SF"/>
    <s v="PP/PE Fabric"/>
    <s v="PP UL Fabric"/>
    <s v="PP Woven Fabrics(FG)"/>
    <s v="PP UL Fabric CutPcs With UV"/>
    <n v="4594"/>
    <n v="616928.26"/>
  </r>
  <r>
    <x v="2"/>
    <s v="Plastene India Limited (Unit -II)"/>
    <d v="2023-06-24T00:00:00"/>
    <s v="Plastene Polyfilms Ltd-Sales"/>
    <s v="Sales"/>
    <n v="276"/>
    <x v="1"/>
    <s v="PIL2/D/276"/>
    <d v="2023-06-24T00:00:00"/>
    <s v="SF"/>
    <s v="PP/PE Fabric"/>
    <s v="PP UL Fabric"/>
    <s v="PP Woven Fabrics(FG)"/>
    <s v="PP UL Fabric Without UV"/>
    <n v="1124"/>
    <n v="125888"/>
  </r>
  <r>
    <x v="2"/>
    <s v="Plastene India Limited (Unit -II)"/>
    <d v="2023-06-24T00:00:00"/>
    <s v="Plastene Polyfilms Ltd-Sales"/>
    <s v="Sales"/>
    <n v="276"/>
    <x v="1"/>
    <s v="PIL2/D/276"/>
    <d v="2023-06-24T00:00:00"/>
    <s v="RM"/>
    <s v="Granules"/>
    <s v="UV MB"/>
    <s v="Master Batch"/>
    <s v="UV PIL NFG 20LD"/>
    <n v="2000"/>
    <n v="364000"/>
  </r>
  <r>
    <x v="2"/>
    <s v="Plastene India Limited (Unit -II)"/>
    <d v="2023-06-24T00:00:00"/>
    <s v="Plastene Polyfilms Ltd-Sales"/>
    <s v="Sales"/>
    <n v="277"/>
    <x v="0"/>
    <s v="PIL2/D/277"/>
    <d v="2023-06-24T00:00:00"/>
    <s v="Stores/Spares"/>
    <s v="MS Structure Items"/>
    <s v="Other Purchase"/>
    <s v="Consumble Stores"/>
    <s v="MS Pipe"/>
    <n v="29"/>
    <n v="1392"/>
  </r>
  <r>
    <x v="2"/>
    <s v="Plastene India Limited (Unit -II)"/>
    <d v="2023-06-25T00:00:00"/>
    <s v="K.P. Woven Pvt Ltd-Sales"/>
    <s v="Sales"/>
    <n v="278"/>
    <x v="0"/>
    <s v="PIL2/D/278"/>
    <d v="2023-06-25T00:00:00"/>
    <s v="RM"/>
    <s v="Granules"/>
    <s v="Masterbatch"/>
    <s v="Master Batch"/>
    <s v="MB Karnavati Shiny Black"/>
    <n v="500"/>
    <n v="66810"/>
  </r>
  <r>
    <x v="2"/>
    <s v="Plastene India Limited (Unit -II)"/>
    <d v="2023-06-25T00:00:00"/>
    <s v="Plastene Polyfilms Ltd-Sales"/>
    <s v="Sales"/>
    <n v="279"/>
    <x v="0"/>
    <s v="PIL2/D/279"/>
    <d v="2023-06-25T00:00:00"/>
    <s v="RM"/>
    <s v="Granules"/>
    <s v="Masterbatch"/>
    <s v="Master Batch"/>
    <s v="MB Karnavati Shiny Black Lamination"/>
    <n v="200"/>
    <n v="28000"/>
  </r>
  <r>
    <x v="2"/>
    <s v="Plastene India Limited (Unit -II)"/>
    <d v="2023-06-26T00:00:00"/>
    <s v="K.P. Woven Pvt Ltd-Sales"/>
    <s v="Sales"/>
    <n v="280"/>
    <x v="0"/>
    <s v="PIL2/D/280"/>
    <d v="2023-06-26T00:00:00"/>
    <s v="RM Consumables"/>
    <s v="FIBC Accessories"/>
    <s v="FIBC Accessories"/>
    <s v="Consumble Stores"/>
    <s v="Velcro 50 mm Male And Female ( White )"/>
    <n v="1000"/>
    <n v="10200"/>
  </r>
  <r>
    <x v="2"/>
    <s v="Plastene India Limited (Unit -II)"/>
    <d v="2023-06-26T00:00:00"/>
    <s v="K.P. Woven Pvt Ltd-Sales"/>
    <s v="Sales"/>
    <n v="281"/>
    <x v="0"/>
    <s v="PIL2/D/281"/>
    <d v="2023-06-26T00:00:00"/>
    <s v="Packing Material"/>
    <s v="Accumulator Spares"/>
    <s v="Other Purchase"/>
    <s v="Consumble Stores"/>
    <s v="Wooden Pallet Flate Size 85X105Cm"/>
    <n v="12"/>
    <n v="5640"/>
  </r>
  <r>
    <x v="2"/>
    <s v="Plastene India Limited (Unit -II)"/>
    <d v="2023-06-26T00:00:00"/>
    <s v="K.P. Woven Pvt Ltd-Sales"/>
    <s v="Sales"/>
    <n v="282"/>
    <x v="1"/>
    <s v="PIL2/D/282"/>
    <d v="2023-06-26T00:00:00"/>
    <s v="SF"/>
    <s v="PP/PE Fabric"/>
    <s v="PP UL Fabric"/>
    <s v="PP Woven Fabrics(FG)"/>
    <s v="PP UL Fabric With UV"/>
    <n v="3466"/>
    <n v="353150.74"/>
  </r>
  <r>
    <x v="2"/>
    <s v="Plastene India Limited (Unit -II)"/>
    <d v="2023-06-26T00:00:00"/>
    <s v="K.P. Woven Pvt Ltd-Sales"/>
    <s v="Sales"/>
    <n v="282"/>
    <x v="1"/>
    <s v="PIL2/D/282"/>
    <d v="2023-06-26T00:00:00"/>
    <s v="FG"/>
    <s v="FIBC WIP"/>
    <s v="FIBC WIP"/>
    <s v="LLDPE BAGS (LINER)"/>
    <s v="FIBC WIP"/>
    <n v="36.799999999999997"/>
    <n v="8378"/>
  </r>
  <r>
    <x v="2"/>
    <s v="Plastene India Limited (Unit -II)"/>
    <d v="2023-06-26T00:00:00"/>
    <s v="K.P. Woven Pvt Ltd-Sales"/>
    <s v="Sales"/>
    <n v="282"/>
    <x v="1"/>
    <s v="PIL2/D/282"/>
    <d v="2023-06-26T00:00:00"/>
    <s v="RM"/>
    <s v="FIBC Accessories"/>
    <s v="FIBC Accessories"/>
    <s v="PP Woven Fabric"/>
    <s v="Non Woven Fabric (Felt) 170Gsm.Pati Cut Length- 2&quot; ( 5 Cm )"/>
    <n v="193.6"/>
    <n v="30776.59"/>
  </r>
  <r>
    <x v="2"/>
    <s v="Plastene India Limited (Unit -II)"/>
    <d v="2023-06-26T00:00:00"/>
    <s v="K.P. Woven Pvt Ltd-Sales"/>
    <s v="Sales"/>
    <n v="283"/>
    <x v="0"/>
    <s v="PIL2/D/283"/>
    <d v="2023-06-26T00:00:00"/>
    <s v="Stores/Spares"/>
    <s v="MS Structure Items"/>
    <s v="Other Purchase"/>
    <s v="Consumble Stores"/>
    <s v="MS Pipe"/>
    <n v="146"/>
    <n v="7008"/>
  </r>
  <r>
    <x v="2"/>
    <s v="Plastene India Limited (Unit -II)"/>
    <d v="2023-06-27T00:00:00"/>
    <s v="HCP Plastene Bulkpack Ltd (Unit-III) - Sales"/>
    <s v="Sales"/>
    <n v="284"/>
    <x v="1"/>
    <s v="PIL2/D/284"/>
    <d v="2023-06-27T00:00:00"/>
    <s v="SF"/>
    <s v="PP/PE Fabric"/>
    <s v="PP UL Fabric"/>
    <s v="PP Woven Fabrics(FG)"/>
    <s v="PP UL Fabric With UV"/>
    <n v="1291"/>
    <n v="131539.99"/>
  </r>
  <r>
    <x v="2"/>
    <s v="Plastene India Limited (Unit -II)"/>
    <d v="2023-06-27T00:00:00"/>
    <s v="HCP Plastene Bulkpack Ltd (Unit-III) - Sales"/>
    <s v="Sales"/>
    <n v="284"/>
    <x v="1"/>
    <s v="PIL2/D/284"/>
    <d v="2023-06-27T00:00:00"/>
    <s v="SF"/>
    <s v="Webbing"/>
    <s v="PP Webbing"/>
    <s v="PP WEBBING (FG)"/>
    <s v="Webbing"/>
    <n v="1536"/>
    <n v="164183.04000000001"/>
  </r>
  <r>
    <x v="2"/>
    <s v="Plastene India Limited (Unit -II)"/>
    <d v="2023-06-27T00:00:00"/>
    <s v="HCP Plastene Bulkpack Ltd (Unit-III) - Sales"/>
    <s v="Sales"/>
    <n v="284"/>
    <x v="1"/>
    <s v="PIL2/D/284"/>
    <d v="2023-06-27T00:00:00"/>
    <s v="SF"/>
    <s v="Liners"/>
    <s v="LDPE/LLDPE Bags"/>
    <s v="LLDPE BAGS (LINER)"/>
    <s v="LDPE/LLDPE Bags/Liner"/>
    <n v="0.6"/>
    <n v="68.69"/>
  </r>
  <r>
    <x v="2"/>
    <s v="Plastene India Limited (Unit -II)"/>
    <d v="2023-06-27T00:00:00"/>
    <s v="HCP Plastene Bulkpack Ltd (Unit-III) - Sales"/>
    <s v="Sales"/>
    <n v="285"/>
    <x v="0"/>
    <s v="PIL2/D/285"/>
    <d v="2023-06-27T00:00:00"/>
    <s v="Stores/Spares"/>
    <s v="MS Structure Items"/>
    <s v="Other Purchase"/>
    <s v="Consumble Stores"/>
    <s v="MS Pipe"/>
    <n v="66"/>
    <n v="3168"/>
  </r>
  <r>
    <x v="2"/>
    <s v="Plastene India Limited (Unit -II)"/>
    <d v="2023-06-27T00:00:00"/>
    <s v="K.P. Woven Pvt Ltd - Unit 3 -Sales"/>
    <s v="Export Sales"/>
    <s v="PIL2/E/73/23-24"/>
    <x v="6"/>
    <s v="PIL2/E/73/23-24"/>
    <d v="2023-06-27T00:00:00"/>
    <s v="SF"/>
    <s v="Yarn All"/>
    <s v="PP Yarn"/>
    <s v="FILLER CORD"/>
    <s v="Filler Cord"/>
    <n v="4866.82"/>
    <n v="681354.8"/>
  </r>
  <r>
    <x v="2"/>
    <s v="Plastene India Limited (Unit -II)"/>
    <d v="2023-06-28T00:00:00"/>
    <s v="HCP Plastene Bulkpack Limited - Sales"/>
    <s v="Sales"/>
    <n v="286"/>
    <x v="1"/>
    <s v="PIL2/D/286"/>
    <d v="2023-06-28T00:00:00"/>
    <s v="RM"/>
    <s v="Granules"/>
    <s v="Filler"/>
    <s v="Filler"/>
    <s v="Filler PIL P20L"/>
    <n v="9500"/>
    <n v="280250"/>
  </r>
  <r>
    <x v="2"/>
    <s v="Plastene India Limited (Unit -II)"/>
    <d v="2023-06-28T00:00:00"/>
    <s v="HCP Plastene Bulkpack Limited - Sales"/>
    <s v="Sales"/>
    <n v="286"/>
    <x v="1"/>
    <s v="PIL2/D/286"/>
    <d v="2023-06-28T00:00:00"/>
    <s v="RM"/>
    <s v="Granules"/>
    <s v="LDPE Granules"/>
    <s v="LDPE GRANULES"/>
    <s v="LDPE Hanwha 955"/>
    <n v="500"/>
    <n v="60430"/>
  </r>
  <r>
    <x v="2"/>
    <s v="Plastene India Limited (Unit -II)"/>
    <d v="2023-06-28T00:00:00"/>
    <s v="K.P. Woven Pvt Ltd - Unit 3 -Sales"/>
    <s v="Export Sales"/>
    <s v="PIL2/E/74/23-24"/>
    <x v="6"/>
    <s v="PIL2/E/74/23-24"/>
    <d v="2023-06-28T00:00:00"/>
    <s v="FG"/>
    <s v="FIBC Bags"/>
    <s v="FIBC Bags"/>
    <s v="PP WOVEN BIG BAGS / SACKS"/>
    <s v="FIBC Bags With UV Without Liner"/>
    <n v="9454"/>
    <n v="1619044.77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PP/PE Fabric"/>
    <s v="PP UL Fabric"/>
    <s v="PP Woven Fabrics(FG)"/>
    <s v="PP UL Fabric With UV"/>
    <n v="1698.4"/>
    <n v="207017.98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PP/PE Fabric"/>
    <s v="PP UL Fabric"/>
    <s v="PP Woven Fabrics(FG)"/>
    <s v="PP UL Fabric With UV"/>
    <n v="3893"/>
    <n v="396657.77"/>
  </r>
  <r>
    <x v="2"/>
    <s v="Plastene India Limited (Unit -II)"/>
    <d v="2023-06-28T00:00:00"/>
    <s v="K.P. Woven Pvt Ltd-Sales"/>
    <s v="Sales"/>
    <n v="287"/>
    <x v="1"/>
    <s v="PIL2/D/287"/>
    <d v="2023-06-28T00:00:00"/>
    <s v="FG"/>
    <s v="FIBC WIP"/>
    <s v="FIBC WIP"/>
    <s v="LLDPE BAGS (LINER)"/>
    <s v="FIBC WIP"/>
    <n v="32.5"/>
    <n v="5771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Webbing"/>
    <s v="PP Webbing"/>
    <s v="PP WEBBING (FG)"/>
    <s v="Webbing Tie"/>
    <n v="151.1"/>
    <n v="15697.78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Yarn All"/>
    <s v="PP Yarn"/>
    <s v="PP Rope"/>
    <s v="PP Braided Rope MW 6 to 8 GPM"/>
    <n v="130"/>
    <n v="23400"/>
  </r>
  <r>
    <x v="2"/>
    <s v="Plastene India Limited (Unit -II)"/>
    <d v="2023-06-28T00:00:00"/>
    <s v="K.P. Woven Pvt Ltd-Sales"/>
    <s v="Sales"/>
    <n v="288"/>
    <x v="0"/>
    <s v="PIL2/D/288"/>
    <d v="2023-06-28T00:00:00"/>
    <s v="Stores/Spares"/>
    <s v="MS Structure Items"/>
    <s v="Other Purchase"/>
    <s v="Consumble Stores"/>
    <s v="MS Pipe"/>
    <n v="175"/>
    <n v="8400"/>
  </r>
  <r>
    <x v="2"/>
    <s v="Plastene India Limited (Unit -II)"/>
    <d v="2023-06-28T00:00:00"/>
    <s v="Plastene Polyfilms Ltd-Sales"/>
    <s v="Sales"/>
    <n v="289"/>
    <x v="1"/>
    <s v="PIL2/D/289"/>
    <d v="2023-06-28T00:00:00"/>
    <s v="FG"/>
    <s v="FIBC Bags"/>
    <s v="FIBC Bags"/>
    <s v="PP WOVEN BIG BAGS / SACKS"/>
    <s v="FIBC Bags With UV Without Liner"/>
    <n v="1117"/>
    <n v="189722.45"/>
  </r>
  <r>
    <x v="2"/>
    <s v="Plastene India Limited (Unit -II)"/>
    <d v="2023-06-28T00:00:00"/>
    <s v="Plastene Polyfilms Ltd-Sales"/>
    <s v="Sales"/>
    <n v="289"/>
    <x v="1"/>
    <s v="PIL2/D/289"/>
    <d v="2023-06-28T00:00:00"/>
    <s v="SF"/>
    <s v="Webbing"/>
    <s v="PP Webbing"/>
    <s v="PP WEBBING (FG)"/>
    <s v="Webbing"/>
    <n v="477.6"/>
    <n v="51050.66"/>
  </r>
  <r>
    <x v="2"/>
    <s v="Plastene India Limited (Unit -II)"/>
    <d v="2023-06-28T00:00:00"/>
    <s v="Plastene Polyfilms Ltd-Sales"/>
    <s v="Sales"/>
    <n v="289"/>
    <x v="1"/>
    <s v="PIL2/D/289"/>
    <d v="2023-06-28T00:00:00"/>
    <s v="SF"/>
    <s v="Webbing"/>
    <s v="PP Webbing"/>
    <s v="PP WEBBING (FG)"/>
    <s v="Webbing"/>
    <n v="837.2"/>
    <n v="86976.71"/>
  </r>
  <r>
    <x v="2"/>
    <s v="Plastene India Limited (Unit -II)"/>
    <d v="2023-06-28T00:00:00"/>
    <s v="Plastene Polyfilms Ltd-Sales"/>
    <s v="Sales"/>
    <n v="289"/>
    <x v="1"/>
    <s v="PIL2/D/289"/>
    <d v="2023-06-28T00:00:00"/>
    <s v="SF"/>
    <s v="PP/PE Fabric"/>
    <s v="PP UL Fabric"/>
    <s v="PP Woven Fabrics(FG)"/>
    <s v="PP UL Fabric Without UV"/>
    <n v="3922"/>
    <n v="439264"/>
  </r>
  <r>
    <x v="2"/>
    <s v="Plastene India Limited (Unit -II)"/>
    <d v="2023-06-28T00:00:00"/>
    <s v="Plastene Polyfilms Ltd-Sales"/>
    <s v="Sales"/>
    <n v="290"/>
    <x v="0"/>
    <s v="PIL2/D/290"/>
    <d v="2023-06-28T00:00:00"/>
    <s v="Stores/Spares"/>
    <s v="MS Structure Items"/>
    <s v="Other Purchase"/>
    <s v="Consumble Stores"/>
    <s v="MS Pipe"/>
    <n v="109"/>
    <n v="5232"/>
  </r>
  <r>
    <x v="2"/>
    <s v="Plastene India Limited (Unit -II)"/>
    <d v="2023-06-29T00:00:00"/>
    <s v="HCP Plastene Bulkpack Limited - Sales"/>
    <s v="Sales"/>
    <n v="293"/>
    <x v="1"/>
    <s v="PIL2/D/293"/>
    <d v="2023-06-29T00:00:00"/>
    <s v="RM"/>
    <s v="Granules"/>
    <s v="Filler"/>
    <s v="Filler"/>
    <s v="Filler PIL P20L"/>
    <n v="10000"/>
    <n v="295000"/>
  </r>
  <r>
    <x v="2"/>
    <s v="Plastene India Limited (Unit -II)"/>
    <d v="2023-06-29T00:00:00"/>
    <s v="K.P. Woven Pvt Ltd-Sales"/>
    <s v="Sales"/>
    <n v="291"/>
    <x v="1"/>
    <s v="PIL2/D/291"/>
    <d v="2023-06-29T00:00:00"/>
    <s v="RM"/>
    <s v="Granules"/>
    <s v="Filler"/>
    <s v="Filler"/>
    <s v="Filler PIL P20L"/>
    <n v="8000"/>
    <n v="236000"/>
  </r>
  <r>
    <x v="2"/>
    <s v="Plastene India Limited (Unit -II)"/>
    <d v="2023-06-29T00:00:00"/>
    <s v="K.P. Woven Pvt Ltd-Sales"/>
    <s v="Sales"/>
    <n v="291"/>
    <x v="1"/>
    <s v="PIL2/D/291"/>
    <d v="2023-06-29T00:00:00"/>
    <s v="FG"/>
    <s v="FIBC WIP"/>
    <s v="FIBC WIP"/>
    <s v="LLDPE BAGS (LINER)"/>
    <s v="FIBC WIP"/>
    <n v="14.2"/>
    <n v="2700"/>
  </r>
  <r>
    <x v="2"/>
    <s v="Plastene India Limited (Unit -II)"/>
    <d v="2023-06-29T00:00:00"/>
    <s v="K.P. Woven Pvt Ltd-Sales"/>
    <s v="Sales"/>
    <n v="291"/>
    <x v="1"/>
    <s v="PIL2/D/291"/>
    <d v="2023-06-29T00:00:00"/>
    <s v="SF"/>
    <s v="PP/PE Fabric"/>
    <s v="PP UL Fabric"/>
    <s v="PP Woven Fabrics(FG)"/>
    <s v="PP UL Fabric With UV"/>
    <n v="1400"/>
    <n v="142646"/>
  </r>
  <r>
    <x v="2"/>
    <s v="Plastene India Limited (Unit -II)"/>
    <d v="2023-06-29T00:00:00"/>
    <s v="K.P. Woven Pvt Ltd-Sales"/>
    <s v="Sales"/>
    <n v="292"/>
    <x v="0"/>
    <s v="PIL2/D/292"/>
    <d v="2023-06-29T00:00:00"/>
    <s v="Stores/Spares"/>
    <s v="MS Structure Items"/>
    <s v="Other Purchase"/>
    <s v="Consumble Stores"/>
    <s v="MS Pipe"/>
    <n v="61"/>
    <n v="2928"/>
  </r>
  <r>
    <x v="2"/>
    <s v="Plastene India Limited (Unit -II)"/>
    <d v="2023-06-30T00:00:00"/>
    <s v="K.P. Woven Pvt Ltd - Unit 3 -Sales"/>
    <s v="Export Sales"/>
    <s v="PIL2/E/76/23-24"/>
    <x v="6"/>
    <s v="PIL2/E/76/23-24"/>
    <d v="2023-06-30T00:00:00"/>
    <s v="FG"/>
    <s v="FIBC Bags"/>
    <s v="FIBC Bags"/>
    <s v="PP WOVEN BIG BAGS / SACKS"/>
    <s v="FIBC Bags With UV Without Liner"/>
    <n v="5907"/>
    <n v="1011603.285"/>
  </r>
  <r>
    <x v="2"/>
    <s v="Plastene India Limited (Unit -II)"/>
    <d v="2023-06-30T00:00:00"/>
    <s v="K.P. Woven Pvt Ltd-Sales"/>
    <s v="Sales"/>
    <n v="295"/>
    <x v="1"/>
    <s v="PIL2/D/295"/>
    <d v="2023-06-30T00:00:00"/>
    <s v="SF"/>
    <s v="PP/PE Fabric"/>
    <s v="PP UL Fabric"/>
    <s v="PP Woven Fabrics(FG)"/>
    <s v="PP UL Fabric With UV"/>
    <n v="53"/>
    <n v="6725.17"/>
  </r>
  <r>
    <x v="2"/>
    <s v="Plastene India Limited (Unit -II)"/>
    <d v="2023-06-30T00:00:00"/>
    <s v="K.P. Woven Pvt Ltd-Sales"/>
    <s v="Sales"/>
    <n v="295"/>
    <x v="1"/>
    <s v="PIL2/D/295"/>
    <d v="2023-06-30T00:00:00"/>
    <s v="SF"/>
    <s v="PP/PE Fabric"/>
    <s v="PP UL Fabric"/>
    <s v="PP Woven Fabrics(FG)"/>
    <s v="PP UL Fabric With UV"/>
    <n v="2044"/>
    <n v="208263.16"/>
  </r>
  <r>
    <x v="2"/>
    <s v="Plastene India Limited (Unit -II)"/>
    <d v="2023-06-30T00:00:00"/>
    <s v="K.P. Woven Pvt Ltd-Sales"/>
    <s v="Sales"/>
    <n v="295"/>
    <x v="1"/>
    <s v="PIL2/D/295"/>
    <d v="2023-06-30T00:00:00"/>
    <s v="RM"/>
    <s v="Granules"/>
    <s v="Filler"/>
    <s v="Filler"/>
    <s v="Filler PIL P20L"/>
    <n v="7000"/>
    <n v="206500"/>
  </r>
  <r>
    <x v="2"/>
    <s v="Plastene India Limited (Unit -II)"/>
    <d v="2023-06-30T00:00:00"/>
    <s v="K.P. Woven Pvt Ltd-Sales"/>
    <s v="Sales"/>
    <n v="296"/>
    <x v="0"/>
    <s v="PIL2/D/296"/>
    <d v="2023-06-30T00:00:00"/>
    <s v="Stores/Spares"/>
    <s v="MS Structure Items"/>
    <s v="Other Purchase"/>
    <s v="Consumble Stores"/>
    <s v="MS Pipe"/>
    <n v="90"/>
    <n v="4320"/>
  </r>
  <r>
    <x v="2"/>
    <s v="Plastene India Limited (Unit -II)"/>
    <d v="2023-06-30T00:00:00"/>
    <s v="Plastene Polyfilms Ltd-Sales"/>
    <s v="Sales"/>
    <n v="297"/>
    <x v="1"/>
    <s v="PIL2/D/297"/>
    <d v="2023-06-30T00:00:00"/>
    <s v="SF"/>
    <s v="PP/PE Fabric"/>
    <s v="PP UL Fabric"/>
    <s v="PP Woven Fabrics(FG)"/>
    <s v="PP UL Fabric Without UV"/>
    <n v="574"/>
    <n v="64288"/>
  </r>
  <r>
    <x v="2"/>
    <s v="Plastene India Limited (Unit -II)"/>
    <d v="2023-06-30T00:00:00"/>
    <s v="Plastene Polyfilms Ltd-Sales"/>
    <s v="Sales"/>
    <n v="297"/>
    <x v="1"/>
    <s v="PIL2/D/297"/>
    <d v="2023-06-30T00:00:00"/>
    <s v="FG"/>
    <s v="FIBC Bags"/>
    <s v="FIBC Bags"/>
    <s v="PP WOVEN BIG BAGS / SACKS"/>
    <s v="FIBC Bags With UV Without Liner"/>
    <n v="375"/>
    <n v="63693.75"/>
  </r>
  <r>
    <x v="2"/>
    <s v="Plastene India Limited (Unit -II)"/>
    <d v="2023-06-30T00:00:00"/>
    <s v="Plastene Polyfilms Ltd-Sales"/>
    <s v="Sales"/>
    <n v="297"/>
    <x v="1"/>
    <s v="PIL2/D/297"/>
    <d v="2023-06-30T00:00:00"/>
    <s v="FG"/>
    <s v="FIBC Bags"/>
    <s v="FIBC Bags"/>
    <s v="PP WOVEN BIG BAGS / SACKS"/>
    <s v="FIBC Bags With UV Without Liner"/>
    <n v="2015"/>
    <n v="336827.4"/>
  </r>
  <r>
    <x v="2"/>
    <s v="Plastene India Limited (Unit -II)"/>
    <d v="2023-06-30T00:00:00"/>
    <s v="Plastene Polyfilms Ltd-Sales"/>
    <s v="Sales"/>
    <n v="298"/>
    <x v="0"/>
    <s v="PIL2/D/298"/>
    <d v="2023-06-30T00:00:00"/>
    <s v="Stores/Spares"/>
    <s v="MS Structure Items"/>
    <s v="Other Purchase"/>
    <s v="Consumble Stores"/>
    <s v="MS Pipe"/>
    <n v="16"/>
    <n v="768"/>
  </r>
  <r>
    <x v="0"/>
    <s v="Plastene India Limited (Unit-VI)"/>
    <d v="2023-04-01T00:00:00"/>
    <s v="K.P. Woven Pvt Ltd - Unit 3 -Sales"/>
    <s v="Export Sales"/>
    <s v="PIL6/E/1/23-24"/>
    <x v="6"/>
    <s v="PIL6/E/1/23-24"/>
    <d v="2023-04-01T00:00:00"/>
    <s v="FG"/>
    <s v="FIBC Bags"/>
    <s v="FIBC Bags"/>
    <s v="JUMBO BAG"/>
    <s v="FIBC Bags With UV Without Liner"/>
    <n v="6312.6"/>
    <n v="1034003.8800000001"/>
  </r>
  <r>
    <x v="0"/>
    <s v="Plastene India Limited (Unit-VI)"/>
    <d v="2023-04-01T00:00:00"/>
    <s v="K.P. Woven Pvt Ltd - Unit 3 -Sales"/>
    <s v="Export Sales"/>
    <s v="PIL6/E/2/23-24"/>
    <x v="6"/>
    <s v="PIL6/E/2/23-24"/>
    <d v="2023-04-01T00:00:00"/>
    <s v="FG"/>
    <s v="FIBC Bags"/>
    <s v="FIBC Bags"/>
    <s v="JUMBO BAG"/>
    <s v="FIBC Bags With UV With Liner"/>
    <n v="708.4"/>
    <n v="116106.76"/>
  </r>
  <r>
    <x v="0"/>
    <s v="Plastene India Limited (Unit-VI)"/>
    <d v="2023-04-03T00:00:00"/>
    <s v="Plastene Polyfilms Ltd-Sales"/>
    <s v="Sales"/>
    <n v="1"/>
    <x v="0"/>
    <s v="PIL6/D/1"/>
    <d v="2023-04-03T00:00:00"/>
    <s v="Packing Material"/>
    <s v="Packaging Material"/>
    <s v="Packing Material"/>
    <s v="Packing Material"/>
    <s v="Straping 15.5mm (P) Thickness 0.76mm(For Bale Packing)"/>
    <n v="40"/>
    <n v="2960"/>
  </r>
  <r>
    <x v="0"/>
    <s v="Plastene India Limited (Unit-VI)"/>
    <d v="2023-04-05T00:00:00"/>
    <s v="K.P. Woven Pvt Ltd - Unit 3 -Sales"/>
    <s v="Export Sales"/>
    <s v="PIL6/E/3/23-24"/>
    <x v="6"/>
    <s v="PIL6/E/3/23-24"/>
    <d v="2023-04-05T00:00:00"/>
    <s v="FG"/>
    <s v="FIBC Bags"/>
    <s v="FIBC Bags"/>
    <s v="JUMBO BAG"/>
    <s v="FIBC Bags With UV With Liner"/>
    <n v="8314"/>
    <n v="1362664.6"/>
  </r>
  <r>
    <x v="0"/>
    <s v="Plastene India Limited (Unit-VI)"/>
    <d v="2023-04-06T00:00:00"/>
    <s v="K.P. Woven Pvt Ltd - Unit 3 -Sales"/>
    <s v="Export Sales"/>
    <s v="PIL6/E/4/23-24"/>
    <x v="6"/>
    <s v="PIL6/E/4/23-24"/>
    <d v="2023-04-06T00:00:00"/>
    <s v="FG"/>
    <s v="FIBC Bags"/>
    <s v="FIBC Bags"/>
    <s v="JUMBO BAG"/>
    <s v="FIBC Bags With UV Without Liner"/>
    <n v="3326.4"/>
    <n v="544864.32000000007"/>
  </r>
  <r>
    <x v="0"/>
    <s v="Plastene India Limited (Unit-VI)"/>
    <d v="2023-04-06T00:00:00"/>
    <s v="K.P. Woven Pvt Ltd - Unit 3 -Sales"/>
    <s v="Export Sales"/>
    <s v="PIL6/E/5/23-24"/>
    <x v="6"/>
    <s v="PIL6/E/5/23-24"/>
    <d v="2023-04-06T00:00:00"/>
    <s v="FG"/>
    <s v="FIBC Bags"/>
    <s v="FIBC Bags"/>
    <s v="JUMBO BAG"/>
    <s v="FIBC Bags With UV Without Liner"/>
    <n v="2431.3000000000002"/>
    <n v="398490.07000000007"/>
  </r>
  <r>
    <x v="0"/>
    <s v="Plastene India Limited (Unit-VI)"/>
    <d v="2023-04-07T00:00:00"/>
    <s v="K.P. Woven Pvt Ltd - Unit 3 -Sales"/>
    <s v="Export Sales"/>
    <s v="PIL6/E/6/23-24"/>
    <x v="6"/>
    <s v="PIL6/E/6/23-24"/>
    <d v="2023-04-07T00:00:00"/>
    <s v="FG"/>
    <s v="FIBC Bags"/>
    <s v="FIBC Bags"/>
    <s v="JUMBO BAG"/>
    <s v="FIBC Bags With UV Without Liner"/>
    <n v="2809"/>
    <n v="460395.10000000003"/>
  </r>
  <r>
    <x v="0"/>
    <s v="Plastene India Limited (Unit-VI)"/>
    <d v="2023-04-07T00:00:00"/>
    <s v="K.P. Woven Pvt Ltd - Unit 3 -Sales"/>
    <s v="Export Sales"/>
    <s v="PIL6/E/7/23-24"/>
    <x v="6"/>
    <s v="PIL6/E/7/23-24"/>
    <d v="2023-04-07T00:00:00"/>
    <s v="FG"/>
    <s v="FIBC Bags"/>
    <s v="FIBC Bags"/>
    <s v="JUMBO BAG"/>
    <s v="FIBC Bags With UV With Liner"/>
    <n v="2207"/>
    <n v="361727.3"/>
  </r>
  <r>
    <x v="0"/>
    <s v="Plastene India Limited (Unit-VI)"/>
    <d v="2023-04-09T00:00:00"/>
    <s v="Plastene Polyfilms Ltd-Sales"/>
    <s v="Sales"/>
    <n v="2"/>
    <x v="1"/>
    <s v="PIL6/D/2"/>
    <d v="2023-04-09T00:00:00"/>
    <s v="FG"/>
    <s v="FIBC Bags"/>
    <s v="FIBC Bags"/>
    <s v="JUMBO BAG"/>
    <s v="FIBC Bags With UV Without Liner"/>
    <n v="18108"/>
    <n v="3231372.6"/>
  </r>
  <r>
    <x v="0"/>
    <s v="Plastene India Limited (Unit-VI)"/>
    <d v="2023-04-09T00:00:00"/>
    <s v="Plastene Polyfilms Ltd-Sales"/>
    <s v="Sales"/>
    <n v="3"/>
    <x v="1"/>
    <s v="PIL6/D/3"/>
    <d v="2023-04-09T00:00:00"/>
    <s v="FG"/>
    <s v="FIBC Bags"/>
    <s v="FIBC Bags"/>
    <s v="JUMBO BAG"/>
    <s v="FIBC Bags With UV With Liner"/>
    <n v="16731"/>
    <n v="3005556.84"/>
  </r>
  <r>
    <x v="0"/>
    <s v="Plastene India Limited (Unit-VI)"/>
    <d v="2023-04-11T00:00:00"/>
    <s v="Plastene Polyfilms Ltd-Sales"/>
    <s v="Sales"/>
    <n v="4"/>
    <x v="1"/>
    <s v="PIL6/D/4"/>
    <d v="2023-04-11T00:00:00"/>
    <s v="FG"/>
    <s v="FIBC Bags"/>
    <s v="FIBC Bags"/>
    <s v="JUMBO BAG"/>
    <s v="FIBC Bags With UV Without Liner"/>
    <n v="376"/>
    <n v="86235.6"/>
  </r>
  <r>
    <x v="0"/>
    <s v="Plastene India Limited (Unit-VI)"/>
    <d v="2023-04-11T00:00:00"/>
    <s v="Plastene Polyfilms Ltd-Sales"/>
    <s v="Sales"/>
    <n v="4"/>
    <x v="1"/>
    <s v="PIL6/D/4"/>
    <d v="2023-04-11T00:00:00"/>
    <s v="FG"/>
    <s v="FIBC Bags"/>
    <s v="FIBC Bags"/>
    <s v="JUMBO BAG"/>
    <s v="FIBC Bags With UV Without Liner"/>
    <n v="409"/>
    <n v="88462.61"/>
  </r>
  <r>
    <x v="0"/>
    <s v="Plastene India Limited (Unit-VI)"/>
    <d v="2023-04-11T00:00:00"/>
    <s v="Plastene Polyfilms Ltd-Sales"/>
    <s v="Sales"/>
    <n v="5"/>
    <x v="0"/>
    <s v="PIL6/D/5"/>
    <d v="2023-04-11T00:00:00"/>
    <s v="SF"/>
    <s v="Liners"/>
    <s v="LDPE/LLDPE Bags"/>
    <s v="LLDPE Bags"/>
    <s v="LDPE/LLDPE Bags/Liner"/>
    <n v="153"/>
    <n v="19552.64"/>
  </r>
  <r>
    <x v="0"/>
    <s v="Plastene India Limited (Unit-VI)"/>
    <d v="2023-04-11T00:00:00"/>
    <s v="Plastene Polyfilms Ltd-Sales"/>
    <s v="Sales"/>
    <n v="5"/>
    <x v="0"/>
    <s v="PIL6/D/5"/>
    <d v="2023-04-11T00:00:00"/>
    <s v="SF"/>
    <s v="Webbing"/>
    <s v="PP Webbing"/>
    <s v="PP Webbing"/>
    <s v="Webbing"/>
    <n v="29.5"/>
    <n v="3541.24"/>
  </r>
  <r>
    <x v="0"/>
    <s v="Plastene India Limited (Unit-VI)"/>
    <d v="2023-04-14T00:00:00"/>
    <s v="Plastene Polyfilms Ltd-Sales"/>
    <s v="Sales"/>
    <n v="6"/>
    <x v="1"/>
    <s v="PIL6/D/6"/>
    <d v="2023-04-14T00:00:00"/>
    <s v="FG"/>
    <s v="FIBC Bags"/>
    <s v="FIBC Bags"/>
    <s v="JUMBO BAG"/>
    <s v="FIBC Bags With UV With Liner"/>
    <n v="18735"/>
    <n v="3105888.3"/>
  </r>
  <r>
    <x v="0"/>
    <s v="Plastene India Limited (Unit-VI)"/>
    <d v="2023-04-15T00:00:00"/>
    <s v="K.P. Woven Pvt Ltd - Unit 3 -Sales"/>
    <s v="Export Sales"/>
    <s v="PIL6/E/14/23-24"/>
    <x v="6"/>
    <s v="PIL6/E/14/23-24"/>
    <d v="2023-04-15T00:00:00"/>
    <s v="FG"/>
    <s v="FIBC Bags"/>
    <s v="FIBC Bags"/>
    <s v="JUMBO BAG"/>
    <s v="FIBC Bags With UV Without Liner"/>
    <n v="5861.6"/>
    <n v="960716.24000000011"/>
  </r>
  <r>
    <x v="0"/>
    <s v="Plastene India Limited (Unit-VI)"/>
    <d v="2023-04-17T00:00:00"/>
    <s v="Plastene Polyfilms Ltd-Sales"/>
    <s v="Sales"/>
    <n v="7"/>
    <x v="0"/>
    <s v="PIL6/D/7"/>
    <d v="2023-04-17T00:00:00"/>
    <s v="SF"/>
    <s v="Liners"/>
    <s v="LDPE/LLDPE Bags"/>
    <s v="LLDPE Bags"/>
    <s v="LDPE/LLDPE Bags/Liner"/>
    <n v="43"/>
    <n v="5495.18"/>
  </r>
  <r>
    <x v="0"/>
    <s v="Plastene India Limited (Unit-VI)"/>
    <d v="2023-04-21T00:00:00"/>
    <s v="K.P. Woven Pvt Ltd - Unit 3 -Sales"/>
    <s v="Export Sales"/>
    <s v="PIL6/E/16/23-24"/>
    <x v="6"/>
    <s v="PIL6/E/16/23-24"/>
    <d v="2023-04-21T00:00:00"/>
    <s v="FG"/>
    <s v="FIBC Bags"/>
    <s v="FIBC Bags"/>
    <s v="JUMBO BAG"/>
    <s v="FIBC Bags With UV Without Liner"/>
    <n v="4617.5"/>
    <n v="756808.25"/>
  </r>
  <r>
    <x v="0"/>
    <s v="Plastene India Limited (Unit-VI)"/>
    <d v="2023-04-22T00:00:00"/>
    <s v="K.P. Woven Pvt Ltd-Sales"/>
    <s v="Sales"/>
    <n v="8"/>
    <x v="1"/>
    <s v="PIL6/D/8"/>
    <d v="2023-04-22T00:00:00"/>
    <s v="FG"/>
    <s v="FIBC Bags"/>
    <s v="FIBC Bags"/>
    <s v="JUMBO BAG"/>
    <s v="FIBC Bags With UV With Liner"/>
    <n v="17065"/>
    <n v="3167264"/>
  </r>
  <r>
    <x v="0"/>
    <s v="Plastene India Limited (Unit-VI)"/>
    <d v="2023-04-26T00:00:00"/>
    <s v="K.P. Woven Pvt Ltd - Unit 3 -Sales"/>
    <s v="Export Sales"/>
    <s v="PIL6/E/17/23-24"/>
    <x v="6"/>
    <s v="PIL6/E/17/23-24"/>
    <d v="2023-04-26T00:00:00"/>
    <s v="FG"/>
    <s v="FIBC Bags"/>
    <s v="FIBC Bags"/>
    <s v="JUMBO BAG"/>
    <s v="FIBC Bags With UV Without Liner"/>
    <n v="4611.3999999999996"/>
    <n v="755808.46"/>
  </r>
  <r>
    <x v="0"/>
    <s v="Plastene India Limited (Unit-VI)"/>
    <d v="2023-04-27T00:00:00"/>
    <s v="K.P. Woven Pvt Ltd-Sales"/>
    <s v="Sales"/>
    <n v="9"/>
    <x v="1"/>
    <s v="PIL6/D/9"/>
    <d v="2023-04-27T00:00:00"/>
    <s v="FG"/>
    <s v="FIBC Bags"/>
    <s v="FIBC Bags"/>
    <s v="JUMBO BAG"/>
    <s v="FIBC Bags With UV Without Liner"/>
    <n v="20860"/>
    <n v="3171554.4"/>
  </r>
  <r>
    <x v="0"/>
    <s v="Plastene India Limited (Unit-VI)"/>
    <d v="2023-04-28T00:00:00"/>
    <s v="K.P. Woven Pvt Ltd - Unit 3 -Sales"/>
    <s v="Export Sales"/>
    <s v="PIL6/E/19/23-24"/>
    <x v="6"/>
    <s v="PIL6/E/19/23-24"/>
    <d v="2023-04-28T00:00:00"/>
    <s v="FG"/>
    <s v="FIBC Bags"/>
    <s v="FIBC Bags"/>
    <s v="JUMBO BAG"/>
    <s v="FIBC Bags With UV With Liner"/>
    <n v="8323"/>
    <n v="1364139.7"/>
  </r>
  <r>
    <x v="0"/>
    <s v="Plastene India Limited (Unit-VI)"/>
    <d v="2023-04-29T00:00:00"/>
    <s v="K.P. Woven Pvt Ltd - Unit 3 -Sales"/>
    <s v="Export Sales"/>
    <s v="PIL6/E/20/23-24"/>
    <x v="6"/>
    <s v="PIL6/E/20/23-24"/>
    <d v="2023-04-29T00:00:00"/>
    <s v="FG"/>
    <s v="FIBC Bags"/>
    <s v="FIBC Bags"/>
    <s v="JUMBO BAG"/>
    <s v="FIBC Bags With UV With Liner"/>
    <n v="6235"/>
    <n v="1021916.5"/>
  </r>
  <r>
    <x v="0"/>
    <s v="Plastene India Limited (Unit-VI)"/>
    <d v="2023-04-29T00:00:00"/>
    <s v="Oswal Extrusion Ltd- KASEZ-Sales"/>
    <s v="SALES (FOREX)"/>
    <s v="PIL6/E/21/23-24"/>
    <x v="4"/>
    <s v="PIL6/E/21/23-24"/>
    <d v="2023-04-29T00:00:00"/>
    <s v="SF"/>
    <s v="PP/PE Fabric"/>
    <s v="PP UL Fabric"/>
    <s v="PP Woven Fabric"/>
    <s v="PP UL Fabric With UV"/>
    <n v="162"/>
    <n v="17949.599999999999"/>
  </r>
  <r>
    <x v="1"/>
    <s v="Plastene India Limited (Unit-VI)"/>
    <d v="2023-05-01T00:00:00"/>
    <s v="K.P. Woven Pvt Ltd - Unit 2 (Nani Chirai) -Sales"/>
    <s v="Sales"/>
    <n v="10"/>
    <x v="0"/>
    <s v="PIL6/D/10"/>
    <d v="2023-05-01T00:00:00"/>
    <s v="Stores/Spares"/>
    <s v="Other Spares"/>
    <s v="Spares &amp; Stores"/>
    <s v="Stores &amp; Consumables"/>
    <s v="51100005 Spacer for Carriage"/>
    <n v="3"/>
    <n v="1509"/>
  </r>
  <r>
    <x v="1"/>
    <s v="Plastene India Limited (Unit-VI)"/>
    <d v="2023-05-01T00:00:00"/>
    <s v="K.P. Woven Pvt Ltd - Unit 2 (Nani Chirai) -Sales"/>
    <s v="Sales"/>
    <n v="10"/>
    <x v="0"/>
    <s v="PIL6/D/10"/>
    <d v="2023-05-01T00:00:00"/>
    <s v="Stores/Spares"/>
    <s v="Other Spares"/>
    <s v="Spares &amp; Stores"/>
    <s v="Stores &amp; Consumables"/>
    <s v="42K0008 Cam Follower"/>
    <n v="6"/>
    <n v="9258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2071"/>
    <n v="372241.54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1919"/>
    <n v="288425.7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3056"/>
    <n v="571013.6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383"/>
    <n v="57319.78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3874"/>
    <n v="593496.80000000005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1804"/>
    <n v="358905.8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1208.2"/>
    <n v="244225.55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2112"/>
    <n v="329936.64000000001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733.2"/>
    <n v="120765.37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1094"/>
    <n v="181954.08"/>
  </r>
  <r>
    <x v="1"/>
    <s v="Plastene India Limited (Unit-VI)"/>
    <d v="2023-05-05T00:00:00"/>
    <s v="K.P. Woven Pvt Ltd - Unit 3 -Sales"/>
    <s v="Export Sales"/>
    <s v="PIL6/E/25/23-24"/>
    <x v="6"/>
    <s v="PIL6/E/25/23-24"/>
    <d v="2023-05-05T00:00:00"/>
    <s v="FG"/>
    <s v="FIBC Bags"/>
    <s v="FIBC Bags"/>
    <s v="JUMBO BAG"/>
    <s v="FIBC Bags With UV Without Liner"/>
    <n v="7294.6"/>
    <n v="1195584.9400000002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1662"/>
    <n v="289919.28000000003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416"/>
    <n v="70678.399999999994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401"/>
    <n v="69324.88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738"/>
    <n v="125378.82"/>
  </r>
  <r>
    <x v="1"/>
    <s v="Plastene India Limited (Unit-VI)"/>
    <d v="2023-05-06T00:00:00"/>
    <s v="K.P. Woven Pvt Ltd - Unit 3 -Sales"/>
    <s v="Export Sales"/>
    <s v="PIL6/E/26/23-24"/>
    <x v="6"/>
    <s v="PIL6/E/26/23-24"/>
    <d v="2023-05-06T00:00:00"/>
    <s v="FG"/>
    <s v="FIBC Bags"/>
    <s v="FIBC Bags"/>
    <s v="JUMBO BAG"/>
    <s v="FIBC Bags With UV Without Liner"/>
    <n v="7136.2"/>
    <n v="1169623.18"/>
  </r>
  <r>
    <x v="1"/>
    <s v="Plastene India Limited (Unit-VI)"/>
    <d v="2023-05-09T00:00:00"/>
    <s v="Plastene Polyfilms Ltd-Sales"/>
    <s v="Sales"/>
    <n v="14"/>
    <x v="1"/>
    <s v="PIL6/D/14"/>
    <d v="2023-05-09T00:00:00"/>
    <s v="FG"/>
    <s v="FIBC Bags"/>
    <s v="FIBC Bags"/>
    <s v="JUMBO BAG"/>
    <s v="FIBC Bags With UV With Liner"/>
    <n v="18819"/>
    <n v="3043596.87"/>
  </r>
  <r>
    <x v="1"/>
    <s v="Plastene India Limited (Unit-VI)"/>
    <d v="2023-05-11T00:00:00"/>
    <s v="K.P. Woven Pvt Ltd - Unit 3 -Sales"/>
    <s v="Export Sales"/>
    <s v="PIL6/E/28/23-24"/>
    <x v="6"/>
    <s v="PIL6/E/28/23-24"/>
    <d v="2023-05-11T00:00:00"/>
    <s v="FG"/>
    <s v="FIBC Bags"/>
    <s v="FIBC Bags"/>
    <s v="JUMBO BAG"/>
    <s v="FIBC Bags With UV With Liner"/>
    <n v="1104"/>
    <n v="180945.6"/>
  </r>
  <r>
    <x v="1"/>
    <s v="Plastene India Limited (Unit-VI)"/>
    <d v="2023-05-11T00:00:00"/>
    <s v="Plastene Polyfilms Ltd-Sales"/>
    <s v="Sales"/>
    <n v="15"/>
    <x v="1"/>
    <s v="PIL6/D/15"/>
    <d v="2023-05-11T00:00:00"/>
    <s v="FG"/>
    <s v="FIBC Bags"/>
    <s v="FIBC Bags"/>
    <s v="JUMBO BAG"/>
    <s v="FIBC Bags With UV With Liner"/>
    <n v="18434"/>
    <n v="3667628.64"/>
  </r>
  <r>
    <x v="1"/>
    <s v="Plastene India Limited (Unit-VI)"/>
    <d v="2023-05-15T00:00:00"/>
    <s v="K.P. Woven Pvt Ltd - Unit 3 -Sales"/>
    <s v="Export Sales"/>
    <s v="PIL6/E/30/23-24"/>
    <x v="6"/>
    <s v="PIL6/E/30/23-24"/>
    <d v="2023-05-15T00:00:00"/>
    <s v="FG"/>
    <s v="FIBC Bags"/>
    <s v="FIBC Bags"/>
    <s v="JUMBO BAG"/>
    <s v="FIBC Bags With UV With Liner"/>
    <n v="2183"/>
    <n v="357793.7"/>
  </r>
  <r>
    <x v="1"/>
    <s v="Plastene India Limited (Unit-VI)"/>
    <d v="2023-05-15T00:00:00"/>
    <s v="K.P. Woven Pvt Ltd - Unit 3 -Sales"/>
    <s v="Export Sales"/>
    <s v="PIL6/E/31/23-24"/>
    <x v="6"/>
    <s v="PIL6/E/31/23-24"/>
    <d v="2023-05-15T00:00:00"/>
    <s v="FG"/>
    <s v="FIBC Bags"/>
    <s v="FIBC Bags"/>
    <s v="JUMBO BAG"/>
    <s v="FIBC Bags With UV With Liner"/>
    <n v="1871.5"/>
    <n v="304680.2"/>
  </r>
  <r>
    <x v="1"/>
    <s v="Plastene India Limited (Unit-VI)"/>
    <d v="2023-05-15T00:00:00"/>
    <s v="K.P. Woven Pvt Ltd - Unit 3 -Sales"/>
    <s v="Export Sales"/>
    <s v="PIL6/E/32/23-24"/>
    <x v="6"/>
    <s v="PIL6/E/32/23-24"/>
    <d v="2023-05-15T00:00:00"/>
    <s v="FG"/>
    <s v="FIBC Bags"/>
    <s v="FIBC Bags"/>
    <s v="JUMBO BAG"/>
    <s v="FIBC Bags With UV Without Liner"/>
    <n v="5195.8999999999996"/>
    <n v="851608.01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out Liner"/>
    <n v="1534"/>
    <n v="256270.04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 Liner"/>
    <n v="15744"/>
    <n v="3231770.88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out Liner"/>
    <n v="771"/>
    <n v="129080.82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out Liner"/>
    <n v="432"/>
    <n v="73958.399999999994"/>
  </r>
  <r>
    <x v="1"/>
    <s v="Plastene India Limited (Unit-VI)"/>
    <d v="2023-05-17T00:00:00"/>
    <s v="Plastene Polyfilms Ltd-Sales"/>
    <s v="Sales"/>
    <n v="17"/>
    <x v="0"/>
    <s v="PIL6/D/17"/>
    <d v="2023-05-17T00:00:00"/>
    <s v="Packing Material"/>
    <s v="Packaging Material"/>
    <s v="Packing Material"/>
    <s v="Packing Material"/>
    <s v="Straping 15.5mm (P) Thickness 0.76mm(For Bale Packing)"/>
    <n v="40"/>
    <n v="2960"/>
  </r>
  <r>
    <x v="1"/>
    <s v="Plastene India Limited (Unit-VI)"/>
    <d v="2023-05-19T00:00:00"/>
    <s v="K.P. Woven Pvt Ltd - Unit 3 -Sales"/>
    <s v="Export Sales"/>
    <s v="PIL6/E/33/23-24"/>
    <x v="6"/>
    <s v="PIL6/E/33/23-24"/>
    <d v="2023-05-19T00:00:00"/>
    <s v="FG"/>
    <s v="FIBC Bags"/>
    <s v="FIBC Bags"/>
    <s v="JUMBO BAG"/>
    <s v="FIBC Bags With UV Without Liner"/>
    <n v="6524.5"/>
    <n v="1069365.55"/>
  </r>
  <r>
    <x v="1"/>
    <s v="Plastene India Limited (Unit-VI)"/>
    <d v="2023-05-22T00:00:00"/>
    <s v="K.P. Woven Pvt Ltd - Unit 3 -Sales"/>
    <s v="Export Sales"/>
    <s v="PIL6/E/34/23-24"/>
    <x v="6"/>
    <s v="PIL6/E/34/23-24"/>
    <d v="2023-05-22T00:00:00"/>
    <s v="FG"/>
    <s v="FIBC Bags"/>
    <s v="FIBC Bags"/>
    <s v="JUMBO BAG"/>
    <s v="FIBC Bags With UV Without Liner"/>
    <n v="3518"/>
    <n v="576600.20000000007"/>
  </r>
  <r>
    <x v="1"/>
    <s v="Plastene India Limited (Unit-VI)"/>
    <d v="2023-05-22T00:00:00"/>
    <s v="K.P. Woven Pvt Ltd - Unit 3 -Sales"/>
    <s v="Export Sales"/>
    <s v="PIL6/E/35/23-24"/>
    <x v="6"/>
    <s v="PIL6/E/35/23-24"/>
    <d v="2023-05-22T00:00:00"/>
    <s v="FG"/>
    <s v="FIBC Bags"/>
    <s v="FIBC Bags"/>
    <s v="JUMBO BAG"/>
    <s v="FIBC Bags With UV Without Liner"/>
    <n v="2921.9"/>
    <n v="472471.23"/>
  </r>
  <r>
    <x v="1"/>
    <s v="Plastene India Limited (Unit-VI)"/>
    <d v="2023-05-22T00:00:00"/>
    <s v="Plastene Polyfilms Ltd-Sales"/>
    <s v="Sales"/>
    <n v="19"/>
    <x v="1"/>
    <s v="PIL6/D/19"/>
    <d v="2023-05-22T00:00:00"/>
    <s v="FG"/>
    <s v="FIBC Bags"/>
    <s v="FIBC Bags"/>
    <s v="JUMBO BAG"/>
    <s v="FIBC Bags With UV With Liner"/>
    <n v="19866"/>
    <n v="3243521.82"/>
  </r>
  <r>
    <x v="1"/>
    <s v="Plastene India Limited (Unit-VI)"/>
    <d v="2023-05-24T00:00:00"/>
    <s v="Plastene Polyfilms Ltd-Sales"/>
    <s v="Sales"/>
    <n v="20"/>
    <x v="1"/>
    <s v="PIL6/D/20"/>
    <d v="2023-05-24T00:00:00"/>
    <s v="FG"/>
    <s v="FIBC Bags"/>
    <s v="FIBC Bags"/>
    <s v="JUMBO BAG"/>
    <s v="FIBC Bags With UV With Liner"/>
    <n v="2699"/>
    <n v="558719.99"/>
  </r>
  <r>
    <x v="1"/>
    <s v="Plastene India Limited (Unit-VI)"/>
    <d v="2023-05-24T00:00:00"/>
    <s v="Plastene Polyfilms Ltd-Sales"/>
    <s v="Sales"/>
    <n v="20"/>
    <x v="1"/>
    <s v="PIL6/D/20"/>
    <d v="2023-05-24T00:00:00"/>
    <s v="FG"/>
    <s v="FIBC Bags"/>
    <s v="FIBC Bags"/>
    <s v="JUMBO BAG"/>
    <s v="FIBC Bags With UV With Liner"/>
    <n v="4206"/>
    <n v="743031.96"/>
  </r>
  <r>
    <x v="1"/>
    <s v="Plastene India Limited (Unit-VI)"/>
    <d v="2023-05-24T00:00:00"/>
    <s v="Plastene Polyfilms Ltd-Sales"/>
    <s v="Sales"/>
    <n v="20"/>
    <x v="1"/>
    <s v="PIL6/D/20"/>
    <d v="2023-05-24T00:00:00"/>
    <s v="FG"/>
    <s v="FIBC Bags"/>
    <s v="FIBC Bags"/>
    <s v="JUMBO BAG"/>
    <s v="FIBC Bags With UV Without Liner"/>
    <n v="724"/>
    <n v="119365.88"/>
  </r>
  <r>
    <x v="1"/>
    <s v="Plastene India Limited (Unit-VI)"/>
    <d v="2023-05-25T00:00:00"/>
    <s v="K.P. Woven Pvt Ltd - Unit 3 -Sales"/>
    <s v="Export Sales"/>
    <s v="PIL6/E/37/23-24"/>
    <x v="6"/>
    <s v="PIL6/E/37/23-24"/>
    <d v="2023-05-25T00:00:00"/>
    <s v="FG"/>
    <s v="FIBC Bags"/>
    <s v="FIBC Bags"/>
    <s v="JUMBO BAG"/>
    <s v="FIBC Bags With UV Without Liner"/>
    <n v="4782.2"/>
    <n v="773281.73999999987"/>
  </r>
  <r>
    <x v="1"/>
    <s v="Plastene India Limited (Unit-VI)"/>
    <d v="2023-05-29T00:00:00"/>
    <s v="K.P. Woven Pvt Ltd - Unit 3 -Sales"/>
    <s v="Export Sales"/>
    <s v="PIL6/E/41/23-24"/>
    <x v="6"/>
    <s v="PIL6/E/41/23-24"/>
    <d v="2023-05-29T00:00:00"/>
    <s v="FG"/>
    <s v="FIBC Bags"/>
    <s v="FIBC Bags"/>
    <s v="JUMBO BAG"/>
    <s v="FIBC Bags With UV Without Liner"/>
    <n v="6499.5"/>
    <n v="1050969.1499999999"/>
  </r>
  <r>
    <x v="1"/>
    <s v="Plastene India Limited (Unit-VI)"/>
    <d v="2023-05-30T00:00:00"/>
    <s v="K.P. Woven Pvt Ltd - Unit 3 -Sales"/>
    <s v="Export Sales"/>
    <s v="PIL6/E/43/23-24"/>
    <x v="6"/>
    <s v="PIL6/E/43/23-24"/>
    <d v="2023-05-30T00:00:00"/>
    <s v="FG"/>
    <s v="FIBC Bags"/>
    <s v="FIBC Bags"/>
    <s v="JUMBO BAG"/>
    <s v="FIBC Bags With UV Without Liner"/>
    <n v="1992"/>
    <n v="322106.39999999997"/>
  </r>
  <r>
    <x v="1"/>
    <s v="Plastene India Limited (Unit-VI)"/>
    <d v="2023-05-30T00:00:00"/>
    <s v="Plastene Polyfilms Ltd-Sales"/>
    <s v="Sales"/>
    <n v="21"/>
    <x v="1"/>
    <s v="PIL6/D/21"/>
    <d v="2023-05-30T00:00:00"/>
    <s v="FG"/>
    <s v="FIBC Bags"/>
    <s v="FIBC Bags"/>
    <s v="JUMBO BAG"/>
    <s v="FIBC Bags With UV Without Liner"/>
    <n v="448"/>
    <n v="74475.520000000004"/>
  </r>
  <r>
    <x v="1"/>
    <s v="Plastene India Limited (Unit-VI)"/>
    <d v="2023-05-30T00:00:00"/>
    <s v="Plastene Polyfilms Ltd-Sales"/>
    <s v="Sales"/>
    <n v="21"/>
    <x v="1"/>
    <s v="PIL6/D/21"/>
    <d v="2023-05-30T00:00:00"/>
    <s v="FG"/>
    <s v="FIBC Bags"/>
    <s v="FIBC Bags"/>
    <s v="JUMBO BAG"/>
    <s v="FIBC Bags With UV With Liner"/>
    <n v="5738"/>
    <n v="1145017.8999999999"/>
  </r>
  <r>
    <x v="1"/>
    <s v="Plastene India Limited (Unit-VI)"/>
    <d v="2023-05-31T00:00:00"/>
    <s v="Plastene Polyfilms Ltd-Sales"/>
    <s v="Sales"/>
    <n v="22"/>
    <x v="0"/>
    <s v="PIL6/D/22"/>
    <d v="2023-05-31T00:00:00"/>
    <s v="Packing Material"/>
    <s v="Packaging Material"/>
    <s v="Pallets"/>
    <s v="Packing Material"/>
    <s v="Pine Wooden Pallet Design Code B90110"/>
    <n v="10"/>
    <n v="9110"/>
  </r>
  <r>
    <x v="2"/>
    <s v="Plastene India Limited (Unit-VI)"/>
    <d v="2023-06-02T00:00:00"/>
    <s v="K.P. Woven Pvt Ltd - Unit 3 -Sales"/>
    <s v="Export Sales"/>
    <s v="PIL6/E/46/23-24"/>
    <x v="6"/>
    <s v="PIL6/E/46/23-24"/>
    <d v="2023-06-02T00:00:00"/>
    <s v="FG"/>
    <s v="FIBC Bags"/>
    <s v="FIBC Bags"/>
    <s v="JUMBO BAG"/>
    <s v="FIBC Bags With UV Without Liner"/>
    <n v="2021.8"/>
    <n v="326925.06"/>
  </r>
  <r>
    <x v="2"/>
    <s v="Plastene India Limited (Unit-VI)"/>
    <d v="2023-06-05T00:00:00"/>
    <s v="K.P. Woven Pvt Ltd - Unit 3 -Sales"/>
    <s v="Export Sales"/>
    <s v="PIL6/E/47/23-24"/>
    <x v="6"/>
    <s v="PIL6/E/47/23-24"/>
    <d v="2023-06-05T00:00:00"/>
    <s v="FG"/>
    <s v="FIBC Bags"/>
    <s v="FIBC Bags"/>
    <s v="JUMBO BAG"/>
    <s v="FIBC Bags With UV With Liner"/>
    <n v="6889.4"/>
    <n v="1121594.32"/>
  </r>
  <r>
    <x v="2"/>
    <s v="Plastene India Limited (Unit-VI)"/>
    <d v="2023-06-06T00:00:00"/>
    <s v="HCP Plastene Bulkpack Limited - Sales"/>
    <s v="Sales"/>
    <n v="24"/>
    <x v="0"/>
    <s v="PIL6/D/24"/>
    <d v="2023-06-06T00:00:00"/>
    <s v="Stores/Spares"/>
    <s v="MS Structure Items"/>
    <s v="Spares &amp; Stores"/>
    <s v="Stores &amp; Consumables"/>
    <s v="MS Pipe 4  C Class"/>
    <n v="1180"/>
    <n v="56640"/>
  </r>
  <r>
    <x v="2"/>
    <s v="Plastene India Limited (Unit-VI)"/>
    <d v="2023-06-10T00:00:00"/>
    <s v="Plastene Polyfilms Ltd-Sales"/>
    <s v="Sales"/>
    <n v="25"/>
    <x v="0"/>
    <s v="PIL6/D/25"/>
    <d v="2023-06-10T00:00:00"/>
    <s v="RM Consumables"/>
    <s v="FIBC Accessories"/>
    <s v="FIBC Accessories"/>
    <s v="Stores &amp; Consumables"/>
    <s v="Zip Lock Bags"/>
    <n v="15700"/>
    <n v="32106.5"/>
  </r>
  <r>
    <x v="2"/>
    <s v="Plastene India Limited (Unit-VI)"/>
    <d v="2023-06-10T00:00:00"/>
    <s v="Plastene Polyfilms Ltd-Sales"/>
    <s v="Sales"/>
    <n v="26"/>
    <x v="1"/>
    <s v="PIL6/D/26"/>
    <d v="2023-06-10T00:00:00"/>
    <s v="FG"/>
    <s v="FIBC Bags"/>
    <s v="FIBC Bags"/>
    <s v="JUMBO BAG"/>
    <s v="FIBC Bags With UV Without Liner"/>
    <n v="1614"/>
    <n v="253042.92"/>
  </r>
  <r>
    <x v="2"/>
    <s v="Plastene India Limited (Unit-VI)"/>
    <d v="2023-06-10T00:00:00"/>
    <s v="Plastene Polyfilms Ltd-Sales"/>
    <s v="Sales"/>
    <n v="26"/>
    <x v="1"/>
    <s v="PIL6/D/26"/>
    <d v="2023-06-10T00:00:00"/>
    <s v="FG"/>
    <s v="FIBC Bags"/>
    <s v="FIBC Bags"/>
    <s v="JUMBO BAG"/>
    <s v="FIBC Bags With UV Without Liner"/>
    <n v="1338"/>
    <n v="223218.54"/>
  </r>
  <r>
    <x v="2"/>
    <s v="Plastene India Limited (Unit-VI)"/>
    <d v="2023-06-10T00:00:00"/>
    <s v="Plastene Polyfilms Ltd-Sales"/>
    <s v="Sales"/>
    <n v="26"/>
    <x v="1"/>
    <s v="PIL6/D/26"/>
    <d v="2023-06-10T00:00:00"/>
    <s v="FG"/>
    <s v="FIBC Bags"/>
    <s v="FIBC Bags"/>
    <s v="JUMBO BAG"/>
    <s v="FIBC Bags With UV Without Liner"/>
    <n v="6191"/>
    <n v="988455.06"/>
  </r>
  <r>
    <x v="2"/>
    <s v="Plastene India Limited (Unit-VI)"/>
    <d v="2023-06-12T00:00:00"/>
    <s v="K.P. Woven Pvt Ltd - Unit 3 -Sales"/>
    <s v="Export Sales"/>
    <s v="PIL6/E/52/23-24"/>
    <x v="6"/>
    <s v="PIL6/E/52/23-24"/>
    <d v="2023-06-12T00:00:00"/>
    <s v="FG"/>
    <s v="FIBC Bags"/>
    <s v="FIBC Bags"/>
    <s v="JUMBO BAG"/>
    <s v="FIBC Bags With UV Without Liner"/>
    <n v="8778"/>
    <n v="1419402.5999999999"/>
  </r>
  <r>
    <x v="2"/>
    <s v="Plastene India Limited (Unit-VI)"/>
    <d v="2023-06-12T00:00:00"/>
    <s v="K.P. Woven Pvt Ltd - Unit 3 -Sales"/>
    <s v="Export Sales"/>
    <s v="PIL6/E/53/23-24"/>
    <x v="6"/>
    <s v="PIL6/E/53/23-24"/>
    <d v="2023-06-12T00:00:00"/>
    <s v="FG"/>
    <s v="FIBC Bags"/>
    <s v="FIBC Bags"/>
    <s v="JUMBO BAG"/>
    <s v="FIBC Bags With UV Without Liner"/>
    <n v="68"/>
    <n v="10995.599999999999"/>
  </r>
  <r>
    <x v="2"/>
    <s v="Plastene India Limited (Unit-VI)"/>
    <d v="2023-06-20T00:00:00"/>
    <s v="Plastene Polyfilms Ltd-Sales"/>
    <s v="Sales"/>
    <n v="27"/>
    <x v="0"/>
    <s v="PIL6/D/27"/>
    <d v="2023-06-20T00:00:00"/>
    <s v="FG"/>
    <s v="FIBC WIP"/>
    <s v="FIBC WIP"/>
    <s v="PP Woven Fabric"/>
    <s v="FIBC WIP"/>
    <n v="259"/>
    <n v="28638.41"/>
  </r>
  <r>
    <x v="2"/>
    <s v="Plastene India Limited (Unit-VI)"/>
    <d v="2023-06-21T00:00:00"/>
    <s v="K.P. Woven Pvt Ltd - Unit 3 -Sales"/>
    <s v="Export Sales"/>
    <s v="PIL6/E/55/23-24"/>
    <x v="6"/>
    <s v="PIL6/E/55/23-24"/>
    <d v="2023-06-21T00:00:00"/>
    <s v="FG"/>
    <s v="FIBC Bags"/>
    <s v="FIBC Bags"/>
    <s v="JUMBO BAG"/>
    <s v="FIBC Bags With UV Without Liner"/>
    <n v="1584.8"/>
    <n v="256262.15999999997"/>
  </r>
  <r>
    <x v="2"/>
    <s v="Plastene India Limited (Unit-VI)"/>
    <d v="2023-06-21T00:00:00"/>
    <s v="K.P. Woven Pvt Ltd - Unit 3 -Sales"/>
    <s v="Export Sales"/>
    <s v="PIL6/E/56/23-24"/>
    <x v="6"/>
    <s v="PIL6/E/56/23-24"/>
    <d v="2023-06-21T00:00:00"/>
    <s v="FG"/>
    <s v="FIBC Bags"/>
    <s v="FIBC Bags"/>
    <s v="JUMBO BAG"/>
    <s v="FIBC Bags With UV With Liner"/>
    <n v="4371"/>
    <n v="711598.8"/>
  </r>
  <r>
    <x v="2"/>
    <s v="Plastene India Limited (Unit-VI)"/>
    <d v="2023-06-21T00:00:00"/>
    <s v="Plastene Polyfilms Ltd-Sales"/>
    <s v="Sales"/>
    <n v="28"/>
    <x v="0"/>
    <s v="PIL6/D/28"/>
    <d v="2023-06-21T00:00:00"/>
    <s v="Packing Material"/>
    <s v="Packaging Material"/>
    <s v="Packing Material"/>
    <s v="Packing Material"/>
    <s v="Straping 15.5mm (P) Thickness 0.76mm(For Bale Packing)"/>
    <n v="80"/>
    <n v="5920"/>
  </r>
  <r>
    <x v="2"/>
    <s v="Plastene India Limited (Unit-VI)"/>
    <d v="2023-06-22T00:00:00"/>
    <s v="Plastene Polyfilms Ltd-Sales"/>
    <s v="Sales"/>
    <n v="29"/>
    <x v="1"/>
    <s v="PIL6/D/29"/>
    <d v="2023-06-22T00:00:00"/>
    <s v="FG"/>
    <s v="FIBC Bags"/>
    <s v="FIBC Bags"/>
    <s v="JUMBO BAG"/>
    <s v="FIBC Bags With UV Without Liner"/>
    <n v="447"/>
    <n v="74573.009999999995"/>
  </r>
  <r>
    <x v="2"/>
    <s v="Plastene India Limited (Unit-VI)"/>
    <d v="2023-06-24T00:00:00"/>
    <s v="K.P. Woven Pvt Ltd - Unit 3 -Sales"/>
    <s v="Export Sales"/>
    <s v="PIL6/E/57/23-24"/>
    <x v="6"/>
    <s v="PIL6/E/57/23-24"/>
    <d v="2023-06-24T00:00:00"/>
    <s v="FG"/>
    <s v="FIBC Bags"/>
    <s v="FIBC Bags"/>
    <s v="JUMBO BAG"/>
    <s v="FIBC Bags With UV Without Liner"/>
    <n v="7637.4"/>
    <n v="1234967.5799999998"/>
  </r>
  <r>
    <x v="2"/>
    <s v="Plastene India Limited (Unit-VI)"/>
    <d v="2023-06-24T00:00:00"/>
    <s v="Plastene Polyfilms Ltd-Sales"/>
    <s v="Sales"/>
    <n v="30"/>
    <x v="0"/>
    <s v="PIL6/D/30"/>
    <d v="2023-06-24T00:00:00"/>
    <s v="SF"/>
    <s v="Webbing"/>
    <s v="PP Webbing"/>
    <s v="PP Webbing"/>
    <s v="Webbing"/>
    <n v="7.8"/>
    <n v="833.75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Liners"/>
    <s v="LDPE/LLDPE Bags"/>
    <s v="LLDPE Bags"/>
    <s v="LDPE/LLDPE Bags/Liner"/>
    <n v="2640"/>
    <n v="370727.28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PP/PE Fabric"/>
    <s v="PP UL Fabric"/>
    <s v="PP Woven Fabric"/>
    <s v="PP UL Fabric With UV"/>
    <n v="1984"/>
    <n v="219376.83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PP/PE Fabric"/>
    <s v="PP UL Fabric"/>
    <s v="PP Woven Fabric"/>
    <s v="PP UL Fabric With UV"/>
    <n v="4192"/>
    <n v="463522.02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PP/PE Fabric"/>
    <s v="PP Lam Fabric"/>
    <s v="PP Laminated Woven Fabric"/>
    <s v="PP Lam Fabric With UV"/>
    <n v="180"/>
    <n v="21253.14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Webbing"/>
    <s v="PP Webbing"/>
    <s v="PP Webbing"/>
    <s v="Webbing"/>
    <n v="324.60000000000002"/>
    <n v="37515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Webbing"/>
    <s v="PP Webbing"/>
    <s v="PP Webbing"/>
    <s v="Webbing"/>
    <n v="1258.3"/>
    <n v="141650.60999999999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Webbing"/>
    <s v="PP Webbing"/>
    <s v="PP Webbing"/>
    <s v="Webbing"/>
    <n v="169.7"/>
    <n v="19103.64"/>
  </r>
  <r>
    <x v="2"/>
    <s v="Plastene India Limited (Unit-VI)"/>
    <d v="2023-06-29T00:00:00"/>
    <s v="Plastene Polyfilms Ltd-Sales"/>
    <s v="Sales"/>
    <n v="32"/>
    <x v="0"/>
    <s v="PIL6/D/32"/>
    <d v="2023-06-29T00:00:00"/>
    <s v="Stores/Spares"/>
    <s v="MS Structure Items"/>
    <s v="Spares &amp; Stores"/>
    <s v="Stores &amp; Consumables"/>
    <s v="MS Pipe 4  C Class"/>
    <n v="296"/>
    <n v="14208"/>
  </r>
  <r>
    <x v="2"/>
    <s v="Plastene India Limited (Unit-VI)"/>
    <d v="2023-06-30T00:00:00"/>
    <s v="Plastene Polyfilms Ltd-Sales"/>
    <s v="Sales"/>
    <n v="33"/>
    <x v="0"/>
    <s v="PIL6/D/33"/>
    <d v="2023-06-30T00:00:00"/>
    <s v="RM Consumables"/>
    <s v="FIBC Accessories"/>
    <s v="FIBC Accessories"/>
    <s v="Stores &amp; Consumables"/>
    <s v="Tyvek Labels (Pcs)"/>
    <n v="4700"/>
    <n v="32430"/>
  </r>
  <r>
    <x v="2"/>
    <s v="Plastene India Limited (Unit-VI)"/>
    <d v="2023-06-30T00:00:00"/>
    <s v="Plastene Polyfilms Ltd-Sales"/>
    <s v="Sales"/>
    <n v="33"/>
    <x v="0"/>
    <s v="PIL6/D/33"/>
    <d v="2023-06-30T00:00:00"/>
    <s v="SF"/>
    <s v="Liners"/>
    <s v="LDPE/LLDPE Bags"/>
    <s v="Stores &amp; Consumables"/>
    <s v="PE Labels (Kgs)"/>
    <n v="9.56"/>
    <n v="2432.2600000000002"/>
  </r>
  <r>
    <x v="2"/>
    <s v="Plastene India Limited (Unit-VI)"/>
    <d v="2023-06-30T00:00:00"/>
    <s v="Plastene Polyfilms Ltd-Sales"/>
    <s v="Sales"/>
    <n v="33"/>
    <x v="0"/>
    <s v="PIL6/D/33"/>
    <d v="2023-06-30T00:00:00"/>
    <s v="SF"/>
    <s v="Liners"/>
    <s v="LDPE/LLDPE Bags"/>
    <s v="Stores &amp; Consumables"/>
    <s v="PE Labels (Kgs)"/>
    <n v="5.79"/>
    <n v="1494.69"/>
  </r>
  <r>
    <x v="2"/>
    <s v="Plastene India Limited (Unit-VI)"/>
    <d v="2023-06-30T00:00:00"/>
    <s v="Plastene Polyfilms Ltd-Sales"/>
    <s v="Sales"/>
    <n v="33"/>
    <x v="0"/>
    <s v="PIL6/D/33"/>
    <d v="2023-06-30T00:00:00"/>
    <s v="SF"/>
    <s v="Liners"/>
    <s v="LDPE/LLDPE Bags"/>
    <s v="Stores &amp; Consumables"/>
    <s v="PE Labels (Kgs)"/>
    <n v="13.98"/>
    <n v="2796"/>
  </r>
  <r>
    <x v="0"/>
    <s v="Plastene Polyfilms Limited"/>
    <d v="2023-04-03T00:00:00"/>
    <s v="K.P. Woven Pvt Ltd - Unit 3 -Sales"/>
    <s v="Export Sales"/>
    <s v="PPL/E/2/23-24"/>
    <x v="6"/>
    <s v="PPL/E/2/23-24"/>
    <d v="2023-04-03T00:00:00"/>
    <s v="FG"/>
    <s v="FIBC Bags"/>
    <s v="FIBC Bags"/>
    <s v="FIBC"/>
    <s v="FIBC Bags With UV Without Liner"/>
    <n v="9407.1"/>
    <n v="1926103.7250000001"/>
  </r>
  <r>
    <x v="0"/>
    <s v="Plastene Polyfilms Limited"/>
    <d v="2023-04-03T00:00:00"/>
    <s v="Oswal Extrusion Ltd- KASEZ-Sales"/>
    <s v="SALES (FOREX)"/>
    <s v="PPL/E/1/23-24"/>
    <x v="4"/>
    <s v="PPL/E/1/23-24"/>
    <d v="2023-04-03T00:00:00"/>
    <s v="Stores/Spares"/>
    <s v="Needle Loom Spares"/>
    <s v="Spares &amp; Stores"/>
    <s v="Stores &amp; Consumables"/>
    <s v="Weft Needle 4/75 Loom 6607"/>
    <n v="0.5"/>
    <n v="1175"/>
  </r>
  <r>
    <x v="0"/>
    <s v="Plastene Polyfilms Limited"/>
    <d v="2023-04-03T00:00:00"/>
    <s v="Oswal Extrusion Ltd- KASEZ-Sales"/>
    <s v="SALES (FOREX)"/>
    <s v="PPL/E/1/23-24"/>
    <x v="4"/>
    <s v="PPL/E/1/23-24"/>
    <d v="2023-04-03T00:00:00"/>
    <s v="Stores/Spares"/>
    <s v="Needles"/>
    <s v="Spares &amp; Stores"/>
    <s v="Stores &amp; Consumables"/>
    <s v="Needle No 34 UY 9853 GA 430/172"/>
    <n v="1"/>
    <n v="46000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70"/>
    <n v="132216.70000000001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803"/>
    <n v="146073.73000000001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88.8"/>
    <n v="152900.99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2875.4"/>
    <n v="572118.34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2296"/>
    <n v="406690.48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892.9"/>
    <n v="1458450.06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2526"/>
    <n v="427904.4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73.4"/>
    <n v="136992.34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 Liner"/>
    <n v="432"/>
    <n v="66981.600000000006"/>
  </r>
  <r>
    <x v="0"/>
    <s v="Plastene Polyfilms Limited"/>
    <d v="2023-04-03T00:00:00"/>
    <s v="Plastene India ltd - Unit 1-Sales"/>
    <s v="Sales"/>
    <n v="4"/>
    <x v="1"/>
    <s v="PPL/D/4"/>
    <d v="2023-04-03T00:00:00"/>
    <s v="RM Consumables"/>
    <s v="Ink"/>
    <s v="Raw Material"/>
    <s v="Thinner"/>
    <s v="Thinner Vyankatesh Thinner"/>
    <n v="5"/>
    <n v="515"/>
  </r>
  <r>
    <x v="0"/>
    <s v="Plastene Polyfilms Limited"/>
    <d v="2023-04-03T00:00:00"/>
    <s v="Plastene India ltd - Unit 6-Sales"/>
    <s v="Sales"/>
    <n v="2"/>
    <x v="1"/>
    <s v="PPL/D/2"/>
    <d v="2023-04-03T00:00:00"/>
    <s v="SF"/>
    <s v="PP/PE Fabric"/>
    <s v="PP UL Fabric"/>
    <s v="PP WOVEN FABRIC"/>
    <s v="PP UL Fabric With UV"/>
    <n v="4920"/>
    <n v="576382.92000000004"/>
  </r>
  <r>
    <x v="0"/>
    <s v="Plastene Polyfilms Limited"/>
    <d v="2023-04-03T00:00:00"/>
    <s v="Plastene India ltd - Unit 6-Sales"/>
    <s v="Sales"/>
    <n v="3"/>
    <x v="1"/>
    <s v="PPL/D/3"/>
    <d v="2023-04-03T00:00:00"/>
    <s v="Stores/Spares"/>
    <s v="MS Structure Items"/>
    <s v="Spares &amp; Stores"/>
    <s v="Stores &amp; Consumables"/>
    <s v="MS Pipe"/>
    <n v="152"/>
    <n v="7296"/>
  </r>
  <r>
    <x v="0"/>
    <s v="Plastene Polyfilms Limited"/>
    <d v="2023-04-04T00:00:00"/>
    <s v="K.P. Woven Pvt Ltd - Unit 3 -Sales"/>
    <s v="Export Sales"/>
    <s v="PPL/E/3/23-24"/>
    <x v="6"/>
    <s v="PPL/E/3/23-24"/>
    <d v="2023-04-04T00:00:00"/>
    <s v="FG"/>
    <s v="FIBC Bags"/>
    <s v="FIBC Bags"/>
    <s v="FIBC"/>
    <s v="FIBC Bags With UV With Liner"/>
    <n v="3178.9"/>
    <n v="650085.04999999993"/>
  </r>
  <r>
    <x v="0"/>
    <s v="Plastene Polyfilms Limited"/>
    <d v="2023-04-04T00:00:00"/>
    <s v="K.P. Woven Pvt Ltd - Unit 3 -Sales"/>
    <s v="Export Sales"/>
    <s v="PPL/E/4/23-24"/>
    <x v="6"/>
    <s v="PPL/E/4/23-24"/>
    <d v="2023-04-04T00:00:00"/>
    <s v="FG"/>
    <s v="FIBC Bags"/>
    <s v="FIBC Bags"/>
    <s v="FIBC"/>
    <s v="FIBC Bags With UV Without Liner"/>
    <n v="3945.7"/>
    <n v="807882.07500000007"/>
  </r>
  <r>
    <x v="0"/>
    <s v="Plastene Polyfilms Limited"/>
    <d v="2023-04-04T00:00:00"/>
    <s v="K.P. Woven Pvt Ltd - Unit 3 -Sales"/>
    <s v="Export Sales"/>
    <s v="PPL/E/4/23-24"/>
    <x v="6"/>
    <s v="PPL/E/4/23-24"/>
    <d v="2023-04-04T00:00:00"/>
    <s v="FG"/>
    <s v="FIBC Bags"/>
    <s v="FIBC Bags"/>
    <s v="FIBC"/>
    <s v="FIBC Bags With UV Without Liner"/>
    <n v="1550"/>
    <n v="317362.5"/>
  </r>
  <r>
    <x v="0"/>
    <s v="Plastene Polyfilms Limited"/>
    <d v="2023-04-04T00:00:00"/>
    <s v="K.P. Woven Pvt Ltd - Unit 3 -Sales"/>
    <s v="Export Sales"/>
    <s v="PPL/E/4/23-24"/>
    <x v="6"/>
    <s v="PPL/E/4/23-24"/>
    <d v="2023-04-04T00:00:00"/>
    <s v="FG"/>
    <s v="FIBC Bags"/>
    <s v="FIBC Bags"/>
    <s v="FIBC"/>
    <s v="FIBC Bags With UV Without Liner"/>
    <n v="682.4"/>
    <n v="139721.40000000002"/>
  </r>
  <r>
    <x v="0"/>
    <s v="Plastene Polyfilms Limited"/>
    <d v="2023-04-04T00:00:00"/>
    <s v="Plastene India ltd - Unit 1-Sales"/>
    <s v="Sales"/>
    <n v="5"/>
    <x v="1"/>
    <s v="PPL/D/5"/>
    <d v="2023-04-04T00:00:00"/>
    <s v="RM Consumables"/>
    <s v="Ink"/>
    <s v="Raw Material"/>
    <s v="Thinner"/>
    <s v="Thinner Vyankatesh Thinner"/>
    <n v="5"/>
    <n v="515"/>
  </r>
  <r>
    <x v="0"/>
    <s v="Plastene Polyfilms Limited"/>
    <d v="2023-04-05T00:00:00"/>
    <s v="Plastene India ltd - Unit 1-Sales"/>
    <s v="Sales"/>
    <n v="6"/>
    <x v="1"/>
    <s v="PPL/D/6"/>
    <d v="2023-04-05T00:00:00"/>
    <s v="SF"/>
    <s v="Tape Stock"/>
    <s v="PP Tapes"/>
    <s v="PP TAPE"/>
    <s v="PP Tapes"/>
    <n v="3462.4"/>
    <n v="364074.82"/>
  </r>
  <r>
    <x v="0"/>
    <s v="Plastene Polyfilms Limited"/>
    <d v="2023-04-05T00:00:00"/>
    <s v="Plastene India ltd - Unit 6-Sales"/>
    <s v="Sales"/>
    <n v="7"/>
    <x v="1"/>
    <s v="PPL/D/7"/>
    <d v="2023-04-05T00:00:00"/>
    <s v="Consumables"/>
    <s v="Oil &amp; Greases"/>
    <s v="Spares &amp; Stores"/>
    <s v="Stores &amp; Consumables"/>
    <s v="White Oil:- 12 No"/>
    <n v="630"/>
    <n v="51660"/>
  </r>
  <r>
    <x v="0"/>
    <s v="Plastene Polyfilms Limited"/>
    <d v="2023-04-06T00:00:00"/>
    <s v="K.P. Woven Pvt Ltd - Unit 3 -Sales"/>
    <s v="Export Sales"/>
    <s v="PPL/E/5/23-24"/>
    <x v="6"/>
    <s v="PPL/E/5/23-24"/>
    <d v="2023-04-06T00:00:00"/>
    <s v="FG"/>
    <s v="FIBC Bags"/>
    <s v="FIBC Bags"/>
    <s v="FIBC"/>
    <s v="FIBC Bags With UV Without Liner"/>
    <n v="4103.1000000000004"/>
    <n v="773372.80349999992"/>
  </r>
  <r>
    <x v="0"/>
    <s v="Plastene Polyfilms Limited"/>
    <d v="2023-04-06T00:00:00"/>
    <s v="K.P. Woven Pvt Ltd - Unit 3 -Sales"/>
    <s v="Export Sales"/>
    <s v="PPL/E/5/23-24"/>
    <x v="6"/>
    <s v="PPL/E/5/23-24"/>
    <d v="2023-04-06T00:00:00"/>
    <s v="FG"/>
    <s v="FIBC Bags"/>
    <s v="FIBC Bags"/>
    <s v="FIBC"/>
    <s v="FIBC Bags With UV Without Liner"/>
    <n v="745.1"/>
    <n v="140440.1735"/>
  </r>
  <r>
    <x v="0"/>
    <s v="Plastene Polyfilms Limited"/>
    <d v="2023-04-06T00:00:00"/>
    <s v="K.P. Woven Pvt Ltd - Unit 3 -Sales"/>
    <s v="Export Sales"/>
    <s v="PPL/E/5/23-24"/>
    <x v="6"/>
    <s v="PPL/E/5/23-24"/>
    <d v="2023-04-06T00:00:00"/>
    <s v="FG"/>
    <s v="FIBC Bags"/>
    <s v="FIBC Bags"/>
    <s v="FIBC"/>
    <s v="FIBC Bags With UV Without Liner"/>
    <n v="4942.8"/>
    <n v="931643.65800000005"/>
  </r>
  <r>
    <x v="0"/>
    <s v="Plastene Polyfilms Limited"/>
    <d v="2023-04-06T00:00:00"/>
    <s v="Plastene India ltd - Unit 1-Sales"/>
    <s v="Sales"/>
    <n v="10"/>
    <x v="1"/>
    <s v="PPL/D/10"/>
    <d v="2023-04-06T00:00:00"/>
    <s v="FG"/>
    <s v="FIBC Bags"/>
    <s v="FIBC Bags"/>
    <s v="FIBC"/>
    <s v="FIBC Bags With UV With Liner"/>
    <n v="6286.6"/>
    <n v="1115054.24"/>
  </r>
  <r>
    <x v="0"/>
    <s v="Plastene Polyfilms Limited"/>
    <d v="2023-04-06T00:00:00"/>
    <s v="Plastene India ltd - Unit 1-Sales"/>
    <s v="Sales"/>
    <n v="10"/>
    <x v="1"/>
    <s v="PPL/D/10"/>
    <d v="2023-04-06T00:00:00"/>
    <s v="FG"/>
    <s v="FIBC Bags"/>
    <s v="FIBC Bags"/>
    <s v="FIBC"/>
    <s v="FIBC Bags With UV With Liner"/>
    <n v="12230"/>
    <n v="2190270.7000000002"/>
  </r>
  <r>
    <x v="0"/>
    <s v="Plastene Polyfilms Limited"/>
    <d v="2023-04-06T00:00:00"/>
    <s v="Plastene India ltd - Unit 6-Sales"/>
    <s v="Sales"/>
    <n v="9"/>
    <x v="1"/>
    <s v="PPL/D/9"/>
    <d v="2023-04-06T00:00:00"/>
    <s v="FG"/>
    <s v="FIBC Bags"/>
    <s v="FIBC Bags"/>
    <s v="FIBC"/>
    <s v="FIBC Bags With UV Without Liner"/>
    <n v="411.3"/>
    <n v="61193.21"/>
  </r>
  <r>
    <x v="0"/>
    <s v="Plastene Polyfilms Limited"/>
    <d v="2023-04-06T00:00:00"/>
    <s v="Plastene India ltd - Unit 6-Sales"/>
    <s v="Sales"/>
    <n v="9"/>
    <x v="1"/>
    <s v="PPL/D/9"/>
    <d v="2023-04-06T00:00:00"/>
    <s v="FG"/>
    <s v="FIBC Bags"/>
    <s v="FIBC Bags"/>
    <s v="FIBC"/>
    <s v="FIBC Bags With UV Without Liner"/>
    <n v="1388.2"/>
    <n v="233384.18"/>
  </r>
  <r>
    <x v="0"/>
    <s v="Plastene Polyfilms Limited"/>
    <d v="2023-04-06T00:00:00"/>
    <s v="Plastene India ltd - Unit 6-Sales"/>
    <s v="Sales"/>
    <n v="9"/>
    <x v="1"/>
    <s v="PPL/D/9"/>
    <d v="2023-04-06T00:00:00"/>
    <s v="FG"/>
    <s v="FIBC Bags"/>
    <s v="FIBC Bags"/>
    <s v="FIBC"/>
    <s v="FIBC Bags With UV Without Liner"/>
    <n v="1721.4"/>
    <n v="306701.84000000003"/>
  </r>
  <r>
    <x v="0"/>
    <s v="Plastene Polyfilms Limited"/>
    <d v="2023-04-07T00:00:00"/>
    <s v="Plastene India ltd - Unit 1-Sales"/>
    <s v="Sales"/>
    <n v="11"/>
    <x v="1"/>
    <s v="PPL/D/11"/>
    <d v="2023-04-07T00:00:00"/>
    <s v="FG"/>
    <s v="FIBC Bags"/>
    <s v="FIBC Bags"/>
    <s v="FIBC"/>
    <s v="FIBC Bags With UV With Liner"/>
    <n v="18814.8"/>
    <n v="3337181.08"/>
  </r>
  <r>
    <x v="0"/>
    <s v="Plastene Polyfilms Limited"/>
    <d v="2023-04-08T00:00:00"/>
    <s v="Plastene India ltd - Unit 1-Sales"/>
    <s v="Sales"/>
    <n v="12"/>
    <x v="1"/>
    <s v="PPL/D/12"/>
    <d v="2023-04-08T00:00:00"/>
    <s v="SF"/>
    <s v="Tape Stock"/>
    <s v="PP Tapes"/>
    <s v="PP TAPE"/>
    <s v="PP Tapes"/>
    <n v="4967.7"/>
    <n v="522358.62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4728.1000000000004"/>
    <n v="823729.58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2961.9"/>
    <n v="508173.18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3930.6"/>
    <n v="694379.8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4416.3"/>
    <n v="773249.97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3923.5"/>
    <n v="699403.11"/>
  </r>
  <r>
    <x v="0"/>
    <s v="Plastene Polyfilms Limited"/>
    <d v="2023-04-09T00:00:00"/>
    <s v="Plastene India ltd - Unit 6-Sales"/>
    <s v="Sales"/>
    <n v="15"/>
    <x v="1"/>
    <s v="PPL/D/15"/>
    <d v="2023-04-09T00:00:00"/>
    <s v="SF"/>
    <s v="Liners"/>
    <s v="LDPE/LLDPE Bags"/>
    <s v="Stores &amp; Consumables"/>
    <s v="LDPE/LLDPE Bags/Liner"/>
    <n v="630"/>
    <n v="81770.850000000006"/>
  </r>
  <r>
    <x v="0"/>
    <s v="Plastene Polyfilms Limited"/>
    <d v="2023-04-09T00:00:00"/>
    <s v="Plastene India ltd - Unit 6-Sales"/>
    <s v="Sales"/>
    <n v="15"/>
    <x v="1"/>
    <s v="PPL/D/15"/>
    <d v="2023-04-09T00:00:00"/>
    <s v="RM Consumables"/>
    <s v="FIBC Accessories"/>
    <s v="FIBC Accessories"/>
    <s v="Stores &amp; Consumables"/>
    <s v="Zip Lock Bags"/>
    <n v="38.1"/>
    <n v="6624.83"/>
  </r>
  <r>
    <x v="0"/>
    <s v="Plastene Polyfilms Limited"/>
    <d v="2023-04-10T00:00:00"/>
    <s v="Plastene India ltd - Unit 1-Sales"/>
    <s v="Sales"/>
    <n v="16"/>
    <x v="1"/>
    <s v="PPL/D/16"/>
    <d v="2023-04-10T00:00:00"/>
    <s v="SF"/>
    <s v="Wastage/Scrap"/>
    <s v="Wastage/Scrap"/>
    <s v="HD/PP WASTE"/>
    <s v="PP/HD Wastage/Scrap"/>
    <n v="3470"/>
    <n v="69400"/>
  </r>
  <r>
    <x v="0"/>
    <s v="Plastene Polyfilms Limited"/>
    <d v="2023-04-11T00:00:00"/>
    <s v="HCP Plastene Bulkpack Limited - Sales"/>
    <s v="Sales"/>
    <n v="18"/>
    <x v="1"/>
    <s v="PPL/D/18"/>
    <d v="2023-04-11T00:00:00"/>
    <s v="Stores/Spares"/>
    <s v="MS Structure Items"/>
    <s v="Spares &amp; Stores"/>
    <s v="Stores &amp; Consumables"/>
    <s v="MS Pipe"/>
    <n v="1535"/>
    <n v="73680"/>
  </r>
  <r>
    <x v="0"/>
    <s v="Plastene Polyfilms Limited"/>
    <d v="2023-04-11T00:00:00"/>
    <s v="Plastene India ltd - Unit 1-Sales"/>
    <s v="Sales"/>
    <n v="17"/>
    <x v="1"/>
    <s v="PPL/D/17"/>
    <d v="2023-04-11T00:00:00"/>
    <s v="SF"/>
    <s v="Tape Stock"/>
    <s v="PP Tapes"/>
    <s v="PP TAPE"/>
    <s v="PP Tapes"/>
    <n v="2382"/>
    <n v="250469.68"/>
  </r>
  <r>
    <x v="0"/>
    <s v="Plastene Polyfilms Limited"/>
    <d v="2023-04-12T00:00:00"/>
    <s v="Plastene India ltd - Unit 6-Sales"/>
    <s v="Sales"/>
    <n v="19"/>
    <x v="1"/>
    <s v="PPL/D/19"/>
    <d v="2023-04-12T00:00:00"/>
    <s v="FG"/>
    <s v="FIBC Bags"/>
    <s v="FIBC Bags"/>
    <s v="FIBC"/>
    <s v="FIBC Bags With UV With Liner"/>
    <n v="803.4"/>
    <n v="157145.04"/>
  </r>
  <r>
    <x v="0"/>
    <s v="Plastene Polyfilms Limited"/>
    <d v="2023-04-12T00:00:00"/>
    <s v="Plastene India ltd - Unit 6-Sales"/>
    <s v="Sales"/>
    <n v="19"/>
    <x v="1"/>
    <s v="PPL/D/19"/>
    <d v="2023-04-12T00:00:00"/>
    <s v="FG"/>
    <s v="FIBC Bags"/>
    <s v="FIBC Bags"/>
    <s v="FIBC"/>
    <s v="FIBC Bags With UV Without Liner"/>
    <n v="817"/>
    <n v="160867.29999999999"/>
  </r>
  <r>
    <x v="0"/>
    <s v="Plastene Polyfilms Limited"/>
    <d v="2023-04-13T00:00:00"/>
    <s v="K.P. Woven Pvt Ltd - Unit 3 -Sales"/>
    <s v="Export Sales"/>
    <s v="PPL/E/12/23-24"/>
    <x v="6"/>
    <s v="PPL/E/12/23-24"/>
    <d v="2023-04-13T00:00:00"/>
    <s v="FG"/>
    <s v="FIBC Bags"/>
    <s v="FIBC Bags"/>
    <s v="FIBC"/>
    <s v="FIBC Bags With UV Without Liner"/>
    <n v="1139.4000000000001"/>
    <n v="233292.15000000002"/>
  </r>
  <r>
    <x v="0"/>
    <s v="Plastene Polyfilms Limited"/>
    <d v="2023-04-13T00:00:00"/>
    <s v="K.P. Woven Pvt Ltd - Unit 3 -Sales"/>
    <s v="Export Sales"/>
    <s v="PPL/E/13/23-24"/>
    <x v="6"/>
    <s v="PPL/E/13/23-24"/>
    <d v="2023-04-13T00:00:00"/>
    <s v="FG"/>
    <s v="FIBC Bags"/>
    <s v="FIBC Bags"/>
    <s v="FIBC"/>
    <s v="FIBC Bags With UV Without Liner"/>
    <n v="8205.1"/>
    <n v="1546538.2735000001"/>
  </r>
  <r>
    <x v="0"/>
    <s v="Plastene Polyfilms Limited"/>
    <d v="2023-04-13T00:00:00"/>
    <s v="K.P. Woven Pvt Ltd - Unit 3 -Sales"/>
    <s v="Export Sales"/>
    <s v="PPL/E/16/23-24"/>
    <x v="6"/>
    <s v="PPL/E/16/23-24"/>
    <d v="2023-04-13T00:00:00"/>
    <s v="FG"/>
    <s v="FIBC Bags"/>
    <s v="FIBC Bags"/>
    <s v="FIBC"/>
    <s v="FIBC Bags With UV Without Liner"/>
    <n v="5516.4"/>
    <n v="1039758.654"/>
  </r>
  <r>
    <x v="0"/>
    <s v="Plastene Polyfilms Limited"/>
    <d v="2023-04-13T00:00:00"/>
    <s v="K.P. Woven Pvt Ltd - Unit 3 -Sales"/>
    <s v="Export Sales"/>
    <s v="PPL/E/16/23-24"/>
    <x v="6"/>
    <s v="PPL/E/16/23-24"/>
    <d v="2023-04-13T00:00:00"/>
    <s v="FG"/>
    <s v="FIBC Bags"/>
    <s v="FIBC Bags"/>
    <s v="FIBC"/>
    <s v="FIBC Bags With UV Without Liner"/>
    <n v="1116.4000000000001"/>
    <n v="210424.65399999998"/>
  </r>
  <r>
    <x v="0"/>
    <s v="Plastene Polyfilms Limited"/>
    <d v="2023-04-13T00:00:00"/>
    <s v="K.P. Woven Pvt Ltd - Unit 3 -Sales"/>
    <s v="Export Sales"/>
    <s v="PPL/E/16/23-24"/>
    <x v="6"/>
    <s v="PPL/E/16/23-24"/>
    <d v="2023-04-13T00:00:00"/>
    <s v="FG"/>
    <s v="FIBC Bags"/>
    <s v="FIBC Bags"/>
    <s v="FIBC"/>
    <s v="FIBC Bags With UV Without Liner"/>
    <n v="1195.8"/>
    <n v="225390.36300000001"/>
  </r>
  <r>
    <x v="0"/>
    <s v="Plastene Polyfilms Limited"/>
    <d v="2023-04-13T00:00:00"/>
    <s v="Oswal Extrusion Ltd- KASEZ-Sales"/>
    <s v="Export Sales"/>
    <s v="PPL/E/14/23-24"/>
    <x v="4"/>
    <s v="PPL/E/14/23-24"/>
    <d v="2023-04-13T00:00:00"/>
    <s v="Stores/Spares"/>
    <s v="Needle Loom Spares"/>
    <s v="Spares &amp; Stores"/>
    <s v="Stores &amp; Consumables"/>
    <s v="Weft Needle 4/75 Loom 6607"/>
    <n v="5"/>
    <n v="1140"/>
  </r>
  <r>
    <x v="0"/>
    <s v="Plastene Polyfilms Limited"/>
    <d v="2023-04-13T00:00:00"/>
    <s v="Oswal Extrusion Ltd- KASEZ-Sales"/>
    <s v="Export Sales"/>
    <s v="PPL/E/14/23-24"/>
    <x v="4"/>
    <s v="PPL/E/14/23-24"/>
    <d v="2023-04-13T00:00:00"/>
    <s v="Stores/Spares"/>
    <s v="Hardware Items"/>
    <s v="Spares &amp; Stores"/>
    <s v="Stores &amp; Consumables"/>
    <s v="Bolt 8230"/>
    <n v="6"/>
    <n v="876"/>
  </r>
  <r>
    <x v="0"/>
    <s v="Plastene Polyfilms Limited"/>
    <d v="2023-04-13T00:00:00"/>
    <s v="Plastene India ltd - Unit 1-Sales"/>
    <s v="Sales"/>
    <n v="20"/>
    <x v="1"/>
    <s v="PPL/D/20"/>
    <d v="2023-04-13T00:00:00"/>
    <s v="FG"/>
    <s v="FIBC WIP"/>
    <s v="FIBC WIP"/>
    <s v="PP WOVEN FABRIC"/>
    <s v="FIBC WIP"/>
    <n v="172.2"/>
    <n v="17220"/>
  </r>
  <r>
    <x v="0"/>
    <s v="Plastene Polyfilms Limited"/>
    <d v="2023-04-13T00:00:00"/>
    <s v="Plastene India ltd - Unit 1-Sales"/>
    <s v="Sales"/>
    <n v="20"/>
    <x v="1"/>
    <s v="PPL/D/20"/>
    <d v="2023-04-13T00:00:00"/>
    <s v="SF"/>
    <s v="Liners"/>
    <s v="LDPE/LLDPE Bags"/>
    <s v="BAGS (Liner)"/>
    <s v="LDPE/LLDPE Bags/Liner"/>
    <n v="32.4"/>
    <n v="4344.58"/>
  </r>
  <r>
    <x v="0"/>
    <s v="Plastene Polyfilms Limited"/>
    <d v="2023-04-13T00:00:00"/>
    <s v="Plastene India ltd - Unit 1-Sales"/>
    <s v="Sales"/>
    <n v="20"/>
    <x v="1"/>
    <s v="PPL/D/20"/>
    <d v="2023-04-13T00:00:00"/>
    <s v="SF"/>
    <s v="PP/PE Fabric"/>
    <s v="PP Lam Fabric"/>
    <s v="PP Laminated Fabric"/>
    <s v="PP Lam Fabric Without UV"/>
    <n v="83"/>
    <n v="9723.5300000000007"/>
  </r>
  <r>
    <x v="0"/>
    <s v="Plastene Polyfilms Limited"/>
    <d v="2023-04-14T00:00:00"/>
    <s v="K.P. Woven Pvt Ltd-Sales"/>
    <s v="Sales"/>
    <n v="21"/>
    <x v="1"/>
    <s v="PPL/D/21"/>
    <d v="2023-04-14T00:00:00"/>
    <s v="FG"/>
    <s v="FIBC Bags"/>
    <s v="FIBC Bags"/>
    <s v="FIBC"/>
    <s v="FIBC Bags With UV With Liner"/>
    <n v="17377.8"/>
    <n v="2942930.43"/>
  </r>
  <r>
    <x v="0"/>
    <s v="Plastene Polyfilms Limited"/>
    <d v="2023-04-14T00:00:00"/>
    <s v="K.P. Woven Pvt Ltd-Sales"/>
    <s v="Sales"/>
    <n v="21"/>
    <x v="1"/>
    <s v="PPL/D/21"/>
    <d v="2023-04-14T00:00:00"/>
    <s v="FG"/>
    <s v="FIBC Bags"/>
    <s v="FIBC Bags"/>
    <s v="FIBC"/>
    <s v="FIBC Bags With UV With Liner"/>
    <n v="3427.5"/>
    <n v="652458.9"/>
  </r>
  <r>
    <x v="0"/>
    <s v="Plastene Polyfilms Limited"/>
    <d v="2023-04-14T00:00:00"/>
    <s v="Plastene India ltd - Unit 2-Sales"/>
    <s v="Sales"/>
    <n v="22"/>
    <x v="0"/>
    <s v="PPL/D/22"/>
    <d v="2023-04-14T00:00:00"/>
    <s v="Stores/Spares"/>
    <s v="Needles"/>
    <s v="Spares &amp; Stores"/>
    <s v="Stores &amp; Consumables"/>
    <s v="Needle No 28"/>
    <n v="50"/>
    <n v="3500"/>
  </r>
  <r>
    <x v="0"/>
    <s v="Plastene Polyfilms Limited"/>
    <d v="2023-04-15T00:00:00"/>
    <s v="Plastene India ltd - Unit 1-Sales"/>
    <s v="Sales"/>
    <n v="23"/>
    <x v="0"/>
    <s v="PPL/D/23"/>
    <d v="2023-04-15T00:00:00"/>
    <s v="Stores/Spares"/>
    <s v="Cutter Blades"/>
    <s v="Spares &amp; Stores"/>
    <s v="Stores &amp; Consumables"/>
    <s v="Alfa Blade"/>
    <n v="50"/>
    <n v="100"/>
  </r>
  <r>
    <x v="0"/>
    <s v="Plastene Polyfilms Limited"/>
    <d v="2023-04-15T00:00:00"/>
    <s v="Plastene India ltd - Unit 1-Sales"/>
    <s v="Sales"/>
    <n v="23"/>
    <x v="0"/>
    <s v="PPL/D/23"/>
    <d v="2023-04-15T00:00:00"/>
    <s v="Stores/Spares"/>
    <s v="Cutter Blades"/>
    <s v="Spares &amp; Stores"/>
    <s v="Stores &amp; Consumables"/>
    <s v="Alfa Blade For Sdi Cutter Knife. Size;-18mm No.1404H"/>
    <n v="50"/>
    <n v="292.5"/>
  </r>
  <r>
    <x v="0"/>
    <s v="Plastene Polyfilms Limited"/>
    <d v="2023-04-15T00:00:00"/>
    <s v="Plastene India ltd - Unit 1-Sales"/>
    <s v="Sales"/>
    <n v="23"/>
    <x v="0"/>
    <s v="PPL/D/23"/>
    <d v="2023-04-15T00:00:00"/>
    <s v="Stores/Spares"/>
    <s v="Needle Loom Spares"/>
    <s v="Spares &amp; Stores"/>
    <s v="Stores &amp; Consumables"/>
    <s v="Weft Needle 4/75 Loom 6607"/>
    <n v="4"/>
    <n v="912"/>
  </r>
  <r>
    <x v="0"/>
    <s v="Plastene Polyfilms Limited"/>
    <d v="2023-04-15T00:00:00"/>
    <s v="Plastene India ltd - Unit 6-Sales"/>
    <s v="Sales"/>
    <n v="24"/>
    <x v="1"/>
    <s v="PPL/D/24"/>
    <d v="2023-04-15T00:00:00"/>
    <s v="FG"/>
    <s v="FIBC WIP"/>
    <s v="FIBC WIP"/>
    <s v="PP WOVEN FABRIC"/>
    <s v="FIBC WIP"/>
    <n v="2766"/>
    <n v="318507.67"/>
  </r>
  <r>
    <x v="0"/>
    <s v="Plastene Polyfilms Limited"/>
    <d v="2023-04-15T00:00:00"/>
    <s v="Plastene India ltd - Unit 6-Sales"/>
    <s v="Sales"/>
    <n v="24"/>
    <x v="1"/>
    <s v="PPL/D/24"/>
    <d v="2023-04-15T00:00:00"/>
    <s v="FG"/>
    <s v="FIBC WIP"/>
    <s v="FIBC WIP"/>
    <s v="PP WOVEN FABRIC"/>
    <s v="FIBC WIP"/>
    <n v="205"/>
    <n v="23605.95"/>
  </r>
  <r>
    <x v="0"/>
    <s v="Plastene Polyfilms Limited"/>
    <d v="2023-04-15T00:00:00"/>
    <s v="Plastene India ltd - Unit 6-Sales"/>
    <s v="Sales"/>
    <n v="24"/>
    <x v="1"/>
    <s v="PPL/D/24"/>
    <d v="2023-04-15T00:00:00"/>
    <s v="SF"/>
    <s v="PP/PE Fabric"/>
    <s v="PP Lam Fabric"/>
    <s v="PP Laminated Fabric"/>
    <s v="PP Lam Fabric Without UV"/>
    <n v="2784"/>
    <n v="341460.38"/>
  </r>
  <r>
    <x v="0"/>
    <s v="Plastene Polyfilms Limited"/>
    <d v="2023-04-15T00:00:00"/>
    <s v="Plastene India ltd - Unit 6-Sales"/>
    <s v="Sales"/>
    <n v="25"/>
    <x v="1"/>
    <s v="PPL/D/25"/>
    <d v="2023-04-15T00:00:00"/>
    <s v="Stores/Spares"/>
    <s v="MS Structure Items"/>
    <s v="Spares &amp; Stores"/>
    <s v="Stores &amp; Consumables"/>
    <s v="MS Pipe"/>
    <n v="320"/>
    <n v="15360"/>
  </r>
  <r>
    <x v="0"/>
    <s v="Plastene Polyfilms Limited"/>
    <d v="2023-04-16T00:00:00"/>
    <s v="Plastene India ltd - Unit 1-Sales"/>
    <s v="Sales"/>
    <n v="26"/>
    <x v="1"/>
    <s v="PPL/D/26"/>
    <d v="2023-04-16T00:00:00"/>
    <s v="FG"/>
    <s v="FIBC Bags"/>
    <s v="FIBC Bags"/>
    <s v="FIBC"/>
    <s v="FIBC Bags With UV Without Liner"/>
    <n v="2372.1"/>
    <n v="361887.58"/>
  </r>
  <r>
    <x v="0"/>
    <s v="Plastene Polyfilms Limited"/>
    <d v="2023-04-16T00:00:00"/>
    <s v="Plastene India ltd - Unit 1-Sales"/>
    <s v="Sales"/>
    <n v="26"/>
    <x v="1"/>
    <s v="PPL/D/26"/>
    <d v="2023-04-16T00:00:00"/>
    <s v="FG"/>
    <s v="FIBC Bags"/>
    <s v="FIBC Bags"/>
    <s v="FIBC"/>
    <s v="FIBC Bags With UV Without Liner"/>
    <n v="3321.9"/>
    <n v="500942.52"/>
  </r>
  <r>
    <x v="0"/>
    <s v="Plastene Polyfilms Limited"/>
    <d v="2023-04-16T00:00:00"/>
    <s v="Plastene India ltd - Unit 1-Sales"/>
    <s v="Sales"/>
    <n v="26"/>
    <x v="1"/>
    <s v="PPL/D/26"/>
    <d v="2023-04-16T00:00:00"/>
    <s v="FG"/>
    <s v="FIBC Bags"/>
    <s v="FIBC Bags"/>
    <s v="FIBC"/>
    <s v="FIBC Bags With UV Without Liner"/>
    <n v="13419.3"/>
    <n v="2062546.41"/>
  </r>
  <r>
    <x v="0"/>
    <s v="Plastene Polyfilms Limited"/>
    <d v="2023-04-17T00:00:00"/>
    <s v="Plastene India ltd - Unit 1-Sales"/>
    <s v="Sales"/>
    <n v="27"/>
    <x v="1"/>
    <s v="PPL/D/27"/>
    <d v="2023-04-17T00:00:00"/>
    <s v="FG"/>
    <s v="FIBC Bags"/>
    <s v="FIBC Bags"/>
    <s v="FIBC"/>
    <s v="FIBC Bags With UV With Liner"/>
    <n v="18962.8"/>
    <n v="3206609.48"/>
  </r>
  <r>
    <x v="0"/>
    <s v="Plastene Polyfilms Limited"/>
    <d v="2023-04-17T00:00:00"/>
    <s v="Plastene India ltd - Unit 6-Sales"/>
    <s v="Sales"/>
    <n v="28"/>
    <x v="1"/>
    <s v="PPL/D/28"/>
    <d v="2023-04-17T00:00:00"/>
    <s v="SF"/>
    <s v="Liners"/>
    <s v="LDPE/LLDPE Bags"/>
    <s v="BAGS (Lebel)"/>
    <s v="LDPE/LLDPE Bags/Liner"/>
    <n v="33.700000000000003"/>
    <n v="4441.49"/>
  </r>
  <r>
    <x v="0"/>
    <s v="Plastene Polyfilms Limited"/>
    <d v="2023-04-19T00:00:00"/>
    <s v="K.P. Woven Pvt Ltd - Unit 3 -Sales"/>
    <s v="Export Sales"/>
    <s v="PPL/E/19/23-24"/>
    <x v="6"/>
    <s v="PPL/E/19/23-24"/>
    <d v="2023-04-19T00:00:00"/>
    <s v="FG"/>
    <s v="FIBC Bags"/>
    <s v="FIBC Bags"/>
    <s v="FIBC"/>
    <s v="FIBC Bags With UV Without Liner"/>
    <n v="9525.4"/>
    <n v="1795395.0189999999"/>
  </r>
  <r>
    <x v="0"/>
    <s v="Plastene Polyfilms Limited"/>
    <d v="2023-04-19T00:00:00"/>
    <s v="Plastene India ltd - Unit 2-Sales"/>
    <s v="Sales"/>
    <n v="30"/>
    <x v="1"/>
    <s v="PPL/D/30"/>
    <d v="2023-04-19T00:00:00"/>
    <s v="FG"/>
    <s v="FIBC Bags"/>
    <s v="FIBC Bags"/>
    <s v="FIBC"/>
    <s v="FIBC Bags With UV Without Liner"/>
    <n v="3811.9"/>
    <n v="764171.59"/>
  </r>
  <r>
    <x v="0"/>
    <s v="Plastene Polyfilms Limited"/>
    <d v="2023-04-19T00:00:00"/>
    <s v="Plastene India ltd - Unit 2-Sales"/>
    <s v="Sales"/>
    <n v="30"/>
    <x v="1"/>
    <s v="PPL/D/30"/>
    <d v="2023-04-19T00:00:00"/>
    <s v="FG"/>
    <s v="FIBC Bags"/>
    <s v="FIBC Bags"/>
    <s v="FIBC"/>
    <s v="FIBC Bags With UV Without Liner"/>
    <n v="966.1"/>
    <n v="185723.06"/>
  </r>
  <r>
    <x v="0"/>
    <s v="Plastene Polyfilms Limited"/>
    <d v="2023-04-19T00:00:00"/>
    <s v="Plastene India ltd - Unit 2-Sales"/>
    <s v="Sales"/>
    <n v="30"/>
    <x v="1"/>
    <s v="PPL/D/30"/>
    <d v="2023-04-19T00:00:00"/>
    <s v="FG"/>
    <s v="FIBC Bags"/>
    <s v="FIBC Bags"/>
    <s v="FIBC"/>
    <s v="FIBC Bags With UV Without Liner"/>
    <n v="14857"/>
    <n v="3078816.11"/>
  </r>
  <r>
    <x v="0"/>
    <s v="Plastene Polyfilms Limited"/>
    <d v="2023-04-20T00:00:00"/>
    <s v="K.P. Woven Pvt Ltd - Unit 3 -Sales"/>
    <s v="Export Sales"/>
    <s v="PPL/E/20/23-24"/>
    <x v="6"/>
    <s v="PPL/E/20/23-24"/>
    <d v="2023-04-20T00:00:00"/>
    <s v="FG"/>
    <s v="FIBC Bags"/>
    <s v="FIBC Bags"/>
    <s v="FIBC"/>
    <s v="FIBC Bags With UV Without Liner"/>
    <n v="3730.5"/>
    <n v="703143.29249999998"/>
  </r>
  <r>
    <x v="0"/>
    <s v="Plastene Polyfilms Limited"/>
    <d v="2023-04-20T00:00:00"/>
    <s v="K.P. Woven Pvt Ltd - Unit 3 -Sales"/>
    <s v="Export Sales"/>
    <s v="PPL/E/20/23-24"/>
    <x v="6"/>
    <s v="PPL/E/20/23-24"/>
    <d v="2023-04-20T00:00:00"/>
    <s v="FG"/>
    <s v="FIBC Bags"/>
    <s v="FIBC Bags"/>
    <s v="FIBC"/>
    <s v="FIBC Bags With UV Without Liner"/>
    <n v="3979.3"/>
    <n v="750038.36049999995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1938.9"/>
    <n v="295275.08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3012.8"/>
    <n v="452311.66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6157.4"/>
    <n v="875767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6076.6"/>
    <n v="939260.06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2086.6"/>
    <n v="312510.08000000002"/>
  </r>
  <r>
    <x v="0"/>
    <s v="Plastene Polyfilms Limited"/>
    <d v="2023-04-21T00:00:00"/>
    <s v="Plastene India ltd - Unit 6-Sales"/>
    <s v="Sales"/>
    <n v="35"/>
    <x v="1"/>
    <s v="PPL/D/35"/>
    <d v="2023-04-21T00:00:00"/>
    <s v="FG"/>
    <s v="FIBC WIP"/>
    <s v="FIBC WIP"/>
    <s v="PP WOVEN FABRIC"/>
    <s v="FIBC WIP"/>
    <n v="375"/>
    <n v="43141.5"/>
  </r>
  <r>
    <x v="0"/>
    <s v="Plastene Polyfilms Limited"/>
    <d v="2023-04-22T00:00:00"/>
    <s v="Plastene India ltd - Unit 1-Sales"/>
    <s v="Sales"/>
    <n v="37"/>
    <x v="1"/>
    <s v="PPL/D/37"/>
    <d v="2023-04-22T00:00:00"/>
    <s v="SF"/>
    <s v="PP/PE Fabric"/>
    <s v="PP UL Fabric"/>
    <s v="PP WOVEN FABRIC"/>
    <s v="PP UL Fabric With UV"/>
    <n v="965"/>
    <n v="115840.53"/>
  </r>
  <r>
    <x v="0"/>
    <s v="Plastene Polyfilms Limited"/>
    <d v="2023-04-22T00:00:00"/>
    <s v="Plastene India ltd - Unit 1-Sales"/>
    <s v="Sales"/>
    <n v="38"/>
    <x v="1"/>
    <s v="PPL/D/38"/>
    <d v="2023-04-22T00:00:00"/>
    <s v="Stores/Spares"/>
    <s v="MS Structure Items"/>
    <s v="Spares &amp; Stores"/>
    <s v="Stores &amp; Consumables"/>
    <s v="MS Pipe"/>
    <n v="47"/>
    <n v="2256"/>
  </r>
  <r>
    <x v="0"/>
    <s v="Plastene Polyfilms Limited"/>
    <d v="2023-04-24T00:00:00"/>
    <s v="K.P. Woven Pvt Ltd-Sales"/>
    <s v="Sales"/>
    <n v="39"/>
    <x v="1"/>
    <s v="PPL/D/39"/>
    <d v="2023-04-24T00:00:00"/>
    <s v="FG"/>
    <s v="FIBC Bags"/>
    <s v="FIBC Bags"/>
    <s v="FIBC"/>
    <s v="FIBC Bags With UV With Liner"/>
    <n v="20818.3"/>
    <n v="3538486.45"/>
  </r>
  <r>
    <x v="0"/>
    <s v="Plastene Polyfilms Limited"/>
    <d v="2023-04-24T00:00:00"/>
    <s v="Plastene India ltd - Unit 1-Sales"/>
    <s v="Sales"/>
    <n v="40"/>
    <x v="0"/>
    <s v="PPL/D/40"/>
    <d v="2023-04-24T00:00:00"/>
    <s v="FG"/>
    <s v="FIBC Bags"/>
    <s v="FIBC Bags"/>
    <s v="FIBC"/>
    <s v="FIBC Bags With UV Without Liner"/>
    <n v="400.2"/>
    <n v="75717.84"/>
  </r>
  <r>
    <x v="0"/>
    <s v="Plastene Polyfilms Limited"/>
    <d v="2023-04-24T00:00:00"/>
    <s v="Plastene India ltd - Unit 1-Sales"/>
    <s v="Sales"/>
    <n v="40"/>
    <x v="0"/>
    <s v="PPL/D/40"/>
    <d v="2023-04-24T00:00:00"/>
    <s v="FG"/>
    <s v="FIBC Bags"/>
    <s v="FIBC Bags"/>
    <s v="FIBC"/>
    <s v="FIBC Bags With UV Without Liner"/>
    <n v="752.4"/>
    <n v="136079.06"/>
  </r>
  <r>
    <x v="0"/>
    <s v="Plastene Polyfilms Limited"/>
    <d v="2023-04-25T00:00:00"/>
    <s v="Plastene India ltd - Unit 1-Sales"/>
    <s v="Sales"/>
    <n v="41"/>
    <x v="1"/>
    <s v="PPL/D/41"/>
    <d v="2023-04-25T00:00:00"/>
    <s v="SF"/>
    <s v="Tape Stock"/>
    <s v="PP Tapes"/>
    <s v="PP TAPE"/>
    <s v="PP Tapes"/>
    <n v="2125.4"/>
    <n v="223260.52"/>
  </r>
  <r>
    <x v="0"/>
    <s v="Plastene Polyfilms Limited"/>
    <d v="2023-04-25T00:00:00"/>
    <s v="Plastene India ltd - Unit 1-Sales"/>
    <s v="Sales"/>
    <n v="41"/>
    <x v="1"/>
    <s v="PPL/D/41"/>
    <d v="2023-04-25T00:00:00"/>
    <s v="FG"/>
    <s v="FIBC WIP"/>
    <s v="FIBC WIP"/>
    <s v="PP WOVEN FABRIC"/>
    <s v="FIBC WIP"/>
    <n v="265"/>
    <n v="35918.629999999997"/>
  </r>
  <r>
    <x v="0"/>
    <s v="Plastene Polyfilms Limited"/>
    <d v="2023-04-25T00:00:00"/>
    <s v="Plastene India ltd - Unit 1-Sales"/>
    <s v="Sales"/>
    <n v="43"/>
    <x v="1"/>
    <s v="PPL/D/43"/>
    <d v="2023-04-25T00:00:00"/>
    <s v="Consumables"/>
    <s v="Paint"/>
    <s v="Spares &amp; Stores"/>
    <s v="Stores &amp; Consumables"/>
    <s v="Royal Plastic Paint White( Asian Paints)"/>
    <n v="20"/>
    <n v="8440"/>
  </r>
  <r>
    <x v="0"/>
    <s v="Plastene Polyfilms Limited"/>
    <d v="2023-04-25T00:00:00"/>
    <s v="Plastene India ltd - Unit 1-Sales"/>
    <s v="Sales"/>
    <n v="43"/>
    <x v="1"/>
    <s v="PPL/D/43"/>
    <d v="2023-04-25T00:00:00"/>
    <s v="Consumables"/>
    <s v="Paint"/>
    <s v="Spares &amp; Stores"/>
    <s v="Stores &amp; Consumables"/>
    <s v="Oil Paint White"/>
    <n v="200"/>
    <n v="24200"/>
  </r>
  <r>
    <x v="0"/>
    <s v="Plastene Polyfilms Limited"/>
    <d v="2023-04-25T00:00:00"/>
    <s v="Plastene India ltd - Unit 1-Sales"/>
    <s v="Sales"/>
    <n v="43"/>
    <x v="1"/>
    <s v="PPL/D/43"/>
    <d v="2023-04-25T00:00:00"/>
    <s v="Consumables"/>
    <s v="Paint"/>
    <s v="Spares &amp; Stores"/>
    <s v="Stores &amp; Consumables"/>
    <s v="Cement Primer Oil Base"/>
    <n v="100"/>
    <n v="10000"/>
  </r>
  <r>
    <x v="0"/>
    <s v="Plastene Polyfilms Limited"/>
    <d v="2023-04-26T00:00:00"/>
    <s v="K.P. Woven Pvt Ltd - Unit 3 -Sales"/>
    <s v="Export Sales"/>
    <s v="PPL/E/22/23-24"/>
    <x v="6"/>
    <s v="PPL/E/22/23-24"/>
    <d v="2023-04-26T00:00:00"/>
    <s v="FG"/>
    <s v="FIBC Bags"/>
    <s v="FIBC Bags"/>
    <s v="FIBC"/>
    <s v="FIBC Bags With UV Without Liner"/>
    <n v="5074"/>
    <n v="956372.89000000013"/>
  </r>
  <r>
    <x v="0"/>
    <s v="Plastene Polyfilms Limited"/>
    <d v="2023-04-26T00:00:00"/>
    <s v="Plastene India ltd - Unit 1-Sales"/>
    <s v="Sales"/>
    <n v="45"/>
    <x v="1"/>
    <s v="PPL/D/45"/>
    <d v="2023-04-26T00:00:00"/>
    <s v="SF"/>
    <s v="Tape Stock"/>
    <s v="PP Tapes"/>
    <s v="PP TAPE"/>
    <s v="PP Tapes"/>
    <n v="2622.6"/>
    <n v="275488.39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2505.4"/>
    <n v="454153.86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2069.1999999999998"/>
    <n v="385326.42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4270.2"/>
    <n v="792292.91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5059.6000000000004"/>
    <n v="888111.59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4583.3"/>
    <n v="816560.73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1699.8"/>
    <n v="292246.61"/>
  </r>
  <r>
    <x v="0"/>
    <s v="Plastene Polyfilms Limited"/>
    <d v="2023-04-26T00:00:00"/>
    <s v="Plastene India ltd - Unit 1-Sales"/>
    <s v="Sales"/>
    <n v="48"/>
    <x v="1"/>
    <s v="PPL/D/48"/>
    <d v="2023-04-26T00:00:00"/>
    <s v="Stores/Spares"/>
    <s v="Transformers"/>
    <s v="Spares &amp; Stores"/>
    <s v="Stores &amp; Consumables"/>
    <s v="Oil Transformer"/>
    <n v="25"/>
    <n v="2218"/>
  </r>
  <r>
    <x v="0"/>
    <s v="Plastene Polyfilms Limited"/>
    <d v="2023-04-26T00:00:00"/>
    <s v="Plastene India ltd - Unit 2-Sales"/>
    <s v="Sales"/>
    <n v="47"/>
    <x v="1"/>
    <s v="PPL/D/47"/>
    <d v="2023-04-26T00:00:00"/>
    <s v="FG"/>
    <s v="FIBC Bags"/>
    <s v="FIBC Bags"/>
    <s v="FIBC"/>
    <s v="FIBC Bags With UV Without Liner"/>
    <n v="20106"/>
    <n v="3648836.88"/>
  </r>
  <r>
    <x v="0"/>
    <s v="Plastene Polyfilms Limited"/>
    <d v="2023-04-26T00:00:00"/>
    <s v="Plastene India ltd - Unit 6-Sales"/>
    <s v="Sales"/>
    <n v="49"/>
    <x v="1"/>
    <s v="PPL/D/49"/>
    <d v="2023-04-26T00:00:00"/>
    <s v="Stores/Spares"/>
    <s v="Transformers"/>
    <s v="Spares &amp; Stores"/>
    <s v="Stores &amp; Consumables"/>
    <s v="Oil Transformer"/>
    <n v="30"/>
    <n v="2661.6"/>
  </r>
  <r>
    <x v="0"/>
    <s v="Plastene Polyfilms Limited"/>
    <d v="2023-04-26T00:00:00"/>
    <s v="Plastene India ltd - Unit 6-Sales"/>
    <s v="Sales"/>
    <n v="50"/>
    <x v="1"/>
    <s v="PPL/D/50"/>
    <d v="2023-04-26T00:00:00"/>
    <s v="SF"/>
    <s v="PP/PE Fabric"/>
    <s v="HD Lam Fabric"/>
    <s v="PP Laminated Fabric"/>
    <s v="HD Lam Fabric With UV"/>
    <n v="228"/>
    <n v="27940.03"/>
  </r>
  <r>
    <x v="0"/>
    <s v="Plastene Polyfilms Limited"/>
    <d v="2023-04-26T00:00:00"/>
    <s v="Plastene India ltd - Unit 6-Sales"/>
    <s v="Sales"/>
    <n v="50"/>
    <x v="1"/>
    <s v="PPL/D/50"/>
    <d v="2023-04-26T00:00:00"/>
    <s v="SF"/>
    <s v="PP/PE Fabric"/>
    <s v="PP UL Fabric"/>
    <s v="PP WOVEN FABRIC"/>
    <s v="PP UL Fabric Without UV"/>
    <n v="597"/>
    <n v="68681.27"/>
  </r>
  <r>
    <x v="0"/>
    <s v="Plastene Polyfilms Limited"/>
    <d v="2023-04-27T00:00:00"/>
    <s v="Plastene India ltd - Unit 1-Sales"/>
    <s v="Sales"/>
    <n v="51"/>
    <x v="1"/>
    <s v="PPL/D/51"/>
    <d v="2023-04-27T00:00:00"/>
    <s v="FG"/>
    <s v="FIBC Bags"/>
    <s v="FIBC Bags"/>
    <s v="FIBC"/>
    <s v="FIBC Bags With UV Without Liner"/>
    <n v="17240.3"/>
    <n v="3150664.82"/>
  </r>
  <r>
    <x v="0"/>
    <s v="Plastene Polyfilms Limited"/>
    <d v="2023-04-28T00:00:00"/>
    <s v="Plastene India ltd - Unit 1-Sales"/>
    <s v="Sales"/>
    <n v="52"/>
    <x v="0"/>
    <s v="PPL/D/52"/>
    <d v="2023-04-28T00:00:00"/>
    <s v="Stores/Spares"/>
    <s v="MS Structure Items"/>
    <s v="Spares &amp; Stores"/>
    <s v="Stores &amp; Consumables"/>
    <s v="MS Pipe"/>
    <n v="2630"/>
    <n v="126240"/>
  </r>
  <r>
    <x v="0"/>
    <s v="Plastene Polyfilms Limited"/>
    <d v="2023-04-28T00:00:00"/>
    <s v="Plastene India ltd - Unit 1-Sales"/>
    <s v="Sales"/>
    <n v="54"/>
    <x v="1"/>
    <s v="PPL/D/54"/>
    <d v="2023-04-28T00:00:00"/>
    <s v="SF"/>
    <s v="Tape Stock"/>
    <s v="PP Tapes"/>
    <s v="PP TAPE"/>
    <s v="PP Tapes"/>
    <n v="3401"/>
    <n v="367457.64"/>
  </r>
  <r>
    <x v="0"/>
    <s v="Plastene Polyfilms Limited"/>
    <d v="2023-04-28T00:00:00"/>
    <s v="Plastene India ltd - Unit 6-Sales"/>
    <s v="Sales"/>
    <n v="53"/>
    <x v="1"/>
    <s v="PPL/D/53"/>
    <d v="2023-04-28T00:00:00"/>
    <s v="Stores/Spares"/>
    <s v="MS Structure Items"/>
    <s v="Spares &amp; Stores"/>
    <s v="Stores &amp; Consumables"/>
    <s v="MS Pipe"/>
    <n v="8"/>
    <n v="384"/>
  </r>
  <r>
    <x v="0"/>
    <s v="Plastene Polyfilms Limited"/>
    <d v="2023-04-29T00:00:00"/>
    <s v="Plastene India ltd - Unit 1-Sales"/>
    <s v="Sales"/>
    <n v="57"/>
    <x v="1"/>
    <s v="PPL/D/57"/>
    <d v="2023-04-29T00:00:00"/>
    <s v="SF"/>
    <s v="PP/PE Fabric"/>
    <s v="PP Lam Fabric"/>
    <s v="PP Laminated Fabric"/>
    <s v="PP Lam Fabric With UV"/>
    <n v="229"/>
    <n v="26803.08"/>
  </r>
  <r>
    <x v="0"/>
    <s v="Plastene Polyfilms Limited"/>
    <d v="2023-04-29T00:00:00"/>
    <s v="Plastene India ltd - Unit 1-Sales"/>
    <s v="Sales"/>
    <n v="57"/>
    <x v="1"/>
    <s v="PPL/D/57"/>
    <d v="2023-04-29T00:00:00"/>
    <s v="SF"/>
    <s v="PP/PE Fabric"/>
    <s v="PP UL Fabric"/>
    <s v="PP WOVEN FABRIC"/>
    <s v="PP UL Fabric With UV"/>
    <n v="622"/>
    <n v="74667.37"/>
  </r>
  <r>
    <x v="0"/>
    <s v="Plastene Polyfilms Limited"/>
    <d v="2023-04-29T00:00:00"/>
    <s v="Plastene India ltd - Unit 1-Sales"/>
    <s v="Sales"/>
    <n v="58"/>
    <x v="1"/>
    <s v="PPL/D/58"/>
    <d v="2023-04-29T00:00:00"/>
    <s v="Stores/Spares"/>
    <s v="MS Structure Items"/>
    <s v="Spares &amp; Stores"/>
    <s v="Stores &amp; Consumables"/>
    <s v="MS Pipe"/>
    <n v="30"/>
    <n v="1440"/>
  </r>
  <r>
    <x v="0"/>
    <s v="Plastene Polyfilms Limited"/>
    <d v="2023-04-29T00:00:00"/>
    <s v="Plastene India ltd - Unit 6-Sales"/>
    <s v="Sales"/>
    <n v="55"/>
    <x v="1"/>
    <s v="PPL/D/55"/>
    <d v="2023-04-29T00:00:00"/>
    <s v="FG"/>
    <s v="FIBC WIP"/>
    <s v="FIBC WIP"/>
    <s v="PP WOVEN FABRIC"/>
    <s v="FIBC WIP"/>
    <n v="352"/>
    <n v="40495.49"/>
  </r>
  <r>
    <x v="0"/>
    <s v="Plastene Polyfilms Limited"/>
    <d v="2023-04-29T00:00:00"/>
    <s v="Plastene India ltd - Unit 6-Sales"/>
    <s v="Sales"/>
    <n v="56"/>
    <x v="1"/>
    <s v="PPL/D/56"/>
    <d v="2023-04-29T00:00:00"/>
    <s v="FG"/>
    <s v="FIBC Bags"/>
    <s v="FIBC Bags"/>
    <s v="FIBC"/>
    <s v="FIBC Bags With UV Without Liner"/>
    <n v="1208.2"/>
    <n v="242111.2"/>
  </r>
  <r>
    <x v="0"/>
    <s v="Plastene Polyfilms Limited"/>
    <d v="2023-04-29T00:00:00"/>
    <s v="Plastene India ltd - Unit 6-Sales"/>
    <s v="Sales"/>
    <n v="56"/>
    <x v="1"/>
    <s v="PPL/D/56"/>
    <d v="2023-04-29T00:00:00"/>
    <s v="FG"/>
    <s v="FIBC Bags"/>
    <s v="FIBC Bags"/>
    <s v="FIBC"/>
    <s v="FIBC Bags With UV Without Liner"/>
    <n v="733.2"/>
    <n v="119482.27"/>
  </r>
  <r>
    <x v="0"/>
    <s v="Plastene Polyfilms Limited"/>
    <d v="2023-04-30T00:00:00"/>
    <s v="Plastene India ltd - Unit 1-Sales"/>
    <s v="Sales"/>
    <n v="59"/>
    <x v="1"/>
    <s v="PPL/D/59"/>
    <d v="2023-04-30T00:00:00"/>
    <s v="SF"/>
    <s v="Tape Stock"/>
    <s v="PP Tapes"/>
    <s v="PP TAPE"/>
    <s v="PP Tapes"/>
    <n v="4822.5"/>
    <n v="506574.69"/>
  </r>
  <r>
    <x v="1"/>
    <s v="Plastene Polyfilms Limited"/>
    <d v="2023-05-01T00:00:00"/>
    <s v="K.P. Woven Pvt Ltd - Unit 3 -Sales"/>
    <s v="Export Sales"/>
    <s v="PPL/E/24/23-24"/>
    <x v="6"/>
    <s v="PPL/E/24/23-24"/>
    <d v="2023-05-01T00:00:00"/>
    <s v="FG"/>
    <s v="FIBC Bags"/>
    <s v="FIBC Bags"/>
    <s v="FIBC"/>
    <s v="FIBC Bags With UV Without Liner"/>
    <n v="1866.1"/>
    <n v="351731.85849999997"/>
  </r>
  <r>
    <x v="1"/>
    <s v="Plastene Polyfilms Limited"/>
    <d v="2023-05-01T00:00:00"/>
    <s v="K.P. Woven Pvt Ltd - Unit 3 -Sales"/>
    <s v="Export Sales"/>
    <s v="PPL/E/25/23-24"/>
    <x v="6"/>
    <s v="PPL/E/25/23-24"/>
    <d v="2023-05-01T00:00:00"/>
    <s v="FG"/>
    <s v="FIBC Bags"/>
    <s v="FIBC Bags"/>
    <s v="FIBC"/>
    <s v="FIBC Bags With UV Without Liner"/>
    <n v="6633"/>
    <n v="1241830.26"/>
  </r>
  <r>
    <x v="1"/>
    <s v="Plastene Polyfilms Limited"/>
    <d v="2023-05-01T00:00:00"/>
    <s v="K.P. Woven Pvt Ltd - Unit 3 -Sales"/>
    <s v="Export Sales"/>
    <s v="PPL/E/26/23-24"/>
    <x v="6"/>
    <s v="PPL/E/26/23-24"/>
    <d v="2023-05-01T00:00:00"/>
    <s v="FG"/>
    <s v="FIBC Bags"/>
    <s v="FIBC Bags"/>
    <s v="FIBC"/>
    <s v="FIBC Bags With UV Without Liner"/>
    <n v="5309.5"/>
    <n v="994044.59000000008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5971.3"/>
    <n v="859449.21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3910.4"/>
    <n v="589179.97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3911.8"/>
    <n v="556062.37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2985.1"/>
    <n v="423705.09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1604.6"/>
    <n v="216925.87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2821"/>
    <n v="506200.24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2409.9"/>
    <n v="412960.46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7479.4"/>
    <n v="1315776.05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2048.1"/>
    <n v="404991.29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4821"/>
    <n v="866574.75"/>
  </r>
  <r>
    <x v="1"/>
    <s v="Plastene Polyfilms Limited"/>
    <d v="2023-05-02T00:00:00"/>
    <s v="Plastene India ltd - Unit 1-Sales"/>
    <s v="Sales"/>
    <n v="62"/>
    <x v="1"/>
    <s v="PPL/D/62"/>
    <d v="2023-05-02T00:00:00"/>
    <s v="FG"/>
    <s v="FIBC Bags"/>
    <s v="FIBC Bags"/>
    <s v="FIBC"/>
    <s v="FIBC Bags With UV Without Liner"/>
    <n v="10694.4"/>
    <n v="1935472.51"/>
  </r>
  <r>
    <x v="1"/>
    <s v="Plastene Polyfilms Limited"/>
    <d v="2023-05-02T00:00:00"/>
    <s v="Plastene India ltd - Unit 1-Sales"/>
    <s v="Sales"/>
    <n v="62"/>
    <x v="1"/>
    <s v="PPL/D/62"/>
    <d v="2023-05-02T00:00:00"/>
    <s v="FG"/>
    <s v="FIBC Bags"/>
    <s v="FIBC Bags"/>
    <s v="FIBC"/>
    <s v="FIBC Bags With UV With Liner"/>
    <n v="772"/>
    <n v="141654.28"/>
  </r>
  <r>
    <x v="1"/>
    <s v="Plastene Polyfilms Limited"/>
    <d v="2023-05-02T00:00:00"/>
    <s v="Plastene India ltd - Unit 1-Sales"/>
    <s v="Sales"/>
    <n v="62"/>
    <x v="1"/>
    <s v="PPL/D/62"/>
    <d v="2023-05-02T00:00:00"/>
    <s v="FG"/>
    <s v="FIBC Bags"/>
    <s v="FIBC Bags"/>
    <s v="FIBC"/>
    <s v="FIBC Bags With UV With Liner"/>
    <n v="5766.3"/>
    <n v="1091445.26"/>
  </r>
  <r>
    <x v="1"/>
    <s v="Plastene Polyfilms Limited"/>
    <d v="2023-05-03T00:00:00"/>
    <s v="Plastene India ltd - Unit 1-Sales"/>
    <s v="Sales"/>
    <n v="63"/>
    <x v="1"/>
    <s v="PPL/D/63"/>
    <d v="2023-05-03T00:00:00"/>
    <s v="FG"/>
    <s v="FIBC WIP"/>
    <s v="FIBC WIP"/>
    <s v="PP WOVEN FABRIC"/>
    <s v="FIBC WIP"/>
    <n v="810"/>
    <n v="109789.02"/>
  </r>
  <r>
    <x v="1"/>
    <s v="Plastene Polyfilms Limited"/>
    <d v="2023-05-03T00:00:00"/>
    <s v="Plastene India ltd - Unit 1-Sales"/>
    <s v="Sales"/>
    <n v="64"/>
    <x v="1"/>
    <s v="PPL/D/64"/>
    <d v="2023-05-03T00:00:00"/>
    <s v="FG"/>
    <s v="FIBC Bags"/>
    <s v="FIBC Bags"/>
    <s v="FIBC"/>
    <s v="FIBC Bags With UV Without Liner"/>
    <n v="1830.7"/>
    <n v="312189.27"/>
  </r>
  <r>
    <x v="1"/>
    <s v="Plastene Polyfilms Limited"/>
    <d v="2023-05-03T00:00:00"/>
    <s v="Plastene India ltd - Unit 1-Sales"/>
    <s v="Sales"/>
    <n v="64"/>
    <x v="1"/>
    <s v="PPL/D/64"/>
    <d v="2023-05-03T00:00:00"/>
    <s v="FG"/>
    <s v="FIBC Bags"/>
    <s v="FIBC Bags"/>
    <s v="FIBC"/>
    <s v="FIBC Bags With UV Without Liner"/>
    <n v="1092.9000000000001"/>
    <n v="181902.28"/>
  </r>
  <r>
    <x v="1"/>
    <s v="Plastene Polyfilms Limited"/>
    <d v="2023-05-04T00:00:00"/>
    <s v="Plastene India ltd - Unit 1-Sales"/>
    <s v="Sales"/>
    <n v="67"/>
    <x v="1"/>
    <s v="PPL/D/67"/>
    <d v="2023-05-04T00:00:00"/>
    <s v="SF"/>
    <s v="Tape Stock"/>
    <s v="PP Tapes"/>
    <s v="PP TAPE"/>
    <s v="PP Tapes"/>
    <n v="2362.5"/>
    <n v="248166.45"/>
  </r>
  <r>
    <x v="1"/>
    <s v="Plastene Polyfilms Limited"/>
    <d v="2023-05-05T00:00:00"/>
    <s v="K.P. Woven Pvt Ltd - Unit 3 -Sales"/>
    <s v="Export Sales"/>
    <s v="PPL/E/28/23-24"/>
    <x v="6"/>
    <s v="PPL/E/28/23-24"/>
    <d v="2023-05-05T00:00:00"/>
    <s v="FG"/>
    <s v="FIBC Bags"/>
    <s v="FIBC Bags"/>
    <s v="FIBC"/>
    <s v="FIBC Bags With UV Without Liner"/>
    <n v="2961.5"/>
    <n v="554452.03"/>
  </r>
  <r>
    <x v="1"/>
    <s v="Plastene Polyfilms Limited"/>
    <d v="2023-05-05T00:00:00"/>
    <s v="K.P. Woven Pvt Ltd - Unit 3 -Sales"/>
    <s v="Export Sales"/>
    <s v="PPL/E/28/23-24"/>
    <x v="6"/>
    <s v="PPL/E/28/23-24"/>
    <d v="2023-05-05T00:00:00"/>
    <s v="FG"/>
    <s v="FIBC Bags"/>
    <s v="FIBC Bags"/>
    <s v="FIBC"/>
    <s v="FIBC Bags With UV Without Liner"/>
    <n v="6603.4"/>
    <n v="1236288.548"/>
  </r>
  <r>
    <x v="1"/>
    <s v="Plastene Polyfilms Limited"/>
    <d v="2023-05-05T00:00:00"/>
    <s v="Oswal Extrusion Ltd- KASEZ-Sales"/>
    <s v="SALES (FOREX)"/>
    <s v="PPL/E/29/23-24"/>
    <x v="6"/>
    <s v="PPL/E/29/23-24"/>
    <d v="2023-05-05T00:00:00"/>
    <s v="RM Consumables"/>
    <s v="Ink"/>
    <s v="Ink"/>
    <s v="INK"/>
    <s v="Ink Vyankatesh Poly Reflex Blue VLX 573"/>
    <n v="25"/>
    <n v="8125"/>
  </r>
  <r>
    <x v="1"/>
    <s v="Plastene Polyfilms Limited"/>
    <d v="2023-05-05T00:00:00"/>
    <s v="Oswal Extrusion Ltd- KASEZ-Sales"/>
    <s v="SALES (FOREX)"/>
    <s v="PPL/E/30/23-24"/>
    <x v="4"/>
    <s v="PPL/E/30/23-24"/>
    <d v="2023-05-05T00:00:00"/>
    <s v="Stores/Spares"/>
    <s v="Transformers"/>
    <s v="Spares &amp; Stores"/>
    <s v="Stores &amp; Consumables"/>
    <s v="Oil Transformer"/>
    <n v="90"/>
    <n v="13950"/>
  </r>
  <r>
    <x v="1"/>
    <s v="Plastene Polyfilms Limited"/>
    <d v="2023-05-05T00:00:00"/>
    <s v="Oswal Extrusion Ltd- KASEZ-Sales"/>
    <s v="SALES (FOREX)"/>
    <s v="PPL/E/30/23-24"/>
    <x v="4"/>
    <s v="PPL/E/30/23-24"/>
    <d v="2023-05-05T00:00:00"/>
    <s v="Stores/Spares"/>
    <s v="Needles"/>
    <s v="Spares &amp; Stores"/>
    <s v="Stores &amp; Consumables"/>
    <s v="Needle No 34 UY 9853 GA 430/172"/>
    <n v="0.97"/>
    <n v="42000"/>
  </r>
  <r>
    <x v="1"/>
    <s v="Plastene Polyfilms Limited"/>
    <d v="2023-05-05T00:00:00"/>
    <s v="Plastene India ltd - Unit 1-Sales"/>
    <s v="Sales"/>
    <n v="71"/>
    <x v="1"/>
    <s v="PPL/D/71"/>
    <d v="2023-05-05T00:00:00"/>
    <s v="FG"/>
    <s v="FIBC Bags"/>
    <s v="FIBC Bags"/>
    <s v="FIBC"/>
    <s v="FIBC Bags With UV Without Liner"/>
    <n v="8978"/>
    <n v="1394283.4"/>
  </r>
  <r>
    <x v="1"/>
    <s v="Plastene Polyfilms Limited"/>
    <d v="2023-05-05T00:00:00"/>
    <s v="Plastene India ltd - Unit 1-Sales"/>
    <s v="Sales"/>
    <n v="71"/>
    <x v="1"/>
    <s v="PPL/D/71"/>
    <d v="2023-05-05T00:00:00"/>
    <s v="FG"/>
    <s v="FIBC Bags"/>
    <s v="FIBC Bags"/>
    <s v="FIBC"/>
    <s v="FIBC Bags With UV Without Liner"/>
    <n v="9535.5"/>
    <n v="1491161.49"/>
  </r>
  <r>
    <x v="1"/>
    <s v="Plastene Polyfilms Limited"/>
    <d v="2023-05-05T00:00:00"/>
    <s v="Plastene India ltd - Unit 6-Sales"/>
    <s v="Sales"/>
    <n v="69"/>
    <x v="1"/>
    <s v="PPL/D/69"/>
    <d v="2023-05-05T00:00:00"/>
    <s v="Stores/Spares"/>
    <s v="Needles"/>
    <s v="Spares &amp; Stores"/>
    <s v="Stores &amp; Consumables"/>
    <s v="Needle No 28"/>
    <n v="100"/>
    <n v="7000"/>
  </r>
  <r>
    <x v="1"/>
    <s v="Plastene Polyfilms Limited"/>
    <d v="2023-05-05T00:00:00"/>
    <s v="Plastene India ltd - Unit 6-Sales"/>
    <s v="Sales"/>
    <n v="70"/>
    <x v="1"/>
    <s v="PPL/D/70"/>
    <d v="2023-05-05T00:00:00"/>
    <s v="Consumables"/>
    <s v="Oil &amp; Greases"/>
    <s v="Spares &amp; Stores"/>
    <s v="Stores &amp; Consumables"/>
    <s v="White Oil:- 12 No"/>
    <n v="210"/>
    <n v="17850"/>
  </r>
  <r>
    <x v="1"/>
    <s v="Plastene Polyfilms Limited"/>
    <d v="2023-05-06T00:00:00"/>
    <s v="K.P. Woven Pvt Ltd-Sales"/>
    <s v="Sales"/>
    <n v="73"/>
    <x v="1"/>
    <s v="PPL/D/73"/>
    <d v="2023-05-06T00:00:00"/>
    <s v="FG"/>
    <s v="FIBC WIP"/>
    <s v="FIBC WIP"/>
    <s v="PP WOVEN FABRIC"/>
    <s v="FIBC WIP"/>
    <n v="6"/>
    <n v="690.26"/>
  </r>
  <r>
    <x v="1"/>
    <s v="Plastene Polyfilms Limited"/>
    <d v="2023-05-06T00:00:00"/>
    <s v="Plastene India ltd - Unit 1-Sales"/>
    <s v="Sales"/>
    <n v="72"/>
    <x v="1"/>
    <s v="PPL/D/72"/>
    <d v="2023-05-06T00:00:00"/>
    <s v="SF"/>
    <s v="Tape Stock"/>
    <s v="PP Tapes"/>
    <s v="PP TAPE"/>
    <s v="PP Tapes"/>
    <n v="65.7"/>
    <n v="6901.39"/>
  </r>
  <r>
    <x v="1"/>
    <s v="Plastene Polyfilms Limited"/>
    <d v="2023-05-06T00:00:00"/>
    <s v="Plastene India ltd - Unit 1-Sales"/>
    <s v="Sales"/>
    <n v="74"/>
    <x v="0"/>
    <s v="PPL/D/74"/>
    <d v="2023-05-06T00:00:00"/>
    <s v="Consumables"/>
    <s v="Consumables"/>
    <s v="Spares &amp; Stores"/>
    <s v="Stores &amp; Consumables"/>
    <s v="White Sheet Felt 07 mm +/- 1 mm"/>
    <n v="8.8000000000000007"/>
    <n v="1636.8"/>
  </r>
  <r>
    <x v="1"/>
    <s v="Plastene Polyfilms Limited"/>
    <d v="2023-05-06T00:00:00"/>
    <s v="Plastene India ltd - Unit 1-Sales"/>
    <s v="Sales"/>
    <n v="75"/>
    <x v="1"/>
    <s v="PPL/D/75"/>
    <d v="2023-05-06T00:00:00"/>
    <s v="SF"/>
    <s v="Yarn All"/>
    <s v="PP Yarn"/>
    <s v="Yarn"/>
    <s v="Polyester Yarn Twisted"/>
    <n v="7"/>
    <n v="1023.89"/>
  </r>
  <r>
    <x v="1"/>
    <s v="Plastene Polyfilms Limited"/>
    <d v="2023-05-06T00:00:00"/>
    <s v="Plastene India ltd - Unit 1-Sales"/>
    <s v="Sales"/>
    <n v="76"/>
    <x v="0"/>
    <s v="PPL/D/76"/>
    <d v="2023-05-06T00:00:00"/>
    <s v="Stores/Spares"/>
    <s v="Needles"/>
    <s v="Spares &amp; Stores"/>
    <s v="Stores &amp; Consumables"/>
    <s v="Needle 25 No. Dpx17"/>
    <n v="10"/>
    <n v="81.400000000000006"/>
  </r>
  <r>
    <x v="1"/>
    <s v="Plastene Polyfilms Limited"/>
    <d v="2023-05-06T00:00:00"/>
    <s v="Plastene India ltd - Unit 1-Sales"/>
    <s v="Sales"/>
    <n v="76"/>
    <x v="0"/>
    <s v="PPL/D/76"/>
    <d v="2023-05-06T00:00:00"/>
    <s v="Stores/Spares"/>
    <s v="Stitching Spares"/>
    <s v="Spares &amp; Stores"/>
    <s v="Stores &amp; Consumables"/>
    <s v="Bobin B9117-563-000"/>
    <n v="2"/>
    <n v="120"/>
  </r>
  <r>
    <x v="1"/>
    <s v="Plastene Polyfilms Limited"/>
    <d v="2023-05-08T00:00:00"/>
    <s v="Plastene India ltd - Unit 1-Sales"/>
    <s v="Sales"/>
    <n v="77"/>
    <x v="1"/>
    <s v="PPL/D/77"/>
    <d v="2023-05-08T00:00:00"/>
    <s v="SF"/>
    <s v="Tape Stock"/>
    <s v="PP Tapes"/>
    <s v="PP TAPE"/>
    <s v="PP Tapes"/>
    <n v="3933.1"/>
    <n v="413148.56"/>
  </r>
  <r>
    <x v="1"/>
    <s v="Plastene Polyfilms Limited"/>
    <d v="2023-05-09T00:00:00"/>
    <s v="Plastene India ltd - Unit 6-Sales"/>
    <s v="Sales"/>
    <n v="78"/>
    <x v="1"/>
    <s v="PPL/D/78"/>
    <d v="2023-05-09T00:00:00"/>
    <s v="FG"/>
    <s v="FIBC WIP"/>
    <s v="FIBC WIP"/>
    <s v="PP WOVEN FABRIC"/>
    <s v="FIBC WIP"/>
    <n v="1106"/>
    <n v="127238.66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11159"/>
    <n v="1705876.33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832"/>
    <n v="129525.75999999999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844"/>
    <n v="132558.64000000001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819.2"/>
    <n v="142729.22"/>
  </r>
  <r>
    <x v="1"/>
    <s v="Plastene Polyfilms Limited"/>
    <d v="2023-05-10T00:00:00"/>
    <s v="Plastene India ltd - Unit 1-Sales"/>
    <s v="Sales"/>
    <n v="81"/>
    <x v="1"/>
    <s v="PPL/D/81"/>
    <d v="2023-05-10T00:00:00"/>
    <s v="SF"/>
    <s v="PP/PE Fabric"/>
    <s v="PP UL Fabric"/>
    <s v="PP WOVEN FABRIC"/>
    <s v="PP UL Fabric Without UV"/>
    <n v="2592.8000000000002"/>
    <n v="377148.69"/>
  </r>
  <r>
    <x v="1"/>
    <s v="Plastene Polyfilms Limited"/>
    <d v="2023-05-10T00:00:00"/>
    <s v="Plastene India ltd - Unit 1-Sales"/>
    <s v="Sales"/>
    <n v="81"/>
    <x v="1"/>
    <s v="PPL/D/81"/>
    <d v="2023-05-10T00:00:00"/>
    <s v="SF"/>
    <s v="PP/PE Fabric"/>
    <s v="PP UL Fabric"/>
    <s v="PP WOVEN FABRIC"/>
    <s v="PP UL Fabric Without UV"/>
    <n v="823.8"/>
    <n v="127705.48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Small Bags"/>
    <s v="PP Bags"/>
    <s v="PP Laminated Fabric"/>
    <s v="PP Lam Bags With UV"/>
    <n v="1824.4"/>
    <n v="267931.38"/>
  </r>
  <r>
    <x v="1"/>
    <s v="Plastene Polyfilms Limited"/>
    <d v="2023-05-10T00:00:00"/>
    <s v="Plastene India ltd - Unit 6-Sales"/>
    <s v="Sales"/>
    <n v="80"/>
    <x v="1"/>
    <s v="PPL/D/80"/>
    <d v="2023-05-10T00:00:00"/>
    <s v="Stores/Spares"/>
    <s v="Stitching Spares"/>
    <s v="Spares &amp; Stores"/>
    <s v="Stores &amp; Consumables"/>
    <s v="Needle Lever Conn. Rod  # 502688 (J02688)"/>
    <n v="2"/>
    <n v="124"/>
  </r>
  <r>
    <x v="1"/>
    <s v="Plastene Polyfilms Limited"/>
    <d v="2023-05-10T00:00:00"/>
    <s v="Plastene India ltd - Unit 6-Sales"/>
    <s v="Sales"/>
    <n v="82"/>
    <x v="1"/>
    <s v="PPL/D/82"/>
    <d v="2023-05-10T00:00:00"/>
    <s v="SF"/>
    <s v="PP/PE Fabric"/>
    <s v="PP UL Fabric"/>
    <s v="PP WOVEN FABRIC"/>
    <s v="PP UL Fabric With UV"/>
    <n v="1975.4"/>
    <n v="227257.92"/>
  </r>
  <r>
    <x v="1"/>
    <s v="Plastene Polyfilms Limited"/>
    <d v="2023-05-10T00:00:00"/>
    <s v="Plastene India ltd - Unit 6-Sales"/>
    <s v="Sales"/>
    <n v="82"/>
    <x v="1"/>
    <s v="PPL/D/82"/>
    <d v="2023-05-10T00:00:00"/>
    <s v="SF"/>
    <s v="PP/PE Fabric"/>
    <s v="PP Lam Fabric"/>
    <s v="PP Laminated Fabric"/>
    <s v="PP Lam Fabric Without UV"/>
    <n v="479"/>
    <n v="56064.08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3563.1"/>
    <n v="693094.21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394"/>
    <n v="69730.12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1130"/>
    <n v="185659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3059.2"/>
    <n v="513333.76000000001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737"/>
    <n v="122725.24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073.6"/>
    <n v="1175758.3700000001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773.9"/>
    <n v="158107.76999999999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401"/>
    <n v="70423.62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78"/>
    <n v="148162.5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1637.2"/>
    <n v="292518.52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2204"/>
    <n v="380432.44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46"/>
    <n v="178734.42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2328"/>
    <n v="426978.48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1662"/>
    <n v="294473.15999999997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40"/>
    <n v="144992.4"/>
  </r>
  <r>
    <x v="1"/>
    <s v="Plastene Polyfilms Limited"/>
    <d v="2023-05-12T00:00:00"/>
    <s v="K.P. Woven Pvt Ltd - Unit 3 -Sales"/>
    <s v="Export Sales"/>
    <s v="PPL/E/33/23-24"/>
    <x v="6"/>
    <s v="PPL/E/33/23-24"/>
    <d v="2023-05-12T00:00:00"/>
    <s v="FG"/>
    <s v="FIBC Bags"/>
    <s v="FIBC Bags"/>
    <s v="FIBC"/>
    <s v="FIBC Bags With UV Without Liner"/>
    <n v="3112.7"/>
    <n v="582759.69400000002"/>
  </r>
  <r>
    <x v="1"/>
    <s v="Plastene Polyfilms Limited"/>
    <d v="2023-05-12T00:00:00"/>
    <s v="K.P. Woven Pvt Ltd - Unit 3 -Sales"/>
    <s v="Export Sales"/>
    <s v="PPL/E/33/23-24"/>
    <x v="6"/>
    <s v="PPL/E/33/23-24"/>
    <d v="2023-05-12T00:00:00"/>
    <s v="FG"/>
    <s v="FIBC Bags"/>
    <s v="FIBC Bags"/>
    <s v="FIBC"/>
    <s v="FIBC Bags With UV Without Liner"/>
    <n v="3867.2"/>
    <n v="724017.18400000001"/>
  </r>
  <r>
    <x v="1"/>
    <s v="Plastene Polyfilms Limited"/>
    <d v="2023-05-12T00:00:00"/>
    <s v="K.P. Woven Pvt Ltd - Unit 3 -Sales"/>
    <s v="Export Sales"/>
    <s v="PPL/E/36/23-24"/>
    <x v="6"/>
    <s v="PPL/E/36/23-24"/>
    <d v="2023-05-12T00:00:00"/>
    <s v="FG"/>
    <s v="FIBC Bags"/>
    <s v="FIBC Bags"/>
    <s v="FIBC"/>
    <s v="FIBC Bags With UV Without Liner"/>
    <n v="388.3"/>
    <n v="72697.526000000013"/>
  </r>
  <r>
    <x v="1"/>
    <s v="Plastene Polyfilms Limited"/>
    <d v="2023-05-12T00:00:00"/>
    <s v="K.P. Woven Pvt Ltd - Unit 3 -Sales"/>
    <s v="Export Sales"/>
    <s v="PPL/E/36/23-24"/>
    <x v="6"/>
    <s v="PPL/E/36/23-24"/>
    <d v="2023-05-12T00:00:00"/>
    <s v="FG"/>
    <s v="FIBC Bags"/>
    <s v="FIBC Bags"/>
    <s v="FIBC"/>
    <s v="FIBC Bags With UV Without Liner"/>
    <n v="3237.6"/>
    <n v="606143.47199999995"/>
  </r>
  <r>
    <x v="1"/>
    <s v="Plastene Polyfilms Limited"/>
    <d v="2023-05-12T00:00:00"/>
    <s v="K.P. Woven Pvt Ltd - Unit 3 -Sales"/>
    <s v="Export Sales"/>
    <s v="PPL/E/36/23-24"/>
    <x v="6"/>
    <s v="PPL/E/36/23-24"/>
    <d v="2023-05-12T00:00:00"/>
    <s v="FG"/>
    <s v="FIBC Bags"/>
    <s v="FIBC Bags"/>
    <s v="FIBC"/>
    <s v="FIBC Bags With UV Without Liner"/>
    <n v="3130.9"/>
    <n v="586167.098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66.6"/>
    <n v="331396.49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48.8"/>
    <n v="331362.62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437.6"/>
    <n v="83756.639999999999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25.7"/>
    <n v="332542.39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43.2"/>
    <n v="333648.48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2209"/>
    <n v="434819.56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2176"/>
    <n v="431761.91999999998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2190.6999999999998"/>
    <n v="439388.7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3829.4"/>
    <n v="710851.52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1174"/>
    <n v="213527.12"/>
  </r>
  <r>
    <x v="1"/>
    <s v="Plastene Polyfilms Limited"/>
    <d v="2023-05-12T00:00:00"/>
    <s v="K.P. Woven Pvt Ltd-Sales"/>
    <s v="Sales"/>
    <n v="86"/>
    <x v="1"/>
    <s v="PPL/D/86"/>
    <d v="2023-05-12T00:00:00"/>
    <s v="FG"/>
    <s v="FIBC Bags"/>
    <s v="FIBC Bags"/>
    <s v="FIBC"/>
    <s v="FIBC Bags With UV With Liner"/>
    <n v="6913.8"/>
    <n v="1161864.0900000001"/>
  </r>
  <r>
    <x v="1"/>
    <s v="Plastene Polyfilms Limited"/>
    <d v="2023-05-12T00:00:00"/>
    <s v="K.P. Woven Pvt Ltd-Sales"/>
    <s v="Sales"/>
    <n v="86"/>
    <x v="1"/>
    <s v="PPL/D/86"/>
    <d v="2023-05-12T00:00:00"/>
    <s v="FG"/>
    <s v="FIBC Bags"/>
    <s v="FIBC Bags"/>
    <s v="FIBC"/>
    <s v="FIBC Bags With UV With Liner"/>
    <n v="13165.7"/>
    <n v="2230401.2400000002"/>
  </r>
  <r>
    <x v="1"/>
    <s v="Plastene Polyfilms Limited"/>
    <d v="2023-05-12T00:00:00"/>
    <s v="K.P. Woven Pvt Ltd-Sales"/>
    <s v="Sales"/>
    <n v="86"/>
    <x v="1"/>
    <s v="PPL/D/86"/>
    <d v="2023-05-12T00:00:00"/>
    <s v="FG"/>
    <s v="FIBC Bags"/>
    <s v="FIBC Bags"/>
    <s v="FIBC"/>
    <s v="FIBC Bags With UV With Liner"/>
    <n v="857.1"/>
    <n v="151021.01999999999"/>
  </r>
  <r>
    <x v="1"/>
    <s v="Plastene Polyfilms Limited"/>
    <d v="2023-05-12T00:00:00"/>
    <s v="Oswal Extrusion Ltd- KASEZ-Sales"/>
    <s v="SALES (FOREX)"/>
    <s v="PPL/E/34/23-24"/>
    <x v="4"/>
    <s v="PPL/E/34/23-24"/>
    <d v="2023-05-12T00:00:00"/>
    <s v="Stores/Spares"/>
    <s v="Stitching Spares"/>
    <s v="Spares &amp; Stores"/>
    <s v="Stores &amp; Consumables"/>
    <s v="Spreader, Upper For Overedge Stitching  (81507)"/>
    <n v="0.5"/>
    <n v="1070"/>
  </r>
  <r>
    <x v="1"/>
    <s v="Plastene Polyfilms Limited"/>
    <d v="2023-05-12T00:00:00"/>
    <s v="Oswal Extrusion Ltd- KASEZ-Sales"/>
    <s v="SALES (FOREX)"/>
    <s v="PPL/E/34/23-24"/>
    <x v="4"/>
    <s v="PPL/E/34/23-24"/>
    <d v="2023-05-12T00:00:00"/>
    <s v="SF"/>
    <s v="Liners"/>
    <s v="LDPE/LLDPE Bags"/>
    <s v="Stores &amp; Consumables"/>
    <s v="PE Labels (Kgs)"/>
    <n v="2.3199999999999998"/>
    <n v="603.20000000000005"/>
  </r>
  <r>
    <x v="1"/>
    <s v="Plastene Polyfilms Limited"/>
    <d v="2023-05-15T00:00:00"/>
    <s v="K.P. Woven Pvt Ltd - Unit 2 -Sales"/>
    <s v="Sales"/>
    <n v="87"/>
    <x v="1"/>
    <s v="PPL/D/87"/>
    <d v="2023-05-15T00:00:00"/>
    <s v="Stores/Spares"/>
    <s v="Stitching Spares"/>
    <s v="Spares &amp; Stores"/>
    <s v="Stores &amp; Consumables"/>
    <s v="Revers Feed Control Lever 213-88004"/>
    <n v="2"/>
    <n v="2412"/>
  </r>
  <r>
    <x v="1"/>
    <s v="Plastene Polyfilms Limited"/>
    <d v="2023-05-15T00:00:00"/>
    <s v="K.P. Woven Pvt Ltd - Unit 2 -Sales"/>
    <s v="Sales"/>
    <n v="87"/>
    <x v="1"/>
    <s v="PPL/D/87"/>
    <d v="2023-05-15T00:00:00"/>
    <s v="Stores/Spares"/>
    <s v="Stitching Spares"/>
    <s v="Spares &amp; Stores"/>
    <s v="Stores &amp; Consumables"/>
    <s v="Sliding Plate (Right) 213-49709"/>
    <n v="2"/>
    <n v="1962"/>
  </r>
  <r>
    <x v="1"/>
    <s v="Plastene Polyfilms Limited"/>
    <d v="2023-05-15T00:00:00"/>
    <s v="Plastene India ltd - Unit 6-Sales"/>
    <s v="Sales"/>
    <n v="88"/>
    <x v="1"/>
    <s v="PPL/D/88"/>
    <d v="2023-05-15T00:00:00"/>
    <s v="Consumables"/>
    <s v="Oil &amp; Greases"/>
    <s v="Spares &amp; Stores"/>
    <s v="Stores &amp; Consumables"/>
    <s v="White Oil:- 12 No"/>
    <n v="630"/>
    <n v="53550"/>
  </r>
  <r>
    <x v="1"/>
    <s v="Plastene Polyfilms Limited"/>
    <d v="2023-05-15T00:00:00"/>
    <s v="Plastene India ltd - Unit 6-Sales"/>
    <s v="Sales"/>
    <n v="89"/>
    <x v="1"/>
    <s v="PPL/D/89"/>
    <d v="2023-05-15T00:00:00"/>
    <s v="Consumables"/>
    <s v="Adhesive Tapes"/>
    <s v="Spares &amp; Stores"/>
    <s v="Stores &amp; Consumables"/>
    <s v="Glue Tape 19 mm X 1 mm Thicknes - 10 Meter Roll"/>
    <n v="80"/>
    <n v="10880"/>
  </r>
  <r>
    <x v="1"/>
    <s v="Plastene Polyfilms Limited"/>
    <d v="2023-05-15T00:00:00"/>
    <s v="Plastene India ltd - Unit 6-Sales"/>
    <s v="Sales"/>
    <n v="90"/>
    <x v="1"/>
    <s v="PPL/D/90"/>
    <d v="2023-05-15T00:00:00"/>
    <s v="FG"/>
    <s v="FIBC Bags"/>
    <s v="FIBC Bags"/>
    <s v="FIBC"/>
    <s v="FIBC Bags With UV Without Liner"/>
    <n v="771"/>
    <n v="127731.57"/>
  </r>
  <r>
    <x v="1"/>
    <s v="Plastene Polyfilms Limited"/>
    <d v="2023-05-15T00:00:00"/>
    <s v="Plastene India ltd - Unit 6-Sales"/>
    <s v="Sales"/>
    <n v="90"/>
    <x v="1"/>
    <s v="PPL/D/90"/>
    <d v="2023-05-15T00:00:00"/>
    <s v="FG"/>
    <s v="FIBC Bags"/>
    <s v="FIBC Bags"/>
    <s v="FIBC"/>
    <s v="FIBC Bags With UV Without Liner"/>
    <n v="432"/>
    <n v="73202.399999999994"/>
  </r>
  <r>
    <x v="1"/>
    <s v="Plastene Polyfilms Limited"/>
    <d v="2023-05-15T00:00:00"/>
    <s v="Plastene India ltd - Unit 6-Sales"/>
    <s v="Sales"/>
    <n v="90"/>
    <x v="1"/>
    <s v="PPL/D/90"/>
    <d v="2023-05-15T00:00:00"/>
    <s v="FG"/>
    <s v="FIBC Bags"/>
    <s v="FIBC Bags"/>
    <s v="FIBC"/>
    <s v="FIBC Bags With UV Without Liner"/>
    <n v="1534"/>
    <n v="253585.54"/>
  </r>
  <r>
    <x v="1"/>
    <s v="Plastene Polyfilms Limited"/>
    <d v="2023-05-16T00:00:00"/>
    <s v="K.P. Woven Pvt Ltd - Unit 3 -Sales"/>
    <s v="Export Sales"/>
    <s v="PPL/E/40/23-24"/>
    <x v="6"/>
    <s v="PPL/E/40/23-24"/>
    <d v="2023-05-16T00:00:00"/>
    <s v="FG"/>
    <s v="FIBC Bags"/>
    <s v="FIBC Bags"/>
    <s v="FIBC"/>
    <s v="FIBC Bags With UV Without Liner"/>
    <n v="255"/>
    <n v="47741.100000000006"/>
  </r>
  <r>
    <x v="1"/>
    <s v="Plastene Polyfilms Limited"/>
    <d v="2023-05-16T00:00:00"/>
    <s v="K.P. Woven Pvt Ltd - Unit 3 -Sales"/>
    <s v="Export Sales"/>
    <s v="PPL/E/40/23-24"/>
    <x v="6"/>
    <s v="PPL/E/40/23-24"/>
    <d v="2023-05-16T00:00:00"/>
    <s v="FG"/>
    <s v="FIBC Bags"/>
    <s v="FIBC Bags"/>
    <s v="FIBC"/>
    <s v="FIBC Bags With UV Without Liner"/>
    <n v="557.6"/>
    <n v="104393.872"/>
  </r>
  <r>
    <x v="1"/>
    <s v="Plastene Polyfilms Limited"/>
    <d v="2023-05-16T00:00:00"/>
    <s v="K.P. Woven Pvt Ltd - Unit 3 -Sales"/>
    <s v="Export Sales"/>
    <s v="PPL/E/41/23-24"/>
    <x v="6"/>
    <s v="PPL/E/41/23-24"/>
    <d v="2023-05-16T00:00:00"/>
    <s v="FG"/>
    <s v="FIBC Bags"/>
    <s v="FIBC Bags"/>
    <s v="FIBC"/>
    <s v="FIBC Bags With UV Without Liner"/>
    <n v="252.6"/>
    <n v="47291.772000000004"/>
  </r>
  <r>
    <x v="1"/>
    <s v="Plastene Polyfilms Limited"/>
    <d v="2023-05-16T00:00:00"/>
    <s v="K.P. Woven Pvt Ltd - Unit 3 -Sales"/>
    <s v="Export Sales"/>
    <s v="PPL/E/41/23-24"/>
    <x v="6"/>
    <s v="PPL/E/41/23-24"/>
    <d v="2023-05-16T00:00:00"/>
    <s v="FG"/>
    <s v="FIBC Bags"/>
    <s v="FIBC Bags"/>
    <s v="FIBC"/>
    <s v="FIBC Bags With UV Without Liner"/>
    <n v="559.79999999999995"/>
    <n v="104805.75600000001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2523"/>
    <n v="423107.1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404"/>
    <n v="72190.759999999995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852.6"/>
    <n v="145513.24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869"/>
    <n v="152996.14000000001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2003"/>
    <n v="363764.83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1140.8"/>
    <n v="196080.7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2026.6"/>
    <n v="336983.05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4043.5"/>
    <n v="624033.36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5482.4"/>
    <n v="1009200.19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1095"/>
    <n v="162771.75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726.9"/>
    <n v="395564.11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7911.3"/>
    <n v="1133847.52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016.5"/>
    <n v="286786.63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020.8"/>
    <n v="295885.53999999998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174.5"/>
    <n v="315345.99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1752.3"/>
    <n v="254521.58"/>
  </r>
  <r>
    <x v="1"/>
    <s v="Plastene Polyfilms Limited"/>
    <d v="2023-05-18T00:00:00"/>
    <s v="K.P. Woven Pvt Ltd - Unit 3 -Sales"/>
    <s v="Export Sales"/>
    <s v="PPL/E/43/23-24"/>
    <x v="6"/>
    <s v="PPL/E/43/23-24"/>
    <d v="2023-05-18T00:00:00"/>
    <s v="FG"/>
    <s v="FIBC Bags"/>
    <s v="FIBC Bags"/>
    <s v="FIBC"/>
    <s v="FIBC Bags With UV Without Liner"/>
    <n v="17.5"/>
    <n v="3086.0479999999998"/>
  </r>
  <r>
    <x v="1"/>
    <s v="Plastene Polyfilms Limited"/>
    <d v="2023-05-18T00:00:00"/>
    <s v="K.P. Woven Pvt Ltd - Unit 3 -Sales"/>
    <s v="Export Sales"/>
    <s v="PPL/E/44/23-24"/>
    <x v="6"/>
    <s v="PPL/E/44/23-24"/>
    <d v="2023-05-18T00:00:00"/>
    <s v="FG"/>
    <s v="FIBC Bags"/>
    <s v="FIBC Bags"/>
    <s v="FIBC"/>
    <s v="FIBC Bags With UV Without Liner"/>
    <n v="192.2"/>
    <n v="39304.9"/>
  </r>
  <r>
    <x v="1"/>
    <s v="Plastene Polyfilms Limited"/>
    <d v="2023-05-18T00:00:00"/>
    <s v="K.P. Woven Pvt Ltd - Unit 3 -Sales"/>
    <s v="Export Sales"/>
    <s v="PPL/E/45/23-24"/>
    <x v="6"/>
    <s v="PPL/E/45/23-24"/>
    <d v="2023-05-18T00:00:00"/>
    <s v="FG"/>
    <s v="FIBC Bags"/>
    <s v="FIBC Bags"/>
    <s v="FIBC"/>
    <s v="FIBC Bags With UV Without Liner"/>
    <n v="580.79999999999995"/>
    <n v="114272.40000000001"/>
  </r>
  <r>
    <x v="1"/>
    <s v="Plastene Polyfilms Limited"/>
    <d v="2023-05-18T00:00:00"/>
    <s v="K.P. Woven Pvt Ltd - Unit 3 -Sales"/>
    <s v="Export Sales"/>
    <s v="PPL/E/46/23-24"/>
    <x v="6"/>
    <s v="PPL/E/46/23-24"/>
    <d v="2023-05-18T00:00:00"/>
    <s v="FG"/>
    <s v="FIBC Bags"/>
    <s v="FIBC Bags"/>
    <s v="FIBC"/>
    <s v="FIBC Bags With UV Without Liner"/>
    <n v="1598.8"/>
    <n v="299327.33600000001"/>
  </r>
  <r>
    <x v="1"/>
    <s v="Plastene Polyfilms Limited"/>
    <d v="2023-05-18T00:00:00"/>
    <s v="K.P. Woven Pvt Ltd - Unit 3 -Sales"/>
    <s v="Export Sales"/>
    <s v="PPL/E/47/23-24"/>
    <x v="4"/>
    <s v="PPL/E/47/23-24"/>
    <d v="2023-05-18T00:00:00"/>
    <s v="FG"/>
    <s v="FIBC Bags"/>
    <s v="FIBC Bags"/>
    <s v="FIBC"/>
    <s v="FIBC Bags With UV Without Liner"/>
    <n v="3365.4"/>
    <n v="630070.18800000008"/>
  </r>
  <r>
    <x v="1"/>
    <s v="Plastene Polyfilms Limited"/>
    <d v="2023-05-18T00:00:00"/>
    <s v="K.P. Woven Pvt Ltd - Unit 3 -Sales"/>
    <s v="Export Sales"/>
    <s v="PPL/E/47/23-24"/>
    <x v="4"/>
    <s v="PPL/E/47/23-24"/>
    <d v="2023-05-18T00:00:00"/>
    <s v="FG"/>
    <s v="FIBC Bags"/>
    <s v="FIBC Bags"/>
    <s v="FIBC"/>
    <s v="FIBC Bags With UV Without Liner"/>
    <n v="4800.3999999999996"/>
    <n v="898730.88800000004"/>
  </r>
  <r>
    <x v="1"/>
    <s v="Plastene Polyfilms Limited"/>
    <d v="2023-05-19T00:00:00"/>
    <s v="Plastene India ltd - Unit 1-Sales"/>
    <s v="Sales"/>
    <n v="95"/>
    <x v="1"/>
    <s v="PPL/D/95"/>
    <d v="2023-05-19T00:00:00"/>
    <s v="SF"/>
    <s v="PP/PE Fabric"/>
    <s v="PP UL Fabric"/>
    <s v="PP WOVEN FABRIC"/>
    <s v="PP UL Fabric CutPcs With UV"/>
    <n v="111"/>
    <n v="14212.66"/>
  </r>
  <r>
    <x v="1"/>
    <s v="Plastene Polyfilms Limited"/>
    <d v="2023-05-20T00:00:00"/>
    <s v="Plastene India ltd - Unit 1-Sales"/>
    <s v="Sales"/>
    <n v="97"/>
    <x v="1"/>
    <s v="PPL/D/97"/>
    <d v="2023-05-20T00:00:00"/>
    <s v="FG"/>
    <s v="FIBC Bags"/>
    <s v="FIBC Bags"/>
    <s v="FIBC"/>
    <s v="FIBC Bags With UV Without Liner"/>
    <n v="19769.8"/>
    <n v="2900229.66"/>
  </r>
  <r>
    <x v="1"/>
    <s v="Plastene Polyfilms Limited"/>
    <d v="2023-05-20T00:00:00"/>
    <s v="Plastene India ltd - Unit 6-Sales"/>
    <s v="Sales"/>
    <n v="98"/>
    <x v="1"/>
    <s v="PPL/D/98"/>
    <d v="2023-05-20T00:00:00"/>
    <s v="SF"/>
    <s v="Liners"/>
    <s v="LDPE/LLDPE Bags"/>
    <s v="Stores &amp; Consumables"/>
    <s v="LDPE/LLDPE Bags/Liner"/>
    <n v="56.2"/>
    <n v="8017.21"/>
  </r>
  <r>
    <x v="1"/>
    <s v="Plastene Polyfilms Limited"/>
    <d v="2023-05-22T00:00:00"/>
    <s v="Oswal Extrusion Ltd- KASEZ-Sales"/>
    <s v="Export Sales"/>
    <s v="PPL/E/48/23-24"/>
    <x v="6"/>
    <s v="PPL/E/48/23-24"/>
    <d v="2023-05-22T00:00:00"/>
    <s v="Stores/Spares"/>
    <s v="Gears"/>
    <s v="Spares &amp; Stores"/>
    <s v="Stores &amp; Consumables"/>
    <s v="Gear 22 T ( 8049 )"/>
    <n v="2"/>
    <n v="1200"/>
  </r>
  <r>
    <x v="1"/>
    <s v="Plastene Polyfilms Limited"/>
    <d v="2023-05-22T00:00:00"/>
    <s v="Oswal Extrusion Ltd- KASEZ-Sales"/>
    <s v="Export Sales"/>
    <s v="PPL/E/48/23-24"/>
    <x v="6"/>
    <s v="PPL/E/48/23-24"/>
    <d v="2023-05-22T00:00:00"/>
    <s v="Stores/Spares"/>
    <s v="Needle Loom Spares"/>
    <s v="Spares &amp; Stores"/>
    <s v="Stores &amp; Consumables"/>
    <s v="Pinion Intermediate  8234"/>
    <n v="2"/>
    <n v="1400"/>
  </r>
  <r>
    <x v="1"/>
    <s v="Plastene Polyfilms Limited"/>
    <d v="2023-05-22T00:00:00"/>
    <s v="Plastene India ltd - Unit 1-Sales"/>
    <s v="Sales"/>
    <n v="100"/>
    <x v="1"/>
    <s v="PPL/D/100"/>
    <d v="2023-05-22T00:00:00"/>
    <s v="RM"/>
    <s v="Granules"/>
    <s v="Filler"/>
    <s v="FILLER CACO3"/>
    <s v="Filler Everplus E102 PP"/>
    <n v="1000"/>
    <n v="29030"/>
  </r>
  <r>
    <x v="1"/>
    <s v="Plastene Polyfilms Limited"/>
    <d v="2023-05-22T00:00:00"/>
    <s v="Plastene India ltd - Unit 1-Sales"/>
    <s v="Sales"/>
    <n v="101"/>
    <x v="0"/>
    <s v="PPL/D/101"/>
    <d v="2023-05-22T00:00:00"/>
    <s v="Consumables"/>
    <s v="Consumables"/>
    <s v="Spares &amp; Stores"/>
    <s v="Stores &amp; Consumables"/>
    <s v="White Sheet Felt 07 mm +/- 1 mm"/>
    <n v="5.83"/>
    <n v="1084.3800000000001"/>
  </r>
  <r>
    <x v="1"/>
    <s v="Plastene Polyfilms Limited"/>
    <d v="2023-05-22T00:00:00"/>
    <s v="Plastene India ltd - Unit 6-Sales"/>
    <s v="Sales"/>
    <n v="99"/>
    <x v="0"/>
    <s v="PPL/D/99"/>
    <d v="2023-05-22T00:00:00"/>
    <s v="Stores/Spares"/>
    <s v="Stitching Spares"/>
    <s v="Spares &amp; Stores"/>
    <s v="Stores &amp; Consumables"/>
    <s v="Ball Stud 81349"/>
    <n v="10"/>
    <n v="1800"/>
  </r>
  <r>
    <x v="1"/>
    <s v="Plastene Polyfilms Limited"/>
    <d v="2023-05-23T00:00:00"/>
    <s v="K.P. Woven Pvt Ltd-Sales"/>
    <s v="Sales"/>
    <n v="102"/>
    <x v="1"/>
    <s v="PPL/D/102"/>
    <d v="2023-05-23T00:00:00"/>
    <s v="FG"/>
    <s v="FIBC Bags"/>
    <s v="FIBC Bags"/>
    <s v="FIBC"/>
    <s v="FIBC Bags With UV With Liner"/>
    <n v="20859.8"/>
    <n v="3572032.15"/>
  </r>
  <r>
    <x v="1"/>
    <s v="Plastene Polyfilms Limited"/>
    <d v="2023-05-23T00:00:00"/>
    <s v="Plastene India ltd - Unit 1-Sales"/>
    <s v="Sales"/>
    <n v="103"/>
    <x v="1"/>
    <s v="PPL/D/103"/>
    <d v="2023-05-23T00:00:00"/>
    <s v="SF"/>
    <s v="Tape Stock"/>
    <s v="PP Tapes"/>
    <s v="PP TAPE"/>
    <s v="PP Tapes"/>
    <n v="262.2"/>
    <n v="27542.01"/>
  </r>
  <r>
    <x v="1"/>
    <s v="Plastene Polyfilms Limited"/>
    <d v="2023-05-24T00:00:00"/>
    <s v="K.P. Woven Pvt Ltd-Sales"/>
    <s v="Sales"/>
    <n v="105"/>
    <x v="1"/>
    <s v="PPL/D/105"/>
    <d v="2023-05-24T00:00:00"/>
    <s v="Stores/Spares"/>
    <s v="Needles"/>
    <s v="Spares &amp; Stores"/>
    <s v="Stores &amp; Consumables"/>
    <s v="Needle No 34 UY 9853 GA 430/172"/>
    <n v="200"/>
    <n v="46000"/>
  </r>
  <r>
    <x v="1"/>
    <s v="Plastene Polyfilms Limited"/>
    <d v="2023-05-24T00:00:00"/>
    <s v="K.P. Woven Pvt Ltd-Sales"/>
    <s v="Sales"/>
    <n v="105"/>
    <x v="1"/>
    <s v="PPL/D/105"/>
    <d v="2023-05-24T00:00:00"/>
    <s v="Stores/Spares"/>
    <s v="Needles"/>
    <s v="Spares &amp; Stores"/>
    <s v="Stores &amp; Consumables"/>
    <s v="Needle No 29 UY 9848 GS 300"/>
    <n v="50"/>
    <n v="8598.5"/>
  </r>
  <r>
    <x v="1"/>
    <s v="Plastene Polyfilms Limited"/>
    <d v="2023-05-24T00:00:00"/>
    <s v="Plastene India ltd - Unit 1-Sales"/>
    <s v="Sales"/>
    <n v="107"/>
    <x v="1"/>
    <s v="PPL/D/107"/>
    <d v="2023-05-24T00:00:00"/>
    <s v="SF"/>
    <s v="Liners"/>
    <s v="LDPE/LLDPE Bags"/>
    <s v="BAGS (Lebel)"/>
    <s v="LDPE/LLDPE Bags/Liner"/>
    <n v="21"/>
    <n v="2659.76"/>
  </r>
  <r>
    <x v="1"/>
    <s v="Plastene Polyfilms Limited"/>
    <d v="2023-05-24T00:00:00"/>
    <s v="Plastene India ltd - Unit 6-Sales"/>
    <s v="Sales"/>
    <n v="104"/>
    <x v="1"/>
    <s v="PPL/D/104"/>
    <d v="2023-05-24T00:00:00"/>
    <s v="FG"/>
    <s v="FIBC Bags"/>
    <s v="FIBC Bags"/>
    <s v="FIBC"/>
    <s v="FIBC Bags With UV Without Liner"/>
    <n v="418"/>
    <n v="75729.06"/>
  </r>
  <r>
    <x v="1"/>
    <s v="Plastene Polyfilms Limited"/>
    <d v="2023-05-24T00:00:00"/>
    <s v="Plastene India ltd - Unit 6-Sales"/>
    <s v="Sales"/>
    <n v="104"/>
    <x v="1"/>
    <s v="PPL/D/104"/>
    <d v="2023-05-24T00:00:00"/>
    <s v="FG"/>
    <s v="FIBC Bags"/>
    <s v="FIBC Bags"/>
    <s v="FIBC"/>
    <s v="FIBC Bags With UV Without Liner"/>
    <n v="1650.7"/>
    <n v="323504.19"/>
  </r>
  <r>
    <x v="1"/>
    <s v="Plastene Polyfilms Limited"/>
    <d v="2023-05-24T00:00:00"/>
    <s v="Plastene India ltd - Unit 6-Sales"/>
    <s v="Sales"/>
    <n v="104"/>
    <x v="1"/>
    <s v="PPL/D/104"/>
    <d v="2023-05-24T00:00:00"/>
    <s v="FG"/>
    <s v="FIBC Bags"/>
    <s v="FIBC Bags"/>
    <s v="FIBC"/>
    <s v="FIBC Bags With UV Without Liner"/>
    <n v="890"/>
    <n v="150543.5"/>
  </r>
  <r>
    <x v="1"/>
    <s v="Plastene Polyfilms Limited"/>
    <d v="2023-05-24T00:00:00"/>
    <s v="Plastene India ltd - Unit 6-Sales"/>
    <s v="Sales"/>
    <n v="104"/>
    <x v="1"/>
    <s v="PPL/D/104"/>
    <d v="2023-05-24T00:00:00"/>
    <s v="SF"/>
    <s v="PP/PE Fabric"/>
    <s v="PP UL Fabric"/>
    <s v="FIBC"/>
    <s v="PP UL Fabric With UV"/>
    <n v="1078"/>
    <n v="124015.28"/>
  </r>
  <r>
    <x v="1"/>
    <s v="Plastene Polyfilms Limited"/>
    <d v="2023-05-24T00:00:00"/>
    <s v="Plastene India ltd - Unit 6-Sales"/>
    <s v="Sales"/>
    <n v="104"/>
    <x v="1"/>
    <s v="PPL/D/104"/>
    <d v="2023-05-24T00:00:00"/>
    <s v="SF"/>
    <s v="PP/PE Fabric"/>
    <s v="PP UL Fabric"/>
    <s v="PP WOVEN FABRIC"/>
    <s v="PP UL Fabric Without UV"/>
    <n v="1159.5"/>
    <n v="133391.20000000001"/>
  </r>
  <r>
    <x v="1"/>
    <s v="Plastene Polyfilms Limited"/>
    <d v="2023-05-24T00:00:00"/>
    <s v="Plastene India ltd - Unit 6-Sales"/>
    <s v="Sales"/>
    <n v="106"/>
    <x v="1"/>
    <s v="PPL/D/106"/>
    <d v="2023-05-24T00:00:00"/>
    <s v="Stores/Spares"/>
    <s v="MS Structure Items"/>
    <s v="Spares &amp; Stores"/>
    <s v="Stores &amp; Consumables"/>
    <s v="MS Pipe"/>
    <n v="74"/>
    <n v="3552"/>
  </r>
  <r>
    <x v="1"/>
    <s v="Plastene Polyfilms Limited"/>
    <d v="2023-05-25T00:00:00"/>
    <s v="K.P. Woven Pvt Ltd - Unit 3 -Sales"/>
    <s v="Export Sales"/>
    <s v="PPL/E/51/23-24"/>
    <x v="6"/>
    <s v="PPL/E/51/23-24"/>
    <d v="2023-05-25T00:00:00"/>
    <s v="FG"/>
    <s v="FIBC Bags"/>
    <s v="FIBC Bags"/>
    <s v="FIBC"/>
    <s v="FIBC Bags With UV With Liner"/>
    <n v="7406.9"/>
    <n v="1389275.1984999999"/>
  </r>
  <r>
    <x v="1"/>
    <s v="Plastene Polyfilms Limited"/>
    <d v="2023-05-25T00:00:00"/>
    <s v="K.P. Woven Pvt Ltd-Sales"/>
    <s v="Sales"/>
    <n v="108"/>
    <x v="1"/>
    <s v="PPL/D/108"/>
    <d v="2023-05-25T00:00:00"/>
    <s v="FG"/>
    <s v="FIBC Bags"/>
    <s v="FIBC Bags"/>
    <s v="FIBC"/>
    <s v="FIBC Bags With UV Without Liner"/>
    <n v="4411.8"/>
    <n v="824609.54"/>
  </r>
  <r>
    <x v="1"/>
    <s v="Plastene Polyfilms Limited"/>
    <d v="2023-05-25T00:00:00"/>
    <s v="K.P. Woven Pvt Ltd-Sales"/>
    <s v="Sales"/>
    <n v="108"/>
    <x v="1"/>
    <s v="PPL/D/108"/>
    <d v="2023-05-25T00:00:00"/>
    <s v="FG"/>
    <s v="FIBC Bags"/>
    <s v="FIBC Bags"/>
    <s v="FIBC"/>
    <s v="FIBC Bags With UV Without Liner"/>
    <n v="6921.4"/>
    <n v="1096142.1200000001"/>
  </r>
  <r>
    <x v="1"/>
    <s v="Plastene Polyfilms Limited"/>
    <d v="2023-05-25T00:00:00"/>
    <s v="K.P. Woven Pvt Ltd-Sales"/>
    <s v="Sales"/>
    <n v="108"/>
    <x v="1"/>
    <s v="PPL/D/108"/>
    <d v="2023-05-25T00:00:00"/>
    <s v="FG"/>
    <s v="FIBC Bags"/>
    <s v="FIBC Bags"/>
    <s v="FIBC"/>
    <s v="FIBC Bags With UV Without Liner"/>
    <n v="10277.5"/>
    <n v="1909867.83"/>
  </r>
  <r>
    <x v="1"/>
    <s v="Plastene Polyfilms Limited"/>
    <d v="2023-05-25T00:00:00"/>
    <s v="Plastene India ltd - Unit 1-Sales"/>
    <s v="Sales"/>
    <n v="109"/>
    <x v="1"/>
    <s v="PPL/D/109"/>
    <d v="2023-05-25T00:00:00"/>
    <s v="SF"/>
    <s v="PP/PE Fabric"/>
    <s v="PP UL Fabric"/>
    <s v="PP WOVEN FABRIC"/>
    <s v="PP UL Fabric With UV"/>
    <n v="2263"/>
    <n v="248475.14"/>
  </r>
  <r>
    <x v="1"/>
    <s v="Plastene Polyfilms Limited"/>
    <d v="2023-05-25T00:00:00"/>
    <s v="Plastene India ltd - Unit 1-Sales"/>
    <s v="Sales"/>
    <n v="109"/>
    <x v="1"/>
    <s v="PPL/D/109"/>
    <d v="2023-05-25T00:00:00"/>
    <s v="SF"/>
    <s v="PP/PE Fabric"/>
    <s v="PP Lam Fabric"/>
    <s v="PP Laminated Fabric"/>
    <s v="PP Lam Fabric With UV"/>
    <n v="508"/>
    <n v="58571.89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442.6"/>
    <n v="71639.240000000005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454.6"/>
    <n v="70617.56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384.2"/>
    <n v="64676.23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1944.1"/>
    <n v="336329.3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1812.5"/>
    <n v="382872.5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7588.6"/>
    <n v="1164091.24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3299.6"/>
    <n v="576407.12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3359.6"/>
    <n v="565555.06000000006"/>
  </r>
  <r>
    <x v="1"/>
    <s v="Plastene Polyfilms Limited"/>
    <d v="2023-05-26T00:00:00"/>
    <s v="Plastene India ltd - Unit 1-Sales"/>
    <s v="Sales"/>
    <n v="112"/>
    <x v="1"/>
    <s v="PPL/D/112"/>
    <d v="2023-05-26T00:00:00"/>
    <s v="SF"/>
    <s v="PP/PE Fabric"/>
    <s v="PP UL Fabric"/>
    <s v="PP WOVEN FABRIC"/>
    <s v="PP UL Fabric With UV"/>
    <n v="654"/>
    <n v="83058"/>
  </r>
  <r>
    <x v="1"/>
    <s v="Plastene Polyfilms Limited"/>
    <d v="2023-05-26T00:00:00"/>
    <s v="Plastene India ltd - Unit 1-Sales"/>
    <s v="Sales"/>
    <n v="113"/>
    <x v="1"/>
    <s v="PPL/D/113"/>
    <d v="2023-05-26T00:00:00"/>
    <s v="FG"/>
    <s v="FIBC Bags"/>
    <s v="FIBC Bags"/>
    <s v="FIBC"/>
    <s v="FIBC Bags With UV With Liner"/>
    <n v="9661"/>
    <n v="1733569.84"/>
  </r>
  <r>
    <x v="1"/>
    <s v="Plastene Polyfilms Limited"/>
    <d v="2023-05-27T00:00:00"/>
    <s v="Plastene India ltd - Unit 1-Sales"/>
    <s v="Sales"/>
    <n v="114"/>
    <x v="1"/>
    <s v="PPL/D/114"/>
    <d v="2023-05-27T00:00:00"/>
    <s v="SF"/>
    <s v="Granules"/>
    <s v="RP Granules"/>
    <s v="REPROCESSED GRANULE"/>
    <s v="RP Granules"/>
    <n v="2500"/>
    <n v="212975"/>
  </r>
  <r>
    <x v="1"/>
    <s v="Plastene Polyfilms Limited"/>
    <d v="2023-05-29T00:00:00"/>
    <s v="K.P. Woven Pvt Ltd - Unit 3 -Sales"/>
    <s v="Export Sales"/>
    <s v="PPL/E/54/23-24"/>
    <x v="6"/>
    <s v="PPL/E/54/23-24"/>
    <d v="2023-05-29T00:00:00"/>
    <s v="FG"/>
    <s v="FIBC Bags"/>
    <s v="FIBC Bags"/>
    <s v="FIBC"/>
    <s v="FIBC Bags With UV Without Liner"/>
    <n v="2040.4"/>
    <n v="382707.62599999999"/>
  </r>
  <r>
    <x v="1"/>
    <s v="Plastene Polyfilms Limited"/>
    <d v="2023-05-29T00:00:00"/>
    <s v="K.P. Woven Pvt Ltd - Unit 3 -Sales"/>
    <s v="Export Sales"/>
    <s v="PPL/E/54/23-24"/>
    <x v="6"/>
    <s v="PPL/E/54/23-24"/>
    <d v="2023-05-29T00:00:00"/>
    <s v="FG"/>
    <s v="FIBC Bags"/>
    <s v="FIBC Bags"/>
    <s v="FIBC"/>
    <s v="FIBC Bags With UV With Liner"/>
    <n v="4855.1000000000004"/>
    <n v="910646.83149999997"/>
  </r>
  <r>
    <x v="1"/>
    <s v="Plastene Polyfilms Limited"/>
    <d v="2023-05-29T00:00:00"/>
    <s v="K.P. Woven Pvt Ltd-Sales"/>
    <s v="Sales"/>
    <n v="116"/>
    <x v="1"/>
    <s v="PPL/D/116"/>
    <d v="2023-05-29T00:00:00"/>
    <s v="SF"/>
    <s v="PP/PE Fabric"/>
    <s v="PP Lam Fabric"/>
    <s v="PP Laminated Fabric"/>
    <s v="PP Lam Fabric CutPcs With UV"/>
    <n v="3557"/>
    <n v="509967.09"/>
  </r>
  <r>
    <x v="1"/>
    <s v="Plastene Polyfilms Limited"/>
    <d v="2023-05-29T00:00:00"/>
    <s v="K.P. Woven Pvt Ltd-Sales"/>
    <s v="Sales"/>
    <n v="116"/>
    <x v="1"/>
    <s v="PPL/D/116"/>
    <d v="2023-05-29T00:00:00"/>
    <s v="SF"/>
    <s v="PP/PE Fabric"/>
    <s v="PP UL Fabric"/>
    <s v="PP WOVEN FABRIC"/>
    <s v="PP UL Fabric CutPcs With UV"/>
    <n v="3051"/>
    <n v="437421.87"/>
  </r>
  <r>
    <x v="1"/>
    <s v="Plastene Polyfilms Limited"/>
    <d v="2023-05-29T00:00:00"/>
    <s v="K.P. Woven Pvt Ltd-Sales"/>
    <s v="Sales"/>
    <n v="116"/>
    <x v="1"/>
    <s v="PPL/D/116"/>
    <d v="2023-05-29T00:00:00"/>
    <s v="SF"/>
    <s v="PP/PE Fabric"/>
    <s v="PP UL Fabric"/>
    <s v="PP WOVEN FABRIC"/>
    <s v="PP UL Fabric CutPcs With UV"/>
    <n v="964"/>
    <n v="138208.68"/>
  </r>
  <r>
    <x v="1"/>
    <s v="Plastene Polyfilms Limited"/>
    <d v="2023-05-29T00:00:00"/>
    <s v="K.P. Woven Pvt Ltd-Sales"/>
    <s v="Sales"/>
    <n v="116"/>
    <x v="1"/>
    <s v="PPL/D/116"/>
    <d v="2023-05-29T00:00:00"/>
    <s v="SF"/>
    <s v="Webbing"/>
    <s v="PP Webbing"/>
    <s v="PP Webbing"/>
    <s v="Webbing"/>
    <n v="13209.8"/>
    <n v="1685306.28"/>
  </r>
  <r>
    <x v="1"/>
    <s v="Plastene Polyfilms Limited"/>
    <d v="2023-05-29T00:00:00"/>
    <s v="Oswal Extrusion Ltd- KASEZ-Sales"/>
    <s v="SALES (FOREX)"/>
    <s v="PPL/E/53/23-24"/>
    <x v="6"/>
    <s v="PPL/E/53/23-24"/>
    <d v="2023-05-29T00:00:00"/>
    <s v="SF"/>
    <s v="Yarn All"/>
    <s v="PP Yarn"/>
    <s v="Yarn"/>
    <s v="PP Fibrillated Tape Twisted 3200 MW"/>
    <n v="855.6"/>
    <n v="124917.6"/>
  </r>
  <r>
    <x v="1"/>
    <s v="Plastene Polyfilms Limited"/>
    <d v="2023-05-29T00:00:00"/>
    <s v="Oswal Extrusion Ltd- KASEZ-Sales"/>
    <s v="SALES (FOREX)"/>
    <s v="PPL/E/55/23-24"/>
    <x v="6"/>
    <s v="PPL/E/55/23-24"/>
    <d v="2023-05-29T00:00:00"/>
    <s v="SF"/>
    <s v="Yarn All"/>
    <s v="PP Yarn"/>
    <s v="PP TAPE"/>
    <s v="PP Conductive Tape 1100 Black"/>
    <n v="1341"/>
    <n v="654408"/>
  </r>
  <r>
    <x v="1"/>
    <s v="Plastene Polyfilms Limited"/>
    <d v="2023-05-30T00:00:00"/>
    <s v="Plastene India ltd - Unit 1-Sales"/>
    <s v="Sales"/>
    <n v="118"/>
    <x v="1"/>
    <s v="PPL/D/118"/>
    <d v="2023-05-30T00:00:00"/>
    <s v="FG"/>
    <s v="FIBC Bags"/>
    <s v="FIBC Bags"/>
    <s v="FIBC"/>
    <s v="FIBC Bags With UV Without Liner"/>
    <n v="350.1"/>
    <n v="54510.57"/>
  </r>
  <r>
    <x v="1"/>
    <s v="Plastene Polyfilms Limited"/>
    <d v="2023-05-30T00:00:00"/>
    <s v="Plastene India ltd - Unit 2-Sales"/>
    <s v="Sales"/>
    <n v="117"/>
    <x v="1"/>
    <s v="PPL/D/117"/>
    <d v="2023-05-30T00:00:00"/>
    <s v="SF"/>
    <s v="PP/PE Fabric"/>
    <s v="PP Lam Fabric"/>
    <s v="PP Laminated Fabric"/>
    <s v="PP Lam Fabric With UV"/>
    <n v="517"/>
    <n v="64905.21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out Liner"/>
    <n v="1943.2"/>
    <n v="368430.72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out Liner"/>
    <n v="2983.3"/>
    <n v="587143.27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out Liner"/>
    <n v="4976.8"/>
    <n v="927526.22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 Liner"/>
    <n v="5738"/>
    <n v="1145017.8999999999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2356.3000000000002"/>
    <n v="437941.92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1585"/>
    <n v="267246.84999999998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1940.4"/>
    <n v="301518.76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6064.7"/>
    <n v="1100015.29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7019"/>
    <n v="1126479.31"/>
  </r>
  <r>
    <x v="2"/>
    <s v="Plastene Polyfilms Limited"/>
    <d v="2023-06-01T00:00:00"/>
    <s v="Plastene India ltd - Unit 6-Sales"/>
    <s v="Sales"/>
    <n v="123"/>
    <x v="1"/>
    <s v="PPL/D/123"/>
    <d v="2023-06-01T00:00:00"/>
    <s v="FG"/>
    <s v="FIBC Bags"/>
    <s v="FIBC Bags"/>
    <s v="FIBC"/>
    <s v="FIBC Bags With UV Without Liner"/>
    <n v="805.3"/>
    <n v="143689.68"/>
  </r>
  <r>
    <x v="2"/>
    <s v="Plastene Polyfilms Limited"/>
    <d v="2023-06-01T00:00:00"/>
    <s v="Plastene India ltd - Unit 6-Sales"/>
    <s v="Sales"/>
    <n v="123"/>
    <x v="1"/>
    <s v="PPL/D/123"/>
    <d v="2023-06-01T00:00:00"/>
    <s v="FG"/>
    <s v="FIBC Bags"/>
    <s v="FIBC Bags"/>
    <s v="FIBC"/>
    <s v="FIBC Bags With UV Without Liner"/>
    <n v="1590.4"/>
    <n v="275552.7"/>
  </r>
  <r>
    <x v="2"/>
    <s v="Plastene Polyfilms Limited"/>
    <d v="2023-06-01T00:00:00"/>
    <s v="Plastene India ltd - Unit 6-Sales"/>
    <s v="Sales"/>
    <n v="124"/>
    <x v="1"/>
    <s v="PPL/D/124"/>
    <d v="2023-06-01T00:00:00"/>
    <s v="SF"/>
    <s v="PP/PE Fabric"/>
    <s v="PP Lam Fabric"/>
    <s v="PP Laminated Fabric"/>
    <s v="PP Lam Fabric With UV"/>
    <n v="104"/>
    <n v="12172.37"/>
  </r>
  <r>
    <x v="2"/>
    <s v="Plastene Polyfilms Limited"/>
    <d v="2023-06-02T00:00:00"/>
    <s v="K.P. Woven Pvt Ltd - Unit 3 -Sales"/>
    <s v="Export Sales"/>
    <s v="PPL/E/58/23-24"/>
    <x v="6"/>
    <s v="PPL/E/58/23-24"/>
    <d v="2023-06-02T00:00:00"/>
    <s v="FG"/>
    <s v="FIBC Bags"/>
    <s v="FIBC Bags"/>
    <s v="FIBC"/>
    <s v="FIBC Bags With UV Without Liner"/>
    <n v="5076.1000000000004"/>
    <n v="952098.69650000008"/>
  </r>
  <r>
    <x v="2"/>
    <s v="Plastene Polyfilms Limited"/>
    <d v="2023-06-02T00:00:00"/>
    <s v="K.P. Woven Pvt Ltd - Unit 3 -Sales"/>
    <s v="Export Sales"/>
    <s v="PPL/E/58/23-24"/>
    <x v="6"/>
    <s v="PPL/E/58/23-24"/>
    <d v="2023-06-02T00:00:00"/>
    <s v="FG"/>
    <s v="FIBC Bags"/>
    <s v="FIBC Bags"/>
    <s v="FIBC"/>
    <s v="FIBC Bags With UV With Liner"/>
    <n v="4227"/>
    <n v="792837.255"/>
  </r>
  <r>
    <x v="2"/>
    <s v="Plastene Polyfilms Limited"/>
    <d v="2023-06-02T00:00:00"/>
    <s v="Plastene India ltd - Unit 1-Sales"/>
    <s v="Sales"/>
    <n v="125"/>
    <x v="1"/>
    <s v="PPL/D/125"/>
    <d v="2023-06-02T00:00:00"/>
    <s v="FG"/>
    <s v="FIBC Bags"/>
    <s v="FIBC Bags"/>
    <s v="FIBC"/>
    <s v="FIBC Bags With UV Without Liner"/>
    <n v="4259.3"/>
    <n v="620878.16"/>
  </r>
  <r>
    <x v="2"/>
    <s v="Plastene Polyfilms Limited"/>
    <d v="2023-06-02T00:00:00"/>
    <s v="Plastene India ltd - Unit 1-Sales"/>
    <s v="Sales"/>
    <n v="125"/>
    <x v="1"/>
    <s v="PPL/D/125"/>
    <d v="2023-06-02T00:00:00"/>
    <s v="FG"/>
    <s v="FIBC Bags"/>
    <s v="FIBC Bags"/>
    <s v="FIBC"/>
    <s v="FIBC Bags With UV Without Liner"/>
    <n v="448"/>
    <n v="75111.679999999993"/>
  </r>
  <r>
    <x v="2"/>
    <s v="Plastene Polyfilms Limited"/>
    <d v="2023-06-02T00:00:00"/>
    <s v="Plastene India ltd - Unit 1-Sales"/>
    <s v="Sales"/>
    <n v="128"/>
    <x v="1"/>
    <s v="PPL/D/128"/>
    <d v="2023-06-02T00:00:00"/>
    <s v="Stores/Spares"/>
    <s v="MS Structure Items"/>
    <s v="Spares &amp; Stores"/>
    <s v="Stores &amp; Consumables"/>
    <s v="MS Pipe"/>
    <n v="626"/>
    <n v="30048"/>
  </r>
  <r>
    <x v="2"/>
    <s v="Plastene Polyfilms Limited"/>
    <d v="2023-06-02T00:00:00"/>
    <s v="Plastene India ltd - Unit 6-Sales"/>
    <s v="Sales"/>
    <n v="126"/>
    <x v="1"/>
    <s v="PPL/D/126"/>
    <d v="2023-06-02T00:00:00"/>
    <s v="SF"/>
    <s v="PP/PE Fabric"/>
    <s v="PP Lam Fabric"/>
    <s v="PP Laminated Fabric"/>
    <s v="PP Lam Fabric With UV"/>
    <n v="176"/>
    <n v="22996.51"/>
  </r>
  <r>
    <x v="2"/>
    <s v="Plastene Polyfilms Limited"/>
    <d v="2023-06-02T00:00:00"/>
    <s v="Plastene India ltd - Unit 6-Sales"/>
    <s v="Sales"/>
    <n v="126"/>
    <x v="1"/>
    <s v="PPL/D/126"/>
    <d v="2023-06-02T00:00:00"/>
    <s v="SF"/>
    <s v="PP/PE Fabric"/>
    <s v="PP UL Fabric"/>
    <s v="PP WOVEN FABRIC"/>
    <s v="PP UL Fabric Without UV"/>
    <n v="315"/>
    <n v="38796.03"/>
  </r>
  <r>
    <x v="2"/>
    <s v="Plastene Polyfilms Limited"/>
    <d v="2023-06-02T00:00:00"/>
    <s v="Plastene India ltd - Unit 6-Sales"/>
    <s v="Sales"/>
    <n v="127"/>
    <x v="1"/>
    <s v="PPL/D/127"/>
    <d v="2023-06-02T00:00:00"/>
    <s v="Stores/Spares"/>
    <s v="MS Structure Items"/>
    <s v="Spares &amp; Stores"/>
    <s v="Stores &amp; Consumables"/>
    <s v="MS Pipe"/>
    <n v="14"/>
    <n v="672"/>
  </r>
  <r>
    <x v="2"/>
    <s v="Plastene Polyfilms Limited"/>
    <d v="2023-06-03T00:00:00"/>
    <s v="Plastene India ltd - Unit 1-Sales"/>
    <s v="Sales"/>
    <n v="129"/>
    <x v="1"/>
    <s v="PPL/D/129"/>
    <d v="2023-06-03T00:00:00"/>
    <s v="SF"/>
    <s v="PP/PE Fabric"/>
    <s v="PP UL Fabric"/>
    <s v="PP WOVEN FABRIC"/>
    <s v="PP UL Fabric With UV"/>
    <n v="199"/>
    <n v="22402.03"/>
  </r>
  <r>
    <x v="2"/>
    <s v="Plastene Polyfilms Limited"/>
    <d v="2023-06-03T00:00:00"/>
    <s v="Plastene India ltd - Unit 1-Sales"/>
    <s v="Sales"/>
    <n v="130"/>
    <x v="1"/>
    <s v="PPL/D/130"/>
    <d v="2023-06-03T00:00:00"/>
    <s v="Stores/Spares"/>
    <s v="MS Structure Items"/>
    <s v="Spares &amp; Stores"/>
    <s v="Stores &amp; Consumables"/>
    <s v="MS Pipe"/>
    <n v="19"/>
    <n v="912"/>
  </r>
  <r>
    <x v="2"/>
    <s v="Plastene Polyfilms Limited"/>
    <d v="2023-06-04T00:00:00"/>
    <s v="Plastene India ltd - Unit 1-Sales"/>
    <s v="Sales"/>
    <n v="131"/>
    <x v="1"/>
    <s v="PPL/D/131"/>
    <d v="2023-06-04T00:00:00"/>
    <s v="FG"/>
    <s v="FIBC Bags"/>
    <s v="FIBC Bags"/>
    <s v="FIBC"/>
    <s v="FIBC Bags With UV Without Liner"/>
    <n v="19948.7"/>
    <n v="3393672.84"/>
  </r>
  <r>
    <x v="2"/>
    <s v="Plastene Polyfilms Limited"/>
    <d v="2023-06-05T00:00:00"/>
    <s v="Oswal Extrusion Ltd- KASEZ-Sales"/>
    <s v="SALES (FOREX)"/>
    <s v="PPL/E/59/23-24"/>
    <x v="4"/>
    <s v="PPL/E/59/23-24"/>
    <d v="2023-06-05T00:00:00"/>
    <s v="Stores/Spares"/>
    <s v="Needles"/>
    <s v="Spares &amp; Stores"/>
    <s v="Stores &amp; Consumables"/>
    <s v="Needle No 34 UY 9853 GA 430/172"/>
    <n v="0.47699999999999998"/>
    <n v="21000"/>
  </r>
  <r>
    <x v="2"/>
    <s v="Plastene Polyfilms Limited"/>
    <d v="2023-06-06T00:00:00"/>
    <s v="Plastene India ltd - Unit 1-Sales"/>
    <s v="Sales"/>
    <n v="132"/>
    <x v="1"/>
    <s v="PPL/D/132"/>
    <d v="2023-06-06T00:00:00"/>
    <s v="FG"/>
    <s v="FIBC Bags"/>
    <s v="FIBC Bags"/>
    <s v="FIBC"/>
    <s v="FIBC Bags With UV Without Liner"/>
    <n v="4660.3999999999996"/>
    <n v="781362.66"/>
  </r>
  <r>
    <x v="2"/>
    <s v="Plastene Polyfilms Limited"/>
    <d v="2023-06-06T00:00:00"/>
    <s v="Plastene India ltd - Unit 1-Sales"/>
    <s v="Sales"/>
    <n v="132"/>
    <x v="1"/>
    <s v="PPL/D/132"/>
    <d v="2023-06-06T00:00:00"/>
    <s v="FG"/>
    <s v="FIBC Bags"/>
    <s v="FIBC Bags"/>
    <s v="FIBC"/>
    <s v="FIBC Bags With UV Without Liner"/>
    <n v="4722.7"/>
    <n v="778867.68"/>
  </r>
  <r>
    <x v="2"/>
    <s v="Plastene Polyfilms Limited"/>
    <d v="2023-06-06T00:00:00"/>
    <s v="Plastene India ltd - Unit 1-Sales"/>
    <s v="Sales"/>
    <n v="133"/>
    <x v="1"/>
    <s v="PPL/D/133"/>
    <d v="2023-06-06T00:00:00"/>
    <s v="SF"/>
    <s v="Wastage/Scrap"/>
    <s v="Wastage/Scrap"/>
    <s v="HD/PP WASTE"/>
    <s v="PP/HD Wastage/Scrap"/>
    <n v="2300"/>
    <n v="46000"/>
  </r>
  <r>
    <x v="2"/>
    <s v="Plastene Polyfilms Limited"/>
    <d v="2023-06-07T00:00:00"/>
    <s v="Plastene India ltd - Unit 1-Sales"/>
    <s v="Sales"/>
    <n v="138"/>
    <x v="0"/>
    <s v="PPL/D/138"/>
    <d v="2023-06-07T00:00:00"/>
    <s v="Stores/Spares"/>
    <s v="MS Structure Items"/>
    <s v="Spares &amp; Stores"/>
    <s v="Stores &amp; Consumables"/>
    <s v="MS Pipe"/>
    <n v="3580"/>
    <n v="171840"/>
  </r>
  <r>
    <x v="2"/>
    <s v="Plastene Polyfilms Limited"/>
    <d v="2023-06-07T00:00:00"/>
    <s v="Plastene India ltd - Unit 2-Sales"/>
    <s v="Sales"/>
    <n v="137"/>
    <x v="0"/>
    <s v="PPL/D/137"/>
    <d v="2023-06-07T00:00:00"/>
    <s v="Stores/Spares"/>
    <s v="Needles"/>
    <s v="Spares &amp; Stores"/>
    <s v="Stores &amp; Consumables"/>
    <s v="Needle No 29 UY 9848 GS 300"/>
    <n v="100"/>
    <n v="18200"/>
  </r>
  <r>
    <x v="2"/>
    <s v="Plastene Polyfilms Limited"/>
    <d v="2023-06-07T00:00:00"/>
    <s v="Plastene India ltd - Unit 2-Sales"/>
    <s v="Sales"/>
    <n v="137"/>
    <x v="0"/>
    <s v="PPL/D/137"/>
    <d v="2023-06-07T00:00:00"/>
    <s v="Stores/Spares"/>
    <s v="Needles"/>
    <s v="Spares &amp; Stores"/>
    <s v="Stores &amp; Consumables"/>
    <s v="Needle No 34 UY 9853 GA 430/172"/>
    <n v="100"/>
    <n v="21000"/>
  </r>
  <r>
    <x v="2"/>
    <s v="Plastene Polyfilms Limited"/>
    <d v="2023-06-07T00:00:00"/>
    <s v="Plastene India ltd - Unit 6-Sales"/>
    <s v="Sales"/>
    <n v="134"/>
    <x v="0"/>
    <s v="PPL/D/134"/>
    <d v="2023-06-07T00:00:00"/>
    <s v="Stores/Spares"/>
    <s v="Needles"/>
    <s v="Spares &amp; Stores"/>
    <s v="Stores &amp; Consumables"/>
    <s v="Needle No 28"/>
    <n v="100"/>
    <n v="7100"/>
  </r>
  <r>
    <x v="2"/>
    <s v="Plastene Polyfilms Limited"/>
    <d v="2023-06-07T00:00:00"/>
    <s v="Plastene India ltd - Unit 6-Sales"/>
    <s v="Sales"/>
    <n v="135"/>
    <x v="1"/>
    <s v="PPL/D/135"/>
    <d v="2023-06-07T00:00:00"/>
    <s v="Consumables"/>
    <s v="Oil &amp; Greases"/>
    <s v="Spares &amp; Stores"/>
    <s v="Stores &amp; Consumables"/>
    <s v="White Oil:- 12 No"/>
    <n v="420"/>
    <n v="34860"/>
  </r>
  <r>
    <x v="2"/>
    <s v="Plastene Polyfilms Limited"/>
    <d v="2023-06-07T00:00:00"/>
    <s v="Plastene India ltd - Unit 6-Sales"/>
    <s v="Sales"/>
    <n v="136"/>
    <x v="1"/>
    <s v="PPL/D/136"/>
    <d v="2023-06-07T00:00:00"/>
    <s v="SF"/>
    <s v="PP/PE Fabric"/>
    <s v="PP UL Fabric"/>
    <s v="PP WOVEN FABRIC"/>
    <s v="PP UL Fabric With UV"/>
    <n v="310"/>
    <n v="29267.1"/>
  </r>
  <r>
    <x v="2"/>
    <s v="Plastene Polyfilms Limited"/>
    <d v="2023-06-08T00:00:00"/>
    <s v="K.P. Woven Pvt Ltd - Unit 3 -Sales"/>
    <s v="Export Sales"/>
    <s v="PPL/E/61/23-24"/>
    <x v="6"/>
    <s v="PPL/E/61/23-24"/>
    <d v="2023-06-08T00:00:00"/>
    <s v="FG"/>
    <s v="FIBC Bags"/>
    <s v="FIBC Bags"/>
    <s v="FIBC"/>
    <s v="FIBC Bags With UV Without Liner"/>
    <n v="10072.700000000001"/>
    <n v="1889285.9754999999"/>
  </r>
  <r>
    <x v="2"/>
    <s v="Plastene Polyfilms Limited"/>
    <d v="2023-06-08T00:00:00"/>
    <s v="K.P. Woven Pvt Ltd - Unit 3 -Sales"/>
    <s v="Export Sales"/>
    <s v="PPL/E/62/23-24"/>
    <x v="6"/>
    <s v="PPL/E/62/23-24"/>
    <d v="2023-06-08T00:00:00"/>
    <s v="FG"/>
    <s v="FIBC Bags"/>
    <s v="FIBC Bags"/>
    <s v="FIBC"/>
    <s v="FIBC Bags With UV Without Liner"/>
    <n v="2886"/>
    <n v="541312.59"/>
  </r>
  <r>
    <x v="2"/>
    <s v="Plastene Polyfilms Limited"/>
    <d v="2023-06-08T00:00:00"/>
    <s v="Oswal Extrusion Ltd- KASEZ-Sales"/>
    <s v="SALES (FOREX)"/>
    <s v="PPL/E/60/23-24"/>
    <x v="4"/>
    <s v="PPL/E/60/23-24"/>
    <d v="2023-06-08T00:00:00"/>
    <s v="Stores/Spares"/>
    <s v="Needles"/>
    <s v="Spares &amp; Stores"/>
    <s v="Stores &amp; Consumables"/>
    <s v="Needle 25 No. Dpx17"/>
    <n v="0.52800000000000002"/>
    <n v="608"/>
  </r>
  <r>
    <x v="2"/>
    <s v="Plastene Polyfilms Limited"/>
    <d v="2023-06-08T00:00:00"/>
    <s v="Oswal Extrusion Ltd- KASEZ-Sales"/>
    <s v="SALES (FOREX)"/>
    <s v="PPL/E/63/23-24"/>
    <x v="4"/>
    <s v="PPL/E/63/23-24"/>
    <d v="2023-06-08T00:00:00"/>
    <s v="RM Consumables"/>
    <s v="FIBC Accessories"/>
    <s v="Spares &amp; Stores"/>
    <s v="Stores &amp; Consumables"/>
    <s v="Nylon Rope Lock - Natural Colour"/>
    <n v="4000"/>
    <n v="9400"/>
  </r>
  <r>
    <x v="2"/>
    <s v="Plastene Polyfilms Limited"/>
    <d v="2023-06-08T00:00:00"/>
    <s v="Plastene India ltd - Unit 1-Sales"/>
    <s v="Sales"/>
    <n v="139"/>
    <x v="1"/>
    <s v="PPL/D/139"/>
    <d v="2023-06-08T00:00:00"/>
    <s v="SF"/>
    <s v="PP/PE Fabric"/>
    <s v="PP UL Fabric"/>
    <s v="PP WOVEN FABRIC"/>
    <s v="PP UL Fabric With UV"/>
    <n v="1256.5"/>
    <n v="129972.36"/>
  </r>
  <r>
    <x v="2"/>
    <s v="Plastene Polyfilms Limited"/>
    <d v="2023-06-08T00:00:00"/>
    <s v="Plastene India ltd - Unit 1-Sales"/>
    <s v="Sales"/>
    <n v="139"/>
    <x v="1"/>
    <s v="PPL/D/139"/>
    <d v="2023-06-08T00:00:00"/>
    <s v="SF"/>
    <s v="PP/PE Fabric"/>
    <s v="PP Lam Fabric"/>
    <s v="PP Laminated Fabric"/>
    <s v="PP Lam Fabric With UV"/>
    <n v="517"/>
    <n v="57355.98"/>
  </r>
  <r>
    <x v="2"/>
    <s v="Plastene Polyfilms Limited"/>
    <d v="2023-06-08T00:00:00"/>
    <s v="Plastene India ltd - Unit 1-Sales"/>
    <s v="Sales"/>
    <n v="139"/>
    <x v="1"/>
    <s v="PPL/D/139"/>
    <d v="2023-06-08T00:00:00"/>
    <s v="SF"/>
    <s v="PP/PE Fabric"/>
    <s v="PP Lam Fabric"/>
    <s v="PP Laminated Fabric"/>
    <s v="PP Lam Fabric With UV"/>
    <n v="554"/>
    <n v="61460.76"/>
  </r>
  <r>
    <x v="2"/>
    <s v="Plastene Polyfilms Limited"/>
    <d v="2023-06-08T00:00:00"/>
    <s v="Plastene India ltd - Unit 1-Sales"/>
    <s v="Sales"/>
    <n v="140"/>
    <x v="1"/>
    <s v="PPL/D/140"/>
    <d v="2023-06-08T00:00:00"/>
    <s v="SF"/>
    <s v="PP/PE Fabric"/>
    <s v="PP UL Fabric"/>
    <s v="PP WOVEN FABRIC"/>
    <s v="PP UL Fabric With UV"/>
    <n v="26"/>
    <n v="2874.9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1734.3"/>
    <n v="248837.36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1599.8"/>
    <n v="262879.14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6610.1"/>
    <n v="1003148.78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4588.3"/>
    <n v="668652.96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1505.6"/>
    <n v="217468.86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2313.8000000000002"/>
    <n v="362572.46"/>
  </r>
  <r>
    <x v="2"/>
    <s v="Plastene Polyfilms Limited"/>
    <d v="2023-06-09T00:00:00"/>
    <s v="Plastene India ltd - Unit 6-Sales"/>
    <s v="Sales"/>
    <n v="143"/>
    <x v="1"/>
    <s v="PPL/D/143"/>
    <d v="2023-06-09T00:00:00"/>
    <s v="SF"/>
    <s v="PP/PE Fabric"/>
    <s v="PP Lam Fabric"/>
    <s v="PP Laminated Fabric"/>
    <s v="PP Lam Fabric With UV"/>
    <n v="592"/>
    <n v="66495.81"/>
  </r>
  <r>
    <x v="2"/>
    <s v="Plastene Polyfilms Limited"/>
    <d v="2023-06-09T00:00:00"/>
    <s v="Plastene India ltd - Unit 6-Sales"/>
    <s v="Sales"/>
    <n v="144"/>
    <x v="0"/>
    <s v="PPL/D/144"/>
    <d v="2023-06-09T00:00:00"/>
    <s v="Stores/Spares"/>
    <s v="MS Structure Items"/>
    <s v="Spares &amp; Stores"/>
    <s v="Stores &amp; Consumables"/>
    <s v="MS Pipe"/>
    <n v="21"/>
    <n v="1008"/>
  </r>
  <r>
    <x v="2"/>
    <s v="Plastene Polyfilms Limited"/>
    <d v="2023-06-10T00:00:00"/>
    <s v="HCP Plastene Bulkpack Limited - Sales"/>
    <s v="Sales"/>
    <n v="148"/>
    <x v="1"/>
    <s v="PPL/D/148"/>
    <d v="2023-06-10T00:00:00"/>
    <s v="Stores/Spares"/>
    <s v="MS Structure Items"/>
    <s v="Spares &amp; Stores"/>
    <s v="Stores &amp; Consumables"/>
    <s v="MS Pipe"/>
    <n v="3700"/>
    <n v="177600"/>
  </r>
  <r>
    <x v="2"/>
    <s v="Plastene Polyfilms Limited"/>
    <d v="2023-06-10T00:00:00"/>
    <s v="Plastene India ltd - Unit 1-Sales"/>
    <s v="Sales"/>
    <n v="145"/>
    <x v="1"/>
    <s v="PPL/D/145"/>
    <d v="2023-06-10T00:00:00"/>
    <s v="FG"/>
    <s v="Small Bags"/>
    <s v="PP Bags"/>
    <s v="PP Laminated Fabric"/>
    <s v="PP Lam Bags With UV"/>
    <n v="1387"/>
    <n v="181452.89"/>
  </r>
  <r>
    <x v="2"/>
    <s v="Plastene Polyfilms Limited"/>
    <d v="2023-06-10T00:00:00"/>
    <s v="Plastene India ltd - Unit 6-Sales"/>
    <s v="Sales"/>
    <n v="146"/>
    <x v="1"/>
    <s v="PPL/D/146"/>
    <d v="2023-06-10T00:00:00"/>
    <s v="SF"/>
    <s v="PP/PE Fabric"/>
    <s v="PP UL Fabric"/>
    <s v="PP WOVEN FABRIC"/>
    <s v="PP UL Fabric With UV"/>
    <n v="348"/>
    <n v="39175.4"/>
  </r>
  <r>
    <x v="2"/>
    <s v="Plastene Polyfilms Limited"/>
    <d v="2023-06-10T00:00:00"/>
    <s v="Plastene India ltd - Unit 6-Sales"/>
    <s v="Sales"/>
    <n v="147"/>
    <x v="0"/>
    <s v="PPL/D/147"/>
    <d v="2023-06-10T00:00:00"/>
    <s v="Stores/Spares"/>
    <s v="MS Structure Items"/>
    <s v="Spares &amp; Stores"/>
    <s v="Stores &amp; Consumables"/>
    <s v="MS Pipe"/>
    <n v="8"/>
    <n v="384"/>
  </r>
  <r>
    <x v="2"/>
    <s v="Plastene Polyfilms Limited"/>
    <d v="2023-06-12T00:00:00"/>
    <s v="Plastene India ltd - Unit 1-Sales"/>
    <s v="Sales"/>
    <n v="149"/>
    <x v="1"/>
    <s v="PPL/D/149"/>
    <d v="2023-06-12T00:00:00"/>
    <s v="SF"/>
    <s v="PP/PE Fabric"/>
    <s v="PP Lam Fabric"/>
    <s v="PP Laminated Fabric"/>
    <s v="PP Lam Fabric With UV"/>
    <n v="1589"/>
    <n v="207879.34"/>
  </r>
  <r>
    <x v="2"/>
    <s v="Plastene Polyfilms Limited"/>
    <d v="2023-06-12T00:00:00"/>
    <s v="Plastene India ltd - Unit 1-Sales"/>
    <s v="Sales"/>
    <n v="149"/>
    <x v="1"/>
    <s v="PPL/D/149"/>
    <d v="2023-06-12T00:00:00"/>
    <s v="SF"/>
    <s v="PP/PE Fabric"/>
    <s v="PP Lam Fabric"/>
    <s v="PP Laminated Fabric"/>
    <s v="PP Lam Fabric With UV"/>
    <n v="203"/>
    <n v="22801.77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 Liner"/>
    <n v="1267.4000000000001"/>
    <n v="221833.02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5173.2"/>
    <n v="834954.48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2197.4"/>
    <n v="352880.47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6191"/>
    <n v="999289.31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1976.1"/>
    <n v="331747.67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2726.4"/>
    <n v="435433.34"/>
  </r>
  <r>
    <x v="2"/>
    <s v="Plastene Polyfilms Limited"/>
    <d v="2023-06-20T00:00:00"/>
    <s v="Plastene India ltd - Unit 1-Sales"/>
    <s v="Sales"/>
    <n v="151"/>
    <x v="1"/>
    <s v="PPL/D/151"/>
    <d v="2023-06-20T00:00:00"/>
    <s v="FG"/>
    <s v="FIBC Bags"/>
    <s v="FIBC Bags"/>
    <s v="FIBC"/>
    <s v="FIBC Bags With UV Without Liner"/>
    <n v="3156.9"/>
    <n v="540587.56000000006"/>
  </r>
  <r>
    <x v="2"/>
    <s v="Plastene Polyfilms Limited"/>
    <d v="2023-06-20T00:00:00"/>
    <s v="Plastene India ltd - Unit 1-Sales"/>
    <s v="Sales"/>
    <n v="151"/>
    <x v="1"/>
    <s v="PPL/D/151"/>
    <d v="2023-06-20T00:00:00"/>
    <s v="FG"/>
    <s v="FIBC Bags"/>
    <s v="FIBC Bags"/>
    <s v="FIBC"/>
    <s v="FIBC Bags With UV With Liner"/>
    <n v="1565.3"/>
    <n v="645122.74"/>
  </r>
  <r>
    <x v="2"/>
    <s v="Plastene Polyfilms Limited"/>
    <d v="2023-06-21T00:00:00"/>
    <s v="K.P. Woven Pvt Ltd-Sales"/>
    <s v="Sales"/>
    <n v="152"/>
    <x v="1"/>
    <s v="PPL/D/152"/>
    <d v="2023-06-21T00:00:00"/>
    <s v="FG"/>
    <s v="FIBC Bags"/>
    <s v="FIBC Bags"/>
    <s v="FIBC"/>
    <s v="FIBC Bags With UV Without Liner"/>
    <n v="20414.900000000001"/>
    <n v="3259238.79"/>
  </r>
  <r>
    <x v="2"/>
    <s v="Plastene Polyfilms Limited"/>
    <d v="2023-06-21T00:00:00"/>
    <s v="K.P. Woven Pvt Ltd-Sales"/>
    <s v="Sales"/>
    <n v="154"/>
    <x v="0"/>
    <s v="PPL/D/154"/>
    <d v="2023-06-21T00:00:00"/>
    <s v="Stores/Spares"/>
    <s v="Needles"/>
    <s v="Spares &amp; Stores"/>
    <s v="Stores &amp; Consumables"/>
    <s v="Needle No 34 UY 9853 GA 430/172"/>
    <n v="100"/>
    <n v="21000"/>
  </r>
  <r>
    <x v="2"/>
    <s v="Plastene Polyfilms Limited"/>
    <d v="2023-06-21T00:00:00"/>
    <s v="K.P. Woven Pvt Ltd-Sales"/>
    <s v="Sales"/>
    <n v="154"/>
    <x v="0"/>
    <s v="PPL/D/154"/>
    <d v="2023-06-21T00:00:00"/>
    <s v="Stores/Spares"/>
    <s v="Needles"/>
    <s v="Spares &amp; Stores"/>
    <s v="Stores &amp; Consumables"/>
    <s v="Needle No 29 UY 9848 GS 300"/>
    <n v="50"/>
    <n v="9100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7527"/>
    <n v="1172706.6000000001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5128.5"/>
    <n v="790096.71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2832.8"/>
    <n v="537920.39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3353.5"/>
    <n v="523615.49"/>
  </r>
  <r>
    <x v="2"/>
    <s v="Plastene Polyfilms Limited"/>
    <d v="2023-06-22T00:00:00"/>
    <s v="Plastene India ltd - Unit 1-Sales"/>
    <s v="Sales"/>
    <n v="155"/>
    <x v="1"/>
    <s v="PPL/D/155"/>
    <d v="2023-06-22T00:00:00"/>
    <s v="FG"/>
    <s v="FIBC Bags"/>
    <s v="FIBC Bags"/>
    <s v="FIBC"/>
    <s v="FIBC Bags With UV With Liner"/>
    <n v="19011.400000000001"/>
    <n v="3065208.02"/>
  </r>
  <r>
    <x v="2"/>
    <s v="Plastene Polyfilms Limited"/>
    <d v="2023-06-22T00:00:00"/>
    <s v="Plastene India ltd - Unit 1-Sales"/>
    <s v="Sales"/>
    <n v="156"/>
    <x v="1"/>
    <s v="PPL/D/156"/>
    <d v="2023-06-22T00:00:00"/>
    <s v="FG"/>
    <s v="FIBC Bags"/>
    <s v="FIBC Bags"/>
    <s v="FIBC"/>
    <s v="FIBC Bags With UV With Liner"/>
    <n v="21034.400000000001"/>
    <n v="3883791.62"/>
  </r>
  <r>
    <x v="2"/>
    <s v="Plastene Polyfilms Limited"/>
    <d v="2023-06-23T00:00:00"/>
    <s v="Oswal Extrusion Ltd- KASEZ-Sales"/>
    <s v="SALES (FOREX)"/>
    <s v="PPL/E/65/23-24"/>
    <x v="4"/>
    <s v="PPL/E/65/23-24"/>
    <d v="2023-06-23T00:00:00"/>
    <s v="Stores/Spares"/>
    <s v="Circular Loom Spares"/>
    <s v="Spares &amp; Stores"/>
    <s v="Stores &amp; Consumables"/>
    <s v="Jocky Lever Lohia Lsl610062515"/>
    <n v="4.5"/>
    <n v="1600"/>
  </r>
  <r>
    <x v="2"/>
    <s v="Plastene Polyfilms Limited"/>
    <d v="2023-06-23T00:00:00"/>
    <s v="Plastene India ltd - Unit 1-Sales"/>
    <s v="Sales"/>
    <n v="157"/>
    <x v="1"/>
    <s v="PPL/D/157"/>
    <d v="2023-06-23T00:00:00"/>
    <s v="FG"/>
    <s v="FIBC Bags"/>
    <s v="FIBC Bags"/>
    <s v="FIBC"/>
    <s v="FIBC Bags With UV Without Liner"/>
    <n v="18706"/>
    <n v="3010730.7"/>
  </r>
  <r>
    <x v="2"/>
    <s v="Plastene Polyfilms Limited"/>
    <d v="2023-06-23T00:00:00"/>
    <s v="Plastene India ltd - Unit 1-Sales"/>
    <s v="Sales"/>
    <n v="158"/>
    <x v="1"/>
    <s v="PPL/D/158"/>
    <d v="2023-06-23T00:00:00"/>
    <s v="SF"/>
    <s v="PP/PE Fabric"/>
    <s v="PP UL Fabric"/>
    <s v="PP WOVEN FABRIC"/>
    <s v="PP UL Fabric With UV"/>
    <n v="530"/>
    <n v="51754.5"/>
  </r>
  <r>
    <x v="2"/>
    <s v="Plastene Polyfilms Limited"/>
    <d v="2023-06-23T00:00:00"/>
    <s v="Plastene India ltd - Unit 1-Sales"/>
    <s v="Sales"/>
    <n v="158"/>
    <x v="1"/>
    <s v="PPL/D/158"/>
    <d v="2023-06-23T00:00:00"/>
    <s v="SF"/>
    <s v="PP/PE Fabric"/>
    <s v="PP Lam Fabric"/>
    <s v="PP Laminated Fabric"/>
    <s v="PP Lam Fabric With UV"/>
    <n v="246"/>
    <n v="25374.9"/>
  </r>
  <r>
    <x v="2"/>
    <s v="Plastene Polyfilms Limited"/>
    <d v="2023-06-24T00:00:00"/>
    <s v="K.P. Woven Pvt Ltd - Unit 3 -Sales"/>
    <s v="Export Sales"/>
    <s v="PPL/E/66/23-24"/>
    <x v="6"/>
    <s v="PPL/E/66/23-24"/>
    <d v="2023-06-24T00:00:00"/>
    <s v="FG"/>
    <s v="FIBC Bags"/>
    <s v="FIBC Bags"/>
    <s v="FIBC"/>
    <s v="FIBC Bags With UV Without Liner"/>
    <n v="5017.6000000000004"/>
    <n v="941126.14399999997"/>
  </r>
  <r>
    <x v="2"/>
    <s v="Plastene Polyfilms Limited"/>
    <d v="2023-06-24T00:00:00"/>
    <s v="K.P. Woven Pvt Ltd - Unit 3 -Sales"/>
    <s v="Export Sales"/>
    <s v="PPL/E/66/23-24"/>
    <x v="6"/>
    <s v="PPL/E/66/23-24"/>
    <d v="2023-06-24T00:00:00"/>
    <s v="FG"/>
    <s v="FIBC Bags"/>
    <s v="FIBC Bags"/>
    <s v="FIBC"/>
    <s v="FIBC Bags With UV Without Liner"/>
    <n v="4396.8999999999996"/>
    <n v="824704.54850000003"/>
  </r>
  <r>
    <x v="2"/>
    <s v="Plastene Polyfilms Limited"/>
    <d v="2023-06-26T00:00:00"/>
    <s v="K.P. Woven Pvt Ltd - Unit 3 -Sales"/>
    <s v="Export Sales"/>
    <s v="PPL/E/67/23-24"/>
    <x v="6"/>
    <s v="PPL/E/67/23-24"/>
    <d v="2023-06-26T00:00:00"/>
    <s v="FG"/>
    <s v="FIBC Bags"/>
    <s v="FIBC Bags"/>
    <s v="FIBC"/>
    <s v="FIBC Bags With UV Without Liner"/>
    <n v="5893.6"/>
    <n v="1102722.0279999999"/>
  </r>
  <r>
    <x v="2"/>
    <s v="Plastene Polyfilms Limited"/>
    <d v="2023-06-26T00:00:00"/>
    <s v="K.P. Woven Pvt Ltd - Unit 3 -Sales"/>
    <s v="Export Sales"/>
    <s v="PPL/E/67/23-24"/>
    <x v="6"/>
    <s v="PPL/E/67/23-24"/>
    <d v="2023-06-26T00:00:00"/>
    <s v="FG"/>
    <s v="FIBC Bags"/>
    <s v="FIBC Bags"/>
    <s v="FIBC"/>
    <s v="FIBC Bags With UV Without Liner"/>
    <n v="1234.8"/>
    <n v="231037.25399999999"/>
  </r>
  <r>
    <x v="2"/>
    <s v="Plastene Polyfilms Limited"/>
    <d v="2023-06-26T00:00:00"/>
    <s v="K.P. Woven Pvt Ltd - Unit 3 -Sales"/>
    <s v="Export Sales"/>
    <s v="PPL/E/67/23-24"/>
    <x v="6"/>
    <s v="PPL/E/67/23-24"/>
    <d v="2023-06-26T00:00:00"/>
    <s v="FG"/>
    <s v="FIBC Bags"/>
    <s v="FIBC Bags"/>
    <s v="FIBC"/>
    <s v="FIBC Bags With UV Without Liner"/>
    <n v="2723.8"/>
    <n v="509636.59899999993"/>
  </r>
  <r>
    <x v="2"/>
    <s v="Plastene Polyfilms Limited"/>
    <d v="2023-06-26T00:00:00"/>
    <s v="K.P. Woven Pvt Ltd-Sales"/>
    <s v="Sales"/>
    <n v="163"/>
    <x v="1"/>
    <s v="PPL/D/163"/>
    <d v="2023-06-26T00:00:00"/>
    <s v="SF"/>
    <s v="Webbing"/>
    <s v="PP Webbing"/>
    <s v="PP Webbing"/>
    <s v="Webbing"/>
    <n v="8717.7000000000007"/>
    <n v="1034355.11"/>
  </r>
  <r>
    <x v="2"/>
    <s v="Plastene Polyfilms Limited"/>
    <d v="2023-06-26T00:00:00"/>
    <s v="K.P. Woven Pvt Ltd-Sales"/>
    <s v="Sales"/>
    <n v="163"/>
    <x v="1"/>
    <s v="PPL/D/163"/>
    <d v="2023-06-26T00:00:00"/>
    <s v="SF"/>
    <s v="PP/PE Fabric"/>
    <s v="PP UL Fabric"/>
    <s v="PP WOVEN FABRIC"/>
    <s v="PP UL Fabric CutPcs With UV"/>
    <n v="7110.1"/>
    <n v="954815.32"/>
  </r>
  <r>
    <x v="2"/>
    <s v="Plastene Polyfilms Limited"/>
    <d v="2023-06-26T00:00:00"/>
    <s v="K.P. Woven Pvt Ltd-Sales"/>
    <s v="Sales"/>
    <n v="163"/>
    <x v="1"/>
    <s v="PPL/D/163"/>
    <d v="2023-06-26T00:00:00"/>
    <s v="SF"/>
    <s v="PP/PE Fabric"/>
    <s v="PP Lam Fabric"/>
    <s v="PP Laminated Fabric"/>
    <s v="PP Lam Fabric CutPcs With UV"/>
    <n v="4399.5"/>
    <n v="590808.86"/>
  </r>
  <r>
    <x v="2"/>
    <s v="Plastene Polyfilms Limited"/>
    <d v="2023-06-26T00:00:00"/>
    <s v="Plastene India ltd - Unit 1-Sales"/>
    <s v="Sales"/>
    <n v="162"/>
    <x v="1"/>
    <s v="PPL/D/162"/>
    <d v="2023-06-26T00:00:00"/>
    <s v="FG"/>
    <s v="FIBC Bags"/>
    <s v="FIBC Bags"/>
    <s v="FIBC"/>
    <s v="FIBC Bags With UV Without Liner"/>
    <n v="9959.1"/>
    <n v="1605705.69"/>
  </r>
  <r>
    <x v="2"/>
    <s v="Plastene Polyfilms Limited"/>
    <d v="2023-06-26T00:00:00"/>
    <s v="Plastene India ltd - Unit 1-Sales"/>
    <s v="Sales"/>
    <n v="162"/>
    <x v="1"/>
    <s v="PPL/D/162"/>
    <d v="2023-06-26T00:00:00"/>
    <s v="FG"/>
    <s v="FIBC Bags"/>
    <s v="FIBC Bags"/>
    <s v="FIBC"/>
    <s v="FIBC Bags With UV Without Liner"/>
    <n v="8920"/>
    <n v="1481701.2"/>
  </r>
  <r>
    <x v="2"/>
    <s v="Plastene Polyfilms Limited"/>
    <d v="2023-06-26T00:00:00"/>
    <s v="Plastene India ltd - Unit 1-Sales"/>
    <s v="Sales"/>
    <n v="162"/>
    <x v="1"/>
    <s v="PPL/D/162"/>
    <d v="2023-06-26T00:00:00"/>
    <s v="FG"/>
    <s v="FIBC Bags"/>
    <s v="FIBC Bags"/>
    <s v="FIBC"/>
    <s v="FIBC Bags With UV Without Liner"/>
    <n v="810"/>
    <n v="137270.70000000001"/>
  </r>
  <r>
    <x v="2"/>
    <s v="Plastene Polyfilms Limited"/>
    <d v="2023-06-26T00:00:00"/>
    <s v="Plastene India ltd - Unit 6-Sales"/>
    <s v="Sales"/>
    <n v="164"/>
    <x v="1"/>
    <s v="PPL/D/164"/>
    <d v="2023-06-26T00:00:00"/>
    <s v="SF"/>
    <s v="PP/PE Fabric"/>
    <s v="PP Lam Fabric"/>
    <s v="PP Laminated Fabric"/>
    <s v="PP Lam Fabric With UV"/>
    <n v="502"/>
    <n v="56420.28"/>
  </r>
  <r>
    <x v="2"/>
    <s v="Plastene Polyfilms Limited"/>
    <d v="2023-06-26T00:00:00"/>
    <s v="Plastene India ltd - Unit 6-Sales"/>
    <s v="Sales"/>
    <n v="164"/>
    <x v="1"/>
    <s v="PPL/D/164"/>
    <d v="2023-06-26T00:00:00"/>
    <s v="SF"/>
    <s v="PP/PE Fabric"/>
    <s v="PP Lam Fabric"/>
    <s v="PP Laminated Fabric"/>
    <s v="PP Lam Fabric With UV"/>
    <n v="59"/>
    <n v="6454.07"/>
  </r>
  <r>
    <x v="2"/>
    <s v="Plastene Polyfilms Limited"/>
    <d v="2023-06-26T00:00:00"/>
    <s v="Plastene India ltd - Unit 6-Sales"/>
    <s v="Sales"/>
    <n v="165"/>
    <x v="0"/>
    <s v="PPL/D/165"/>
    <d v="2023-06-26T00:00:00"/>
    <s v="Stores/Spares"/>
    <s v="MS Structure Items"/>
    <s v="Spares &amp; Stores"/>
    <s v="Stores &amp; Consumables"/>
    <s v="MS Pipe"/>
    <n v="24"/>
    <n v="1152"/>
  </r>
  <r>
    <x v="2"/>
    <s v="Plastene Polyfilms Limited"/>
    <d v="2023-06-27T00:00:00"/>
    <s v="K.P. Woven Pvt Ltd-Sales"/>
    <s v="Sales"/>
    <n v="166"/>
    <x v="1"/>
    <s v="PPL/D/166"/>
    <d v="2023-06-27T00:00:00"/>
    <s v="RM"/>
    <s v="FIBC Accessories"/>
    <s v="FIBC Accessories"/>
    <s v="NON WOVEN FABRIC"/>
    <s v="Non Woven Fabric (Felt) 170Gsm.Pati Cut Length- 2&quot; ( 5 Cm )"/>
    <n v="321.10000000000002"/>
    <n v="56353.05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1785"/>
    <n v="304021.2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4133.1000000000004"/>
    <n v="708578.66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9511"/>
    <n v="1582535.29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1614"/>
    <n v="258482.1"/>
  </r>
  <r>
    <x v="2"/>
    <s v="Plastene Polyfilms Limited"/>
    <d v="2023-06-29T00:00:00"/>
    <s v="Plastene India ltd - Unit 1-Sales"/>
    <s v="Sales"/>
    <n v="168"/>
    <x v="1"/>
    <s v="PPL/D/168"/>
    <d v="2023-06-29T00:00:00"/>
    <s v="SF"/>
    <s v="Tape Stock"/>
    <s v="PP Tapes"/>
    <s v="PP TAPE"/>
    <s v="PP Tapes"/>
    <n v="2108"/>
    <n v="193706.23"/>
  </r>
  <r>
    <x v="2"/>
    <s v="Plastene Polyfilms Limited"/>
    <d v="2023-06-29T00:00:00"/>
    <s v="Plastene India ltd - Unit 1-Sales"/>
    <s v="Sales"/>
    <n v="169"/>
    <x v="1"/>
    <s v="PPL/D/169"/>
    <d v="2023-06-29T00:00:00"/>
    <s v="SF"/>
    <s v="Tape Stock"/>
    <s v="PP Tapes"/>
    <s v="PP TAPE"/>
    <s v="PP Tapes"/>
    <n v="5329.2"/>
    <n v="489705.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x v="0"/>
    <d v="2023-04-03T00:00:00"/>
    <s v="Plastene India ltd - Unit 1-Sales"/>
    <s v="Job Invoice"/>
    <s v="HPBL/D/1"/>
    <s v="Job Work Income"/>
    <s v="HPBL/D/1"/>
    <d v="2023-04-03T00:00:00"/>
    <s v="SF"/>
    <s v="PP/PE Fabric"/>
    <s v="PP UL Fabric"/>
    <s v="PP Unlaminated Fabric"/>
    <s v="PP UL Fabric With UV"/>
    <n v="1079"/>
    <n v="34528"/>
  </r>
  <r>
    <x v="0"/>
    <x v="0"/>
    <d v="2023-04-03T00:00:00"/>
    <s v="Plastene India ltd - Unit 1-Sales"/>
    <s v="Job Invoice"/>
    <s v="HPBL/D/1"/>
    <s v="Job Work Income"/>
    <s v="HPBL/D/1"/>
    <d v="2023-04-03T00:00:00"/>
    <s v="SF"/>
    <s v="PP/PE Fabric"/>
    <s v="PP Lam Fabric"/>
    <s v="PP Laminated Fabric"/>
    <s v="PP Lam Fabric With UV"/>
    <n v="6341"/>
    <n v="237787.5"/>
  </r>
  <r>
    <x v="0"/>
    <x v="0"/>
    <d v="2023-04-05T00:00:00"/>
    <s v="Plastene India ltd - Unit 1-Sales"/>
    <s v="Job Invoice"/>
    <s v="HPBL/D/4"/>
    <s v="Job Work Income"/>
    <s v="HPBL/D/4"/>
    <d v="2023-04-05T00:00:00"/>
    <s v="SF"/>
    <s v="PP/PE Fabric"/>
    <s v="PP Lam Fabric"/>
    <s v="PP Laminated Fabric"/>
    <s v="PP Lam Fabric With UV"/>
    <n v="2668"/>
    <n v="100050"/>
  </r>
  <r>
    <x v="0"/>
    <x v="0"/>
    <d v="2023-04-05T00:00:00"/>
    <s v="Plastene India ltd - Unit 1-Sales"/>
    <s v="Job Invoice"/>
    <s v="HPBL/D/5"/>
    <s v="Job Work Income"/>
    <s v="HPBL/D/5"/>
    <d v="2023-04-05T00:00:00"/>
    <s v="SF"/>
    <s v="PP/PE Fabric"/>
    <s v="PP UL Fabric"/>
    <s v="PP Unlaminated Fabric"/>
    <s v="PP UL Fabric With UV"/>
    <n v="4571"/>
    <n v="146272"/>
  </r>
  <r>
    <x v="0"/>
    <x v="0"/>
    <d v="2023-04-05T00:00:00"/>
    <s v="Plastene India ltd - Unit 1-Sales"/>
    <s v="Job Invoice"/>
    <s v="HPBL/D/5"/>
    <s v="Job Work Income"/>
    <s v="HPBL/D/5"/>
    <d v="2023-04-05T00:00:00"/>
    <s v="SF"/>
    <s v="PP/PE Fabric"/>
    <s v="PP Lam Fabric"/>
    <s v="PP Laminated Fabric"/>
    <s v="PP Lam Fabric With UV"/>
    <n v="2364"/>
    <n v="88650"/>
  </r>
  <r>
    <x v="0"/>
    <x v="0"/>
    <d v="2023-04-05T00:00:00"/>
    <s v="Plastene India ltd - Unit 1-Sales"/>
    <s v="Job Invoice"/>
    <s v="HPBL/D/7"/>
    <s v="Job Work Income"/>
    <s v="HPBL/D/7"/>
    <d v="2023-04-05T00:00:00"/>
    <s v="SF"/>
    <s v="PP/PE Fabric"/>
    <s v="PP UL Fabric"/>
    <s v="PP Unlaminated Fabric"/>
    <s v="PP UL Fabric Without UV"/>
    <n v="1984"/>
    <n v="22895.360000000001"/>
  </r>
  <r>
    <x v="0"/>
    <x v="0"/>
    <d v="2023-04-05T00:00:00"/>
    <s v="Plastene India ltd - Unit 1-Sales"/>
    <s v="Job Invoice"/>
    <s v="HPBL/D/7"/>
    <s v="Job Work Income"/>
    <s v="HPBL/D/7"/>
    <d v="2023-04-05T00:00:00"/>
    <s v="SF"/>
    <s v="PP/PE Fabric"/>
    <s v="PP UL Fabric"/>
    <s v="PP Unlaminated Fabric"/>
    <s v="PP UL Fabric Without UV"/>
    <n v="13097"/>
    <n v="151139.38"/>
  </r>
  <r>
    <x v="0"/>
    <x v="0"/>
    <d v="2023-04-05T00:00:00"/>
    <s v="Plastene India ltd - Unit 1-Sales"/>
    <s v="Job Invoice"/>
    <s v="HPBL/D/7"/>
    <s v="Job Work Income"/>
    <s v="HPBL/D/7"/>
    <d v="2023-04-05T00:00:00"/>
    <s v="SF"/>
    <s v="PP/PE Fabric"/>
    <s v="PP UL Fabric"/>
    <s v="PP Unlaminated Fabric"/>
    <s v="PP UL Fabric Without UV"/>
    <n v="11808"/>
    <n v="136264.32000000001"/>
  </r>
  <r>
    <x v="0"/>
    <x v="0"/>
    <d v="2023-04-06T00:00:00"/>
    <s v="K.P. Woven Pvt Ltd-Sales"/>
    <s v="Job Invoice"/>
    <s v="HPBL/D/11"/>
    <s v="Job Work Income"/>
    <s v="HPBL/D/11"/>
    <d v="2023-04-06T00:00:00"/>
    <s v="SF"/>
    <s v="Liners"/>
    <s v="LDPE/LLDPE Bags"/>
    <s v="LLDPE BAGS (LINER)"/>
    <s v="DOC Pouch"/>
    <n v="415.9"/>
    <n v="10813.4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200"/>
    <n v="7500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300"/>
    <n v="11250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773"/>
    <n v="28987.5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1037.8"/>
    <n v="38917.5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3469.2"/>
    <n v="130095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UL Fabric"/>
    <s v="PP Unlaminated Fabric"/>
    <s v="PP UL Fabric With UV"/>
    <n v="1663"/>
    <n v="53216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Lam Fabric"/>
    <s v="PP Laminated Fabric"/>
    <s v="PP Lam Fabric With UV"/>
    <n v="300"/>
    <n v="11250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UL Fabric"/>
    <s v="PP Unlaminated Fabric"/>
    <s v="PP UL Fabric With UV"/>
    <n v="610"/>
    <n v="19520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Lam Fabric"/>
    <s v="PP Laminated Fabric"/>
    <s v="PP Lam Fabric With UV"/>
    <n v="5893"/>
    <n v="220987.5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Lam Fabric"/>
    <s v="PP Laminated Fabric"/>
    <s v="PP Lam Fabric With UV"/>
    <n v="400"/>
    <n v="15000"/>
  </r>
  <r>
    <x v="0"/>
    <x v="0"/>
    <d v="2023-04-07T00:00:00"/>
    <s v="Plastene India ltd - Unit 2-Sales"/>
    <s v="Job Invoice"/>
    <s v="HPBL/D/16"/>
    <s v="Job Work Income"/>
    <s v="HPBL/D/16"/>
    <d v="2023-04-07T00:00:00"/>
    <s v="SF"/>
    <s v="Films All"/>
    <s v="PE Film"/>
    <s v="LLDPE FILM"/>
    <s v="LDPE/LLDPE Film"/>
    <n v="186.6"/>
    <n v="4851.6000000000004"/>
  </r>
  <r>
    <x v="0"/>
    <x v="0"/>
    <d v="2023-04-10T00:00:00"/>
    <s v="K.P. Woven Pvt Ltd-Sales"/>
    <s v="Job Invoice"/>
    <s v="HPBL/D/19"/>
    <s v="Job Work Income"/>
    <s v="HPBL/D/19"/>
    <d v="2023-04-10T00:00:00"/>
    <s v="SF"/>
    <s v="PP/PE Fabric"/>
    <s v="PP UL Fabric"/>
    <s v="PP Unlaminated Fabric"/>
    <s v="PP UL Fabric With UV"/>
    <n v="174"/>
    <n v="13920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Lam Fabric"/>
    <s v="PP Laminated Fabric"/>
    <s v="PP Lam Fabric With UV"/>
    <n v="4594.2"/>
    <n v="172282.5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Lam Fabric"/>
    <s v="PP Laminated Fabric"/>
    <s v="PP Lam Fabric With UV"/>
    <n v="1987"/>
    <n v="74512.5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Lam Fabric"/>
    <s v="PP Laminated Fabric"/>
    <s v="PP Lam Fabric With UV"/>
    <n v="465.8"/>
    <n v="17467.5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UL Fabric"/>
    <s v="PP Unlaminated Fabric"/>
    <s v="PP UL Fabric With UV"/>
    <n v="807"/>
    <n v="25824"/>
  </r>
  <r>
    <x v="0"/>
    <x v="0"/>
    <d v="2023-04-14T00:00:00"/>
    <s v="Plastene India ltd - Unit 1-Sales"/>
    <s v="Job Invoice"/>
    <s v="HPBL/D/26"/>
    <s v="Job Work Income"/>
    <s v="HPBL/D/26"/>
    <d v="2023-04-14T00:00:00"/>
    <s v="SF"/>
    <s v="PP/PE Fabric"/>
    <s v="PP Lam Fabric"/>
    <s v="PP Laminated Fabric"/>
    <s v="PP Lam Fabric With UV"/>
    <n v="3117"/>
    <n v="116887.5"/>
  </r>
  <r>
    <x v="0"/>
    <x v="0"/>
    <d v="2023-04-14T00:00:00"/>
    <s v="Plastene India ltd - Unit 1-Sales"/>
    <s v="Job Invoice"/>
    <s v="HPBL/D/26"/>
    <s v="Job Work Income"/>
    <s v="HPBL/D/26"/>
    <d v="2023-04-14T00:00:00"/>
    <s v="SF"/>
    <s v="PP/PE Fabric"/>
    <s v="PP UL Fabric"/>
    <s v="PP Unlaminated Fabric"/>
    <s v="PP UL Fabric With UV"/>
    <n v="4653"/>
    <n v="148896"/>
  </r>
  <r>
    <x v="0"/>
    <x v="0"/>
    <d v="2023-04-14T00:00:00"/>
    <s v="Plastene India ltd - Unit 1-Sales"/>
    <s v="Job Invoice"/>
    <s v="HPBL/D/29"/>
    <s v="Job Work Income"/>
    <s v="HPBL/D/29"/>
    <d v="2023-04-14T00:00:00"/>
    <s v="FG"/>
    <s v="Small Bags"/>
    <s v="PP Bags"/>
    <s v="PP WOVEN BAG &amp; SACK"/>
    <s v="PP UL Bags Without UV"/>
    <n v="6581.6"/>
    <n v="211453.64480000001"/>
  </r>
  <r>
    <x v="0"/>
    <x v="0"/>
    <d v="2023-04-14T00:00:00"/>
    <s v="Plastene India ltd - Unit 1-Sales"/>
    <s v="Job Invoice"/>
    <s v="HPBL/D/29"/>
    <s v="Job Work Income"/>
    <s v="HPBL/D/29"/>
    <d v="2023-04-14T00:00:00"/>
    <s v="FG"/>
    <s v="Small Bags"/>
    <s v="PP Bags"/>
    <s v="PP WOVEN BAG &amp; SACK"/>
    <s v="PP UL Bags Without UV"/>
    <n v="6720.35"/>
    <n v="203277.14679999999"/>
  </r>
  <r>
    <x v="0"/>
    <x v="0"/>
    <d v="2023-04-14T00:00:00"/>
    <s v="Plastene India ltd - Unit 1-Sales"/>
    <s v="Job Invoice"/>
    <s v="HPBL/D/29"/>
    <s v="Job Work Income"/>
    <s v="HPBL/D/29"/>
    <d v="2023-04-14T00:00:00"/>
    <s v="FG"/>
    <s v="Small Bags"/>
    <s v="PP Bags"/>
    <s v="PP WOVEN BAG &amp; SACK"/>
    <s v="PP UL Bags Without UV"/>
    <n v="12830.83"/>
    <n v="403375.63354000001"/>
  </r>
  <r>
    <x v="0"/>
    <x v="0"/>
    <d v="2023-04-16T00:00:00"/>
    <s v="Plastene India ltd - Unit 1-Sales"/>
    <s v="Job Invoice"/>
    <s v="HPBL/D/30"/>
    <s v="Job Work Income"/>
    <s v="HPBL/D/30"/>
    <d v="2023-04-16T00:00:00"/>
    <s v="SF"/>
    <s v="PP/PE Fabric"/>
    <s v="PP Lam Fabric"/>
    <s v="PP Laminated Fabric"/>
    <s v="PP Lam Fabric With UV"/>
    <n v="134.19999999999999"/>
    <n v="5032.5"/>
  </r>
  <r>
    <x v="0"/>
    <x v="0"/>
    <d v="2023-04-16T00:00:00"/>
    <s v="Plastene India ltd - Unit 1-Sales"/>
    <s v="Job Invoice"/>
    <s v="HPBL/D/30"/>
    <s v="Job Work Income"/>
    <s v="HPBL/D/30"/>
    <d v="2023-04-16T00:00:00"/>
    <s v="SF"/>
    <s v="PP/PE Fabric"/>
    <s v="PP Lam Fabric"/>
    <s v="PP Laminated Fabric"/>
    <s v="PP Lam Fabric With UV"/>
    <n v="3750.8"/>
    <n v="140655"/>
  </r>
  <r>
    <x v="0"/>
    <x v="0"/>
    <d v="2023-04-16T00:00:00"/>
    <s v="Plastene India ltd - Unit 1-Sales"/>
    <s v="Job Invoice"/>
    <s v="HPBL/D/31"/>
    <s v="Job Work Income"/>
    <s v="HPBL/D/31"/>
    <d v="2023-04-16T00:00:00"/>
    <s v="SF"/>
    <s v="PP/PE Fabric"/>
    <s v="PP Lam Fabric"/>
    <s v="PP Laminated Fabric"/>
    <s v="PP Lam Fabric With UV"/>
    <n v="100"/>
    <n v="3750"/>
  </r>
  <r>
    <x v="0"/>
    <x v="0"/>
    <d v="2023-04-16T00:00:00"/>
    <s v="Plastene India ltd - Unit 1-Sales"/>
    <s v="Job Invoice"/>
    <s v="HPBL/D/31"/>
    <s v="Job Work Income"/>
    <s v="HPBL/D/31"/>
    <d v="2023-04-16T00:00:00"/>
    <s v="SF"/>
    <s v="PP/PE Fabric"/>
    <s v="PP Lam Fabric"/>
    <s v="PP Laminated Fabric"/>
    <s v="PP Lam Fabric With UV"/>
    <n v="4363"/>
    <n v="163612.5"/>
  </r>
  <r>
    <x v="0"/>
    <x v="0"/>
    <d v="2023-04-16T00:00:00"/>
    <s v="Plastene India ltd - Unit 1-Sales"/>
    <s v="Job Invoice"/>
    <s v="HPBL/D/31"/>
    <s v="Job Work Income"/>
    <s v="HPBL/D/31"/>
    <d v="2023-04-16T00:00:00"/>
    <s v="SF"/>
    <s v="PP/PE Fabric"/>
    <s v="PP UL Fabric"/>
    <s v="PP Unlaminated Fabric"/>
    <s v="PP UL Fabric With UV"/>
    <n v="1311"/>
    <n v="41952"/>
  </r>
  <r>
    <x v="0"/>
    <x v="0"/>
    <d v="2023-04-18T00:00:00"/>
    <s v="Plastene India ltd - Unit 1-Sales"/>
    <s v="Job Invoice"/>
    <s v="HPBL/D/34"/>
    <s v="Job Work Income"/>
    <s v="HPBL/D/34"/>
    <d v="2023-04-18T00:00:00"/>
    <s v="SF"/>
    <s v="PP/PE Fabric"/>
    <s v="PP UL Fabric"/>
    <s v="PP Unlaminated Fabric"/>
    <s v="PP UL Fabric With UV"/>
    <n v="978"/>
    <n v="31296"/>
  </r>
  <r>
    <x v="0"/>
    <x v="0"/>
    <d v="2023-04-18T00:00:00"/>
    <s v="Plastene India ltd - Unit 1-Sales"/>
    <s v="Job Invoice"/>
    <s v="HPBL/D/34"/>
    <s v="Job Work Income"/>
    <s v="HPBL/D/34"/>
    <d v="2023-04-18T00:00:00"/>
    <s v="SF"/>
    <s v="PP/PE Fabric"/>
    <s v="PP Lam Fabric"/>
    <s v="PP Laminated Fabric"/>
    <s v="PP Lam Fabric With UV"/>
    <n v="7098"/>
    <n v="266175"/>
  </r>
  <r>
    <x v="0"/>
    <x v="0"/>
    <d v="2023-04-18T00:00:00"/>
    <s v="Plastene India ltd - Unit 1-Sales"/>
    <s v="Job Invoice"/>
    <s v="HPBL/D/34"/>
    <s v="Job Work Income"/>
    <s v="HPBL/D/34"/>
    <d v="2023-04-18T00:00:00"/>
    <s v="SF"/>
    <s v="PP/PE Fabric"/>
    <s v="PP Lam Fabric"/>
    <s v="PP Laminated Fabric"/>
    <s v="PP Lam Fabric With UV"/>
    <n v="100"/>
    <n v="3750"/>
  </r>
  <r>
    <x v="0"/>
    <x v="0"/>
    <d v="2023-04-19T00:00:00"/>
    <s v="Plastene India ltd - Unit 1-Sales"/>
    <s v="Job Invoice"/>
    <s v="HPBL/D/36"/>
    <s v="Job Work Income"/>
    <s v="HPBL/D/36"/>
    <d v="2023-04-19T00:00:00"/>
    <s v="SF"/>
    <s v="PP/PE Fabric"/>
    <s v="PP Lam Fabric"/>
    <s v="PP Laminated Fabric"/>
    <s v="PP Lam Fabric With UV"/>
    <n v="7204"/>
    <n v="270150"/>
  </r>
  <r>
    <x v="0"/>
    <x v="0"/>
    <d v="2023-04-19T00:00:00"/>
    <s v="Plastene India ltd - Unit 1-Sales"/>
    <s v="Job Invoice"/>
    <s v="HPBL/D/36"/>
    <s v="Job Work Income"/>
    <s v="HPBL/D/36"/>
    <d v="2023-04-19T00:00:00"/>
    <s v="SF"/>
    <s v="PP/PE Fabric"/>
    <s v="PP UL Fabric"/>
    <s v="PP Unlaminated Fabric"/>
    <s v="PP UL Fabric With UV"/>
    <n v="352"/>
    <n v="11264"/>
  </r>
  <r>
    <x v="0"/>
    <x v="0"/>
    <d v="2023-04-19T00:00:00"/>
    <s v="Plastene India ltd - Unit 1-Sales"/>
    <s v="Job Invoice"/>
    <s v="HPBL/D/36"/>
    <s v="Job Work Income"/>
    <s v="HPBL/D/36"/>
    <d v="2023-04-19T00:00:00"/>
    <s v="SF"/>
    <s v="PP/PE Fabric"/>
    <s v="PP UL Fabric"/>
    <s v="PP Unlaminated Fabric"/>
    <s v="PP UL Fabric With UV"/>
    <n v="572"/>
    <n v="45760"/>
  </r>
  <r>
    <x v="0"/>
    <x v="0"/>
    <d v="2023-04-21T00:00:00"/>
    <s v="Plastene India ltd - Unit 2-Sales"/>
    <s v="Job Invoice"/>
    <s v="HPBL/D/41"/>
    <s v="Job Work Income"/>
    <s v="HPBL/D/41"/>
    <d v="2023-04-21T00:00:00"/>
    <s v="SF"/>
    <s v="Liners"/>
    <s v="LDPE/LLDPE Bags"/>
    <s v="LLDPE BAGS (LINER)"/>
    <s v="DOC Pouch"/>
    <n v="16.5"/>
    <n v="429"/>
  </r>
  <r>
    <x v="0"/>
    <x v="0"/>
    <d v="2023-04-22T00:00:00"/>
    <s v="Plastene India ltd - Unit 1-Sales"/>
    <s v="Job Invoice"/>
    <s v="HPBL/D/42"/>
    <s v="Job Work Income"/>
    <s v="HPBL/D/42"/>
    <d v="2023-04-22T00:00:00"/>
    <s v="SF"/>
    <s v="PP/PE Fabric"/>
    <s v="PP UL Fabric"/>
    <s v="PP Unlaminated Fabric"/>
    <s v="PP UL Fabric With UV"/>
    <n v="172"/>
    <n v="5504"/>
  </r>
  <r>
    <x v="0"/>
    <x v="0"/>
    <d v="2023-04-22T00:00:00"/>
    <s v="Plastene India ltd - Unit 1-Sales"/>
    <s v="Job Invoice"/>
    <s v="HPBL/D/42"/>
    <s v="Job Work Income"/>
    <s v="HPBL/D/42"/>
    <d v="2023-04-22T00:00:00"/>
    <s v="SF"/>
    <s v="PP/PE Fabric"/>
    <s v="PP Lam Fabric"/>
    <s v="PP Laminated Fabric"/>
    <s v="PP Lam Fabric With UV"/>
    <n v="3163"/>
    <n v="118612.5"/>
  </r>
  <r>
    <x v="0"/>
    <x v="0"/>
    <d v="2023-04-22T00:00:00"/>
    <s v="Plastene India ltd - Unit 1-Sales"/>
    <s v="Job Invoice"/>
    <s v="HPBL/D/44"/>
    <s v="Job Work Income"/>
    <s v="HPBL/D/44"/>
    <d v="2023-04-22T00:00:00"/>
    <s v="SF"/>
    <s v="PP/PE Fabric"/>
    <s v="PP Lam Fabric"/>
    <s v="PP Laminated Fabric"/>
    <s v="PP Lam Fabric With UV"/>
    <n v="2103"/>
    <n v="78862.5"/>
  </r>
  <r>
    <x v="0"/>
    <x v="0"/>
    <d v="2023-04-22T00:00:00"/>
    <s v="Plastene India ltd - Unit 1-Sales"/>
    <s v="Job Invoice"/>
    <s v="HPBL/D/44"/>
    <s v="Job Work Income"/>
    <s v="HPBL/D/44"/>
    <d v="2023-04-22T00:00:00"/>
    <s v="SF"/>
    <s v="PP/PE Fabric"/>
    <s v="PP UL Fabric"/>
    <s v="PP Unlaminated Fabric"/>
    <s v="PP UL Fabric With UV"/>
    <n v="6331"/>
    <n v="202592"/>
  </r>
  <r>
    <x v="0"/>
    <x v="0"/>
    <d v="2023-04-22T00:00:00"/>
    <s v="Plastene India ltd - Unit 1-Sales"/>
    <s v="Job Invoice"/>
    <s v="HPBL/D/47"/>
    <s v="Job Work Income"/>
    <s v="HPBL/D/47"/>
    <d v="2023-04-22T00:00:00"/>
    <s v="SF"/>
    <s v="PP/PE Fabric"/>
    <s v="PP Lam Fabric"/>
    <s v="PP Laminated Fabric"/>
    <s v="PP Lam Fabric With UV"/>
    <n v="3455"/>
    <n v="129562.5"/>
  </r>
  <r>
    <x v="0"/>
    <x v="0"/>
    <d v="2023-04-22T00:00:00"/>
    <s v="Plastene India ltd - Unit 1-Sales"/>
    <s v="Job Invoice"/>
    <s v="HPBL/D/47"/>
    <s v="Job Work Income"/>
    <s v="HPBL/D/47"/>
    <d v="2023-04-22T00:00:00"/>
    <s v="SF"/>
    <s v="PP/PE Fabric"/>
    <s v="PP UL Fabric"/>
    <s v="PP Unlaminated Fabric"/>
    <s v="PP UL Fabric With UV"/>
    <n v="3880"/>
    <n v="124160"/>
  </r>
  <r>
    <x v="0"/>
    <x v="0"/>
    <d v="2023-04-22T00:00:00"/>
    <s v="Plastene India ltd - Unit 2-Sales"/>
    <s v="Job Invoice"/>
    <s v="HPBL/D/46"/>
    <s v="Job Work Income"/>
    <s v="HPBL/D/46"/>
    <d v="2023-04-22T00:00:00"/>
    <s v="SF"/>
    <s v="Liners"/>
    <s v="LDPE/LLDPE Bags"/>
    <s v="LLDPE BAGS (LINER)"/>
    <s v="DOC Pouch"/>
    <n v="717.49"/>
    <n v="18654.740000000002"/>
  </r>
  <r>
    <x v="0"/>
    <x v="0"/>
    <d v="2023-04-22T00:00:00"/>
    <s v="Plastene India ltd - Unit 2-Sales"/>
    <s v="Job Invoice"/>
    <s v="HPBL/D/46"/>
    <s v="Job Work Income"/>
    <s v="HPBL/D/46"/>
    <d v="2023-04-22T00:00:00"/>
    <s v="SF"/>
    <s v="Liners"/>
    <s v="LDPE/LLDPE Bags"/>
    <s v="LLDPE BAGS (LINER)"/>
    <s v="DOC Pouch"/>
    <n v="446.01"/>
    <n v="11596.26"/>
  </r>
  <r>
    <x v="0"/>
    <x v="0"/>
    <d v="2023-04-24T00:00:00"/>
    <s v="K.P. Woven Pvt Ltd-Sales"/>
    <s v="Job Invoice"/>
    <s v="HPBL/D/51"/>
    <s v="Job Work Income"/>
    <s v="HPBL/D/51"/>
    <d v="2023-04-24T00:00:00"/>
    <s v="SF"/>
    <s v="Liners"/>
    <s v="LDPE/LLDPE Bags"/>
    <s v="LLDPE BAGS (LINER)"/>
    <s v="DOC Pouch"/>
    <n v="791"/>
    <n v="20566"/>
  </r>
  <r>
    <x v="0"/>
    <x v="0"/>
    <d v="2023-04-24T00:00:00"/>
    <s v="Plastene India ltd - Unit 1-Sales"/>
    <s v="Job Invoice"/>
    <s v="HPBL/D/49"/>
    <s v="Job Work Income"/>
    <s v="HPBL/D/49"/>
    <d v="2023-04-24T00:00:00"/>
    <s v="SF"/>
    <s v="PP/PE Fabric"/>
    <s v="PP Lam Fabric"/>
    <s v="PP Laminated Fabric"/>
    <s v="PP Lam Fabric With UV"/>
    <n v="1467"/>
    <n v="55012.5"/>
  </r>
  <r>
    <x v="0"/>
    <x v="0"/>
    <d v="2023-04-24T00:00:00"/>
    <s v="Plastene India ltd - Unit 1-Sales"/>
    <s v="Job Invoice"/>
    <s v="HPBL/D/49"/>
    <s v="Job Work Income"/>
    <s v="HPBL/D/49"/>
    <d v="2023-04-24T00:00:00"/>
    <s v="SF"/>
    <s v="PP/PE Fabric"/>
    <s v="PP UL Fabric"/>
    <s v="PP Unlaminated Fabric"/>
    <s v="PP UL Fabric With UV"/>
    <n v="6570"/>
    <n v="210240"/>
  </r>
  <r>
    <x v="0"/>
    <x v="0"/>
    <d v="2023-04-26T00:00:00"/>
    <s v="Plastene India ltd - Unit 1-Sales"/>
    <s v="Job Invoice"/>
    <s v="HPBL/D/54"/>
    <s v="Job Work Income"/>
    <s v="HPBL/D/54"/>
    <d v="2023-04-26T00:00:00"/>
    <s v="SF"/>
    <s v="PP/PE Fabric"/>
    <s v="PP Lam Fabric"/>
    <s v="PP Laminated Fabric"/>
    <s v="PP Lam Fabric With UV"/>
    <n v="7706"/>
    <n v="288975"/>
  </r>
  <r>
    <x v="0"/>
    <x v="0"/>
    <d v="2023-04-26T00:00:00"/>
    <s v="Plastene India ltd - Unit 2-Sales"/>
    <s v="Job Invoice"/>
    <s v="HPBL/D/56"/>
    <s v="Job Work Income"/>
    <s v="HPBL/D/56"/>
    <d v="2023-04-26T00:00:00"/>
    <s v="SF"/>
    <s v="Films All"/>
    <s v="PE Film"/>
    <s v="LLDPE FILM"/>
    <s v="LDPE/LLDPE Film"/>
    <n v="648.79999999999995"/>
    <n v="16868.8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UL Fabric"/>
    <s v="PP Unlaminated Fabric"/>
    <s v="PP UL Fabric With UV"/>
    <n v="1508"/>
    <n v="48256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Lam Fabric"/>
    <s v="PP Laminated Fabric"/>
    <s v="PP Lam Fabric With UV"/>
    <n v="100"/>
    <n v="3750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Lam Fabric"/>
    <s v="PP Laminated Fabric"/>
    <s v="PP Lam Fabric With UV"/>
    <n v="1492"/>
    <n v="55950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Lam Fabric"/>
    <s v="PP Laminated Fabric"/>
    <s v="PP Lam Fabric With UV"/>
    <n v="206"/>
    <n v="7725"/>
  </r>
  <r>
    <x v="0"/>
    <x v="0"/>
    <d v="2023-04-29T00:00:00"/>
    <s v="Plastene India ltd - Unit 2-Sales"/>
    <s v="Job Invoice"/>
    <s v="HPBL/D/65"/>
    <s v="Job Work Income"/>
    <s v="HPBL/D/65"/>
    <d v="2023-04-29T00:00:00"/>
    <s v="SF"/>
    <s v="Liners"/>
    <s v="LDPE/LLDPE Bags"/>
    <s v="LLDPE BAGS (LINER)"/>
    <s v="DOC Pouch"/>
    <n v="105.5"/>
    <n v="2743"/>
  </r>
  <r>
    <x v="0"/>
    <x v="0"/>
    <d v="2023-04-29T00:00:00"/>
    <s v="Plastene India ltd - Unit 2-Sales"/>
    <s v="Job Invoice"/>
    <s v="HPBL/D/65"/>
    <s v="Job Work Income"/>
    <s v="HPBL/D/65"/>
    <d v="2023-04-29T00:00:00"/>
    <s v="SF"/>
    <s v="Liners"/>
    <s v="LDPE/LLDPE Bags"/>
    <s v="LLDPE BAGS (LINER)"/>
    <s v="DOC Pouch"/>
    <n v="400"/>
    <n v="10400"/>
  </r>
  <r>
    <x v="1"/>
    <x v="0"/>
    <d v="2023-05-01T00:00:00"/>
    <s v="K.P. Woven Pvt Ltd-Sales"/>
    <s v="Job Invoice"/>
    <s v="HPBL/D/68"/>
    <s v="Job Work Income"/>
    <s v="HPBL/D/68"/>
    <d v="2023-05-01T00:00:00"/>
    <s v="SF"/>
    <s v="Liners"/>
    <s v="LDPE/LLDPE Bags"/>
    <s v="LLDPE BAGS (LINER)"/>
    <s v="DOC Pouch"/>
    <n v="1003"/>
    <n v="26078"/>
  </r>
  <r>
    <x v="1"/>
    <x v="0"/>
    <d v="2023-05-03T00:00:00"/>
    <s v="Plastene India ltd - Unit 1-Sales"/>
    <s v="Job Invoice"/>
    <s v="HPBL/D/72"/>
    <s v="Job Work Income"/>
    <s v="HPBL/D/72"/>
    <d v="2023-05-03T00:00:00"/>
    <s v="SF"/>
    <s v="PP/PE Fabric"/>
    <s v="PP UL Fabric"/>
    <s v="PP Unlaminated Fabric"/>
    <s v="PP UL Fabric With UV"/>
    <n v="263"/>
    <n v="8416"/>
  </r>
  <r>
    <x v="1"/>
    <x v="0"/>
    <d v="2023-05-03T00:00:00"/>
    <s v="Plastene India ltd - Unit 1-Sales"/>
    <s v="Job Invoice"/>
    <s v="HPBL/D/72"/>
    <s v="Job Work Income"/>
    <s v="HPBL/D/72"/>
    <d v="2023-05-03T00:00:00"/>
    <s v="SF"/>
    <s v="PP/PE Fabric"/>
    <s v="PP UL Fabric"/>
    <s v="PP Unlaminated Fabric"/>
    <s v="PP UL Fabric With UV"/>
    <n v="1327"/>
    <n v="42464"/>
  </r>
  <r>
    <x v="1"/>
    <x v="0"/>
    <d v="2023-05-03T00:00:00"/>
    <s v="Plastene India ltd - Unit 1-Sales"/>
    <s v="Job Invoice"/>
    <s v="HPBL/D/72"/>
    <s v="Job Work Income"/>
    <s v="HPBL/D/72"/>
    <d v="2023-05-03T00:00:00"/>
    <s v="SF"/>
    <s v="PP/PE Fabric"/>
    <s v="PP Lam Fabric"/>
    <s v="PP Laminated Fabric"/>
    <s v="PP Lam Fabric With UV"/>
    <n v="2673"/>
    <n v="100237.5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Lam Fabric"/>
    <s v="PP Laminated Fabric"/>
    <s v="PP Lam Fabric With UV"/>
    <n v="1838"/>
    <n v="68925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448.58"/>
    <n v="14354.56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400"/>
    <n v="12800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868"/>
    <n v="30380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1915.42"/>
    <n v="61293.440000000002"/>
  </r>
  <r>
    <x v="1"/>
    <x v="0"/>
    <d v="2023-05-04T00:00:00"/>
    <s v="K.P. Woven Pvt Ltd-Sales"/>
    <s v="Job Invoice"/>
    <s v="HPBL/D/75"/>
    <s v="Job Work Income"/>
    <s v="HPBL/D/75"/>
    <d v="2023-05-04T00:00:00"/>
    <s v="SF"/>
    <s v="Liners"/>
    <s v="LDPE/LLDPE Bags"/>
    <s v="LLDPE BAGS (LINER)"/>
    <s v="DOC Pouch"/>
    <n v="58"/>
    <n v="1508"/>
  </r>
  <r>
    <x v="1"/>
    <x v="0"/>
    <d v="2023-05-04T00:00:00"/>
    <s v="Plastene India ltd - Unit 1-Sales"/>
    <s v="Job Invoice"/>
    <s v="HPBL/D/76"/>
    <s v="Job Work Income"/>
    <s v="HPBL/D/76"/>
    <d v="2023-05-04T00:00:00"/>
    <s v="SF"/>
    <s v="PP/PE Fabric"/>
    <s v="PP UL Fabric"/>
    <s v="PP Unlaminated Fabric"/>
    <s v="PP UL Fabric With UV"/>
    <n v="6796"/>
    <n v="217472"/>
  </r>
  <r>
    <x v="1"/>
    <x v="0"/>
    <d v="2023-05-04T00:00:00"/>
    <s v="Plastene India ltd - Unit 1-Sales"/>
    <s v="Job Invoice"/>
    <s v="HPBL/D/76"/>
    <s v="Job Work Income"/>
    <s v="HPBL/D/76"/>
    <d v="2023-05-04T00:00:00"/>
    <s v="SF"/>
    <s v="PP/PE Fabric"/>
    <s v="PP Lam Fabric"/>
    <s v="PP Laminated Fabric"/>
    <s v="PP Lam Fabric With UV"/>
    <n v="200"/>
    <n v="7500"/>
  </r>
  <r>
    <x v="1"/>
    <x v="0"/>
    <d v="2023-05-04T00:00:00"/>
    <s v="Plastene India ltd - Unit 1-Sales"/>
    <s v="Job Invoice"/>
    <s v="HPBL/D/76"/>
    <s v="Job Work Income"/>
    <s v="HPBL/D/76"/>
    <d v="2023-05-04T00:00:00"/>
    <s v="SF"/>
    <s v="PP/PE Fabric"/>
    <s v="PP Lam Fabric"/>
    <s v="PP Laminated Fabric"/>
    <s v="PP Lam Fabric With UV"/>
    <n v="1804"/>
    <n v="67650"/>
  </r>
  <r>
    <x v="1"/>
    <x v="0"/>
    <d v="2023-05-05T00:00:00"/>
    <s v="Plastene India ltd - Unit 1-Sales"/>
    <s v="Job Invoice"/>
    <s v="HPBL/D/78"/>
    <s v="Job Work Income"/>
    <s v="HPBL/D/78"/>
    <d v="2023-05-05T00:00:00"/>
    <s v="SF"/>
    <s v="PP/PE Fabric"/>
    <s v="PP UL Fabric"/>
    <s v="PP Unlaminated Fabric"/>
    <s v="PP UL Fabric Without UV"/>
    <n v="2333.9"/>
    <n v="129368.077"/>
  </r>
  <r>
    <x v="1"/>
    <x v="0"/>
    <d v="2023-05-05T00:00:00"/>
    <s v="Plastene India ltd - Unit 1-Sales"/>
    <s v="Job Invoice"/>
    <s v="HPBL/D/78"/>
    <s v="Job Work Income"/>
    <s v="HPBL/D/78"/>
    <d v="2023-05-05T00:00:00"/>
    <s v="SF"/>
    <s v="PP/PE Fabric"/>
    <s v="PP UL Fabric"/>
    <s v="PP Unlaminated Fabric"/>
    <s v="PP UL Fabric Without UV"/>
    <n v="823.8"/>
    <n v="45292.523999999998"/>
  </r>
  <r>
    <x v="1"/>
    <x v="0"/>
    <d v="2023-05-06T00:00:00"/>
    <s v="Plastene India ltd - Unit 1-Sales"/>
    <s v="Job Invoice"/>
    <s v="HPBL/D/79"/>
    <s v="Job Work Income"/>
    <s v="HPBL/D/79"/>
    <d v="2023-05-06T00:00:00"/>
    <s v="FG"/>
    <s v="Small Bags"/>
    <s v="PP Bags"/>
    <s v="PP WOVEN BAG &amp; SACK"/>
    <s v="PP Lam Bags With UV"/>
    <n v="1824.4"/>
    <n v="93628.207999999999"/>
  </r>
  <r>
    <x v="1"/>
    <x v="0"/>
    <d v="2023-05-06T00:00:00"/>
    <s v="Plastene India ltd - Unit 1-Sales"/>
    <s v="Job Invoice"/>
    <s v="HPBL/D/80"/>
    <s v="Job Work Income"/>
    <s v="HPBL/D/80"/>
    <d v="2023-05-06T00:00:00"/>
    <s v="SF"/>
    <s v="PP/PE Fabric"/>
    <s v="PP UL Fabric"/>
    <s v="PP Unlaminated Fabric"/>
    <s v="PP UL Fabric Without UV"/>
    <n v="258.89999999999998"/>
    <n v="14350.826999999999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UL Fabric"/>
    <s v="PP Unlaminated Fabric"/>
    <s v="PP UL Fabric With UV"/>
    <n v="1105"/>
    <n v="38675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UL Fabric"/>
    <s v="PP Unlaminated Fabric"/>
    <s v="PP UL Fabric With UV"/>
    <n v="2910"/>
    <n v="93120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Lam Fabric"/>
    <s v="PP Laminated Fabric"/>
    <s v="PP Lam Fabric With UV"/>
    <n v="232"/>
    <n v="8700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Lam Fabric"/>
    <s v="PP Laminated Fabric"/>
    <s v="PP Lam Fabric With UV"/>
    <n v="2785"/>
    <n v="104437.5"/>
  </r>
  <r>
    <x v="1"/>
    <x v="0"/>
    <d v="2023-05-07T00:00:00"/>
    <s v="Plastene India ltd - Unit 1-Sales"/>
    <s v="Job Invoice"/>
    <s v="HPBL/D/85"/>
    <s v="Job Work Income"/>
    <s v="HPBL/D/85"/>
    <d v="2023-05-07T00:00:00"/>
    <s v="SF"/>
    <s v="PP/PE Fabric"/>
    <s v="PP Lam Fabric"/>
    <s v="PP Laminated Fabric"/>
    <s v="PP Lam Fabric Without UV"/>
    <n v="1646"/>
    <n v="74004.160000000003"/>
  </r>
  <r>
    <x v="1"/>
    <x v="0"/>
    <d v="2023-05-07T00:00:00"/>
    <s v="Plastene India ltd - Unit 1-Sales"/>
    <s v="Job Invoice"/>
    <s v="HPBL/D/85"/>
    <s v="Job Work Income"/>
    <s v="HPBL/D/85"/>
    <d v="2023-05-07T00:00:00"/>
    <s v="SF"/>
    <s v="PP/PE Fabric"/>
    <s v="PP Lam Fabric"/>
    <s v="PP Laminated Fabric"/>
    <s v="PP Lam Fabric Without UV"/>
    <n v="2315"/>
    <n v="124963.7"/>
  </r>
  <r>
    <x v="1"/>
    <x v="0"/>
    <d v="2023-05-07T00:00:00"/>
    <s v="Plastene India ltd - Unit 1-Sales"/>
    <s v="Job Invoice"/>
    <s v="HPBL/D/85"/>
    <s v="Job Work Income"/>
    <s v="HPBL/D/85"/>
    <d v="2023-05-07T00:00:00"/>
    <s v="SF"/>
    <s v="PP/PE Fabric"/>
    <s v="PP Lam Fabric"/>
    <s v="PP Laminated Fabric"/>
    <s v="PP Lam Fabric Without UV"/>
    <n v="200"/>
    <n v="10796"/>
  </r>
  <r>
    <x v="1"/>
    <x v="0"/>
    <d v="2023-05-09T00:00:00"/>
    <s v="K.P. Woven Pvt Ltd-Sales"/>
    <s v="Job Invoice"/>
    <s v="HPBL/D/89"/>
    <s v="Job Work Income"/>
    <s v="HPBL/D/89"/>
    <d v="2023-05-09T00:00:00"/>
    <s v="SF"/>
    <s v="Liners"/>
    <s v="LDPE/LLDPE Bags"/>
    <s v="LLDPE BAGS (LINER)"/>
    <s v="DOC Pouch"/>
    <n v="229"/>
    <n v="5954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Lam Fabric"/>
    <s v="PP Laminated Fabric"/>
    <s v="PP Lam Fabric With UV"/>
    <n v="100"/>
    <n v="8550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Lam Fabric"/>
    <s v="PP Laminated Fabric"/>
    <s v="PP Lam Fabric With UV"/>
    <n v="1992"/>
    <n v="74700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UL Fabric"/>
    <s v="PP Unlaminated Fabric"/>
    <s v="PP UL Fabric With UV"/>
    <n v="200"/>
    <n v="6400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UL Fabric"/>
    <s v="PP Unlaminated Fabric"/>
    <s v="PP UL Fabric With UV"/>
    <n v="5126"/>
    <n v="164032"/>
  </r>
  <r>
    <x v="1"/>
    <x v="0"/>
    <d v="2023-05-09T00:00:00"/>
    <s v="Plastene India ltd - Unit 1-Sales"/>
    <s v="Job Invoice"/>
    <s v="HPBL/D/90"/>
    <s v="Job Work Income"/>
    <s v="HPBL/D/90"/>
    <d v="2023-05-09T00:00:00"/>
    <s v="SF"/>
    <s v="PP/PE Fabric"/>
    <s v="PP Lam Fabric"/>
    <s v="PP Laminated Fabric"/>
    <s v="PP Lam Fabric With UV"/>
    <n v="200"/>
    <n v="7500"/>
  </r>
  <r>
    <x v="1"/>
    <x v="0"/>
    <d v="2023-05-09T00:00:00"/>
    <s v="Plastene India ltd - Unit 1-Sales"/>
    <s v="Job Invoice"/>
    <s v="HPBL/D/90"/>
    <s v="Job Work Income"/>
    <s v="HPBL/D/90"/>
    <d v="2023-05-09T00:00:00"/>
    <s v="SF"/>
    <s v="PP/PE Fabric"/>
    <s v="PP Lam Fabric"/>
    <s v="PP Laminated Fabric"/>
    <s v="PP Lam Fabric With UV"/>
    <n v="7992"/>
    <n v="299700"/>
  </r>
  <r>
    <x v="1"/>
    <x v="0"/>
    <d v="2023-05-09T00:00:00"/>
    <s v="Plastene India ltd - Unit 1-Sales"/>
    <s v="Job Invoice"/>
    <s v="HPBL/D/90"/>
    <s v="Job Work Income"/>
    <s v="HPBL/D/90"/>
    <d v="2023-05-09T00:00:00"/>
    <s v="SF"/>
    <s v="PP/PE Fabric"/>
    <s v="PP UL Fabric"/>
    <s v="PP Unlaminated Fabric"/>
    <s v="PP UL Fabric With UV"/>
    <n v="339"/>
    <n v="1084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875.4"/>
    <n v="200330.22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717.35"/>
    <n v="174173.63699999999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2114.9"/>
    <n v="224983.06200000001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619.4"/>
    <n v="65966.100000000006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297.9000000000001"/>
    <n v="76874.61699999999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443.4"/>
    <n v="177105.1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588.1"/>
    <n v="165384.734"/>
  </r>
  <r>
    <x v="1"/>
    <x v="0"/>
    <d v="2023-05-12T00:00:00"/>
    <s v="Plastene India ltd - Unit 1-Sales"/>
    <s v="Job Invoice"/>
    <s v="HPBL/D/94"/>
    <s v="Job Work Income"/>
    <s v="HPBL/D/94"/>
    <d v="2023-05-12T00:00:00"/>
    <s v="SF"/>
    <s v="PP/PE Fabric"/>
    <s v="PP Lam Fabric"/>
    <s v="PP Laminated Fabric"/>
    <s v="PP Lam Fabric With UV"/>
    <n v="4607"/>
    <n v="172762.5"/>
  </r>
  <r>
    <x v="1"/>
    <x v="0"/>
    <d v="2023-05-12T00:00:00"/>
    <s v="Plastene India ltd - Unit 1-Sales"/>
    <s v="Job Invoice"/>
    <s v="HPBL/D/94"/>
    <s v="Job Work Income"/>
    <s v="HPBL/D/94"/>
    <d v="2023-05-12T00:00:00"/>
    <s v="SF"/>
    <s v="PP/PE Fabric"/>
    <s v="PP UL Fabric"/>
    <s v="PP Unlaminated Fabric"/>
    <s v="PP UL Fabric With UV"/>
    <n v="2487"/>
    <n v="79584"/>
  </r>
  <r>
    <x v="1"/>
    <x v="0"/>
    <d v="2023-05-12T00:00:00"/>
    <s v="Plastene India ltd - Unit 2-Sales"/>
    <s v="Job Invoice"/>
    <s v="HPBL/D/95"/>
    <s v="Job Work Income"/>
    <s v="HPBL/D/95"/>
    <d v="2023-05-12T00:00:00"/>
    <s v="SF"/>
    <s v="Liners"/>
    <s v="LDPE/LLDPE Bags"/>
    <s v="LLDPE BAGS (LINER)"/>
    <s v="DOC Pouch"/>
    <n v="799"/>
    <n v="20774"/>
  </r>
  <r>
    <x v="1"/>
    <x v="0"/>
    <d v="2023-05-13T00:00:00"/>
    <s v="Plastene India ltd - Unit 1-Sales"/>
    <s v="Job Invoice"/>
    <s v="HPBL/D/100"/>
    <s v="Job Work Income"/>
    <s v="HPBL/D/100"/>
    <d v="2023-05-13T00:00:00"/>
    <s v="SF"/>
    <s v="PP/PE Fabric"/>
    <s v="PP Lam Fabric"/>
    <s v="PP Laminated Fabric"/>
    <s v="PP Lam Fabric With UV"/>
    <n v="3044"/>
    <n v="114150"/>
  </r>
  <r>
    <x v="1"/>
    <x v="0"/>
    <d v="2023-05-13T00:00:00"/>
    <s v="Plastene India ltd - Unit 1-Sales"/>
    <s v="Job Invoice"/>
    <s v="HPBL/D/100"/>
    <s v="Job Work Income"/>
    <s v="HPBL/D/100"/>
    <d v="2023-05-13T00:00:00"/>
    <s v="SF"/>
    <s v="PP/PE Fabric"/>
    <s v="PP UL Fabric"/>
    <s v="PP Unlaminated Fabric"/>
    <s v="PP UL Fabric With UV"/>
    <n v="1956"/>
    <n v="62592"/>
  </r>
  <r>
    <x v="1"/>
    <x v="0"/>
    <d v="2023-05-13T00:00:00"/>
    <s v="Plastene India ltd - Unit 1-Sales"/>
    <s v="Job Invoice"/>
    <s v="HPBL/D/100"/>
    <s v="Job Work Income"/>
    <s v="HPBL/D/100"/>
    <d v="2023-05-13T00:00:00"/>
    <s v="SF"/>
    <s v="PP/PE Fabric"/>
    <s v="PP UL Fabric"/>
    <s v="PP Unlaminated Fabric"/>
    <s v="PP UL Fabric With UV"/>
    <n v="97"/>
    <n v="3104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Lam Fabric"/>
    <s v="PP Laminated Fabric"/>
    <s v="PP Lam Fabric With UV"/>
    <n v="1967"/>
    <n v="73762.5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UL Fabric"/>
    <s v="PP Unlaminated Fabric"/>
    <s v="PP UL Fabric With UV"/>
    <n v="253.42"/>
    <n v="8109.44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UL Fabric"/>
    <s v="PP Unlaminated Fabric"/>
    <s v="PP UL Fabric With UV"/>
    <n v="852"/>
    <n v="68160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UL Fabric"/>
    <s v="PP Unlaminated Fabric"/>
    <s v="PP UL Fabric With UV"/>
    <n v="4330.58"/>
    <n v="138578.56"/>
  </r>
  <r>
    <x v="1"/>
    <x v="0"/>
    <d v="2023-05-13T00:00:00"/>
    <s v="Plastene India ltd - Unit 1-Sales"/>
    <s v="Job Invoice"/>
    <s v="HPBL/D/104"/>
    <s v="Job Work Income"/>
    <s v="HPBL/D/104"/>
    <d v="2023-05-13T00:00:00"/>
    <s v="SF"/>
    <s v="PP/PE Fabric"/>
    <s v="PP UL Fabric"/>
    <s v="PP Unlaminated Fabric"/>
    <s v="PP UL Fabric With UV"/>
    <n v="624"/>
    <n v="21840"/>
  </r>
  <r>
    <x v="1"/>
    <x v="0"/>
    <d v="2023-05-13T00:00:00"/>
    <s v="Plastene India ltd - Unit 1-Sales"/>
    <s v="Job Invoice"/>
    <s v="HPBL/D/104"/>
    <s v="Job Work Income"/>
    <s v="HPBL/D/104"/>
    <d v="2023-05-13T00:00:00"/>
    <s v="SF"/>
    <s v="PP/PE Fabric"/>
    <s v="PP UL Fabric"/>
    <s v="PP Unlaminated Fabric"/>
    <s v="PP UL Fabric With UV"/>
    <n v="5700"/>
    <n v="182400"/>
  </r>
  <r>
    <x v="1"/>
    <x v="0"/>
    <d v="2023-05-13T00:00:00"/>
    <s v="Plastene India ltd - Unit 1-Sales"/>
    <s v="Job Invoice"/>
    <s v="HPBL/D/104"/>
    <s v="Job Work Income"/>
    <s v="HPBL/D/104"/>
    <d v="2023-05-13T00:00:00"/>
    <s v="SF"/>
    <s v="PP/PE Fabric"/>
    <s v="PP Lam Fabric"/>
    <s v="PP Laminated Fabric"/>
    <s v="PP Lam Fabric With UV"/>
    <n v="2230"/>
    <n v="83625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UL Fabric"/>
    <s v="PP Unlaminated Fabric"/>
    <s v="PP UL Fabric With UV"/>
    <n v="1024"/>
    <n v="32768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UL Fabric"/>
    <s v="PP Unlaminated Fabric"/>
    <s v="PP UL Fabric With UV"/>
    <n v="200"/>
    <n v="6400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Lam Fabric"/>
    <s v="PP Laminated Fabric"/>
    <s v="PP Lam Fabric With UV"/>
    <n v="3210"/>
    <n v="120375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Lam Fabric"/>
    <s v="PP Laminated Fabric"/>
    <s v="PP Lam Fabric With UV"/>
    <n v="274"/>
    <n v="11097"/>
  </r>
  <r>
    <x v="1"/>
    <x v="0"/>
    <d v="2023-05-16T00:00:00"/>
    <s v="Plastene India ltd - Unit 1-Sales"/>
    <s v="Job Invoice"/>
    <s v="HPBL/D/108"/>
    <s v="Job Work Income"/>
    <s v="HPBL/D/108"/>
    <d v="2023-05-16T00:00:00"/>
    <s v="SF"/>
    <s v="PP/PE Fabric"/>
    <s v="PP Lam Fabric"/>
    <s v="PP Laminated Fabric"/>
    <s v="PP Lam Fabric With UV"/>
    <n v="1286"/>
    <n v="48225"/>
  </r>
  <r>
    <x v="1"/>
    <x v="0"/>
    <d v="2023-05-16T00:00:00"/>
    <s v="Plastene India ltd - Unit 1-Sales"/>
    <s v="Job Invoice"/>
    <s v="HPBL/D/108"/>
    <s v="Job Work Income"/>
    <s v="HPBL/D/108"/>
    <d v="2023-05-16T00:00:00"/>
    <s v="SF"/>
    <s v="PP/PE Fabric"/>
    <s v="PP UL Fabric"/>
    <s v="PP Unlaminated Fabric"/>
    <s v="PP UL Fabric With UV"/>
    <n v="186"/>
    <n v="14880"/>
  </r>
  <r>
    <x v="1"/>
    <x v="0"/>
    <d v="2023-05-16T00:00:00"/>
    <s v="Plastene India ltd - Unit 1-Sales"/>
    <s v="Job Invoice"/>
    <s v="HPBL/D/108"/>
    <s v="Job Work Income"/>
    <s v="HPBL/D/108"/>
    <d v="2023-05-16T00:00:00"/>
    <s v="SF"/>
    <s v="PP/PE Fabric"/>
    <s v="PP UL Fabric"/>
    <s v="PP Unlaminated Fabric"/>
    <s v="PP UL Fabric With UV"/>
    <n v="6275"/>
    <n v="200800"/>
  </r>
  <r>
    <x v="1"/>
    <x v="0"/>
    <d v="2023-05-18T00:00:00"/>
    <s v="K.P. Woven Pvt Ltd-Sales"/>
    <s v="Job Invoice"/>
    <s v="HPBL/D/111"/>
    <s v="Job Work Income"/>
    <s v="HPBL/D/111"/>
    <d v="2023-05-18T00:00:00"/>
    <s v="SF"/>
    <s v="Liners"/>
    <s v="LDPE/LLDPE Bags"/>
    <s v="LLDPE BAGS (LINER)"/>
    <s v="DOC Pouch"/>
    <n v="128"/>
    <n v="3328"/>
  </r>
  <r>
    <x v="1"/>
    <x v="0"/>
    <d v="2023-05-18T00:00:00"/>
    <s v="Plastene India ltd - Unit 1-Sales"/>
    <s v="Job Invoice"/>
    <s v="HPBL/D/113"/>
    <s v="Job Work Income"/>
    <s v="HPBL/D/113"/>
    <d v="2023-05-18T00:00:00"/>
    <s v="FG"/>
    <s v="Small Bags"/>
    <s v="PP Bags"/>
    <s v="PP WOVEN BAG &amp; SACK"/>
    <s v="PP Lam Bags Without UV"/>
    <n v="8259.4"/>
    <n v="595007.17599999998"/>
  </r>
  <r>
    <x v="1"/>
    <x v="0"/>
    <d v="2023-05-18T00:00:00"/>
    <s v="Plastene India ltd - Unit 1-Sales"/>
    <s v="Job Invoice"/>
    <s v="HPBL/D/114"/>
    <s v="Job Work Income"/>
    <s v="HPBL/D/114"/>
    <d v="2023-05-18T00:00:00"/>
    <s v="SF"/>
    <s v="PP/PE Fabric"/>
    <s v="PP Lam Fabric"/>
    <s v="PP Laminated Fabric"/>
    <s v="PP Lam Fabric With UV"/>
    <n v="611"/>
    <n v="24745.5"/>
  </r>
  <r>
    <x v="1"/>
    <x v="0"/>
    <d v="2023-05-18T00:00:00"/>
    <s v="Plastene India ltd - Unit 1-Sales"/>
    <s v="Job Invoice"/>
    <s v="HPBL/D/114"/>
    <s v="Job Work Income"/>
    <s v="HPBL/D/114"/>
    <d v="2023-05-18T00:00:00"/>
    <s v="SF"/>
    <s v="PP/PE Fabric"/>
    <s v="PP Lam Fabric"/>
    <s v="PP Laminated Fabric"/>
    <s v="PP Lam Fabric With UV"/>
    <n v="3528.97"/>
    <n v="132336.375"/>
  </r>
  <r>
    <x v="1"/>
    <x v="0"/>
    <d v="2023-05-18T00:00:00"/>
    <s v="Plastene India ltd - Unit 1-Sales"/>
    <s v="Job Invoice"/>
    <s v="HPBL/D/114"/>
    <s v="Job Work Income"/>
    <s v="HPBL/D/114"/>
    <d v="2023-05-18T00:00:00"/>
    <s v="SF"/>
    <s v="PP/PE Fabric"/>
    <s v="PP Lam Fabric"/>
    <s v="PP Laminated Fabric"/>
    <s v="PP Lam Fabric With UV"/>
    <n v="2807.03"/>
    <n v="105263.625"/>
  </r>
  <r>
    <x v="1"/>
    <x v="0"/>
    <d v="2023-05-18T00:00:00"/>
    <s v="Plastene India ltd - Unit 2-Sales"/>
    <s v="Job Invoice"/>
    <s v="HPBL/D/112"/>
    <s v="Job Work Income"/>
    <s v="HPBL/D/112"/>
    <d v="2023-05-18T00:00:00"/>
    <s v="SF"/>
    <s v="Liners"/>
    <s v="LDPE/LLDPE Bags"/>
    <s v="LLDPE BAGS (LINER)"/>
    <s v="DOC Pouch"/>
    <n v="276"/>
    <n v="7176"/>
  </r>
  <r>
    <x v="1"/>
    <x v="0"/>
    <d v="2023-05-18T00:00:00"/>
    <s v="Plastene India ltd - Unit 2-Sales"/>
    <s v="Job Invoice"/>
    <s v="HPBL/D/112"/>
    <s v="Job Work Income"/>
    <s v="HPBL/D/112"/>
    <d v="2023-05-18T00:00:00"/>
    <s v="SF"/>
    <s v="Liners"/>
    <s v="LDPE/LLDPE Bags"/>
    <s v="LLDPE BAGS (LINER)"/>
    <s v="DOC Pouch"/>
    <n v="500"/>
    <n v="13000"/>
  </r>
  <r>
    <x v="1"/>
    <x v="0"/>
    <d v="2023-05-20T00:00:00"/>
    <s v="Plastene India ltd - Unit 1-Sales"/>
    <s v="Job Invoice"/>
    <s v="HPBL/D/116"/>
    <s v="Job Work Income"/>
    <s v="HPBL/D/116"/>
    <d v="2023-05-20T00:00:00"/>
    <s v="SF"/>
    <s v="Liners"/>
    <s v="LDPE/LLDPE Bags"/>
    <s v="LLDPE FILM"/>
    <s v="LDPE/LLDPE Bags/Liner"/>
    <n v="7"/>
    <n v="182"/>
  </r>
  <r>
    <x v="1"/>
    <x v="0"/>
    <d v="2023-05-20T00:00:00"/>
    <s v="Plastene India ltd - Unit 1-Sales"/>
    <s v="Job Invoice"/>
    <s v="HPBL/D/117"/>
    <s v="Job Work Income"/>
    <s v="HPBL/D/117"/>
    <d v="2023-05-20T00:00:00"/>
    <s v="SF"/>
    <s v="PP/PE Fabric"/>
    <s v="PP Lam Fabric"/>
    <s v="PP Laminated Fabric"/>
    <s v="PP Lam Fabric With UV"/>
    <n v="2046"/>
    <n v="76725"/>
  </r>
  <r>
    <x v="1"/>
    <x v="0"/>
    <d v="2023-05-20T00:00:00"/>
    <s v="Plastene India ltd - Unit 1-Sales"/>
    <s v="Job Invoice"/>
    <s v="HPBL/D/117"/>
    <s v="Job Work Income"/>
    <s v="HPBL/D/117"/>
    <d v="2023-05-20T00:00:00"/>
    <s v="SF"/>
    <s v="PP/PE Fabric"/>
    <s v="PP UL Fabric"/>
    <s v="PP Unlaminated Fabric"/>
    <s v="PP UL Fabric With UV"/>
    <n v="1626"/>
    <n v="52032"/>
  </r>
  <r>
    <x v="1"/>
    <x v="0"/>
    <d v="2023-05-20T00:00:00"/>
    <s v="Plastene India ltd - Unit 1-Sales"/>
    <s v="Job Invoice"/>
    <s v="HPBL/D/118"/>
    <s v="Job Work Income"/>
    <s v="HPBL/D/118"/>
    <d v="2023-05-20T00:00:00"/>
    <s v="SF"/>
    <s v="PP/PE Fabric"/>
    <s v="PP UL Fabric"/>
    <s v="PP Unlaminated Fabric"/>
    <s v="PP UL Fabric With UV"/>
    <n v="274"/>
    <n v="8768"/>
  </r>
  <r>
    <x v="1"/>
    <x v="0"/>
    <d v="2023-05-20T00:00:00"/>
    <s v="Plastene India ltd - Unit 1-Sales"/>
    <s v="Job Invoice"/>
    <s v="HPBL/D/118"/>
    <s v="Job Work Income"/>
    <s v="HPBL/D/118"/>
    <d v="2023-05-20T00:00:00"/>
    <s v="SF"/>
    <s v="PP/PE Fabric"/>
    <s v="PP Lam Fabric"/>
    <s v="PP Laminated Fabric"/>
    <s v="PP Lam Fabric With UV"/>
    <n v="128"/>
    <n v="5184"/>
  </r>
  <r>
    <x v="1"/>
    <x v="0"/>
    <d v="2023-05-20T00:00:00"/>
    <s v="Plastene India ltd - Unit 1-Sales"/>
    <s v="Job Invoice"/>
    <s v="HPBL/D/118"/>
    <s v="Job Work Income"/>
    <s v="HPBL/D/118"/>
    <d v="2023-05-20T00:00:00"/>
    <s v="SF"/>
    <s v="PP/PE Fabric"/>
    <s v="PP Lam Fabric"/>
    <s v="PP Laminated Fabric"/>
    <s v="PP Lam Fabric With UV"/>
    <n v="4349"/>
    <n v="163087.5"/>
  </r>
  <r>
    <x v="1"/>
    <x v="0"/>
    <d v="2023-05-22T00:00:00"/>
    <s v="K.P. Woven Pvt Ltd-Sales"/>
    <s v="Job Invoice"/>
    <s v="HPBL/D/120"/>
    <s v="Job Work Income"/>
    <s v="HPBL/D/120"/>
    <d v="2023-05-22T00:00:00"/>
    <s v="SF"/>
    <s v="Liners"/>
    <s v="LDPE/LLDPE Bags"/>
    <s v="LLDPE BAGS (LINER)"/>
    <s v="DOC Pouch"/>
    <n v="156.5"/>
    <n v="4069"/>
  </r>
  <r>
    <x v="1"/>
    <x v="0"/>
    <d v="2023-05-22T00:00:00"/>
    <s v="Plastene India ltd - Unit 1-Sales"/>
    <s v="Job Invoice"/>
    <s v="HPBL/D/121"/>
    <s v="Job Work Income"/>
    <s v="HPBL/D/121"/>
    <d v="2023-05-22T00:00:00"/>
    <s v="SF"/>
    <s v="PP/PE Fabric"/>
    <s v="PP UL Fabric"/>
    <s v="PP Unlaminated Fabric"/>
    <s v="PP UL Fabric With UV"/>
    <n v="188"/>
    <n v="15040"/>
  </r>
  <r>
    <x v="1"/>
    <x v="0"/>
    <d v="2023-05-22T00:00:00"/>
    <s v="Plastene India ltd - Unit 1-Sales"/>
    <s v="Job Invoice"/>
    <s v="HPBL/D/121"/>
    <s v="Job Work Income"/>
    <s v="HPBL/D/121"/>
    <d v="2023-05-22T00:00:00"/>
    <s v="SF"/>
    <s v="PP/PE Fabric"/>
    <s v="PP UL Fabric"/>
    <s v="PP Unlaminated Fabric"/>
    <s v="PP UL Fabric With UV"/>
    <n v="7089"/>
    <n v="226848"/>
  </r>
  <r>
    <x v="1"/>
    <x v="0"/>
    <d v="2023-05-22T00:00:00"/>
    <s v="Plastene India ltd - Unit 1-Sales"/>
    <s v="Job Invoice"/>
    <s v="HPBL/D/121"/>
    <s v="Job Work Income"/>
    <s v="HPBL/D/121"/>
    <d v="2023-05-22T00:00:00"/>
    <s v="SF"/>
    <s v="PP/PE Fabric"/>
    <s v="PP Lam Fabric"/>
    <s v="PP Laminated Fabric"/>
    <s v="PP Lam Fabric With UV"/>
    <n v="306"/>
    <n v="11475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Liners"/>
    <s v="LDPE/LLDPE Bags"/>
    <s v="LLDPE BAGS (LINER)"/>
    <s v="DOC Pouch"/>
    <n v="814"/>
    <n v="21164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Films All"/>
    <s v="PE Film"/>
    <s v="LDPE Film"/>
    <s v="LDPE/LLDPE Film"/>
    <n v="369.8"/>
    <n v="9614.7999999999993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PP/PE Fabric"/>
    <s v="PP Lam Fabric"/>
    <s v="PP Laminated Fabric"/>
    <s v="PP Lam Fabric With UV"/>
    <n v="191"/>
    <n v="7735.5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PP/PE Fabric"/>
    <s v="PP Lam Fabric"/>
    <s v="PP Laminated Fabric"/>
    <s v="PP Lam Fabric With UV"/>
    <n v="6809"/>
    <n v="255337.5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PP/PE Fabric"/>
    <s v="PP Lam Fabric"/>
    <s v="PP Laminated Fabric"/>
    <s v="PP Lam Fabric With UV"/>
    <n v="472"/>
    <n v="17700"/>
  </r>
  <r>
    <x v="1"/>
    <x v="0"/>
    <d v="2023-05-24T00:00:00"/>
    <s v="Plastene India ltd - Unit 1-Sales"/>
    <s v="Job Invoice"/>
    <s v="HPBL/D/127"/>
    <s v="Job Work Income"/>
    <s v="HPBL/D/127"/>
    <d v="2023-05-24T00:00:00"/>
    <s v="SF"/>
    <s v="PP/PE Fabric"/>
    <s v="PP UL Fabric"/>
    <s v="PP Unlaminated Fabric"/>
    <s v="PP UL Fabric With UV"/>
    <n v="787"/>
    <n v="25184"/>
  </r>
  <r>
    <x v="1"/>
    <x v="0"/>
    <d v="2023-05-24T00:00:00"/>
    <s v="Plastene India ltd - Unit 1-Sales"/>
    <s v="Job Invoice"/>
    <s v="HPBL/D/127"/>
    <s v="Job Work Income"/>
    <s v="HPBL/D/127"/>
    <d v="2023-05-24T00:00:00"/>
    <s v="SF"/>
    <s v="PP/PE Fabric"/>
    <s v="PP Lam Fabric"/>
    <s v="PP Laminated Fabric"/>
    <s v="PP Lam Fabric Without UV"/>
    <n v="1009"/>
    <n v="92293.23"/>
  </r>
  <r>
    <x v="1"/>
    <x v="0"/>
    <d v="2023-05-24T00:00:00"/>
    <s v="Plastene India ltd - Unit 1-Sales"/>
    <s v="Job Invoice"/>
    <s v="HPBL/D/127"/>
    <s v="Job Work Income"/>
    <s v="HPBL/D/127"/>
    <d v="2023-05-24T00:00:00"/>
    <s v="SF"/>
    <s v="PP/PE Fabric"/>
    <s v="PP Lam Fabric"/>
    <s v="PP Laminated Fabric"/>
    <s v="PP Lam Fabric With UV"/>
    <n v="5250"/>
    <n v="196875"/>
  </r>
  <r>
    <x v="1"/>
    <x v="0"/>
    <d v="2023-05-24T00:00:00"/>
    <s v="Plastene India ltd - Unit 1-Sales"/>
    <s v="Job Invoice"/>
    <s v="HPBL/D/128"/>
    <s v="Job Work Income"/>
    <s v="HPBL/D/128"/>
    <d v="2023-05-24T00:00:00"/>
    <s v="SF"/>
    <s v="PP/PE Fabric"/>
    <s v="PP Lam Fabric"/>
    <s v="PP Laminated Fabric"/>
    <s v="PP Lam Fabric With UV"/>
    <n v="2180"/>
    <n v="81750"/>
  </r>
  <r>
    <x v="1"/>
    <x v="0"/>
    <d v="2023-05-24T00:00:00"/>
    <s v="Plastene India ltd - Unit 1-Sales"/>
    <s v="Job Invoice"/>
    <s v="HPBL/D/128"/>
    <s v="Job Work Income"/>
    <s v="HPBL/D/128"/>
    <d v="2023-05-24T00:00:00"/>
    <s v="SF"/>
    <s v="PP/PE Fabric"/>
    <s v="PP UL Fabric"/>
    <s v="PP Unlaminated Fabric"/>
    <s v="PP UL Fabric With UV"/>
    <n v="143"/>
    <n v="5005"/>
  </r>
  <r>
    <x v="1"/>
    <x v="0"/>
    <d v="2023-05-24T00:00:00"/>
    <s v="Plastene India ltd - Unit 1-Sales"/>
    <s v="Job Invoice"/>
    <s v="HPBL/D/128"/>
    <s v="Job Work Income"/>
    <s v="HPBL/D/128"/>
    <d v="2023-05-24T00:00:00"/>
    <s v="SF"/>
    <s v="PP/PE Fabric"/>
    <s v="PP UL Fabric"/>
    <s v="PP Unlaminated Fabric"/>
    <s v="PP UL Fabric With UV"/>
    <n v="845"/>
    <n v="27040"/>
  </r>
  <r>
    <x v="1"/>
    <x v="0"/>
    <d v="2023-05-29T00:00:00"/>
    <s v="K.P. Woven Pvt Ltd-Sales"/>
    <s v="Job Invoice"/>
    <s v="HPBL/D/133"/>
    <s v="Job Work Income"/>
    <s v="HPBL/D/133"/>
    <d v="2023-05-29T00:00:00"/>
    <s v="SF"/>
    <s v="Liners"/>
    <s v="LDPE/LLDPE Bags"/>
    <s v="LLDPE BAGS (LINER)"/>
    <s v="DOC Pouch"/>
    <n v="1228"/>
    <n v="31928"/>
  </r>
  <r>
    <x v="1"/>
    <x v="0"/>
    <d v="2023-05-29T00:00:00"/>
    <s v="Plastene India ltd - Unit 1-Sales"/>
    <s v="Job Invoice"/>
    <s v="HPBL/D/130"/>
    <s v="Job Work Income"/>
    <s v="HPBL/D/130"/>
    <d v="2023-05-29T00:00:00"/>
    <s v="FG"/>
    <s v="Small Bags"/>
    <s v="PP Bags"/>
    <s v="PP WOVEN BAG &amp; SACK"/>
    <s v="PP UL Bags Without UV"/>
    <n v="831.8"/>
    <n v="35659.266000000003"/>
  </r>
  <r>
    <x v="1"/>
    <x v="0"/>
    <d v="2023-05-29T00:00:00"/>
    <s v="Plastene India ltd - Unit 1-Sales"/>
    <s v="Job Invoice"/>
    <s v="HPBL/D/130"/>
    <s v="Job Work Income"/>
    <s v="HPBL/D/130"/>
    <d v="2023-05-29T00:00:00"/>
    <s v="FG"/>
    <s v="Small Bags"/>
    <s v="PP Bags"/>
    <s v="PP WOVEN BAG &amp; SACK"/>
    <s v="PP UL Bags Without UV"/>
    <n v="866.7"/>
    <n v="39287.510999999999"/>
  </r>
  <r>
    <x v="1"/>
    <x v="0"/>
    <d v="2023-05-29T00:00:00"/>
    <s v="Plastene India ltd - Unit 1-Sales"/>
    <s v="Job Invoice"/>
    <s v="HPBL/D/130"/>
    <s v="Job Work Income"/>
    <s v="HPBL/D/130"/>
    <d v="2023-05-29T00:00:00"/>
    <s v="FG"/>
    <s v="Small Bags"/>
    <s v="PP Bags"/>
    <s v="PP WOVEN BAG &amp; SACK"/>
    <s v="PP UL Bags Without UV"/>
    <n v="903.4"/>
    <n v="32703.08"/>
  </r>
  <r>
    <x v="1"/>
    <x v="0"/>
    <d v="2023-05-29T00:00:00"/>
    <s v="Plastene India ltd - Unit 1-Sales"/>
    <s v="Job Invoice"/>
    <s v="HPBL/D/131"/>
    <s v="Job Work Income"/>
    <s v="HPBL/D/131"/>
    <d v="2023-05-29T00:00:00"/>
    <s v="SF"/>
    <s v="Liners"/>
    <s v="LDPE/LLDPE Bags"/>
    <s v="LLDPE BAGS (LINER)"/>
    <s v="DOC Pouch"/>
    <n v="129"/>
    <n v="3354"/>
  </r>
  <r>
    <x v="1"/>
    <x v="0"/>
    <d v="2023-05-29T00:00:00"/>
    <s v="Plastene India ltd - Unit 1-Sales"/>
    <s v="Job Invoice"/>
    <s v="HPBL/D/131"/>
    <s v="Job Work Income"/>
    <s v="HPBL/D/131"/>
    <d v="2023-05-29T00:00:00"/>
    <s v="SF"/>
    <s v="PP/PE Fabric"/>
    <s v="PP Lam Fabric"/>
    <s v="PP Laminated Fabric"/>
    <s v="PP Lam Fabric With UV"/>
    <n v="181"/>
    <n v="7330.5"/>
  </r>
  <r>
    <x v="1"/>
    <x v="0"/>
    <d v="2023-05-29T00:00:00"/>
    <s v="Plastene India ltd - Unit 1-Sales"/>
    <s v="Job Invoice"/>
    <s v="HPBL/D/131"/>
    <s v="Job Work Income"/>
    <s v="HPBL/D/131"/>
    <d v="2023-05-29T00:00:00"/>
    <s v="SF"/>
    <s v="PP/PE Fabric"/>
    <s v="PP Lam Fabric"/>
    <s v="PP Laminated Fabric"/>
    <s v="PP Lam Fabric With UV"/>
    <n v="1413"/>
    <n v="52987.5"/>
  </r>
  <r>
    <x v="1"/>
    <x v="0"/>
    <d v="2023-05-29T00:00:00"/>
    <s v="Plastene India ltd - Unit 1-Sales"/>
    <s v="Job Invoice"/>
    <s v="HPBL/D/134"/>
    <s v="Job Work Income"/>
    <s v="HPBL/D/134"/>
    <d v="2023-05-29T00:00:00"/>
    <s v="SF"/>
    <s v="PP/PE Fabric"/>
    <s v="PP Lam Fabric"/>
    <s v="PP Laminated Fabric"/>
    <s v="PP Lam Fabric With UV"/>
    <n v="5786"/>
    <n v="216975"/>
  </r>
  <r>
    <x v="1"/>
    <x v="0"/>
    <d v="2023-05-29T00:00:00"/>
    <s v="Plastene India ltd - Unit 1-Sales"/>
    <s v="Job Invoice"/>
    <s v="HPBL/D/134"/>
    <s v="Job Work Income"/>
    <s v="HPBL/D/134"/>
    <d v="2023-05-29T00:00:00"/>
    <s v="SF"/>
    <s v="PP/PE Fabric"/>
    <s v="PP Lam Fabric"/>
    <s v="PP Laminated Fabric"/>
    <s v="PP Lam Fabric With UV"/>
    <n v="687"/>
    <n v="25762.5"/>
  </r>
  <r>
    <x v="1"/>
    <x v="0"/>
    <d v="2023-05-29T00:00:00"/>
    <s v="Plastene India ltd - Unit 1-Sales"/>
    <s v="Job Invoice"/>
    <s v="HPBL/D/134"/>
    <s v="Job Work Income"/>
    <s v="HPBL/D/134"/>
    <d v="2023-05-29T00:00:00"/>
    <s v="SF"/>
    <s v="PP/PE Fabric"/>
    <s v="PP UL Fabric"/>
    <s v="PP Unlaminated Fabric"/>
    <s v="PP UL Fabric With UV"/>
    <n v="214"/>
    <n v="17120"/>
  </r>
  <r>
    <x v="1"/>
    <x v="0"/>
    <d v="2023-05-31T00:00:00"/>
    <s v="Plastene India ltd - Unit 1-Sales"/>
    <s v="Job Invoice"/>
    <s v="HPBL/D/136"/>
    <s v="Job Work Income"/>
    <s v="HPBL/D/136"/>
    <d v="2023-05-31T00:00:00"/>
    <s v="SF"/>
    <s v="PP/PE Fabric"/>
    <s v="PP Lam Fabric"/>
    <s v="PP Laminated Fabric"/>
    <s v="PP Lam Fabric With UV"/>
    <n v="4093"/>
    <n v="153487.5"/>
  </r>
  <r>
    <x v="1"/>
    <x v="0"/>
    <d v="2023-05-31T00:00:00"/>
    <s v="Plastene India ltd - Unit 1-Sales"/>
    <s v="Job Invoice"/>
    <s v="HPBL/D/136"/>
    <s v="Job Work Income"/>
    <s v="HPBL/D/136"/>
    <d v="2023-05-31T00:00:00"/>
    <s v="SF"/>
    <s v="Liners"/>
    <s v="LDPE/LLDPE Bags"/>
    <s v="LLDPE BAGS (LINER)"/>
    <s v="DOC Pouch"/>
    <n v="643.5"/>
    <n v="16731"/>
  </r>
  <r>
    <x v="1"/>
    <x v="0"/>
    <d v="2023-05-31T00:00:00"/>
    <s v="Plastene India ltd - Unit 1-Sales"/>
    <s v="Job Invoice"/>
    <s v="HPBL/D/136"/>
    <s v="Job Work Income"/>
    <s v="HPBL/D/136"/>
    <d v="2023-05-31T00:00:00"/>
    <s v="SF"/>
    <s v="PP/PE Fabric"/>
    <s v="PP UL Fabric"/>
    <s v="PP Unlaminated Fabric"/>
    <s v="PP UL Fabric With UV"/>
    <n v="2505"/>
    <n v="80160"/>
  </r>
  <r>
    <x v="2"/>
    <x v="0"/>
    <d v="2023-06-02T00:00:00"/>
    <s v="Plastene India ltd - Unit 1-Sales"/>
    <s v="Job Invoice"/>
    <s v="HPBL/D/138"/>
    <s v="Job Work Income"/>
    <s v="HPBL/D/138"/>
    <d v="2023-06-02T00:00:00"/>
    <s v="SF"/>
    <s v="PP/PE Fabric"/>
    <s v="PP Lam Fabric"/>
    <s v="PP Laminated Fabric"/>
    <s v="PP Lam Fabric With UV"/>
    <n v="5933"/>
    <n v="222487.5"/>
  </r>
  <r>
    <x v="2"/>
    <x v="0"/>
    <d v="2023-06-02T00:00:00"/>
    <s v="Plastene India ltd - Unit 1-Sales"/>
    <s v="Job Invoice"/>
    <s v="HPBL/D/138"/>
    <s v="Job Work Income"/>
    <s v="HPBL/D/138"/>
    <d v="2023-06-02T00:00:00"/>
    <s v="SF"/>
    <s v="PP/PE Fabric"/>
    <s v="PP Lam Fabric"/>
    <s v="PP Laminated Fabric"/>
    <s v="PP Lam Fabric With UV"/>
    <n v="615"/>
    <n v="23062.5"/>
  </r>
  <r>
    <x v="2"/>
    <x v="0"/>
    <d v="2023-06-02T00:00:00"/>
    <s v="Plastene India ltd - Unit 1-Sales"/>
    <s v="Job Invoice"/>
    <s v="HPBL/D/138"/>
    <s v="Job Work Income"/>
    <s v="HPBL/D/138"/>
    <d v="2023-06-02T00:00:00"/>
    <s v="SF"/>
    <s v="PP/PE Fabric"/>
    <s v="PP Lam Fabric"/>
    <s v="PP Laminated Fabric"/>
    <s v="PP Lam Fabric With UV"/>
    <n v="67"/>
    <n v="2713.5"/>
  </r>
  <r>
    <x v="2"/>
    <x v="0"/>
    <d v="2023-06-02T00:00:00"/>
    <s v="Plastene India ltd - Unit 2-Sales"/>
    <s v="Job Invoice"/>
    <s v="HPBL/D/139"/>
    <s v="Job Work Income"/>
    <s v="HPBL/D/139"/>
    <d v="2023-06-02T00:00:00"/>
    <s v="SF"/>
    <s v="Films All"/>
    <s v="PE Film"/>
    <s v="LLDPE FILM"/>
    <s v="LDPE/LLDPE Film"/>
    <n v="599.9"/>
    <n v="15597.4"/>
  </r>
  <r>
    <x v="2"/>
    <x v="0"/>
    <d v="2023-06-02T00:00:00"/>
    <s v="Plastene India ltd - Unit 2-Sales"/>
    <s v="Job Invoice"/>
    <s v="HPBL/D/139"/>
    <s v="Job Work Income"/>
    <s v="HPBL/D/139"/>
    <d v="2023-06-02T00:00:00"/>
    <s v="SF"/>
    <s v="Films All"/>
    <s v="PE Film"/>
    <s v="LLDPE FILM"/>
    <s v="LDPE/LLDPE Film"/>
    <n v="474.2"/>
    <n v="12329.2"/>
  </r>
  <r>
    <x v="2"/>
    <x v="0"/>
    <d v="2023-06-02T00:00:00"/>
    <s v="Plastene India ltd - Unit 2-Sales"/>
    <s v="Job Invoice"/>
    <s v="HPBL/D/139"/>
    <s v="Job Work Income"/>
    <s v="HPBL/D/139"/>
    <d v="2023-06-02T00:00:00"/>
    <s v="SF"/>
    <s v="Liners"/>
    <s v="LDPE/LLDPE Bags"/>
    <s v="LLDPE BAGS (LINER)"/>
    <s v="DOC Pouch"/>
    <n v="443.5"/>
    <n v="11531"/>
  </r>
  <r>
    <x v="2"/>
    <x v="0"/>
    <d v="2023-06-05T00:00:00"/>
    <s v="Plastene India ltd - Unit 1-Sales"/>
    <s v="Job Invoice"/>
    <s v="HPBL/D/141"/>
    <s v="Job Work Income"/>
    <s v="HPBL/D/141"/>
    <d v="2023-06-05T00:00:00"/>
    <s v="SF"/>
    <s v="PP/PE Fabric"/>
    <s v="PP Lam Fabric"/>
    <s v="PP Laminated Fabric"/>
    <s v="PP Lam Fabric With UV"/>
    <n v="6841"/>
    <n v="256537.5"/>
  </r>
  <r>
    <x v="2"/>
    <x v="0"/>
    <d v="2023-06-05T00:00:00"/>
    <s v="Plastene India ltd - Unit 1-Sales"/>
    <s v="Job Invoice"/>
    <s v="HPBL/D/141"/>
    <s v="Job Work Income"/>
    <s v="HPBL/D/141"/>
    <d v="2023-06-05T00:00:00"/>
    <s v="SF"/>
    <s v="PP/PE Fabric"/>
    <s v="PP UL Fabric"/>
    <s v="PP Unlaminated Fabric"/>
    <s v="PP UL Fabric With UV"/>
    <n v="339"/>
    <n v="10848"/>
  </r>
  <r>
    <x v="2"/>
    <x v="0"/>
    <d v="2023-06-05T00:00:00"/>
    <s v="Plastene India ltd - Unit 1-Sales"/>
    <s v="Job Invoice"/>
    <s v="HPBL/D/141"/>
    <s v="Job Work Income"/>
    <s v="HPBL/D/141"/>
    <d v="2023-06-05T00:00:00"/>
    <s v="SF"/>
    <s v="PP/PE Fabric"/>
    <s v="PP UL Fabric"/>
    <s v="PP Unlaminated Fabric"/>
    <s v="PP UL Fabric With UV"/>
    <n v="159"/>
    <n v="5088"/>
  </r>
  <r>
    <x v="2"/>
    <x v="0"/>
    <d v="2023-06-05T00:00:00"/>
    <s v="Plastene India ltd - Unit 1-Sales"/>
    <s v="Job Invoice"/>
    <s v="HPBL/D/142"/>
    <s v="Job Work Income"/>
    <s v="HPBL/D/142"/>
    <d v="2023-06-05T00:00:00"/>
    <s v="FG"/>
    <s v="Small Bags"/>
    <s v="PP Bags"/>
    <s v="PP WOVEN BAG &amp; SACK"/>
    <s v="PP Lam Bags Without UV - Ad Star"/>
    <n v="1750"/>
    <n v="88340"/>
  </r>
  <r>
    <x v="2"/>
    <x v="0"/>
    <d v="2023-06-06T00:00:00"/>
    <s v="Plastene India ltd - Unit 1-Sales"/>
    <s v="Job Invoice"/>
    <s v="HPBL/D/143"/>
    <s v="Job Work Income"/>
    <s v="HPBL/D/143"/>
    <d v="2023-06-06T00:00:00"/>
    <s v="SF"/>
    <s v="PP/PE Fabric"/>
    <s v="PP UL Fabric"/>
    <s v="PP Unlaminated Fabric"/>
    <s v="PP UL Fabric With UV"/>
    <n v="894"/>
    <n v="28608"/>
  </r>
  <r>
    <x v="2"/>
    <x v="0"/>
    <d v="2023-06-06T00:00:00"/>
    <s v="Plastene India ltd - Unit 1-Sales"/>
    <s v="Job Invoice"/>
    <s v="HPBL/D/143"/>
    <s v="Job Work Income"/>
    <s v="HPBL/D/143"/>
    <d v="2023-06-06T00:00:00"/>
    <s v="SF"/>
    <s v="PP/PE Fabric"/>
    <s v="PP Lam Fabric"/>
    <s v="PP Laminated Fabric"/>
    <s v="PP Lam Fabric With UV"/>
    <n v="4924"/>
    <n v="184650"/>
  </r>
  <r>
    <x v="2"/>
    <x v="0"/>
    <d v="2023-06-06T00:00:00"/>
    <s v="Plastene India ltd - Unit 1-Sales"/>
    <s v="Job Invoice"/>
    <s v="HPBL/D/143"/>
    <s v="Job Work Income"/>
    <s v="HPBL/D/143"/>
    <d v="2023-06-06T00:00:00"/>
    <s v="SF"/>
    <s v="PP/PE Fabric"/>
    <s v="PP Lam Fabric"/>
    <s v="PP Laminated Fabric"/>
    <s v="PP Lam Fabric With UV"/>
    <n v="261"/>
    <n v="10570.5"/>
  </r>
  <r>
    <x v="2"/>
    <x v="0"/>
    <d v="2023-06-09T00:00:00"/>
    <s v="K.P. Woven Pvt Ltd-Sales"/>
    <s v="Job Invoice"/>
    <s v="HPBL/D/150"/>
    <s v="Job Work Income"/>
    <s v="HPBL/D/150"/>
    <d v="2023-06-09T00:00:00"/>
    <s v="SF"/>
    <s v="Liners"/>
    <s v="LDPE/LLDPE Bags"/>
    <s v="LLDPE BAGS (LINER)"/>
    <s v="DOC Pouch"/>
    <n v="767.5"/>
    <n v="19955"/>
  </r>
  <r>
    <x v="2"/>
    <x v="0"/>
    <d v="2023-06-09T00:00:00"/>
    <s v="Plastene India ltd - Unit 1-Sales"/>
    <s v="Job Invoice"/>
    <s v="HPBL/D/146"/>
    <s v="Job Work Income"/>
    <s v="HPBL/D/146"/>
    <d v="2023-06-09T00:00:00"/>
    <s v="SF"/>
    <s v="PP/PE Fabric"/>
    <s v="PP Lam Fabric"/>
    <s v="PP Laminated Fabric"/>
    <s v="PP Lam Fabric With UV"/>
    <n v="1543"/>
    <n v="57862.5"/>
  </r>
  <r>
    <x v="2"/>
    <x v="0"/>
    <d v="2023-06-09T00:00:00"/>
    <s v="Plastene India ltd - Unit 1-Sales"/>
    <s v="Job Invoice"/>
    <s v="HPBL/D/146"/>
    <s v="Job Work Income"/>
    <s v="HPBL/D/146"/>
    <d v="2023-06-09T00:00:00"/>
    <s v="SF"/>
    <s v="PP/PE Fabric"/>
    <s v="PP UL Fabric"/>
    <s v="PP Unlaminated Fabric"/>
    <s v="PP UL Fabric With UV"/>
    <n v="645"/>
    <n v="20640"/>
  </r>
  <r>
    <x v="2"/>
    <x v="0"/>
    <d v="2023-06-09T00:00:00"/>
    <s v="Plastene India ltd - Unit 1-Sales"/>
    <s v="Job Invoice"/>
    <s v="HPBL/D/147"/>
    <s v="Job Work Income"/>
    <s v="HPBL/D/147"/>
    <d v="2023-06-09T00:00:00"/>
    <s v="SF"/>
    <s v="PP/PE Fabric"/>
    <s v="PP UL Fabric"/>
    <s v="PP Unlaminated Fabric"/>
    <s v="PP UL Fabric With UV"/>
    <n v="2268"/>
    <n v="72576"/>
  </r>
  <r>
    <x v="2"/>
    <x v="0"/>
    <d v="2023-06-09T00:00:00"/>
    <s v="Plastene India ltd - Unit 1-Sales"/>
    <s v="Job Invoice"/>
    <s v="HPBL/D/147"/>
    <s v="Job Work Income"/>
    <s v="HPBL/D/147"/>
    <d v="2023-06-09T00:00:00"/>
    <s v="SF"/>
    <s v="PP/PE Fabric"/>
    <s v="PP Lam Fabric"/>
    <s v="PP Laminated Fabric"/>
    <s v="PP Lam Fabric With UV"/>
    <n v="1643"/>
    <n v="61612.5"/>
  </r>
  <r>
    <x v="2"/>
    <x v="0"/>
    <d v="2023-06-09T00:00:00"/>
    <s v="Plastene India ltd - Unit 1-Sales"/>
    <s v="Job Invoice"/>
    <s v="HPBL/D/147"/>
    <s v="Job Work Income"/>
    <s v="HPBL/D/147"/>
    <d v="2023-06-09T00:00:00"/>
    <s v="SF"/>
    <s v="Liners"/>
    <s v="LDPE/LLDPE Bags"/>
    <s v="LLDPE BAGS (LINER)"/>
    <s v="DOC Pouch"/>
    <n v="314.5"/>
    <n v="8177"/>
  </r>
  <r>
    <x v="2"/>
    <x v="0"/>
    <d v="2023-06-09T00:00:00"/>
    <s v="Plastene India ltd - Unit 1-Sales"/>
    <s v="Job Invoice"/>
    <s v="HPBL/D/149"/>
    <s v="Job Work Income"/>
    <s v="HPBL/D/149"/>
    <d v="2023-06-09T00:00:00"/>
    <s v="SF"/>
    <s v="Liners"/>
    <s v="LDPE/LLDPE Bags"/>
    <s v="LLDPE BAGS (LINER)"/>
    <s v="DOC Pouch"/>
    <n v="218.5"/>
    <n v="5681"/>
  </r>
  <r>
    <x v="2"/>
    <x v="0"/>
    <d v="2023-06-09T00:00:00"/>
    <s v="Plastene India ltd - Unit 1-Sales"/>
    <s v="Job Invoice"/>
    <s v="HPBL/D/152"/>
    <s v="Job Work Income"/>
    <s v="HPBL/D/152"/>
    <d v="2023-06-09T00:00:00"/>
    <s v="SF"/>
    <s v="PP/PE Fabric"/>
    <s v="PP UL Fabric"/>
    <s v="PP Unlaminated Fabric"/>
    <s v="PP UL Fabric With UV"/>
    <n v="1988"/>
    <n v="63616"/>
  </r>
  <r>
    <x v="2"/>
    <x v="0"/>
    <d v="2023-06-09T00:00:00"/>
    <s v="Plastene India ltd - Unit 1-Sales"/>
    <s v="Job Invoice"/>
    <s v="HPBL/D/152"/>
    <s v="Job Work Income"/>
    <s v="HPBL/D/152"/>
    <d v="2023-06-09T00:00:00"/>
    <s v="SF"/>
    <s v="PP/PE Fabric"/>
    <s v="PP Lam Fabric"/>
    <s v="PP Laminated Fabric"/>
    <s v="PP Lam Fabric With UV"/>
    <n v="1745"/>
    <n v="65437.5"/>
  </r>
  <r>
    <x v="2"/>
    <x v="0"/>
    <d v="2023-06-11T00:00:00"/>
    <s v="Plastene India ltd - Unit 1-Sales"/>
    <s v="Job Invoice"/>
    <s v="HPBL/D/156"/>
    <s v="Job Work Income"/>
    <s v="HPBL/D/156"/>
    <d v="2023-06-11T00:00:00"/>
    <s v="FG"/>
    <s v="Small Bags"/>
    <s v="PP Bags"/>
    <s v="PP WOVEN BAG &amp; SACK"/>
    <s v="PP UL Bags With UV"/>
    <n v="5018.6400000000003"/>
    <n v="493683.61680000002"/>
  </r>
  <r>
    <x v="2"/>
    <x v="0"/>
    <d v="2023-06-11T00:00:00"/>
    <s v="Plastene India ltd - Unit 1-Sales"/>
    <s v="Job Invoice"/>
    <s v="HPBL/D/157"/>
    <s v="Job Work Income"/>
    <s v="HPBL/D/157"/>
    <d v="2023-06-11T00:00:00"/>
    <s v="SF"/>
    <s v="PP/PE Fabric"/>
    <s v="PP Lam Fabric"/>
    <s v="PP Laminated Fabric"/>
    <s v="PP Lam Fabric With UV"/>
    <n v="1655.2"/>
    <n v="77231.631999999998"/>
  </r>
  <r>
    <x v="2"/>
    <x v="0"/>
    <d v="2023-06-11T00:00:00"/>
    <s v="Plastene India ltd - Unit 1-Sales"/>
    <s v="Job Invoice"/>
    <s v="HPBL/D/158"/>
    <s v="Job Work Income"/>
    <s v="HPBL/D/158"/>
    <d v="2023-06-11T00:00:00"/>
    <s v="FG"/>
    <s v="Small Bags"/>
    <s v="PP Bags"/>
    <s v="PP WOVEN BAG &amp; SACK"/>
    <s v="PP Lam Bags Without UV - Ad Star"/>
    <n v="5934.6"/>
    <n v="362129.29200000002"/>
  </r>
  <r>
    <x v="2"/>
    <x v="0"/>
    <d v="2023-06-13T00:00:00"/>
    <s v="K.P. Woven Pvt Ltd-Sales"/>
    <s v="Job Invoice"/>
    <s v="HPBL/D/162"/>
    <s v="Job Work Income"/>
    <s v="HPBL/D/162"/>
    <d v="2023-06-13T00:00:00"/>
    <s v="SF"/>
    <s v="Liners"/>
    <s v="LDPE/LLDPE Bags"/>
    <s v="LLDPE BAGS (LINER)"/>
    <s v="DOC Pouch"/>
    <n v="12.3"/>
    <n v="319.8"/>
  </r>
  <r>
    <x v="2"/>
    <x v="0"/>
    <d v="2023-06-13T00:00:00"/>
    <s v="K.P. Woven Pvt Ltd-Sales"/>
    <s v="Job Invoice"/>
    <s v="HPBL/D/162"/>
    <s v="Job Work Income"/>
    <s v="HPBL/D/162"/>
    <d v="2023-06-13T00:00:00"/>
    <s v="SF"/>
    <s v="Liners"/>
    <s v="LDPE/LLDPE Bags"/>
    <s v="LLDPE BAGS (LINER)"/>
    <s v="DOC Pouch"/>
    <n v="1155.7"/>
    <n v="30048.2"/>
  </r>
  <r>
    <x v="2"/>
    <x v="0"/>
    <d v="2023-06-13T00:00:00"/>
    <s v="Plastene India ltd - Unit 1-Sales"/>
    <s v="Job Invoice"/>
    <s v="HPBL/D/163"/>
    <s v="Job Work Income"/>
    <s v="HPBL/D/163"/>
    <d v="2023-06-13T00:00:00"/>
    <s v="SF"/>
    <s v="PP/PE Fabric"/>
    <s v="PP Lam Fabric"/>
    <s v="PP Laminated Fabric"/>
    <s v="PP Lam Fabric With UV"/>
    <n v="991"/>
    <n v="37162.5"/>
  </r>
  <r>
    <x v="2"/>
    <x v="0"/>
    <d v="2023-06-13T00:00:00"/>
    <s v="Plastene India ltd - Unit 1-Sales"/>
    <s v="Job Invoice"/>
    <s v="HPBL/D/163"/>
    <s v="Job Work Income"/>
    <s v="HPBL/D/163"/>
    <d v="2023-06-13T00:00:00"/>
    <s v="SF"/>
    <s v="PP/PE Fabric"/>
    <s v="PP UL Fabric"/>
    <s v="PP Unlaminated Fabric"/>
    <s v="PP UL Fabric With UV"/>
    <n v="3822"/>
    <n v="122304"/>
  </r>
  <r>
    <x v="2"/>
    <x v="0"/>
    <d v="2023-06-14T00:00:00"/>
    <s v="Plastene India ltd - Unit 1-Purchase"/>
    <s v="Sales Return"/>
    <s v="SR 1"/>
    <s v="Job Work Income"/>
    <s v="HPBL/D/163"/>
    <d v="2023-06-13T00:00:00"/>
    <s v="SF"/>
    <s v="PP/PE Fabric"/>
    <s v="PP Lam Fabric"/>
    <s v="PP Laminated Fabric"/>
    <s v="PP Lam Fabric With UV"/>
    <n v="-991"/>
    <n v="-37162.5"/>
  </r>
  <r>
    <x v="2"/>
    <x v="0"/>
    <d v="2023-06-14T00:00:00"/>
    <s v="Plastene India ltd - Unit 1-Purchase"/>
    <s v="Sales Return"/>
    <s v="SR 1"/>
    <s v="Job Work Income"/>
    <s v="HPBL/D/163"/>
    <d v="2023-06-13T00:00:00"/>
    <s v="SF"/>
    <s v="PP/PE Fabric"/>
    <s v="PP UL Fabric"/>
    <s v="PP Woven Fabric"/>
    <s v="PP UL Fabric With UV"/>
    <n v="-3822"/>
    <n v="-122304"/>
  </r>
  <r>
    <x v="2"/>
    <x v="0"/>
    <d v="2023-06-16T00:00:00"/>
    <s v="Plastene India ltd - Unit 1-Sales"/>
    <s v="Job Invoice"/>
    <s v="HPBL/D/168"/>
    <s v="Job Work Income"/>
    <s v="HPBL/D/168"/>
    <d v="2023-06-16T00:00:00"/>
    <s v="SF"/>
    <s v="PP/PE Fabric"/>
    <s v="PP Lam Fabric"/>
    <s v="PP Laminated Fabric"/>
    <s v="PP Lam Fabric With UV"/>
    <n v="2986"/>
    <n v="111975"/>
  </r>
  <r>
    <x v="2"/>
    <x v="0"/>
    <d v="2023-06-16T00:00:00"/>
    <s v="Plastene India ltd - Unit 1-Sales"/>
    <s v="Job Invoice"/>
    <s v="HPBL/D/168"/>
    <s v="Job Work Income"/>
    <s v="HPBL/D/168"/>
    <d v="2023-06-16T00:00:00"/>
    <s v="SF"/>
    <s v="PP/PE Fabric"/>
    <s v="PP UL Fabric"/>
    <s v="PP Unlaminated Fabric"/>
    <s v="PP UL Fabric With UV"/>
    <n v="4286"/>
    <n v="137152"/>
  </r>
  <r>
    <x v="2"/>
    <x v="0"/>
    <d v="2023-06-17T00:00:00"/>
    <s v="Plastene India ltd - Unit 1-Sales"/>
    <s v="Job Invoice"/>
    <s v="HPBL/D/170"/>
    <s v="Job Work Income"/>
    <s v="HPBL/D/170"/>
    <d v="2023-06-17T00:00:00"/>
    <s v="SF"/>
    <s v="PP/PE Fabric"/>
    <s v="PP Lam Fabric"/>
    <s v="PP Laminated Fabric"/>
    <s v="PP Lam Fabric With UV"/>
    <n v="3715"/>
    <n v="139312.5"/>
  </r>
  <r>
    <x v="2"/>
    <x v="0"/>
    <d v="2023-06-17T00:00:00"/>
    <s v="Plastene India ltd - Unit 1-Sales"/>
    <s v="Job Invoice"/>
    <s v="HPBL/D/170"/>
    <s v="Job Work Income"/>
    <s v="HPBL/D/170"/>
    <d v="2023-06-17T00:00:00"/>
    <s v="SF"/>
    <s v="PP/PE Fabric"/>
    <s v="PP Lam Fabric"/>
    <s v="PP Laminated Fabric"/>
    <s v="PP Lam Fabric With UV"/>
    <n v="384"/>
    <n v="15552"/>
  </r>
  <r>
    <x v="2"/>
    <x v="0"/>
    <d v="2023-06-17T00:00:00"/>
    <s v="Plastene India ltd - Unit 1-Sales"/>
    <s v="Job Invoice"/>
    <s v="HPBL/D/170"/>
    <s v="Job Work Income"/>
    <s v="HPBL/D/170"/>
    <d v="2023-06-17T00:00:00"/>
    <s v="SF"/>
    <s v="PP/PE Fabric"/>
    <s v="PP UL Fabric"/>
    <s v="PP Unlaminated Fabric"/>
    <s v="PP UL Fabric With UV"/>
    <n v="1759"/>
    <n v="56288"/>
  </r>
  <r>
    <x v="2"/>
    <x v="0"/>
    <d v="2023-06-18T00:00:00"/>
    <s v="Plastene India ltd - Unit 1-Sales"/>
    <s v="Job Invoice"/>
    <s v="HPBL/D/172"/>
    <s v="Job Work Income"/>
    <s v="HPBL/D/172"/>
    <d v="2023-06-18T00:00:00"/>
    <s v="SF"/>
    <s v="PP/PE Fabric"/>
    <s v="PP Lam Fabric"/>
    <s v="PP Laminated Fabric"/>
    <s v="PP Lam Fabric With UV"/>
    <n v="1316"/>
    <n v="49350"/>
  </r>
  <r>
    <x v="2"/>
    <x v="0"/>
    <d v="2023-06-18T00:00:00"/>
    <s v="Plastene India ltd - Unit 1-Sales"/>
    <s v="Job Invoice"/>
    <s v="HPBL/D/172"/>
    <s v="Job Work Income"/>
    <s v="HPBL/D/172"/>
    <d v="2023-06-18T00:00:00"/>
    <s v="SF"/>
    <s v="PP/PE Fabric"/>
    <s v="PP UL Fabric"/>
    <s v="PP Unlaminated Fabric"/>
    <s v="PP UL Fabric With UV"/>
    <n v="1837.23"/>
    <n v="58791.360000000001"/>
  </r>
  <r>
    <x v="2"/>
    <x v="0"/>
    <d v="2023-06-18T00:00:00"/>
    <s v="Plastene India ltd - Unit 1-Sales"/>
    <s v="Job Invoice"/>
    <s v="HPBL/D/172"/>
    <s v="Job Work Income"/>
    <s v="HPBL/D/172"/>
    <d v="2023-06-18T00:00:00"/>
    <s v="SF"/>
    <s v="PP/PE Fabric"/>
    <s v="PP UL Fabric"/>
    <s v="PP Unlaminated Fabric"/>
    <s v="PP UL Fabric With UV"/>
    <n v="570.77"/>
    <n v="18264.64"/>
  </r>
  <r>
    <x v="2"/>
    <x v="0"/>
    <d v="2023-06-18T00:00:00"/>
    <s v="Plastene India ltd - Unit 1-Sales"/>
    <s v="Job Invoice"/>
    <s v="HPBL/D/173"/>
    <s v="Job Work Income"/>
    <s v="HPBL/D/173"/>
    <d v="2023-06-18T00:00:00"/>
    <s v="SF"/>
    <s v="PP/PE Fabric"/>
    <s v="PP Lam Fabric"/>
    <s v="PP Laminated Fabric"/>
    <s v="PP Lam Fabric With UV"/>
    <n v="991"/>
    <n v="37162.5"/>
  </r>
  <r>
    <x v="2"/>
    <x v="0"/>
    <d v="2023-06-18T00:00:00"/>
    <s v="Plastene India ltd - Unit 1-Sales"/>
    <s v="Job Invoice"/>
    <s v="HPBL/D/173"/>
    <s v="Job Work Income"/>
    <s v="HPBL/D/173"/>
    <d v="2023-06-18T00:00:00"/>
    <s v="SF"/>
    <s v="PP/PE Fabric"/>
    <s v="PP UL Fabric"/>
    <s v="PP Unlaminated Fabric"/>
    <s v="PP UL Fabric With UV"/>
    <n v="687"/>
    <n v="21984"/>
  </r>
  <r>
    <x v="2"/>
    <x v="0"/>
    <d v="2023-06-18T00:00:00"/>
    <s v="Plastene India ltd - Unit 1-Sales"/>
    <s v="Job Invoice"/>
    <s v="HPBL/D/175"/>
    <s v="Job Work Income"/>
    <s v="HPBL/D/175"/>
    <d v="2023-06-18T00:00:00"/>
    <s v="SF"/>
    <s v="PP/PE Fabric"/>
    <s v="PP UL Fabric"/>
    <s v="PP Unlaminated Fabric"/>
    <s v="PP UL Fabric With UV"/>
    <n v="286"/>
    <n v="9152"/>
  </r>
  <r>
    <x v="2"/>
    <x v="0"/>
    <d v="2023-06-18T00:00:00"/>
    <s v="Plastene India ltd - Unit 1-Sales"/>
    <s v="Job Invoice"/>
    <s v="HPBL/D/175"/>
    <s v="Job Work Income"/>
    <s v="HPBL/D/175"/>
    <d v="2023-06-18T00:00:00"/>
    <s v="SF"/>
    <s v="PP/PE Fabric"/>
    <s v="PP Lam Fabric"/>
    <s v="PP Laminated Fabric"/>
    <s v="PP Lam Fabric With UV"/>
    <n v="2792"/>
    <n v="104700"/>
  </r>
  <r>
    <x v="2"/>
    <x v="0"/>
    <d v="2023-06-18T00:00:00"/>
    <s v="Plastene India ltd - Unit 1-Sales"/>
    <s v="Job Invoice"/>
    <s v="HPBL/D/177"/>
    <s v="Job Work Income"/>
    <s v="HPBL/D/177"/>
    <d v="2023-06-18T00:00:00"/>
    <s v="SF"/>
    <s v="PP/PE Fabric"/>
    <s v="PP UL Fabric"/>
    <s v="PP Unlaminated Fabric"/>
    <s v="PP UL Fabric With UV"/>
    <n v="250"/>
    <n v="20000"/>
  </r>
  <r>
    <x v="2"/>
    <x v="0"/>
    <d v="2023-06-18T00:00:00"/>
    <s v="Plastene India ltd - Unit 1-Sales"/>
    <s v="Job Invoice"/>
    <s v="HPBL/D/177"/>
    <s v="Job Work Income"/>
    <s v="HPBL/D/177"/>
    <d v="2023-06-18T00:00:00"/>
    <s v="SF"/>
    <s v="PP/PE Fabric"/>
    <s v="PP Lam Fabric"/>
    <s v="PP Laminated Fabric"/>
    <s v="PP Lam Fabric With UV"/>
    <n v="5101"/>
    <n v="191287.5"/>
  </r>
  <r>
    <x v="2"/>
    <x v="0"/>
    <d v="2023-06-22T00:00:00"/>
    <s v="K.P. Woven Pvt Ltd-Sales"/>
    <s v="Job Invoice"/>
    <s v="HPBL/D/181"/>
    <s v="Job Work Income"/>
    <s v="HPBL/D/181"/>
    <d v="2023-06-22T00:00:00"/>
    <s v="SF"/>
    <s v="Liners"/>
    <s v="LDPE/LLDPE Bags"/>
    <s v="LLDPE BAGS (LINER)"/>
    <s v="DOC Pouch"/>
    <n v="216.5"/>
    <n v="5629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Lam Fabric"/>
    <s v="PP Laminated Fabric"/>
    <s v="PP Lam Fabric With UV"/>
    <n v="680"/>
    <n v="25500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Lam Fabric"/>
    <s v="PP Laminated Fabric"/>
    <s v="PP Lam Fabric With UV"/>
    <n v="2142"/>
    <n v="80325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UL Fabric"/>
    <s v="PP Unlaminated Fabric"/>
    <s v="PP UL Fabric With UV"/>
    <n v="1170"/>
    <n v="37440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UL Fabric"/>
    <s v="PP Unlaminated Fabric"/>
    <s v="PP UL Fabric With UV"/>
    <n v="1688"/>
    <n v="135040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Liners"/>
    <s v="LDPE/LLDPE Bags"/>
    <s v="LLDPE BAGS (LINER)"/>
    <s v="DOC Pouch"/>
    <n v="404.5"/>
    <n v="10517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UL Fabric"/>
    <s v="PP Unlaminated Fabric"/>
    <s v="PP UL Fabric With UV"/>
    <n v="500"/>
    <n v="16000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UL Fabric"/>
    <s v="PP Unlaminated Fabric"/>
    <s v="PP UL Fabric With UV"/>
    <n v="1063.2"/>
    <n v="34022.400000000001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UL Fabric"/>
    <s v="PP Unlaminated Fabric"/>
    <s v="PP UL Fabric With UV"/>
    <n v="528.79999999999995"/>
    <n v="16921.599999999999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Lam Fabric"/>
    <s v="PP Laminated Fabric"/>
    <s v="PP Lam Fabric With UV"/>
    <n v="3455"/>
    <n v="129562.5"/>
  </r>
  <r>
    <x v="2"/>
    <x v="0"/>
    <d v="2023-06-23T00:00:00"/>
    <s v="Plastene India ltd - Unit 1-Sales"/>
    <s v="Job Invoice"/>
    <s v="HPBL/D/186"/>
    <s v="Job Work Income"/>
    <s v="HPBL/D/186"/>
    <d v="2023-06-23T00:00:00"/>
    <s v="SF"/>
    <s v="PP/PE Fabric"/>
    <s v="PP UL Fabric"/>
    <s v="PP Unlaminated Fabric"/>
    <s v="PP UL Fabric With UV"/>
    <n v="119"/>
    <n v="9520"/>
  </r>
  <r>
    <x v="2"/>
    <x v="0"/>
    <d v="2023-06-23T00:00:00"/>
    <s v="Plastene India ltd - Unit 1-Sales"/>
    <s v="Job Invoice"/>
    <s v="HPBL/D/186"/>
    <s v="Job Work Income"/>
    <s v="HPBL/D/186"/>
    <d v="2023-06-23T00:00:00"/>
    <s v="SF"/>
    <s v="PP/PE Fabric"/>
    <s v="PP UL Fabric"/>
    <s v="PP Unlaminated Fabric"/>
    <s v="PP UL Fabric With UV"/>
    <n v="1877"/>
    <n v="60064"/>
  </r>
  <r>
    <x v="2"/>
    <x v="0"/>
    <d v="2023-06-23T00:00:00"/>
    <s v="Plastene India ltd - Unit 1-Sales"/>
    <s v="Job Invoice"/>
    <s v="HPBL/D/189"/>
    <s v="Job Work Income"/>
    <s v="HPBL/D/189"/>
    <d v="2023-06-23T00:00:00"/>
    <s v="SF"/>
    <s v="PP/PE Fabric"/>
    <s v="PP UL Fabric"/>
    <s v="PP Unlaminated Fabric"/>
    <s v="PP UL Fabric With UV"/>
    <n v="5909"/>
    <n v="189088"/>
  </r>
  <r>
    <x v="2"/>
    <x v="0"/>
    <d v="2023-06-23T00:00:00"/>
    <s v="Plastene India ltd - Unit 1-Sales"/>
    <s v="Job Invoice"/>
    <s v="HPBL/D/190"/>
    <s v="Job Work Income"/>
    <s v="HPBL/D/190"/>
    <d v="2023-06-23T00:00:00"/>
    <s v="SF"/>
    <s v="PP/PE Fabric"/>
    <s v="PP UL Fabric"/>
    <s v="PP Unlaminated Fabric"/>
    <s v="PP UL Fabric With UV"/>
    <n v="2408"/>
    <n v="77056"/>
  </r>
  <r>
    <x v="2"/>
    <x v="0"/>
    <d v="2023-06-23T00:00:00"/>
    <s v="Plastene India ltd - Unit 1-Sales"/>
    <s v="Job Invoice"/>
    <s v="HPBL/D/190"/>
    <s v="Job Work Income"/>
    <s v="HPBL/D/190"/>
    <d v="2023-06-23T00:00:00"/>
    <s v="SF"/>
    <s v="PP/PE Fabric"/>
    <s v="PP Lam Fabric"/>
    <s v="PP Laminated Fabric"/>
    <s v="PP Lam Fabric With UV"/>
    <n v="59"/>
    <n v="2212.5"/>
  </r>
  <r>
    <x v="2"/>
    <x v="0"/>
    <d v="2023-06-23T00:00:00"/>
    <s v="Plastene India ltd - Unit 1-Sales"/>
    <s v="Job Invoice"/>
    <s v="HPBL/D/190"/>
    <s v="Job Work Income"/>
    <s v="HPBL/D/190"/>
    <d v="2023-06-23T00:00:00"/>
    <s v="SF"/>
    <s v="PP/PE Fabric"/>
    <s v="PP Lam Fabric"/>
    <s v="PP Laminated Fabric"/>
    <s v="PP Lam Fabric With UV"/>
    <n v="502"/>
    <n v="20331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229"/>
    <n v="1280.1099999999999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499"/>
    <n v="2789.41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884"/>
    <n v="4941.5600000000004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945"/>
    <n v="5282.55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1184"/>
    <n v="6618.56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1963"/>
    <n v="10973.17"/>
  </r>
  <r>
    <x v="2"/>
    <x v="0"/>
    <d v="2023-06-25T00:00:00"/>
    <s v="Plastene India ltd - Unit 2-Sales"/>
    <s v="Job Invoice"/>
    <s v="HPBL/D/192"/>
    <s v="Job Work Income"/>
    <s v="HPBL/D/192"/>
    <d v="2023-06-25T00:00:00"/>
    <s v="SF"/>
    <s v="Liners"/>
    <s v="LDPE/LLDPE Bags"/>
    <s v="LLDPE BAGS (LINER)"/>
    <s v="DOC Pouch"/>
    <n v="658"/>
    <n v="17108"/>
  </r>
  <r>
    <x v="2"/>
    <x v="0"/>
    <d v="2023-06-26T00:00:00"/>
    <s v="K.P. Woven Pvt Ltd-Sales"/>
    <s v="Job Invoice"/>
    <s v="HPBL/D/196"/>
    <s v="Job Work Income"/>
    <s v="HPBL/D/196"/>
    <d v="2023-06-26T00:00:00"/>
    <s v="SF"/>
    <s v="Liners"/>
    <s v="LDPE/LLDPE Bags"/>
    <s v="LLDPE BAGS (LINER)"/>
    <s v="DOC Pouch"/>
    <n v="453.5"/>
    <n v="11791"/>
  </r>
  <r>
    <x v="2"/>
    <x v="0"/>
    <d v="2023-06-26T00:00:00"/>
    <s v="Plastene India ltd - Unit 1-Sales"/>
    <s v="Job Invoice"/>
    <s v="HPBL/D/194"/>
    <s v="Job Work Income"/>
    <s v="HPBL/D/194"/>
    <d v="2023-06-26T00:00:00"/>
    <s v="SF"/>
    <s v="PP/PE Fabric"/>
    <s v="PP UL Fabric"/>
    <s v="PP Unlaminated Fabric"/>
    <s v="PP UL Fabric With UV"/>
    <n v="4110"/>
    <n v="131520"/>
  </r>
  <r>
    <x v="2"/>
    <x v="0"/>
    <d v="2023-06-26T00:00:00"/>
    <s v="Plastene India ltd - Unit 1-Sales"/>
    <s v="Job Invoice"/>
    <s v="HPBL/D/194"/>
    <s v="Job Work Income"/>
    <s v="HPBL/D/194"/>
    <d v="2023-06-26T00:00:00"/>
    <s v="SF"/>
    <s v="PP/PE Fabric"/>
    <s v="PP Lam Fabric"/>
    <s v="PP Laminated Fabric"/>
    <s v="PP Lam Fabric With UV"/>
    <n v="306"/>
    <n v="11475"/>
  </r>
  <r>
    <x v="2"/>
    <x v="0"/>
    <d v="2023-06-26T00:00:00"/>
    <s v="Plastene India ltd - Unit 1-Sales"/>
    <s v="Job Invoice"/>
    <s v="HPBL/D/194"/>
    <s v="Job Work Income"/>
    <s v="HPBL/D/194"/>
    <d v="2023-06-26T00:00:00"/>
    <s v="SF"/>
    <s v="PP/PE Fabric"/>
    <s v="PP Lam Fabric"/>
    <s v="PP Laminated Fabric"/>
    <s v="PP Lam Fabric With UV"/>
    <n v="890"/>
    <n v="33375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Lam Fabric"/>
    <s v="PP Laminated Fabric"/>
    <s v="PP Lam Fabric With UV"/>
    <n v="1103.2"/>
    <n v="41370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Lam Fabric"/>
    <s v="PP Laminated Fabric"/>
    <s v="PP Lam Fabric With UV"/>
    <n v="500"/>
    <n v="18750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Lam Fabric"/>
    <s v="PP Laminated Fabric"/>
    <s v="PP Lam Fabric With UV"/>
    <n v="97.8"/>
    <n v="3667.5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UL Fabric"/>
    <s v="PP Unlaminated Fabric"/>
    <s v="PP UL Fabric With UV"/>
    <n v="3384"/>
    <n v="108288"/>
  </r>
  <r>
    <x v="2"/>
    <x v="0"/>
    <d v="2023-06-28T00:00:00"/>
    <s v="Plastene India ltd - Unit 1-Sales"/>
    <s v="Job Invoice"/>
    <s v="HPBL/D/199"/>
    <s v="Job Work Income"/>
    <s v="HPBL/D/199"/>
    <d v="2023-06-28T00:00:00"/>
    <s v="SF"/>
    <s v="PP/PE Fabric"/>
    <s v="PP Lam Fabric"/>
    <s v="PP Laminated Fabric"/>
    <s v="PP Lam Fabric Without UV"/>
    <n v="5109.5"/>
    <n v="75314.03"/>
  </r>
  <r>
    <x v="2"/>
    <x v="0"/>
    <d v="2023-06-28T00:00:00"/>
    <s v="Plastene India ltd - Unit 1-Sales"/>
    <s v="Job Invoice"/>
    <s v="HPBL/D/199"/>
    <s v="Job Work Income"/>
    <s v="HPBL/D/199"/>
    <d v="2023-06-28T00:00:00"/>
    <s v="SF"/>
    <s v="PP/PE Fabric"/>
    <s v="PP Lam Fabric"/>
    <s v="PP Laminated Fabric"/>
    <s v="PP Lam Fabric Without UV"/>
    <n v="19619"/>
    <n v="289380.25"/>
  </r>
  <r>
    <x v="2"/>
    <x v="0"/>
    <d v="2023-06-29T00:00:00"/>
    <s v="Plastene India ltd - Unit 1-Sales"/>
    <s v="Job Invoice"/>
    <s v="HPBL/D/201"/>
    <s v="Job Work Income"/>
    <s v="HPBL/D/201"/>
    <d v="2023-06-29T00:00:00"/>
    <s v="SF"/>
    <s v="PP/PE Fabric"/>
    <s v="PP UL Fabric"/>
    <s v="PP Unlaminated Fabric"/>
    <s v="PP UL Fabric With UV"/>
    <n v="4530"/>
    <n v="144960"/>
  </r>
  <r>
    <x v="2"/>
    <x v="0"/>
    <d v="2023-06-29T00:00:00"/>
    <s v="Plastene India ltd - Unit 1-Sales"/>
    <s v="Job Invoice"/>
    <s v="HPBL/D/201"/>
    <s v="Job Work Income"/>
    <s v="HPBL/D/201"/>
    <d v="2023-06-29T00:00:00"/>
    <s v="SF"/>
    <s v="Liners"/>
    <s v="LDPE/LLDPE Bags"/>
    <s v="LLDPE BAGS (LINER)"/>
    <s v="DOC Pouch"/>
    <n v="259"/>
    <n v="6734"/>
  </r>
  <r>
    <x v="2"/>
    <x v="0"/>
    <d v="2023-06-29T00:00:00"/>
    <s v="Plastene India ltd - Unit 1-Sales"/>
    <s v="Job Invoice"/>
    <s v="HPBL/D/204"/>
    <s v="Job Work Income"/>
    <s v="HPBL/D/204"/>
    <d v="2023-06-29T00:00:00"/>
    <s v="SF"/>
    <s v="PP/PE Fabric"/>
    <s v="PP Lam Fabric"/>
    <s v="PP Laminated Fabric"/>
    <s v="PP Lam Fabric With UV"/>
    <n v="393"/>
    <n v="14737.5"/>
  </r>
  <r>
    <x v="2"/>
    <x v="0"/>
    <d v="2023-06-29T00:00:00"/>
    <s v="Plastene India ltd - Unit 1-Sales"/>
    <s v="Job Invoice"/>
    <s v="HPBL/D/204"/>
    <s v="Job Work Income"/>
    <s v="HPBL/D/204"/>
    <d v="2023-06-29T00:00:00"/>
    <s v="SF"/>
    <s v="PP/PE Fabric"/>
    <s v="PP UL Fabric"/>
    <s v="PP Unlaminated Fabric"/>
    <s v="PP UL Fabric With UV"/>
    <n v="3303"/>
    <n v="105696"/>
  </r>
  <r>
    <x v="2"/>
    <x v="0"/>
    <d v="2023-06-29T00:00:00"/>
    <s v="Plastene India ltd - Unit 1-Sales"/>
    <s v="Job Invoice"/>
    <s v="HPBL/D/206"/>
    <s v="Job Work Income"/>
    <s v="HPBL/D/206"/>
    <d v="2023-06-29T00:00:00"/>
    <s v="SF"/>
    <s v="PP/PE Fabric"/>
    <s v="PP Lam Fabric"/>
    <s v="PP Laminated Fabric"/>
    <s v="PP Lam Fabric With UV"/>
    <n v="1258.5"/>
    <n v="47193.75"/>
  </r>
  <r>
    <x v="2"/>
    <x v="0"/>
    <d v="2023-06-29T00:00:00"/>
    <s v="Plastene India ltd - Unit 1-Sales"/>
    <s v="Job Invoice"/>
    <s v="HPBL/D/206"/>
    <s v="Job Work Income"/>
    <s v="HPBL/D/206"/>
    <d v="2023-06-29T00:00:00"/>
    <s v="SF"/>
    <s v="PP/PE Fabric"/>
    <s v="PP Lam Fabric"/>
    <s v="PP Laminated Fabric"/>
    <s v="PP Lam Fabric With UV"/>
    <n v="3463.5"/>
    <n v="129881.25"/>
  </r>
  <r>
    <x v="2"/>
    <x v="0"/>
    <d v="2023-06-29T00:00:00"/>
    <s v="Plastene India ltd - Unit 1-Sales"/>
    <s v="Job Invoice"/>
    <s v="HPBL/D/206"/>
    <s v="Job Work Income"/>
    <s v="HPBL/D/206"/>
    <d v="2023-06-29T00:00:00"/>
    <s v="SF"/>
    <s v="PP/PE Fabric"/>
    <s v="PP UL Fabric"/>
    <s v="PP Unlaminated Fabric"/>
    <s v="PP UL Fabric With UV"/>
    <n v="201"/>
    <n v="6432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Liners"/>
    <s v="LDPE/LLDPE Bags"/>
    <s v="LLDPE BAGS (LINER)"/>
    <s v="DOC Pouch"/>
    <n v="188"/>
    <n v="4888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Liners"/>
    <s v="LDPE/LLDPE Bags"/>
    <s v="LLDPE BAGS (LINER)"/>
    <s v="DOC Pouch"/>
    <n v="7.5"/>
    <n v="195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Liners"/>
    <s v="LDPE/LLDPE Bags"/>
    <s v="LLDPE BAGS (LINER)"/>
    <s v="DOC Pouch"/>
    <n v="301"/>
    <n v="7826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UL Fabric"/>
    <s v="PP Unlaminated Fabric"/>
    <s v="PP UL Fabric With UV"/>
    <n v="121"/>
    <n v="4235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UL Fabric"/>
    <s v="PP Unlaminated Fabric"/>
    <s v="PP UL Fabric With UV"/>
    <n v="1263"/>
    <n v="40416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Lam Fabric"/>
    <s v="PP Laminated Fabric"/>
    <s v="PP Lam Fabric With UV"/>
    <n v="103"/>
    <n v="4171.5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Lam Fabric"/>
    <s v="PP Laminated Fabric"/>
    <s v="PP Lam Fabric With UV"/>
    <n v="1611"/>
    <n v="60412.5"/>
  </r>
  <r>
    <x v="1"/>
    <x v="1"/>
    <d v="2023-05-05T00:00:00"/>
    <s v="Plastene India ltd - Unit 6-Sales"/>
    <s v="Job Invoice"/>
    <s v="KPV/D/102"/>
    <s v="Job Work Income"/>
    <s v="KPV/D/102"/>
    <d v="2023-05-05T00:00:00"/>
    <s v="FG"/>
    <s v="FIBC Bags"/>
    <s v="FIBC Bags"/>
    <s v="PP WOVEN BIG BAGS / SACKS"/>
    <s v="FIBC Bags With UV Without Liner"/>
    <n v="1032.5999999999999"/>
    <n v="45083.315999999999"/>
  </r>
  <r>
    <x v="1"/>
    <x v="1"/>
    <d v="2023-05-05T00:00:00"/>
    <s v="Plastene India ltd - Unit 6-Sales"/>
    <s v="Job Invoice"/>
    <s v="KPV/D/102"/>
    <s v="Job Work Income"/>
    <s v="KPV/D/102"/>
    <d v="2023-05-05T00:00:00"/>
    <s v="FG"/>
    <s v="FIBC Bags"/>
    <s v="FIBC Bags"/>
    <s v="PP WOVEN BIG BAGS / SACKS"/>
    <s v="FIBC Bags With UV Without Liner"/>
    <n v="6103.6"/>
    <n v="278690.37599999999"/>
  </r>
  <r>
    <x v="1"/>
    <x v="1"/>
    <d v="2023-05-06T00:00:00"/>
    <s v="Plastene India ltd - Unit 2-Sales"/>
    <s v="Job Invoice"/>
    <s v="KPV/D/103"/>
    <s v="Job Work Income"/>
    <s v="KPV/D/103"/>
    <d v="2023-05-06T00:00:00"/>
    <s v="SF"/>
    <s v="PP/PE Fabric"/>
    <s v="PP UL Fabric"/>
    <s v="PP Woven Fabric"/>
    <s v="PP UL Fabric With UV"/>
    <n v="1590.6"/>
    <n v="57261.599999999999"/>
  </r>
  <r>
    <x v="1"/>
    <x v="1"/>
    <d v="2023-05-06T00:00:00"/>
    <s v="Plastene India ltd - Unit 2-Sales"/>
    <s v="Job Invoice"/>
    <s v="KPV/D/103"/>
    <s v="Job Work Income"/>
    <s v="KPV/D/103"/>
    <d v="2023-05-06T00:00:00"/>
    <s v="SF"/>
    <s v="PP/PE Fabric"/>
    <s v="PP UL Fabric"/>
    <s v="PP Woven Fabric"/>
    <s v="PP UL Fabric With UV"/>
    <n v="3000"/>
    <n v="108000"/>
  </r>
  <r>
    <x v="1"/>
    <x v="1"/>
    <d v="2023-05-06T00:00:00"/>
    <s v="Plastene India ltd - Unit 2-Sales"/>
    <s v="Job Invoice"/>
    <s v="KPV/D/103"/>
    <s v="Job Work Income"/>
    <s v="KPV/D/103"/>
    <d v="2023-05-06T00:00:00"/>
    <s v="SF"/>
    <s v="PP/PE Fabric"/>
    <s v="PP UL Fabric"/>
    <s v="PP Woven Fabric"/>
    <s v="PP UL Fabric With UV"/>
    <n v="500"/>
    <n v="18000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564.4"/>
    <n v="19766.348000000002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1445"/>
    <n v="36133.550000000003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1100"/>
    <n v="62748.800000000003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1915"/>
    <n v="147840.58739999999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300"/>
    <n v="58975.8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211.1"/>
    <n v="41921.5046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1417.1"/>
    <n v="274330.7206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139.5"/>
    <n v="26241.345000000001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660"/>
    <n v="122832.6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83"/>
    <n v="16482.97"/>
  </r>
  <r>
    <x v="2"/>
    <x v="1"/>
    <d v="2023-06-04T00:00:00"/>
    <s v="Plastene India ltd - Unit 1-Sales"/>
    <s v="Job Invoice"/>
    <s v="KPV/D/178"/>
    <s v="Job Work Income"/>
    <s v="KPV/D/178"/>
    <d v="2023-06-04T00:00:00"/>
    <s v="SF"/>
    <s v="Yarn All"/>
    <s v="PP Yarn"/>
    <s v="PP Tape"/>
    <s v="PP Fibrillated Tape Twisted 3200 MW"/>
    <n v="500"/>
    <n v="9000"/>
  </r>
  <r>
    <x v="2"/>
    <x v="1"/>
    <d v="2023-06-04T00:00:00"/>
    <s v="Plastene India ltd - Unit 1-Sales"/>
    <s v="Job Invoice"/>
    <s v="KPV/D/178"/>
    <s v="Job Work Income"/>
    <s v="KPV/D/178"/>
    <d v="2023-06-04T00:00:00"/>
    <s v="SF"/>
    <s v="Yarn All"/>
    <s v="PP Yarn"/>
    <s v="PP Tape"/>
    <s v="PP Fibrillated Tape Twisted 3200 MW"/>
    <n v="1758.9"/>
    <n v="31660.2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180"/>
    <n v="1800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2000"/>
    <n v="20000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70"/>
    <n v="700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1900"/>
    <n v="11400"/>
  </r>
  <r>
    <x v="2"/>
    <x v="1"/>
    <d v="2023-06-11T00:00:00"/>
    <s v="Plastene India ltd - Unit 1-Sales"/>
    <s v="Job Invoice"/>
    <s v="KPV/D/197"/>
    <s v="Job Work Income"/>
    <s v="KPV/D/197"/>
    <d v="2023-06-11T00:00:00"/>
    <s v="SF"/>
    <s v="Yarn All"/>
    <s v="PP Yarn"/>
    <s v="PP Tape"/>
    <s v="PP Fibrillated Tape Twisted 3200 MW"/>
    <n v="2238.1999999999998"/>
    <n v="40287.599999999999"/>
  </r>
  <r>
    <x v="2"/>
    <x v="1"/>
    <d v="2023-06-11T00:00:00"/>
    <s v="Plastene India ltd - Unit 1-Sales"/>
    <s v="Job Invoice"/>
    <s v="KPV/D/197"/>
    <s v="Job Work Income"/>
    <s v="KPV/D/197"/>
    <d v="2023-06-11T00:00:00"/>
    <s v="SF"/>
    <s v="PP/PE Fabric"/>
    <s v="PP Lam Fabric"/>
    <s v="PP LAMINETED FABRIC"/>
    <s v="PP Lam Fabric With UV"/>
    <n v="3679"/>
    <n v="80938"/>
  </r>
  <r>
    <x v="2"/>
    <x v="1"/>
    <d v="2023-06-11T00:00:00"/>
    <s v="Plastene India ltd - Unit 1-Sales"/>
    <s v="Job Invoice"/>
    <s v="KPV/D/197"/>
    <s v="Job Work Income"/>
    <s v="KPV/D/197"/>
    <d v="2023-06-11T00:00:00"/>
    <s v="SF"/>
    <s v="PP/PE Fabric"/>
    <s v="PP UL Fabric"/>
    <s v="PP Woven Fabric"/>
    <s v="PP UL Fabric With UV"/>
    <n v="843.5"/>
    <n v="23618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Yarn All"/>
    <s v="PP Yarn"/>
    <s v="PP FABRILLATED YARN"/>
    <s v="PP Fibrillated Tape Twisted 3200 MW"/>
    <n v="2397.8000000000002"/>
    <n v="43160.4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Yarn All"/>
    <s v="PP Yarn"/>
    <s v="PP FABRILLATED YARN"/>
    <s v="PP Fibrillated Tape Twisted 3200 Blue"/>
    <n v="1539.5"/>
    <n v="32329.5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PP/PE Fabric"/>
    <s v="PP UL Fabric"/>
    <s v="PP Woven Fabric"/>
    <s v="PP UL Fabric With UV"/>
    <n v="799.6"/>
    <n v="22388.799999999999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PP/PE Fabric"/>
    <s v="PP UL Fabric"/>
    <s v="PP Woven Fabric"/>
    <s v="PP UL Fabric With UV"/>
    <n v="927.7"/>
    <n v="29686.400000000001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PP/PE Fabric"/>
    <s v="PP UL Fabric"/>
    <s v="PP Woven Fabric"/>
    <s v="PP UL Fabric With UV"/>
    <n v="1406.1"/>
    <n v="49213.5"/>
  </r>
  <r>
    <x v="2"/>
    <x v="1"/>
    <d v="2023-06-22T00:00:00"/>
    <s v="Plastene India ltd - Unit 1-Sales"/>
    <s v="Job Invoice"/>
    <s v="KPV/D/221"/>
    <s v="Job Work Income"/>
    <s v="KPV/D/221"/>
    <d v="2023-06-22T00:00:00"/>
    <s v="SF"/>
    <s v="PP/PE Fabric"/>
    <s v="PP UL Fabric"/>
    <s v="PP Woven Fabric"/>
    <s v="PP UL Fabric With UV"/>
    <n v="731.1"/>
    <n v="23395.200000000001"/>
  </r>
  <r>
    <x v="2"/>
    <x v="1"/>
    <d v="2023-06-22T00:00:00"/>
    <s v="Plastene India ltd - Unit 1-Sales"/>
    <s v="Job Invoice"/>
    <s v="KPV/D/221"/>
    <s v="Job Work Income"/>
    <s v="KPV/D/221"/>
    <d v="2023-06-22T00:00:00"/>
    <s v="SF"/>
    <s v="PP/PE Fabric"/>
    <s v="PP UL Fabric"/>
    <s v="PP Woven Fabric"/>
    <s v="PP UL Fabric With UV"/>
    <n v="1271.4000000000001"/>
    <n v="35599.199999999997"/>
  </r>
  <r>
    <x v="2"/>
    <x v="1"/>
    <d v="2023-06-22T00:00:00"/>
    <s v="Plastene India ltd - Unit 1-Sales"/>
    <s v="Job Invoice"/>
    <s v="KPV/D/221"/>
    <s v="Job Work Income"/>
    <s v="KPV/D/221"/>
    <d v="2023-06-22T00:00:00"/>
    <s v="SF"/>
    <s v="PP/PE Fabric"/>
    <s v="PP UL Fabric"/>
    <s v="PP Woven Fabric"/>
    <s v="PP UL Fabric With UV"/>
    <n v="4421"/>
    <n v="154735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PP/PE Fabric"/>
    <s v="PP UL Fabric"/>
    <s v="PP Woven Fabric"/>
    <s v="PP UL Fabric With UV"/>
    <n v="873.5"/>
    <n v="27952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PP/PE Fabric"/>
    <s v="PP UL Fabric"/>
    <s v="PP Woven Fabric"/>
    <s v="PP UL Fabric With UV"/>
    <n v="1136.5999999999999"/>
    <n v="39781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Yarn All"/>
    <s v="PP Yarn"/>
    <s v="PP Tape"/>
    <s v="PP Fibrillated Tape Twisted 3200 Blue"/>
    <n v="671.1"/>
    <n v="14093.1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Yarn All"/>
    <s v="PP Yarn"/>
    <s v="PP Tape"/>
    <s v="PP Fibrillated Tape Twisted 3200 MW"/>
    <n v="1215.7"/>
    <n v="21882.6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Yarn All"/>
    <s v="PP Yarn"/>
    <s v="PP Tape"/>
    <s v="PP Fibrillated Tape Twisted 3200 Blue"/>
    <n v="726.7"/>
    <n v="15260.7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Yarn All"/>
    <s v="PP Yarn"/>
    <s v="PP Tape"/>
    <s v="PP Fibrillated Tape Twisted 3200 MW"/>
    <n v="329.6"/>
    <n v="5932.8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PP/PE Fabric"/>
    <s v="PP UL Fabric"/>
    <s v="PP Woven Fabric"/>
    <s v="PP UL Fabric With UV"/>
    <n v="492.4"/>
    <n v="13787.2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PP/PE Fabric"/>
    <s v="PP UL Fabric"/>
    <s v="PP Woven Fabric"/>
    <s v="PP UL Fabric With UV"/>
    <n v="922.2"/>
    <n v="29510.400000000001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706.2"/>
    <n v="417534.06400000001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218.38"/>
    <n v="19374.673599999998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1051.7"/>
    <n v="93306.823999999993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40.5"/>
    <n v="39081.160000000003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86.9"/>
    <n v="43197.767999999996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78.6"/>
    <n v="42461.392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2246.75"/>
    <n v="199331.66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3878"/>
    <n v="344056.16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75"/>
    <n v="42142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1287"/>
    <n v="114182.64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3834.97"/>
    <n v="340238.5384000000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74"/>
    <n v="23681.040000000001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2116.6999999999998"/>
    <n v="105750.33199999999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1707.2"/>
    <n v="85291.71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25.4"/>
    <n v="21252.984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1225.4000000000001"/>
    <n v="61220.983999999997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770.2"/>
    <n v="38479.192000000003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2647"/>
    <n v="132244.1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89.57"/>
    <n v="24458.917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798.7299999999996"/>
    <n v="239744.5508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3261.7"/>
    <n v="162954.5320000000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300"/>
    <n v="1271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1845.5"/>
    <n v="78193.835000000006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1279.5"/>
    <n v="54212.41500000000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8253.43"/>
    <n v="349697.82909999997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1371"/>
    <n v="58089.27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2755.1"/>
    <n v="116733.587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823"/>
    <n v="34870.5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755.87"/>
    <n v="32026.211899999998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338.79"/>
    <n v="33977.249100000001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13393.33"/>
    <n v="1343217.0656999999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23263.8"/>
    <n v="2333126.5019999999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1338.08"/>
    <n v="134196.043199999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5718.63"/>
    <n v="392012.08649999998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718.5"/>
    <n v="49253.175000000003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7819.07"/>
    <n v="535997.248499999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1623.4"/>
    <n v="111284.07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613.79999999999995"/>
    <n v="42075.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948"/>
    <n v="64985.4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5329.4"/>
    <n v="365330.37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2810.7"/>
    <n v="192673.484999999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4076.8"/>
    <n v="279464.64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2530"/>
    <n v="173431.5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9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44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1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2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73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1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4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5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42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4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33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523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1833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60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9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42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2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20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6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98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56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78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98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739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62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14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169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1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77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19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50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02"/>
    <n v="0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957.4"/>
    <n v="104212.9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825.8"/>
    <n v="89888.33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50"/>
    <n v="5442.5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140.8"/>
    <n v="124176.0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905.4"/>
    <n v="98552.7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768"/>
    <n v="192446.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1931"/>
    <n v="1298689.3500000001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238.8"/>
    <n v="134843.3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5602.6"/>
    <n v="609843.01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5194"/>
    <n v="565366.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6366.9"/>
    <n v="1781537.064999999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236.8"/>
    <n v="25775.6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227.5"/>
    <n v="133613.375"/>
  </r>
  <r>
    <x v="0"/>
    <x v="2"/>
    <d v="2023-04-21T00:00:00"/>
    <s v="Plastene India ltd - Unit 1-Sales"/>
    <s v="Job Invoice"/>
    <s v="OEL1/D/8"/>
    <s v="Job Work Income"/>
    <s v="OEL1/D/8"/>
    <d v="2023-04-21T00:00:00"/>
    <s v="FG"/>
    <s v="FIBC Bags"/>
    <s v="FIBC Bags"/>
    <s v="Jambo Bag/Fibc Bag Mfr (Kg)"/>
    <s v="FIBC Bags With UV Without Liner"/>
    <n v="4349.5"/>
    <n v="322732.90000000002"/>
  </r>
  <r>
    <x v="0"/>
    <x v="2"/>
    <d v="2023-04-21T00:00:00"/>
    <s v="Plastene India ltd - Unit 1-Sales"/>
    <s v="Job Invoice"/>
    <s v="OEL1/D/8"/>
    <s v="Job Work Income"/>
    <s v="OEL1/D/8"/>
    <d v="2023-04-21T00:00:00"/>
    <s v="FG"/>
    <s v="FIBC Bags"/>
    <s v="FIBC Bags"/>
    <s v="Jambo Bag/Fibc Bag Mfr (Kg)"/>
    <s v="FIBC Bags With UV Without Liner"/>
    <n v="13509.6"/>
    <n v="1002412.32"/>
  </r>
  <r>
    <x v="0"/>
    <x v="2"/>
    <d v="2023-04-21T00:00:00"/>
    <s v="Plastene India ltd - Unit 1-Sales"/>
    <s v="Job Invoice"/>
    <s v="OEL1/D/8"/>
    <s v="Job Work Income"/>
    <s v="OEL1/D/8"/>
    <d v="2023-04-21T00:00:00"/>
    <s v="FG"/>
    <s v="FIBC Bags"/>
    <s v="FIBC Bags"/>
    <s v="Jambo Bag/Fibc Bag Mfr (Kg)"/>
    <s v="FIBC Bags With UV Without Liner"/>
    <n v="1114.8"/>
    <n v="82718.16"/>
  </r>
  <r>
    <x v="0"/>
    <x v="2"/>
    <d v="2023-04-22T00:00:00"/>
    <s v="Plastene India ltd - Unit 1-Sales"/>
    <s v="Job Invoice"/>
    <s v="OEL1/D/9"/>
    <s v="Job Work Income"/>
    <s v="OEL1/D/9"/>
    <d v="2023-04-22T00:00:00"/>
    <s v="FG"/>
    <s v="FIBC Bags"/>
    <s v="FIBC Bags"/>
    <s v="Jambo Bag/Fibc Bag Mfr (Kg)"/>
    <s v="FIBC Bags With UV With Liner"/>
    <n v="500"/>
    <n v="46560"/>
  </r>
  <r>
    <x v="0"/>
    <x v="2"/>
    <d v="2023-04-22T00:00:00"/>
    <s v="Plastene India ltd - Unit 1-Sales"/>
    <s v="Job Invoice"/>
    <s v="OEL1/D/9"/>
    <s v="Job Work Income"/>
    <s v="OEL1/D/9"/>
    <d v="2023-04-22T00:00:00"/>
    <s v="FG"/>
    <s v="FIBC Bags"/>
    <s v="FIBC Bags"/>
    <s v="Jambo Bag/Fibc Bag Mfr (Kg)"/>
    <s v="FIBC Bags With UV Without Liner"/>
    <n v="10002.4"/>
    <n v="931423.48800000001"/>
  </r>
  <r>
    <x v="0"/>
    <x v="2"/>
    <d v="2023-04-22T00:00:00"/>
    <s v="Plastene India ltd - Unit 1-Sales"/>
    <s v="Job Invoice"/>
    <s v="OEL1/D/9"/>
    <s v="Job Work Income"/>
    <s v="OEL1/D/9"/>
    <d v="2023-04-22T00:00:00"/>
    <s v="FG"/>
    <s v="FIBC Bags"/>
    <s v="FIBC Bags"/>
    <s v="Jambo Bag/Fibc Bag Mfr (Kg)"/>
    <s v="FIBC Bags With UV Without Liner"/>
    <n v="7655.9"/>
    <n v="712917.40800000005"/>
  </r>
  <r>
    <x v="0"/>
    <x v="2"/>
    <d v="2023-04-24T00:00:00"/>
    <s v="K.P. Woven Pvt Ltd - Unit 3 -Sales"/>
    <s v="Job Invoice"/>
    <s v="OEL1/D/10"/>
    <s v="Job Work Income"/>
    <s v="OEL1/D/10"/>
    <d v="2023-04-24T00:00:00"/>
    <s v="FG"/>
    <s v="FIBC Bags"/>
    <s v="FIBC Bags"/>
    <s v="Jambo Bag/Fibc Bag Mfr (Kg)"/>
    <s v="FIBC Bags With UV Without Liner"/>
    <n v="2069"/>
    <n v="233879.76"/>
  </r>
  <r>
    <x v="0"/>
    <x v="2"/>
    <d v="2023-04-24T00:00:00"/>
    <s v="K.P. Woven Pvt Ltd - Unit 3 -Sales"/>
    <s v="Job Invoice"/>
    <s v="OEL1/D/10"/>
    <s v="Job Work Income"/>
    <s v="OEL1/D/10"/>
    <d v="2023-04-24T00:00:00"/>
    <s v="FG"/>
    <s v="FIBC Bags"/>
    <s v="FIBC Bags"/>
    <s v="Jambo Bag/Fibc Bag Mfr (Kg)"/>
    <s v="FIBC Bags With UV Without Liner"/>
    <n v="16182.79"/>
    <n v="1829302.5815999999"/>
  </r>
  <r>
    <x v="0"/>
    <x v="2"/>
    <d v="2023-04-24T00:00:00"/>
    <s v="K.P. Woven Pvt Ltd - Unit 3 -Sales"/>
    <s v="Job Invoice"/>
    <s v="OEL1/D/10"/>
    <s v="Job Work Income"/>
    <s v="OEL1/D/10"/>
    <d v="2023-04-24T00:00:00"/>
    <s v="FG"/>
    <s v="FIBC Bags"/>
    <s v="FIBC Bags"/>
    <s v="Jambo Bag/Fibc Bag Mfr (Kg)"/>
    <s v="FIBC Bags With UV Without Liner"/>
    <n v="1047.9100000000001"/>
    <n v="118455.7464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6000"/>
    <n v="562980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1303.76"/>
    <n v="122331.8008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1625"/>
    <n v="152473.75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6654.24"/>
    <n v="624367.33920000005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125.1400000000001"/>
    <n v="105571.8861999999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529.9"/>
    <n v="143550.5169999999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000"/>
    <n v="93830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61.5"/>
    <n v="15153.545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6273"/>
    <n v="588595.5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3682"/>
    <n v="345482.06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201"/>
    <n v="112689.83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2422.86"/>
    <n v="227336.9537999999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2155.6"/>
    <n v="202259.948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1434"/>
    <n v="92521.68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2635.76"/>
    <n v="170059.2352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300"/>
    <n v="19356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1318"/>
    <n v="85037.36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3631.34"/>
    <n v="234294.0567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1126.8"/>
    <n v="82740.92399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5048.3"/>
    <n v="370696.6689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3941"/>
    <n v="289387.63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679.54"/>
    <n v="49898.622199999998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2072.16"/>
    <n v="152158.7087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488.6"/>
    <n v="35877.898000000001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700"/>
    <n v="51401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1422.3"/>
    <n v="104439.48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578.9"/>
    <n v="42508.627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3105"/>
    <n v="228000.15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657.8"/>
    <n v="46480.148000000001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2058.1"/>
    <n v="145425.34599999999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17924.099999999999"/>
    <n v="1266516.906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1281.7"/>
    <n v="90564.922000000006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898"/>
    <n v="63452.68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719.2"/>
    <n v="50818.671999999999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1714"/>
    <n v="121111.24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2608"/>
    <n v="184281.28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5950.6"/>
    <n v="420469.39600000001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3834.7"/>
    <n v="270959.902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2000"/>
    <n v="141320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2707.8"/>
    <n v="241887.774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7481"/>
    <n v="668277.73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507.2"/>
    <n v="45308.175999999999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5983"/>
    <n v="534461.39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9694.1"/>
    <n v="727833.02800000005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1313.7"/>
    <n v="98632.596000000005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932.8"/>
    <n v="70034.623999999996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7169.5"/>
    <n v="538286.06000000006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78.8"/>
    <n v="5916.3040000000001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13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157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44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615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63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05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613.04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46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230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2475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247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62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45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94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338"/>
    <n v="0"/>
  </r>
  <r>
    <x v="1"/>
    <x v="2"/>
    <d v="2023-05-13T00:00:00"/>
    <s v="K.P. Woven Pvt Ltd - Unit 3 -Sales"/>
    <s v="Job Invoice"/>
    <s v="OEL1/D/18"/>
    <s v="Job Work Income"/>
    <s v="OEL1/D/18"/>
    <d v="2023-05-13T00:00:00"/>
    <s v="FG"/>
    <s v="FIBC Bags"/>
    <s v="FIBC Bags"/>
    <s v="Jambo Bag/Fibc Bag Mfr (Kg)"/>
    <s v="FIBC Bags With UV Without Liner"/>
    <n v="4105.7"/>
    <n v="280172.96799999999"/>
  </r>
  <r>
    <x v="1"/>
    <x v="2"/>
    <d v="2023-05-13T00:00:00"/>
    <s v="K.P. Woven Pvt Ltd - Unit 3 -Sales"/>
    <s v="Job Invoice"/>
    <s v="OEL1/D/18"/>
    <s v="Job Work Income"/>
    <s v="OEL1/D/18"/>
    <d v="2023-05-13T00:00:00"/>
    <s v="FG"/>
    <s v="FIBC Bags"/>
    <s v="FIBC Bags"/>
    <s v="Jambo Bag/Fibc Bag Mfr (Kg)"/>
    <s v="FIBC Bags With UV Without Liner"/>
    <n v="11925.8"/>
    <n v="813816.59199999995"/>
  </r>
  <r>
    <x v="1"/>
    <x v="2"/>
    <d v="2023-05-13T00:00:00"/>
    <s v="K.P. Woven Pvt Ltd - Unit 3 -Sales"/>
    <s v="Job Invoice"/>
    <s v="OEL1/D/18"/>
    <s v="Job Work Income"/>
    <s v="OEL1/D/18"/>
    <d v="2023-05-13T00:00:00"/>
    <s v="FG"/>
    <s v="FIBC Bags"/>
    <s v="FIBC Bags"/>
    <s v="Jambo Bag/Fibc Bag Mfr (Kg)"/>
    <s v="FIBC Bags With UV Without Liner"/>
    <n v="1000"/>
    <n v="68240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194.5"/>
    <n v="16884.544999999998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475"/>
    <n v="41234.75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1425"/>
    <n v="123704.25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15856.1"/>
    <n v="1376468.041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813.4"/>
    <n v="70611.254000000001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479"/>
    <n v="41581.9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4595"/>
    <n v="285027.84999999998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56.5"/>
    <n v="3504.6950000000002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353.3"/>
    <n v="21915.199000000001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25"/>
    <n v="1550.75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000"/>
    <n v="62030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385.8"/>
    <n v="85961.17399999999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5706.3"/>
    <n v="353961.7889999999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138"/>
    <n v="70590.14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2683"/>
    <n v="166426.4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168.5"/>
    <n v="72482.054999999993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927"/>
    <n v="57501.81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533"/>
    <n v="46658.82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903.1"/>
    <n v="79057.373999999996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1450.6"/>
    <n v="126985.524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26.5"/>
    <n v="2319.81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2779"/>
    <n v="243273.66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1000"/>
    <n v="87540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4611.7"/>
    <n v="403708.21799999999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4945.6000000000004"/>
    <n v="432937.82400000002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2575.4"/>
    <n v="225450.516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8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9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63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7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01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1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5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7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86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03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29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21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5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5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92.19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3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486.2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3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3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50"/>
    <n v="0"/>
  </r>
  <r>
    <x v="1"/>
    <x v="2"/>
    <d v="2023-05-23T00:00:00"/>
    <s v="Plastene India ltd - Unit 1-Sales"/>
    <s v="Job Invoice"/>
    <s v="OEL1/D/23"/>
    <s v="Job Work Income"/>
    <s v="OEL1/D/23"/>
    <d v="2023-05-23T00:00:00"/>
    <s v="FG"/>
    <s v="FIBC Bags"/>
    <s v="FIBC Bags"/>
    <s v="Jambo Bag/Fibc Bag Mfr (Kg)"/>
    <s v="FIBC Bags With UV Without Liner"/>
    <n v="1900"/>
    <n v="172102"/>
  </r>
  <r>
    <x v="1"/>
    <x v="2"/>
    <d v="2023-05-23T00:00:00"/>
    <s v="Plastene India ltd - Unit 1-Sales"/>
    <s v="Job Invoice"/>
    <s v="OEL1/D/23"/>
    <s v="Job Work Income"/>
    <s v="OEL1/D/23"/>
    <d v="2023-05-23T00:00:00"/>
    <s v="FG"/>
    <s v="FIBC Bags"/>
    <s v="FIBC Bags"/>
    <s v="Jambo Bag/Fibc Bag Mfr (Kg)"/>
    <s v="FIBC Bags With UV Without Liner"/>
    <n v="17483.900000000001"/>
    <n v="1583691.662"/>
  </r>
  <r>
    <x v="1"/>
    <x v="2"/>
    <d v="2023-05-23T00:00:00"/>
    <s v="Plastene India ltd - Unit 1-Sales"/>
    <s v="Job Invoice"/>
    <s v="OEL1/D/23"/>
    <s v="Job Work Income"/>
    <s v="OEL1/D/23"/>
    <d v="2023-05-23T00:00:00"/>
    <s v="FG"/>
    <s v="FIBC Bags"/>
    <s v="FIBC Bags"/>
    <s v="Jambo Bag/Fibc Bag Mfr (Kg)"/>
    <s v="FIBC Bags With UV With Liner"/>
    <n v="783.1"/>
    <n v="70933.198000000004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9561"/>
    <n v="847295.82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2750"/>
    <n v="243705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7250"/>
    <n v="642495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784"/>
    <n v="69478.080000000002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1119.5"/>
    <n v="74894.55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500"/>
    <n v="33450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4581.5"/>
    <n v="306502.34999999998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3385.7"/>
    <n v="226503.33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620.1"/>
    <n v="48752.262000000002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3377.1"/>
    <n v="265507.60200000001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4553.3999999999996"/>
    <n v="357988.30800000002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500"/>
    <n v="39310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468.1"/>
    <n v="36802.021999999997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3551"/>
    <n v="279179.62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2402.3000000000002"/>
    <n v="188868.826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2450"/>
    <n v="192619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6021"/>
    <n v="330432.4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4247"/>
    <n v="233075.36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2443.8000000000002"/>
    <n v="134115.74400000001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137.9000000000001"/>
    <n v="62447.951999999997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7.7"/>
    <n v="3166.576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909.3"/>
    <n v="104782.38400000001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054.9000000000001"/>
    <n v="57892.911999999997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62.79999999999995"/>
    <n v="30886.464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866.9"/>
    <n v="47575.472000000002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17.70000000000005"/>
    <n v="28411.376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36.69999999999999"/>
    <n v="7502.0959999999995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974"/>
    <n v="108333.12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966"/>
    <n v="107894.0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6546"/>
    <n v="359244.4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576"/>
    <n v="306010.8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2373.4"/>
    <n v="130252.192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476.7"/>
    <n v="26161.295999999998"/>
  </r>
  <r>
    <x v="2"/>
    <x v="2"/>
    <d v="2023-06-05T00:00:00"/>
    <s v="Plastene India ltd - Unit 1-Sales"/>
    <s v="Job Invoice"/>
    <s v="OEL1/D/27"/>
    <s v="Job Work Income"/>
    <s v="OEL1/D/27"/>
    <d v="2023-06-05T00:00:00"/>
    <s v="FG"/>
    <s v="FIBC Bags"/>
    <s v="FIBC Bags"/>
    <s v="Jambo Bag/Fibc Bag Mfr (Kg)"/>
    <s v="FIBC Bags With UV Without Liner"/>
    <n v="3669.6"/>
    <n v="144068.49600000001"/>
  </r>
  <r>
    <x v="2"/>
    <x v="2"/>
    <d v="2023-06-05T00:00:00"/>
    <s v="Plastene India ltd - Unit 1-Sales"/>
    <s v="Job Invoice"/>
    <s v="OEL1/D/27"/>
    <s v="Job Work Income"/>
    <s v="OEL1/D/27"/>
    <d v="2023-06-05T00:00:00"/>
    <s v="FG"/>
    <s v="FIBC Bags"/>
    <s v="FIBC Bags"/>
    <s v="Jambo Bag/Fibc Bag Mfr (Kg)"/>
    <s v="FIBC Bags With UV Without Liner"/>
    <n v="16583.400000000001"/>
    <n v="651064.28399999999"/>
  </r>
  <r>
    <x v="2"/>
    <x v="2"/>
    <d v="2023-06-07T00:00:00"/>
    <s v="Plastene India ltd - Unit 1-Sales"/>
    <s v="Job Invoice"/>
    <s v="OEL1/D/29"/>
    <s v="Job Work Income"/>
    <s v="OEL1/D/29"/>
    <d v="2023-06-07T00:00:00"/>
    <s v="FG"/>
    <s v="FIBC Bags"/>
    <s v="FIBC Bags"/>
    <s v="Jambo Bag/Fibc Bag Mfr (Kg)"/>
    <s v="FIBC Bags With UV Without Liner"/>
    <n v="16980.89"/>
    <n v="1724579.1884000001"/>
  </r>
  <r>
    <x v="2"/>
    <x v="2"/>
    <d v="2023-06-07T00:00:00"/>
    <s v="Plastene India ltd - Unit 1-Sales"/>
    <s v="Job Invoice"/>
    <s v="OEL1/D/29"/>
    <s v="Job Work Income"/>
    <s v="OEL1/D/29"/>
    <d v="2023-06-07T00:00:00"/>
    <s v="FG"/>
    <s v="FIBC Bags"/>
    <s v="FIBC Bags"/>
    <s v="Jambo Bag/Fibc Bag Mfr (Kg)"/>
    <s v="FIBC Bags With UV Without Liner"/>
    <n v="1566.11"/>
    <n v="159054.13159999999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4481.6000000000004"/>
    <n v="241782.32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178.5999999999999"/>
    <n v="63585.47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845.5"/>
    <n v="99564.725000000006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2417.3000000000002"/>
    <n v="130413.33500000001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238.5"/>
    <n v="66817.074999999997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403.3"/>
    <n v="21758.035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239"/>
    <n v="66844.05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5448"/>
    <n v="293919.59999999998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142.5"/>
    <n v="61637.875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386"/>
    <n v="20824.7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4783.8"/>
    <n v="292098.82799999998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950"/>
    <n v="58007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2511.1"/>
    <n v="153327.766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2255.6999999999998"/>
    <n v="137733.04199999999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2000"/>
    <n v="122120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1471.3"/>
    <n v="89837.577999999994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453.2"/>
    <n v="27672.392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335.6"/>
    <n v="20491.736000000001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5343.3"/>
    <n v="326261.89799999999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8.2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314.60000000000002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02.1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40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84.5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43.20000000000005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390.6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97.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70.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13.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932.6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22.3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9.3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99.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73.2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6.89999999999999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1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9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4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3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42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881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275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2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33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77"/>
    <n v="0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3775.7"/>
    <n v="209098.26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446.4"/>
    <n v="24721.632000000001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2122"/>
    <n v="117516.3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880.7"/>
    <n v="48773.165999999997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3500.7"/>
    <n v="193868.76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5920"/>
    <n v="327849.59999999998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1977"/>
    <n v="109486.2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1849.7"/>
    <n v="102436.386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1823.4"/>
    <n v="150795.18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2495.4"/>
    <n v="206369.58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2112.1"/>
    <n v="174670.67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582"/>
    <n v="48131.4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1068.5"/>
    <n v="88364.95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701.7"/>
    <n v="58030.59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5189.3999999999996"/>
    <n v="429163.38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4571.5"/>
    <n v="378063.05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583.70000000000005"/>
    <n v="41139.175999999999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906.2"/>
    <n v="63868.976000000002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2000"/>
    <n v="140960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452.6"/>
    <n v="31899.248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10195"/>
    <n v="718543.6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1929"/>
    <n v="135955.92000000001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769.5"/>
    <n v="54234.36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 Liner"/>
    <n v="3304"/>
    <n v="232865.92000000001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82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69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75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75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608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03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43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011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612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91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222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11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14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40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270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97.3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44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0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219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626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56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56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81"/>
    <n v="0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14.5"/>
    <n v="8216.52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508"/>
    <n v="108214.08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5079.6000000000004"/>
    <n v="364512.09600000002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318.89999999999998"/>
    <n v="22884.263999999999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2000"/>
    <n v="143520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304"/>
    <n v="93575.039999999994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50.19999999999999"/>
    <n v="10778.352000000001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31"/>
    <n v="9400.56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4560"/>
    <n v="327225.59999999998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514.4"/>
    <n v="108673.344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414.4"/>
    <n v="101497.34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362.02"/>
    <n v="43449.640399999997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3902.7"/>
    <n v="468402.05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4480.93"/>
    <n v="537801.21860000002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314"/>
    <n v="277726.28000000003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1332.5"/>
    <n v="159926.65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350.3000000000002"/>
    <n v="282083.005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552.1999999999998"/>
    <n v="306315.043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439.2"/>
    <n v="52712.78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887"/>
    <n v="106457.7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1172.0999999999999"/>
    <n v="140675.44200000001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455.1999999999998"/>
    <n v="294673.103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258.9"/>
    <n v="271113.17800000001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5149"/>
    <n v="617982.98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3980"/>
    <n v="477679.6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1486.6"/>
    <n v="178421.731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202.35"/>
    <n v="264326.04700000002"/>
  </r>
  <r>
    <x v="2"/>
    <x v="2"/>
    <d v="2023-06-30T00:00:00"/>
    <s v="K.P. Woven Pvt Ltd - Unit 3 -Sales"/>
    <s v="Job Invoice"/>
    <s v="OEL1/D/39"/>
    <s v="Job Work Income"/>
    <s v="OEL1/D/39"/>
    <d v="2023-06-30T00:00:00"/>
    <s v="FG"/>
    <s v="FIBC Bags"/>
    <s v="FIBC Bags"/>
    <s v="Jambo Bag/Fibc Bag Mfr (Kg)"/>
    <s v="FIBC Bags With UV Without Liner"/>
    <n v="1660"/>
    <n v="199233.2"/>
  </r>
  <r>
    <x v="0"/>
    <x v="3"/>
    <d v="2023-04-02T00:00:00"/>
    <s v="HCP Plastene Bulkpack Limited - Sales"/>
    <s v="Job Invoice"/>
    <s v="PIL1/D/7"/>
    <s v="Job Work Income"/>
    <s v="PIL1/D/7"/>
    <d v="2023-04-02T00:00:00"/>
    <s v="SF"/>
    <s v="Liners"/>
    <s v="LDPE/LLDPE Bags"/>
    <s v="LLDPE BAGS"/>
    <s v="LDPE/LLDPE Bags/Liner"/>
    <n v="663.5"/>
    <n v="32126.67"/>
  </r>
  <r>
    <x v="0"/>
    <x v="3"/>
    <d v="2023-04-03T00:00:00"/>
    <s v="Plastene Polyfilms Ltd-Sales"/>
    <s v="Job Invoice"/>
    <s v="PIL1/D/8"/>
    <s v="Job Work Income"/>
    <s v="PIL1/D/8"/>
    <d v="2023-04-03T00:00:00"/>
    <s v="SF"/>
    <s v="Granules"/>
    <s v="RP Granules"/>
    <s v="Reprocess Granules"/>
    <s v="RP Granules"/>
    <n v="1275"/>
    <n v="12750"/>
  </r>
  <r>
    <x v="0"/>
    <x v="3"/>
    <d v="2023-04-03T00:00:00"/>
    <s v="Plastene Polyfilms Ltd-Sales"/>
    <s v="Job Invoice"/>
    <s v="PIL1/D/8"/>
    <s v="Job Work Income"/>
    <s v="PIL1/D/8"/>
    <d v="2023-04-03T00:00:00"/>
    <s v="SF"/>
    <s v="Granules"/>
    <s v="RP Granules"/>
    <s v="Reprocess Granules"/>
    <s v="RP Granules"/>
    <n v="2025"/>
    <n v="20250"/>
  </r>
  <r>
    <x v="0"/>
    <x v="3"/>
    <d v="2023-04-03T00:00:00"/>
    <s v="Plastene Polyfilms Ltd-Sales"/>
    <s v="Job Invoice"/>
    <s v="PIL1/D/8"/>
    <s v="Job Work Income"/>
    <s v="PIL1/D/8"/>
    <d v="2023-04-03T00:00:00"/>
    <s v="SF"/>
    <s v="Granules"/>
    <s v="RP Granules"/>
    <s v="Reprocess Granules"/>
    <s v="RP Granules"/>
    <n v="3600"/>
    <n v="36000"/>
  </r>
  <r>
    <x v="0"/>
    <x v="3"/>
    <d v="2023-04-07T00:00:00"/>
    <s v="Plastene Polyfilms Ltd-Sales"/>
    <s v="Job Invoice"/>
    <s v="PIL1/D/22"/>
    <s v="Job Work Income"/>
    <s v="PIL1/D/22"/>
    <d v="2023-04-07T00:00:00"/>
    <s v="SF"/>
    <s v="Granules"/>
    <s v="RP Granules"/>
    <s v="Reprocess Granules"/>
    <s v="RP Granules"/>
    <n v="2125"/>
    <n v="21250"/>
  </r>
  <r>
    <x v="0"/>
    <x v="3"/>
    <d v="2023-04-07T00:00:00"/>
    <s v="Plastene Polyfilms Ltd-Sales"/>
    <s v="Job Invoice"/>
    <s v="PIL1/D/22"/>
    <s v="Job Work Income"/>
    <s v="PIL1/D/22"/>
    <d v="2023-04-07T00:00:00"/>
    <s v="SF"/>
    <s v="Granules"/>
    <s v="RP Granules"/>
    <s v="Reprocess Granules"/>
    <s v="RP Granules"/>
    <n v="1650"/>
    <n v="16500"/>
  </r>
  <r>
    <x v="0"/>
    <x v="3"/>
    <d v="2023-04-08T00:00:00"/>
    <s v="Plastene Polyfilms Ltd-Sales"/>
    <s v="Job Invoice"/>
    <s v="PIL1/D/28"/>
    <s v="Job Work Income"/>
    <s v="PIL1/D/28"/>
    <d v="2023-04-08T00:00:00"/>
    <s v="SF"/>
    <s v="Granules"/>
    <s v="RP Granules"/>
    <s v="Reprocess Granules"/>
    <s v="RP Granules"/>
    <n v="2025"/>
    <n v="20250"/>
  </r>
  <r>
    <x v="0"/>
    <x v="3"/>
    <d v="2023-04-10T00:00:00"/>
    <s v="Plastene Polyfilms Ltd-Sales"/>
    <s v="Job Invoice"/>
    <s v="PIL1/D/39"/>
    <s v="Job Work Income"/>
    <s v="PIL1/D/39"/>
    <d v="2023-04-10T00:00:00"/>
    <s v="SF"/>
    <s v="Granules"/>
    <s v="RP Granules"/>
    <s v="Reprocess Granules"/>
    <s v="RP Granules"/>
    <n v="4275"/>
    <n v="42750"/>
  </r>
  <r>
    <x v="0"/>
    <x v="3"/>
    <d v="2023-04-14T00:00:00"/>
    <s v="Plastene Polyfilms Ltd-Sales"/>
    <s v="Job Invoice"/>
    <s v="PIL1/D/69"/>
    <s v="Job Work Income"/>
    <s v="PIL1/D/69"/>
    <d v="2023-04-14T00:00:00"/>
    <s v="SF"/>
    <s v="Granules"/>
    <s v="RP Granules"/>
    <s v="Reprocess Granules"/>
    <s v="RP Granules"/>
    <n v="3000"/>
    <n v="30000"/>
  </r>
  <r>
    <x v="0"/>
    <x v="3"/>
    <d v="2023-04-17T00:00:00"/>
    <s v="Plastene Polyfilms Ltd-Sales"/>
    <s v="Job Invoice"/>
    <s v="PIL1/D/84"/>
    <s v="Job Work Income"/>
    <s v="PIL1/D/84"/>
    <d v="2023-04-17T00:00:00"/>
    <s v="SF"/>
    <s v="Granules"/>
    <s v="RP Granules"/>
    <s v="Reprocess Granules"/>
    <s v="RP Granules"/>
    <n v="900"/>
    <n v="9000"/>
  </r>
  <r>
    <x v="0"/>
    <x v="3"/>
    <d v="2023-04-17T00:00:00"/>
    <s v="Plastene Polyfilms Ltd-Sales"/>
    <s v="Job Invoice"/>
    <s v="PIL1/D/84"/>
    <s v="Job Work Income"/>
    <s v="PIL1/D/84"/>
    <d v="2023-04-17T00:00:00"/>
    <s v="SF"/>
    <s v="Granules"/>
    <s v="RP Granules"/>
    <s v="Reprocess Granules"/>
    <s v="RP Granules"/>
    <n v="1100"/>
    <n v="11000"/>
  </r>
  <r>
    <x v="0"/>
    <x v="3"/>
    <d v="2023-04-19T00:00:00"/>
    <s v="Plastene Polyfilms Ltd-Sales"/>
    <s v="Job Invoice"/>
    <s v="PIL1/D/90"/>
    <s v="Job Work Income"/>
    <s v="PIL1/D/90"/>
    <d v="2023-04-19T00:00:00"/>
    <s v="SF"/>
    <s v="Granules"/>
    <s v="RP Granules"/>
    <s v="Reprocess Granules"/>
    <s v="RP Granules"/>
    <n v="2625"/>
    <n v="26250"/>
  </r>
  <r>
    <x v="0"/>
    <x v="3"/>
    <d v="2023-04-19T00:00:00"/>
    <s v="Plastene Polyfilms Ltd-Sales"/>
    <s v="Job Invoice"/>
    <s v="PIL1/D/90"/>
    <s v="Job Work Income"/>
    <s v="PIL1/D/90"/>
    <d v="2023-04-19T00:00:00"/>
    <s v="SF"/>
    <s v="Granules"/>
    <s v="RP Granules"/>
    <s v="Reprocess Granules"/>
    <s v="RP Granules"/>
    <n v="1375"/>
    <n v="13750"/>
  </r>
  <r>
    <x v="0"/>
    <x v="3"/>
    <d v="2023-04-20T00:00:00"/>
    <s v="Plastene Polyfilms Ltd-Sales"/>
    <s v="Job Invoice"/>
    <s v="PIL1/D/99"/>
    <s v="Job Work Income"/>
    <s v="PIL1/D/99"/>
    <d v="2023-04-20T00:00:00"/>
    <s v="SF"/>
    <s v="Granules"/>
    <s v="RP Granules"/>
    <s v="Reprocess Granules"/>
    <s v="RP Granules"/>
    <n v="1950"/>
    <n v="19500"/>
  </r>
  <r>
    <x v="0"/>
    <x v="3"/>
    <d v="2023-04-20T00:00:00"/>
    <s v="Plastene Polyfilms Ltd-Sales"/>
    <s v="Job Invoice"/>
    <s v="PIL1/D/99"/>
    <s v="Job Work Income"/>
    <s v="PIL1/D/99"/>
    <d v="2023-04-20T00:00:00"/>
    <s v="SF"/>
    <s v="Granules"/>
    <s v="RP Granules"/>
    <s v="Reprocess Granules"/>
    <s v="RP Granules"/>
    <n v="1050"/>
    <n v="10500"/>
  </r>
  <r>
    <x v="0"/>
    <x v="3"/>
    <d v="2023-04-24T00:00:00"/>
    <s v="Plastene Polyfilms Ltd-Sales"/>
    <s v="Job Invoice"/>
    <s v="PIL1/D/114"/>
    <s v="Job Work Income"/>
    <s v="PIL1/D/114"/>
    <d v="2023-04-24T00:00:00"/>
    <s v="SF"/>
    <s v="Granules"/>
    <s v="RP Granules"/>
    <s v="Reprocess Granules"/>
    <s v="RP Granules"/>
    <n v="2700"/>
    <n v="27000"/>
  </r>
  <r>
    <x v="0"/>
    <x v="3"/>
    <d v="2023-04-24T00:00:00"/>
    <s v="Plastene Polyfilms Ltd-Sales"/>
    <s v="Job Invoice"/>
    <s v="PIL1/D/114"/>
    <s v="Job Work Income"/>
    <s v="PIL1/D/114"/>
    <d v="2023-04-24T00:00:00"/>
    <s v="SF"/>
    <s v="Granules"/>
    <s v="RP Granules"/>
    <s v="Reprocess Granules"/>
    <s v="RP Granules"/>
    <n v="300"/>
    <n v="3000"/>
  </r>
  <r>
    <x v="0"/>
    <x v="3"/>
    <d v="2023-04-27T00:00:00"/>
    <s v="Plastene Polyfilms Ltd-Sales"/>
    <s v="Job Invoice"/>
    <s v="PIL1/D/141"/>
    <s v="Job Work Income"/>
    <s v="PIL1/D/141"/>
    <d v="2023-04-27T00:00:00"/>
    <s v="SF"/>
    <s v="Granules"/>
    <s v="RP Granules"/>
    <s v="Reprocess Granules"/>
    <s v="RP Granules"/>
    <n v="2475"/>
    <n v="24750"/>
  </r>
  <r>
    <x v="0"/>
    <x v="3"/>
    <d v="2023-04-27T00:00:00"/>
    <s v="Plastene Polyfilms Ltd-Sales"/>
    <s v="Job Invoice"/>
    <s v="PIL1/D/141"/>
    <s v="Job Work Income"/>
    <s v="PIL1/D/141"/>
    <d v="2023-04-27T00:00:00"/>
    <s v="SF"/>
    <s v="Granules"/>
    <s v="RP Granules"/>
    <s v="Reprocess Granules"/>
    <s v="RP Granules"/>
    <n v="525"/>
    <n v="5250"/>
  </r>
  <r>
    <x v="0"/>
    <x v="3"/>
    <d v="2023-04-30T00:00:00"/>
    <s v="Plastene Polyfilms Ltd-Sales"/>
    <s v="Job Invoice"/>
    <s v="PIL1/D/157"/>
    <s v="Job Work Income"/>
    <s v="PIL1/D/157"/>
    <d v="2023-04-30T00:00:00"/>
    <s v="SF"/>
    <s v="Granules"/>
    <s v="RP Granules"/>
    <s v="Reprocess Granules"/>
    <s v="RP Granules"/>
    <n v="2775"/>
    <n v="27750"/>
  </r>
  <r>
    <x v="0"/>
    <x v="3"/>
    <d v="2023-04-30T00:00:00"/>
    <s v="Plastene Polyfilms Ltd-Sales"/>
    <s v="Job Invoice"/>
    <s v="PIL1/D/157"/>
    <s v="Job Work Income"/>
    <s v="PIL1/D/157"/>
    <d v="2023-04-30T00:00:00"/>
    <s v="SF"/>
    <s v="Granules"/>
    <s v="RP Granules"/>
    <s v="Reprocess Granules"/>
    <s v="RP Granules"/>
    <n v="1625"/>
    <n v="16250"/>
  </r>
  <r>
    <x v="1"/>
    <x v="3"/>
    <d v="2023-05-03T00:00:00"/>
    <s v="Plastene Polyfilms Ltd-Sales"/>
    <s v="Job Invoice"/>
    <s v="PIL1/D/171"/>
    <s v="Job Work Income"/>
    <s v="PIL1/D/171"/>
    <d v="2023-05-03T00:00:00"/>
    <s v="SF"/>
    <s v="Granules"/>
    <s v="RP Granules"/>
    <s v="Reprocess Granules"/>
    <s v="RP Granules"/>
    <n v="1000"/>
    <n v="10000"/>
  </r>
  <r>
    <x v="1"/>
    <x v="3"/>
    <d v="2023-05-04T00:00:00"/>
    <s v="Plastene Polyfilms Ltd-Sales"/>
    <s v="Job Invoice"/>
    <s v="PIL1/D/176"/>
    <s v="Job Work Income"/>
    <s v="PIL1/D/176"/>
    <d v="2023-05-04T00:00:00"/>
    <s v="SF"/>
    <s v="Granules"/>
    <s v="RP Granules"/>
    <s v="Reprocess Granules"/>
    <s v="RP Granules"/>
    <n v="975"/>
    <n v="9750"/>
  </r>
  <r>
    <x v="1"/>
    <x v="3"/>
    <d v="2023-05-04T00:00:00"/>
    <s v="Plastene Polyfilms Ltd-Sales"/>
    <s v="Job Invoice"/>
    <s v="PIL1/D/176"/>
    <s v="Job Work Income"/>
    <s v="PIL1/D/176"/>
    <d v="2023-05-04T00:00:00"/>
    <s v="SF"/>
    <s v="Granules"/>
    <s v="RP Granules"/>
    <s v="Reprocess Granules"/>
    <s v="RP Granules"/>
    <n v="2025"/>
    <n v="20250"/>
  </r>
  <r>
    <x v="1"/>
    <x v="3"/>
    <d v="2023-05-07T00:00:00"/>
    <s v="Plastene Polyfilms Ltd-Sales"/>
    <s v="Job Invoice"/>
    <s v="PIL1/D/190"/>
    <s v="Job Work Income"/>
    <s v="PIL1/D/190"/>
    <d v="2023-05-07T00:00:00"/>
    <s v="SF"/>
    <s v="Granules"/>
    <s v="RP Granules"/>
    <s v="Reprocess Granules"/>
    <s v="RP Granules"/>
    <n v="1825"/>
    <n v="18250"/>
  </r>
  <r>
    <x v="1"/>
    <x v="3"/>
    <d v="2023-05-07T00:00:00"/>
    <s v="Plastene Polyfilms Ltd-Sales"/>
    <s v="Job Invoice"/>
    <s v="PIL1/D/190"/>
    <s v="Job Work Income"/>
    <s v="PIL1/D/190"/>
    <d v="2023-05-07T00:00:00"/>
    <s v="SF"/>
    <s v="Granules"/>
    <s v="RP Granules"/>
    <s v="Reprocess Granules"/>
    <s v="RP Granules"/>
    <n v="1025"/>
    <n v="10250"/>
  </r>
  <r>
    <x v="1"/>
    <x v="3"/>
    <d v="2023-05-08T00:00:00"/>
    <s v="Plastene Polyfilms Ltd-Sales"/>
    <s v="Job Invoice"/>
    <s v="PIL1/D/196"/>
    <s v="Job Work Income"/>
    <s v="PIL1/D/196"/>
    <d v="2023-05-08T00:00:00"/>
    <s v="SF"/>
    <s v="Granules"/>
    <s v="RP Granules"/>
    <s v="Reprocess Granules"/>
    <s v="RP Granules"/>
    <n v="2325"/>
    <n v="23250"/>
  </r>
  <r>
    <x v="1"/>
    <x v="3"/>
    <d v="2023-05-08T00:00:00"/>
    <s v="Plastene Polyfilms Ltd-Sales"/>
    <s v="Job Invoice"/>
    <s v="PIL1/D/196"/>
    <s v="Job Work Income"/>
    <s v="PIL1/D/196"/>
    <d v="2023-05-08T00:00:00"/>
    <s v="SF"/>
    <s v="Granules"/>
    <s v="RP Granules"/>
    <s v="Reprocess Granules"/>
    <s v="RP Granules"/>
    <n v="675"/>
    <n v="6750"/>
  </r>
  <r>
    <x v="1"/>
    <x v="3"/>
    <d v="2023-05-11T00:00:00"/>
    <s v="Plastene Polyfilms Ltd-Sales"/>
    <s v="Job Invoice"/>
    <s v="PIL1/D/207"/>
    <s v="Job Work Income"/>
    <s v="PIL1/D/207"/>
    <d v="2023-05-11T00:00:00"/>
    <s v="SF"/>
    <s v="Granules"/>
    <s v="RP Granules"/>
    <s v="Reprocess Granules"/>
    <s v="RP Granules"/>
    <n v="3000"/>
    <n v="30000"/>
  </r>
  <r>
    <x v="1"/>
    <x v="3"/>
    <d v="2023-05-13T00:00:00"/>
    <s v="Plastene Polyfilms Ltd-Sales"/>
    <s v="Job Invoice"/>
    <s v="PIL1/D/215"/>
    <s v="Job Work Income"/>
    <s v="PIL1/D/215"/>
    <d v="2023-05-13T00:00:00"/>
    <s v="SF"/>
    <s v="Granules"/>
    <s v="RP Granules"/>
    <s v="Reprocess Granules"/>
    <s v="RP Granules"/>
    <n v="75"/>
    <n v="750"/>
  </r>
  <r>
    <x v="1"/>
    <x v="3"/>
    <d v="2023-05-13T00:00:00"/>
    <s v="Plastene Polyfilms Ltd-Sales"/>
    <s v="Job Invoice"/>
    <s v="PIL1/D/215"/>
    <s v="Job Work Income"/>
    <s v="PIL1/D/215"/>
    <d v="2023-05-13T00:00:00"/>
    <s v="SF"/>
    <s v="Granules"/>
    <s v="RP Granules"/>
    <s v="Reprocess Granules"/>
    <s v="RP Granules"/>
    <n v="2425"/>
    <n v="24250"/>
  </r>
  <r>
    <x v="1"/>
    <x v="3"/>
    <d v="2023-05-13T00:00:00"/>
    <s v="Plastene Polyfilms Ltd-Sales"/>
    <s v="Job Invoice"/>
    <s v="PIL1/D/215"/>
    <s v="Job Work Income"/>
    <s v="PIL1/D/215"/>
    <d v="2023-05-13T00:00:00"/>
    <s v="SF"/>
    <s v="Granules"/>
    <s v="RP Granules"/>
    <s v="Reprocess Granules"/>
    <s v="RP Granules"/>
    <n v="500"/>
    <n v="5000"/>
  </r>
  <r>
    <x v="1"/>
    <x v="3"/>
    <d v="2023-05-17T00:00:00"/>
    <s v="Plastene Polyfilms Ltd-Sales"/>
    <s v="Job Invoice"/>
    <s v="PIL1/D/236"/>
    <s v="Job Work Income"/>
    <s v="PIL1/D/236"/>
    <d v="2023-05-17T00:00:00"/>
    <s v="SF"/>
    <s v="Granules"/>
    <s v="RP Granules"/>
    <s v="Reprocess Granules"/>
    <s v="RP Granules"/>
    <n v="2625"/>
    <n v="26250"/>
  </r>
  <r>
    <x v="1"/>
    <x v="3"/>
    <d v="2023-05-17T00:00:00"/>
    <s v="Plastene Polyfilms Ltd-Sales"/>
    <s v="Job Invoice"/>
    <s v="PIL1/D/236"/>
    <s v="Job Work Income"/>
    <s v="PIL1/D/236"/>
    <d v="2023-05-17T00:00:00"/>
    <s v="SF"/>
    <s v="Granules"/>
    <s v="RP Granules"/>
    <s v="Reprocess Granules"/>
    <s v="RP Granules"/>
    <n v="2375"/>
    <n v="23750"/>
  </r>
  <r>
    <x v="1"/>
    <x v="3"/>
    <d v="2023-05-17T00:00:00"/>
    <s v="Plastene Polyfilms Ltd-Sales"/>
    <s v="Job Invoice"/>
    <s v="PIL1/D/236"/>
    <s v="Job Work Income"/>
    <s v="PIL1/D/236"/>
    <d v="2023-05-17T00:00:00"/>
    <s v="SF"/>
    <s v="Granules"/>
    <s v="RP Granules"/>
    <s v="Reprocess Granules"/>
    <s v="RP Granules"/>
    <n v="2475"/>
    <n v="24750"/>
  </r>
  <r>
    <x v="1"/>
    <x v="3"/>
    <d v="2023-05-20T00:00:00"/>
    <s v="Plastene Polyfilms Ltd-Sales"/>
    <s v="Job Invoice"/>
    <s v="PIL1/D/244"/>
    <s v="Job Work Income"/>
    <s v="PIL1/D/244"/>
    <d v="2023-05-20T00:00:00"/>
    <s v="SF"/>
    <s v="Granules"/>
    <s v="RP Granules"/>
    <s v="Reprocess Granules"/>
    <s v="RP Granules"/>
    <n v="2475"/>
    <n v="24750"/>
  </r>
  <r>
    <x v="1"/>
    <x v="3"/>
    <d v="2023-05-20T00:00:00"/>
    <s v="Plastene Polyfilms Ltd-Sales"/>
    <s v="Job Invoice"/>
    <s v="PIL1/D/244"/>
    <s v="Job Work Income"/>
    <s v="PIL1/D/244"/>
    <d v="2023-05-20T00:00:00"/>
    <s v="SF"/>
    <s v="Granules"/>
    <s v="RP Granules"/>
    <s v="Reprocess Granules"/>
    <s v="RP Granules"/>
    <n v="1650"/>
    <n v="16500"/>
  </r>
  <r>
    <x v="1"/>
    <x v="3"/>
    <d v="2023-05-26T00:00:00"/>
    <s v="Plastene Polyfilms Ltd-Sales"/>
    <s v="Job Invoice"/>
    <s v="PIL1/D/269"/>
    <s v="Job Work Income"/>
    <s v="PIL1/D/269"/>
    <d v="2023-05-26T00:00:00"/>
    <s v="SF"/>
    <s v="Granules"/>
    <s v="RP Granules"/>
    <s v="Reprocess Granules"/>
    <s v="RP Granules"/>
    <n v="1525"/>
    <n v="15250"/>
  </r>
  <r>
    <x v="1"/>
    <x v="3"/>
    <d v="2023-05-26T00:00:00"/>
    <s v="Plastene Polyfilms Ltd-Sales"/>
    <s v="Job Invoice"/>
    <s v="PIL1/D/269"/>
    <s v="Job Work Income"/>
    <s v="PIL1/D/269"/>
    <d v="2023-05-26T00:00:00"/>
    <s v="SF"/>
    <s v="Granules"/>
    <s v="RP Granules"/>
    <s v="Reprocess Granules"/>
    <s v="RP Granules"/>
    <n v="1475"/>
    <n v="14750"/>
  </r>
  <r>
    <x v="1"/>
    <x v="3"/>
    <d v="2023-05-31T00:00:00"/>
    <s v="Plastene Polyfilms Ltd-Sales"/>
    <s v="Job Invoice"/>
    <s v="PIL1/D/293"/>
    <s v="Job Work Income"/>
    <s v="PIL1/D/293"/>
    <d v="2023-05-31T00:00:00"/>
    <s v="SF"/>
    <s v="Granules"/>
    <s v="RP Granules"/>
    <s v="Reprocess Granules"/>
    <s v="RP Granules"/>
    <n v="1550"/>
    <n v="15500"/>
  </r>
  <r>
    <x v="1"/>
    <x v="3"/>
    <d v="2023-05-31T00:00:00"/>
    <s v="Plastene Polyfilms Ltd-Sales"/>
    <s v="Job Invoice"/>
    <s v="PIL1/D/293"/>
    <s v="Job Work Income"/>
    <s v="PIL1/D/293"/>
    <d v="2023-05-31T00:00:00"/>
    <s v="SF"/>
    <s v="Granules"/>
    <s v="RP Granules"/>
    <s v="Reprocess Granules"/>
    <s v="RP Granules"/>
    <n v="2450"/>
    <n v="24500"/>
  </r>
  <r>
    <x v="2"/>
    <x v="3"/>
    <d v="2023-06-04T00:00:00"/>
    <s v="Plastene Polyfilms Ltd-Sales"/>
    <s v="Job Invoice"/>
    <s v="PIL1/D/312"/>
    <s v="Job Work Income"/>
    <s v="PIL1/D/312"/>
    <d v="2023-06-04T00:00:00"/>
    <s v="SF"/>
    <s v="Granules"/>
    <s v="RP Granules"/>
    <s v="Reprocess Granules"/>
    <s v="RP Granules"/>
    <n v="1825"/>
    <n v="18250"/>
  </r>
  <r>
    <x v="2"/>
    <x v="3"/>
    <d v="2023-06-04T00:00:00"/>
    <s v="Plastene Polyfilms Ltd-Sales"/>
    <s v="Job Invoice"/>
    <s v="PIL1/D/312"/>
    <s v="Job Work Income"/>
    <s v="PIL1/D/312"/>
    <d v="2023-06-04T00:00:00"/>
    <s v="SF"/>
    <s v="Granules"/>
    <s v="RP Granules"/>
    <s v="Reprocess Granules"/>
    <s v="RP Granules"/>
    <n v="3175"/>
    <n v="31750"/>
  </r>
  <r>
    <x v="2"/>
    <x v="3"/>
    <d v="2023-06-06T00:00:00"/>
    <s v="Plastene Polyfilms Ltd-Sales"/>
    <s v="Job Invoice"/>
    <s v="PIL1/D/316"/>
    <s v="Job Work Income"/>
    <s v="PIL1/D/316"/>
    <d v="2023-06-06T00:00:00"/>
    <s v="SF"/>
    <s v="Granules"/>
    <s v="RP Granules"/>
    <s v="Reprocess Granules"/>
    <s v="RP Granules"/>
    <n v="825"/>
    <n v="8250"/>
  </r>
  <r>
    <x v="2"/>
    <x v="3"/>
    <d v="2023-06-06T00:00:00"/>
    <s v="Plastene Polyfilms Ltd-Sales"/>
    <s v="Job Invoice"/>
    <s v="PIL1/D/316"/>
    <s v="Job Work Income"/>
    <s v="PIL1/D/316"/>
    <d v="2023-06-06T00:00:00"/>
    <s v="SF"/>
    <s v="Granules"/>
    <s v="RP Granules"/>
    <s v="Reprocess Granules"/>
    <s v="RP Granules"/>
    <n v="3500"/>
    <n v="35000"/>
  </r>
  <r>
    <x v="2"/>
    <x v="3"/>
    <d v="2023-06-06T00:00:00"/>
    <s v="Plastene Polyfilms Ltd-Sales"/>
    <s v="Job Invoice"/>
    <s v="PIL1/D/316"/>
    <s v="Job Work Income"/>
    <s v="PIL1/D/316"/>
    <d v="2023-06-06T00:00:00"/>
    <s v="SF"/>
    <s v="Granules"/>
    <s v="RP Granules"/>
    <s v="Reprocess Granules"/>
    <s v="RP Granules"/>
    <n v="1150"/>
    <n v="11500"/>
  </r>
  <r>
    <x v="2"/>
    <x v="3"/>
    <d v="2023-06-10T00:00:00"/>
    <s v="Plastene Polyfilms Ltd-Sales"/>
    <s v="Job Invoice"/>
    <s v="PIL1/D/340"/>
    <s v="Job Work Income"/>
    <s v="PIL1/D/340"/>
    <d v="2023-06-10T00:00:00"/>
    <s v="SF"/>
    <s v="Granules"/>
    <s v="RP Granules"/>
    <s v="Reprocess Granules"/>
    <s v="RP Granules"/>
    <n v="2000"/>
    <n v="20000"/>
  </r>
  <r>
    <x v="2"/>
    <x v="3"/>
    <d v="2023-06-11T00:00:00"/>
    <s v="Plastene Polyfilms Ltd-Sales"/>
    <s v="Job Invoice"/>
    <s v="PIL1/D/343"/>
    <s v="Job Work Income"/>
    <s v="PIL1/D/343"/>
    <d v="2023-06-11T00:00:00"/>
    <s v="SF"/>
    <s v="Granules"/>
    <s v="RP Granules"/>
    <s v="Reprocess Granules"/>
    <s v="RP Granules"/>
    <n v="1050"/>
    <n v="10500"/>
  </r>
  <r>
    <x v="2"/>
    <x v="3"/>
    <d v="2023-06-11T00:00:00"/>
    <s v="Plastene Polyfilms Ltd-Sales"/>
    <s v="Job Invoice"/>
    <s v="PIL1/D/343"/>
    <s v="Job Work Income"/>
    <s v="PIL1/D/343"/>
    <d v="2023-06-11T00:00:00"/>
    <s v="SF"/>
    <s v="Granules"/>
    <s v="RP Granules"/>
    <s v="Reprocess Granules"/>
    <s v="RP Granules"/>
    <n v="3450"/>
    <n v="34500"/>
  </r>
  <r>
    <x v="2"/>
    <x v="3"/>
    <d v="2023-06-24T00:00:00"/>
    <s v="Plastene Polyfilms Ltd-Sales"/>
    <s v="Job Invoice"/>
    <s v="PIL1/D/373"/>
    <s v="Job Work Income"/>
    <s v="PIL1/D/373"/>
    <d v="2023-06-24T00:00:00"/>
    <s v="SF"/>
    <s v="Granules"/>
    <s v="RP Granules"/>
    <s v="Reprocess Granules"/>
    <s v="RP Granules"/>
    <n v="450"/>
    <n v="4500"/>
  </r>
  <r>
    <x v="2"/>
    <x v="3"/>
    <d v="2023-06-24T00:00:00"/>
    <s v="Plastene Polyfilms Ltd-Sales"/>
    <s v="Job Invoice"/>
    <s v="PIL1/D/373"/>
    <s v="Job Work Income"/>
    <s v="PIL1/D/373"/>
    <d v="2023-06-24T00:00:00"/>
    <s v="SF"/>
    <s v="Granules"/>
    <s v="RP Granules"/>
    <s v="Reprocess Granules"/>
    <s v="RP Granules"/>
    <n v="3925"/>
    <n v="39250"/>
  </r>
  <r>
    <x v="2"/>
    <x v="3"/>
    <d v="2023-06-24T00:00:00"/>
    <s v="Plastene Polyfilms Ltd-Sales"/>
    <s v="Job Invoice"/>
    <s v="PIL1/D/373"/>
    <s v="Job Work Income"/>
    <s v="PIL1/D/373"/>
    <d v="2023-06-24T00:00:00"/>
    <s v="SF"/>
    <s v="Granules"/>
    <s v="RP Granules"/>
    <s v="Reprocess Granules"/>
    <s v="RP Granules"/>
    <n v="1625"/>
    <n v="16250"/>
  </r>
  <r>
    <x v="2"/>
    <x v="3"/>
    <d v="2023-06-27T00:00:00"/>
    <s v="Plastene Polyfilms Ltd-Sales"/>
    <s v="Job Invoice"/>
    <s v="PIL1/D/392"/>
    <s v="Job Work Income"/>
    <s v="PIL1/D/392"/>
    <d v="2023-06-27T00:00:00"/>
    <s v="SF"/>
    <s v="Granules"/>
    <s v="RP Granules"/>
    <s v="Reprocess Granules"/>
    <s v="RP Granules"/>
    <n v="825"/>
    <n v="8250"/>
  </r>
  <r>
    <x v="2"/>
    <x v="3"/>
    <d v="2023-06-27T00:00:00"/>
    <s v="Plastene Polyfilms Ltd-Sales"/>
    <s v="Job Invoice"/>
    <s v="PIL1/D/392"/>
    <s v="Job Work Income"/>
    <s v="PIL1/D/392"/>
    <d v="2023-06-27T00:00:00"/>
    <s v="SF"/>
    <s v="Granules"/>
    <s v="RP Granules"/>
    <s v="Reprocess Granules"/>
    <s v="RP Granules"/>
    <n v="5200"/>
    <n v="52000"/>
  </r>
  <r>
    <x v="2"/>
    <x v="3"/>
    <d v="2023-06-27T00:00:00"/>
    <s v="Plastene Polyfilms Ltd-Sales"/>
    <s v="Job Invoice"/>
    <s v="PIL1/D/392"/>
    <s v="Job Work Income"/>
    <s v="PIL1/D/392"/>
    <d v="2023-06-27T00:00:00"/>
    <s v="SF"/>
    <s v="Granules"/>
    <s v="RP Granules"/>
    <s v="Reprocess Granules"/>
    <s v="RP Granules"/>
    <n v="2475"/>
    <n v="24750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1555.02"/>
    <n v="159078.546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1166.27"/>
    <n v="119309.421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5857.76"/>
    <n v="599248.848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992.95"/>
    <n v="101578.785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207.7"/>
    <n v="10441.079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620"/>
    <n v="31167.4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221.9"/>
    <n v="11154.913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104.6"/>
    <n v="5258.2420000000002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3909.8"/>
    <n v="196545.64600000001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049.0999999999999"/>
    <n v="31483.491000000002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80.4"/>
    <n v="5413.8040000000001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812.4"/>
    <n v="54390.124000000003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760"/>
    <n v="22807.599999999999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112"/>
    <n v="33371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1D44B-B19F-445F-80B8-4676EDA5ED5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6974A-8ED1-46B3-AB53-E70D77B843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19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1FAED-1D77-4D5C-BFB9-A40DE177778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E42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71E6D-E152-48F4-A75E-7E456B055E85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14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14">
        <item m="1" x="9"/>
        <item m="1" x="10"/>
        <item m="1" x="12"/>
        <item m="1" x="11"/>
        <item x="5"/>
        <item x="2"/>
        <item x="7"/>
        <item x="6"/>
        <item x="4"/>
        <item x="3"/>
        <item x="1"/>
        <item x="0"/>
        <item x="8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5">
    <format dxfId="7">
      <pivotArea outline="0" collapsedLevelsAreSubtotals="1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4C24-0BC2-4720-B7DD-BFE4E5186C22}">
  <sheetPr>
    <tabColor theme="5"/>
  </sheetPr>
  <dimension ref="A1:BH32"/>
  <sheetViews>
    <sheetView showGridLines="0"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8" sqref="I18"/>
    </sheetView>
  </sheetViews>
  <sheetFormatPr defaultColWidth="9.1796875" defaultRowHeight="14.5" x14ac:dyDescent="0.35"/>
  <cols>
    <col min="1" max="1" width="9.1796875" style="17"/>
    <col min="2" max="2" width="18.453125" style="17" customWidth="1"/>
    <col min="3" max="4" width="14.1796875" style="17" customWidth="1"/>
    <col min="5" max="5" width="12.81640625" style="17" customWidth="1"/>
    <col min="6" max="8" width="14.1796875" style="17" customWidth="1"/>
    <col min="9" max="9" width="14.6328125" style="17" customWidth="1"/>
    <col min="10" max="12" width="14.1796875" style="17" customWidth="1"/>
    <col min="13" max="13" width="13.36328125" style="17" customWidth="1"/>
    <col min="14" max="16" width="14.1796875" style="17" customWidth="1"/>
    <col min="17" max="17" width="13.36328125" style="17" customWidth="1"/>
    <col min="18" max="20" width="14.1796875" style="17" customWidth="1"/>
    <col min="21" max="21" width="13.36328125" style="17" customWidth="1"/>
    <col min="22" max="24" width="14.1796875" style="17" customWidth="1"/>
    <col min="25" max="25" width="13.36328125" style="17" customWidth="1"/>
    <col min="26" max="54" width="14.1796875" style="17" customWidth="1"/>
    <col min="55" max="253" width="9.1796875" style="17"/>
    <col min="254" max="254" width="18.453125" style="17" customWidth="1"/>
    <col min="255" max="256" width="14.1796875" style="17" customWidth="1"/>
    <col min="257" max="257" width="12.81640625" style="17" customWidth="1"/>
    <col min="258" max="262" width="14.1796875" style="17" customWidth="1"/>
    <col min="263" max="263" width="12.81640625" style="17" customWidth="1"/>
    <col min="264" max="264" width="13.1796875" style="17" customWidth="1"/>
    <col min="265" max="267" width="12.81640625" style="17" customWidth="1"/>
    <col min="268" max="268" width="13.1796875" style="17" customWidth="1"/>
    <col min="269" max="270" width="12.81640625" style="17" customWidth="1"/>
    <col min="271" max="271" width="12.08984375" style="17" customWidth="1"/>
    <col min="272" max="272" width="13.1796875" style="17" customWidth="1"/>
    <col min="273" max="275" width="12.81640625" style="17" customWidth="1"/>
    <col min="276" max="276" width="13.1796875" style="17" customWidth="1"/>
    <col min="277" max="279" width="12.81640625" style="17" customWidth="1"/>
    <col min="280" max="280" width="13.1796875" style="17" customWidth="1"/>
    <col min="281" max="283" width="12.81640625" style="17" customWidth="1"/>
    <col min="284" max="284" width="13.1796875" style="17" customWidth="1"/>
    <col min="285" max="286" width="12.81640625" style="17" customWidth="1"/>
    <col min="287" max="287" width="12.08984375" style="17" customWidth="1"/>
    <col min="288" max="288" width="13.1796875" style="17" customWidth="1"/>
    <col min="289" max="290" width="12.81640625" style="17" customWidth="1"/>
    <col min="291" max="291" width="12.08984375" style="17" bestFit="1" customWidth="1"/>
    <col min="292" max="292" width="13.1796875" style="17" bestFit="1" customWidth="1"/>
    <col min="293" max="294" width="12.81640625" style="17" bestFit="1" customWidth="1"/>
    <col min="295" max="295" width="12.08984375" style="17" bestFit="1" customWidth="1"/>
    <col min="296" max="296" width="13.1796875" style="17" bestFit="1" customWidth="1"/>
    <col min="297" max="298" width="12.81640625" style="17" bestFit="1" customWidth="1"/>
    <col min="299" max="299" width="12.08984375" style="17" bestFit="1" customWidth="1"/>
    <col min="300" max="300" width="13.1796875" style="17" bestFit="1" customWidth="1"/>
    <col min="301" max="302" width="12.81640625" style="17" bestFit="1" customWidth="1"/>
    <col min="303" max="303" width="13.1796875" style="17" bestFit="1" customWidth="1"/>
    <col min="304" max="304" width="11.453125" style="17" bestFit="1" customWidth="1"/>
    <col min="305" max="509" width="9.1796875" style="17"/>
    <col min="510" max="510" width="18.453125" style="17" customWidth="1"/>
    <col min="511" max="512" width="14.1796875" style="17" customWidth="1"/>
    <col min="513" max="513" width="12.81640625" style="17" customWidth="1"/>
    <col min="514" max="518" width="14.1796875" style="17" customWidth="1"/>
    <col min="519" max="519" width="12.81640625" style="17" customWidth="1"/>
    <col min="520" max="520" width="13.1796875" style="17" customWidth="1"/>
    <col min="521" max="523" width="12.81640625" style="17" customWidth="1"/>
    <col min="524" max="524" width="13.1796875" style="17" customWidth="1"/>
    <col min="525" max="526" width="12.81640625" style="17" customWidth="1"/>
    <col min="527" max="527" width="12.08984375" style="17" customWidth="1"/>
    <col min="528" max="528" width="13.1796875" style="17" customWidth="1"/>
    <col min="529" max="531" width="12.81640625" style="17" customWidth="1"/>
    <col min="532" max="532" width="13.1796875" style="17" customWidth="1"/>
    <col min="533" max="535" width="12.81640625" style="17" customWidth="1"/>
    <col min="536" max="536" width="13.1796875" style="17" customWidth="1"/>
    <col min="537" max="539" width="12.81640625" style="17" customWidth="1"/>
    <col min="540" max="540" width="13.1796875" style="17" customWidth="1"/>
    <col min="541" max="542" width="12.81640625" style="17" customWidth="1"/>
    <col min="543" max="543" width="12.08984375" style="17" customWidth="1"/>
    <col min="544" max="544" width="13.1796875" style="17" customWidth="1"/>
    <col min="545" max="546" width="12.81640625" style="17" customWidth="1"/>
    <col min="547" max="547" width="12.08984375" style="17" bestFit="1" customWidth="1"/>
    <col min="548" max="548" width="13.1796875" style="17" bestFit="1" customWidth="1"/>
    <col min="549" max="550" width="12.81640625" style="17" bestFit="1" customWidth="1"/>
    <col min="551" max="551" width="12.08984375" style="17" bestFit="1" customWidth="1"/>
    <col min="552" max="552" width="13.1796875" style="17" bestFit="1" customWidth="1"/>
    <col min="553" max="554" width="12.81640625" style="17" bestFit="1" customWidth="1"/>
    <col min="555" max="555" width="12.08984375" style="17" bestFit="1" customWidth="1"/>
    <col min="556" max="556" width="13.1796875" style="17" bestFit="1" customWidth="1"/>
    <col min="557" max="558" width="12.81640625" style="17" bestFit="1" customWidth="1"/>
    <col min="559" max="559" width="13.1796875" style="17" bestFit="1" customWidth="1"/>
    <col min="560" max="560" width="11.453125" style="17" bestFit="1" customWidth="1"/>
    <col min="561" max="765" width="9.1796875" style="17"/>
    <col min="766" max="766" width="18.453125" style="17" customWidth="1"/>
    <col min="767" max="768" width="14.1796875" style="17" customWidth="1"/>
    <col min="769" max="769" width="12.81640625" style="17" customWidth="1"/>
    <col min="770" max="774" width="14.1796875" style="17" customWidth="1"/>
    <col min="775" max="775" width="12.81640625" style="17" customWidth="1"/>
    <col min="776" max="776" width="13.1796875" style="17" customWidth="1"/>
    <col min="777" max="779" width="12.81640625" style="17" customWidth="1"/>
    <col min="780" max="780" width="13.1796875" style="17" customWidth="1"/>
    <col min="781" max="782" width="12.81640625" style="17" customWidth="1"/>
    <col min="783" max="783" width="12.08984375" style="17" customWidth="1"/>
    <col min="784" max="784" width="13.1796875" style="17" customWidth="1"/>
    <col min="785" max="787" width="12.81640625" style="17" customWidth="1"/>
    <col min="788" max="788" width="13.1796875" style="17" customWidth="1"/>
    <col min="789" max="791" width="12.81640625" style="17" customWidth="1"/>
    <col min="792" max="792" width="13.1796875" style="17" customWidth="1"/>
    <col min="793" max="795" width="12.81640625" style="17" customWidth="1"/>
    <col min="796" max="796" width="13.1796875" style="17" customWidth="1"/>
    <col min="797" max="798" width="12.81640625" style="17" customWidth="1"/>
    <col min="799" max="799" width="12.08984375" style="17" customWidth="1"/>
    <col min="800" max="800" width="13.1796875" style="17" customWidth="1"/>
    <col min="801" max="802" width="12.81640625" style="17" customWidth="1"/>
    <col min="803" max="803" width="12.08984375" style="17" bestFit="1" customWidth="1"/>
    <col min="804" max="804" width="13.1796875" style="17" bestFit="1" customWidth="1"/>
    <col min="805" max="806" width="12.81640625" style="17" bestFit="1" customWidth="1"/>
    <col min="807" max="807" width="12.08984375" style="17" bestFit="1" customWidth="1"/>
    <col min="808" max="808" width="13.1796875" style="17" bestFit="1" customWidth="1"/>
    <col min="809" max="810" width="12.81640625" style="17" bestFit="1" customWidth="1"/>
    <col min="811" max="811" width="12.08984375" style="17" bestFit="1" customWidth="1"/>
    <col min="812" max="812" width="13.1796875" style="17" bestFit="1" customWidth="1"/>
    <col min="813" max="814" width="12.81640625" style="17" bestFit="1" customWidth="1"/>
    <col min="815" max="815" width="13.1796875" style="17" bestFit="1" customWidth="1"/>
    <col min="816" max="816" width="11.453125" style="17" bestFit="1" customWidth="1"/>
    <col min="817" max="1021" width="9.1796875" style="17"/>
    <col min="1022" max="1022" width="18.453125" style="17" customWidth="1"/>
    <col min="1023" max="1024" width="14.1796875" style="17" customWidth="1"/>
    <col min="1025" max="1025" width="12.81640625" style="17" customWidth="1"/>
    <col min="1026" max="1030" width="14.1796875" style="17" customWidth="1"/>
    <col min="1031" max="1031" width="12.81640625" style="17" customWidth="1"/>
    <col min="1032" max="1032" width="13.1796875" style="17" customWidth="1"/>
    <col min="1033" max="1035" width="12.81640625" style="17" customWidth="1"/>
    <col min="1036" max="1036" width="13.1796875" style="17" customWidth="1"/>
    <col min="1037" max="1038" width="12.81640625" style="17" customWidth="1"/>
    <col min="1039" max="1039" width="12.08984375" style="17" customWidth="1"/>
    <col min="1040" max="1040" width="13.1796875" style="17" customWidth="1"/>
    <col min="1041" max="1043" width="12.81640625" style="17" customWidth="1"/>
    <col min="1044" max="1044" width="13.1796875" style="17" customWidth="1"/>
    <col min="1045" max="1047" width="12.81640625" style="17" customWidth="1"/>
    <col min="1048" max="1048" width="13.1796875" style="17" customWidth="1"/>
    <col min="1049" max="1051" width="12.81640625" style="17" customWidth="1"/>
    <col min="1052" max="1052" width="13.1796875" style="17" customWidth="1"/>
    <col min="1053" max="1054" width="12.81640625" style="17" customWidth="1"/>
    <col min="1055" max="1055" width="12.08984375" style="17" customWidth="1"/>
    <col min="1056" max="1056" width="13.1796875" style="17" customWidth="1"/>
    <col min="1057" max="1058" width="12.81640625" style="17" customWidth="1"/>
    <col min="1059" max="1059" width="12.08984375" style="17" bestFit="1" customWidth="1"/>
    <col min="1060" max="1060" width="13.1796875" style="17" bestFit="1" customWidth="1"/>
    <col min="1061" max="1062" width="12.81640625" style="17" bestFit="1" customWidth="1"/>
    <col min="1063" max="1063" width="12.08984375" style="17" bestFit="1" customWidth="1"/>
    <col min="1064" max="1064" width="13.1796875" style="17" bestFit="1" customWidth="1"/>
    <col min="1065" max="1066" width="12.81640625" style="17" bestFit="1" customWidth="1"/>
    <col min="1067" max="1067" width="12.08984375" style="17" bestFit="1" customWidth="1"/>
    <col min="1068" max="1068" width="13.1796875" style="17" bestFit="1" customWidth="1"/>
    <col min="1069" max="1070" width="12.81640625" style="17" bestFit="1" customWidth="1"/>
    <col min="1071" max="1071" width="13.1796875" style="17" bestFit="1" customWidth="1"/>
    <col min="1072" max="1072" width="11.453125" style="17" bestFit="1" customWidth="1"/>
    <col min="1073" max="1277" width="9.1796875" style="17"/>
    <col min="1278" max="1278" width="18.453125" style="17" customWidth="1"/>
    <col min="1279" max="1280" width="14.1796875" style="17" customWidth="1"/>
    <col min="1281" max="1281" width="12.81640625" style="17" customWidth="1"/>
    <col min="1282" max="1286" width="14.1796875" style="17" customWidth="1"/>
    <col min="1287" max="1287" width="12.81640625" style="17" customWidth="1"/>
    <col min="1288" max="1288" width="13.1796875" style="17" customWidth="1"/>
    <col min="1289" max="1291" width="12.81640625" style="17" customWidth="1"/>
    <col min="1292" max="1292" width="13.1796875" style="17" customWidth="1"/>
    <col min="1293" max="1294" width="12.81640625" style="17" customWidth="1"/>
    <col min="1295" max="1295" width="12.08984375" style="17" customWidth="1"/>
    <col min="1296" max="1296" width="13.1796875" style="17" customWidth="1"/>
    <col min="1297" max="1299" width="12.81640625" style="17" customWidth="1"/>
    <col min="1300" max="1300" width="13.1796875" style="17" customWidth="1"/>
    <col min="1301" max="1303" width="12.81640625" style="17" customWidth="1"/>
    <col min="1304" max="1304" width="13.1796875" style="17" customWidth="1"/>
    <col min="1305" max="1307" width="12.81640625" style="17" customWidth="1"/>
    <col min="1308" max="1308" width="13.1796875" style="17" customWidth="1"/>
    <col min="1309" max="1310" width="12.81640625" style="17" customWidth="1"/>
    <col min="1311" max="1311" width="12.08984375" style="17" customWidth="1"/>
    <col min="1312" max="1312" width="13.1796875" style="17" customWidth="1"/>
    <col min="1313" max="1314" width="12.81640625" style="17" customWidth="1"/>
    <col min="1315" max="1315" width="12.08984375" style="17" bestFit="1" customWidth="1"/>
    <col min="1316" max="1316" width="13.1796875" style="17" bestFit="1" customWidth="1"/>
    <col min="1317" max="1318" width="12.81640625" style="17" bestFit="1" customWidth="1"/>
    <col min="1319" max="1319" width="12.08984375" style="17" bestFit="1" customWidth="1"/>
    <col min="1320" max="1320" width="13.1796875" style="17" bestFit="1" customWidth="1"/>
    <col min="1321" max="1322" width="12.81640625" style="17" bestFit="1" customWidth="1"/>
    <col min="1323" max="1323" width="12.08984375" style="17" bestFit="1" customWidth="1"/>
    <col min="1324" max="1324" width="13.1796875" style="17" bestFit="1" customWidth="1"/>
    <col min="1325" max="1326" width="12.81640625" style="17" bestFit="1" customWidth="1"/>
    <col min="1327" max="1327" width="13.1796875" style="17" bestFit="1" customWidth="1"/>
    <col min="1328" max="1328" width="11.453125" style="17" bestFit="1" customWidth="1"/>
    <col min="1329" max="1533" width="9.1796875" style="17"/>
    <col min="1534" max="1534" width="18.453125" style="17" customWidth="1"/>
    <col min="1535" max="1536" width="14.1796875" style="17" customWidth="1"/>
    <col min="1537" max="1537" width="12.81640625" style="17" customWidth="1"/>
    <col min="1538" max="1542" width="14.1796875" style="17" customWidth="1"/>
    <col min="1543" max="1543" width="12.81640625" style="17" customWidth="1"/>
    <col min="1544" max="1544" width="13.1796875" style="17" customWidth="1"/>
    <col min="1545" max="1547" width="12.81640625" style="17" customWidth="1"/>
    <col min="1548" max="1548" width="13.1796875" style="17" customWidth="1"/>
    <col min="1549" max="1550" width="12.81640625" style="17" customWidth="1"/>
    <col min="1551" max="1551" width="12.08984375" style="17" customWidth="1"/>
    <col min="1552" max="1552" width="13.1796875" style="17" customWidth="1"/>
    <col min="1553" max="1555" width="12.81640625" style="17" customWidth="1"/>
    <col min="1556" max="1556" width="13.1796875" style="17" customWidth="1"/>
    <col min="1557" max="1559" width="12.81640625" style="17" customWidth="1"/>
    <col min="1560" max="1560" width="13.1796875" style="17" customWidth="1"/>
    <col min="1561" max="1563" width="12.81640625" style="17" customWidth="1"/>
    <col min="1564" max="1564" width="13.1796875" style="17" customWidth="1"/>
    <col min="1565" max="1566" width="12.81640625" style="17" customWidth="1"/>
    <col min="1567" max="1567" width="12.08984375" style="17" customWidth="1"/>
    <col min="1568" max="1568" width="13.1796875" style="17" customWidth="1"/>
    <col min="1569" max="1570" width="12.81640625" style="17" customWidth="1"/>
    <col min="1571" max="1571" width="12.08984375" style="17" bestFit="1" customWidth="1"/>
    <col min="1572" max="1572" width="13.1796875" style="17" bestFit="1" customWidth="1"/>
    <col min="1573" max="1574" width="12.81640625" style="17" bestFit="1" customWidth="1"/>
    <col min="1575" max="1575" width="12.08984375" style="17" bestFit="1" customWidth="1"/>
    <col min="1576" max="1576" width="13.1796875" style="17" bestFit="1" customWidth="1"/>
    <col min="1577" max="1578" width="12.81640625" style="17" bestFit="1" customWidth="1"/>
    <col min="1579" max="1579" width="12.08984375" style="17" bestFit="1" customWidth="1"/>
    <col min="1580" max="1580" width="13.1796875" style="17" bestFit="1" customWidth="1"/>
    <col min="1581" max="1582" width="12.81640625" style="17" bestFit="1" customWidth="1"/>
    <col min="1583" max="1583" width="13.1796875" style="17" bestFit="1" customWidth="1"/>
    <col min="1584" max="1584" width="11.453125" style="17" bestFit="1" customWidth="1"/>
    <col min="1585" max="1789" width="9.1796875" style="17"/>
    <col min="1790" max="1790" width="18.453125" style="17" customWidth="1"/>
    <col min="1791" max="1792" width="14.1796875" style="17" customWidth="1"/>
    <col min="1793" max="1793" width="12.81640625" style="17" customWidth="1"/>
    <col min="1794" max="1798" width="14.1796875" style="17" customWidth="1"/>
    <col min="1799" max="1799" width="12.81640625" style="17" customWidth="1"/>
    <col min="1800" max="1800" width="13.1796875" style="17" customWidth="1"/>
    <col min="1801" max="1803" width="12.81640625" style="17" customWidth="1"/>
    <col min="1804" max="1804" width="13.1796875" style="17" customWidth="1"/>
    <col min="1805" max="1806" width="12.81640625" style="17" customWidth="1"/>
    <col min="1807" max="1807" width="12.08984375" style="17" customWidth="1"/>
    <col min="1808" max="1808" width="13.1796875" style="17" customWidth="1"/>
    <col min="1809" max="1811" width="12.81640625" style="17" customWidth="1"/>
    <col min="1812" max="1812" width="13.1796875" style="17" customWidth="1"/>
    <col min="1813" max="1815" width="12.81640625" style="17" customWidth="1"/>
    <col min="1816" max="1816" width="13.1796875" style="17" customWidth="1"/>
    <col min="1817" max="1819" width="12.81640625" style="17" customWidth="1"/>
    <col min="1820" max="1820" width="13.1796875" style="17" customWidth="1"/>
    <col min="1821" max="1822" width="12.81640625" style="17" customWidth="1"/>
    <col min="1823" max="1823" width="12.08984375" style="17" customWidth="1"/>
    <col min="1824" max="1824" width="13.1796875" style="17" customWidth="1"/>
    <col min="1825" max="1826" width="12.81640625" style="17" customWidth="1"/>
    <col min="1827" max="1827" width="12.08984375" style="17" bestFit="1" customWidth="1"/>
    <col min="1828" max="1828" width="13.1796875" style="17" bestFit="1" customWidth="1"/>
    <col min="1829" max="1830" width="12.81640625" style="17" bestFit="1" customWidth="1"/>
    <col min="1831" max="1831" width="12.08984375" style="17" bestFit="1" customWidth="1"/>
    <col min="1832" max="1832" width="13.1796875" style="17" bestFit="1" customWidth="1"/>
    <col min="1833" max="1834" width="12.81640625" style="17" bestFit="1" customWidth="1"/>
    <col min="1835" max="1835" width="12.08984375" style="17" bestFit="1" customWidth="1"/>
    <col min="1836" max="1836" width="13.1796875" style="17" bestFit="1" customWidth="1"/>
    <col min="1837" max="1838" width="12.81640625" style="17" bestFit="1" customWidth="1"/>
    <col min="1839" max="1839" width="13.1796875" style="17" bestFit="1" customWidth="1"/>
    <col min="1840" max="1840" width="11.453125" style="17" bestFit="1" customWidth="1"/>
    <col min="1841" max="2045" width="9.1796875" style="17"/>
    <col min="2046" max="2046" width="18.453125" style="17" customWidth="1"/>
    <col min="2047" max="2048" width="14.1796875" style="17" customWidth="1"/>
    <col min="2049" max="2049" width="12.81640625" style="17" customWidth="1"/>
    <col min="2050" max="2054" width="14.1796875" style="17" customWidth="1"/>
    <col min="2055" max="2055" width="12.81640625" style="17" customWidth="1"/>
    <col min="2056" max="2056" width="13.1796875" style="17" customWidth="1"/>
    <col min="2057" max="2059" width="12.81640625" style="17" customWidth="1"/>
    <col min="2060" max="2060" width="13.1796875" style="17" customWidth="1"/>
    <col min="2061" max="2062" width="12.81640625" style="17" customWidth="1"/>
    <col min="2063" max="2063" width="12.08984375" style="17" customWidth="1"/>
    <col min="2064" max="2064" width="13.1796875" style="17" customWidth="1"/>
    <col min="2065" max="2067" width="12.81640625" style="17" customWidth="1"/>
    <col min="2068" max="2068" width="13.1796875" style="17" customWidth="1"/>
    <col min="2069" max="2071" width="12.81640625" style="17" customWidth="1"/>
    <col min="2072" max="2072" width="13.1796875" style="17" customWidth="1"/>
    <col min="2073" max="2075" width="12.81640625" style="17" customWidth="1"/>
    <col min="2076" max="2076" width="13.1796875" style="17" customWidth="1"/>
    <col min="2077" max="2078" width="12.81640625" style="17" customWidth="1"/>
    <col min="2079" max="2079" width="12.08984375" style="17" customWidth="1"/>
    <col min="2080" max="2080" width="13.1796875" style="17" customWidth="1"/>
    <col min="2081" max="2082" width="12.81640625" style="17" customWidth="1"/>
    <col min="2083" max="2083" width="12.08984375" style="17" bestFit="1" customWidth="1"/>
    <col min="2084" max="2084" width="13.1796875" style="17" bestFit="1" customWidth="1"/>
    <col min="2085" max="2086" width="12.81640625" style="17" bestFit="1" customWidth="1"/>
    <col min="2087" max="2087" width="12.08984375" style="17" bestFit="1" customWidth="1"/>
    <col min="2088" max="2088" width="13.1796875" style="17" bestFit="1" customWidth="1"/>
    <col min="2089" max="2090" width="12.81640625" style="17" bestFit="1" customWidth="1"/>
    <col min="2091" max="2091" width="12.08984375" style="17" bestFit="1" customWidth="1"/>
    <col min="2092" max="2092" width="13.1796875" style="17" bestFit="1" customWidth="1"/>
    <col min="2093" max="2094" width="12.81640625" style="17" bestFit="1" customWidth="1"/>
    <col min="2095" max="2095" width="13.1796875" style="17" bestFit="1" customWidth="1"/>
    <col min="2096" max="2096" width="11.453125" style="17" bestFit="1" customWidth="1"/>
    <col min="2097" max="2301" width="9.1796875" style="17"/>
    <col min="2302" max="2302" width="18.453125" style="17" customWidth="1"/>
    <col min="2303" max="2304" width="14.1796875" style="17" customWidth="1"/>
    <col min="2305" max="2305" width="12.81640625" style="17" customWidth="1"/>
    <col min="2306" max="2310" width="14.1796875" style="17" customWidth="1"/>
    <col min="2311" max="2311" width="12.81640625" style="17" customWidth="1"/>
    <col min="2312" max="2312" width="13.1796875" style="17" customWidth="1"/>
    <col min="2313" max="2315" width="12.81640625" style="17" customWidth="1"/>
    <col min="2316" max="2316" width="13.1796875" style="17" customWidth="1"/>
    <col min="2317" max="2318" width="12.81640625" style="17" customWidth="1"/>
    <col min="2319" max="2319" width="12.08984375" style="17" customWidth="1"/>
    <col min="2320" max="2320" width="13.1796875" style="17" customWidth="1"/>
    <col min="2321" max="2323" width="12.81640625" style="17" customWidth="1"/>
    <col min="2324" max="2324" width="13.1796875" style="17" customWidth="1"/>
    <col min="2325" max="2327" width="12.81640625" style="17" customWidth="1"/>
    <col min="2328" max="2328" width="13.1796875" style="17" customWidth="1"/>
    <col min="2329" max="2331" width="12.81640625" style="17" customWidth="1"/>
    <col min="2332" max="2332" width="13.1796875" style="17" customWidth="1"/>
    <col min="2333" max="2334" width="12.81640625" style="17" customWidth="1"/>
    <col min="2335" max="2335" width="12.08984375" style="17" customWidth="1"/>
    <col min="2336" max="2336" width="13.1796875" style="17" customWidth="1"/>
    <col min="2337" max="2338" width="12.81640625" style="17" customWidth="1"/>
    <col min="2339" max="2339" width="12.08984375" style="17" bestFit="1" customWidth="1"/>
    <col min="2340" max="2340" width="13.1796875" style="17" bestFit="1" customWidth="1"/>
    <col min="2341" max="2342" width="12.81640625" style="17" bestFit="1" customWidth="1"/>
    <col min="2343" max="2343" width="12.08984375" style="17" bestFit="1" customWidth="1"/>
    <col min="2344" max="2344" width="13.1796875" style="17" bestFit="1" customWidth="1"/>
    <col min="2345" max="2346" width="12.81640625" style="17" bestFit="1" customWidth="1"/>
    <col min="2347" max="2347" width="12.08984375" style="17" bestFit="1" customWidth="1"/>
    <col min="2348" max="2348" width="13.1796875" style="17" bestFit="1" customWidth="1"/>
    <col min="2349" max="2350" width="12.81640625" style="17" bestFit="1" customWidth="1"/>
    <col min="2351" max="2351" width="13.1796875" style="17" bestFit="1" customWidth="1"/>
    <col min="2352" max="2352" width="11.453125" style="17" bestFit="1" customWidth="1"/>
    <col min="2353" max="2557" width="9.1796875" style="17"/>
    <col min="2558" max="2558" width="18.453125" style="17" customWidth="1"/>
    <col min="2559" max="2560" width="14.1796875" style="17" customWidth="1"/>
    <col min="2561" max="2561" width="12.81640625" style="17" customWidth="1"/>
    <col min="2562" max="2566" width="14.1796875" style="17" customWidth="1"/>
    <col min="2567" max="2567" width="12.81640625" style="17" customWidth="1"/>
    <col min="2568" max="2568" width="13.1796875" style="17" customWidth="1"/>
    <col min="2569" max="2571" width="12.81640625" style="17" customWidth="1"/>
    <col min="2572" max="2572" width="13.1796875" style="17" customWidth="1"/>
    <col min="2573" max="2574" width="12.81640625" style="17" customWidth="1"/>
    <col min="2575" max="2575" width="12.08984375" style="17" customWidth="1"/>
    <col min="2576" max="2576" width="13.1796875" style="17" customWidth="1"/>
    <col min="2577" max="2579" width="12.81640625" style="17" customWidth="1"/>
    <col min="2580" max="2580" width="13.1796875" style="17" customWidth="1"/>
    <col min="2581" max="2583" width="12.81640625" style="17" customWidth="1"/>
    <col min="2584" max="2584" width="13.1796875" style="17" customWidth="1"/>
    <col min="2585" max="2587" width="12.81640625" style="17" customWidth="1"/>
    <col min="2588" max="2588" width="13.1796875" style="17" customWidth="1"/>
    <col min="2589" max="2590" width="12.81640625" style="17" customWidth="1"/>
    <col min="2591" max="2591" width="12.08984375" style="17" customWidth="1"/>
    <col min="2592" max="2592" width="13.1796875" style="17" customWidth="1"/>
    <col min="2593" max="2594" width="12.81640625" style="17" customWidth="1"/>
    <col min="2595" max="2595" width="12.08984375" style="17" bestFit="1" customWidth="1"/>
    <col min="2596" max="2596" width="13.1796875" style="17" bestFit="1" customWidth="1"/>
    <col min="2597" max="2598" width="12.81640625" style="17" bestFit="1" customWidth="1"/>
    <col min="2599" max="2599" width="12.08984375" style="17" bestFit="1" customWidth="1"/>
    <col min="2600" max="2600" width="13.1796875" style="17" bestFit="1" customWidth="1"/>
    <col min="2601" max="2602" width="12.81640625" style="17" bestFit="1" customWidth="1"/>
    <col min="2603" max="2603" width="12.08984375" style="17" bestFit="1" customWidth="1"/>
    <col min="2604" max="2604" width="13.1796875" style="17" bestFit="1" customWidth="1"/>
    <col min="2605" max="2606" width="12.81640625" style="17" bestFit="1" customWidth="1"/>
    <col min="2607" max="2607" width="13.1796875" style="17" bestFit="1" customWidth="1"/>
    <col min="2608" max="2608" width="11.453125" style="17" bestFit="1" customWidth="1"/>
    <col min="2609" max="2813" width="9.1796875" style="17"/>
    <col min="2814" max="2814" width="18.453125" style="17" customWidth="1"/>
    <col min="2815" max="2816" width="14.1796875" style="17" customWidth="1"/>
    <col min="2817" max="2817" width="12.81640625" style="17" customWidth="1"/>
    <col min="2818" max="2822" width="14.1796875" style="17" customWidth="1"/>
    <col min="2823" max="2823" width="12.81640625" style="17" customWidth="1"/>
    <col min="2824" max="2824" width="13.1796875" style="17" customWidth="1"/>
    <col min="2825" max="2827" width="12.81640625" style="17" customWidth="1"/>
    <col min="2828" max="2828" width="13.1796875" style="17" customWidth="1"/>
    <col min="2829" max="2830" width="12.81640625" style="17" customWidth="1"/>
    <col min="2831" max="2831" width="12.08984375" style="17" customWidth="1"/>
    <col min="2832" max="2832" width="13.1796875" style="17" customWidth="1"/>
    <col min="2833" max="2835" width="12.81640625" style="17" customWidth="1"/>
    <col min="2836" max="2836" width="13.1796875" style="17" customWidth="1"/>
    <col min="2837" max="2839" width="12.81640625" style="17" customWidth="1"/>
    <col min="2840" max="2840" width="13.1796875" style="17" customWidth="1"/>
    <col min="2841" max="2843" width="12.81640625" style="17" customWidth="1"/>
    <col min="2844" max="2844" width="13.1796875" style="17" customWidth="1"/>
    <col min="2845" max="2846" width="12.81640625" style="17" customWidth="1"/>
    <col min="2847" max="2847" width="12.08984375" style="17" customWidth="1"/>
    <col min="2848" max="2848" width="13.1796875" style="17" customWidth="1"/>
    <col min="2849" max="2850" width="12.81640625" style="17" customWidth="1"/>
    <col min="2851" max="2851" width="12.08984375" style="17" bestFit="1" customWidth="1"/>
    <col min="2852" max="2852" width="13.1796875" style="17" bestFit="1" customWidth="1"/>
    <col min="2853" max="2854" width="12.81640625" style="17" bestFit="1" customWidth="1"/>
    <col min="2855" max="2855" width="12.08984375" style="17" bestFit="1" customWidth="1"/>
    <col min="2856" max="2856" width="13.1796875" style="17" bestFit="1" customWidth="1"/>
    <col min="2857" max="2858" width="12.81640625" style="17" bestFit="1" customWidth="1"/>
    <col min="2859" max="2859" width="12.08984375" style="17" bestFit="1" customWidth="1"/>
    <col min="2860" max="2860" width="13.1796875" style="17" bestFit="1" customWidth="1"/>
    <col min="2861" max="2862" width="12.81640625" style="17" bestFit="1" customWidth="1"/>
    <col min="2863" max="2863" width="13.1796875" style="17" bestFit="1" customWidth="1"/>
    <col min="2864" max="2864" width="11.453125" style="17" bestFit="1" customWidth="1"/>
    <col min="2865" max="3069" width="9.1796875" style="17"/>
    <col min="3070" max="3070" width="18.453125" style="17" customWidth="1"/>
    <col min="3071" max="3072" width="14.1796875" style="17" customWidth="1"/>
    <col min="3073" max="3073" width="12.81640625" style="17" customWidth="1"/>
    <col min="3074" max="3078" width="14.1796875" style="17" customWidth="1"/>
    <col min="3079" max="3079" width="12.81640625" style="17" customWidth="1"/>
    <col min="3080" max="3080" width="13.1796875" style="17" customWidth="1"/>
    <col min="3081" max="3083" width="12.81640625" style="17" customWidth="1"/>
    <col min="3084" max="3084" width="13.1796875" style="17" customWidth="1"/>
    <col min="3085" max="3086" width="12.81640625" style="17" customWidth="1"/>
    <col min="3087" max="3087" width="12.08984375" style="17" customWidth="1"/>
    <col min="3088" max="3088" width="13.1796875" style="17" customWidth="1"/>
    <col min="3089" max="3091" width="12.81640625" style="17" customWidth="1"/>
    <col min="3092" max="3092" width="13.1796875" style="17" customWidth="1"/>
    <col min="3093" max="3095" width="12.81640625" style="17" customWidth="1"/>
    <col min="3096" max="3096" width="13.1796875" style="17" customWidth="1"/>
    <col min="3097" max="3099" width="12.81640625" style="17" customWidth="1"/>
    <col min="3100" max="3100" width="13.1796875" style="17" customWidth="1"/>
    <col min="3101" max="3102" width="12.81640625" style="17" customWidth="1"/>
    <col min="3103" max="3103" width="12.08984375" style="17" customWidth="1"/>
    <col min="3104" max="3104" width="13.1796875" style="17" customWidth="1"/>
    <col min="3105" max="3106" width="12.81640625" style="17" customWidth="1"/>
    <col min="3107" max="3107" width="12.08984375" style="17" bestFit="1" customWidth="1"/>
    <col min="3108" max="3108" width="13.1796875" style="17" bestFit="1" customWidth="1"/>
    <col min="3109" max="3110" width="12.81640625" style="17" bestFit="1" customWidth="1"/>
    <col min="3111" max="3111" width="12.08984375" style="17" bestFit="1" customWidth="1"/>
    <col min="3112" max="3112" width="13.1796875" style="17" bestFit="1" customWidth="1"/>
    <col min="3113" max="3114" width="12.81640625" style="17" bestFit="1" customWidth="1"/>
    <col min="3115" max="3115" width="12.08984375" style="17" bestFit="1" customWidth="1"/>
    <col min="3116" max="3116" width="13.1796875" style="17" bestFit="1" customWidth="1"/>
    <col min="3117" max="3118" width="12.81640625" style="17" bestFit="1" customWidth="1"/>
    <col min="3119" max="3119" width="13.1796875" style="17" bestFit="1" customWidth="1"/>
    <col min="3120" max="3120" width="11.453125" style="17" bestFit="1" customWidth="1"/>
    <col min="3121" max="3325" width="9.1796875" style="17"/>
    <col min="3326" max="3326" width="18.453125" style="17" customWidth="1"/>
    <col min="3327" max="3328" width="14.1796875" style="17" customWidth="1"/>
    <col min="3329" max="3329" width="12.81640625" style="17" customWidth="1"/>
    <col min="3330" max="3334" width="14.1796875" style="17" customWidth="1"/>
    <col min="3335" max="3335" width="12.81640625" style="17" customWidth="1"/>
    <col min="3336" max="3336" width="13.1796875" style="17" customWidth="1"/>
    <col min="3337" max="3339" width="12.81640625" style="17" customWidth="1"/>
    <col min="3340" max="3340" width="13.1796875" style="17" customWidth="1"/>
    <col min="3341" max="3342" width="12.81640625" style="17" customWidth="1"/>
    <col min="3343" max="3343" width="12.08984375" style="17" customWidth="1"/>
    <col min="3344" max="3344" width="13.1796875" style="17" customWidth="1"/>
    <col min="3345" max="3347" width="12.81640625" style="17" customWidth="1"/>
    <col min="3348" max="3348" width="13.1796875" style="17" customWidth="1"/>
    <col min="3349" max="3351" width="12.81640625" style="17" customWidth="1"/>
    <col min="3352" max="3352" width="13.1796875" style="17" customWidth="1"/>
    <col min="3353" max="3355" width="12.81640625" style="17" customWidth="1"/>
    <col min="3356" max="3356" width="13.1796875" style="17" customWidth="1"/>
    <col min="3357" max="3358" width="12.81640625" style="17" customWidth="1"/>
    <col min="3359" max="3359" width="12.08984375" style="17" customWidth="1"/>
    <col min="3360" max="3360" width="13.1796875" style="17" customWidth="1"/>
    <col min="3361" max="3362" width="12.81640625" style="17" customWidth="1"/>
    <col min="3363" max="3363" width="12.08984375" style="17" bestFit="1" customWidth="1"/>
    <col min="3364" max="3364" width="13.1796875" style="17" bestFit="1" customWidth="1"/>
    <col min="3365" max="3366" width="12.81640625" style="17" bestFit="1" customWidth="1"/>
    <col min="3367" max="3367" width="12.08984375" style="17" bestFit="1" customWidth="1"/>
    <col min="3368" max="3368" width="13.1796875" style="17" bestFit="1" customWidth="1"/>
    <col min="3369" max="3370" width="12.81640625" style="17" bestFit="1" customWidth="1"/>
    <col min="3371" max="3371" width="12.08984375" style="17" bestFit="1" customWidth="1"/>
    <col min="3372" max="3372" width="13.1796875" style="17" bestFit="1" customWidth="1"/>
    <col min="3373" max="3374" width="12.81640625" style="17" bestFit="1" customWidth="1"/>
    <col min="3375" max="3375" width="13.1796875" style="17" bestFit="1" customWidth="1"/>
    <col min="3376" max="3376" width="11.453125" style="17" bestFit="1" customWidth="1"/>
    <col min="3377" max="3581" width="9.1796875" style="17"/>
    <col min="3582" max="3582" width="18.453125" style="17" customWidth="1"/>
    <col min="3583" max="3584" width="14.1796875" style="17" customWidth="1"/>
    <col min="3585" max="3585" width="12.81640625" style="17" customWidth="1"/>
    <col min="3586" max="3590" width="14.1796875" style="17" customWidth="1"/>
    <col min="3591" max="3591" width="12.81640625" style="17" customWidth="1"/>
    <col min="3592" max="3592" width="13.1796875" style="17" customWidth="1"/>
    <col min="3593" max="3595" width="12.81640625" style="17" customWidth="1"/>
    <col min="3596" max="3596" width="13.1796875" style="17" customWidth="1"/>
    <col min="3597" max="3598" width="12.81640625" style="17" customWidth="1"/>
    <col min="3599" max="3599" width="12.08984375" style="17" customWidth="1"/>
    <col min="3600" max="3600" width="13.1796875" style="17" customWidth="1"/>
    <col min="3601" max="3603" width="12.81640625" style="17" customWidth="1"/>
    <col min="3604" max="3604" width="13.1796875" style="17" customWidth="1"/>
    <col min="3605" max="3607" width="12.81640625" style="17" customWidth="1"/>
    <col min="3608" max="3608" width="13.1796875" style="17" customWidth="1"/>
    <col min="3609" max="3611" width="12.81640625" style="17" customWidth="1"/>
    <col min="3612" max="3612" width="13.1796875" style="17" customWidth="1"/>
    <col min="3613" max="3614" width="12.81640625" style="17" customWidth="1"/>
    <col min="3615" max="3615" width="12.08984375" style="17" customWidth="1"/>
    <col min="3616" max="3616" width="13.1796875" style="17" customWidth="1"/>
    <col min="3617" max="3618" width="12.81640625" style="17" customWidth="1"/>
    <col min="3619" max="3619" width="12.08984375" style="17" bestFit="1" customWidth="1"/>
    <col min="3620" max="3620" width="13.1796875" style="17" bestFit="1" customWidth="1"/>
    <col min="3621" max="3622" width="12.81640625" style="17" bestFit="1" customWidth="1"/>
    <col min="3623" max="3623" width="12.08984375" style="17" bestFit="1" customWidth="1"/>
    <col min="3624" max="3624" width="13.1796875" style="17" bestFit="1" customWidth="1"/>
    <col min="3625" max="3626" width="12.81640625" style="17" bestFit="1" customWidth="1"/>
    <col min="3627" max="3627" width="12.08984375" style="17" bestFit="1" customWidth="1"/>
    <col min="3628" max="3628" width="13.1796875" style="17" bestFit="1" customWidth="1"/>
    <col min="3629" max="3630" width="12.81640625" style="17" bestFit="1" customWidth="1"/>
    <col min="3631" max="3631" width="13.1796875" style="17" bestFit="1" customWidth="1"/>
    <col min="3632" max="3632" width="11.453125" style="17" bestFit="1" customWidth="1"/>
    <col min="3633" max="3837" width="9.1796875" style="17"/>
    <col min="3838" max="3838" width="18.453125" style="17" customWidth="1"/>
    <col min="3839" max="3840" width="14.1796875" style="17" customWidth="1"/>
    <col min="3841" max="3841" width="12.81640625" style="17" customWidth="1"/>
    <col min="3842" max="3846" width="14.1796875" style="17" customWidth="1"/>
    <col min="3847" max="3847" width="12.81640625" style="17" customWidth="1"/>
    <col min="3848" max="3848" width="13.1796875" style="17" customWidth="1"/>
    <col min="3849" max="3851" width="12.81640625" style="17" customWidth="1"/>
    <col min="3852" max="3852" width="13.1796875" style="17" customWidth="1"/>
    <col min="3853" max="3854" width="12.81640625" style="17" customWidth="1"/>
    <col min="3855" max="3855" width="12.08984375" style="17" customWidth="1"/>
    <col min="3856" max="3856" width="13.1796875" style="17" customWidth="1"/>
    <col min="3857" max="3859" width="12.81640625" style="17" customWidth="1"/>
    <col min="3860" max="3860" width="13.1796875" style="17" customWidth="1"/>
    <col min="3861" max="3863" width="12.81640625" style="17" customWidth="1"/>
    <col min="3864" max="3864" width="13.1796875" style="17" customWidth="1"/>
    <col min="3865" max="3867" width="12.81640625" style="17" customWidth="1"/>
    <col min="3868" max="3868" width="13.1796875" style="17" customWidth="1"/>
    <col min="3869" max="3870" width="12.81640625" style="17" customWidth="1"/>
    <col min="3871" max="3871" width="12.08984375" style="17" customWidth="1"/>
    <col min="3872" max="3872" width="13.1796875" style="17" customWidth="1"/>
    <col min="3873" max="3874" width="12.81640625" style="17" customWidth="1"/>
    <col min="3875" max="3875" width="12.08984375" style="17" bestFit="1" customWidth="1"/>
    <col min="3876" max="3876" width="13.1796875" style="17" bestFit="1" customWidth="1"/>
    <col min="3877" max="3878" width="12.81640625" style="17" bestFit="1" customWidth="1"/>
    <col min="3879" max="3879" width="12.08984375" style="17" bestFit="1" customWidth="1"/>
    <col min="3880" max="3880" width="13.1796875" style="17" bestFit="1" customWidth="1"/>
    <col min="3881" max="3882" width="12.81640625" style="17" bestFit="1" customWidth="1"/>
    <col min="3883" max="3883" width="12.08984375" style="17" bestFit="1" customWidth="1"/>
    <col min="3884" max="3884" width="13.1796875" style="17" bestFit="1" customWidth="1"/>
    <col min="3885" max="3886" width="12.81640625" style="17" bestFit="1" customWidth="1"/>
    <col min="3887" max="3887" width="13.1796875" style="17" bestFit="1" customWidth="1"/>
    <col min="3888" max="3888" width="11.453125" style="17" bestFit="1" customWidth="1"/>
    <col min="3889" max="4093" width="9.1796875" style="17"/>
    <col min="4094" max="4094" width="18.453125" style="17" customWidth="1"/>
    <col min="4095" max="4096" width="14.1796875" style="17" customWidth="1"/>
    <col min="4097" max="4097" width="12.81640625" style="17" customWidth="1"/>
    <col min="4098" max="4102" width="14.1796875" style="17" customWidth="1"/>
    <col min="4103" max="4103" width="12.81640625" style="17" customWidth="1"/>
    <col min="4104" max="4104" width="13.1796875" style="17" customWidth="1"/>
    <col min="4105" max="4107" width="12.81640625" style="17" customWidth="1"/>
    <col min="4108" max="4108" width="13.1796875" style="17" customWidth="1"/>
    <col min="4109" max="4110" width="12.81640625" style="17" customWidth="1"/>
    <col min="4111" max="4111" width="12.08984375" style="17" customWidth="1"/>
    <col min="4112" max="4112" width="13.1796875" style="17" customWidth="1"/>
    <col min="4113" max="4115" width="12.81640625" style="17" customWidth="1"/>
    <col min="4116" max="4116" width="13.1796875" style="17" customWidth="1"/>
    <col min="4117" max="4119" width="12.81640625" style="17" customWidth="1"/>
    <col min="4120" max="4120" width="13.1796875" style="17" customWidth="1"/>
    <col min="4121" max="4123" width="12.81640625" style="17" customWidth="1"/>
    <col min="4124" max="4124" width="13.1796875" style="17" customWidth="1"/>
    <col min="4125" max="4126" width="12.81640625" style="17" customWidth="1"/>
    <col min="4127" max="4127" width="12.08984375" style="17" customWidth="1"/>
    <col min="4128" max="4128" width="13.1796875" style="17" customWidth="1"/>
    <col min="4129" max="4130" width="12.81640625" style="17" customWidth="1"/>
    <col min="4131" max="4131" width="12.08984375" style="17" bestFit="1" customWidth="1"/>
    <col min="4132" max="4132" width="13.1796875" style="17" bestFit="1" customWidth="1"/>
    <col min="4133" max="4134" width="12.81640625" style="17" bestFit="1" customWidth="1"/>
    <col min="4135" max="4135" width="12.08984375" style="17" bestFit="1" customWidth="1"/>
    <col min="4136" max="4136" width="13.1796875" style="17" bestFit="1" customWidth="1"/>
    <col min="4137" max="4138" width="12.81640625" style="17" bestFit="1" customWidth="1"/>
    <col min="4139" max="4139" width="12.08984375" style="17" bestFit="1" customWidth="1"/>
    <col min="4140" max="4140" width="13.1796875" style="17" bestFit="1" customWidth="1"/>
    <col min="4141" max="4142" width="12.81640625" style="17" bestFit="1" customWidth="1"/>
    <col min="4143" max="4143" width="13.1796875" style="17" bestFit="1" customWidth="1"/>
    <col min="4144" max="4144" width="11.453125" style="17" bestFit="1" customWidth="1"/>
    <col min="4145" max="4349" width="9.1796875" style="17"/>
    <col min="4350" max="4350" width="18.453125" style="17" customWidth="1"/>
    <col min="4351" max="4352" width="14.1796875" style="17" customWidth="1"/>
    <col min="4353" max="4353" width="12.81640625" style="17" customWidth="1"/>
    <col min="4354" max="4358" width="14.1796875" style="17" customWidth="1"/>
    <col min="4359" max="4359" width="12.81640625" style="17" customWidth="1"/>
    <col min="4360" max="4360" width="13.1796875" style="17" customWidth="1"/>
    <col min="4361" max="4363" width="12.81640625" style="17" customWidth="1"/>
    <col min="4364" max="4364" width="13.1796875" style="17" customWidth="1"/>
    <col min="4365" max="4366" width="12.81640625" style="17" customWidth="1"/>
    <col min="4367" max="4367" width="12.08984375" style="17" customWidth="1"/>
    <col min="4368" max="4368" width="13.1796875" style="17" customWidth="1"/>
    <col min="4369" max="4371" width="12.81640625" style="17" customWidth="1"/>
    <col min="4372" max="4372" width="13.1796875" style="17" customWidth="1"/>
    <col min="4373" max="4375" width="12.81640625" style="17" customWidth="1"/>
    <col min="4376" max="4376" width="13.1796875" style="17" customWidth="1"/>
    <col min="4377" max="4379" width="12.81640625" style="17" customWidth="1"/>
    <col min="4380" max="4380" width="13.1796875" style="17" customWidth="1"/>
    <col min="4381" max="4382" width="12.81640625" style="17" customWidth="1"/>
    <col min="4383" max="4383" width="12.08984375" style="17" customWidth="1"/>
    <col min="4384" max="4384" width="13.1796875" style="17" customWidth="1"/>
    <col min="4385" max="4386" width="12.81640625" style="17" customWidth="1"/>
    <col min="4387" max="4387" width="12.08984375" style="17" bestFit="1" customWidth="1"/>
    <col min="4388" max="4388" width="13.1796875" style="17" bestFit="1" customWidth="1"/>
    <col min="4389" max="4390" width="12.81640625" style="17" bestFit="1" customWidth="1"/>
    <col min="4391" max="4391" width="12.08984375" style="17" bestFit="1" customWidth="1"/>
    <col min="4392" max="4392" width="13.1796875" style="17" bestFit="1" customWidth="1"/>
    <col min="4393" max="4394" width="12.81640625" style="17" bestFit="1" customWidth="1"/>
    <col min="4395" max="4395" width="12.08984375" style="17" bestFit="1" customWidth="1"/>
    <col min="4396" max="4396" width="13.1796875" style="17" bestFit="1" customWidth="1"/>
    <col min="4397" max="4398" width="12.81640625" style="17" bestFit="1" customWidth="1"/>
    <col min="4399" max="4399" width="13.1796875" style="17" bestFit="1" customWidth="1"/>
    <col min="4400" max="4400" width="11.453125" style="17" bestFit="1" customWidth="1"/>
    <col min="4401" max="4605" width="9.1796875" style="17"/>
    <col min="4606" max="4606" width="18.453125" style="17" customWidth="1"/>
    <col min="4607" max="4608" width="14.1796875" style="17" customWidth="1"/>
    <col min="4609" max="4609" width="12.81640625" style="17" customWidth="1"/>
    <col min="4610" max="4614" width="14.1796875" style="17" customWidth="1"/>
    <col min="4615" max="4615" width="12.81640625" style="17" customWidth="1"/>
    <col min="4616" max="4616" width="13.1796875" style="17" customWidth="1"/>
    <col min="4617" max="4619" width="12.81640625" style="17" customWidth="1"/>
    <col min="4620" max="4620" width="13.1796875" style="17" customWidth="1"/>
    <col min="4621" max="4622" width="12.81640625" style="17" customWidth="1"/>
    <col min="4623" max="4623" width="12.08984375" style="17" customWidth="1"/>
    <col min="4624" max="4624" width="13.1796875" style="17" customWidth="1"/>
    <col min="4625" max="4627" width="12.81640625" style="17" customWidth="1"/>
    <col min="4628" max="4628" width="13.1796875" style="17" customWidth="1"/>
    <col min="4629" max="4631" width="12.81640625" style="17" customWidth="1"/>
    <col min="4632" max="4632" width="13.1796875" style="17" customWidth="1"/>
    <col min="4633" max="4635" width="12.81640625" style="17" customWidth="1"/>
    <col min="4636" max="4636" width="13.1796875" style="17" customWidth="1"/>
    <col min="4637" max="4638" width="12.81640625" style="17" customWidth="1"/>
    <col min="4639" max="4639" width="12.08984375" style="17" customWidth="1"/>
    <col min="4640" max="4640" width="13.1796875" style="17" customWidth="1"/>
    <col min="4641" max="4642" width="12.81640625" style="17" customWidth="1"/>
    <col min="4643" max="4643" width="12.08984375" style="17" bestFit="1" customWidth="1"/>
    <col min="4644" max="4644" width="13.1796875" style="17" bestFit="1" customWidth="1"/>
    <col min="4645" max="4646" width="12.81640625" style="17" bestFit="1" customWidth="1"/>
    <col min="4647" max="4647" width="12.08984375" style="17" bestFit="1" customWidth="1"/>
    <col min="4648" max="4648" width="13.1796875" style="17" bestFit="1" customWidth="1"/>
    <col min="4649" max="4650" width="12.81640625" style="17" bestFit="1" customWidth="1"/>
    <col min="4651" max="4651" width="12.08984375" style="17" bestFit="1" customWidth="1"/>
    <col min="4652" max="4652" width="13.1796875" style="17" bestFit="1" customWidth="1"/>
    <col min="4653" max="4654" width="12.81640625" style="17" bestFit="1" customWidth="1"/>
    <col min="4655" max="4655" width="13.1796875" style="17" bestFit="1" customWidth="1"/>
    <col min="4656" max="4656" width="11.453125" style="17" bestFit="1" customWidth="1"/>
    <col min="4657" max="4861" width="9.1796875" style="17"/>
    <col min="4862" max="4862" width="18.453125" style="17" customWidth="1"/>
    <col min="4863" max="4864" width="14.1796875" style="17" customWidth="1"/>
    <col min="4865" max="4865" width="12.81640625" style="17" customWidth="1"/>
    <col min="4866" max="4870" width="14.1796875" style="17" customWidth="1"/>
    <col min="4871" max="4871" width="12.81640625" style="17" customWidth="1"/>
    <col min="4872" max="4872" width="13.1796875" style="17" customWidth="1"/>
    <col min="4873" max="4875" width="12.81640625" style="17" customWidth="1"/>
    <col min="4876" max="4876" width="13.1796875" style="17" customWidth="1"/>
    <col min="4877" max="4878" width="12.81640625" style="17" customWidth="1"/>
    <col min="4879" max="4879" width="12.08984375" style="17" customWidth="1"/>
    <col min="4880" max="4880" width="13.1796875" style="17" customWidth="1"/>
    <col min="4881" max="4883" width="12.81640625" style="17" customWidth="1"/>
    <col min="4884" max="4884" width="13.1796875" style="17" customWidth="1"/>
    <col min="4885" max="4887" width="12.81640625" style="17" customWidth="1"/>
    <col min="4888" max="4888" width="13.1796875" style="17" customWidth="1"/>
    <col min="4889" max="4891" width="12.81640625" style="17" customWidth="1"/>
    <col min="4892" max="4892" width="13.1796875" style="17" customWidth="1"/>
    <col min="4893" max="4894" width="12.81640625" style="17" customWidth="1"/>
    <col min="4895" max="4895" width="12.08984375" style="17" customWidth="1"/>
    <col min="4896" max="4896" width="13.1796875" style="17" customWidth="1"/>
    <col min="4897" max="4898" width="12.81640625" style="17" customWidth="1"/>
    <col min="4899" max="4899" width="12.08984375" style="17" bestFit="1" customWidth="1"/>
    <col min="4900" max="4900" width="13.1796875" style="17" bestFit="1" customWidth="1"/>
    <col min="4901" max="4902" width="12.81640625" style="17" bestFit="1" customWidth="1"/>
    <col min="4903" max="4903" width="12.08984375" style="17" bestFit="1" customWidth="1"/>
    <col min="4904" max="4904" width="13.1796875" style="17" bestFit="1" customWidth="1"/>
    <col min="4905" max="4906" width="12.81640625" style="17" bestFit="1" customWidth="1"/>
    <col min="4907" max="4907" width="12.08984375" style="17" bestFit="1" customWidth="1"/>
    <col min="4908" max="4908" width="13.1796875" style="17" bestFit="1" customWidth="1"/>
    <col min="4909" max="4910" width="12.81640625" style="17" bestFit="1" customWidth="1"/>
    <col min="4911" max="4911" width="13.1796875" style="17" bestFit="1" customWidth="1"/>
    <col min="4912" max="4912" width="11.453125" style="17" bestFit="1" customWidth="1"/>
    <col min="4913" max="5117" width="9.1796875" style="17"/>
    <col min="5118" max="5118" width="18.453125" style="17" customWidth="1"/>
    <col min="5119" max="5120" width="14.1796875" style="17" customWidth="1"/>
    <col min="5121" max="5121" width="12.81640625" style="17" customWidth="1"/>
    <col min="5122" max="5126" width="14.1796875" style="17" customWidth="1"/>
    <col min="5127" max="5127" width="12.81640625" style="17" customWidth="1"/>
    <col min="5128" max="5128" width="13.1796875" style="17" customWidth="1"/>
    <col min="5129" max="5131" width="12.81640625" style="17" customWidth="1"/>
    <col min="5132" max="5132" width="13.1796875" style="17" customWidth="1"/>
    <col min="5133" max="5134" width="12.81640625" style="17" customWidth="1"/>
    <col min="5135" max="5135" width="12.08984375" style="17" customWidth="1"/>
    <col min="5136" max="5136" width="13.1796875" style="17" customWidth="1"/>
    <col min="5137" max="5139" width="12.81640625" style="17" customWidth="1"/>
    <col min="5140" max="5140" width="13.1796875" style="17" customWidth="1"/>
    <col min="5141" max="5143" width="12.81640625" style="17" customWidth="1"/>
    <col min="5144" max="5144" width="13.1796875" style="17" customWidth="1"/>
    <col min="5145" max="5147" width="12.81640625" style="17" customWidth="1"/>
    <col min="5148" max="5148" width="13.1796875" style="17" customWidth="1"/>
    <col min="5149" max="5150" width="12.81640625" style="17" customWidth="1"/>
    <col min="5151" max="5151" width="12.08984375" style="17" customWidth="1"/>
    <col min="5152" max="5152" width="13.1796875" style="17" customWidth="1"/>
    <col min="5153" max="5154" width="12.81640625" style="17" customWidth="1"/>
    <col min="5155" max="5155" width="12.08984375" style="17" bestFit="1" customWidth="1"/>
    <col min="5156" max="5156" width="13.1796875" style="17" bestFit="1" customWidth="1"/>
    <col min="5157" max="5158" width="12.81640625" style="17" bestFit="1" customWidth="1"/>
    <col min="5159" max="5159" width="12.08984375" style="17" bestFit="1" customWidth="1"/>
    <col min="5160" max="5160" width="13.1796875" style="17" bestFit="1" customWidth="1"/>
    <col min="5161" max="5162" width="12.81640625" style="17" bestFit="1" customWidth="1"/>
    <col min="5163" max="5163" width="12.08984375" style="17" bestFit="1" customWidth="1"/>
    <col min="5164" max="5164" width="13.1796875" style="17" bestFit="1" customWidth="1"/>
    <col min="5165" max="5166" width="12.81640625" style="17" bestFit="1" customWidth="1"/>
    <col min="5167" max="5167" width="13.1796875" style="17" bestFit="1" customWidth="1"/>
    <col min="5168" max="5168" width="11.453125" style="17" bestFit="1" customWidth="1"/>
    <col min="5169" max="5373" width="9.1796875" style="17"/>
    <col min="5374" max="5374" width="18.453125" style="17" customWidth="1"/>
    <col min="5375" max="5376" width="14.1796875" style="17" customWidth="1"/>
    <col min="5377" max="5377" width="12.81640625" style="17" customWidth="1"/>
    <col min="5378" max="5382" width="14.1796875" style="17" customWidth="1"/>
    <col min="5383" max="5383" width="12.81640625" style="17" customWidth="1"/>
    <col min="5384" max="5384" width="13.1796875" style="17" customWidth="1"/>
    <col min="5385" max="5387" width="12.81640625" style="17" customWidth="1"/>
    <col min="5388" max="5388" width="13.1796875" style="17" customWidth="1"/>
    <col min="5389" max="5390" width="12.81640625" style="17" customWidth="1"/>
    <col min="5391" max="5391" width="12.08984375" style="17" customWidth="1"/>
    <col min="5392" max="5392" width="13.1796875" style="17" customWidth="1"/>
    <col min="5393" max="5395" width="12.81640625" style="17" customWidth="1"/>
    <col min="5396" max="5396" width="13.1796875" style="17" customWidth="1"/>
    <col min="5397" max="5399" width="12.81640625" style="17" customWidth="1"/>
    <col min="5400" max="5400" width="13.1796875" style="17" customWidth="1"/>
    <col min="5401" max="5403" width="12.81640625" style="17" customWidth="1"/>
    <col min="5404" max="5404" width="13.1796875" style="17" customWidth="1"/>
    <col min="5405" max="5406" width="12.81640625" style="17" customWidth="1"/>
    <col min="5407" max="5407" width="12.08984375" style="17" customWidth="1"/>
    <col min="5408" max="5408" width="13.1796875" style="17" customWidth="1"/>
    <col min="5409" max="5410" width="12.81640625" style="17" customWidth="1"/>
    <col min="5411" max="5411" width="12.08984375" style="17" bestFit="1" customWidth="1"/>
    <col min="5412" max="5412" width="13.1796875" style="17" bestFit="1" customWidth="1"/>
    <col min="5413" max="5414" width="12.81640625" style="17" bestFit="1" customWidth="1"/>
    <col min="5415" max="5415" width="12.08984375" style="17" bestFit="1" customWidth="1"/>
    <col min="5416" max="5416" width="13.1796875" style="17" bestFit="1" customWidth="1"/>
    <col min="5417" max="5418" width="12.81640625" style="17" bestFit="1" customWidth="1"/>
    <col min="5419" max="5419" width="12.08984375" style="17" bestFit="1" customWidth="1"/>
    <col min="5420" max="5420" width="13.1796875" style="17" bestFit="1" customWidth="1"/>
    <col min="5421" max="5422" width="12.81640625" style="17" bestFit="1" customWidth="1"/>
    <col min="5423" max="5423" width="13.1796875" style="17" bestFit="1" customWidth="1"/>
    <col min="5424" max="5424" width="11.453125" style="17" bestFit="1" customWidth="1"/>
    <col min="5425" max="5629" width="9.1796875" style="17"/>
    <col min="5630" max="5630" width="18.453125" style="17" customWidth="1"/>
    <col min="5631" max="5632" width="14.1796875" style="17" customWidth="1"/>
    <col min="5633" max="5633" width="12.81640625" style="17" customWidth="1"/>
    <col min="5634" max="5638" width="14.1796875" style="17" customWidth="1"/>
    <col min="5639" max="5639" width="12.81640625" style="17" customWidth="1"/>
    <col min="5640" max="5640" width="13.1796875" style="17" customWidth="1"/>
    <col min="5641" max="5643" width="12.81640625" style="17" customWidth="1"/>
    <col min="5644" max="5644" width="13.1796875" style="17" customWidth="1"/>
    <col min="5645" max="5646" width="12.81640625" style="17" customWidth="1"/>
    <col min="5647" max="5647" width="12.08984375" style="17" customWidth="1"/>
    <col min="5648" max="5648" width="13.1796875" style="17" customWidth="1"/>
    <col min="5649" max="5651" width="12.81640625" style="17" customWidth="1"/>
    <col min="5652" max="5652" width="13.1796875" style="17" customWidth="1"/>
    <col min="5653" max="5655" width="12.81640625" style="17" customWidth="1"/>
    <col min="5656" max="5656" width="13.1796875" style="17" customWidth="1"/>
    <col min="5657" max="5659" width="12.81640625" style="17" customWidth="1"/>
    <col min="5660" max="5660" width="13.1796875" style="17" customWidth="1"/>
    <col min="5661" max="5662" width="12.81640625" style="17" customWidth="1"/>
    <col min="5663" max="5663" width="12.08984375" style="17" customWidth="1"/>
    <col min="5664" max="5664" width="13.1796875" style="17" customWidth="1"/>
    <col min="5665" max="5666" width="12.81640625" style="17" customWidth="1"/>
    <col min="5667" max="5667" width="12.08984375" style="17" bestFit="1" customWidth="1"/>
    <col min="5668" max="5668" width="13.1796875" style="17" bestFit="1" customWidth="1"/>
    <col min="5669" max="5670" width="12.81640625" style="17" bestFit="1" customWidth="1"/>
    <col min="5671" max="5671" width="12.08984375" style="17" bestFit="1" customWidth="1"/>
    <col min="5672" max="5672" width="13.1796875" style="17" bestFit="1" customWidth="1"/>
    <col min="5673" max="5674" width="12.81640625" style="17" bestFit="1" customWidth="1"/>
    <col min="5675" max="5675" width="12.08984375" style="17" bestFit="1" customWidth="1"/>
    <col min="5676" max="5676" width="13.1796875" style="17" bestFit="1" customWidth="1"/>
    <col min="5677" max="5678" width="12.81640625" style="17" bestFit="1" customWidth="1"/>
    <col min="5679" max="5679" width="13.1796875" style="17" bestFit="1" customWidth="1"/>
    <col min="5680" max="5680" width="11.453125" style="17" bestFit="1" customWidth="1"/>
    <col min="5681" max="5885" width="9.1796875" style="17"/>
    <col min="5886" max="5886" width="18.453125" style="17" customWidth="1"/>
    <col min="5887" max="5888" width="14.1796875" style="17" customWidth="1"/>
    <col min="5889" max="5889" width="12.81640625" style="17" customWidth="1"/>
    <col min="5890" max="5894" width="14.1796875" style="17" customWidth="1"/>
    <col min="5895" max="5895" width="12.81640625" style="17" customWidth="1"/>
    <col min="5896" max="5896" width="13.1796875" style="17" customWidth="1"/>
    <col min="5897" max="5899" width="12.81640625" style="17" customWidth="1"/>
    <col min="5900" max="5900" width="13.1796875" style="17" customWidth="1"/>
    <col min="5901" max="5902" width="12.81640625" style="17" customWidth="1"/>
    <col min="5903" max="5903" width="12.08984375" style="17" customWidth="1"/>
    <col min="5904" max="5904" width="13.1796875" style="17" customWidth="1"/>
    <col min="5905" max="5907" width="12.81640625" style="17" customWidth="1"/>
    <col min="5908" max="5908" width="13.1796875" style="17" customWidth="1"/>
    <col min="5909" max="5911" width="12.81640625" style="17" customWidth="1"/>
    <col min="5912" max="5912" width="13.1796875" style="17" customWidth="1"/>
    <col min="5913" max="5915" width="12.81640625" style="17" customWidth="1"/>
    <col min="5916" max="5916" width="13.1796875" style="17" customWidth="1"/>
    <col min="5917" max="5918" width="12.81640625" style="17" customWidth="1"/>
    <col min="5919" max="5919" width="12.08984375" style="17" customWidth="1"/>
    <col min="5920" max="5920" width="13.1796875" style="17" customWidth="1"/>
    <col min="5921" max="5922" width="12.81640625" style="17" customWidth="1"/>
    <col min="5923" max="5923" width="12.08984375" style="17" bestFit="1" customWidth="1"/>
    <col min="5924" max="5924" width="13.1796875" style="17" bestFit="1" customWidth="1"/>
    <col min="5925" max="5926" width="12.81640625" style="17" bestFit="1" customWidth="1"/>
    <col min="5927" max="5927" width="12.08984375" style="17" bestFit="1" customWidth="1"/>
    <col min="5928" max="5928" width="13.1796875" style="17" bestFit="1" customWidth="1"/>
    <col min="5929" max="5930" width="12.81640625" style="17" bestFit="1" customWidth="1"/>
    <col min="5931" max="5931" width="12.08984375" style="17" bestFit="1" customWidth="1"/>
    <col min="5932" max="5932" width="13.1796875" style="17" bestFit="1" customWidth="1"/>
    <col min="5933" max="5934" width="12.81640625" style="17" bestFit="1" customWidth="1"/>
    <col min="5935" max="5935" width="13.1796875" style="17" bestFit="1" customWidth="1"/>
    <col min="5936" max="5936" width="11.453125" style="17" bestFit="1" customWidth="1"/>
    <col min="5937" max="6141" width="9.1796875" style="17"/>
    <col min="6142" max="6142" width="18.453125" style="17" customWidth="1"/>
    <col min="6143" max="6144" width="14.1796875" style="17" customWidth="1"/>
    <col min="6145" max="6145" width="12.81640625" style="17" customWidth="1"/>
    <col min="6146" max="6150" width="14.1796875" style="17" customWidth="1"/>
    <col min="6151" max="6151" width="12.81640625" style="17" customWidth="1"/>
    <col min="6152" max="6152" width="13.1796875" style="17" customWidth="1"/>
    <col min="6153" max="6155" width="12.81640625" style="17" customWidth="1"/>
    <col min="6156" max="6156" width="13.1796875" style="17" customWidth="1"/>
    <col min="6157" max="6158" width="12.81640625" style="17" customWidth="1"/>
    <col min="6159" max="6159" width="12.08984375" style="17" customWidth="1"/>
    <col min="6160" max="6160" width="13.1796875" style="17" customWidth="1"/>
    <col min="6161" max="6163" width="12.81640625" style="17" customWidth="1"/>
    <col min="6164" max="6164" width="13.1796875" style="17" customWidth="1"/>
    <col min="6165" max="6167" width="12.81640625" style="17" customWidth="1"/>
    <col min="6168" max="6168" width="13.1796875" style="17" customWidth="1"/>
    <col min="6169" max="6171" width="12.81640625" style="17" customWidth="1"/>
    <col min="6172" max="6172" width="13.1796875" style="17" customWidth="1"/>
    <col min="6173" max="6174" width="12.81640625" style="17" customWidth="1"/>
    <col min="6175" max="6175" width="12.08984375" style="17" customWidth="1"/>
    <col min="6176" max="6176" width="13.1796875" style="17" customWidth="1"/>
    <col min="6177" max="6178" width="12.81640625" style="17" customWidth="1"/>
    <col min="6179" max="6179" width="12.08984375" style="17" bestFit="1" customWidth="1"/>
    <col min="6180" max="6180" width="13.1796875" style="17" bestFit="1" customWidth="1"/>
    <col min="6181" max="6182" width="12.81640625" style="17" bestFit="1" customWidth="1"/>
    <col min="6183" max="6183" width="12.08984375" style="17" bestFit="1" customWidth="1"/>
    <col min="6184" max="6184" width="13.1796875" style="17" bestFit="1" customWidth="1"/>
    <col min="6185" max="6186" width="12.81640625" style="17" bestFit="1" customWidth="1"/>
    <col min="6187" max="6187" width="12.08984375" style="17" bestFit="1" customWidth="1"/>
    <col min="6188" max="6188" width="13.1796875" style="17" bestFit="1" customWidth="1"/>
    <col min="6189" max="6190" width="12.81640625" style="17" bestFit="1" customWidth="1"/>
    <col min="6191" max="6191" width="13.1796875" style="17" bestFit="1" customWidth="1"/>
    <col min="6192" max="6192" width="11.453125" style="17" bestFit="1" customWidth="1"/>
    <col min="6193" max="6397" width="9.1796875" style="17"/>
    <col min="6398" max="6398" width="18.453125" style="17" customWidth="1"/>
    <col min="6399" max="6400" width="14.1796875" style="17" customWidth="1"/>
    <col min="6401" max="6401" width="12.81640625" style="17" customWidth="1"/>
    <col min="6402" max="6406" width="14.1796875" style="17" customWidth="1"/>
    <col min="6407" max="6407" width="12.81640625" style="17" customWidth="1"/>
    <col min="6408" max="6408" width="13.1796875" style="17" customWidth="1"/>
    <col min="6409" max="6411" width="12.81640625" style="17" customWidth="1"/>
    <col min="6412" max="6412" width="13.1796875" style="17" customWidth="1"/>
    <col min="6413" max="6414" width="12.81640625" style="17" customWidth="1"/>
    <col min="6415" max="6415" width="12.08984375" style="17" customWidth="1"/>
    <col min="6416" max="6416" width="13.1796875" style="17" customWidth="1"/>
    <col min="6417" max="6419" width="12.81640625" style="17" customWidth="1"/>
    <col min="6420" max="6420" width="13.1796875" style="17" customWidth="1"/>
    <col min="6421" max="6423" width="12.81640625" style="17" customWidth="1"/>
    <col min="6424" max="6424" width="13.1796875" style="17" customWidth="1"/>
    <col min="6425" max="6427" width="12.81640625" style="17" customWidth="1"/>
    <col min="6428" max="6428" width="13.1796875" style="17" customWidth="1"/>
    <col min="6429" max="6430" width="12.81640625" style="17" customWidth="1"/>
    <col min="6431" max="6431" width="12.08984375" style="17" customWidth="1"/>
    <col min="6432" max="6432" width="13.1796875" style="17" customWidth="1"/>
    <col min="6433" max="6434" width="12.81640625" style="17" customWidth="1"/>
    <col min="6435" max="6435" width="12.08984375" style="17" bestFit="1" customWidth="1"/>
    <col min="6436" max="6436" width="13.1796875" style="17" bestFit="1" customWidth="1"/>
    <col min="6437" max="6438" width="12.81640625" style="17" bestFit="1" customWidth="1"/>
    <col min="6439" max="6439" width="12.08984375" style="17" bestFit="1" customWidth="1"/>
    <col min="6440" max="6440" width="13.1796875" style="17" bestFit="1" customWidth="1"/>
    <col min="6441" max="6442" width="12.81640625" style="17" bestFit="1" customWidth="1"/>
    <col min="6443" max="6443" width="12.08984375" style="17" bestFit="1" customWidth="1"/>
    <col min="6444" max="6444" width="13.1796875" style="17" bestFit="1" customWidth="1"/>
    <col min="6445" max="6446" width="12.81640625" style="17" bestFit="1" customWidth="1"/>
    <col min="6447" max="6447" width="13.1796875" style="17" bestFit="1" customWidth="1"/>
    <col min="6448" max="6448" width="11.453125" style="17" bestFit="1" customWidth="1"/>
    <col min="6449" max="6653" width="9.1796875" style="17"/>
    <col min="6654" max="6654" width="18.453125" style="17" customWidth="1"/>
    <col min="6655" max="6656" width="14.1796875" style="17" customWidth="1"/>
    <col min="6657" max="6657" width="12.81640625" style="17" customWidth="1"/>
    <col min="6658" max="6662" width="14.1796875" style="17" customWidth="1"/>
    <col min="6663" max="6663" width="12.81640625" style="17" customWidth="1"/>
    <col min="6664" max="6664" width="13.1796875" style="17" customWidth="1"/>
    <col min="6665" max="6667" width="12.81640625" style="17" customWidth="1"/>
    <col min="6668" max="6668" width="13.1796875" style="17" customWidth="1"/>
    <col min="6669" max="6670" width="12.81640625" style="17" customWidth="1"/>
    <col min="6671" max="6671" width="12.08984375" style="17" customWidth="1"/>
    <col min="6672" max="6672" width="13.1796875" style="17" customWidth="1"/>
    <col min="6673" max="6675" width="12.81640625" style="17" customWidth="1"/>
    <col min="6676" max="6676" width="13.1796875" style="17" customWidth="1"/>
    <col min="6677" max="6679" width="12.81640625" style="17" customWidth="1"/>
    <col min="6680" max="6680" width="13.1796875" style="17" customWidth="1"/>
    <col min="6681" max="6683" width="12.81640625" style="17" customWidth="1"/>
    <col min="6684" max="6684" width="13.1796875" style="17" customWidth="1"/>
    <col min="6685" max="6686" width="12.81640625" style="17" customWidth="1"/>
    <col min="6687" max="6687" width="12.08984375" style="17" customWidth="1"/>
    <col min="6688" max="6688" width="13.1796875" style="17" customWidth="1"/>
    <col min="6689" max="6690" width="12.81640625" style="17" customWidth="1"/>
    <col min="6691" max="6691" width="12.08984375" style="17" bestFit="1" customWidth="1"/>
    <col min="6692" max="6692" width="13.1796875" style="17" bestFit="1" customWidth="1"/>
    <col min="6693" max="6694" width="12.81640625" style="17" bestFit="1" customWidth="1"/>
    <col min="6695" max="6695" width="12.08984375" style="17" bestFit="1" customWidth="1"/>
    <col min="6696" max="6696" width="13.1796875" style="17" bestFit="1" customWidth="1"/>
    <col min="6697" max="6698" width="12.81640625" style="17" bestFit="1" customWidth="1"/>
    <col min="6699" max="6699" width="12.08984375" style="17" bestFit="1" customWidth="1"/>
    <col min="6700" max="6700" width="13.1796875" style="17" bestFit="1" customWidth="1"/>
    <col min="6701" max="6702" width="12.81640625" style="17" bestFit="1" customWidth="1"/>
    <col min="6703" max="6703" width="13.1796875" style="17" bestFit="1" customWidth="1"/>
    <col min="6704" max="6704" width="11.453125" style="17" bestFit="1" customWidth="1"/>
    <col min="6705" max="6909" width="9.1796875" style="17"/>
    <col min="6910" max="6910" width="18.453125" style="17" customWidth="1"/>
    <col min="6911" max="6912" width="14.1796875" style="17" customWidth="1"/>
    <col min="6913" max="6913" width="12.81640625" style="17" customWidth="1"/>
    <col min="6914" max="6918" width="14.1796875" style="17" customWidth="1"/>
    <col min="6919" max="6919" width="12.81640625" style="17" customWidth="1"/>
    <col min="6920" max="6920" width="13.1796875" style="17" customWidth="1"/>
    <col min="6921" max="6923" width="12.81640625" style="17" customWidth="1"/>
    <col min="6924" max="6924" width="13.1796875" style="17" customWidth="1"/>
    <col min="6925" max="6926" width="12.81640625" style="17" customWidth="1"/>
    <col min="6927" max="6927" width="12.08984375" style="17" customWidth="1"/>
    <col min="6928" max="6928" width="13.1796875" style="17" customWidth="1"/>
    <col min="6929" max="6931" width="12.81640625" style="17" customWidth="1"/>
    <col min="6932" max="6932" width="13.1796875" style="17" customWidth="1"/>
    <col min="6933" max="6935" width="12.81640625" style="17" customWidth="1"/>
    <col min="6936" max="6936" width="13.1796875" style="17" customWidth="1"/>
    <col min="6937" max="6939" width="12.81640625" style="17" customWidth="1"/>
    <col min="6940" max="6940" width="13.1796875" style="17" customWidth="1"/>
    <col min="6941" max="6942" width="12.81640625" style="17" customWidth="1"/>
    <col min="6943" max="6943" width="12.08984375" style="17" customWidth="1"/>
    <col min="6944" max="6944" width="13.1796875" style="17" customWidth="1"/>
    <col min="6945" max="6946" width="12.81640625" style="17" customWidth="1"/>
    <col min="6947" max="6947" width="12.08984375" style="17" bestFit="1" customWidth="1"/>
    <col min="6948" max="6948" width="13.1796875" style="17" bestFit="1" customWidth="1"/>
    <col min="6949" max="6950" width="12.81640625" style="17" bestFit="1" customWidth="1"/>
    <col min="6951" max="6951" width="12.08984375" style="17" bestFit="1" customWidth="1"/>
    <col min="6952" max="6952" width="13.1796875" style="17" bestFit="1" customWidth="1"/>
    <col min="6953" max="6954" width="12.81640625" style="17" bestFit="1" customWidth="1"/>
    <col min="6955" max="6955" width="12.08984375" style="17" bestFit="1" customWidth="1"/>
    <col min="6956" max="6956" width="13.1796875" style="17" bestFit="1" customWidth="1"/>
    <col min="6957" max="6958" width="12.81640625" style="17" bestFit="1" customWidth="1"/>
    <col min="6959" max="6959" width="13.1796875" style="17" bestFit="1" customWidth="1"/>
    <col min="6960" max="6960" width="11.453125" style="17" bestFit="1" customWidth="1"/>
    <col min="6961" max="7165" width="9.1796875" style="17"/>
    <col min="7166" max="7166" width="18.453125" style="17" customWidth="1"/>
    <col min="7167" max="7168" width="14.1796875" style="17" customWidth="1"/>
    <col min="7169" max="7169" width="12.81640625" style="17" customWidth="1"/>
    <col min="7170" max="7174" width="14.1796875" style="17" customWidth="1"/>
    <col min="7175" max="7175" width="12.81640625" style="17" customWidth="1"/>
    <col min="7176" max="7176" width="13.1796875" style="17" customWidth="1"/>
    <col min="7177" max="7179" width="12.81640625" style="17" customWidth="1"/>
    <col min="7180" max="7180" width="13.1796875" style="17" customWidth="1"/>
    <col min="7181" max="7182" width="12.81640625" style="17" customWidth="1"/>
    <col min="7183" max="7183" width="12.08984375" style="17" customWidth="1"/>
    <col min="7184" max="7184" width="13.1796875" style="17" customWidth="1"/>
    <col min="7185" max="7187" width="12.81640625" style="17" customWidth="1"/>
    <col min="7188" max="7188" width="13.1796875" style="17" customWidth="1"/>
    <col min="7189" max="7191" width="12.81640625" style="17" customWidth="1"/>
    <col min="7192" max="7192" width="13.1796875" style="17" customWidth="1"/>
    <col min="7193" max="7195" width="12.81640625" style="17" customWidth="1"/>
    <col min="7196" max="7196" width="13.1796875" style="17" customWidth="1"/>
    <col min="7197" max="7198" width="12.81640625" style="17" customWidth="1"/>
    <col min="7199" max="7199" width="12.08984375" style="17" customWidth="1"/>
    <col min="7200" max="7200" width="13.1796875" style="17" customWidth="1"/>
    <col min="7201" max="7202" width="12.81640625" style="17" customWidth="1"/>
    <col min="7203" max="7203" width="12.08984375" style="17" bestFit="1" customWidth="1"/>
    <col min="7204" max="7204" width="13.1796875" style="17" bestFit="1" customWidth="1"/>
    <col min="7205" max="7206" width="12.81640625" style="17" bestFit="1" customWidth="1"/>
    <col min="7207" max="7207" width="12.08984375" style="17" bestFit="1" customWidth="1"/>
    <col min="7208" max="7208" width="13.1796875" style="17" bestFit="1" customWidth="1"/>
    <col min="7209" max="7210" width="12.81640625" style="17" bestFit="1" customWidth="1"/>
    <col min="7211" max="7211" width="12.08984375" style="17" bestFit="1" customWidth="1"/>
    <col min="7212" max="7212" width="13.1796875" style="17" bestFit="1" customWidth="1"/>
    <col min="7213" max="7214" width="12.81640625" style="17" bestFit="1" customWidth="1"/>
    <col min="7215" max="7215" width="13.1796875" style="17" bestFit="1" customWidth="1"/>
    <col min="7216" max="7216" width="11.453125" style="17" bestFit="1" customWidth="1"/>
    <col min="7217" max="7421" width="9.1796875" style="17"/>
    <col min="7422" max="7422" width="18.453125" style="17" customWidth="1"/>
    <col min="7423" max="7424" width="14.1796875" style="17" customWidth="1"/>
    <col min="7425" max="7425" width="12.81640625" style="17" customWidth="1"/>
    <col min="7426" max="7430" width="14.1796875" style="17" customWidth="1"/>
    <col min="7431" max="7431" width="12.81640625" style="17" customWidth="1"/>
    <col min="7432" max="7432" width="13.1796875" style="17" customWidth="1"/>
    <col min="7433" max="7435" width="12.81640625" style="17" customWidth="1"/>
    <col min="7436" max="7436" width="13.1796875" style="17" customWidth="1"/>
    <col min="7437" max="7438" width="12.81640625" style="17" customWidth="1"/>
    <col min="7439" max="7439" width="12.08984375" style="17" customWidth="1"/>
    <col min="7440" max="7440" width="13.1796875" style="17" customWidth="1"/>
    <col min="7441" max="7443" width="12.81640625" style="17" customWidth="1"/>
    <col min="7444" max="7444" width="13.1796875" style="17" customWidth="1"/>
    <col min="7445" max="7447" width="12.81640625" style="17" customWidth="1"/>
    <col min="7448" max="7448" width="13.1796875" style="17" customWidth="1"/>
    <col min="7449" max="7451" width="12.81640625" style="17" customWidth="1"/>
    <col min="7452" max="7452" width="13.1796875" style="17" customWidth="1"/>
    <col min="7453" max="7454" width="12.81640625" style="17" customWidth="1"/>
    <col min="7455" max="7455" width="12.08984375" style="17" customWidth="1"/>
    <col min="7456" max="7456" width="13.1796875" style="17" customWidth="1"/>
    <col min="7457" max="7458" width="12.81640625" style="17" customWidth="1"/>
    <col min="7459" max="7459" width="12.08984375" style="17" bestFit="1" customWidth="1"/>
    <col min="7460" max="7460" width="13.1796875" style="17" bestFit="1" customWidth="1"/>
    <col min="7461" max="7462" width="12.81640625" style="17" bestFit="1" customWidth="1"/>
    <col min="7463" max="7463" width="12.08984375" style="17" bestFit="1" customWidth="1"/>
    <col min="7464" max="7464" width="13.1796875" style="17" bestFit="1" customWidth="1"/>
    <col min="7465" max="7466" width="12.81640625" style="17" bestFit="1" customWidth="1"/>
    <col min="7467" max="7467" width="12.08984375" style="17" bestFit="1" customWidth="1"/>
    <col min="7468" max="7468" width="13.1796875" style="17" bestFit="1" customWidth="1"/>
    <col min="7469" max="7470" width="12.81640625" style="17" bestFit="1" customWidth="1"/>
    <col min="7471" max="7471" width="13.1796875" style="17" bestFit="1" customWidth="1"/>
    <col min="7472" max="7472" width="11.453125" style="17" bestFit="1" customWidth="1"/>
    <col min="7473" max="7677" width="9.1796875" style="17"/>
    <col min="7678" max="7678" width="18.453125" style="17" customWidth="1"/>
    <col min="7679" max="7680" width="14.1796875" style="17" customWidth="1"/>
    <col min="7681" max="7681" width="12.81640625" style="17" customWidth="1"/>
    <col min="7682" max="7686" width="14.1796875" style="17" customWidth="1"/>
    <col min="7687" max="7687" width="12.81640625" style="17" customWidth="1"/>
    <col min="7688" max="7688" width="13.1796875" style="17" customWidth="1"/>
    <col min="7689" max="7691" width="12.81640625" style="17" customWidth="1"/>
    <col min="7692" max="7692" width="13.1796875" style="17" customWidth="1"/>
    <col min="7693" max="7694" width="12.81640625" style="17" customWidth="1"/>
    <col min="7695" max="7695" width="12.08984375" style="17" customWidth="1"/>
    <col min="7696" max="7696" width="13.1796875" style="17" customWidth="1"/>
    <col min="7697" max="7699" width="12.81640625" style="17" customWidth="1"/>
    <col min="7700" max="7700" width="13.1796875" style="17" customWidth="1"/>
    <col min="7701" max="7703" width="12.81640625" style="17" customWidth="1"/>
    <col min="7704" max="7704" width="13.1796875" style="17" customWidth="1"/>
    <col min="7705" max="7707" width="12.81640625" style="17" customWidth="1"/>
    <col min="7708" max="7708" width="13.1796875" style="17" customWidth="1"/>
    <col min="7709" max="7710" width="12.81640625" style="17" customWidth="1"/>
    <col min="7711" max="7711" width="12.08984375" style="17" customWidth="1"/>
    <col min="7712" max="7712" width="13.1796875" style="17" customWidth="1"/>
    <col min="7713" max="7714" width="12.81640625" style="17" customWidth="1"/>
    <col min="7715" max="7715" width="12.08984375" style="17" bestFit="1" customWidth="1"/>
    <col min="7716" max="7716" width="13.1796875" style="17" bestFit="1" customWidth="1"/>
    <col min="7717" max="7718" width="12.81640625" style="17" bestFit="1" customWidth="1"/>
    <col min="7719" max="7719" width="12.08984375" style="17" bestFit="1" customWidth="1"/>
    <col min="7720" max="7720" width="13.1796875" style="17" bestFit="1" customWidth="1"/>
    <col min="7721" max="7722" width="12.81640625" style="17" bestFit="1" customWidth="1"/>
    <col min="7723" max="7723" width="12.08984375" style="17" bestFit="1" customWidth="1"/>
    <col min="7724" max="7724" width="13.1796875" style="17" bestFit="1" customWidth="1"/>
    <col min="7725" max="7726" width="12.81640625" style="17" bestFit="1" customWidth="1"/>
    <col min="7727" max="7727" width="13.1796875" style="17" bestFit="1" customWidth="1"/>
    <col min="7728" max="7728" width="11.453125" style="17" bestFit="1" customWidth="1"/>
    <col min="7729" max="7933" width="9.1796875" style="17"/>
    <col min="7934" max="7934" width="18.453125" style="17" customWidth="1"/>
    <col min="7935" max="7936" width="14.1796875" style="17" customWidth="1"/>
    <col min="7937" max="7937" width="12.81640625" style="17" customWidth="1"/>
    <col min="7938" max="7942" width="14.1796875" style="17" customWidth="1"/>
    <col min="7943" max="7943" width="12.81640625" style="17" customWidth="1"/>
    <col min="7944" max="7944" width="13.1796875" style="17" customWidth="1"/>
    <col min="7945" max="7947" width="12.81640625" style="17" customWidth="1"/>
    <col min="7948" max="7948" width="13.1796875" style="17" customWidth="1"/>
    <col min="7949" max="7950" width="12.81640625" style="17" customWidth="1"/>
    <col min="7951" max="7951" width="12.08984375" style="17" customWidth="1"/>
    <col min="7952" max="7952" width="13.1796875" style="17" customWidth="1"/>
    <col min="7953" max="7955" width="12.81640625" style="17" customWidth="1"/>
    <col min="7956" max="7956" width="13.1796875" style="17" customWidth="1"/>
    <col min="7957" max="7959" width="12.81640625" style="17" customWidth="1"/>
    <col min="7960" max="7960" width="13.1796875" style="17" customWidth="1"/>
    <col min="7961" max="7963" width="12.81640625" style="17" customWidth="1"/>
    <col min="7964" max="7964" width="13.1796875" style="17" customWidth="1"/>
    <col min="7965" max="7966" width="12.81640625" style="17" customWidth="1"/>
    <col min="7967" max="7967" width="12.08984375" style="17" customWidth="1"/>
    <col min="7968" max="7968" width="13.1796875" style="17" customWidth="1"/>
    <col min="7969" max="7970" width="12.81640625" style="17" customWidth="1"/>
    <col min="7971" max="7971" width="12.08984375" style="17" bestFit="1" customWidth="1"/>
    <col min="7972" max="7972" width="13.1796875" style="17" bestFit="1" customWidth="1"/>
    <col min="7973" max="7974" width="12.81640625" style="17" bestFit="1" customWidth="1"/>
    <col min="7975" max="7975" width="12.08984375" style="17" bestFit="1" customWidth="1"/>
    <col min="7976" max="7976" width="13.1796875" style="17" bestFit="1" customWidth="1"/>
    <col min="7977" max="7978" width="12.81640625" style="17" bestFit="1" customWidth="1"/>
    <col min="7979" max="7979" width="12.08984375" style="17" bestFit="1" customWidth="1"/>
    <col min="7980" max="7980" width="13.1796875" style="17" bestFit="1" customWidth="1"/>
    <col min="7981" max="7982" width="12.81640625" style="17" bestFit="1" customWidth="1"/>
    <col min="7983" max="7983" width="13.1796875" style="17" bestFit="1" customWidth="1"/>
    <col min="7984" max="7984" width="11.453125" style="17" bestFit="1" customWidth="1"/>
    <col min="7985" max="8189" width="9.1796875" style="17"/>
    <col min="8190" max="8190" width="18.453125" style="17" customWidth="1"/>
    <col min="8191" max="8192" width="14.1796875" style="17" customWidth="1"/>
    <col min="8193" max="8193" width="12.81640625" style="17" customWidth="1"/>
    <col min="8194" max="8198" width="14.1796875" style="17" customWidth="1"/>
    <col min="8199" max="8199" width="12.81640625" style="17" customWidth="1"/>
    <col min="8200" max="8200" width="13.1796875" style="17" customWidth="1"/>
    <col min="8201" max="8203" width="12.81640625" style="17" customWidth="1"/>
    <col min="8204" max="8204" width="13.1796875" style="17" customWidth="1"/>
    <col min="8205" max="8206" width="12.81640625" style="17" customWidth="1"/>
    <col min="8207" max="8207" width="12.08984375" style="17" customWidth="1"/>
    <col min="8208" max="8208" width="13.1796875" style="17" customWidth="1"/>
    <col min="8209" max="8211" width="12.81640625" style="17" customWidth="1"/>
    <col min="8212" max="8212" width="13.1796875" style="17" customWidth="1"/>
    <col min="8213" max="8215" width="12.81640625" style="17" customWidth="1"/>
    <col min="8216" max="8216" width="13.1796875" style="17" customWidth="1"/>
    <col min="8217" max="8219" width="12.81640625" style="17" customWidth="1"/>
    <col min="8220" max="8220" width="13.1796875" style="17" customWidth="1"/>
    <col min="8221" max="8222" width="12.81640625" style="17" customWidth="1"/>
    <col min="8223" max="8223" width="12.08984375" style="17" customWidth="1"/>
    <col min="8224" max="8224" width="13.1796875" style="17" customWidth="1"/>
    <col min="8225" max="8226" width="12.81640625" style="17" customWidth="1"/>
    <col min="8227" max="8227" width="12.08984375" style="17" bestFit="1" customWidth="1"/>
    <col min="8228" max="8228" width="13.1796875" style="17" bestFit="1" customWidth="1"/>
    <col min="8229" max="8230" width="12.81640625" style="17" bestFit="1" customWidth="1"/>
    <col min="8231" max="8231" width="12.08984375" style="17" bestFit="1" customWidth="1"/>
    <col min="8232" max="8232" width="13.1796875" style="17" bestFit="1" customWidth="1"/>
    <col min="8233" max="8234" width="12.81640625" style="17" bestFit="1" customWidth="1"/>
    <col min="8235" max="8235" width="12.08984375" style="17" bestFit="1" customWidth="1"/>
    <col min="8236" max="8236" width="13.1796875" style="17" bestFit="1" customWidth="1"/>
    <col min="8237" max="8238" width="12.81640625" style="17" bestFit="1" customWidth="1"/>
    <col min="8239" max="8239" width="13.1796875" style="17" bestFit="1" customWidth="1"/>
    <col min="8240" max="8240" width="11.453125" style="17" bestFit="1" customWidth="1"/>
    <col min="8241" max="8445" width="9.1796875" style="17"/>
    <col min="8446" max="8446" width="18.453125" style="17" customWidth="1"/>
    <col min="8447" max="8448" width="14.1796875" style="17" customWidth="1"/>
    <col min="8449" max="8449" width="12.81640625" style="17" customWidth="1"/>
    <col min="8450" max="8454" width="14.1796875" style="17" customWidth="1"/>
    <col min="8455" max="8455" width="12.81640625" style="17" customWidth="1"/>
    <col min="8456" max="8456" width="13.1796875" style="17" customWidth="1"/>
    <col min="8457" max="8459" width="12.81640625" style="17" customWidth="1"/>
    <col min="8460" max="8460" width="13.1796875" style="17" customWidth="1"/>
    <col min="8461" max="8462" width="12.81640625" style="17" customWidth="1"/>
    <col min="8463" max="8463" width="12.08984375" style="17" customWidth="1"/>
    <col min="8464" max="8464" width="13.1796875" style="17" customWidth="1"/>
    <col min="8465" max="8467" width="12.81640625" style="17" customWidth="1"/>
    <col min="8468" max="8468" width="13.1796875" style="17" customWidth="1"/>
    <col min="8469" max="8471" width="12.81640625" style="17" customWidth="1"/>
    <col min="8472" max="8472" width="13.1796875" style="17" customWidth="1"/>
    <col min="8473" max="8475" width="12.81640625" style="17" customWidth="1"/>
    <col min="8476" max="8476" width="13.1796875" style="17" customWidth="1"/>
    <col min="8477" max="8478" width="12.81640625" style="17" customWidth="1"/>
    <col min="8479" max="8479" width="12.08984375" style="17" customWidth="1"/>
    <col min="8480" max="8480" width="13.1796875" style="17" customWidth="1"/>
    <col min="8481" max="8482" width="12.81640625" style="17" customWidth="1"/>
    <col min="8483" max="8483" width="12.08984375" style="17" bestFit="1" customWidth="1"/>
    <col min="8484" max="8484" width="13.1796875" style="17" bestFit="1" customWidth="1"/>
    <col min="8485" max="8486" width="12.81640625" style="17" bestFit="1" customWidth="1"/>
    <col min="8487" max="8487" width="12.08984375" style="17" bestFit="1" customWidth="1"/>
    <col min="8488" max="8488" width="13.1796875" style="17" bestFit="1" customWidth="1"/>
    <col min="8489" max="8490" width="12.81640625" style="17" bestFit="1" customWidth="1"/>
    <col min="8491" max="8491" width="12.08984375" style="17" bestFit="1" customWidth="1"/>
    <col min="8492" max="8492" width="13.1796875" style="17" bestFit="1" customWidth="1"/>
    <col min="8493" max="8494" width="12.81640625" style="17" bestFit="1" customWidth="1"/>
    <col min="8495" max="8495" width="13.1796875" style="17" bestFit="1" customWidth="1"/>
    <col min="8496" max="8496" width="11.453125" style="17" bestFit="1" customWidth="1"/>
    <col min="8497" max="8701" width="9.1796875" style="17"/>
    <col min="8702" max="8702" width="18.453125" style="17" customWidth="1"/>
    <col min="8703" max="8704" width="14.1796875" style="17" customWidth="1"/>
    <col min="8705" max="8705" width="12.81640625" style="17" customWidth="1"/>
    <col min="8706" max="8710" width="14.1796875" style="17" customWidth="1"/>
    <col min="8711" max="8711" width="12.81640625" style="17" customWidth="1"/>
    <col min="8712" max="8712" width="13.1796875" style="17" customWidth="1"/>
    <col min="8713" max="8715" width="12.81640625" style="17" customWidth="1"/>
    <col min="8716" max="8716" width="13.1796875" style="17" customWidth="1"/>
    <col min="8717" max="8718" width="12.81640625" style="17" customWidth="1"/>
    <col min="8719" max="8719" width="12.08984375" style="17" customWidth="1"/>
    <col min="8720" max="8720" width="13.1796875" style="17" customWidth="1"/>
    <col min="8721" max="8723" width="12.81640625" style="17" customWidth="1"/>
    <col min="8724" max="8724" width="13.1796875" style="17" customWidth="1"/>
    <col min="8725" max="8727" width="12.81640625" style="17" customWidth="1"/>
    <col min="8728" max="8728" width="13.1796875" style="17" customWidth="1"/>
    <col min="8729" max="8731" width="12.81640625" style="17" customWidth="1"/>
    <col min="8732" max="8732" width="13.1796875" style="17" customWidth="1"/>
    <col min="8733" max="8734" width="12.81640625" style="17" customWidth="1"/>
    <col min="8735" max="8735" width="12.08984375" style="17" customWidth="1"/>
    <col min="8736" max="8736" width="13.1796875" style="17" customWidth="1"/>
    <col min="8737" max="8738" width="12.81640625" style="17" customWidth="1"/>
    <col min="8739" max="8739" width="12.08984375" style="17" bestFit="1" customWidth="1"/>
    <col min="8740" max="8740" width="13.1796875" style="17" bestFit="1" customWidth="1"/>
    <col min="8741" max="8742" width="12.81640625" style="17" bestFit="1" customWidth="1"/>
    <col min="8743" max="8743" width="12.08984375" style="17" bestFit="1" customWidth="1"/>
    <col min="8744" max="8744" width="13.1796875" style="17" bestFit="1" customWidth="1"/>
    <col min="8745" max="8746" width="12.81640625" style="17" bestFit="1" customWidth="1"/>
    <col min="8747" max="8747" width="12.08984375" style="17" bestFit="1" customWidth="1"/>
    <col min="8748" max="8748" width="13.1796875" style="17" bestFit="1" customWidth="1"/>
    <col min="8749" max="8750" width="12.81640625" style="17" bestFit="1" customWidth="1"/>
    <col min="8751" max="8751" width="13.1796875" style="17" bestFit="1" customWidth="1"/>
    <col min="8752" max="8752" width="11.453125" style="17" bestFit="1" customWidth="1"/>
    <col min="8753" max="8957" width="9.1796875" style="17"/>
    <col min="8958" max="8958" width="18.453125" style="17" customWidth="1"/>
    <col min="8959" max="8960" width="14.1796875" style="17" customWidth="1"/>
    <col min="8961" max="8961" width="12.81640625" style="17" customWidth="1"/>
    <col min="8962" max="8966" width="14.1796875" style="17" customWidth="1"/>
    <col min="8967" max="8967" width="12.81640625" style="17" customWidth="1"/>
    <col min="8968" max="8968" width="13.1796875" style="17" customWidth="1"/>
    <col min="8969" max="8971" width="12.81640625" style="17" customWidth="1"/>
    <col min="8972" max="8972" width="13.1796875" style="17" customWidth="1"/>
    <col min="8973" max="8974" width="12.81640625" style="17" customWidth="1"/>
    <col min="8975" max="8975" width="12.08984375" style="17" customWidth="1"/>
    <col min="8976" max="8976" width="13.1796875" style="17" customWidth="1"/>
    <col min="8977" max="8979" width="12.81640625" style="17" customWidth="1"/>
    <col min="8980" max="8980" width="13.1796875" style="17" customWidth="1"/>
    <col min="8981" max="8983" width="12.81640625" style="17" customWidth="1"/>
    <col min="8984" max="8984" width="13.1796875" style="17" customWidth="1"/>
    <col min="8985" max="8987" width="12.81640625" style="17" customWidth="1"/>
    <col min="8988" max="8988" width="13.1796875" style="17" customWidth="1"/>
    <col min="8989" max="8990" width="12.81640625" style="17" customWidth="1"/>
    <col min="8991" max="8991" width="12.08984375" style="17" customWidth="1"/>
    <col min="8992" max="8992" width="13.1796875" style="17" customWidth="1"/>
    <col min="8993" max="8994" width="12.81640625" style="17" customWidth="1"/>
    <col min="8995" max="8995" width="12.08984375" style="17" bestFit="1" customWidth="1"/>
    <col min="8996" max="8996" width="13.1796875" style="17" bestFit="1" customWidth="1"/>
    <col min="8997" max="8998" width="12.81640625" style="17" bestFit="1" customWidth="1"/>
    <col min="8999" max="8999" width="12.08984375" style="17" bestFit="1" customWidth="1"/>
    <col min="9000" max="9000" width="13.1796875" style="17" bestFit="1" customWidth="1"/>
    <col min="9001" max="9002" width="12.81640625" style="17" bestFit="1" customWidth="1"/>
    <col min="9003" max="9003" width="12.08984375" style="17" bestFit="1" customWidth="1"/>
    <col min="9004" max="9004" width="13.1796875" style="17" bestFit="1" customWidth="1"/>
    <col min="9005" max="9006" width="12.81640625" style="17" bestFit="1" customWidth="1"/>
    <col min="9007" max="9007" width="13.1796875" style="17" bestFit="1" customWidth="1"/>
    <col min="9008" max="9008" width="11.453125" style="17" bestFit="1" customWidth="1"/>
    <col min="9009" max="9213" width="9.1796875" style="17"/>
    <col min="9214" max="9214" width="18.453125" style="17" customWidth="1"/>
    <col min="9215" max="9216" width="14.1796875" style="17" customWidth="1"/>
    <col min="9217" max="9217" width="12.81640625" style="17" customWidth="1"/>
    <col min="9218" max="9222" width="14.1796875" style="17" customWidth="1"/>
    <col min="9223" max="9223" width="12.81640625" style="17" customWidth="1"/>
    <col min="9224" max="9224" width="13.1796875" style="17" customWidth="1"/>
    <col min="9225" max="9227" width="12.81640625" style="17" customWidth="1"/>
    <col min="9228" max="9228" width="13.1796875" style="17" customWidth="1"/>
    <col min="9229" max="9230" width="12.81640625" style="17" customWidth="1"/>
    <col min="9231" max="9231" width="12.08984375" style="17" customWidth="1"/>
    <col min="9232" max="9232" width="13.1796875" style="17" customWidth="1"/>
    <col min="9233" max="9235" width="12.81640625" style="17" customWidth="1"/>
    <col min="9236" max="9236" width="13.1796875" style="17" customWidth="1"/>
    <col min="9237" max="9239" width="12.81640625" style="17" customWidth="1"/>
    <col min="9240" max="9240" width="13.1796875" style="17" customWidth="1"/>
    <col min="9241" max="9243" width="12.81640625" style="17" customWidth="1"/>
    <col min="9244" max="9244" width="13.1796875" style="17" customWidth="1"/>
    <col min="9245" max="9246" width="12.81640625" style="17" customWidth="1"/>
    <col min="9247" max="9247" width="12.08984375" style="17" customWidth="1"/>
    <col min="9248" max="9248" width="13.1796875" style="17" customWidth="1"/>
    <col min="9249" max="9250" width="12.81640625" style="17" customWidth="1"/>
    <col min="9251" max="9251" width="12.08984375" style="17" bestFit="1" customWidth="1"/>
    <col min="9252" max="9252" width="13.1796875" style="17" bestFit="1" customWidth="1"/>
    <col min="9253" max="9254" width="12.81640625" style="17" bestFit="1" customWidth="1"/>
    <col min="9255" max="9255" width="12.08984375" style="17" bestFit="1" customWidth="1"/>
    <col min="9256" max="9256" width="13.1796875" style="17" bestFit="1" customWidth="1"/>
    <col min="9257" max="9258" width="12.81640625" style="17" bestFit="1" customWidth="1"/>
    <col min="9259" max="9259" width="12.08984375" style="17" bestFit="1" customWidth="1"/>
    <col min="9260" max="9260" width="13.1796875" style="17" bestFit="1" customWidth="1"/>
    <col min="9261" max="9262" width="12.81640625" style="17" bestFit="1" customWidth="1"/>
    <col min="9263" max="9263" width="13.1796875" style="17" bestFit="1" customWidth="1"/>
    <col min="9264" max="9264" width="11.453125" style="17" bestFit="1" customWidth="1"/>
    <col min="9265" max="9469" width="9.1796875" style="17"/>
    <col min="9470" max="9470" width="18.453125" style="17" customWidth="1"/>
    <col min="9471" max="9472" width="14.1796875" style="17" customWidth="1"/>
    <col min="9473" max="9473" width="12.81640625" style="17" customWidth="1"/>
    <col min="9474" max="9478" width="14.1796875" style="17" customWidth="1"/>
    <col min="9479" max="9479" width="12.81640625" style="17" customWidth="1"/>
    <col min="9480" max="9480" width="13.1796875" style="17" customWidth="1"/>
    <col min="9481" max="9483" width="12.81640625" style="17" customWidth="1"/>
    <col min="9484" max="9484" width="13.1796875" style="17" customWidth="1"/>
    <col min="9485" max="9486" width="12.81640625" style="17" customWidth="1"/>
    <col min="9487" max="9487" width="12.08984375" style="17" customWidth="1"/>
    <col min="9488" max="9488" width="13.1796875" style="17" customWidth="1"/>
    <col min="9489" max="9491" width="12.81640625" style="17" customWidth="1"/>
    <col min="9492" max="9492" width="13.1796875" style="17" customWidth="1"/>
    <col min="9493" max="9495" width="12.81640625" style="17" customWidth="1"/>
    <col min="9496" max="9496" width="13.1796875" style="17" customWidth="1"/>
    <col min="9497" max="9499" width="12.81640625" style="17" customWidth="1"/>
    <col min="9500" max="9500" width="13.1796875" style="17" customWidth="1"/>
    <col min="9501" max="9502" width="12.81640625" style="17" customWidth="1"/>
    <col min="9503" max="9503" width="12.08984375" style="17" customWidth="1"/>
    <col min="9504" max="9504" width="13.1796875" style="17" customWidth="1"/>
    <col min="9505" max="9506" width="12.81640625" style="17" customWidth="1"/>
    <col min="9507" max="9507" width="12.08984375" style="17" bestFit="1" customWidth="1"/>
    <col min="9508" max="9508" width="13.1796875" style="17" bestFit="1" customWidth="1"/>
    <col min="9509" max="9510" width="12.81640625" style="17" bestFit="1" customWidth="1"/>
    <col min="9511" max="9511" width="12.08984375" style="17" bestFit="1" customWidth="1"/>
    <col min="9512" max="9512" width="13.1796875" style="17" bestFit="1" customWidth="1"/>
    <col min="9513" max="9514" width="12.81640625" style="17" bestFit="1" customWidth="1"/>
    <col min="9515" max="9515" width="12.08984375" style="17" bestFit="1" customWidth="1"/>
    <col min="9516" max="9516" width="13.1796875" style="17" bestFit="1" customWidth="1"/>
    <col min="9517" max="9518" width="12.81640625" style="17" bestFit="1" customWidth="1"/>
    <col min="9519" max="9519" width="13.1796875" style="17" bestFit="1" customWidth="1"/>
    <col min="9520" max="9520" width="11.453125" style="17" bestFit="1" customWidth="1"/>
    <col min="9521" max="9725" width="9.1796875" style="17"/>
    <col min="9726" max="9726" width="18.453125" style="17" customWidth="1"/>
    <col min="9727" max="9728" width="14.1796875" style="17" customWidth="1"/>
    <col min="9729" max="9729" width="12.81640625" style="17" customWidth="1"/>
    <col min="9730" max="9734" width="14.1796875" style="17" customWidth="1"/>
    <col min="9735" max="9735" width="12.81640625" style="17" customWidth="1"/>
    <col min="9736" max="9736" width="13.1796875" style="17" customWidth="1"/>
    <col min="9737" max="9739" width="12.81640625" style="17" customWidth="1"/>
    <col min="9740" max="9740" width="13.1796875" style="17" customWidth="1"/>
    <col min="9741" max="9742" width="12.81640625" style="17" customWidth="1"/>
    <col min="9743" max="9743" width="12.08984375" style="17" customWidth="1"/>
    <col min="9744" max="9744" width="13.1796875" style="17" customWidth="1"/>
    <col min="9745" max="9747" width="12.81640625" style="17" customWidth="1"/>
    <col min="9748" max="9748" width="13.1796875" style="17" customWidth="1"/>
    <col min="9749" max="9751" width="12.81640625" style="17" customWidth="1"/>
    <col min="9752" max="9752" width="13.1796875" style="17" customWidth="1"/>
    <col min="9753" max="9755" width="12.81640625" style="17" customWidth="1"/>
    <col min="9756" max="9756" width="13.1796875" style="17" customWidth="1"/>
    <col min="9757" max="9758" width="12.81640625" style="17" customWidth="1"/>
    <col min="9759" max="9759" width="12.08984375" style="17" customWidth="1"/>
    <col min="9760" max="9760" width="13.1796875" style="17" customWidth="1"/>
    <col min="9761" max="9762" width="12.81640625" style="17" customWidth="1"/>
    <col min="9763" max="9763" width="12.08984375" style="17" bestFit="1" customWidth="1"/>
    <col min="9764" max="9764" width="13.1796875" style="17" bestFit="1" customWidth="1"/>
    <col min="9765" max="9766" width="12.81640625" style="17" bestFit="1" customWidth="1"/>
    <col min="9767" max="9767" width="12.08984375" style="17" bestFit="1" customWidth="1"/>
    <col min="9768" max="9768" width="13.1796875" style="17" bestFit="1" customWidth="1"/>
    <col min="9769" max="9770" width="12.81640625" style="17" bestFit="1" customWidth="1"/>
    <col min="9771" max="9771" width="12.08984375" style="17" bestFit="1" customWidth="1"/>
    <col min="9772" max="9772" width="13.1796875" style="17" bestFit="1" customWidth="1"/>
    <col min="9773" max="9774" width="12.81640625" style="17" bestFit="1" customWidth="1"/>
    <col min="9775" max="9775" width="13.1796875" style="17" bestFit="1" customWidth="1"/>
    <col min="9776" max="9776" width="11.453125" style="17" bestFit="1" customWidth="1"/>
    <col min="9777" max="9981" width="9.1796875" style="17"/>
    <col min="9982" max="9982" width="18.453125" style="17" customWidth="1"/>
    <col min="9983" max="9984" width="14.1796875" style="17" customWidth="1"/>
    <col min="9985" max="9985" width="12.81640625" style="17" customWidth="1"/>
    <col min="9986" max="9990" width="14.1796875" style="17" customWidth="1"/>
    <col min="9991" max="9991" width="12.81640625" style="17" customWidth="1"/>
    <col min="9992" max="9992" width="13.1796875" style="17" customWidth="1"/>
    <col min="9993" max="9995" width="12.81640625" style="17" customWidth="1"/>
    <col min="9996" max="9996" width="13.1796875" style="17" customWidth="1"/>
    <col min="9997" max="9998" width="12.81640625" style="17" customWidth="1"/>
    <col min="9999" max="9999" width="12.08984375" style="17" customWidth="1"/>
    <col min="10000" max="10000" width="13.1796875" style="17" customWidth="1"/>
    <col min="10001" max="10003" width="12.81640625" style="17" customWidth="1"/>
    <col min="10004" max="10004" width="13.1796875" style="17" customWidth="1"/>
    <col min="10005" max="10007" width="12.81640625" style="17" customWidth="1"/>
    <col min="10008" max="10008" width="13.1796875" style="17" customWidth="1"/>
    <col min="10009" max="10011" width="12.81640625" style="17" customWidth="1"/>
    <col min="10012" max="10012" width="13.1796875" style="17" customWidth="1"/>
    <col min="10013" max="10014" width="12.81640625" style="17" customWidth="1"/>
    <col min="10015" max="10015" width="12.08984375" style="17" customWidth="1"/>
    <col min="10016" max="10016" width="13.1796875" style="17" customWidth="1"/>
    <col min="10017" max="10018" width="12.81640625" style="17" customWidth="1"/>
    <col min="10019" max="10019" width="12.08984375" style="17" bestFit="1" customWidth="1"/>
    <col min="10020" max="10020" width="13.1796875" style="17" bestFit="1" customWidth="1"/>
    <col min="10021" max="10022" width="12.81640625" style="17" bestFit="1" customWidth="1"/>
    <col min="10023" max="10023" width="12.08984375" style="17" bestFit="1" customWidth="1"/>
    <col min="10024" max="10024" width="13.1796875" style="17" bestFit="1" customWidth="1"/>
    <col min="10025" max="10026" width="12.81640625" style="17" bestFit="1" customWidth="1"/>
    <col min="10027" max="10027" width="12.08984375" style="17" bestFit="1" customWidth="1"/>
    <col min="10028" max="10028" width="13.1796875" style="17" bestFit="1" customWidth="1"/>
    <col min="10029" max="10030" width="12.81640625" style="17" bestFit="1" customWidth="1"/>
    <col min="10031" max="10031" width="13.1796875" style="17" bestFit="1" customWidth="1"/>
    <col min="10032" max="10032" width="11.453125" style="17" bestFit="1" customWidth="1"/>
    <col min="10033" max="10237" width="9.1796875" style="17"/>
    <col min="10238" max="10238" width="18.453125" style="17" customWidth="1"/>
    <col min="10239" max="10240" width="14.1796875" style="17" customWidth="1"/>
    <col min="10241" max="10241" width="12.81640625" style="17" customWidth="1"/>
    <col min="10242" max="10246" width="14.1796875" style="17" customWidth="1"/>
    <col min="10247" max="10247" width="12.81640625" style="17" customWidth="1"/>
    <col min="10248" max="10248" width="13.1796875" style="17" customWidth="1"/>
    <col min="10249" max="10251" width="12.81640625" style="17" customWidth="1"/>
    <col min="10252" max="10252" width="13.1796875" style="17" customWidth="1"/>
    <col min="10253" max="10254" width="12.81640625" style="17" customWidth="1"/>
    <col min="10255" max="10255" width="12.08984375" style="17" customWidth="1"/>
    <col min="10256" max="10256" width="13.1796875" style="17" customWidth="1"/>
    <col min="10257" max="10259" width="12.81640625" style="17" customWidth="1"/>
    <col min="10260" max="10260" width="13.1796875" style="17" customWidth="1"/>
    <col min="10261" max="10263" width="12.81640625" style="17" customWidth="1"/>
    <col min="10264" max="10264" width="13.1796875" style="17" customWidth="1"/>
    <col min="10265" max="10267" width="12.81640625" style="17" customWidth="1"/>
    <col min="10268" max="10268" width="13.1796875" style="17" customWidth="1"/>
    <col min="10269" max="10270" width="12.81640625" style="17" customWidth="1"/>
    <col min="10271" max="10271" width="12.08984375" style="17" customWidth="1"/>
    <col min="10272" max="10272" width="13.1796875" style="17" customWidth="1"/>
    <col min="10273" max="10274" width="12.81640625" style="17" customWidth="1"/>
    <col min="10275" max="10275" width="12.08984375" style="17" bestFit="1" customWidth="1"/>
    <col min="10276" max="10276" width="13.1796875" style="17" bestFit="1" customWidth="1"/>
    <col min="10277" max="10278" width="12.81640625" style="17" bestFit="1" customWidth="1"/>
    <col min="10279" max="10279" width="12.08984375" style="17" bestFit="1" customWidth="1"/>
    <col min="10280" max="10280" width="13.1796875" style="17" bestFit="1" customWidth="1"/>
    <col min="10281" max="10282" width="12.81640625" style="17" bestFit="1" customWidth="1"/>
    <col min="10283" max="10283" width="12.08984375" style="17" bestFit="1" customWidth="1"/>
    <col min="10284" max="10284" width="13.1796875" style="17" bestFit="1" customWidth="1"/>
    <col min="10285" max="10286" width="12.81640625" style="17" bestFit="1" customWidth="1"/>
    <col min="10287" max="10287" width="13.1796875" style="17" bestFit="1" customWidth="1"/>
    <col min="10288" max="10288" width="11.453125" style="17" bestFit="1" customWidth="1"/>
    <col min="10289" max="10493" width="9.1796875" style="17"/>
    <col min="10494" max="10494" width="18.453125" style="17" customWidth="1"/>
    <col min="10495" max="10496" width="14.1796875" style="17" customWidth="1"/>
    <col min="10497" max="10497" width="12.81640625" style="17" customWidth="1"/>
    <col min="10498" max="10502" width="14.1796875" style="17" customWidth="1"/>
    <col min="10503" max="10503" width="12.81640625" style="17" customWidth="1"/>
    <col min="10504" max="10504" width="13.1796875" style="17" customWidth="1"/>
    <col min="10505" max="10507" width="12.81640625" style="17" customWidth="1"/>
    <col min="10508" max="10508" width="13.1796875" style="17" customWidth="1"/>
    <col min="10509" max="10510" width="12.81640625" style="17" customWidth="1"/>
    <col min="10511" max="10511" width="12.08984375" style="17" customWidth="1"/>
    <col min="10512" max="10512" width="13.1796875" style="17" customWidth="1"/>
    <col min="10513" max="10515" width="12.81640625" style="17" customWidth="1"/>
    <col min="10516" max="10516" width="13.1796875" style="17" customWidth="1"/>
    <col min="10517" max="10519" width="12.81640625" style="17" customWidth="1"/>
    <col min="10520" max="10520" width="13.1796875" style="17" customWidth="1"/>
    <col min="10521" max="10523" width="12.81640625" style="17" customWidth="1"/>
    <col min="10524" max="10524" width="13.1796875" style="17" customWidth="1"/>
    <col min="10525" max="10526" width="12.81640625" style="17" customWidth="1"/>
    <col min="10527" max="10527" width="12.08984375" style="17" customWidth="1"/>
    <col min="10528" max="10528" width="13.1796875" style="17" customWidth="1"/>
    <col min="10529" max="10530" width="12.81640625" style="17" customWidth="1"/>
    <col min="10531" max="10531" width="12.08984375" style="17" bestFit="1" customWidth="1"/>
    <col min="10532" max="10532" width="13.1796875" style="17" bestFit="1" customWidth="1"/>
    <col min="10533" max="10534" width="12.81640625" style="17" bestFit="1" customWidth="1"/>
    <col min="10535" max="10535" width="12.08984375" style="17" bestFit="1" customWidth="1"/>
    <col min="10536" max="10536" width="13.1796875" style="17" bestFit="1" customWidth="1"/>
    <col min="10537" max="10538" width="12.81640625" style="17" bestFit="1" customWidth="1"/>
    <col min="10539" max="10539" width="12.08984375" style="17" bestFit="1" customWidth="1"/>
    <col min="10540" max="10540" width="13.1796875" style="17" bestFit="1" customWidth="1"/>
    <col min="10541" max="10542" width="12.81640625" style="17" bestFit="1" customWidth="1"/>
    <col min="10543" max="10543" width="13.1796875" style="17" bestFit="1" customWidth="1"/>
    <col min="10544" max="10544" width="11.453125" style="17" bestFit="1" customWidth="1"/>
    <col min="10545" max="10749" width="9.1796875" style="17"/>
    <col min="10750" max="10750" width="18.453125" style="17" customWidth="1"/>
    <col min="10751" max="10752" width="14.1796875" style="17" customWidth="1"/>
    <col min="10753" max="10753" width="12.81640625" style="17" customWidth="1"/>
    <col min="10754" max="10758" width="14.1796875" style="17" customWidth="1"/>
    <col min="10759" max="10759" width="12.81640625" style="17" customWidth="1"/>
    <col min="10760" max="10760" width="13.1796875" style="17" customWidth="1"/>
    <col min="10761" max="10763" width="12.81640625" style="17" customWidth="1"/>
    <col min="10764" max="10764" width="13.1796875" style="17" customWidth="1"/>
    <col min="10765" max="10766" width="12.81640625" style="17" customWidth="1"/>
    <col min="10767" max="10767" width="12.08984375" style="17" customWidth="1"/>
    <col min="10768" max="10768" width="13.1796875" style="17" customWidth="1"/>
    <col min="10769" max="10771" width="12.81640625" style="17" customWidth="1"/>
    <col min="10772" max="10772" width="13.1796875" style="17" customWidth="1"/>
    <col min="10773" max="10775" width="12.81640625" style="17" customWidth="1"/>
    <col min="10776" max="10776" width="13.1796875" style="17" customWidth="1"/>
    <col min="10777" max="10779" width="12.81640625" style="17" customWidth="1"/>
    <col min="10780" max="10780" width="13.1796875" style="17" customWidth="1"/>
    <col min="10781" max="10782" width="12.81640625" style="17" customWidth="1"/>
    <col min="10783" max="10783" width="12.08984375" style="17" customWidth="1"/>
    <col min="10784" max="10784" width="13.1796875" style="17" customWidth="1"/>
    <col min="10785" max="10786" width="12.81640625" style="17" customWidth="1"/>
    <col min="10787" max="10787" width="12.08984375" style="17" bestFit="1" customWidth="1"/>
    <col min="10788" max="10788" width="13.1796875" style="17" bestFit="1" customWidth="1"/>
    <col min="10789" max="10790" width="12.81640625" style="17" bestFit="1" customWidth="1"/>
    <col min="10791" max="10791" width="12.08984375" style="17" bestFit="1" customWidth="1"/>
    <col min="10792" max="10792" width="13.1796875" style="17" bestFit="1" customWidth="1"/>
    <col min="10793" max="10794" width="12.81640625" style="17" bestFit="1" customWidth="1"/>
    <col min="10795" max="10795" width="12.08984375" style="17" bestFit="1" customWidth="1"/>
    <col min="10796" max="10796" width="13.1796875" style="17" bestFit="1" customWidth="1"/>
    <col min="10797" max="10798" width="12.81640625" style="17" bestFit="1" customWidth="1"/>
    <col min="10799" max="10799" width="13.1796875" style="17" bestFit="1" customWidth="1"/>
    <col min="10800" max="10800" width="11.453125" style="17" bestFit="1" customWidth="1"/>
    <col min="10801" max="11005" width="9.1796875" style="17"/>
    <col min="11006" max="11006" width="18.453125" style="17" customWidth="1"/>
    <col min="11007" max="11008" width="14.1796875" style="17" customWidth="1"/>
    <col min="11009" max="11009" width="12.81640625" style="17" customWidth="1"/>
    <col min="11010" max="11014" width="14.1796875" style="17" customWidth="1"/>
    <col min="11015" max="11015" width="12.81640625" style="17" customWidth="1"/>
    <col min="11016" max="11016" width="13.1796875" style="17" customWidth="1"/>
    <col min="11017" max="11019" width="12.81640625" style="17" customWidth="1"/>
    <col min="11020" max="11020" width="13.1796875" style="17" customWidth="1"/>
    <col min="11021" max="11022" width="12.81640625" style="17" customWidth="1"/>
    <col min="11023" max="11023" width="12.08984375" style="17" customWidth="1"/>
    <col min="11024" max="11024" width="13.1796875" style="17" customWidth="1"/>
    <col min="11025" max="11027" width="12.81640625" style="17" customWidth="1"/>
    <col min="11028" max="11028" width="13.1796875" style="17" customWidth="1"/>
    <col min="11029" max="11031" width="12.81640625" style="17" customWidth="1"/>
    <col min="11032" max="11032" width="13.1796875" style="17" customWidth="1"/>
    <col min="11033" max="11035" width="12.81640625" style="17" customWidth="1"/>
    <col min="11036" max="11036" width="13.1796875" style="17" customWidth="1"/>
    <col min="11037" max="11038" width="12.81640625" style="17" customWidth="1"/>
    <col min="11039" max="11039" width="12.08984375" style="17" customWidth="1"/>
    <col min="11040" max="11040" width="13.1796875" style="17" customWidth="1"/>
    <col min="11041" max="11042" width="12.81640625" style="17" customWidth="1"/>
    <col min="11043" max="11043" width="12.08984375" style="17" bestFit="1" customWidth="1"/>
    <col min="11044" max="11044" width="13.1796875" style="17" bestFit="1" customWidth="1"/>
    <col min="11045" max="11046" width="12.81640625" style="17" bestFit="1" customWidth="1"/>
    <col min="11047" max="11047" width="12.08984375" style="17" bestFit="1" customWidth="1"/>
    <col min="11048" max="11048" width="13.1796875" style="17" bestFit="1" customWidth="1"/>
    <col min="11049" max="11050" width="12.81640625" style="17" bestFit="1" customWidth="1"/>
    <col min="11051" max="11051" width="12.08984375" style="17" bestFit="1" customWidth="1"/>
    <col min="11052" max="11052" width="13.1796875" style="17" bestFit="1" customWidth="1"/>
    <col min="11053" max="11054" width="12.81640625" style="17" bestFit="1" customWidth="1"/>
    <col min="11055" max="11055" width="13.1796875" style="17" bestFit="1" customWidth="1"/>
    <col min="11056" max="11056" width="11.453125" style="17" bestFit="1" customWidth="1"/>
    <col min="11057" max="11261" width="9.1796875" style="17"/>
    <col min="11262" max="11262" width="18.453125" style="17" customWidth="1"/>
    <col min="11263" max="11264" width="14.1796875" style="17" customWidth="1"/>
    <col min="11265" max="11265" width="12.81640625" style="17" customWidth="1"/>
    <col min="11266" max="11270" width="14.1796875" style="17" customWidth="1"/>
    <col min="11271" max="11271" width="12.81640625" style="17" customWidth="1"/>
    <col min="11272" max="11272" width="13.1796875" style="17" customWidth="1"/>
    <col min="11273" max="11275" width="12.81640625" style="17" customWidth="1"/>
    <col min="11276" max="11276" width="13.1796875" style="17" customWidth="1"/>
    <col min="11277" max="11278" width="12.81640625" style="17" customWidth="1"/>
    <col min="11279" max="11279" width="12.08984375" style="17" customWidth="1"/>
    <col min="11280" max="11280" width="13.1796875" style="17" customWidth="1"/>
    <col min="11281" max="11283" width="12.81640625" style="17" customWidth="1"/>
    <col min="11284" max="11284" width="13.1796875" style="17" customWidth="1"/>
    <col min="11285" max="11287" width="12.81640625" style="17" customWidth="1"/>
    <col min="11288" max="11288" width="13.1796875" style="17" customWidth="1"/>
    <col min="11289" max="11291" width="12.81640625" style="17" customWidth="1"/>
    <col min="11292" max="11292" width="13.1796875" style="17" customWidth="1"/>
    <col min="11293" max="11294" width="12.81640625" style="17" customWidth="1"/>
    <col min="11295" max="11295" width="12.08984375" style="17" customWidth="1"/>
    <col min="11296" max="11296" width="13.1796875" style="17" customWidth="1"/>
    <col min="11297" max="11298" width="12.81640625" style="17" customWidth="1"/>
    <col min="11299" max="11299" width="12.08984375" style="17" bestFit="1" customWidth="1"/>
    <col min="11300" max="11300" width="13.1796875" style="17" bestFit="1" customWidth="1"/>
    <col min="11301" max="11302" width="12.81640625" style="17" bestFit="1" customWidth="1"/>
    <col min="11303" max="11303" width="12.08984375" style="17" bestFit="1" customWidth="1"/>
    <col min="11304" max="11304" width="13.1796875" style="17" bestFit="1" customWidth="1"/>
    <col min="11305" max="11306" width="12.81640625" style="17" bestFit="1" customWidth="1"/>
    <col min="11307" max="11307" width="12.08984375" style="17" bestFit="1" customWidth="1"/>
    <col min="11308" max="11308" width="13.1796875" style="17" bestFit="1" customWidth="1"/>
    <col min="11309" max="11310" width="12.81640625" style="17" bestFit="1" customWidth="1"/>
    <col min="11311" max="11311" width="13.1796875" style="17" bestFit="1" customWidth="1"/>
    <col min="11312" max="11312" width="11.453125" style="17" bestFit="1" customWidth="1"/>
    <col min="11313" max="11517" width="9.1796875" style="17"/>
    <col min="11518" max="11518" width="18.453125" style="17" customWidth="1"/>
    <col min="11519" max="11520" width="14.1796875" style="17" customWidth="1"/>
    <col min="11521" max="11521" width="12.81640625" style="17" customWidth="1"/>
    <col min="11522" max="11526" width="14.1796875" style="17" customWidth="1"/>
    <col min="11527" max="11527" width="12.81640625" style="17" customWidth="1"/>
    <col min="11528" max="11528" width="13.1796875" style="17" customWidth="1"/>
    <col min="11529" max="11531" width="12.81640625" style="17" customWidth="1"/>
    <col min="11532" max="11532" width="13.1796875" style="17" customWidth="1"/>
    <col min="11533" max="11534" width="12.81640625" style="17" customWidth="1"/>
    <col min="11535" max="11535" width="12.08984375" style="17" customWidth="1"/>
    <col min="11536" max="11536" width="13.1796875" style="17" customWidth="1"/>
    <col min="11537" max="11539" width="12.81640625" style="17" customWidth="1"/>
    <col min="11540" max="11540" width="13.1796875" style="17" customWidth="1"/>
    <col min="11541" max="11543" width="12.81640625" style="17" customWidth="1"/>
    <col min="11544" max="11544" width="13.1796875" style="17" customWidth="1"/>
    <col min="11545" max="11547" width="12.81640625" style="17" customWidth="1"/>
    <col min="11548" max="11548" width="13.1796875" style="17" customWidth="1"/>
    <col min="11549" max="11550" width="12.81640625" style="17" customWidth="1"/>
    <col min="11551" max="11551" width="12.08984375" style="17" customWidth="1"/>
    <col min="11552" max="11552" width="13.1796875" style="17" customWidth="1"/>
    <col min="11553" max="11554" width="12.81640625" style="17" customWidth="1"/>
    <col min="11555" max="11555" width="12.08984375" style="17" bestFit="1" customWidth="1"/>
    <col min="11556" max="11556" width="13.1796875" style="17" bestFit="1" customWidth="1"/>
    <col min="11557" max="11558" width="12.81640625" style="17" bestFit="1" customWidth="1"/>
    <col min="11559" max="11559" width="12.08984375" style="17" bestFit="1" customWidth="1"/>
    <col min="11560" max="11560" width="13.1796875" style="17" bestFit="1" customWidth="1"/>
    <col min="11561" max="11562" width="12.81640625" style="17" bestFit="1" customWidth="1"/>
    <col min="11563" max="11563" width="12.08984375" style="17" bestFit="1" customWidth="1"/>
    <col min="11564" max="11564" width="13.1796875" style="17" bestFit="1" customWidth="1"/>
    <col min="11565" max="11566" width="12.81640625" style="17" bestFit="1" customWidth="1"/>
    <col min="11567" max="11567" width="13.1796875" style="17" bestFit="1" customWidth="1"/>
    <col min="11568" max="11568" width="11.453125" style="17" bestFit="1" customWidth="1"/>
    <col min="11569" max="11773" width="9.1796875" style="17"/>
    <col min="11774" max="11774" width="18.453125" style="17" customWidth="1"/>
    <col min="11775" max="11776" width="14.1796875" style="17" customWidth="1"/>
    <col min="11777" max="11777" width="12.81640625" style="17" customWidth="1"/>
    <col min="11778" max="11782" width="14.1796875" style="17" customWidth="1"/>
    <col min="11783" max="11783" width="12.81640625" style="17" customWidth="1"/>
    <col min="11784" max="11784" width="13.1796875" style="17" customWidth="1"/>
    <col min="11785" max="11787" width="12.81640625" style="17" customWidth="1"/>
    <col min="11788" max="11788" width="13.1796875" style="17" customWidth="1"/>
    <col min="11789" max="11790" width="12.81640625" style="17" customWidth="1"/>
    <col min="11791" max="11791" width="12.08984375" style="17" customWidth="1"/>
    <col min="11792" max="11792" width="13.1796875" style="17" customWidth="1"/>
    <col min="11793" max="11795" width="12.81640625" style="17" customWidth="1"/>
    <col min="11796" max="11796" width="13.1796875" style="17" customWidth="1"/>
    <col min="11797" max="11799" width="12.81640625" style="17" customWidth="1"/>
    <col min="11800" max="11800" width="13.1796875" style="17" customWidth="1"/>
    <col min="11801" max="11803" width="12.81640625" style="17" customWidth="1"/>
    <col min="11804" max="11804" width="13.1796875" style="17" customWidth="1"/>
    <col min="11805" max="11806" width="12.81640625" style="17" customWidth="1"/>
    <col min="11807" max="11807" width="12.08984375" style="17" customWidth="1"/>
    <col min="11808" max="11808" width="13.1796875" style="17" customWidth="1"/>
    <col min="11809" max="11810" width="12.81640625" style="17" customWidth="1"/>
    <col min="11811" max="11811" width="12.08984375" style="17" bestFit="1" customWidth="1"/>
    <col min="11812" max="11812" width="13.1796875" style="17" bestFit="1" customWidth="1"/>
    <col min="11813" max="11814" width="12.81640625" style="17" bestFit="1" customWidth="1"/>
    <col min="11815" max="11815" width="12.08984375" style="17" bestFit="1" customWidth="1"/>
    <col min="11816" max="11816" width="13.1796875" style="17" bestFit="1" customWidth="1"/>
    <col min="11817" max="11818" width="12.81640625" style="17" bestFit="1" customWidth="1"/>
    <col min="11819" max="11819" width="12.08984375" style="17" bestFit="1" customWidth="1"/>
    <col min="11820" max="11820" width="13.1796875" style="17" bestFit="1" customWidth="1"/>
    <col min="11821" max="11822" width="12.81640625" style="17" bestFit="1" customWidth="1"/>
    <col min="11823" max="11823" width="13.1796875" style="17" bestFit="1" customWidth="1"/>
    <col min="11824" max="11824" width="11.453125" style="17" bestFit="1" customWidth="1"/>
    <col min="11825" max="12029" width="9.1796875" style="17"/>
    <col min="12030" max="12030" width="18.453125" style="17" customWidth="1"/>
    <col min="12031" max="12032" width="14.1796875" style="17" customWidth="1"/>
    <col min="12033" max="12033" width="12.81640625" style="17" customWidth="1"/>
    <col min="12034" max="12038" width="14.1796875" style="17" customWidth="1"/>
    <col min="12039" max="12039" width="12.81640625" style="17" customWidth="1"/>
    <col min="12040" max="12040" width="13.1796875" style="17" customWidth="1"/>
    <col min="12041" max="12043" width="12.81640625" style="17" customWidth="1"/>
    <col min="12044" max="12044" width="13.1796875" style="17" customWidth="1"/>
    <col min="12045" max="12046" width="12.81640625" style="17" customWidth="1"/>
    <col min="12047" max="12047" width="12.08984375" style="17" customWidth="1"/>
    <col min="12048" max="12048" width="13.1796875" style="17" customWidth="1"/>
    <col min="12049" max="12051" width="12.81640625" style="17" customWidth="1"/>
    <col min="12052" max="12052" width="13.1796875" style="17" customWidth="1"/>
    <col min="12053" max="12055" width="12.81640625" style="17" customWidth="1"/>
    <col min="12056" max="12056" width="13.1796875" style="17" customWidth="1"/>
    <col min="12057" max="12059" width="12.81640625" style="17" customWidth="1"/>
    <col min="12060" max="12060" width="13.1796875" style="17" customWidth="1"/>
    <col min="12061" max="12062" width="12.81640625" style="17" customWidth="1"/>
    <col min="12063" max="12063" width="12.08984375" style="17" customWidth="1"/>
    <col min="12064" max="12064" width="13.1796875" style="17" customWidth="1"/>
    <col min="12065" max="12066" width="12.81640625" style="17" customWidth="1"/>
    <col min="12067" max="12067" width="12.08984375" style="17" bestFit="1" customWidth="1"/>
    <col min="12068" max="12068" width="13.1796875" style="17" bestFit="1" customWidth="1"/>
    <col min="12069" max="12070" width="12.81640625" style="17" bestFit="1" customWidth="1"/>
    <col min="12071" max="12071" width="12.08984375" style="17" bestFit="1" customWidth="1"/>
    <col min="12072" max="12072" width="13.1796875" style="17" bestFit="1" customWidth="1"/>
    <col min="12073" max="12074" width="12.81640625" style="17" bestFit="1" customWidth="1"/>
    <col min="12075" max="12075" width="12.08984375" style="17" bestFit="1" customWidth="1"/>
    <col min="12076" max="12076" width="13.1796875" style="17" bestFit="1" customWidth="1"/>
    <col min="12077" max="12078" width="12.81640625" style="17" bestFit="1" customWidth="1"/>
    <col min="12079" max="12079" width="13.1796875" style="17" bestFit="1" customWidth="1"/>
    <col min="12080" max="12080" width="11.453125" style="17" bestFit="1" customWidth="1"/>
    <col min="12081" max="12285" width="9.1796875" style="17"/>
    <col min="12286" max="12286" width="18.453125" style="17" customWidth="1"/>
    <col min="12287" max="12288" width="14.1796875" style="17" customWidth="1"/>
    <col min="12289" max="12289" width="12.81640625" style="17" customWidth="1"/>
    <col min="12290" max="12294" width="14.1796875" style="17" customWidth="1"/>
    <col min="12295" max="12295" width="12.81640625" style="17" customWidth="1"/>
    <col min="12296" max="12296" width="13.1796875" style="17" customWidth="1"/>
    <col min="12297" max="12299" width="12.81640625" style="17" customWidth="1"/>
    <col min="12300" max="12300" width="13.1796875" style="17" customWidth="1"/>
    <col min="12301" max="12302" width="12.81640625" style="17" customWidth="1"/>
    <col min="12303" max="12303" width="12.08984375" style="17" customWidth="1"/>
    <col min="12304" max="12304" width="13.1796875" style="17" customWidth="1"/>
    <col min="12305" max="12307" width="12.81640625" style="17" customWidth="1"/>
    <col min="12308" max="12308" width="13.1796875" style="17" customWidth="1"/>
    <col min="12309" max="12311" width="12.81640625" style="17" customWidth="1"/>
    <col min="12312" max="12312" width="13.1796875" style="17" customWidth="1"/>
    <col min="12313" max="12315" width="12.81640625" style="17" customWidth="1"/>
    <col min="12316" max="12316" width="13.1796875" style="17" customWidth="1"/>
    <col min="12317" max="12318" width="12.81640625" style="17" customWidth="1"/>
    <col min="12319" max="12319" width="12.08984375" style="17" customWidth="1"/>
    <col min="12320" max="12320" width="13.1796875" style="17" customWidth="1"/>
    <col min="12321" max="12322" width="12.81640625" style="17" customWidth="1"/>
    <col min="12323" max="12323" width="12.08984375" style="17" bestFit="1" customWidth="1"/>
    <col min="12324" max="12324" width="13.1796875" style="17" bestFit="1" customWidth="1"/>
    <col min="12325" max="12326" width="12.81640625" style="17" bestFit="1" customWidth="1"/>
    <col min="12327" max="12327" width="12.08984375" style="17" bestFit="1" customWidth="1"/>
    <col min="12328" max="12328" width="13.1796875" style="17" bestFit="1" customWidth="1"/>
    <col min="12329" max="12330" width="12.81640625" style="17" bestFit="1" customWidth="1"/>
    <col min="12331" max="12331" width="12.08984375" style="17" bestFit="1" customWidth="1"/>
    <col min="12332" max="12332" width="13.1796875" style="17" bestFit="1" customWidth="1"/>
    <col min="12333" max="12334" width="12.81640625" style="17" bestFit="1" customWidth="1"/>
    <col min="12335" max="12335" width="13.1796875" style="17" bestFit="1" customWidth="1"/>
    <col min="12336" max="12336" width="11.453125" style="17" bestFit="1" customWidth="1"/>
    <col min="12337" max="12541" width="9.1796875" style="17"/>
    <col min="12542" max="12542" width="18.453125" style="17" customWidth="1"/>
    <col min="12543" max="12544" width="14.1796875" style="17" customWidth="1"/>
    <col min="12545" max="12545" width="12.81640625" style="17" customWidth="1"/>
    <col min="12546" max="12550" width="14.1796875" style="17" customWidth="1"/>
    <col min="12551" max="12551" width="12.81640625" style="17" customWidth="1"/>
    <col min="12552" max="12552" width="13.1796875" style="17" customWidth="1"/>
    <col min="12553" max="12555" width="12.81640625" style="17" customWidth="1"/>
    <col min="12556" max="12556" width="13.1796875" style="17" customWidth="1"/>
    <col min="12557" max="12558" width="12.81640625" style="17" customWidth="1"/>
    <col min="12559" max="12559" width="12.08984375" style="17" customWidth="1"/>
    <col min="12560" max="12560" width="13.1796875" style="17" customWidth="1"/>
    <col min="12561" max="12563" width="12.81640625" style="17" customWidth="1"/>
    <col min="12564" max="12564" width="13.1796875" style="17" customWidth="1"/>
    <col min="12565" max="12567" width="12.81640625" style="17" customWidth="1"/>
    <col min="12568" max="12568" width="13.1796875" style="17" customWidth="1"/>
    <col min="12569" max="12571" width="12.81640625" style="17" customWidth="1"/>
    <col min="12572" max="12572" width="13.1796875" style="17" customWidth="1"/>
    <col min="12573" max="12574" width="12.81640625" style="17" customWidth="1"/>
    <col min="12575" max="12575" width="12.08984375" style="17" customWidth="1"/>
    <col min="12576" max="12576" width="13.1796875" style="17" customWidth="1"/>
    <col min="12577" max="12578" width="12.81640625" style="17" customWidth="1"/>
    <col min="12579" max="12579" width="12.08984375" style="17" bestFit="1" customWidth="1"/>
    <col min="12580" max="12580" width="13.1796875" style="17" bestFit="1" customWidth="1"/>
    <col min="12581" max="12582" width="12.81640625" style="17" bestFit="1" customWidth="1"/>
    <col min="12583" max="12583" width="12.08984375" style="17" bestFit="1" customWidth="1"/>
    <col min="12584" max="12584" width="13.1796875" style="17" bestFit="1" customWidth="1"/>
    <col min="12585" max="12586" width="12.81640625" style="17" bestFit="1" customWidth="1"/>
    <col min="12587" max="12587" width="12.08984375" style="17" bestFit="1" customWidth="1"/>
    <col min="12588" max="12588" width="13.1796875" style="17" bestFit="1" customWidth="1"/>
    <col min="12589" max="12590" width="12.81640625" style="17" bestFit="1" customWidth="1"/>
    <col min="12591" max="12591" width="13.1796875" style="17" bestFit="1" customWidth="1"/>
    <col min="12592" max="12592" width="11.453125" style="17" bestFit="1" customWidth="1"/>
    <col min="12593" max="12797" width="9.1796875" style="17"/>
    <col min="12798" max="12798" width="18.453125" style="17" customWidth="1"/>
    <col min="12799" max="12800" width="14.1796875" style="17" customWidth="1"/>
    <col min="12801" max="12801" width="12.81640625" style="17" customWidth="1"/>
    <col min="12802" max="12806" width="14.1796875" style="17" customWidth="1"/>
    <col min="12807" max="12807" width="12.81640625" style="17" customWidth="1"/>
    <col min="12808" max="12808" width="13.1796875" style="17" customWidth="1"/>
    <col min="12809" max="12811" width="12.81640625" style="17" customWidth="1"/>
    <col min="12812" max="12812" width="13.1796875" style="17" customWidth="1"/>
    <col min="12813" max="12814" width="12.81640625" style="17" customWidth="1"/>
    <col min="12815" max="12815" width="12.08984375" style="17" customWidth="1"/>
    <col min="12816" max="12816" width="13.1796875" style="17" customWidth="1"/>
    <col min="12817" max="12819" width="12.81640625" style="17" customWidth="1"/>
    <col min="12820" max="12820" width="13.1796875" style="17" customWidth="1"/>
    <col min="12821" max="12823" width="12.81640625" style="17" customWidth="1"/>
    <col min="12824" max="12824" width="13.1796875" style="17" customWidth="1"/>
    <col min="12825" max="12827" width="12.81640625" style="17" customWidth="1"/>
    <col min="12828" max="12828" width="13.1796875" style="17" customWidth="1"/>
    <col min="12829" max="12830" width="12.81640625" style="17" customWidth="1"/>
    <col min="12831" max="12831" width="12.08984375" style="17" customWidth="1"/>
    <col min="12832" max="12832" width="13.1796875" style="17" customWidth="1"/>
    <col min="12833" max="12834" width="12.81640625" style="17" customWidth="1"/>
    <col min="12835" max="12835" width="12.08984375" style="17" bestFit="1" customWidth="1"/>
    <col min="12836" max="12836" width="13.1796875" style="17" bestFit="1" customWidth="1"/>
    <col min="12837" max="12838" width="12.81640625" style="17" bestFit="1" customWidth="1"/>
    <col min="12839" max="12839" width="12.08984375" style="17" bestFit="1" customWidth="1"/>
    <col min="12840" max="12840" width="13.1796875" style="17" bestFit="1" customWidth="1"/>
    <col min="12841" max="12842" width="12.81640625" style="17" bestFit="1" customWidth="1"/>
    <col min="12843" max="12843" width="12.08984375" style="17" bestFit="1" customWidth="1"/>
    <col min="12844" max="12844" width="13.1796875" style="17" bestFit="1" customWidth="1"/>
    <col min="12845" max="12846" width="12.81640625" style="17" bestFit="1" customWidth="1"/>
    <col min="12847" max="12847" width="13.1796875" style="17" bestFit="1" customWidth="1"/>
    <col min="12848" max="12848" width="11.453125" style="17" bestFit="1" customWidth="1"/>
    <col min="12849" max="13053" width="9.1796875" style="17"/>
    <col min="13054" max="13054" width="18.453125" style="17" customWidth="1"/>
    <col min="13055" max="13056" width="14.1796875" style="17" customWidth="1"/>
    <col min="13057" max="13057" width="12.81640625" style="17" customWidth="1"/>
    <col min="13058" max="13062" width="14.1796875" style="17" customWidth="1"/>
    <col min="13063" max="13063" width="12.81640625" style="17" customWidth="1"/>
    <col min="13064" max="13064" width="13.1796875" style="17" customWidth="1"/>
    <col min="13065" max="13067" width="12.81640625" style="17" customWidth="1"/>
    <col min="13068" max="13068" width="13.1796875" style="17" customWidth="1"/>
    <col min="13069" max="13070" width="12.81640625" style="17" customWidth="1"/>
    <col min="13071" max="13071" width="12.08984375" style="17" customWidth="1"/>
    <col min="13072" max="13072" width="13.1796875" style="17" customWidth="1"/>
    <col min="13073" max="13075" width="12.81640625" style="17" customWidth="1"/>
    <col min="13076" max="13076" width="13.1796875" style="17" customWidth="1"/>
    <col min="13077" max="13079" width="12.81640625" style="17" customWidth="1"/>
    <col min="13080" max="13080" width="13.1796875" style="17" customWidth="1"/>
    <col min="13081" max="13083" width="12.81640625" style="17" customWidth="1"/>
    <col min="13084" max="13084" width="13.1796875" style="17" customWidth="1"/>
    <col min="13085" max="13086" width="12.81640625" style="17" customWidth="1"/>
    <col min="13087" max="13087" width="12.08984375" style="17" customWidth="1"/>
    <col min="13088" max="13088" width="13.1796875" style="17" customWidth="1"/>
    <col min="13089" max="13090" width="12.81640625" style="17" customWidth="1"/>
    <col min="13091" max="13091" width="12.08984375" style="17" bestFit="1" customWidth="1"/>
    <col min="13092" max="13092" width="13.1796875" style="17" bestFit="1" customWidth="1"/>
    <col min="13093" max="13094" width="12.81640625" style="17" bestFit="1" customWidth="1"/>
    <col min="13095" max="13095" width="12.08984375" style="17" bestFit="1" customWidth="1"/>
    <col min="13096" max="13096" width="13.1796875" style="17" bestFit="1" customWidth="1"/>
    <col min="13097" max="13098" width="12.81640625" style="17" bestFit="1" customWidth="1"/>
    <col min="13099" max="13099" width="12.08984375" style="17" bestFit="1" customWidth="1"/>
    <col min="13100" max="13100" width="13.1796875" style="17" bestFit="1" customWidth="1"/>
    <col min="13101" max="13102" width="12.81640625" style="17" bestFit="1" customWidth="1"/>
    <col min="13103" max="13103" width="13.1796875" style="17" bestFit="1" customWidth="1"/>
    <col min="13104" max="13104" width="11.453125" style="17" bestFit="1" customWidth="1"/>
    <col min="13105" max="13309" width="9.1796875" style="17"/>
    <col min="13310" max="13310" width="18.453125" style="17" customWidth="1"/>
    <col min="13311" max="13312" width="14.1796875" style="17" customWidth="1"/>
    <col min="13313" max="13313" width="12.81640625" style="17" customWidth="1"/>
    <col min="13314" max="13318" width="14.1796875" style="17" customWidth="1"/>
    <col min="13319" max="13319" width="12.81640625" style="17" customWidth="1"/>
    <col min="13320" max="13320" width="13.1796875" style="17" customWidth="1"/>
    <col min="13321" max="13323" width="12.81640625" style="17" customWidth="1"/>
    <col min="13324" max="13324" width="13.1796875" style="17" customWidth="1"/>
    <col min="13325" max="13326" width="12.81640625" style="17" customWidth="1"/>
    <col min="13327" max="13327" width="12.08984375" style="17" customWidth="1"/>
    <col min="13328" max="13328" width="13.1796875" style="17" customWidth="1"/>
    <col min="13329" max="13331" width="12.81640625" style="17" customWidth="1"/>
    <col min="13332" max="13332" width="13.1796875" style="17" customWidth="1"/>
    <col min="13333" max="13335" width="12.81640625" style="17" customWidth="1"/>
    <col min="13336" max="13336" width="13.1796875" style="17" customWidth="1"/>
    <col min="13337" max="13339" width="12.81640625" style="17" customWidth="1"/>
    <col min="13340" max="13340" width="13.1796875" style="17" customWidth="1"/>
    <col min="13341" max="13342" width="12.81640625" style="17" customWidth="1"/>
    <col min="13343" max="13343" width="12.08984375" style="17" customWidth="1"/>
    <col min="13344" max="13344" width="13.1796875" style="17" customWidth="1"/>
    <col min="13345" max="13346" width="12.81640625" style="17" customWidth="1"/>
    <col min="13347" max="13347" width="12.08984375" style="17" bestFit="1" customWidth="1"/>
    <col min="13348" max="13348" width="13.1796875" style="17" bestFit="1" customWidth="1"/>
    <col min="13349" max="13350" width="12.81640625" style="17" bestFit="1" customWidth="1"/>
    <col min="13351" max="13351" width="12.08984375" style="17" bestFit="1" customWidth="1"/>
    <col min="13352" max="13352" width="13.1796875" style="17" bestFit="1" customWidth="1"/>
    <col min="13353" max="13354" width="12.81640625" style="17" bestFit="1" customWidth="1"/>
    <col min="13355" max="13355" width="12.08984375" style="17" bestFit="1" customWidth="1"/>
    <col min="13356" max="13356" width="13.1796875" style="17" bestFit="1" customWidth="1"/>
    <col min="13357" max="13358" width="12.81640625" style="17" bestFit="1" customWidth="1"/>
    <col min="13359" max="13359" width="13.1796875" style="17" bestFit="1" customWidth="1"/>
    <col min="13360" max="13360" width="11.453125" style="17" bestFit="1" customWidth="1"/>
    <col min="13361" max="13565" width="9.1796875" style="17"/>
    <col min="13566" max="13566" width="18.453125" style="17" customWidth="1"/>
    <col min="13567" max="13568" width="14.1796875" style="17" customWidth="1"/>
    <col min="13569" max="13569" width="12.81640625" style="17" customWidth="1"/>
    <col min="13570" max="13574" width="14.1796875" style="17" customWidth="1"/>
    <col min="13575" max="13575" width="12.81640625" style="17" customWidth="1"/>
    <col min="13576" max="13576" width="13.1796875" style="17" customWidth="1"/>
    <col min="13577" max="13579" width="12.81640625" style="17" customWidth="1"/>
    <col min="13580" max="13580" width="13.1796875" style="17" customWidth="1"/>
    <col min="13581" max="13582" width="12.81640625" style="17" customWidth="1"/>
    <col min="13583" max="13583" width="12.08984375" style="17" customWidth="1"/>
    <col min="13584" max="13584" width="13.1796875" style="17" customWidth="1"/>
    <col min="13585" max="13587" width="12.81640625" style="17" customWidth="1"/>
    <col min="13588" max="13588" width="13.1796875" style="17" customWidth="1"/>
    <col min="13589" max="13591" width="12.81640625" style="17" customWidth="1"/>
    <col min="13592" max="13592" width="13.1796875" style="17" customWidth="1"/>
    <col min="13593" max="13595" width="12.81640625" style="17" customWidth="1"/>
    <col min="13596" max="13596" width="13.1796875" style="17" customWidth="1"/>
    <col min="13597" max="13598" width="12.81640625" style="17" customWidth="1"/>
    <col min="13599" max="13599" width="12.08984375" style="17" customWidth="1"/>
    <col min="13600" max="13600" width="13.1796875" style="17" customWidth="1"/>
    <col min="13601" max="13602" width="12.81640625" style="17" customWidth="1"/>
    <col min="13603" max="13603" width="12.08984375" style="17" bestFit="1" customWidth="1"/>
    <col min="13604" max="13604" width="13.1796875" style="17" bestFit="1" customWidth="1"/>
    <col min="13605" max="13606" width="12.81640625" style="17" bestFit="1" customWidth="1"/>
    <col min="13607" max="13607" width="12.08984375" style="17" bestFit="1" customWidth="1"/>
    <col min="13608" max="13608" width="13.1796875" style="17" bestFit="1" customWidth="1"/>
    <col min="13609" max="13610" width="12.81640625" style="17" bestFit="1" customWidth="1"/>
    <col min="13611" max="13611" width="12.08984375" style="17" bestFit="1" customWidth="1"/>
    <col min="13612" max="13612" width="13.1796875" style="17" bestFit="1" customWidth="1"/>
    <col min="13613" max="13614" width="12.81640625" style="17" bestFit="1" customWidth="1"/>
    <col min="13615" max="13615" width="13.1796875" style="17" bestFit="1" customWidth="1"/>
    <col min="13616" max="13616" width="11.453125" style="17" bestFit="1" customWidth="1"/>
    <col min="13617" max="13821" width="9.1796875" style="17"/>
    <col min="13822" max="13822" width="18.453125" style="17" customWidth="1"/>
    <col min="13823" max="13824" width="14.1796875" style="17" customWidth="1"/>
    <col min="13825" max="13825" width="12.81640625" style="17" customWidth="1"/>
    <col min="13826" max="13830" width="14.1796875" style="17" customWidth="1"/>
    <col min="13831" max="13831" width="12.81640625" style="17" customWidth="1"/>
    <col min="13832" max="13832" width="13.1796875" style="17" customWidth="1"/>
    <col min="13833" max="13835" width="12.81640625" style="17" customWidth="1"/>
    <col min="13836" max="13836" width="13.1796875" style="17" customWidth="1"/>
    <col min="13837" max="13838" width="12.81640625" style="17" customWidth="1"/>
    <col min="13839" max="13839" width="12.08984375" style="17" customWidth="1"/>
    <col min="13840" max="13840" width="13.1796875" style="17" customWidth="1"/>
    <col min="13841" max="13843" width="12.81640625" style="17" customWidth="1"/>
    <col min="13844" max="13844" width="13.1796875" style="17" customWidth="1"/>
    <col min="13845" max="13847" width="12.81640625" style="17" customWidth="1"/>
    <col min="13848" max="13848" width="13.1796875" style="17" customWidth="1"/>
    <col min="13849" max="13851" width="12.81640625" style="17" customWidth="1"/>
    <col min="13852" max="13852" width="13.1796875" style="17" customWidth="1"/>
    <col min="13853" max="13854" width="12.81640625" style="17" customWidth="1"/>
    <col min="13855" max="13855" width="12.08984375" style="17" customWidth="1"/>
    <col min="13856" max="13856" width="13.1796875" style="17" customWidth="1"/>
    <col min="13857" max="13858" width="12.81640625" style="17" customWidth="1"/>
    <col min="13859" max="13859" width="12.08984375" style="17" bestFit="1" customWidth="1"/>
    <col min="13860" max="13860" width="13.1796875" style="17" bestFit="1" customWidth="1"/>
    <col min="13861" max="13862" width="12.81640625" style="17" bestFit="1" customWidth="1"/>
    <col min="13863" max="13863" width="12.08984375" style="17" bestFit="1" customWidth="1"/>
    <col min="13864" max="13864" width="13.1796875" style="17" bestFit="1" customWidth="1"/>
    <col min="13865" max="13866" width="12.81640625" style="17" bestFit="1" customWidth="1"/>
    <col min="13867" max="13867" width="12.08984375" style="17" bestFit="1" customWidth="1"/>
    <col min="13868" max="13868" width="13.1796875" style="17" bestFit="1" customWidth="1"/>
    <col min="13869" max="13870" width="12.81640625" style="17" bestFit="1" customWidth="1"/>
    <col min="13871" max="13871" width="13.1796875" style="17" bestFit="1" customWidth="1"/>
    <col min="13872" max="13872" width="11.453125" style="17" bestFit="1" customWidth="1"/>
    <col min="13873" max="14077" width="9.1796875" style="17"/>
    <col min="14078" max="14078" width="18.453125" style="17" customWidth="1"/>
    <col min="14079" max="14080" width="14.1796875" style="17" customWidth="1"/>
    <col min="14081" max="14081" width="12.81640625" style="17" customWidth="1"/>
    <col min="14082" max="14086" width="14.1796875" style="17" customWidth="1"/>
    <col min="14087" max="14087" width="12.81640625" style="17" customWidth="1"/>
    <col min="14088" max="14088" width="13.1796875" style="17" customWidth="1"/>
    <col min="14089" max="14091" width="12.81640625" style="17" customWidth="1"/>
    <col min="14092" max="14092" width="13.1796875" style="17" customWidth="1"/>
    <col min="14093" max="14094" width="12.81640625" style="17" customWidth="1"/>
    <col min="14095" max="14095" width="12.08984375" style="17" customWidth="1"/>
    <col min="14096" max="14096" width="13.1796875" style="17" customWidth="1"/>
    <col min="14097" max="14099" width="12.81640625" style="17" customWidth="1"/>
    <col min="14100" max="14100" width="13.1796875" style="17" customWidth="1"/>
    <col min="14101" max="14103" width="12.81640625" style="17" customWidth="1"/>
    <col min="14104" max="14104" width="13.1796875" style="17" customWidth="1"/>
    <col min="14105" max="14107" width="12.81640625" style="17" customWidth="1"/>
    <col min="14108" max="14108" width="13.1796875" style="17" customWidth="1"/>
    <col min="14109" max="14110" width="12.81640625" style="17" customWidth="1"/>
    <col min="14111" max="14111" width="12.08984375" style="17" customWidth="1"/>
    <col min="14112" max="14112" width="13.1796875" style="17" customWidth="1"/>
    <col min="14113" max="14114" width="12.81640625" style="17" customWidth="1"/>
    <col min="14115" max="14115" width="12.08984375" style="17" bestFit="1" customWidth="1"/>
    <col min="14116" max="14116" width="13.1796875" style="17" bestFit="1" customWidth="1"/>
    <col min="14117" max="14118" width="12.81640625" style="17" bestFit="1" customWidth="1"/>
    <col min="14119" max="14119" width="12.08984375" style="17" bestFit="1" customWidth="1"/>
    <col min="14120" max="14120" width="13.1796875" style="17" bestFit="1" customWidth="1"/>
    <col min="14121" max="14122" width="12.81640625" style="17" bestFit="1" customWidth="1"/>
    <col min="14123" max="14123" width="12.08984375" style="17" bestFit="1" customWidth="1"/>
    <col min="14124" max="14124" width="13.1796875" style="17" bestFit="1" customWidth="1"/>
    <col min="14125" max="14126" width="12.81640625" style="17" bestFit="1" customWidth="1"/>
    <col min="14127" max="14127" width="13.1796875" style="17" bestFit="1" customWidth="1"/>
    <col min="14128" max="14128" width="11.453125" style="17" bestFit="1" customWidth="1"/>
    <col min="14129" max="14333" width="9.1796875" style="17"/>
    <col min="14334" max="14334" width="18.453125" style="17" customWidth="1"/>
    <col min="14335" max="14336" width="14.1796875" style="17" customWidth="1"/>
    <col min="14337" max="14337" width="12.81640625" style="17" customWidth="1"/>
    <col min="14338" max="14342" width="14.1796875" style="17" customWidth="1"/>
    <col min="14343" max="14343" width="12.81640625" style="17" customWidth="1"/>
    <col min="14344" max="14344" width="13.1796875" style="17" customWidth="1"/>
    <col min="14345" max="14347" width="12.81640625" style="17" customWidth="1"/>
    <col min="14348" max="14348" width="13.1796875" style="17" customWidth="1"/>
    <col min="14349" max="14350" width="12.81640625" style="17" customWidth="1"/>
    <col min="14351" max="14351" width="12.08984375" style="17" customWidth="1"/>
    <col min="14352" max="14352" width="13.1796875" style="17" customWidth="1"/>
    <col min="14353" max="14355" width="12.81640625" style="17" customWidth="1"/>
    <col min="14356" max="14356" width="13.1796875" style="17" customWidth="1"/>
    <col min="14357" max="14359" width="12.81640625" style="17" customWidth="1"/>
    <col min="14360" max="14360" width="13.1796875" style="17" customWidth="1"/>
    <col min="14361" max="14363" width="12.81640625" style="17" customWidth="1"/>
    <col min="14364" max="14364" width="13.1796875" style="17" customWidth="1"/>
    <col min="14365" max="14366" width="12.81640625" style="17" customWidth="1"/>
    <col min="14367" max="14367" width="12.08984375" style="17" customWidth="1"/>
    <col min="14368" max="14368" width="13.1796875" style="17" customWidth="1"/>
    <col min="14369" max="14370" width="12.81640625" style="17" customWidth="1"/>
    <col min="14371" max="14371" width="12.08984375" style="17" bestFit="1" customWidth="1"/>
    <col min="14372" max="14372" width="13.1796875" style="17" bestFit="1" customWidth="1"/>
    <col min="14373" max="14374" width="12.81640625" style="17" bestFit="1" customWidth="1"/>
    <col min="14375" max="14375" width="12.08984375" style="17" bestFit="1" customWidth="1"/>
    <col min="14376" max="14376" width="13.1796875" style="17" bestFit="1" customWidth="1"/>
    <col min="14377" max="14378" width="12.81640625" style="17" bestFit="1" customWidth="1"/>
    <col min="14379" max="14379" width="12.08984375" style="17" bestFit="1" customWidth="1"/>
    <col min="14380" max="14380" width="13.1796875" style="17" bestFit="1" customWidth="1"/>
    <col min="14381" max="14382" width="12.81640625" style="17" bestFit="1" customWidth="1"/>
    <col min="14383" max="14383" width="13.1796875" style="17" bestFit="1" customWidth="1"/>
    <col min="14384" max="14384" width="11.453125" style="17" bestFit="1" customWidth="1"/>
    <col min="14385" max="14589" width="9.1796875" style="17"/>
    <col min="14590" max="14590" width="18.453125" style="17" customWidth="1"/>
    <col min="14591" max="14592" width="14.1796875" style="17" customWidth="1"/>
    <col min="14593" max="14593" width="12.81640625" style="17" customWidth="1"/>
    <col min="14594" max="14598" width="14.1796875" style="17" customWidth="1"/>
    <col min="14599" max="14599" width="12.81640625" style="17" customWidth="1"/>
    <col min="14600" max="14600" width="13.1796875" style="17" customWidth="1"/>
    <col min="14601" max="14603" width="12.81640625" style="17" customWidth="1"/>
    <col min="14604" max="14604" width="13.1796875" style="17" customWidth="1"/>
    <col min="14605" max="14606" width="12.81640625" style="17" customWidth="1"/>
    <col min="14607" max="14607" width="12.08984375" style="17" customWidth="1"/>
    <col min="14608" max="14608" width="13.1796875" style="17" customWidth="1"/>
    <col min="14609" max="14611" width="12.81640625" style="17" customWidth="1"/>
    <col min="14612" max="14612" width="13.1796875" style="17" customWidth="1"/>
    <col min="14613" max="14615" width="12.81640625" style="17" customWidth="1"/>
    <col min="14616" max="14616" width="13.1796875" style="17" customWidth="1"/>
    <col min="14617" max="14619" width="12.81640625" style="17" customWidth="1"/>
    <col min="14620" max="14620" width="13.1796875" style="17" customWidth="1"/>
    <col min="14621" max="14622" width="12.81640625" style="17" customWidth="1"/>
    <col min="14623" max="14623" width="12.08984375" style="17" customWidth="1"/>
    <col min="14624" max="14624" width="13.1796875" style="17" customWidth="1"/>
    <col min="14625" max="14626" width="12.81640625" style="17" customWidth="1"/>
    <col min="14627" max="14627" width="12.08984375" style="17" bestFit="1" customWidth="1"/>
    <col min="14628" max="14628" width="13.1796875" style="17" bestFit="1" customWidth="1"/>
    <col min="14629" max="14630" width="12.81640625" style="17" bestFit="1" customWidth="1"/>
    <col min="14631" max="14631" width="12.08984375" style="17" bestFit="1" customWidth="1"/>
    <col min="14632" max="14632" width="13.1796875" style="17" bestFit="1" customWidth="1"/>
    <col min="14633" max="14634" width="12.81640625" style="17" bestFit="1" customWidth="1"/>
    <col min="14635" max="14635" width="12.08984375" style="17" bestFit="1" customWidth="1"/>
    <col min="14636" max="14636" width="13.1796875" style="17" bestFit="1" customWidth="1"/>
    <col min="14637" max="14638" width="12.81640625" style="17" bestFit="1" customWidth="1"/>
    <col min="14639" max="14639" width="13.1796875" style="17" bestFit="1" customWidth="1"/>
    <col min="14640" max="14640" width="11.453125" style="17" bestFit="1" customWidth="1"/>
    <col min="14641" max="14845" width="9.1796875" style="17"/>
    <col min="14846" max="14846" width="18.453125" style="17" customWidth="1"/>
    <col min="14847" max="14848" width="14.1796875" style="17" customWidth="1"/>
    <col min="14849" max="14849" width="12.81640625" style="17" customWidth="1"/>
    <col min="14850" max="14854" width="14.1796875" style="17" customWidth="1"/>
    <col min="14855" max="14855" width="12.81640625" style="17" customWidth="1"/>
    <col min="14856" max="14856" width="13.1796875" style="17" customWidth="1"/>
    <col min="14857" max="14859" width="12.81640625" style="17" customWidth="1"/>
    <col min="14860" max="14860" width="13.1796875" style="17" customWidth="1"/>
    <col min="14861" max="14862" width="12.81640625" style="17" customWidth="1"/>
    <col min="14863" max="14863" width="12.08984375" style="17" customWidth="1"/>
    <col min="14864" max="14864" width="13.1796875" style="17" customWidth="1"/>
    <col min="14865" max="14867" width="12.81640625" style="17" customWidth="1"/>
    <col min="14868" max="14868" width="13.1796875" style="17" customWidth="1"/>
    <col min="14869" max="14871" width="12.81640625" style="17" customWidth="1"/>
    <col min="14872" max="14872" width="13.1796875" style="17" customWidth="1"/>
    <col min="14873" max="14875" width="12.81640625" style="17" customWidth="1"/>
    <col min="14876" max="14876" width="13.1796875" style="17" customWidth="1"/>
    <col min="14877" max="14878" width="12.81640625" style="17" customWidth="1"/>
    <col min="14879" max="14879" width="12.08984375" style="17" customWidth="1"/>
    <col min="14880" max="14880" width="13.1796875" style="17" customWidth="1"/>
    <col min="14881" max="14882" width="12.81640625" style="17" customWidth="1"/>
    <col min="14883" max="14883" width="12.08984375" style="17" bestFit="1" customWidth="1"/>
    <col min="14884" max="14884" width="13.1796875" style="17" bestFit="1" customWidth="1"/>
    <col min="14885" max="14886" width="12.81640625" style="17" bestFit="1" customWidth="1"/>
    <col min="14887" max="14887" width="12.08984375" style="17" bestFit="1" customWidth="1"/>
    <col min="14888" max="14888" width="13.1796875" style="17" bestFit="1" customWidth="1"/>
    <col min="14889" max="14890" width="12.81640625" style="17" bestFit="1" customWidth="1"/>
    <col min="14891" max="14891" width="12.08984375" style="17" bestFit="1" customWidth="1"/>
    <col min="14892" max="14892" width="13.1796875" style="17" bestFit="1" customWidth="1"/>
    <col min="14893" max="14894" width="12.81640625" style="17" bestFit="1" customWidth="1"/>
    <col min="14895" max="14895" width="13.1796875" style="17" bestFit="1" customWidth="1"/>
    <col min="14896" max="14896" width="11.453125" style="17" bestFit="1" customWidth="1"/>
    <col min="14897" max="15101" width="9.1796875" style="17"/>
    <col min="15102" max="15102" width="18.453125" style="17" customWidth="1"/>
    <col min="15103" max="15104" width="14.1796875" style="17" customWidth="1"/>
    <col min="15105" max="15105" width="12.81640625" style="17" customWidth="1"/>
    <col min="15106" max="15110" width="14.1796875" style="17" customWidth="1"/>
    <col min="15111" max="15111" width="12.81640625" style="17" customWidth="1"/>
    <col min="15112" max="15112" width="13.1796875" style="17" customWidth="1"/>
    <col min="15113" max="15115" width="12.81640625" style="17" customWidth="1"/>
    <col min="15116" max="15116" width="13.1796875" style="17" customWidth="1"/>
    <col min="15117" max="15118" width="12.81640625" style="17" customWidth="1"/>
    <col min="15119" max="15119" width="12.08984375" style="17" customWidth="1"/>
    <col min="15120" max="15120" width="13.1796875" style="17" customWidth="1"/>
    <col min="15121" max="15123" width="12.81640625" style="17" customWidth="1"/>
    <col min="15124" max="15124" width="13.1796875" style="17" customWidth="1"/>
    <col min="15125" max="15127" width="12.81640625" style="17" customWidth="1"/>
    <col min="15128" max="15128" width="13.1796875" style="17" customWidth="1"/>
    <col min="15129" max="15131" width="12.81640625" style="17" customWidth="1"/>
    <col min="15132" max="15132" width="13.1796875" style="17" customWidth="1"/>
    <col min="15133" max="15134" width="12.81640625" style="17" customWidth="1"/>
    <col min="15135" max="15135" width="12.08984375" style="17" customWidth="1"/>
    <col min="15136" max="15136" width="13.1796875" style="17" customWidth="1"/>
    <col min="15137" max="15138" width="12.81640625" style="17" customWidth="1"/>
    <col min="15139" max="15139" width="12.08984375" style="17" bestFit="1" customWidth="1"/>
    <col min="15140" max="15140" width="13.1796875" style="17" bestFit="1" customWidth="1"/>
    <col min="15141" max="15142" width="12.81640625" style="17" bestFit="1" customWidth="1"/>
    <col min="15143" max="15143" width="12.08984375" style="17" bestFit="1" customWidth="1"/>
    <col min="15144" max="15144" width="13.1796875" style="17" bestFit="1" customWidth="1"/>
    <col min="15145" max="15146" width="12.81640625" style="17" bestFit="1" customWidth="1"/>
    <col min="15147" max="15147" width="12.08984375" style="17" bestFit="1" customWidth="1"/>
    <col min="15148" max="15148" width="13.1796875" style="17" bestFit="1" customWidth="1"/>
    <col min="15149" max="15150" width="12.81640625" style="17" bestFit="1" customWidth="1"/>
    <col min="15151" max="15151" width="13.1796875" style="17" bestFit="1" customWidth="1"/>
    <col min="15152" max="15152" width="11.453125" style="17" bestFit="1" customWidth="1"/>
    <col min="15153" max="15357" width="9.1796875" style="17"/>
    <col min="15358" max="15358" width="18.453125" style="17" customWidth="1"/>
    <col min="15359" max="15360" width="14.1796875" style="17" customWidth="1"/>
    <col min="15361" max="15361" width="12.81640625" style="17" customWidth="1"/>
    <col min="15362" max="15366" width="14.1796875" style="17" customWidth="1"/>
    <col min="15367" max="15367" width="12.81640625" style="17" customWidth="1"/>
    <col min="15368" max="15368" width="13.1796875" style="17" customWidth="1"/>
    <col min="15369" max="15371" width="12.81640625" style="17" customWidth="1"/>
    <col min="15372" max="15372" width="13.1796875" style="17" customWidth="1"/>
    <col min="15373" max="15374" width="12.81640625" style="17" customWidth="1"/>
    <col min="15375" max="15375" width="12.08984375" style="17" customWidth="1"/>
    <col min="15376" max="15376" width="13.1796875" style="17" customWidth="1"/>
    <col min="15377" max="15379" width="12.81640625" style="17" customWidth="1"/>
    <col min="15380" max="15380" width="13.1796875" style="17" customWidth="1"/>
    <col min="15381" max="15383" width="12.81640625" style="17" customWidth="1"/>
    <col min="15384" max="15384" width="13.1796875" style="17" customWidth="1"/>
    <col min="15385" max="15387" width="12.81640625" style="17" customWidth="1"/>
    <col min="15388" max="15388" width="13.1796875" style="17" customWidth="1"/>
    <col min="15389" max="15390" width="12.81640625" style="17" customWidth="1"/>
    <col min="15391" max="15391" width="12.08984375" style="17" customWidth="1"/>
    <col min="15392" max="15392" width="13.1796875" style="17" customWidth="1"/>
    <col min="15393" max="15394" width="12.81640625" style="17" customWidth="1"/>
    <col min="15395" max="15395" width="12.08984375" style="17" bestFit="1" customWidth="1"/>
    <col min="15396" max="15396" width="13.1796875" style="17" bestFit="1" customWidth="1"/>
    <col min="15397" max="15398" width="12.81640625" style="17" bestFit="1" customWidth="1"/>
    <col min="15399" max="15399" width="12.08984375" style="17" bestFit="1" customWidth="1"/>
    <col min="15400" max="15400" width="13.1796875" style="17" bestFit="1" customWidth="1"/>
    <col min="15401" max="15402" width="12.81640625" style="17" bestFit="1" customWidth="1"/>
    <col min="15403" max="15403" width="12.08984375" style="17" bestFit="1" customWidth="1"/>
    <col min="15404" max="15404" width="13.1796875" style="17" bestFit="1" customWidth="1"/>
    <col min="15405" max="15406" width="12.81640625" style="17" bestFit="1" customWidth="1"/>
    <col min="15407" max="15407" width="13.1796875" style="17" bestFit="1" customWidth="1"/>
    <col min="15408" max="15408" width="11.453125" style="17" bestFit="1" customWidth="1"/>
    <col min="15409" max="15613" width="9.1796875" style="17"/>
    <col min="15614" max="15614" width="18.453125" style="17" customWidth="1"/>
    <col min="15615" max="15616" width="14.1796875" style="17" customWidth="1"/>
    <col min="15617" max="15617" width="12.81640625" style="17" customWidth="1"/>
    <col min="15618" max="15622" width="14.1796875" style="17" customWidth="1"/>
    <col min="15623" max="15623" width="12.81640625" style="17" customWidth="1"/>
    <col min="15624" max="15624" width="13.1796875" style="17" customWidth="1"/>
    <col min="15625" max="15627" width="12.81640625" style="17" customWidth="1"/>
    <col min="15628" max="15628" width="13.1796875" style="17" customWidth="1"/>
    <col min="15629" max="15630" width="12.81640625" style="17" customWidth="1"/>
    <col min="15631" max="15631" width="12.08984375" style="17" customWidth="1"/>
    <col min="15632" max="15632" width="13.1796875" style="17" customWidth="1"/>
    <col min="15633" max="15635" width="12.81640625" style="17" customWidth="1"/>
    <col min="15636" max="15636" width="13.1796875" style="17" customWidth="1"/>
    <col min="15637" max="15639" width="12.81640625" style="17" customWidth="1"/>
    <col min="15640" max="15640" width="13.1796875" style="17" customWidth="1"/>
    <col min="15641" max="15643" width="12.81640625" style="17" customWidth="1"/>
    <col min="15644" max="15644" width="13.1796875" style="17" customWidth="1"/>
    <col min="15645" max="15646" width="12.81640625" style="17" customWidth="1"/>
    <col min="15647" max="15647" width="12.08984375" style="17" customWidth="1"/>
    <col min="15648" max="15648" width="13.1796875" style="17" customWidth="1"/>
    <col min="15649" max="15650" width="12.81640625" style="17" customWidth="1"/>
    <col min="15651" max="15651" width="12.08984375" style="17" bestFit="1" customWidth="1"/>
    <col min="15652" max="15652" width="13.1796875" style="17" bestFit="1" customWidth="1"/>
    <col min="15653" max="15654" width="12.81640625" style="17" bestFit="1" customWidth="1"/>
    <col min="15655" max="15655" width="12.08984375" style="17" bestFit="1" customWidth="1"/>
    <col min="15656" max="15656" width="13.1796875" style="17" bestFit="1" customWidth="1"/>
    <col min="15657" max="15658" width="12.81640625" style="17" bestFit="1" customWidth="1"/>
    <col min="15659" max="15659" width="12.08984375" style="17" bestFit="1" customWidth="1"/>
    <col min="15660" max="15660" width="13.1796875" style="17" bestFit="1" customWidth="1"/>
    <col min="15661" max="15662" width="12.81640625" style="17" bestFit="1" customWidth="1"/>
    <col min="15663" max="15663" width="13.1796875" style="17" bestFit="1" customWidth="1"/>
    <col min="15664" max="15664" width="11.453125" style="17" bestFit="1" customWidth="1"/>
    <col min="15665" max="15869" width="9.1796875" style="17"/>
    <col min="15870" max="15870" width="18.453125" style="17" customWidth="1"/>
    <col min="15871" max="15872" width="14.1796875" style="17" customWidth="1"/>
    <col min="15873" max="15873" width="12.81640625" style="17" customWidth="1"/>
    <col min="15874" max="15878" width="14.1796875" style="17" customWidth="1"/>
    <col min="15879" max="15879" width="12.81640625" style="17" customWidth="1"/>
    <col min="15880" max="15880" width="13.1796875" style="17" customWidth="1"/>
    <col min="15881" max="15883" width="12.81640625" style="17" customWidth="1"/>
    <col min="15884" max="15884" width="13.1796875" style="17" customWidth="1"/>
    <col min="15885" max="15886" width="12.81640625" style="17" customWidth="1"/>
    <col min="15887" max="15887" width="12.08984375" style="17" customWidth="1"/>
    <col min="15888" max="15888" width="13.1796875" style="17" customWidth="1"/>
    <col min="15889" max="15891" width="12.81640625" style="17" customWidth="1"/>
    <col min="15892" max="15892" width="13.1796875" style="17" customWidth="1"/>
    <col min="15893" max="15895" width="12.81640625" style="17" customWidth="1"/>
    <col min="15896" max="15896" width="13.1796875" style="17" customWidth="1"/>
    <col min="15897" max="15899" width="12.81640625" style="17" customWidth="1"/>
    <col min="15900" max="15900" width="13.1796875" style="17" customWidth="1"/>
    <col min="15901" max="15902" width="12.81640625" style="17" customWidth="1"/>
    <col min="15903" max="15903" width="12.08984375" style="17" customWidth="1"/>
    <col min="15904" max="15904" width="13.1796875" style="17" customWidth="1"/>
    <col min="15905" max="15906" width="12.81640625" style="17" customWidth="1"/>
    <col min="15907" max="15907" width="12.08984375" style="17" bestFit="1" customWidth="1"/>
    <col min="15908" max="15908" width="13.1796875" style="17" bestFit="1" customWidth="1"/>
    <col min="15909" max="15910" width="12.81640625" style="17" bestFit="1" customWidth="1"/>
    <col min="15911" max="15911" width="12.08984375" style="17" bestFit="1" customWidth="1"/>
    <col min="15912" max="15912" width="13.1796875" style="17" bestFit="1" customWidth="1"/>
    <col min="15913" max="15914" width="12.81640625" style="17" bestFit="1" customWidth="1"/>
    <col min="15915" max="15915" width="12.08984375" style="17" bestFit="1" customWidth="1"/>
    <col min="15916" max="15916" width="13.1796875" style="17" bestFit="1" customWidth="1"/>
    <col min="15917" max="15918" width="12.81640625" style="17" bestFit="1" customWidth="1"/>
    <col min="15919" max="15919" width="13.1796875" style="17" bestFit="1" customWidth="1"/>
    <col min="15920" max="15920" width="11.453125" style="17" bestFit="1" customWidth="1"/>
    <col min="15921" max="16125" width="9.1796875" style="17"/>
    <col min="16126" max="16126" width="18.453125" style="17" customWidth="1"/>
    <col min="16127" max="16128" width="14.1796875" style="17" customWidth="1"/>
    <col min="16129" max="16129" width="12.81640625" style="17" customWidth="1"/>
    <col min="16130" max="16134" width="14.1796875" style="17" customWidth="1"/>
    <col min="16135" max="16135" width="12.81640625" style="17" customWidth="1"/>
    <col min="16136" max="16136" width="13.1796875" style="17" customWidth="1"/>
    <col min="16137" max="16139" width="12.81640625" style="17" customWidth="1"/>
    <col min="16140" max="16140" width="13.1796875" style="17" customWidth="1"/>
    <col min="16141" max="16142" width="12.81640625" style="17" customWidth="1"/>
    <col min="16143" max="16143" width="12.08984375" style="17" customWidth="1"/>
    <col min="16144" max="16144" width="13.1796875" style="17" customWidth="1"/>
    <col min="16145" max="16147" width="12.81640625" style="17" customWidth="1"/>
    <col min="16148" max="16148" width="13.1796875" style="17" customWidth="1"/>
    <col min="16149" max="16151" width="12.81640625" style="17" customWidth="1"/>
    <col min="16152" max="16152" width="13.1796875" style="17" customWidth="1"/>
    <col min="16153" max="16155" width="12.81640625" style="17" customWidth="1"/>
    <col min="16156" max="16156" width="13.1796875" style="17" customWidth="1"/>
    <col min="16157" max="16158" width="12.81640625" style="17" customWidth="1"/>
    <col min="16159" max="16159" width="12.08984375" style="17" customWidth="1"/>
    <col min="16160" max="16160" width="13.1796875" style="17" customWidth="1"/>
    <col min="16161" max="16162" width="12.81640625" style="17" customWidth="1"/>
    <col min="16163" max="16163" width="12.08984375" style="17" bestFit="1" customWidth="1"/>
    <col min="16164" max="16164" width="13.1796875" style="17" bestFit="1" customWidth="1"/>
    <col min="16165" max="16166" width="12.81640625" style="17" bestFit="1" customWidth="1"/>
    <col min="16167" max="16167" width="12.08984375" style="17" bestFit="1" customWidth="1"/>
    <col min="16168" max="16168" width="13.1796875" style="17" bestFit="1" customWidth="1"/>
    <col min="16169" max="16170" width="12.81640625" style="17" bestFit="1" customWidth="1"/>
    <col min="16171" max="16171" width="12.08984375" style="17" bestFit="1" customWidth="1"/>
    <col min="16172" max="16172" width="13.1796875" style="17" bestFit="1" customWidth="1"/>
    <col min="16173" max="16174" width="12.81640625" style="17" bestFit="1" customWidth="1"/>
    <col min="16175" max="16175" width="13.1796875" style="17" bestFit="1" customWidth="1"/>
    <col min="16176" max="16176" width="11.453125" style="17" bestFit="1" customWidth="1"/>
    <col min="16177" max="16384" width="9.1796875" style="17"/>
  </cols>
  <sheetData>
    <row r="1" spans="1:58" x14ac:dyDescent="0.35">
      <c r="A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</row>
    <row r="2" spans="1:58" s="21" customFormat="1" ht="17.5" thickBot="1" x14ac:dyDescent="0.45">
      <c r="A2" s="17"/>
      <c r="B2" s="471" t="s">
        <v>538</v>
      </c>
    </row>
    <row r="3" spans="1:58" ht="16" thickBot="1" x14ac:dyDescent="0.4">
      <c r="B3" s="584" t="s">
        <v>539</v>
      </c>
      <c r="C3" s="583" t="s">
        <v>540</v>
      </c>
      <c r="D3" s="581"/>
      <c r="E3" s="581" t="s">
        <v>531</v>
      </c>
      <c r="F3" s="582"/>
      <c r="G3" s="583" t="s">
        <v>540</v>
      </c>
      <c r="H3" s="581"/>
      <c r="I3" s="581" t="s">
        <v>531</v>
      </c>
      <c r="J3" s="582"/>
      <c r="K3" s="583" t="s">
        <v>540</v>
      </c>
      <c r="L3" s="581"/>
      <c r="M3" s="581" t="s">
        <v>531</v>
      </c>
      <c r="N3" s="582"/>
      <c r="O3" s="583" t="s">
        <v>540</v>
      </c>
      <c r="P3" s="581"/>
      <c r="Q3" s="581" t="s">
        <v>531</v>
      </c>
      <c r="R3" s="582"/>
      <c r="S3" s="583" t="s">
        <v>540</v>
      </c>
      <c r="T3" s="581"/>
      <c r="U3" s="581" t="s">
        <v>531</v>
      </c>
      <c r="V3" s="582"/>
      <c r="W3" s="583" t="s">
        <v>540</v>
      </c>
      <c r="X3" s="581"/>
      <c r="Y3" s="581" t="s">
        <v>531</v>
      </c>
      <c r="Z3" s="582"/>
      <c r="AA3" s="583" t="s">
        <v>540</v>
      </c>
      <c r="AB3" s="581"/>
      <c r="AC3" s="581" t="s">
        <v>531</v>
      </c>
      <c r="AD3" s="582"/>
      <c r="AE3" s="583" t="s">
        <v>540</v>
      </c>
      <c r="AF3" s="581"/>
      <c r="AG3" s="581" t="s">
        <v>531</v>
      </c>
      <c r="AH3" s="582"/>
      <c r="AI3" s="583" t="s">
        <v>540</v>
      </c>
      <c r="AJ3" s="581"/>
      <c r="AK3" s="581" t="s">
        <v>531</v>
      </c>
      <c r="AL3" s="582"/>
      <c r="AM3" s="583" t="s">
        <v>540</v>
      </c>
      <c r="AN3" s="581"/>
      <c r="AO3" s="581" t="s">
        <v>531</v>
      </c>
      <c r="AP3" s="582"/>
      <c r="AQ3" s="583" t="s">
        <v>540</v>
      </c>
      <c r="AR3" s="581"/>
      <c r="AS3" s="581" t="s">
        <v>531</v>
      </c>
      <c r="AT3" s="582"/>
      <c r="AU3" s="583" t="s">
        <v>540</v>
      </c>
      <c r="AV3" s="581"/>
      <c r="AW3" s="581" t="s">
        <v>531</v>
      </c>
      <c r="AX3" s="582"/>
      <c r="AY3" s="550"/>
      <c r="AZ3" s="550"/>
      <c r="BA3" s="550"/>
      <c r="BB3" s="550"/>
    </row>
    <row r="4" spans="1:58" ht="16" thickBot="1" x14ac:dyDescent="0.4">
      <c r="A4" s="17">
        <v>0</v>
      </c>
      <c r="B4" s="585"/>
      <c r="C4" s="472" t="s">
        <v>731</v>
      </c>
      <c r="D4" s="473" t="s">
        <v>504</v>
      </c>
      <c r="E4" s="474" t="str">
        <f>C4</f>
        <v>April'2026</v>
      </c>
      <c r="F4" s="475" t="s">
        <v>504</v>
      </c>
      <c r="G4" s="472" t="s">
        <v>723</v>
      </c>
      <c r="H4" s="473" t="s">
        <v>504</v>
      </c>
      <c r="I4" s="476" t="str">
        <f>G4</f>
        <v>May'2025</v>
      </c>
      <c r="J4" s="477" t="s">
        <v>504</v>
      </c>
      <c r="K4" s="472" t="s">
        <v>724</v>
      </c>
      <c r="L4" s="473" t="s">
        <v>504</v>
      </c>
      <c r="M4" s="476" t="str">
        <f>K4</f>
        <v>Jun'2025</v>
      </c>
      <c r="N4" s="477" t="s">
        <v>504</v>
      </c>
      <c r="O4" s="472" t="s">
        <v>725</v>
      </c>
      <c r="P4" s="473" t="s">
        <v>504</v>
      </c>
      <c r="Q4" s="476" t="str">
        <f>O4</f>
        <v>Jul'2025</v>
      </c>
      <c r="R4" s="477" t="s">
        <v>504</v>
      </c>
      <c r="S4" s="472" t="s">
        <v>726</v>
      </c>
      <c r="T4" s="473" t="s">
        <v>504</v>
      </c>
      <c r="U4" s="476" t="str">
        <f>S4</f>
        <v>Aug'2025</v>
      </c>
      <c r="V4" s="477" t="s">
        <v>504</v>
      </c>
      <c r="W4" s="472" t="s">
        <v>727</v>
      </c>
      <c r="X4" s="473" t="s">
        <v>504</v>
      </c>
      <c r="Y4" s="476" t="str">
        <f>W4</f>
        <v>Sep'2025</v>
      </c>
      <c r="Z4" s="477" t="s">
        <v>504</v>
      </c>
      <c r="AA4" s="472" t="s">
        <v>728</v>
      </c>
      <c r="AB4" s="473" t="s">
        <v>504</v>
      </c>
      <c r="AC4" s="476" t="str">
        <f>AA4</f>
        <v>Oct'2025</v>
      </c>
      <c r="AD4" s="477" t="s">
        <v>504</v>
      </c>
      <c r="AE4" s="472" t="s">
        <v>729</v>
      </c>
      <c r="AF4" s="473" t="s">
        <v>504</v>
      </c>
      <c r="AG4" s="476" t="str">
        <f>AE4</f>
        <v>Nov'2025</v>
      </c>
      <c r="AH4" s="477" t="s">
        <v>504</v>
      </c>
      <c r="AI4" s="472" t="s">
        <v>730</v>
      </c>
      <c r="AJ4" s="473" t="s">
        <v>504</v>
      </c>
      <c r="AK4" s="476" t="str">
        <f>AI4</f>
        <v>Dec'2025</v>
      </c>
      <c r="AL4" s="477" t="s">
        <v>504</v>
      </c>
      <c r="AM4" s="472" t="s">
        <v>720</v>
      </c>
      <c r="AN4" s="473" t="s">
        <v>504</v>
      </c>
      <c r="AO4" s="476" t="str">
        <f>AM4</f>
        <v>Jan'2026</v>
      </c>
      <c r="AP4" s="477" t="s">
        <v>504</v>
      </c>
      <c r="AQ4" s="472" t="s">
        <v>721</v>
      </c>
      <c r="AR4" s="473" t="s">
        <v>504</v>
      </c>
      <c r="AS4" s="476" t="str">
        <f>AQ4</f>
        <v>Feb'2026</v>
      </c>
      <c r="AT4" s="477" t="s">
        <v>504</v>
      </c>
      <c r="AU4" s="472" t="s">
        <v>722</v>
      </c>
      <c r="AV4" s="473" t="s">
        <v>504</v>
      </c>
      <c r="AW4" s="476" t="str">
        <f>AU4</f>
        <v>Mar'2026</v>
      </c>
      <c r="AX4" s="477" t="s">
        <v>504</v>
      </c>
      <c r="AY4" s="551"/>
      <c r="AZ4" s="551"/>
      <c r="BA4" s="551"/>
      <c r="BB4" s="551"/>
    </row>
    <row r="5" spans="1:58" ht="15" thickBot="1" x14ac:dyDescent="0.4">
      <c r="B5" s="478" t="s">
        <v>541</v>
      </c>
      <c r="C5" s="479">
        <f>+'Apr-26'!$C$82</f>
        <v>727.75151317549944</v>
      </c>
      <c r="D5" s="480">
        <f>+'Apr-26'!$E$82</f>
        <v>727.75151317549944</v>
      </c>
      <c r="E5" s="479">
        <f>+'Apr-26'!$C$89</f>
        <v>604.4411296754995</v>
      </c>
      <c r="F5" s="480">
        <f>+'Apr-26'!$E$89</f>
        <v>604.4411296754995</v>
      </c>
      <c r="G5" s="479">
        <f>+'May-26'!$C$82</f>
        <v>382.62153969205019</v>
      </c>
      <c r="H5" s="480">
        <f>+'May-26'!$E$82</f>
        <v>1110.3730528675515</v>
      </c>
      <c r="I5" s="479">
        <f>+'May-26'!$C$89</f>
        <v>144.29429239205018</v>
      </c>
      <c r="J5" s="480">
        <f>+'May-26'!$E$89</f>
        <v>872.0458055675515</v>
      </c>
      <c r="K5" s="479"/>
      <c r="L5" s="480"/>
      <c r="M5" s="480"/>
      <c r="N5" s="481"/>
      <c r="O5" s="479"/>
      <c r="P5" s="479"/>
      <c r="Q5" s="480"/>
      <c r="R5" s="481"/>
      <c r="S5" s="479"/>
      <c r="T5" s="479"/>
      <c r="U5" s="480"/>
      <c r="V5" s="481"/>
      <c r="W5" s="479"/>
      <c r="X5" s="479"/>
      <c r="Y5" s="480"/>
      <c r="Z5" s="481"/>
      <c r="AA5" s="479"/>
      <c r="AB5" s="479"/>
      <c r="AC5" s="480"/>
      <c r="AD5" s="481"/>
      <c r="AE5" s="479"/>
      <c r="AF5" s="479"/>
      <c r="AG5" s="480"/>
      <c r="AH5" s="481"/>
      <c r="AI5" s="479"/>
      <c r="AJ5" s="479"/>
      <c r="AK5" s="480"/>
      <c r="AL5" s="481"/>
      <c r="AM5" s="479"/>
      <c r="AN5" s="479"/>
      <c r="AO5" s="480"/>
      <c r="AP5" s="481"/>
      <c r="AQ5" s="479"/>
      <c r="AR5" s="479"/>
      <c r="AS5" s="480"/>
      <c r="AT5" s="481"/>
      <c r="AU5" s="479"/>
      <c r="AV5" s="479"/>
      <c r="AW5" s="480"/>
      <c r="AX5" s="481"/>
      <c r="AY5" s="552"/>
      <c r="AZ5" s="552"/>
      <c r="BA5" s="552"/>
      <c r="BB5" s="552"/>
    </row>
    <row r="6" spans="1:58" ht="15" thickBot="1" x14ac:dyDescent="0.4">
      <c r="B6" s="482" t="s">
        <v>511</v>
      </c>
      <c r="C6" s="479">
        <f>+'Apr-26'!$G$82</f>
        <v>225.11668529000031</v>
      </c>
      <c r="D6" s="480">
        <f>+'Apr-26'!$I$82</f>
        <v>225.11668529000031</v>
      </c>
      <c r="E6" s="479">
        <f>+'Apr-26'!$G$89</f>
        <v>218.65361829000031</v>
      </c>
      <c r="F6" s="480">
        <f>+'Apr-26'!$I$89</f>
        <v>218.65361829000031</v>
      </c>
      <c r="G6" s="479">
        <f>+'May-26'!$G$82</f>
        <v>212.48088897999992</v>
      </c>
      <c r="H6" s="480">
        <f>+'May-26'!$I$82</f>
        <v>437.59757426999977</v>
      </c>
      <c r="I6" s="479">
        <f>+'May-26'!$G$89</f>
        <v>179.88929197999991</v>
      </c>
      <c r="J6" s="480">
        <f>+'May-26'!$I$89</f>
        <v>405.00597726999979</v>
      </c>
      <c r="K6" s="483"/>
      <c r="L6" s="484"/>
      <c r="M6" s="484"/>
      <c r="N6" s="485"/>
      <c r="O6" s="483"/>
      <c r="P6" s="479"/>
      <c r="Q6" s="484"/>
      <c r="R6" s="485"/>
      <c r="S6" s="483"/>
      <c r="T6" s="479"/>
      <c r="U6" s="484"/>
      <c r="V6" s="485"/>
      <c r="W6" s="483"/>
      <c r="X6" s="479"/>
      <c r="Y6" s="484"/>
      <c r="Z6" s="485"/>
      <c r="AA6" s="483"/>
      <c r="AB6" s="479"/>
      <c r="AC6" s="484"/>
      <c r="AD6" s="485"/>
      <c r="AE6" s="483"/>
      <c r="AF6" s="479"/>
      <c r="AG6" s="484"/>
      <c r="AH6" s="485"/>
      <c r="AI6" s="483"/>
      <c r="AJ6" s="479"/>
      <c r="AK6" s="484"/>
      <c r="AL6" s="485"/>
      <c r="AM6" s="483"/>
      <c r="AN6" s="479"/>
      <c r="AO6" s="484"/>
      <c r="AP6" s="485"/>
      <c r="AQ6" s="483"/>
      <c r="AR6" s="479"/>
      <c r="AS6" s="484"/>
      <c r="AT6" s="485"/>
      <c r="AU6" s="483"/>
      <c r="AV6" s="479"/>
      <c r="AW6" s="484"/>
      <c r="AX6" s="485"/>
      <c r="AY6" s="552"/>
      <c r="AZ6" s="552"/>
      <c r="BA6" s="552"/>
      <c r="BB6" s="552"/>
    </row>
    <row r="7" spans="1:58" ht="15" thickBot="1" x14ac:dyDescent="0.4">
      <c r="B7" s="482" t="s">
        <v>512</v>
      </c>
      <c r="C7" s="479">
        <f>+'Apr-26'!$K$82</f>
        <v>37.266779</v>
      </c>
      <c r="D7" s="480">
        <f>+'Apr-26'!$M$82</f>
        <v>37.266779</v>
      </c>
      <c r="E7" s="479">
        <f>+'Apr-26'!$K$89</f>
        <v>15.992644700000001</v>
      </c>
      <c r="F7" s="480">
        <f>+'Apr-26'!$M$89</f>
        <v>15.992644700000001</v>
      </c>
      <c r="G7" s="479">
        <f>+'May-26'!$K$82</f>
        <v>19.081348599999998</v>
      </c>
      <c r="H7" s="480">
        <f>+'May-26'!$M$82</f>
        <v>56.348127600000012</v>
      </c>
      <c r="I7" s="479">
        <f>+'May-26'!$K$89</f>
        <v>-31.006676800000001</v>
      </c>
      <c r="J7" s="480">
        <f>+'May-26'!$M$89</f>
        <v>6.2601022000000111</v>
      </c>
      <c r="K7" s="483"/>
      <c r="L7" s="484"/>
      <c r="M7" s="484"/>
      <c r="N7" s="485"/>
      <c r="O7" s="483"/>
      <c r="P7" s="479"/>
      <c r="Q7" s="484"/>
      <c r="R7" s="485"/>
      <c r="S7" s="483"/>
      <c r="T7" s="484"/>
      <c r="U7" s="484"/>
      <c r="V7" s="485"/>
      <c r="W7" s="483"/>
      <c r="X7" s="484"/>
      <c r="Y7" s="484"/>
      <c r="Z7" s="485"/>
      <c r="AA7" s="483"/>
      <c r="AB7" s="484"/>
      <c r="AC7" s="484"/>
      <c r="AD7" s="485"/>
      <c r="AE7" s="483"/>
      <c r="AF7" s="484"/>
      <c r="AG7" s="484"/>
      <c r="AH7" s="485"/>
      <c r="AI7" s="483"/>
      <c r="AJ7" s="484"/>
      <c r="AK7" s="484"/>
      <c r="AL7" s="485"/>
      <c r="AM7" s="483"/>
      <c r="AN7" s="484"/>
      <c r="AO7" s="484"/>
      <c r="AP7" s="485"/>
      <c r="AQ7" s="483"/>
      <c r="AR7" s="484"/>
      <c r="AS7" s="484"/>
      <c r="AT7" s="485"/>
      <c r="AU7" s="483"/>
      <c r="AV7" s="484"/>
      <c r="AW7" s="484"/>
      <c r="AX7" s="485"/>
      <c r="AY7" s="552"/>
      <c r="AZ7" s="552"/>
      <c r="BA7" s="552"/>
      <c r="BB7" s="552"/>
    </row>
    <row r="8" spans="1:58" ht="15" thickBot="1" x14ac:dyDescent="0.4">
      <c r="B8" s="482" t="s">
        <v>748</v>
      </c>
      <c r="C8" s="479">
        <f>+'Apr-26'!$O$82</f>
        <v>135.03311311530058</v>
      </c>
      <c r="D8" s="480">
        <f>+'Apr-26'!$Q$82</f>
        <v>135.03311311530058</v>
      </c>
      <c r="E8" s="479">
        <f>+'Apr-26'!$O$89</f>
        <v>133.93357161530056</v>
      </c>
      <c r="F8" s="480">
        <f>+'Apr-26'!$Q$89</f>
        <v>133.93357161530056</v>
      </c>
      <c r="G8" s="479">
        <f>+'May-26'!$O$82</f>
        <v>303.6334631580246</v>
      </c>
      <c r="H8" s="480">
        <f>+'May-26'!$Q$82</f>
        <v>438.66657627332484</v>
      </c>
      <c r="I8" s="479">
        <f>+'May-26'!$O$89</f>
        <v>301.19332415802461</v>
      </c>
      <c r="J8" s="480">
        <f>+'May-26'!$Q$89</f>
        <v>436.22643727332485</v>
      </c>
      <c r="K8" s="483"/>
      <c r="L8" s="484"/>
      <c r="M8" s="484"/>
      <c r="N8" s="485"/>
      <c r="O8" s="483"/>
      <c r="P8" s="484"/>
      <c r="Q8" s="484"/>
      <c r="R8" s="485"/>
      <c r="S8" s="483"/>
      <c r="T8" s="484"/>
      <c r="U8" s="484"/>
      <c r="V8" s="485"/>
      <c r="W8" s="483"/>
      <c r="X8" s="484"/>
      <c r="Y8" s="484"/>
      <c r="Z8" s="485"/>
      <c r="AA8" s="483"/>
      <c r="AB8" s="484"/>
      <c r="AC8" s="484"/>
      <c r="AD8" s="485"/>
      <c r="AE8" s="483"/>
      <c r="AF8" s="484"/>
      <c r="AG8" s="484"/>
      <c r="AH8" s="485"/>
      <c r="AI8" s="483"/>
      <c r="AJ8" s="484"/>
      <c r="AK8" s="484"/>
      <c r="AL8" s="485"/>
      <c r="AM8" s="483"/>
      <c r="AN8" s="484"/>
      <c r="AO8" s="484"/>
      <c r="AP8" s="485"/>
      <c r="AQ8" s="483"/>
      <c r="AR8" s="484"/>
      <c r="AS8" s="484"/>
      <c r="AT8" s="485"/>
      <c r="AU8" s="483"/>
      <c r="AV8" s="484"/>
      <c r="AW8" s="484"/>
      <c r="AX8" s="485"/>
      <c r="AY8" s="552"/>
      <c r="AZ8" s="552"/>
      <c r="BA8" s="552"/>
      <c r="BB8" s="552"/>
    </row>
    <row r="9" spans="1:58" ht="15" thickBot="1" x14ac:dyDescent="0.4">
      <c r="B9" s="482" t="s">
        <v>514</v>
      </c>
      <c r="C9" s="479">
        <f>+'Apr-26'!$S$82</f>
        <v>-10.920260099999986</v>
      </c>
      <c r="D9" s="480">
        <f>+'Apr-26'!$U$82</f>
        <v>-10.920260099999986</v>
      </c>
      <c r="E9" s="479">
        <f>+'Apr-26'!$S$89</f>
        <v>-18.961648899999986</v>
      </c>
      <c r="F9" s="480">
        <f>+'Apr-26'!$U$89</f>
        <v>-18.961648899999986</v>
      </c>
      <c r="G9" s="479">
        <f>+'May-26'!$S$82</f>
        <v>-18.114825800000002</v>
      </c>
      <c r="H9" s="480">
        <f>+'May-26'!$U$82</f>
        <v>-29.035085899999999</v>
      </c>
      <c r="I9" s="479">
        <f>+'May-26'!$S$89</f>
        <v>-15.065947100000002</v>
      </c>
      <c r="J9" s="480">
        <f>+'May-26'!$U$89</f>
        <v>-25.986207199999999</v>
      </c>
      <c r="K9" s="483"/>
      <c r="L9" s="484"/>
      <c r="M9" s="484"/>
      <c r="N9" s="485"/>
      <c r="O9" s="483"/>
      <c r="P9" s="484"/>
      <c r="Q9" s="484"/>
      <c r="R9" s="485"/>
      <c r="S9" s="483"/>
      <c r="T9" s="484"/>
      <c r="U9" s="484"/>
      <c r="V9" s="485"/>
      <c r="W9" s="483"/>
      <c r="X9" s="484"/>
      <c r="Y9" s="484"/>
      <c r="Z9" s="485"/>
      <c r="AA9" s="483"/>
      <c r="AB9" s="484"/>
      <c r="AC9" s="484"/>
      <c r="AD9" s="485"/>
      <c r="AE9" s="483"/>
      <c r="AF9" s="484"/>
      <c r="AG9" s="484"/>
      <c r="AH9" s="485"/>
      <c r="AI9" s="483"/>
      <c r="AJ9" s="484"/>
      <c r="AK9" s="484"/>
      <c r="AL9" s="485"/>
      <c r="AM9" s="483"/>
      <c r="AN9" s="484"/>
      <c r="AO9" s="484"/>
      <c r="AP9" s="485"/>
      <c r="AQ9" s="483"/>
      <c r="AR9" s="484"/>
      <c r="AS9" s="484"/>
      <c r="AT9" s="485"/>
      <c r="AU9" s="483"/>
      <c r="AV9" s="484"/>
      <c r="AW9" s="484"/>
      <c r="AX9" s="485"/>
      <c r="AY9" s="552"/>
      <c r="AZ9" s="552"/>
      <c r="BA9" s="552"/>
      <c r="BB9" s="552"/>
    </row>
    <row r="10" spans="1:58" ht="15" thickBot="1" x14ac:dyDescent="0.4">
      <c r="B10" s="486" t="s">
        <v>452</v>
      </c>
      <c r="C10" s="479">
        <f>+'Apr-26'!$W$82</f>
        <v>34.936401100000005</v>
      </c>
      <c r="D10" s="480">
        <f>+'Apr-26'!$Y$82</f>
        <v>34.936401100000005</v>
      </c>
      <c r="E10" s="479">
        <f>+'Apr-26'!$W$89</f>
        <v>33.86870230000001</v>
      </c>
      <c r="F10" s="480">
        <f>+'Apr-26'!$Y$89</f>
        <v>33.86870230000001</v>
      </c>
      <c r="G10" s="479">
        <f>+'May-26'!$W$82</f>
        <v>-64.340984499999195</v>
      </c>
      <c r="H10" s="480">
        <f>+'May-26'!$Y$82</f>
        <v>-29.404583399999865</v>
      </c>
      <c r="I10" s="479">
        <f>+'May-26'!$W$89</f>
        <v>-64.834428099999187</v>
      </c>
      <c r="J10" s="480">
        <f>+'May-26'!$Y$89</f>
        <v>-29.898026999999864</v>
      </c>
      <c r="K10" s="487"/>
      <c r="L10" s="488"/>
      <c r="M10" s="488"/>
      <c r="N10" s="489"/>
      <c r="O10" s="487"/>
      <c r="P10" s="488"/>
      <c r="Q10" s="488"/>
      <c r="R10" s="489"/>
      <c r="S10" s="487"/>
      <c r="T10" s="488"/>
      <c r="U10" s="488"/>
      <c r="V10" s="489"/>
      <c r="W10" s="487"/>
      <c r="X10" s="488"/>
      <c r="Y10" s="488"/>
      <c r="Z10" s="489"/>
      <c r="AA10" s="487"/>
      <c r="AB10" s="488"/>
      <c r="AC10" s="488"/>
      <c r="AD10" s="489"/>
      <c r="AE10" s="487"/>
      <c r="AF10" s="488"/>
      <c r="AG10" s="488"/>
      <c r="AH10" s="489"/>
      <c r="AI10" s="487"/>
      <c r="AJ10" s="488"/>
      <c r="AK10" s="488"/>
      <c r="AL10" s="489"/>
      <c r="AM10" s="487"/>
      <c r="AN10" s="488"/>
      <c r="AO10" s="488"/>
      <c r="AP10" s="489"/>
      <c r="AQ10" s="487"/>
      <c r="AR10" s="488"/>
      <c r="AS10" s="488"/>
      <c r="AT10" s="489"/>
      <c r="AU10" s="487"/>
      <c r="AV10" s="488"/>
      <c r="AW10" s="488"/>
      <c r="AX10" s="489"/>
      <c r="AY10" s="552"/>
      <c r="AZ10" s="552"/>
      <c r="BA10" s="552"/>
      <c r="BB10" s="552"/>
      <c r="BF10" s="18">
        <f>59.57-59.25</f>
        <v>0.32000000000000028</v>
      </c>
    </row>
    <row r="11" spans="1:58" ht="15" thickBot="1" x14ac:dyDescent="0.4">
      <c r="B11" s="48" t="s">
        <v>542</v>
      </c>
      <c r="C11" s="479">
        <f>+'Apr-26'!$AG$82</f>
        <v>71.725645883488141</v>
      </c>
      <c r="D11" s="480">
        <f>+'Apr-26'!$AI$82</f>
        <v>71.725645883488141</v>
      </c>
      <c r="E11" s="479">
        <f>+'Apr-26'!$AG$89</f>
        <v>51.229444883488135</v>
      </c>
      <c r="F11" s="480">
        <f>+'Apr-26'!$AI$89</f>
        <v>51.229444883488135</v>
      </c>
      <c r="G11" s="479">
        <f>+'May-26'!$AG$82</f>
        <v>36.774061048210001</v>
      </c>
      <c r="H11" s="480">
        <f>+'May-26'!$AI$82</f>
        <v>108.49970693169814</v>
      </c>
      <c r="I11" s="479">
        <f>+'May-26'!$AG$89</f>
        <v>-5.51499865179</v>
      </c>
      <c r="J11" s="480">
        <f>+'May-26'!$AI$89</f>
        <v>66.210647231698147</v>
      </c>
      <c r="K11" s="484"/>
      <c r="L11" s="484"/>
      <c r="M11" s="484"/>
      <c r="N11" s="485"/>
      <c r="O11" s="484"/>
      <c r="P11" s="484"/>
      <c r="Q11" s="484"/>
      <c r="R11" s="485"/>
      <c r="S11" s="484"/>
      <c r="T11" s="484"/>
      <c r="U11" s="484"/>
      <c r="V11" s="485"/>
      <c r="W11" s="484"/>
      <c r="X11" s="484"/>
      <c r="Y11" s="484"/>
      <c r="Z11" s="485"/>
      <c r="AA11" s="484"/>
      <c r="AB11" s="484"/>
      <c r="AC11" s="484"/>
      <c r="AD11" s="485"/>
      <c r="AE11" s="484"/>
      <c r="AF11" s="484"/>
      <c r="AG11" s="484"/>
      <c r="AH11" s="485"/>
      <c r="AI11" s="484"/>
      <c r="AJ11" s="484"/>
      <c r="AK11" s="484"/>
      <c r="AL11" s="485"/>
      <c r="AM11" s="484"/>
      <c r="AN11" s="484"/>
      <c r="AO11" s="484"/>
      <c r="AP11" s="485"/>
      <c r="AQ11" s="484"/>
      <c r="AR11" s="484"/>
      <c r="AS11" s="484"/>
      <c r="AT11" s="485"/>
      <c r="AU11" s="484"/>
      <c r="AV11" s="484"/>
      <c r="AW11" s="484"/>
      <c r="AX11" s="485"/>
      <c r="AY11" s="552"/>
      <c r="AZ11" s="552"/>
      <c r="BA11" s="552"/>
      <c r="BB11" s="552"/>
    </row>
    <row r="12" spans="1:58" ht="16" thickBot="1" x14ac:dyDescent="0.4">
      <c r="B12" s="48" t="s">
        <v>534</v>
      </c>
      <c r="C12" s="479">
        <f>+'Apr-26'!$AL$82</f>
        <v>164.56857802161903</v>
      </c>
      <c r="D12" s="480">
        <f>+'Apr-26'!$AN$82</f>
        <v>164.56857802161903</v>
      </c>
      <c r="E12" s="479">
        <f>+'Apr-26'!$AL$89</f>
        <v>140.97763232161904</v>
      </c>
      <c r="F12" s="480">
        <f>+'Apr-26'!$AN$89</f>
        <v>140.97763232161904</v>
      </c>
      <c r="G12" s="479">
        <f>+'May-26'!$AL$82</f>
        <v>-113.89549818352066</v>
      </c>
      <c r="H12" s="480">
        <f>+'May-26'!$AN$82</f>
        <v>50.673079838099056</v>
      </c>
      <c r="I12" s="479">
        <f>+'May-26'!$AL$89</f>
        <v>-177.49362698352064</v>
      </c>
      <c r="J12" s="480">
        <f>+'May-26'!$AN$89</f>
        <v>-12.925048961900941</v>
      </c>
      <c r="K12" s="484"/>
      <c r="L12" s="484"/>
      <c r="M12" s="484"/>
      <c r="N12" s="485"/>
      <c r="O12" s="484"/>
      <c r="P12" s="490"/>
      <c r="Q12" s="484"/>
      <c r="R12" s="485"/>
      <c r="S12" s="484"/>
      <c r="T12" s="490"/>
      <c r="U12" s="484"/>
      <c r="V12" s="485"/>
      <c r="W12" s="484"/>
      <c r="X12" s="490"/>
      <c r="Y12" s="484"/>
      <c r="Z12" s="485"/>
      <c r="AA12" s="484"/>
      <c r="AB12" s="490"/>
      <c r="AC12" s="484"/>
      <c r="AD12" s="485"/>
      <c r="AE12" s="484"/>
      <c r="AF12" s="490"/>
      <c r="AG12" s="484"/>
      <c r="AH12" s="485"/>
      <c r="AI12" s="484"/>
      <c r="AJ12" s="490"/>
      <c r="AK12" s="484"/>
      <c r="AL12" s="485"/>
      <c r="AM12" s="484"/>
      <c r="AN12" s="490"/>
      <c r="AO12" s="484"/>
      <c r="AP12" s="485"/>
      <c r="AQ12" s="484"/>
      <c r="AR12" s="490"/>
      <c r="AS12" s="484"/>
      <c r="AT12" s="485"/>
      <c r="AU12" s="484"/>
      <c r="AV12" s="490"/>
      <c r="AW12" s="484"/>
      <c r="AX12" s="485"/>
      <c r="AY12" s="552"/>
      <c r="AZ12" s="552"/>
      <c r="BA12" s="552"/>
      <c r="BB12" s="552"/>
    </row>
    <row r="13" spans="1:58" ht="18.5" customHeight="1" thickBot="1" x14ac:dyDescent="0.4">
      <c r="B13" s="48" t="s">
        <v>543</v>
      </c>
      <c r="C13" s="479">
        <f>+'Apr-26'!$AQ$82</f>
        <v>568.90213819599967</v>
      </c>
      <c r="D13" s="480">
        <f>+'Apr-26'!$AS$82</f>
        <v>568.90213819599967</v>
      </c>
      <c r="E13" s="479">
        <f>+'Apr-26'!$AQ$89</f>
        <v>505.99821739599969</v>
      </c>
      <c r="F13" s="480">
        <f>+'Apr-26'!$AS$89</f>
        <v>505.99821739599969</v>
      </c>
      <c r="G13" s="479">
        <f>+'May-26'!$AQ$82</f>
        <v>741.82315350600061</v>
      </c>
      <c r="H13" s="480">
        <f>+'May-26'!$AS$82</f>
        <v>1310.7252917020005</v>
      </c>
      <c r="I13" s="479">
        <f>+'May-26'!$AQ$89</f>
        <v>592.64676300600058</v>
      </c>
      <c r="J13" s="480">
        <f>+'May-26'!$AS$89</f>
        <v>1161.5489012020005</v>
      </c>
      <c r="K13" s="484"/>
      <c r="L13" s="484"/>
      <c r="M13" s="484"/>
      <c r="N13" s="485"/>
      <c r="O13" s="484"/>
      <c r="P13" s="484"/>
      <c r="Q13" s="484"/>
      <c r="R13" s="485"/>
      <c r="S13" s="484"/>
      <c r="T13" s="484"/>
      <c r="U13" s="484"/>
      <c r="V13" s="485"/>
      <c r="W13" s="484"/>
      <c r="X13" s="484"/>
      <c r="Y13" s="484"/>
      <c r="Z13" s="485"/>
      <c r="AA13" s="484"/>
      <c r="AB13" s="484"/>
      <c r="AC13" s="484"/>
      <c r="AD13" s="485"/>
      <c r="AE13" s="484"/>
      <c r="AF13" s="484"/>
      <c r="AG13" s="484"/>
      <c r="AH13" s="485"/>
      <c r="AI13" s="484"/>
      <c r="AJ13" s="484"/>
      <c r="AK13" s="484"/>
      <c r="AL13" s="485"/>
      <c r="AM13" s="484"/>
      <c r="AN13" s="484"/>
      <c r="AO13" s="484"/>
      <c r="AP13" s="485"/>
      <c r="AQ13" s="484"/>
      <c r="AR13" s="484"/>
      <c r="AS13" s="484"/>
      <c r="AT13" s="485"/>
      <c r="AU13" s="484"/>
      <c r="AV13" s="484"/>
      <c r="AW13" s="484"/>
      <c r="AX13" s="485"/>
      <c r="AY13" s="552"/>
      <c r="AZ13" s="552"/>
      <c r="BA13" s="552"/>
      <c r="BB13" s="552"/>
    </row>
    <row r="14" spans="1:58" ht="15" thickBot="1" x14ac:dyDescent="0.4">
      <c r="B14" s="48" t="s">
        <v>544</v>
      </c>
      <c r="C14" s="479">
        <f>+'Apr-26'!$AU$82</f>
        <v>126.07634990557995</v>
      </c>
      <c r="D14" s="480">
        <f>+'Apr-26'!$AW$82</f>
        <v>126.07634990557995</v>
      </c>
      <c r="E14" s="479">
        <f>+'Apr-26'!$AU$89</f>
        <v>119.87333880557995</v>
      </c>
      <c r="F14" s="480">
        <f>+'Apr-26'!$AW$89</f>
        <v>119.87333880557995</v>
      </c>
      <c r="G14" s="479">
        <f>+'May-26'!$AU$82</f>
        <v>303.92957710576127</v>
      </c>
      <c r="H14" s="480">
        <f>+'May-26'!$AW$82</f>
        <v>430.00592701134087</v>
      </c>
      <c r="I14" s="479">
        <f>+'May-26'!$AU$89</f>
        <v>292.28164120576128</v>
      </c>
      <c r="J14" s="480">
        <f>+'May-26'!$AW$89</f>
        <v>418.35799111134088</v>
      </c>
      <c r="K14" s="484"/>
      <c r="L14" s="484"/>
      <c r="M14" s="484"/>
      <c r="N14" s="485"/>
      <c r="O14" s="484"/>
      <c r="P14" s="484"/>
      <c r="Q14" s="484"/>
      <c r="R14" s="485"/>
      <c r="S14" s="484"/>
      <c r="T14" s="484"/>
      <c r="U14" s="484"/>
      <c r="V14" s="485"/>
      <c r="W14" s="484"/>
      <c r="X14" s="484"/>
      <c r="Y14" s="484"/>
      <c r="Z14" s="485"/>
      <c r="AA14" s="484"/>
      <c r="AB14" s="484"/>
      <c r="AC14" s="484"/>
      <c r="AD14" s="485"/>
      <c r="AE14" s="484"/>
      <c r="AF14" s="484"/>
      <c r="AG14" s="484"/>
      <c r="AH14" s="485"/>
      <c r="AI14" s="484"/>
      <c r="AJ14" s="484"/>
      <c r="AK14" s="484"/>
      <c r="AL14" s="485"/>
      <c r="AM14" s="484"/>
      <c r="AN14" s="484"/>
      <c r="AO14" s="484"/>
      <c r="AP14" s="485"/>
      <c r="AQ14" s="484"/>
      <c r="AR14" s="484"/>
      <c r="AS14" s="484"/>
      <c r="AT14" s="485"/>
      <c r="AU14" s="484"/>
      <c r="AV14" s="484"/>
      <c r="AW14" s="484"/>
      <c r="AX14" s="485"/>
      <c r="AY14" s="552"/>
      <c r="AZ14" s="552"/>
      <c r="BA14" s="552"/>
      <c r="BB14" s="552"/>
    </row>
    <row r="15" spans="1:58" ht="15" thickBot="1" x14ac:dyDescent="0.4">
      <c r="B15" s="48" t="s">
        <v>545</v>
      </c>
      <c r="C15" s="479">
        <f>+'Apr-26'!$BE$82</f>
        <v>24.908538000000135</v>
      </c>
      <c r="D15" s="480">
        <f>+'Apr-26'!$BG$82</f>
        <v>24.908538000000135</v>
      </c>
      <c r="E15" s="479">
        <f>+'Apr-26'!$BE$89</f>
        <v>-11.892946999999864</v>
      </c>
      <c r="F15" s="480">
        <f>+'Apr-26'!$BG$89</f>
        <v>-11.892946999999864</v>
      </c>
      <c r="G15" s="479">
        <f>+'May-26'!$BE$82</f>
        <v>-115.29487879999988</v>
      </c>
      <c r="H15" s="480">
        <f>+'May-26'!$BG$82</f>
        <v>-90.386340799999743</v>
      </c>
      <c r="I15" s="479">
        <f>+'May-26'!$BE$89</f>
        <v>-152.09636379999989</v>
      </c>
      <c r="J15" s="480">
        <f>+'May-26'!$BG$89</f>
        <v>-127.18782579999974</v>
      </c>
      <c r="K15" s="484"/>
      <c r="L15" s="484"/>
      <c r="M15" s="484"/>
      <c r="N15" s="485"/>
      <c r="O15" s="484"/>
      <c r="P15" s="484"/>
      <c r="Q15" s="484"/>
      <c r="R15" s="485"/>
      <c r="S15" s="484"/>
      <c r="T15" s="484"/>
      <c r="U15" s="484"/>
      <c r="V15" s="485"/>
      <c r="W15" s="484"/>
      <c r="X15" s="484"/>
      <c r="Y15" s="484"/>
      <c r="Z15" s="485"/>
      <c r="AA15" s="484"/>
      <c r="AB15" s="484"/>
      <c r="AC15" s="484"/>
      <c r="AD15" s="485"/>
      <c r="AE15" s="484"/>
      <c r="AF15" s="484"/>
      <c r="AG15" s="484"/>
      <c r="AH15" s="485"/>
      <c r="AI15" s="484"/>
      <c r="AJ15" s="484"/>
      <c r="AK15" s="484"/>
      <c r="AL15" s="485"/>
      <c r="AM15" s="484"/>
      <c r="AN15" s="484"/>
      <c r="AO15" s="484"/>
      <c r="AP15" s="485"/>
      <c r="AQ15" s="484"/>
      <c r="AR15" s="484"/>
      <c r="AS15" s="484"/>
      <c r="AT15" s="485"/>
      <c r="AU15" s="484"/>
      <c r="AV15" s="484"/>
      <c r="AW15" s="484"/>
      <c r="AX15" s="485"/>
      <c r="AY15" s="552"/>
      <c r="AZ15" s="552"/>
      <c r="BA15" s="552"/>
      <c r="BB15" s="552"/>
    </row>
    <row r="16" spans="1:58" ht="15" thickBot="1" x14ac:dyDescent="0.4">
      <c r="B16" s="48" t="s">
        <v>546</v>
      </c>
      <c r="C16" s="479">
        <f>+'Apr-26'!$BI$82</f>
        <v>-6.1781505000000081</v>
      </c>
      <c r="D16" s="480">
        <f>+'Apr-26'!$BK$82</f>
        <v>-6.1781505000000081</v>
      </c>
      <c r="E16" s="479">
        <f>+'Apr-26'!$BI$89</f>
        <v>-6.1781505000000081</v>
      </c>
      <c r="F16" s="480">
        <f>+'Apr-26'!$BK$89</f>
        <v>-6.1781505000000081</v>
      </c>
      <c r="G16" s="479">
        <f>+'May-26'!$BI$82</f>
        <v>10.59181550000001</v>
      </c>
      <c r="H16" s="480">
        <f>+'May-26'!$BK$82</f>
        <v>4.4136650000000017</v>
      </c>
      <c r="I16" s="479">
        <f>+'May-26'!$BI$89</f>
        <v>10.59181550000001</v>
      </c>
      <c r="J16" s="480">
        <f>+'May-26'!$BK$89</f>
        <v>4.4136650000000017</v>
      </c>
      <c r="K16" s="484"/>
      <c r="L16" s="484"/>
      <c r="M16" s="484"/>
      <c r="N16" s="485"/>
      <c r="O16" s="484"/>
      <c r="P16" s="484"/>
      <c r="Q16" s="484"/>
      <c r="R16" s="485"/>
      <c r="S16" s="484"/>
      <c r="T16" s="484"/>
      <c r="U16" s="484"/>
      <c r="V16" s="485"/>
      <c r="W16" s="484"/>
      <c r="X16" s="484"/>
      <c r="Y16" s="484"/>
      <c r="Z16" s="485"/>
      <c r="AA16" s="484"/>
      <c r="AB16" s="484"/>
      <c r="AC16" s="484"/>
      <c r="AD16" s="485"/>
      <c r="AE16" s="484"/>
      <c r="AF16" s="484"/>
      <c r="AG16" s="484"/>
      <c r="AH16" s="485"/>
      <c r="AI16" s="484"/>
      <c r="AJ16" s="484"/>
      <c r="AK16" s="484"/>
      <c r="AL16" s="485"/>
      <c r="AM16" s="484"/>
      <c r="AN16" s="484"/>
      <c r="AO16" s="484"/>
      <c r="AP16" s="485"/>
      <c r="AQ16" s="484"/>
      <c r="AR16" s="484"/>
      <c r="AS16" s="484"/>
      <c r="AT16" s="485"/>
      <c r="AU16" s="484"/>
      <c r="AV16" s="484"/>
      <c r="AW16" s="484"/>
      <c r="AX16" s="485"/>
      <c r="AY16" s="552"/>
      <c r="AZ16" s="552"/>
      <c r="BA16" s="552"/>
      <c r="BB16" s="552"/>
    </row>
    <row r="17" spans="2:60" ht="15" thickBot="1" x14ac:dyDescent="0.4">
      <c r="B17" s="83" t="s">
        <v>547</v>
      </c>
      <c r="C17" s="479">
        <f>+'Apr-26'!$BM$82</f>
        <v>7.6170000000000002E-2</v>
      </c>
      <c r="D17" s="480">
        <f>+'Apr-26'!$BO$82</f>
        <v>7.6170000000000002E-2</v>
      </c>
      <c r="E17" s="479">
        <f>+'Apr-26'!$BM$89</f>
        <v>7.6170000000000002E-2</v>
      </c>
      <c r="F17" s="480">
        <f>+'Apr-26'!$BO$89</f>
        <v>7.6170000000000002E-2</v>
      </c>
      <c r="G17" s="479">
        <f>+'May-26'!$BM$82</f>
        <v>0</v>
      </c>
      <c r="H17" s="480">
        <f>+'May-26'!$BO$82</f>
        <v>7.6170000000000002E-2</v>
      </c>
      <c r="I17" s="479">
        <f>+'May-26'!$BM$89</f>
        <v>0</v>
      </c>
      <c r="J17" s="480">
        <f>+'May-26'!$BO$89</f>
        <v>7.6170000000000002E-2</v>
      </c>
      <c r="K17" s="484"/>
      <c r="L17" s="484"/>
      <c r="M17" s="484"/>
      <c r="N17" s="485"/>
      <c r="O17" s="484"/>
      <c r="P17" s="484"/>
      <c r="Q17" s="484"/>
      <c r="R17" s="485"/>
      <c r="S17" s="484"/>
      <c r="T17" s="484"/>
      <c r="U17" s="484"/>
      <c r="V17" s="485"/>
      <c r="W17" s="484"/>
      <c r="X17" s="484"/>
      <c r="Y17" s="484"/>
      <c r="Z17" s="485"/>
      <c r="AA17" s="484"/>
      <c r="AB17" s="484"/>
      <c r="AC17" s="484"/>
      <c r="AD17" s="485"/>
      <c r="AE17" s="484"/>
      <c r="AF17" s="484"/>
      <c r="AG17" s="484"/>
      <c r="AH17" s="485"/>
      <c r="AI17" s="484"/>
      <c r="AJ17" s="484"/>
      <c r="AK17" s="484"/>
      <c r="AL17" s="485"/>
      <c r="AM17" s="484"/>
      <c r="AN17" s="484"/>
      <c r="AO17" s="484"/>
      <c r="AP17" s="485"/>
      <c r="AQ17" s="484"/>
      <c r="AR17" s="484"/>
      <c r="AS17" s="484"/>
      <c r="AT17" s="485"/>
      <c r="AU17" s="484"/>
      <c r="AV17" s="484"/>
      <c r="AW17" s="484"/>
      <c r="AX17" s="485"/>
      <c r="AY17" s="552"/>
      <c r="AZ17" s="552"/>
      <c r="BA17" s="552"/>
      <c r="BB17" s="552"/>
    </row>
    <row r="18" spans="2:60" ht="15" thickBot="1" x14ac:dyDescent="0.4">
      <c r="B18" s="83" t="s">
        <v>749</v>
      </c>
      <c r="C18" s="479">
        <f>+'Apr-26'!$BW$82</f>
        <v>52.699453600000197</v>
      </c>
      <c r="D18" s="480">
        <f>+'Apr-26'!$BY$82</f>
        <v>52.699453600000197</v>
      </c>
      <c r="E18" s="479">
        <f>+'Apr-26'!$BW$89</f>
        <v>52.699453600000197</v>
      </c>
      <c r="F18" s="480">
        <f>+'Apr-26'!$BY$89</f>
        <v>52.699453600000197</v>
      </c>
      <c r="G18" s="479">
        <f>+'May-26'!$BW$82</f>
        <v>49.856208799999933</v>
      </c>
      <c r="H18" s="480">
        <f>+'May-26'!$BY$82</f>
        <v>102.55566240000053</v>
      </c>
      <c r="I18" s="479">
        <f>+'May-26'!$BW$89</f>
        <v>49.856208799999933</v>
      </c>
      <c r="J18" s="480">
        <f>+'May-26'!$BY$89</f>
        <v>102.55566240000053</v>
      </c>
      <c r="K18" s="488"/>
      <c r="L18" s="488"/>
      <c r="M18" s="488"/>
      <c r="N18" s="489"/>
      <c r="O18" s="488"/>
      <c r="P18" s="488"/>
      <c r="Q18" s="488"/>
      <c r="R18" s="489"/>
      <c r="S18" s="488"/>
      <c r="T18" s="488"/>
      <c r="U18" s="488"/>
      <c r="V18" s="489"/>
      <c r="W18" s="488"/>
      <c r="X18" s="488"/>
      <c r="Y18" s="488"/>
      <c r="Z18" s="489"/>
      <c r="AA18" s="488"/>
      <c r="AB18" s="488"/>
      <c r="AC18" s="488"/>
      <c r="AD18" s="489"/>
      <c r="AE18" s="488"/>
      <c r="AF18" s="488"/>
      <c r="AG18" s="488"/>
      <c r="AH18" s="489"/>
      <c r="AI18" s="488"/>
      <c r="AJ18" s="488"/>
      <c r="AK18" s="488"/>
      <c r="AL18" s="489"/>
      <c r="AM18" s="488"/>
      <c r="AN18" s="488"/>
      <c r="AO18" s="488"/>
      <c r="AP18" s="489"/>
      <c r="AQ18" s="488"/>
      <c r="AR18" s="488"/>
      <c r="AS18" s="488"/>
      <c r="AT18" s="489"/>
      <c r="AU18" s="488"/>
      <c r="AV18" s="488"/>
      <c r="AW18" s="488"/>
      <c r="AX18" s="489"/>
      <c r="AY18" s="552"/>
      <c r="AZ18" s="552"/>
      <c r="BA18" s="552"/>
      <c r="BB18" s="552"/>
    </row>
    <row r="19" spans="2:60" ht="15.5" x14ac:dyDescent="0.35">
      <c r="B19" s="491" t="s">
        <v>548</v>
      </c>
      <c r="C19" s="492">
        <f t="shared" ref="C19:J19" si="0">SUM(C5:C18)</f>
        <v>2151.9629546874876</v>
      </c>
      <c r="D19" s="492">
        <f t="shared" si="0"/>
        <v>2151.9629546874876</v>
      </c>
      <c r="E19" s="492">
        <f t="shared" si="0"/>
        <v>1840.7111771874879</v>
      </c>
      <c r="F19" s="492">
        <f t="shared" si="0"/>
        <v>1840.7111771874879</v>
      </c>
      <c r="G19" s="492">
        <f t="shared" si="0"/>
        <v>1749.1458691065268</v>
      </c>
      <c r="H19" s="492">
        <f t="shared" si="0"/>
        <v>3901.1088237940157</v>
      </c>
      <c r="I19" s="492">
        <f t="shared" si="0"/>
        <v>1124.7412956065268</v>
      </c>
      <c r="J19" s="492">
        <f t="shared" si="0"/>
        <v>3276.7042502940158</v>
      </c>
      <c r="K19" s="492">
        <f t="shared" ref="K19:AX19" si="1">SUM(K5:K18)</f>
        <v>0</v>
      </c>
      <c r="L19" s="492">
        <f t="shared" si="1"/>
        <v>0</v>
      </c>
      <c r="M19" s="492">
        <f t="shared" si="1"/>
        <v>0</v>
      </c>
      <c r="N19" s="492">
        <f t="shared" si="1"/>
        <v>0</v>
      </c>
      <c r="O19" s="492">
        <f t="shared" si="1"/>
        <v>0</v>
      </c>
      <c r="P19" s="492">
        <f t="shared" si="1"/>
        <v>0</v>
      </c>
      <c r="Q19" s="492">
        <f t="shared" si="1"/>
        <v>0</v>
      </c>
      <c r="R19" s="492">
        <f t="shared" si="1"/>
        <v>0</v>
      </c>
      <c r="S19" s="492">
        <f t="shared" si="1"/>
        <v>0</v>
      </c>
      <c r="T19" s="492">
        <f t="shared" si="1"/>
        <v>0</v>
      </c>
      <c r="U19" s="492">
        <f t="shared" si="1"/>
        <v>0</v>
      </c>
      <c r="V19" s="492">
        <f t="shared" si="1"/>
        <v>0</v>
      </c>
      <c r="W19" s="492">
        <f t="shared" si="1"/>
        <v>0</v>
      </c>
      <c r="X19" s="492">
        <f t="shared" si="1"/>
        <v>0</v>
      </c>
      <c r="Y19" s="492">
        <f t="shared" si="1"/>
        <v>0</v>
      </c>
      <c r="Z19" s="492">
        <f t="shared" si="1"/>
        <v>0</v>
      </c>
      <c r="AA19" s="492">
        <f t="shared" si="1"/>
        <v>0</v>
      </c>
      <c r="AB19" s="492">
        <f t="shared" si="1"/>
        <v>0</v>
      </c>
      <c r="AC19" s="492">
        <f t="shared" si="1"/>
        <v>0</v>
      </c>
      <c r="AD19" s="492">
        <f t="shared" si="1"/>
        <v>0</v>
      </c>
      <c r="AE19" s="492">
        <f t="shared" si="1"/>
        <v>0</v>
      </c>
      <c r="AF19" s="492">
        <f t="shared" si="1"/>
        <v>0</v>
      </c>
      <c r="AG19" s="492">
        <f t="shared" si="1"/>
        <v>0</v>
      </c>
      <c r="AH19" s="492">
        <f t="shared" si="1"/>
        <v>0</v>
      </c>
      <c r="AI19" s="492">
        <f t="shared" si="1"/>
        <v>0</v>
      </c>
      <c r="AJ19" s="492">
        <f t="shared" si="1"/>
        <v>0</v>
      </c>
      <c r="AK19" s="492">
        <f t="shared" si="1"/>
        <v>0</v>
      </c>
      <c r="AL19" s="492">
        <f t="shared" si="1"/>
        <v>0</v>
      </c>
      <c r="AM19" s="492">
        <f t="shared" si="1"/>
        <v>0</v>
      </c>
      <c r="AN19" s="492">
        <f t="shared" si="1"/>
        <v>0</v>
      </c>
      <c r="AO19" s="492">
        <f t="shared" si="1"/>
        <v>0</v>
      </c>
      <c r="AP19" s="492">
        <f t="shared" si="1"/>
        <v>0</v>
      </c>
      <c r="AQ19" s="492">
        <f t="shared" si="1"/>
        <v>0</v>
      </c>
      <c r="AR19" s="492">
        <f t="shared" si="1"/>
        <v>0</v>
      </c>
      <c r="AS19" s="492">
        <f t="shared" si="1"/>
        <v>0</v>
      </c>
      <c r="AT19" s="492">
        <f t="shared" si="1"/>
        <v>0</v>
      </c>
      <c r="AU19" s="492">
        <f t="shared" si="1"/>
        <v>0</v>
      </c>
      <c r="AV19" s="492">
        <f t="shared" si="1"/>
        <v>0</v>
      </c>
      <c r="AW19" s="492">
        <f t="shared" si="1"/>
        <v>0</v>
      </c>
      <c r="AX19" s="492">
        <f t="shared" si="1"/>
        <v>0</v>
      </c>
      <c r="AY19" s="553"/>
      <c r="AZ19" s="553"/>
      <c r="BA19" s="553"/>
      <c r="BB19" s="553"/>
      <c r="BC19" s="26" t="e">
        <f>+AQ19-#REF!</f>
        <v>#REF!</v>
      </c>
      <c r="BD19" s="26" t="e">
        <f>+#REF!-Summary!AR19</f>
        <v>#REF!</v>
      </c>
      <c r="BG19" s="325" t="e">
        <f>+AM19-#REF!</f>
        <v>#REF!</v>
      </c>
      <c r="BH19" s="26" t="e">
        <f>+#REF!-Summary!AN19</f>
        <v>#REF!</v>
      </c>
    </row>
    <row r="20" spans="2:60" ht="16" thickBot="1" x14ac:dyDescent="0.4">
      <c r="B20" s="493" t="s">
        <v>532</v>
      </c>
      <c r="C20" s="494"/>
      <c r="D20" s="494"/>
      <c r="E20" s="494"/>
      <c r="F20" s="495"/>
      <c r="G20" s="496"/>
      <c r="H20" s="496"/>
      <c r="I20" s="497"/>
      <c r="J20" s="498"/>
      <c r="K20" s="496"/>
      <c r="L20" s="496"/>
      <c r="M20" s="497"/>
      <c r="N20" s="498"/>
      <c r="O20" s="496"/>
      <c r="P20" s="496"/>
      <c r="Q20" s="497"/>
      <c r="R20" s="498"/>
      <c r="S20" s="496"/>
      <c r="T20" s="496"/>
      <c r="U20" s="497"/>
      <c r="V20" s="498"/>
      <c r="W20" s="496"/>
      <c r="X20" s="496"/>
      <c r="Y20" s="497"/>
      <c r="Z20" s="498"/>
      <c r="AA20" s="496"/>
      <c r="AB20" s="496"/>
      <c r="AC20" s="497"/>
      <c r="AD20" s="498"/>
      <c r="AE20" s="496"/>
      <c r="AF20" s="496"/>
      <c r="AG20" s="497"/>
      <c r="AH20" s="498"/>
      <c r="AI20" s="496"/>
      <c r="AJ20" s="496"/>
      <c r="AK20" s="497"/>
      <c r="AL20" s="498"/>
      <c r="AM20" s="496"/>
      <c r="AN20" s="496"/>
      <c r="AO20" s="497"/>
      <c r="AP20" s="498"/>
      <c r="AQ20" s="496"/>
      <c r="AR20" s="496"/>
      <c r="AS20" s="497"/>
      <c r="AT20" s="498"/>
      <c r="AU20" s="496"/>
      <c r="AV20" s="496"/>
      <c r="AW20" s="497"/>
      <c r="AX20" s="498"/>
      <c r="AY20" s="554"/>
      <c r="AZ20" s="554"/>
      <c r="BA20" s="554"/>
      <c r="BB20" s="554"/>
    </row>
    <row r="21" spans="2:60" s="503" customFormat="1" ht="18" hidden="1" thickBot="1" x14ac:dyDescent="0.5">
      <c r="B21" s="499" t="s">
        <v>549</v>
      </c>
      <c r="C21" s="500" t="e">
        <f>'[1]APR-2022'!CQ86</f>
        <v>#REF!</v>
      </c>
      <c r="D21" s="500">
        <f>'[2]APR-2022'!CT86</f>
        <v>0.14263615033290039</v>
      </c>
      <c r="E21" s="501"/>
      <c r="F21" s="502">
        <f>'[2]APR-2022'!CT91</f>
        <v>7.3411415461767646E-2</v>
      </c>
      <c r="G21" s="500">
        <f>'[2]May-2022'!CQ86</f>
        <v>9.0850872872870969E-2</v>
      </c>
      <c r="H21" s="500">
        <f>'[2]May-2022'!CT86</f>
        <v>9.0527574371648267E-2</v>
      </c>
      <c r="I21" s="501"/>
      <c r="J21" s="502">
        <f>'[2]May-2022'!CT91</f>
        <v>4.5169427982731198E-3</v>
      </c>
      <c r="K21" s="500">
        <f>'[2]May-2022'!CU86</f>
        <v>0</v>
      </c>
      <c r="L21" s="500">
        <f>'[2]May-2022'!CX86</f>
        <v>0</v>
      </c>
      <c r="M21" s="501"/>
      <c r="N21" s="502">
        <f>'[2]May-2022'!CX91</f>
        <v>0</v>
      </c>
      <c r="O21" s="500">
        <f>'[2]May-2022'!CY86</f>
        <v>0</v>
      </c>
      <c r="P21" s="500">
        <f>'[2]May-2022'!DB86</f>
        <v>0</v>
      </c>
      <c r="Q21" s="501"/>
      <c r="R21" s="502">
        <f>'[2]May-2022'!DB91</f>
        <v>0</v>
      </c>
      <c r="S21" s="500">
        <f>'[2]May-2022'!DC86</f>
        <v>0</v>
      </c>
      <c r="T21" s="500">
        <f>'[2]May-2022'!DF86</f>
        <v>0</v>
      </c>
      <c r="U21" s="501"/>
      <c r="V21" s="502">
        <f>'[2]May-2022'!DF91</f>
        <v>0</v>
      </c>
      <c r="W21" s="500">
        <f>'[2]May-2022'!DG86</f>
        <v>0</v>
      </c>
      <c r="X21" s="500">
        <f>'[2]May-2022'!DJ86</f>
        <v>0</v>
      </c>
      <c r="Y21" s="501"/>
      <c r="Z21" s="502">
        <f>'[2]May-2022'!DJ91</f>
        <v>0</v>
      </c>
      <c r="AA21" s="398"/>
      <c r="AB21" s="398"/>
      <c r="AC21" s="398"/>
      <c r="AD21" s="398"/>
      <c r="AE21" s="398"/>
      <c r="AF21" s="398"/>
      <c r="AG21" s="398"/>
      <c r="AH21" s="398"/>
      <c r="AI21" s="398"/>
      <c r="AJ21" s="398"/>
      <c r="AK21" s="398"/>
      <c r="AL21" s="398"/>
      <c r="AM21" s="398"/>
      <c r="AN21" s="398"/>
      <c r="AO21" s="398"/>
      <c r="AP21" s="398"/>
      <c r="AQ21" s="398"/>
      <c r="AR21" s="398"/>
      <c r="AS21" s="398"/>
      <c r="AT21" s="398"/>
      <c r="AU21" s="398"/>
      <c r="AV21" s="398"/>
      <c r="AW21" s="398"/>
      <c r="AX21" s="398"/>
      <c r="AY21" s="398"/>
      <c r="AZ21" s="398"/>
      <c r="BA21" s="398"/>
      <c r="BB21" s="398"/>
    </row>
    <row r="22" spans="2:60" s="503" customFormat="1" ht="17.5" x14ac:dyDescent="0.45">
      <c r="B22" s="504"/>
      <c r="C22" s="505"/>
      <c r="D22" s="505"/>
      <c r="E22" s="506"/>
      <c r="F22" s="505"/>
      <c r="G22" s="505"/>
      <c r="H22" s="505"/>
      <c r="I22" s="506"/>
      <c r="J22" s="505"/>
      <c r="K22" s="505"/>
      <c r="L22" s="505"/>
      <c r="M22" s="506"/>
      <c r="N22" s="505"/>
      <c r="O22" s="505"/>
      <c r="P22" s="505"/>
      <c r="Q22" s="506"/>
      <c r="R22" s="505"/>
      <c r="S22" s="505"/>
      <c r="T22" s="505"/>
      <c r="U22" s="506"/>
      <c r="V22" s="505"/>
      <c r="W22" s="505"/>
      <c r="X22" s="505"/>
      <c r="Y22" s="506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  <c r="AL22" s="505"/>
      <c r="AM22" s="505"/>
      <c r="AN22" s="505"/>
      <c r="AO22" s="505"/>
      <c r="AP22" s="505"/>
      <c r="AQ22" s="505"/>
      <c r="AR22" s="505"/>
      <c r="AS22" s="505"/>
      <c r="AT22" s="505"/>
      <c r="AU22" s="505"/>
      <c r="AV22" s="505"/>
      <c r="AW22" s="505"/>
      <c r="AX22" s="505"/>
      <c r="AY22" s="505"/>
      <c r="AZ22" s="505"/>
      <c r="BA22" s="505"/>
      <c r="BB22" s="505"/>
    </row>
    <row r="23" spans="2:60" s="503" customFormat="1" ht="17.5" x14ac:dyDescent="0.45">
      <c r="B23" s="504"/>
      <c r="C23" s="505">
        <f>+C19-'Apr-26'!CE82</f>
        <v>0</v>
      </c>
      <c r="D23" s="505">
        <f>+D19-'Apr-26'!CG82</f>
        <v>0</v>
      </c>
      <c r="E23" s="505">
        <f>+E19-'Apr-26'!CE88</f>
        <v>2.9558577807620168E-12</v>
      </c>
      <c r="F23" s="505">
        <f>+F19-'Apr-26'!CG88</f>
        <v>2.9558577807620168E-12</v>
      </c>
      <c r="G23" s="505">
        <f>+G19-'May-26'!CE82</f>
        <v>0</v>
      </c>
      <c r="H23" s="505">
        <f>+H19-'May-26'!CG82</f>
        <v>6.3664629124104977E-12</v>
      </c>
      <c r="I23" s="505">
        <f>I19-'May-26'!CE89</f>
        <v>0</v>
      </c>
      <c r="J23" s="505">
        <f>J19-'May-26'!CG89</f>
        <v>6.3664629124104977E-12</v>
      </c>
      <c r="K23" s="505"/>
      <c r="L23" s="505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  <c r="AL23" s="505"/>
      <c r="AM23" s="505"/>
      <c r="AN23" s="505"/>
      <c r="AO23" s="505"/>
      <c r="AP23" s="505"/>
      <c r="AQ23" s="505"/>
      <c r="AR23" s="505"/>
      <c r="AS23" s="505"/>
      <c r="AT23" s="505"/>
      <c r="AU23" s="505"/>
      <c r="AV23" s="505"/>
      <c r="AW23" s="505"/>
      <c r="AX23" s="505"/>
      <c r="AY23" s="505"/>
      <c r="AZ23" s="505"/>
      <c r="BA23" s="505"/>
      <c r="BB23" s="505"/>
    </row>
    <row r="24" spans="2:60" x14ac:dyDescent="0.35"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2:60" x14ac:dyDescent="0.35"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2:60" x14ac:dyDescent="0.35"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</row>
    <row r="27" spans="2:60" x14ac:dyDescent="0.35"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</row>
    <row r="28" spans="2:60" ht="15.5" x14ac:dyDescent="0.35">
      <c r="B28" s="373"/>
      <c r="C28" s="61"/>
      <c r="D28" s="61"/>
      <c r="E28" s="61"/>
      <c r="F28" s="61"/>
      <c r="G28" s="327"/>
      <c r="H28" s="327"/>
      <c r="I28" s="507"/>
      <c r="J28" s="26"/>
      <c r="K28" s="61"/>
      <c r="L28" s="61"/>
      <c r="M28" s="26"/>
      <c r="N28" s="26"/>
      <c r="O28" s="61"/>
      <c r="P28" s="61"/>
      <c r="Q28" s="26"/>
      <c r="R28" s="26"/>
      <c r="S28" s="61"/>
      <c r="T28" s="61"/>
      <c r="U28" s="26"/>
      <c r="V28" s="26"/>
      <c r="W28" s="61"/>
      <c r="X28" s="61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</row>
    <row r="29" spans="2:60" x14ac:dyDescent="0.35">
      <c r="F29" s="508"/>
      <c r="G29" s="508"/>
      <c r="H29" s="508"/>
      <c r="I29" s="508"/>
      <c r="N29" s="26"/>
      <c r="R29" s="26"/>
      <c r="V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</row>
    <row r="32" spans="2:60" x14ac:dyDescent="0.35">
      <c r="F32" s="509"/>
      <c r="G32" s="509"/>
      <c r="H32" s="509"/>
      <c r="I32" s="509"/>
    </row>
  </sheetData>
  <mergeCells count="25">
    <mergeCell ref="AU3:AV3"/>
    <mergeCell ref="AW3:AX3"/>
    <mergeCell ref="AA3:AB3"/>
    <mergeCell ref="AC3:AD3"/>
    <mergeCell ref="M3:N3"/>
    <mergeCell ref="W3:X3"/>
    <mergeCell ref="Y3:Z3"/>
    <mergeCell ref="S3:T3"/>
    <mergeCell ref="U3:V3"/>
    <mergeCell ref="O3:P3"/>
    <mergeCell ref="Q3:R3"/>
    <mergeCell ref="AQ3:AR3"/>
    <mergeCell ref="AS3:AT3"/>
    <mergeCell ref="AM3:AN3"/>
    <mergeCell ref="AO3:AP3"/>
    <mergeCell ref="AE3:AF3"/>
    <mergeCell ref="AG3:AH3"/>
    <mergeCell ref="AI3:AJ3"/>
    <mergeCell ref="AK3:AL3"/>
    <mergeCell ref="K3:L3"/>
    <mergeCell ref="B3:B4"/>
    <mergeCell ref="C3:D3"/>
    <mergeCell ref="E3:F3"/>
    <mergeCell ref="G3:H3"/>
    <mergeCell ref="I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DD3A-FE92-451C-B7CF-B189CD44CCF6}">
  <dimension ref="A2:Q6"/>
  <sheetViews>
    <sheetView workbookViewId="0">
      <selection activeCell="P6" sqref="P6"/>
    </sheetView>
  </sheetViews>
  <sheetFormatPr defaultRowHeight="14.5" x14ac:dyDescent="0.35"/>
  <cols>
    <col min="16" max="16" width="9.08984375" bestFit="1" customWidth="1"/>
  </cols>
  <sheetData>
    <row r="2" spans="1:17" s="38" customFormat="1" x14ac:dyDescent="0.35">
      <c r="A2" s="57"/>
      <c r="B2" s="57" t="s">
        <v>510</v>
      </c>
      <c r="C2" s="57" t="s">
        <v>511</v>
      </c>
      <c r="D2" s="57" t="s">
        <v>512</v>
      </c>
      <c r="E2" s="57" t="s">
        <v>513</v>
      </c>
      <c r="F2" s="57" t="s">
        <v>514</v>
      </c>
      <c r="G2" s="57" t="s">
        <v>452</v>
      </c>
      <c r="H2" s="57" t="s">
        <v>604</v>
      </c>
      <c r="I2" s="57" t="s">
        <v>534</v>
      </c>
      <c r="J2" s="57" t="s">
        <v>605</v>
      </c>
      <c r="K2" s="57" t="s">
        <v>695</v>
      </c>
      <c r="L2" s="57" t="s">
        <v>545</v>
      </c>
      <c r="M2" s="57" t="s">
        <v>546</v>
      </c>
      <c r="N2" s="57" t="s">
        <v>547</v>
      </c>
      <c r="O2" s="57" t="s">
        <v>610</v>
      </c>
      <c r="P2" s="57" t="s">
        <v>606</v>
      </c>
    </row>
    <row r="3" spans="1:17" x14ac:dyDescent="0.35">
      <c r="A3" s="56" t="s">
        <v>696</v>
      </c>
      <c r="B3" s="310" t="e">
        <f>#REF!</f>
        <v>#REF!</v>
      </c>
      <c r="C3" s="310" t="e">
        <f>#REF!</f>
        <v>#REF!</v>
      </c>
      <c r="D3" s="310" t="e">
        <f>#REF!</f>
        <v>#REF!</v>
      </c>
      <c r="E3" s="310" t="e">
        <f>#REF!</f>
        <v>#REF!</v>
      </c>
      <c r="F3" s="310" t="e">
        <f>#REF!</f>
        <v>#REF!</v>
      </c>
      <c r="G3" s="310" t="e">
        <f>#REF!</f>
        <v>#REF!</v>
      </c>
      <c r="H3" s="310" t="e">
        <f>#REF!</f>
        <v>#REF!</v>
      </c>
      <c r="I3" s="310" t="e">
        <f>#REF!</f>
        <v>#REF!</v>
      </c>
      <c r="J3" s="310" t="e">
        <f>#REF!</f>
        <v>#REF!</v>
      </c>
      <c r="K3" s="310" t="e">
        <f>#REF!</f>
        <v>#REF!</v>
      </c>
      <c r="L3" s="310" t="e">
        <f>#REF!</f>
        <v>#REF!</v>
      </c>
      <c r="M3" s="310" t="e">
        <f>#REF!</f>
        <v>#REF!</v>
      </c>
      <c r="N3" s="310" t="e">
        <f>#REF!</f>
        <v>#REF!</v>
      </c>
      <c r="O3" s="310" t="e">
        <f>#REF!</f>
        <v>#REF!</v>
      </c>
      <c r="P3" s="310" t="e">
        <f>SUM(B3:O3)</f>
        <v>#REF!</v>
      </c>
    </row>
    <row r="4" spans="1:17" x14ac:dyDescent="0.35">
      <c r="A4" s="56" t="s">
        <v>697</v>
      </c>
      <c r="B4" s="310" t="e">
        <f>#REF!</f>
        <v>#REF!</v>
      </c>
      <c r="C4" s="310" t="e">
        <f>#REF!</f>
        <v>#REF!</v>
      </c>
      <c r="D4" s="310" t="e">
        <f>#REF!</f>
        <v>#REF!</v>
      </c>
      <c r="E4" s="310" t="e">
        <f>#REF!</f>
        <v>#REF!</v>
      </c>
      <c r="F4" s="310" t="e">
        <f>#REF!</f>
        <v>#REF!</v>
      </c>
      <c r="G4" s="310" t="e">
        <f>#REF!</f>
        <v>#REF!</v>
      </c>
      <c r="H4" s="310" t="e">
        <f>#REF!</f>
        <v>#REF!</v>
      </c>
      <c r="I4" s="310" t="e">
        <f>#REF!</f>
        <v>#REF!</v>
      </c>
      <c r="J4" s="310" t="e">
        <f>#REF!</f>
        <v>#REF!</v>
      </c>
      <c r="K4" s="310" t="e">
        <f>#REF!</f>
        <v>#REF!</v>
      </c>
      <c r="L4" s="310" t="e">
        <f>#REF!</f>
        <v>#REF!</v>
      </c>
      <c r="M4" s="310" t="e">
        <f>#REF!</f>
        <v>#REF!</v>
      </c>
      <c r="N4" s="310" t="e">
        <f>#REF!</f>
        <v>#REF!</v>
      </c>
      <c r="O4" s="310" t="e">
        <f>#REF!+26.52</f>
        <v>#REF!</v>
      </c>
      <c r="P4" s="310" t="e">
        <f>SUM(B4:O4)</f>
        <v>#REF!</v>
      </c>
      <c r="Q4" s="287"/>
    </row>
    <row r="5" spans="1:17" x14ac:dyDescent="0.35">
      <c r="A5" s="56" t="s">
        <v>606</v>
      </c>
      <c r="B5" s="310" t="e">
        <f>SUM(B3:B4)</f>
        <v>#REF!</v>
      </c>
      <c r="C5" s="310" t="e">
        <f t="shared" ref="C5:P5" si="0">SUM(C3:C4)</f>
        <v>#REF!</v>
      </c>
      <c r="D5" s="310" t="e">
        <f t="shared" si="0"/>
        <v>#REF!</v>
      </c>
      <c r="E5" s="310" t="e">
        <f t="shared" si="0"/>
        <v>#REF!</v>
      </c>
      <c r="F5" s="310" t="e">
        <f t="shared" si="0"/>
        <v>#REF!</v>
      </c>
      <c r="G5" s="310" t="e">
        <f t="shared" si="0"/>
        <v>#REF!</v>
      </c>
      <c r="H5" s="310" t="e">
        <f t="shared" si="0"/>
        <v>#REF!</v>
      </c>
      <c r="I5" s="310" t="e">
        <f t="shared" si="0"/>
        <v>#REF!</v>
      </c>
      <c r="J5" s="310" t="e">
        <f t="shared" si="0"/>
        <v>#REF!</v>
      </c>
      <c r="K5" s="310" t="e">
        <f t="shared" si="0"/>
        <v>#REF!</v>
      </c>
      <c r="L5" s="310" t="e">
        <f t="shared" si="0"/>
        <v>#REF!</v>
      </c>
      <c r="M5" s="310" t="e">
        <f t="shared" si="0"/>
        <v>#REF!</v>
      </c>
      <c r="N5" s="310" t="e">
        <f t="shared" si="0"/>
        <v>#REF!</v>
      </c>
      <c r="O5" s="310" t="e">
        <f t="shared" si="0"/>
        <v>#REF!</v>
      </c>
      <c r="P5" s="310" t="e">
        <f t="shared" si="0"/>
        <v>#REF!</v>
      </c>
    </row>
    <row r="6" spans="1:17" s="38" customFormat="1" x14ac:dyDescent="0.35">
      <c r="A6" s="57" t="s">
        <v>698</v>
      </c>
      <c r="B6" s="529" t="e">
        <f>B5/2</f>
        <v>#REF!</v>
      </c>
      <c r="C6" s="529" t="e">
        <f t="shared" ref="C6:P6" si="1">C5/2</f>
        <v>#REF!</v>
      </c>
      <c r="D6" s="529" t="e">
        <f t="shared" si="1"/>
        <v>#REF!</v>
      </c>
      <c r="E6" s="529" t="e">
        <f t="shared" si="1"/>
        <v>#REF!</v>
      </c>
      <c r="F6" s="529" t="e">
        <f t="shared" si="1"/>
        <v>#REF!</v>
      </c>
      <c r="G6" s="529" t="e">
        <f t="shared" si="1"/>
        <v>#REF!</v>
      </c>
      <c r="H6" s="529" t="e">
        <f t="shared" si="1"/>
        <v>#REF!</v>
      </c>
      <c r="I6" s="529" t="e">
        <f t="shared" si="1"/>
        <v>#REF!</v>
      </c>
      <c r="J6" s="529" t="e">
        <f t="shared" si="1"/>
        <v>#REF!</v>
      </c>
      <c r="K6" s="529" t="e">
        <f t="shared" si="1"/>
        <v>#REF!</v>
      </c>
      <c r="L6" s="529" t="e">
        <f t="shared" si="1"/>
        <v>#REF!</v>
      </c>
      <c r="M6" s="529" t="e">
        <f t="shared" si="1"/>
        <v>#REF!</v>
      </c>
      <c r="N6" s="529" t="e">
        <f t="shared" si="1"/>
        <v>#REF!</v>
      </c>
      <c r="O6" s="529" t="e">
        <f t="shared" si="1"/>
        <v>#REF!</v>
      </c>
      <c r="P6" s="529" t="e">
        <f t="shared" si="1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F61A-F5AB-4D83-AD06-3861470846B1}">
  <dimension ref="A1:XDE205"/>
  <sheetViews>
    <sheetView showGridLines="0" zoomScale="90" zoomScaleNormal="90" workbookViewId="0">
      <pane xSplit="2" ySplit="21" topLeftCell="AK63" activePane="bottomRight" state="frozen"/>
      <selection pane="topRight" activeCell="C1" sqref="C1"/>
      <selection pane="bottomLeft" activeCell="A22" sqref="A22"/>
      <selection pane="bottomRight" activeCell="AQ55" sqref="AQ55"/>
    </sheetView>
  </sheetViews>
  <sheetFormatPr defaultColWidth="9.1796875" defaultRowHeight="14.5" x14ac:dyDescent="0.35"/>
  <cols>
    <col min="1" max="1" width="3.81640625" style="17" bestFit="1" customWidth="1"/>
    <col min="2" max="2" width="39.54296875" style="26" customWidth="1"/>
    <col min="3" max="3" width="15.54296875" style="60" customWidth="1"/>
    <col min="4" max="4" width="10.6328125" style="27" customWidth="1"/>
    <col min="5" max="5" width="11.54296875" style="60" customWidth="1"/>
    <col min="6" max="6" width="10.6328125" style="27" customWidth="1"/>
    <col min="7" max="7" width="11.81640625" style="80" bestFit="1" customWidth="1"/>
    <col min="8" max="8" width="10.6328125" style="18" customWidth="1"/>
    <col min="9" max="9" width="12.08984375" style="80" customWidth="1"/>
    <col min="10" max="10" width="10.6328125" style="17" customWidth="1"/>
    <col min="11" max="11" width="14.08984375" style="80" bestFit="1" customWidth="1"/>
    <col min="12" max="12" width="10.6328125" style="18" customWidth="1"/>
    <col min="13" max="13" width="14.08984375" style="80" customWidth="1"/>
    <col min="14" max="14" width="10.6328125" style="17" customWidth="1"/>
    <col min="15" max="15" width="11.81640625" style="80" bestFit="1" customWidth="1"/>
    <col min="16" max="16" width="10.6328125" style="18" customWidth="1"/>
    <col min="17" max="17" width="10.6328125" style="80" customWidth="1"/>
    <col min="18" max="18" width="10.6328125" style="17" customWidth="1"/>
    <col min="19" max="19" width="10.6328125" style="80" customWidth="1"/>
    <col min="20" max="20" width="11.26953125" style="18" customWidth="1"/>
    <col min="21" max="21" width="10.6328125" style="60" customWidth="1"/>
    <col min="22" max="22" width="10.6328125" style="17" customWidth="1"/>
    <col min="23" max="23" width="10.6328125" style="80" customWidth="1"/>
    <col min="24" max="24" width="10.6328125" style="18" customWidth="1"/>
    <col min="25" max="25" width="10.6328125" style="80" customWidth="1"/>
    <col min="26" max="26" width="10.6328125" style="17" customWidth="1"/>
    <col min="27" max="27" width="12.453125" style="29" customWidth="1"/>
    <col min="28" max="28" width="11.6328125" style="60" customWidth="1"/>
    <col min="29" max="29" width="10.6328125" style="17" customWidth="1"/>
    <col min="30" max="30" width="11.54296875" style="60" customWidth="1"/>
    <col min="31" max="32" width="10.6328125" style="17" customWidth="1"/>
    <col min="33" max="33" width="10.6328125" style="60" customWidth="1"/>
    <col min="34" max="34" width="10.6328125" style="18" customWidth="1"/>
    <col min="35" max="35" width="10.6328125" style="60" customWidth="1"/>
    <col min="36" max="37" width="10.6328125" style="17" customWidth="1"/>
    <col min="38" max="38" width="15.81640625" style="80" customWidth="1"/>
    <col min="39" max="39" width="10.6328125" style="18" customWidth="1"/>
    <col min="40" max="40" width="11.90625" style="80" customWidth="1"/>
    <col min="41" max="42" width="10.6328125" style="17" customWidth="1"/>
    <col min="43" max="43" width="12" style="60" customWidth="1"/>
    <col min="44" max="44" width="10.6328125" style="18" customWidth="1"/>
    <col min="45" max="45" width="11.1796875" style="60" customWidth="1"/>
    <col min="46" max="46" width="10.6328125" style="17" customWidth="1"/>
    <col min="47" max="47" width="10.6328125" style="60" customWidth="1"/>
    <col min="48" max="48" width="10.6328125" style="18" customWidth="1"/>
    <col min="49" max="49" width="10.6328125" style="60" customWidth="1"/>
    <col min="50" max="51" width="10.6328125" style="17" customWidth="1"/>
    <col min="52" max="52" width="10.6328125" style="60" customWidth="1"/>
    <col min="53" max="53" width="10.6328125" style="18" customWidth="1"/>
    <col min="54" max="56" width="10.6328125" style="17" customWidth="1"/>
    <col min="57" max="57" width="10.6328125" style="60" customWidth="1"/>
    <col min="58" max="58" width="10.6328125" style="18" customWidth="1"/>
    <col min="59" max="59" width="10.6328125" style="60" customWidth="1"/>
    <col min="60" max="60" width="10.6328125" style="17" customWidth="1"/>
    <col min="61" max="61" width="10.6328125" style="60" customWidth="1"/>
    <col min="62" max="62" width="10.6328125" style="18" customWidth="1"/>
    <col min="63" max="63" width="10.6328125" style="60" customWidth="1"/>
    <col min="64" max="64" width="10.6328125" style="17" customWidth="1"/>
    <col min="65" max="65" width="10.6328125" style="60" customWidth="1"/>
    <col min="66" max="66" width="10.6328125" style="17" customWidth="1"/>
    <col min="67" max="67" width="10.6328125" style="80" customWidth="1"/>
    <col min="68" max="68" width="10.6328125" style="17" customWidth="1"/>
    <col min="69" max="69" width="10.6328125" style="20" customWidth="1"/>
    <col min="70" max="70" width="10.6328125" style="60" customWidth="1"/>
    <col min="71" max="71" width="10.6328125" style="18" customWidth="1"/>
    <col min="72" max="72" width="10.6328125" style="60" customWidth="1"/>
    <col min="73" max="74" width="10.6328125" style="17" customWidth="1"/>
    <col min="75" max="75" width="10.6328125" style="60" customWidth="1"/>
    <col min="76" max="76" width="10.6328125" style="17" customWidth="1"/>
    <col min="77" max="77" width="10.6328125" style="60" customWidth="1"/>
    <col min="78" max="79" width="10.6328125" style="17" customWidth="1"/>
    <col min="80" max="80" width="10.6328125" style="60" customWidth="1"/>
    <col min="81" max="81" width="12.1796875" style="60" customWidth="1"/>
    <col min="82" max="82" width="10.6328125" style="17" customWidth="1"/>
    <col min="83" max="83" width="12" style="60" customWidth="1"/>
    <col min="84" max="84" width="10.6328125" style="18" customWidth="1"/>
    <col min="85" max="85" width="12.08984375" style="60" customWidth="1"/>
    <col min="86" max="86" width="10.6328125" style="17" customWidth="1"/>
    <col min="87" max="194" width="9.1796875" style="17"/>
    <col min="195" max="195" width="3.81640625" style="17" bestFit="1" customWidth="1"/>
    <col min="196" max="196" width="39.54296875" style="17" customWidth="1"/>
    <col min="197" max="197" width="16" style="17" customWidth="1"/>
    <col min="198" max="198" width="13" style="17" customWidth="1"/>
    <col min="199" max="199" width="16" style="17" customWidth="1"/>
    <col min="200" max="200" width="13" style="17" customWidth="1"/>
    <col min="201" max="201" width="14.1796875" style="17" customWidth="1"/>
    <col min="202" max="202" width="13" style="17" customWidth="1"/>
    <col min="203" max="203" width="14.90625" style="17" customWidth="1"/>
    <col min="204" max="204" width="13" style="17" customWidth="1"/>
    <col min="205" max="205" width="15.54296875" style="17" customWidth="1"/>
    <col min="206" max="206" width="13" style="17" customWidth="1"/>
    <col min="207" max="207" width="14.1796875" style="17" customWidth="1"/>
    <col min="208" max="208" width="13" style="17" customWidth="1"/>
    <col min="209" max="209" width="14.1796875" style="17" customWidth="1"/>
    <col min="210" max="210" width="13" style="17" customWidth="1"/>
    <col min="211" max="211" width="14.90625" style="17" customWidth="1"/>
    <col min="212" max="212" width="13" style="17" customWidth="1"/>
    <col min="213" max="213" width="15.54296875" style="17" customWidth="1"/>
    <col min="214" max="214" width="13" style="17" customWidth="1"/>
    <col min="215" max="215" width="14.1796875" style="17" customWidth="1"/>
    <col min="216" max="216" width="13" style="17" customWidth="1"/>
    <col min="217" max="217" width="15.54296875" style="17" customWidth="1"/>
    <col min="218" max="218" width="15.81640625" style="17" customWidth="1"/>
    <col min="219" max="219" width="14.1796875" style="17" customWidth="1"/>
    <col min="220" max="220" width="15.81640625" style="17" customWidth="1"/>
    <col min="221" max="221" width="15.54296875" style="17" customWidth="1"/>
    <col min="222" max="222" width="13" style="17" customWidth="1"/>
    <col min="223" max="223" width="14.1796875" style="17" customWidth="1"/>
    <col min="224" max="224" width="15.81640625" style="17" customWidth="1"/>
    <col min="225" max="225" width="16.453125" style="17" customWidth="1"/>
    <col min="226" max="226" width="15.54296875" style="17" customWidth="1"/>
    <col min="227" max="227" width="13" style="17" customWidth="1"/>
    <col min="228" max="228" width="16" style="17" customWidth="1"/>
    <col min="229" max="229" width="13" style="17" customWidth="1"/>
    <col min="230" max="230" width="11.08984375" style="17" customWidth="1"/>
    <col min="231" max="231" width="15.54296875" style="17" customWidth="1"/>
    <col min="232" max="232" width="13" style="17" customWidth="1"/>
    <col min="233" max="233" width="14.1796875" style="17" customWidth="1"/>
    <col min="234" max="234" width="15.81640625" style="17" customWidth="1"/>
    <col min="235" max="235" width="15.54296875" style="17" customWidth="1"/>
    <col min="236" max="236" width="13" style="17" customWidth="1"/>
    <col min="237" max="237" width="14.1796875" style="17" customWidth="1"/>
    <col min="238" max="238" width="15.81640625" style="17" customWidth="1"/>
    <col min="239" max="239" width="15.54296875" style="17" customWidth="1"/>
    <col min="240" max="240" width="13" style="17" customWidth="1"/>
    <col min="241" max="241" width="14.1796875" style="17" customWidth="1"/>
    <col min="242" max="242" width="15.81640625" style="17" customWidth="1"/>
    <col min="243" max="243" width="9.1796875" style="17"/>
    <col min="244" max="244" width="15.54296875" style="17" customWidth="1"/>
    <col min="245" max="245" width="13" style="17" customWidth="1"/>
    <col min="246" max="246" width="14.1796875" style="17" customWidth="1"/>
    <col min="247" max="247" width="15.81640625" style="17" customWidth="1"/>
    <col min="248" max="248" width="9.1796875" style="17"/>
    <col min="249" max="249" width="16" style="17" customWidth="1"/>
    <col min="250" max="250" width="13" style="17" customWidth="1"/>
    <col min="251" max="251" width="14.1796875" style="17" customWidth="1"/>
    <col min="252" max="252" width="13" style="17" customWidth="1"/>
    <col min="253" max="253" width="14.1796875" style="17" customWidth="1"/>
    <col min="254" max="254" width="13" style="17" customWidth="1"/>
    <col min="255" max="255" width="14.1796875" style="17" customWidth="1"/>
    <col min="256" max="256" width="13" style="17" customWidth="1"/>
    <col min="257" max="257" width="14.1796875" style="17" customWidth="1"/>
    <col min="258" max="258" width="13" style="17" customWidth="1"/>
    <col min="259" max="259" width="14.1796875" style="17" customWidth="1"/>
    <col min="260" max="261" width="13" style="17" customWidth="1"/>
    <col min="262" max="262" width="14.90625" style="17" bestFit="1" customWidth="1"/>
    <col min="263" max="263" width="13" style="17" customWidth="1"/>
    <col min="264" max="264" width="14.1796875" style="17" customWidth="1"/>
    <col min="265" max="265" width="13" style="17" customWidth="1"/>
    <col min="266" max="266" width="8.81640625" style="17" customWidth="1"/>
    <col min="267" max="267" width="14.1796875" style="17" customWidth="1"/>
    <col min="268" max="268" width="13" style="17" customWidth="1"/>
    <col min="269" max="269" width="14.1796875" style="17" customWidth="1"/>
    <col min="270" max="270" width="13" style="17" customWidth="1"/>
    <col min="271" max="271" width="14.1796875" style="17" customWidth="1"/>
    <col min="272" max="272" width="13" style="17" customWidth="1"/>
    <col min="273" max="273" width="14.1796875" style="17" customWidth="1"/>
    <col min="274" max="278" width="13" style="17" customWidth="1"/>
    <col min="279" max="279" width="16.81640625" style="17" customWidth="1"/>
    <col min="280" max="280" width="14.1796875" style="17" customWidth="1"/>
    <col min="281" max="281" width="13" style="17" customWidth="1"/>
    <col min="282" max="282" width="14.1796875" style="17" customWidth="1"/>
    <col min="283" max="284" width="13.36328125" style="17" customWidth="1"/>
    <col min="285" max="285" width="15.6328125" style="17" customWidth="1"/>
    <col min="286" max="286" width="14.36328125" style="17" customWidth="1"/>
    <col min="287" max="287" width="16" style="17" bestFit="1" customWidth="1"/>
    <col min="288" max="288" width="14.1796875" style="17" customWidth="1"/>
    <col min="289" max="289" width="13" style="17" customWidth="1"/>
    <col min="290" max="290" width="14.1796875" style="17" customWidth="1"/>
    <col min="291" max="291" width="13.36328125" style="17" customWidth="1"/>
    <col min="292" max="292" width="13.81640625" style="17" bestFit="1" customWidth="1"/>
    <col min="293" max="293" width="14.1796875" style="17" bestFit="1" customWidth="1"/>
    <col min="294" max="294" width="13.81640625" style="17" bestFit="1" customWidth="1"/>
    <col min="295" max="450" width="9.1796875" style="17"/>
    <col min="451" max="451" width="3.81640625" style="17" bestFit="1" customWidth="1"/>
    <col min="452" max="452" width="39.54296875" style="17" customWidth="1"/>
    <col min="453" max="453" width="16" style="17" customWidth="1"/>
    <col min="454" max="454" width="13" style="17" customWidth="1"/>
    <col min="455" max="455" width="16" style="17" customWidth="1"/>
    <col min="456" max="456" width="13" style="17" customWidth="1"/>
    <col min="457" max="457" width="14.1796875" style="17" customWidth="1"/>
    <col min="458" max="458" width="13" style="17" customWidth="1"/>
    <col min="459" max="459" width="14.90625" style="17" customWidth="1"/>
    <col min="460" max="460" width="13" style="17" customWidth="1"/>
    <col min="461" max="461" width="15.54296875" style="17" customWidth="1"/>
    <col min="462" max="462" width="13" style="17" customWidth="1"/>
    <col min="463" max="463" width="14.1796875" style="17" customWidth="1"/>
    <col min="464" max="464" width="13" style="17" customWidth="1"/>
    <col min="465" max="465" width="14.1796875" style="17" customWidth="1"/>
    <col min="466" max="466" width="13" style="17" customWidth="1"/>
    <col min="467" max="467" width="14.90625" style="17" customWidth="1"/>
    <col min="468" max="468" width="13" style="17" customWidth="1"/>
    <col min="469" max="469" width="15.54296875" style="17" customWidth="1"/>
    <col min="470" max="470" width="13" style="17" customWidth="1"/>
    <col min="471" max="471" width="14.1796875" style="17" customWidth="1"/>
    <col min="472" max="472" width="13" style="17" customWidth="1"/>
    <col min="473" max="473" width="15.54296875" style="17" customWidth="1"/>
    <col min="474" max="474" width="15.81640625" style="17" customWidth="1"/>
    <col min="475" max="475" width="14.1796875" style="17" customWidth="1"/>
    <col min="476" max="476" width="15.81640625" style="17" customWidth="1"/>
    <col min="477" max="477" width="15.54296875" style="17" customWidth="1"/>
    <col min="478" max="478" width="13" style="17" customWidth="1"/>
    <col min="479" max="479" width="14.1796875" style="17" customWidth="1"/>
    <col min="480" max="480" width="15.81640625" style="17" customWidth="1"/>
    <col min="481" max="481" width="16.453125" style="17" customWidth="1"/>
    <col min="482" max="482" width="15.54296875" style="17" customWidth="1"/>
    <col min="483" max="483" width="13" style="17" customWidth="1"/>
    <col min="484" max="484" width="16" style="17" customWidth="1"/>
    <col min="485" max="485" width="13" style="17" customWidth="1"/>
    <col min="486" max="486" width="11.08984375" style="17" customWidth="1"/>
    <col min="487" max="487" width="15.54296875" style="17" customWidth="1"/>
    <col min="488" max="488" width="13" style="17" customWidth="1"/>
    <col min="489" max="489" width="14.1796875" style="17" customWidth="1"/>
    <col min="490" max="490" width="15.81640625" style="17" customWidth="1"/>
    <col min="491" max="491" width="15.54296875" style="17" customWidth="1"/>
    <col min="492" max="492" width="13" style="17" customWidth="1"/>
    <col min="493" max="493" width="14.1796875" style="17" customWidth="1"/>
    <col min="494" max="494" width="15.81640625" style="17" customWidth="1"/>
    <col min="495" max="495" width="15.54296875" style="17" customWidth="1"/>
    <col min="496" max="496" width="13" style="17" customWidth="1"/>
    <col min="497" max="497" width="14.1796875" style="17" customWidth="1"/>
    <col min="498" max="498" width="15.81640625" style="17" customWidth="1"/>
    <col min="499" max="499" width="9.1796875" style="17"/>
    <col min="500" max="500" width="15.54296875" style="17" customWidth="1"/>
    <col min="501" max="501" width="13" style="17" customWidth="1"/>
    <col min="502" max="502" width="14.1796875" style="17" customWidth="1"/>
    <col min="503" max="503" width="15.81640625" style="17" customWidth="1"/>
    <col min="504" max="504" width="9.1796875" style="17"/>
    <col min="505" max="505" width="16" style="17" customWidth="1"/>
    <col min="506" max="506" width="13" style="17" customWidth="1"/>
    <col min="507" max="507" width="14.1796875" style="17" customWidth="1"/>
    <col min="508" max="508" width="13" style="17" customWidth="1"/>
    <col min="509" max="509" width="14.1796875" style="17" customWidth="1"/>
    <col min="510" max="510" width="13" style="17" customWidth="1"/>
    <col min="511" max="511" width="14.1796875" style="17" customWidth="1"/>
    <col min="512" max="512" width="13" style="17" customWidth="1"/>
    <col min="513" max="513" width="14.1796875" style="17" customWidth="1"/>
    <col min="514" max="514" width="13" style="17" customWidth="1"/>
    <col min="515" max="515" width="14.1796875" style="17" customWidth="1"/>
    <col min="516" max="517" width="13" style="17" customWidth="1"/>
    <col min="518" max="518" width="14.90625" style="17" bestFit="1" customWidth="1"/>
    <col min="519" max="519" width="13" style="17" customWidth="1"/>
    <col min="520" max="520" width="14.1796875" style="17" customWidth="1"/>
    <col min="521" max="521" width="13" style="17" customWidth="1"/>
    <col min="522" max="522" width="8.81640625" style="17" customWidth="1"/>
    <col min="523" max="523" width="14.1796875" style="17" customWidth="1"/>
    <col min="524" max="524" width="13" style="17" customWidth="1"/>
    <col min="525" max="525" width="14.1796875" style="17" customWidth="1"/>
    <col min="526" max="526" width="13" style="17" customWidth="1"/>
    <col min="527" max="527" width="14.1796875" style="17" customWidth="1"/>
    <col min="528" max="528" width="13" style="17" customWidth="1"/>
    <col min="529" max="529" width="14.1796875" style="17" customWidth="1"/>
    <col min="530" max="534" width="13" style="17" customWidth="1"/>
    <col min="535" max="535" width="16.81640625" style="17" customWidth="1"/>
    <col min="536" max="536" width="14.1796875" style="17" customWidth="1"/>
    <col min="537" max="537" width="13" style="17" customWidth="1"/>
    <col min="538" max="538" width="14.1796875" style="17" customWidth="1"/>
    <col min="539" max="540" width="13.36328125" style="17" customWidth="1"/>
    <col min="541" max="541" width="15.6328125" style="17" customWidth="1"/>
    <col min="542" max="542" width="14.36328125" style="17" customWidth="1"/>
    <col min="543" max="543" width="16" style="17" bestFit="1" customWidth="1"/>
    <col min="544" max="544" width="14.1796875" style="17" customWidth="1"/>
    <col min="545" max="545" width="13" style="17" customWidth="1"/>
    <col min="546" max="546" width="14.1796875" style="17" customWidth="1"/>
    <col min="547" max="547" width="13.36328125" style="17" customWidth="1"/>
    <col min="548" max="548" width="13.81640625" style="17" bestFit="1" customWidth="1"/>
    <col min="549" max="549" width="14.1796875" style="17" bestFit="1" customWidth="1"/>
    <col min="550" max="550" width="13.81640625" style="17" bestFit="1" customWidth="1"/>
    <col min="551" max="706" width="9.1796875" style="17"/>
    <col min="707" max="707" width="3.81640625" style="17" bestFit="1" customWidth="1"/>
    <col min="708" max="708" width="39.54296875" style="17" customWidth="1"/>
    <col min="709" max="709" width="16" style="17" customWidth="1"/>
    <col min="710" max="710" width="13" style="17" customWidth="1"/>
    <col min="711" max="711" width="16" style="17" customWidth="1"/>
    <col min="712" max="712" width="13" style="17" customWidth="1"/>
    <col min="713" max="713" width="14.1796875" style="17" customWidth="1"/>
    <col min="714" max="714" width="13" style="17" customWidth="1"/>
    <col min="715" max="715" width="14.90625" style="17" customWidth="1"/>
    <col min="716" max="716" width="13" style="17" customWidth="1"/>
    <col min="717" max="717" width="15.54296875" style="17" customWidth="1"/>
    <col min="718" max="718" width="13" style="17" customWidth="1"/>
    <col min="719" max="719" width="14.1796875" style="17" customWidth="1"/>
    <col min="720" max="720" width="13" style="17" customWidth="1"/>
    <col min="721" max="721" width="14.1796875" style="17" customWidth="1"/>
    <col min="722" max="722" width="13" style="17" customWidth="1"/>
    <col min="723" max="723" width="14.90625" style="17" customWidth="1"/>
    <col min="724" max="724" width="13" style="17" customWidth="1"/>
    <col min="725" max="725" width="15.54296875" style="17" customWidth="1"/>
    <col min="726" max="726" width="13" style="17" customWidth="1"/>
    <col min="727" max="727" width="14.1796875" style="17" customWidth="1"/>
    <col min="728" max="728" width="13" style="17" customWidth="1"/>
    <col min="729" max="729" width="15.54296875" style="17" customWidth="1"/>
    <col min="730" max="730" width="15.81640625" style="17" customWidth="1"/>
    <col min="731" max="731" width="14.1796875" style="17" customWidth="1"/>
    <col min="732" max="732" width="15.81640625" style="17" customWidth="1"/>
    <col min="733" max="733" width="15.54296875" style="17" customWidth="1"/>
    <col min="734" max="734" width="13" style="17" customWidth="1"/>
    <col min="735" max="735" width="14.1796875" style="17" customWidth="1"/>
    <col min="736" max="736" width="15.81640625" style="17" customWidth="1"/>
    <col min="737" max="737" width="16.453125" style="17" customWidth="1"/>
    <col min="738" max="738" width="15.54296875" style="17" customWidth="1"/>
    <col min="739" max="739" width="13" style="17" customWidth="1"/>
    <col min="740" max="740" width="16" style="17" customWidth="1"/>
    <col min="741" max="741" width="13" style="17" customWidth="1"/>
    <col min="742" max="742" width="11.08984375" style="17" customWidth="1"/>
    <col min="743" max="743" width="15.54296875" style="17" customWidth="1"/>
    <col min="744" max="744" width="13" style="17" customWidth="1"/>
    <col min="745" max="745" width="14.1796875" style="17" customWidth="1"/>
    <col min="746" max="746" width="15.81640625" style="17" customWidth="1"/>
    <col min="747" max="747" width="15.54296875" style="17" customWidth="1"/>
    <col min="748" max="748" width="13" style="17" customWidth="1"/>
    <col min="749" max="749" width="14.1796875" style="17" customWidth="1"/>
    <col min="750" max="750" width="15.81640625" style="17" customWidth="1"/>
    <col min="751" max="751" width="15.54296875" style="17" customWidth="1"/>
    <col min="752" max="752" width="13" style="17" customWidth="1"/>
    <col min="753" max="753" width="14.1796875" style="17" customWidth="1"/>
    <col min="754" max="754" width="15.81640625" style="17" customWidth="1"/>
    <col min="755" max="755" width="9.1796875" style="17"/>
    <col min="756" max="756" width="15.54296875" style="17" customWidth="1"/>
    <col min="757" max="757" width="13" style="17" customWidth="1"/>
    <col min="758" max="758" width="14.1796875" style="17" customWidth="1"/>
    <col min="759" max="759" width="15.81640625" style="17" customWidth="1"/>
    <col min="760" max="760" width="9.1796875" style="17"/>
    <col min="761" max="761" width="16" style="17" customWidth="1"/>
    <col min="762" max="762" width="13" style="17" customWidth="1"/>
    <col min="763" max="763" width="14.1796875" style="17" customWidth="1"/>
    <col min="764" max="764" width="13" style="17" customWidth="1"/>
    <col min="765" max="765" width="14.1796875" style="17" customWidth="1"/>
    <col min="766" max="766" width="13" style="17" customWidth="1"/>
    <col min="767" max="767" width="14.1796875" style="17" customWidth="1"/>
    <col min="768" max="768" width="13" style="17" customWidth="1"/>
    <col min="769" max="769" width="14.1796875" style="17" customWidth="1"/>
    <col min="770" max="770" width="13" style="17" customWidth="1"/>
    <col min="771" max="771" width="14.1796875" style="17" customWidth="1"/>
    <col min="772" max="773" width="13" style="17" customWidth="1"/>
    <col min="774" max="774" width="14.90625" style="17" bestFit="1" customWidth="1"/>
    <col min="775" max="775" width="13" style="17" customWidth="1"/>
    <col min="776" max="776" width="14.1796875" style="17" customWidth="1"/>
    <col min="777" max="777" width="13" style="17" customWidth="1"/>
    <col min="778" max="778" width="8.81640625" style="17" customWidth="1"/>
    <col min="779" max="779" width="14.1796875" style="17" customWidth="1"/>
    <col min="780" max="780" width="13" style="17" customWidth="1"/>
    <col min="781" max="781" width="14.1796875" style="17" customWidth="1"/>
    <col min="782" max="782" width="13" style="17" customWidth="1"/>
    <col min="783" max="783" width="14.1796875" style="17" customWidth="1"/>
    <col min="784" max="784" width="13" style="17" customWidth="1"/>
    <col min="785" max="785" width="14.1796875" style="17" customWidth="1"/>
    <col min="786" max="790" width="13" style="17" customWidth="1"/>
    <col min="791" max="791" width="16.81640625" style="17" customWidth="1"/>
    <col min="792" max="792" width="14.1796875" style="17" customWidth="1"/>
    <col min="793" max="793" width="13" style="17" customWidth="1"/>
    <col min="794" max="794" width="14.1796875" style="17" customWidth="1"/>
    <col min="795" max="796" width="13.36328125" style="17" customWidth="1"/>
    <col min="797" max="797" width="15.6328125" style="17" customWidth="1"/>
    <col min="798" max="798" width="14.36328125" style="17" customWidth="1"/>
    <col min="799" max="799" width="16" style="17" bestFit="1" customWidth="1"/>
    <col min="800" max="800" width="14.1796875" style="17" customWidth="1"/>
    <col min="801" max="801" width="13" style="17" customWidth="1"/>
    <col min="802" max="802" width="14.1796875" style="17" customWidth="1"/>
    <col min="803" max="803" width="13.36328125" style="17" customWidth="1"/>
    <col min="804" max="804" width="13.81640625" style="17" bestFit="1" customWidth="1"/>
    <col min="805" max="805" width="14.1796875" style="17" bestFit="1" customWidth="1"/>
    <col min="806" max="806" width="13.81640625" style="17" bestFit="1" customWidth="1"/>
    <col min="807" max="962" width="9.1796875" style="17"/>
    <col min="963" max="963" width="3.81640625" style="17" bestFit="1" customWidth="1"/>
    <col min="964" max="964" width="39.54296875" style="17" customWidth="1"/>
    <col min="965" max="965" width="16" style="17" customWidth="1"/>
    <col min="966" max="966" width="13" style="17" customWidth="1"/>
    <col min="967" max="967" width="16" style="17" customWidth="1"/>
    <col min="968" max="968" width="13" style="17" customWidth="1"/>
    <col min="969" max="969" width="14.1796875" style="17" customWidth="1"/>
    <col min="970" max="970" width="13" style="17" customWidth="1"/>
    <col min="971" max="971" width="14.90625" style="17" customWidth="1"/>
    <col min="972" max="972" width="13" style="17" customWidth="1"/>
    <col min="973" max="973" width="15.54296875" style="17" customWidth="1"/>
    <col min="974" max="974" width="13" style="17" customWidth="1"/>
    <col min="975" max="975" width="14.1796875" style="17" customWidth="1"/>
    <col min="976" max="976" width="13" style="17" customWidth="1"/>
    <col min="977" max="977" width="14.1796875" style="17" customWidth="1"/>
    <col min="978" max="978" width="13" style="17" customWidth="1"/>
    <col min="979" max="979" width="14.90625" style="17" customWidth="1"/>
    <col min="980" max="980" width="13" style="17" customWidth="1"/>
    <col min="981" max="981" width="15.54296875" style="17" customWidth="1"/>
    <col min="982" max="982" width="13" style="17" customWidth="1"/>
    <col min="983" max="983" width="14.1796875" style="17" customWidth="1"/>
    <col min="984" max="984" width="13" style="17" customWidth="1"/>
    <col min="985" max="985" width="15.54296875" style="17" customWidth="1"/>
    <col min="986" max="986" width="15.81640625" style="17" customWidth="1"/>
    <col min="987" max="987" width="14.1796875" style="17" customWidth="1"/>
    <col min="988" max="988" width="15.81640625" style="17" customWidth="1"/>
    <col min="989" max="989" width="15.54296875" style="17" customWidth="1"/>
    <col min="990" max="990" width="13" style="17" customWidth="1"/>
    <col min="991" max="991" width="14.1796875" style="17" customWidth="1"/>
    <col min="992" max="992" width="15.81640625" style="17" customWidth="1"/>
    <col min="993" max="993" width="16.453125" style="17" customWidth="1"/>
    <col min="994" max="994" width="15.54296875" style="17" customWidth="1"/>
    <col min="995" max="995" width="13" style="17" customWidth="1"/>
    <col min="996" max="996" width="16" style="17" customWidth="1"/>
    <col min="997" max="997" width="13" style="17" customWidth="1"/>
    <col min="998" max="998" width="11.08984375" style="17" customWidth="1"/>
    <col min="999" max="999" width="15.54296875" style="17" customWidth="1"/>
    <col min="1000" max="1000" width="13" style="17" customWidth="1"/>
    <col min="1001" max="1001" width="14.1796875" style="17" customWidth="1"/>
    <col min="1002" max="1002" width="15.81640625" style="17" customWidth="1"/>
    <col min="1003" max="1003" width="15.54296875" style="17" customWidth="1"/>
    <col min="1004" max="1004" width="13" style="17" customWidth="1"/>
    <col min="1005" max="1005" width="14.1796875" style="17" customWidth="1"/>
    <col min="1006" max="1006" width="15.81640625" style="17" customWidth="1"/>
    <col min="1007" max="1007" width="15.54296875" style="17" customWidth="1"/>
    <col min="1008" max="1008" width="13" style="17" customWidth="1"/>
    <col min="1009" max="1009" width="14.1796875" style="17" customWidth="1"/>
    <col min="1010" max="1010" width="15.81640625" style="17" customWidth="1"/>
    <col min="1011" max="1011" width="9.1796875" style="17"/>
    <col min="1012" max="1012" width="15.54296875" style="17" customWidth="1"/>
    <col min="1013" max="1013" width="13" style="17" customWidth="1"/>
    <col min="1014" max="1014" width="14.1796875" style="17" customWidth="1"/>
    <col min="1015" max="1015" width="15.81640625" style="17" customWidth="1"/>
    <col min="1016" max="1016" width="9.1796875" style="17"/>
    <col min="1017" max="1017" width="16" style="17" customWidth="1"/>
    <col min="1018" max="1018" width="13" style="17" customWidth="1"/>
    <col min="1019" max="1019" width="14.1796875" style="17" customWidth="1"/>
    <col min="1020" max="1020" width="13" style="17" customWidth="1"/>
    <col min="1021" max="1021" width="14.1796875" style="17" customWidth="1"/>
    <col min="1022" max="1022" width="13" style="17" customWidth="1"/>
    <col min="1023" max="1023" width="14.1796875" style="17" customWidth="1"/>
    <col min="1024" max="1024" width="13" style="17" customWidth="1"/>
    <col min="1025" max="1025" width="14.1796875" style="17" customWidth="1"/>
    <col min="1026" max="1026" width="13" style="17" customWidth="1"/>
    <col min="1027" max="1027" width="14.1796875" style="17" customWidth="1"/>
    <col min="1028" max="1029" width="13" style="17" customWidth="1"/>
    <col min="1030" max="1030" width="14.90625" style="17" bestFit="1" customWidth="1"/>
    <col min="1031" max="1031" width="13" style="17" customWidth="1"/>
    <col min="1032" max="1032" width="14.1796875" style="17" customWidth="1"/>
    <col min="1033" max="1033" width="13" style="17" customWidth="1"/>
    <col min="1034" max="1034" width="8.81640625" style="17" customWidth="1"/>
    <col min="1035" max="1035" width="14.1796875" style="17" customWidth="1"/>
    <col min="1036" max="1036" width="13" style="17" customWidth="1"/>
    <col min="1037" max="1037" width="14.1796875" style="17" customWidth="1"/>
    <col min="1038" max="1038" width="13" style="17" customWidth="1"/>
    <col min="1039" max="1039" width="14.1796875" style="17" customWidth="1"/>
    <col min="1040" max="1040" width="13" style="17" customWidth="1"/>
    <col min="1041" max="1041" width="14.1796875" style="17" customWidth="1"/>
    <col min="1042" max="1046" width="13" style="17" customWidth="1"/>
    <col min="1047" max="1047" width="16.81640625" style="17" customWidth="1"/>
    <col min="1048" max="1048" width="14.1796875" style="17" customWidth="1"/>
    <col min="1049" max="1049" width="13" style="17" customWidth="1"/>
    <col min="1050" max="1050" width="14.1796875" style="17" customWidth="1"/>
    <col min="1051" max="1052" width="13.36328125" style="17" customWidth="1"/>
    <col min="1053" max="1053" width="15.6328125" style="17" customWidth="1"/>
    <col min="1054" max="1054" width="14.36328125" style="17" customWidth="1"/>
    <col min="1055" max="1055" width="16" style="17" bestFit="1" customWidth="1"/>
    <col min="1056" max="1056" width="14.1796875" style="17" customWidth="1"/>
    <col min="1057" max="1057" width="13" style="17" customWidth="1"/>
    <col min="1058" max="1058" width="14.1796875" style="17" customWidth="1"/>
    <col min="1059" max="1059" width="13.36328125" style="17" customWidth="1"/>
    <col min="1060" max="1060" width="13.81640625" style="17" bestFit="1" customWidth="1"/>
    <col min="1061" max="1061" width="14.1796875" style="17" bestFit="1" customWidth="1"/>
    <col min="1062" max="1062" width="13.81640625" style="17" bestFit="1" customWidth="1"/>
    <col min="1063" max="1218" width="9.1796875" style="17"/>
    <col min="1219" max="1219" width="3.81640625" style="17" bestFit="1" customWidth="1"/>
    <col min="1220" max="1220" width="39.54296875" style="17" customWidth="1"/>
    <col min="1221" max="1221" width="16" style="17" customWidth="1"/>
    <col min="1222" max="1222" width="13" style="17" customWidth="1"/>
    <col min="1223" max="1223" width="16" style="17" customWidth="1"/>
    <col min="1224" max="1224" width="13" style="17" customWidth="1"/>
    <col min="1225" max="1225" width="14.1796875" style="17" customWidth="1"/>
    <col min="1226" max="1226" width="13" style="17" customWidth="1"/>
    <col min="1227" max="1227" width="14.90625" style="17" customWidth="1"/>
    <col min="1228" max="1228" width="13" style="17" customWidth="1"/>
    <col min="1229" max="1229" width="15.54296875" style="17" customWidth="1"/>
    <col min="1230" max="1230" width="13" style="17" customWidth="1"/>
    <col min="1231" max="1231" width="14.1796875" style="17" customWidth="1"/>
    <col min="1232" max="1232" width="13" style="17" customWidth="1"/>
    <col min="1233" max="1233" width="14.1796875" style="17" customWidth="1"/>
    <col min="1234" max="1234" width="13" style="17" customWidth="1"/>
    <col min="1235" max="1235" width="14.90625" style="17" customWidth="1"/>
    <col min="1236" max="1236" width="13" style="17" customWidth="1"/>
    <col min="1237" max="1237" width="15.54296875" style="17" customWidth="1"/>
    <col min="1238" max="1238" width="13" style="17" customWidth="1"/>
    <col min="1239" max="1239" width="14.1796875" style="17" customWidth="1"/>
    <col min="1240" max="1240" width="13" style="17" customWidth="1"/>
    <col min="1241" max="1241" width="15.54296875" style="17" customWidth="1"/>
    <col min="1242" max="1242" width="15.81640625" style="17" customWidth="1"/>
    <col min="1243" max="1243" width="14.1796875" style="17" customWidth="1"/>
    <col min="1244" max="1244" width="15.81640625" style="17" customWidth="1"/>
    <col min="1245" max="1245" width="15.54296875" style="17" customWidth="1"/>
    <col min="1246" max="1246" width="13" style="17" customWidth="1"/>
    <col min="1247" max="1247" width="14.1796875" style="17" customWidth="1"/>
    <col min="1248" max="1248" width="15.81640625" style="17" customWidth="1"/>
    <col min="1249" max="1249" width="16.453125" style="17" customWidth="1"/>
    <col min="1250" max="1250" width="15.54296875" style="17" customWidth="1"/>
    <col min="1251" max="1251" width="13" style="17" customWidth="1"/>
    <col min="1252" max="1252" width="16" style="17" customWidth="1"/>
    <col min="1253" max="1253" width="13" style="17" customWidth="1"/>
    <col min="1254" max="1254" width="11.08984375" style="17" customWidth="1"/>
    <col min="1255" max="1255" width="15.54296875" style="17" customWidth="1"/>
    <col min="1256" max="1256" width="13" style="17" customWidth="1"/>
    <col min="1257" max="1257" width="14.1796875" style="17" customWidth="1"/>
    <col min="1258" max="1258" width="15.81640625" style="17" customWidth="1"/>
    <col min="1259" max="1259" width="15.54296875" style="17" customWidth="1"/>
    <col min="1260" max="1260" width="13" style="17" customWidth="1"/>
    <col min="1261" max="1261" width="14.1796875" style="17" customWidth="1"/>
    <col min="1262" max="1262" width="15.81640625" style="17" customWidth="1"/>
    <col min="1263" max="1263" width="15.54296875" style="17" customWidth="1"/>
    <col min="1264" max="1264" width="13" style="17" customWidth="1"/>
    <col min="1265" max="1265" width="14.1796875" style="17" customWidth="1"/>
    <col min="1266" max="1266" width="15.81640625" style="17" customWidth="1"/>
    <col min="1267" max="1267" width="9.1796875" style="17"/>
    <col min="1268" max="1268" width="15.54296875" style="17" customWidth="1"/>
    <col min="1269" max="1269" width="13" style="17" customWidth="1"/>
    <col min="1270" max="1270" width="14.1796875" style="17" customWidth="1"/>
    <col min="1271" max="1271" width="15.81640625" style="17" customWidth="1"/>
    <col min="1272" max="1272" width="9.1796875" style="17"/>
    <col min="1273" max="1273" width="16" style="17" customWidth="1"/>
    <col min="1274" max="1274" width="13" style="17" customWidth="1"/>
    <col min="1275" max="1275" width="14.1796875" style="17" customWidth="1"/>
    <col min="1276" max="1276" width="13" style="17" customWidth="1"/>
    <col min="1277" max="1277" width="14.1796875" style="17" customWidth="1"/>
    <col min="1278" max="1278" width="13" style="17" customWidth="1"/>
    <col min="1279" max="1279" width="14.1796875" style="17" customWidth="1"/>
    <col min="1280" max="1280" width="13" style="17" customWidth="1"/>
    <col min="1281" max="1281" width="14.1796875" style="17" customWidth="1"/>
    <col min="1282" max="1282" width="13" style="17" customWidth="1"/>
    <col min="1283" max="1283" width="14.1796875" style="17" customWidth="1"/>
    <col min="1284" max="1285" width="13" style="17" customWidth="1"/>
    <col min="1286" max="1286" width="14.90625" style="17" bestFit="1" customWidth="1"/>
    <col min="1287" max="1287" width="13" style="17" customWidth="1"/>
    <col min="1288" max="1288" width="14.1796875" style="17" customWidth="1"/>
    <col min="1289" max="1289" width="13" style="17" customWidth="1"/>
    <col min="1290" max="1290" width="8.81640625" style="17" customWidth="1"/>
    <col min="1291" max="1291" width="14.1796875" style="17" customWidth="1"/>
    <col min="1292" max="1292" width="13" style="17" customWidth="1"/>
    <col min="1293" max="1293" width="14.1796875" style="17" customWidth="1"/>
    <col min="1294" max="1294" width="13" style="17" customWidth="1"/>
    <col min="1295" max="1295" width="14.1796875" style="17" customWidth="1"/>
    <col min="1296" max="1296" width="13" style="17" customWidth="1"/>
    <col min="1297" max="1297" width="14.1796875" style="17" customWidth="1"/>
    <col min="1298" max="1302" width="13" style="17" customWidth="1"/>
    <col min="1303" max="1303" width="16.81640625" style="17" customWidth="1"/>
    <col min="1304" max="1304" width="14.1796875" style="17" customWidth="1"/>
    <col min="1305" max="1305" width="13" style="17" customWidth="1"/>
    <col min="1306" max="1306" width="14.1796875" style="17" customWidth="1"/>
    <col min="1307" max="1308" width="13.36328125" style="17" customWidth="1"/>
    <col min="1309" max="1309" width="15.6328125" style="17" customWidth="1"/>
    <col min="1310" max="1310" width="14.36328125" style="17" customWidth="1"/>
    <col min="1311" max="1311" width="16" style="17" bestFit="1" customWidth="1"/>
    <col min="1312" max="1312" width="14.1796875" style="17" customWidth="1"/>
    <col min="1313" max="1313" width="13" style="17" customWidth="1"/>
    <col min="1314" max="1314" width="14.1796875" style="17" customWidth="1"/>
    <col min="1315" max="1315" width="13.36328125" style="17" customWidth="1"/>
    <col min="1316" max="1316" width="13.81640625" style="17" bestFit="1" customWidth="1"/>
    <col min="1317" max="1317" width="14.1796875" style="17" bestFit="1" customWidth="1"/>
    <col min="1318" max="1318" width="13.81640625" style="17" bestFit="1" customWidth="1"/>
    <col min="1319" max="1474" width="9.1796875" style="17"/>
    <col min="1475" max="1475" width="3.81640625" style="17" bestFit="1" customWidth="1"/>
    <col min="1476" max="1476" width="39.54296875" style="17" customWidth="1"/>
    <col min="1477" max="1477" width="16" style="17" customWidth="1"/>
    <col min="1478" max="1478" width="13" style="17" customWidth="1"/>
    <col min="1479" max="1479" width="16" style="17" customWidth="1"/>
    <col min="1480" max="1480" width="13" style="17" customWidth="1"/>
    <col min="1481" max="1481" width="14.1796875" style="17" customWidth="1"/>
    <col min="1482" max="1482" width="13" style="17" customWidth="1"/>
    <col min="1483" max="1483" width="14.90625" style="17" customWidth="1"/>
    <col min="1484" max="1484" width="13" style="17" customWidth="1"/>
    <col min="1485" max="1485" width="15.54296875" style="17" customWidth="1"/>
    <col min="1486" max="1486" width="13" style="17" customWidth="1"/>
    <col min="1487" max="1487" width="14.1796875" style="17" customWidth="1"/>
    <col min="1488" max="1488" width="13" style="17" customWidth="1"/>
    <col min="1489" max="1489" width="14.1796875" style="17" customWidth="1"/>
    <col min="1490" max="1490" width="13" style="17" customWidth="1"/>
    <col min="1491" max="1491" width="14.90625" style="17" customWidth="1"/>
    <col min="1492" max="1492" width="13" style="17" customWidth="1"/>
    <col min="1493" max="1493" width="15.54296875" style="17" customWidth="1"/>
    <col min="1494" max="1494" width="13" style="17" customWidth="1"/>
    <col min="1495" max="1495" width="14.1796875" style="17" customWidth="1"/>
    <col min="1496" max="1496" width="13" style="17" customWidth="1"/>
    <col min="1497" max="1497" width="15.54296875" style="17" customWidth="1"/>
    <col min="1498" max="1498" width="15.81640625" style="17" customWidth="1"/>
    <col min="1499" max="1499" width="14.1796875" style="17" customWidth="1"/>
    <col min="1500" max="1500" width="15.81640625" style="17" customWidth="1"/>
    <col min="1501" max="1501" width="15.54296875" style="17" customWidth="1"/>
    <col min="1502" max="1502" width="13" style="17" customWidth="1"/>
    <col min="1503" max="1503" width="14.1796875" style="17" customWidth="1"/>
    <col min="1504" max="1504" width="15.81640625" style="17" customWidth="1"/>
    <col min="1505" max="1505" width="16.453125" style="17" customWidth="1"/>
    <col min="1506" max="1506" width="15.54296875" style="17" customWidth="1"/>
    <col min="1507" max="1507" width="13" style="17" customWidth="1"/>
    <col min="1508" max="1508" width="16" style="17" customWidth="1"/>
    <col min="1509" max="1509" width="13" style="17" customWidth="1"/>
    <col min="1510" max="1510" width="11.08984375" style="17" customWidth="1"/>
    <col min="1511" max="1511" width="15.54296875" style="17" customWidth="1"/>
    <col min="1512" max="1512" width="13" style="17" customWidth="1"/>
    <col min="1513" max="1513" width="14.1796875" style="17" customWidth="1"/>
    <col min="1514" max="1514" width="15.81640625" style="17" customWidth="1"/>
    <col min="1515" max="1515" width="15.54296875" style="17" customWidth="1"/>
    <col min="1516" max="1516" width="13" style="17" customWidth="1"/>
    <col min="1517" max="1517" width="14.1796875" style="17" customWidth="1"/>
    <col min="1518" max="1518" width="15.81640625" style="17" customWidth="1"/>
    <col min="1519" max="1519" width="15.54296875" style="17" customWidth="1"/>
    <col min="1520" max="1520" width="13" style="17" customWidth="1"/>
    <col min="1521" max="1521" width="14.1796875" style="17" customWidth="1"/>
    <col min="1522" max="1522" width="15.81640625" style="17" customWidth="1"/>
    <col min="1523" max="1523" width="9.1796875" style="17"/>
    <col min="1524" max="1524" width="15.54296875" style="17" customWidth="1"/>
    <col min="1525" max="1525" width="13" style="17" customWidth="1"/>
    <col min="1526" max="1526" width="14.1796875" style="17" customWidth="1"/>
    <col min="1527" max="1527" width="15.81640625" style="17" customWidth="1"/>
    <col min="1528" max="1528" width="9.1796875" style="17"/>
    <col min="1529" max="1529" width="16" style="17" customWidth="1"/>
    <col min="1530" max="1530" width="13" style="17" customWidth="1"/>
    <col min="1531" max="1531" width="14.1796875" style="17" customWidth="1"/>
    <col min="1532" max="1532" width="13" style="17" customWidth="1"/>
    <col min="1533" max="1533" width="14.1796875" style="17" customWidth="1"/>
    <col min="1534" max="1534" width="13" style="17" customWidth="1"/>
    <col min="1535" max="1535" width="14.1796875" style="17" customWidth="1"/>
    <col min="1536" max="1536" width="13" style="17" customWidth="1"/>
    <col min="1537" max="1537" width="14.1796875" style="17" customWidth="1"/>
    <col min="1538" max="1538" width="13" style="17" customWidth="1"/>
    <col min="1539" max="1539" width="14.1796875" style="17" customWidth="1"/>
    <col min="1540" max="1541" width="13" style="17" customWidth="1"/>
    <col min="1542" max="1542" width="14.90625" style="17" bestFit="1" customWidth="1"/>
    <col min="1543" max="1543" width="13" style="17" customWidth="1"/>
    <col min="1544" max="1544" width="14.1796875" style="17" customWidth="1"/>
    <col min="1545" max="1545" width="13" style="17" customWidth="1"/>
    <col min="1546" max="1546" width="8.81640625" style="17" customWidth="1"/>
    <col min="1547" max="1547" width="14.1796875" style="17" customWidth="1"/>
    <col min="1548" max="1548" width="13" style="17" customWidth="1"/>
    <col min="1549" max="1549" width="14.1796875" style="17" customWidth="1"/>
    <col min="1550" max="1550" width="13" style="17" customWidth="1"/>
    <col min="1551" max="1551" width="14.1796875" style="17" customWidth="1"/>
    <col min="1552" max="1552" width="13" style="17" customWidth="1"/>
    <col min="1553" max="1553" width="14.1796875" style="17" customWidth="1"/>
    <col min="1554" max="1558" width="13" style="17" customWidth="1"/>
    <col min="1559" max="1559" width="16.81640625" style="17" customWidth="1"/>
    <col min="1560" max="1560" width="14.1796875" style="17" customWidth="1"/>
    <col min="1561" max="1561" width="13" style="17" customWidth="1"/>
    <col min="1562" max="1562" width="14.1796875" style="17" customWidth="1"/>
    <col min="1563" max="1564" width="13.36328125" style="17" customWidth="1"/>
    <col min="1565" max="1565" width="15.6328125" style="17" customWidth="1"/>
    <col min="1566" max="1566" width="14.36328125" style="17" customWidth="1"/>
    <col min="1567" max="1567" width="16" style="17" bestFit="1" customWidth="1"/>
    <col min="1568" max="1568" width="14.1796875" style="17" customWidth="1"/>
    <col min="1569" max="1569" width="13" style="17" customWidth="1"/>
    <col min="1570" max="1570" width="14.1796875" style="17" customWidth="1"/>
    <col min="1571" max="1571" width="13.36328125" style="17" customWidth="1"/>
    <col min="1572" max="1572" width="13.81640625" style="17" bestFit="1" customWidth="1"/>
    <col min="1573" max="1573" width="14.1796875" style="17" bestFit="1" customWidth="1"/>
    <col min="1574" max="1574" width="13.81640625" style="17" bestFit="1" customWidth="1"/>
    <col min="1575" max="1730" width="9.1796875" style="17"/>
    <col min="1731" max="1731" width="3.81640625" style="17" bestFit="1" customWidth="1"/>
    <col min="1732" max="1732" width="39.54296875" style="17" customWidth="1"/>
    <col min="1733" max="1733" width="16" style="17" customWidth="1"/>
    <col min="1734" max="1734" width="13" style="17" customWidth="1"/>
    <col min="1735" max="1735" width="16" style="17" customWidth="1"/>
    <col min="1736" max="1736" width="13" style="17" customWidth="1"/>
    <col min="1737" max="1737" width="14.1796875" style="17" customWidth="1"/>
    <col min="1738" max="1738" width="13" style="17" customWidth="1"/>
    <col min="1739" max="1739" width="14.90625" style="17" customWidth="1"/>
    <col min="1740" max="1740" width="13" style="17" customWidth="1"/>
    <col min="1741" max="1741" width="15.54296875" style="17" customWidth="1"/>
    <col min="1742" max="1742" width="13" style="17" customWidth="1"/>
    <col min="1743" max="1743" width="14.1796875" style="17" customWidth="1"/>
    <col min="1744" max="1744" width="13" style="17" customWidth="1"/>
    <col min="1745" max="1745" width="14.1796875" style="17" customWidth="1"/>
    <col min="1746" max="1746" width="13" style="17" customWidth="1"/>
    <col min="1747" max="1747" width="14.90625" style="17" customWidth="1"/>
    <col min="1748" max="1748" width="13" style="17" customWidth="1"/>
    <col min="1749" max="1749" width="15.54296875" style="17" customWidth="1"/>
    <col min="1750" max="1750" width="13" style="17" customWidth="1"/>
    <col min="1751" max="1751" width="14.1796875" style="17" customWidth="1"/>
    <col min="1752" max="1752" width="13" style="17" customWidth="1"/>
    <col min="1753" max="1753" width="15.54296875" style="17" customWidth="1"/>
    <col min="1754" max="1754" width="15.81640625" style="17" customWidth="1"/>
    <col min="1755" max="1755" width="14.1796875" style="17" customWidth="1"/>
    <col min="1756" max="1756" width="15.81640625" style="17" customWidth="1"/>
    <col min="1757" max="1757" width="15.54296875" style="17" customWidth="1"/>
    <col min="1758" max="1758" width="13" style="17" customWidth="1"/>
    <col min="1759" max="1759" width="14.1796875" style="17" customWidth="1"/>
    <col min="1760" max="1760" width="15.81640625" style="17" customWidth="1"/>
    <col min="1761" max="1761" width="16.453125" style="17" customWidth="1"/>
    <col min="1762" max="1762" width="15.54296875" style="17" customWidth="1"/>
    <col min="1763" max="1763" width="13" style="17" customWidth="1"/>
    <col min="1764" max="1764" width="16" style="17" customWidth="1"/>
    <col min="1765" max="1765" width="13" style="17" customWidth="1"/>
    <col min="1766" max="1766" width="11.08984375" style="17" customWidth="1"/>
    <col min="1767" max="1767" width="15.54296875" style="17" customWidth="1"/>
    <col min="1768" max="1768" width="13" style="17" customWidth="1"/>
    <col min="1769" max="1769" width="14.1796875" style="17" customWidth="1"/>
    <col min="1770" max="1770" width="15.81640625" style="17" customWidth="1"/>
    <col min="1771" max="1771" width="15.54296875" style="17" customWidth="1"/>
    <col min="1772" max="1772" width="13" style="17" customWidth="1"/>
    <col min="1773" max="1773" width="14.1796875" style="17" customWidth="1"/>
    <col min="1774" max="1774" width="15.81640625" style="17" customWidth="1"/>
    <col min="1775" max="1775" width="15.54296875" style="17" customWidth="1"/>
    <col min="1776" max="1776" width="13" style="17" customWidth="1"/>
    <col min="1777" max="1777" width="14.1796875" style="17" customWidth="1"/>
    <col min="1778" max="1778" width="15.81640625" style="17" customWidth="1"/>
    <col min="1779" max="1779" width="9.1796875" style="17"/>
    <col min="1780" max="1780" width="15.54296875" style="17" customWidth="1"/>
    <col min="1781" max="1781" width="13" style="17" customWidth="1"/>
    <col min="1782" max="1782" width="14.1796875" style="17" customWidth="1"/>
    <col min="1783" max="1783" width="15.81640625" style="17" customWidth="1"/>
    <col min="1784" max="1784" width="9.1796875" style="17"/>
    <col min="1785" max="1785" width="16" style="17" customWidth="1"/>
    <col min="1786" max="1786" width="13" style="17" customWidth="1"/>
    <col min="1787" max="1787" width="14.1796875" style="17" customWidth="1"/>
    <col min="1788" max="1788" width="13" style="17" customWidth="1"/>
    <col min="1789" max="1789" width="14.1796875" style="17" customWidth="1"/>
    <col min="1790" max="1790" width="13" style="17" customWidth="1"/>
    <col min="1791" max="1791" width="14.1796875" style="17" customWidth="1"/>
    <col min="1792" max="1792" width="13" style="17" customWidth="1"/>
    <col min="1793" max="1793" width="14.1796875" style="17" customWidth="1"/>
    <col min="1794" max="1794" width="13" style="17" customWidth="1"/>
    <col min="1795" max="1795" width="14.1796875" style="17" customWidth="1"/>
    <col min="1796" max="1797" width="13" style="17" customWidth="1"/>
    <col min="1798" max="1798" width="14.90625" style="17" bestFit="1" customWidth="1"/>
    <col min="1799" max="1799" width="13" style="17" customWidth="1"/>
    <col min="1800" max="1800" width="14.1796875" style="17" customWidth="1"/>
    <col min="1801" max="1801" width="13" style="17" customWidth="1"/>
    <col min="1802" max="1802" width="8.81640625" style="17" customWidth="1"/>
    <col min="1803" max="1803" width="14.1796875" style="17" customWidth="1"/>
    <col min="1804" max="1804" width="13" style="17" customWidth="1"/>
    <col min="1805" max="1805" width="14.1796875" style="17" customWidth="1"/>
    <col min="1806" max="1806" width="13" style="17" customWidth="1"/>
    <col min="1807" max="1807" width="14.1796875" style="17" customWidth="1"/>
    <col min="1808" max="1808" width="13" style="17" customWidth="1"/>
    <col min="1809" max="1809" width="14.1796875" style="17" customWidth="1"/>
    <col min="1810" max="1814" width="13" style="17" customWidth="1"/>
    <col min="1815" max="1815" width="16.81640625" style="17" customWidth="1"/>
    <col min="1816" max="1816" width="14.1796875" style="17" customWidth="1"/>
    <col min="1817" max="1817" width="13" style="17" customWidth="1"/>
    <col min="1818" max="1818" width="14.1796875" style="17" customWidth="1"/>
    <col min="1819" max="1820" width="13.36328125" style="17" customWidth="1"/>
    <col min="1821" max="1821" width="15.6328125" style="17" customWidth="1"/>
    <col min="1822" max="1822" width="14.36328125" style="17" customWidth="1"/>
    <col min="1823" max="1823" width="16" style="17" bestFit="1" customWidth="1"/>
    <col min="1824" max="1824" width="14.1796875" style="17" customWidth="1"/>
    <col min="1825" max="1825" width="13" style="17" customWidth="1"/>
    <col min="1826" max="1826" width="14.1796875" style="17" customWidth="1"/>
    <col min="1827" max="1827" width="13.36328125" style="17" customWidth="1"/>
    <col min="1828" max="1828" width="13.81640625" style="17" bestFit="1" customWidth="1"/>
    <col min="1829" max="1829" width="14.1796875" style="17" bestFit="1" customWidth="1"/>
    <col min="1830" max="1830" width="13.81640625" style="17" bestFit="1" customWidth="1"/>
    <col min="1831" max="1986" width="9.1796875" style="17"/>
    <col min="1987" max="1987" width="3.81640625" style="17" bestFit="1" customWidth="1"/>
    <col min="1988" max="1988" width="39.54296875" style="17" customWidth="1"/>
    <col min="1989" max="1989" width="16" style="17" customWidth="1"/>
    <col min="1990" max="1990" width="13" style="17" customWidth="1"/>
    <col min="1991" max="1991" width="16" style="17" customWidth="1"/>
    <col min="1992" max="1992" width="13" style="17" customWidth="1"/>
    <col min="1993" max="1993" width="14.1796875" style="17" customWidth="1"/>
    <col min="1994" max="1994" width="13" style="17" customWidth="1"/>
    <col min="1995" max="1995" width="14.90625" style="17" customWidth="1"/>
    <col min="1996" max="1996" width="13" style="17" customWidth="1"/>
    <col min="1997" max="1997" width="15.54296875" style="17" customWidth="1"/>
    <col min="1998" max="1998" width="13" style="17" customWidth="1"/>
    <col min="1999" max="1999" width="14.1796875" style="17" customWidth="1"/>
    <col min="2000" max="2000" width="13" style="17" customWidth="1"/>
    <col min="2001" max="2001" width="14.1796875" style="17" customWidth="1"/>
    <col min="2002" max="2002" width="13" style="17" customWidth="1"/>
    <col min="2003" max="2003" width="14.90625" style="17" customWidth="1"/>
    <col min="2004" max="2004" width="13" style="17" customWidth="1"/>
    <col min="2005" max="2005" width="15.54296875" style="17" customWidth="1"/>
    <col min="2006" max="2006" width="13" style="17" customWidth="1"/>
    <col min="2007" max="2007" width="14.1796875" style="17" customWidth="1"/>
    <col min="2008" max="2008" width="13" style="17" customWidth="1"/>
    <col min="2009" max="2009" width="15.54296875" style="17" customWidth="1"/>
    <col min="2010" max="2010" width="15.81640625" style="17" customWidth="1"/>
    <col min="2011" max="2011" width="14.1796875" style="17" customWidth="1"/>
    <col min="2012" max="2012" width="15.81640625" style="17" customWidth="1"/>
    <col min="2013" max="2013" width="15.54296875" style="17" customWidth="1"/>
    <col min="2014" max="2014" width="13" style="17" customWidth="1"/>
    <col min="2015" max="2015" width="14.1796875" style="17" customWidth="1"/>
    <col min="2016" max="2016" width="15.81640625" style="17" customWidth="1"/>
    <col min="2017" max="2017" width="16.453125" style="17" customWidth="1"/>
    <col min="2018" max="2018" width="15.54296875" style="17" customWidth="1"/>
    <col min="2019" max="2019" width="13" style="17" customWidth="1"/>
    <col min="2020" max="2020" width="16" style="17" customWidth="1"/>
    <col min="2021" max="2021" width="13" style="17" customWidth="1"/>
    <col min="2022" max="2022" width="11.08984375" style="17" customWidth="1"/>
    <col min="2023" max="2023" width="15.54296875" style="17" customWidth="1"/>
    <col min="2024" max="2024" width="13" style="17" customWidth="1"/>
    <col min="2025" max="2025" width="14.1796875" style="17" customWidth="1"/>
    <col min="2026" max="2026" width="15.81640625" style="17" customWidth="1"/>
    <col min="2027" max="2027" width="15.54296875" style="17" customWidth="1"/>
    <col min="2028" max="2028" width="13" style="17" customWidth="1"/>
    <col min="2029" max="2029" width="14.1796875" style="17" customWidth="1"/>
    <col min="2030" max="2030" width="15.81640625" style="17" customWidth="1"/>
    <col min="2031" max="2031" width="15.54296875" style="17" customWidth="1"/>
    <col min="2032" max="2032" width="13" style="17" customWidth="1"/>
    <col min="2033" max="2033" width="14.1796875" style="17" customWidth="1"/>
    <col min="2034" max="2034" width="15.81640625" style="17" customWidth="1"/>
    <col min="2035" max="2035" width="9.1796875" style="17"/>
    <col min="2036" max="2036" width="15.54296875" style="17" customWidth="1"/>
    <col min="2037" max="2037" width="13" style="17" customWidth="1"/>
    <col min="2038" max="2038" width="14.1796875" style="17" customWidth="1"/>
    <col min="2039" max="2039" width="15.81640625" style="17" customWidth="1"/>
    <col min="2040" max="2040" width="9.1796875" style="17"/>
    <col min="2041" max="2041" width="16" style="17" customWidth="1"/>
    <col min="2042" max="2042" width="13" style="17" customWidth="1"/>
    <col min="2043" max="2043" width="14.1796875" style="17" customWidth="1"/>
    <col min="2044" max="2044" width="13" style="17" customWidth="1"/>
    <col min="2045" max="2045" width="14.1796875" style="17" customWidth="1"/>
    <col min="2046" max="2046" width="13" style="17" customWidth="1"/>
    <col min="2047" max="2047" width="14.1796875" style="17" customWidth="1"/>
    <col min="2048" max="2048" width="13" style="17" customWidth="1"/>
    <col min="2049" max="2049" width="14.1796875" style="17" customWidth="1"/>
    <col min="2050" max="2050" width="13" style="17" customWidth="1"/>
    <col min="2051" max="2051" width="14.1796875" style="17" customWidth="1"/>
    <col min="2052" max="2053" width="13" style="17" customWidth="1"/>
    <col min="2054" max="2054" width="14.90625" style="17" bestFit="1" customWidth="1"/>
    <col min="2055" max="2055" width="13" style="17" customWidth="1"/>
    <col min="2056" max="2056" width="14.1796875" style="17" customWidth="1"/>
    <col min="2057" max="2057" width="13" style="17" customWidth="1"/>
    <col min="2058" max="2058" width="8.81640625" style="17" customWidth="1"/>
    <col min="2059" max="2059" width="14.1796875" style="17" customWidth="1"/>
    <col min="2060" max="2060" width="13" style="17" customWidth="1"/>
    <col min="2061" max="2061" width="14.1796875" style="17" customWidth="1"/>
    <col min="2062" max="2062" width="13" style="17" customWidth="1"/>
    <col min="2063" max="2063" width="14.1796875" style="17" customWidth="1"/>
    <col min="2064" max="2064" width="13" style="17" customWidth="1"/>
    <col min="2065" max="2065" width="14.1796875" style="17" customWidth="1"/>
    <col min="2066" max="2070" width="13" style="17" customWidth="1"/>
    <col min="2071" max="2071" width="16.81640625" style="17" customWidth="1"/>
    <col min="2072" max="2072" width="14.1796875" style="17" customWidth="1"/>
    <col min="2073" max="2073" width="13" style="17" customWidth="1"/>
    <col min="2074" max="2074" width="14.1796875" style="17" customWidth="1"/>
    <col min="2075" max="2076" width="13.36328125" style="17" customWidth="1"/>
    <col min="2077" max="2077" width="15.6328125" style="17" customWidth="1"/>
    <col min="2078" max="2078" width="14.36328125" style="17" customWidth="1"/>
    <col min="2079" max="2079" width="16" style="17" bestFit="1" customWidth="1"/>
    <col min="2080" max="2080" width="14.1796875" style="17" customWidth="1"/>
    <col min="2081" max="2081" width="13" style="17" customWidth="1"/>
    <col min="2082" max="2082" width="14.1796875" style="17" customWidth="1"/>
    <col min="2083" max="2083" width="13.36328125" style="17" customWidth="1"/>
    <col min="2084" max="2084" width="13.81640625" style="17" bestFit="1" customWidth="1"/>
    <col min="2085" max="2085" width="14.1796875" style="17" bestFit="1" customWidth="1"/>
    <col min="2086" max="2086" width="13.81640625" style="17" bestFit="1" customWidth="1"/>
    <col min="2087" max="2242" width="9.1796875" style="17"/>
    <col min="2243" max="2243" width="3.81640625" style="17" bestFit="1" customWidth="1"/>
    <col min="2244" max="2244" width="39.54296875" style="17" customWidth="1"/>
    <col min="2245" max="2245" width="16" style="17" customWidth="1"/>
    <col min="2246" max="2246" width="13" style="17" customWidth="1"/>
    <col min="2247" max="2247" width="16" style="17" customWidth="1"/>
    <col min="2248" max="2248" width="13" style="17" customWidth="1"/>
    <col min="2249" max="2249" width="14.1796875" style="17" customWidth="1"/>
    <col min="2250" max="2250" width="13" style="17" customWidth="1"/>
    <col min="2251" max="2251" width="14.90625" style="17" customWidth="1"/>
    <col min="2252" max="2252" width="13" style="17" customWidth="1"/>
    <col min="2253" max="2253" width="15.54296875" style="17" customWidth="1"/>
    <col min="2254" max="2254" width="13" style="17" customWidth="1"/>
    <col min="2255" max="2255" width="14.1796875" style="17" customWidth="1"/>
    <col min="2256" max="2256" width="13" style="17" customWidth="1"/>
    <col min="2257" max="2257" width="14.1796875" style="17" customWidth="1"/>
    <col min="2258" max="2258" width="13" style="17" customWidth="1"/>
    <col min="2259" max="2259" width="14.90625" style="17" customWidth="1"/>
    <col min="2260" max="2260" width="13" style="17" customWidth="1"/>
    <col min="2261" max="2261" width="15.54296875" style="17" customWidth="1"/>
    <col min="2262" max="2262" width="13" style="17" customWidth="1"/>
    <col min="2263" max="2263" width="14.1796875" style="17" customWidth="1"/>
    <col min="2264" max="2264" width="13" style="17" customWidth="1"/>
    <col min="2265" max="2265" width="15.54296875" style="17" customWidth="1"/>
    <col min="2266" max="2266" width="15.81640625" style="17" customWidth="1"/>
    <col min="2267" max="2267" width="14.1796875" style="17" customWidth="1"/>
    <col min="2268" max="2268" width="15.81640625" style="17" customWidth="1"/>
    <col min="2269" max="2269" width="15.54296875" style="17" customWidth="1"/>
    <col min="2270" max="2270" width="13" style="17" customWidth="1"/>
    <col min="2271" max="2271" width="14.1796875" style="17" customWidth="1"/>
    <col min="2272" max="2272" width="15.81640625" style="17" customWidth="1"/>
    <col min="2273" max="2273" width="16.453125" style="17" customWidth="1"/>
    <col min="2274" max="2274" width="15.54296875" style="17" customWidth="1"/>
    <col min="2275" max="2275" width="13" style="17" customWidth="1"/>
    <col min="2276" max="2276" width="16" style="17" customWidth="1"/>
    <col min="2277" max="2277" width="13" style="17" customWidth="1"/>
    <col min="2278" max="2278" width="11.08984375" style="17" customWidth="1"/>
    <col min="2279" max="2279" width="15.54296875" style="17" customWidth="1"/>
    <col min="2280" max="2280" width="13" style="17" customWidth="1"/>
    <col min="2281" max="2281" width="14.1796875" style="17" customWidth="1"/>
    <col min="2282" max="2282" width="15.81640625" style="17" customWidth="1"/>
    <col min="2283" max="2283" width="15.54296875" style="17" customWidth="1"/>
    <col min="2284" max="2284" width="13" style="17" customWidth="1"/>
    <col min="2285" max="2285" width="14.1796875" style="17" customWidth="1"/>
    <col min="2286" max="2286" width="15.81640625" style="17" customWidth="1"/>
    <col min="2287" max="2287" width="15.54296875" style="17" customWidth="1"/>
    <col min="2288" max="2288" width="13" style="17" customWidth="1"/>
    <col min="2289" max="2289" width="14.1796875" style="17" customWidth="1"/>
    <col min="2290" max="2290" width="15.81640625" style="17" customWidth="1"/>
    <col min="2291" max="2291" width="9.1796875" style="17"/>
    <col min="2292" max="2292" width="15.54296875" style="17" customWidth="1"/>
    <col min="2293" max="2293" width="13" style="17" customWidth="1"/>
    <col min="2294" max="2294" width="14.1796875" style="17" customWidth="1"/>
    <col min="2295" max="2295" width="15.81640625" style="17" customWidth="1"/>
    <col min="2296" max="2296" width="9.1796875" style="17"/>
    <col min="2297" max="2297" width="16" style="17" customWidth="1"/>
    <col min="2298" max="2298" width="13" style="17" customWidth="1"/>
    <col min="2299" max="2299" width="14.1796875" style="17" customWidth="1"/>
    <col min="2300" max="2300" width="13" style="17" customWidth="1"/>
    <col min="2301" max="2301" width="14.1796875" style="17" customWidth="1"/>
    <col min="2302" max="2302" width="13" style="17" customWidth="1"/>
    <col min="2303" max="2303" width="14.1796875" style="17" customWidth="1"/>
    <col min="2304" max="2304" width="13" style="17" customWidth="1"/>
    <col min="2305" max="2305" width="14.1796875" style="17" customWidth="1"/>
    <col min="2306" max="2306" width="13" style="17" customWidth="1"/>
    <col min="2307" max="2307" width="14.1796875" style="17" customWidth="1"/>
    <col min="2308" max="2309" width="13" style="17" customWidth="1"/>
    <col min="2310" max="2310" width="14.90625" style="17" bestFit="1" customWidth="1"/>
    <col min="2311" max="2311" width="13" style="17" customWidth="1"/>
    <col min="2312" max="2312" width="14.1796875" style="17" customWidth="1"/>
    <col min="2313" max="2313" width="13" style="17" customWidth="1"/>
    <col min="2314" max="2314" width="8.81640625" style="17" customWidth="1"/>
    <col min="2315" max="2315" width="14.1796875" style="17" customWidth="1"/>
    <col min="2316" max="2316" width="13" style="17" customWidth="1"/>
    <col min="2317" max="2317" width="14.1796875" style="17" customWidth="1"/>
    <col min="2318" max="2318" width="13" style="17" customWidth="1"/>
    <col min="2319" max="2319" width="14.1796875" style="17" customWidth="1"/>
    <col min="2320" max="2320" width="13" style="17" customWidth="1"/>
    <col min="2321" max="2321" width="14.1796875" style="17" customWidth="1"/>
    <col min="2322" max="2326" width="13" style="17" customWidth="1"/>
    <col min="2327" max="2327" width="16.81640625" style="17" customWidth="1"/>
    <col min="2328" max="2328" width="14.1796875" style="17" customWidth="1"/>
    <col min="2329" max="2329" width="13" style="17" customWidth="1"/>
    <col min="2330" max="2330" width="14.1796875" style="17" customWidth="1"/>
    <col min="2331" max="2332" width="13.36328125" style="17" customWidth="1"/>
    <col min="2333" max="2333" width="15.6328125" style="17" customWidth="1"/>
    <col min="2334" max="2334" width="14.36328125" style="17" customWidth="1"/>
    <col min="2335" max="2335" width="16" style="17" bestFit="1" customWidth="1"/>
    <col min="2336" max="2336" width="14.1796875" style="17" customWidth="1"/>
    <col min="2337" max="2337" width="13" style="17" customWidth="1"/>
    <col min="2338" max="2338" width="14.1796875" style="17" customWidth="1"/>
    <col min="2339" max="2339" width="13.36328125" style="17" customWidth="1"/>
    <col min="2340" max="2340" width="13.81640625" style="17" bestFit="1" customWidth="1"/>
    <col min="2341" max="2341" width="14.1796875" style="17" bestFit="1" customWidth="1"/>
    <col min="2342" max="2342" width="13.81640625" style="17" bestFit="1" customWidth="1"/>
    <col min="2343" max="2498" width="9.1796875" style="17"/>
    <col min="2499" max="2499" width="3.81640625" style="17" bestFit="1" customWidth="1"/>
    <col min="2500" max="2500" width="39.54296875" style="17" customWidth="1"/>
    <col min="2501" max="2501" width="16" style="17" customWidth="1"/>
    <col min="2502" max="2502" width="13" style="17" customWidth="1"/>
    <col min="2503" max="2503" width="16" style="17" customWidth="1"/>
    <col min="2504" max="2504" width="13" style="17" customWidth="1"/>
    <col min="2505" max="2505" width="14.1796875" style="17" customWidth="1"/>
    <col min="2506" max="2506" width="13" style="17" customWidth="1"/>
    <col min="2507" max="2507" width="14.90625" style="17" customWidth="1"/>
    <col min="2508" max="2508" width="13" style="17" customWidth="1"/>
    <col min="2509" max="2509" width="15.54296875" style="17" customWidth="1"/>
    <col min="2510" max="2510" width="13" style="17" customWidth="1"/>
    <col min="2511" max="2511" width="14.1796875" style="17" customWidth="1"/>
    <col min="2512" max="2512" width="13" style="17" customWidth="1"/>
    <col min="2513" max="2513" width="14.1796875" style="17" customWidth="1"/>
    <col min="2514" max="2514" width="13" style="17" customWidth="1"/>
    <col min="2515" max="2515" width="14.90625" style="17" customWidth="1"/>
    <col min="2516" max="2516" width="13" style="17" customWidth="1"/>
    <col min="2517" max="2517" width="15.54296875" style="17" customWidth="1"/>
    <col min="2518" max="2518" width="13" style="17" customWidth="1"/>
    <col min="2519" max="2519" width="14.1796875" style="17" customWidth="1"/>
    <col min="2520" max="2520" width="13" style="17" customWidth="1"/>
    <col min="2521" max="2521" width="15.54296875" style="17" customWidth="1"/>
    <col min="2522" max="2522" width="15.81640625" style="17" customWidth="1"/>
    <col min="2523" max="2523" width="14.1796875" style="17" customWidth="1"/>
    <col min="2524" max="2524" width="15.81640625" style="17" customWidth="1"/>
    <col min="2525" max="2525" width="15.54296875" style="17" customWidth="1"/>
    <col min="2526" max="2526" width="13" style="17" customWidth="1"/>
    <col min="2527" max="2527" width="14.1796875" style="17" customWidth="1"/>
    <col min="2528" max="2528" width="15.81640625" style="17" customWidth="1"/>
    <col min="2529" max="2529" width="16.453125" style="17" customWidth="1"/>
    <col min="2530" max="2530" width="15.54296875" style="17" customWidth="1"/>
    <col min="2531" max="2531" width="13" style="17" customWidth="1"/>
    <col min="2532" max="2532" width="16" style="17" customWidth="1"/>
    <col min="2533" max="2533" width="13" style="17" customWidth="1"/>
    <col min="2534" max="2534" width="11.08984375" style="17" customWidth="1"/>
    <col min="2535" max="2535" width="15.54296875" style="17" customWidth="1"/>
    <col min="2536" max="2536" width="13" style="17" customWidth="1"/>
    <col min="2537" max="2537" width="14.1796875" style="17" customWidth="1"/>
    <col min="2538" max="2538" width="15.81640625" style="17" customWidth="1"/>
    <col min="2539" max="2539" width="15.54296875" style="17" customWidth="1"/>
    <col min="2540" max="2540" width="13" style="17" customWidth="1"/>
    <col min="2541" max="2541" width="14.1796875" style="17" customWidth="1"/>
    <col min="2542" max="2542" width="15.81640625" style="17" customWidth="1"/>
    <col min="2543" max="2543" width="15.54296875" style="17" customWidth="1"/>
    <col min="2544" max="2544" width="13" style="17" customWidth="1"/>
    <col min="2545" max="2545" width="14.1796875" style="17" customWidth="1"/>
    <col min="2546" max="2546" width="15.81640625" style="17" customWidth="1"/>
    <col min="2547" max="2547" width="9.1796875" style="17"/>
    <col min="2548" max="2548" width="15.54296875" style="17" customWidth="1"/>
    <col min="2549" max="2549" width="13" style="17" customWidth="1"/>
    <col min="2550" max="2550" width="14.1796875" style="17" customWidth="1"/>
    <col min="2551" max="2551" width="15.81640625" style="17" customWidth="1"/>
    <col min="2552" max="2552" width="9.1796875" style="17"/>
    <col min="2553" max="2553" width="16" style="17" customWidth="1"/>
    <col min="2554" max="2554" width="13" style="17" customWidth="1"/>
    <col min="2555" max="2555" width="14.1796875" style="17" customWidth="1"/>
    <col min="2556" max="2556" width="13" style="17" customWidth="1"/>
    <col min="2557" max="2557" width="14.1796875" style="17" customWidth="1"/>
    <col min="2558" max="2558" width="13" style="17" customWidth="1"/>
    <col min="2559" max="2559" width="14.1796875" style="17" customWidth="1"/>
    <col min="2560" max="2560" width="13" style="17" customWidth="1"/>
    <col min="2561" max="2561" width="14.1796875" style="17" customWidth="1"/>
    <col min="2562" max="2562" width="13" style="17" customWidth="1"/>
    <col min="2563" max="2563" width="14.1796875" style="17" customWidth="1"/>
    <col min="2564" max="2565" width="13" style="17" customWidth="1"/>
    <col min="2566" max="2566" width="14.90625" style="17" bestFit="1" customWidth="1"/>
    <col min="2567" max="2567" width="13" style="17" customWidth="1"/>
    <col min="2568" max="2568" width="14.1796875" style="17" customWidth="1"/>
    <col min="2569" max="2569" width="13" style="17" customWidth="1"/>
    <col min="2570" max="2570" width="8.81640625" style="17" customWidth="1"/>
    <col min="2571" max="2571" width="14.1796875" style="17" customWidth="1"/>
    <col min="2572" max="2572" width="13" style="17" customWidth="1"/>
    <col min="2573" max="2573" width="14.1796875" style="17" customWidth="1"/>
    <col min="2574" max="2574" width="13" style="17" customWidth="1"/>
    <col min="2575" max="2575" width="14.1796875" style="17" customWidth="1"/>
    <col min="2576" max="2576" width="13" style="17" customWidth="1"/>
    <col min="2577" max="2577" width="14.1796875" style="17" customWidth="1"/>
    <col min="2578" max="2582" width="13" style="17" customWidth="1"/>
    <col min="2583" max="2583" width="16.81640625" style="17" customWidth="1"/>
    <col min="2584" max="2584" width="14.1796875" style="17" customWidth="1"/>
    <col min="2585" max="2585" width="13" style="17" customWidth="1"/>
    <col min="2586" max="2586" width="14.1796875" style="17" customWidth="1"/>
    <col min="2587" max="2588" width="13.36328125" style="17" customWidth="1"/>
    <col min="2589" max="2589" width="15.6328125" style="17" customWidth="1"/>
    <col min="2590" max="2590" width="14.36328125" style="17" customWidth="1"/>
    <col min="2591" max="2591" width="16" style="17" bestFit="1" customWidth="1"/>
    <col min="2592" max="2592" width="14.1796875" style="17" customWidth="1"/>
    <col min="2593" max="2593" width="13" style="17" customWidth="1"/>
    <col min="2594" max="2594" width="14.1796875" style="17" customWidth="1"/>
    <col min="2595" max="2595" width="13.36328125" style="17" customWidth="1"/>
    <col min="2596" max="2596" width="13.81640625" style="17" bestFit="1" customWidth="1"/>
    <col min="2597" max="2597" width="14.1796875" style="17" bestFit="1" customWidth="1"/>
    <col min="2598" max="2598" width="13.81640625" style="17" bestFit="1" customWidth="1"/>
    <col min="2599" max="2754" width="9.1796875" style="17"/>
    <col min="2755" max="2755" width="3.81640625" style="17" bestFit="1" customWidth="1"/>
    <col min="2756" max="2756" width="39.54296875" style="17" customWidth="1"/>
    <col min="2757" max="2757" width="16" style="17" customWidth="1"/>
    <col min="2758" max="2758" width="13" style="17" customWidth="1"/>
    <col min="2759" max="2759" width="16" style="17" customWidth="1"/>
    <col min="2760" max="2760" width="13" style="17" customWidth="1"/>
    <col min="2761" max="2761" width="14.1796875" style="17" customWidth="1"/>
    <col min="2762" max="2762" width="13" style="17" customWidth="1"/>
    <col min="2763" max="2763" width="14.90625" style="17" customWidth="1"/>
    <col min="2764" max="2764" width="13" style="17" customWidth="1"/>
    <col min="2765" max="2765" width="15.54296875" style="17" customWidth="1"/>
    <col min="2766" max="2766" width="13" style="17" customWidth="1"/>
    <col min="2767" max="2767" width="14.1796875" style="17" customWidth="1"/>
    <col min="2768" max="2768" width="13" style="17" customWidth="1"/>
    <col min="2769" max="2769" width="14.1796875" style="17" customWidth="1"/>
    <col min="2770" max="2770" width="13" style="17" customWidth="1"/>
    <col min="2771" max="2771" width="14.90625" style="17" customWidth="1"/>
    <col min="2772" max="2772" width="13" style="17" customWidth="1"/>
    <col min="2773" max="2773" width="15.54296875" style="17" customWidth="1"/>
    <col min="2774" max="2774" width="13" style="17" customWidth="1"/>
    <col min="2775" max="2775" width="14.1796875" style="17" customWidth="1"/>
    <col min="2776" max="2776" width="13" style="17" customWidth="1"/>
    <col min="2777" max="2777" width="15.54296875" style="17" customWidth="1"/>
    <col min="2778" max="2778" width="15.81640625" style="17" customWidth="1"/>
    <col min="2779" max="2779" width="14.1796875" style="17" customWidth="1"/>
    <col min="2780" max="2780" width="15.81640625" style="17" customWidth="1"/>
    <col min="2781" max="2781" width="15.54296875" style="17" customWidth="1"/>
    <col min="2782" max="2782" width="13" style="17" customWidth="1"/>
    <col min="2783" max="2783" width="14.1796875" style="17" customWidth="1"/>
    <col min="2784" max="2784" width="15.81640625" style="17" customWidth="1"/>
    <col min="2785" max="2785" width="16.453125" style="17" customWidth="1"/>
    <col min="2786" max="2786" width="15.54296875" style="17" customWidth="1"/>
    <col min="2787" max="2787" width="13" style="17" customWidth="1"/>
    <col min="2788" max="2788" width="16" style="17" customWidth="1"/>
    <col min="2789" max="2789" width="13" style="17" customWidth="1"/>
    <col min="2790" max="2790" width="11.08984375" style="17" customWidth="1"/>
    <col min="2791" max="2791" width="15.54296875" style="17" customWidth="1"/>
    <col min="2792" max="2792" width="13" style="17" customWidth="1"/>
    <col min="2793" max="2793" width="14.1796875" style="17" customWidth="1"/>
    <col min="2794" max="2794" width="15.81640625" style="17" customWidth="1"/>
    <col min="2795" max="2795" width="15.54296875" style="17" customWidth="1"/>
    <col min="2796" max="2796" width="13" style="17" customWidth="1"/>
    <col min="2797" max="2797" width="14.1796875" style="17" customWidth="1"/>
    <col min="2798" max="2798" width="15.81640625" style="17" customWidth="1"/>
    <col min="2799" max="2799" width="15.54296875" style="17" customWidth="1"/>
    <col min="2800" max="2800" width="13" style="17" customWidth="1"/>
    <col min="2801" max="2801" width="14.1796875" style="17" customWidth="1"/>
    <col min="2802" max="2802" width="15.81640625" style="17" customWidth="1"/>
    <col min="2803" max="2803" width="9.1796875" style="17"/>
    <col min="2804" max="2804" width="15.54296875" style="17" customWidth="1"/>
    <col min="2805" max="2805" width="13" style="17" customWidth="1"/>
    <col min="2806" max="2806" width="14.1796875" style="17" customWidth="1"/>
    <col min="2807" max="2807" width="15.81640625" style="17" customWidth="1"/>
    <col min="2808" max="2808" width="9.1796875" style="17"/>
    <col min="2809" max="2809" width="16" style="17" customWidth="1"/>
    <col min="2810" max="2810" width="13" style="17" customWidth="1"/>
    <col min="2811" max="2811" width="14.1796875" style="17" customWidth="1"/>
    <col min="2812" max="2812" width="13" style="17" customWidth="1"/>
    <col min="2813" max="2813" width="14.1796875" style="17" customWidth="1"/>
    <col min="2814" max="2814" width="13" style="17" customWidth="1"/>
    <col min="2815" max="2815" width="14.1796875" style="17" customWidth="1"/>
    <col min="2816" max="2816" width="13" style="17" customWidth="1"/>
    <col min="2817" max="2817" width="14.1796875" style="17" customWidth="1"/>
    <col min="2818" max="2818" width="13" style="17" customWidth="1"/>
    <col min="2819" max="2819" width="14.1796875" style="17" customWidth="1"/>
    <col min="2820" max="2821" width="13" style="17" customWidth="1"/>
    <col min="2822" max="2822" width="14.90625" style="17" bestFit="1" customWidth="1"/>
    <col min="2823" max="2823" width="13" style="17" customWidth="1"/>
    <col min="2824" max="2824" width="14.1796875" style="17" customWidth="1"/>
    <col min="2825" max="2825" width="13" style="17" customWidth="1"/>
    <col min="2826" max="2826" width="8.81640625" style="17" customWidth="1"/>
    <col min="2827" max="2827" width="14.1796875" style="17" customWidth="1"/>
    <col min="2828" max="2828" width="13" style="17" customWidth="1"/>
    <col min="2829" max="2829" width="14.1796875" style="17" customWidth="1"/>
    <col min="2830" max="2830" width="13" style="17" customWidth="1"/>
    <col min="2831" max="2831" width="14.1796875" style="17" customWidth="1"/>
    <col min="2832" max="2832" width="13" style="17" customWidth="1"/>
    <col min="2833" max="2833" width="14.1796875" style="17" customWidth="1"/>
    <col min="2834" max="2838" width="13" style="17" customWidth="1"/>
    <col min="2839" max="2839" width="16.81640625" style="17" customWidth="1"/>
    <col min="2840" max="2840" width="14.1796875" style="17" customWidth="1"/>
    <col min="2841" max="2841" width="13" style="17" customWidth="1"/>
    <col min="2842" max="2842" width="14.1796875" style="17" customWidth="1"/>
    <col min="2843" max="2844" width="13.36328125" style="17" customWidth="1"/>
    <col min="2845" max="2845" width="15.6328125" style="17" customWidth="1"/>
    <col min="2846" max="2846" width="14.36328125" style="17" customWidth="1"/>
    <col min="2847" max="2847" width="16" style="17" bestFit="1" customWidth="1"/>
    <col min="2848" max="2848" width="14.1796875" style="17" customWidth="1"/>
    <col min="2849" max="2849" width="13" style="17" customWidth="1"/>
    <col min="2850" max="2850" width="14.1796875" style="17" customWidth="1"/>
    <col min="2851" max="2851" width="13.36328125" style="17" customWidth="1"/>
    <col min="2852" max="2852" width="13.81640625" style="17" bestFit="1" customWidth="1"/>
    <col min="2853" max="2853" width="14.1796875" style="17" bestFit="1" customWidth="1"/>
    <col min="2854" max="2854" width="13.81640625" style="17" bestFit="1" customWidth="1"/>
    <col min="2855" max="3010" width="9.1796875" style="17"/>
    <col min="3011" max="3011" width="3.81640625" style="17" bestFit="1" customWidth="1"/>
    <col min="3012" max="3012" width="39.54296875" style="17" customWidth="1"/>
    <col min="3013" max="3013" width="16" style="17" customWidth="1"/>
    <col min="3014" max="3014" width="13" style="17" customWidth="1"/>
    <col min="3015" max="3015" width="16" style="17" customWidth="1"/>
    <col min="3016" max="3016" width="13" style="17" customWidth="1"/>
    <col min="3017" max="3017" width="14.1796875" style="17" customWidth="1"/>
    <col min="3018" max="3018" width="13" style="17" customWidth="1"/>
    <col min="3019" max="3019" width="14.90625" style="17" customWidth="1"/>
    <col min="3020" max="3020" width="13" style="17" customWidth="1"/>
    <col min="3021" max="3021" width="15.54296875" style="17" customWidth="1"/>
    <col min="3022" max="3022" width="13" style="17" customWidth="1"/>
    <col min="3023" max="3023" width="14.1796875" style="17" customWidth="1"/>
    <col min="3024" max="3024" width="13" style="17" customWidth="1"/>
    <col min="3025" max="3025" width="14.1796875" style="17" customWidth="1"/>
    <col min="3026" max="3026" width="13" style="17" customWidth="1"/>
    <col min="3027" max="3027" width="14.90625" style="17" customWidth="1"/>
    <col min="3028" max="3028" width="13" style="17" customWidth="1"/>
    <col min="3029" max="3029" width="15.54296875" style="17" customWidth="1"/>
    <col min="3030" max="3030" width="13" style="17" customWidth="1"/>
    <col min="3031" max="3031" width="14.1796875" style="17" customWidth="1"/>
    <col min="3032" max="3032" width="13" style="17" customWidth="1"/>
    <col min="3033" max="3033" width="15.54296875" style="17" customWidth="1"/>
    <col min="3034" max="3034" width="15.81640625" style="17" customWidth="1"/>
    <col min="3035" max="3035" width="14.1796875" style="17" customWidth="1"/>
    <col min="3036" max="3036" width="15.81640625" style="17" customWidth="1"/>
    <col min="3037" max="3037" width="15.54296875" style="17" customWidth="1"/>
    <col min="3038" max="3038" width="13" style="17" customWidth="1"/>
    <col min="3039" max="3039" width="14.1796875" style="17" customWidth="1"/>
    <col min="3040" max="3040" width="15.81640625" style="17" customWidth="1"/>
    <col min="3041" max="3041" width="16.453125" style="17" customWidth="1"/>
    <col min="3042" max="3042" width="15.54296875" style="17" customWidth="1"/>
    <col min="3043" max="3043" width="13" style="17" customWidth="1"/>
    <col min="3044" max="3044" width="16" style="17" customWidth="1"/>
    <col min="3045" max="3045" width="13" style="17" customWidth="1"/>
    <col min="3046" max="3046" width="11.08984375" style="17" customWidth="1"/>
    <col min="3047" max="3047" width="15.54296875" style="17" customWidth="1"/>
    <col min="3048" max="3048" width="13" style="17" customWidth="1"/>
    <col min="3049" max="3049" width="14.1796875" style="17" customWidth="1"/>
    <col min="3050" max="3050" width="15.81640625" style="17" customWidth="1"/>
    <col min="3051" max="3051" width="15.54296875" style="17" customWidth="1"/>
    <col min="3052" max="3052" width="13" style="17" customWidth="1"/>
    <col min="3053" max="3053" width="14.1796875" style="17" customWidth="1"/>
    <col min="3054" max="3054" width="15.81640625" style="17" customWidth="1"/>
    <col min="3055" max="3055" width="15.54296875" style="17" customWidth="1"/>
    <col min="3056" max="3056" width="13" style="17" customWidth="1"/>
    <col min="3057" max="3057" width="14.1796875" style="17" customWidth="1"/>
    <col min="3058" max="3058" width="15.81640625" style="17" customWidth="1"/>
    <col min="3059" max="3059" width="9.1796875" style="17"/>
    <col min="3060" max="3060" width="15.54296875" style="17" customWidth="1"/>
    <col min="3061" max="3061" width="13" style="17" customWidth="1"/>
    <col min="3062" max="3062" width="14.1796875" style="17" customWidth="1"/>
    <col min="3063" max="3063" width="15.81640625" style="17" customWidth="1"/>
    <col min="3064" max="3064" width="9.1796875" style="17"/>
    <col min="3065" max="3065" width="16" style="17" customWidth="1"/>
    <col min="3066" max="3066" width="13" style="17" customWidth="1"/>
    <col min="3067" max="3067" width="14.1796875" style="17" customWidth="1"/>
    <col min="3068" max="3068" width="13" style="17" customWidth="1"/>
    <col min="3069" max="3069" width="14.1796875" style="17" customWidth="1"/>
    <col min="3070" max="3070" width="13" style="17" customWidth="1"/>
    <col min="3071" max="3071" width="14.1796875" style="17" customWidth="1"/>
    <col min="3072" max="3072" width="13" style="17" customWidth="1"/>
    <col min="3073" max="3073" width="14.1796875" style="17" customWidth="1"/>
    <col min="3074" max="3074" width="13" style="17" customWidth="1"/>
    <col min="3075" max="3075" width="14.1796875" style="17" customWidth="1"/>
    <col min="3076" max="3077" width="13" style="17" customWidth="1"/>
    <col min="3078" max="3078" width="14.90625" style="17" bestFit="1" customWidth="1"/>
    <col min="3079" max="3079" width="13" style="17" customWidth="1"/>
    <col min="3080" max="3080" width="14.1796875" style="17" customWidth="1"/>
    <col min="3081" max="3081" width="13" style="17" customWidth="1"/>
    <col min="3082" max="3082" width="8.81640625" style="17" customWidth="1"/>
    <col min="3083" max="3083" width="14.1796875" style="17" customWidth="1"/>
    <col min="3084" max="3084" width="13" style="17" customWidth="1"/>
    <col min="3085" max="3085" width="14.1796875" style="17" customWidth="1"/>
    <col min="3086" max="3086" width="13" style="17" customWidth="1"/>
    <col min="3087" max="3087" width="14.1796875" style="17" customWidth="1"/>
    <col min="3088" max="3088" width="13" style="17" customWidth="1"/>
    <col min="3089" max="3089" width="14.1796875" style="17" customWidth="1"/>
    <col min="3090" max="3094" width="13" style="17" customWidth="1"/>
    <col min="3095" max="3095" width="16.81640625" style="17" customWidth="1"/>
    <col min="3096" max="3096" width="14.1796875" style="17" customWidth="1"/>
    <col min="3097" max="3097" width="13" style="17" customWidth="1"/>
    <col min="3098" max="3098" width="14.1796875" style="17" customWidth="1"/>
    <col min="3099" max="3100" width="13.36328125" style="17" customWidth="1"/>
    <col min="3101" max="3101" width="15.6328125" style="17" customWidth="1"/>
    <col min="3102" max="3102" width="14.36328125" style="17" customWidth="1"/>
    <col min="3103" max="3103" width="16" style="17" bestFit="1" customWidth="1"/>
    <col min="3104" max="3104" width="14.1796875" style="17" customWidth="1"/>
    <col min="3105" max="3105" width="13" style="17" customWidth="1"/>
    <col min="3106" max="3106" width="14.1796875" style="17" customWidth="1"/>
    <col min="3107" max="3107" width="13.36328125" style="17" customWidth="1"/>
    <col min="3108" max="3108" width="13.81640625" style="17" bestFit="1" customWidth="1"/>
    <col min="3109" max="3109" width="14.1796875" style="17" bestFit="1" customWidth="1"/>
    <col min="3110" max="3110" width="13.81640625" style="17" bestFit="1" customWidth="1"/>
    <col min="3111" max="3266" width="9.1796875" style="17"/>
    <col min="3267" max="3267" width="3.81640625" style="17" bestFit="1" customWidth="1"/>
    <col min="3268" max="3268" width="39.54296875" style="17" customWidth="1"/>
    <col min="3269" max="3269" width="16" style="17" customWidth="1"/>
    <col min="3270" max="3270" width="13" style="17" customWidth="1"/>
    <col min="3271" max="3271" width="16" style="17" customWidth="1"/>
    <col min="3272" max="3272" width="13" style="17" customWidth="1"/>
    <col min="3273" max="3273" width="14.1796875" style="17" customWidth="1"/>
    <col min="3274" max="3274" width="13" style="17" customWidth="1"/>
    <col min="3275" max="3275" width="14.90625" style="17" customWidth="1"/>
    <col min="3276" max="3276" width="13" style="17" customWidth="1"/>
    <col min="3277" max="3277" width="15.54296875" style="17" customWidth="1"/>
    <col min="3278" max="3278" width="13" style="17" customWidth="1"/>
    <col min="3279" max="3279" width="14.1796875" style="17" customWidth="1"/>
    <col min="3280" max="3280" width="13" style="17" customWidth="1"/>
    <col min="3281" max="3281" width="14.1796875" style="17" customWidth="1"/>
    <col min="3282" max="3282" width="13" style="17" customWidth="1"/>
    <col min="3283" max="3283" width="14.90625" style="17" customWidth="1"/>
    <col min="3284" max="3284" width="13" style="17" customWidth="1"/>
    <col min="3285" max="3285" width="15.54296875" style="17" customWidth="1"/>
    <col min="3286" max="3286" width="13" style="17" customWidth="1"/>
    <col min="3287" max="3287" width="14.1796875" style="17" customWidth="1"/>
    <col min="3288" max="3288" width="13" style="17" customWidth="1"/>
    <col min="3289" max="3289" width="15.54296875" style="17" customWidth="1"/>
    <col min="3290" max="3290" width="15.81640625" style="17" customWidth="1"/>
    <col min="3291" max="3291" width="14.1796875" style="17" customWidth="1"/>
    <col min="3292" max="3292" width="15.81640625" style="17" customWidth="1"/>
    <col min="3293" max="3293" width="15.54296875" style="17" customWidth="1"/>
    <col min="3294" max="3294" width="13" style="17" customWidth="1"/>
    <col min="3295" max="3295" width="14.1796875" style="17" customWidth="1"/>
    <col min="3296" max="3296" width="15.81640625" style="17" customWidth="1"/>
    <col min="3297" max="3297" width="16.453125" style="17" customWidth="1"/>
    <col min="3298" max="3298" width="15.54296875" style="17" customWidth="1"/>
    <col min="3299" max="3299" width="13" style="17" customWidth="1"/>
    <col min="3300" max="3300" width="16" style="17" customWidth="1"/>
    <col min="3301" max="3301" width="13" style="17" customWidth="1"/>
    <col min="3302" max="3302" width="11.08984375" style="17" customWidth="1"/>
    <col min="3303" max="3303" width="15.54296875" style="17" customWidth="1"/>
    <col min="3304" max="3304" width="13" style="17" customWidth="1"/>
    <col min="3305" max="3305" width="14.1796875" style="17" customWidth="1"/>
    <col min="3306" max="3306" width="15.81640625" style="17" customWidth="1"/>
    <col min="3307" max="3307" width="15.54296875" style="17" customWidth="1"/>
    <col min="3308" max="3308" width="13" style="17" customWidth="1"/>
    <col min="3309" max="3309" width="14.1796875" style="17" customWidth="1"/>
    <col min="3310" max="3310" width="15.81640625" style="17" customWidth="1"/>
    <col min="3311" max="3311" width="15.54296875" style="17" customWidth="1"/>
    <col min="3312" max="3312" width="13" style="17" customWidth="1"/>
    <col min="3313" max="3313" width="14.1796875" style="17" customWidth="1"/>
    <col min="3314" max="3314" width="15.81640625" style="17" customWidth="1"/>
    <col min="3315" max="3315" width="9.1796875" style="17"/>
    <col min="3316" max="3316" width="15.54296875" style="17" customWidth="1"/>
    <col min="3317" max="3317" width="13" style="17" customWidth="1"/>
    <col min="3318" max="3318" width="14.1796875" style="17" customWidth="1"/>
    <col min="3319" max="3319" width="15.81640625" style="17" customWidth="1"/>
    <col min="3320" max="3320" width="9.1796875" style="17"/>
    <col min="3321" max="3321" width="16" style="17" customWidth="1"/>
    <col min="3322" max="3322" width="13" style="17" customWidth="1"/>
    <col min="3323" max="3323" width="14.1796875" style="17" customWidth="1"/>
    <col min="3324" max="3324" width="13" style="17" customWidth="1"/>
    <col min="3325" max="3325" width="14.1796875" style="17" customWidth="1"/>
    <col min="3326" max="3326" width="13" style="17" customWidth="1"/>
    <col min="3327" max="3327" width="14.1796875" style="17" customWidth="1"/>
    <col min="3328" max="3328" width="13" style="17" customWidth="1"/>
    <col min="3329" max="3329" width="14.1796875" style="17" customWidth="1"/>
    <col min="3330" max="3330" width="13" style="17" customWidth="1"/>
    <col min="3331" max="3331" width="14.1796875" style="17" customWidth="1"/>
    <col min="3332" max="3333" width="13" style="17" customWidth="1"/>
    <col min="3334" max="3334" width="14.90625" style="17" bestFit="1" customWidth="1"/>
    <col min="3335" max="3335" width="13" style="17" customWidth="1"/>
    <col min="3336" max="3336" width="14.1796875" style="17" customWidth="1"/>
    <col min="3337" max="3337" width="13" style="17" customWidth="1"/>
    <col min="3338" max="3338" width="8.81640625" style="17" customWidth="1"/>
    <col min="3339" max="3339" width="14.1796875" style="17" customWidth="1"/>
    <col min="3340" max="3340" width="13" style="17" customWidth="1"/>
    <col min="3341" max="3341" width="14.1796875" style="17" customWidth="1"/>
    <col min="3342" max="3342" width="13" style="17" customWidth="1"/>
    <col min="3343" max="3343" width="14.1796875" style="17" customWidth="1"/>
    <col min="3344" max="3344" width="13" style="17" customWidth="1"/>
    <col min="3345" max="3345" width="14.1796875" style="17" customWidth="1"/>
    <col min="3346" max="3350" width="13" style="17" customWidth="1"/>
    <col min="3351" max="3351" width="16.81640625" style="17" customWidth="1"/>
    <col min="3352" max="3352" width="14.1796875" style="17" customWidth="1"/>
    <col min="3353" max="3353" width="13" style="17" customWidth="1"/>
    <col min="3354" max="3354" width="14.1796875" style="17" customWidth="1"/>
    <col min="3355" max="3356" width="13.36328125" style="17" customWidth="1"/>
    <col min="3357" max="3357" width="15.6328125" style="17" customWidth="1"/>
    <col min="3358" max="3358" width="14.36328125" style="17" customWidth="1"/>
    <col min="3359" max="3359" width="16" style="17" bestFit="1" customWidth="1"/>
    <col min="3360" max="3360" width="14.1796875" style="17" customWidth="1"/>
    <col min="3361" max="3361" width="13" style="17" customWidth="1"/>
    <col min="3362" max="3362" width="14.1796875" style="17" customWidth="1"/>
    <col min="3363" max="3363" width="13.36328125" style="17" customWidth="1"/>
    <col min="3364" max="3364" width="13.81640625" style="17" bestFit="1" customWidth="1"/>
    <col min="3365" max="3365" width="14.1796875" style="17" bestFit="1" customWidth="1"/>
    <col min="3366" max="3366" width="13.81640625" style="17" bestFit="1" customWidth="1"/>
    <col min="3367" max="3522" width="9.1796875" style="17"/>
    <col min="3523" max="3523" width="3.81640625" style="17" bestFit="1" customWidth="1"/>
    <col min="3524" max="3524" width="39.54296875" style="17" customWidth="1"/>
    <col min="3525" max="3525" width="16" style="17" customWidth="1"/>
    <col min="3526" max="3526" width="13" style="17" customWidth="1"/>
    <col min="3527" max="3527" width="16" style="17" customWidth="1"/>
    <col min="3528" max="3528" width="13" style="17" customWidth="1"/>
    <col min="3529" max="3529" width="14.1796875" style="17" customWidth="1"/>
    <col min="3530" max="3530" width="13" style="17" customWidth="1"/>
    <col min="3531" max="3531" width="14.90625" style="17" customWidth="1"/>
    <col min="3532" max="3532" width="13" style="17" customWidth="1"/>
    <col min="3533" max="3533" width="15.54296875" style="17" customWidth="1"/>
    <col min="3534" max="3534" width="13" style="17" customWidth="1"/>
    <col min="3535" max="3535" width="14.1796875" style="17" customWidth="1"/>
    <col min="3536" max="3536" width="13" style="17" customWidth="1"/>
    <col min="3537" max="3537" width="14.1796875" style="17" customWidth="1"/>
    <col min="3538" max="3538" width="13" style="17" customWidth="1"/>
    <col min="3539" max="3539" width="14.90625" style="17" customWidth="1"/>
    <col min="3540" max="3540" width="13" style="17" customWidth="1"/>
    <col min="3541" max="3541" width="15.54296875" style="17" customWidth="1"/>
    <col min="3542" max="3542" width="13" style="17" customWidth="1"/>
    <col min="3543" max="3543" width="14.1796875" style="17" customWidth="1"/>
    <col min="3544" max="3544" width="13" style="17" customWidth="1"/>
    <col min="3545" max="3545" width="15.54296875" style="17" customWidth="1"/>
    <col min="3546" max="3546" width="15.81640625" style="17" customWidth="1"/>
    <col min="3547" max="3547" width="14.1796875" style="17" customWidth="1"/>
    <col min="3548" max="3548" width="15.81640625" style="17" customWidth="1"/>
    <col min="3549" max="3549" width="15.54296875" style="17" customWidth="1"/>
    <col min="3550" max="3550" width="13" style="17" customWidth="1"/>
    <col min="3551" max="3551" width="14.1796875" style="17" customWidth="1"/>
    <col min="3552" max="3552" width="15.81640625" style="17" customWidth="1"/>
    <col min="3553" max="3553" width="16.453125" style="17" customWidth="1"/>
    <col min="3554" max="3554" width="15.54296875" style="17" customWidth="1"/>
    <col min="3555" max="3555" width="13" style="17" customWidth="1"/>
    <col min="3556" max="3556" width="16" style="17" customWidth="1"/>
    <col min="3557" max="3557" width="13" style="17" customWidth="1"/>
    <col min="3558" max="3558" width="11.08984375" style="17" customWidth="1"/>
    <col min="3559" max="3559" width="15.54296875" style="17" customWidth="1"/>
    <col min="3560" max="3560" width="13" style="17" customWidth="1"/>
    <col min="3561" max="3561" width="14.1796875" style="17" customWidth="1"/>
    <col min="3562" max="3562" width="15.81640625" style="17" customWidth="1"/>
    <col min="3563" max="3563" width="15.54296875" style="17" customWidth="1"/>
    <col min="3564" max="3564" width="13" style="17" customWidth="1"/>
    <col min="3565" max="3565" width="14.1796875" style="17" customWidth="1"/>
    <col min="3566" max="3566" width="15.81640625" style="17" customWidth="1"/>
    <col min="3567" max="3567" width="15.54296875" style="17" customWidth="1"/>
    <col min="3568" max="3568" width="13" style="17" customWidth="1"/>
    <col min="3569" max="3569" width="14.1796875" style="17" customWidth="1"/>
    <col min="3570" max="3570" width="15.81640625" style="17" customWidth="1"/>
    <col min="3571" max="3571" width="9.1796875" style="17"/>
    <col min="3572" max="3572" width="15.54296875" style="17" customWidth="1"/>
    <col min="3573" max="3573" width="13" style="17" customWidth="1"/>
    <col min="3574" max="3574" width="14.1796875" style="17" customWidth="1"/>
    <col min="3575" max="3575" width="15.81640625" style="17" customWidth="1"/>
    <col min="3576" max="3576" width="9.1796875" style="17"/>
    <col min="3577" max="3577" width="16" style="17" customWidth="1"/>
    <col min="3578" max="3578" width="13" style="17" customWidth="1"/>
    <col min="3579" max="3579" width="14.1796875" style="17" customWidth="1"/>
    <col min="3580" max="3580" width="13" style="17" customWidth="1"/>
    <col min="3581" max="3581" width="14.1796875" style="17" customWidth="1"/>
    <col min="3582" max="3582" width="13" style="17" customWidth="1"/>
    <col min="3583" max="3583" width="14.1796875" style="17" customWidth="1"/>
    <col min="3584" max="3584" width="13" style="17" customWidth="1"/>
    <col min="3585" max="3585" width="14.1796875" style="17" customWidth="1"/>
    <col min="3586" max="3586" width="13" style="17" customWidth="1"/>
    <col min="3587" max="3587" width="14.1796875" style="17" customWidth="1"/>
    <col min="3588" max="3589" width="13" style="17" customWidth="1"/>
    <col min="3590" max="3590" width="14.90625" style="17" bestFit="1" customWidth="1"/>
    <col min="3591" max="3591" width="13" style="17" customWidth="1"/>
    <col min="3592" max="3592" width="14.1796875" style="17" customWidth="1"/>
    <col min="3593" max="3593" width="13" style="17" customWidth="1"/>
    <col min="3594" max="3594" width="8.81640625" style="17" customWidth="1"/>
    <col min="3595" max="3595" width="14.1796875" style="17" customWidth="1"/>
    <col min="3596" max="3596" width="13" style="17" customWidth="1"/>
    <col min="3597" max="3597" width="14.1796875" style="17" customWidth="1"/>
    <col min="3598" max="3598" width="13" style="17" customWidth="1"/>
    <col min="3599" max="3599" width="14.1796875" style="17" customWidth="1"/>
    <col min="3600" max="3600" width="13" style="17" customWidth="1"/>
    <col min="3601" max="3601" width="14.1796875" style="17" customWidth="1"/>
    <col min="3602" max="3606" width="13" style="17" customWidth="1"/>
    <col min="3607" max="3607" width="16.81640625" style="17" customWidth="1"/>
    <col min="3608" max="3608" width="14.1796875" style="17" customWidth="1"/>
    <col min="3609" max="3609" width="13" style="17" customWidth="1"/>
    <col min="3610" max="3610" width="14.1796875" style="17" customWidth="1"/>
    <col min="3611" max="3612" width="13.36328125" style="17" customWidth="1"/>
    <col min="3613" max="3613" width="15.6328125" style="17" customWidth="1"/>
    <col min="3614" max="3614" width="14.36328125" style="17" customWidth="1"/>
    <col min="3615" max="3615" width="16" style="17" bestFit="1" customWidth="1"/>
    <col min="3616" max="3616" width="14.1796875" style="17" customWidth="1"/>
    <col min="3617" max="3617" width="13" style="17" customWidth="1"/>
    <col min="3618" max="3618" width="14.1796875" style="17" customWidth="1"/>
    <col min="3619" max="3619" width="13.36328125" style="17" customWidth="1"/>
    <col min="3620" max="3620" width="13.81640625" style="17" bestFit="1" customWidth="1"/>
    <col min="3621" max="3621" width="14.1796875" style="17" bestFit="1" customWidth="1"/>
    <col min="3622" max="3622" width="13.81640625" style="17" bestFit="1" customWidth="1"/>
    <col min="3623" max="3778" width="9.1796875" style="17"/>
    <col min="3779" max="3779" width="3.81640625" style="17" bestFit="1" customWidth="1"/>
    <col min="3780" max="3780" width="39.54296875" style="17" customWidth="1"/>
    <col min="3781" max="3781" width="16" style="17" customWidth="1"/>
    <col min="3782" max="3782" width="13" style="17" customWidth="1"/>
    <col min="3783" max="3783" width="16" style="17" customWidth="1"/>
    <col min="3784" max="3784" width="13" style="17" customWidth="1"/>
    <col min="3785" max="3785" width="14.1796875" style="17" customWidth="1"/>
    <col min="3786" max="3786" width="13" style="17" customWidth="1"/>
    <col min="3787" max="3787" width="14.90625" style="17" customWidth="1"/>
    <col min="3788" max="3788" width="13" style="17" customWidth="1"/>
    <col min="3789" max="3789" width="15.54296875" style="17" customWidth="1"/>
    <col min="3790" max="3790" width="13" style="17" customWidth="1"/>
    <col min="3791" max="3791" width="14.1796875" style="17" customWidth="1"/>
    <col min="3792" max="3792" width="13" style="17" customWidth="1"/>
    <col min="3793" max="3793" width="14.1796875" style="17" customWidth="1"/>
    <col min="3794" max="3794" width="13" style="17" customWidth="1"/>
    <col min="3795" max="3795" width="14.90625" style="17" customWidth="1"/>
    <col min="3796" max="3796" width="13" style="17" customWidth="1"/>
    <col min="3797" max="3797" width="15.54296875" style="17" customWidth="1"/>
    <col min="3798" max="3798" width="13" style="17" customWidth="1"/>
    <col min="3799" max="3799" width="14.1796875" style="17" customWidth="1"/>
    <col min="3800" max="3800" width="13" style="17" customWidth="1"/>
    <col min="3801" max="3801" width="15.54296875" style="17" customWidth="1"/>
    <col min="3802" max="3802" width="15.81640625" style="17" customWidth="1"/>
    <col min="3803" max="3803" width="14.1796875" style="17" customWidth="1"/>
    <col min="3804" max="3804" width="15.81640625" style="17" customWidth="1"/>
    <col min="3805" max="3805" width="15.54296875" style="17" customWidth="1"/>
    <col min="3806" max="3806" width="13" style="17" customWidth="1"/>
    <col min="3807" max="3807" width="14.1796875" style="17" customWidth="1"/>
    <col min="3808" max="3808" width="15.81640625" style="17" customWidth="1"/>
    <col min="3809" max="3809" width="16.453125" style="17" customWidth="1"/>
    <col min="3810" max="3810" width="15.54296875" style="17" customWidth="1"/>
    <col min="3811" max="3811" width="13" style="17" customWidth="1"/>
    <col min="3812" max="3812" width="16" style="17" customWidth="1"/>
    <col min="3813" max="3813" width="13" style="17" customWidth="1"/>
    <col min="3814" max="3814" width="11.08984375" style="17" customWidth="1"/>
    <col min="3815" max="3815" width="15.54296875" style="17" customWidth="1"/>
    <col min="3816" max="3816" width="13" style="17" customWidth="1"/>
    <col min="3817" max="3817" width="14.1796875" style="17" customWidth="1"/>
    <col min="3818" max="3818" width="15.81640625" style="17" customWidth="1"/>
    <col min="3819" max="3819" width="15.54296875" style="17" customWidth="1"/>
    <col min="3820" max="3820" width="13" style="17" customWidth="1"/>
    <col min="3821" max="3821" width="14.1796875" style="17" customWidth="1"/>
    <col min="3822" max="3822" width="15.81640625" style="17" customWidth="1"/>
    <col min="3823" max="3823" width="15.54296875" style="17" customWidth="1"/>
    <col min="3824" max="3824" width="13" style="17" customWidth="1"/>
    <col min="3825" max="3825" width="14.1796875" style="17" customWidth="1"/>
    <col min="3826" max="3826" width="15.81640625" style="17" customWidth="1"/>
    <col min="3827" max="3827" width="9.1796875" style="17"/>
    <col min="3828" max="3828" width="15.54296875" style="17" customWidth="1"/>
    <col min="3829" max="3829" width="13" style="17" customWidth="1"/>
    <col min="3830" max="3830" width="14.1796875" style="17" customWidth="1"/>
    <col min="3831" max="3831" width="15.81640625" style="17" customWidth="1"/>
    <col min="3832" max="3832" width="9.1796875" style="17"/>
    <col min="3833" max="3833" width="16" style="17" customWidth="1"/>
    <col min="3834" max="3834" width="13" style="17" customWidth="1"/>
    <col min="3835" max="3835" width="14.1796875" style="17" customWidth="1"/>
    <col min="3836" max="3836" width="13" style="17" customWidth="1"/>
    <col min="3837" max="3837" width="14.1796875" style="17" customWidth="1"/>
    <col min="3838" max="3838" width="13" style="17" customWidth="1"/>
    <col min="3839" max="3839" width="14.1796875" style="17" customWidth="1"/>
    <col min="3840" max="3840" width="13" style="17" customWidth="1"/>
    <col min="3841" max="3841" width="14.1796875" style="17" customWidth="1"/>
    <col min="3842" max="3842" width="13" style="17" customWidth="1"/>
    <col min="3843" max="3843" width="14.1796875" style="17" customWidth="1"/>
    <col min="3844" max="3845" width="13" style="17" customWidth="1"/>
    <col min="3846" max="3846" width="14.90625" style="17" bestFit="1" customWidth="1"/>
    <col min="3847" max="3847" width="13" style="17" customWidth="1"/>
    <col min="3848" max="3848" width="14.1796875" style="17" customWidth="1"/>
    <col min="3849" max="3849" width="13" style="17" customWidth="1"/>
    <col min="3850" max="3850" width="8.81640625" style="17" customWidth="1"/>
    <col min="3851" max="3851" width="14.1796875" style="17" customWidth="1"/>
    <col min="3852" max="3852" width="13" style="17" customWidth="1"/>
    <col min="3853" max="3853" width="14.1796875" style="17" customWidth="1"/>
    <col min="3854" max="3854" width="13" style="17" customWidth="1"/>
    <col min="3855" max="3855" width="14.1796875" style="17" customWidth="1"/>
    <col min="3856" max="3856" width="13" style="17" customWidth="1"/>
    <col min="3857" max="3857" width="14.1796875" style="17" customWidth="1"/>
    <col min="3858" max="3862" width="13" style="17" customWidth="1"/>
    <col min="3863" max="3863" width="16.81640625" style="17" customWidth="1"/>
    <col min="3864" max="3864" width="14.1796875" style="17" customWidth="1"/>
    <col min="3865" max="3865" width="13" style="17" customWidth="1"/>
    <col min="3866" max="3866" width="14.1796875" style="17" customWidth="1"/>
    <col min="3867" max="3868" width="13.36328125" style="17" customWidth="1"/>
    <col min="3869" max="3869" width="15.6328125" style="17" customWidth="1"/>
    <col min="3870" max="3870" width="14.36328125" style="17" customWidth="1"/>
    <col min="3871" max="3871" width="16" style="17" bestFit="1" customWidth="1"/>
    <col min="3872" max="3872" width="14.1796875" style="17" customWidth="1"/>
    <col min="3873" max="3873" width="13" style="17" customWidth="1"/>
    <col min="3874" max="3874" width="14.1796875" style="17" customWidth="1"/>
    <col min="3875" max="3875" width="13.36328125" style="17" customWidth="1"/>
    <col min="3876" max="3876" width="13.81640625" style="17" bestFit="1" customWidth="1"/>
    <col min="3877" max="3877" width="14.1796875" style="17" bestFit="1" customWidth="1"/>
    <col min="3878" max="3878" width="13.81640625" style="17" bestFit="1" customWidth="1"/>
    <col min="3879" max="4034" width="9.1796875" style="17"/>
    <col min="4035" max="4035" width="3.81640625" style="17" bestFit="1" customWidth="1"/>
    <col min="4036" max="4036" width="39.54296875" style="17" customWidth="1"/>
    <col min="4037" max="4037" width="16" style="17" customWidth="1"/>
    <col min="4038" max="4038" width="13" style="17" customWidth="1"/>
    <col min="4039" max="4039" width="16" style="17" customWidth="1"/>
    <col min="4040" max="4040" width="13" style="17" customWidth="1"/>
    <col min="4041" max="4041" width="14.1796875" style="17" customWidth="1"/>
    <col min="4042" max="4042" width="13" style="17" customWidth="1"/>
    <col min="4043" max="4043" width="14.90625" style="17" customWidth="1"/>
    <col min="4044" max="4044" width="13" style="17" customWidth="1"/>
    <col min="4045" max="4045" width="15.54296875" style="17" customWidth="1"/>
    <col min="4046" max="4046" width="13" style="17" customWidth="1"/>
    <col min="4047" max="4047" width="14.1796875" style="17" customWidth="1"/>
    <col min="4048" max="4048" width="13" style="17" customWidth="1"/>
    <col min="4049" max="4049" width="14.1796875" style="17" customWidth="1"/>
    <col min="4050" max="4050" width="13" style="17" customWidth="1"/>
    <col min="4051" max="4051" width="14.90625" style="17" customWidth="1"/>
    <col min="4052" max="4052" width="13" style="17" customWidth="1"/>
    <col min="4053" max="4053" width="15.54296875" style="17" customWidth="1"/>
    <col min="4054" max="4054" width="13" style="17" customWidth="1"/>
    <col min="4055" max="4055" width="14.1796875" style="17" customWidth="1"/>
    <col min="4056" max="4056" width="13" style="17" customWidth="1"/>
    <col min="4057" max="4057" width="15.54296875" style="17" customWidth="1"/>
    <col min="4058" max="4058" width="15.81640625" style="17" customWidth="1"/>
    <col min="4059" max="4059" width="14.1796875" style="17" customWidth="1"/>
    <col min="4060" max="4060" width="15.81640625" style="17" customWidth="1"/>
    <col min="4061" max="4061" width="15.54296875" style="17" customWidth="1"/>
    <col min="4062" max="4062" width="13" style="17" customWidth="1"/>
    <col min="4063" max="4063" width="14.1796875" style="17" customWidth="1"/>
    <col min="4064" max="4064" width="15.81640625" style="17" customWidth="1"/>
    <col min="4065" max="4065" width="16.453125" style="17" customWidth="1"/>
    <col min="4066" max="4066" width="15.54296875" style="17" customWidth="1"/>
    <col min="4067" max="4067" width="13" style="17" customWidth="1"/>
    <col min="4068" max="4068" width="16" style="17" customWidth="1"/>
    <col min="4069" max="4069" width="13" style="17" customWidth="1"/>
    <col min="4070" max="4070" width="11.08984375" style="17" customWidth="1"/>
    <col min="4071" max="4071" width="15.54296875" style="17" customWidth="1"/>
    <col min="4072" max="4072" width="13" style="17" customWidth="1"/>
    <col min="4073" max="4073" width="14.1796875" style="17" customWidth="1"/>
    <col min="4074" max="4074" width="15.81640625" style="17" customWidth="1"/>
    <col min="4075" max="4075" width="15.54296875" style="17" customWidth="1"/>
    <col min="4076" max="4076" width="13" style="17" customWidth="1"/>
    <col min="4077" max="4077" width="14.1796875" style="17" customWidth="1"/>
    <col min="4078" max="4078" width="15.81640625" style="17" customWidth="1"/>
    <col min="4079" max="4079" width="15.54296875" style="17" customWidth="1"/>
    <col min="4080" max="4080" width="13" style="17" customWidth="1"/>
    <col min="4081" max="4081" width="14.1796875" style="17" customWidth="1"/>
    <col min="4082" max="4082" width="15.81640625" style="17" customWidth="1"/>
    <col min="4083" max="4083" width="9.1796875" style="17"/>
    <col min="4084" max="4084" width="15.54296875" style="17" customWidth="1"/>
    <col min="4085" max="4085" width="13" style="17" customWidth="1"/>
    <col min="4086" max="4086" width="14.1796875" style="17" customWidth="1"/>
    <col min="4087" max="4087" width="15.81640625" style="17" customWidth="1"/>
    <col min="4088" max="4088" width="9.1796875" style="17"/>
    <col min="4089" max="4089" width="16" style="17" customWidth="1"/>
    <col min="4090" max="4090" width="13" style="17" customWidth="1"/>
    <col min="4091" max="4091" width="14.1796875" style="17" customWidth="1"/>
    <col min="4092" max="4092" width="13" style="17" customWidth="1"/>
    <col min="4093" max="4093" width="14.1796875" style="17" customWidth="1"/>
    <col min="4094" max="4094" width="13" style="17" customWidth="1"/>
    <col min="4095" max="4095" width="14.1796875" style="17" customWidth="1"/>
    <col min="4096" max="4096" width="13" style="17" customWidth="1"/>
    <col min="4097" max="4097" width="14.1796875" style="17" customWidth="1"/>
    <col min="4098" max="4098" width="13" style="17" customWidth="1"/>
    <col min="4099" max="4099" width="14.1796875" style="17" customWidth="1"/>
    <col min="4100" max="4101" width="13" style="17" customWidth="1"/>
    <col min="4102" max="4102" width="14.90625" style="17" bestFit="1" customWidth="1"/>
    <col min="4103" max="4103" width="13" style="17" customWidth="1"/>
    <col min="4104" max="4104" width="14.1796875" style="17" customWidth="1"/>
    <col min="4105" max="4105" width="13" style="17" customWidth="1"/>
    <col min="4106" max="4106" width="8.81640625" style="17" customWidth="1"/>
    <col min="4107" max="4107" width="14.1796875" style="17" customWidth="1"/>
    <col min="4108" max="4108" width="13" style="17" customWidth="1"/>
    <col min="4109" max="4109" width="14.1796875" style="17" customWidth="1"/>
    <col min="4110" max="4110" width="13" style="17" customWidth="1"/>
    <col min="4111" max="4111" width="14.1796875" style="17" customWidth="1"/>
    <col min="4112" max="4112" width="13" style="17" customWidth="1"/>
    <col min="4113" max="4113" width="14.1796875" style="17" customWidth="1"/>
    <col min="4114" max="4118" width="13" style="17" customWidth="1"/>
    <col min="4119" max="4119" width="16.81640625" style="17" customWidth="1"/>
    <col min="4120" max="4120" width="14.1796875" style="17" customWidth="1"/>
    <col min="4121" max="4121" width="13" style="17" customWidth="1"/>
    <col min="4122" max="4122" width="14.1796875" style="17" customWidth="1"/>
    <col min="4123" max="4124" width="13.36328125" style="17" customWidth="1"/>
    <col min="4125" max="4125" width="15.6328125" style="17" customWidth="1"/>
    <col min="4126" max="4126" width="14.36328125" style="17" customWidth="1"/>
    <col min="4127" max="4127" width="16" style="17" bestFit="1" customWidth="1"/>
    <col min="4128" max="4128" width="14.1796875" style="17" customWidth="1"/>
    <col min="4129" max="4129" width="13" style="17" customWidth="1"/>
    <col min="4130" max="4130" width="14.1796875" style="17" customWidth="1"/>
    <col min="4131" max="4131" width="13.36328125" style="17" customWidth="1"/>
    <col min="4132" max="4132" width="13.81640625" style="17" bestFit="1" customWidth="1"/>
    <col min="4133" max="4133" width="14.1796875" style="17" bestFit="1" customWidth="1"/>
    <col min="4134" max="4134" width="13.81640625" style="17" bestFit="1" customWidth="1"/>
    <col min="4135" max="4290" width="9.1796875" style="17"/>
    <col min="4291" max="4291" width="3.81640625" style="17" bestFit="1" customWidth="1"/>
    <col min="4292" max="4292" width="39.54296875" style="17" customWidth="1"/>
    <col min="4293" max="4293" width="16" style="17" customWidth="1"/>
    <col min="4294" max="4294" width="13" style="17" customWidth="1"/>
    <col min="4295" max="4295" width="16" style="17" customWidth="1"/>
    <col min="4296" max="4296" width="13" style="17" customWidth="1"/>
    <col min="4297" max="4297" width="14.1796875" style="17" customWidth="1"/>
    <col min="4298" max="4298" width="13" style="17" customWidth="1"/>
    <col min="4299" max="4299" width="14.90625" style="17" customWidth="1"/>
    <col min="4300" max="4300" width="13" style="17" customWidth="1"/>
    <col min="4301" max="4301" width="15.54296875" style="17" customWidth="1"/>
    <col min="4302" max="4302" width="13" style="17" customWidth="1"/>
    <col min="4303" max="4303" width="14.1796875" style="17" customWidth="1"/>
    <col min="4304" max="4304" width="13" style="17" customWidth="1"/>
    <col min="4305" max="4305" width="14.1796875" style="17" customWidth="1"/>
    <col min="4306" max="4306" width="13" style="17" customWidth="1"/>
    <col min="4307" max="4307" width="14.90625" style="17" customWidth="1"/>
    <col min="4308" max="4308" width="13" style="17" customWidth="1"/>
    <col min="4309" max="4309" width="15.54296875" style="17" customWidth="1"/>
    <col min="4310" max="4310" width="13" style="17" customWidth="1"/>
    <col min="4311" max="4311" width="14.1796875" style="17" customWidth="1"/>
    <col min="4312" max="4312" width="13" style="17" customWidth="1"/>
    <col min="4313" max="4313" width="15.54296875" style="17" customWidth="1"/>
    <col min="4314" max="4314" width="15.81640625" style="17" customWidth="1"/>
    <col min="4315" max="4315" width="14.1796875" style="17" customWidth="1"/>
    <col min="4316" max="4316" width="15.81640625" style="17" customWidth="1"/>
    <col min="4317" max="4317" width="15.54296875" style="17" customWidth="1"/>
    <col min="4318" max="4318" width="13" style="17" customWidth="1"/>
    <col min="4319" max="4319" width="14.1796875" style="17" customWidth="1"/>
    <col min="4320" max="4320" width="15.81640625" style="17" customWidth="1"/>
    <col min="4321" max="4321" width="16.453125" style="17" customWidth="1"/>
    <col min="4322" max="4322" width="15.54296875" style="17" customWidth="1"/>
    <col min="4323" max="4323" width="13" style="17" customWidth="1"/>
    <col min="4324" max="4324" width="16" style="17" customWidth="1"/>
    <col min="4325" max="4325" width="13" style="17" customWidth="1"/>
    <col min="4326" max="4326" width="11.08984375" style="17" customWidth="1"/>
    <col min="4327" max="4327" width="15.54296875" style="17" customWidth="1"/>
    <col min="4328" max="4328" width="13" style="17" customWidth="1"/>
    <col min="4329" max="4329" width="14.1796875" style="17" customWidth="1"/>
    <col min="4330" max="4330" width="15.81640625" style="17" customWidth="1"/>
    <col min="4331" max="4331" width="15.54296875" style="17" customWidth="1"/>
    <col min="4332" max="4332" width="13" style="17" customWidth="1"/>
    <col min="4333" max="4333" width="14.1796875" style="17" customWidth="1"/>
    <col min="4334" max="4334" width="15.81640625" style="17" customWidth="1"/>
    <col min="4335" max="4335" width="15.54296875" style="17" customWidth="1"/>
    <col min="4336" max="4336" width="13" style="17" customWidth="1"/>
    <col min="4337" max="4337" width="14.1796875" style="17" customWidth="1"/>
    <col min="4338" max="4338" width="15.81640625" style="17" customWidth="1"/>
    <col min="4339" max="4339" width="9.1796875" style="17"/>
    <col min="4340" max="4340" width="15.54296875" style="17" customWidth="1"/>
    <col min="4341" max="4341" width="13" style="17" customWidth="1"/>
    <col min="4342" max="4342" width="14.1796875" style="17" customWidth="1"/>
    <col min="4343" max="4343" width="15.81640625" style="17" customWidth="1"/>
    <col min="4344" max="4344" width="9.1796875" style="17"/>
    <col min="4345" max="4345" width="16" style="17" customWidth="1"/>
    <col min="4346" max="4346" width="13" style="17" customWidth="1"/>
    <col min="4347" max="4347" width="14.1796875" style="17" customWidth="1"/>
    <col min="4348" max="4348" width="13" style="17" customWidth="1"/>
    <col min="4349" max="4349" width="14.1796875" style="17" customWidth="1"/>
    <col min="4350" max="4350" width="13" style="17" customWidth="1"/>
    <col min="4351" max="4351" width="14.1796875" style="17" customWidth="1"/>
    <col min="4352" max="4352" width="13" style="17" customWidth="1"/>
    <col min="4353" max="4353" width="14.1796875" style="17" customWidth="1"/>
    <col min="4354" max="4354" width="13" style="17" customWidth="1"/>
    <col min="4355" max="4355" width="14.1796875" style="17" customWidth="1"/>
    <col min="4356" max="4357" width="13" style="17" customWidth="1"/>
    <col min="4358" max="4358" width="14.90625" style="17" bestFit="1" customWidth="1"/>
    <col min="4359" max="4359" width="13" style="17" customWidth="1"/>
    <col min="4360" max="4360" width="14.1796875" style="17" customWidth="1"/>
    <col min="4361" max="4361" width="13" style="17" customWidth="1"/>
    <col min="4362" max="4362" width="8.81640625" style="17" customWidth="1"/>
    <col min="4363" max="4363" width="14.1796875" style="17" customWidth="1"/>
    <col min="4364" max="4364" width="13" style="17" customWidth="1"/>
    <col min="4365" max="4365" width="14.1796875" style="17" customWidth="1"/>
    <col min="4366" max="4366" width="13" style="17" customWidth="1"/>
    <col min="4367" max="4367" width="14.1796875" style="17" customWidth="1"/>
    <col min="4368" max="4368" width="13" style="17" customWidth="1"/>
    <col min="4369" max="4369" width="14.1796875" style="17" customWidth="1"/>
    <col min="4370" max="4374" width="13" style="17" customWidth="1"/>
    <col min="4375" max="4375" width="16.81640625" style="17" customWidth="1"/>
    <col min="4376" max="4376" width="14.1796875" style="17" customWidth="1"/>
    <col min="4377" max="4377" width="13" style="17" customWidth="1"/>
    <col min="4378" max="4378" width="14.1796875" style="17" customWidth="1"/>
    <col min="4379" max="4380" width="13.36328125" style="17" customWidth="1"/>
    <col min="4381" max="4381" width="15.6328125" style="17" customWidth="1"/>
    <col min="4382" max="4382" width="14.36328125" style="17" customWidth="1"/>
    <col min="4383" max="4383" width="16" style="17" bestFit="1" customWidth="1"/>
    <col min="4384" max="4384" width="14.1796875" style="17" customWidth="1"/>
    <col min="4385" max="4385" width="13" style="17" customWidth="1"/>
    <col min="4386" max="4386" width="14.1796875" style="17" customWidth="1"/>
    <col min="4387" max="4387" width="13.36328125" style="17" customWidth="1"/>
    <col min="4388" max="4388" width="13.81640625" style="17" bestFit="1" customWidth="1"/>
    <col min="4389" max="4389" width="14.1796875" style="17" bestFit="1" customWidth="1"/>
    <col min="4390" max="4390" width="13.81640625" style="17" bestFit="1" customWidth="1"/>
    <col min="4391" max="4546" width="9.1796875" style="17"/>
    <col min="4547" max="4547" width="3.81640625" style="17" bestFit="1" customWidth="1"/>
    <col min="4548" max="4548" width="39.54296875" style="17" customWidth="1"/>
    <col min="4549" max="4549" width="16" style="17" customWidth="1"/>
    <col min="4550" max="4550" width="13" style="17" customWidth="1"/>
    <col min="4551" max="4551" width="16" style="17" customWidth="1"/>
    <col min="4552" max="4552" width="13" style="17" customWidth="1"/>
    <col min="4553" max="4553" width="14.1796875" style="17" customWidth="1"/>
    <col min="4554" max="4554" width="13" style="17" customWidth="1"/>
    <col min="4555" max="4555" width="14.90625" style="17" customWidth="1"/>
    <col min="4556" max="4556" width="13" style="17" customWidth="1"/>
    <col min="4557" max="4557" width="15.54296875" style="17" customWidth="1"/>
    <col min="4558" max="4558" width="13" style="17" customWidth="1"/>
    <col min="4559" max="4559" width="14.1796875" style="17" customWidth="1"/>
    <col min="4560" max="4560" width="13" style="17" customWidth="1"/>
    <col min="4561" max="4561" width="14.1796875" style="17" customWidth="1"/>
    <col min="4562" max="4562" width="13" style="17" customWidth="1"/>
    <col min="4563" max="4563" width="14.90625" style="17" customWidth="1"/>
    <col min="4564" max="4564" width="13" style="17" customWidth="1"/>
    <col min="4565" max="4565" width="15.54296875" style="17" customWidth="1"/>
    <col min="4566" max="4566" width="13" style="17" customWidth="1"/>
    <col min="4567" max="4567" width="14.1796875" style="17" customWidth="1"/>
    <col min="4568" max="4568" width="13" style="17" customWidth="1"/>
    <col min="4569" max="4569" width="15.54296875" style="17" customWidth="1"/>
    <col min="4570" max="4570" width="15.81640625" style="17" customWidth="1"/>
    <col min="4571" max="4571" width="14.1796875" style="17" customWidth="1"/>
    <col min="4572" max="4572" width="15.81640625" style="17" customWidth="1"/>
    <col min="4573" max="4573" width="15.54296875" style="17" customWidth="1"/>
    <col min="4574" max="4574" width="13" style="17" customWidth="1"/>
    <col min="4575" max="4575" width="14.1796875" style="17" customWidth="1"/>
    <col min="4576" max="4576" width="15.81640625" style="17" customWidth="1"/>
    <col min="4577" max="4577" width="16.453125" style="17" customWidth="1"/>
    <col min="4578" max="4578" width="15.54296875" style="17" customWidth="1"/>
    <col min="4579" max="4579" width="13" style="17" customWidth="1"/>
    <col min="4580" max="4580" width="16" style="17" customWidth="1"/>
    <col min="4581" max="4581" width="13" style="17" customWidth="1"/>
    <col min="4582" max="4582" width="11.08984375" style="17" customWidth="1"/>
    <col min="4583" max="4583" width="15.54296875" style="17" customWidth="1"/>
    <col min="4584" max="4584" width="13" style="17" customWidth="1"/>
    <col min="4585" max="4585" width="14.1796875" style="17" customWidth="1"/>
    <col min="4586" max="4586" width="15.81640625" style="17" customWidth="1"/>
    <col min="4587" max="4587" width="15.54296875" style="17" customWidth="1"/>
    <col min="4588" max="4588" width="13" style="17" customWidth="1"/>
    <col min="4589" max="4589" width="14.1796875" style="17" customWidth="1"/>
    <col min="4590" max="4590" width="15.81640625" style="17" customWidth="1"/>
    <col min="4591" max="4591" width="15.54296875" style="17" customWidth="1"/>
    <col min="4592" max="4592" width="13" style="17" customWidth="1"/>
    <col min="4593" max="4593" width="14.1796875" style="17" customWidth="1"/>
    <col min="4594" max="4594" width="15.81640625" style="17" customWidth="1"/>
    <col min="4595" max="4595" width="9.1796875" style="17"/>
    <col min="4596" max="4596" width="15.54296875" style="17" customWidth="1"/>
    <col min="4597" max="4597" width="13" style="17" customWidth="1"/>
    <col min="4598" max="4598" width="14.1796875" style="17" customWidth="1"/>
    <col min="4599" max="4599" width="15.81640625" style="17" customWidth="1"/>
    <col min="4600" max="4600" width="9.1796875" style="17"/>
    <col min="4601" max="4601" width="16" style="17" customWidth="1"/>
    <col min="4602" max="4602" width="13" style="17" customWidth="1"/>
    <col min="4603" max="4603" width="14.1796875" style="17" customWidth="1"/>
    <col min="4604" max="4604" width="13" style="17" customWidth="1"/>
    <col min="4605" max="4605" width="14.1796875" style="17" customWidth="1"/>
    <col min="4606" max="4606" width="13" style="17" customWidth="1"/>
    <col min="4607" max="4607" width="14.1796875" style="17" customWidth="1"/>
    <col min="4608" max="4608" width="13" style="17" customWidth="1"/>
    <col min="4609" max="4609" width="14.1796875" style="17" customWidth="1"/>
    <col min="4610" max="4610" width="13" style="17" customWidth="1"/>
    <col min="4611" max="4611" width="14.1796875" style="17" customWidth="1"/>
    <col min="4612" max="4613" width="13" style="17" customWidth="1"/>
    <col min="4614" max="4614" width="14.90625" style="17" bestFit="1" customWidth="1"/>
    <col min="4615" max="4615" width="13" style="17" customWidth="1"/>
    <col min="4616" max="4616" width="14.1796875" style="17" customWidth="1"/>
    <col min="4617" max="4617" width="13" style="17" customWidth="1"/>
    <col min="4618" max="4618" width="8.81640625" style="17" customWidth="1"/>
    <col min="4619" max="4619" width="14.1796875" style="17" customWidth="1"/>
    <col min="4620" max="4620" width="13" style="17" customWidth="1"/>
    <col min="4621" max="4621" width="14.1796875" style="17" customWidth="1"/>
    <col min="4622" max="4622" width="13" style="17" customWidth="1"/>
    <col min="4623" max="4623" width="14.1796875" style="17" customWidth="1"/>
    <col min="4624" max="4624" width="13" style="17" customWidth="1"/>
    <col min="4625" max="4625" width="14.1796875" style="17" customWidth="1"/>
    <col min="4626" max="4630" width="13" style="17" customWidth="1"/>
    <col min="4631" max="4631" width="16.81640625" style="17" customWidth="1"/>
    <col min="4632" max="4632" width="14.1796875" style="17" customWidth="1"/>
    <col min="4633" max="4633" width="13" style="17" customWidth="1"/>
    <col min="4634" max="4634" width="14.1796875" style="17" customWidth="1"/>
    <col min="4635" max="4636" width="13.36328125" style="17" customWidth="1"/>
    <col min="4637" max="4637" width="15.6328125" style="17" customWidth="1"/>
    <col min="4638" max="4638" width="14.36328125" style="17" customWidth="1"/>
    <col min="4639" max="4639" width="16" style="17" bestFit="1" customWidth="1"/>
    <col min="4640" max="4640" width="14.1796875" style="17" customWidth="1"/>
    <col min="4641" max="4641" width="13" style="17" customWidth="1"/>
    <col min="4642" max="4642" width="14.1796875" style="17" customWidth="1"/>
    <col min="4643" max="4643" width="13.36328125" style="17" customWidth="1"/>
    <col min="4644" max="4644" width="13.81640625" style="17" bestFit="1" customWidth="1"/>
    <col min="4645" max="4645" width="14.1796875" style="17" bestFit="1" customWidth="1"/>
    <col min="4646" max="4646" width="13.81640625" style="17" bestFit="1" customWidth="1"/>
    <col min="4647" max="4802" width="9.1796875" style="17"/>
    <col min="4803" max="4803" width="3.81640625" style="17" bestFit="1" customWidth="1"/>
    <col min="4804" max="4804" width="39.54296875" style="17" customWidth="1"/>
    <col min="4805" max="4805" width="16" style="17" customWidth="1"/>
    <col min="4806" max="4806" width="13" style="17" customWidth="1"/>
    <col min="4807" max="4807" width="16" style="17" customWidth="1"/>
    <col min="4808" max="4808" width="13" style="17" customWidth="1"/>
    <col min="4809" max="4809" width="14.1796875" style="17" customWidth="1"/>
    <col min="4810" max="4810" width="13" style="17" customWidth="1"/>
    <col min="4811" max="4811" width="14.90625" style="17" customWidth="1"/>
    <col min="4812" max="4812" width="13" style="17" customWidth="1"/>
    <col min="4813" max="4813" width="15.54296875" style="17" customWidth="1"/>
    <col min="4814" max="4814" width="13" style="17" customWidth="1"/>
    <col min="4815" max="4815" width="14.1796875" style="17" customWidth="1"/>
    <col min="4816" max="4816" width="13" style="17" customWidth="1"/>
    <col min="4817" max="4817" width="14.1796875" style="17" customWidth="1"/>
    <col min="4818" max="4818" width="13" style="17" customWidth="1"/>
    <col min="4819" max="4819" width="14.90625" style="17" customWidth="1"/>
    <col min="4820" max="4820" width="13" style="17" customWidth="1"/>
    <col min="4821" max="4821" width="15.54296875" style="17" customWidth="1"/>
    <col min="4822" max="4822" width="13" style="17" customWidth="1"/>
    <col min="4823" max="4823" width="14.1796875" style="17" customWidth="1"/>
    <col min="4824" max="4824" width="13" style="17" customWidth="1"/>
    <col min="4825" max="4825" width="15.54296875" style="17" customWidth="1"/>
    <col min="4826" max="4826" width="15.81640625" style="17" customWidth="1"/>
    <col min="4827" max="4827" width="14.1796875" style="17" customWidth="1"/>
    <col min="4828" max="4828" width="15.81640625" style="17" customWidth="1"/>
    <col min="4829" max="4829" width="15.54296875" style="17" customWidth="1"/>
    <col min="4830" max="4830" width="13" style="17" customWidth="1"/>
    <col min="4831" max="4831" width="14.1796875" style="17" customWidth="1"/>
    <col min="4832" max="4832" width="15.81640625" style="17" customWidth="1"/>
    <col min="4833" max="4833" width="16.453125" style="17" customWidth="1"/>
    <col min="4834" max="4834" width="15.54296875" style="17" customWidth="1"/>
    <col min="4835" max="4835" width="13" style="17" customWidth="1"/>
    <col min="4836" max="4836" width="16" style="17" customWidth="1"/>
    <col min="4837" max="4837" width="13" style="17" customWidth="1"/>
    <col min="4838" max="4838" width="11.08984375" style="17" customWidth="1"/>
    <col min="4839" max="4839" width="15.54296875" style="17" customWidth="1"/>
    <col min="4840" max="4840" width="13" style="17" customWidth="1"/>
    <col min="4841" max="4841" width="14.1796875" style="17" customWidth="1"/>
    <col min="4842" max="4842" width="15.81640625" style="17" customWidth="1"/>
    <col min="4843" max="4843" width="15.54296875" style="17" customWidth="1"/>
    <col min="4844" max="4844" width="13" style="17" customWidth="1"/>
    <col min="4845" max="4845" width="14.1796875" style="17" customWidth="1"/>
    <col min="4846" max="4846" width="15.81640625" style="17" customWidth="1"/>
    <col min="4847" max="4847" width="15.54296875" style="17" customWidth="1"/>
    <col min="4848" max="4848" width="13" style="17" customWidth="1"/>
    <col min="4849" max="4849" width="14.1796875" style="17" customWidth="1"/>
    <col min="4850" max="4850" width="15.81640625" style="17" customWidth="1"/>
    <col min="4851" max="4851" width="9.1796875" style="17"/>
    <col min="4852" max="4852" width="15.54296875" style="17" customWidth="1"/>
    <col min="4853" max="4853" width="13" style="17" customWidth="1"/>
    <col min="4854" max="4854" width="14.1796875" style="17" customWidth="1"/>
    <col min="4855" max="4855" width="15.81640625" style="17" customWidth="1"/>
    <col min="4856" max="4856" width="9.1796875" style="17"/>
    <col min="4857" max="4857" width="16" style="17" customWidth="1"/>
    <col min="4858" max="4858" width="13" style="17" customWidth="1"/>
    <col min="4859" max="4859" width="14.1796875" style="17" customWidth="1"/>
    <col min="4860" max="4860" width="13" style="17" customWidth="1"/>
    <col min="4861" max="4861" width="14.1796875" style="17" customWidth="1"/>
    <col min="4862" max="4862" width="13" style="17" customWidth="1"/>
    <col min="4863" max="4863" width="14.1796875" style="17" customWidth="1"/>
    <col min="4864" max="4864" width="13" style="17" customWidth="1"/>
    <col min="4865" max="4865" width="14.1796875" style="17" customWidth="1"/>
    <col min="4866" max="4866" width="13" style="17" customWidth="1"/>
    <col min="4867" max="4867" width="14.1796875" style="17" customWidth="1"/>
    <col min="4868" max="4869" width="13" style="17" customWidth="1"/>
    <col min="4870" max="4870" width="14.90625" style="17" bestFit="1" customWidth="1"/>
    <col min="4871" max="4871" width="13" style="17" customWidth="1"/>
    <col min="4872" max="4872" width="14.1796875" style="17" customWidth="1"/>
    <col min="4873" max="4873" width="13" style="17" customWidth="1"/>
    <col min="4874" max="4874" width="8.81640625" style="17" customWidth="1"/>
    <col min="4875" max="4875" width="14.1796875" style="17" customWidth="1"/>
    <col min="4876" max="4876" width="13" style="17" customWidth="1"/>
    <col min="4877" max="4877" width="14.1796875" style="17" customWidth="1"/>
    <col min="4878" max="4878" width="13" style="17" customWidth="1"/>
    <col min="4879" max="4879" width="14.1796875" style="17" customWidth="1"/>
    <col min="4880" max="4880" width="13" style="17" customWidth="1"/>
    <col min="4881" max="4881" width="14.1796875" style="17" customWidth="1"/>
    <col min="4882" max="4886" width="13" style="17" customWidth="1"/>
    <col min="4887" max="4887" width="16.81640625" style="17" customWidth="1"/>
    <col min="4888" max="4888" width="14.1796875" style="17" customWidth="1"/>
    <col min="4889" max="4889" width="13" style="17" customWidth="1"/>
    <col min="4890" max="4890" width="14.1796875" style="17" customWidth="1"/>
    <col min="4891" max="4892" width="13.36328125" style="17" customWidth="1"/>
    <col min="4893" max="4893" width="15.6328125" style="17" customWidth="1"/>
    <col min="4894" max="4894" width="14.36328125" style="17" customWidth="1"/>
    <col min="4895" max="4895" width="16" style="17" bestFit="1" customWidth="1"/>
    <col min="4896" max="4896" width="14.1796875" style="17" customWidth="1"/>
    <col min="4897" max="4897" width="13" style="17" customWidth="1"/>
    <col min="4898" max="4898" width="14.1796875" style="17" customWidth="1"/>
    <col min="4899" max="4899" width="13.36328125" style="17" customWidth="1"/>
    <col min="4900" max="4900" width="13.81640625" style="17" bestFit="1" customWidth="1"/>
    <col min="4901" max="4901" width="14.1796875" style="17" bestFit="1" customWidth="1"/>
    <col min="4902" max="4902" width="13.81640625" style="17" bestFit="1" customWidth="1"/>
    <col min="4903" max="5058" width="9.1796875" style="17"/>
    <col min="5059" max="5059" width="3.81640625" style="17" bestFit="1" customWidth="1"/>
    <col min="5060" max="5060" width="39.54296875" style="17" customWidth="1"/>
    <col min="5061" max="5061" width="16" style="17" customWidth="1"/>
    <col min="5062" max="5062" width="13" style="17" customWidth="1"/>
    <col min="5063" max="5063" width="16" style="17" customWidth="1"/>
    <col min="5064" max="5064" width="13" style="17" customWidth="1"/>
    <col min="5065" max="5065" width="14.1796875" style="17" customWidth="1"/>
    <col min="5066" max="5066" width="13" style="17" customWidth="1"/>
    <col min="5067" max="5067" width="14.90625" style="17" customWidth="1"/>
    <col min="5068" max="5068" width="13" style="17" customWidth="1"/>
    <col min="5069" max="5069" width="15.54296875" style="17" customWidth="1"/>
    <col min="5070" max="5070" width="13" style="17" customWidth="1"/>
    <col min="5071" max="5071" width="14.1796875" style="17" customWidth="1"/>
    <col min="5072" max="5072" width="13" style="17" customWidth="1"/>
    <col min="5073" max="5073" width="14.1796875" style="17" customWidth="1"/>
    <col min="5074" max="5074" width="13" style="17" customWidth="1"/>
    <col min="5075" max="5075" width="14.90625" style="17" customWidth="1"/>
    <col min="5076" max="5076" width="13" style="17" customWidth="1"/>
    <col min="5077" max="5077" width="15.54296875" style="17" customWidth="1"/>
    <col min="5078" max="5078" width="13" style="17" customWidth="1"/>
    <col min="5079" max="5079" width="14.1796875" style="17" customWidth="1"/>
    <col min="5080" max="5080" width="13" style="17" customWidth="1"/>
    <col min="5081" max="5081" width="15.54296875" style="17" customWidth="1"/>
    <col min="5082" max="5082" width="15.81640625" style="17" customWidth="1"/>
    <col min="5083" max="5083" width="14.1796875" style="17" customWidth="1"/>
    <col min="5084" max="5084" width="15.81640625" style="17" customWidth="1"/>
    <col min="5085" max="5085" width="15.54296875" style="17" customWidth="1"/>
    <col min="5086" max="5086" width="13" style="17" customWidth="1"/>
    <col min="5087" max="5087" width="14.1796875" style="17" customWidth="1"/>
    <col min="5088" max="5088" width="15.81640625" style="17" customWidth="1"/>
    <col min="5089" max="5089" width="16.453125" style="17" customWidth="1"/>
    <col min="5090" max="5090" width="15.54296875" style="17" customWidth="1"/>
    <col min="5091" max="5091" width="13" style="17" customWidth="1"/>
    <col min="5092" max="5092" width="16" style="17" customWidth="1"/>
    <col min="5093" max="5093" width="13" style="17" customWidth="1"/>
    <col min="5094" max="5094" width="11.08984375" style="17" customWidth="1"/>
    <col min="5095" max="5095" width="15.54296875" style="17" customWidth="1"/>
    <col min="5096" max="5096" width="13" style="17" customWidth="1"/>
    <col min="5097" max="5097" width="14.1796875" style="17" customWidth="1"/>
    <col min="5098" max="5098" width="15.81640625" style="17" customWidth="1"/>
    <col min="5099" max="5099" width="15.54296875" style="17" customWidth="1"/>
    <col min="5100" max="5100" width="13" style="17" customWidth="1"/>
    <col min="5101" max="5101" width="14.1796875" style="17" customWidth="1"/>
    <col min="5102" max="5102" width="15.81640625" style="17" customWidth="1"/>
    <col min="5103" max="5103" width="15.54296875" style="17" customWidth="1"/>
    <col min="5104" max="5104" width="13" style="17" customWidth="1"/>
    <col min="5105" max="5105" width="14.1796875" style="17" customWidth="1"/>
    <col min="5106" max="5106" width="15.81640625" style="17" customWidth="1"/>
    <col min="5107" max="5107" width="9.1796875" style="17"/>
    <col min="5108" max="5108" width="15.54296875" style="17" customWidth="1"/>
    <col min="5109" max="5109" width="13" style="17" customWidth="1"/>
    <col min="5110" max="5110" width="14.1796875" style="17" customWidth="1"/>
    <col min="5111" max="5111" width="15.81640625" style="17" customWidth="1"/>
    <col min="5112" max="5112" width="9.1796875" style="17"/>
    <col min="5113" max="5113" width="16" style="17" customWidth="1"/>
    <col min="5114" max="5114" width="13" style="17" customWidth="1"/>
    <col min="5115" max="5115" width="14.1796875" style="17" customWidth="1"/>
    <col min="5116" max="5116" width="13" style="17" customWidth="1"/>
    <col min="5117" max="5117" width="14.1796875" style="17" customWidth="1"/>
    <col min="5118" max="5118" width="13" style="17" customWidth="1"/>
    <col min="5119" max="5119" width="14.1796875" style="17" customWidth="1"/>
    <col min="5120" max="5120" width="13" style="17" customWidth="1"/>
    <col min="5121" max="5121" width="14.1796875" style="17" customWidth="1"/>
    <col min="5122" max="5122" width="13" style="17" customWidth="1"/>
    <col min="5123" max="5123" width="14.1796875" style="17" customWidth="1"/>
    <col min="5124" max="5125" width="13" style="17" customWidth="1"/>
    <col min="5126" max="5126" width="14.90625" style="17" bestFit="1" customWidth="1"/>
    <col min="5127" max="5127" width="13" style="17" customWidth="1"/>
    <col min="5128" max="5128" width="14.1796875" style="17" customWidth="1"/>
    <col min="5129" max="5129" width="13" style="17" customWidth="1"/>
    <col min="5130" max="5130" width="8.81640625" style="17" customWidth="1"/>
    <col min="5131" max="5131" width="14.1796875" style="17" customWidth="1"/>
    <col min="5132" max="5132" width="13" style="17" customWidth="1"/>
    <col min="5133" max="5133" width="14.1796875" style="17" customWidth="1"/>
    <col min="5134" max="5134" width="13" style="17" customWidth="1"/>
    <col min="5135" max="5135" width="14.1796875" style="17" customWidth="1"/>
    <col min="5136" max="5136" width="13" style="17" customWidth="1"/>
    <col min="5137" max="5137" width="14.1796875" style="17" customWidth="1"/>
    <col min="5138" max="5142" width="13" style="17" customWidth="1"/>
    <col min="5143" max="5143" width="16.81640625" style="17" customWidth="1"/>
    <col min="5144" max="5144" width="14.1796875" style="17" customWidth="1"/>
    <col min="5145" max="5145" width="13" style="17" customWidth="1"/>
    <col min="5146" max="5146" width="14.1796875" style="17" customWidth="1"/>
    <col min="5147" max="5148" width="13.36328125" style="17" customWidth="1"/>
    <col min="5149" max="5149" width="15.6328125" style="17" customWidth="1"/>
    <col min="5150" max="5150" width="14.36328125" style="17" customWidth="1"/>
    <col min="5151" max="5151" width="16" style="17" bestFit="1" customWidth="1"/>
    <col min="5152" max="5152" width="14.1796875" style="17" customWidth="1"/>
    <col min="5153" max="5153" width="13" style="17" customWidth="1"/>
    <col min="5154" max="5154" width="14.1796875" style="17" customWidth="1"/>
    <col min="5155" max="5155" width="13.36328125" style="17" customWidth="1"/>
    <col min="5156" max="5156" width="13.81640625" style="17" bestFit="1" customWidth="1"/>
    <col min="5157" max="5157" width="14.1796875" style="17" bestFit="1" customWidth="1"/>
    <col min="5158" max="5158" width="13.81640625" style="17" bestFit="1" customWidth="1"/>
    <col min="5159" max="5314" width="9.1796875" style="17"/>
    <col min="5315" max="5315" width="3.81640625" style="17" bestFit="1" customWidth="1"/>
    <col min="5316" max="5316" width="39.54296875" style="17" customWidth="1"/>
    <col min="5317" max="5317" width="16" style="17" customWidth="1"/>
    <col min="5318" max="5318" width="13" style="17" customWidth="1"/>
    <col min="5319" max="5319" width="16" style="17" customWidth="1"/>
    <col min="5320" max="5320" width="13" style="17" customWidth="1"/>
    <col min="5321" max="5321" width="14.1796875" style="17" customWidth="1"/>
    <col min="5322" max="5322" width="13" style="17" customWidth="1"/>
    <col min="5323" max="5323" width="14.90625" style="17" customWidth="1"/>
    <col min="5324" max="5324" width="13" style="17" customWidth="1"/>
    <col min="5325" max="5325" width="15.54296875" style="17" customWidth="1"/>
    <col min="5326" max="5326" width="13" style="17" customWidth="1"/>
    <col min="5327" max="5327" width="14.1796875" style="17" customWidth="1"/>
    <col min="5328" max="5328" width="13" style="17" customWidth="1"/>
    <col min="5329" max="5329" width="14.1796875" style="17" customWidth="1"/>
    <col min="5330" max="5330" width="13" style="17" customWidth="1"/>
    <col min="5331" max="5331" width="14.90625" style="17" customWidth="1"/>
    <col min="5332" max="5332" width="13" style="17" customWidth="1"/>
    <col min="5333" max="5333" width="15.54296875" style="17" customWidth="1"/>
    <col min="5334" max="5334" width="13" style="17" customWidth="1"/>
    <col min="5335" max="5335" width="14.1796875" style="17" customWidth="1"/>
    <col min="5336" max="5336" width="13" style="17" customWidth="1"/>
    <col min="5337" max="5337" width="15.54296875" style="17" customWidth="1"/>
    <col min="5338" max="5338" width="15.81640625" style="17" customWidth="1"/>
    <col min="5339" max="5339" width="14.1796875" style="17" customWidth="1"/>
    <col min="5340" max="5340" width="15.81640625" style="17" customWidth="1"/>
    <col min="5341" max="5341" width="15.54296875" style="17" customWidth="1"/>
    <col min="5342" max="5342" width="13" style="17" customWidth="1"/>
    <col min="5343" max="5343" width="14.1796875" style="17" customWidth="1"/>
    <col min="5344" max="5344" width="15.81640625" style="17" customWidth="1"/>
    <col min="5345" max="5345" width="16.453125" style="17" customWidth="1"/>
    <col min="5346" max="5346" width="15.54296875" style="17" customWidth="1"/>
    <col min="5347" max="5347" width="13" style="17" customWidth="1"/>
    <col min="5348" max="5348" width="16" style="17" customWidth="1"/>
    <col min="5349" max="5349" width="13" style="17" customWidth="1"/>
    <col min="5350" max="5350" width="11.08984375" style="17" customWidth="1"/>
    <col min="5351" max="5351" width="15.54296875" style="17" customWidth="1"/>
    <col min="5352" max="5352" width="13" style="17" customWidth="1"/>
    <col min="5353" max="5353" width="14.1796875" style="17" customWidth="1"/>
    <col min="5354" max="5354" width="15.81640625" style="17" customWidth="1"/>
    <col min="5355" max="5355" width="15.54296875" style="17" customWidth="1"/>
    <col min="5356" max="5356" width="13" style="17" customWidth="1"/>
    <col min="5357" max="5357" width="14.1796875" style="17" customWidth="1"/>
    <col min="5358" max="5358" width="15.81640625" style="17" customWidth="1"/>
    <col min="5359" max="5359" width="15.54296875" style="17" customWidth="1"/>
    <col min="5360" max="5360" width="13" style="17" customWidth="1"/>
    <col min="5361" max="5361" width="14.1796875" style="17" customWidth="1"/>
    <col min="5362" max="5362" width="15.81640625" style="17" customWidth="1"/>
    <col min="5363" max="5363" width="9.1796875" style="17"/>
    <col min="5364" max="5364" width="15.54296875" style="17" customWidth="1"/>
    <col min="5365" max="5365" width="13" style="17" customWidth="1"/>
    <col min="5366" max="5366" width="14.1796875" style="17" customWidth="1"/>
    <col min="5367" max="5367" width="15.81640625" style="17" customWidth="1"/>
    <col min="5368" max="5368" width="9.1796875" style="17"/>
    <col min="5369" max="5369" width="16" style="17" customWidth="1"/>
    <col min="5370" max="5370" width="13" style="17" customWidth="1"/>
    <col min="5371" max="5371" width="14.1796875" style="17" customWidth="1"/>
    <col min="5372" max="5372" width="13" style="17" customWidth="1"/>
    <col min="5373" max="5373" width="14.1796875" style="17" customWidth="1"/>
    <col min="5374" max="5374" width="13" style="17" customWidth="1"/>
    <col min="5375" max="5375" width="14.1796875" style="17" customWidth="1"/>
    <col min="5376" max="5376" width="13" style="17" customWidth="1"/>
    <col min="5377" max="5377" width="14.1796875" style="17" customWidth="1"/>
    <col min="5378" max="5378" width="13" style="17" customWidth="1"/>
    <col min="5379" max="5379" width="14.1796875" style="17" customWidth="1"/>
    <col min="5380" max="5381" width="13" style="17" customWidth="1"/>
    <col min="5382" max="5382" width="14.90625" style="17" bestFit="1" customWidth="1"/>
    <col min="5383" max="5383" width="13" style="17" customWidth="1"/>
    <col min="5384" max="5384" width="14.1796875" style="17" customWidth="1"/>
    <col min="5385" max="5385" width="13" style="17" customWidth="1"/>
    <col min="5386" max="5386" width="8.81640625" style="17" customWidth="1"/>
    <col min="5387" max="5387" width="14.1796875" style="17" customWidth="1"/>
    <col min="5388" max="5388" width="13" style="17" customWidth="1"/>
    <col min="5389" max="5389" width="14.1796875" style="17" customWidth="1"/>
    <col min="5390" max="5390" width="13" style="17" customWidth="1"/>
    <col min="5391" max="5391" width="14.1796875" style="17" customWidth="1"/>
    <col min="5392" max="5392" width="13" style="17" customWidth="1"/>
    <col min="5393" max="5393" width="14.1796875" style="17" customWidth="1"/>
    <col min="5394" max="5398" width="13" style="17" customWidth="1"/>
    <col min="5399" max="5399" width="16.81640625" style="17" customWidth="1"/>
    <col min="5400" max="5400" width="14.1796875" style="17" customWidth="1"/>
    <col min="5401" max="5401" width="13" style="17" customWidth="1"/>
    <col min="5402" max="5402" width="14.1796875" style="17" customWidth="1"/>
    <col min="5403" max="5404" width="13.36328125" style="17" customWidth="1"/>
    <col min="5405" max="5405" width="15.6328125" style="17" customWidth="1"/>
    <col min="5406" max="5406" width="14.36328125" style="17" customWidth="1"/>
    <col min="5407" max="5407" width="16" style="17" bestFit="1" customWidth="1"/>
    <col min="5408" max="5408" width="14.1796875" style="17" customWidth="1"/>
    <col min="5409" max="5409" width="13" style="17" customWidth="1"/>
    <col min="5410" max="5410" width="14.1796875" style="17" customWidth="1"/>
    <col min="5411" max="5411" width="13.36328125" style="17" customWidth="1"/>
    <col min="5412" max="5412" width="13.81640625" style="17" bestFit="1" customWidth="1"/>
    <col min="5413" max="5413" width="14.1796875" style="17" bestFit="1" customWidth="1"/>
    <col min="5414" max="5414" width="13.81640625" style="17" bestFit="1" customWidth="1"/>
    <col min="5415" max="5570" width="9.1796875" style="17"/>
    <col min="5571" max="5571" width="3.81640625" style="17" bestFit="1" customWidth="1"/>
    <col min="5572" max="5572" width="39.54296875" style="17" customWidth="1"/>
    <col min="5573" max="5573" width="16" style="17" customWidth="1"/>
    <col min="5574" max="5574" width="13" style="17" customWidth="1"/>
    <col min="5575" max="5575" width="16" style="17" customWidth="1"/>
    <col min="5576" max="5576" width="13" style="17" customWidth="1"/>
    <col min="5577" max="5577" width="14.1796875" style="17" customWidth="1"/>
    <col min="5578" max="5578" width="13" style="17" customWidth="1"/>
    <col min="5579" max="5579" width="14.90625" style="17" customWidth="1"/>
    <col min="5580" max="5580" width="13" style="17" customWidth="1"/>
    <col min="5581" max="5581" width="15.54296875" style="17" customWidth="1"/>
    <col min="5582" max="5582" width="13" style="17" customWidth="1"/>
    <col min="5583" max="5583" width="14.1796875" style="17" customWidth="1"/>
    <col min="5584" max="5584" width="13" style="17" customWidth="1"/>
    <col min="5585" max="5585" width="14.1796875" style="17" customWidth="1"/>
    <col min="5586" max="5586" width="13" style="17" customWidth="1"/>
    <col min="5587" max="5587" width="14.90625" style="17" customWidth="1"/>
    <col min="5588" max="5588" width="13" style="17" customWidth="1"/>
    <col min="5589" max="5589" width="15.54296875" style="17" customWidth="1"/>
    <col min="5590" max="5590" width="13" style="17" customWidth="1"/>
    <col min="5591" max="5591" width="14.1796875" style="17" customWidth="1"/>
    <col min="5592" max="5592" width="13" style="17" customWidth="1"/>
    <col min="5593" max="5593" width="15.54296875" style="17" customWidth="1"/>
    <col min="5594" max="5594" width="15.81640625" style="17" customWidth="1"/>
    <col min="5595" max="5595" width="14.1796875" style="17" customWidth="1"/>
    <col min="5596" max="5596" width="15.81640625" style="17" customWidth="1"/>
    <col min="5597" max="5597" width="15.54296875" style="17" customWidth="1"/>
    <col min="5598" max="5598" width="13" style="17" customWidth="1"/>
    <col min="5599" max="5599" width="14.1796875" style="17" customWidth="1"/>
    <col min="5600" max="5600" width="15.81640625" style="17" customWidth="1"/>
    <col min="5601" max="5601" width="16.453125" style="17" customWidth="1"/>
    <col min="5602" max="5602" width="15.54296875" style="17" customWidth="1"/>
    <col min="5603" max="5603" width="13" style="17" customWidth="1"/>
    <col min="5604" max="5604" width="16" style="17" customWidth="1"/>
    <col min="5605" max="5605" width="13" style="17" customWidth="1"/>
    <col min="5606" max="5606" width="11.08984375" style="17" customWidth="1"/>
    <col min="5607" max="5607" width="15.54296875" style="17" customWidth="1"/>
    <col min="5608" max="5608" width="13" style="17" customWidth="1"/>
    <col min="5609" max="5609" width="14.1796875" style="17" customWidth="1"/>
    <col min="5610" max="5610" width="15.81640625" style="17" customWidth="1"/>
    <col min="5611" max="5611" width="15.54296875" style="17" customWidth="1"/>
    <col min="5612" max="5612" width="13" style="17" customWidth="1"/>
    <col min="5613" max="5613" width="14.1796875" style="17" customWidth="1"/>
    <col min="5614" max="5614" width="15.81640625" style="17" customWidth="1"/>
    <col min="5615" max="5615" width="15.54296875" style="17" customWidth="1"/>
    <col min="5616" max="5616" width="13" style="17" customWidth="1"/>
    <col min="5617" max="5617" width="14.1796875" style="17" customWidth="1"/>
    <col min="5618" max="5618" width="15.81640625" style="17" customWidth="1"/>
    <col min="5619" max="5619" width="9.1796875" style="17"/>
    <col min="5620" max="5620" width="15.54296875" style="17" customWidth="1"/>
    <col min="5621" max="5621" width="13" style="17" customWidth="1"/>
    <col min="5622" max="5622" width="14.1796875" style="17" customWidth="1"/>
    <col min="5623" max="5623" width="15.81640625" style="17" customWidth="1"/>
    <col min="5624" max="5624" width="9.1796875" style="17"/>
    <col min="5625" max="5625" width="16" style="17" customWidth="1"/>
    <col min="5626" max="5626" width="13" style="17" customWidth="1"/>
    <col min="5627" max="5627" width="14.1796875" style="17" customWidth="1"/>
    <col min="5628" max="5628" width="13" style="17" customWidth="1"/>
    <col min="5629" max="5629" width="14.1796875" style="17" customWidth="1"/>
    <col min="5630" max="5630" width="13" style="17" customWidth="1"/>
    <col min="5631" max="5631" width="14.1796875" style="17" customWidth="1"/>
    <col min="5632" max="5632" width="13" style="17" customWidth="1"/>
    <col min="5633" max="5633" width="14.1796875" style="17" customWidth="1"/>
    <col min="5634" max="5634" width="13" style="17" customWidth="1"/>
    <col min="5635" max="5635" width="14.1796875" style="17" customWidth="1"/>
    <col min="5636" max="5637" width="13" style="17" customWidth="1"/>
    <col min="5638" max="5638" width="14.90625" style="17" bestFit="1" customWidth="1"/>
    <col min="5639" max="5639" width="13" style="17" customWidth="1"/>
    <col min="5640" max="5640" width="14.1796875" style="17" customWidth="1"/>
    <col min="5641" max="5641" width="13" style="17" customWidth="1"/>
    <col min="5642" max="5642" width="8.81640625" style="17" customWidth="1"/>
    <col min="5643" max="5643" width="14.1796875" style="17" customWidth="1"/>
    <col min="5644" max="5644" width="13" style="17" customWidth="1"/>
    <col min="5645" max="5645" width="14.1796875" style="17" customWidth="1"/>
    <col min="5646" max="5646" width="13" style="17" customWidth="1"/>
    <col min="5647" max="5647" width="14.1796875" style="17" customWidth="1"/>
    <col min="5648" max="5648" width="13" style="17" customWidth="1"/>
    <col min="5649" max="5649" width="14.1796875" style="17" customWidth="1"/>
    <col min="5650" max="5654" width="13" style="17" customWidth="1"/>
    <col min="5655" max="5655" width="16.81640625" style="17" customWidth="1"/>
    <col min="5656" max="5656" width="14.1796875" style="17" customWidth="1"/>
    <col min="5657" max="5657" width="13" style="17" customWidth="1"/>
    <col min="5658" max="5658" width="14.1796875" style="17" customWidth="1"/>
    <col min="5659" max="5660" width="13.36328125" style="17" customWidth="1"/>
    <col min="5661" max="5661" width="15.6328125" style="17" customWidth="1"/>
    <col min="5662" max="5662" width="14.36328125" style="17" customWidth="1"/>
    <col min="5663" max="5663" width="16" style="17" bestFit="1" customWidth="1"/>
    <col min="5664" max="5664" width="14.1796875" style="17" customWidth="1"/>
    <col min="5665" max="5665" width="13" style="17" customWidth="1"/>
    <col min="5666" max="5666" width="14.1796875" style="17" customWidth="1"/>
    <col min="5667" max="5667" width="13.36328125" style="17" customWidth="1"/>
    <col min="5668" max="5668" width="13.81640625" style="17" bestFit="1" customWidth="1"/>
    <col min="5669" max="5669" width="14.1796875" style="17" bestFit="1" customWidth="1"/>
    <col min="5670" max="5670" width="13.81640625" style="17" bestFit="1" customWidth="1"/>
    <col min="5671" max="5826" width="9.1796875" style="17"/>
    <col min="5827" max="5827" width="3.81640625" style="17" bestFit="1" customWidth="1"/>
    <col min="5828" max="5828" width="39.54296875" style="17" customWidth="1"/>
    <col min="5829" max="5829" width="16" style="17" customWidth="1"/>
    <col min="5830" max="5830" width="13" style="17" customWidth="1"/>
    <col min="5831" max="5831" width="16" style="17" customWidth="1"/>
    <col min="5832" max="5832" width="13" style="17" customWidth="1"/>
    <col min="5833" max="5833" width="14.1796875" style="17" customWidth="1"/>
    <col min="5834" max="5834" width="13" style="17" customWidth="1"/>
    <col min="5835" max="5835" width="14.90625" style="17" customWidth="1"/>
    <col min="5836" max="5836" width="13" style="17" customWidth="1"/>
    <col min="5837" max="5837" width="15.54296875" style="17" customWidth="1"/>
    <col min="5838" max="5838" width="13" style="17" customWidth="1"/>
    <col min="5839" max="5839" width="14.1796875" style="17" customWidth="1"/>
    <col min="5840" max="5840" width="13" style="17" customWidth="1"/>
    <col min="5841" max="5841" width="14.1796875" style="17" customWidth="1"/>
    <col min="5842" max="5842" width="13" style="17" customWidth="1"/>
    <col min="5843" max="5843" width="14.90625" style="17" customWidth="1"/>
    <col min="5844" max="5844" width="13" style="17" customWidth="1"/>
    <col min="5845" max="5845" width="15.54296875" style="17" customWidth="1"/>
    <col min="5846" max="5846" width="13" style="17" customWidth="1"/>
    <col min="5847" max="5847" width="14.1796875" style="17" customWidth="1"/>
    <col min="5848" max="5848" width="13" style="17" customWidth="1"/>
    <col min="5849" max="5849" width="15.54296875" style="17" customWidth="1"/>
    <col min="5850" max="5850" width="15.81640625" style="17" customWidth="1"/>
    <col min="5851" max="5851" width="14.1796875" style="17" customWidth="1"/>
    <col min="5852" max="5852" width="15.81640625" style="17" customWidth="1"/>
    <col min="5853" max="5853" width="15.54296875" style="17" customWidth="1"/>
    <col min="5854" max="5854" width="13" style="17" customWidth="1"/>
    <col min="5855" max="5855" width="14.1796875" style="17" customWidth="1"/>
    <col min="5856" max="5856" width="15.81640625" style="17" customWidth="1"/>
    <col min="5857" max="5857" width="16.453125" style="17" customWidth="1"/>
    <col min="5858" max="5858" width="15.54296875" style="17" customWidth="1"/>
    <col min="5859" max="5859" width="13" style="17" customWidth="1"/>
    <col min="5860" max="5860" width="16" style="17" customWidth="1"/>
    <col min="5861" max="5861" width="13" style="17" customWidth="1"/>
    <col min="5862" max="5862" width="11.08984375" style="17" customWidth="1"/>
    <col min="5863" max="5863" width="15.54296875" style="17" customWidth="1"/>
    <col min="5864" max="5864" width="13" style="17" customWidth="1"/>
    <col min="5865" max="5865" width="14.1796875" style="17" customWidth="1"/>
    <col min="5866" max="5866" width="15.81640625" style="17" customWidth="1"/>
    <col min="5867" max="5867" width="15.54296875" style="17" customWidth="1"/>
    <col min="5868" max="5868" width="13" style="17" customWidth="1"/>
    <col min="5869" max="5869" width="14.1796875" style="17" customWidth="1"/>
    <col min="5870" max="5870" width="15.81640625" style="17" customWidth="1"/>
    <col min="5871" max="5871" width="15.54296875" style="17" customWidth="1"/>
    <col min="5872" max="5872" width="13" style="17" customWidth="1"/>
    <col min="5873" max="5873" width="14.1796875" style="17" customWidth="1"/>
    <col min="5874" max="5874" width="15.81640625" style="17" customWidth="1"/>
    <col min="5875" max="5875" width="9.1796875" style="17"/>
    <col min="5876" max="5876" width="15.54296875" style="17" customWidth="1"/>
    <col min="5877" max="5877" width="13" style="17" customWidth="1"/>
    <col min="5878" max="5878" width="14.1796875" style="17" customWidth="1"/>
    <col min="5879" max="5879" width="15.81640625" style="17" customWidth="1"/>
    <col min="5880" max="5880" width="9.1796875" style="17"/>
    <col min="5881" max="5881" width="16" style="17" customWidth="1"/>
    <col min="5882" max="5882" width="13" style="17" customWidth="1"/>
    <col min="5883" max="5883" width="14.1796875" style="17" customWidth="1"/>
    <col min="5884" max="5884" width="13" style="17" customWidth="1"/>
    <col min="5885" max="5885" width="14.1796875" style="17" customWidth="1"/>
    <col min="5886" max="5886" width="13" style="17" customWidth="1"/>
    <col min="5887" max="5887" width="14.1796875" style="17" customWidth="1"/>
    <col min="5888" max="5888" width="13" style="17" customWidth="1"/>
    <col min="5889" max="5889" width="14.1796875" style="17" customWidth="1"/>
    <col min="5890" max="5890" width="13" style="17" customWidth="1"/>
    <col min="5891" max="5891" width="14.1796875" style="17" customWidth="1"/>
    <col min="5892" max="5893" width="13" style="17" customWidth="1"/>
    <col min="5894" max="5894" width="14.90625" style="17" bestFit="1" customWidth="1"/>
    <col min="5895" max="5895" width="13" style="17" customWidth="1"/>
    <col min="5896" max="5896" width="14.1796875" style="17" customWidth="1"/>
    <col min="5897" max="5897" width="13" style="17" customWidth="1"/>
    <col min="5898" max="5898" width="8.81640625" style="17" customWidth="1"/>
    <col min="5899" max="5899" width="14.1796875" style="17" customWidth="1"/>
    <col min="5900" max="5900" width="13" style="17" customWidth="1"/>
    <col min="5901" max="5901" width="14.1796875" style="17" customWidth="1"/>
    <col min="5902" max="5902" width="13" style="17" customWidth="1"/>
    <col min="5903" max="5903" width="14.1796875" style="17" customWidth="1"/>
    <col min="5904" max="5904" width="13" style="17" customWidth="1"/>
    <col min="5905" max="5905" width="14.1796875" style="17" customWidth="1"/>
    <col min="5906" max="5910" width="13" style="17" customWidth="1"/>
    <col min="5911" max="5911" width="16.81640625" style="17" customWidth="1"/>
    <col min="5912" max="5912" width="14.1796875" style="17" customWidth="1"/>
    <col min="5913" max="5913" width="13" style="17" customWidth="1"/>
    <col min="5914" max="5914" width="14.1796875" style="17" customWidth="1"/>
    <col min="5915" max="5916" width="13.36328125" style="17" customWidth="1"/>
    <col min="5917" max="5917" width="15.6328125" style="17" customWidth="1"/>
    <col min="5918" max="5918" width="14.36328125" style="17" customWidth="1"/>
    <col min="5919" max="5919" width="16" style="17" bestFit="1" customWidth="1"/>
    <col min="5920" max="5920" width="14.1796875" style="17" customWidth="1"/>
    <col min="5921" max="5921" width="13" style="17" customWidth="1"/>
    <col min="5922" max="5922" width="14.1796875" style="17" customWidth="1"/>
    <col min="5923" max="5923" width="13.36328125" style="17" customWidth="1"/>
    <col min="5924" max="5924" width="13.81640625" style="17" bestFit="1" customWidth="1"/>
    <col min="5925" max="5925" width="14.1796875" style="17" bestFit="1" customWidth="1"/>
    <col min="5926" max="5926" width="13.81640625" style="17" bestFit="1" customWidth="1"/>
    <col min="5927" max="6082" width="9.1796875" style="17"/>
    <col min="6083" max="6083" width="3.81640625" style="17" bestFit="1" customWidth="1"/>
    <col min="6084" max="6084" width="39.54296875" style="17" customWidth="1"/>
    <col min="6085" max="6085" width="16" style="17" customWidth="1"/>
    <col min="6086" max="6086" width="13" style="17" customWidth="1"/>
    <col min="6087" max="6087" width="16" style="17" customWidth="1"/>
    <col min="6088" max="6088" width="13" style="17" customWidth="1"/>
    <col min="6089" max="6089" width="14.1796875" style="17" customWidth="1"/>
    <col min="6090" max="6090" width="13" style="17" customWidth="1"/>
    <col min="6091" max="6091" width="14.90625" style="17" customWidth="1"/>
    <col min="6092" max="6092" width="13" style="17" customWidth="1"/>
    <col min="6093" max="6093" width="15.54296875" style="17" customWidth="1"/>
    <col min="6094" max="6094" width="13" style="17" customWidth="1"/>
    <col min="6095" max="6095" width="14.1796875" style="17" customWidth="1"/>
    <col min="6096" max="6096" width="13" style="17" customWidth="1"/>
    <col min="6097" max="6097" width="14.1796875" style="17" customWidth="1"/>
    <col min="6098" max="6098" width="13" style="17" customWidth="1"/>
    <col min="6099" max="6099" width="14.90625" style="17" customWidth="1"/>
    <col min="6100" max="6100" width="13" style="17" customWidth="1"/>
    <col min="6101" max="6101" width="15.54296875" style="17" customWidth="1"/>
    <col min="6102" max="6102" width="13" style="17" customWidth="1"/>
    <col min="6103" max="6103" width="14.1796875" style="17" customWidth="1"/>
    <col min="6104" max="6104" width="13" style="17" customWidth="1"/>
    <col min="6105" max="6105" width="15.54296875" style="17" customWidth="1"/>
    <col min="6106" max="6106" width="15.81640625" style="17" customWidth="1"/>
    <col min="6107" max="6107" width="14.1796875" style="17" customWidth="1"/>
    <col min="6108" max="6108" width="15.81640625" style="17" customWidth="1"/>
    <col min="6109" max="6109" width="15.54296875" style="17" customWidth="1"/>
    <col min="6110" max="6110" width="13" style="17" customWidth="1"/>
    <col min="6111" max="6111" width="14.1796875" style="17" customWidth="1"/>
    <col min="6112" max="6112" width="15.81640625" style="17" customWidth="1"/>
    <col min="6113" max="6113" width="16.453125" style="17" customWidth="1"/>
    <col min="6114" max="6114" width="15.54296875" style="17" customWidth="1"/>
    <col min="6115" max="6115" width="13" style="17" customWidth="1"/>
    <col min="6116" max="6116" width="16" style="17" customWidth="1"/>
    <col min="6117" max="6117" width="13" style="17" customWidth="1"/>
    <col min="6118" max="6118" width="11.08984375" style="17" customWidth="1"/>
    <col min="6119" max="6119" width="15.54296875" style="17" customWidth="1"/>
    <col min="6120" max="6120" width="13" style="17" customWidth="1"/>
    <col min="6121" max="6121" width="14.1796875" style="17" customWidth="1"/>
    <col min="6122" max="6122" width="15.81640625" style="17" customWidth="1"/>
    <col min="6123" max="6123" width="15.54296875" style="17" customWidth="1"/>
    <col min="6124" max="6124" width="13" style="17" customWidth="1"/>
    <col min="6125" max="6125" width="14.1796875" style="17" customWidth="1"/>
    <col min="6126" max="6126" width="15.81640625" style="17" customWidth="1"/>
    <col min="6127" max="6127" width="15.54296875" style="17" customWidth="1"/>
    <col min="6128" max="6128" width="13" style="17" customWidth="1"/>
    <col min="6129" max="6129" width="14.1796875" style="17" customWidth="1"/>
    <col min="6130" max="6130" width="15.81640625" style="17" customWidth="1"/>
    <col min="6131" max="6131" width="9.1796875" style="17"/>
    <col min="6132" max="6132" width="15.54296875" style="17" customWidth="1"/>
    <col min="6133" max="6133" width="13" style="17" customWidth="1"/>
    <col min="6134" max="6134" width="14.1796875" style="17" customWidth="1"/>
    <col min="6135" max="6135" width="15.81640625" style="17" customWidth="1"/>
    <col min="6136" max="6136" width="9.1796875" style="17"/>
    <col min="6137" max="6137" width="16" style="17" customWidth="1"/>
    <col min="6138" max="6138" width="13" style="17" customWidth="1"/>
    <col min="6139" max="6139" width="14.1796875" style="17" customWidth="1"/>
    <col min="6140" max="6140" width="13" style="17" customWidth="1"/>
    <col min="6141" max="6141" width="14.1796875" style="17" customWidth="1"/>
    <col min="6142" max="6142" width="13" style="17" customWidth="1"/>
    <col min="6143" max="6143" width="14.1796875" style="17" customWidth="1"/>
    <col min="6144" max="6144" width="13" style="17" customWidth="1"/>
    <col min="6145" max="6145" width="14.1796875" style="17" customWidth="1"/>
    <col min="6146" max="6146" width="13" style="17" customWidth="1"/>
    <col min="6147" max="6147" width="14.1796875" style="17" customWidth="1"/>
    <col min="6148" max="6149" width="13" style="17" customWidth="1"/>
    <col min="6150" max="6150" width="14.90625" style="17" bestFit="1" customWidth="1"/>
    <col min="6151" max="6151" width="13" style="17" customWidth="1"/>
    <col min="6152" max="6152" width="14.1796875" style="17" customWidth="1"/>
    <col min="6153" max="6153" width="13" style="17" customWidth="1"/>
    <col min="6154" max="6154" width="8.81640625" style="17" customWidth="1"/>
    <col min="6155" max="6155" width="14.1796875" style="17" customWidth="1"/>
    <col min="6156" max="6156" width="13" style="17" customWidth="1"/>
    <col min="6157" max="6157" width="14.1796875" style="17" customWidth="1"/>
    <col min="6158" max="6158" width="13" style="17" customWidth="1"/>
    <col min="6159" max="6159" width="14.1796875" style="17" customWidth="1"/>
    <col min="6160" max="6160" width="13" style="17" customWidth="1"/>
    <col min="6161" max="6161" width="14.1796875" style="17" customWidth="1"/>
    <col min="6162" max="6166" width="13" style="17" customWidth="1"/>
    <col min="6167" max="6167" width="16.81640625" style="17" customWidth="1"/>
    <col min="6168" max="6168" width="14.1796875" style="17" customWidth="1"/>
    <col min="6169" max="6169" width="13" style="17" customWidth="1"/>
    <col min="6170" max="6170" width="14.1796875" style="17" customWidth="1"/>
    <col min="6171" max="6172" width="13.36328125" style="17" customWidth="1"/>
    <col min="6173" max="6173" width="15.6328125" style="17" customWidth="1"/>
    <col min="6174" max="6174" width="14.36328125" style="17" customWidth="1"/>
    <col min="6175" max="6175" width="16" style="17" bestFit="1" customWidth="1"/>
    <col min="6176" max="6176" width="14.1796875" style="17" customWidth="1"/>
    <col min="6177" max="6177" width="13" style="17" customWidth="1"/>
    <col min="6178" max="6178" width="14.1796875" style="17" customWidth="1"/>
    <col min="6179" max="6179" width="13.36328125" style="17" customWidth="1"/>
    <col min="6180" max="6180" width="13.81640625" style="17" bestFit="1" customWidth="1"/>
    <col min="6181" max="6181" width="14.1796875" style="17" bestFit="1" customWidth="1"/>
    <col min="6182" max="6182" width="13.81640625" style="17" bestFit="1" customWidth="1"/>
    <col min="6183" max="6338" width="9.1796875" style="17"/>
    <col min="6339" max="6339" width="3.81640625" style="17" bestFit="1" customWidth="1"/>
    <col min="6340" max="6340" width="39.54296875" style="17" customWidth="1"/>
    <col min="6341" max="6341" width="16" style="17" customWidth="1"/>
    <col min="6342" max="6342" width="13" style="17" customWidth="1"/>
    <col min="6343" max="6343" width="16" style="17" customWidth="1"/>
    <col min="6344" max="6344" width="13" style="17" customWidth="1"/>
    <col min="6345" max="6345" width="14.1796875" style="17" customWidth="1"/>
    <col min="6346" max="6346" width="13" style="17" customWidth="1"/>
    <col min="6347" max="6347" width="14.90625" style="17" customWidth="1"/>
    <col min="6348" max="6348" width="13" style="17" customWidth="1"/>
    <col min="6349" max="6349" width="15.54296875" style="17" customWidth="1"/>
    <col min="6350" max="6350" width="13" style="17" customWidth="1"/>
    <col min="6351" max="6351" width="14.1796875" style="17" customWidth="1"/>
    <col min="6352" max="6352" width="13" style="17" customWidth="1"/>
    <col min="6353" max="6353" width="14.1796875" style="17" customWidth="1"/>
    <col min="6354" max="6354" width="13" style="17" customWidth="1"/>
    <col min="6355" max="6355" width="14.90625" style="17" customWidth="1"/>
    <col min="6356" max="6356" width="13" style="17" customWidth="1"/>
    <col min="6357" max="6357" width="15.54296875" style="17" customWidth="1"/>
    <col min="6358" max="6358" width="13" style="17" customWidth="1"/>
    <col min="6359" max="6359" width="14.1796875" style="17" customWidth="1"/>
    <col min="6360" max="6360" width="13" style="17" customWidth="1"/>
    <col min="6361" max="6361" width="15.54296875" style="17" customWidth="1"/>
    <col min="6362" max="6362" width="15.81640625" style="17" customWidth="1"/>
    <col min="6363" max="6363" width="14.1796875" style="17" customWidth="1"/>
    <col min="6364" max="6364" width="15.81640625" style="17" customWidth="1"/>
    <col min="6365" max="6365" width="15.54296875" style="17" customWidth="1"/>
    <col min="6366" max="6366" width="13" style="17" customWidth="1"/>
    <col min="6367" max="6367" width="14.1796875" style="17" customWidth="1"/>
    <col min="6368" max="6368" width="15.81640625" style="17" customWidth="1"/>
    <col min="6369" max="6369" width="16.453125" style="17" customWidth="1"/>
    <col min="6370" max="6370" width="15.54296875" style="17" customWidth="1"/>
    <col min="6371" max="6371" width="13" style="17" customWidth="1"/>
    <col min="6372" max="6372" width="16" style="17" customWidth="1"/>
    <col min="6373" max="6373" width="13" style="17" customWidth="1"/>
    <col min="6374" max="6374" width="11.08984375" style="17" customWidth="1"/>
    <col min="6375" max="6375" width="15.54296875" style="17" customWidth="1"/>
    <col min="6376" max="6376" width="13" style="17" customWidth="1"/>
    <col min="6377" max="6377" width="14.1796875" style="17" customWidth="1"/>
    <col min="6378" max="6378" width="15.81640625" style="17" customWidth="1"/>
    <col min="6379" max="6379" width="15.54296875" style="17" customWidth="1"/>
    <col min="6380" max="6380" width="13" style="17" customWidth="1"/>
    <col min="6381" max="6381" width="14.1796875" style="17" customWidth="1"/>
    <col min="6382" max="6382" width="15.81640625" style="17" customWidth="1"/>
    <col min="6383" max="6383" width="15.54296875" style="17" customWidth="1"/>
    <col min="6384" max="6384" width="13" style="17" customWidth="1"/>
    <col min="6385" max="6385" width="14.1796875" style="17" customWidth="1"/>
    <col min="6386" max="6386" width="15.81640625" style="17" customWidth="1"/>
    <col min="6387" max="6387" width="9.1796875" style="17"/>
    <col min="6388" max="6388" width="15.54296875" style="17" customWidth="1"/>
    <col min="6389" max="6389" width="13" style="17" customWidth="1"/>
    <col min="6390" max="6390" width="14.1796875" style="17" customWidth="1"/>
    <col min="6391" max="6391" width="15.81640625" style="17" customWidth="1"/>
    <col min="6392" max="6392" width="9.1796875" style="17"/>
    <col min="6393" max="6393" width="16" style="17" customWidth="1"/>
    <col min="6394" max="6394" width="13" style="17" customWidth="1"/>
    <col min="6395" max="6395" width="14.1796875" style="17" customWidth="1"/>
    <col min="6396" max="6396" width="13" style="17" customWidth="1"/>
    <col min="6397" max="6397" width="14.1796875" style="17" customWidth="1"/>
    <col min="6398" max="6398" width="13" style="17" customWidth="1"/>
    <col min="6399" max="6399" width="14.1796875" style="17" customWidth="1"/>
    <col min="6400" max="6400" width="13" style="17" customWidth="1"/>
    <col min="6401" max="6401" width="14.1796875" style="17" customWidth="1"/>
    <col min="6402" max="6402" width="13" style="17" customWidth="1"/>
    <col min="6403" max="6403" width="14.1796875" style="17" customWidth="1"/>
    <col min="6404" max="6405" width="13" style="17" customWidth="1"/>
    <col min="6406" max="6406" width="14.90625" style="17" bestFit="1" customWidth="1"/>
    <col min="6407" max="6407" width="13" style="17" customWidth="1"/>
    <col min="6408" max="6408" width="14.1796875" style="17" customWidth="1"/>
    <col min="6409" max="6409" width="13" style="17" customWidth="1"/>
    <col min="6410" max="6410" width="8.81640625" style="17" customWidth="1"/>
    <col min="6411" max="6411" width="14.1796875" style="17" customWidth="1"/>
    <col min="6412" max="6412" width="13" style="17" customWidth="1"/>
    <col min="6413" max="6413" width="14.1796875" style="17" customWidth="1"/>
    <col min="6414" max="6414" width="13" style="17" customWidth="1"/>
    <col min="6415" max="6415" width="14.1796875" style="17" customWidth="1"/>
    <col min="6416" max="6416" width="13" style="17" customWidth="1"/>
    <col min="6417" max="6417" width="14.1796875" style="17" customWidth="1"/>
    <col min="6418" max="6422" width="13" style="17" customWidth="1"/>
    <col min="6423" max="6423" width="16.81640625" style="17" customWidth="1"/>
    <col min="6424" max="6424" width="14.1796875" style="17" customWidth="1"/>
    <col min="6425" max="6425" width="13" style="17" customWidth="1"/>
    <col min="6426" max="6426" width="14.1796875" style="17" customWidth="1"/>
    <col min="6427" max="6428" width="13.36328125" style="17" customWidth="1"/>
    <col min="6429" max="6429" width="15.6328125" style="17" customWidth="1"/>
    <col min="6430" max="6430" width="14.36328125" style="17" customWidth="1"/>
    <col min="6431" max="6431" width="16" style="17" bestFit="1" customWidth="1"/>
    <col min="6432" max="6432" width="14.1796875" style="17" customWidth="1"/>
    <col min="6433" max="6433" width="13" style="17" customWidth="1"/>
    <col min="6434" max="6434" width="14.1796875" style="17" customWidth="1"/>
    <col min="6435" max="6435" width="13.36328125" style="17" customWidth="1"/>
    <col min="6436" max="6436" width="13.81640625" style="17" bestFit="1" customWidth="1"/>
    <col min="6437" max="6437" width="14.1796875" style="17" bestFit="1" customWidth="1"/>
    <col min="6438" max="6438" width="13.81640625" style="17" bestFit="1" customWidth="1"/>
    <col min="6439" max="6594" width="9.1796875" style="17"/>
    <col min="6595" max="6595" width="3.81640625" style="17" bestFit="1" customWidth="1"/>
    <col min="6596" max="6596" width="39.54296875" style="17" customWidth="1"/>
    <col min="6597" max="6597" width="16" style="17" customWidth="1"/>
    <col min="6598" max="6598" width="13" style="17" customWidth="1"/>
    <col min="6599" max="6599" width="16" style="17" customWidth="1"/>
    <col min="6600" max="6600" width="13" style="17" customWidth="1"/>
    <col min="6601" max="6601" width="14.1796875" style="17" customWidth="1"/>
    <col min="6602" max="6602" width="13" style="17" customWidth="1"/>
    <col min="6603" max="6603" width="14.90625" style="17" customWidth="1"/>
    <col min="6604" max="6604" width="13" style="17" customWidth="1"/>
    <col min="6605" max="6605" width="15.54296875" style="17" customWidth="1"/>
    <col min="6606" max="6606" width="13" style="17" customWidth="1"/>
    <col min="6607" max="6607" width="14.1796875" style="17" customWidth="1"/>
    <col min="6608" max="6608" width="13" style="17" customWidth="1"/>
    <col min="6609" max="6609" width="14.1796875" style="17" customWidth="1"/>
    <col min="6610" max="6610" width="13" style="17" customWidth="1"/>
    <col min="6611" max="6611" width="14.90625" style="17" customWidth="1"/>
    <col min="6612" max="6612" width="13" style="17" customWidth="1"/>
    <col min="6613" max="6613" width="15.54296875" style="17" customWidth="1"/>
    <col min="6614" max="6614" width="13" style="17" customWidth="1"/>
    <col min="6615" max="6615" width="14.1796875" style="17" customWidth="1"/>
    <col min="6616" max="6616" width="13" style="17" customWidth="1"/>
    <col min="6617" max="6617" width="15.54296875" style="17" customWidth="1"/>
    <col min="6618" max="6618" width="15.81640625" style="17" customWidth="1"/>
    <col min="6619" max="6619" width="14.1796875" style="17" customWidth="1"/>
    <col min="6620" max="6620" width="15.81640625" style="17" customWidth="1"/>
    <col min="6621" max="6621" width="15.54296875" style="17" customWidth="1"/>
    <col min="6622" max="6622" width="13" style="17" customWidth="1"/>
    <col min="6623" max="6623" width="14.1796875" style="17" customWidth="1"/>
    <col min="6624" max="6624" width="15.81640625" style="17" customWidth="1"/>
    <col min="6625" max="6625" width="16.453125" style="17" customWidth="1"/>
    <col min="6626" max="6626" width="15.54296875" style="17" customWidth="1"/>
    <col min="6627" max="6627" width="13" style="17" customWidth="1"/>
    <col min="6628" max="6628" width="16" style="17" customWidth="1"/>
    <col min="6629" max="6629" width="13" style="17" customWidth="1"/>
    <col min="6630" max="6630" width="11.08984375" style="17" customWidth="1"/>
    <col min="6631" max="6631" width="15.54296875" style="17" customWidth="1"/>
    <col min="6632" max="6632" width="13" style="17" customWidth="1"/>
    <col min="6633" max="6633" width="14.1796875" style="17" customWidth="1"/>
    <col min="6634" max="6634" width="15.81640625" style="17" customWidth="1"/>
    <col min="6635" max="6635" width="15.54296875" style="17" customWidth="1"/>
    <col min="6636" max="6636" width="13" style="17" customWidth="1"/>
    <col min="6637" max="6637" width="14.1796875" style="17" customWidth="1"/>
    <col min="6638" max="6638" width="15.81640625" style="17" customWidth="1"/>
    <col min="6639" max="6639" width="15.54296875" style="17" customWidth="1"/>
    <col min="6640" max="6640" width="13" style="17" customWidth="1"/>
    <col min="6641" max="6641" width="14.1796875" style="17" customWidth="1"/>
    <col min="6642" max="6642" width="15.81640625" style="17" customWidth="1"/>
    <col min="6643" max="6643" width="9.1796875" style="17"/>
    <col min="6644" max="6644" width="15.54296875" style="17" customWidth="1"/>
    <col min="6645" max="6645" width="13" style="17" customWidth="1"/>
    <col min="6646" max="6646" width="14.1796875" style="17" customWidth="1"/>
    <col min="6647" max="6647" width="15.81640625" style="17" customWidth="1"/>
    <col min="6648" max="6648" width="9.1796875" style="17"/>
    <col min="6649" max="6649" width="16" style="17" customWidth="1"/>
    <col min="6650" max="6650" width="13" style="17" customWidth="1"/>
    <col min="6651" max="6651" width="14.1796875" style="17" customWidth="1"/>
    <col min="6652" max="6652" width="13" style="17" customWidth="1"/>
    <col min="6653" max="6653" width="14.1796875" style="17" customWidth="1"/>
    <col min="6654" max="6654" width="13" style="17" customWidth="1"/>
    <col min="6655" max="6655" width="14.1796875" style="17" customWidth="1"/>
    <col min="6656" max="6656" width="13" style="17" customWidth="1"/>
    <col min="6657" max="6657" width="14.1796875" style="17" customWidth="1"/>
    <col min="6658" max="6658" width="13" style="17" customWidth="1"/>
    <col min="6659" max="6659" width="14.1796875" style="17" customWidth="1"/>
    <col min="6660" max="6661" width="13" style="17" customWidth="1"/>
    <col min="6662" max="6662" width="14.90625" style="17" bestFit="1" customWidth="1"/>
    <col min="6663" max="6663" width="13" style="17" customWidth="1"/>
    <col min="6664" max="6664" width="14.1796875" style="17" customWidth="1"/>
    <col min="6665" max="6665" width="13" style="17" customWidth="1"/>
    <col min="6666" max="6666" width="8.81640625" style="17" customWidth="1"/>
    <col min="6667" max="6667" width="14.1796875" style="17" customWidth="1"/>
    <col min="6668" max="6668" width="13" style="17" customWidth="1"/>
    <col min="6669" max="6669" width="14.1796875" style="17" customWidth="1"/>
    <col min="6670" max="6670" width="13" style="17" customWidth="1"/>
    <col min="6671" max="6671" width="14.1796875" style="17" customWidth="1"/>
    <col min="6672" max="6672" width="13" style="17" customWidth="1"/>
    <col min="6673" max="6673" width="14.1796875" style="17" customWidth="1"/>
    <col min="6674" max="6678" width="13" style="17" customWidth="1"/>
    <col min="6679" max="6679" width="16.81640625" style="17" customWidth="1"/>
    <col min="6680" max="6680" width="14.1796875" style="17" customWidth="1"/>
    <col min="6681" max="6681" width="13" style="17" customWidth="1"/>
    <col min="6682" max="6682" width="14.1796875" style="17" customWidth="1"/>
    <col min="6683" max="6684" width="13.36328125" style="17" customWidth="1"/>
    <col min="6685" max="6685" width="15.6328125" style="17" customWidth="1"/>
    <col min="6686" max="6686" width="14.36328125" style="17" customWidth="1"/>
    <col min="6687" max="6687" width="16" style="17" bestFit="1" customWidth="1"/>
    <col min="6688" max="6688" width="14.1796875" style="17" customWidth="1"/>
    <col min="6689" max="6689" width="13" style="17" customWidth="1"/>
    <col min="6690" max="6690" width="14.1796875" style="17" customWidth="1"/>
    <col min="6691" max="6691" width="13.36328125" style="17" customWidth="1"/>
    <col min="6692" max="6692" width="13.81640625" style="17" bestFit="1" customWidth="1"/>
    <col min="6693" max="6693" width="14.1796875" style="17" bestFit="1" customWidth="1"/>
    <col min="6694" max="6694" width="13.81640625" style="17" bestFit="1" customWidth="1"/>
    <col min="6695" max="6850" width="9.1796875" style="17"/>
    <col min="6851" max="6851" width="3.81640625" style="17" bestFit="1" customWidth="1"/>
    <col min="6852" max="6852" width="39.54296875" style="17" customWidth="1"/>
    <col min="6853" max="6853" width="16" style="17" customWidth="1"/>
    <col min="6854" max="6854" width="13" style="17" customWidth="1"/>
    <col min="6855" max="6855" width="16" style="17" customWidth="1"/>
    <col min="6856" max="6856" width="13" style="17" customWidth="1"/>
    <col min="6857" max="6857" width="14.1796875" style="17" customWidth="1"/>
    <col min="6858" max="6858" width="13" style="17" customWidth="1"/>
    <col min="6859" max="6859" width="14.90625" style="17" customWidth="1"/>
    <col min="6860" max="6860" width="13" style="17" customWidth="1"/>
    <col min="6861" max="6861" width="15.54296875" style="17" customWidth="1"/>
    <col min="6862" max="6862" width="13" style="17" customWidth="1"/>
    <col min="6863" max="6863" width="14.1796875" style="17" customWidth="1"/>
    <col min="6864" max="6864" width="13" style="17" customWidth="1"/>
    <col min="6865" max="6865" width="14.1796875" style="17" customWidth="1"/>
    <col min="6866" max="6866" width="13" style="17" customWidth="1"/>
    <col min="6867" max="6867" width="14.90625" style="17" customWidth="1"/>
    <col min="6868" max="6868" width="13" style="17" customWidth="1"/>
    <col min="6869" max="6869" width="15.54296875" style="17" customWidth="1"/>
    <col min="6870" max="6870" width="13" style="17" customWidth="1"/>
    <col min="6871" max="6871" width="14.1796875" style="17" customWidth="1"/>
    <col min="6872" max="6872" width="13" style="17" customWidth="1"/>
    <col min="6873" max="6873" width="15.54296875" style="17" customWidth="1"/>
    <col min="6874" max="6874" width="15.81640625" style="17" customWidth="1"/>
    <col min="6875" max="6875" width="14.1796875" style="17" customWidth="1"/>
    <col min="6876" max="6876" width="15.81640625" style="17" customWidth="1"/>
    <col min="6877" max="6877" width="15.54296875" style="17" customWidth="1"/>
    <col min="6878" max="6878" width="13" style="17" customWidth="1"/>
    <col min="6879" max="6879" width="14.1796875" style="17" customWidth="1"/>
    <col min="6880" max="6880" width="15.81640625" style="17" customWidth="1"/>
    <col min="6881" max="6881" width="16.453125" style="17" customWidth="1"/>
    <col min="6882" max="6882" width="15.54296875" style="17" customWidth="1"/>
    <col min="6883" max="6883" width="13" style="17" customWidth="1"/>
    <col min="6884" max="6884" width="16" style="17" customWidth="1"/>
    <col min="6885" max="6885" width="13" style="17" customWidth="1"/>
    <col min="6886" max="6886" width="11.08984375" style="17" customWidth="1"/>
    <col min="6887" max="6887" width="15.54296875" style="17" customWidth="1"/>
    <col min="6888" max="6888" width="13" style="17" customWidth="1"/>
    <col min="6889" max="6889" width="14.1796875" style="17" customWidth="1"/>
    <col min="6890" max="6890" width="15.81640625" style="17" customWidth="1"/>
    <col min="6891" max="6891" width="15.54296875" style="17" customWidth="1"/>
    <col min="6892" max="6892" width="13" style="17" customWidth="1"/>
    <col min="6893" max="6893" width="14.1796875" style="17" customWidth="1"/>
    <col min="6894" max="6894" width="15.81640625" style="17" customWidth="1"/>
    <col min="6895" max="6895" width="15.54296875" style="17" customWidth="1"/>
    <col min="6896" max="6896" width="13" style="17" customWidth="1"/>
    <col min="6897" max="6897" width="14.1796875" style="17" customWidth="1"/>
    <col min="6898" max="6898" width="15.81640625" style="17" customWidth="1"/>
    <col min="6899" max="6899" width="9.1796875" style="17"/>
    <col min="6900" max="6900" width="15.54296875" style="17" customWidth="1"/>
    <col min="6901" max="6901" width="13" style="17" customWidth="1"/>
    <col min="6902" max="6902" width="14.1796875" style="17" customWidth="1"/>
    <col min="6903" max="6903" width="15.81640625" style="17" customWidth="1"/>
    <col min="6904" max="6904" width="9.1796875" style="17"/>
    <col min="6905" max="6905" width="16" style="17" customWidth="1"/>
    <col min="6906" max="6906" width="13" style="17" customWidth="1"/>
    <col min="6907" max="6907" width="14.1796875" style="17" customWidth="1"/>
    <col min="6908" max="6908" width="13" style="17" customWidth="1"/>
    <col min="6909" max="6909" width="14.1796875" style="17" customWidth="1"/>
    <col min="6910" max="6910" width="13" style="17" customWidth="1"/>
    <col min="6911" max="6911" width="14.1796875" style="17" customWidth="1"/>
    <col min="6912" max="6912" width="13" style="17" customWidth="1"/>
    <col min="6913" max="6913" width="14.1796875" style="17" customWidth="1"/>
    <col min="6914" max="6914" width="13" style="17" customWidth="1"/>
    <col min="6915" max="6915" width="14.1796875" style="17" customWidth="1"/>
    <col min="6916" max="6917" width="13" style="17" customWidth="1"/>
    <col min="6918" max="6918" width="14.90625" style="17" bestFit="1" customWidth="1"/>
    <col min="6919" max="6919" width="13" style="17" customWidth="1"/>
    <col min="6920" max="6920" width="14.1796875" style="17" customWidth="1"/>
    <col min="6921" max="6921" width="13" style="17" customWidth="1"/>
    <col min="6922" max="6922" width="8.81640625" style="17" customWidth="1"/>
    <col min="6923" max="6923" width="14.1796875" style="17" customWidth="1"/>
    <col min="6924" max="6924" width="13" style="17" customWidth="1"/>
    <col min="6925" max="6925" width="14.1796875" style="17" customWidth="1"/>
    <col min="6926" max="6926" width="13" style="17" customWidth="1"/>
    <col min="6927" max="6927" width="14.1796875" style="17" customWidth="1"/>
    <col min="6928" max="6928" width="13" style="17" customWidth="1"/>
    <col min="6929" max="6929" width="14.1796875" style="17" customWidth="1"/>
    <col min="6930" max="6934" width="13" style="17" customWidth="1"/>
    <col min="6935" max="6935" width="16.81640625" style="17" customWidth="1"/>
    <col min="6936" max="6936" width="14.1796875" style="17" customWidth="1"/>
    <col min="6937" max="6937" width="13" style="17" customWidth="1"/>
    <col min="6938" max="6938" width="14.1796875" style="17" customWidth="1"/>
    <col min="6939" max="6940" width="13.36328125" style="17" customWidth="1"/>
    <col min="6941" max="6941" width="15.6328125" style="17" customWidth="1"/>
    <col min="6942" max="6942" width="14.36328125" style="17" customWidth="1"/>
    <col min="6943" max="6943" width="16" style="17" bestFit="1" customWidth="1"/>
    <col min="6944" max="6944" width="14.1796875" style="17" customWidth="1"/>
    <col min="6945" max="6945" width="13" style="17" customWidth="1"/>
    <col min="6946" max="6946" width="14.1796875" style="17" customWidth="1"/>
    <col min="6947" max="6947" width="13.36328125" style="17" customWidth="1"/>
    <col min="6948" max="6948" width="13.81640625" style="17" bestFit="1" customWidth="1"/>
    <col min="6949" max="6949" width="14.1796875" style="17" bestFit="1" customWidth="1"/>
    <col min="6950" max="6950" width="13.81640625" style="17" bestFit="1" customWidth="1"/>
    <col min="6951" max="7106" width="9.1796875" style="17"/>
    <col min="7107" max="7107" width="3.81640625" style="17" bestFit="1" customWidth="1"/>
    <col min="7108" max="7108" width="39.54296875" style="17" customWidth="1"/>
    <col min="7109" max="7109" width="16" style="17" customWidth="1"/>
    <col min="7110" max="7110" width="13" style="17" customWidth="1"/>
    <col min="7111" max="7111" width="16" style="17" customWidth="1"/>
    <col min="7112" max="7112" width="13" style="17" customWidth="1"/>
    <col min="7113" max="7113" width="14.1796875" style="17" customWidth="1"/>
    <col min="7114" max="7114" width="13" style="17" customWidth="1"/>
    <col min="7115" max="7115" width="14.90625" style="17" customWidth="1"/>
    <col min="7116" max="7116" width="13" style="17" customWidth="1"/>
    <col min="7117" max="7117" width="15.54296875" style="17" customWidth="1"/>
    <col min="7118" max="7118" width="13" style="17" customWidth="1"/>
    <col min="7119" max="7119" width="14.1796875" style="17" customWidth="1"/>
    <col min="7120" max="7120" width="13" style="17" customWidth="1"/>
    <col min="7121" max="7121" width="14.1796875" style="17" customWidth="1"/>
    <col min="7122" max="7122" width="13" style="17" customWidth="1"/>
    <col min="7123" max="7123" width="14.90625" style="17" customWidth="1"/>
    <col min="7124" max="7124" width="13" style="17" customWidth="1"/>
    <col min="7125" max="7125" width="15.54296875" style="17" customWidth="1"/>
    <col min="7126" max="7126" width="13" style="17" customWidth="1"/>
    <col min="7127" max="7127" width="14.1796875" style="17" customWidth="1"/>
    <col min="7128" max="7128" width="13" style="17" customWidth="1"/>
    <col min="7129" max="7129" width="15.54296875" style="17" customWidth="1"/>
    <col min="7130" max="7130" width="15.81640625" style="17" customWidth="1"/>
    <col min="7131" max="7131" width="14.1796875" style="17" customWidth="1"/>
    <col min="7132" max="7132" width="15.81640625" style="17" customWidth="1"/>
    <col min="7133" max="7133" width="15.54296875" style="17" customWidth="1"/>
    <col min="7134" max="7134" width="13" style="17" customWidth="1"/>
    <col min="7135" max="7135" width="14.1796875" style="17" customWidth="1"/>
    <col min="7136" max="7136" width="15.81640625" style="17" customWidth="1"/>
    <col min="7137" max="7137" width="16.453125" style="17" customWidth="1"/>
    <col min="7138" max="7138" width="15.54296875" style="17" customWidth="1"/>
    <col min="7139" max="7139" width="13" style="17" customWidth="1"/>
    <col min="7140" max="7140" width="16" style="17" customWidth="1"/>
    <col min="7141" max="7141" width="13" style="17" customWidth="1"/>
    <col min="7142" max="7142" width="11.08984375" style="17" customWidth="1"/>
    <col min="7143" max="7143" width="15.54296875" style="17" customWidth="1"/>
    <col min="7144" max="7144" width="13" style="17" customWidth="1"/>
    <col min="7145" max="7145" width="14.1796875" style="17" customWidth="1"/>
    <col min="7146" max="7146" width="15.81640625" style="17" customWidth="1"/>
    <col min="7147" max="7147" width="15.54296875" style="17" customWidth="1"/>
    <col min="7148" max="7148" width="13" style="17" customWidth="1"/>
    <col min="7149" max="7149" width="14.1796875" style="17" customWidth="1"/>
    <col min="7150" max="7150" width="15.81640625" style="17" customWidth="1"/>
    <col min="7151" max="7151" width="15.54296875" style="17" customWidth="1"/>
    <col min="7152" max="7152" width="13" style="17" customWidth="1"/>
    <col min="7153" max="7153" width="14.1796875" style="17" customWidth="1"/>
    <col min="7154" max="7154" width="15.81640625" style="17" customWidth="1"/>
    <col min="7155" max="7155" width="9.1796875" style="17"/>
    <col min="7156" max="7156" width="15.54296875" style="17" customWidth="1"/>
    <col min="7157" max="7157" width="13" style="17" customWidth="1"/>
    <col min="7158" max="7158" width="14.1796875" style="17" customWidth="1"/>
    <col min="7159" max="7159" width="15.81640625" style="17" customWidth="1"/>
    <col min="7160" max="7160" width="9.1796875" style="17"/>
    <col min="7161" max="7161" width="16" style="17" customWidth="1"/>
    <col min="7162" max="7162" width="13" style="17" customWidth="1"/>
    <col min="7163" max="7163" width="14.1796875" style="17" customWidth="1"/>
    <col min="7164" max="7164" width="13" style="17" customWidth="1"/>
    <col min="7165" max="7165" width="14.1796875" style="17" customWidth="1"/>
    <col min="7166" max="7166" width="13" style="17" customWidth="1"/>
    <col min="7167" max="7167" width="14.1796875" style="17" customWidth="1"/>
    <col min="7168" max="7168" width="13" style="17" customWidth="1"/>
    <col min="7169" max="7169" width="14.1796875" style="17" customWidth="1"/>
    <col min="7170" max="7170" width="13" style="17" customWidth="1"/>
    <col min="7171" max="7171" width="14.1796875" style="17" customWidth="1"/>
    <col min="7172" max="7173" width="13" style="17" customWidth="1"/>
    <col min="7174" max="7174" width="14.90625" style="17" bestFit="1" customWidth="1"/>
    <col min="7175" max="7175" width="13" style="17" customWidth="1"/>
    <col min="7176" max="7176" width="14.1796875" style="17" customWidth="1"/>
    <col min="7177" max="7177" width="13" style="17" customWidth="1"/>
    <col min="7178" max="7178" width="8.81640625" style="17" customWidth="1"/>
    <col min="7179" max="7179" width="14.1796875" style="17" customWidth="1"/>
    <col min="7180" max="7180" width="13" style="17" customWidth="1"/>
    <col min="7181" max="7181" width="14.1796875" style="17" customWidth="1"/>
    <col min="7182" max="7182" width="13" style="17" customWidth="1"/>
    <col min="7183" max="7183" width="14.1796875" style="17" customWidth="1"/>
    <col min="7184" max="7184" width="13" style="17" customWidth="1"/>
    <col min="7185" max="7185" width="14.1796875" style="17" customWidth="1"/>
    <col min="7186" max="7190" width="13" style="17" customWidth="1"/>
    <col min="7191" max="7191" width="16.81640625" style="17" customWidth="1"/>
    <col min="7192" max="7192" width="14.1796875" style="17" customWidth="1"/>
    <col min="7193" max="7193" width="13" style="17" customWidth="1"/>
    <col min="7194" max="7194" width="14.1796875" style="17" customWidth="1"/>
    <col min="7195" max="7196" width="13.36328125" style="17" customWidth="1"/>
    <col min="7197" max="7197" width="15.6328125" style="17" customWidth="1"/>
    <col min="7198" max="7198" width="14.36328125" style="17" customWidth="1"/>
    <col min="7199" max="7199" width="16" style="17" bestFit="1" customWidth="1"/>
    <col min="7200" max="7200" width="14.1796875" style="17" customWidth="1"/>
    <col min="7201" max="7201" width="13" style="17" customWidth="1"/>
    <col min="7202" max="7202" width="14.1796875" style="17" customWidth="1"/>
    <col min="7203" max="7203" width="13.36328125" style="17" customWidth="1"/>
    <col min="7204" max="7204" width="13.81640625" style="17" bestFit="1" customWidth="1"/>
    <col min="7205" max="7205" width="14.1796875" style="17" bestFit="1" customWidth="1"/>
    <col min="7206" max="7206" width="13.81640625" style="17" bestFit="1" customWidth="1"/>
    <col min="7207" max="7362" width="9.1796875" style="17"/>
    <col min="7363" max="7363" width="3.81640625" style="17" bestFit="1" customWidth="1"/>
    <col min="7364" max="7364" width="39.54296875" style="17" customWidth="1"/>
    <col min="7365" max="7365" width="16" style="17" customWidth="1"/>
    <col min="7366" max="7366" width="13" style="17" customWidth="1"/>
    <col min="7367" max="7367" width="16" style="17" customWidth="1"/>
    <col min="7368" max="7368" width="13" style="17" customWidth="1"/>
    <col min="7369" max="7369" width="14.1796875" style="17" customWidth="1"/>
    <col min="7370" max="7370" width="13" style="17" customWidth="1"/>
    <col min="7371" max="7371" width="14.90625" style="17" customWidth="1"/>
    <col min="7372" max="7372" width="13" style="17" customWidth="1"/>
    <col min="7373" max="7373" width="15.54296875" style="17" customWidth="1"/>
    <col min="7374" max="7374" width="13" style="17" customWidth="1"/>
    <col min="7375" max="7375" width="14.1796875" style="17" customWidth="1"/>
    <col min="7376" max="7376" width="13" style="17" customWidth="1"/>
    <col min="7377" max="7377" width="14.1796875" style="17" customWidth="1"/>
    <col min="7378" max="7378" width="13" style="17" customWidth="1"/>
    <col min="7379" max="7379" width="14.90625" style="17" customWidth="1"/>
    <col min="7380" max="7380" width="13" style="17" customWidth="1"/>
    <col min="7381" max="7381" width="15.54296875" style="17" customWidth="1"/>
    <col min="7382" max="7382" width="13" style="17" customWidth="1"/>
    <col min="7383" max="7383" width="14.1796875" style="17" customWidth="1"/>
    <col min="7384" max="7384" width="13" style="17" customWidth="1"/>
    <col min="7385" max="7385" width="15.54296875" style="17" customWidth="1"/>
    <col min="7386" max="7386" width="15.81640625" style="17" customWidth="1"/>
    <col min="7387" max="7387" width="14.1796875" style="17" customWidth="1"/>
    <col min="7388" max="7388" width="15.81640625" style="17" customWidth="1"/>
    <col min="7389" max="7389" width="15.54296875" style="17" customWidth="1"/>
    <col min="7390" max="7390" width="13" style="17" customWidth="1"/>
    <col min="7391" max="7391" width="14.1796875" style="17" customWidth="1"/>
    <col min="7392" max="7392" width="15.81640625" style="17" customWidth="1"/>
    <col min="7393" max="7393" width="16.453125" style="17" customWidth="1"/>
    <col min="7394" max="7394" width="15.54296875" style="17" customWidth="1"/>
    <col min="7395" max="7395" width="13" style="17" customWidth="1"/>
    <col min="7396" max="7396" width="16" style="17" customWidth="1"/>
    <col min="7397" max="7397" width="13" style="17" customWidth="1"/>
    <col min="7398" max="7398" width="11.08984375" style="17" customWidth="1"/>
    <col min="7399" max="7399" width="15.54296875" style="17" customWidth="1"/>
    <col min="7400" max="7400" width="13" style="17" customWidth="1"/>
    <col min="7401" max="7401" width="14.1796875" style="17" customWidth="1"/>
    <col min="7402" max="7402" width="15.81640625" style="17" customWidth="1"/>
    <col min="7403" max="7403" width="15.54296875" style="17" customWidth="1"/>
    <col min="7404" max="7404" width="13" style="17" customWidth="1"/>
    <col min="7405" max="7405" width="14.1796875" style="17" customWidth="1"/>
    <col min="7406" max="7406" width="15.81640625" style="17" customWidth="1"/>
    <col min="7407" max="7407" width="15.54296875" style="17" customWidth="1"/>
    <col min="7408" max="7408" width="13" style="17" customWidth="1"/>
    <col min="7409" max="7409" width="14.1796875" style="17" customWidth="1"/>
    <col min="7410" max="7410" width="15.81640625" style="17" customWidth="1"/>
    <col min="7411" max="7411" width="9.1796875" style="17"/>
    <col min="7412" max="7412" width="15.54296875" style="17" customWidth="1"/>
    <col min="7413" max="7413" width="13" style="17" customWidth="1"/>
    <col min="7414" max="7414" width="14.1796875" style="17" customWidth="1"/>
    <col min="7415" max="7415" width="15.81640625" style="17" customWidth="1"/>
    <col min="7416" max="7416" width="9.1796875" style="17"/>
    <col min="7417" max="7417" width="16" style="17" customWidth="1"/>
    <col min="7418" max="7418" width="13" style="17" customWidth="1"/>
    <col min="7419" max="7419" width="14.1796875" style="17" customWidth="1"/>
    <col min="7420" max="7420" width="13" style="17" customWidth="1"/>
    <col min="7421" max="7421" width="14.1796875" style="17" customWidth="1"/>
    <col min="7422" max="7422" width="13" style="17" customWidth="1"/>
    <col min="7423" max="7423" width="14.1796875" style="17" customWidth="1"/>
    <col min="7424" max="7424" width="13" style="17" customWidth="1"/>
    <col min="7425" max="7425" width="14.1796875" style="17" customWidth="1"/>
    <col min="7426" max="7426" width="13" style="17" customWidth="1"/>
    <col min="7427" max="7427" width="14.1796875" style="17" customWidth="1"/>
    <col min="7428" max="7429" width="13" style="17" customWidth="1"/>
    <col min="7430" max="7430" width="14.90625" style="17" bestFit="1" customWidth="1"/>
    <col min="7431" max="7431" width="13" style="17" customWidth="1"/>
    <col min="7432" max="7432" width="14.1796875" style="17" customWidth="1"/>
    <col min="7433" max="7433" width="13" style="17" customWidth="1"/>
    <col min="7434" max="7434" width="8.81640625" style="17" customWidth="1"/>
    <col min="7435" max="7435" width="14.1796875" style="17" customWidth="1"/>
    <col min="7436" max="7436" width="13" style="17" customWidth="1"/>
    <col min="7437" max="7437" width="14.1796875" style="17" customWidth="1"/>
    <col min="7438" max="7438" width="13" style="17" customWidth="1"/>
    <col min="7439" max="7439" width="14.1796875" style="17" customWidth="1"/>
    <col min="7440" max="7440" width="13" style="17" customWidth="1"/>
    <col min="7441" max="7441" width="14.1796875" style="17" customWidth="1"/>
    <col min="7442" max="7446" width="13" style="17" customWidth="1"/>
    <col min="7447" max="7447" width="16.81640625" style="17" customWidth="1"/>
    <col min="7448" max="7448" width="14.1796875" style="17" customWidth="1"/>
    <col min="7449" max="7449" width="13" style="17" customWidth="1"/>
    <col min="7450" max="7450" width="14.1796875" style="17" customWidth="1"/>
    <col min="7451" max="7452" width="13.36328125" style="17" customWidth="1"/>
    <col min="7453" max="7453" width="15.6328125" style="17" customWidth="1"/>
    <col min="7454" max="7454" width="14.36328125" style="17" customWidth="1"/>
    <col min="7455" max="7455" width="16" style="17" bestFit="1" customWidth="1"/>
    <col min="7456" max="7456" width="14.1796875" style="17" customWidth="1"/>
    <col min="7457" max="7457" width="13" style="17" customWidth="1"/>
    <col min="7458" max="7458" width="14.1796875" style="17" customWidth="1"/>
    <col min="7459" max="7459" width="13.36328125" style="17" customWidth="1"/>
    <col min="7460" max="7460" width="13.81640625" style="17" bestFit="1" customWidth="1"/>
    <col min="7461" max="7461" width="14.1796875" style="17" bestFit="1" customWidth="1"/>
    <col min="7462" max="7462" width="13.81640625" style="17" bestFit="1" customWidth="1"/>
    <col min="7463" max="7618" width="9.1796875" style="17"/>
    <col min="7619" max="7619" width="3.81640625" style="17" bestFit="1" customWidth="1"/>
    <col min="7620" max="7620" width="39.54296875" style="17" customWidth="1"/>
    <col min="7621" max="7621" width="16" style="17" customWidth="1"/>
    <col min="7622" max="7622" width="13" style="17" customWidth="1"/>
    <col min="7623" max="7623" width="16" style="17" customWidth="1"/>
    <col min="7624" max="7624" width="13" style="17" customWidth="1"/>
    <col min="7625" max="7625" width="14.1796875" style="17" customWidth="1"/>
    <col min="7626" max="7626" width="13" style="17" customWidth="1"/>
    <col min="7627" max="7627" width="14.90625" style="17" customWidth="1"/>
    <col min="7628" max="7628" width="13" style="17" customWidth="1"/>
    <col min="7629" max="7629" width="15.54296875" style="17" customWidth="1"/>
    <col min="7630" max="7630" width="13" style="17" customWidth="1"/>
    <col min="7631" max="7631" width="14.1796875" style="17" customWidth="1"/>
    <col min="7632" max="7632" width="13" style="17" customWidth="1"/>
    <col min="7633" max="7633" width="14.1796875" style="17" customWidth="1"/>
    <col min="7634" max="7634" width="13" style="17" customWidth="1"/>
    <col min="7635" max="7635" width="14.90625" style="17" customWidth="1"/>
    <col min="7636" max="7636" width="13" style="17" customWidth="1"/>
    <col min="7637" max="7637" width="15.54296875" style="17" customWidth="1"/>
    <col min="7638" max="7638" width="13" style="17" customWidth="1"/>
    <col min="7639" max="7639" width="14.1796875" style="17" customWidth="1"/>
    <col min="7640" max="7640" width="13" style="17" customWidth="1"/>
    <col min="7641" max="7641" width="15.54296875" style="17" customWidth="1"/>
    <col min="7642" max="7642" width="15.81640625" style="17" customWidth="1"/>
    <col min="7643" max="7643" width="14.1796875" style="17" customWidth="1"/>
    <col min="7644" max="7644" width="15.81640625" style="17" customWidth="1"/>
    <col min="7645" max="7645" width="15.54296875" style="17" customWidth="1"/>
    <col min="7646" max="7646" width="13" style="17" customWidth="1"/>
    <col min="7647" max="7647" width="14.1796875" style="17" customWidth="1"/>
    <col min="7648" max="7648" width="15.81640625" style="17" customWidth="1"/>
    <col min="7649" max="7649" width="16.453125" style="17" customWidth="1"/>
    <col min="7650" max="7650" width="15.54296875" style="17" customWidth="1"/>
    <col min="7651" max="7651" width="13" style="17" customWidth="1"/>
    <col min="7652" max="7652" width="16" style="17" customWidth="1"/>
    <col min="7653" max="7653" width="13" style="17" customWidth="1"/>
    <col min="7654" max="7654" width="11.08984375" style="17" customWidth="1"/>
    <col min="7655" max="7655" width="15.54296875" style="17" customWidth="1"/>
    <col min="7656" max="7656" width="13" style="17" customWidth="1"/>
    <col min="7657" max="7657" width="14.1796875" style="17" customWidth="1"/>
    <col min="7658" max="7658" width="15.81640625" style="17" customWidth="1"/>
    <col min="7659" max="7659" width="15.54296875" style="17" customWidth="1"/>
    <col min="7660" max="7660" width="13" style="17" customWidth="1"/>
    <col min="7661" max="7661" width="14.1796875" style="17" customWidth="1"/>
    <col min="7662" max="7662" width="15.81640625" style="17" customWidth="1"/>
    <col min="7663" max="7663" width="15.54296875" style="17" customWidth="1"/>
    <col min="7664" max="7664" width="13" style="17" customWidth="1"/>
    <col min="7665" max="7665" width="14.1796875" style="17" customWidth="1"/>
    <col min="7666" max="7666" width="15.81640625" style="17" customWidth="1"/>
    <col min="7667" max="7667" width="9.1796875" style="17"/>
    <col min="7668" max="7668" width="15.54296875" style="17" customWidth="1"/>
    <col min="7669" max="7669" width="13" style="17" customWidth="1"/>
    <col min="7670" max="7670" width="14.1796875" style="17" customWidth="1"/>
    <col min="7671" max="7671" width="15.81640625" style="17" customWidth="1"/>
    <col min="7672" max="7672" width="9.1796875" style="17"/>
    <col min="7673" max="7673" width="16" style="17" customWidth="1"/>
    <col min="7674" max="7674" width="13" style="17" customWidth="1"/>
    <col min="7675" max="7675" width="14.1796875" style="17" customWidth="1"/>
    <col min="7676" max="7676" width="13" style="17" customWidth="1"/>
    <col min="7677" max="7677" width="14.1796875" style="17" customWidth="1"/>
    <col min="7678" max="7678" width="13" style="17" customWidth="1"/>
    <col min="7679" max="7679" width="14.1796875" style="17" customWidth="1"/>
    <col min="7680" max="7680" width="13" style="17" customWidth="1"/>
    <col min="7681" max="7681" width="14.1796875" style="17" customWidth="1"/>
    <col min="7682" max="7682" width="13" style="17" customWidth="1"/>
    <col min="7683" max="7683" width="14.1796875" style="17" customWidth="1"/>
    <col min="7684" max="7685" width="13" style="17" customWidth="1"/>
    <col min="7686" max="7686" width="14.90625" style="17" bestFit="1" customWidth="1"/>
    <col min="7687" max="7687" width="13" style="17" customWidth="1"/>
    <col min="7688" max="7688" width="14.1796875" style="17" customWidth="1"/>
    <col min="7689" max="7689" width="13" style="17" customWidth="1"/>
    <col min="7690" max="7690" width="8.81640625" style="17" customWidth="1"/>
    <col min="7691" max="7691" width="14.1796875" style="17" customWidth="1"/>
    <col min="7692" max="7692" width="13" style="17" customWidth="1"/>
    <col min="7693" max="7693" width="14.1796875" style="17" customWidth="1"/>
    <col min="7694" max="7694" width="13" style="17" customWidth="1"/>
    <col min="7695" max="7695" width="14.1796875" style="17" customWidth="1"/>
    <col min="7696" max="7696" width="13" style="17" customWidth="1"/>
    <col min="7697" max="7697" width="14.1796875" style="17" customWidth="1"/>
    <col min="7698" max="7702" width="13" style="17" customWidth="1"/>
    <col min="7703" max="7703" width="16.81640625" style="17" customWidth="1"/>
    <col min="7704" max="7704" width="14.1796875" style="17" customWidth="1"/>
    <col min="7705" max="7705" width="13" style="17" customWidth="1"/>
    <col min="7706" max="7706" width="14.1796875" style="17" customWidth="1"/>
    <col min="7707" max="7708" width="13.36328125" style="17" customWidth="1"/>
    <col min="7709" max="7709" width="15.6328125" style="17" customWidth="1"/>
    <col min="7710" max="7710" width="14.36328125" style="17" customWidth="1"/>
    <col min="7711" max="7711" width="16" style="17" bestFit="1" customWidth="1"/>
    <col min="7712" max="7712" width="14.1796875" style="17" customWidth="1"/>
    <col min="7713" max="7713" width="13" style="17" customWidth="1"/>
    <col min="7714" max="7714" width="14.1796875" style="17" customWidth="1"/>
    <col min="7715" max="7715" width="13.36328125" style="17" customWidth="1"/>
    <col min="7716" max="7716" width="13.81640625" style="17" bestFit="1" customWidth="1"/>
    <col min="7717" max="7717" width="14.1796875" style="17" bestFit="1" customWidth="1"/>
    <col min="7718" max="7718" width="13.81640625" style="17" bestFit="1" customWidth="1"/>
    <col min="7719" max="7874" width="9.1796875" style="17"/>
    <col min="7875" max="7875" width="3.81640625" style="17" bestFit="1" customWidth="1"/>
    <col min="7876" max="7876" width="39.54296875" style="17" customWidth="1"/>
    <col min="7877" max="7877" width="16" style="17" customWidth="1"/>
    <col min="7878" max="7878" width="13" style="17" customWidth="1"/>
    <col min="7879" max="7879" width="16" style="17" customWidth="1"/>
    <col min="7880" max="7880" width="13" style="17" customWidth="1"/>
    <col min="7881" max="7881" width="14.1796875" style="17" customWidth="1"/>
    <col min="7882" max="7882" width="13" style="17" customWidth="1"/>
    <col min="7883" max="7883" width="14.90625" style="17" customWidth="1"/>
    <col min="7884" max="7884" width="13" style="17" customWidth="1"/>
    <col min="7885" max="7885" width="15.54296875" style="17" customWidth="1"/>
    <col min="7886" max="7886" width="13" style="17" customWidth="1"/>
    <col min="7887" max="7887" width="14.1796875" style="17" customWidth="1"/>
    <col min="7888" max="7888" width="13" style="17" customWidth="1"/>
    <col min="7889" max="7889" width="14.1796875" style="17" customWidth="1"/>
    <col min="7890" max="7890" width="13" style="17" customWidth="1"/>
    <col min="7891" max="7891" width="14.90625" style="17" customWidth="1"/>
    <col min="7892" max="7892" width="13" style="17" customWidth="1"/>
    <col min="7893" max="7893" width="15.54296875" style="17" customWidth="1"/>
    <col min="7894" max="7894" width="13" style="17" customWidth="1"/>
    <col min="7895" max="7895" width="14.1796875" style="17" customWidth="1"/>
    <col min="7896" max="7896" width="13" style="17" customWidth="1"/>
    <col min="7897" max="7897" width="15.54296875" style="17" customWidth="1"/>
    <col min="7898" max="7898" width="15.81640625" style="17" customWidth="1"/>
    <col min="7899" max="7899" width="14.1796875" style="17" customWidth="1"/>
    <col min="7900" max="7900" width="15.81640625" style="17" customWidth="1"/>
    <col min="7901" max="7901" width="15.54296875" style="17" customWidth="1"/>
    <col min="7902" max="7902" width="13" style="17" customWidth="1"/>
    <col min="7903" max="7903" width="14.1796875" style="17" customWidth="1"/>
    <col min="7904" max="7904" width="15.81640625" style="17" customWidth="1"/>
    <col min="7905" max="7905" width="16.453125" style="17" customWidth="1"/>
    <col min="7906" max="7906" width="15.54296875" style="17" customWidth="1"/>
    <col min="7907" max="7907" width="13" style="17" customWidth="1"/>
    <col min="7908" max="7908" width="16" style="17" customWidth="1"/>
    <col min="7909" max="7909" width="13" style="17" customWidth="1"/>
    <col min="7910" max="7910" width="11.08984375" style="17" customWidth="1"/>
    <col min="7911" max="7911" width="15.54296875" style="17" customWidth="1"/>
    <col min="7912" max="7912" width="13" style="17" customWidth="1"/>
    <col min="7913" max="7913" width="14.1796875" style="17" customWidth="1"/>
    <col min="7914" max="7914" width="15.81640625" style="17" customWidth="1"/>
    <col min="7915" max="7915" width="15.54296875" style="17" customWidth="1"/>
    <col min="7916" max="7916" width="13" style="17" customWidth="1"/>
    <col min="7917" max="7917" width="14.1796875" style="17" customWidth="1"/>
    <col min="7918" max="7918" width="15.81640625" style="17" customWidth="1"/>
    <col min="7919" max="7919" width="15.54296875" style="17" customWidth="1"/>
    <col min="7920" max="7920" width="13" style="17" customWidth="1"/>
    <col min="7921" max="7921" width="14.1796875" style="17" customWidth="1"/>
    <col min="7922" max="7922" width="15.81640625" style="17" customWidth="1"/>
    <col min="7923" max="7923" width="9.1796875" style="17"/>
    <col min="7924" max="7924" width="15.54296875" style="17" customWidth="1"/>
    <col min="7925" max="7925" width="13" style="17" customWidth="1"/>
    <col min="7926" max="7926" width="14.1796875" style="17" customWidth="1"/>
    <col min="7927" max="7927" width="15.81640625" style="17" customWidth="1"/>
    <col min="7928" max="7928" width="9.1796875" style="17"/>
    <col min="7929" max="7929" width="16" style="17" customWidth="1"/>
    <col min="7930" max="7930" width="13" style="17" customWidth="1"/>
    <col min="7931" max="7931" width="14.1796875" style="17" customWidth="1"/>
    <col min="7932" max="7932" width="13" style="17" customWidth="1"/>
    <col min="7933" max="7933" width="14.1796875" style="17" customWidth="1"/>
    <col min="7934" max="7934" width="13" style="17" customWidth="1"/>
    <col min="7935" max="7935" width="14.1796875" style="17" customWidth="1"/>
    <col min="7936" max="7936" width="13" style="17" customWidth="1"/>
    <col min="7937" max="7937" width="14.1796875" style="17" customWidth="1"/>
    <col min="7938" max="7938" width="13" style="17" customWidth="1"/>
    <col min="7939" max="7939" width="14.1796875" style="17" customWidth="1"/>
    <col min="7940" max="7941" width="13" style="17" customWidth="1"/>
    <col min="7942" max="7942" width="14.90625" style="17" bestFit="1" customWidth="1"/>
    <col min="7943" max="7943" width="13" style="17" customWidth="1"/>
    <col min="7944" max="7944" width="14.1796875" style="17" customWidth="1"/>
    <col min="7945" max="7945" width="13" style="17" customWidth="1"/>
    <col min="7946" max="7946" width="8.81640625" style="17" customWidth="1"/>
    <col min="7947" max="7947" width="14.1796875" style="17" customWidth="1"/>
    <col min="7948" max="7948" width="13" style="17" customWidth="1"/>
    <col min="7949" max="7949" width="14.1796875" style="17" customWidth="1"/>
    <col min="7950" max="7950" width="13" style="17" customWidth="1"/>
    <col min="7951" max="7951" width="14.1796875" style="17" customWidth="1"/>
    <col min="7952" max="7952" width="13" style="17" customWidth="1"/>
    <col min="7953" max="7953" width="14.1796875" style="17" customWidth="1"/>
    <col min="7954" max="7958" width="13" style="17" customWidth="1"/>
    <col min="7959" max="7959" width="16.81640625" style="17" customWidth="1"/>
    <col min="7960" max="7960" width="14.1796875" style="17" customWidth="1"/>
    <col min="7961" max="7961" width="13" style="17" customWidth="1"/>
    <col min="7962" max="7962" width="14.1796875" style="17" customWidth="1"/>
    <col min="7963" max="7964" width="13.36328125" style="17" customWidth="1"/>
    <col min="7965" max="7965" width="15.6328125" style="17" customWidth="1"/>
    <col min="7966" max="7966" width="14.36328125" style="17" customWidth="1"/>
    <col min="7967" max="7967" width="16" style="17" bestFit="1" customWidth="1"/>
    <col min="7968" max="7968" width="14.1796875" style="17" customWidth="1"/>
    <col min="7969" max="7969" width="13" style="17" customWidth="1"/>
    <col min="7970" max="7970" width="14.1796875" style="17" customWidth="1"/>
    <col min="7971" max="7971" width="13.36328125" style="17" customWidth="1"/>
    <col min="7972" max="7972" width="13.81640625" style="17" bestFit="1" customWidth="1"/>
    <col min="7973" max="7973" width="14.1796875" style="17" bestFit="1" customWidth="1"/>
    <col min="7974" max="7974" width="13.81640625" style="17" bestFit="1" customWidth="1"/>
    <col min="7975" max="8130" width="9.1796875" style="17"/>
    <col min="8131" max="8131" width="3.81640625" style="17" bestFit="1" customWidth="1"/>
    <col min="8132" max="8132" width="39.54296875" style="17" customWidth="1"/>
    <col min="8133" max="8133" width="16" style="17" customWidth="1"/>
    <col min="8134" max="8134" width="13" style="17" customWidth="1"/>
    <col min="8135" max="8135" width="16" style="17" customWidth="1"/>
    <col min="8136" max="8136" width="13" style="17" customWidth="1"/>
    <col min="8137" max="8137" width="14.1796875" style="17" customWidth="1"/>
    <col min="8138" max="8138" width="13" style="17" customWidth="1"/>
    <col min="8139" max="8139" width="14.90625" style="17" customWidth="1"/>
    <col min="8140" max="8140" width="13" style="17" customWidth="1"/>
    <col min="8141" max="8141" width="15.54296875" style="17" customWidth="1"/>
    <col min="8142" max="8142" width="13" style="17" customWidth="1"/>
    <col min="8143" max="8143" width="14.1796875" style="17" customWidth="1"/>
    <col min="8144" max="8144" width="13" style="17" customWidth="1"/>
    <col min="8145" max="8145" width="14.1796875" style="17" customWidth="1"/>
    <col min="8146" max="8146" width="13" style="17" customWidth="1"/>
    <col min="8147" max="8147" width="14.90625" style="17" customWidth="1"/>
    <col min="8148" max="8148" width="13" style="17" customWidth="1"/>
    <col min="8149" max="8149" width="15.54296875" style="17" customWidth="1"/>
    <col min="8150" max="8150" width="13" style="17" customWidth="1"/>
    <col min="8151" max="8151" width="14.1796875" style="17" customWidth="1"/>
    <col min="8152" max="8152" width="13" style="17" customWidth="1"/>
    <col min="8153" max="8153" width="15.54296875" style="17" customWidth="1"/>
    <col min="8154" max="8154" width="15.81640625" style="17" customWidth="1"/>
    <col min="8155" max="8155" width="14.1796875" style="17" customWidth="1"/>
    <col min="8156" max="8156" width="15.81640625" style="17" customWidth="1"/>
    <col min="8157" max="8157" width="15.54296875" style="17" customWidth="1"/>
    <col min="8158" max="8158" width="13" style="17" customWidth="1"/>
    <col min="8159" max="8159" width="14.1796875" style="17" customWidth="1"/>
    <col min="8160" max="8160" width="15.81640625" style="17" customWidth="1"/>
    <col min="8161" max="8161" width="16.453125" style="17" customWidth="1"/>
    <col min="8162" max="8162" width="15.54296875" style="17" customWidth="1"/>
    <col min="8163" max="8163" width="13" style="17" customWidth="1"/>
    <col min="8164" max="8164" width="16" style="17" customWidth="1"/>
    <col min="8165" max="8165" width="13" style="17" customWidth="1"/>
    <col min="8166" max="8166" width="11.08984375" style="17" customWidth="1"/>
    <col min="8167" max="8167" width="15.54296875" style="17" customWidth="1"/>
    <col min="8168" max="8168" width="13" style="17" customWidth="1"/>
    <col min="8169" max="8169" width="14.1796875" style="17" customWidth="1"/>
    <col min="8170" max="8170" width="15.81640625" style="17" customWidth="1"/>
    <col min="8171" max="8171" width="15.54296875" style="17" customWidth="1"/>
    <col min="8172" max="8172" width="13" style="17" customWidth="1"/>
    <col min="8173" max="8173" width="14.1796875" style="17" customWidth="1"/>
    <col min="8174" max="8174" width="15.81640625" style="17" customWidth="1"/>
    <col min="8175" max="8175" width="15.54296875" style="17" customWidth="1"/>
    <col min="8176" max="8176" width="13" style="17" customWidth="1"/>
    <col min="8177" max="8177" width="14.1796875" style="17" customWidth="1"/>
    <col min="8178" max="8178" width="15.81640625" style="17" customWidth="1"/>
    <col min="8179" max="8179" width="9.1796875" style="17"/>
    <col min="8180" max="8180" width="15.54296875" style="17" customWidth="1"/>
    <col min="8181" max="8181" width="13" style="17" customWidth="1"/>
    <col min="8182" max="8182" width="14.1796875" style="17" customWidth="1"/>
    <col min="8183" max="8183" width="15.81640625" style="17" customWidth="1"/>
    <col min="8184" max="8184" width="9.1796875" style="17"/>
    <col min="8185" max="8185" width="16" style="17" customWidth="1"/>
    <col min="8186" max="8186" width="13" style="17" customWidth="1"/>
    <col min="8187" max="8187" width="14.1796875" style="17" customWidth="1"/>
    <col min="8188" max="8188" width="13" style="17" customWidth="1"/>
    <col min="8189" max="8189" width="14.1796875" style="17" customWidth="1"/>
    <col min="8190" max="8190" width="13" style="17" customWidth="1"/>
    <col min="8191" max="8191" width="14.1796875" style="17" customWidth="1"/>
    <col min="8192" max="8192" width="13" style="17" customWidth="1"/>
    <col min="8193" max="8193" width="14.1796875" style="17" customWidth="1"/>
    <col min="8194" max="8194" width="13" style="17" customWidth="1"/>
    <col min="8195" max="8195" width="14.1796875" style="17" customWidth="1"/>
    <col min="8196" max="8197" width="13" style="17" customWidth="1"/>
    <col min="8198" max="8198" width="14.90625" style="17" bestFit="1" customWidth="1"/>
    <col min="8199" max="8199" width="13" style="17" customWidth="1"/>
    <col min="8200" max="8200" width="14.1796875" style="17" customWidth="1"/>
    <col min="8201" max="8201" width="13" style="17" customWidth="1"/>
    <col min="8202" max="8202" width="8.81640625" style="17" customWidth="1"/>
    <col min="8203" max="8203" width="14.1796875" style="17" customWidth="1"/>
    <col min="8204" max="8204" width="13" style="17" customWidth="1"/>
    <col min="8205" max="8205" width="14.1796875" style="17" customWidth="1"/>
    <col min="8206" max="8206" width="13" style="17" customWidth="1"/>
    <col min="8207" max="8207" width="14.1796875" style="17" customWidth="1"/>
    <col min="8208" max="8208" width="13" style="17" customWidth="1"/>
    <col min="8209" max="8209" width="14.1796875" style="17" customWidth="1"/>
    <col min="8210" max="8214" width="13" style="17" customWidth="1"/>
    <col min="8215" max="8215" width="16.81640625" style="17" customWidth="1"/>
    <col min="8216" max="8216" width="14.1796875" style="17" customWidth="1"/>
    <col min="8217" max="8217" width="13" style="17" customWidth="1"/>
    <col min="8218" max="8218" width="14.1796875" style="17" customWidth="1"/>
    <col min="8219" max="8220" width="13.36328125" style="17" customWidth="1"/>
    <col min="8221" max="8221" width="15.6328125" style="17" customWidth="1"/>
    <col min="8222" max="8222" width="14.36328125" style="17" customWidth="1"/>
    <col min="8223" max="8223" width="16" style="17" bestFit="1" customWidth="1"/>
    <col min="8224" max="8224" width="14.1796875" style="17" customWidth="1"/>
    <col min="8225" max="8225" width="13" style="17" customWidth="1"/>
    <col min="8226" max="8226" width="14.1796875" style="17" customWidth="1"/>
    <col min="8227" max="8227" width="13.36328125" style="17" customWidth="1"/>
    <col min="8228" max="8228" width="13.81640625" style="17" bestFit="1" customWidth="1"/>
    <col min="8229" max="8229" width="14.1796875" style="17" bestFit="1" customWidth="1"/>
    <col min="8230" max="8230" width="13.81640625" style="17" bestFit="1" customWidth="1"/>
    <col min="8231" max="8386" width="9.1796875" style="17"/>
    <col min="8387" max="8387" width="3.81640625" style="17" bestFit="1" customWidth="1"/>
    <col min="8388" max="8388" width="39.54296875" style="17" customWidth="1"/>
    <col min="8389" max="8389" width="16" style="17" customWidth="1"/>
    <col min="8390" max="8390" width="13" style="17" customWidth="1"/>
    <col min="8391" max="8391" width="16" style="17" customWidth="1"/>
    <col min="8392" max="8392" width="13" style="17" customWidth="1"/>
    <col min="8393" max="8393" width="14.1796875" style="17" customWidth="1"/>
    <col min="8394" max="8394" width="13" style="17" customWidth="1"/>
    <col min="8395" max="8395" width="14.90625" style="17" customWidth="1"/>
    <col min="8396" max="8396" width="13" style="17" customWidth="1"/>
    <col min="8397" max="8397" width="15.54296875" style="17" customWidth="1"/>
    <col min="8398" max="8398" width="13" style="17" customWidth="1"/>
    <col min="8399" max="8399" width="14.1796875" style="17" customWidth="1"/>
    <col min="8400" max="8400" width="13" style="17" customWidth="1"/>
    <col min="8401" max="8401" width="14.1796875" style="17" customWidth="1"/>
    <col min="8402" max="8402" width="13" style="17" customWidth="1"/>
    <col min="8403" max="8403" width="14.90625" style="17" customWidth="1"/>
    <col min="8404" max="8404" width="13" style="17" customWidth="1"/>
    <col min="8405" max="8405" width="15.54296875" style="17" customWidth="1"/>
    <col min="8406" max="8406" width="13" style="17" customWidth="1"/>
    <col min="8407" max="8407" width="14.1796875" style="17" customWidth="1"/>
    <col min="8408" max="8408" width="13" style="17" customWidth="1"/>
    <col min="8409" max="8409" width="15.54296875" style="17" customWidth="1"/>
    <col min="8410" max="8410" width="15.81640625" style="17" customWidth="1"/>
    <col min="8411" max="8411" width="14.1796875" style="17" customWidth="1"/>
    <col min="8412" max="8412" width="15.81640625" style="17" customWidth="1"/>
    <col min="8413" max="8413" width="15.54296875" style="17" customWidth="1"/>
    <col min="8414" max="8414" width="13" style="17" customWidth="1"/>
    <col min="8415" max="8415" width="14.1796875" style="17" customWidth="1"/>
    <col min="8416" max="8416" width="15.81640625" style="17" customWidth="1"/>
    <col min="8417" max="8417" width="16.453125" style="17" customWidth="1"/>
    <col min="8418" max="8418" width="15.54296875" style="17" customWidth="1"/>
    <col min="8419" max="8419" width="13" style="17" customWidth="1"/>
    <col min="8420" max="8420" width="16" style="17" customWidth="1"/>
    <col min="8421" max="8421" width="13" style="17" customWidth="1"/>
    <col min="8422" max="8422" width="11.08984375" style="17" customWidth="1"/>
    <col min="8423" max="8423" width="15.54296875" style="17" customWidth="1"/>
    <col min="8424" max="8424" width="13" style="17" customWidth="1"/>
    <col min="8425" max="8425" width="14.1796875" style="17" customWidth="1"/>
    <col min="8426" max="8426" width="15.81640625" style="17" customWidth="1"/>
    <col min="8427" max="8427" width="15.54296875" style="17" customWidth="1"/>
    <col min="8428" max="8428" width="13" style="17" customWidth="1"/>
    <col min="8429" max="8429" width="14.1796875" style="17" customWidth="1"/>
    <col min="8430" max="8430" width="15.81640625" style="17" customWidth="1"/>
    <col min="8431" max="8431" width="15.54296875" style="17" customWidth="1"/>
    <col min="8432" max="8432" width="13" style="17" customWidth="1"/>
    <col min="8433" max="8433" width="14.1796875" style="17" customWidth="1"/>
    <col min="8434" max="8434" width="15.81640625" style="17" customWidth="1"/>
    <col min="8435" max="8435" width="9.1796875" style="17"/>
    <col min="8436" max="8436" width="15.54296875" style="17" customWidth="1"/>
    <col min="8437" max="8437" width="13" style="17" customWidth="1"/>
    <col min="8438" max="8438" width="14.1796875" style="17" customWidth="1"/>
    <col min="8439" max="8439" width="15.81640625" style="17" customWidth="1"/>
    <col min="8440" max="8440" width="9.1796875" style="17"/>
    <col min="8441" max="8441" width="16" style="17" customWidth="1"/>
    <col min="8442" max="8442" width="13" style="17" customWidth="1"/>
    <col min="8443" max="8443" width="14.1796875" style="17" customWidth="1"/>
    <col min="8444" max="8444" width="13" style="17" customWidth="1"/>
    <col min="8445" max="8445" width="14.1796875" style="17" customWidth="1"/>
    <col min="8446" max="8446" width="13" style="17" customWidth="1"/>
    <col min="8447" max="8447" width="14.1796875" style="17" customWidth="1"/>
    <col min="8448" max="8448" width="13" style="17" customWidth="1"/>
    <col min="8449" max="8449" width="14.1796875" style="17" customWidth="1"/>
    <col min="8450" max="8450" width="13" style="17" customWidth="1"/>
    <col min="8451" max="8451" width="14.1796875" style="17" customWidth="1"/>
    <col min="8452" max="8453" width="13" style="17" customWidth="1"/>
    <col min="8454" max="8454" width="14.90625" style="17" bestFit="1" customWidth="1"/>
    <col min="8455" max="8455" width="13" style="17" customWidth="1"/>
    <col min="8456" max="8456" width="14.1796875" style="17" customWidth="1"/>
    <col min="8457" max="8457" width="13" style="17" customWidth="1"/>
    <col min="8458" max="8458" width="8.81640625" style="17" customWidth="1"/>
    <col min="8459" max="8459" width="14.1796875" style="17" customWidth="1"/>
    <col min="8460" max="8460" width="13" style="17" customWidth="1"/>
    <col min="8461" max="8461" width="14.1796875" style="17" customWidth="1"/>
    <col min="8462" max="8462" width="13" style="17" customWidth="1"/>
    <col min="8463" max="8463" width="14.1796875" style="17" customWidth="1"/>
    <col min="8464" max="8464" width="13" style="17" customWidth="1"/>
    <col min="8465" max="8465" width="14.1796875" style="17" customWidth="1"/>
    <col min="8466" max="8470" width="13" style="17" customWidth="1"/>
    <col min="8471" max="8471" width="16.81640625" style="17" customWidth="1"/>
    <col min="8472" max="8472" width="14.1796875" style="17" customWidth="1"/>
    <col min="8473" max="8473" width="13" style="17" customWidth="1"/>
    <col min="8474" max="8474" width="14.1796875" style="17" customWidth="1"/>
    <col min="8475" max="8476" width="13.36328125" style="17" customWidth="1"/>
    <col min="8477" max="8477" width="15.6328125" style="17" customWidth="1"/>
    <col min="8478" max="8478" width="14.36328125" style="17" customWidth="1"/>
    <col min="8479" max="8479" width="16" style="17" bestFit="1" customWidth="1"/>
    <col min="8480" max="8480" width="14.1796875" style="17" customWidth="1"/>
    <col min="8481" max="8481" width="13" style="17" customWidth="1"/>
    <col min="8482" max="8482" width="14.1796875" style="17" customWidth="1"/>
    <col min="8483" max="8483" width="13.36328125" style="17" customWidth="1"/>
    <col min="8484" max="8484" width="13.81640625" style="17" bestFit="1" customWidth="1"/>
    <col min="8485" max="8485" width="14.1796875" style="17" bestFit="1" customWidth="1"/>
    <col min="8486" max="8486" width="13.81640625" style="17" bestFit="1" customWidth="1"/>
    <col min="8487" max="8642" width="9.1796875" style="17"/>
    <col min="8643" max="8643" width="3.81640625" style="17" bestFit="1" customWidth="1"/>
    <col min="8644" max="8644" width="39.54296875" style="17" customWidth="1"/>
    <col min="8645" max="8645" width="16" style="17" customWidth="1"/>
    <col min="8646" max="8646" width="13" style="17" customWidth="1"/>
    <col min="8647" max="8647" width="16" style="17" customWidth="1"/>
    <col min="8648" max="8648" width="13" style="17" customWidth="1"/>
    <col min="8649" max="8649" width="14.1796875" style="17" customWidth="1"/>
    <col min="8650" max="8650" width="13" style="17" customWidth="1"/>
    <col min="8651" max="8651" width="14.90625" style="17" customWidth="1"/>
    <col min="8652" max="8652" width="13" style="17" customWidth="1"/>
    <col min="8653" max="8653" width="15.54296875" style="17" customWidth="1"/>
    <col min="8654" max="8654" width="13" style="17" customWidth="1"/>
    <col min="8655" max="8655" width="14.1796875" style="17" customWidth="1"/>
    <col min="8656" max="8656" width="13" style="17" customWidth="1"/>
    <col min="8657" max="8657" width="14.1796875" style="17" customWidth="1"/>
    <col min="8658" max="8658" width="13" style="17" customWidth="1"/>
    <col min="8659" max="8659" width="14.90625" style="17" customWidth="1"/>
    <col min="8660" max="8660" width="13" style="17" customWidth="1"/>
    <col min="8661" max="8661" width="15.54296875" style="17" customWidth="1"/>
    <col min="8662" max="8662" width="13" style="17" customWidth="1"/>
    <col min="8663" max="8663" width="14.1796875" style="17" customWidth="1"/>
    <col min="8664" max="8664" width="13" style="17" customWidth="1"/>
    <col min="8665" max="8665" width="15.54296875" style="17" customWidth="1"/>
    <col min="8666" max="8666" width="15.81640625" style="17" customWidth="1"/>
    <col min="8667" max="8667" width="14.1796875" style="17" customWidth="1"/>
    <col min="8668" max="8668" width="15.81640625" style="17" customWidth="1"/>
    <col min="8669" max="8669" width="15.54296875" style="17" customWidth="1"/>
    <col min="8670" max="8670" width="13" style="17" customWidth="1"/>
    <col min="8671" max="8671" width="14.1796875" style="17" customWidth="1"/>
    <col min="8672" max="8672" width="15.81640625" style="17" customWidth="1"/>
    <col min="8673" max="8673" width="16.453125" style="17" customWidth="1"/>
    <col min="8674" max="8674" width="15.54296875" style="17" customWidth="1"/>
    <col min="8675" max="8675" width="13" style="17" customWidth="1"/>
    <col min="8676" max="8676" width="16" style="17" customWidth="1"/>
    <col min="8677" max="8677" width="13" style="17" customWidth="1"/>
    <col min="8678" max="8678" width="11.08984375" style="17" customWidth="1"/>
    <col min="8679" max="8679" width="15.54296875" style="17" customWidth="1"/>
    <col min="8680" max="8680" width="13" style="17" customWidth="1"/>
    <col min="8681" max="8681" width="14.1796875" style="17" customWidth="1"/>
    <col min="8682" max="8682" width="15.81640625" style="17" customWidth="1"/>
    <col min="8683" max="8683" width="15.54296875" style="17" customWidth="1"/>
    <col min="8684" max="8684" width="13" style="17" customWidth="1"/>
    <col min="8685" max="8685" width="14.1796875" style="17" customWidth="1"/>
    <col min="8686" max="8686" width="15.81640625" style="17" customWidth="1"/>
    <col min="8687" max="8687" width="15.54296875" style="17" customWidth="1"/>
    <col min="8688" max="8688" width="13" style="17" customWidth="1"/>
    <col min="8689" max="8689" width="14.1796875" style="17" customWidth="1"/>
    <col min="8690" max="8690" width="15.81640625" style="17" customWidth="1"/>
    <col min="8691" max="8691" width="9.1796875" style="17"/>
    <col min="8692" max="8692" width="15.54296875" style="17" customWidth="1"/>
    <col min="8693" max="8693" width="13" style="17" customWidth="1"/>
    <col min="8694" max="8694" width="14.1796875" style="17" customWidth="1"/>
    <col min="8695" max="8695" width="15.81640625" style="17" customWidth="1"/>
    <col min="8696" max="8696" width="9.1796875" style="17"/>
    <col min="8697" max="8697" width="16" style="17" customWidth="1"/>
    <col min="8698" max="8698" width="13" style="17" customWidth="1"/>
    <col min="8699" max="8699" width="14.1796875" style="17" customWidth="1"/>
    <col min="8700" max="8700" width="13" style="17" customWidth="1"/>
    <col min="8701" max="8701" width="14.1796875" style="17" customWidth="1"/>
    <col min="8702" max="8702" width="13" style="17" customWidth="1"/>
    <col min="8703" max="8703" width="14.1796875" style="17" customWidth="1"/>
    <col min="8704" max="8704" width="13" style="17" customWidth="1"/>
    <col min="8705" max="8705" width="14.1796875" style="17" customWidth="1"/>
    <col min="8706" max="8706" width="13" style="17" customWidth="1"/>
    <col min="8707" max="8707" width="14.1796875" style="17" customWidth="1"/>
    <col min="8708" max="8709" width="13" style="17" customWidth="1"/>
    <col min="8710" max="8710" width="14.90625" style="17" bestFit="1" customWidth="1"/>
    <col min="8711" max="8711" width="13" style="17" customWidth="1"/>
    <col min="8712" max="8712" width="14.1796875" style="17" customWidth="1"/>
    <col min="8713" max="8713" width="13" style="17" customWidth="1"/>
    <col min="8714" max="8714" width="8.81640625" style="17" customWidth="1"/>
    <col min="8715" max="8715" width="14.1796875" style="17" customWidth="1"/>
    <col min="8716" max="8716" width="13" style="17" customWidth="1"/>
    <col min="8717" max="8717" width="14.1796875" style="17" customWidth="1"/>
    <col min="8718" max="8718" width="13" style="17" customWidth="1"/>
    <col min="8719" max="8719" width="14.1796875" style="17" customWidth="1"/>
    <col min="8720" max="8720" width="13" style="17" customWidth="1"/>
    <col min="8721" max="8721" width="14.1796875" style="17" customWidth="1"/>
    <col min="8722" max="8726" width="13" style="17" customWidth="1"/>
    <col min="8727" max="8727" width="16.81640625" style="17" customWidth="1"/>
    <col min="8728" max="8728" width="14.1796875" style="17" customWidth="1"/>
    <col min="8729" max="8729" width="13" style="17" customWidth="1"/>
    <col min="8730" max="8730" width="14.1796875" style="17" customWidth="1"/>
    <col min="8731" max="8732" width="13.36328125" style="17" customWidth="1"/>
    <col min="8733" max="8733" width="15.6328125" style="17" customWidth="1"/>
    <col min="8734" max="8734" width="14.36328125" style="17" customWidth="1"/>
    <col min="8735" max="8735" width="16" style="17" bestFit="1" customWidth="1"/>
    <col min="8736" max="8736" width="14.1796875" style="17" customWidth="1"/>
    <col min="8737" max="8737" width="13" style="17" customWidth="1"/>
    <col min="8738" max="8738" width="14.1796875" style="17" customWidth="1"/>
    <col min="8739" max="8739" width="13.36328125" style="17" customWidth="1"/>
    <col min="8740" max="8740" width="13.81640625" style="17" bestFit="1" customWidth="1"/>
    <col min="8741" max="8741" width="14.1796875" style="17" bestFit="1" customWidth="1"/>
    <col min="8742" max="8742" width="13.81640625" style="17" bestFit="1" customWidth="1"/>
    <col min="8743" max="8898" width="9.1796875" style="17"/>
    <col min="8899" max="8899" width="3.81640625" style="17" bestFit="1" customWidth="1"/>
    <col min="8900" max="8900" width="39.54296875" style="17" customWidth="1"/>
    <col min="8901" max="8901" width="16" style="17" customWidth="1"/>
    <col min="8902" max="8902" width="13" style="17" customWidth="1"/>
    <col min="8903" max="8903" width="16" style="17" customWidth="1"/>
    <col min="8904" max="8904" width="13" style="17" customWidth="1"/>
    <col min="8905" max="8905" width="14.1796875" style="17" customWidth="1"/>
    <col min="8906" max="8906" width="13" style="17" customWidth="1"/>
    <col min="8907" max="8907" width="14.90625" style="17" customWidth="1"/>
    <col min="8908" max="8908" width="13" style="17" customWidth="1"/>
    <col min="8909" max="8909" width="15.54296875" style="17" customWidth="1"/>
    <col min="8910" max="8910" width="13" style="17" customWidth="1"/>
    <col min="8911" max="8911" width="14.1796875" style="17" customWidth="1"/>
    <col min="8912" max="8912" width="13" style="17" customWidth="1"/>
    <col min="8913" max="8913" width="14.1796875" style="17" customWidth="1"/>
    <col min="8914" max="8914" width="13" style="17" customWidth="1"/>
    <col min="8915" max="8915" width="14.90625" style="17" customWidth="1"/>
    <col min="8916" max="8916" width="13" style="17" customWidth="1"/>
    <col min="8917" max="8917" width="15.54296875" style="17" customWidth="1"/>
    <col min="8918" max="8918" width="13" style="17" customWidth="1"/>
    <col min="8919" max="8919" width="14.1796875" style="17" customWidth="1"/>
    <col min="8920" max="8920" width="13" style="17" customWidth="1"/>
    <col min="8921" max="8921" width="15.54296875" style="17" customWidth="1"/>
    <col min="8922" max="8922" width="15.81640625" style="17" customWidth="1"/>
    <col min="8923" max="8923" width="14.1796875" style="17" customWidth="1"/>
    <col min="8924" max="8924" width="15.81640625" style="17" customWidth="1"/>
    <col min="8925" max="8925" width="15.54296875" style="17" customWidth="1"/>
    <col min="8926" max="8926" width="13" style="17" customWidth="1"/>
    <col min="8927" max="8927" width="14.1796875" style="17" customWidth="1"/>
    <col min="8928" max="8928" width="15.81640625" style="17" customWidth="1"/>
    <col min="8929" max="8929" width="16.453125" style="17" customWidth="1"/>
    <col min="8930" max="8930" width="15.54296875" style="17" customWidth="1"/>
    <col min="8931" max="8931" width="13" style="17" customWidth="1"/>
    <col min="8932" max="8932" width="16" style="17" customWidth="1"/>
    <col min="8933" max="8933" width="13" style="17" customWidth="1"/>
    <col min="8934" max="8934" width="11.08984375" style="17" customWidth="1"/>
    <col min="8935" max="8935" width="15.54296875" style="17" customWidth="1"/>
    <col min="8936" max="8936" width="13" style="17" customWidth="1"/>
    <col min="8937" max="8937" width="14.1796875" style="17" customWidth="1"/>
    <col min="8938" max="8938" width="15.81640625" style="17" customWidth="1"/>
    <col min="8939" max="8939" width="15.54296875" style="17" customWidth="1"/>
    <col min="8940" max="8940" width="13" style="17" customWidth="1"/>
    <col min="8941" max="8941" width="14.1796875" style="17" customWidth="1"/>
    <col min="8942" max="8942" width="15.81640625" style="17" customWidth="1"/>
    <col min="8943" max="8943" width="15.54296875" style="17" customWidth="1"/>
    <col min="8944" max="8944" width="13" style="17" customWidth="1"/>
    <col min="8945" max="8945" width="14.1796875" style="17" customWidth="1"/>
    <col min="8946" max="8946" width="15.81640625" style="17" customWidth="1"/>
    <col min="8947" max="8947" width="9.1796875" style="17"/>
    <col min="8948" max="8948" width="15.54296875" style="17" customWidth="1"/>
    <col min="8949" max="8949" width="13" style="17" customWidth="1"/>
    <col min="8950" max="8950" width="14.1796875" style="17" customWidth="1"/>
    <col min="8951" max="8951" width="15.81640625" style="17" customWidth="1"/>
    <col min="8952" max="8952" width="9.1796875" style="17"/>
    <col min="8953" max="8953" width="16" style="17" customWidth="1"/>
    <col min="8954" max="8954" width="13" style="17" customWidth="1"/>
    <col min="8955" max="8955" width="14.1796875" style="17" customWidth="1"/>
    <col min="8956" max="8956" width="13" style="17" customWidth="1"/>
    <col min="8957" max="8957" width="14.1796875" style="17" customWidth="1"/>
    <col min="8958" max="8958" width="13" style="17" customWidth="1"/>
    <col min="8959" max="8959" width="14.1796875" style="17" customWidth="1"/>
    <col min="8960" max="8960" width="13" style="17" customWidth="1"/>
    <col min="8961" max="8961" width="14.1796875" style="17" customWidth="1"/>
    <col min="8962" max="8962" width="13" style="17" customWidth="1"/>
    <col min="8963" max="8963" width="14.1796875" style="17" customWidth="1"/>
    <col min="8964" max="8965" width="13" style="17" customWidth="1"/>
    <col min="8966" max="8966" width="14.90625" style="17" bestFit="1" customWidth="1"/>
    <col min="8967" max="8967" width="13" style="17" customWidth="1"/>
    <col min="8968" max="8968" width="14.1796875" style="17" customWidth="1"/>
    <col min="8969" max="8969" width="13" style="17" customWidth="1"/>
    <col min="8970" max="8970" width="8.81640625" style="17" customWidth="1"/>
    <col min="8971" max="8971" width="14.1796875" style="17" customWidth="1"/>
    <col min="8972" max="8972" width="13" style="17" customWidth="1"/>
    <col min="8973" max="8973" width="14.1796875" style="17" customWidth="1"/>
    <col min="8974" max="8974" width="13" style="17" customWidth="1"/>
    <col min="8975" max="8975" width="14.1796875" style="17" customWidth="1"/>
    <col min="8976" max="8976" width="13" style="17" customWidth="1"/>
    <col min="8977" max="8977" width="14.1796875" style="17" customWidth="1"/>
    <col min="8978" max="8982" width="13" style="17" customWidth="1"/>
    <col min="8983" max="8983" width="16.81640625" style="17" customWidth="1"/>
    <col min="8984" max="8984" width="14.1796875" style="17" customWidth="1"/>
    <col min="8985" max="8985" width="13" style="17" customWidth="1"/>
    <col min="8986" max="8986" width="14.1796875" style="17" customWidth="1"/>
    <col min="8987" max="8988" width="13.36328125" style="17" customWidth="1"/>
    <col min="8989" max="8989" width="15.6328125" style="17" customWidth="1"/>
    <col min="8990" max="8990" width="14.36328125" style="17" customWidth="1"/>
    <col min="8991" max="8991" width="16" style="17" bestFit="1" customWidth="1"/>
    <col min="8992" max="8992" width="14.1796875" style="17" customWidth="1"/>
    <col min="8993" max="8993" width="13" style="17" customWidth="1"/>
    <col min="8994" max="8994" width="14.1796875" style="17" customWidth="1"/>
    <col min="8995" max="8995" width="13.36328125" style="17" customWidth="1"/>
    <col min="8996" max="8996" width="13.81640625" style="17" bestFit="1" customWidth="1"/>
    <col min="8997" max="8997" width="14.1796875" style="17" bestFit="1" customWidth="1"/>
    <col min="8998" max="8998" width="13.81640625" style="17" bestFit="1" customWidth="1"/>
    <col min="8999" max="9154" width="9.1796875" style="17"/>
    <col min="9155" max="9155" width="3.81640625" style="17" bestFit="1" customWidth="1"/>
    <col min="9156" max="9156" width="39.54296875" style="17" customWidth="1"/>
    <col min="9157" max="9157" width="16" style="17" customWidth="1"/>
    <col min="9158" max="9158" width="13" style="17" customWidth="1"/>
    <col min="9159" max="9159" width="16" style="17" customWidth="1"/>
    <col min="9160" max="9160" width="13" style="17" customWidth="1"/>
    <col min="9161" max="9161" width="14.1796875" style="17" customWidth="1"/>
    <col min="9162" max="9162" width="13" style="17" customWidth="1"/>
    <col min="9163" max="9163" width="14.90625" style="17" customWidth="1"/>
    <col min="9164" max="9164" width="13" style="17" customWidth="1"/>
    <col min="9165" max="9165" width="15.54296875" style="17" customWidth="1"/>
    <col min="9166" max="9166" width="13" style="17" customWidth="1"/>
    <col min="9167" max="9167" width="14.1796875" style="17" customWidth="1"/>
    <col min="9168" max="9168" width="13" style="17" customWidth="1"/>
    <col min="9169" max="9169" width="14.1796875" style="17" customWidth="1"/>
    <col min="9170" max="9170" width="13" style="17" customWidth="1"/>
    <col min="9171" max="9171" width="14.90625" style="17" customWidth="1"/>
    <col min="9172" max="9172" width="13" style="17" customWidth="1"/>
    <col min="9173" max="9173" width="15.54296875" style="17" customWidth="1"/>
    <col min="9174" max="9174" width="13" style="17" customWidth="1"/>
    <col min="9175" max="9175" width="14.1796875" style="17" customWidth="1"/>
    <col min="9176" max="9176" width="13" style="17" customWidth="1"/>
    <col min="9177" max="9177" width="15.54296875" style="17" customWidth="1"/>
    <col min="9178" max="9178" width="15.81640625" style="17" customWidth="1"/>
    <col min="9179" max="9179" width="14.1796875" style="17" customWidth="1"/>
    <col min="9180" max="9180" width="15.81640625" style="17" customWidth="1"/>
    <col min="9181" max="9181" width="15.54296875" style="17" customWidth="1"/>
    <col min="9182" max="9182" width="13" style="17" customWidth="1"/>
    <col min="9183" max="9183" width="14.1796875" style="17" customWidth="1"/>
    <col min="9184" max="9184" width="15.81640625" style="17" customWidth="1"/>
    <col min="9185" max="9185" width="16.453125" style="17" customWidth="1"/>
    <col min="9186" max="9186" width="15.54296875" style="17" customWidth="1"/>
    <col min="9187" max="9187" width="13" style="17" customWidth="1"/>
    <col min="9188" max="9188" width="16" style="17" customWidth="1"/>
    <col min="9189" max="9189" width="13" style="17" customWidth="1"/>
    <col min="9190" max="9190" width="11.08984375" style="17" customWidth="1"/>
    <col min="9191" max="9191" width="15.54296875" style="17" customWidth="1"/>
    <col min="9192" max="9192" width="13" style="17" customWidth="1"/>
    <col min="9193" max="9193" width="14.1796875" style="17" customWidth="1"/>
    <col min="9194" max="9194" width="15.81640625" style="17" customWidth="1"/>
    <col min="9195" max="9195" width="15.54296875" style="17" customWidth="1"/>
    <col min="9196" max="9196" width="13" style="17" customWidth="1"/>
    <col min="9197" max="9197" width="14.1796875" style="17" customWidth="1"/>
    <col min="9198" max="9198" width="15.81640625" style="17" customWidth="1"/>
    <col min="9199" max="9199" width="15.54296875" style="17" customWidth="1"/>
    <col min="9200" max="9200" width="13" style="17" customWidth="1"/>
    <col min="9201" max="9201" width="14.1796875" style="17" customWidth="1"/>
    <col min="9202" max="9202" width="15.81640625" style="17" customWidth="1"/>
    <col min="9203" max="9203" width="9.1796875" style="17"/>
    <col min="9204" max="9204" width="15.54296875" style="17" customWidth="1"/>
    <col min="9205" max="9205" width="13" style="17" customWidth="1"/>
    <col min="9206" max="9206" width="14.1796875" style="17" customWidth="1"/>
    <col min="9207" max="9207" width="15.81640625" style="17" customWidth="1"/>
    <col min="9208" max="9208" width="9.1796875" style="17"/>
    <col min="9209" max="9209" width="16" style="17" customWidth="1"/>
    <col min="9210" max="9210" width="13" style="17" customWidth="1"/>
    <col min="9211" max="9211" width="14.1796875" style="17" customWidth="1"/>
    <col min="9212" max="9212" width="13" style="17" customWidth="1"/>
    <col min="9213" max="9213" width="14.1796875" style="17" customWidth="1"/>
    <col min="9214" max="9214" width="13" style="17" customWidth="1"/>
    <col min="9215" max="9215" width="14.1796875" style="17" customWidth="1"/>
    <col min="9216" max="9216" width="13" style="17" customWidth="1"/>
    <col min="9217" max="9217" width="14.1796875" style="17" customWidth="1"/>
    <col min="9218" max="9218" width="13" style="17" customWidth="1"/>
    <col min="9219" max="9219" width="14.1796875" style="17" customWidth="1"/>
    <col min="9220" max="9221" width="13" style="17" customWidth="1"/>
    <col min="9222" max="9222" width="14.90625" style="17" bestFit="1" customWidth="1"/>
    <col min="9223" max="9223" width="13" style="17" customWidth="1"/>
    <col min="9224" max="9224" width="14.1796875" style="17" customWidth="1"/>
    <col min="9225" max="9225" width="13" style="17" customWidth="1"/>
    <col min="9226" max="9226" width="8.81640625" style="17" customWidth="1"/>
    <col min="9227" max="9227" width="14.1796875" style="17" customWidth="1"/>
    <col min="9228" max="9228" width="13" style="17" customWidth="1"/>
    <col min="9229" max="9229" width="14.1796875" style="17" customWidth="1"/>
    <col min="9230" max="9230" width="13" style="17" customWidth="1"/>
    <col min="9231" max="9231" width="14.1796875" style="17" customWidth="1"/>
    <col min="9232" max="9232" width="13" style="17" customWidth="1"/>
    <col min="9233" max="9233" width="14.1796875" style="17" customWidth="1"/>
    <col min="9234" max="9238" width="13" style="17" customWidth="1"/>
    <col min="9239" max="9239" width="16.81640625" style="17" customWidth="1"/>
    <col min="9240" max="9240" width="14.1796875" style="17" customWidth="1"/>
    <col min="9241" max="9241" width="13" style="17" customWidth="1"/>
    <col min="9242" max="9242" width="14.1796875" style="17" customWidth="1"/>
    <col min="9243" max="9244" width="13.36328125" style="17" customWidth="1"/>
    <col min="9245" max="9245" width="15.6328125" style="17" customWidth="1"/>
    <col min="9246" max="9246" width="14.36328125" style="17" customWidth="1"/>
    <col min="9247" max="9247" width="16" style="17" bestFit="1" customWidth="1"/>
    <col min="9248" max="9248" width="14.1796875" style="17" customWidth="1"/>
    <col min="9249" max="9249" width="13" style="17" customWidth="1"/>
    <col min="9250" max="9250" width="14.1796875" style="17" customWidth="1"/>
    <col min="9251" max="9251" width="13.36328125" style="17" customWidth="1"/>
    <col min="9252" max="9252" width="13.81640625" style="17" bestFit="1" customWidth="1"/>
    <col min="9253" max="9253" width="14.1796875" style="17" bestFit="1" customWidth="1"/>
    <col min="9254" max="9254" width="13.81640625" style="17" bestFit="1" customWidth="1"/>
    <col min="9255" max="9410" width="9.1796875" style="17"/>
    <col min="9411" max="9411" width="3.81640625" style="17" bestFit="1" customWidth="1"/>
    <col min="9412" max="9412" width="39.54296875" style="17" customWidth="1"/>
    <col min="9413" max="9413" width="16" style="17" customWidth="1"/>
    <col min="9414" max="9414" width="13" style="17" customWidth="1"/>
    <col min="9415" max="9415" width="16" style="17" customWidth="1"/>
    <col min="9416" max="9416" width="13" style="17" customWidth="1"/>
    <col min="9417" max="9417" width="14.1796875" style="17" customWidth="1"/>
    <col min="9418" max="9418" width="13" style="17" customWidth="1"/>
    <col min="9419" max="9419" width="14.90625" style="17" customWidth="1"/>
    <col min="9420" max="9420" width="13" style="17" customWidth="1"/>
    <col min="9421" max="9421" width="15.54296875" style="17" customWidth="1"/>
    <col min="9422" max="9422" width="13" style="17" customWidth="1"/>
    <col min="9423" max="9423" width="14.1796875" style="17" customWidth="1"/>
    <col min="9424" max="9424" width="13" style="17" customWidth="1"/>
    <col min="9425" max="9425" width="14.1796875" style="17" customWidth="1"/>
    <col min="9426" max="9426" width="13" style="17" customWidth="1"/>
    <col min="9427" max="9427" width="14.90625" style="17" customWidth="1"/>
    <col min="9428" max="9428" width="13" style="17" customWidth="1"/>
    <col min="9429" max="9429" width="15.54296875" style="17" customWidth="1"/>
    <col min="9430" max="9430" width="13" style="17" customWidth="1"/>
    <col min="9431" max="9431" width="14.1796875" style="17" customWidth="1"/>
    <col min="9432" max="9432" width="13" style="17" customWidth="1"/>
    <col min="9433" max="9433" width="15.54296875" style="17" customWidth="1"/>
    <col min="9434" max="9434" width="15.81640625" style="17" customWidth="1"/>
    <col min="9435" max="9435" width="14.1796875" style="17" customWidth="1"/>
    <col min="9436" max="9436" width="15.81640625" style="17" customWidth="1"/>
    <col min="9437" max="9437" width="15.54296875" style="17" customWidth="1"/>
    <col min="9438" max="9438" width="13" style="17" customWidth="1"/>
    <col min="9439" max="9439" width="14.1796875" style="17" customWidth="1"/>
    <col min="9440" max="9440" width="15.81640625" style="17" customWidth="1"/>
    <col min="9441" max="9441" width="16.453125" style="17" customWidth="1"/>
    <col min="9442" max="9442" width="15.54296875" style="17" customWidth="1"/>
    <col min="9443" max="9443" width="13" style="17" customWidth="1"/>
    <col min="9444" max="9444" width="16" style="17" customWidth="1"/>
    <col min="9445" max="9445" width="13" style="17" customWidth="1"/>
    <col min="9446" max="9446" width="11.08984375" style="17" customWidth="1"/>
    <col min="9447" max="9447" width="15.54296875" style="17" customWidth="1"/>
    <col min="9448" max="9448" width="13" style="17" customWidth="1"/>
    <col min="9449" max="9449" width="14.1796875" style="17" customWidth="1"/>
    <col min="9450" max="9450" width="15.81640625" style="17" customWidth="1"/>
    <col min="9451" max="9451" width="15.54296875" style="17" customWidth="1"/>
    <col min="9452" max="9452" width="13" style="17" customWidth="1"/>
    <col min="9453" max="9453" width="14.1796875" style="17" customWidth="1"/>
    <col min="9454" max="9454" width="15.81640625" style="17" customWidth="1"/>
    <col min="9455" max="9455" width="15.54296875" style="17" customWidth="1"/>
    <col min="9456" max="9456" width="13" style="17" customWidth="1"/>
    <col min="9457" max="9457" width="14.1796875" style="17" customWidth="1"/>
    <col min="9458" max="9458" width="15.81640625" style="17" customWidth="1"/>
    <col min="9459" max="9459" width="9.1796875" style="17"/>
    <col min="9460" max="9460" width="15.54296875" style="17" customWidth="1"/>
    <col min="9461" max="9461" width="13" style="17" customWidth="1"/>
    <col min="9462" max="9462" width="14.1796875" style="17" customWidth="1"/>
    <col min="9463" max="9463" width="15.81640625" style="17" customWidth="1"/>
    <col min="9464" max="9464" width="9.1796875" style="17"/>
    <col min="9465" max="9465" width="16" style="17" customWidth="1"/>
    <col min="9466" max="9466" width="13" style="17" customWidth="1"/>
    <col min="9467" max="9467" width="14.1796875" style="17" customWidth="1"/>
    <col min="9468" max="9468" width="13" style="17" customWidth="1"/>
    <col min="9469" max="9469" width="14.1796875" style="17" customWidth="1"/>
    <col min="9470" max="9470" width="13" style="17" customWidth="1"/>
    <col min="9471" max="9471" width="14.1796875" style="17" customWidth="1"/>
    <col min="9472" max="9472" width="13" style="17" customWidth="1"/>
    <col min="9473" max="9473" width="14.1796875" style="17" customWidth="1"/>
    <col min="9474" max="9474" width="13" style="17" customWidth="1"/>
    <col min="9475" max="9475" width="14.1796875" style="17" customWidth="1"/>
    <col min="9476" max="9477" width="13" style="17" customWidth="1"/>
    <col min="9478" max="9478" width="14.90625" style="17" bestFit="1" customWidth="1"/>
    <col min="9479" max="9479" width="13" style="17" customWidth="1"/>
    <col min="9480" max="9480" width="14.1796875" style="17" customWidth="1"/>
    <col min="9481" max="9481" width="13" style="17" customWidth="1"/>
    <col min="9482" max="9482" width="8.81640625" style="17" customWidth="1"/>
    <col min="9483" max="9483" width="14.1796875" style="17" customWidth="1"/>
    <col min="9484" max="9484" width="13" style="17" customWidth="1"/>
    <col min="9485" max="9485" width="14.1796875" style="17" customWidth="1"/>
    <col min="9486" max="9486" width="13" style="17" customWidth="1"/>
    <col min="9487" max="9487" width="14.1796875" style="17" customWidth="1"/>
    <col min="9488" max="9488" width="13" style="17" customWidth="1"/>
    <col min="9489" max="9489" width="14.1796875" style="17" customWidth="1"/>
    <col min="9490" max="9494" width="13" style="17" customWidth="1"/>
    <col min="9495" max="9495" width="16.81640625" style="17" customWidth="1"/>
    <col min="9496" max="9496" width="14.1796875" style="17" customWidth="1"/>
    <col min="9497" max="9497" width="13" style="17" customWidth="1"/>
    <col min="9498" max="9498" width="14.1796875" style="17" customWidth="1"/>
    <col min="9499" max="9500" width="13.36328125" style="17" customWidth="1"/>
    <col min="9501" max="9501" width="15.6328125" style="17" customWidth="1"/>
    <col min="9502" max="9502" width="14.36328125" style="17" customWidth="1"/>
    <col min="9503" max="9503" width="16" style="17" bestFit="1" customWidth="1"/>
    <col min="9504" max="9504" width="14.1796875" style="17" customWidth="1"/>
    <col min="9505" max="9505" width="13" style="17" customWidth="1"/>
    <col min="9506" max="9506" width="14.1796875" style="17" customWidth="1"/>
    <col min="9507" max="9507" width="13.36328125" style="17" customWidth="1"/>
    <col min="9508" max="9508" width="13.81640625" style="17" bestFit="1" customWidth="1"/>
    <col min="9509" max="9509" width="14.1796875" style="17" bestFit="1" customWidth="1"/>
    <col min="9510" max="9510" width="13.81640625" style="17" bestFit="1" customWidth="1"/>
    <col min="9511" max="9666" width="9.1796875" style="17"/>
    <col min="9667" max="9667" width="3.81640625" style="17" bestFit="1" customWidth="1"/>
    <col min="9668" max="9668" width="39.54296875" style="17" customWidth="1"/>
    <col min="9669" max="9669" width="16" style="17" customWidth="1"/>
    <col min="9670" max="9670" width="13" style="17" customWidth="1"/>
    <col min="9671" max="9671" width="16" style="17" customWidth="1"/>
    <col min="9672" max="9672" width="13" style="17" customWidth="1"/>
    <col min="9673" max="9673" width="14.1796875" style="17" customWidth="1"/>
    <col min="9674" max="9674" width="13" style="17" customWidth="1"/>
    <col min="9675" max="9675" width="14.90625" style="17" customWidth="1"/>
    <col min="9676" max="9676" width="13" style="17" customWidth="1"/>
    <col min="9677" max="9677" width="15.54296875" style="17" customWidth="1"/>
    <col min="9678" max="9678" width="13" style="17" customWidth="1"/>
    <col min="9679" max="9679" width="14.1796875" style="17" customWidth="1"/>
    <col min="9680" max="9680" width="13" style="17" customWidth="1"/>
    <col min="9681" max="9681" width="14.1796875" style="17" customWidth="1"/>
    <col min="9682" max="9682" width="13" style="17" customWidth="1"/>
    <col min="9683" max="9683" width="14.90625" style="17" customWidth="1"/>
    <col min="9684" max="9684" width="13" style="17" customWidth="1"/>
    <col min="9685" max="9685" width="15.54296875" style="17" customWidth="1"/>
    <col min="9686" max="9686" width="13" style="17" customWidth="1"/>
    <col min="9687" max="9687" width="14.1796875" style="17" customWidth="1"/>
    <col min="9688" max="9688" width="13" style="17" customWidth="1"/>
    <col min="9689" max="9689" width="15.54296875" style="17" customWidth="1"/>
    <col min="9690" max="9690" width="15.81640625" style="17" customWidth="1"/>
    <col min="9691" max="9691" width="14.1796875" style="17" customWidth="1"/>
    <col min="9692" max="9692" width="15.81640625" style="17" customWidth="1"/>
    <col min="9693" max="9693" width="15.54296875" style="17" customWidth="1"/>
    <col min="9694" max="9694" width="13" style="17" customWidth="1"/>
    <col min="9695" max="9695" width="14.1796875" style="17" customWidth="1"/>
    <col min="9696" max="9696" width="15.81640625" style="17" customWidth="1"/>
    <col min="9697" max="9697" width="16.453125" style="17" customWidth="1"/>
    <col min="9698" max="9698" width="15.54296875" style="17" customWidth="1"/>
    <col min="9699" max="9699" width="13" style="17" customWidth="1"/>
    <col min="9700" max="9700" width="16" style="17" customWidth="1"/>
    <col min="9701" max="9701" width="13" style="17" customWidth="1"/>
    <col min="9702" max="9702" width="11.08984375" style="17" customWidth="1"/>
    <col min="9703" max="9703" width="15.54296875" style="17" customWidth="1"/>
    <col min="9704" max="9704" width="13" style="17" customWidth="1"/>
    <col min="9705" max="9705" width="14.1796875" style="17" customWidth="1"/>
    <col min="9706" max="9706" width="15.81640625" style="17" customWidth="1"/>
    <col min="9707" max="9707" width="15.54296875" style="17" customWidth="1"/>
    <col min="9708" max="9708" width="13" style="17" customWidth="1"/>
    <col min="9709" max="9709" width="14.1796875" style="17" customWidth="1"/>
    <col min="9710" max="9710" width="15.81640625" style="17" customWidth="1"/>
    <col min="9711" max="9711" width="15.54296875" style="17" customWidth="1"/>
    <col min="9712" max="9712" width="13" style="17" customWidth="1"/>
    <col min="9713" max="9713" width="14.1796875" style="17" customWidth="1"/>
    <col min="9714" max="9714" width="15.81640625" style="17" customWidth="1"/>
    <col min="9715" max="9715" width="9.1796875" style="17"/>
    <col min="9716" max="9716" width="15.54296875" style="17" customWidth="1"/>
    <col min="9717" max="9717" width="13" style="17" customWidth="1"/>
    <col min="9718" max="9718" width="14.1796875" style="17" customWidth="1"/>
    <col min="9719" max="9719" width="15.81640625" style="17" customWidth="1"/>
    <col min="9720" max="9720" width="9.1796875" style="17"/>
    <col min="9721" max="9721" width="16" style="17" customWidth="1"/>
    <col min="9722" max="9722" width="13" style="17" customWidth="1"/>
    <col min="9723" max="9723" width="14.1796875" style="17" customWidth="1"/>
    <col min="9724" max="9724" width="13" style="17" customWidth="1"/>
    <col min="9725" max="9725" width="14.1796875" style="17" customWidth="1"/>
    <col min="9726" max="9726" width="13" style="17" customWidth="1"/>
    <col min="9727" max="9727" width="14.1796875" style="17" customWidth="1"/>
    <col min="9728" max="9728" width="13" style="17" customWidth="1"/>
    <col min="9729" max="9729" width="14.1796875" style="17" customWidth="1"/>
    <col min="9730" max="9730" width="13" style="17" customWidth="1"/>
    <col min="9731" max="9731" width="14.1796875" style="17" customWidth="1"/>
    <col min="9732" max="9733" width="13" style="17" customWidth="1"/>
    <col min="9734" max="9734" width="14.90625" style="17" bestFit="1" customWidth="1"/>
    <col min="9735" max="9735" width="13" style="17" customWidth="1"/>
    <col min="9736" max="9736" width="14.1796875" style="17" customWidth="1"/>
    <col min="9737" max="9737" width="13" style="17" customWidth="1"/>
    <col min="9738" max="9738" width="8.81640625" style="17" customWidth="1"/>
    <col min="9739" max="9739" width="14.1796875" style="17" customWidth="1"/>
    <col min="9740" max="9740" width="13" style="17" customWidth="1"/>
    <col min="9741" max="9741" width="14.1796875" style="17" customWidth="1"/>
    <col min="9742" max="9742" width="13" style="17" customWidth="1"/>
    <col min="9743" max="9743" width="14.1796875" style="17" customWidth="1"/>
    <col min="9744" max="9744" width="13" style="17" customWidth="1"/>
    <col min="9745" max="9745" width="14.1796875" style="17" customWidth="1"/>
    <col min="9746" max="9750" width="13" style="17" customWidth="1"/>
    <col min="9751" max="9751" width="16.81640625" style="17" customWidth="1"/>
    <col min="9752" max="9752" width="14.1796875" style="17" customWidth="1"/>
    <col min="9753" max="9753" width="13" style="17" customWidth="1"/>
    <col min="9754" max="9754" width="14.1796875" style="17" customWidth="1"/>
    <col min="9755" max="9756" width="13.36328125" style="17" customWidth="1"/>
    <col min="9757" max="9757" width="15.6328125" style="17" customWidth="1"/>
    <col min="9758" max="9758" width="14.36328125" style="17" customWidth="1"/>
    <col min="9759" max="9759" width="16" style="17" bestFit="1" customWidth="1"/>
    <col min="9760" max="9760" width="14.1796875" style="17" customWidth="1"/>
    <col min="9761" max="9761" width="13" style="17" customWidth="1"/>
    <col min="9762" max="9762" width="14.1796875" style="17" customWidth="1"/>
    <col min="9763" max="9763" width="13.36328125" style="17" customWidth="1"/>
    <col min="9764" max="9764" width="13.81640625" style="17" bestFit="1" customWidth="1"/>
    <col min="9765" max="9765" width="14.1796875" style="17" bestFit="1" customWidth="1"/>
    <col min="9766" max="9766" width="13.81640625" style="17" bestFit="1" customWidth="1"/>
    <col min="9767" max="9922" width="9.1796875" style="17"/>
    <col min="9923" max="9923" width="3.81640625" style="17" bestFit="1" customWidth="1"/>
    <col min="9924" max="9924" width="39.54296875" style="17" customWidth="1"/>
    <col min="9925" max="9925" width="16" style="17" customWidth="1"/>
    <col min="9926" max="9926" width="13" style="17" customWidth="1"/>
    <col min="9927" max="9927" width="16" style="17" customWidth="1"/>
    <col min="9928" max="9928" width="13" style="17" customWidth="1"/>
    <col min="9929" max="9929" width="14.1796875" style="17" customWidth="1"/>
    <col min="9930" max="9930" width="13" style="17" customWidth="1"/>
    <col min="9931" max="9931" width="14.90625" style="17" customWidth="1"/>
    <col min="9932" max="9932" width="13" style="17" customWidth="1"/>
    <col min="9933" max="9933" width="15.54296875" style="17" customWidth="1"/>
    <col min="9934" max="9934" width="13" style="17" customWidth="1"/>
    <col min="9935" max="9935" width="14.1796875" style="17" customWidth="1"/>
    <col min="9936" max="9936" width="13" style="17" customWidth="1"/>
    <col min="9937" max="9937" width="14.1796875" style="17" customWidth="1"/>
    <col min="9938" max="9938" width="13" style="17" customWidth="1"/>
    <col min="9939" max="9939" width="14.90625" style="17" customWidth="1"/>
    <col min="9940" max="9940" width="13" style="17" customWidth="1"/>
    <col min="9941" max="9941" width="15.54296875" style="17" customWidth="1"/>
    <col min="9942" max="9942" width="13" style="17" customWidth="1"/>
    <col min="9943" max="9943" width="14.1796875" style="17" customWidth="1"/>
    <col min="9944" max="9944" width="13" style="17" customWidth="1"/>
    <col min="9945" max="9945" width="15.54296875" style="17" customWidth="1"/>
    <col min="9946" max="9946" width="15.81640625" style="17" customWidth="1"/>
    <col min="9947" max="9947" width="14.1796875" style="17" customWidth="1"/>
    <col min="9948" max="9948" width="15.81640625" style="17" customWidth="1"/>
    <col min="9949" max="9949" width="15.54296875" style="17" customWidth="1"/>
    <col min="9950" max="9950" width="13" style="17" customWidth="1"/>
    <col min="9951" max="9951" width="14.1796875" style="17" customWidth="1"/>
    <col min="9952" max="9952" width="15.81640625" style="17" customWidth="1"/>
    <col min="9953" max="9953" width="16.453125" style="17" customWidth="1"/>
    <col min="9954" max="9954" width="15.54296875" style="17" customWidth="1"/>
    <col min="9955" max="9955" width="13" style="17" customWidth="1"/>
    <col min="9956" max="9956" width="16" style="17" customWidth="1"/>
    <col min="9957" max="9957" width="13" style="17" customWidth="1"/>
    <col min="9958" max="9958" width="11.08984375" style="17" customWidth="1"/>
    <col min="9959" max="9959" width="15.54296875" style="17" customWidth="1"/>
    <col min="9960" max="9960" width="13" style="17" customWidth="1"/>
    <col min="9961" max="9961" width="14.1796875" style="17" customWidth="1"/>
    <col min="9962" max="9962" width="15.81640625" style="17" customWidth="1"/>
    <col min="9963" max="9963" width="15.54296875" style="17" customWidth="1"/>
    <col min="9964" max="9964" width="13" style="17" customWidth="1"/>
    <col min="9965" max="9965" width="14.1796875" style="17" customWidth="1"/>
    <col min="9966" max="9966" width="15.81640625" style="17" customWidth="1"/>
    <col min="9967" max="9967" width="15.54296875" style="17" customWidth="1"/>
    <col min="9968" max="9968" width="13" style="17" customWidth="1"/>
    <col min="9969" max="9969" width="14.1796875" style="17" customWidth="1"/>
    <col min="9970" max="9970" width="15.81640625" style="17" customWidth="1"/>
    <col min="9971" max="9971" width="9.1796875" style="17"/>
    <col min="9972" max="9972" width="15.54296875" style="17" customWidth="1"/>
    <col min="9973" max="9973" width="13" style="17" customWidth="1"/>
    <col min="9974" max="9974" width="14.1796875" style="17" customWidth="1"/>
    <col min="9975" max="9975" width="15.81640625" style="17" customWidth="1"/>
    <col min="9976" max="9976" width="9.1796875" style="17"/>
    <col min="9977" max="9977" width="16" style="17" customWidth="1"/>
    <col min="9978" max="9978" width="13" style="17" customWidth="1"/>
    <col min="9979" max="9979" width="14.1796875" style="17" customWidth="1"/>
    <col min="9980" max="9980" width="13" style="17" customWidth="1"/>
    <col min="9981" max="9981" width="14.1796875" style="17" customWidth="1"/>
    <col min="9982" max="9982" width="13" style="17" customWidth="1"/>
    <col min="9983" max="9983" width="14.1796875" style="17" customWidth="1"/>
    <col min="9984" max="9984" width="13" style="17" customWidth="1"/>
    <col min="9985" max="9985" width="14.1796875" style="17" customWidth="1"/>
    <col min="9986" max="9986" width="13" style="17" customWidth="1"/>
    <col min="9987" max="9987" width="14.1796875" style="17" customWidth="1"/>
    <col min="9988" max="9989" width="13" style="17" customWidth="1"/>
    <col min="9990" max="9990" width="14.90625" style="17" bestFit="1" customWidth="1"/>
    <col min="9991" max="9991" width="13" style="17" customWidth="1"/>
    <col min="9992" max="9992" width="14.1796875" style="17" customWidth="1"/>
    <col min="9993" max="9993" width="13" style="17" customWidth="1"/>
    <col min="9994" max="9994" width="8.81640625" style="17" customWidth="1"/>
    <col min="9995" max="9995" width="14.1796875" style="17" customWidth="1"/>
    <col min="9996" max="9996" width="13" style="17" customWidth="1"/>
    <col min="9997" max="9997" width="14.1796875" style="17" customWidth="1"/>
    <col min="9998" max="9998" width="13" style="17" customWidth="1"/>
    <col min="9999" max="9999" width="14.1796875" style="17" customWidth="1"/>
    <col min="10000" max="10000" width="13" style="17" customWidth="1"/>
    <col min="10001" max="10001" width="14.1796875" style="17" customWidth="1"/>
    <col min="10002" max="10006" width="13" style="17" customWidth="1"/>
    <col min="10007" max="10007" width="16.81640625" style="17" customWidth="1"/>
    <col min="10008" max="10008" width="14.1796875" style="17" customWidth="1"/>
    <col min="10009" max="10009" width="13" style="17" customWidth="1"/>
    <col min="10010" max="10010" width="14.1796875" style="17" customWidth="1"/>
    <col min="10011" max="10012" width="13.36328125" style="17" customWidth="1"/>
    <col min="10013" max="10013" width="15.6328125" style="17" customWidth="1"/>
    <col min="10014" max="10014" width="14.36328125" style="17" customWidth="1"/>
    <col min="10015" max="10015" width="16" style="17" bestFit="1" customWidth="1"/>
    <col min="10016" max="10016" width="14.1796875" style="17" customWidth="1"/>
    <col min="10017" max="10017" width="13" style="17" customWidth="1"/>
    <col min="10018" max="10018" width="14.1796875" style="17" customWidth="1"/>
    <col min="10019" max="10019" width="13.36328125" style="17" customWidth="1"/>
    <col min="10020" max="10020" width="13.81640625" style="17" bestFit="1" customWidth="1"/>
    <col min="10021" max="10021" width="14.1796875" style="17" bestFit="1" customWidth="1"/>
    <col min="10022" max="10022" width="13.81640625" style="17" bestFit="1" customWidth="1"/>
    <col min="10023" max="10178" width="9.1796875" style="17"/>
    <col min="10179" max="10179" width="3.81640625" style="17" bestFit="1" customWidth="1"/>
    <col min="10180" max="10180" width="39.54296875" style="17" customWidth="1"/>
    <col min="10181" max="10181" width="16" style="17" customWidth="1"/>
    <col min="10182" max="10182" width="13" style="17" customWidth="1"/>
    <col min="10183" max="10183" width="16" style="17" customWidth="1"/>
    <col min="10184" max="10184" width="13" style="17" customWidth="1"/>
    <col min="10185" max="10185" width="14.1796875" style="17" customWidth="1"/>
    <col min="10186" max="10186" width="13" style="17" customWidth="1"/>
    <col min="10187" max="10187" width="14.90625" style="17" customWidth="1"/>
    <col min="10188" max="10188" width="13" style="17" customWidth="1"/>
    <col min="10189" max="10189" width="15.54296875" style="17" customWidth="1"/>
    <col min="10190" max="10190" width="13" style="17" customWidth="1"/>
    <col min="10191" max="10191" width="14.1796875" style="17" customWidth="1"/>
    <col min="10192" max="10192" width="13" style="17" customWidth="1"/>
    <col min="10193" max="10193" width="14.1796875" style="17" customWidth="1"/>
    <col min="10194" max="10194" width="13" style="17" customWidth="1"/>
    <col min="10195" max="10195" width="14.90625" style="17" customWidth="1"/>
    <col min="10196" max="10196" width="13" style="17" customWidth="1"/>
    <col min="10197" max="10197" width="15.54296875" style="17" customWidth="1"/>
    <col min="10198" max="10198" width="13" style="17" customWidth="1"/>
    <col min="10199" max="10199" width="14.1796875" style="17" customWidth="1"/>
    <col min="10200" max="10200" width="13" style="17" customWidth="1"/>
    <col min="10201" max="10201" width="15.54296875" style="17" customWidth="1"/>
    <col min="10202" max="10202" width="15.81640625" style="17" customWidth="1"/>
    <col min="10203" max="10203" width="14.1796875" style="17" customWidth="1"/>
    <col min="10204" max="10204" width="15.81640625" style="17" customWidth="1"/>
    <col min="10205" max="10205" width="15.54296875" style="17" customWidth="1"/>
    <col min="10206" max="10206" width="13" style="17" customWidth="1"/>
    <col min="10207" max="10207" width="14.1796875" style="17" customWidth="1"/>
    <col min="10208" max="10208" width="15.81640625" style="17" customWidth="1"/>
    <col min="10209" max="10209" width="16.453125" style="17" customWidth="1"/>
    <col min="10210" max="10210" width="15.54296875" style="17" customWidth="1"/>
    <col min="10211" max="10211" width="13" style="17" customWidth="1"/>
    <col min="10212" max="10212" width="16" style="17" customWidth="1"/>
    <col min="10213" max="10213" width="13" style="17" customWidth="1"/>
    <col min="10214" max="10214" width="11.08984375" style="17" customWidth="1"/>
    <col min="10215" max="10215" width="15.54296875" style="17" customWidth="1"/>
    <col min="10216" max="10216" width="13" style="17" customWidth="1"/>
    <col min="10217" max="10217" width="14.1796875" style="17" customWidth="1"/>
    <col min="10218" max="10218" width="15.81640625" style="17" customWidth="1"/>
    <col min="10219" max="10219" width="15.54296875" style="17" customWidth="1"/>
    <col min="10220" max="10220" width="13" style="17" customWidth="1"/>
    <col min="10221" max="10221" width="14.1796875" style="17" customWidth="1"/>
    <col min="10222" max="10222" width="15.81640625" style="17" customWidth="1"/>
    <col min="10223" max="10223" width="15.54296875" style="17" customWidth="1"/>
    <col min="10224" max="10224" width="13" style="17" customWidth="1"/>
    <col min="10225" max="10225" width="14.1796875" style="17" customWidth="1"/>
    <col min="10226" max="10226" width="15.81640625" style="17" customWidth="1"/>
    <col min="10227" max="10227" width="9.1796875" style="17"/>
    <col min="10228" max="10228" width="15.54296875" style="17" customWidth="1"/>
    <col min="10229" max="10229" width="13" style="17" customWidth="1"/>
    <col min="10230" max="10230" width="14.1796875" style="17" customWidth="1"/>
    <col min="10231" max="10231" width="15.81640625" style="17" customWidth="1"/>
    <col min="10232" max="10232" width="9.1796875" style="17"/>
    <col min="10233" max="10233" width="16" style="17" customWidth="1"/>
    <col min="10234" max="10234" width="13" style="17" customWidth="1"/>
    <col min="10235" max="10235" width="14.1796875" style="17" customWidth="1"/>
    <col min="10236" max="10236" width="13" style="17" customWidth="1"/>
    <col min="10237" max="10237" width="14.1796875" style="17" customWidth="1"/>
    <col min="10238" max="10238" width="13" style="17" customWidth="1"/>
    <col min="10239" max="10239" width="14.1796875" style="17" customWidth="1"/>
    <col min="10240" max="10240" width="13" style="17" customWidth="1"/>
    <col min="10241" max="10241" width="14.1796875" style="17" customWidth="1"/>
    <col min="10242" max="10242" width="13" style="17" customWidth="1"/>
    <col min="10243" max="10243" width="14.1796875" style="17" customWidth="1"/>
    <col min="10244" max="10245" width="13" style="17" customWidth="1"/>
    <col min="10246" max="10246" width="14.90625" style="17" bestFit="1" customWidth="1"/>
    <col min="10247" max="10247" width="13" style="17" customWidth="1"/>
    <col min="10248" max="10248" width="14.1796875" style="17" customWidth="1"/>
    <col min="10249" max="10249" width="13" style="17" customWidth="1"/>
    <col min="10250" max="10250" width="8.81640625" style="17" customWidth="1"/>
    <col min="10251" max="10251" width="14.1796875" style="17" customWidth="1"/>
    <col min="10252" max="10252" width="13" style="17" customWidth="1"/>
    <col min="10253" max="10253" width="14.1796875" style="17" customWidth="1"/>
    <col min="10254" max="10254" width="13" style="17" customWidth="1"/>
    <col min="10255" max="10255" width="14.1796875" style="17" customWidth="1"/>
    <col min="10256" max="10256" width="13" style="17" customWidth="1"/>
    <col min="10257" max="10257" width="14.1796875" style="17" customWidth="1"/>
    <col min="10258" max="10262" width="13" style="17" customWidth="1"/>
    <col min="10263" max="10263" width="16.81640625" style="17" customWidth="1"/>
    <col min="10264" max="10264" width="14.1796875" style="17" customWidth="1"/>
    <col min="10265" max="10265" width="13" style="17" customWidth="1"/>
    <col min="10266" max="10266" width="14.1796875" style="17" customWidth="1"/>
    <col min="10267" max="10268" width="13.36328125" style="17" customWidth="1"/>
    <col min="10269" max="10269" width="15.6328125" style="17" customWidth="1"/>
    <col min="10270" max="10270" width="14.36328125" style="17" customWidth="1"/>
    <col min="10271" max="10271" width="16" style="17" bestFit="1" customWidth="1"/>
    <col min="10272" max="10272" width="14.1796875" style="17" customWidth="1"/>
    <col min="10273" max="10273" width="13" style="17" customWidth="1"/>
    <col min="10274" max="10274" width="14.1796875" style="17" customWidth="1"/>
    <col min="10275" max="10275" width="13.36328125" style="17" customWidth="1"/>
    <col min="10276" max="10276" width="13.81640625" style="17" bestFit="1" customWidth="1"/>
    <col min="10277" max="10277" width="14.1796875" style="17" bestFit="1" customWidth="1"/>
    <col min="10278" max="10278" width="13.81640625" style="17" bestFit="1" customWidth="1"/>
    <col min="10279" max="10434" width="9.1796875" style="17"/>
    <col min="10435" max="10435" width="3.81640625" style="17" bestFit="1" customWidth="1"/>
    <col min="10436" max="10436" width="39.54296875" style="17" customWidth="1"/>
    <col min="10437" max="10437" width="16" style="17" customWidth="1"/>
    <col min="10438" max="10438" width="13" style="17" customWidth="1"/>
    <col min="10439" max="10439" width="16" style="17" customWidth="1"/>
    <col min="10440" max="10440" width="13" style="17" customWidth="1"/>
    <col min="10441" max="10441" width="14.1796875" style="17" customWidth="1"/>
    <col min="10442" max="10442" width="13" style="17" customWidth="1"/>
    <col min="10443" max="10443" width="14.90625" style="17" customWidth="1"/>
    <col min="10444" max="10444" width="13" style="17" customWidth="1"/>
    <col min="10445" max="10445" width="15.54296875" style="17" customWidth="1"/>
    <col min="10446" max="10446" width="13" style="17" customWidth="1"/>
    <col min="10447" max="10447" width="14.1796875" style="17" customWidth="1"/>
    <col min="10448" max="10448" width="13" style="17" customWidth="1"/>
    <col min="10449" max="10449" width="14.1796875" style="17" customWidth="1"/>
    <col min="10450" max="10450" width="13" style="17" customWidth="1"/>
    <col min="10451" max="10451" width="14.90625" style="17" customWidth="1"/>
    <col min="10452" max="10452" width="13" style="17" customWidth="1"/>
    <col min="10453" max="10453" width="15.54296875" style="17" customWidth="1"/>
    <col min="10454" max="10454" width="13" style="17" customWidth="1"/>
    <col min="10455" max="10455" width="14.1796875" style="17" customWidth="1"/>
    <col min="10456" max="10456" width="13" style="17" customWidth="1"/>
    <col min="10457" max="10457" width="15.54296875" style="17" customWidth="1"/>
    <col min="10458" max="10458" width="15.81640625" style="17" customWidth="1"/>
    <col min="10459" max="10459" width="14.1796875" style="17" customWidth="1"/>
    <col min="10460" max="10460" width="15.81640625" style="17" customWidth="1"/>
    <col min="10461" max="10461" width="15.54296875" style="17" customWidth="1"/>
    <col min="10462" max="10462" width="13" style="17" customWidth="1"/>
    <col min="10463" max="10463" width="14.1796875" style="17" customWidth="1"/>
    <col min="10464" max="10464" width="15.81640625" style="17" customWidth="1"/>
    <col min="10465" max="10465" width="16.453125" style="17" customWidth="1"/>
    <col min="10466" max="10466" width="15.54296875" style="17" customWidth="1"/>
    <col min="10467" max="10467" width="13" style="17" customWidth="1"/>
    <col min="10468" max="10468" width="16" style="17" customWidth="1"/>
    <col min="10469" max="10469" width="13" style="17" customWidth="1"/>
    <col min="10470" max="10470" width="11.08984375" style="17" customWidth="1"/>
    <col min="10471" max="10471" width="15.54296875" style="17" customWidth="1"/>
    <col min="10472" max="10472" width="13" style="17" customWidth="1"/>
    <col min="10473" max="10473" width="14.1796875" style="17" customWidth="1"/>
    <col min="10474" max="10474" width="15.81640625" style="17" customWidth="1"/>
    <col min="10475" max="10475" width="15.54296875" style="17" customWidth="1"/>
    <col min="10476" max="10476" width="13" style="17" customWidth="1"/>
    <col min="10477" max="10477" width="14.1796875" style="17" customWidth="1"/>
    <col min="10478" max="10478" width="15.81640625" style="17" customWidth="1"/>
    <col min="10479" max="10479" width="15.54296875" style="17" customWidth="1"/>
    <col min="10480" max="10480" width="13" style="17" customWidth="1"/>
    <col min="10481" max="10481" width="14.1796875" style="17" customWidth="1"/>
    <col min="10482" max="10482" width="15.81640625" style="17" customWidth="1"/>
    <col min="10483" max="10483" width="9.1796875" style="17"/>
    <col min="10484" max="10484" width="15.54296875" style="17" customWidth="1"/>
    <col min="10485" max="10485" width="13" style="17" customWidth="1"/>
    <col min="10486" max="10486" width="14.1796875" style="17" customWidth="1"/>
    <col min="10487" max="10487" width="15.81640625" style="17" customWidth="1"/>
    <col min="10488" max="10488" width="9.1796875" style="17"/>
    <col min="10489" max="10489" width="16" style="17" customWidth="1"/>
    <col min="10490" max="10490" width="13" style="17" customWidth="1"/>
    <col min="10491" max="10491" width="14.1796875" style="17" customWidth="1"/>
    <col min="10492" max="10492" width="13" style="17" customWidth="1"/>
    <col min="10493" max="10493" width="14.1796875" style="17" customWidth="1"/>
    <col min="10494" max="10494" width="13" style="17" customWidth="1"/>
    <col min="10495" max="10495" width="14.1796875" style="17" customWidth="1"/>
    <col min="10496" max="10496" width="13" style="17" customWidth="1"/>
    <col min="10497" max="10497" width="14.1796875" style="17" customWidth="1"/>
    <col min="10498" max="10498" width="13" style="17" customWidth="1"/>
    <col min="10499" max="10499" width="14.1796875" style="17" customWidth="1"/>
    <col min="10500" max="10501" width="13" style="17" customWidth="1"/>
    <col min="10502" max="10502" width="14.90625" style="17" bestFit="1" customWidth="1"/>
    <col min="10503" max="10503" width="13" style="17" customWidth="1"/>
    <col min="10504" max="10504" width="14.1796875" style="17" customWidth="1"/>
    <col min="10505" max="10505" width="13" style="17" customWidth="1"/>
    <col min="10506" max="10506" width="8.81640625" style="17" customWidth="1"/>
    <col min="10507" max="10507" width="14.1796875" style="17" customWidth="1"/>
    <col min="10508" max="10508" width="13" style="17" customWidth="1"/>
    <col min="10509" max="10509" width="14.1796875" style="17" customWidth="1"/>
    <col min="10510" max="10510" width="13" style="17" customWidth="1"/>
    <col min="10511" max="10511" width="14.1796875" style="17" customWidth="1"/>
    <col min="10512" max="10512" width="13" style="17" customWidth="1"/>
    <col min="10513" max="10513" width="14.1796875" style="17" customWidth="1"/>
    <col min="10514" max="10518" width="13" style="17" customWidth="1"/>
    <col min="10519" max="10519" width="16.81640625" style="17" customWidth="1"/>
    <col min="10520" max="10520" width="14.1796875" style="17" customWidth="1"/>
    <col min="10521" max="10521" width="13" style="17" customWidth="1"/>
    <col min="10522" max="10522" width="14.1796875" style="17" customWidth="1"/>
    <col min="10523" max="10524" width="13.36328125" style="17" customWidth="1"/>
    <col min="10525" max="10525" width="15.6328125" style="17" customWidth="1"/>
    <col min="10526" max="10526" width="14.36328125" style="17" customWidth="1"/>
    <col min="10527" max="10527" width="16" style="17" bestFit="1" customWidth="1"/>
    <col min="10528" max="10528" width="14.1796875" style="17" customWidth="1"/>
    <col min="10529" max="10529" width="13" style="17" customWidth="1"/>
    <col min="10530" max="10530" width="14.1796875" style="17" customWidth="1"/>
    <col min="10531" max="10531" width="13.36328125" style="17" customWidth="1"/>
    <col min="10532" max="10532" width="13.81640625" style="17" bestFit="1" customWidth="1"/>
    <col min="10533" max="10533" width="14.1796875" style="17" bestFit="1" customWidth="1"/>
    <col min="10534" max="10534" width="13.81640625" style="17" bestFit="1" customWidth="1"/>
    <col min="10535" max="10690" width="9.1796875" style="17"/>
    <col min="10691" max="10691" width="3.81640625" style="17" bestFit="1" customWidth="1"/>
    <col min="10692" max="10692" width="39.54296875" style="17" customWidth="1"/>
    <col min="10693" max="10693" width="16" style="17" customWidth="1"/>
    <col min="10694" max="10694" width="13" style="17" customWidth="1"/>
    <col min="10695" max="10695" width="16" style="17" customWidth="1"/>
    <col min="10696" max="10696" width="13" style="17" customWidth="1"/>
    <col min="10697" max="10697" width="14.1796875" style="17" customWidth="1"/>
    <col min="10698" max="10698" width="13" style="17" customWidth="1"/>
    <col min="10699" max="10699" width="14.90625" style="17" customWidth="1"/>
    <col min="10700" max="10700" width="13" style="17" customWidth="1"/>
    <col min="10701" max="10701" width="15.54296875" style="17" customWidth="1"/>
    <col min="10702" max="10702" width="13" style="17" customWidth="1"/>
    <col min="10703" max="10703" width="14.1796875" style="17" customWidth="1"/>
    <col min="10704" max="10704" width="13" style="17" customWidth="1"/>
    <col min="10705" max="10705" width="14.1796875" style="17" customWidth="1"/>
    <col min="10706" max="10706" width="13" style="17" customWidth="1"/>
    <col min="10707" max="10707" width="14.90625" style="17" customWidth="1"/>
    <col min="10708" max="10708" width="13" style="17" customWidth="1"/>
    <col min="10709" max="10709" width="15.54296875" style="17" customWidth="1"/>
    <col min="10710" max="10710" width="13" style="17" customWidth="1"/>
    <col min="10711" max="10711" width="14.1796875" style="17" customWidth="1"/>
    <col min="10712" max="10712" width="13" style="17" customWidth="1"/>
    <col min="10713" max="10713" width="15.54296875" style="17" customWidth="1"/>
    <col min="10714" max="10714" width="15.81640625" style="17" customWidth="1"/>
    <col min="10715" max="10715" width="14.1796875" style="17" customWidth="1"/>
    <col min="10716" max="10716" width="15.81640625" style="17" customWidth="1"/>
    <col min="10717" max="10717" width="15.54296875" style="17" customWidth="1"/>
    <col min="10718" max="10718" width="13" style="17" customWidth="1"/>
    <col min="10719" max="10719" width="14.1796875" style="17" customWidth="1"/>
    <col min="10720" max="10720" width="15.81640625" style="17" customWidth="1"/>
    <col min="10721" max="10721" width="16.453125" style="17" customWidth="1"/>
    <col min="10722" max="10722" width="15.54296875" style="17" customWidth="1"/>
    <col min="10723" max="10723" width="13" style="17" customWidth="1"/>
    <col min="10724" max="10724" width="16" style="17" customWidth="1"/>
    <col min="10725" max="10725" width="13" style="17" customWidth="1"/>
    <col min="10726" max="10726" width="11.08984375" style="17" customWidth="1"/>
    <col min="10727" max="10727" width="15.54296875" style="17" customWidth="1"/>
    <col min="10728" max="10728" width="13" style="17" customWidth="1"/>
    <col min="10729" max="10729" width="14.1796875" style="17" customWidth="1"/>
    <col min="10730" max="10730" width="15.81640625" style="17" customWidth="1"/>
    <col min="10731" max="10731" width="15.54296875" style="17" customWidth="1"/>
    <col min="10732" max="10732" width="13" style="17" customWidth="1"/>
    <col min="10733" max="10733" width="14.1796875" style="17" customWidth="1"/>
    <col min="10734" max="10734" width="15.81640625" style="17" customWidth="1"/>
    <col min="10735" max="10735" width="15.54296875" style="17" customWidth="1"/>
    <col min="10736" max="10736" width="13" style="17" customWidth="1"/>
    <col min="10737" max="10737" width="14.1796875" style="17" customWidth="1"/>
    <col min="10738" max="10738" width="15.81640625" style="17" customWidth="1"/>
    <col min="10739" max="10739" width="9.1796875" style="17"/>
    <col min="10740" max="10740" width="15.54296875" style="17" customWidth="1"/>
    <col min="10741" max="10741" width="13" style="17" customWidth="1"/>
    <col min="10742" max="10742" width="14.1796875" style="17" customWidth="1"/>
    <col min="10743" max="10743" width="15.81640625" style="17" customWidth="1"/>
    <col min="10744" max="10744" width="9.1796875" style="17"/>
    <col min="10745" max="10745" width="16" style="17" customWidth="1"/>
    <col min="10746" max="10746" width="13" style="17" customWidth="1"/>
    <col min="10747" max="10747" width="14.1796875" style="17" customWidth="1"/>
    <col min="10748" max="10748" width="13" style="17" customWidth="1"/>
    <col min="10749" max="10749" width="14.1796875" style="17" customWidth="1"/>
    <col min="10750" max="10750" width="13" style="17" customWidth="1"/>
    <col min="10751" max="10751" width="14.1796875" style="17" customWidth="1"/>
    <col min="10752" max="10752" width="13" style="17" customWidth="1"/>
    <col min="10753" max="10753" width="14.1796875" style="17" customWidth="1"/>
    <col min="10754" max="10754" width="13" style="17" customWidth="1"/>
    <col min="10755" max="10755" width="14.1796875" style="17" customWidth="1"/>
    <col min="10756" max="10757" width="13" style="17" customWidth="1"/>
    <col min="10758" max="10758" width="14.90625" style="17" bestFit="1" customWidth="1"/>
    <col min="10759" max="10759" width="13" style="17" customWidth="1"/>
    <col min="10760" max="10760" width="14.1796875" style="17" customWidth="1"/>
    <col min="10761" max="10761" width="13" style="17" customWidth="1"/>
    <col min="10762" max="10762" width="8.81640625" style="17" customWidth="1"/>
    <col min="10763" max="10763" width="14.1796875" style="17" customWidth="1"/>
    <col min="10764" max="10764" width="13" style="17" customWidth="1"/>
    <col min="10765" max="10765" width="14.1796875" style="17" customWidth="1"/>
    <col min="10766" max="10766" width="13" style="17" customWidth="1"/>
    <col min="10767" max="10767" width="14.1796875" style="17" customWidth="1"/>
    <col min="10768" max="10768" width="13" style="17" customWidth="1"/>
    <col min="10769" max="10769" width="14.1796875" style="17" customWidth="1"/>
    <col min="10770" max="10774" width="13" style="17" customWidth="1"/>
    <col min="10775" max="10775" width="16.81640625" style="17" customWidth="1"/>
    <col min="10776" max="10776" width="14.1796875" style="17" customWidth="1"/>
    <col min="10777" max="10777" width="13" style="17" customWidth="1"/>
    <col min="10778" max="10778" width="14.1796875" style="17" customWidth="1"/>
    <col min="10779" max="10780" width="13.36328125" style="17" customWidth="1"/>
    <col min="10781" max="10781" width="15.6328125" style="17" customWidth="1"/>
    <col min="10782" max="10782" width="14.36328125" style="17" customWidth="1"/>
    <col min="10783" max="10783" width="16" style="17" bestFit="1" customWidth="1"/>
    <col min="10784" max="10784" width="14.1796875" style="17" customWidth="1"/>
    <col min="10785" max="10785" width="13" style="17" customWidth="1"/>
    <col min="10786" max="10786" width="14.1796875" style="17" customWidth="1"/>
    <col min="10787" max="10787" width="13.36328125" style="17" customWidth="1"/>
    <col min="10788" max="10788" width="13.81640625" style="17" bestFit="1" customWidth="1"/>
    <col min="10789" max="10789" width="14.1796875" style="17" bestFit="1" customWidth="1"/>
    <col min="10790" max="10790" width="13.81640625" style="17" bestFit="1" customWidth="1"/>
    <col min="10791" max="10946" width="9.1796875" style="17"/>
    <col min="10947" max="10947" width="3.81640625" style="17" bestFit="1" customWidth="1"/>
    <col min="10948" max="10948" width="39.54296875" style="17" customWidth="1"/>
    <col min="10949" max="10949" width="16" style="17" customWidth="1"/>
    <col min="10950" max="10950" width="13" style="17" customWidth="1"/>
    <col min="10951" max="10951" width="16" style="17" customWidth="1"/>
    <col min="10952" max="10952" width="13" style="17" customWidth="1"/>
    <col min="10953" max="10953" width="14.1796875" style="17" customWidth="1"/>
    <col min="10954" max="10954" width="13" style="17" customWidth="1"/>
    <col min="10955" max="10955" width="14.90625" style="17" customWidth="1"/>
    <col min="10956" max="10956" width="13" style="17" customWidth="1"/>
    <col min="10957" max="10957" width="15.54296875" style="17" customWidth="1"/>
    <col min="10958" max="10958" width="13" style="17" customWidth="1"/>
    <col min="10959" max="10959" width="14.1796875" style="17" customWidth="1"/>
    <col min="10960" max="10960" width="13" style="17" customWidth="1"/>
    <col min="10961" max="10961" width="14.1796875" style="17" customWidth="1"/>
    <col min="10962" max="10962" width="13" style="17" customWidth="1"/>
    <col min="10963" max="10963" width="14.90625" style="17" customWidth="1"/>
    <col min="10964" max="10964" width="13" style="17" customWidth="1"/>
    <col min="10965" max="10965" width="15.54296875" style="17" customWidth="1"/>
    <col min="10966" max="10966" width="13" style="17" customWidth="1"/>
    <col min="10967" max="10967" width="14.1796875" style="17" customWidth="1"/>
    <col min="10968" max="10968" width="13" style="17" customWidth="1"/>
    <col min="10969" max="10969" width="15.54296875" style="17" customWidth="1"/>
    <col min="10970" max="10970" width="15.81640625" style="17" customWidth="1"/>
    <col min="10971" max="10971" width="14.1796875" style="17" customWidth="1"/>
    <col min="10972" max="10972" width="15.81640625" style="17" customWidth="1"/>
    <col min="10973" max="10973" width="15.54296875" style="17" customWidth="1"/>
    <col min="10974" max="10974" width="13" style="17" customWidth="1"/>
    <col min="10975" max="10975" width="14.1796875" style="17" customWidth="1"/>
    <col min="10976" max="10976" width="15.81640625" style="17" customWidth="1"/>
    <col min="10977" max="10977" width="16.453125" style="17" customWidth="1"/>
    <col min="10978" max="10978" width="15.54296875" style="17" customWidth="1"/>
    <col min="10979" max="10979" width="13" style="17" customWidth="1"/>
    <col min="10980" max="10980" width="16" style="17" customWidth="1"/>
    <col min="10981" max="10981" width="13" style="17" customWidth="1"/>
    <col min="10982" max="10982" width="11.08984375" style="17" customWidth="1"/>
    <col min="10983" max="10983" width="15.54296875" style="17" customWidth="1"/>
    <col min="10984" max="10984" width="13" style="17" customWidth="1"/>
    <col min="10985" max="10985" width="14.1796875" style="17" customWidth="1"/>
    <col min="10986" max="10986" width="15.81640625" style="17" customWidth="1"/>
    <col min="10987" max="10987" width="15.54296875" style="17" customWidth="1"/>
    <col min="10988" max="10988" width="13" style="17" customWidth="1"/>
    <col min="10989" max="10989" width="14.1796875" style="17" customWidth="1"/>
    <col min="10990" max="10990" width="15.81640625" style="17" customWidth="1"/>
    <col min="10991" max="10991" width="15.54296875" style="17" customWidth="1"/>
    <col min="10992" max="10992" width="13" style="17" customWidth="1"/>
    <col min="10993" max="10993" width="14.1796875" style="17" customWidth="1"/>
    <col min="10994" max="10994" width="15.81640625" style="17" customWidth="1"/>
    <col min="10995" max="10995" width="9.1796875" style="17"/>
    <col min="10996" max="10996" width="15.54296875" style="17" customWidth="1"/>
    <col min="10997" max="10997" width="13" style="17" customWidth="1"/>
    <col min="10998" max="10998" width="14.1796875" style="17" customWidth="1"/>
    <col min="10999" max="10999" width="15.81640625" style="17" customWidth="1"/>
    <col min="11000" max="11000" width="9.1796875" style="17"/>
    <col min="11001" max="11001" width="16" style="17" customWidth="1"/>
    <col min="11002" max="11002" width="13" style="17" customWidth="1"/>
    <col min="11003" max="11003" width="14.1796875" style="17" customWidth="1"/>
    <col min="11004" max="11004" width="13" style="17" customWidth="1"/>
    <col min="11005" max="11005" width="14.1796875" style="17" customWidth="1"/>
    <col min="11006" max="11006" width="13" style="17" customWidth="1"/>
    <col min="11007" max="11007" width="14.1796875" style="17" customWidth="1"/>
    <col min="11008" max="11008" width="13" style="17" customWidth="1"/>
    <col min="11009" max="11009" width="14.1796875" style="17" customWidth="1"/>
    <col min="11010" max="11010" width="13" style="17" customWidth="1"/>
    <col min="11011" max="11011" width="14.1796875" style="17" customWidth="1"/>
    <col min="11012" max="11013" width="13" style="17" customWidth="1"/>
    <col min="11014" max="11014" width="14.90625" style="17" bestFit="1" customWidth="1"/>
    <col min="11015" max="11015" width="13" style="17" customWidth="1"/>
    <col min="11016" max="11016" width="14.1796875" style="17" customWidth="1"/>
    <col min="11017" max="11017" width="13" style="17" customWidth="1"/>
    <col min="11018" max="11018" width="8.81640625" style="17" customWidth="1"/>
    <col min="11019" max="11019" width="14.1796875" style="17" customWidth="1"/>
    <col min="11020" max="11020" width="13" style="17" customWidth="1"/>
    <col min="11021" max="11021" width="14.1796875" style="17" customWidth="1"/>
    <col min="11022" max="11022" width="13" style="17" customWidth="1"/>
    <col min="11023" max="11023" width="14.1796875" style="17" customWidth="1"/>
    <col min="11024" max="11024" width="13" style="17" customWidth="1"/>
    <col min="11025" max="11025" width="14.1796875" style="17" customWidth="1"/>
    <col min="11026" max="11030" width="13" style="17" customWidth="1"/>
    <col min="11031" max="11031" width="16.81640625" style="17" customWidth="1"/>
    <col min="11032" max="11032" width="14.1796875" style="17" customWidth="1"/>
    <col min="11033" max="11033" width="13" style="17" customWidth="1"/>
    <col min="11034" max="11034" width="14.1796875" style="17" customWidth="1"/>
    <col min="11035" max="11036" width="13.36328125" style="17" customWidth="1"/>
    <col min="11037" max="11037" width="15.6328125" style="17" customWidth="1"/>
    <col min="11038" max="11038" width="14.36328125" style="17" customWidth="1"/>
    <col min="11039" max="11039" width="16" style="17" bestFit="1" customWidth="1"/>
    <col min="11040" max="11040" width="14.1796875" style="17" customWidth="1"/>
    <col min="11041" max="11041" width="13" style="17" customWidth="1"/>
    <col min="11042" max="11042" width="14.1796875" style="17" customWidth="1"/>
    <col min="11043" max="11043" width="13.36328125" style="17" customWidth="1"/>
    <col min="11044" max="11044" width="13.81640625" style="17" bestFit="1" customWidth="1"/>
    <col min="11045" max="11045" width="14.1796875" style="17" bestFit="1" customWidth="1"/>
    <col min="11046" max="11046" width="13.81640625" style="17" bestFit="1" customWidth="1"/>
    <col min="11047" max="11202" width="9.1796875" style="17"/>
    <col min="11203" max="11203" width="3.81640625" style="17" bestFit="1" customWidth="1"/>
    <col min="11204" max="11204" width="39.54296875" style="17" customWidth="1"/>
    <col min="11205" max="11205" width="16" style="17" customWidth="1"/>
    <col min="11206" max="11206" width="13" style="17" customWidth="1"/>
    <col min="11207" max="11207" width="16" style="17" customWidth="1"/>
    <col min="11208" max="11208" width="13" style="17" customWidth="1"/>
    <col min="11209" max="11209" width="14.1796875" style="17" customWidth="1"/>
    <col min="11210" max="11210" width="13" style="17" customWidth="1"/>
    <col min="11211" max="11211" width="14.90625" style="17" customWidth="1"/>
    <col min="11212" max="11212" width="13" style="17" customWidth="1"/>
    <col min="11213" max="11213" width="15.54296875" style="17" customWidth="1"/>
    <col min="11214" max="11214" width="13" style="17" customWidth="1"/>
    <col min="11215" max="11215" width="14.1796875" style="17" customWidth="1"/>
    <col min="11216" max="11216" width="13" style="17" customWidth="1"/>
    <col min="11217" max="11217" width="14.1796875" style="17" customWidth="1"/>
    <col min="11218" max="11218" width="13" style="17" customWidth="1"/>
    <col min="11219" max="11219" width="14.90625" style="17" customWidth="1"/>
    <col min="11220" max="11220" width="13" style="17" customWidth="1"/>
    <col min="11221" max="11221" width="15.54296875" style="17" customWidth="1"/>
    <col min="11222" max="11222" width="13" style="17" customWidth="1"/>
    <col min="11223" max="11223" width="14.1796875" style="17" customWidth="1"/>
    <col min="11224" max="11224" width="13" style="17" customWidth="1"/>
    <col min="11225" max="11225" width="15.54296875" style="17" customWidth="1"/>
    <col min="11226" max="11226" width="15.81640625" style="17" customWidth="1"/>
    <col min="11227" max="11227" width="14.1796875" style="17" customWidth="1"/>
    <col min="11228" max="11228" width="15.81640625" style="17" customWidth="1"/>
    <col min="11229" max="11229" width="15.54296875" style="17" customWidth="1"/>
    <col min="11230" max="11230" width="13" style="17" customWidth="1"/>
    <col min="11231" max="11231" width="14.1796875" style="17" customWidth="1"/>
    <col min="11232" max="11232" width="15.81640625" style="17" customWidth="1"/>
    <col min="11233" max="11233" width="16.453125" style="17" customWidth="1"/>
    <col min="11234" max="11234" width="15.54296875" style="17" customWidth="1"/>
    <col min="11235" max="11235" width="13" style="17" customWidth="1"/>
    <col min="11236" max="11236" width="16" style="17" customWidth="1"/>
    <col min="11237" max="11237" width="13" style="17" customWidth="1"/>
    <col min="11238" max="11238" width="11.08984375" style="17" customWidth="1"/>
    <col min="11239" max="11239" width="15.54296875" style="17" customWidth="1"/>
    <col min="11240" max="11240" width="13" style="17" customWidth="1"/>
    <col min="11241" max="11241" width="14.1796875" style="17" customWidth="1"/>
    <col min="11242" max="11242" width="15.81640625" style="17" customWidth="1"/>
    <col min="11243" max="11243" width="15.54296875" style="17" customWidth="1"/>
    <col min="11244" max="11244" width="13" style="17" customWidth="1"/>
    <col min="11245" max="11245" width="14.1796875" style="17" customWidth="1"/>
    <col min="11246" max="11246" width="15.81640625" style="17" customWidth="1"/>
    <col min="11247" max="11247" width="15.54296875" style="17" customWidth="1"/>
    <col min="11248" max="11248" width="13" style="17" customWidth="1"/>
    <col min="11249" max="11249" width="14.1796875" style="17" customWidth="1"/>
    <col min="11250" max="11250" width="15.81640625" style="17" customWidth="1"/>
    <col min="11251" max="11251" width="9.1796875" style="17"/>
    <col min="11252" max="11252" width="15.54296875" style="17" customWidth="1"/>
    <col min="11253" max="11253" width="13" style="17" customWidth="1"/>
    <col min="11254" max="11254" width="14.1796875" style="17" customWidth="1"/>
    <col min="11255" max="11255" width="15.81640625" style="17" customWidth="1"/>
    <col min="11256" max="11256" width="9.1796875" style="17"/>
    <col min="11257" max="11257" width="16" style="17" customWidth="1"/>
    <col min="11258" max="11258" width="13" style="17" customWidth="1"/>
    <col min="11259" max="11259" width="14.1796875" style="17" customWidth="1"/>
    <col min="11260" max="11260" width="13" style="17" customWidth="1"/>
    <col min="11261" max="11261" width="14.1796875" style="17" customWidth="1"/>
    <col min="11262" max="11262" width="13" style="17" customWidth="1"/>
    <col min="11263" max="11263" width="14.1796875" style="17" customWidth="1"/>
    <col min="11264" max="11264" width="13" style="17" customWidth="1"/>
    <col min="11265" max="11265" width="14.1796875" style="17" customWidth="1"/>
    <col min="11266" max="11266" width="13" style="17" customWidth="1"/>
    <col min="11267" max="11267" width="14.1796875" style="17" customWidth="1"/>
    <col min="11268" max="11269" width="13" style="17" customWidth="1"/>
    <col min="11270" max="11270" width="14.90625" style="17" bestFit="1" customWidth="1"/>
    <col min="11271" max="11271" width="13" style="17" customWidth="1"/>
    <col min="11272" max="11272" width="14.1796875" style="17" customWidth="1"/>
    <col min="11273" max="11273" width="13" style="17" customWidth="1"/>
    <col min="11274" max="11274" width="8.81640625" style="17" customWidth="1"/>
    <col min="11275" max="11275" width="14.1796875" style="17" customWidth="1"/>
    <col min="11276" max="11276" width="13" style="17" customWidth="1"/>
    <col min="11277" max="11277" width="14.1796875" style="17" customWidth="1"/>
    <col min="11278" max="11278" width="13" style="17" customWidth="1"/>
    <col min="11279" max="11279" width="14.1796875" style="17" customWidth="1"/>
    <col min="11280" max="11280" width="13" style="17" customWidth="1"/>
    <col min="11281" max="11281" width="14.1796875" style="17" customWidth="1"/>
    <col min="11282" max="11286" width="13" style="17" customWidth="1"/>
    <col min="11287" max="11287" width="16.81640625" style="17" customWidth="1"/>
    <col min="11288" max="11288" width="14.1796875" style="17" customWidth="1"/>
    <col min="11289" max="11289" width="13" style="17" customWidth="1"/>
    <col min="11290" max="11290" width="14.1796875" style="17" customWidth="1"/>
    <col min="11291" max="11292" width="13.36328125" style="17" customWidth="1"/>
    <col min="11293" max="11293" width="15.6328125" style="17" customWidth="1"/>
    <col min="11294" max="11294" width="14.36328125" style="17" customWidth="1"/>
    <col min="11295" max="11295" width="16" style="17" bestFit="1" customWidth="1"/>
    <col min="11296" max="11296" width="14.1796875" style="17" customWidth="1"/>
    <col min="11297" max="11297" width="13" style="17" customWidth="1"/>
    <col min="11298" max="11298" width="14.1796875" style="17" customWidth="1"/>
    <col min="11299" max="11299" width="13.36328125" style="17" customWidth="1"/>
    <col min="11300" max="11300" width="13.81640625" style="17" bestFit="1" customWidth="1"/>
    <col min="11301" max="11301" width="14.1796875" style="17" bestFit="1" customWidth="1"/>
    <col min="11302" max="11302" width="13.81640625" style="17" bestFit="1" customWidth="1"/>
    <col min="11303" max="11458" width="9.1796875" style="17"/>
    <col min="11459" max="11459" width="3.81640625" style="17" bestFit="1" customWidth="1"/>
    <col min="11460" max="11460" width="39.54296875" style="17" customWidth="1"/>
    <col min="11461" max="11461" width="16" style="17" customWidth="1"/>
    <col min="11462" max="11462" width="13" style="17" customWidth="1"/>
    <col min="11463" max="11463" width="16" style="17" customWidth="1"/>
    <col min="11464" max="11464" width="13" style="17" customWidth="1"/>
    <col min="11465" max="11465" width="14.1796875" style="17" customWidth="1"/>
    <col min="11466" max="11466" width="13" style="17" customWidth="1"/>
    <col min="11467" max="11467" width="14.90625" style="17" customWidth="1"/>
    <col min="11468" max="11468" width="13" style="17" customWidth="1"/>
    <col min="11469" max="11469" width="15.54296875" style="17" customWidth="1"/>
    <col min="11470" max="11470" width="13" style="17" customWidth="1"/>
    <col min="11471" max="11471" width="14.1796875" style="17" customWidth="1"/>
    <col min="11472" max="11472" width="13" style="17" customWidth="1"/>
    <col min="11473" max="11473" width="14.1796875" style="17" customWidth="1"/>
    <col min="11474" max="11474" width="13" style="17" customWidth="1"/>
    <col min="11475" max="11475" width="14.90625" style="17" customWidth="1"/>
    <col min="11476" max="11476" width="13" style="17" customWidth="1"/>
    <col min="11477" max="11477" width="15.54296875" style="17" customWidth="1"/>
    <col min="11478" max="11478" width="13" style="17" customWidth="1"/>
    <col min="11479" max="11479" width="14.1796875" style="17" customWidth="1"/>
    <col min="11480" max="11480" width="13" style="17" customWidth="1"/>
    <col min="11481" max="11481" width="15.54296875" style="17" customWidth="1"/>
    <col min="11482" max="11482" width="15.81640625" style="17" customWidth="1"/>
    <col min="11483" max="11483" width="14.1796875" style="17" customWidth="1"/>
    <col min="11484" max="11484" width="15.81640625" style="17" customWidth="1"/>
    <col min="11485" max="11485" width="15.54296875" style="17" customWidth="1"/>
    <col min="11486" max="11486" width="13" style="17" customWidth="1"/>
    <col min="11487" max="11487" width="14.1796875" style="17" customWidth="1"/>
    <col min="11488" max="11488" width="15.81640625" style="17" customWidth="1"/>
    <col min="11489" max="11489" width="16.453125" style="17" customWidth="1"/>
    <col min="11490" max="11490" width="15.54296875" style="17" customWidth="1"/>
    <col min="11491" max="11491" width="13" style="17" customWidth="1"/>
    <col min="11492" max="11492" width="16" style="17" customWidth="1"/>
    <col min="11493" max="11493" width="13" style="17" customWidth="1"/>
    <col min="11494" max="11494" width="11.08984375" style="17" customWidth="1"/>
    <col min="11495" max="11495" width="15.54296875" style="17" customWidth="1"/>
    <col min="11496" max="11496" width="13" style="17" customWidth="1"/>
    <col min="11497" max="11497" width="14.1796875" style="17" customWidth="1"/>
    <col min="11498" max="11498" width="15.81640625" style="17" customWidth="1"/>
    <col min="11499" max="11499" width="15.54296875" style="17" customWidth="1"/>
    <col min="11500" max="11500" width="13" style="17" customWidth="1"/>
    <col min="11501" max="11501" width="14.1796875" style="17" customWidth="1"/>
    <col min="11502" max="11502" width="15.81640625" style="17" customWidth="1"/>
    <col min="11503" max="11503" width="15.54296875" style="17" customWidth="1"/>
    <col min="11504" max="11504" width="13" style="17" customWidth="1"/>
    <col min="11505" max="11505" width="14.1796875" style="17" customWidth="1"/>
    <col min="11506" max="11506" width="15.81640625" style="17" customWidth="1"/>
    <col min="11507" max="11507" width="9.1796875" style="17"/>
    <col min="11508" max="11508" width="15.54296875" style="17" customWidth="1"/>
    <col min="11509" max="11509" width="13" style="17" customWidth="1"/>
    <col min="11510" max="11510" width="14.1796875" style="17" customWidth="1"/>
    <col min="11511" max="11511" width="15.81640625" style="17" customWidth="1"/>
    <col min="11512" max="11512" width="9.1796875" style="17"/>
    <col min="11513" max="11513" width="16" style="17" customWidth="1"/>
    <col min="11514" max="11514" width="13" style="17" customWidth="1"/>
    <col min="11515" max="11515" width="14.1796875" style="17" customWidth="1"/>
    <col min="11516" max="11516" width="13" style="17" customWidth="1"/>
    <col min="11517" max="11517" width="14.1796875" style="17" customWidth="1"/>
    <col min="11518" max="11518" width="13" style="17" customWidth="1"/>
    <col min="11519" max="11519" width="14.1796875" style="17" customWidth="1"/>
    <col min="11520" max="11520" width="13" style="17" customWidth="1"/>
    <col min="11521" max="11521" width="14.1796875" style="17" customWidth="1"/>
    <col min="11522" max="11522" width="13" style="17" customWidth="1"/>
    <col min="11523" max="11523" width="14.1796875" style="17" customWidth="1"/>
    <col min="11524" max="11525" width="13" style="17" customWidth="1"/>
    <col min="11526" max="11526" width="14.90625" style="17" bestFit="1" customWidth="1"/>
    <col min="11527" max="11527" width="13" style="17" customWidth="1"/>
    <col min="11528" max="11528" width="14.1796875" style="17" customWidth="1"/>
    <col min="11529" max="11529" width="13" style="17" customWidth="1"/>
    <col min="11530" max="11530" width="8.81640625" style="17" customWidth="1"/>
    <col min="11531" max="11531" width="14.1796875" style="17" customWidth="1"/>
    <col min="11532" max="11532" width="13" style="17" customWidth="1"/>
    <col min="11533" max="11533" width="14.1796875" style="17" customWidth="1"/>
    <col min="11534" max="11534" width="13" style="17" customWidth="1"/>
    <col min="11535" max="11535" width="14.1796875" style="17" customWidth="1"/>
    <col min="11536" max="11536" width="13" style="17" customWidth="1"/>
    <col min="11537" max="11537" width="14.1796875" style="17" customWidth="1"/>
    <col min="11538" max="11542" width="13" style="17" customWidth="1"/>
    <col min="11543" max="11543" width="16.81640625" style="17" customWidth="1"/>
    <col min="11544" max="11544" width="14.1796875" style="17" customWidth="1"/>
    <col min="11545" max="11545" width="13" style="17" customWidth="1"/>
    <col min="11546" max="11546" width="14.1796875" style="17" customWidth="1"/>
    <col min="11547" max="11548" width="13.36328125" style="17" customWidth="1"/>
    <col min="11549" max="11549" width="15.6328125" style="17" customWidth="1"/>
    <col min="11550" max="11550" width="14.36328125" style="17" customWidth="1"/>
    <col min="11551" max="11551" width="16" style="17" bestFit="1" customWidth="1"/>
    <col min="11552" max="11552" width="14.1796875" style="17" customWidth="1"/>
    <col min="11553" max="11553" width="13" style="17" customWidth="1"/>
    <col min="11554" max="11554" width="14.1796875" style="17" customWidth="1"/>
    <col min="11555" max="11555" width="13.36328125" style="17" customWidth="1"/>
    <col min="11556" max="11556" width="13.81640625" style="17" bestFit="1" customWidth="1"/>
    <col min="11557" max="11557" width="14.1796875" style="17" bestFit="1" customWidth="1"/>
    <col min="11558" max="11558" width="13.81640625" style="17" bestFit="1" customWidth="1"/>
    <col min="11559" max="11714" width="9.1796875" style="17"/>
    <col min="11715" max="11715" width="3.81640625" style="17" bestFit="1" customWidth="1"/>
    <col min="11716" max="11716" width="39.54296875" style="17" customWidth="1"/>
    <col min="11717" max="11717" width="16" style="17" customWidth="1"/>
    <col min="11718" max="11718" width="13" style="17" customWidth="1"/>
    <col min="11719" max="11719" width="16" style="17" customWidth="1"/>
    <col min="11720" max="11720" width="13" style="17" customWidth="1"/>
    <col min="11721" max="11721" width="14.1796875" style="17" customWidth="1"/>
    <col min="11722" max="11722" width="13" style="17" customWidth="1"/>
    <col min="11723" max="11723" width="14.90625" style="17" customWidth="1"/>
    <col min="11724" max="11724" width="13" style="17" customWidth="1"/>
    <col min="11725" max="11725" width="15.54296875" style="17" customWidth="1"/>
    <col min="11726" max="11726" width="13" style="17" customWidth="1"/>
    <col min="11727" max="11727" width="14.1796875" style="17" customWidth="1"/>
    <col min="11728" max="11728" width="13" style="17" customWidth="1"/>
    <col min="11729" max="11729" width="14.1796875" style="17" customWidth="1"/>
    <col min="11730" max="11730" width="13" style="17" customWidth="1"/>
    <col min="11731" max="11731" width="14.90625" style="17" customWidth="1"/>
    <col min="11732" max="11732" width="13" style="17" customWidth="1"/>
    <col min="11733" max="11733" width="15.54296875" style="17" customWidth="1"/>
    <col min="11734" max="11734" width="13" style="17" customWidth="1"/>
    <col min="11735" max="11735" width="14.1796875" style="17" customWidth="1"/>
    <col min="11736" max="11736" width="13" style="17" customWidth="1"/>
    <col min="11737" max="11737" width="15.54296875" style="17" customWidth="1"/>
    <col min="11738" max="11738" width="15.81640625" style="17" customWidth="1"/>
    <col min="11739" max="11739" width="14.1796875" style="17" customWidth="1"/>
    <col min="11740" max="11740" width="15.81640625" style="17" customWidth="1"/>
    <col min="11741" max="11741" width="15.54296875" style="17" customWidth="1"/>
    <col min="11742" max="11742" width="13" style="17" customWidth="1"/>
    <col min="11743" max="11743" width="14.1796875" style="17" customWidth="1"/>
    <col min="11744" max="11744" width="15.81640625" style="17" customWidth="1"/>
    <col min="11745" max="11745" width="16.453125" style="17" customWidth="1"/>
    <col min="11746" max="11746" width="15.54296875" style="17" customWidth="1"/>
    <col min="11747" max="11747" width="13" style="17" customWidth="1"/>
    <col min="11748" max="11748" width="16" style="17" customWidth="1"/>
    <col min="11749" max="11749" width="13" style="17" customWidth="1"/>
    <col min="11750" max="11750" width="11.08984375" style="17" customWidth="1"/>
    <col min="11751" max="11751" width="15.54296875" style="17" customWidth="1"/>
    <col min="11752" max="11752" width="13" style="17" customWidth="1"/>
    <col min="11753" max="11753" width="14.1796875" style="17" customWidth="1"/>
    <col min="11754" max="11754" width="15.81640625" style="17" customWidth="1"/>
    <col min="11755" max="11755" width="15.54296875" style="17" customWidth="1"/>
    <col min="11756" max="11756" width="13" style="17" customWidth="1"/>
    <col min="11757" max="11757" width="14.1796875" style="17" customWidth="1"/>
    <col min="11758" max="11758" width="15.81640625" style="17" customWidth="1"/>
    <col min="11759" max="11759" width="15.54296875" style="17" customWidth="1"/>
    <col min="11760" max="11760" width="13" style="17" customWidth="1"/>
    <col min="11761" max="11761" width="14.1796875" style="17" customWidth="1"/>
    <col min="11762" max="11762" width="15.81640625" style="17" customWidth="1"/>
    <col min="11763" max="11763" width="9.1796875" style="17"/>
    <col min="11764" max="11764" width="15.54296875" style="17" customWidth="1"/>
    <col min="11765" max="11765" width="13" style="17" customWidth="1"/>
    <col min="11766" max="11766" width="14.1796875" style="17" customWidth="1"/>
    <col min="11767" max="11767" width="15.81640625" style="17" customWidth="1"/>
    <col min="11768" max="11768" width="9.1796875" style="17"/>
    <col min="11769" max="11769" width="16" style="17" customWidth="1"/>
    <col min="11770" max="11770" width="13" style="17" customWidth="1"/>
    <col min="11771" max="11771" width="14.1796875" style="17" customWidth="1"/>
    <col min="11772" max="11772" width="13" style="17" customWidth="1"/>
    <col min="11773" max="11773" width="14.1796875" style="17" customWidth="1"/>
    <col min="11774" max="11774" width="13" style="17" customWidth="1"/>
    <col min="11775" max="11775" width="14.1796875" style="17" customWidth="1"/>
    <col min="11776" max="11776" width="13" style="17" customWidth="1"/>
    <col min="11777" max="11777" width="14.1796875" style="17" customWidth="1"/>
    <col min="11778" max="11778" width="13" style="17" customWidth="1"/>
    <col min="11779" max="11779" width="14.1796875" style="17" customWidth="1"/>
    <col min="11780" max="11781" width="13" style="17" customWidth="1"/>
    <col min="11782" max="11782" width="14.90625" style="17" bestFit="1" customWidth="1"/>
    <col min="11783" max="11783" width="13" style="17" customWidth="1"/>
    <col min="11784" max="11784" width="14.1796875" style="17" customWidth="1"/>
    <col min="11785" max="11785" width="13" style="17" customWidth="1"/>
    <col min="11786" max="11786" width="8.81640625" style="17" customWidth="1"/>
    <col min="11787" max="11787" width="14.1796875" style="17" customWidth="1"/>
    <col min="11788" max="11788" width="13" style="17" customWidth="1"/>
    <col min="11789" max="11789" width="14.1796875" style="17" customWidth="1"/>
    <col min="11790" max="11790" width="13" style="17" customWidth="1"/>
    <col min="11791" max="11791" width="14.1796875" style="17" customWidth="1"/>
    <col min="11792" max="11792" width="13" style="17" customWidth="1"/>
    <col min="11793" max="11793" width="14.1796875" style="17" customWidth="1"/>
    <col min="11794" max="11798" width="13" style="17" customWidth="1"/>
    <col min="11799" max="11799" width="16.81640625" style="17" customWidth="1"/>
    <col min="11800" max="11800" width="14.1796875" style="17" customWidth="1"/>
    <col min="11801" max="11801" width="13" style="17" customWidth="1"/>
    <col min="11802" max="11802" width="14.1796875" style="17" customWidth="1"/>
    <col min="11803" max="11804" width="13.36328125" style="17" customWidth="1"/>
    <col min="11805" max="11805" width="15.6328125" style="17" customWidth="1"/>
    <col min="11806" max="11806" width="14.36328125" style="17" customWidth="1"/>
    <col min="11807" max="11807" width="16" style="17" bestFit="1" customWidth="1"/>
    <col min="11808" max="11808" width="14.1796875" style="17" customWidth="1"/>
    <col min="11809" max="11809" width="13" style="17" customWidth="1"/>
    <col min="11810" max="11810" width="14.1796875" style="17" customWidth="1"/>
    <col min="11811" max="11811" width="13.36328125" style="17" customWidth="1"/>
    <col min="11812" max="11812" width="13.81640625" style="17" bestFit="1" customWidth="1"/>
    <col min="11813" max="11813" width="14.1796875" style="17" bestFit="1" customWidth="1"/>
    <col min="11814" max="11814" width="13.81640625" style="17" bestFit="1" customWidth="1"/>
    <col min="11815" max="11970" width="9.1796875" style="17"/>
    <col min="11971" max="11971" width="3.81640625" style="17" bestFit="1" customWidth="1"/>
    <col min="11972" max="11972" width="39.54296875" style="17" customWidth="1"/>
    <col min="11973" max="11973" width="16" style="17" customWidth="1"/>
    <col min="11974" max="11974" width="13" style="17" customWidth="1"/>
    <col min="11975" max="11975" width="16" style="17" customWidth="1"/>
    <col min="11976" max="11976" width="13" style="17" customWidth="1"/>
    <col min="11977" max="11977" width="14.1796875" style="17" customWidth="1"/>
    <col min="11978" max="11978" width="13" style="17" customWidth="1"/>
    <col min="11979" max="11979" width="14.90625" style="17" customWidth="1"/>
    <col min="11980" max="11980" width="13" style="17" customWidth="1"/>
    <col min="11981" max="11981" width="15.54296875" style="17" customWidth="1"/>
    <col min="11982" max="11982" width="13" style="17" customWidth="1"/>
    <col min="11983" max="11983" width="14.1796875" style="17" customWidth="1"/>
    <col min="11984" max="11984" width="13" style="17" customWidth="1"/>
    <col min="11985" max="11985" width="14.1796875" style="17" customWidth="1"/>
    <col min="11986" max="11986" width="13" style="17" customWidth="1"/>
    <col min="11987" max="11987" width="14.90625" style="17" customWidth="1"/>
    <col min="11988" max="11988" width="13" style="17" customWidth="1"/>
    <col min="11989" max="11989" width="15.54296875" style="17" customWidth="1"/>
    <col min="11990" max="11990" width="13" style="17" customWidth="1"/>
    <col min="11991" max="11991" width="14.1796875" style="17" customWidth="1"/>
    <col min="11992" max="11992" width="13" style="17" customWidth="1"/>
    <col min="11993" max="11993" width="15.54296875" style="17" customWidth="1"/>
    <col min="11994" max="11994" width="15.81640625" style="17" customWidth="1"/>
    <col min="11995" max="11995" width="14.1796875" style="17" customWidth="1"/>
    <col min="11996" max="11996" width="15.81640625" style="17" customWidth="1"/>
    <col min="11997" max="11997" width="15.54296875" style="17" customWidth="1"/>
    <col min="11998" max="11998" width="13" style="17" customWidth="1"/>
    <col min="11999" max="11999" width="14.1796875" style="17" customWidth="1"/>
    <col min="12000" max="12000" width="15.81640625" style="17" customWidth="1"/>
    <col min="12001" max="12001" width="16.453125" style="17" customWidth="1"/>
    <col min="12002" max="12002" width="15.54296875" style="17" customWidth="1"/>
    <col min="12003" max="12003" width="13" style="17" customWidth="1"/>
    <col min="12004" max="12004" width="16" style="17" customWidth="1"/>
    <col min="12005" max="12005" width="13" style="17" customWidth="1"/>
    <col min="12006" max="12006" width="11.08984375" style="17" customWidth="1"/>
    <col min="12007" max="12007" width="15.54296875" style="17" customWidth="1"/>
    <col min="12008" max="12008" width="13" style="17" customWidth="1"/>
    <col min="12009" max="12009" width="14.1796875" style="17" customWidth="1"/>
    <col min="12010" max="12010" width="15.81640625" style="17" customWidth="1"/>
    <col min="12011" max="12011" width="15.54296875" style="17" customWidth="1"/>
    <col min="12012" max="12012" width="13" style="17" customWidth="1"/>
    <col min="12013" max="12013" width="14.1796875" style="17" customWidth="1"/>
    <col min="12014" max="12014" width="15.81640625" style="17" customWidth="1"/>
    <col min="12015" max="12015" width="15.54296875" style="17" customWidth="1"/>
    <col min="12016" max="12016" width="13" style="17" customWidth="1"/>
    <col min="12017" max="12017" width="14.1796875" style="17" customWidth="1"/>
    <col min="12018" max="12018" width="15.81640625" style="17" customWidth="1"/>
    <col min="12019" max="12019" width="9.1796875" style="17"/>
    <col min="12020" max="12020" width="15.54296875" style="17" customWidth="1"/>
    <col min="12021" max="12021" width="13" style="17" customWidth="1"/>
    <col min="12022" max="12022" width="14.1796875" style="17" customWidth="1"/>
    <col min="12023" max="12023" width="15.81640625" style="17" customWidth="1"/>
    <col min="12024" max="12024" width="9.1796875" style="17"/>
    <col min="12025" max="12025" width="16" style="17" customWidth="1"/>
    <col min="12026" max="12026" width="13" style="17" customWidth="1"/>
    <col min="12027" max="12027" width="14.1796875" style="17" customWidth="1"/>
    <col min="12028" max="12028" width="13" style="17" customWidth="1"/>
    <col min="12029" max="12029" width="14.1796875" style="17" customWidth="1"/>
    <col min="12030" max="12030" width="13" style="17" customWidth="1"/>
    <col min="12031" max="12031" width="14.1796875" style="17" customWidth="1"/>
    <col min="12032" max="12032" width="13" style="17" customWidth="1"/>
    <col min="12033" max="12033" width="14.1796875" style="17" customWidth="1"/>
    <col min="12034" max="12034" width="13" style="17" customWidth="1"/>
    <col min="12035" max="12035" width="14.1796875" style="17" customWidth="1"/>
    <col min="12036" max="12037" width="13" style="17" customWidth="1"/>
    <col min="12038" max="12038" width="14.90625" style="17" bestFit="1" customWidth="1"/>
    <col min="12039" max="12039" width="13" style="17" customWidth="1"/>
    <col min="12040" max="12040" width="14.1796875" style="17" customWidth="1"/>
    <col min="12041" max="12041" width="13" style="17" customWidth="1"/>
    <col min="12042" max="12042" width="8.81640625" style="17" customWidth="1"/>
    <col min="12043" max="12043" width="14.1796875" style="17" customWidth="1"/>
    <col min="12044" max="12044" width="13" style="17" customWidth="1"/>
    <col min="12045" max="12045" width="14.1796875" style="17" customWidth="1"/>
    <col min="12046" max="12046" width="13" style="17" customWidth="1"/>
    <col min="12047" max="12047" width="14.1796875" style="17" customWidth="1"/>
    <col min="12048" max="12048" width="13" style="17" customWidth="1"/>
    <col min="12049" max="12049" width="14.1796875" style="17" customWidth="1"/>
    <col min="12050" max="12054" width="13" style="17" customWidth="1"/>
    <col min="12055" max="12055" width="16.81640625" style="17" customWidth="1"/>
    <col min="12056" max="12056" width="14.1796875" style="17" customWidth="1"/>
    <col min="12057" max="12057" width="13" style="17" customWidth="1"/>
    <col min="12058" max="12058" width="14.1796875" style="17" customWidth="1"/>
    <col min="12059" max="12060" width="13.36328125" style="17" customWidth="1"/>
    <col min="12061" max="12061" width="15.6328125" style="17" customWidth="1"/>
    <col min="12062" max="12062" width="14.36328125" style="17" customWidth="1"/>
    <col min="12063" max="12063" width="16" style="17" bestFit="1" customWidth="1"/>
    <col min="12064" max="12064" width="14.1796875" style="17" customWidth="1"/>
    <col min="12065" max="12065" width="13" style="17" customWidth="1"/>
    <col min="12066" max="12066" width="14.1796875" style="17" customWidth="1"/>
    <col min="12067" max="12067" width="13.36328125" style="17" customWidth="1"/>
    <col min="12068" max="12068" width="13.81640625" style="17" bestFit="1" customWidth="1"/>
    <col min="12069" max="12069" width="14.1796875" style="17" bestFit="1" customWidth="1"/>
    <col min="12070" max="12070" width="13.81640625" style="17" bestFit="1" customWidth="1"/>
    <col min="12071" max="12226" width="9.1796875" style="17"/>
    <col min="12227" max="12227" width="3.81640625" style="17" bestFit="1" customWidth="1"/>
    <col min="12228" max="12228" width="39.54296875" style="17" customWidth="1"/>
    <col min="12229" max="12229" width="16" style="17" customWidth="1"/>
    <col min="12230" max="12230" width="13" style="17" customWidth="1"/>
    <col min="12231" max="12231" width="16" style="17" customWidth="1"/>
    <col min="12232" max="12232" width="13" style="17" customWidth="1"/>
    <col min="12233" max="12233" width="14.1796875" style="17" customWidth="1"/>
    <col min="12234" max="12234" width="13" style="17" customWidth="1"/>
    <col min="12235" max="12235" width="14.90625" style="17" customWidth="1"/>
    <col min="12236" max="12236" width="13" style="17" customWidth="1"/>
    <col min="12237" max="12237" width="15.54296875" style="17" customWidth="1"/>
    <col min="12238" max="12238" width="13" style="17" customWidth="1"/>
    <col min="12239" max="12239" width="14.1796875" style="17" customWidth="1"/>
    <col min="12240" max="12240" width="13" style="17" customWidth="1"/>
    <col min="12241" max="12241" width="14.1796875" style="17" customWidth="1"/>
    <col min="12242" max="12242" width="13" style="17" customWidth="1"/>
    <col min="12243" max="12243" width="14.90625" style="17" customWidth="1"/>
    <col min="12244" max="12244" width="13" style="17" customWidth="1"/>
    <col min="12245" max="12245" width="15.54296875" style="17" customWidth="1"/>
    <col min="12246" max="12246" width="13" style="17" customWidth="1"/>
    <col min="12247" max="12247" width="14.1796875" style="17" customWidth="1"/>
    <col min="12248" max="12248" width="13" style="17" customWidth="1"/>
    <col min="12249" max="12249" width="15.54296875" style="17" customWidth="1"/>
    <col min="12250" max="12250" width="15.81640625" style="17" customWidth="1"/>
    <col min="12251" max="12251" width="14.1796875" style="17" customWidth="1"/>
    <col min="12252" max="12252" width="15.81640625" style="17" customWidth="1"/>
    <col min="12253" max="12253" width="15.54296875" style="17" customWidth="1"/>
    <col min="12254" max="12254" width="13" style="17" customWidth="1"/>
    <col min="12255" max="12255" width="14.1796875" style="17" customWidth="1"/>
    <col min="12256" max="12256" width="15.81640625" style="17" customWidth="1"/>
    <col min="12257" max="12257" width="16.453125" style="17" customWidth="1"/>
    <col min="12258" max="12258" width="15.54296875" style="17" customWidth="1"/>
    <col min="12259" max="12259" width="13" style="17" customWidth="1"/>
    <col min="12260" max="12260" width="16" style="17" customWidth="1"/>
    <col min="12261" max="12261" width="13" style="17" customWidth="1"/>
    <col min="12262" max="12262" width="11.08984375" style="17" customWidth="1"/>
    <col min="12263" max="12263" width="15.54296875" style="17" customWidth="1"/>
    <col min="12264" max="12264" width="13" style="17" customWidth="1"/>
    <col min="12265" max="12265" width="14.1796875" style="17" customWidth="1"/>
    <col min="12266" max="12266" width="15.81640625" style="17" customWidth="1"/>
    <col min="12267" max="12267" width="15.54296875" style="17" customWidth="1"/>
    <col min="12268" max="12268" width="13" style="17" customWidth="1"/>
    <col min="12269" max="12269" width="14.1796875" style="17" customWidth="1"/>
    <col min="12270" max="12270" width="15.81640625" style="17" customWidth="1"/>
    <col min="12271" max="12271" width="15.54296875" style="17" customWidth="1"/>
    <col min="12272" max="12272" width="13" style="17" customWidth="1"/>
    <col min="12273" max="12273" width="14.1796875" style="17" customWidth="1"/>
    <col min="12274" max="12274" width="15.81640625" style="17" customWidth="1"/>
    <col min="12275" max="12275" width="9.1796875" style="17"/>
    <col min="12276" max="12276" width="15.54296875" style="17" customWidth="1"/>
    <col min="12277" max="12277" width="13" style="17" customWidth="1"/>
    <col min="12278" max="12278" width="14.1796875" style="17" customWidth="1"/>
    <col min="12279" max="12279" width="15.81640625" style="17" customWidth="1"/>
    <col min="12280" max="12280" width="9.1796875" style="17"/>
    <col min="12281" max="12281" width="16" style="17" customWidth="1"/>
    <col min="12282" max="12282" width="13" style="17" customWidth="1"/>
    <col min="12283" max="12283" width="14.1796875" style="17" customWidth="1"/>
    <col min="12284" max="12284" width="13" style="17" customWidth="1"/>
    <col min="12285" max="12285" width="14.1796875" style="17" customWidth="1"/>
    <col min="12286" max="12286" width="13" style="17" customWidth="1"/>
    <col min="12287" max="12287" width="14.1796875" style="17" customWidth="1"/>
    <col min="12288" max="12288" width="13" style="17" customWidth="1"/>
    <col min="12289" max="12289" width="14.1796875" style="17" customWidth="1"/>
    <col min="12290" max="12290" width="13" style="17" customWidth="1"/>
    <col min="12291" max="12291" width="14.1796875" style="17" customWidth="1"/>
    <col min="12292" max="12293" width="13" style="17" customWidth="1"/>
    <col min="12294" max="12294" width="14.90625" style="17" bestFit="1" customWidth="1"/>
    <col min="12295" max="12295" width="13" style="17" customWidth="1"/>
    <col min="12296" max="12296" width="14.1796875" style="17" customWidth="1"/>
    <col min="12297" max="12297" width="13" style="17" customWidth="1"/>
    <col min="12298" max="12298" width="8.81640625" style="17" customWidth="1"/>
    <col min="12299" max="12299" width="14.1796875" style="17" customWidth="1"/>
    <col min="12300" max="12300" width="13" style="17" customWidth="1"/>
    <col min="12301" max="12301" width="14.1796875" style="17" customWidth="1"/>
    <col min="12302" max="12302" width="13" style="17" customWidth="1"/>
    <col min="12303" max="12303" width="14.1796875" style="17" customWidth="1"/>
    <col min="12304" max="12304" width="13" style="17" customWidth="1"/>
    <col min="12305" max="12305" width="14.1796875" style="17" customWidth="1"/>
    <col min="12306" max="12310" width="13" style="17" customWidth="1"/>
    <col min="12311" max="12311" width="16.81640625" style="17" customWidth="1"/>
    <col min="12312" max="12312" width="14.1796875" style="17" customWidth="1"/>
    <col min="12313" max="12313" width="13" style="17" customWidth="1"/>
    <col min="12314" max="12314" width="14.1796875" style="17" customWidth="1"/>
    <col min="12315" max="12316" width="13.36328125" style="17" customWidth="1"/>
    <col min="12317" max="12317" width="15.6328125" style="17" customWidth="1"/>
    <col min="12318" max="12318" width="14.36328125" style="17" customWidth="1"/>
    <col min="12319" max="12319" width="16" style="17" bestFit="1" customWidth="1"/>
    <col min="12320" max="12320" width="14.1796875" style="17" customWidth="1"/>
    <col min="12321" max="12321" width="13" style="17" customWidth="1"/>
    <col min="12322" max="12322" width="14.1796875" style="17" customWidth="1"/>
    <col min="12323" max="12323" width="13.36328125" style="17" customWidth="1"/>
    <col min="12324" max="12324" width="13.81640625" style="17" bestFit="1" customWidth="1"/>
    <col min="12325" max="12325" width="14.1796875" style="17" bestFit="1" customWidth="1"/>
    <col min="12326" max="12326" width="13.81640625" style="17" bestFit="1" customWidth="1"/>
    <col min="12327" max="12482" width="9.1796875" style="17"/>
    <col min="12483" max="12483" width="3.81640625" style="17" bestFit="1" customWidth="1"/>
    <col min="12484" max="12484" width="39.54296875" style="17" customWidth="1"/>
    <col min="12485" max="12485" width="16" style="17" customWidth="1"/>
    <col min="12486" max="12486" width="13" style="17" customWidth="1"/>
    <col min="12487" max="12487" width="16" style="17" customWidth="1"/>
    <col min="12488" max="12488" width="13" style="17" customWidth="1"/>
    <col min="12489" max="12489" width="14.1796875" style="17" customWidth="1"/>
    <col min="12490" max="12490" width="13" style="17" customWidth="1"/>
    <col min="12491" max="12491" width="14.90625" style="17" customWidth="1"/>
    <col min="12492" max="12492" width="13" style="17" customWidth="1"/>
    <col min="12493" max="12493" width="15.54296875" style="17" customWidth="1"/>
    <col min="12494" max="12494" width="13" style="17" customWidth="1"/>
    <col min="12495" max="12495" width="14.1796875" style="17" customWidth="1"/>
    <col min="12496" max="12496" width="13" style="17" customWidth="1"/>
    <col min="12497" max="12497" width="14.1796875" style="17" customWidth="1"/>
    <col min="12498" max="12498" width="13" style="17" customWidth="1"/>
    <col min="12499" max="12499" width="14.90625" style="17" customWidth="1"/>
    <col min="12500" max="12500" width="13" style="17" customWidth="1"/>
    <col min="12501" max="12501" width="15.54296875" style="17" customWidth="1"/>
    <col min="12502" max="12502" width="13" style="17" customWidth="1"/>
    <col min="12503" max="12503" width="14.1796875" style="17" customWidth="1"/>
    <col min="12504" max="12504" width="13" style="17" customWidth="1"/>
    <col min="12505" max="12505" width="15.54296875" style="17" customWidth="1"/>
    <col min="12506" max="12506" width="15.81640625" style="17" customWidth="1"/>
    <col min="12507" max="12507" width="14.1796875" style="17" customWidth="1"/>
    <col min="12508" max="12508" width="15.81640625" style="17" customWidth="1"/>
    <col min="12509" max="12509" width="15.54296875" style="17" customWidth="1"/>
    <col min="12510" max="12510" width="13" style="17" customWidth="1"/>
    <col min="12511" max="12511" width="14.1796875" style="17" customWidth="1"/>
    <col min="12512" max="12512" width="15.81640625" style="17" customWidth="1"/>
    <col min="12513" max="12513" width="16.453125" style="17" customWidth="1"/>
    <col min="12514" max="12514" width="15.54296875" style="17" customWidth="1"/>
    <col min="12515" max="12515" width="13" style="17" customWidth="1"/>
    <col min="12516" max="12516" width="16" style="17" customWidth="1"/>
    <col min="12517" max="12517" width="13" style="17" customWidth="1"/>
    <col min="12518" max="12518" width="11.08984375" style="17" customWidth="1"/>
    <col min="12519" max="12519" width="15.54296875" style="17" customWidth="1"/>
    <col min="12520" max="12520" width="13" style="17" customWidth="1"/>
    <col min="12521" max="12521" width="14.1796875" style="17" customWidth="1"/>
    <col min="12522" max="12522" width="15.81640625" style="17" customWidth="1"/>
    <col min="12523" max="12523" width="15.54296875" style="17" customWidth="1"/>
    <col min="12524" max="12524" width="13" style="17" customWidth="1"/>
    <col min="12525" max="12525" width="14.1796875" style="17" customWidth="1"/>
    <col min="12526" max="12526" width="15.81640625" style="17" customWidth="1"/>
    <col min="12527" max="12527" width="15.54296875" style="17" customWidth="1"/>
    <col min="12528" max="12528" width="13" style="17" customWidth="1"/>
    <col min="12529" max="12529" width="14.1796875" style="17" customWidth="1"/>
    <col min="12530" max="12530" width="15.81640625" style="17" customWidth="1"/>
    <col min="12531" max="12531" width="9.1796875" style="17"/>
    <col min="12532" max="12532" width="15.54296875" style="17" customWidth="1"/>
    <col min="12533" max="12533" width="13" style="17" customWidth="1"/>
    <col min="12534" max="12534" width="14.1796875" style="17" customWidth="1"/>
    <col min="12535" max="12535" width="15.81640625" style="17" customWidth="1"/>
    <col min="12536" max="12536" width="9.1796875" style="17"/>
    <col min="12537" max="12537" width="16" style="17" customWidth="1"/>
    <col min="12538" max="12538" width="13" style="17" customWidth="1"/>
    <col min="12539" max="12539" width="14.1796875" style="17" customWidth="1"/>
    <col min="12540" max="12540" width="13" style="17" customWidth="1"/>
    <col min="12541" max="12541" width="14.1796875" style="17" customWidth="1"/>
    <col min="12542" max="12542" width="13" style="17" customWidth="1"/>
    <col min="12543" max="12543" width="14.1796875" style="17" customWidth="1"/>
    <col min="12544" max="12544" width="13" style="17" customWidth="1"/>
    <col min="12545" max="12545" width="14.1796875" style="17" customWidth="1"/>
    <col min="12546" max="12546" width="13" style="17" customWidth="1"/>
    <col min="12547" max="12547" width="14.1796875" style="17" customWidth="1"/>
    <col min="12548" max="12549" width="13" style="17" customWidth="1"/>
    <col min="12550" max="12550" width="14.90625" style="17" bestFit="1" customWidth="1"/>
    <col min="12551" max="12551" width="13" style="17" customWidth="1"/>
    <col min="12552" max="12552" width="14.1796875" style="17" customWidth="1"/>
    <col min="12553" max="12553" width="13" style="17" customWidth="1"/>
    <col min="12554" max="12554" width="8.81640625" style="17" customWidth="1"/>
    <col min="12555" max="12555" width="14.1796875" style="17" customWidth="1"/>
    <col min="12556" max="12556" width="13" style="17" customWidth="1"/>
    <col min="12557" max="12557" width="14.1796875" style="17" customWidth="1"/>
    <col min="12558" max="12558" width="13" style="17" customWidth="1"/>
    <col min="12559" max="12559" width="14.1796875" style="17" customWidth="1"/>
    <col min="12560" max="12560" width="13" style="17" customWidth="1"/>
    <col min="12561" max="12561" width="14.1796875" style="17" customWidth="1"/>
    <col min="12562" max="12566" width="13" style="17" customWidth="1"/>
    <col min="12567" max="12567" width="16.81640625" style="17" customWidth="1"/>
    <col min="12568" max="12568" width="14.1796875" style="17" customWidth="1"/>
    <col min="12569" max="12569" width="13" style="17" customWidth="1"/>
    <col min="12570" max="12570" width="14.1796875" style="17" customWidth="1"/>
    <col min="12571" max="12572" width="13.36328125" style="17" customWidth="1"/>
    <col min="12573" max="12573" width="15.6328125" style="17" customWidth="1"/>
    <col min="12574" max="12574" width="14.36328125" style="17" customWidth="1"/>
    <col min="12575" max="12575" width="16" style="17" bestFit="1" customWidth="1"/>
    <col min="12576" max="12576" width="14.1796875" style="17" customWidth="1"/>
    <col min="12577" max="12577" width="13" style="17" customWidth="1"/>
    <col min="12578" max="12578" width="14.1796875" style="17" customWidth="1"/>
    <col min="12579" max="12579" width="13.36328125" style="17" customWidth="1"/>
    <col min="12580" max="12580" width="13.81640625" style="17" bestFit="1" customWidth="1"/>
    <col min="12581" max="12581" width="14.1796875" style="17" bestFit="1" customWidth="1"/>
    <col min="12582" max="12582" width="13.81640625" style="17" bestFit="1" customWidth="1"/>
    <col min="12583" max="12738" width="9.1796875" style="17"/>
    <col min="12739" max="12739" width="3.81640625" style="17" bestFit="1" customWidth="1"/>
    <col min="12740" max="12740" width="39.54296875" style="17" customWidth="1"/>
    <col min="12741" max="12741" width="16" style="17" customWidth="1"/>
    <col min="12742" max="12742" width="13" style="17" customWidth="1"/>
    <col min="12743" max="12743" width="16" style="17" customWidth="1"/>
    <col min="12744" max="12744" width="13" style="17" customWidth="1"/>
    <col min="12745" max="12745" width="14.1796875" style="17" customWidth="1"/>
    <col min="12746" max="12746" width="13" style="17" customWidth="1"/>
    <col min="12747" max="12747" width="14.90625" style="17" customWidth="1"/>
    <col min="12748" max="12748" width="13" style="17" customWidth="1"/>
    <col min="12749" max="12749" width="15.54296875" style="17" customWidth="1"/>
    <col min="12750" max="12750" width="13" style="17" customWidth="1"/>
    <col min="12751" max="12751" width="14.1796875" style="17" customWidth="1"/>
    <col min="12752" max="12752" width="13" style="17" customWidth="1"/>
    <col min="12753" max="12753" width="14.1796875" style="17" customWidth="1"/>
    <col min="12754" max="12754" width="13" style="17" customWidth="1"/>
    <col min="12755" max="12755" width="14.90625" style="17" customWidth="1"/>
    <col min="12756" max="12756" width="13" style="17" customWidth="1"/>
    <col min="12757" max="12757" width="15.54296875" style="17" customWidth="1"/>
    <col min="12758" max="12758" width="13" style="17" customWidth="1"/>
    <col min="12759" max="12759" width="14.1796875" style="17" customWidth="1"/>
    <col min="12760" max="12760" width="13" style="17" customWidth="1"/>
    <col min="12761" max="12761" width="15.54296875" style="17" customWidth="1"/>
    <col min="12762" max="12762" width="15.81640625" style="17" customWidth="1"/>
    <col min="12763" max="12763" width="14.1796875" style="17" customWidth="1"/>
    <col min="12764" max="12764" width="15.81640625" style="17" customWidth="1"/>
    <col min="12765" max="12765" width="15.54296875" style="17" customWidth="1"/>
    <col min="12766" max="12766" width="13" style="17" customWidth="1"/>
    <col min="12767" max="12767" width="14.1796875" style="17" customWidth="1"/>
    <col min="12768" max="12768" width="15.81640625" style="17" customWidth="1"/>
    <col min="12769" max="12769" width="16.453125" style="17" customWidth="1"/>
    <col min="12770" max="12770" width="15.54296875" style="17" customWidth="1"/>
    <col min="12771" max="12771" width="13" style="17" customWidth="1"/>
    <col min="12772" max="12772" width="16" style="17" customWidth="1"/>
    <col min="12773" max="12773" width="13" style="17" customWidth="1"/>
    <col min="12774" max="12774" width="11.08984375" style="17" customWidth="1"/>
    <col min="12775" max="12775" width="15.54296875" style="17" customWidth="1"/>
    <col min="12776" max="12776" width="13" style="17" customWidth="1"/>
    <col min="12777" max="12777" width="14.1796875" style="17" customWidth="1"/>
    <col min="12778" max="12778" width="15.81640625" style="17" customWidth="1"/>
    <col min="12779" max="12779" width="15.54296875" style="17" customWidth="1"/>
    <col min="12780" max="12780" width="13" style="17" customWidth="1"/>
    <col min="12781" max="12781" width="14.1796875" style="17" customWidth="1"/>
    <col min="12782" max="12782" width="15.81640625" style="17" customWidth="1"/>
    <col min="12783" max="12783" width="15.54296875" style="17" customWidth="1"/>
    <col min="12784" max="12784" width="13" style="17" customWidth="1"/>
    <col min="12785" max="12785" width="14.1796875" style="17" customWidth="1"/>
    <col min="12786" max="12786" width="15.81640625" style="17" customWidth="1"/>
    <col min="12787" max="12787" width="9.1796875" style="17"/>
    <col min="12788" max="12788" width="15.54296875" style="17" customWidth="1"/>
    <col min="12789" max="12789" width="13" style="17" customWidth="1"/>
    <col min="12790" max="12790" width="14.1796875" style="17" customWidth="1"/>
    <col min="12791" max="12791" width="15.81640625" style="17" customWidth="1"/>
    <col min="12792" max="12792" width="9.1796875" style="17"/>
    <col min="12793" max="12793" width="16" style="17" customWidth="1"/>
    <col min="12794" max="12794" width="13" style="17" customWidth="1"/>
    <col min="12795" max="12795" width="14.1796875" style="17" customWidth="1"/>
    <col min="12796" max="12796" width="13" style="17" customWidth="1"/>
    <col min="12797" max="12797" width="14.1796875" style="17" customWidth="1"/>
    <col min="12798" max="12798" width="13" style="17" customWidth="1"/>
    <col min="12799" max="12799" width="14.1796875" style="17" customWidth="1"/>
    <col min="12800" max="12800" width="13" style="17" customWidth="1"/>
    <col min="12801" max="12801" width="14.1796875" style="17" customWidth="1"/>
    <col min="12802" max="12802" width="13" style="17" customWidth="1"/>
    <col min="12803" max="12803" width="14.1796875" style="17" customWidth="1"/>
    <col min="12804" max="12805" width="13" style="17" customWidth="1"/>
    <col min="12806" max="12806" width="14.90625" style="17" bestFit="1" customWidth="1"/>
    <col min="12807" max="12807" width="13" style="17" customWidth="1"/>
    <col min="12808" max="12808" width="14.1796875" style="17" customWidth="1"/>
    <col min="12809" max="12809" width="13" style="17" customWidth="1"/>
    <col min="12810" max="12810" width="8.81640625" style="17" customWidth="1"/>
    <col min="12811" max="12811" width="14.1796875" style="17" customWidth="1"/>
    <col min="12812" max="12812" width="13" style="17" customWidth="1"/>
    <col min="12813" max="12813" width="14.1796875" style="17" customWidth="1"/>
    <col min="12814" max="12814" width="13" style="17" customWidth="1"/>
    <col min="12815" max="12815" width="14.1796875" style="17" customWidth="1"/>
    <col min="12816" max="12816" width="13" style="17" customWidth="1"/>
    <col min="12817" max="12817" width="14.1796875" style="17" customWidth="1"/>
    <col min="12818" max="12822" width="13" style="17" customWidth="1"/>
    <col min="12823" max="12823" width="16.81640625" style="17" customWidth="1"/>
    <col min="12824" max="12824" width="14.1796875" style="17" customWidth="1"/>
    <col min="12825" max="12825" width="13" style="17" customWidth="1"/>
    <col min="12826" max="12826" width="14.1796875" style="17" customWidth="1"/>
    <col min="12827" max="12828" width="13.36328125" style="17" customWidth="1"/>
    <col min="12829" max="12829" width="15.6328125" style="17" customWidth="1"/>
    <col min="12830" max="12830" width="14.36328125" style="17" customWidth="1"/>
    <col min="12831" max="12831" width="16" style="17" bestFit="1" customWidth="1"/>
    <col min="12832" max="12832" width="14.1796875" style="17" customWidth="1"/>
    <col min="12833" max="12833" width="13" style="17" customWidth="1"/>
    <col min="12834" max="12834" width="14.1796875" style="17" customWidth="1"/>
    <col min="12835" max="12835" width="13.36328125" style="17" customWidth="1"/>
    <col min="12836" max="12836" width="13.81640625" style="17" bestFit="1" customWidth="1"/>
    <col min="12837" max="12837" width="14.1796875" style="17" bestFit="1" customWidth="1"/>
    <col min="12838" max="12838" width="13.81640625" style="17" bestFit="1" customWidth="1"/>
    <col min="12839" max="12994" width="9.1796875" style="17"/>
    <col min="12995" max="12995" width="3.81640625" style="17" bestFit="1" customWidth="1"/>
    <col min="12996" max="12996" width="39.54296875" style="17" customWidth="1"/>
    <col min="12997" max="12997" width="16" style="17" customWidth="1"/>
    <col min="12998" max="12998" width="13" style="17" customWidth="1"/>
    <col min="12999" max="12999" width="16" style="17" customWidth="1"/>
    <col min="13000" max="13000" width="13" style="17" customWidth="1"/>
    <col min="13001" max="13001" width="14.1796875" style="17" customWidth="1"/>
    <col min="13002" max="13002" width="13" style="17" customWidth="1"/>
    <col min="13003" max="13003" width="14.90625" style="17" customWidth="1"/>
    <col min="13004" max="13004" width="13" style="17" customWidth="1"/>
    <col min="13005" max="13005" width="15.54296875" style="17" customWidth="1"/>
    <col min="13006" max="13006" width="13" style="17" customWidth="1"/>
    <col min="13007" max="13007" width="14.1796875" style="17" customWidth="1"/>
    <col min="13008" max="13008" width="13" style="17" customWidth="1"/>
    <col min="13009" max="13009" width="14.1796875" style="17" customWidth="1"/>
    <col min="13010" max="13010" width="13" style="17" customWidth="1"/>
    <col min="13011" max="13011" width="14.90625" style="17" customWidth="1"/>
    <col min="13012" max="13012" width="13" style="17" customWidth="1"/>
    <col min="13013" max="13013" width="15.54296875" style="17" customWidth="1"/>
    <col min="13014" max="13014" width="13" style="17" customWidth="1"/>
    <col min="13015" max="13015" width="14.1796875" style="17" customWidth="1"/>
    <col min="13016" max="13016" width="13" style="17" customWidth="1"/>
    <col min="13017" max="13017" width="15.54296875" style="17" customWidth="1"/>
    <col min="13018" max="13018" width="15.81640625" style="17" customWidth="1"/>
    <col min="13019" max="13019" width="14.1796875" style="17" customWidth="1"/>
    <col min="13020" max="13020" width="15.81640625" style="17" customWidth="1"/>
    <col min="13021" max="13021" width="15.54296875" style="17" customWidth="1"/>
    <col min="13022" max="13022" width="13" style="17" customWidth="1"/>
    <col min="13023" max="13023" width="14.1796875" style="17" customWidth="1"/>
    <col min="13024" max="13024" width="15.81640625" style="17" customWidth="1"/>
    <col min="13025" max="13025" width="16.453125" style="17" customWidth="1"/>
    <col min="13026" max="13026" width="15.54296875" style="17" customWidth="1"/>
    <col min="13027" max="13027" width="13" style="17" customWidth="1"/>
    <col min="13028" max="13028" width="16" style="17" customWidth="1"/>
    <col min="13029" max="13029" width="13" style="17" customWidth="1"/>
    <col min="13030" max="13030" width="11.08984375" style="17" customWidth="1"/>
    <col min="13031" max="13031" width="15.54296875" style="17" customWidth="1"/>
    <col min="13032" max="13032" width="13" style="17" customWidth="1"/>
    <col min="13033" max="13033" width="14.1796875" style="17" customWidth="1"/>
    <col min="13034" max="13034" width="15.81640625" style="17" customWidth="1"/>
    <col min="13035" max="13035" width="15.54296875" style="17" customWidth="1"/>
    <col min="13036" max="13036" width="13" style="17" customWidth="1"/>
    <col min="13037" max="13037" width="14.1796875" style="17" customWidth="1"/>
    <col min="13038" max="13038" width="15.81640625" style="17" customWidth="1"/>
    <col min="13039" max="13039" width="15.54296875" style="17" customWidth="1"/>
    <col min="13040" max="13040" width="13" style="17" customWidth="1"/>
    <col min="13041" max="13041" width="14.1796875" style="17" customWidth="1"/>
    <col min="13042" max="13042" width="15.81640625" style="17" customWidth="1"/>
    <col min="13043" max="13043" width="9.1796875" style="17"/>
    <col min="13044" max="13044" width="15.54296875" style="17" customWidth="1"/>
    <col min="13045" max="13045" width="13" style="17" customWidth="1"/>
    <col min="13046" max="13046" width="14.1796875" style="17" customWidth="1"/>
    <col min="13047" max="13047" width="15.81640625" style="17" customWidth="1"/>
    <col min="13048" max="13048" width="9.1796875" style="17"/>
    <col min="13049" max="13049" width="16" style="17" customWidth="1"/>
    <col min="13050" max="13050" width="13" style="17" customWidth="1"/>
    <col min="13051" max="13051" width="14.1796875" style="17" customWidth="1"/>
    <col min="13052" max="13052" width="13" style="17" customWidth="1"/>
    <col min="13053" max="13053" width="14.1796875" style="17" customWidth="1"/>
    <col min="13054" max="13054" width="13" style="17" customWidth="1"/>
    <col min="13055" max="13055" width="14.1796875" style="17" customWidth="1"/>
    <col min="13056" max="13056" width="13" style="17" customWidth="1"/>
    <col min="13057" max="13057" width="14.1796875" style="17" customWidth="1"/>
    <col min="13058" max="13058" width="13" style="17" customWidth="1"/>
    <col min="13059" max="13059" width="14.1796875" style="17" customWidth="1"/>
    <col min="13060" max="13061" width="13" style="17" customWidth="1"/>
    <col min="13062" max="13062" width="14.90625" style="17" bestFit="1" customWidth="1"/>
    <col min="13063" max="13063" width="13" style="17" customWidth="1"/>
    <col min="13064" max="13064" width="14.1796875" style="17" customWidth="1"/>
    <col min="13065" max="13065" width="13" style="17" customWidth="1"/>
    <col min="13066" max="13066" width="8.81640625" style="17" customWidth="1"/>
    <col min="13067" max="13067" width="14.1796875" style="17" customWidth="1"/>
    <col min="13068" max="13068" width="13" style="17" customWidth="1"/>
    <col min="13069" max="13069" width="14.1796875" style="17" customWidth="1"/>
    <col min="13070" max="13070" width="13" style="17" customWidth="1"/>
    <col min="13071" max="13071" width="14.1796875" style="17" customWidth="1"/>
    <col min="13072" max="13072" width="13" style="17" customWidth="1"/>
    <col min="13073" max="13073" width="14.1796875" style="17" customWidth="1"/>
    <col min="13074" max="13078" width="13" style="17" customWidth="1"/>
    <col min="13079" max="13079" width="16.81640625" style="17" customWidth="1"/>
    <col min="13080" max="13080" width="14.1796875" style="17" customWidth="1"/>
    <col min="13081" max="13081" width="13" style="17" customWidth="1"/>
    <col min="13082" max="13082" width="14.1796875" style="17" customWidth="1"/>
    <col min="13083" max="13084" width="13.36328125" style="17" customWidth="1"/>
    <col min="13085" max="13085" width="15.6328125" style="17" customWidth="1"/>
    <col min="13086" max="13086" width="14.36328125" style="17" customWidth="1"/>
    <col min="13087" max="13087" width="16" style="17" bestFit="1" customWidth="1"/>
    <col min="13088" max="13088" width="14.1796875" style="17" customWidth="1"/>
    <col min="13089" max="13089" width="13" style="17" customWidth="1"/>
    <col min="13090" max="13090" width="14.1796875" style="17" customWidth="1"/>
    <col min="13091" max="13091" width="13.36328125" style="17" customWidth="1"/>
    <col min="13092" max="13092" width="13.81640625" style="17" bestFit="1" customWidth="1"/>
    <col min="13093" max="13093" width="14.1796875" style="17" bestFit="1" customWidth="1"/>
    <col min="13094" max="13094" width="13.81640625" style="17" bestFit="1" customWidth="1"/>
    <col min="13095" max="13250" width="9.1796875" style="17"/>
    <col min="13251" max="13251" width="3.81640625" style="17" bestFit="1" customWidth="1"/>
    <col min="13252" max="13252" width="39.54296875" style="17" customWidth="1"/>
    <col min="13253" max="13253" width="16" style="17" customWidth="1"/>
    <col min="13254" max="13254" width="13" style="17" customWidth="1"/>
    <col min="13255" max="13255" width="16" style="17" customWidth="1"/>
    <col min="13256" max="13256" width="13" style="17" customWidth="1"/>
    <col min="13257" max="13257" width="14.1796875" style="17" customWidth="1"/>
    <col min="13258" max="13258" width="13" style="17" customWidth="1"/>
    <col min="13259" max="13259" width="14.90625" style="17" customWidth="1"/>
    <col min="13260" max="13260" width="13" style="17" customWidth="1"/>
    <col min="13261" max="13261" width="15.54296875" style="17" customWidth="1"/>
    <col min="13262" max="13262" width="13" style="17" customWidth="1"/>
    <col min="13263" max="13263" width="14.1796875" style="17" customWidth="1"/>
    <col min="13264" max="13264" width="13" style="17" customWidth="1"/>
    <col min="13265" max="13265" width="14.1796875" style="17" customWidth="1"/>
    <col min="13266" max="13266" width="13" style="17" customWidth="1"/>
    <col min="13267" max="13267" width="14.90625" style="17" customWidth="1"/>
    <col min="13268" max="13268" width="13" style="17" customWidth="1"/>
    <col min="13269" max="13269" width="15.54296875" style="17" customWidth="1"/>
    <col min="13270" max="13270" width="13" style="17" customWidth="1"/>
    <col min="13271" max="13271" width="14.1796875" style="17" customWidth="1"/>
    <col min="13272" max="13272" width="13" style="17" customWidth="1"/>
    <col min="13273" max="13273" width="15.54296875" style="17" customWidth="1"/>
    <col min="13274" max="13274" width="15.81640625" style="17" customWidth="1"/>
    <col min="13275" max="13275" width="14.1796875" style="17" customWidth="1"/>
    <col min="13276" max="13276" width="15.81640625" style="17" customWidth="1"/>
    <col min="13277" max="13277" width="15.54296875" style="17" customWidth="1"/>
    <col min="13278" max="13278" width="13" style="17" customWidth="1"/>
    <col min="13279" max="13279" width="14.1796875" style="17" customWidth="1"/>
    <col min="13280" max="13280" width="15.81640625" style="17" customWidth="1"/>
    <col min="13281" max="13281" width="16.453125" style="17" customWidth="1"/>
    <col min="13282" max="13282" width="15.54296875" style="17" customWidth="1"/>
    <col min="13283" max="13283" width="13" style="17" customWidth="1"/>
    <col min="13284" max="13284" width="16" style="17" customWidth="1"/>
    <col min="13285" max="13285" width="13" style="17" customWidth="1"/>
    <col min="13286" max="13286" width="11.08984375" style="17" customWidth="1"/>
    <col min="13287" max="13287" width="15.54296875" style="17" customWidth="1"/>
    <col min="13288" max="13288" width="13" style="17" customWidth="1"/>
    <col min="13289" max="13289" width="14.1796875" style="17" customWidth="1"/>
    <col min="13290" max="13290" width="15.81640625" style="17" customWidth="1"/>
    <col min="13291" max="13291" width="15.54296875" style="17" customWidth="1"/>
    <col min="13292" max="13292" width="13" style="17" customWidth="1"/>
    <col min="13293" max="13293" width="14.1796875" style="17" customWidth="1"/>
    <col min="13294" max="13294" width="15.81640625" style="17" customWidth="1"/>
    <col min="13295" max="13295" width="15.54296875" style="17" customWidth="1"/>
    <col min="13296" max="13296" width="13" style="17" customWidth="1"/>
    <col min="13297" max="13297" width="14.1796875" style="17" customWidth="1"/>
    <col min="13298" max="13298" width="15.81640625" style="17" customWidth="1"/>
    <col min="13299" max="13299" width="9.1796875" style="17"/>
    <col min="13300" max="13300" width="15.54296875" style="17" customWidth="1"/>
    <col min="13301" max="13301" width="13" style="17" customWidth="1"/>
    <col min="13302" max="13302" width="14.1796875" style="17" customWidth="1"/>
    <col min="13303" max="13303" width="15.81640625" style="17" customWidth="1"/>
    <col min="13304" max="13304" width="9.1796875" style="17"/>
    <col min="13305" max="13305" width="16" style="17" customWidth="1"/>
    <col min="13306" max="13306" width="13" style="17" customWidth="1"/>
    <col min="13307" max="13307" width="14.1796875" style="17" customWidth="1"/>
    <col min="13308" max="13308" width="13" style="17" customWidth="1"/>
    <col min="13309" max="13309" width="14.1796875" style="17" customWidth="1"/>
    <col min="13310" max="13310" width="13" style="17" customWidth="1"/>
    <col min="13311" max="13311" width="14.1796875" style="17" customWidth="1"/>
    <col min="13312" max="13312" width="13" style="17" customWidth="1"/>
    <col min="13313" max="13313" width="14.1796875" style="17" customWidth="1"/>
    <col min="13314" max="13314" width="13" style="17" customWidth="1"/>
    <col min="13315" max="13315" width="14.1796875" style="17" customWidth="1"/>
    <col min="13316" max="13317" width="13" style="17" customWidth="1"/>
    <col min="13318" max="13318" width="14.90625" style="17" bestFit="1" customWidth="1"/>
    <col min="13319" max="13319" width="13" style="17" customWidth="1"/>
    <col min="13320" max="13320" width="14.1796875" style="17" customWidth="1"/>
    <col min="13321" max="13321" width="13" style="17" customWidth="1"/>
    <col min="13322" max="13322" width="8.81640625" style="17" customWidth="1"/>
    <col min="13323" max="13323" width="14.1796875" style="17" customWidth="1"/>
    <col min="13324" max="13324" width="13" style="17" customWidth="1"/>
    <col min="13325" max="13325" width="14.1796875" style="17" customWidth="1"/>
    <col min="13326" max="13326" width="13" style="17" customWidth="1"/>
    <col min="13327" max="13327" width="14.1796875" style="17" customWidth="1"/>
    <col min="13328" max="13328" width="13" style="17" customWidth="1"/>
    <col min="13329" max="13329" width="14.1796875" style="17" customWidth="1"/>
    <col min="13330" max="13334" width="13" style="17" customWidth="1"/>
    <col min="13335" max="13335" width="16.81640625" style="17" customWidth="1"/>
    <col min="13336" max="13336" width="14.1796875" style="17" customWidth="1"/>
    <col min="13337" max="13337" width="13" style="17" customWidth="1"/>
    <col min="13338" max="13338" width="14.1796875" style="17" customWidth="1"/>
    <col min="13339" max="13340" width="13.36328125" style="17" customWidth="1"/>
    <col min="13341" max="13341" width="15.6328125" style="17" customWidth="1"/>
    <col min="13342" max="13342" width="14.36328125" style="17" customWidth="1"/>
    <col min="13343" max="13343" width="16" style="17" bestFit="1" customWidth="1"/>
    <col min="13344" max="13344" width="14.1796875" style="17" customWidth="1"/>
    <col min="13345" max="13345" width="13" style="17" customWidth="1"/>
    <col min="13346" max="13346" width="14.1796875" style="17" customWidth="1"/>
    <col min="13347" max="13347" width="13.36328125" style="17" customWidth="1"/>
    <col min="13348" max="13348" width="13.81640625" style="17" bestFit="1" customWidth="1"/>
    <col min="13349" max="13349" width="14.1796875" style="17" bestFit="1" customWidth="1"/>
    <col min="13350" max="13350" width="13.81640625" style="17" bestFit="1" customWidth="1"/>
    <col min="13351" max="13506" width="9.1796875" style="17"/>
    <col min="13507" max="13507" width="3.81640625" style="17" bestFit="1" customWidth="1"/>
    <col min="13508" max="13508" width="39.54296875" style="17" customWidth="1"/>
    <col min="13509" max="13509" width="16" style="17" customWidth="1"/>
    <col min="13510" max="13510" width="13" style="17" customWidth="1"/>
    <col min="13511" max="13511" width="16" style="17" customWidth="1"/>
    <col min="13512" max="13512" width="13" style="17" customWidth="1"/>
    <col min="13513" max="13513" width="14.1796875" style="17" customWidth="1"/>
    <col min="13514" max="13514" width="13" style="17" customWidth="1"/>
    <col min="13515" max="13515" width="14.90625" style="17" customWidth="1"/>
    <col min="13516" max="13516" width="13" style="17" customWidth="1"/>
    <col min="13517" max="13517" width="15.54296875" style="17" customWidth="1"/>
    <col min="13518" max="13518" width="13" style="17" customWidth="1"/>
    <col min="13519" max="13519" width="14.1796875" style="17" customWidth="1"/>
    <col min="13520" max="13520" width="13" style="17" customWidth="1"/>
    <col min="13521" max="13521" width="14.1796875" style="17" customWidth="1"/>
    <col min="13522" max="13522" width="13" style="17" customWidth="1"/>
    <col min="13523" max="13523" width="14.90625" style="17" customWidth="1"/>
    <col min="13524" max="13524" width="13" style="17" customWidth="1"/>
    <col min="13525" max="13525" width="15.54296875" style="17" customWidth="1"/>
    <col min="13526" max="13526" width="13" style="17" customWidth="1"/>
    <col min="13527" max="13527" width="14.1796875" style="17" customWidth="1"/>
    <col min="13528" max="13528" width="13" style="17" customWidth="1"/>
    <col min="13529" max="13529" width="15.54296875" style="17" customWidth="1"/>
    <col min="13530" max="13530" width="15.81640625" style="17" customWidth="1"/>
    <col min="13531" max="13531" width="14.1796875" style="17" customWidth="1"/>
    <col min="13532" max="13532" width="15.81640625" style="17" customWidth="1"/>
    <col min="13533" max="13533" width="15.54296875" style="17" customWidth="1"/>
    <col min="13534" max="13534" width="13" style="17" customWidth="1"/>
    <col min="13535" max="13535" width="14.1796875" style="17" customWidth="1"/>
    <col min="13536" max="13536" width="15.81640625" style="17" customWidth="1"/>
    <col min="13537" max="13537" width="16.453125" style="17" customWidth="1"/>
    <col min="13538" max="13538" width="15.54296875" style="17" customWidth="1"/>
    <col min="13539" max="13539" width="13" style="17" customWidth="1"/>
    <col min="13540" max="13540" width="16" style="17" customWidth="1"/>
    <col min="13541" max="13541" width="13" style="17" customWidth="1"/>
    <col min="13542" max="13542" width="11.08984375" style="17" customWidth="1"/>
    <col min="13543" max="13543" width="15.54296875" style="17" customWidth="1"/>
    <col min="13544" max="13544" width="13" style="17" customWidth="1"/>
    <col min="13545" max="13545" width="14.1796875" style="17" customWidth="1"/>
    <col min="13546" max="13546" width="15.81640625" style="17" customWidth="1"/>
    <col min="13547" max="13547" width="15.54296875" style="17" customWidth="1"/>
    <col min="13548" max="13548" width="13" style="17" customWidth="1"/>
    <col min="13549" max="13549" width="14.1796875" style="17" customWidth="1"/>
    <col min="13550" max="13550" width="15.81640625" style="17" customWidth="1"/>
    <col min="13551" max="13551" width="15.54296875" style="17" customWidth="1"/>
    <col min="13552" max="13552" width="13" style="17" customWidth="1"/>
    <col min="13553" max="13553" width="14.1796875" style="17" customWidth="1"/>
    <col min="13554" max="13554" width="15.81640625" style="17" customWidth="1"/>
    <col min="13555" max="13555" width="9.1796875" style="17"/>
    <col min="13556" max="13556" width="15.54296875" style="17" customWidth="1"/>
    <col min="13557" max="13557" width="13" style="17" customWidth="1"/>
    <col min="13558" max="13558" width="14.1796875" style="17" customWidth="1"/>
    <col min="13559" max="13559" width="15.81640625" style="17" customWidth="1"/>
    <col min="13560" max="13560" width="9.1796875" style="17"/>
    <col min="13561" max="13561" width="16" style="17" customWidth="1"/>
    <col min="13562" max="13562" width="13" style="17" customWidth="1"/>
    <col min="13563" max="13563" width="14.1796875" style="17" customWidth="1"/>
    <col min="13564" max="13564" width="13" style="17" customWidth="1"/>
    <col min="13565" max="13565" width="14.1796875" style="17" customWidth="1"/>
    <col min="13566" max="13566" width="13" style="17" customWidth="1"/>
    <col min="13567" max="13567" width="14.1796875" style="17" customWidth="1"/>
    <col min="13568" max="13568" width="13" style="17" customWidth="1"/>
    <col min="13569" max="13569" width="14.1796875" style="17" customWidth="1"/>
    <col min="13570" max="13570" width="13" style="17" customWidth="1"/>
    <col min="13571" max="13571" width="14.1796875" style="17" customWidth="1"/>
    <col min="13572" max="13573" width="13" style="17" customWidth="1"/>
    <col min="13574" max="13574" width="14.90625" style="17" bestFit="1" customWidth="1"/>
    <col min="13575" max="13575" width="13" style="17" customWidth="1"/>
    <col min="13576" max="13576" width="14.1796875" style="17" customWidth="1"/>
    <col min="13577" max="13577" width="13" style="17" customWidth="1"/>
    <col min="13578" max="13578" width="8.81640625" style="17" customWidth="1"/>
    <col min="13579" max="13579" width="14.1796875" style="17" customWidth="1"/>
    <col min="13580" max="13580" width="13" style="17" customWidth="1"/>
    <col min="13581" max="13581" width="14.1796875" style="17" customWidth="1"/>
    <col min="13582" max="13582" width="13" style="17" customWidth="1"/>
    <col min="13583" max="13583" width="14.1796875" style="17" customWidth="1"/>
    <col min="13584" max="13584" width="13" style="17" customWidth="1"/>
    <col min="13585" max="13585" width="14.1796875" style="17" customWidth="1"/>
    <col min="13586" max="13590" width="13" style="17" customWidth="1"/>
    <col min="13591" max="13591" width="16.81640625" style="17" customWidth="1"/>
    <col min="13592" max="13592" width="14.1796875" style="17" customWidth="1"/>
    <col min="13593" max="13593" width="13" style="17" customWidth="1"/>
    <col min="13594" max="13594" width="14.1796875" style="17" customWidth="1"/>
    <col min="13595" max="13596" width="13.36328125" style="17" customWidth="1"/>
    <col min="13597" max="13597" width="15.6328125" style="17" customWidth="1"/>
    <col min="13598" max="13598" width="14.36328125" style="17" customWidth="1"/>
    <col min="13599" max="13599" width="16" style="17" bestFit="1" customWidth="1"/>
    <col min="13600" max="13600" width="14.1796875" style="17" customWidth="1"/>
    <col min="13601" max="13601" width="13" style="17" customWidth="1"/>
    <col min="13602" max="13602" width="14.1796875" style="17" customWidth="1"/>
    <col min="13603" max="13603" width="13.36328125" style="17" customWidth="1"/>
    <col min="13604" max="13604" width="13.81640625" style="17" bestFit="1" customWidth="1"/>
    <col min="13605" max="13605" width="14.1796875" style="17" bestFit="1" customWidth="1"/>
    <col min="13606" max="13606" width="13.81640625" style="17" bestFit="1" customWidth="1"/>
    <col min="13607" max="13762" width="9.1796875" style="17"/>
    <col min="13763" max="13763" width="3.81640625" style="17" bestFit="1" customWidth="1"/>
    <col min="13764" max="13764" width="39.54296875" style="17" customWidth="1"/>
    <col min="13765" max="13765" width="16" style="17" customWidth="1"/>
    <col min="13766" max="13766" width="13" style="17" customWidth="1"/>
    <col min="13767" max="13767" width="16" style="17" customWidth="1"/>
    <col min="13768" max="13768" width="13" style="17" customWidth="1"/>
    <col min="13769" max="13769" width="14.1796875" style="17" customWidth="1"/>
    <col min="13770" max="13770" width="13" style="17" customWidth="1"/>
    <col min="13771" max="13771" width="14.90625" style="17" customWidth="1"/>
    <col min="13772" max="13772" width="13" style="17" customWidth="1"/>
    <col min="13773" max="13773" width="15.54296875" style="17" customWidth="1"/>
    <col min="13774" max="13774" width="13" style="17" customWidth="1"/>
    <col min="13775" max="13775" width="14.1796875" style="17" customWidth="1"/>
    <col min="13776" max="13776" width="13" style="17" customWidth="1"/>
    <col min="13777" max="13777" width="14.1796875" style="17" customWidth="1"/>
    <col min="13778" max="13778" width="13" style="17" customWidth="1"/>
    <col min="13779" max="13779" width="14.90625" style="17" customWidth="1"/>
    <col min="13780" max="13780" width="13" style="17" customWidth="1"/>
    <col min="13781" max="13781" width="15.54296875" style="17" customWidth="1"/>
    <col min="13782" max="13782" width="13" style="17" customWidth="1"/>
    <col min="13783" max="13783" width="14.1796875" style="17" customWidth="1"/>
    <col min="13784" max="13784" width="13" style="17" customWidth="1"/>
    <col min="13785" max="13785" width="15.54296875" style="17" customWidth="1"/>
    <col min="13786" max="13786" width="15.81640625" style="17" customWidth="1"/>
    <col min="13787" max="13787" width="14.1796875" style="17" customWidth="1"/>
    <col min="13788" max="13788" width="15.81640625" style="17" customWidth="1"/>
    <col min="13789" max="13789" width="15.54296875" style="17" customWidth="1"/>
    <col min="13790" max="13790" width="13" style="17" customWidth="1"/>
    <col min="13791" max="13791" width="14.1796875" style="17" customWidth="1"/>
    <col min="13792" max="13792" width="15.81640625" style="17" customWidth="1"/>
    <col min="13793" max="13793" width="16.453125" style="17" customWidth="1"/>
    <col min="13794" max="13794" width="15.54296875" style="17" customWidth="1"/>
    <col min="13795" max="13795" width="13" style="17" customWidth="1"/>
    <col min="13796" max="13796" width="16" style="17" customWidth="1"/>
    <col min="13797" max="13797" width="13" style="17" customWidth="1"/>
    <col min="13798" max="13798" width="11.08984375" style="17" customWidth="1"/>
    <col min="13799" max="13799" width="15.54296875" style="17" customWidth="1"/>
    <col min="13800" max="13800" width="13" style="17" customWidth="1"/>
    <col min="13801" max="13801" width="14.1796875" style="17" customWidth="1"/>
    <col min="13802" max="13802" width="15.81640625" style="17" customWidth="1"/>
    <col min="13803" max="13803" width="15.54296875" style="17" customWidth="1"/>
    <col min="13804" max="13804" width="13" style="17" customWidth="1"/>
    <col min="13805" max="13805" width="14.1796875" style="17" customWidth="1"/>
    <col min="13806" max="13806" width="15.81640625" style="17" customWidth="1"/>
    <col min="13807" max="13807" width="15.54296875" style="17" customWidth="1"/>
    <col min="13808" max="13808" width="13" style="17" customWidth="1"/>
    <col min="13809" max="13809" width="14.1796875" style="17" customWidth="1"/>
    <col min="13810" max="13810" width="15.81640625" style="17" customWidth="1"/>
    <col min="13811" max="13811" width="9.1796875" style="17"/>
    <col min="13812" max="13812" width="15.54296875" style="17" customWidth="1"/>
    <col min="13813" max="13813" width="13" style="17" customWidth="1"/>
    <col min="13814" max="13814" width="14.1796875" style="17" customWidth="1"/>
    <col min="13815" max="13815" width="15.81640625" style="17" customWidth="1"/>
    <col min="13816" max="13816" width="9.1796875" style="17"/>
    <col min="13817" max="13817" width="16" style="17" customWidth="1"/>
    <col min="13818" max="13818" width="13" style="17" customWidth="1"/>
    <col min="13819" max="13819" width="14.1796875" style="17" customWidth="1"/>
    <col min="13820" max="13820" width="13" style="17" customWidth="1"/>
    <col min="13821" max="13821" width="14.1796875" style="17" customWidth="1"/>
    <col min="13822" max="13822" width="13" style="17" customWidth="1"/>
    <col min="13823" max="13823" width="14.1796875" style="17" customWidth="1"/>
    <col min="13824" max="13824" width="13" style="17" customWidth="1"/>
    <col min="13825" max="13825" width="14.1796875" style="17" customWidth="1"/>
    <col min="13826" max="13826" width="13" style="17" customWidth="1"/>
    <col min="13827" max="13827" width="14.1796875" style="17" customWidth="1"/>
    <col min="13828" max="13829" width="13" style="17" customWidth="1"/>
    <col min="13830" max="13830" width="14.90625" style="17" bestFit="1" customWidth="1"/>
    <col min="13831" max="13831" width="13" style="17" customWidth="1"/>
    <col min="13832" max="13832" width="14.1796875" style="17" customWidth="1"/>
    <col min="13833" max="13833" width="13" style="17" customWidth="1"/>
    <col min="13834" max="13834" width="8.81640625" style="17" customWidth="1"/>
    <col min="13835" max="13835" width="14.1796875" style="17" customWidth="1"/>
    <col min="13836" max="13836" width="13" style="17" customWidth="1"/>
    <col min="13837" max="13837" width="14.1796875" style="17" customWidth="1"/>
    <col min="13838" max="13838" width="13" style="17" customWidth="1"/>
    <col min="13839" max="13839" width="14.1796875" style="17" customWidth="1"/>
    <col min="13840" max="13840" width="13" style="17" customWidth="1"/>
    <col min="13841" max="13841" width="14.1796875" style="17" customWidth="1"/>
    <col min="13842" max="13846" width="13" style="17" customWidth="1"/>
    <col min="13847" max="13847" width="16.81640625" style="17" customWidth="1"/>
    <col min="13848" max="13848" width="14.1796875" style="17" customWidth="1"/>
    <col min="13849" max="13849" width="13" style="17" customWidth="1"/>
    <col min="13850" max="13850" width="14.1796875" style="17" customWidth="1"/>
    <col min="13851" max="13852" width="13.36328125" style="17" customWidth="1"/>
    <col min="13853" max="13853" width="15.6328125" style="17" customWidth="1"/>
    <col min="13854" max="13854" width="14.36328125" style="17" customWidth="1"/>
    <col min="13855" max="13855" width="16" style="17" bestFit="1" customWidth="1"/>
    <col min="13856" max="13856" width="14.1796875" style="17" customWidth="1"/>
    <col min="13857" max="13857" width="13" style="17" customWidth="1"/>
    <col min="13858" max="13858" width="14.1796875" style="17" customWidth="1"/>
    <col min="13859" max="13859" width="13.36328125" style="17" customWidth="1"/>
    <col min="13860" max="13860" width="13.81640625" style="17" bestFit="1" customWidth="1"/>
    <col min="13861" max="13861" width="14.1796875" style="17" bestFit="1" customWidth="1"/>
    <col min="13862" max="13862" width="13.81640625" style="17" bestFit="1" customWidth="1"/>
    <col min="13863" max="14018" width="9.1796875" style="17"/>
    <col min="14019" max="14019" width="3.81640625" style="17" bestFit="1" customWidth="1"/>
    <col min="14020" max="14020" width="39.54296875" style="17" customWidth="1"/>
    <col min="14021" max="14021" width="16" style="17" customWidth="1"/>
    <col min="14022" max="14022" width="13" style="17" customWidth="1"/>
    <col min="14023" max="14023" width="16" style="17" customWidth="1"/>
    <col min="14024" max="14024" width="13" style="17" customWidth="1"/>
    <col min="14025" max="14025" width="14.1796875" style="17" customWidth="1"/>
    <col min="14026" max="14026" width="13" style="17" customWidth="1"/>
    <col min="14027" max="14027" width="14.90625" style="17" customWidth="1"/>
    <col min="14028" max="14028" width="13" style="17" customWidth="1"/>
    <col min="14029" max="14029" width="15.54296875" style="17" customWidth="1"/>
    <col min="14030" max="14030" width="13" style="17" customWidth="1"/>
    <col min="14031" max="14031" width="14.1796875" style="17" customWidth="1"/>
    <col min="14032" max="14032" width="13" style="17" customWidth="1"/>
    <col min="14033" max="14033" width="14.1796875" style="17" customWidth="1"/>
    <col min="14034" max="14034" width="13" style="17" customWidth="1"/>
    <col min="14035" max="14035" width="14.90625" style="17" customWidth="1"/>
    <col min="14036" max="14036" width="13" style="17" customWidth="1"/>
    <col min="14037" max="14037" width="15.54296875" style="17" customWidth="1"/>
    <col min="14038" max="14038" width="13" style="17" customWidth="1"/>
    <col min="14039" max="14039" width="14.1796875" style="17" customWidth="1"/>
    <col min="14040" max="14040" width="13" style="17" customWidth="1"/>
    <col min="14041" max="14041" width="15.54296875" style="17" customWidth="1"/>
    <col min="14042" max="14042" width="15.81640625" style="17" customWidth="1"/>
    <col min="14043" max="14043" width="14.1796875" style="17" customWidth="1"/>
    <col min="14044" max="14044" width="15.81640625" style="17" customWidth="1"/>
    <col min="14045" max="14045" width="15.54296875" style="17" customWidth="1"/>
    <col min="14046" max="14046" width="13" style="17" customWidth="1"/>
    <col min="14047" max="14047" width="14.1796875" style="17" customWidth="1"/>
    <col min="14048" max="14048" width="15.81640625" style="17" customWidth="1"/>
    <col min="14049" max="14049" width="16.453125" style="17" customWidth="1"/>
    <col min="14050" max="14050" width="15.54296875" style="17" customWidth="1"/>
    <col min="14051" max="14051" width="13" style="17" customWidth="1"/>
    <col min="14052" max="14052" width="16" style="17" customWidth="1"/>
    <col min="14053" max="14053" width="13" style="17" customWidth="1"/>
    <col min="14054" max="14054" width="11.08984375" style="17" customWidth="1"/>
    <col min="14055" max="14055" width="15.54296875" style="17" customWidth="1"/>
    <col min="14056" max="14056" width="13" style="17" customWidth="1"/>
    <col min="14057" max="14057" width="14.1796875" style="17" customWidth="1"/>
    <col min="14058" max="14058" width="15.81640625" style="17" customWidth="1"/>
    <col min="14059" max="14059" width="15.54296875" style="17" customWidth="1"/>
    <col min="14060" max="14060" width="13" style="17" customWidth="1"/>
    <col min="14061" max="14061" width="14.1796875" style="17" customWidth="1"/>
    <col min="14062" max="14062" width="15.81640625" style="17" customWidth="1"/>
    <col min="14063" max="14063" width="15.54296875" style="17" customWidth="1"/>
    <col min="14064" max="14064" width="13" style="17" customWidth="1"/>
    <col min="14065" max="14065" width="14.1796875" style="17" customWidth="1"/>
    <col min="14066" max="14066" width="15.81640625" style="17" customWidth="1"/>
    <col min="14067" max="14067" width="9.1796875" style="17"/>
    <col min="14068" max="14068" width="15.54296875" style="17" customWidth="1"/>
    <col min="14069" max="14069" width="13" style="17" customWidth="1"/>
    <col min="14070" max="14070" width="14.1796875" style="17" customWidth="1"/>
    <col min="14071" max="14071" width="15.81640625" style="17" customWidth="1"/>
    <col min="14072" max="14072" width="9.1796875" style="17"/>
    <col min="14073" max="14073" width="16" style="17" customWidth="1"/>
    <col min="14074" max="14074" width="13" style="17" customWidth="1"/>
    <col min="14075" max="14075" width="14.1796875" style="17" customWidth="1"/>
    <col min="14076" max="14076" width="13" style="17" customWidth="1"/>
    <col min="14077" max="14077" width="14.1796875" style="17" customWidth="1"/>
    <col min="14078" max="14078" width="13" style="17" customWidth="1"/>
    <col min="14079" max="14079" width="14.1796875" style="17" customWidth="1"/>
    <col min="14080" max="14080" width="13" style="17" customWidth="1"/>
    <col min="14081" max="14081" width="14.1796875" style="17" customWidth="1"/>
    <col min="14082" max="14082" width="13" style="17" customWidth="1"/>
    <col min="14083" max="14083" width="14.1796875" style="17" customWidth="1"/>
    <col min="14084" max="14085" width="13" style="17" customWidth="1"/>
    <col min="14086" max="14086" width="14.90625" style="17" bestFit="1" customWidth="1"/>
    <col min="14087" max="14087" width="13" style="17" customWidth="1"/>
    <col min="14088" max="14088" width="14.1796875" style="17" customWidth="1"/>
    <col min="14089" max="14089" width="13" style="17" customWidth="1"/>
    <col min="14090" max="14090" width="8.81640625" style="17" customWidth="1"/>
    <col min="14091" max="14091" width="14.1796875" style="17" customWidth="1"/>
    <col min="14092" max="14092" width="13" style="17" customWidth="1"/>
    <col min="14093" max="14093" width="14.1796875" style="17" customWidth="1"/>
    <col min="14094" max="14094" width="13" style="17" customWidth="1"/>
    <col min="14095" max="14095" width="14.1796875" style="17" customWidth="1"/>
    <col min="14096" max="14096" width="13" style="17" customWidth="1"/>
    <col min="14097" max="14097" width="14.1796875" style="17" customWidth="1"/>
    <col min="14098" max="14102" width="13" style="17" customWidth="1"/>
    <col min="14103" max="14103" width="16.81640625" style="17" customWidth="1"/>
    <col min="14104" max="14104" width="14.1796875" style="17" customWidth="1"/>
    <col min="14105" max="14105" width="13" style="17" customWidth="1"/>
    <col min="14106" max="14106" width="14.1796875" style="17" customWidth="1"/>
    <col min="14107" max="14108" width="13.36328125" style="17" customWidth="1"/>
    <col min="14109" max="14109" width="15.6328125" style="17" customWidth="1"/>
    <col min="14110" max="14110" width="14.36328125" style="17" customWidth="1"/>
    <col min="14111" max="14111" width="16" style="17" bestFit="1" customWidth="1"/>
    <col min="14112" max="14112" width="14.1796875" style="17" customWidth="1"/>
    <col min="14113" max="14113" width="13" style="17" customWidth="1"/>
    <col min="14114" max="14114" width="14.1796875" style="17" customWidth="1"/>
    <col min="14115" max="14115" width="13.36328125" style="17" customWidth="1"/>
    <col min="14116" max="14116" width="13.81640625" style="17" bestFit="1" customWidth="1"/>
    <col min="14117" max="14117" width="14.1796875" style="17" bestFit="1" customWidth="1"/>
    <col min="14118" max="14118" width="13.81640625" style="17" bestFit="1" customWidth="1"/>
    <col min="14119" max="14274" width="9.1796875" style="17"/>
    <col min="14275" max="14275" width="3.81640625" style="17" bestFit="1" customWidth="1"/>
    <col min="14276" max="14276" width="39.54296875" style="17" customWidth="1"/>
    <col min="14277" max="14277" width="16" style="17" customWidth="1"/>
    <col min="14278" max="14278" width="13" style="17" customWidth="1"/>
    <col min="14279" max="14279" width="16" style="17" customWidth="1"/>
    <col min="14280" max="14280" width="13" style="17" customWidth="1"/>
    <col min="14281" max="14281" width="14.1796875" style="17" customWidth="1"/>
    <col min="14282" max="14282" width="13" style="17" customWidth="1"/>
    <col min="14283" max="14283" width="14.90625" style="17" customWidth="1"/>
    <col min="14284" max="14284" width="13" style="17" customWidth="1"/>
    <col min="14285" max="14285" width="15.54296875" style="17" customWidth="1"/>
    <col min="14286" max="14286" width="13" style="17" customWidth="1"/>
    <col min="14287" max="14287" width="14.1796875" style="17" customWidth="1"/>
    <col min="14288" max="14288" width="13" style="17" customWidth="1"/>
    <col min="14289" max="14289" width="14.1796875" style="17" customWidth="1"/>
    <col min="14290" max="14290" width="13" style="17" customWidth="1"/>
    <col min="14291" max="14291" width="14.90625" style="17" customWidth="1"/>
    <col min="14292" max="14292" width="13" style="17" customWidth="1"/>
    <col min="14293" max="14293" width="15.54296875" style="17" customWidth="1"/>
    <col min="14294" max="14294" width="13" style="17" customWidth="1"/>
    <col min="14295" max="14295" width="14.1796875" style="17" customWidth="1"/>
    <col min="14296" max="14296" width="13" style="17" customWidth="1"/>
    <col min="14297" max="14297" width="15.54296875" style="17" customWidth="1"/>
    <col min="14298" max="14298" width="15.81640625" style="17" customWidth="1"/>
    <col min="14299" max="14299" width="14.1796875" style="17" customWidth="1"/>
    <col min="14300" max="14300" width="15.81640625" style="17" customWidth="1"/>
    <col min="14301" max="14301" width="15.54296875" style="17" customWidth="1"/>
    <col min="14302" max="14302" width="13" style="17" customWidth="1"/>
    <col min="14303" max="14303" width="14.1796875" style="17" customWidth="1"/>
    <col min="14304" max="14304" width="15.81640625" style="17" customWidth="1"/>
    <col min="14305" max="14305" width="16.453125" style="17" customWidth="1"/>
    <col min="14306" max="14306" width="15.54296875" style="17" customWidth="1"/>
    <col min="14307" max="14307" width="13" style="17" customWidth="1"/>
    <col min="14308" max="14308" width="16" style="17" customWidth="1"/>
    <col min="14309" max="14309" width="13" style="17" customWidth="1"/>
    <col min="14310" max="14310" width="11.08984375" style="17" customWidth="1"/>
    <col min="14311" max="14311" width="15.54296875" style="17" customWidth="1"/>
    <col min="14312" max="14312" width="13" style="17" customWidth="1"/>
    <col min="14313" max="14313" width="14.1796875" style="17" customWidth="1"/>
    <col min="14314" max="14314" width="15.81640625" style="17" customWidth="1"/>
    <col min="14315" max="14315" width="15.54296875" style="17" customWidth="1"/>
    <col min="14316" max="14316" width="13" style="17" customWidth="1"/>
    <col min="14317" max="14317" width="14.1796875" style="17" customWidth="1"/>
    <col min="14318" max="14318" width="15.81640625" style="17" customWidth="1"/>
    <col min="14319" max="14319" width="15.54296875" style="17" customWidth="1"/>
    <col min="14320" max="14320" width="13" style="17" customWidth="1"/>
    <col min="14321" max="14321" width="14.1796875" style="17" customWidth="1"/>
    <col min="14322" max="14322" width="15.81640625" style="17" customWidth="1"/>
    <col min="14323" max="14323" width="9.1796875" style="17"/>
    <col min="14324" max="14324" width="15.54296875" style="17" customWidth="1"/>
    <col min="14325" max="14325" width="13" style="17" customWidth="1"/>
    <col min="14326" max="14326" width="14.1796875" style="17" customWidth="1"/>
    <col min="14327" max="14327" width="15.81640625" style="17" customWidth="1"/>
    <col min="14328" max="14328" width="9.1796875" style="17"/>
    <col min="14329" max="14329" width="16" style="17" customWidth="1"/>
    <col min="14330" max="14330" width="13" style="17" customWidth="1"/>
    <col min="14331" max="14331" width="14.1796875" style="17" customWidth="1"/>
    <col min="14332" max="14332" width="13" style="17" customWidth="1"/>
    <col min="14333" max="14333" width="14.1796875" style="17" customWidth="1"/>
    <col min="14334" max="14334" width="13" style="17" customWidth="1"/>
    <col min="14335" max="14335" width="14.1796875" style="17" customWidth="1"/>
    <col min="14336" max="14336" width="13" style="17" customWidth="1"/>
    <col min="14337" max="14337" width="14.1796875" style="17" customWidth="1"/>
    <col min="14338" max="14338" width="13" style="17" customWidth="1"/>
    <col min="14339" max="14339" width="14.1796875" style="17" customWidth="1"/>
    <col min="14340" max="14341" width="13" style="17" customWidth="1"/>
    <col min="14342" max="14342" width="14.90625" style="17" bestFit="1" customWidth="1"/>
    <col min="14343" max="14343" width="13" style="17" customWidth="1"/>
    <col min="14344" max="14344" width="14.1796875" style="17" customWidth="1"/>
    <col min="14345" max="14345" width="13" style="17" customWidth="1"/>
    <col min="14346" max="14346" width="8.81640625" style="17" customWidth="1"/>
    <col min="14347" max="14347" width="14.1796875" style="17" customWidth="1"/>
    <col min="14348" max="14348" width="13" style="17" customWidth="1"/>
    <col min="14349" max="14349" width="14.1796875" style="17" customWidth="1"/>
    <col min="14350" max="14350" width="13" style="17" customWidth="1"/>
    <col min="14351" max="14351" width="14.1796875" style="17" customWidth="1"/>
    <col min="14352" max="14352" width="13" style="17" customWidth="1"/>
    <col min="14353" max="14353" width="14.1796875" style="17" customWidth="1"/>
    <col min="14354" max="14358" width="13" style="17" customWidth="1"/>
    <col min="14359" max="14359" width="16.81640625" style="17" customWidth="1"/>
    <col min="14360" max="14360" width="14.1796875" style="17" customWidth="1"/>
    <col min="14361" max="14361" width="13" style="17" customWidth="1"/>
    <col min="14362" max="14362" width="14.1796875" style="17" customWidth="1"/>
    <col min="14363" max="14364" width="13.36328125" style="17" customWidth="1"/>
    <col min="14365" max="14365" width="15.6328125" style="17" customWidth="1"/>
    <col min="14366" max="14366" width="14.36328125" style="17" customWidth="1"/>
    <col min="14367" max="14367" width="16" style="17" bestFit="1" customWidth="1"/>
    <col min="14368" max="14368" width="14.1796875" style="17" customWidth="1"/>
    <col min="14369" max="14369" width="13" style="17" customWidth="1"/>
    <col min="14370" max="14370" width="14.1796875" style="17" customWidth="1"/>
    <col min="14371" max="14371" width="13.36328125" style="17" customWidth="1"/>
    <col min="14372" max="14372" width="13.81640625" style="17" bestFit="1" customWidth="1"/>
    <col min="14373" max="14373" width="14.1796875" style="17" bestFit="1" customWidth="1"/>
    <col min="14374" max="14374" width="13.81640625" style="17" bestFit="1" customWidth="1"/>
    <col min="14375" max="14530" width="9.1796875" style="17"/>
    <col min="14531" max="14531" width="3.81640625" style="17" bestFit="1" customWidth="1"/>
    <col min="14532" max="14532" width="39.54296875" style="17" customWidth="1"/>
    <col min="14533" max="14533" width="16" style="17" customWidth="1"/>
    <col min="14534" max="14534" width="13" style="17" customWidth="1"/>
    <col min="14535" max="14535" width="16" style="17" customWidth="1"/>
    <col min="14536" max="14536" width="13" style="17" customWidth="1"/>
    <col min="14537" max="14537" width="14.1796875" style="17" customWidth="1"/>
    <col min="14538" max="14538" width="13" style="17" customWidth="1"/>
    <col min="14539" max="14539" width="14.90625" style="17" customWidth="1"/>
    <col min="14540" max="14540" width="13" style="17" customWidth="1"/>
    <col min="14541" max="14541" width="15.54296875" style="17" customWidth="1"/>
    <col min="14542" max="14542" width="13" style="17" customWidth="1"/>
    <col min="14543" max="14543" width="14.1796875" style="17" customWidth="1"/>
    <col min="14544" max="14544" width="13" style="17" customWidth="1"/>
    <col min="14545" max="14545" width="14.1796875" style="17" customWidth="1"/>
    <col min="14546" max="14546" width="13" style="17" customWidth="1"/>
    <col min="14547" max="14547" width="14.90625" style="17" customWidth="1"/>
    <col min="14548" max="14548" width="13" style="17" customWidth="1"/>
    <col min="14549" max="14549" width="15.54296875" style="17" customWidth="1"/>
    <col min="14550" max="14550" width="13" style="17" customWidth="1"/>
    <col min="14551" max="14551" width="14.1796875" style="17" customWidth="1"/>
    <col min="14552" max="14552" width="13" style="17" customWidth="1"/>
    <col min="14553" max="14553" width="15.54296875" style="17" customWidth="1"/>
    <col min="14554" max="14554" width="15.81640625" style="17" customWidth="1"/>
    <col min="14555" max="14555" width="14.1796875" style="17" customWidth="1"/>
    <col min="14556" max="14556" width="15.81640625" style="17" customWidth="1"/>
    <col min="14557" max="14557" width="15.54296875" style="17" customWidth="1"/>
    <col min="14558" max="14558" width="13" style="17" customWidth="1"/>
    <col min="14559" max="14559" width="14.1796875" style="17" customWidth="1"/>
    <col min="14560" max="14560" width="15.81640625" style="17" customWidth="1"/>
    <col min="14561" max="14561" width="16.453125" style="17" customWidth="1"/>
    <col min="14562" max="14562" width="15.54296875" style="17" customWidth="1"/>
    <col min="14563" max="14563" width="13" style="17" customWidth="1"/>
    <col min="14564" max="14564" width="16" style="17" customWidth="1"/>
    <col min="14565" max="14565" width="13" style="17" customWidth="1"/>
    <col min="14566" max="14566" width="11.08984375" style="17" customWidth="1"/>
    <col min="14567" max="14567" width="15.54296875" style="17" customWidth="1"/>
    <col min="14568" max="14568" width="13" style="17" customWidth="1"/>
    <col min="14569" max="14569" width="14.1796875" style="17" customWidth="1"/>
    <col min="14570" max="14570" width="15.81640625" style="17" customWidth="1"/>
    <col min="14571" max="14571" width="15.54296875" style="17" customWidth="1"/>
    <col min="14572" max="14572" width="13" style="17" customWidth="1"/>
    <col min="14573" max="14573" width="14.1796875" style="17" customWidth="1"/>
    <col min="14574" max="14574" width="15.81640625" style="17" customWidth="1"/>
    <col min="14575" max="14575" width="15.54296875" style="17" customWidth="1"/>
    <col min="14576" max="14576" width="13" style="17" customWidth="1"/>
    <col min="14577" max="14577" width="14.1796875" style="17" customWidth="1"/>
    <col min="14578" max="14578" width="15.81640625" style="17" customWidth="1"/>
    <col min="14579" max="14579" width="9.1796875" style="17"/>
    <col min="14580" max="14580" width="15.54296875" style="17" customWidth="1"/>
    <col min="14581" max="14581" width="13" style="17" customWidth="1"/>
    <col min="14582" max="14582" width="14.1796875" style="17" customWidth="1"/>
    <col min="14583" max="14583" width="15.81640625" style="17" customWidth="1"/>
    <col min="14584" max="14584" width="9.1796875" style="17"/>
    <col min="14585" max="14585" width="16" style="17" customWidth="1"/>
    <col min="14586" max="14586" width="13" style="17" customWidth="1"/>
    <col min="14587" max="14587" width="14.1796875" style="17" customWidth="1"/>
    <col min="14588" max="14588" width="13" style="17" customWidth="1"/>
    <col min="14589" max="14589" width="14.1796875" style="17" customWidth="1"/>
    <col min="14590" max="14590" width="13" style="17" customWidth="1"/>
    <col min="14591" max="14591" width="14.1796875" style="17" customWidth="1"/>
    <col min="14592" max="14592" width="13" style="17" customWidth="1"/>
    <col min="14593" max="14593" width="14.1796875" style="17" customWidth="1"/>
    <col min="14594" max="14594" width="13" style="17" customWidth="1"/>
    <col min="14595" max="14595" width="14.1796875" style="17" customWidth="1"/>
    <col min="14596" max="14597" width="13" style="17" customWidth="1"/>
    <col min="14598" max="14598" width="14.90625" style="17" bestFit="1" customWidth="1"/>
    <col min="14599" max="14599" width="13" style="17" customWidth="1"/>
    <col min="14600" max="14600" width="14.1796875" style="17" customWidth="1"/>
    <col min="14601" max="14601" width="13" style="17" customWidth="1"/>
    <col min="14602" max="14602" width="8.81640625" style="17" customWidth="1"/>
    <col min="14603" max="14603" width="14.1796875" style="17" customWidth="1"/>
    <col min="14604" max="14604" width="13" style="17" customWidth="1"/>
    <col min="14605" max="14605" width="14.1796875" style="17" customWidth="1"/>
    <col min="14606" max="14606" width="13" style="17" customWidth="1"/>
    <col min="14607" max="14607" width="14.1796875" style="17" customWidth="1"/>
    <col min="14608" max="14608" width="13" style="17" customWidth="1"/>
    <col min="14609" max="14609" width="14.1796875" style="17" customWidth="1"/>
    <col min="14610" max="14614" width="13" style="17" customWidth="1"/>
    <col min="14615" max="14615" width="16.81640625" style="17" customWidth="1"/>
    <col min="14616" max="14616" width="14.1796875" style="17" customWidth="1"/>
    <col min="14617" max="14617" width="13" style="17" customWidth="1"/>
    <col min="14618" max="14618" width="14.1796875" style="17" customWidth="1"/>
    <col min="14619" max="14620" width="13.36328125" style="17" customWidth="1"/>
    <col min="14621" max="14621" width="15.6328125" style="17" customWidth="1"/>
    <col min="14622" max="14622" width="14.36328125" style="17" customWidth="1"/>
    <col min="14623" max="14623" width="16" style="17" bestFit="1" customWidth="1"/>
    <col min="14624" max="14624" width="14.1796875" style="17" customWidth="1"/>
    <col min="14625" max="14625" width="13" style="17" customWidth="1"/>
    <col min="14626" max="14626" width="14.1796875" style="17" customWidth="1"/>
    <col min="14627" max="14627" width="13.36328125" style="17" customWidth="1"/>
    <col min="14628" max="14628" width="13.81640625" style="17" bestFit="1" customWidth="1"/>
    <col min="14629" max="14629" width="14.1796875" style="17" bestFit="1" customWidth="1"/>
    <col min="14630" max="14630" width="13.81640625" style="17" bestFit="1" customWidth="1"/>
    <col min="14631" max="14786" width="9.1796875" style="17"/>
    <col min="14787" max="14787" width="3.81640625" style="17" bestFit="1" customWidth="1"/>
    <col min="14788" max="14788" width="39.54296875" style="17" customWidth="1"/>
    <col min="14789" max="14789" width="16" style="17" customWidth="1"/>
    <col min="14790" max="14790" width="13" style="17" customWidth="1"/>
    <col min="14791" max="14791" width="16" style="17" customWidth="1"/>
    <col min="14792" max="14792" width="13" style="17" customWidth="1"/>
    <col min="14793" max="14793" width="14.1796875" style="17" customWidth="1"/>
    <col min="14794" max="14794" width="13" style="17" customWidth="1"/>
    <col min="14795" max="14795" width="14.90625" style="17" customWidth="1"/>
    <col min="14796" max="14796" width="13" style="17" customWidth="1"/>
    <col min="14797" max="14797" width="15.54296875" style="17" customWidth="1"/>
    <col min="14798" max="14798" width="13" style="17" customWidth="1"/>
    <col min="14799" max="14799" width="14.1796875" style="17" customWidth="1"/>
    <col min="14800" max="14800" width="13" style="17" customWidth="1"/>
    <col min="14801" max="14801" width="14.1796875" style="17" customWidth="1"/>
    <col min="14802" max="14802" width="13" style="17" customWidth="1"/>
    <col min="14803" max="14803" width="14.90625" style="17" customWidth="1"/>
    <col min="14804" max="14804" width="13" style="17" customWidth="1"/>
    <col min="14805" max="14805" width="15.54296875" style="17" customWidth="1"/>
    <col min="14806" max="14806" width="13" style="17" customWidth="1"/>
    <col min="14807" max="14807" width="14.1796875" style="17" customWidth="1"/>
    <col min="14808" max="14808" width="13" style="17" customWidth="1"/>
    <col min="14809" max="14809" width="15.54296875" style="17" customWidth="1"/>
    <col min="14810" max="14810" width="15.81640625" style="17" customWidth="1"/>
    <col min="14811" max="14811" width="14.1796875" style="17" customWidth="1"/>
    <col min="14812" max="14812" width="15.81640625" style="17" customWidth="1"/>
    <col min="14813" max="14813" width="15.54296875" style="17" customWidth="1"/>
    <col min="14814" max="14814" width="13" style="17" customWidth="1"/>
    <col min="14815" max="14815" width="14.1796875" style="17" customWidth="1"/>
    <col min="14816" max="14816" width="15.81640625" style="17" customWidth="1"/>
    <col min="14817" max="14817" width="16.453125" style="17" customWidth="1"/>
    <col min="14818" max="14818" width="15.54296875" style="17" customWidth="1"/>
    <col min="14819" max="14819" width="13" style="17" customWidth="1"/>
    <col min="14820" max="14820" width="16" style="17" customWidth="1"/>
    <col min="14821" max="14821" width="13" style="17" customWidth="1"/>
    <col min="14822" max="14822" width="11.08984375" style="17" customWidth="1"/>
    <col min="14823" max="14823" width="15.54296875" style="17" customWidth="1"/>
    <col min="14824" max="14824" width="13" style="17" customWidth="1"/>
    <col min="14825" max="14825" width="14.1796875" style="17" customWidth="1"/>
    <col min="14826" max="14826" width="15.81640625" style="17" customWidth="1"/>
    <col min="14827" max="14827" width="15.54296875" style="17" customWidth="1"/>
    <col min="14828" max="14828" width="13" style="17" customWidth="1"/>
    <col min="14829" max="14829" width="14.1796875" style="17" customWidth="1"/>
    <col min="14830" max="14830" width="15.81640625" style="17" customWidth="1"/>
    <col min="14831" max="14831" width="15.54296875" style="17" customWidth="1"/>
    <col min="14832" max="14832" width="13" style="17" customWidth="1"/>
    <col min="14833" max="14833" width="14.1796875" style="17" customWidth="1"/>
    <col min="14834" max="14834" width="15.81640625" style="17" customWidth="1"/>
    <col min="14835" max="14835" width="9.1796875" style="17"/>
    <col min="14836" max="14836" width="15.54296875" style="17" customWidth="1"/>
    <col min="14837" max="14837" width="13" style="17" customWidth="1"/>
    <col min="14838" max="14838" width="14.1796875" style="17" customWidth="1"/>
    <col min="14839" max="14839" width="15.81640625" style="17" customWidth="1"/>
    <col min="14840" max="14840" width="9.1796875" style="17"/>
    <col min="14841" max="14841" width="16" style="17" customWidth="1"/>
    <col min="14842" max="14842" width="13" style="17" customWidth="1"/>
    <col min="14843" max="14843" width="14.1796875" style="17" customWidth="1"/>
    <col min="14844" max="14844" width="13" style="17" customWidth="1"/>
    <col min="14845" max="14845" width="14.1796875" style="17" customWidth="1"/>
    <col min="14846" max="14846" width="13" style="17" customWidth="1"/>
    <col min="14847" max="14847" width="14.1796875" style="17" customWidth="1"/>
    <col min="14848" max="14848" width="13" style="17" customWidth="1"/>
    <col min="14849" max="14849" width="14.1796875" style="17" customWidth="1"/>
    <col min="14850" max="14850" width="13" style="17" customWidth="1"/>
    <col min="14851" max="14851" width="14.1796875" style="17" customWidth="1"/>
    <col min="14852" max="14853" width="13" style="17" customWidth="1"/>
    <col min="14854" max="14854" width="14.90625" style="17" bestFit="1" customWidth="1"/>
    <col min="14855" max="14855" width="13" style="17" customWidth="1"/>
    <col min="14856" max="14856" width="14.1796875" style="17" customWidth="1"/>
    <col min="14857" max="14857" width="13" style="17" customWidth="1"/>
    <col min="14858" max="14858" width="8.81640625" style="17" customWidth="1"/>
    <col min="14859" max="14859" width="14.1796875" style="17" customWidth="1"/>
    <col min="14860" max="14860" width="13" style="17" customWidth="1"/>
    <col min="14861" max="14861" width="14.1796875" style="17" customWidth="1"/>
    <col min="14862" max="14862" width="13" style="17" customWidth="1"/>
    <col min="14863" max="14863" width="14.1796875" style="17" customWidth="1"/>
    <col min="14864" max="14864" width="13" style="17" customWidth="1"/>
    <col min="14865" max="14865" width="14.1796875" style="17" customWidth="1"/>
    <col min="14866" max="14870" width="13" style="17" customWidth="1"/>
    <col min="14871" max="14871" width="16.81640625" style="17" customWidth="1"/>
    <col min="14872" max="14872" width="14.1796875" style="17" customWidth="1"/>
    <col min="14873" max="14873" width="13" style="17" customWidth="1"/>
    <col min="14874" max="14874" width="14.1796875" style="17" customWidth="1"/>
    <col min="14875" max="14876" width="13.36328125" style="17" customWidth="1"/>
    <col min="14877" max="14877" width="15.6328125" style="17" customWidth="1"/>
    <col min="14878" max="14878" width="14.36328125" style="17" customWidth="1"/>
    <col min="14879" max="14879" width="16" style="17" bestFit="1" customWidth="1"/>
    <col min="14880" max="14880" width="14.1796875" style="17" customWidth="1"/>
    <col min="14881" max="14881" width="13" style="17" customWidth="1"/>
    <col min="14882" max="14882" width="14.1796875" style="17" customWidth="1"/>
    <col min="14883" max="14883" width="13.36328125" style="17" customWidth="1"/>
    <col min="14884" max="14884" width="13.81640625" style="17" bestFit="1" customWidth="1"/>
    <col min="14885" max="14885" width="14.1796875" style="17" bestFit="1" customWidth="1"/>
    <col min="14886" max="14886" width="13.81640625" style="17" bestFit="1" customWidth="1"/>
    <col min="14887" max="15042" width="9.1796875" style="17"/>
    <col min="15043" max="15043" width="3.81640625" style="17" bestFit="1" customWidth="1"/>
    <col min="15044" max="15044" width="39.54296875" style="17" customWidth="1"/>
    <col min="15045" max="15045" width="16" style="17" customWidth="1"/>
    <col min="15046" max="15046" width="13" style="17" customWidth="1"/>
    <col min="15047" max="15047" width="16" style="17" customWidth="1"/>
    <col min="15048" max="15048" width="13" style="17" customWidth="1"/>
    <col min="15049" max="15049" width="14.1796875" style="17" customWidth="1"/>
    <col min="15050" max="15050" width="13" style="17" customWidth="1"/>
    <col min="15051" max="15051" width="14.90625" style="17" customWidth="1"/>
    <col min="15052" max="15052" width="13" style="17" customWidth="1"/>
    <col min="15053" max="15053" width="15.54296875" style="17" customWidth="1"/>
    <col min="15054" max="15054" width="13" style="17" customWidth="1"/>
    <col min="15055" max="15055" width="14.1796875" style="17" customWidth="1"/>
    <col min="15056" max="15056" width="13" style="17" customWidth="1"/>
    <col min="15057" max="15057" width="14.1796875" style="17" customWidth="1"/>
    <col min="15058" max="15058" width="13" style="17" customWidth="1"/>
    <col min="15059" max="15059" width="14.90625" style="17" customWidth="1"/>
    <col min="15060" max="15060" width="13" style="17" customWidth="1"/>
    <col min="15061" max="15061" width="15.54296875" style="17" customWidth="1"/>
    <col min="15062" max="15062" width="13" style="17" customWidth="1"/>
    <col min="15063" max="15063" width="14.1796875" style="17" customWidth="1"/>
    <col min="15064" max="15064" width="13" style="17" customWidth="1"/>
    <col min="15065" max="15065" width="15.54296875" style="17" customWidth="1"/>
    <col min="15066" max="15066" width="15.81640625" style="17" customWidth="1"/>
    <col min="15067" max="15067" width="14.1796875" style="17" customWidth="1"/>
    <col min="15068" max="15068" width="15.81640625" style="17" customWidth="1"/>
    <col min="15069" max="15069" width="15.54296875" style="17" customWidth="1"/>
    <col min="15070" max="15070" width="13" style="17" customWidth="1"/>
    <col min="15071" max="15071" width="14.1796875" style="17" customWidth="1"/>
    <col min="15072" max="15072" width="15.81640625" style="17" customWidth="1"/>
    <col min="15073" max="15073" width="16.453125" style="17" customWidth="1"/>
    <col min="15074" max="15074" width="15.54296875" style="17" customWidth="1"/>
    <col min="15075" max="15075" width="13" style="17" customWidth="1"/>
    <col min="15076" max="15076" width="16" style="17" customWidth="1"/>
    <col min="15077" max="15077" width="13" style="17" customWidth="1"/>
    <col min="15078" max="15078" width="11.08984375" style="17" customWidth="1"/>
    <col min="15079" max="15079" width="15.54296875" style="17" customWidth="1"/>
    <col min="15080" max="15080" width="13" style="17" customWidth="1"/>
    <col min="15081" max="15081" width="14.1796875" style="17" customWidth="1"/>
    <col min="15082" max="15082" width="15.81640625" style="17" customWidth="1"/>
    <col min="15083" max="15083" width="15.54296875" style="17" customWidth="1"/>
    <col min="15084" max="15084" width="13" style="17" customWidth="1"/>
    <col min="15085" max="15085" width="14.1796875" style="17" customWidth="1"/>
    <col min="15086" max="15086" width="15.81640625" style="17" customWidth="1"/>
    <col min="15087" max="15087" width="15.54296875" style="17" customWidth="1"/>
    <col min="15088" max="15088" width="13" style="17" customWidth="1"/>
    <col min="15089" max="15089" width="14.1796875" style="17" customWidth="1"/>
    <col min="15090" max="15090" width="15.81640625" style="17" customWidth="1"/>
    <col min="15091" max="15091" width="9.1796875" style="17"/>
    <col min="15092" max="15092" width="15.54296875" style="17" customWidth="1"/>
    <col min="15093" max="15093" width="13" style="17" customWidth="1"/>
    <col min="15094" max="15094" width="14.1796875" style="17" customWidth="1"/>
    <col min="15095" max="15095" width="15.81640625" style="17" customWidth="1"/>
    <col min="15096" max="15096" width="9.1796875" style="17"/>
    <col min="15097" max="15097" width="16" style="17" customWidth="1"/>
    <col min="15098" max="15098" width="13" style="17" customWidth="1"/>
    <col min="15099" max="15099" width="14.1796875" style="17" customWidth="1"/>
    <col min="15100" max="15100" width="13" style="17" customWidth="1"/>
    <col min="15101" max="15101" width="14.1796875" style="17" customWidth="1"/>
    <col min="15102" max="15102" width="13" style="17" customWidth="1"/>
    <col min="15103" max="15103" width="14.1796875" style="17" customWidth="1"/>
    <col min="15104" max="15104" width="13" style="17" customWidth="1"/>
    <col min="15105" max="15105" width="14.1796875" style="17" customWidth="1"/>
    <col min="15106" max="15106" width="13" style="17" customWidth="1"/>
    <col min="15107" max="15107" width="14.1796875" style="17" customWidth="1"/>
    <col min="15108" max="15109" width="13" style="17" customWidth="1"/>
    <col min="15110" max="15110" width="14.90625" style="17" bestFit="1" customWidth="1"/>
    <col min="15111" max="15111" width="13" style="17" customWidth="1"/>
    <col min="15112" max="15112" width="14.1796875" style="17" customWidth="1"/>
    <col min="15113" max="15113" width="13" style="17" customWidth="1"/>
    <col min="15114" max="15114" width="8.81640625" style="17" customWidth="1"/>
    <col min="15115" max="15115" width="14.1796875" style="17" customWidth="1"/>
    <col min="15116" max="15116" width="13" style="17" customWidth="1"/>
    <col min="15117" max="15117" width="14.1796875" style="17" customWidth="1"/>
    <col min="15118" max="15118" width="13" style="17" customWidth="1"/>
    <col min="15119" max="15119" width="14.1796875" style="17" customWidth="1"/>
    <col min="15120" max="15120" width="13" style="17" customWidth="1"/>
    <col min="15121" max="15121" width="14.1796875" style="17" customWidth="1"/>
    <col min="15122" max="15126" width="13" style="17" customWidth="1"/>
    <col min="15127" max="15127" width="16.81640625" style="17" customWidth="1"/>
    <col min="15128" max="15128" width="14.1796875" style="17" customWidth="1"/>
    <col min="15129" max="15129" width="13" style="17" customWidth="1"/>
    <col min="15130" max="15130" width="14.1796875" style="17" customWidth="1"/>
    <col min="15131" max="15132" width="13.36328125" style="17" customWidth="1"/>
    <col min="15133" max="15133" width="15.6328125" style="17" customWidth="1"/>
    <col min="15134" max="15134" width="14.36328125" style="17" customWidth="1"/>
    <col min="15135" max="15135" width="16" style="17" bestFit="1" customWidth="1"/>
    <col min="15136" max="15136" width="14.1796875" style="17" customWidth="1"/>
    <col min="15137" max="15137" width="13" style="17" customWidth="1"/>
    <col min="15138" max="15138" width="14.1796875" style="17" customWidth="1"/>
    <col min="15139" max="15139" width="13.36328125" style="17" customWidth="1"/>
    <col min="15140" max="15140" width="13.81640625" style="17" bestFit="1" customWidth="1"/>
    <col min="15141" max="15141" width="14.1796875" style="17" bestFit="1" customWidth="1"/>
    <col min="15142" max="15142" width="13.81640625" style="17" bestFit="1" customWidth="1"/>
    <col min="15143" max="15298" width="9.1796875" style="17"/>
    <col min="15299" max="15299" width="3.81640625" style="17" bestFit="1" customWidth="1"/>
    <col min="15300" max="15300" width="39.54296875" style="17" customWidth="1"/>
    <col min="15301" max="15301" width="16" style="17" customWidth="1"/>
    <col min="15302" max="15302" width="13" style="17" customWidth="1"/>
    <col min="15303" max="15303" width="16" style="17" customWidth="1"/>
    <col min="15304" max="15304" width="13" style="17" customWidth="1"/>
    <col min="15305" max="15305" width="14.1796875" style="17" customWidth="1"/>
    <col min="15306" max="15306" width="13" style="17" customWidth="1"/>
    <col min="15307" max="15307" width="14.90625" style="17" customWidth="1"/>
    <col min="15308" max="15308" width="13" style="17" customWidth="1"/>
    <col min="15309" max="15309" width="15.54296875" style="17" customWidth="1"/>
    <col min="15310" max="15310" width="13" style="17" customWidth="1"/>
    <col min="15311" max="15311" width="14.1796875" style="17" customWidth="1"/>
    <col min="15312" max="15312" width="13" style="17" customWidth="1"/>
    <col min="15313" max="15313" width="14.1796875" style="17" customWidth="1"/>
    <col min="15314" max="15314" width="13" style="17" customWidth="1"/>
    <col min="15315" max="15315" width="14.90625" style="17" customWidth="1"/>
    <col min="15316" max="15316" width="13" style="17" customWidth="1"/>
    <col min="15317" max="15317" width="15.54296875" style="17" customWidth="1"/>
    <col min="15318" max="15318" width="13" style="17" customWidth="1"/>
    <col min="15319" max="15319" width="14.1796875" style="17" customWidth="1"/>
    <col min="15320" max="15320" width="13" style="17" customWidth="1"/>
    <col min="15321" max="15321" width="15.54296875" style="17" customWidth="1"/>
    <col min="15322" max="15322" width="15.81640625" style="17" customWidth="1"/>
    <col min="15323" max="15323" width="14.1796875" style="17" customWidth="1"/>
    <col min="15324" max="15324" width="15.81640625" style="17" customWidth="1"/>
    <col min="15325" max="15325" width="15.54296875" style="17" customWidth="1"/>
    <col min="15326" max="15326" width="13" style="17" customWidth="1"/>
    <col min="15327" max="15327" width="14.1796875" style="17" customWidth="1"/>
    <col min="15328" max="15328" width="15.81640625" style="17" customWidth="1"/>
    <col min="15329" max="15329" width="16.453125" style="17" customWidth="1"/>
    <col min="15330" max="15330" width="15.54296875" style="17" customWidth="1"/>
    <col min="15331" max="15331" width="13" style="17" customWidth="1"/>
    <col min="15332" max="15332" width="16" style="17" customWidth="1"/>
    <col min="15333" max="15333" width="13" style="17" customWidth="1"/>
    <col min="15334" max="15334" width="11.08984375" style="17" customWidth="1"/>
    <col min="15335" max="15335" width="15.54296875" style="17" customWidth="1"/>
    <col min="15336" max="15336" width="13" style="17" customWidth="1"/>
    <col min="15337" max="15337" width="14.1796875" style="17" customWidth="1"/>
    <col min="15338" max="15338" width="15.81640625" style="17" customWidth="1"/>
    <col min="15339" max="15339" width="15.54296875" style="17" customWidth="1"/>
    <col min="15340" max="15340" width="13" style="17" customWidth="1"/>
    <col min="15341" max="15341" width="14.1796875" style="17" customWidth="1"/>
    <col min="15342" max="15342" width="15.81640625" style="17" customWidth="1"/>
    <col min="15343" max="15343" width="15.54296875" style="17" customWidth="1"/>
    <col min="15344" max="15344" width="13" style="17" customWidth="1"/>
    <col min="15345" max="15345" width="14.1796875" style="17" customWidth="1"/>
    <col min="15346" max="15346" width="15.81640625" style="17" customWidth="1"/>
    <col min="15347" max="15347" width="9.1796875" style="17"/>
    <col min="15348" max="15348" width="15.54296875" style="17" customWidth="1"/>
    <col min="15349" max="15349" width="13" style="17" customWidth="1"/>
    <col min="15350" max="15350" width="14.1796875" style="17" customWidth="1"/>
    <col min="15351" max="15351" width="15.81640625" style="17" customWidth="1"/>
    <col min="15352" max="15352" width="9.1796875" style="17"/>
    <col min="15353" max="15353" width="16" style="17" customWidth="1"/>
    <col min="15354" max="15354" width="13" style="17" customWidth="1"/>
    <col min="15355" max="15355" width="14.1796875" style="17" customWidth="1"/>
    <col min="15356" max="15356" width="13" style="17" customWidth="1"/>
    <col min="15357" max="15357" width="14.1796875" style="17" customWidth="1"/>
    <col min="15358" max="15358" width="13" style="17" customWidth="1"/>
    <col min="15359" max="15359" width="14.1796875" style="17" customWidth="1"/>
    <col min="15360" max="15360" width="13" style="17" customWidth="1"/>
    <col min="15361" max="15361" width="14.1796875" style="17" customWidth="1"/>
    <col min="15362" max="15362" width="13" style="17" customWidth="1"/>
    <col min="15363" max="15363" width="14.1796875" style="17" customWidth="1"/>
    <col min="15364" max="15365" width="13" style="17" customWidth="1"/>
    <col min="15366" max="15366" width="14.90625" style="17" bestFit="1" customWidth="1"/>
    <col min="15367" max="15367" width="13" style="17" customWidth="1"/>
    <col min="15368" max="15368" width="14.1796875" style="17" customWidth="1"/>
    <col min="15369" max="15369" width="13" style="17" customWidth="1"/>
    <col min="15370" max="15370" width="8.81640625" style="17" customWidth="1"/>
    <col min="15371" max="15371" width="14.1796875" style="17" customWidth="1"/>
    <col min="15372" max="15372" width="13" style="17" customWidth="1"/>
    <col min="15373" max="15373" width="14.1796875" style="17" customWidth="1"/>
    <col min="15374" max="15374" width="13" style="17" customWidth="1"/>
    <col min="15375" max="15375" width="14.1796875" style="17" customWidth="1"/>
    <col min="15376" max="15376" width="13" style="17" customWidth="1"/>
    <col min="15377" max="15377" width="14.1796875" style="17" customWidth="1"/>
    <col min="15378" max="15382" width="13" style="17" customWidth="1"/>
    <col min="15383" max="15383" width="16.81640625" style="17" customWidth="1"/>
    <col min="15384" max="15384" width="14.1796875" style="17" customWidth="1"/>
    <col min="15385" max="15385" width="13" style="17" customWidth="1"/>
    <col min="15386" max="15386" width="14.1796875" style="17" customWidth="1"/>
    <col min="15387" max="15388" width="13.36328125" style="17" customWidth="1"/>
    <col min="15389" max="15389" width="15.6328125" style="17" customWidth="1"/>
    <col min="15390" max="15390" width="14.36328125" style="17" customWidth="1"/>
    <col min="15391" max="15391" width="16" style="17" bestFit="1" customWidth="1"/>
    <col min="15392" max="15392" width="14.1796875" style="17" customWidth="1"/>
    <col min="15393" max="15393" width="13" style="17" customWidth="1"/>
    <col min="15394" max="15394" width="14.1796875" style="17" customWidth="1"/>
    <col min="15395" max="15395" width="13.36328125" style="17" customWidth="1"/>
    <col min="15396" max="15396" width="13.81640625" style="17" bestFit="1" customWidth="1"/>
    <col min="15397" max="15397" width="14.1796875" style="17" bestFit="1" customWidth="1"/>
    <col min="15398" max="15398" width="13.81640625" style="17" bestFit="1" customWidth="1"/>
    <col min="15399" max="15554" width="9.1796875" style="17"/>
    <col min="15555" max="15555" width="3.81640625" style="17" bestFit="1" customWidth="1"/>
    <col min="15556" max="15556" width="39.54296875" style="17" customWidth="1"/>
    <col min="15557" max="15557" width="16" style="17" customWidth="1"/>
    <col min="15558" max="15558" width="13" style="17" customWidth="1"/>
    <col min="15559" max="15559" width="16" style="17" customWidth="1"/>
    <col min="15560" max="15560" width="13" style="17" customWidth="1"/>
    <col min="15561" max="15561" width="14.1796875" style="17" customWidth="1"/>
    <col min="15562" max="15562" width="13" style="17" customWidth="1"/>
    <col min="15563" max="15563" width="14.90625" style="17" customWidth="1"/>
    <col min="15564" max="15564" width="13" style="17" customWidth="1"/>
    <col min="15565" max="15565" width="15.54296875" style="17" customWidth="1"/>
    <col min="15566" max="15566" width="13" style="17" customWidth="1"/>
    <col min="15567" max="15567" width="14.1796875" style="17" customWidth="1"/>
    <col min="15568" max="15568" width="13" style="17" customWidth="1"/>
    <col min="15569" max="15569" width="14.1796875" style="17" customWidth="1"/>
    <col min="15570" max="15570" width="13" style="17" customWidth="1"/>
    <col min="15571" max="15571" width="14.90625" style="17" customWidth="1"/>
    <col min="15572" max="15572" width="13" style="17" customWidth="1"/>
    <col min="15573" max="15573" width="15.54296875" style="17" customWidth="1"/>
    <col min="15574" max="15574" width="13" style="17" customWidth="1"/>
    <col min="15575" max="15575" width="14.1796875" style="17" customWidth="1"/>
    <col min="15576" max="15576" width="13" style="17" customWidth="1"/>
    <col min="15577" max="15577" width="15.54296875" style="17" customWidth="1"/>
    <col min="15578" max="15578" width="15.81640625" style="17" customWidth="1"/>
    <col min="15579" max="15579" width="14.1796875" style="17" customWidth="1"/>
    <col min="15580" max="15580" width="15.81640625" style="17" customWidth="1"/>
    <col min="15581" max="15581" width="15.54296875" style="17" customWidth="1"/>
    <col min="15582" max="15582" width="13" style="17" customWidth="1"/>
    <col min="15583" max="15583" width="14.1796875" style="17" customWidth="1"/>
    <col min="15584" max="15584" width="15.81640625" style="17" customWidth="1"/>
    <col min="15585" max="15585" width="16.453125" style="17" customWidth="1"/>
    <col min="15586" max="15586" width="15.54296875" style="17" customWidth="1"/>
    <col min="15587" max="15587" width="13" style="17" customWidth="1"/>
    <col min="15588" max="15588" width="16" style="17" customWidth="1"/>
    <col min="15589" max="15589" width="13" style="17" customWidth="1"/>
    <col min="15590" max="15590" width="11.08984375" style="17" customWidth="1"/>
    <col min="15591" max="15591" width="15.54296875" style="17" customWidth="1"/>
    <col min="15592" max="15592" width="13" style="17" customWidth="1"/>
    <col min="15593" max="15593" width="14.1796875" style="17" customWidth="1"/>
    <col min="15594" max="15594" width="15.81640625" style="17" customWidth="1"/>
    <col min="15595" max="15595" width="15.54296875" style="17" customWidth="1"/>
    <col min="15596" max="15596" width="13" style="17" customWidth="1"/>
    <col min="15597" max="15597" width="14.1796875" style="17" customWidth="1"/>
    <col min="15598" max="15598" width="15.81640625" style="17" customWidth="1"/>
    <col min="15599" max="15599" width="15.54296875" style="17" customWidth="1"/>
    <col min="15600" max="15600" width="13" style="17" customWidth="1"/>
    <col min="15601" max="15601" width="14.1796875" style="17" customWidth="1"/>
    <col min="15602" max="15602" width="15.81640625" style="17" customWidth="1"/>
    <col min="15603" max="15603" width="9.1796875" style="17"/>
    <col min="15604" max="15604" width="15.54296875" style="17" customWidth="1"/>
    <col min="15605" max="15605" width="13" style="17" customWidth="1"/>
    <col min="15606" max="15606" width="14.1796875" style="17" customWidth="1"/>
    <col min="15607" max="15607" width="15.81640625" style="17" customWidth="1"/>
    <col min="15608" max="15608" width="9.1796875" style="17"/>
    <col min="15609" max="15609" width="16" style="17" customWidth="1"/>
    <col min="15610" max="15610" width="13" style="17" customWidth="1"/>
    <col min="15611" max="15611" width="14.1796875" style="17" customWidth="1"/>
    <col min="15612" max="15612" width="13" style="17" customWidth="1"/>
    <col min="15613" max="15613" width="14.1796875" style="17" customWidth="1"/>
    <col min="15614" max="15614" width="13" style="17" customWidth="1"/>
    <col min="15615" max="15615" width="14.1796875" style="17" customWidth="1"/>
    <col min="15616" max="15616" width="13" style="17" customWidth="1"/>
    <col min="15617" max="15617" width="14.1796875" style="17" customWidth="1"/>
    <col min="15618" max="15618" width="13" style="17" customWidth="1"/>
    <col min="15619" max="15619" width="14.1796875" style="17" customWidth="1"/>
    <col min="15620" max="15621" width="13" style="17" customWidth="1"/>
    <col min="15622" max="15622" width="14.90625" style="17" bestFit="1" customWidth="1"/>
    <col min="15623" max="15623" width="13" style="17" customWidth="1"/>
    <col min="15624" max="15624" width="14.1796875" style="17" customWidth="1"/>
    <col min="15625" max="15625" width="13" style="17" customWidth="1"/>
    <col min="15626" max="15626" width="8.81640625" style="17" customWidth="1"/>
    <col min="15627" max="15627" width="14.1796875" style="17" customWidth="1"/>
    <col min="15628" max="15628" width="13" style="17" customWidth="1"/>
    <col min="15629" max="15629" width="14.1796875" style="17" customWidth="1"/>
    <col min="15630" max="15630" width="13" style="17" customWidth="1"/>
    <col min="15631" max="15631" width="14.1796875" style="17" customWidth="1"/>
    <col min="15632" max="15632" width="13" style="17" customWidth="1"/>
    <col min="15633" max="15633" width="14.1796875" style="17" customWidth="1"/>
    <col min="15634" max="15638" width="13" style="17" customWidth="1"/>
    <col min="15639" max="15639" width="16.81640625" style="17" customWidth="1"/>
    <col min="15640" max="15640" width="14.1796875" style="17" customWidth="1"/>
    <col min="15641" max="15641" width="13" style="17" customWidth="1"/>
    <col min="15642" max="15642" width="14.1796875" style="17" customWidth="1"/>
    <col min="15643" max="15644" width="13.36328125" style="17" customWidth="1"/>
    <col min="15645" max="15645" width="15.6328125" style="17" customWidth="1"/>
    <col min="15646" max="15646" width="14.36328125" style="17" customWidth="1"/>
    <col min="15647" max="15647" width="16" style="17" bestFit="1" customWidth="1"/>
    <col min="15648" max="15648" width="14.1796875" style="17" customWidth="1"/>
    <col min="15649" max="15649" width="13" style="17" customWidth="1"/>
    <col min="15650" max="15650" width="14.1796875" style="17" customWidth="1"/>
    <col min="15651" max="15651" width="13.36328125" style="17" customWidth="1"/>
    <col min="15652" max="15652" width="13.81640625" style="17" bestFit="1" customWidth="1"/>
    <col min="15653" max="15653" width="14.1796875" style="17" bestFit="1" customWidth="1"/>
    <col min="15654" max="15654" width="13.81640625" style="17" bestFit="1" customWidth="1"/>
    <col min="15655" max="15810" width="9.1796875" style="17"/>
    <col min="15811" max="15811" width="3.81640625" style="17" bestFit="1" customWidth="1"/>
    <col min="15812" max="15812" width="39.54296875" style="17" customWidth="1"/>
    <col min="15813" max="15813" width="16" style="17" customWidth="1"/>
    <col min="15814" max="15814" width="13" style="17" customWidth="1"/>
    <col min="15815" max="15815" width="16" style="17" customWidth="1"/>
    <col min="15816" max="15816" width="13" style="17" customWidth="1"/>
    <col min="15817" max="15817" width="14.1796875" style="17" customWidth="1"/>
    <col min="15818" max="15818" width="13" style="17" customWidth="1"/>
    <col min="15819" max="15819" width="14.90625" style="17" customWidth="1"/>
    <col min="15820" max="15820" width="13" style="17" customWidth="1"/>
    <col min="15821" max="15821" width="15.54296875" style="17" customWidth="1"/>
    <col min="15822" max="15822" width="13" style="17" customWidth="1"/>
    <col min="15823" max="15823" width="14.1796875" style="17" customWidth="1"/>
    <col min="15824" max="15824" width="13" style="17" customWidth="1"/>
    <col min="15825" max="15825" width="14.1796875" style="17" customWidth="1"/>
    <col min="15826" max="15826" width="13" style="17" customWidth="1"/>
    <col min="15827" max="15827" width="14.90625" style="17" customWidth="1"/>
    <col min="15828" max="15828" width="13" style="17" customWidth="1"/>
    <col min="15829" max="15829" width="15.54296875" style="17" customWidth="1"/>
    <col min="15830" max="15830" width="13" style="17" customWidth="1"/>
    <col min="15831" max="15831" width="14.1796875" style="17" customWidth="1"/>
    <col min="15832" max="15832" width="13" style="17" customWidth="1"/>
    <col min="15833" max="15833" width="15.54296875" style="17" customWidth="1"/>
    <col min="15834" max="15834" width="15.81640625" style="17" customWidth="1"/>
    <col min="15835" max="15835" width="14.1796875" style="17" customWidth="1"/>
    <col min="15836" max="15836" width="15.81640625" style="17" customWidth="1"/>
    <col min="15837" max="15837" width="15.54296875" style="17" customWidth="1"/>
    <col min="15838" max="15838" width="13" style="17" customWidth="1"/>
    <col min="15839" max="15839" width="14.1796875" style="17" customWidth="1"/>
    <col min="15840" max="15840" width="15.81640625" style="17" customWidth="1"/>
    <col min="15841" max="15841" width="16.453125" style="17" customWidth="1"/>
    <col min="15842" max="15842" width="15.54296875" style="17" customWidth="1"/>
    <col min="15843" max="15843" width="13" style="17" customWidth="1"/>
    <col min="15844" max="15844" width="16" style="17" customWidth="1"/>
    <col min="15845" max="15845" width="13" style="17" customWidth="1"/>
    <col min="15846" max="15846" width="11.08984375" style="17" customWidth="1"/>
    <col min="15847" max="15847" width="15.54296875" style="17" customWidth="1"/>
    <col min="15848" max="15848" width="13" style="17" customWidth="1"/>
    <col min="15849" max="15849" width="14.1796875" style="17" customWidth="1"/>
    <col min="15850" max="15850" width="15.81640625" style="17" customWidth="1"/>
    <col min="15851" max="15851" width="15.54296875" style="17" customWidth="1"/>
    <col min="15852" max="15852" width="13" style="17" customWidth="1"/>
    <col min="15853" max="15853" width="14.1796875" style="17" customWidth="1"/>
    <col min="15854" max="15854" width="15.81640625" style="17" customWidth="1"/>
    <col min="15855" max="15855" width="15.54296875" style="17" customWidth="1"/>
    <col min="15856" max="15856" width="13" style="17" customWidth="1"/>
    <col min="15857" max="15857" width="14.1796875" style="17" customWidth="1"/>
    <col min="15858" max="15858" width="15.81640625" style="17" customWidth="1"/>
    <col min="15859" max="15859" width="9.1796875" style="17"/>
    <col min="15860" max="15860" width="15.54296875" style="17" customWidth="1"/>
    <col min="15861" max="15861" width="13" style="17" customWidth="1"/>
    <col min="15862" max="15862" width="14.1796875" style="17" customWidth="1"/>
    <col min="15863" max="15863" width="15.81640625" style="17" customWidth="1"/>
    <col min="15864" max="15864" width="9.1796875" style="17"/>
    <col min="15865" max="15865" width="16" style="17" customWidth="1"/>
    <col min="15866" max="15866" width="13" style="17" customWidth="1"/>
    <col min="15867" max="15867" width="14.1796875" style="17" customWidth="1"/>
    <col min="15868" max="15868" width="13" style="17" customWidth="1"/>
    <col min="15869" max="15869" width="14.1796875" style="17" customWidth="1"/>
    <col min="15870" max="15870" width="13" style="17" customWidth="1"/>
    <col min="15871" max="15871" width="14.1796875" style="17" customWidth="1"/>
    <col min="15872" max="15872" width="13" style="17" customWidth="1"/>
    <col min="15873" max="15873" width="14.1796875" style="17" customWidth="1"/>
    <col min="15874" max="15874" width="13" style="17" customWidth="1"/>
    <col min="15875" max="15875" width="14.1796875" style="17" customWidth="1"/>
    <col min="15876" max="15877" width="13" style="17" customWidth="1"/>
    <col min="15878" max="15878" width="14.90625" style="17" bestFit="1" customWidth="1"/>
    <col min="15879" max="15879" width="13" style="17" customWidth="1"/>
    <col min="15880" max="15880" width="14.1796875" style="17" customWidth="1"/>
    <col min="15881" max="15881" width="13" style="17" customWidth="1"/>
    <col min="15882" max="15882" width="8.81640625" style="17" customWidth="1"/>
    <col min="15883" max="15883" width="14.1796875" style="17" customWidth="1"/>
    <col min="15884" max="15884" width="13" style="17" customWidth="1"/>
    <col min="15885" max="15885" width="14.1796875" style="17" customWidth="1"/>
    <col min="15886" max="15886" width="13" style="17" customWidth="1"/>
    <col min="15887" max="15887" width="14.1796875" style="17" customWidth="1"/>
    <col min="15888" max="15888" width="13" style="17" customWidth="1"/>
    <col min="15889" max="15889" width="14.1796875" style="17" customWidth="1"/>
    <col min="15890" max="15894" width="13" style="17" customWidth="1"/>
    <col min="15895" max="15895" width="16.81640625" style="17" customWidth="1"/>
    <col min="15896" max="15896" width="14.1796875" style="17" customWidth="1"/>
    <col min="15897" max="15897" width="13" style="17" customWidth="1"/>
    <col min="15898" max="15898" width="14.1796875" style="17" customWidth="1"/>
    <col min="15899" max="15900" width="13.36328125" style="17" customWidth="1"/>
    <col min="15901" max="15901" width="15.6328125" style="17" customWidth="1"/>
    <col min="15902" max="15902" width="14.36328125" style="17" customWidth="1"/>
    <col min="15903" max="15903" width="16" style="17" bestFit="1" customWidth="1"/>
    <col min="15904" max="15904" width="14.1796875" style="17" customWidth="1"/>
    <col min="15905" max="15905" width="13" style="17" customWidth="1"/>
    <col min="15906" max="15906" width="14.1796875" style="17" customWidth="1"/>
    <col min="15907" max="15907" width="13.36328125" style="17" customWidth="1"/>
    <col min="15908" max="15908" width="13.81640625" style="17" bestFit="1" customWidth="1"/>
    <col min="15909" max="15909" width="14.1796875" style="17" bestFit="1" customWidth="1"/>
    <col min="15910" max="15910" width="13.81640625" style="17" bestFit="1" customWidth="1"/>
    <col min="15911" max="16066" width="9.1796875" style="17"/>
    <col min="16067" max="16067" width="3.81640625" style="17" bestFit="1" customWidth="1"/>
    <col min="16068" max="16068" width="39.54296875" style="17" customWidth="1"/>
    <col min="16069" max="16069" width="16" style="17" customWidth="1"/>
    <col min="16070" max="16070" width="13" style="17" customWidth="1"/>
    <col min="16071" max="16071" width="16" style="17" customWidth="1"/>
    <col min="16072" max="16072" width="13" style="17" customWidth="1"/>
    <col min="16073" max="16073" width="14.1796875" style="17" customWidth="1"/>
    <col min="16074" max="16074" width="13" style="17" customWidth="1"/>
    <col min="16075" max="16075" width="14.90625" style="17" customWidth="1"/>
    <col min="16076" max="16076" width="13" style="17" customWidth="1"/>
    <col min="16077" max="16077" width="15.54296875" style="17" customWidth="1"/>
    <col min="16078" max="16078" width="13" style="17" customWidth="1"/>
    <col min="16079" max="16079" width="14.1796875" style="17" customWidth="1"/>
    <col min="16080" max="16080" width="13" style="17" customWidth="1"/>
    <col min="16081" max="16081" width="14.1796875" style="17" customWidth="1"/>
    <col min="16082" max="16082" width="13" style="17" customWidth="1"/>
    <col min="16083" max="16083" width="14.90625" style="17" customWidth="1"/>
    <col min="16084" max="16084" width="13" style="17" customWidth="1"/>
    <col min="16085" max="16085" width="15.54296875" style="17" customWidth="1"/>
    <col min="16086" max="16086" width="13" style="17" customWidth="1"/>
    <col min="16087" max="16087" width="14.1796875" style="17" customWidth="1"/>
    <col min="16088" max="16088" width="13" style="17" customWidth="1"/>
    <col min="16089" max="16089" width="15.54296875" style="17" customWidth="1"/>
    <col min="16090" max="16090" width="15.81640625" style="17" customWidth="1"/>
    <col min="16091" max="16091" width="14.1796875" style="17" customWidth="1"/>
    <col min="16092" max="16092" width="15.81640625" style="17" customWidth="1"/>
    <col min="16093" max="16093" width="15.54296875" style="17" customWidth="1"/>
    <col min="16094" max="16094" width="13" style="17" customWidth="1"/>
    <col min="16095" max="16095" width="14.1796875" style="17" customWidth="1"/>
    <col min="16096" max="16096" width="15.81640625" style="17" customWidth="1"/>
    <col min="16097" max="16097" width="16.453125" style="17" customWidth="1"/>
    <col min="16098" max="16098" width="15.54296875" style="17" customWidth="1"/>
    <col min="16099" max="16099" width="13" style="17" customWidth="1"/>
    <col min="16100" max="16100" width="16" style="17" customWidth="1"/>
    <col min="16101" max="16101" width="13" style="17" customWidth="1"/>
    <col min="16102" max="16102" width="11.08984375" style="17" customWidth="1"/>
    <col min="16103" max="16103" width="15.54296875" style="17" customWidth="1"/>
    <col min="16104" max="16104" width="13" style="17" customWidth="1"/>
    <col min="16105" max="16105" width="14.1796875" style="17" customWidth="1"/>
    <col min="16106" max="16106" width="15.81640625" style="17" customWidth="1"/>
    <col min="16107" max="16107" width="15.54296875" style="17" customWidth="1"/>
    <col min="16108" max="16108" width="13" style="17" customWidth="1"/>
    <col min="16109" max="16109" width="14.1796875" style="17" customWidth="1"/>
    <col min="16110" max="16110" width="15.81640625" style="17" customWidth="1"/>
    <col min="16111" max="16111" width="15.54296875" style="17" customWidth="1"/>
    <col min="16112" max="16112" width="13" style="17" customWidth="1"/>
    <col min="16113" max="16113" width="14.1796875" style="17" customWidth="1"/>
    <col min="16114" max="16114" width="15.81640625" style="17" customWidth="1"/>
    <col min="16115" max="16115" width="9.1796875" style="17"/>
    <col min="16116" max="16116" width="15.54296875" style="17" customWidth="1"/>
    <col min="16117" max="16117" width="13" style="17" customWidth="1"/>
    <col min="16118" max="16118" width="14.1796875" style="17" customWidth="1"/>
    <col min="16119" max="16119" width="15.81640625" style="17" customWidth="1"/>
    <col min="16120" max="16120" width="9.1796875" style="17"/>
    <col min="16121" max="16121" width="16" style="17" customWidth="1"/>
    <col min="16122" max="16122" width="13" style="17" customWidth="1"/>
    <col min="16123" max="16123" width="14.1796875" style="17" customWidth="1"/>
    <col min="16124" max="16124" width="13" style="17" customWidth="1"/>
    <col min="16125" max="16125" width="14.1796875" style="17" customWidth="1"/>
    <col min="16126" max="16126" width="13" style="17" customWidth="1"/>
    <col min="16127" max="16127" width="14.1796875" style="17" customWidth="1"/>
    <col min="16128" max="16128" width="13" style="17" customWidth="1"/>
    <col min="16129" max="16129" width="14.1796875" style="17" customWidth="1"/>
    <col min="16130" max="16130" width="13" style="17" customWidth="1"/>
    <col min="16131" max="16131" width="14.1796875" style="17" customWidth="1"/>
    <col min="16132" max="16133" width="13" style="17" customWidth="1"/>
    <col min="16134" max="16134" width="14.90625" style="17" bestFit="1" customWidth="1"/>
    <col min="16135" max="16135" width="13" style="17" customWidth="1"/>
    <col min="16136" max="16136" width="14.1796875" style="17" customWidth="1"/>
    <col min="16137" max="16137" width="13" style="17" customWidth="1"/>
    <col min="16138" max="16138" width="8.81640625" style="17" customWidth="1"/>
    <col min="16139" max="16139" width="14.1796875" style="17" customWidth="1"/>
    <col min="16140" max="16140" width="13" style="17" customWidth="1"/>
    <col min="16141" max="16141" width="14.1796875" style="17" customWidth="1"/>
    <col min="16142" max="16142" width="13" style="17" customWidth="1"/>
    <col min="16143" max="16143" width="14.1796875" style="17" customWidth="1"/>
    <col min="16144" max="16144" width="13" style="17" customWidth="1"/>
    <col min="16145" max="16145" width="14.1796875" style="17" customWidth="1"/>
    <col min="16146" max="16150" width="13" style="17" customWidth="1"/>
    <col min="16151" max="16151" width="16.81640625" style="17" customWidth="1"/>
    <col min="16152" max="16152" width="14.1796875" style="17" customWidth="1"/>
    <col min="16153" max="16153" width="13" style="17" customWidth="1"/>
    <col min="16154" max="16154" width="14.1796875" style="17" customWidth="1"/>
    <col min="16155" max="16156" width="13.36328125" style="17" customWidth="1"/>
    <col min="16157" max="16157" width="15.6328125" style="17" customWidth="1"/>
    <col min="16158" max="16158" width="14.36328125" style="17" customWidth="1"/>
    <col min="16159" max="16159" width="16" style="17" bestFit="1" customWidth="1"/>
    <col min="16160" max="16160" width="14.1796875" style="17" customWidth="1"/>
    <col min="16161" max="16161" width="13" style="17" customWidth="1"/>
    <col min="16162" max="16162" width="14.1796875" style="17" customWidth="1"/>
    <col min="16163" max="16163" width="13.36328125" style="17" customWidth="1"/>
    <col min="16164" max="16164" width="13.81640625" style="17" bestFit="1" customWidth="1"/>
    <col min="16165" max="16165" width="14.1796875" style="17" bestFit="1" customWidth="1"/>
    <col min="16166" max="16166" width="13.81640625" style="17" bestFit="1" customWidth="1"/>
    <col min="16167" max="16384" width="9.1796875" style="17"/>
  </cols>
  <sheetData>
    <row r="1" spans="2:85" ht="18.5" x14ac:dyDescent="0.45">
      <c r="B1" s="36" t="s">
        <v>584</v>
      </c>
      <c r="D1" s="394" t="s">
        <v>764</v>
      </c>
      <c r="G1" s="510"/>
      <c r="K1" s="510"/>
      <c r="O1" s="527"/>
      <c r="AG1" s="510">
        <v>367529</v>
      </c>
      <c r="AL1" s="510">
        <v>441624</v>
      </c>
      <c r="AQ1" s="510">
        <v>597025</v>
      </c>
      <c r="CE1" s="510">
        <f>SUM(G1:BZ1)</f>
        <v>1406178</v>
      </c>
    </row>
    <row r="2" spans="2:85" ht="15" thickBot="1" x14ac:dyDescent="0.4"/>
    <row r="3" spans="2:85" ht="40" hidden="1" thickBot="1" x14ac:dyDescent="0.4">
      <c r="B3" s="330" t="s">
        <v>627</v>
      </c>
      <c r="C3" s="380" t="s">
        <v>665</v>
      </c>
      <c r="D3" s="395" t="s">
        <v>666</v>
      </c>
      <c r="E3" s="380" t="s">
        <v>667</v>
      </c>
      <c r="G3" s="380" t="s">
        <v>665</v>
      </c>
      <c r="H3" s="380" t="s">
        <v>669</v>
      </c>
      <c r="I3" s="380" t="s">
        <v>667</v>
      </c>
      <c r="O3" s="380" t="s">
        <v>665</v>
      </c>
      <c r="P3" s="380" t="s">
        <v>669</v>
      </c>
      <c r="Q3" s="380" t="s">
        <v>667</v>
      </c>
      <c r="AG3" s="380" t="s">
        <v>665</v>
      </c>
      <c r="AH3" s="380" t="s">
        <v>669</v>
      </c>
      <c r="AI3" s="380" t="s">
        <v>667</v>
      </c>
      <c r="AL3" s="380" t="s">
        <v>665</v>
      </c>
      <c r="AM3" s="380" t="s">
        <v>669</v>
      </c>
      <c r="AN3" s="380" t="s">
        <v>667</v>
      </c>
      <c r="AQ3" s="380" t="s">
        <v>665</v>
      </c>
      <c r="AR3" s="380" t="s">
        <v>669</v>
      </c>
      <c r="AS3" s="380" t="s">
        <v>667</v>
      </c>
      <c r="AU3" s="380" t="s">
        <v>665</v>
      </c>
      <c r="AV3" s="380" t="s">
        <v>669</v>
      </c>
      <c r="AW3" s="380" t="s">
        <v>667</v>
      </c>
      <c r="BE3" s="380" t="s">
        <v>665</v>
      </c>
      <c r="BF3" s="380" t="s">
        <v>669</v>
      </c>
      <c r="BG3" s="380" t="s">
        <v>667</v>
      </c>
      <c r="BM3" s="380" t="s">
        <v>665</v>
      </c>
      <c r="BN3" s="380" t="s">
        <v>669</v>
      </c>
      <c r="BO3" s="380" t="s">
        <v>667</v>
      </c>
    </row>
    <row r="4" spans="2:85" ht="15" hidden="1" thickBot="1" x14ac:dyDescent="0.4">
      <c r="B4" s="330" t="s">
        <v>628</v>
      </c>
      <c r="C4" s="381"/>
      <c r="D4" s="396"/>
      <c r="E4" s="381"/>
      <c r="G4" s="381"/>
      <c r="H4" s="382"/>
      <c r="I4" s="381"/>
      <c r="O4" s="381"/>
      <c r="P4" s="382"/>
      <c r="Q4" s="381"/>
      <c r="AG4" s="381"/>
      <c r="AH4" s="382"/>
      <c r="AI4" s="381"/>
      <c r="AL4" s="381"/>
      <c r="AM4" s="382"/>
      <c r="AN4" s="381"/>
      <c r="AQ4" s="381"/>
      <c r="AR4" s="382"/>
      <c r="AS4" s="381"/>
      <c r="AU4" s="381"/>
      <c r="AV4" s="382"/>
      <c r="AW4" s="381"/>
      <c r="BE4" s="381"/>
      <c r="BF4" s="382"/>
      <c r="BG4" s="381"/>
      <c r="BM4" s="381"/>
      <c r="BN4" s="382"/>
      <c r="BO4" s="381"/>
    </row>
    <row r="5" spans="2:85" ht="15" hidden="1" thickBot="1" x14ac:dyDescent="0.4">
      <c r="B5" s="330"/>
      <c r="C5" s="381"/>
      <c r="D5" s="396"/>
      <c r="E5" s="381"/>
      <c r="G5" s="381"/>
      <c r="H5" s="383"/>
      <c r="I5" s="381"/>
      <c r="O5" s="381"/>
      <c r="P5" s="383"/>
      <c r="Q5" s="381"/>
      <c r="AG5" s="381"/>
      <c r="AH5" s="383"/>
      <c r="AI5" s="381"/>
      <c r="AL5" s="381"/>
      <c r="AM5" s="383"/>
      <c r="AN5" s="381"/>
      <c r="AQ5" s="381"/>
      <c r="AR5" s="383"/>
      <c r="AS5" s="381"/>
      <c r="AU5" s="381"/>
      <c r="AV5" s="383"/>
      <c r="AW5" s="381"/>
      <c r="BE5" s="381"/>
      <c r="BF5" s="383"/>
      <c r="BG5" s="381"/>
      <c r="BM5" s="381"/>
      <c r="BN5" s="383"/>
      <c r="BO5" s="381"/>
    </row>
    <row r="6" spans="2:85" ht="15" hidden="1" thickBot="1" x14ac:dyDescent="0.4">
      <c r="B6" s="330" t="s">
        <v>629</v>
      </c>
      <c r="C6" s="381"/>
      <c r="D6" s="396"/>
      <c r="E6" s="381"/>
      <c r="G6" s="381"/>
      <c r="H6" s="383"/>
      <c r="I6" s="381"/>
      <c r="O6" s="381"/>
      <c r="P6" s="383"/>
      <c r="Q6" s="381"/>
      <c r="AG6" s="381"/>
      <c r="AH6" s="383"/>
      <c r="AI6" s="381"/>
      <c r="AL6" s="381"/>
      <c r="AM6" s="383"/>
      <c r="AN6" s="381"/>
      <c r="AQ6" s="381"/>
      <c r="AR6" s="383"/>
      <c r="AS6" s="381"/>
      <c r="AU6" s="381"/>
      <c r="AV6" s="383"/>
      <c r="AW6" s="381"/>
      <c r="BE6" s="381"/>
      <c r="BF6" s="383"/>
      <c r="BG6" s="381"/>
      <c r="BM6" s="381"/>
      <c r="BN6" s="383"/>
      <c r="BO6" s="381"/>
    </row>
    <row r="7" spans="2:85" ht="15" hidden="1" thickBot="1" x14ac:dyDescent="0.4">
      <c r="B7" s="331" t="s">
        <v>630</v>
      </c>
      <c r="C7" s="381">
        <v>0</v>
      </c>
      <c r="D7" s="396"/>
      <c r="E7" s="381"/>
      <c r="G7" s="381">
        <v>0</v>
      </c>
      <c r="H7" s="383"/>
      <c r="I7" s="381">
        <v>0</v>
      </c>
      <c r="O7" s="381">
        <v>0</v>
      </c>
      <c r="P7" s="383"/>
      <c r="Q7" s="381">
        <v>0</v>
      </c>
      <c r="AG7" s="381">
        <v>0</v>
      </c>
      <c r="AH7" s="383"/>
      <c r="AI7" s="381"/>
      <c r="AJ7" s="18"/>
      <c r="AL7" s="381">
        <v>0</v>
      </c>
      <c r="AM7" s="383"/>
      <c r="AN7" s="381">
        <v>0</v>
      </c>
      <c r="AQ7" s="381">
        <v>0</v>
      </c>
      <c r="AR7" s="383"/>
      <c r="AS7" s="381">
        <v>0</v>
      </c>
      <c r="AU7" s="381">
        <v>0</v>
      </c>
      <c r="AV7" s="383"/>
      <c r="AW7" s="381"/>
      <c r="BE7" s="381">
        <v>0</v>
      </c>
      <c r="BF7" s="383"/>
      <c r="BG7" s="381">
        <v>0</v>
      </c>
      <c r="BM7" s="381">
        <v>0</v>
      </c>
      <c r="BN7" s="383">
        <v>0</v>
      </c>
      <c r="BO7" s="381">
        <v>0</v>
      </c>
      <c r="CE7" s="61">
        <f t="shared" ref="CE7:CE16" si="0">SUM(C7:CD7)</f>
        <v>0</v>
      </c>
      <c r="CF7" s="325">
        <v>165.52</v>
      </c>
    </row>
    <row r="8" spans="2:85" ht="15" hidden="1" thickBot="1" x14ac:dyDescent="0.4">
      <c r="B8" s="331" t="s">
        <v>631</v>
      </c>
      <c r="C8" s="381"/>
      <c r="D8" s="396"/>
      <c r="E8" s="381"/>
      <c r="G8" s="381"/>
      <c r="H8" s="383"/>
      <c r="I8" s="381"/>
      <c r="O8" s="381"/>
      <c r="P8" s="383"/>
      <c r="Q8" s="381"/>
      <c r="AG8" s="381"/>
      <c r="AH8" s="383"/>
      <c r="AI8" s="381"/>
      <c r="AJ8" s="18"/>
      <c r="AL8" s="381"/>
      <c r="AM8" s="383"/>
      <c r="AN8" s="381"/>
      <c r="AQ8" s="381"/>
      <c r="AR8" s="383"/>
      <c r="AS8" s="381"/>
      <c r="AU8" s="381"/>
      <c r="AV8" s="383"/>
      <c r="AW8" s="381"/>
      <c r="BE8" s="381"/>
      <c r="BF8" s="383"/>
      <c r="BG8" s="381"/>
      <c r="BM8" s="381">
        <v>0</v>
      </c>
      <c r="BN8" s="383"/>
      <c r="BO8" s="381"/>
      <c r="CE8" s="60">
        <f t="shared" si="0"/>
        <v>0</v>
      </c>
    </row>
    <row r="9" spans="2:85" s="389" customFormat="1" ht="17.5" hidden="1" thickBot="1" x14ac:dyDescent="0.45">
      <c r="B9" s="385"/>
      <c r="C9" s="386">
        <f>(C8*0.4)+C7</f>
        <v>0</v>
      </c>
      <c r="D9" s="397"/>
      <c r="E9" s="386"/>
      <c r="F9" s="408"/>
      <c r="G9" s="386">
        <f>(G8*0.4)+G7</f>
        <v>0</v>
      </c>
      <c r="H9" s="387"/>
      <c r="I9" s="386"/>
      <c r="K9" s="390"/>
      <c r="L9" s="391"/>
      <c r="M9" s="390"/>
      <c r="O9" s="386">
        <f>(O8*0.4)+O7</f>
        <v>0</v>
      </c>
      <c r="P9" s="387"/>
      <c r="Q9" s="386"/>
      <c r="S9" s="390"/>
      <c r="T9" s="391"/>
      <c r="U9" s="388"/>
      <c r="W9" s="390"/>
      <c r="X9" s="391"/>
      <c r="Y9" s="390"/>
      <c r="AA9" s="392"/>
      <c r="AB9" s="388"/>
      <c r="AD9" s="388"/>
      <c r="AG9" s="386">
        <f>(AG8*0.4)+AG7</f>
        <v>0</v>
      </c>
      <c r="AH9" s="387"/>
      <c r="AI9" s="386"/>
      <c r="AJ9" s="391"/>
      <c r="AL9" s="386">
        <f>(AL8*0.4)+AL7</f>
        <v>0</v>
      </c>
      <c r="AM9" s="387"/>
      <c r="AN9" s="386"/>
      <c r="AP9" s="503"/>
      <c r="AQ9" s="386">
        <f>(AQ8*0.4)+AQ7</f>
        <v>0</v>
      </c>
      <c r="AR9" s="387"/>
      <c r="AS9" s="386"/>
      <c r="AU9" s="386">
        <v>0</v>
      </c>
      <c r="AV9" s="387"/>
      <c r="AW9" s="386"/>
      <c r="AZ9" s="388"/>
      <c r="BA9" s="391"/>
      <c r="BE9" s="386">
        <v>0</v>
      </c>
      <c r="BF9" s="387"/>
      <c r="BG9" s="386"/>
      <c r="BI9" s="388"/>
      <c r="BJ9" s="391"/>
      <c r="BK9" s="388"/>
      <c r="BM9" s="386">
        <f>(BM8*0.4)+BM7</f>
        <v>0</v>
      </c>
      <c r="BN9" s="387"/>
      <c r="BO9" s="386"/>
      <c r="BQ9" s="393"/>
      <c r="BR9" s="388"/>
      <c r="BS9" s="391"/>
      <c r="BT9" s="388"/>
      <c r="BW9" s="388"/>
      <c r="BY9" s="388"/>
      <c r="CB9" s="388"/>
      <c r="CC9" s="388"/>
      <c r="CE9" s="388">
        <f t="shared" si="0"/>
        <v>0</v>
      </c>
      <c r="CF9" s="391"/>
      <c r="CG9" s="388"/>
    </row>
    <row r="10" spans="2:85" ht="15" hidden="1" thickBot="1" x14ac:dyDescent="0.4">
      <c r="B10" s="330" t="s">
        <v>632</v>
      </c>
      <c r="C10" s="381"/>
      <c r="D10" s="396"/>
      <c r="E10" s="381"/>
      <c r="G10" s="381"/>
      <c r="H10" s="383"/>
      <c r="I10" s="381"/>
      <c r="O10" s="381"/>
      <c r="P10" s="383"/>
      <c r="Q10" s="381"/>
      <c r="AG10" s="381"/>
      <c r="AH10" s="383"/>
      <c r="AI10" s="381"/>
      <c r="AJ10" s="18"/>
      <c r="AL10" s="381"/>
      <c r="AM10" s="383"/>
      <c r="AN10" s="381"/>
      <c r="AQ10" s="381"/>
      <c r="AR10" s="383"/>
      <c r="AS10" s="381"/>
      <c r="AU10" s="381"/>
      <c r="AV10" s="383"/>
      <c r="AW10" s="381"/>
      <c r="BE10" s="381"/>
      <c r="BF10" s="383"/>
      <c r="BG10" s="381"/>
      <c r="BM10" s="381"/>
      <c r="BN10" s="383"/>
      <c r="BO10" s="381"/>
      <c r="CE10" s="60">
        <f t="shared" si="0"/>
        <v>0</v>
      </c>
    </row>
    <row r="11" spans="2:85" ht="15" hidden="1" thickBot="1" x14ac:dyDescent="0.4">
      <c r="B11" s="332" t="s">
        <v>630</v>
      </c>
      <c r="C11" s="381"/>
      <c r="D11" s="396"/>
      <c r="E11" s="381"/>
      <c r="G11" s="381"/>
      <c r="H11" s="383"/>
      <c r="I11" s="381"/>
      <c r="O11" s="381"/>
      <c r="P11" s="383"/>
      <c r="Q11" s="381"/>
      <c r="AG11" s="381"/>
      <c r="AH11" s="383"/>
      <c r="AI11" s="381"/>
      <c r="AJ11" s="18"/>
      <c r="AL11" s="381"/>
      <c r="AM11" s="383"/>
      <c r="AN11" s="381"/>
      <c r="AQ11" s="381"/>
      <c r="AR11" s="383"/>
      <c r="AS11" s="381"/>
      <c r="AU11" s="381"/>
      <c r="AV11" s="383"/>
      <c r="AW11" s="381"/>
      <c r="BE11" s="381"/>
      <c r="BF11" s="383"/>
      <c r="BG11" s="381"/>
      <c r="BM11" s="381"/>
      <c r="BN11" s="383"/>
      <c r="BO11" s="381"/>
      <c r="CE11" s="60">
        <f t="shared" si="0"/>
        <v>0</v>
      </c>
    </row>
    <row r="12" spans="2:85" ht="15" hidden="1" thickBot="1" x14ac:dyDescent="0.4">
      <c r="B12" s="332" t="s">
        <v>633</v>
      </c>
      <c r="C12" s="381"/>
      <c r="D12" s="396"/>
      <c r="E12" s="383"/>
      <c r="G12" s="381"/>
      <c r="H12" s="383"/>
      <c r="I12" s="381"/>
      <c r="O12" s="381"/>
      <c r="P12" s="383"/>
      <c r="Q12" s="381"/>
      <c r="AG12" s="381"/>
      <c r="AH12" s="383"/>
      <c r="AI12" s="381"/>
      <c r="AJ12" s="18"/>
      <c r="AL12" s="381"/>
      <c r="AM12" s="383"/>
      <c r="AN12" s="381"/>
      <c r="AQ12" s="381"/>
      <c r="AR12" s="383"/>
      <c r="AS12" s="381"/>
      <c r="AU12" s="381"/>
      <c r="AV12" s="383"/>
      <c r="AW12" s="381"/>
      <c r="BE12" s="381"/>
      <c r="BF12" s="383"/>
      <c r="BG12" s="381"/>
      <c r="BM12" s="381"/>
      <c r="BN12" s="383"/>
      <c r="BO12" s="381"/>
      <c r="CE12" s="60">
        <f t="shared" si="0"/>
        <v>0</v>
      </c>
    </row>
    <row r="13" spans="2:85" ht="15" hidden="1" thickBot="1" x14ac:dyDescent="0.4">
      <c r="B13" s="332"/>
      <c r="C13" s="381"/>
      <c r="D13" s="396"/>
      <c r="E13" s="381"/>
      <c r="G13" s="381"/>
      <c r="H13" s="383"/>
      <c r="I13" s="381"/>
      <c r="O13" s="381"/>
      <c r="P13" s="383"/>
      <c r="Q13" s="381"/>
      <c r="AG13" s="381"/>
      <c r="AH13" s="383"/>
      <c r="AI13" s="381"/>
      <c r="AJ13" s="18"/>
      <c r="AL13" s="381"/>
      <c r="AM13" s="383"/>
      <c r="AN13" s="381"/>
      <c r="AQ13" s="381"/>
      <c r="AR13" s="383"/>
      <c r="AS13" s="381"/>
      <c r="AU13" s="381"/>
      <c r="AV13" s="383"/>
      <c r="AW13" s="381"/>
      <c r="BE13" s="381"/>
      <c r="BF13" s="383"/>
      <c r="BG13" s="381"/>
      <c r="BM13" s="381"/>
      <c r="BN13" s="383"/>
      <c r="BO13" s="381"/>
      <c r="CE13" s="60">
        <f t="shared" si="0"/>
        <v>0</v>
      </c>
    </row>
    <row r="14" spans="2:85" ht="15" hidden="1" thickBot="1" x14ac:dyDescent="0.4">
      <c r="B14" s="332" t="s">
        <v>634</v>
      </c>
      <c r="C14" s="381"/>
      <c r="D14" s="396"/>
      <c r="E14" s="381"/>
      <c r="G14" s="381"/>
      <c r="H14" s="383"/>
      <c r="I14" s="381"/>
      <c r="O14" s="381"/>
      <c r="P14" s="383"/>
      <c r="Q14" s="381"/>
      <c r="AG14" s="381"/>
      <c r="AH14" s="383"/>
      <c r="AI14" s="381"/>
      <c r="AJ14" s="18"/>
      <c r="AL14" s="381"/>
      <c r="AM14" s="383"/>
      <c r="AN14" s="381"/>
      <c r="AQ14" s="381"/>
      <c r="AR14" s="383"/>
      <c r="AS14" s="381"/>
      <c r="AU14" s="381"/>
      <c r="AV14" s="383"/>
      <c r="AW14" s="381"/>
      <c r="BE14" s="381"/>
      <c r="BF14" s="383"/>
      <c r="BG14" s="381"/>
      <c r="BM14" s="381"/>
      <c r="BN14" s="383"/>
      <c r="BO14" s="381"/>
      <c r="CE14" s="60">
        <f t="shared" si="0"/>
        <v>0</v>
      </c>
    </row>
    <row r="15" spans="2:85" ht="15" hidden="1" thickBot="1" x14ac:dyDescent="0.4">
      <c r="B15" s="332" t="s">
        <v>633</v>
      </c>
      <c r="C15" s="384"/>
      <c r="D15" s="396"/>
      <c r="E15" s="381"/>
      <c r="G15" s="384"/>
      <c r="H15" s="383"/>
      <c r="I15" s="381"/>
      <c r="O15" s="384"/>
      <c r="P15" s="383"/>
      <c r="Q15" s="381"/>
      <c r="AG15" s="384"/>
      <c r="AH15" s="383"/>
      <c r="AI15" s="381"/>
      <c r="AJ15" s="18"/>
      <c r="AL15" s="384"/>
      <c r="AM15" s="383"/>
      <c r="AN15" s="381"/>
      <c r="AQ15" s="384"/>
      <c r="AR15" s="383"/>
      <c r="AS15" s="381"/>
      <c r="AU15" s="384"/>
      <c r="AV15" s="383"/>
      <c r="AW15" s="381"/>
      <c r="BE15" s="384"/>
      <c r="BF15" s="383"/>
      <c r="BG15" s="381"/>
      <c r="BM15" s="384"/>
      <c r="BN15" s="383"/>
      <c r="BO15" s="381"/>
      <c r="CE15" s="60">
        <f t="shared" si="0"/>
        <v>0</v>
      </c>
    </row>
    <row r="16" spans="2:85" ht="15" hidden="1" thickBot="1" x14ac:dyDescent="0.4">
      <c r="B16" s="332" t="s">
        <v>635</v>
      </c>
      <c r="C16" s="381"/>
      <c r="D16" s="396"/>
      <c r="E16" s="381"/>
      <c r="G16" s="381"/>
      <c r="H16" s="383"/>
      <c r="I16" s="381"/>
      <c r="O16" s="381"/>
      <c r="P16" s="383"/>
      <c r="Q16" s="381"/>
      <c r="AG16" s="381"/>
      <c r="AH16" s="383"/>
      <c r="AI16" s="381"/>
      <c r="AJ16" s="18"/>
      <c r="AL16" s="381"/>
      <c r="AM16" s="383"/>
      <c r="AN16" s="381"/>
      <c r="AQ16" s="381"/>
      <c r="AR16" s="383"/>
      <c r="AS16" s="381"/>
      <c r="AU16" s="381"/>
      <c r="AV16" s="383"/>
      <c r="AW16" s="381"/>
      <c r="BE16" s="381"/>
      <c r="BF16" s="383"/>
      <c r="BG16" s="381"/>
      <c r="BM16" s="381"/>
      <c r="BN16" s="383"/>
      <c r="BO16" s="381"/>
      <c r="CE16" s="60">
        <f t="shared" si="0"/>
        <v>0</v>
      </c>
    </row>
    <row r="17" spans="1:86" ht="16" hidden="1" thickBot="1" x14ac:dyDescent="0.4">
      <c r="B17" s="367" t="s">
        <v>668</v>
      </c>
      <c r="C17" s="368" t="e">
        <f>#REF!-#REF!+#REF!</f>
        <v>#REF!</v>
      </c>
      <c r="D17" s="398"/>
      <c r="E17" s="366"/>
      <c r="F17" s="285"/>
      <c r="G17" s="369" t="e">
        <f>#REF!-#REF!+#REF!</f>
        <v>#REF!</v>
      </c>
      <c r="H17" s="370"/>
      <c r="I17" s="369"/>
      <c r="J17" s="286"/>
      <c r="K17" s="369"/>
      <c r="L17" s="370"/>
      <c r="M17" s="369"/>
      <c r="N17" s="286"/>
      <c r="O17" s="369" t="e">
        <f>#REF!-#REF!+#REF!</f>
        <v>#REF!</v>
      </c>
      <c r="P17" s="370"/>
      <c r="Q17" s="369"/>
      <c r="R17" s="286"/>
      <c r="S17" s="369"/>
      <c r="T17" s="370"/>
      <c r="U17" s="366"/>
      <c r="V17" s="286"/>
      <c r="W17" s="369"/>
      <c r="X17" s="370"/>
      <c r="Y17" s="369"/>
      <c r="Z17" s="286"/>
      <c r="AA17" s="371"/>
      <c r="AB17" s="366"/>
      <c r="AC17" s="286"/>
      <c r="AD17" s="366"/>
      <c r="AE17" s="286"/>
      <c r="AF17" s="286"/>
      <c r="AG17" s="366" t="e">
        <f>#REF!-#REF!+#REF!</f>
        <v>#REF!</v>
      </c>
      <c r="AH17" s="370"/>
      <c r="AI17" s="366"/>
      <c r="AJ17" s="286"/>
      <c r="AK17" s="286"/>
      <c r="AL17" s="369" t="e">
        <f>#REF!-#REF!+#REF!</f>
        <v>#REF!</v>
      </c>
      <c r="AM17" s="370"/>
      <c r="AN17" s="369"/>
      <c r="AO17" s="286"/>
      <c r="AP17" s="23"/>
      <c r="AQ17" s="366" t="e">
        <f>#REF!-#REF!+#REF!</f>
        <v>#REF!</v>
      </c>
      <c r="AR17" s="370"/>
      <c r="AS17" s="372"/>
      <c r="AT17" s="286"/>
      <c r="AU17" s="366" t="e">
        <f>#REF!-#REF!+#REF!</f>
        <v>#REF!</v>
      </c>
      <c r="AV17" s="370"/>
      <c r="AW17" s="366"/>
      <c r="AX17" s="286"/>
      <c r="AY17" s="286"/>
      <c r="AZ17" s="366"/>
      <c r="BA17" s="370"/>
      <c r="BB17" s="286"/>
      <c r="BC17" s="286"/>
      <c r="BD17" s="286"/>
      <c r="BE17" s="366"/>
      <c r="BF17" s="370"/>
      <c r="BG17" s="366"/>
      <c r="BH17" s="286"/>
      <c r="BI17" s="366"/>
      <c r="BJ17" s="370"/>
      <c r="BK17" s="366"/>
      <c r="BL17" s="286"/>
      <c r="BM17" s="366" t="e">
        <f>#REF!-#REF!+#REF!</f>
        <v>#REF!</v>
      </c>
      <c r="BN17" s="286"/>
      <c r="BO17" s="369"/>
      <c r="BP17" s="286"/>
      <c r="BQ17" s="373"/>
      <c r="BR17" s="366"/>
      <c r="BS17" s="370"/>
      <c r="BT17" s="366"/>
      <c r="BU17" s="286"/>
      <c r="BV17" s="286"/>
      <c r="BW17" s="366"/>
      <c r="BX17" s="286"/>
      <c r="BY17" s="366"/>
      <c r="BZ17" s="286"/>
      <c r="CA17" s="286"/>
      <c r="CB17" s="366"/>
      <c r="CC17" s="366"/>
      <c r="CD17" s="286"/>
      <c r="CE17" s="366" t="e">
        <f>+#REF!-#REF!+#REF!</f>
        <v>#REF!</v>
      </c>
    </row>
    <row r="18" spans="1:86" ht="15" hidden="1" thickBot="1" x14ac:dyDescent="0.4"/>
    <row r="19" spans="1:86" s="284" customFormat="1" ht="47.5" customHeight="1" x14ac:dyDescent="0.35">
      <c r="A19" s="232"/>
      <c r="B19" s="219" t="s">
        <v>454</v>
      </c>
      <c r="C19" s="220" t="s">
        <v>764</v>
      </c>
      <c r="D19" s="399" t="s">
        <v>503</v>
      </c>
      <c r="E19" s="222" t="s">
        <v>504</v>
      </c>
      <c r="F19" s="409" t="s">
        <v>503</v>
      </c>
      <c r="G19" s="224" t="str">
        <f>C19</f>
        <v>May-26</v>
      </c>
      <c r="H19" s="225" t="s">
        <v>503</v>
      </c>
      <c r="I19" s="226" t="s">
        <v>504</v>
      </c>
      <c r="J19" s="227" t="s">
        <v>503</v>
      </c>
      <c r="K19" s="228" t="str">
        <f>C19</f>
        <v>May-26</v>
      </c>
      <c r="L19" s="225" t="s">
        <v>503</v>
      </c>
      <c r="M19" s="226" t="s">
        <v>504</v>
      </c>
      <c r="N19" s="227" t="s">
        <v>503</v>
      </c>
      <c r="O19" s="228" t="str">
        <f>C19</f>
        <v>May-26</v>
      </c>
      <c r="P19" s="225" t="s">
        <v>503</v>
      </c>
      <c r="Q19" s="226" t="s">
        <v>504</v>
      </c>
      <c r="R19" s="227" t="s">
        <v>503</v>
      </c>
      <c r="S19" s="228" t="str">
        <f>K19</f>
        <v>May-26</v>
      </c>
      <c r="T19" s="225" t="s">
        <v>505</v>
      </c>
      <c r="U19" s="229" t="s">
        <v>504</v>
      </c>
      <c r="V19" s="230" t="s">
        <v>503</v>
      </c>
      <c r="W19" s="228" t="str">
        <f>O19</f>
        <v>May-26</v>
      </c>
      <c r="X19" s="225" t="s">
        <v>503</v>
      </c>
      <c r="Y19" s="226" t="s">
        <v>504</v>
      </c>
      <c r="Z19" s="227" t="s">
        <v>503</v>
      </c>
      <c r="AA19" s="231" t="s">
        <v>506</v>
      </c>
      <c r="AB19" s="220" t="str">
        <f>C19</f>
        <v>May-26</v>
      </c>
      <c r="AC19" s="221" t="s">
        <v>503</v>
      </c>
      <c r="AD19" s="222" t="s">
        <v>504</v>
      </c>
      <c r="AE19" s="223" t="s">
        <v>503</v>
      </c>
      <c r="AF19" s="232"/>
      <c r="AG19" s="233" t="str">
        <f>AB19</f>
        <v>May-26</v>
      </c>
      <c r="AH19" s="225" t="s">
        <v>503</v>
      </c>
      <c r="AI19" s="229" t="s">
        <v>504</v>
      </c>
      <c r="AJ19" s="227" t="s">
        <v>503</v>
      </c>
      <c r="AK19" s="232"/>
      <c r="AL19" s="234" t="str">
        <f>AG19</f>
        <v>May-26</v>
      </c>
      <c r="AM19" s="225" t="s">
        <v>503</v>
      </c>
      <c r="AN19" s="226" t="s">
        <v>504</v>
      </c>
      <c r="AO19" s="227" t="s">
        <v>503</v>
      </c>
      <c r="AP19" s="232"/>
      <c r="AQ19" s="233" t="str">
        <f>AL19</f>
        <v>May-26</v>
      </c>
      <c r="AR19" s="225" t="s">
        <v>503</v>
      </c>
      <c r="AS19" s="229" t="s">
        <v>504</v>
      </c>
      <c r="AT19" s="227" t="s">
        <v>503</v>
      </c>
      <c r="AU19" s="233" t="str">
        <f>AQ19</f>
        <v>May-26</v>
      </c>
      <c r="AV19" s="225" t="s">
        <v>503</v>
      </c>
      <c r="AW19" s="229" t="s">
        <v>504</v>
      </c>
      <c r="AX19" s="227" t="s">
        <v>503</v>
      </c>
      <c r="AY19" s="235" t="s">
        <v>506</v>
      </c>
      <c r="AZ19" s="233" t="str">
        <f>AU19</f>
        <v>May-26</v>
      </c>
      <c r="BA19" s="225" t="s">
        <v>503</v>
      </c>
      <c r="BB19" s="236" t="s">
        <v>504</v>
      </c>
      <c r="BC19" s="227" t="s">
        <v>503</v>
      </c>
      <c r="BD19" s="232"/>
      <c r="BE19" s="233" t="str">
        <f>AZ19</f>
        <v>May-26</v>
      </c>
      <c r="BF19" s="225" t="s">
        <v>503</v>
      </c>
      <c r="BG19" s="229" t="s">
        <v>504</v>
      </c>
      <c r="BH19" s="227" t="s">
        <v>503</v>
      </c>
      <c r="BI19" s="233" t="str">
        <f>BE19</f>
        <v>May-26</v>
      </c>
      <c r="BJ19" s="225" t="s">
        <v>503</v>
      </c>
      <c r="BK19" s="229" t="s">
        <v>504</v>
      </c>
      <c r="BL19" s="227" t="s">
        <v>503</v>
      </c>
      <c r="BM19" s="233" t="str">
        <f>BE19</f>
        <v>May-26</v>
      </c>
      <c r="BN19" s="225" t="s">
        <v>503</v>
      </c>
      <c r="BO19" s="226" t="s">
        <v>504</v>
      </c>
      <c r="BP19" s="227" t="s">
        <v>503</v>
      </c>
      <c r="BQ19" s="237" t="s">
        <v>507</v>
      </c>
      <c r="BR19" s="233" t="str">
        <f>BM19</f>
        <v>May-26</v>
      </c>
      <c r="BS19" s="225" t="s">
        <v>503</v>
      </c>
      <c r="BT19" s="229" t="s">
        <v>504</v>
      </c>
      <c r="BU19" s="227" t="s">
        <v>503</v>
      </c>
      <c r="BV19" s="238"/>
      <c r="BW19" s="233" t="str">
        <f>BM19</f>
        <v>May-26</v>
      </c>
      <c r="BX19" s="225" t="s">
        <v>503</v>
      </c>
      <c r="BY19" s="229" t="s">
        <v>504</v>
      </c>
      <c r="BZ19" s="227" t="s">
        <v>503</v>
      </c>
      <c r="CA19" s="238"/>
      <c r="CB19" s="513" t="s">
        <v>508</v>
      </c>
      <c r="CC19" s="514" t="s">
        <v>509</v>
      </c>
      <c r="CD19" s="232"/>
      <c r="CE19" s="233" t="str">
        <f>BR19</f>
        <v>May-26</v>
      </c>
      <c r="CF19" s="225" t="s">
        <v>503</v>
      </c>
      <c r="CG19" s="229" t="s">
        <v>504</v>
      </c>
      <c r="CH19" s="227" t="s">
        <v>503</v>
      </c>
    </row>
    <row r="20" spans="1:86" s="284" customFormat="1" ht="24" customHeight="1" thickBot="1" x14ac:dyDescent="0.4">
      <c r="A20" s="232"/>
      <c r="B20" s="239"/>
      <c r="C20" s="240"/>
      <c r="D20" s="400"/>
      <c r="E20" s="241"/>
      <c r="F20" s="410"/>
      <c r="G20" s="242"/>
      <c r="H20" s="243"/>
      <c r="I20" s="244"/>
      <c r="J20" s="245"/>
      <c r="K20" s="246"/>
      <c r="L20" s="243"/>
      <c r="M20" s="244"/>
      <c r="N20" s="245"/>
      <c r="O20" s="246"/>
      <c r="P20" s="243"/>
      <c r="Q20" s="244"/>
      <c r="R20" s="245"/>
      <c r="S20" s="246"/>
      <c r="T20" s="243"/>
      <c r="U20" s="247"/>
      <c r="V20" s="248"/>
      <c r="W20" s="246"/>
      <c r="X20" s="243"/>
      <c r="Y20" s="244"/>
      <c r="Z20" s="245"/>
      <c r="AA20" s="249"/>
      <c r="AB20" s="276"/>
      <c r="AC20" s="250"/>
      <c r="AD20" s="278"/>
      <c r="AE20" s="251"/>
      <c r="AF20" s="232"/>
      <c r="AG20" s="252"/>
      <c r="AH20" s="243"/>
      <c r="AI20" s="247"/>
      <c r="AJ20" s="245"/>
      <c r="AK20" s="232"/>
      <c r="AL20" s="253"/>
      <c r="AM20" s="243"/>
      <c r="AN20" s="244"/>
      <c r="AO20" s="245"/>
      <c r="AP20" s="232"/>
      <c r="AQ20" s="252"/>
      <c r="AR20" s="243"/>
      <c r="AS20" s="247"/>
      <c r="AT20" s="245"/>
      <c r="AU20" s="252"/>
      <c r="AV20" s="243"/>
      <c r="AW20" s="247"/>
      <c r="AX20" s="245"/>
      <c r="AY20" s="254"/>
      <c r="AZ20" s="252"/>
      <c r="BA20" s="243"/>
      <c r="BB20" s="255"/>
      <c r="BC20" s="245"/>
      <c r="BD20" s="232"/>
      <c r="BE20" s="252"/>
      <c r="BF20" s="243"/>
      <c r="BG20" s="247"/>
      <c r="BH20" s="245"/>
      <c r="BI20" s="252"/>
      <c r="BJ20" s="243"/>
      <c r="BK20" s="247"/>
      <c r="BL20" s="245"/>
      <c r="BM20" s="252"/>
      <c r="BN20" s="243"/>
      <c r="BO20" s="244"/>
      <c r="BP20" s="245"/>
      <c r="BQ20" s="256"/>
      <c r="BR20" s="252"/>
      <c r="BS20" s="243"/>
      <c r="BT20" s="247"/>
      <c r="BU20" s="245"/>
      <c r="BV20" s="238"/>
      <c r="BW20" s="252"/>
      <c r="BX20" s="243"/>
      <c r="BY20" s="247"/>
      <c r="BZ20" s="245"/>
      <c r="CA20" s="238"/>
      <c r="CB20" s="515"/>
      <c r="CC20" s="516"/>
      <c r="CD20" s="232"/>
      <c r="CE20" s="252"/>
      <c r="CF20" s="243"/>
      <c r="CG20" s="247"/>
      <c r="CH20" s="245"/>
    </row>
    <row r="21" spans="1:86" s="284" customFormat="1" ht="20" thickBot="1" x14ac:dyDescent="0.5">
      <c r="A21" s="232"/>
      <c r="B21" s="257"/>
      <c r="C21" s="258" t="s">
        <v>510</v>
      </c>
      <c r="D21" s="401"/>
      <c r="E21" s="260"/>
      <c r="F21" s="411"/>
      <c r="G21" s="262" t="s">
        <v>511</v>
      </c>
      <c r="H21" s="259"/>
      <c r="I21" s="262"/>
      <c r="J21" s="261"/>
      <c r="K21" s="263" t="s">
        <v>512</v>
      </c>
      <c r="L21" s="259"/>
      <c r="M21" s="262"/>
      <c r="N21" s="261"/>
      <c r="O21" s="263" t="s">
        <v>748</v>
      </c>
      <c r="P21" s="259"/>
      <c r="Q21" s="262"/>
      <c r="R21" s="261"/>
      <c r="S21" s="263" t="s">
        <v>514</v>
      </c>
      <c r="T21" s="259"/>
      <c r="U21" s="260"/>
      <c r="V21" s="261"/>
      <c r="W21" s="263" t="s">
        <v>452</v>
      </c>
      <c r="X21" s="259"/>
      <c r="Y21" s="262"/>
      <c r="Z21" s="261"/>
      <c r="AA21" s="264"/>
      <c r="AB21" s="277" t="s">
        <v>515</v>
      </c>
      <c r="AC21" s="265"/>
      <c r="AD21" s="279"/>
      <c r="AE21" s="266"/>
      <c r="AF21" s="232"/>
      <c r="AG21" s="268" t="s">
        <v>516</v>
      </c>
      <c r="AH21" s="259"/>
      <c r="AI21" s="260"/>
      <c r="AJ21" s="261"/>
      <c r="AK21" s="232"/>
      <c r="AL21" s="267" t="s">
        <v>517</v>
      </c>
      <c r="AM21" s="259"/>
      <c r="AN21" s="262"/>
      <c r="AO21" s="261"/>
      <c r="AP21" s="232"/>
      <c r="AQ21" s="268" t="s">
        <v>518</v>
      </c>
      <c r="AR21" s="259"/>
      <c r="AS21" s="260"/>
      <c r="AT21" s="261"/>
      <c r="AU21" s="268" t="s">
        <v>519</v>
      </c>
      <c r="AV21" s="259"/>
      <c r="AW21" s="260"/>
      <c r="AX21" s="261"/>
      <c r="AY21" s="269"/>
      <c r="AZ21" s="268" t="s">
        <v>520</v>
      </c>
      <c r="BA21" s="259"/>
      <c r="BB21" s="259"/>
      <c r="BC21" s="261"/>
      <c r="BD21" s="270"/>
      <c r="BE21" s="268" t="s">
        <v>521</v>
      </c>
      <c r="BF21" s="259"/>
      <c r="BG21" s="260"/>
      <c r="BH21" s="261"/>
      <c r="BI21" s="271" t="s">
        <v>522</v>
      </c>
      <c r="BJ21" s="259"/>
      <c r="BK21" s="260"/>
      <c r="BL21" s="272"/>
      <c r="BM21" s="268" t="s">
        <v>523</v>
      </c>
      <c r="BN21" s="259"/>
      <c r="BO21" s="262"/>
      <c r="BP21" s="261"/>
      <c r="BQ21" s="256"/>
      <c r="BR21" s="268" t="s">
        <v>524</v>
      </c>
      <c r="BS21" s="259"/>
      <c r="BT21" s="260"/>
      <c r="BU21" s="261"/>
      <c r="BV21" s="270"/>
      <c r="BW21" s="268" t="s">
        <v>749</v>
      </c>
      <c r="BX21" s="259"/>
      <c r="BY21" s="260"/>
      <c r="BZ21" s="261"/>
      <c r="CA21" s="270"/>
      <c r="CB21" s="517"/>
      <c r="CC21" s="518"/>
      <c r="CD21" s="232"/>
      <c r="CE21" s="258" t="s">
        <v>525</v>
      </c>
      <c r="CF21" s="259"/>
      <c r="CG21" s="260"/>
      <c r="CH21" s="261"/>
    </row>
    <row r="22" spans="1:86" x14ac:dyDescent="0.35">
      <c r="B22" s="86" t="s">
        <v>455</v>
      </c>
      <c r="C22" s="129"/>
      <c r="D22" s="402"/>
      <c r="E22" s="131"/>
      <c r="F22" s="412"/>
      <c r="G22" s="133"/>
      <c r="H22" s="130"/>
      <c r="I22" s="134"/>
      <c r="J22" s="135"/>
      <c r="K22" s="136"/>
      <c r="L22" s="130"/>
      <c r="M22" s="134"/>
      <c r="N22" s="135"/>
      <c r="O22" s="136"/>
      <c r="P22" s="130"/>
      <c r="Q22" s="134"/>
      <c r="R22" s="135"/>
      <c r="S22" s="136"/>
      <c r="T22" s="130"/>
      <c r="U22" s="131"/>
      <c r="V22" s="135"/>
      <c r="W22" s="136"/>
      <c r="X22" s="130"/>
      <c r="Y22" s="134"/>
      <c r="Z22" s="132"/>
      <c r="AA22" s="137"/>
      <c r="AB22" s="129"/>
      <c r="AC22" s="138"/>
      <c r="AD22" s="131"/>
      <c r="AE22" s="132"/>
      <c r="AF22" s="139"/>
      <c r="AG22" s="129"/>
      <c r="AH22" s="130"/>
      <c r="AI22" s="131"/>
      <c r="AJ22" s="132"/>
      <c r="AK22" s="139"/>
      <c r="AL22" s="136"/>
      <c r="AM22" s="130"/>
      <c r="AN22" s="134"/>
      <c r="AO22" s="132"/>
      <c r="AP22" s="139"/>
      <c r="AQ22" s="209"/>
      <c r="AR22" s="140"/>
      <c r="AS22" s="145"/>
      <c r="AT22" s="141"/>
      <c r="AU22" s="129"/>
      <c r="AV22" s="130"/>
      <c r="AW22" s="131"/>
      <c r="AX22" s="132"/>
      <c r="AY22" s="142"/>
      <c r="AZ22" s="129"/>
      <c r="BA22" s="130"/>
      <c r="BB22" s="143"/>
      <c r="BC22" s="132"/>
      <c r="BD22" s="144"/>
      <c r="BE22" s="209"/>
      <c r="BF22" s="140"/>
      <c r="BG22" s="145"/>
      <c r="BH22" s="141"/>
      <c r="BI22" s="211"/>
      <c r="BJ22" s="130"/>
      <c r="BK22" s="131"/>
      <c r="BL22" s="132"/>
      <c r="BM22" s="209"/>
      <c r="BN22" s="140"/>
      <c r="BO22" s="146"/>
      <c r="BP22" s="141"/>
      <c r="BQ22" s="147"/>
      <c r="BR22" s="129"/>
      <c r="BS22" s="130"/>
      <c r="BT22" s="131"/>
      <c r="BU22" s="132"/>
      <c r="BV22" s="144"/>
      <c r="BW22" s="209"/>
      <c r="BX22" s="140"/>
      <c r="BY22" s="145"/>
      <c r="BZ22" s="141"/>
      <c r="CA22" s="144"/>
      <c r="CB22" s="209"/>
      <c r="CC22" s="519"/>
      <c r="CD22" s="139"/>
      <c r="CE22" s="129"/>
      <c r="CF22" s="130"/>
      <c r="CG22" s="131"/>
      <c r="CH22" s="132"/>
    </row>
    <row r="23" spans="1:86" s="194" customFormat="1" ht="15.5" x14ac:dyDescent="0.35">
      <c r="B23" s="197" t="s">
        <v>429</v>
      </c>
      <c r="C23" s="180">
        <f>E23-'Apr-26'!E23</f>
        <v>2048.0603166000001</v>
      </c>
      <c r="D23" s="182">
        <f>C23/$C$46*100%</f>
        <v>0.65558117630120294</v>
      </c>
      <c r="E23" s="181">
        <f>-SUMIF('05.conso TB'!A:A,'May-26'!B23,'05.conso TB'!R:R)/10^5</f>
        <v>4945.3445099</v>
      </c>
      <c r="F23" s="182">
        <f>E23/$E$46*100%</f>
        <v>0.76539716788275691</v>
      </c>
      <c r="G23" s="180">
        <f>I23-'Apr-26'!I23</f>
        <v>1059.1800991000002</v>
      </c>
      <c r="H23" s="182">
        <f>G23/$G$46*100%</f>
        <v>0.79745099274917997</v>
      </c>
      <c r="I23" s="181">
        <f>-SUMIF('05.conso TB'!A:A,'May-26'!B23,'05.conso TB'!S:S)/10^5</f>
        <v>2073.1202280000002</v>
      </c>
      <c r="J23" s="182">
        <f>I23/$I$46*100%</f>
        <v>0.82609094689745699</v>
      </c>
      <c r="K23" s="180">
        <f>M23-'Apr-26'!M23</f>
        <v>0</v>
      </c>
      <c r="L23" s="182">
        <f>K23/$C$46*100%</f>
        <v>0</v>
      </c>
      <c r="M23" s="181">
        <f>-SUMIF('05.conso TB'!A:A,'May-26'!B23,'05.conso TB'!T:T)/10^5</f>
        <v>0</v>
      </c>
      <c r="N23" s="182">
        <f>M23/$C$46*100%</f>
        <v>0</v>
      </c>
      <c r="O23" s="180">
        <f>Q23-'Apr-26'!Q23</f>
        <v>1225.1444893000003</v>
      </c>
      <c r="P23" s="182">
        <f>O23/$O$46*100%</f>
        <v>0.9863858729090802</v>
      </c>
      <c r="Q23" s="181">
        <f>-SUMIF('05.conso TB'!A:A,'May-26'!B23,'05.conso TB'!U:U)/10^5</f>
        <v>2147.1778127000002</v>
      </c>
      <c r="R23" s="182">
        <f>Q23/$Q$46*100%</f>
        <v>0.98546636516960795</v>
      </c>
      <c r="S23" s="180">
        <f>U23-'Apr-26'!U23</f>
        <v>0</v>
      </c>
      <c r="T23" s="182">
        <f>S23/$S$46*100%</f>
        <v>0</v>
      </c>
      <c r="U23" s="183">
        <f>SUMIF('05.conso TB'!A:A,'May-26'!B23,'05.conso TB'!V:V)</f>
        <v>0</v>
      </c>
      <c r="V23" s="182">
        <f>U23/$U$46*100%</f>
        <v>0</v>
      </c>
      <c r="W23" s="180">
        <f>Y23-'Apr-26'!Y23</f>
        <v>0</v>
      </c>
      <c r="X23" s="182">
        <f>W23/$W$46*100%</f>
        <v>0</v>
      </c>
      <c r="Y23" s="181">
        <f>-SUMIF('05.conso TB'!A:A,'May-26'!B23,'05.conso TB'!G:G)/10^5</f>
        <v>0</v>
      </c>
      <c r="Z23" s="182">
        <f>Y23/$Y$46*100%</f>
        <v>0</v>
      </c>
      <c r="AA23" s="343">
        <v>317.57265710000019</v>
      </c>
      <c r="AB23" s="180">
        <f>AD23-'Apr-26'!AD23</f>
        <v>4141.1887008000003</v>
      </c>
      <c r="AC23" s="182">
        <f>AB23/$AB$46*100%</f>
        <v>0.44908490732317347</v>
      </c>
      <c r="AD23" s="187">
        <f>E23+I23+M23+Q23+U23+Y23-AA23</f>
        <v>8848.0698935</v>
      </c>
      <c r="AE23" s="182">
        <f>AD23/$AD$46*100%</f>
        <v>0.61219767897063526</v>
      </c>
      <c r="AF23" s="186"/>
      <c r="AG23" s="180">
        <f>AI23-'Apr-26'!AI23</f>
        <v>95.609829999999974</v>
      </c>
      <c r="AH23" s="182">
        <f>AG23/$AG$46*100%</f>
        <v>0.26015643908058689</v>
      </c>
      <c r="AI23" s="183">
        <f>-SUMIF('05.conso TB'!A:A,'May-26'!B23,'05.conso TB'!Q:Q)/10^5</f>
        <v>184.39778739999997</v>
      </c>
      <c r="AJ23" s="184">
        <f>AI23/$AI$46*100%</f>
        <v>0.249860595761184</v>
      </c>
      <c r="AK23" s="437"/>
      <c r="AL23" s="180">
        <f>AN23-'Apr-26'!AN23</f>
        <v>653.79372839999985</v>
      </c>
      <c r="AM23" s="182">
        <f>AL23/$AL$46*100%</f>
        <v>0.5520797229743164</v>
      </c>
      <c r="AN23" s="181">
        <f>-SUMIF('05.conso TB'!A:A,'May-26'!B23,'05.conso TB'!W:W)/10^5</f>
        <v>1478.0790614999999</v>
      </c>
      <c r="AO23" s="184">
        <f>AN23/$AN$46*100%</f>
        <v>0.6364588769719578</v>
      </c>
      <c r="AP23" s="545"/>
      <c r="AQ23" s="180">
        <f>AS23-'Apr-26'!AS23</f>
        <v>1982.7335618000002</v>
      </c>
      <c r="AR23" s="182">
        <f>AQ23/$AQ$46*100%</f>
        <v>0.97248741785678483</v>
      </c>
      <c r="AS23" s="183">
        <f>-SUMIF('05.conso TB'!A:A,'May-26'!B23,'05.conso TB'!M:M)/10^5</f>
        <v>3773.3651192000002</v>
      </c>
      <c r="AT23" s="184">
        <f>AS23/$AS$46*100%</f>
        <v>0.97489384031611415</v>
      </c>
      <c r="AU23" s="180">
        <f>AW23-'Apr-26'!AW23</f>
        <v>-2.2135648000000003</v>
      </c>
      <c r="AV23" s="182">
        <f>AU23/$AU$46*100%</f>
        <v>-2.2216100934716525E-3</v>
      </c>
      <c r="AW23" s="183">
        <f>-SUMIF('05.conso TB'!A:A,'May-26'!B23,'05.conso TB'!P:P)/10^5</f>
        <v>-4.5173012000000003</v>
      </c>
      <c r="AX23" s="184">
        <f>AW23/$AW$46*100%</f>
        <v>-2.4454423948286792E-3</v>
      </c>
      <c r="AY23" s="512">
        <v>0</v>
      </c>
      <c r="AZ23" s="180">
        <f>BB23-'Apr-26'!BB23</f>
        <v>1980.5199970000001</v>
      </c>
      <c r="BA23" s="182">
        <f>AZ23/$AZ$46*100%</f>
        <v>0.6525159325169364</v>
      </c>
      <c r="BB23" s="190">
        <f>AS23+AW23</f>
        <v>3768.8478180000002</v>
      </c>
      <c r="BC23" s="184">
        <f>BB23/$BB$46*100%</f>
        <v>0.65914619775836447</v>
      </c>
      <c r="BD23" s="191"/>
      <c r="BE23" s="180">
        <f>BG23-'Apr-26'!BG23</f>
        <v>2505.1055354</v>
      </c>
      <c r="BF23" s="182">
        <f>BE23/$BE$46*100%</f>
        <v>0.89630581620447602</v>
      </c>
      <c r="BG23" s="183">
        <f>-SUMIF('05.conso TB'!A:A,'May-26'!B23,'05.conso TB'!H:H)/10^5</f>
        <v>3942.6623837000002</v>
      </c>
      <c r="BH23" s="184">
        <f>BG23/$BG$46*100%</f>
        <v>0.83901799492725515</v>
      </c>
      <c r="BI23" s="180">
        <f>BK23-'Apr-26'!BK23</f>
        <v>19.219115000000006</v>
      </c>
      <c r="BJ23" s="182">
        <f>BI23/$BI$46*100%</f>
        <v>1.0000000312189203</v>
      </c>
      <c r="BK23" s="183">
        <f>-SUMIF('05.conso TB'!A:A,'May-26'!B23,'05.conso TB'!I:I)/10^5</f>
        <v>38.599737000000005</v>
      </c>
      <c r="BL23" s="184">
        <f>BK23/$BK$46*100%</f>
        <v>1.0000003652875964</v>
      </c>
      <c r="BM23" s="180">
        <f>BO23-'Apr-26'!BO23</f>
        <v>0</v>
      </c>
      <c r="BN23" s="182">
        <f>BM23/$C$46*100%</f>
        <v>0</v>
      </c>
      <c r="BO23" s="181">
        <f>-SUMIF('05.conso TB'!A:A,'May-26'!B23,'05.conso TB'!J:J)/10^5</f>
        <v>0</v>
      </c>
      <c r="BP23" s="182">
        <f>BO23/$C$46*100%</f>
        <v>0</v>
      </c>
      <c r="BQ23" s="344">
        <v>0</v>
      </c>
      <c r="BR23" s="180">
        <f>BT23-'Apr-26'!BT23</f>
        <v>2524.3246503999999</v>
      </c>
      <c r="BS23" s="182">
        <f>BR23/$BR$46*100%</f>
        <v>0.95455774797846304</v>
      </c>
      <c r="BT23" s="183">
        <f>BG23+BK23+BO23-BQ23</f>
        <v>3981.2621207000002</v>
      </c>
      <c r="BU23" s="182">
        <f>BT23/$BT$46*100%</f>
        <v>0.88714051240633751</v>
      </c>
      <c r="BV23" s="191"/>
      <c r="BW23" s="180">
        <f>BY23-'Apr-26'!BY23</f>
        <v>-5.4487750000000004</v>
      </c>
      <c r="BX23" s="182">
        <f>BW23/$BW$46*100%</f>
        <v>-1.2040756305887067E-2</v>
      </c>
      <c r="BY23" s="183">
        <f>-SUMIF('05.conso TB'!A:A,'May-26'!B23,'05.conso TB'!L:L)/10^5</f>
        <v>-9.8835750000000004</v>
      </c>
      <c r="BZ23" s="182">
        <f>BY23/$BY$46*100%</f>
        <v>-4.5738579090718956E-3</v>
      </c>
      <c r="CA23" s="191"/>
      <c r="CB23" s="180">
        <f>CC23-'Apr-26'!CC23</f>
        <v>4547.8678017548918</v>
      </c>
      <c r="CC23" s="346">
        <v>9013.7446414897713</v>
      </c>
      <c r="CD23" s="193"/>
      <c r="CE23" s="187">
        <f>AB23+AG23+AL23+AZ23+BR23+BW23-CA23</f>
        <v>9389.9881315999992</v>
      </c>
      <c r="CF23" s="182">
        <f>CE23/$CE$46*100%</f>
        <v>0.55544409815991735</v>
      </c>
      <c r="CG23" s="187">
        <f>AD23+AI23+AN23+BB23+BT23+BY23-CC23</f>
        <v>9237.02846461023</v>
      </c>
      <c r="CH23" s="182">
        <f>CG23/$CG$46*100%</f>
        <v>0.75530693976731578</v>
      </c>
    </row>
    <row r="24" spans="1:86" s="194" customFormat="1" ht="15.5" x14ac:dyDescent="0.35">
      <c r="B24" s="197" t="s">
        <v>430</v>
      </c>
      <c r="C24" s="180">
        <f>E24-'Apr-26'!E24</f>
        <v>955.64633349999986</v>
      </c>
      <c r="D24" s="182">
        <f>C24/$C$46*100%</f>
        <v>0.30590102369832795</v>
      </c>
      <c r="E24" s="181">
        <f>-SUMIF('05.conso TB'!A:A,'May-26'!B24,'05.conso TB'!R:R)/10^5</f>
        <v>1352.4290874999999</v>
      </c>
      <c r="F24" s="182">
        <f t="shared" ref="F24:F82" si="1">E24/$E$46*100%</f>
        <v>0.20931714489506675</v>
      </c>
      <c r="G24" s="180">
        <f>I24-'Apr-26'!I24</f>
        <v>96.525997700000005</v>
      </c>
      <c r="H24" s="182">
        <f t="shared" ref="H24:H82" si="2">G24/$G$46*100%</f>
        <v>7.2673903859576436E-2</v>
      </c>
      <c r="I24" s="181">
        <f>-SUMIF('05.conso TB'!A:A,'May-26'!B24,'05.conso TB'!S:S)/10^5</f>
        <v>216.41929450000001</v>
      </c>
      <c r="J24" s="182">
        <f t="shared" ref="J24:J82" si="3">I24/$I$46*100%</f>
        <v>8.6238133951768367E-2</v>
      </c>
      <c r="K24" s="180">
        <f>M24-'Apr-26'!M24</f>
        <v>0</v>
      </c>
      <c r="L24" s="182">
        <f>K24/$C$46*100%</f>
        <v>0</v>
      </c>
      <c r="M24" s="181">
        <f>-SUMIF('05.conso TB'!A:A,'May-26'!B24,'05.conso TB'!T:T)</f>
        <v>0</v>
      </c>
      <c r="N24" s="182">
        <f>M24/$C$46*100%</f>
        <v>0</v>
      </c>
      <c r="O24" s="180">
        <f>Q24-'Apr-26'!Q24</f>
        <v>16.909452799999997</v>
      </c>
      <c r="P24" s="182">
        <f t="shared" ref="P24:P82" si="4">O24/$O$46*100%</f>
        <v>1.3614104708639515E-2</v>
      </c>
      <c r="Q24" s="181">
        <f>-SUMIF('05.conso TB'!A:A,'May-26'!B24,'05.conso TB'!U:U)/10^5</f>
        <v>31.666509899999998</v>
      </c>
      <c r="R24" s="182">
        <f t="shared" ref="R24:R82" si="5">Q24/$Q$46*100%</f>
        <v>1.4533626523235916E-2</v>
      </c>
      <c r="S24" s="180">
        <f>U24-'Apr-26'!U24</f>
        <v>0</v>
      </c>
      <c r="T24" s="182">
        <f t="shared" ref="T24:T75" si="6">S24/$S$46*100%</f>
        <v>0</v>
      </c>
      <c r="U24" s="183">
        <f>-SUMIF('05.conso TB'!A:A,'May-26'!B24,'05.conso TB'!V:V)/10^5</f>
        <v>48.765062400000005</v>
      </c>
      <c r="V24" s="182">
        <f t="shared" ref="V24:V82" si="7">U24/$U$46*100%</f>
        <v>1.0004615473111722</v>
      </c>
      <c r="W24" s="180">
        <f>Y24-'Apr-26'!Y24</f>
        <v>3763.6995999999999</v>
      </c>
      <c r="X24" s="182">
        <f t="shared" ref="X24:X82" si="8">W24/$W$46*100%</f>
        <v>1.0119788819040338</v>
      </c>
      <c r="Y24" s="181">
        <f>-SUMIF('05.conso TB'!A:A,'May-26'!B24,'05.conso TB'!G:G)/10^5</f>
        <v>3837.7156</v>
      </c>
      <c r="Z24" s="182">
        <f t="shared" ref="Z24:Z82" si="9">Y24/$Y$46*100%</f>
        <v>1.0116251231536815</v>
      </c>
      <c r="AA24" s="343">
        <v>286.0522651</v>
      </c>
      <c r="AB24" s="180">
        <f>AD24-'Apr-26'!AD24</f>
        <v>4808.5836393999998</v>
      </c>
      <c r="AC24" s="182">
        <f t="shared" ref="AC24:AC82" si="10">AB24/$AB$46*100%</f>
        <v>0.52145953591501626</v>
      </c>
      <c r="AD24" s="187">
        <f>E24+I24+M24+Q24+U24+Y24-AA24</f>
        <v>5200.9432891999995</v>
      </c>
      <c r="AE24" s="182">
        <f t="shared" ref="AE24:AE82" si="11">AD24/$AD$46*100%</f>
        <v>0.35985310338079335</v>
      </c>
      <c r="AF24" s="186"/>
      <c r="AG24" s="180">
        <f>AI24-'Apr-26'!AI24</f>
        <v>0</v>
      </c>
      <c r="AH24" s="182">
        <f t="shared" ref="AH24:AH82" si="12">AG24/$AG$46*100%</f>
        <v>0</v>
      </c>
      <c r="AI24" s="183">
        <f>-SUMIF('05.conso TB'!A:A,'May-26'!B24,'05.conso TB'!Q:Q)/10^5</f>
        <v>0</v>
      </c>
      <c r="AJ24" s="184">
        <f>AI24/$AI$46*100%</f>
        <v>0</v>
      </c>
      <c r="AK24" s="437"/>
      <c r="AL24" s="180">
        <f>AN24-'Apr-26'!AN24</f>
        <v>288.92677240000006</v>
      </c>
      <c r="AM24" s="182">
        <f t="shared" ref="AM24:AM82" si="13">AL24/$AL$46*100%</f>
        <v>0.24397696939800659</v>
      </c>
      <c r="AN24" s="181">
        <f>-SUMIF('05.conso TB'!A:A,'May-26'!B24,'05.conso TB'!W:W)/10^5</f>
        <v>418.00919050000005</v>
      </c>
      <c r="AO24" s="184">
        <f>AN24/$AN$46*100%</f>
        <v>0.17999420117594786</v>
      </c>
      <c r="AP24" s="545"/>
      <c r="AQ24" s="180">
        <f>AS24-'Apr-26'!AS24</f>
        <v>6.9177272999999957</v>
      </c>
      <c r="AR24" s="182">
        <f t="shared" ref="AR24:AR82" si="14">AQ24/$AQ$46*100%</f>
        <v>3.392993838923569E-3</v>
      </c>
      <c r="AS24" s="183">
        <f>-SUMIF('05.conso TB'!A:A,'May-26'!B24,'05.conso TB'!M:M)/10^5</f>
        <v>47.998800799999998</v>
      </c>
      <c r="AT24" s="184">
        <f>AS24/$AS$46*100%</f>
        <v>1.2401062119427503E-2</v>
      </c>
      <c r="AU24" s="180">
        <f>AW24-'Apr-26'!AW24</f>
        <v>998.58378219999997</v>
      </c>
      <c r="AV24" s="182">
        <f>AU24/$C$46*100%</f>
        <v>0.31964523957808727</v>
      </c>
      <c r="AW24" s="183">
        <f>-SUMIF('05.conso TB'!A:A,'May-26'!B24,'05.conso TB'!P:P)/10^5</f>
        <v>1851.7416052999999</v>
      </c>
      <c r="AX24" s="184">
        <f>AW24/$AW$46*100%</f>
        <v>1.0024408879064195</v>
      </c>
      <c r="AY24" s="189"/>
      <c r="AZ24" s="180">
        <f>BB24-'Apr-26'!BB24</f>
        <v>1005.5015095</v>
      </c>
      <c r="BA24" s="182">
        <f t="shared" ref="BA24:BA82" si="15">AZ24/$AZ$46*100%</f>
        <v>0.33127954078343985</v>
      </c>
      <c r="BB24" s="190">
        <f>AS24+AW24</f>
        <v>1899.7404061</v>
      </c>
      <c r="BC24" s="184">
        <f>BB24/$BB$46*100%</f>
        <v>0.33225185146192765</v>
      </c>
      <c r="BD24" s="191"/>
      <c r="BE24" s="180">
        <f>BG24-'Apr-26'!BG24</f>
        <v>280.77199399999995</v>
      </c>
      <c r="BF24" s="182">
        <f t="shared" ref="BF24:BF82" si="16">BE24/$BE$46*100%</f>
        <v>0.10045787201110673</v>
      </c>
      <c r="BG24" s="183">
        <f>-SUMIF('05.conso TB'!A:A,'May-26'!B24,'05.conso TB'!H:H)/10^5</f>
        <v>701.17176889999996</v>
      </c>
      <c r="BH24" s="184">
        <f>BG24/$BG$46*100%</f>
        <v>0.14921280961673095</v>
      </c>
      <c r="BI24" s="180">
        <f>BK24-'Apr-26'!BK24</f>
        <v>0</v>
      </c>
      <c r="BJ24" s="182">
        <f t="shared" ref="BJ24:BJ82" si="17">BI24/$BI$46*100%</f>
        <v>0</v>
      </c>
      <c r="BK24" s="183">
        <f>-SUMIF('05.conso TB'!A:A,'May-26'!B24,'05.conso TB'!I:I)/10^5</f>
        <v>0</v>
      </c>
      <c r="BL24" s="184">
        <f>BK24/$BK$46*100%</f>
        <v>0</v>
      </c>
      <c r="BM24" s="180">
        <f>BO24-'Apr-26'!BO24</f>
        <v>0</v>
      </c>
      <c r="BN24" s="182">
        <f>BM24/$C$46*100%</f>
        <v>0</v>
      </c>
      <c r="BO24" s="181">
        <f>-SUMIF('05.conso TB'!A:A,'May-26'!B24,'05.conso TB'!J:J)/10^5</f>
        <v>0</v>
      </c>
      <c r="BP24" s="182">
        <f>BO24/$C$46*100%</f>
        <v>0</v>
      </c>
      <c r="BQ24" s="344">
        <v>250.06819280000002</v>
      </c>
      <c r="BR24" s="180">
        <f>BT24-'Apr-26'!BT24</f>
        <v>111.12663679999991</v>
      </c>
      <c r="BS24" s="182">
        <f t="shared" ref="BS24:BS82" si="18">BR24/$BR$46*100%</f>
        <v>4.2021850140163144E-2</v>
      </c>
      <c r="BT24" s="183">
        <f t="shared" ref="BR24:BT87" si="19">BG24+BK24+BO24-BQ24</f>
        <v>451.10357609999994</v>
      </c>
      <c r="BU24" s="182">
        <f t="shared" ref="BU24:BU82" si="20">BT24/$BT$46*100%</f>
        <v>0.10051894236476998</v>
      </c>
      <c r="BV24" s="191"/>
      <c r="BW24" s="180">
        <f>BY24-'Apr-26'!BY24</f>
        <v>450.3771200000001</v>
      </c>
      <c r="BX24" s="182">
        <f t="shared" ref="BX24:BX82" si="21">BW24/$BW$46*100%</f>
        <v>0.99524776627173206</v>
      </c>
      <c r="BY24" s="183">
        <f>-SUMIF('05.conso TB'!A:A,'May-26'!B24,'05.conso TB'!L:L)/10^5</f>
        <v>2161.2577365000002</v>
      </c>
      <c r="BZ24" s="182">
        <f t="shared" ref="BZ24:BZ82" si="22">BY24/$BY$46*100%</f>
        <v>1.0001730944150622</v>
      </c>
      <c r="CA24" s="191"/>
      <c r="CB24" s="180">
        <f>CC24-'Apr-26'!CC24</f>
        <v>4633.0065028050003</v>
      </c>
      <c r="CC24" s="346">
        <v>7261.0698431649998</v>
      </c>
      <c r="CD24" s="193"/>
      <c r="CE24" s="187">
        <f>AB24+AG24+AL24+AZ24+BR24+BW24-CA24</f>
        <v>6664.5156780999996</v>
      </c>
      <c r="CF24" s="182">
        <f t="shared" ref="CF24:CF82" si="23">CE24/$CE$46*100%</f>
        <v>0.39422476882983293</v>
      </c>
      <c r="CG24" s="187">
        <f>AD24+AI24+AN24+BB24+BT24+BY24-CC24</f>
        <v>2869.9843552349994</v>
      </c>
      <c r="CH24" s="182">
        <f t="shared" ref="CH24:CH82" si="24">CG24/$CG$46*100%</f>
        <v>0.23467710517920229</v>
      </c>
    </row>
    <row r="25" spans="1:86" ht="15.5" x14ac:dyDescent="0.35">
      <c r="A25" s="218"/>
      <c r="B25" s="280" t="s">
        <v>456</v>
      </c>
      <c r="C25" s="148">
        <f t="shared" ref="C25:I25" si="25">SUM(C23:C24)</f>
        <v>3003.7066500999999</v>
      </c>
      <c r="D25" s="151">
        <f t="shared" si="25"/>
        <v>0.96148219999953088</v>
      </c>
      <c r="E25" s="149">
        <f t="shared" si="25"/>
        <v>6297.7735973999997</v>
      </c>
      <c r="F25" s="182">
        <f t="shared" si="1"/>
        <v>0.97471431277782361</v>
      </c>
      <c r="G25" s="148">
        <f t="shared" ref="G25" si="26">SUM(G23:G24)</f>
        <v>1155.7060968000003</v>
      </c>
      <c r="H25" s="182">
        <f t="shared" si="2"/>
        <v>0.87012489660875636</v>
      </c>
      <c r="I25" s="149">
        <f t="shared" si="25"/>
        <v>2289.5395225000002</v>
      </c>
      <c r="J25" s="182">
        <f t="shared" si="3"/>
        <v>0.91232908084922537</v>
      </c>
      <c r="K25" s="148">
        <f t="shared" ref="K25" si="27">SUM(K23:K24)</f>
        <v>0</v>
      </c>
      <c r="L25" s="151">
        <f t="shared" ref="L25:AD25" si="28">SUM(L23:L24)</f>
        <v>0</v>
      </c>
      <c r="M25" s="149">
        <f t="shared" si="28"/>
        <v>0</v>
      </c>
      <c r="N25" s="151">
        <f t="shared" si="28"/>
        <v>0</v>
      </c>
      <c r="O25" s="148">
        <f t="shared" ref="O25" si="29">SUM(O23:O24)</f>
        <v>1242.0539421000003</v>
      </c>
      <c r="P25" s="182">
        <f t="shared" si="4"/>
        <v>0.99999997761771975</v>
      </c>
      <c r="Q25" s="149">
        <f t="shared" si="28"/>
        <v>2178.8443226000004</v>
      </c>
      <c r="R25" s="182">
        <f t="shared" si="5"/>
        <v>0.99999999169284393</v>
      </c>
      <c r="S25" s="148">
        <f t="shared" ref="S25" si="30">SUM(S23:S24)</f>
        <v>0</v>
      </c>
      <c r="T25" s="182">
        <f t="shared" si="6"/>
        <v>0</v>
      </c>
      <c r="U25" s="152">
        <f t="shared" si="28"/>
        <v>48.765062400000005</v>
      </c>
      <c r="V25" s="182">
        <f t="shared" si="7"/>
        <v>1.0004615473111722</v>
      </c>
      <c r="W25" s="148">
        <f t="shared" ref="W25" si="31">SUM(W23:W24)</f>
        <v>3763.6995999999999</v>
      </c>
      <c r="X25" s="182">
        <f t="shared" si="8"/>
        <v>1.0119788819040338</v>
      </c>
      <c r="Y25" s="149">
        <f t="shared" si="28"/>
        <v>3837.7156</v>
      </c>
      <c r="Z25" s="182">
        <f t="shared" si="9"/>
        <v>1.0116251231536815</v>
      </c>
      <c r="AA25" s="379">
        <f t="shared" si="28"/>
        <v>603.62492220000013</v>
      </c>
      <c r="AB25" s="148">
        <f t="shared" ref="AB25" si="32">SUM(AB23:AB24)</f>
        <v>8949.7723402000011</v>
      </c>
      <c r="AC25" s="182">
        <f t="shared" si="10"/>
        <v>0.97054444323818978</v>
      </c>
      <c r="AD25" s="152">
        <f t="shared" si="28"/>
        <v>14049.0131827</v>
      </c>
      <c r="AE25" s="182">
        <f t="shared" si="11"/>
        <v>0.97205078235142861</v>
      </c>
      <c r="AF25" s="511"/>
      <c r="AG25" s="148">
        <f t="shared" ref="AG25" si="33">SUM(AG23:AG24)</f>
        <v>95.609829999999974</v>
      </c>
      <c r="AH25" s="182">
        <f t="shared" si="12"/>
        <v>0.26015643908058689</v>
      </c>
      <c r="AI25" s="152">
        <f t="shared" ref="AI25:AJ25" si="34">SUM(AI23:AI24)</f>
        <v>184.39778739999997</v>
      </c>
      <c r="AJ25" s="153">
        <f t="shared" si="34"/>
        <v>0.249860595761184</v>
      </c>
      <c r="AK25" s="155"/>
      <c r="AL25" s="148">
        <f t="shared" ref="AL25" si="35">SUM(AL23:AL24)</f>
        <v>942.72050079999985</v>
      </c>
      <c r="AM25" s="182">
        <f t="shared" si="13"/>
        <v>0.7960566923723229</v>
      </c>
      <c r="AN25" s="149">
        <f>SUM(AN23:AN24)</f>
        <v>1896.088252</v>
      </c>
      <c r="AO25" s="153">
        <f>SUM(AO23:AO24)</f>
        <v>0.81645307814790569</v>
      </c>
      <c r="AP25" s="546"/>
      <c r="AQ25" s="148">
        <f t="shared" ref="AQ25" si="36">SUM(AQ23:AQ24)</f>
        <v>1989.6512891000002</v>
      </c>
      <c r="AR25" s="182">
        <f t="shared" si="14"/>
        <v>0.97588041169570838</v>
      </c>
      <c r="AS25" s="152">
        <f t="shared" ref="AS25:AY25" si="37">SUM(AS23:AS24)</f>
        <v>3821.3639200000002</v>
      </c>
      <c r="AT25" s="153">
        <f t="shared" si="37"/>
        <v>0.98729490243554163</v>
      </c>
      <c r="AU25" s="148">
        <f t="shared" ref="AU25" si="38">SUM(AU23:AU24)</f>
        <v>996.3702174</v>
      </c>
      <c r="AV25" s="151">
        <f t="shared" si="37"/>
        <v>0.31742362948461561</v>
      </c>
      <c r="AW25" s="152">
        <f t="shared" si="37"/>
        <v>1847.2243040999999</v>
      </c>
      <c r="AX25" s="153">
        <f t="shared" si="37"/>
        <v>0.99999544551159081</v>
      </c>
      <c r="AY25" s="157">
        <f t="shared" si="37"/>
        <v>0</v>
      </c>
      <c r="AZ25" s="148">
        <f t="shared" ref="AZ25" si="39">SUM(AZ23:AZ24)</f>
        <v>2986.0215065000002</v>
      </c>
      <c r="BA25" s="182">
        <f t="shared" si="15"/>
        <v>0.98379547330037631</v>
      </c>
      <c r="BB25" s="157">
        <f>SUM(BB23:BB24)</f>
        <v>5668.5882240999999</v>
      </c>
      <c r="BC25" s="153">
        <f>SUM(BC23:BC24)</f>
        <v>0.99139804922029207</v>
      </c>
      <c r="BD25" s="161"/>
      <c r="BE25" s="148">
        <f t="shared" ref="BE25" si="40">SUM(BE23:BE24)</f>
        <v>2785.8775293999997</v>
      </c>
      <c r="BF25" s="182">
        <f t="shared" si="16"/>
        <v>0.9967636882155827</v>
      </c>
      <c r="BG25" s="152">
        <f t="shared" ref="BG25:BQ25" si="41">SUM(BG23:BG24)</f>
        <v>4643.8341526000004</v>
      </c>
      <c r="BH25" s="153">
        <f t="shared" si="41"/>
        <v>0.98823080454398604</v>
      </c>
      <c r="BI25" s="148">
        <f t="shared" ref="BI25" si="42">SUM(BI23:BI24)</f>
        <v>19.219115000000006</v>
      </c>
      <c r="BJ25" s="182">
        <f t="shared" si="17"/>
        <v>1.0000000312189203</v>
      </c>
      <c r="BK25" s="152">
        <f t="shared" si="41"/>
        <v>38.599737000000005</v>
      </c>
      <c r="BL25" s="153">
        <f t="shared" si="41"/>
        <v>1.0000003652875964</v>
      </c>
      <c r="BM25" s="148">
        <f t="shared" ref="BM25" si="43">SUM(BM23:BM24)</f>
        <v>0</v>
      </c>
      <c r="BN25" s="151">
        <f t="shared" si="41"/>
        <v>0</v>
      </c>
      <c r="BO25" s="149">
        <f t="shared" si="41"/>
        <v>0</v>
      </c>
      <c r="BP25" s="151">
        <f t="shared" si="41"/>
        <v>0</v>
      </c>
      <c r="BQ25" s="345">
        <f t="shared" si="41"/>
        <v>250.06819280000002</v>
      </c>
      <c r="BR25" s="148">
        <f t="shared" ref="BR25" si="44">SUM(BR23:BR24)</f>
        <v>2635.4512871999996</v>
      </c>
      <c r="BS25" s="182">
        <f t="shared" si="18"/>
        <v>0.99657959811862606</v>
      </c>
      <c r="BT25" s="183">
        <f t="shared" si="19"/>
        <v>4432.3656968000005</v>
      </c>
      <c r="BU25" s="182">
        <f t="shared" si="20"/>
        <v>0.98765945477110761</v>
      </c>
      <c r="BV25" s="159"/>
      <c r="BW25" s="148">
        <f t="shared" ref="BW25" si="45">SUM(BW23:BW24)</f>
        <v>444.92834500000009</v>
      </c>
      <c r="BX25" s="182">
        <f t="shared" si="21"/>
        <v>0.98320700996584498</v>
      </c>
      <c r="BY25" s="152">
        <f t="shared" ref="BY25" si="46">SUM(BY23:BY24)</f>
        <v>2151.3741615000004</v>
      </c>
      <c r="BZ25" s="182">
        <f t="shared" si="22"/>
        <v>0.99559923650599036</v>
      </c>
      <c r="CA25" s="159"/>
      <c r="CB25" s="148">
        <f t="shared" ref="CB25" si="47">SUM(CB23:CB24)</f>
        <v>9180.8743045598931</v>
      </c>
      <c r="CC25" s="361">
        <f>SUM(CC23:CC24)</f>
        <v>16274.814484654771</v>
      </c>
      <c r="CD25" s="528"/>
      <c r="CE25" s="156">
        <f>SUM(CE23:CE24)</f>
        <v>16054.5038097</v>
      </c>
      <c r="CF25" s="182">
        <f t="shared" si="23"/>
        <v>0.94966886698975028</v>
      </c>
      <c r="CG25" s="152">
        <f>SUM(CG23:CG24)</f>
        <v>12107.012819845229</v>
      </c>
      <c r="CH25" s="182">
        <f t="shared" si="24"/>
        <v>0.98998404494651815</v>
      </c>
    </row>
    <row r="26" spans="1:86" x14ac:dyDescent="0.35">
      <c r="B26" s="86" t="s">
        <v>457</v>
      </c>
      <c r="C26" s="148"/>
      <c r="D26" s="151"/>
      <c r="E26" s="149"/>
      <c r="F26" s="182">
        <f t="shared" si="1"/>
        <v>0</v>
      </c>
      <c r="G26" s="148"/>
      <c r="H26" s="182">
        <f t="shared" si="2"/>
        <v>0</v>
      </c>
      <c r="I26" s="149"/>
      <c r="J26" s="182">
        <f t="shared" si="3"/>
        <v>0</v>
      </c>
      <c r="K26" s="148"/>
      <c r="L26" s="151"/>
      <c r="M26" s="149"/>
      <c r="N26" s="151"/>
      <c r="O26" s="148"/>
      <c r="P26" s="182">
        <f t="shared" si="4"/>
        <v>0</v>
      </c>
      <c r="Q26" s="149"/>
      <c r="R26" s="182">
        <f t="shared" si="5"/>
        <v>0</v>
      </c>
      <c r="S26" s="148"/>
      <c r="T26" s="182">
        <f t="shared" si="6"/>
        <v>0</v>
      </c>
      <c r="U26" s="152"/>
      <c r="V26" s="182">
        <f t="shared" si="7"/>
        <v>0</v>
      </c>
      <c r="W26" s="148"/>
      <c r="X26" s="182">
        <f t="shared" si="8"/>
        <v>0</v>
      </c>
      <c r="Y26" s="149"/>
      <c r="Z26" s="182">
        <f t="shared" si="9"/>
        <v>0</v>
      </c>
      <c r="AA26" s="154"/>
      <c r="AB26" s="148"/>
      <c r="AC26" s="182">
        <f t="shared" si="10"/>
        <v>0</v>
      </c>
      <c r="AD26" s="152"/>
      <c r="AE26" s="182">
        <f t="shared" si="11"/>
        <v>0</v>
      </c>
      <c r="AF26" s="155"/>
      <c r="AG26" s="148"/>
      <c r="AH26" s="182">
        <f t="shared" si="12"/>
        <v>0</v>
      </c>
      <c r="AI26" s="152"/>
      <c r="AJ26" s="162"/>
      <c r="AK26" s="155"/>
      <c r="AL26" s="148"/>
      <c r="AM26" s="182">
        <f t="shared" si="13"/>
        <v>0</v>
      </c>
      <c r="AN26" s="149"/>
      <c r="AO26" s="162"/>
      <c r="AP26" s="139"/>
      <c r="AQ26" s="148"/>
      <c r="AR26" s="182">
        <f t="shared" si="14"/>
        <v>0</v>
      </c>
      <c r="AS26" s="152"/>
      <c r="AT26" s="162"/>
      <c r="AU26" s="148"/>
      <c r="AV26" s="151"/>
      <c r="AW26" s="152"/>
      <c r="AX26" s="162"/>
      <c r="AY26" s="158"/>
      <c r="AZ26" s="148"/>
      <c r="BA26" s="182">
        <f t="shared" si="15"/>
        <v>0</v>
      </c>
      <c r="BB26" s="157"/>
      <c r="BC26" s="162"/>
      <c r="BD26" s="161"/>
      <c r="BE26" s="148"/>
      <c r="BF26" s="182">
        <f t="shared" si="16"/>
        <v>0</v>
      </c>
      <c r="BG26" s="152"/>
      <c r="BH26" s="162"/>
      <c r="BI26" s="148"/>
      <c r="BJ26" s="182">
        <f t="shared" si="17"/>
        <v>0</v>
      </c>
      <c r="BK26" s="152"/>
      <c r="BL26" s="162"/>
      <c r="BM26" s="148"/>
      <c r="BN26" s="151"/>
      <c r="BO26" s="149"/>
      <c r="BP26" s="151"/>
      <c r="BQ26" s="160"/>
      <c r="BR26" s="148"/>
      <c r="BS26" s="182">
        <f t="shared" si="18"/>
        <v>0</v>
      </c>
      <c r="BT26" s="183">
        <f t="shared" si="19"/>
        <v>0</v>
      </c>
      <c r="BU26" s="182">
        <f t="shared" si="20"/>
        <v>0</v>
      </c>
      <c r="BV26" s="161"/>
      <c r="BW26" s="148"/>
      <c r="BX26" s="182">
        <f t="shared" si="21"/>
        <v>0</v>
      </c>
      <c r="BY26" s="152"/>
      <c r="BZ26" s="182">
        <f t="shared" si="22"/>
        <v>0</v>
      </c>
      <c r="CA26" s="159"/>
      <c r="CB26" s="148"/>
      <c r="CC26" s="361"/>
      <c r="CD26" s="155"/>
      <c r="CE26" s="156"/>
      <c r="CF26" s="182">
        <f t="shared" si="23"/>
        <v>0</v>
      </c>
      <c r="CG26" s="152"/>
      <c r="CH26" s="182">
        <f t="shared" si="24"/>
        <v>0</v>
      </c>
    </row>
    <row r="27" spans="1:86" s="194" customFormat="1" ht="15.5" x14ac:dyDescent="0.35">
      <c r="B27" s="197" t="s">
        <v>449</v>
      </c>
      <c r="C27" s="180">
        <f>E27-'Apr-26'!E27</f>
        <v>104.42654229999999</v>
      </c>
      <c r="D27" s="182">
        <f>C27/$C$46*100%</f>
        <v>3.3426786742175835E-2</v>
      </c>
      <c r="E27" s="181">
        <f>-SUMIF('05.conso TB'!A:A,'May-26'!B27,'05.conso TB'!R:R)/10^5</f>
        <v>138.36163329999999</v>
      </c>
      <c r="F27" s="182">
        <f t="shared" si="1"/>
        <v>2.1414403396861421E-2</v>
      </c>
      <c r="G27" s="180">
        <f>I27-'Apr-26'!I27</f>
        <v>158.09571799999998</v>
      </c>
      <c r="H27" s="182">
        <f t="shared" si="2"/>
        <v>0.11902941471013365</v>
      </c>
      <c r="I27" s="181">
        <f>-SUMIF('05.conso TB'!A:A,'May-26'!B27,'05.conso TB'!S:S)/10^5</f>
        <v>196.36106329999998</v>
      </c>
      <c r="J27" s="182">
        <f t="shared" si="3"/>
        <v>7.8245388050542167E-2</v>
      </c>
      <c r="K27" s="180">
        <f>M27-'Apr-26'!M27</f>
        <v>0</v>
      </c>
      <c r="L27" s="182">
        <f>K27/$C$46*100%</f>
        <v>0</v>
      </c>
      <c r="M27" s="181">
        <f>-SUMIF('05.conso TB'!A:A,'May-26'!B27,'05.conso TB'!T:T)</f>
        <v>0</v>
      </c>
      <c r="N27" s="182">
        <f>M27/$C$46*100%</f>
        <v>0</v>
      </c>
      <c r="O27" s="180">
        <f>Q27-'Apr-26'!Q27</f>
        <v>0</v>
      </c>
      <c r="P27" s="182">
        <f t="shared" si="4"/>
        <v>0</v>
      </c>
      <c r="Q27" s="181">
        <f>-SUMIF('05.conso TB'!A:A,'May-26'!B27,'05.conso TB'!U:U)/10^5</f>
        <v>0</v>
      </c>
      <c r="R27" s="182">
        <f t="shared" si="5"/>
        <v>0</v>
      </c>
      <c r="S27" s="180">
        <f>U27-'Apr-26'!U27</f>
        <v>0</v>
      </c>
      <c r="T27" s="182">
        <f t="shared" si="6"/>
        <v>0</v>
      </c>
      <c r="U27" s="183">
        <f>-SUMIF('05.conso TB'!A:A,'May-26'!B27,'05.conso TB'!V:V)/10^5</f>
        <v>0</v>
      </c>
      <c r="V27" s="182">
        <f t="shared" si="7"/>
        <v>0</v>
      </c>
      <c r="W27" s="180">
        <f>Y27-'Apr-26'!Y27</f>
        <v>0</v>
      </c>
      <c r="X27" s="182">
        <f t="shared" si="8"/>
        <v>0</v>
      </c>
      <c r="Y27" s="181">
        <f>-SUMIF('05.conso TB'!A:A,'May-26'!B27,'05.conso TB'!G:G)/10^5</f>
        <v>0</v>
      </c>
      <c r="Z27" s="182">
        <f t="shared" si="9"/>
        <v>0</v>
      </c>
      <c r="AA27" s="185"/>
      <c r="AB27" s="180">
        <f>AD27-'Apr-26'!AD27</f>
        <v>262.52226029999997</v>
      </c>
      <c r="AC27" s="182">
        <f t="shared" si="10"/>
        <v>2.8468827057873611E-2</v>
      </c>
      <c r="AD27" s="187">
        <f>E27+I27+M27+Q27+U27+Y27</f>
        <v>334.72269659999995</v>
      </c>
      <c r="AE27" s="182">
        <f t="shared" si="11"/>
        <v>2.315945290032672E-2</v>
      </c>
      <c r="AF27" s="186"/>
      <c r="AG27" s="180">
        <f>AI27-'Apr-26'!AI27</f>
        <v>271.89915375230106</v>
      </c>
      <c r="AH27" s="182">
        <f t="shared" si="12"/>
        <v>0.73984354568169053</v>
      </c>
      <c r="AI27" s="183">
        <f>-SUMIF('05.conso TB'!A:A,'May-26'!B27,'05.conso TB'!Q:Q)/10^5</f>
        <v>553.60487140316206</v>
      </c>
      <c r="AJ27" s="184">
        <f>AI27/$AI$46*100%</f>
        <v>0.7501393858106985</v>
      </c>
      <c r="AK27" s="437"/>
      <c r="AL27" s="180">
        <f>AN27-'Apr-26'!AN27</f>
        <v>235.35332990000003</v>
      </c>
      <c r="AM27" s="182">
        <f t="shared" si="13"/>
        <v>0.19873821899493604</v>
      </c>
      <c r="AN27" s="181">
        <f>-SUMIF('05.conso TB'!A:A,'May-26'!B27,'05.conso TB'!W:W)/10^5</f>
        <v>418.92558070000001</v>
      </c>
      <c r="AO27" s="184">
        <f>AN27/$AN$46*100%</f>
        <v>0.18038879757660872</v>
      </c>
      <c r="AP27" s="545"/>
      <c r="AQ27" s="180">
        <f>AS27-'Apr-26'!AS27</f>
        <v>51.175760099999998</v>
      </c>
      <c r="AR27" s="182">
        <f t="shared" si="14"/>
        <v>2.5100590293799338E-2</v>
      </c>
      <c r="AS27" s="183">
        <f>-SUMIF('05.conso TB'!A:A,'May-26'!B27,'05.conso TB'!M:M)/10^5</f>
        <v>51.175760099999998</v>
      </c>
      <c r="AT27" s="184">
        <f>AS27/$AS$46*100%</f>
        <v>1.3221867409842028E-2</v>
      </c>
      <c r="AU27" s="180">
        <f>AW27-'Apr-26'!AW27</f>
        <v>0</v>
      </c>
      <c r="AV27" s="182">
        <f>AU27/$C$46*100%</f>
        <v>0</v>
      </c>
      <c r="AW27" s="183">
        <f>-SUMIF('05.conso TB'!A:A,'May-26'!B27,'05.conso TB'!P:P)/10^5</f>
        <v>0</v>
      </c>
      <c r="AX27" s="184">
        <f>AW27/$AW$46*100%</f>
        <v>0</v>
      </c>
      <c r="AY27" s="195"/>
      <c r="AZ27" s="180">
        <f>BB27-'Apr-26'!BB27</f>
        <v>51.175760099999998</v>
      </c>
      <c r="BA27" s="182">
        <f t="shared" si="15"/>
        <v>1.6860722878080853E-2</v>
      </c>
      <c r="BB27" s="190">
        <f>AS27+AW27</f>
        <v>51.175760099999998</v>
      </c>
      <c r="BC27" s="184">
        <f>BB27/$BB$46*100%</f>
        <v>8.9502970977506351E-3</v>
      </c>
      <c r="BD27" s="196"/>
      <c r="BE27" s="180">
        <f>BG27-'Apr-26'!BG27</f>
        <v>8.7993649999999946</v>
      </c>
      <c r="BF27" s="182">
        <f t="shared" si="16"/>
        <v>3.1483392284096961E-3</v>
      </c>
      <c r="BG27" s="183">
        <f>-SUMIF('05.conso TB'!A:A,'May-26'!B27,'05.conso TB'!H:H)/10^5</f>
        <v>54.608609000000001</v>
      </c>
      <c r="BH27" s="184">
        <f>BG27/$BG$46*100%</f>
        <v>1.1620981248196258E-2</v>
      </c>
      <c r="BI27" s="180">
        <f>BK27-'Apr-26'!BK27</f>
        <v>0</v>
      </c>
      <c r="BJ27" s="182">
        <f t="shared" si="17"/>
        <v>0</v>
      </c>
      <c r="BK27" s="183">
        <f>-SUMIF('05.conso TB'!A:A,'May-26'!B27,'05.conso TB'!I:I)/10^5</f>
        <v>0</v>
      </c>
      <c r="BL27" s="184">
        <f>BK27/$BK$46*100%</f>
        <v>0</v>
      </c>
      <c r="BM27" s="180">
        <f>BO27-'Apr-26'!BO27</f>
        <v>0</v>
      </c>
      <c r="BN27" s="182">
        <f>BM27/$C$46*100%</f>
        <v>0</v>
      </c>
      <c r="BO27" s="181">
        <f>-SUMIF('05.conso TB'!A:A,'May-26'!B27,'05.conso TB'!J:J)/10^5</f>
        <v>0</v>
      </c>
      <c r="BP27" s="182">
        <f>BO27/$C$46*100%</f>
        <v>0</v>
      </c>
      <c r="BQ27" s="192">
        <v>0</v>
      </c>
      <c r="BR27" s="180">
        <f>BT27-'Apr-26'!BT27</f>
        <v>8.7993649999999946</v>
      </c>
      <c r="BS27" s="182">
        <f t="shared" si="18"/>
        <v>3.3274254310789752E-3</v>
      </c>
      <c r="BT27" s="183">
        <f t="shared" si="19"/>
        <v>54.608609000000001</v>
      </c>
      <c r="BU27" s="182">
        <f t="shared" si="20"/>
        <v>1.2168379750273631E-2</v>
      </c>
      <c r="BV27" s="191"/>
      <c r="BW27" s="180">
        <f>BY27-'Apr-26'!BY27</f>
        <v>0</v>
      </c>
      <c r="BX27" s="182">
        <f t="shared" si="21"/>
        <v>0</v>
      </c>
      <c r="BY27" s="183">
        <f>-SUMIF('05.conso TB'!A:A,'May-26'!B27,'05.conso TB'!L:L)/10^5</f>
        <v>0</v>
      </c>
      <c r="BZ27" s="182">
        <f t="shared" si="22"/>
        <v>0</v>
      </c>
      <c r="CA27" s="191"/>
      <c r="CB27" s="180">
        <f>CC27-'Apr-26'!CC27</f>
        <v>848.41750445180071</v>
      </c>
      <c r="CC27" s="346">
        <v>1375.3983402098006</v>
      </c>
      <c r="CD27" s="193"/>
      <c r="CE27" s="444">
        <f>AB27+AG27+AL27+AZ27+BR27+BW27-CA27</f>
        <v>829.74986905230116</v>
      </c>
      <c r="CF27" s="182">
        <f t="shared" si="23"/>
        <v>4.9082028779469156E-2</v>
      </c>
      <c r="CG27" s="444">
        <f>AD27+AI27+AN27+BB27+BT27+BY27-CC27</f>
        <v>37.639177593361183</v>
      </c>
      <c r="CH27" s="182">
        <f t="shared" si="24"/>
        <v>3.0777356757446962E-3</v>
      </c>
    </row>
    <row r="28" spans="1:86" s="194" customFormat="1" x14ac:dyDescent="0.35">
      <c r="B28" s="197" t="s">
        <v>458</v>
      </c>
      <c r="C28" s="180">
        <f>E28-'Apr-26'!E28</f>
        <v>104.42654229999999</v>
      </c>
      <c r="D28" s="182">
        <f t="shared" ref="D28:AD28" si="48">SUM(D27)</f>
        <v>3.3426786742175835E-2</v>
      </c>
      <c r="E28" s="181">
        <f t="shared" si="48"/>
        <v>138.36163329999999</v>
      </c>
      <c r="F28" s="182">
        <f t="shared" si="1"/>
        <v>2.1414403396861421E-2</v>
      </c>
      <c r="G28" s="180">
        <f>I28-'Apr-26'!I28</f>
        <v>158.09571799999998</v>
      </c>
      <c r="H28" s="182">
        <f t="shared" si="2"/>
        <v>0.11902941471013365</v>
      </c>
      <c r="I28" s="181">
        <f t="shared" si="48"/>
        <v>196.36106329999998</v>
      </c>
      <c r="J28" s="182">
        <f t="shared" si="3"/>
        <v>7.8245388050542167E-2</v>
      </c>
      <c r="K28" s="180">
        <f>M28-'Apr-26'!M28</f>
        <v>0</v>
      </c>
      <c r="L28" s="182">
        <f t="shared" ref="L28" si="49">SUM(L27)</f>
        <v>0</v>
      </c>
      <c r="M28" s="181">
        <f t="shared" si="48"/>
        <v>0</v>
      </c>
      <c r="N28" s="182">
        <f t="shared" si="48"/>
        <v>0</v>
      </c>
      <c r="O28" s="180">
        <f>Q28-'Apr-26'!Q28</f>
        <v>0</v>
      </c>
      <c r="P28" s="182">
        <f t="shared" si="4"/>
        <v>0</v>
      </c>
      <c r="Q28" s="181">
        <f>Q27</f>
        <v>0</v>
      </c>
      <c r="R28" s="182">
        <f t="shared" si="5"/>
        <v>0</v>
      </c>
      <c r="S28" s="180">
        <f>U28-'Apr-26'!U28</f>
        <v>0</v>
      </c>
      <c r="T28" s="182">
        <f t="shared" si="6"/>
        <v>0</v>
      </c>
      <c r="U28" s="183">
        <f>-SUMIF('05.conso TB'!A:A,'May-26'!B28,'05.conso TB'!V:V)/10^5</f>
        <v>0</v>
      </c>
      <c r="V28" s="182">
        <f t="shared" si="7"/>
        <v>0</v>
      </c>
      <c r="W28" s="180">
        <f>Y28-'Apr-26'!Y28</f>
        <v>0</v>
      </c>
      <c r="X28" s="182">
        <f t="shared" si="8"/>
        <v>0</v>
      </c>
      <c r="Y28" s="181">
        <f>-SUMIF('05.conso TB'!A:A,'May-26'!B28,'05.conso TB'!G:G)/10^5</f>
        <v>0</v>
      </c>
      <c r="Z28" s="182">
        <f t="shared" si="9"/>
        <v>0</v>
      </c>
      <c r="AA28" s="198">
        <f t="shared" si="48"/>
        <v>0</v>
      </c>
      <c r="AB28" s="180">
        <f>AD28-'Apr-26'!AD28</f>
        <v>262.52226029999997</v>
      </c>
      <c r="AC28" s="182">
        <f t="shared" si="10"/>
        <v>2.8468827057873611E-2</v>
      </c>
      <c r="AD28" s="183">
        <f t="shared" si="48"/>
        <v>334.72269659999995</v>
      </c>
      <c r="AE28" s="182">
        <f t="shared" si="11"/>
        <v>2.315945290032672E-2</v>
      </c>
      <c r="AF28" s="511"/>
      <c r="AG28" s="180">
        <f>AI28-'Apr-26'!AI28</f>
        <v>271.89915375230106</v>
      </c>
      <c r="AH28" s="182">
        <f t="shared" si="12"/>
        <v>0.73984354568169053</v>
      </c>
      <c r="AI28" s="187">
        <f t="shared" ref="AI28:AJ28" si="50">SUM(AI27)</f>
        <v>553.60487140316206</v>
      </c>
      <c r="AJ28" s="184">
        <f t="shared" si="50"/>
        <v>0.7501393858106985</v>
      </c>
      <c r="AK28" s="186"/>
      <c r="AL28" s="180">
        <f>AN28-'Apr-26'!AN28</f>
        <v>235.35332990000003</v>
      </c>
      <c r="AM28" s="182">
        <f t="shared" si="13"/>
        <v>0.19873821899493604</v>
      </c>
      <c r="AN28" s="181">
        <f>AN27</f>
        <v>418.92558070000001</v>
      </c>
      <c r="AO28" s="184">
        <f>SUM(AO27)</f>
        <v>0.18038879757660872</v>
      </c>
      <c r="AP28" s="546">
        <f>AQ28/$AQ$1*10^5</f>
        <v>8.5717951677065454</v>
      </c>
      <c r="AQ28" s="180">
        <f>AS28-'Apr-26'!AS28</f>
        <v>51.175760099999998</v>
      </c>
      <c r="AR28" s="182">
        <f t="shared" si="14"/>
        <v>2.5100590293799338E-2</v>
      </c>
      <c r="AS28" s="183">
        <f t="shared" ref="AS28:AX28" si="51">SUM(AS27)</f>
        <v>51.175760099999998</v>
      </c>
      <c r="AT28" s="184">
        <f t="shared" si="51"/>
        <v>1.3221867409842028E-2</v>
      </c>
      <c r="AU28" s="180">
        <f>AW28-'Apr-26'!AW28</f>
        <v>0</v>
      </c>
      <c r="AV28" s="182">
        <f t="shared" ref="AV28" si="52">SUM(AV27)</f>
        <v>0</v>
      </c>
      <c r="AW28" s="183">
        <f t="shared" si="51"/>
        <v>0</v>
      </c>
      <c r="AX28" s="184">
        <f t="shared" si="51"/>
        <v>0</v>
      </c>
      <c r="AY28" s="195"/>
      <c r="AZ28" s="180">
        <f>BB28-'Apr-26'!BB28</f>
        <v>51.175760099999998</v>
      </c>
      <c r="BA28" s="182">
        <f t="shared" si="15"/>
        <v>1.6860722878080853E-2</v>
      </c>
      <c r="BB28" s="188">
        <f>SUM(BB27)</f>
        <v>51.175760099999998</v>
      </c>
      <c r="BC28" s="184">
        <f>SUM(BC27)</f>
        <v>8.9502970977506351E-3</v>
      </c>
      <c r="BD28" s="196"/>
      <c r="BE28" s="180">
        <f>BG28-'Apr-26'!BG28</f>
        <v>8.7993649999999946</v>
      </c>
      <c r="BF28" s="182">
        <f t="shared" si="16"/>
        <v>3.1483392284096961E-3</v>
      </c>
      <c r="BG28" s="183">
        <f t="shared" ref="BG28:BP28" si="53">SUM(BG27)</f>
        <v>54.608609000000001</v>
      </c>
      <c r="BH28" s="184">
        <f t="shared" si="53"/>
        <v>1.1620981248196258E-2</v>
      </c>
      <c r="BI28" s="180">
        <f>BK28-'Apr-26'!BK28</f>
        <v>0</v>
      </c>
      <c r="BJ28" s="182">
        <f t="shared" si="17"/>
        <v>0</v>
      </c>
      <c r="BK28" s="183">
        <f t="shared" si="53"/>
        <v>0</v>
      </c>
      <c r="BL28" s="184">
        <f t="shared" si="53"/>
        <v>0</v>
      </c>
      <c r="BM28" s="180">
        <f>BO28-'Apr-26'!BO28</f>
        <v>0</v>
      </c>
      <c r="BN28" s="182">
        <f t="shared" ref="BN28" si="54">SUM(BN27)</f>
        <v>0</v>
      </c>
      <c r="BO28" s="181">
        <f t="shared" si="53"/>
        <v>0</v>
      </c>
      <c r="BP28" s="182">
        <f t="shared" si="53"/>
        <v>0</v>
      </c>
      <c r="BQ28" s="192">
        <f>BQ27</f>
        <v>0</v>
      </c>
      <c r="BR28" s="180">
        <f>BT28-'Apr-26'!BT28</f>
        <v>8.7993649999999946</v>
      </c>
      <c r="BS28" s="182">
        <f t="shared" si="18"/>
        <v>3.3274254310789752E-3</v>
      </c>
      <c r="BT28" s="183">
        <f t="shared" si="19"/>
        <v>54.608609000000001</v>
      </c>
      <c r="BU28" s="182">
        <f t="shared" si="20"/>
        <v>1.2168379750273631E-2</v>
      </c>
      <c r="BV28" s="191"/>
      <c r="BW28" s="180">
        <f>BY28-'Apr-26'!BY28</f>
        <v>0</v>
      </c>
      <c r="BX28" s="182">
        <f t="shared" si="21"/>
        <v>0</v>
      </c>
      <c r="BY28" s="183">
        <f t="shared" ref="BY28" si="55">SUM(BY27)</f>
        <v>0</v>
      </c>
      <c r="BZ28" s="182">
        <f t="shared" si="22"/>
        <v>0</v>
      </c>
      <c r="CA28" s="191"/>
      <c r="CB28" s="180">
        <f>CC28-'Apr-26'!CC28</f>
        <v>848.41750445180071</v>
      </c>
      <c r="CC28" s="346">
        <f>SUM(CC27)</f>
        <v>1375.3983402098006</v>
      </c>
      <c r="CD28" s="186"/>
      <c r="CE28" s="187">
        <f>SUM(CE27)</f>
        <v>829.74986905230116</v>
      </c>
      <c r="CF28" s="182">
        <f t="shared" si="23"/>
        <v>4.9082028779469156E-2</v>
      </c>
      <c r="CG28" s="183">
        <f>SUM(CG27)</f>
        <v>37.639177593361183</v>
      </c>
      <c r="CH28" s="182">
        <f t="shared" si="24"/>
        <v>3.0777356757446962E-3</v>
      </c>
    </row>
    <row r="29" spans="1:86" s="194" customFormat="1" x14ac:dyDescent="0.35">
      <c r="B29" s="199" t="s">
        <v>459</v>
      </c>
      <c r="C29" s="180">
        <f>E29-'Apr-26'!E29</f>
        <v>0</v>
      </c>
      <c r="D29" s="182"/>
      <c r="E29" s="181"/>
      <c r="F29" s="182">
        <f t="shared" si="1"/>
        <v>0</v>
      </c>
      <c r="G29" s="180">
        <f>I29-'Apr-26'!I29</f>
        <v>0</v>
      </c>
      <c r="H29" s="182">
        <f t="shared" si="2"/>
        <v>0</v>
      </c>
      <c r="I29" s="181"/>
      <c r="J29" s="182">
        <f t="shared" si="3"/>
        <v>0</v>
      </c>
      <c r="K29" s="180">
        <f>M29-'Apr-26'!M29</f>
        <v>0</v>
      </c>
      <c r="L29" s="182"/>
      <c r="M29" s="181"/>
      <c r="N29" s="182"/>
      <c r="O29" s="180">
        <f>Q29-'Apr-26'!Q29</f>
        <v>0</v>
      </c>
      <c r="P29" s="182">
        <f t="shared" si="4"/>
        <v>0</v>
      </c>
      <c r="Q29" s="181">
        <f>-SUMIF('05.conso TB'!A:A,'May-26'!B29,'05.conso TB'!U:U)/10^5</f>
        <v>0</v>
      </c>
      <c r="R29" s="182">
        <f t="shared" si="5"/>
        <v>0</v>
      </c>
      <c r="S29" s="180">
        <f>U29-'Apr-26'!U29</f>
        <v>0</v>
      </c>
      <c r="T29" s="182">
        <f t="shared" si="6"/>
        <v>0</v>
      </c>
      <c r="U29" s="183">
        <f>-SUMIF('05.conso TB'!A:A,'May-26'!B29,'05.conso TB'!V:V)/10^5</f>
        <v>0</v>
      </c>
      <c r="V29" s="182">
        <f t="shared" si="7"/>
        <v>0</v>
      </c>
      <c r="W29" s="180">
        <f>Y29-'Apr-26'!Y29</f>
        <v>0</v>
      </c>
      <c r="X29" s="182">
        <f t="shared" si="8"/>
        <v>0</v>
      </c>
      <c r="Y29" s="181">
        <f>-SUMIF('05.conso TB'!A:A,'May-26'!B29,'05.conso TB'!G:G)/10^5</f>
        <v>0</v>
      </c>
      <c r="Z29" s="182">
        <f t="shared" si="9"/>
        <v>0</v>
      </c>
      <c r="AA29" s="185"/>
      <c r="AB29" s="180">
        <f>AD29-'Apr-26'!AD29</f>
        <v>0</v>
      </c>
      <c r="AC29" s="182">
        <f t="shared" si="10"/>
        <v>0</v>
      </c>
      <c r="AD29" s="183"/>
      <c r="AE29" s="182">
        <f t="shared" si="11"/>
        <v>0</v>
      </c>
      <c r="AF29" s="186"/>
      <c r="AG29" s="180">
        <f>AI29-'Apr-26'!AI29</f>
        <v>0</v>
      </c>
      <c r="AH29" s="182">
        <f t="shared" si="12"/>
        <v>0</v>
      </c>
      <c r="AI29" s="183">
        <f>-SUMIF('05.conso TB'!A:A,'May-26'!B29,'05.conso TB'!Q:Q)/10^5</f>
        <v>0</v>
      </c>
      <c r="AJ29" s="203"/>
      <c r="AK29" s="186"/>
      <c r="AL29" s="180">
        <f>AN29-'Apr-26'!AN29</f>
        <v>0</v>
      </c>
      <c r="AM29" s="182">
        <f t="shared" si="13"/>
        <v>0</v>
      </c>
      <c r="AN29" s="181">
        <f>-SUMIF('05.conso TB'!A:A,'May-26'!B29,'05.conso TB'!W:W)/10^5</f>
        <v>0</v>
      </c>
      <c r="AO29" s="203"/>
      <c r="AP29" s="545"/>
      <c r="AQ29" s="180">
        <f>AS29-'Apr-26'!AS29</f>
        <v>0</v>
      </c>
      <c r="AR29" s="182">
        <f t="shared" si="14"/>
        <v>0</v>
      </c>
      <c r="AS29" s="183"/>
      <c r="AT29" s="203"/>
      <c r="AU29" s="180">
        <f>AW29-'Apr-26'!AW29</f>
        <v>0</v>
      </c>
      <c r="AV29" s="182"/>
      <c r="AW29" s="183"/>
      <c r="AX29" s="203"/>
      <c r="AY29" s="189"/>
      <c r="AZ29" s="180">
        <f>BB29-'Apr-26'!BB29</f>
        <v>0</v>
      </c>
      <c r="BA29" s="182">
        <f t="shared" si="15"/>
        <v>0</v>
      </c>
      <c r="BB29" s="188"/>
      <c r="BC29" s="203"/>
      <c r="BD29" s="196"/>
      <c r="BE29" s="180">
        <f>BG29-'Apr-26'!BG29</f>
        <v>0</v>
      </c>
      <c r="BF29" s="182">
        <f t="shared" si="16"/>
        <v>0</v>
      </c>
      <c r="BG29" s="183"/>
      <c r="BH29" s="203"/>
      <c r="BI29" s="180">
        <f>BK29-'Apr-26'!BK29</f>
        <v>0</v>
      </c>
      <c r="BJ29" s="182">
        <f t="shared" si="17"/>
        <v>0</v>
      </c>
      <c r="BK29" s="183"/>
      <c r="BL29" s="203"/>
      <c r="BM29" s="180">
        <f>BO29-'Apr-26'!BO29</f>
        <v>0</v>
      </c>
      <c r="BN29" s="182"/>
      <c r="BO29" s="181"/>
      <c r="BP29" s="182"/>
      <c r="BQ29" s="192"/>
      <c r="BR29" s="180">
        <f>BT29-'Apr-26'!BT29</f>
        <v>0</v>
      </c>
      <c r="BS29" s="182">
        <f t="shared" si="18"/>
        <v>0</v>
      </c>
      <c r="BT29" s="183">
        <f t="shared" si="19"/>
        <v>0</v>
      </c>
      <c r="BU29" s="182">
        <f t="shared" si="20"/>
        <v>0</v>
      </c>
      <c r="BV29" s="196"/>
      <c r="BW29" s="180">
        <f>BY29-'Apr-26'!BY29</f>
        <v>0</v>
      </c>
      <c r="BX29" s="182">
        <f t="shared" si="21"/>
        <v>0</v>
      </c>
      <c r="BY29" s="183"/>
      <c r="BZ29" s="182">
        <f t="shared" si="22"/>
        <v>0</v>
      </c>
      <c r="CA29" s="191"/>
      <c r="CB29" s="180">
        <f>CD29-'Apr-26'!CD29</f>
        <v>0</v>
      </c>
      <c r="CC29" s="346"/>
      <c r="CD29" s="186"/>
      <c r="CE29" s="187"/>
      <c r="CF29" s="182">
        <f t="shared" si="23"/>
        <v>0</v>
      </c>
      <c r="CG29" s="183"/>
      <c r="CH29" s="182">
        <f t="shared" si="24"/>
        <v>0</v>
      </c>
    </row>
    <row r="30" spans="1:86" s="194" customFormat="1" x14ac:dyDescent="0.35">
      <c r="B30" s="197" t="s">
        <v>460</v>
      </c>
      <c r="C30" s="180">
        <f>E30-'Apr-26'!E30</f>
        <v>0</v>
      </c>
      <c r="D30" s="182">
        <f>C30/$C$46*100%</f>
        <v>0</v>
      </c>
      <c r="E30" s="181">
        <f>-SUMIF('05.conso TB'!A:A,'May-26'!B30,'05.conso TB'!R:R)/10^5</f>
        <v>0</v>
      </c>
      <c r="F30" s="182">
        <f t="shared" si="1"/>
        <v>0</v>
      </c>
      <c r="G30" s="180">
        <f>I30-'Apr-26'!I30</f>
        <v>0</v>
      </c>
      <c r="H30" s="182">
        <f t="shared" si="2"/>
        <v>0</v>
      </c>
      <c r="I30" s="181">
        <f>-SUMIF('05.conso TB'!A:A,'May-26'!B30,'05.conso TB'!S:S)/10^5</f>
        <v>0</v>
      </c>
      <c r="J30" s="182">
        <f t="shared" si="3"/>
        <v>0</v>
      </c>
      <c r="K30" s="180">
        <f>M30-'Apr-26'!M30</f>
        <v>0</v>
      </c>
      <c r="L30" s="182">
        <f>K30/$C$46*100%</f>
        <v>0</v>
      </c>
      <c r="M30" s="181">
        <f>-SUMIF('05.conso TB'!A:A,'May-26'!B30,'05.conso TB'!T:T)</f>
        <v>0</v>
      </c>
      <c r="N30" s="182">
        <f>M30/$C$46*100%</f>
        <v>0</v>
      </c>
      <c r="O30" s="180">
        <f>Q30-'Apr-26'!Q30</f>
        <v>0</v>
      </c>
      <c r="P30" s="182">
        <f t="shared" si="4"/>
        <v>0</v>
      </c>
      <c r="Q30" s="181">
        <f>-SUMIF('05.conso TB'!A:A,'May-26'!B30,'05.conso TB'!U:U)/10^5</f>
        <v>0</v>
      </c>
      <c r="R30" s="182">
        <f t="shared" si="5"/>
        <v>0</v>
      </c>
      <c r="S30" s="180">
        <f>U30-'Apr-26'!U30</f>
        <v>0</v>
      </c>
      <c r="T30" s="182">
        <f t="shared" si="6"/>
        <v>0</v>
      </c>
      <c r="U30" s="183">
        <f>-SUMIF('05.conso TB'!A:A,'May-26'!B30,'05.conso TB'!V:V)/10^5</f>
        <v>0</v>
      </c>
      <c r="V30" s="182">
        <f t="shared" si="7"/>
        <v>0</v>
      </c>
      <c r="W30" s="180">
        <f>Y30-'Apr-26'!Y30</f>
        <v>0</v>
      </c>
      <c r="X30" s="182">
        <f t="shared" si="8"/>
        <v>0</v>
      </c>
      <c r="Y30" s="181">
        <f>-SUMIF('05.conso TB'!A:A,'May-26'!B30,'05.conso TB'!G:G)/10^5</f>
        <v>0</v>
      </c>
      <c r="Z30" s="182">
        <f t="shared" si="9"/>
        <v>0</v>
      </c>
      <c r="AA30" s="185"/>
      <c r="AB30" s="180">
        <f>AD30-'Apr-26'!AD30</f>
        <v>0</v>
      </c>
      <c r="AC30" s="182">
        <f t="shared" si="10"/>
        <v>0</v>
      </c>
      <c r="AD30" s="187">
        <f>E30+I30+M30+Q30+U30+Y30</f>
        <v>0</v>
      </c>
      <c r="AE30" s="182">
        <f t="shared" si="11"/>
        <v>0</v>
      </c>
      <c r="AF30" s="186"/>
      <c r="AG30" s="180">
        <f>AI30-'Apr-26'!AI30</f>
        <v>0</v>
      </c>
      <c r="AH30" s="182">
        <f t="shared" si="12"/>
        <v>0</v>
      </c>
      <c r="AI30" s="183">
        <f>-SUMIF('05.conso TB'!A:A,'May-26'!B30,'05.conso TB'!Q:Q)/10^5</f>
        <v>0</v>
      </c>
      <c r="AJ30" s="184">
        <f>AI30/$AI$46*100%</f>
        <v>0</v>
      </c>
      <c r="AK30" s="186"/>
      <c r="AL30" s="180">
        <f>AN30-'Apr-26'!AN30</f>
        <v>0</v>
      </c>
      <c r="AM30" s="182">
        <f t="shared" si="13"/>
        <v>0</v>
      </c>
      <c r="AN30" s="181">
        <f>-SUMIF('05.conso TB'!A:A,'May-26'!B30,'05.conso TB'!W:W)/10^5</f>
        <v>0</v>
      </c>
      <c r="AO30" s="184">
        <f>AN30/$AN$46*100%</f>
        <v>0</v>
      </c>
      <c r="AP30" s="545"/>
      <c r="AQ30" s="180">
        <f>AS30-'Apr-26'!AS30</f>
        <v>0</v>
      </c>
      <c r="AR30" s="182">
        <f t="shared" si="14"/>
        <v>0</v>
      </c>
      <c r="AS30" s="183">
        <f>-SUMIF('05.conso TB'!A:A,'May-26'!B30,'05.conso TB'!M:M)/10^5</f>
        <v>0</v>
      </c>
      <c r="AT30" s="184">
        <f>AS30/$AS$46*100%</f>
        <v>0</v>
      </c>
      <c r="AU30" s="180">
        <f>AW30-'Apr-26'!AW30</f>
        <v>0</v>
      </c>
      <c r="AV30" s="182">
        <f>AU30/$C$46*100%</f>
        <v>0</v>
      </c>
      <c r="AW30" s="183">
        <f>-SUMIF('05.conso TB'!A:A,'May-26'!B30,'05.conso TB'!P:P)/10^5</f>
        <v>0</v>
      </c>
      <c r="AX30" s="184">
        <f>AW30/$AW$46*100%</f>
        <v>0</v>
      </c>
      <c r="AY30" s="195"/>
      <c r="AZ30" s="180">
        <f>BB30-'Apr-26'!BB30</f>
        <v>0</v>
      </c>
      <c r="BA30" s="182">
        <f t="shared" si="15"/>
        <v>0</v>
      </c>
      <c r="BB30" s="190">
        <f t="shared" ref="BB30:BB32" si="56">AS30+AW30</f>
        <v>0</v>
      </c>
      <c r="BC30" s="184">
        <f>BB30/$BB$46*100%</f>
        <v>0</v>
      </c>
      <c r="BD30" s="191"/>
      <c r="BE30" s="180">
        <f>BG30-'Apr-26'!BG30</f>
        <v>0</v>
      </c>
      <c r="BF30" s="182">
        <f t="shared" si="16"/>
        <v>0</v>
      </c>
      <c r="BG30" s="183">
        <f>-SUMIF('05.conso TB'!A:A,'May-26'!B30,'05.conso TB'!H:H)/10^5</f>
        <v>0.21065</v>
      </c>
      <c r="BH30" s="184">
        <f>BG30/$BG$46*100%</f>
        <v>4.4827358630075008E-5</v>
      </c>
      <c r="BI30" s="180">
        <f>BK30-'Apr-26'!BK30</f>
        <v>0</v>
      </c>
      <c r="BJ30" s="182">
        <f t="shared" si="17"/>
        <v>0</v>
      </c>
      <c r="BK30" s="183">
        <f>-SUMIF('05.conso TB'!A:A,'May-26'!B30,'05.conso TB'!I:I)/10^5</f>
        <v>0</v>
      </c>
      <c r="BL30" s="184">
        <f>BK30/$BK$46*100%</f>
        <v>0</v>
      </c>
      <c r="BM30" s="180">
        <f>BO30-'Apr-26'!BO30</f>
        <v>0</v>
      </c>
      <c r="BN30" s="182">
        <f>BM30/$C$46*100%</f>
        <v>0</v>
      </c>
      <c r="BO30" s="181">
        <f>-SUMIF('05.conso TB'!A:A,'May-26'!B30,'05.conso TB'!J:J)/10^5</f>
        <v>0</v>
      </c>
      <c r="BP30" s="182">
        <f>BO30/$C$46*100%</f>
        <v>0</v>
      </c>
      <c r="BQ30" s="192"/>
      <c r="BR30" s="180">
        <f>BT30-'Apr-26'!BT30</f>
        <v>0</v>
      </c>
      <c r="BS30" s="182">
        <f t="shared" si="18"/>
        <v>0</v>
      </c>
      <c r="BT30" s="183">
        <f t="shared" si="19"/>
        <v>0.21065</v>
      </c>
      <c r="BU30" s="182">
        <f t="shared" si="20"/>
        <v>4.6938921194552683E-5</v>
      </c>
      <c r="BV30" s="191"/>
      <c r="BW30" s="180">
        <f>BY30-'Apr-26'!BY30</f>
        <v>0</v>
      </c>
      <c r="BX30" s="182">
        <f t="shared" si="21"/>
        <v>0</v>
      </c>
      <c r="BY30" s="183">
        <f>-SUMIF('05.conso TB'!A:A,'May-26'!B30,'05.conso TB'!L:L)/10^5</f>
        <v>0</v>
      </c>
      <c r="BZ30" s="182">
        <f t="shared" si="22"/>
        <v>0</v>
      </c>
      <c r="CA30" s="191"/>
      <c r="CB30" s="180">
        <f>CD30-'Apr-26'!CD30</f>
        <v>0</v>
      </c>
      <c r="CC30" s="346"/>
      <c r="CD30" s="186"/>
      <c r="CE30" s="187">
        <f>AB30+AG30+AL30+AZ30+BR30+BW30</f>
        <v>0</v>
      </c>
      <c r="CF30" s="182">
        <f t="shared" si="23"/>
        <v>0</v>
      </c>
      <c r="CG30" s="187">
        <f>AD30+AI30+AN30+BB30+BT30+BY30</f>
        <v>0.21065</v>
      </c>
      <c r="CH30" s="182">
        <f t="shared" si="24"/>
        <v>1.7224739262368264E-5</v>
      </c>
    </row>
    <row r="31" spans="1:86" s="194" customFormat="1" x14ac:dyDescent="0.35">
      <c r="B31" s="197" t="s">
        <v>461</v>
      </c>
      <c r="C31" s="180">
        <f>E31-'Apr-26'!E31</f>
        <v>0</v>
      </c>
      <c r="D31" s="182">
        <f>C31/$C$46*100%</f>
        <v>0</v>
      </c>
      <c r="E31" s="181">
        <f>-SUMIF('05.conso TB'!A:A,'May-26'!B31,'05.conso TB'!R:R)</f>
        <v>0</v>
      </c>
      <c r="F31" s="182">
        <f t="shared" si="1"/>
        <v>0</v>
      </c>
      <c r="G31" s="180">
        <f>I31-'Apr-26'!I31</f>
        <v>0</v>
      </c>
      <c r="H31" s="182">
        <f t="shared" si="2"/>
        <v>0</v>
      </c>
      <c r="I31" s="181">
        <f>-SUMIF('05.conso TB'!A:A,'May-26'!B31,'05.conso TB'!S:S)/10^5</f>
        <v>0</v>
      </c>
      <c r="J31" s="182">
        <f t="shared" si="3"/>
        <v>0</v>
      </c>
      <c r="K31" s="180">
        <f>M31-'Apr-26'!M31</f>
        <v>7.4158500000000025</v>
      </c>
      <c r="L31" s="182">
        <f>K31/$C$46*100%</f>
        <v>2.3738029719477245E-3</v>
      </c>
      <c r="M31" s="181">
        <f>-SUMIF('05.conso TB'!A:A,'May-26'!B31,'05.conso TB'!T:T)/10^5</f>
        <v>26.462941800000003</v>
      </c>
      <c r="N31" s="182">
        <f>M31/$C$46*100%</f>
        <v>8.4707497982456029E-3</v>
      </c>
      <c r="O31" s="180">
        <f>Q31-'Apr-26'!Q31</f>
        <v>0</v>
      </c>
      <c r="P31" s="182">
        <f t="shared" si="4"/>
        <v>0</v>
      </c>
      <c r="Q31" s="181">
        <f>-SUMIF('05.conso TB'!A:A,'May-26'!B31,'05.conso TB'!U:U)/10^5</f>
        <v>0</v>
      </c>
      <c r="R31" s="182">
        <f t="shared" si="5"/>
        <v>0</v>
      </c>
      <c r="S31" s="180">
        <f>U31-'Apr-26'!U31</f>
        <v>0</v>
      </c>
      <c r="T31" s="182">
        <f t="shared" si="6"/>
        <v>0</v>
      </c>
      <c r="U31" s="183">
        <f>-SUMIF('05.conso TB'!A:A,'May-26'!B31,'05.conso TB'!V:V)/10^5</f>
        <v>0</v>
      </c>
      <c r="V31" s="182">
        <f t="shared" si="7"/>
        <v>0</v>
      </c>
      <c r="W31" s="180">
        <f>Y31-'Apr-26'!Y31</f>
        <v>0</v>
      </c>
      <c r="X31" s="182">
        <f t="shared" si="8"/>
        <v>0</v>
      </c>
      <c r="Y31" s="181">
        <f>-SUMIF('05.conso TB'!A:A,'May-26'!B31,'05.conso TB'!G:G)/10^5</f>
        <v>0</v>
      </c>
      <c r="Z31" s="182">
        <f t="shared" si="9"/>
        <v>0</v>
      </c>
      <c r="AA31" s="185"/>
      <c r="AB31" s="180">
        <f>AD31-'Apr-26'!AD31</f>
        <v>7.4158500000000025</v>
      </c>
      <c r="AC31" s="182">
        <f t="shared" si="10"/>
        <v>8.0420056910934692E-4</v>
      </c>
      <c r="AD31" s="187">
        <f>E31+I31+M31+Q31+U31+Y31</f>
        <v>26.462941800000003</v>
      </c>
      <c r="AE31" s="182">
        <f t="shared" si="11"/>
        <v>1.830970114803943E-3</v>
      </c>
      <c r="AF31" s="186"/>
      <c r="AG31" s="180">
        <f>AI31-'Apr-26'!AI31</f>
        <v>0</v>
      </c>
      <c r="AH31" s="182">
        <f t="shared" si="12"/>
        <v>0</v>
      </c>
      <c r="AI31" s="183">
        <f>-SUMIF('05.conso TB'!A:A,'May-26'!B31,'05.conso TB'!Q:Q)/10^5</f>
        <v>0</v>
      </c>
      <c r="AJ31" s="184">
        <f>AI31/$AI$46*100%</f>
        <v>0</v>
      </c>
      <c r="AK31" s="186"/>
      <c r="AL31" s="180">
        <f>AN31-'Apr-26'!AN31</f>
        <v>0</v>
      </c>
      <c r="AM31" s="182">
        <f t="shared" si="13"/>
        <v>0</v>
      </c>
      <c r="AN31" s="181">
        <f>-SUMIF('05.conso TB'!A:A,'May-26'!B31,'05.conso TB'!W:W)/10^5</f>
        <v>0</v>
      </c>
      <c r="AO31" s="184">
        <f>AN31/$AN$46*100%</f>
        <v>0</v>
      </c>
      <c r="AP31" s="545"/>
      <c r="AQ31" s="180">
        <f>AS31-'Apr-26'!AS31</f>
        <v>0</v>
      </c>
      <c r="AR31" s="182">
        <f t="shared" si="14"/>
        <v>0</v>
      </c>
      <c r="AS31" s="183">
        <f>-SUMIF('05.conso TB'!A:A,'May-26'!B31,'05.conso TB'!M:M)/10^5</f>
        <v>0</v>
      </c>
      <c r="AT31" s="184">
        <f>AS31/$AS$46*100%</f>
        <v>0</v>
      </c>
      <c r="AU31" s="180">
        <f>AW31-'Apr-26'!AW31</f>
        <v>0</v>
      </c>
      <c r="AV31" s="182">
        <f>AU31/$C$46*100%</f>
        <v>0</v>
      </c>
      <c r="AW31" s="183">
        <f>-SUMIF('05.conso TB'!A:A,'May-26'!B31,'05.conso TB'!P:P)/10^5</f>
        <v>0</v>
      </c>
      <c r="AX31" s="184">
        <f>AW31/$AW$46*100%</f>
        <v>0</v>
      </c>
      <c r="AY31" s="195"/>
      <c r="AZ31" s="180">
        <f>BB31-'Apr-26'!BB31</f>
        <v>0</v>
      </c>
      <c r="BA31" s="182">
        <f t="shared" si="15"/>
        <v>0</v>
      </c>
      <c r="BB31" s="190">
        <f t="shared" si="56"/>
        <v>0</v>
      </c>
      <c r="BC31" s="184">
        <f>BB31/$BB$46*100%</f>
        <v>0</v>
      </c>
      <c r="BD31" s="191"/>
      <c r="BE31" s="180">
        <f>BG31-'Apr-26'!BG31</f>
        <v>0</v>
      </c>
      <c r="BF31" s="182">
        <f t="shared" si="16"/>
        <v>0</v>
      </c>
      <c r="BG31" s="183">
        <f>-SUMIF('05.conso TB'!A:A,'May-26'!B31,'05.conso TB'!H:H)/10^5</f>
        <v>0</v>
      </c>
      <c r="BH31" s="184">
        <f>BG31/$BG$46*100%</f>
        <v>0</v>
      </c>
      <c r="BI31" s="180">
        <f>BK31-'Apr-26'!BK31</f>
        <v>0</v>
      </c>
      <c r="BJ31" s="182">
        <f t="shared" si="17"/>
        <v>0</v>
      </c>
      <c r="BK31" s="183">
        <f>-SUMIF('05.conso TB'!A:A,'May-26'!B31,'05.conso TB'!I:I)/10^5</f>
        <v>0</v>
      </c>
      <c r="BL31" s="184">
        <f>BK31/$BK$46*100%</f>
        <v>0</v>
      </c>
      <c r="BM31" s="180">
        <f>BO31-'Apr-26'!BO31</f>
        <v>0</v>
      </c>
      <c r="BN31" s="182">
        <f>BM31/$C$46*100%</f>
        <v>0</v>
      </c>
      <c r="BO31" s="181">
        <f>-SUMIF('05.conso TB'!A:A,'May-26'!B31,'05.conso TB'!J:J)/10^5</f>
        <v>0</v>
      </c>
      <c r="BP31" s="182">
        <f>BO31/$C$46*100%</f>
        <v>0</v>
      </c>
      <c r="BQ31" s="192"/>
      <c r="BR31" s="180">
        <f>BT31-'Apr-26'!BT31</f>
        <v>0</v>
      </c>
      <c r="BS31" s="182">
        <f t="shared" si="18"/>
        <v>0</v>
      </c>
      <c r="BT31" s="183">
        <f t="shared" si="19"/>
        <v>0</v>
      </c>
      <c r="BU31" s="182">
        <f t="shared" si="20"/>
        <v>0</v>
      </c>
      <c r="BV31" s="191"/>
      <c r="BW31" s="180">
        <f>BY31-'Apr-26'!BY31</f>
        <v>0</v>
      </c>
      <c r="BX31" s="182">
        <f t="shared" si="21"/>
        <v>0</v>
      </c>
      <c r="BY31" s="183">
        <f>-SUMIF('05.conso TB'!A:A,'May-26'!B31,'05.conso TB'!L:L)/10^5</f>
        <v>0</v>
      </c>
      <c r="BZ31" s="182">
        <f t="shared" si="22"/>
        <v>0</v>
      </c>
      <c r="CA31" s="191"/>
      <c r="CB31" s="180">
        <f>CD31-'Apr-26'!CD31</f>
        <v>0</v>
      </c>
      <c r="CC31" s="346"/>
      <c r="CD31" s="186"/>
      <c r="CE31" s="187">
        <f>AB31+AG31+AL31+AZ31+BR31+BW31</f>
        <v>7.4158500000000025</v>
      </c>
      <c r="CF31" s="182">
        <f t="shared" si="23"/>
        <v>4.3866829836315837E-4</v>
      </c>
      <c r="CG31" s="187">
        <f>AD31+AI31+AN31+BB31+BT31+BY31</f>
        <v>26.462941800000003</v>
      </c>
      <c r="CH31" s="182">
        <f t="shared" si="24"/>
        <v>2.1638607767397408E-3</v>
      </c>
    </row>
    <row r="32" spans="1:86" s="194" customFormat="1" x14ac:dyDescent="0.35">
      <c r="B32" s="197" t="s">
        <v>463</v>
      </c>
      <c r="C32" s="180">
        <f>E32-'Apr-26'!E32</f>
        <v>0</v>
      </c>
      <c r="D32" s="182">
        <f>C32/$C$46*100%</f>
        <v>0</v>
      </c>
      <c r="E32" s="181">
        <f>-SUMIF('05.conso TB'!A:A,'May-26'!B32,'05.conso TB'!R:R)</f>
        <v>0</v>
      </c>
      <c r="F32" s="182">
        <f t="shared" si="1"/>
        <v>0</v>
      </c>
      <c r="G32" s="180">
        <f>I32-'Apr-26'!I32</f>
        <v>0</v>
      </c>
      <c r="H32" s="182">
        <f t="shared" si="2"/>
        <v>0</v>
      </c>
      <c r="I32" s="181">
        <f>-SUMIF('05.conso TB'!A:A,'May-26'!B32,'05.conso TB'!S:S)/10^5</f>
        <v>0</v>
      </c>
      <c r="J32" s="182">
        <f t="shared" si="3"/>
        <v>0</v>
      </c>
      <c r="K32" s="180">
        <f>M32-'Apr-26'!M32</f>
        <v>0</v>
      </c>
      <c r="L32" s="182">
        <f>K32/$C$46*100%</f>
        <v>0</v>
      </c>
      <c r="M32" s="181">
        <f>-SUMIF('05.conso TB'!A:A,'May-26'!B32,'05.conso TB'!T:T)</f>
        <v>0</v>
      </c>
      <c r="N32" s="182">
        <f>M32/$C$46*100%</f>
        <v>0</v>
      </c>
      <c r="O32" s="180">
        <f>Q32-'Apr-26'!Q32</f>
        <v>0</v>
      </c>
      <c r="P32" s="182">
        <f t="shared" si="4"/>
        <v>0</v>
      </c>
      <c r="Q32" s="181">
        <f>-SUMIF('05.conso TB'!A:A,'May-26'!B32,'05.conso TB'!U:U)/10^5</f>
        <v>0</v>
      </c>
      <c r="R32" s="182">
        <f t="shared" si="5"/>
        <v>0</v>
      </c>
      <c r="S32" s="180">
        <f>U32-'Apr-26'!U32</f>
        <v>0</v>
      </c>
      <c r="T32" s="182">
        <f t="shared" si="6"/>
        <v>0</v>
      </c>
      <c r="U32" s="183">
        <f>-SUMIF('05.conso TB'!A:A,'May-26'!B32,'05.conso TB'!V:V)/10^5</f>
        <v>0</v>
      </c>
      <c r="V32" s="182">
        <f t="shared" si="7"/>
        <v>0</v>
      </c>
      <c r="W32" s="180">
        <f>Y32-'Apr-26'!Y32</f>
        <v>0</v>
      </c>
      <c r="X32" s="182">
        <f t="shared" si="8"/>
        <v>0</v>
      </c>
      <c r="Y32" s="181">
        <f>-SUMIF('05.conso TB'!A:A,'May-26'!B32,'05.conso TB'!G:G)/10^5</f>
        <v>0</v>
      </c>
      <c r="Z32" s="182">
        <f t="shared" si="9"/>
        <v>0</v>
      </c>
      <c r="AA32" s="185"/>
      <c r="AB32" s="180">
        <f>AD32-'Apr-26'!AD32</f>
        <v>0</v>
      </c>
      <c r="AC32" s="182">
        <f t="shared" si="10"/>
        <v>0</v>
      </c>
      <c r="AD32" s="187">
        <f>E32+I32+M32+Q32+U32+Y32</f>
        <v>0</v>
      </c>
      <c r="AE32" s="182">
        <f t="shared" si="11"/>
        <v>0</v>
      </c>
      <c r="AF32" s="186"/>
      <c r="AG32" s="180">
        <f>AI32-'Apr-26'!AI32</f>
        <v>0</v>
      </c>
      <c r="AH32" s="182">
        <f t="shared" si="12"/>
        <v>0</v>
      </c>
      <c r="AI32" s="183">
        <f>-SUMIF('05.conso TB'!A:A,'May-26'!B32,'05.conso TB'!Q:Q)/10^5</f>
        <v>0</v>
      </c>
      <c r="AJ32" s="184">
        <f>AI32/$AI$46*100%</f>
        <v>0</v>
      </c>
      <c r="AK32" s="186"/>
      <c r="AL32" s="180">
        <f>AN32-'Apr-26'!AN32</f>
        <v>0</v>
      </c>
      <c r="AM32" s="182">
        <f t="shared" si="13"/>
        <v>0</v>
      </c>
      <c r="AN32" s="181">
        <f>-SUMIF('05.conso TB'!A:A,'May-26'!B32,'05.conso TB'!W:W)/10^5</f>
        <v>0</v>
      </c>
      <c r="AO32" s="184">
        <f>AN32/$AN$46*100%</f>
        <v>0</v>
      </c>
      <c r="AP32" s="545"/>
      <c r="AQ32" s="180">
        <f>AS32-'Apr-26'!AS32</f>
        <v>0</v>
      </c>
      <c r="AR32" s="182">
        <f t="shared" si="14"/>
        <v>0</v>
      </c>
      <c r="AS32" s="183">
        <f>-SUMIF('05.conso TB'!A:A,'May-26'!B32,'05.conso TB'!M:M)/10^5</f>
        <v>0</v>
      </c>
      <c r="AT32" s="184">
        <f>AS32/$AS$46*100%</f>
        <v>0</v>
      </c>
      <c r="AU32" s="180">
        <f>AW32-'Apr-26'!AW32</f>
        <v>0</v>
      </c>
      <c r="AV32" s="182">
        <f>AU32/$C$46*100%</f>
        <v>0</v>
      </c>
      <c r="AW32" s="183">
        <f>-SUMIF('05.conso TB'!A:A,'May-26'!B32,'05.conso TB'!P:P)/10^5</f>
        <v>0</v>
      </c>
      <c r="AX32" s="184">
        <f>AW32/$AW$46*100%</f>
        <v>0</v>
      </c>
      <c r="AY32" s="195"/>
      <c r="AZ32" s="180">
        <f>BB32-'Apr-26'!BB32</f>
        <v>0</v>
      </c>
      <c r="BA32" s="182">
        <f t="shared" si="15"/>
        <v>0</v>
      </c>
      <c r="BB32" s="190">
        <f t="shared" si="56"/>
        <v>0</v>
      </c>
      <c r="BC32" s="184">
        <f>BB32/$BB$46*100%</f>
        <v>0</v>
      </c>
      <c r="BD32" s="191"/>
      <c r="BE32" s="180">
        <f>BG32-'Apr-26'!BG32</f>
        <v>0</v>
      </c>
      <c r="BF32" s="182">
        <f t="shared" si="16"/>
        <v>0</v>
      </c>
      <c r="BG32" s="183">
        <f>-SUMIF('05.conso TB'!A:A,'May-26'!B32,'05.conso TB'!H:H)/10^5</f>
        <v>0</v>
      </c>
      <c r="BH32" s="184">
        <f>BG32/$BG$46*100%</f>
        <v>0</v>
      </c>
      <c r="BI32" s="180">
        <f>BK32-'Apr-26'!BK32</f>
        <v>0</v>
      </c>
      <c r="BJ32" s="182">
        <f t="shared" si="17"/>
        <v>0</v>
      </c>
      <c r="BK32" s="183">
        <f>-SUMIF('05.conso TB'!A:A,'May-26'!B32,'05.conso TB'!I:I)/10^5</f>
        <v>0</v>
      </c>
      <c r="BL32" s="184">
        <f>BK32/$BK$46*100%</f>
        <v>0</v>
      </c>
      <c r="BM32" s="180">
        <f>BO32-'Apr-26'!BO32</f>
        <v>0</v>
      </c>
      <c r="BN32" s="182">
        <f>BM32/$C$46*100%</f>
        <v>0</v>
      </c>
      <c r="BO32" s="181">
        <f>-SUMIF('05.conso TB'!A:A,'May-26'!B32,'05.conso TB'!J:J)/10^5</f>
        <v>0</v>
      </c>
      <c r="BP32" s="182">
        <f>BO32/$C$46*100%</f>
        <v>0</v>
      </c>
      <c r="BQ32" s="192"/>
      <c r="BR32" s="180">
        <f>BT32-'Apr-26'!BT32</f>
        <v>0</v>
      </c>
      <c r="BS32" s="182">
        <f t="shared" si="18"/>
        <v>0</v>
      </c>
      <c r="BT32" s="183">
        <f t="shared" si="19"/>
        <v>0</v>
      </c>
      <c r="BU32" s="182">
        <f t="shared" si="20"/>
        <v>0</v>
      </c>
      <c r="BV32" s="191"/>
      <c r="BW32" s="180">
        <f>BY32-'Apr-26'!BY32</f>
        <v>0</v>
      </c>
      <c r="BX32" s="182">
        <f t="shared" si="21"/>
        <v>0</v>
      </c>
      <c r="BY32" s="183">
        <f>-SUMIF('05.conso TB'!A:A,'May-26'!B32,'05.conso TB'!L:L)/10^5</f>
        <v>0</v>
      </c>
      <c r="BZ32" s="182">
        <f t="shared" si="22"/>
        <v>0</v>
      </c>
      <c r="CA32" s="191"/>
      <c r="CB32" s="180">
        <f>CD32-'Apr-26'!CD32</f>
        <v>0</v>
      </c>
      <c r="CC32" s="346"/>
      <c r="CD32" s="186"/>
      <c r="CE32" s="187">
        <f>AB32+AG32+AL32+AZ32+BR32+BW32</f>
        <v>0</v>
      </c>
      <c r="CF32" s="182">
        <f t="shared" si="23"/>
        <v>0</v>
      </c>
      <c r="CG32" s="187">
        <f>AD32+AI32+AN32+BB32+BT32+BY32</f>
        <v>0</v>
      </c>
      <c r="CH32" s="182">
        <f t="shared" si="24"/>
        <v>0</v>
      </c>
    </row>
    <row r="33" spans="1:86" ht="15.5" x14ac:dyDescent="0.35">
      <c r="A33" s="218"/>
      <c r="B33" s="280" t="s">
        <v>464</v>
      </c>
      <c r="C33" s="148">
        <f t="shared" ref="C33:AD33" si="57">SUM(C30:C32)</f>
        <v>0</v>
      </c>
      <c r="D33" s="151">
        <f t="shared" si="57"/>
        <v>0</v>
      </c>
      <c r="E33" s="149">
        <f t="shared" si="57"/>
        <v>0</v>
      </c>
      <c r="F33" s="182">
        <f t="shared" si="1"/>
        <v>0</v>
      </c>
      <c r="G33" s="148">
        <f t="shared" ref="G33" si="58">SUM(G30:G32)</f>
        <v>0</v>
      </c>
      <c r="H33" s="182">
        <f t="shared" si="2"/>
        <v>0</v>
      </c>
      <c r="I33" s="149">
        <f>-SUMIF('05.conso TB'!A:A,'May-26'!B33,'05.conso TB'!S:S)/10^5</f>
        <v>0</v>
      </c>
      <c r="J33" s="182">
        <f t="shared" si="3"/>
        <v>0</v>
      </c>
      <c r="K33" s="148">
        <f t="shared" ref="K33" si="59">SUM(K30:K32)</f>
        <v>7.4158500000000025</v>
      </c>
      <c r="L33" s="151">
        <f t="shared" ref="L33" si="60">SUM(L30:L32)</f>
        <v>2.3738029719477245E-3</v>
      </c>
      <c r="M33" s="149">
        <f t="shared" si="57"/>
        <v>26.462941800000003</v>
      </c>
      <c r="N33" s="151">
        <f t="shared" ref="N33" si="61">SUM(N30:N32)</f>
        <v>8.4707497982456029E-3</v>
      </c>
      <c r="O33" s="148">
        <f t="shared" ref="O33" si="62">SUM(O30:O32)</f>
        <v>0</v>
      </c>
      <c r="P33" s="182">
        <f t="shared" si="4"/>
        <v>0</v>
      </c>
      <c r="Q33" s="149">
        <f t="shared" si="57"/>
        <v>0</v>
      </c>
      <c r="R33" s="182">
        <f t="shared" si="5"/>
        <v>0</v>
      </c>
      <c r="S33" s="148">
        <f t="shared" ref="S33" si="63">SUM(S30:S32)</f>
        <v>0</v>
      </c>
      <c r="T33" s="182">
        <f t="shared" si="6"/>
        <v>0</v>
      </c>
      <c r="U33" s="152">
        <f t="shared" si="57"/>
        <v>0</v>
      </c>
      <c r="V33" s="182">
        <f t="shared" si="7"/>
        <v>0</v>
      </c>
      <c r="W33" s="148">
        <f t="shared" ref="W33" si="64">SUM(W30:W32)</f>
        <v>0</v>
      </c>
      <c r="X33" s="182">
        <f t="shared" si="8"/>
        <v>0</v>
      </c>
      <c r="Y33" s="149">
        <f t="shared" si="57"/>
        <v>0</v>
      </c>
      <c r="Z33" s="182">
        <f t="shared" si="9"/>
        <v>0</v>
      </c>
      <c r="AA33" s="154">
        <f t="shared" si="57"/>
        <v>0</v>
      </c>
      <c r="AB33" s="148">
        <f t="shared" ref="AB33" si="65">SUM(AB30:AB32)</f>
        <v>7.4158500000000025</v>
      </c>
      <c r="AC33" s="182">
        <f t="shared" si="10"/>
        <v>8.0420056910934692E-4</v>
      </c>
      <c r="AD33" s="152">
        <f t="shared" si="57"/>
        <v>26.462941800000003</v>
      </c>
      <c r="AE33" s="182">
        <f t="shared" si="11"/>
        <v>1.830970114803943E-3</v>
      </c>
      <c r="AF33" s="155"/>
      <c r="AG33" s="148">
        <f t="shared" ref="AG33" si="66">SUM(AG30:AG32)</f>
        <v>0</v>
      </c>
      <c r="AH33" s="182">
        <f t="shared" si="12"/>
        <v>0</v>
      </c>
      <c r="AI33" s="152">
        <f t="shared" ref="AI33:AJ33" si="67">SUM(AI30:AI32)</f>
        <v>0</v>
      </c>
      <c r="AJ33" s="153">
        <f t="shared" si="67"/>
        <v>0</v>
      </c>
      <c r="AK33" s="155"/>
      <c r="AL33" s="148">
        <f t="shared" ref="AL33" si="68">SUM(AL30:AL32)</f>
        <v>0</v>
      </c>
      <c r="AM33" s="182">
        <f t="shared" si="13"/>
        <v>0</v>
      </c>
      <c r="AN33" s="149">
        <f>SUM(AN30:AN32)</f>
        <v>0</v>
      </c>
      <c r="AO33" s="153">
        <f>SUM(AO30:AO32)</f>
        <v>0</v>
      </c>
      <c r="AP33" s="546">
        <f>AQ33/$AQ$1*10^5</f>
        <v>0</v>
      </c>
      <c r="AQ33" s="148">
        <f t="shared" ref="AQ33" si="69">SUM(AQ30:AQ32)</f>
        <v>0</v>
      </c>
      <c r="AR33" s="182">
        <f t="shared" si="14"/>
        <v>0</v>
      </c>
      <c r="AS33" s="152">
        <f t="shared" ref="AS33:AX33" si="70">SUM(AS30:AS32)</f>
        <v>0</v>
      </c>
      <c r="AT33" s="153">
        <f t="shared" si="70"/>
        <v>0</v>
      </c>
      <c r="AU33" s="148">
        <f t="shared" ref="AU33" si="71">SUM(AU30:AU32)</f>
        <v>0</v>
      </c>
      <c r="AV33" s="151">
        <f t="shared" si="70"/>
        <v>0</v>
      </c>
      <c r="AW33" s="152">
        <f t="shared" si="70"/>
        <v>0</v>
      </c>
      <c r="AX33" s="153">
        <f t="shared" si="70"/>
        <v>0</v>
      </c>
      <c r="AY33" s="163"/>
      <c r="AZ33" s="148">
        <f t="shared" ref="AZ33" si="72">SUM(AZ30:AZ32)</f>
        <v>0</v>
      </c>
      <c r="BA33" s="182">
        <f t="shared" si="15"/>
        <v>0</v>
      </c>
      <c r="BB33" s="157">
        <f>SUM(BB30:BB32)</f>
        <v>0</v>
      </c>
      <c r="BC33" s="153">
        <f>SUM(BC30:BC32)</f>
        <v>0</v>
      </c>
      <c r="BD33" s="159"/>
      <c r="BE33" s="148">
        <f t="shared" ref="BE33" si="73">SUM(BE30:BE32)</f>
        <v>0</v>
      </c>
      <c r="BF33" s="182">
        <f t="shared" si="16"/>
        <v>0</v>
      </c>
      <c r="BG33" s="152">
        <f>SUM(BG30:BG32)</f>
        <v>0.21065</v>
      </c>
      <c r="BH33" s="153">
        <f t="shared" ref="BH33:BP33" si="74">SUM(BH30:BH32)</f>
        <v>4.4827358630075008E-5</v>
      </c>
      <c r="BI33" s="148">
        <f t="shared" ref="BI33" si="75">SUM(BI30:BI32)</f>
        <v>0</v>
      </c>
      <c r="BJ33" s="182">
        <f t="shared" si="17"/>
        <v>0</v>
      </c>
      <c r="BK33" s="152">
        <f t="shared" si="74"/>
        <v>0</v>
      </c>
      <c r="BL33" s="153">
        <f t="shared" si="74"/>
        <v>0</v>
      </c>
      <c r="BM33" s="148">
        <f t="shared" ref="BM33" si="76">SUM(BM30:BM32)</f>
        <v>0</v>
      </c>
      <c r="BN33" s="151">
        <f t="shared" si="74"/>
        <v>0</v>
      </c>
      <c r="BO33" s="149">
        <f t="shared" si="74"/>
        <v>0</v>
      </c>
      <c r="BP33" s="151">
        <f t="shared" si="74"/>
        <v>0</v>
      </c>
      <c r="BQ33" s="160"/>
      <c r="BR33" s="148">
        <f t="shared" ref="BR33" si="77">SUM(BR30:BR32)</f>
        <v>0</v>
      </c>
      <c r="BS33" s="182">
        <f t="shared" si="18"/>
        <v>0</v>
      </c>
      <c r="BT33" s="183">
        <f t="shared" si="19"/>
        <v>0.21065</v>
      </c>
      <c r="BU33" s="182">
        <f t="shared" si="20"/>
        <v>4.6938921194552683E-5</v>
      </c>
      <c r="BV33" s="159"/>
      <c r="BW33" s="148">
        <f t="shared" ref="BW33" si="78">SUM(BW30:BW32)</f>
        <v>0</v>
      </c>
      <c r="BX33" s="182">
        <f t="shared" si="21"/>
        <v>0</v>
      </c>
      <c r="BY33" s="152">
        <f t="shared" ref="BY33" si="79">SUM(BY30:BY32)</f>
        <v>0</v>
      </c>
      <c r="BZ33" s="182">
        <f t="shared" si="22"/>
        <v>0</v>
      </c>
      <c r="CA33" s="159"/>
      <c r="CB33" s="148">
        <f t="shared" ref="CB33" si="80">SUM(CB30:CB32)</f>
        <v>0</v>
      </c>
      <c r="CC33" s="361"/>
      <c r="CD33" s="528"/>
      <c r="CE33" s="156">
        <f>SUM(CE30:CE32)</f>
        <v>7.4158500000000025</v>
      </c>
      <c r="CF33" s="182">
        <f t="shared" si="23"/>
        <v>4.3866829836315837E-4</v>
      </c>
      <c r="CG33" s="152">
        <f>SUM(CG30:CG32)</f>
        <v>26.673591800000004</v>
      </c>
      <c r="CH33" s="182">
        <f t="shared" si="24"/>
        <v>2.1810855160021092E-3</v>
      </c>
    </row>
    <row r="34" spans="1:86" x14ac:dyDescent="0.35">
      <c r="B34" s="86" t="s">
        <v>466</v>
      </c>
      <c r="C34" s="148"/>
      <c r="D34" s="151"/>
      <c r="E34" s="149"/>
      <c r="F34" s="182">
        <f t="shared" si="1"/>
        <v>0</v>
      </c>
      <c r="G34" s="148"/>
      <c r="H34" s="182">
        <f t="shared" si="2"/>
        <v>0</v>
      </c>
      <c r="I34" s="149">
        <f>-SUMIF('05.conso TB'!A:A,'May-26'!B34,'05.conso TB'!S:S)/10^5</f>
        <v>0</v>
      </c>
      <c r="J34" s="182">
        <f t="shared" si="3"/>
        <v>0</v>
      </c>
      <c r="K34" s="148"/>
      <c r="L34" s="151"/>
      <c r="M34" s="149"/>
      <c r="N34" s="151"/>
      <c r="O34" s="148"/>
      <c r="P34" s="182">
        <f t="shared" si="4"/>
        <v>0</v>
      </c>
      <c r="Q34" s="149"/>
      <c r="R34" s="182">
        <f t="shared" si="5"/>
        <v>0</v>
      </c>
      <c r="S34" s="148"/>
      <c r="T34" s="182">
        <f t="shared" si="6"/>
        <v>0</v>
      </c>
      <c r="U34" s="152"/>
      <c r="V34" s="182">
        <f t="shared" si="7"/>
        <v>0</v>
      </c>
      <c r="W34" s="148"/>
      <c r="X34" s="182">
        <f t="shared" si="8"/>
        <v>0</v>
      </c>
      <c r="Y34" s="149"/>
      <c r="Z34" s="182">
        <f t="shared" si="9"/>
        <v>0</v>
      </c>
      <c r="AA34" s="154"/>
      <c r="AB34" s="148"/>
      <c r="AC34" s="182">
        <f t="shared" si="10"/>
        <v>0</v>
      </c>
      <c r="AD34" s="152"/>
      <c r="AE34" s="182">
        <f t="shared" si="11"/>
        <v>0</v>
      </c>
      <c r="AF34" s="155"/>
      <c r="AG34" s="148"/>
      <c r="AH34" s="182">
        <f t="shared" si="12"/>
        <v>0</v>
      </c>
      <c r="AI34" s="152"/>
      <c r="AJ34" s="162"/>
      <c r="AK34" s="155"/>
      <c r="AL34" s="148"/>
      <c r="AM34" s="182">
        <f t="shared" si="13"/>
        <v>0</v>
      </c>
      <c r="AN34" s="149"/>
      <c r="AO34" s="162"/>
      <c r="AP34" s="139"/>
      <c r="AQ34" s="148"/>
      <c r="AR34" s="182">
        <f t="shared" si="14"/>
        <v>0</v>
      </c>
      <c r="AS34" s="152"/>
      <c r="AT34" s="162"/>
      <c r="AU34" s="148"/>
      <c r="AV34" s="151"/>
      <c r="AW34" s="152"/>
      <c r="AX34" s="162"/>
      <c r="AY34" s="158"/>
      <c r="AZ34" s="148"/>
      <c r="BA34" s="182">
        <f t="shared" si="15"/>
        <v>0</v>
      </c>
      <c r="BB34" s="157"/>
      <c r="BC34" s="162"/>
      <c r="BD34" s="159"/>
      <c r="BE34" s="148"/>
      <c r="BF34" s="182">
        <f t="shared" si="16"/>
        <v>0</v>
      </c>
      <c r="BG34" s="152"/>
      <c r="BH34" s="162"/>
      <c r="BI34" s="148"/>
      <c r="BJ34" s="182">
        <f t="shared" si="17"/>
        <v>0</v>
      </c>
      <c r="BK34" s="152"/>
      <c r="BL34" s="162"/>
      <c r="BM34" s="148"/>
      <c r="BN34" s="151"/>
      <c r="BO34" s="149"/>
      <c r="BP34" s="151"/>
      <c r="BQ34" s="160"/>
      <c r="BR34" s="148"/>
      <c r="BS34" s="182">
        <f t="shared" si="18"/>
        <v>0</v>
      </c>
      <c r="BT34" s="183">
        <f t="shared" si="19"/>
        <v>0</v>
      </c>
      <c r="BU34" s="182">
        <f t="shared" si="20"/>
        <v>0</v>
      </c>
      <c r="BV34" s="161"/>
      <c r="BW34" s="148"/>
      <c r="BX34" s="182">
        <f t="shared" si="21"/>
        <v>0</v>
      </c>
      <c r="BY34" s="152"/>
      <c r="BZ34" s="182">
        <f t="shared" si="22"/>
        <v>0</v>
      </c>
      <c r="CA34" s="159"/>
      <c r="CB34" s="148"/>
      <c r="CC34" s="361"/>
      <c r="CD34" s="155"/>
      <c r="CE34" s="156"/>
      <c r="CF34" s="182">
        <f t="shared" si="23"/>
        <v>0</v>
      </c>
      <c r="CG34" s="152"/>
      <c r="CH34" s="182">
        <f t="shared" si="24"/>
        <v>0</v>
      </c>
    </row>
    <row r="35" spans="1:86" s="194" customFormat="1" x14ac:dyDescent="0.35">
      <c r="B35" s="273" t="s">
        <v>451</v>
      </c>
      <c r="C35" s="180">
        <f>E35-'Apr-26'!E35</f>
        <v>12.603189999999998</v>
      </c>
      <c r="D35" s="182">
        <f t="shared" ref="D35:D44" si="81">C35/$C$46*100%</f>
        <v>4.0342630821850259E-3</v>
      </c>
      <c r="E35" s="181">
        <f>-SUMIF('05.conso TB'!A:A,'May-26'!B35,'05.conso TB'!R:R)/10^5</f>
        <v>18.606159999999999</v>
      </c>
      <c r="F35" s="182">
        <f t="shared" si="1"/>
        <v>2.8796987026211054E-3</v>
      </c>
      <c r="G35" s="180">
        <f>I35-'Apr-26'!I35</f>
        <v>11.251700000000001</v>
      </c>
      <c r="H35" s="182">
        <f t="shared" si="2"/>
        <v>8.4713443377006023E-3</v>
      </c>
      <c r="I35" s="181">
        <f>-SUMIF('05.conso TB'!A:A,'May-26'!B35,'05.conso TB'!S:S)/10^5</f>
        <v>20.500250000000001</v>
      </c>
      <c r="J35" s="182">
        <f t="shared" si="3"/>
        <v>8.1688802730328636E-3</v>
      </c>
      <c r="K35" s="180">
        <f>M35-'Apr-26'!M35</f>
        <v>0</v>
      </c>
      <c r="L35" s="182">
        <f t="shared" ref="L35:L44" si="82">K35/$C$46*100%</f>
        <v>0</v>
      </c>
      <c r="M35" s="181">
        <f>-SUMIF('05.conso TB'!A:A,'May-26'!B35,'05.conso TB'!T:T)/10^5</f>
        <v>0</v>
      </c>
      <c r="N35" s="182">
        <f t="shared" ref="N35:N44" si="83">M35/$C$46*100%</f>
        <v>0</v>
      </c>
      <c r="O35" s="180">
        <f>Q35-'Apr-26'!Q35</f>
        <v>0</v>
      </c>
      <c r="P35" s="182">
        <f t="shared" si="4"/>
        <v>0</v>
      </c>
      <c r="Q35" s="181">
        <f>-SUMIF('05.conso TB'!A:A,'May-26'!B35,'05.conso TB'!U:U)/10^5</f>
        <v>0</v>
      </c>
      <c r="R35" s="182">
        <f t="shared" si="5"/>
        <v>0</v>
      </c>
      <c r="S35" s="180">
        <f>U35-'Apr-26'!U35</f>
        <v>0</v>
      </c>
      <c r="T35" s="182">
        <f t="shared" si="6"/>
        <v>0</v>
      </c>
      <c r="U35" s="183">
        <f>-SUMIF('05.conso TB'!A:A,'May-26'!B35,'05.conso TB'!V:V)/10^5</f>
        <v>0</v>
      </c>
      <c r="V35" s="182">
        <f t="shared" si="7"/>
        <v>0</v>
      </c>
      <c r="W35" s="180">
        <f>Y35-'Apr-26'!Y35</f>
        <v>0</v>
      </c>
      <c r="X35" s="182">
        <f t="shared" si="8"/>
        <v>0</v>
      </c>
      <c r="Y35" s="181">
        <f>-SUMIF('05.conso TB'!A:A,'May-26'!B35,'05.conso TB'!G:G)/10^5</f>
        <v>0</v>
      </c>
      <c r="Z35" s="182">
        <f t="shared" si="9"/>
        <v>0</v>
      </c>
      <c r="AA35" s="185"/>
      <c r="AB35" s="180">
        <f>AD35-'Apr-26'!AD35</f>
        <v>23.854889999999997</v>
      </c>
      <c r="AC35" s="182">
        <f t="shared" si="10"/>
        <v>2.5869072478597677E-3</v>
      </c>
      <c r="AD35" s="187">
        <f t="shared" ref="AB35:AD45" si="84">E35+I35+M35+Q35+U35+Y35</f>
        <v>39.106409999999997</v>
      </c>
      <c r="AE35" s="182">
        <f t="shared" si="11"/>
        <v>2.7057712837984644E-3</v>
      </c>
      <c r="AF35" s="186"/>
      <c r="AG35" s="180">
        <f>AI35-'Apr-26'!AI35</f>
        <v>0</v>
      </c>
      <c r="AH35" s="182">
        <f t="shared" si="12"/>
        <v>0</v>
      </c>
      <c r="AI35" s="183">
        <f>-SUMIF('05.conso TB'!A:A,'May-26'!B35,'05.conso TB'!Q:Q)/10^5</f>
        <v>0</v>
      </c>
      <c r="AJ35" s="184">
        <f t="shared" ref="AJ35:AJ44" si="85">AI35/$AI$46*100%</f>
        <v>0</v>
      </c>
      <c r="AK35" s="186"/>
      <c r="AL35" s="180">
        <f>AN35-'Apr-26'!AN35</f>
        <v>0</v>
      </c>
      <c r="AM35" s="182">
        <f t="shared" si="13"/>
        <v>0</v>
      </c>
      <c r="AN35" s="181">
        <f>-SUMIF('05.conso TB'!A:A,'May-26'!B35,'05.conso TB'!W:W)/10^5</f>
        <v>0</v>
      </c>
      <c r="AO35" s="184">
        <f t="shared" ref="AO35:AO44" si="86">AN35/$AN$46*100%</f>
        <v>0</v>
      </c>
      <c r="AP35" s="545"/>
      <c r="AQ35" s="180">
        <f>AS35-'Apr-26'!AS35</f>
        <v>0</v>
      </c>
      <c r="AR35" s="182">
        <f t="shared" si="14"/>
        <v>0</v>
      </c>
      <c r="AS35" s="183">
        <f>-SUMIF('05.conso TB'!A:A,'May-26'!B35,'05.conso TB'!M:M)/10^5</f>
        <v>0</v>
      </c>
      <c r="AT35" s="184">
        <f t="shared" ref="AT35:AT44" si="87">AS35/$AS$46*100%</f>
        <v>0</v>
      </c>
      <c r="AU35" s="180">
        <f>AW35-'Apr-26'!AW35</f>
        <v>0</v>
      </c>
      <c r="AV35" s="182">
        <f t="shared" ref="AV35:AV44" si="88">AU35/$C$46*100%</f>
        <v>0</v>
      </c>
      <c r="AW35" s="183">
        <f>-SUMIF('05.conso TB'!A:A,'May-26'!B35,'05.conso TB'!P:P)/10^5</f>
        <v>0</v>
      </c>
      <c r="AX35" s="184">
        <f t="shared" ref="AX35:AX44" si="89">AW35/$AW$46*100%</f>
        <v>0</v>
      </c>
      <c r="AY35" s="195"/>
      <c r="AZ35" s="180">
        <f>BB35-'Apr-26'!BB35</f>
        <v>0</v>
      </c>
      <c r="BA35" s="182">
        <f t="shared" si="15"/>
        <v>0</v>
      </c>
      <c r="BB35" s="190">
        <f t="shared" ref="BB35:BB44" si="90">AS35+AW35</f>
        <v>0</v>
      </c>
      <c r="BC35" s="184">
        <f t="shared" ref="BC35:BC44" si="91">BB35/$BB$46*100%</f>
        <v>0</v>
      </c>
      <c r="BD35" s="191"/>
      <c r="BE35" s="180">
        <f>BG35-'Apr-26'!BG35</f>
        <v>0</v>
      </c>
      <c r="BF35" s="182">
        <f t="shared" si="16"/>
        <v>0</v>
      </c>
      <c r="BG35" s="183">
        <f>-SUMIF('05.conso TB'!A:A,'May-26'!B35,'05.conso TB'!H:H)/10^5</f>
        <v>0</v>
      </c>
      <c r="BH35" s="184">
        <f t="shared" ref="BH35:BH44" si="92">BG35/$BG$46*100%</f>
        <v>0</v>
      </c>
      <c r="BI35" s="180">
        <f>BK35-'Apr-26'!BK35</f>
        <v>0</v>
      </c>
      <c r="BJ35" s="182">
        <f t="shared" si="17"/>
        <v>0</v>
      </c>
      <c r="BK35" s="183">
        <f>-SUMIF('05.conso TB'!A:A,'May-26'!B35,'05.conso TB'!I:I)/10^5</f>
        <v>0</v>
      </c>
      <c r="BL35" s="184">
        <f t="shared" ref="BL35:BL44" si="93">BK35/$BK$46*100%</f>
        <v>0</v>
      </c>
      <c r="BM35" s="180">
        <f>BO35-'Apr-26'!BO35</f>
        <v>0</v>
      </c>
      <c r="BN35" s="182">
        <f t="shared" ref="BN35:BN44" si="94">BM35/$C$46*100%</f>
        <v>0</v>
      </c>
      <c r="BO35" s="181">
        <f>-SUMIF('05.conso TB'!A:A,'May-26'!B35,'05.conso TB'!J:J)/10^5</f>
        <v>0</v>
      </c>
      <c r="BP35" s="182">
        <f t="shared" ref="BP35:BP44" si="95">BO35/$C$46*100%</f>
        <v>0</v>
      </c>
      <c r="BQ35" s="192"/>
      <c r="BR35" s="180">
        <f>BT35-'Apr-26'!BT35</f>
        <v>0</v>
      </c>
      <c r="BS35" s="182">
        <f t="shared" si="18"/>
        <v>0</v>
      </c>
      <c r="BT35" s="183">
        <f t="shared" si="19"/>
        <v>0</v>
      </c>
      <c r="BU35" s="182">
        <f t="shared" si="20"/>
        <v>0</v>
      </c>
      <c r="BV35" s="191"/>
      <c r="BW35" s="180">
        <f>BY35-'Apr-26'!BY35</f>
        <v>0</v>
      </c>
      <c r="BX35" s="182">
        <f t="shared" si="21"/>
        <v>0</v>
      </c>
      <c r="BY35" s="183">
        <f>-SUMIF('05.conso TB'!A:A,'May-26'!B35,'05.conso TB'!L:L)/10^5</f>
        <v>0</v>
      </c>
      <c r="BZ35" s="182">
        <f t="shared" si="22"/>
        <v>0</v>
      </c>
      <c r="CA35" s="191"/>
      <c r="CB35" s="180">
        <f>CD35-'Apr-26'!CD35</f>
        <v>0</v>
      </c>
      <c r="CC35" s="346"/>
      <c r="CD35" s="186"/>
      <c r="CE35" s="187">
        <f t="shared" ref="CE35:CG45" si="96">AB35+AG35+AL35+AZ35+BR35+BW35</f>
        <v>23.854889999999997</v>
      </c>
      <c r="CF35" s="182">
        <f t="shared" si="23"/>
        <v>1.4110835580466593E-3</v>
      </c>
      <c r="CG35" s="187">
        <f t="shared" si="96"/>
        <v>39.106409999999997</v>
      </c>
      <c r="CH35" s="182">
        <f t="shared" si="24"/>
        <v>3.1977104948363202E-3</v>
      </c>
    </row>
    <row r="36" spans="1:86" s="194" customFormat="1" x14ac:dyDescent="0.35">
      <c r="B36" s="197" t="s">
        <v>468</v>
      </c>
      <c r="C36" s="180">
        <f>E36-'Apr-26'!E36</f>
        <v>0</v>
      </c>
      <c r="D36" s="182">
        <f t="shared" si="81"/>
        <v>0</v>
      </c>
      <c r="E36" s="181">
        <f>-SUMIF('05.conso TB'!A:A,'May-26'!B36,'05.conso TB'!R:R)/10^5</f>
        <v>0</v>
      </c>
      <c r="F36" s="182">
        <f t="shared" si="1"/>
        <v>0</v>
      </c>
      <c r="G36" s="180">
        <f>I36-'Apr-26'!I36</f>
        <v>0</v>
      </c>
      <c r="H36" s="182">
        <f t="shared" si="2"/>
        <v>0</v>
      </c>
      <c r="I36" s="181">
        <f>-SUMIF('05.conso TB'!A:A,'May-26'!B36,'05.conso TB'!S:S)/10^5</f>
        <v>0</v>
      </c>
      <c r="J36" s="182">
        <f t="shared" si="3"/>
        <v>0</v>
      </c>
      <c r="K36" s="180">
        <f>M36-'Apr-26'!M36</f>
        <v>0</v>
      </c>
      <c r="L36" s="182">
        <f t="shared" si="82"/>
        <v>0</v>
      </c>
      <c r="M36" s="181">
        <f>-SUMIF('05.conso TB'!A:A,'May-26'!B36,'05.conso TB'!T:T)/10^5</f>
        <v>0</v>
      </c>
      <c r="N36" s="182">
        <f t="shared" si="83"/>
        <v>0</v>
      </c>
      <c r="O36" s="180">
        <f>Q36-'Apr-26'!Q36</f>
        <v>0</v>
      </c>
      <c r="P36" s="182">
        <f t="shared" si="4"/>
        <v>0</v>
      </c>
      <c r="Q36" s="181">
        <f>-SUMIF('05.conso TB'!A:A,'May-26'!B36,'05.conso TB'!U:U)/10^5</f>
        <v>0</v>
      </c>
      <c r="R36" s="182">
        <f t="shared" si="5"/>
        <v>0</v>
      </c>
      <c r="S36" s="180">
        <f>U36-'Apr-26'!U36</f>
        <v>0</v>
      </c>
      <c r="T36" s="182">
        <f t="shared" si="6"/>
        <v>0</v>
      </c>
      <c r="U36" s="183">
        <f>-SUMIF('05.conso TB'!A:A,'May-26'!B36,'05.conso TB'!V:V)/10^5</f>
        <v>0</v>
      </c>
      <c r="V36" s="182">
        <f t="shared" si="7"/>
        <v>0</v>
      </c>
      <c r="W36" s="180">
        <f>Y36-'Apr-26'!Y36</f>
        <v>0</v>
      </c>
      <c r="X36" s="182">
        <f t="shared" si="8"/>
        <v>0</v>
      </c>
      <c r="Y36" s="181">
        <f>-SUMIF('05.conso TB'!A:A,'May-26'!B36,'05.conso TB'!G:G)/10^5</f>
        <v>0</v>
      </c>
      <c r="Z36" s="182">
        <f t="shared" si="9"/>
        <v>0</v>
      </c>
      <c r="AA36" s="185"/>
      <c r="AB36" s="180">
        <f>AD36-'Apr-26'!AD36</f>
        <v>0</v>
      </c>
      <c r="AC36" s="182">
        <f t="shared" si="10"/>
        <v>0</v>
      </c>
      <c r="AD36" s="187">
        <f t="shared" si="84"/>
        <v>0</v>
      </c>
      <c r="AE36" s="182">
        <f t="shared" si="11"/>
        <v>0</v>
      </c>
      <c r="AF36" s="186"/>
      <c r="AG36" s="180">
        <f>AI36-'Apr-26'!AI36</f>
        <v>0</v>
      </c>
      <c r="AH36" s="182">
        <f t="shared" si="12"/>
        <v>0</v>
      </c>
      <c r="AI36" s="183">
        <f>-SUMIF('05.conso TB'!A:A,'May-26'!B36,'05.conso TB'!Q:Q)/10^5</f>
        <v>0</v>
      </c>
      <c r="AJ36" s="184">
        <f t="shared" si="85"/>
        <v>0</v>
      </c>
      <c r="AK36" s="186"/>
      <c r="AL36" s="180">
        <f>AN36-'Apr-26'!AN36</f>
        <v>0</v>
      </c>
      <c r="AM36" s="182">
        <f t="shared" si="13"/>
        <v>0</v>
      </c>
      <c r="AN36" s="181">
        <f>-SUMIF('05.conso TB'!A:A,'May-26'!B36,'05.conso TB'!W:W)/10^5</f>
        <v>0</v>
      </c>
      <c r="AO36" s="184">
        <f t="shared" si="86"/>
        <v>0</v>
      </c>
      <c r="AP36" s="545"/>
      <c r="AQ36" s="180">
        <f>AS36-'Apr-26'!AS36</f>
        <v>0</v>
      </c>
      <c r="AR36" s="182">
        <f t="shared" si="14"/>
        <v>0</v>
      </c>
      <c r="AS36" s="183">
        <f>-SUMIF('05.conso TB'!A:A,'May-26'!B36,'05.conso TB'!M:M)/10^5</f>
        <v>0</v>
      </c>
      <c r="AT36" s="184">
        <f t="shared" si="87"/>
        <v>0</v>
      </c>
      <c r="AU36" s="180">
        <f>AW36-'Apr-26'!AW36</f>
        <v>0</v>
      </c>
      <c r="AV36" s="182">
        <f t="shared" si="88"/>
        <v>0</v>
      </c>
      <c r="AW36" s="183">
        <f>-SUMIF('05.conso TB'!A:A,'May-26'!B36,'05.conso TB'!P:P)/10^5</f>
        <v>0</v>
      </c>
      <c r="AX36" s="184">
        <f t="shared" si="89"/>
        <v>0</v>
      </c>
      <c r="AY36" s="195"/>
      <c r="AZ36" s="180">
        <f>BB36-'Apr-26'!BB36</f>
        <v>0</v>
      </c>
      <c r="BA36" s="182">
        <f t="shared" si="15"/>
        <v>0</v>
      </c>
      <c r="BB36" s="190">
        <f t="shared" si="90"/>
        <v>0</v>
      </c>
      <c r="BC36" s="184">
        <f t="shared" si="91"/>
        <v>0</v>
      </c>
      <c r="BD36" s="191"/>
      <c r="BE36" s="180">
        <f>BG36-'Apr-26'!BG36</f>
        <v>0</v>
      </c>
      <c r="BF36" s="182">
        <f t="shared" si="16"/>
        <v>0</v>
      </c>
      <c r="BG36" s="183">
        <f>-SUMIF('05.conso TB'!A:A,'May-26'!B36,'05.conso TB'!H:H)/10^5</f>
        <v>0</v>
      </c>
      <c r="BH36" s="184">
        <f t="shared" si="92"/>
        <v>0</v>
      </c>
      <c r="BI36" s="180">
        <f>BK36-'Apr-26'!BK36</f>
        <v>0</v>
      </c>
      <c r="BJ36" s="182">
        <f t="shared" si="17"/>
        <v>0</v>
      </c>
      <c r="BK36" s="183">
        <f>-SUMIF('05.conso TB'!A:A,'May-26'!B36,'05.conso TB'!I:I)/10^5</f>
        <v>0</v>
      </c>
      <c r="BL36" s="184">
        <f t="shared" si="93"/>
        <v>0</v>
      </c>
      <c r="BM36" s="180">
        <f>BO36-'Apr-26'!BO36</f>
        <v>0</v>
      </c>
      <c r="BN36" s="182">
        <f t="shared" si="94"/>
        <v>0</v>
      </c>
      <c r="BO36" s="181">
        <f>-SUMIF('05.conso TB'!A:A,'May-26'!B36,'05.conso TB'!J:J)/10^5</f>
        <v>0</v>
      </c>
      <c r="BP36" s="182">
        <f t="shared" si="95"/>
        <v>0</v>
      </c>
      <c r="BQ36" s="192"/>
      <c r="BR36" s="180">
        <f>BT36-'Apr-26'!BT36</f>
        <v>0</v>
      </c>
      <c r="BS36" s="182">
        <f t="shared" si="18"/>
        <v>0</v>
      </c>
      <c r="BT36" s="183">
        <f t="shared" si="19"/>
        <v>0</v>
      </c>
      <c r="BU36" s="182">
        <f t="shared" si="20"/>
        <v>0</v>
      </c>
      <c r="BV36" s="191"/>
      <c r="BW36" s="180">
        <f>BY36-'Apr-26'!BY36</f>
        <v>0</v>
      </c>
      <c r="BX36" s="182">
        <f t="shared" si="21"/>
        <v>0</v>
      </c>
      <c r="BY36" s="183">
        <f>-SUMIF('05.conso TB'!A:A,'May-26'!B36,'05.conso TB'!L:L)/10^5</f>
        <v>0</v>
      </c>
      <c r="BZ36" s="182">
        <f t="shared" si="22"/>
        <v>0</v>
      </c>
      <c r="CA36" s="191"/>
      <c r="CB36" s="180">
        <f>CD36-'Apr-26'!CD36</f>
        <v>0</v>
      </c>
      <c r="CC36" s="346"/>
      <c r="CD36" s="186"/>
      <c r="CE36" s="187">
        <f t="shared" si="96"/>
        <v>0</v>
      </c>
      <c r="CF36" s="182">
        <f t="shared" si="23"/>
        <v>0</v>
      </c>
      <c r="CG36" s="187">
        <f t="shared" si="96"/>
        <v>0</v>
      </c>
      <c r="CH36" s="182">
        <f t="shared" si="24"/>
        <v>0</v>
      </c>
    </row>
    <row r="37" spans="1:86" s="194" customFormat="1" x14ac:dyDescent="0.35">
      <c r="B37" s="197" t="s">
        <v>469</v>
      </c>
      <c r="C37" s="180">
        <f>E37-'Apr-26'!E37</f>
        <v>0.30793999999999999</v>
      </c>
      <c r="D37" s="182">
        <f t="shared" si="81"/>
        <v>9.8571153297542698E-5</v>
      </c>
      <c r="E37" s="181">
        <f>-SUMIF('05.conso TB'!A:A,'May-26'!B37,'05.conso TB'!R:R)/10^5</f>
        <v>1.07873</v>
      </c>
      <c r="F37" s="182">
        <f t="shared" si="1"/>
        <v>1.6695639409090672E-4</v>
      </c>
      <c r="G37" s="180">
        <f>I37-'Apr-26'!I37</f>
        <v>0</v>
      </c>
      <c r="H37" s="182">
        <f t="shared" si="2"/>
        <v>0</v>
      </c>
      <c r="I37" s="181">
        <f>-SUMIF('05.conso TB'!A:A,'May-26'!B37,'05.conso TB'!S:S)/10^5</f>
        <v>0</v>
      </c>
      <c r="J37" s="182">
        <f t="shared" si="3"/>
        <v>0</v>
      </c>
      <c r="K37" s="180">
        <f>M37-'Apr-26'!M37</f>
        <v>0</v>
      </c>
      <c r="L37" s="182">
        <f t="shared" si="82"/>
        <v>0</v>
      </c>
      <c r="M37" s="181">
        <f>-SUMIF('05.conso TB'!A:A,'May-26'!B37,'05.conso TB'!T:T)/10^5</f>
        <v>0</v>
      </c>
      <c r="N37" s="182">
        <f t="shared" si="83"/>
        <v>0</v>
      </c>
      <c r="O37" s="180">
        <f>Q37-'Apr-26'!Q37</f>
        <v>0</v>
      </c>
      <c r="P37" s="182">
        <f t="shared" si="4"/>
        <v>0</v>
      </c>
      <c r="Q37" s="181">
        <f>-SUMIF('05.conso TB'!A:A,'May-26'!B37,'05.conso TB'!U:U)/10^5</f>
        <v>0</v>
      </c>
      <c r="R37" s="182">
        <f t="shared" si="5"/>
        <v>0</v>
      </c>
      <c r="S37" s="180">
        <f>U37-'Apr-26'!U37</f>
        <v>0</v>
      </c>
      <c r="T37" s="182">
        <f t="shared" si="6"/>
        <v>0</v>
      </c>
      <c r="U37" s="183">
        <f>-SUMIF('05.conso TB'!A:A,'May-26'!B37,'05.conso TB'!V:V)/10^5</f>
        <v>0</v>
      </c>
      <c r="V37" s="182">
        <f t="shared" si="7"/>
        <v>0</v>
      </c>
      <c r="W37" s="180">
        <f>Y37-'Apr-26'!Y37</f>
        <v>0</v>
      </c>
      <c r="X37" s="182">
        <f t="shared" si="8"/>
        <v>0</v>
      </c>
      <c r="Y37" s="181">
        <f>-SUMIF('05.conso TB'!A:A,'May-26'!B37,'05.conso TB'!G:G)/10^5</f>
        <v>0</v>
      </c>
      <c r="Z37" s="182">
        <f t="shared" si="9"/>
        <v>0</v>
      </c>
      <c r="AA37" s="185"/>
      <c r="AB37" s="180">
        <f>AD37-'Apr-26'!AD37</f>
        <v>0.30793999999999999</v>
      </c>
      <c r="AC37" s="182">
        <f t="shared" si="10"/>
        <v>3.3394084730884817E-5</v>
      </c>
      <c r="AD37" s="187">
        <f t="shared" si="84"/>
        <v>1.07873</v>
      </c>
      <c r="AE37" s="182">
        <f t="shared" si="11"/>
        <v>7.4637294933795197E-5</v>
      </c>
      <c r="AF37" s="186"/>
      <c r="AG37" s="180">
        <f>AI37-'Apr-26'!AI37</f>
        <v>0</v>
      </c>
      <c r="AH37" s="182">
        <f t="shared" si="12"/>
        <v>0</v>
      </c>
      <c r="AI37" s="183">
        <f>-SUMIF('05.conso TB'!A:A,'May-26'!B37,'05.conso TB'!Q:Q)/10^5</f>
        <v>0</v>
      </c>
      <c r="AJ37" s="184">
        <f t="shared" si="85"/>
        <v>0</v>
      </c>
      <c r="AK37" s="186"/>
      <c r="AL37" s="180">
        <f>AN37-'Apr-26'!AN37</f>
        <v>6.1640999999999995</v>
      </c>
      <c r="AM37" s="182">
        <f t="shared" si="13"/>
        <v>5.2051197075783755E-3</v>
      </c>
      <c r="AN37" s="181">
        <f>-SUMIF('05.conso TB'!A:A,'May-26'!B37,'05.conso TB'!W:W)/10^5</f>
        <v>7.3343499999999997</v>
      </c>
      <c r="AO37" s="184">
        <f t="shared" si="86"/>
        <v>3.1581613500309223E-3</v>
      </c>
      <c r="AP37" s="545"/>
      <c r="AQ37" s="180">
        <f>AS37-'Apr-26'!AS37</f>
        <v>0</v>
      </c>
      <c r="AR37" s="182">
        <f t="shared" si="14"/>
        <v>0</v>
      </c>
      <c r="AS37" s="183">
        <f>-SUMIF('05.conso TB'!A:A,'May-26'!B37,'05.conso TB'!M:M)/10^5</f>
        <v>0</v>
      </c>
      <c r="AT37" s="184">
        <f t="shared" si="87"/>
        <v>0</v>
      </c>
      <c r="AU37" s="180">
        <f>AW37-'Apr-26'!AW37</f>
        <v>0</v>
      </c>
      <c r="AV37" s="182">
        <f t="shared" si="88"/>
        <v>0</v>
      </c>
      <c r="AW37" s="183">
        <f>-SUMIF('05.conso TB'!A:A,'May-26'!B37,'05.conso TB'!P:P)/10^5</f>
        <v>0</v>
      </c>
      <c r="AX37" s="184">
        <f t="shared" si="89"/>
        <v>0</v>
      </c>
      <c r="AY37" s="195"/>
      <c r="AZ37" s="180">
        <f>BB37-'Apr-26'!BB37</f>
        <v>0</v>
      </c>
      <c r="BA37" s="182">
        <f t="shared" si="15"/>
        <v>0</v>
      </c>
      <c r="BB37" s="190">
        <f t="shared" si="90"/>
        <v>0</v>
      </c>
      <c r="BC37" s="184">
        <f t="shared" si="91"/>
        <v>0</v>
      </c>
      <c r="BD37" s="191"/>
      <c r="BE37" s="180">
        <f>BG37-'Apr-26'!BG37</f>
        <v>0</v>
      </c>
      <c r="BF37" s="182">
        <f t="shared" si="16"/>
        <v>0</v>
      </c>
      <c r="BG37" s="183">
        <f>-SUMIF('05.conso TB'!A:A,'May-26'!B37,'05.conso TB'!H:H)/10^5</f>
        <v>0</v>
      </c>
      <c r="BH37" s="184">
        <f t="shared" si="92"/>
        <v>0</v>
      </c>
      <c r="BI37" s="180">
        <f>BK37-'Apr-26'!BK37</f>
        <v>0</v>
      </c>
      <c r="BJ37" s="182">
        <f t="shared" si="17"/>
        <v>0</v>
      </c>
      <c r="BK37" s="183">
        <f>-SUMIF('05.conso TB'!A:A,'May-26'!B37,'05.conso TB'!I:I)/10^5</f>
        <v>0</v>
      </c>
      <c r="BL37" s="184">
        <f t="shared" si="93"/>
        <v>0</v>
      </c>
      <c r="BM37" s="180">
        <f>BO37-'Apr-26'!BO37</f>
        <v>0</v>
      </c>
      <c r="BN37" s="182">
        <f t="shared" si="94"/>
        <v>0</v>
      </c>
      <c r="BO37" s="181">
        <f>-SUMIF('05.conso TB'!A:A,'May-26'!B37,'05.conso TB'!J:J)/10^5</f>
        <v>0</v>
      </c>
      <c r="BP37" s="182">
        <f t="shared" si="95"/>
        <v>0</v>
      </c>
      <c r="BQ37" s="192"/>
      <c r="BR37" s="180">
        <f>BT37-'Apr-26'!BT37</f>
        <v>0</v>
      </c>
      <c r="BS37" s="182">
        <f t="shared" si="18"/>
        <v>0</v>
      </c>
      <c r="BT37" s="183">
        <f t="shared" si="19"/>
        <v>0</v>
      </c>
      <c r="BU37" s="182">
        <f t="shared" si="20"/>
        <v>0</v>
      </c>
      <c r="BV37" s="191"/>
      <c r="BW37" s="180">
        <f>BY37-'Apr-26'!BY37</f>
        <v>0</v>
      </c>
      <c r="BX37" s="182">
        <f t="shared" si="21"/>
        <v>0</v>
      </c>
      <c r="BY37" s="183">
        <f>-SUMIF('05.conso TB'!A:A,'May-26'!B37,'05.conso TB'!L:L)/10^5</f>
        <v>0</v>
      </c>
      <c r="BZ37" s="182">
        <f t="shared" si="22"/>
        <v>0</v>
      </c>
      <c r="CA37" s="191"/>
      <c r="CB37" s="180">
        <f>CD37-'Apr-26'!CD37</f>
        <v>0</v>
      </c>
      <c r="CC37" s="346"/>
      <c r="CD37" s="186"/>
      <c r="CE37" s="187">
        <f t="shared" si="96"/>
        <v>6.4720399999999998</v>
      </c>
      <c r="CF37" s="182">
        <f t="shared" si="23"/>
        <v>3.8283929337005123E-4</v>
      </c>
      <c r="CG37" s="187">
        <f t="shared" si="96"/>
        <v>8.413079999999999</v>
      </c>
      <c r="CH37" s="182">
        <f t="shared" si="24"/>
        <v>6.8793310891737572E-4</v>
      </c>
    </row>
    <row r="38" spans="1:86" s="194" customFormat="1" x14ac:dyDescent="0.35">
      <c r="B38" s="197" t="s">
        <v>433</v>
      </c>
      <c r="C38" s="180">
        <f>E38-'Apr-26'!E38</f>
        <v>0</v>
      </c>
      <c r="D38" s="182">
        <f t="shared" si="81"/>
        <v>0</v>
      </c>
      <c r="E38" s="181">
        <f>-SUMIF('05.conso TB'!A:A,'May-26'!B38,'05.conso TB'!R:R)/10^5</f>
        <v>0</v>
      </c>
      <c r="F38" s="182">
        <f t="shared" si="1"/>
        <v>0</v>
      </c>
      <c r="G38" s="180">
        <f>I38-'Apr-26'!I38</f>
        <v>0</v>
      </c>
      <c r="H38" s="182">
        <f t="shared" si="2"/>
        <v>0</v>
      </c>
      <c r="I38" s="181">
        <f>-SUMIF('05.conso TB'!A:A,'May-26'!B38,'05.conso TB'!S:S)/10^5</f>
        <v>0</v>
      </c>
      <c r="J38" s="182">
        <f t="shared" si="3"/>
        <v>0</v>
      </c>
      <c r="K38" s="180">
        <f>M38-'Apr-26'!M38</f>
        <v>0</v>
      </c>
      <c r="L38" s="182">
        <f t="shared" si="82"/>
        <v>0</v>
      </c>
      <c r="M38" s="181">
        <f>-SUMIF('05.conso TB'!A:A,'May-26'!B38,'05.conso TB'!T:T)/10^5</f>
        <v>0</v>
      </c>
      <c r="N38" s="182">
        <f t="shared" si="83"/>
        <v>0</v>
      </c>
      <c r="O38" s="180">
        <f>Q38-'Apr-26'!Q38</f>
        <v>0</v>
      </c>
      <c r="P38" s="182">
        <f t="shared" si="4"/>
        <v>0</v>
      </c>
      <c r="Q38" s="181">
        <f>-SUMIF('05.conso TB'!A:A,'May-26'!B38,'05.conso TB'!U:U)/10^5</f>
        <v>0</v>
      </c>
      <c r="R38" s="182">
        <f t="shared" si="5"/>
        <v>0</v>
      </c>
      <c r="S38" s="180">
        <f>U38-'Apr-26'!U38</f>
        <v>0</v>
      </c>
      <c r="T38" s="182">
        <f t="shared" si="6"/>
        <v>0</v>
      </c>
      <c r="U38" s="183">
        <f>-SUMIF('05.conso TB'!A:A,'May-26'!B38,'05.conso TB'!V:V)/10^5</f>
        <v>0</v>
      </c>
      <c r="V38" s="182">
        <f t="shared" si="7"/>
        <v>0</v>
      </c>
      <c r="W38" s="180">
        <f>Y38-'Apr-26'!Y38</f>
        <v>0</v>
      </c>
      <c r="X38" s="182">
        <f t="shared" si="8"/>
        <v>0</v>
      </c>
      <c r="Y38" s="181">
        <f>-SUMIF('05.conso TB'!A:A,'May-26'!B38,'05.conso TB'!G:G)/10^5</f>
        <v>0</v>
      </c>
      <c r="Z38" s="182">
        <f t="shared" si="9"/>
        <v>0</v>
      </c>
      <c r="AA38" s="185"/>
      <c r="AB38" s="180">
        <f>AD38-'Apr-26'!AD38</f>
        <v>0</v>
      </c>
      <c r="AC38" s="182">
        <f t="shared" si="10"/>
        <v>0</v>
      </c>
      <c r="AD38" s="187">
        <f t="shared" si="84"/>
        <v>0</v>
      </c>
      <c r="AE38" s="182">
        <f t="shared" si="11"/>
        <v>0</v>
      </c>
      <c r="AF38" s="186"/>
      <c r="AG38" s="180">
        <f>AI38-'Apr-26'!AI38</f>
        <v>0</v>
      </c>
      <c r="AH38" s="182">
        <f t="shared" si="12"/>
        <v>0</v>
      </c>
      <c r="AI38" s="183">
        <f>-SUMIF('05.conso TB'!A:A,'May-26'!B38,'05.conso TB'!Q:Q)/10^5</f>
        <v>0</v>
      </c>
      <c r="AJ38" s="184">
        <f t="shared" si="85"/>
        <v>0</v>
      </c>
      <c r="AK38" s="186"/>
      <c r="AL38" s="180">
        <f>AN38-'Apr-26'!AN38</f>
        <v>0</v>
      </c>
      <c r="AM38" s="182">
        <f t="shared" si="13"/>
        <v>0</v>
      </c>
      <c r="AN38" s="181">
        <f>-SUMIF('05.conso TB'!A:A,'May-26'!B38,'05.conso TB'!W:W)/10^5</f>
        <v>0</v>
      </c>
      <c r="AO38" s="184">
        <f t="shared" si="86"/>
        <v>0</v>
      </c>
      <c r="AP38" s="545"/>
      <c r="AQ38" s="180">
        <f>AS38-'Apr-26'!AS38</f>
        <v>0</v>
      </c>
      <c r="AR38" s="182">
        <f t="shared" si="14"/>
        <v>0</v>
      </c>
      <c r="AS38" s="183">
        <f>-SUMIF('05.conso TB'!A:A,'May-26'!B38,'05.conso TB'!M:M)/10^5</f>
        <v>0</v>
      </c>
      <c r="AT38" s="184">
        <f t="shared" si="87"/>
        <v>0</v>
      </c>
      <c r="AU38" s="180">
        <f>AW38-'Apr-26'!AW38</f>
        <v>0</v>
      </c>
      <c r="AV38" s="182">
        <f t="shared" si="88"/>
        <v>0</v>
      </c>
      <c r="AW38" s="183">
        <f>-SUMIF('05.conso TB'!A:A,'May-26'!B38,'05.conso TB'!P:P)/10^5</f>
        <v>0</v>
      </c>
      <c r="AX38" s="184">
        <f t="shared" si="89"/>
        <v>0</v>
      </c>
      <c r="AY38" s="195"/>
      <c r="AZ38" s="180">
        <f>BB38-'Apr-26'!BB38</f>
        <v>0</v>
      </c>
      <c r="BA38" s="182">
        <f t="shared" si="15"/>
        <v>0</v>
      </c>
      <c r="BB38" s="190">
        <f t="shared" si="90"/>
        <v>0</v>
      </c>
      <c r="BC38" s="184">
        <f t="shared" si="91"/>
        <v>0</v>
      </c>
      <c r="BD38" s="191"/>
      <c r="BE38" s="180">
        <f>BG38-'Apr-26'!BG38</f>
        <v>0</v>
      </c>
      <c r="BF38" s="182">
        <f t="shared" si="16"/>
        <v>0</v>
      </c>
      <c r="BG38" s="183">
        <f>-SUMIF('05.conso TB'!A:A,'May-26'!B38,'05.conso TB'!H:H)/10^5</f>
        <v>0</v>
      </c>
      <c r="BH38" s="184">
        <f t="shared" si="92"/>
        <v>0</v>
      </c>
      <c r="BI38" s="180">
        <f>BK38-'Apr-26'!BK38</f>
        <v>0</v>
      </c>
      <c r="BJ38" s="182">
        <f t="shared" si="17"/>
        <v>0</v>
      </c>
      <c r="BK38" s="183">
        <f>-SUMIF('05.conso TB'!A:A,'May-26'!B38,'05.conso TB'!I:I)/10^5</f>
        <v>0</v>
      </c>
      <c r="BL38" s="184">
        <f t="shared" si="93"/>
        <v>0</v>
      </c>
      <c r="BM38" s="180">
        <f>BO38-'Apr-26'!BO38</f>
        <v>0</v>
      </c>
      <c r="BN38" s="182">
        <f t="shared" si="94"/>
        <v>0</v>
      </c>
      <c r="BO38" s="181">
        <f>-SUMIF('05.conso TB'!A:A,'May-26'!B38,'05.conso TB'!J:J)/10^5</f>
        <v>0</v>
      </c>
      <c r="BP38" s="182">
        <f t="shared" si="95"/>
        <v>0</v>
      </c>
      <c r="BQ38" s="192"/>
      <c r="BR38" s="180">
        <f>BT38-'Apr-26'!BT38</f>
        <v>0</v>
      </c>
      <c r="BS38" s="182">
        <f t="shared" si="18"/>
        <v>0</v>
      </c>
      <c r="BT38" s="183">
        <f t="shared" si="19"/>
        <v>0</v>
      </c>
      <c r="BU38" s="182">
        <f t="shared" si="20"/>
        <v>0</v>
      </c>
      <c r="BV38" s="191"/>
      <c r="BW38" s="180">
        <f>BY38-'Apr-26'!BY38</f>
        <v>0</v>
      </c>
      <c r="BX38" s="182">
        <f t="shared" si="21"/>
        <v>0</v>
      </c>
      <c r="BY38" s="183">
        <f>-SUMIF('05.conso TB'!A:A,'May-26'!B38,'05.conso TB'!L:L)/10^5</f>
        <v>0</v>
      </c>
      <c r="BZ38" s="182">
        <f t="shared" si="22"/>
        <v>0</v>
      </c>
      <c r="CA38" s="191"/>
      <c r="CB38" s="180">
        <f>CD38-'Apr-26'!CD38</f>
        <v>0</v>
      </c>
      <c r="CC38" s="346"/>
      <c r="CD38" s="186"/>
      <c r="CE38" s="187">
        <f t="shared" si="96"/>
        <v>0</v>
      </c>
      <c r="CF38" s="182">
        <f t="shared" si="23"/>
        <v>0</v>
      </c>
      <c r="CG38" s="187">
        <f t="shared" si="96"/>
        <v>0</v>
      </c>
      <c r="CH38" s="182">
        <f t="shared" si="24"/>
        <v>0</v>
      </c>
    </row>
    <row r="39" spans="1:86" s="194" customFormat="1" x14ac:dyDescent="0.35">
      <c r="B39" s="197" t="s">
        <v>403</v>
      </c>
      <c r="C39" s="180">
        <f>E39-'Apr-26'!E39</f>
        <v>2.3401299999999998</v>
      </c>
      <c r="D39" s="182">
        <f t="shared" si="81"/>
        <v>7.4907226396758644E-4</v>
      </c>
      <c r="E39" s="181">
        <f>-SUMIF('05.conso TB'!A:A,'May-26'!B39,'05.conso TB'!R:R)/10^5</f>
        <v>4.6802599999999996</v>
      </c>
      <c r="F39" s="182">
        <f t="shared" si="1"/>
        <v>7.2436970605054744E-4</v>
      </c>
      <c r="G39" s="180">
        <f>I39-'Apr-26'!I39</f>
        <v>0</v>
      </c>
      <c r="H39" s="182">
        <f t="shared" si="2"/>
        <v>0</v>
      </c>
      <c r="I39" s="181">
        <f>-SUMIF('05.conso TB'!A:A,'May-26'!B39,'05.conso TB'!S:S)/10^5</f>
        <v>0</v>
      </c>
      <c r="J39" s="182">
        <f t="shared" si="3"/>
        <v>0</v>
      </c>
      <c r="K39" s="180">
        <f>M39-'Apr-26'!M39</f>
        <v>0</v>
      </c>
      <c r="L39" s="182">
        <f t="shared" si="82"/>
        <v>0</v>
      </c>
      <c r="M39" s="181">
        <f>-SUMIF('05.conso TB'!A:A,'May-26'!B39,'05.conso TB'!T:T)/10^5</f>
        <v>0</v>
      </c>
      <c r="N39" s="182">
        <f t="shared" si="83"/>
        <v>0</v>
      </c>
      <c r="O39" s="180">
        <f>Q39-'Apr-26'!Q39</f>
        <v>0</v>
      </c>
      <c r="P39" s="182">
        <f t="shared" si="4"/>
        <v>0</v>
      </c>
      <c r="Q39" s="181">
        <f>-SUMIF('05.conso TB'!A:A,'May-26'!B39,'05.conso TB'!U:U)/10^5</f>
        <v>0</v>
      </c>
      <c r="R39" s="182">
        <f t="shared" si="5"/>
        <v>0</v>
      </c>
      <c r="S39" s="180">
        <f>U39-'Apr-26'!U39</f>
        <v>0</v>
      </c>
      <c r="T39" s="182">
        <f t="shared" si="6"/>
        <v>0</v>
      </c>
      <c r="U39" s="183">
        <f>-SUMIF('05.conso TB'!A:A,'May-26'!B39,'05.conso TB'!V:V)/10^5</f>
        <v>0</v>
      </c>
      <c r="V39" s="182">
        <f t="shared" si="7"/>
        <v>0</v>
      </c>
      <c r="W39" s="180">
        <f>Y39-'Apr-26'!Y39</f>
        <v>0.45</v>
      </c>
      <c r="X39" s="182">
        <f t="shared" si="8"/>
        <v>1.2099544205303081E-4</v>
      </c>
      <c r="Y39" s="181">
        <f>-SUMIF('05.conso TB'!A:A,'May-26'!B39,'05.conso TB'!G:G)/10^5</f>
        <v>0.9</v>
      </c>
      <c r="Z39" s="182">
        <f t="shared" si="9"/>
        <v>2.3724077178577621E-4</v>
      </c>
      <c r="AA39" s="185"/>
      <c r="AB39" s="180">
        <f>AD39-'Apr-26'!AD39</f>
        <v>2.79013</v>
      </c>
      <c r="AC39" s="182">
        <f t="shared" si="10"/>
        <v>3.0257140231922992E-4</v>
      </c>
      <c r="AD39" s="187">
        <f t="shared" si="84"/>
        <v>5.58026</v>
      </c>
      <c r="AE39" s="182">
        <f t="shared" si="11"/>
        <v>3.8609801472774461E-4</v>
      </c>
      <c r="AF39" s="186"/>
      <c r="AG39" s="180">
        <f>AI39-'Apr-26'!AI39</f>
        <v>0</v>
      </c>
      <c r="AH39" s="182">
        <f t="shared" si="12"/>
        <v>0</v>
      </c>
      <c r="AI39" s="183">
        <f>-SUMIF('05.conso TB'!A:A,'May-26'!B39,'05.conso TB'!Q:Q)/10^5</f>
        <v>0</v>
      </c>
      <c r="AJ39" s="184">
        <f t="shared" si="85"/>
        <v>0</v>
      </c>
      <c r="AK39" s="186"/>
      <c r="AL39" s="180">
        <f>AN39-'Apr-26'!AN39</f>
        <v>0</v>
      </c>
      <c r="AM39" s="182">
        <f t="shared" si="13"/>
        <v>0</v>
      </c>
      <c r="AN39" s="181">
        <f>-SUMIF('05.conso TB'!A:A,'May-26'!B39,'05.conso TB'!W:W)/10^5</f>
        <v>0</v>
      </c>
      <c r="AO39" s="184">
        <f t="shared" si="86"/>
        <v>0</v>
      </c>
      <c r="AP39" s="545"/>
      <c r="AQ39" s="180">
        <f>AS39-'Apr-26'!AS39</f>
        <v>-2</v>
      </c>
      <c r="AR39" s="182">
        <f t="shared" si="14"/>
        <v>-9.8095622789975295E-4</v>
      </c>
      <c r="AS39" s="183">
        <f>-SUMIF('05.conso TB'!A:A,'May-26'!B39,'05.conso TB'!M:M)/10^5</f>
        <v>-2</v>
      </c>
      <c r="AT39" s="184">
        <f t="shared" si="87"/>
        <v>-5.1672383112652705E-4</v>
      </c>
      <c r="AU39" s="180">
        <f>AW39-'Apr-26'!AW39</f>
        <v>0</v>
      </c>
      <c r="AV39" s="182">
        <f t="shared" si="88"/>
        <v>0</v>
      </c>
      <c r="AW39" s="183">
        <f>-SUMIF('05.conso TB'!A:A,'May-26'!B39,'05.conso TB'!P:P)/10^5</f>
        <v>0</v>
      </c>
      <c r="AX39" s="184">
        <f t="shared" si="89"/>
        <v>0</v>
      </c>
      <c r="AY39" s="195"/>
      <c r="AZ39" s="180">
        <f>BB39-'Apr-26'!BB39</f>
        <v>-2</v>
      </c>
      <c r="BA39" s="182">
        <f t="shared" si="15"/>
        <v>-6.589339501800914E-4</v>
      </c>
      <c r="BB39" s="190">
        <f t="shared" si="90"/>
        <v>-2</v>
      </c>
      <c r="BC39" s="184">
        <f t="shared" si="91"/>
        <v>-3.4978658178251993E-4</v>
      </c>
      <c r="BD39" s="191"/>
      <c r="BE39" s="180">
        <f>BG39-'Apr-26'!BG39</f>
        <v>0.24</v>
      </c>
      <c r="BF39" s="182">
        <f t="shared" si="16"/>
        <v>8.5869993439109243E-5</v>
      </c>
      <c r="BG39" s="183">
        <f>-SUMIF('05.conso TB'!A:A,'May-26'!B39,'05.conso TB'!H:H)/10^5</f>
        <v>0.48</v>
      </c>
      <c r="BH39" s="184">
        <f t="shared" si="92"/>
        <v>1.021463666861429E-4</v>
      </c>
      <c r="BI39" s="180">
        <f>BK39-'Apr-26'!BK39</f>
        <v>0</v>
      </c>
      <c r="BJ39" s="182">
        <f t="shared" si="17"/>
        <v>0</v>
      </c>
      <c r="BK39" s="183">
        <f>-SUMIF('05.conso TB'!A:A,'May-26'!B39,'05.conso TB'!I:I)/10^5</f>
        <v>0</v>
      </c>
      <c r="BL39" s="184">
        <f t="shared" si="93"/>
        <v>0</v>
      </c>
      <c r="BM39" s="180">
        <f>BO39-'Apr-26'!BO39</f>
        <v>0</v>
      </c>
      <c r="BN39" s="182">
        <f t="shared" si="94"/>
        <v>0</v>
      </c>
      <c r="BO39" s="181">
        <f>-SUMIF('05.conso TB'!A:A,'May-26'!B39,'05.conso TB'!J:J)/10^5</f>
        <v>0</v>
      </c>
      <c r="BP39" s="182">
        <f t="shared" si="95"/>
        <v>0</v>
      </c>
      <c r="BQ39" s="192"/>
      <c r="BR39" s="180">
        <f>BT39-'Apr-26'!BT39</f>
        <v>0.24</v>
      </c>
      <c r="BS39" s="182">
        <f t="shared" si="18"/>
        <v>9.0754515065456938E-5</v>
      </c>
      <c r="BT39" s="183">
        <f t="shared" si="19"/>
        <v>0.48</v>
      </c>
      <c r="BU39" s="182">
        <f t="shared" si="20"/>
        <v>1.0695790255582856E-4</v>
      </c>
      <c r="BV39" s="191"/>
      <c r="BW39" s="180">
        <f>BY39-'Apr-26'!BY39</f>
        <v>0</v>
      </c>
      <c r="BX39" s="182">
        <f t="shared" si="21"/>
        <v>0</v>
      </c>
      <c r="BY39" s="183">
        <f>-SUMIF('05.conso TB'!A:A,'May-26'!B39,'05.conso TB'!L:L)/10^5</f>
        <v>0</v>
      </c>
      <c r="BZ39" s="182">
        <f t="shared" si="22"/>
        <v>0</v>
      </c>
      <c r="CA39" s="191"/>
      <c r="CB39" s="180">
        <f>CC39-'Apr-26'!CC39</f>
        <v>4.6899999999999995</v>
      </c>
      <c r="CC39" s="346">
        <v>7.38</v>
      </c>
      <c r="CD39" s="186"/>
      <c r="CE39" s="187">
        <f t="shared" si="96"/>
        <v>1.03013</v>
      </c>
      <c r="CF39" s="182">
        <f t="shared" si="23"/>
        <v>6.0935074764570503E-5</v>
      </c>
      <c r="CG39" s="187">
        <f t="shared" si="96"/>
        <v>4.0602599999999995</v>
      </c>
      <c r="CH39" s="182">
        <f t="shared" si="24"/>
        <v>3.3200531610454956E-4</v>
      </c>
    </row>
    <row r="40" spans="1:86" s="194" customFormat="1" x14ac:dyDescent="0.35">
      <c r="B40" s="274" t="s">
        <v>555</v>
      </c>
      <c r="C40" s="180">
        <f>E40-'Apr-26'!E40</f>
        <v>0</v>
      </c>
      <c r="D40" s="182">
        <f t="shared" si="81"/>
        <v>0</v>
      </c>
      <c r="E40" s="181">
        <f>-SUMIF('05.conso TB'!A:A,'May-26'!B40,'05.conso TB'!R:R)/10^5</f>
        <v>0</v>
      </c>
      <c r="F40" s="182">
        <f t="shared" si="1"/>
        <v>0</v>
      </c>
      <c r="G40" s="180">
        <f>I40-'Apr-26'!I40</f>
        <v>0</v>
      </c>
      <c r="H40" s="182">
        <f t="shared" si="2"/>
        <v>0</v>
      </c>
      <c r="I40" s="181">
        <f>-SUMIF('05.conso TB'!A:A,'May-26'!B40,'05.conso TB'!S:S)/10^5</f>
        <v>0</v>
      </c>
      <c r="J40" s="182">
        <f t="shared" si="3"/>
        <v>0</v>
      </c>
      <c r="K40" s="180">
        <f>M40-'Apr-26'!M40</f>
        <v>15.948949999999996</v>
      </c>
      <c r="L40" s="182">
        <f t="shared" si="82"/>
        <v>5.1052360699644196E-3</v>
      </c>
      <c r="M40" s="181">
        <f>-SUMIF('05.conso TB'!A:A,'May-26'!B40,'05.conso TB'!T:T)/10^5</f>
        <v>38.221159999999998</v>
      </c>
      <c r="N40" s="182">
        <f t="shared" si="83"/>
        <v>1.2234538616515902E-2</v>
      </c>
      <c r="O40" s="180">
        <f>Q40-'Apr-26'!Q40</f>
        <v>0</v>
      </c>
      <c r="P40" s="182">
        <f t="shared" si="4"/>
        <v>0</v>
      </c>
      <c r="Q40" s="181">
        <f>-SUMIF('05.conso TB'!A:A,'May-26'!B40,'05.conso TB'!U:U)/10^5</f>
        <v>0</v>
      </c>
      <c r="R40" s="182">
        <f t="shared" si="5"/>
        <v>0</v>
      </c>
      <c r="S40" s="180">
        <f>U40-'Apr-26'!U40</f>
        <v>0</v>
      </c>
      <c r="T40" s="182">
        <f t="shared" si="6"/>
        <v>0</v>
      </c>
      <c r="U40" s="183">
        <f>-SUMIF('05.conso TB'!A:A,'May-26'!B40,'05.conso TB'!V:V)/10^5</f>
        <v>0</v>
      </c>
      <c r="V40" s="182">
        <f t="shared" si="7"/>
        <v>0</v>
      </c>
      <c r="W40" s="180">
        <f>Y40-'Apr-26'!Y40</f>
        <v>0</v>
      </c>
      <c r="X40" s="182">
        <f t="shared" si="8"/>
        <v>0</v>
      </c>
      <c r="Y40" s="181">
        <f>-SUMIF('05.conso TB'!A:A,'May-26'!B40,'05.conso TB'!G:G)/10^5</f>
        <v>0</v>
      </c>
      <c r="Z40" s="182">
        <f t="shared" si="9"/>
        <v>0</v>
      </c>
      <c r="AA40" s="185"/>
      <c r="AB40" s="180">
        <f>AD40-'Apr-26'!AD40</f>
        <v>15.948949999999996</v>
      </c>
      <c r="AC40" s="182">
        <f t="shared" si="10"/>
        <v>1.7295596144334784E-3</v>
      </c>
      <c r="AD40" s="187">
        <f t="shared" si="84"/>
        <v>38.221159999999998</v>
      </c>
      <c r="AE40" s="182">
        <f t="shared" si="11"/>
        <v>2.6445208640083944E-3</v>
      </c>
      <c r="AF40" s="186"/>
      <c r="AG40" s="180">
        <f>AI40-'Apr-26'!AI40</f>
        <v>0</v>
      </c>
      <c r="AH40" s="182">
        <f t="shared" si="12"/>
        <v>0</v>
      </c>
      <c r="AI40" s="183">
        <f>-SUMIF('05.conso TB'!A:A,'May-26'!B40,'05.conso TB'!Q:Q)/10^5</f>
        <v>0</v>
      </c>
      <c r="AJ40" s="184">
        <f t="shared" si="85"/>
        <v>0</v>
      </c>
      <c r="AK40" s="186"/>
      <c r="AL40" s="180">
        <f>AN40-'Apr-26'!AN40</f>
        <v>0</v>
      </c>
      <c r="AM40" s="182">
        <f t="shared" si="13"/>
        <v>0</v>
      </c>
      <c r="AN40" s="181">
        <f>-SUMIF('05.conso TB'!A:A,'May-26'!B40,'05.conso TB'!W:W)/10^5</f>
        <v>0</v>
      </c>
      <c r="AO40" s="184">
        <f t="shared" si="86"/>
        <v>0</v>
      </c>
      <c r="AP40" s="545"/>
      <c r="AQ40" s="180">
        <f>AS40-'Apr-26'!AS40</f>
        <v>0</v>
      </c>
      <c r="AR40" s="182">
        <f t="shared" si="14"/>
        <v>0</v>
      </c>
      <c r="AS40" s="183">
        <f>-SUMIF('05.conso TB'!A:A,'May-26'!B40,'05.conso TB'!M:M)/10^5</f>
        <v>0</v>
      </c>
      <c r="AT40" s="184">
        <f t="shared" si="87"/>
        <v>0</v>
      </c>
      <c r="AU40" s="180">
        <f>AW40-'Apr-26'!AW40</f>
        <v>0</v>
      </c>
      <c r="AV40" s="182">
        <f t="shared" si="88"/>
        <v>0</v>
      </c>
      <c r="AW40" s="183">
        <f>-SUMIF('05.conso TB'!A:A,'May-26'!B40,'05.conso TB'!P:P)/10^5</f>
        <v>0</v>
      </c>
      <c r="AX40" s="184">
        <f t="shared" si="89"/>
        <v>0</v>
      </c>
      <c r="AY40" s="195"/>
      <c r="AZ40" s="180">
        <f>BB40-'Apr-26'!BB40</f>
        <v>0</v>
      </c>
      <c r="BA40" s="182">
        <f t="shared" si="15"/>
        <v>0</v>
      </c>
      <c r="BB40" s="190">
        <f t="shared" si="90"/>
        <v>0</v>
      </c>
      <c r="BC40" s="184">
        <f t="shared" si="91"/>
        <v>0</v>
      </c>
      <c r="BD40" s="191"/>
      <c r="BE40" s="180">
        <f>BG40-'Apr-26'!BG40</f>
        <v>0</v>
      </c>
      <c r="BF40" s="182">
        <f t="shared" si="16"/>
        <v>0</v>
      </c>
      <c r="BG40" s="183">
        <f>-SUMIF('05.conso TB'!A:A,'May-26'!B40,'05.conso TB'!H:H)/10^5</f>
        <v>0</v>
      </c>
      <c r="BH40" s="184">
        <f t="shared" si="92"/>
        <v>0</v>
      </c>
      <c r="BI40" s="180">
        <f>BK40-'Apr-26'!BK40</f>
        <v>0</v>
      </c>
      <c r="BJ40" s="182">
        <f t="shared" si="17"/>
        <v>0</v>
      </c>
      <c r="BK40" s="183">
        <f>-SUMIF('05.conso TB'!A:A,'May-26'!B40,'05.conso TB'!I:I)/10^5</f>
        <v>0</v>
      </c>
      <c r="BL40" s="184">
        <f t="shared" si="93"/>
        <v>0</v>
      </c>
      <c r="BM40" s="180">
        <f>BO40-'Apr-26'!BO40</f>
        <v>0</v>
      </c>
      <c r="BN40" s="182">
        <f t="shared" si="94"/>
        <v>0</v>
      </c>
      <c r="BO40" s="181">
        <f>-SUMIF('05.conso TB'!A:A,'May-26'!B40,'05.conso TB'!J:J)/10^5</f>
        <v>0</v>
      </c>
      <c r="BP40" s="182">
        <f t="shared" si="95"/>
        <v>0</v>
      </c>
      <c r="BQ40" s="192"/>
      <c r="BR40" s="180">
        <f>BT40-'Apr-26'!BT40</f>
        <v>0</v>
      </c>
      <c r="BS40" s="182">
        <f t="shared" si="18"/>
        <v>0</v>
      </c>
      <c r="BT40" s="183">
        <f t="shared" si="19"/>
        <v>0</v>
      </c>
      <c r="BU40" s="182">
        <f t="shared" si="20"/>
        <v>0</v>
      </c>
      <c r="BV40" s="191"/>
      <c r="BW40" s="180">
        <f>BY40-'Apr-26'!BY40</f>
        <v>7.59931</v>
      </c>
      <c r="BX40" s="182">
        <f t="shared" si="21"/>
        <v>1.6793029589750107E-2</v>
      </c>
      <c r="BY40" s="183">
        <f>-SUMIF('05.conso TB'!A:A,'May-26'!B40,'05.conso TB'!L:L)/10^5</f>
        <v>9.5095799999999997</v>
      </c>
      <c r="BZ40" s="182">
        <f t="shared" si="22"/>
        <v>4.4007828842247783E-3</v>
      </c>
      <c r="CA40" s="191"/>
      <c r="CB40" s="180">
        <f>CD40-'Apr-26'!CD40</f>
        <v>0</v>
      </c>
      <c r="CC40" s="346"/>
      <c r="CD40" s="186"/>
      <c r="CE40" s="187">
        <f t="shared" si="96"/>
        <v>23.548259999999996</v>
      </c>
      <c r="CF40" s="182">
        <f t="shared" si="23"/>
        <v>1.392945534714594E-3</v>
      </c>
      <c r="CG40" s="187">
        <f t="shared" si="96"/>
        <v>47.730739999999997</v>
      </c>
      <c r="CH40" s="182">
        <f t="shared" si="24"/>
        <v>3.9029174046992235E-3</v>
      </c>
    </row>
    <row r="41" spans="1:86" s="194" customFormat="1" x14ac:dyDescent="0.35">
      <c r="B41" s="197" t="s">
        <v>432</v>
      </c>
      <c r="C41" s="180">
        <f>E41-'Apr-26'!E41</f>
        <v>0</v>
      </c>
      <c r="D41" s="182">
        <f t="shared" si="81"/>
        <v>0</v>
      </c>
      <c r="E41" s="181">
        <f>-SUMIF('05.conso TB'!A:A,'May-26'!B41,'05.conso TB'!R:R)/10^5</f>
        <v>0</v>
      </c>
      <c r="F41" s="182">
        <f t="shared" si="1"/>
        <v>0</v>
      </c>
      <c r="G41" s="180">
        <f>I41-'Apr-26'!I41</f>
        <v>0</v>
      </c>
      <c r="H41" s="182">
        <f t="shared" si="2"/>
        <v>0</v>
      </c>
      <c r="I41" s="181">
        <f>-SUMIF('05.conso TB'!A:A,'May-26'!B41,'05.conso TB'!S:S)/10^5</f>
        <v>0</v>
      </c>
      <c r="J41" s="182">
        <f t="shared" si="3"/>
        <v>0</v>
      </c>
      <c r="K41" s="180">
        <f>M41-'Apr-26'!M41</f>
        <v>0</v>
      </c>
      <c r="L41" s="182">
        <f t="shared" si="82"/>
        <v>0</v>
      </c>
      <c r="M41" s="181">
        <f>-SUMIF('05.conso TB'!A:A,'May-26'!B41,'05.conso TB'!T:T)/10^5</f>
        <v>0</v>
      </c>
      <c r="N41" s="182">
        <f t="shared" si="83"/>
        <v>0</v>
      </c>
      <c r="O41" s="180">
        <f>Q41-'Apr-26'!Q41</f>
        <v>0</v>
      </c>
      <c r="P41" s="182">
        <f t="shared" si="4"/>
        <v>0</v>
      </c>
      <c r="Q41" s="181">
        <f>-SUMIF('05.conso TB'!A:A,'May-26'!B41,'05.conso TB'!U:U)/10^5</f>
        <v>0</v>
      </c>
      <c r="R41" s="182">
        <f t="shared" si="5"/>
        <v>0</v>
      </c>
      <c r="S41" s="180">
        <f>U41-'Apr-26'!U41</f>
        <v>0</v>
      </c>
      <c r="T41" s="182">
        <f t="shared" si="6"/>
        <v>0</v>
      </c>
      <c r="U41" s="183">
        <f>-SUMIF('05.conso TB'!A:A,'May-26'!B41,'05.conso TB'!V:V)/10^5</f>
        <v>0</v>
      </c>
      <c r="V41" s="182">
        <f t="shared" si="7"/>
        <v>0</v>
      </c>
      <c r="W41" s="180">
        <f>Y41-'Apr-26'!Y41</f>
        <v>0</v>
      </c>
      <c r="X41" s="182">
        <f t="shared" si="8"/>
        <v>0</v>
      </c>
      <c r="Y41" s="181">
        <f>-SUMIF('05.conso TB'!A:A,'May-26'!B41,'05.conso TB'!G:G)/10^5</f>
        <v>0</v>
      </c>
      <c r="Z41" s="182">
        <f t="shared" si="9"/>
        <v>0</v>
      </c>
      <c r="AA41" s="185"/>
      <c r="AB41" s="180">
        <f>AD41-'Apr-26'!AD41</f>
        <v>0</v>
      </c>
      <c r="AC41" s="182">
        <f t="shared" si="10"/>
        <v>0</v>
      </c>
      <c r="AD41" s="187">
        <f t="shared" si="84"/>
        <v>0</v>
      </c>
      <c r="AE41" s="182">
        <f t="shared" si="11"/>
        <v>0</v>
      </c>
      <c r="AF41" s="186"/>
      <c r="AG41" s="180">
        <f>AI41-'Apr-26'!AI41</f>
        <v>0</v>
      </c>
      <c r="AH41" s="182">
        <f t="shared" si="12"/>
        <v>0</v>
      </c>
      <c r="AI41" s="183">
        <f>-SUMIF('05.conso TB'!A:A,'May-26'!B41,'05.conso TB'!Q:Q)/10^5</f>
        <v>0</v>
      </c>
      <c r="AJ41" s="184">
        <f t="shared" si="85"/>
        <v>0</v>
      </c>
      <c r="AK41" s="186"/>
      <c r="AL41" s="180">
        <f>AN41-'Apr-26'!AN41</f>
        <v>0</v>
      </c>
      <c r="AM41" s="182">
        <f t="shared" si="13"/>
        <v>0</v>
      </c>
      <c r="AN41" s="181">
        <f>-SUMIF('05.conso TB'!A:A,'May-26'!B41,'05.conso TB'!W:W)/10^5</f>
        <v>0</v>
      </c>
      <c r="AO41" s="184">
        <f t="shared" si="86"/>
        <v>0</v>
      </c>
      <c r="AP41" s="545"/>
      <c r="AQ41" s="180">
        <f>AS41-'Apr-26'!AS41</f>
        <v>0</v>
      </c>
      <c r="AR41" s="182">
        <f t="shared" si="14"/>
        <v>0</v>
      </c>
      <c r="AS41" s="183">
        <f>-SUMIF('05.conso TB'!A:A,'May-26'!B41,'05.conso TB'!M:M)/10^5</f>
        <v>0</v>
      </c>
      <c r="AT41" s="184">
        <f t="shared" si="87"/>
        <v>0</v>
      </c>
      <c r="AU41" s="180">
        <f>AW41-'Apr-26'!AW41</f>
        <v>0</v>
      </c>
      <c r="AV41" s="182">
        <f t="shared" si="88"/>
        <v>0</v>
      </c>
      <c r="AW41" s="183">
        <f>-SUMIF('05.conso TB'!A:A,'May-26'!B41,'05.conso TB'!P:P)/10^5</f>
        <v>0</v>
      </c>
      <c r="AX41" s="184">
        <f t="shared" si="89"/>
        <v>0</v>
      </c>
      <c r="AY41" s="195"/>
      <c r="AZ41" s="180">
        <f>BB41-'Apr-26'!BB41</f>
        <v>0</v>
      </c>
      <c r="BA41" s="182">
        <f t="shared" si="15"/>
        <v>0</v>
      </c>
      <c r="BB41" s="190">
        <f t="shared" si="90"/>
        <v>0</v>
      </c>
      <c r="BC41" s="184">
        <f t="shared" si="91"/>
        <v>0</v>
      </c>
      <c r="BD41" s="191"/>
      <c r="BE41" s="180">
        <f>BG41-'Apr-26'!BG41</f>
        <v>0</v>
      </c>
      <c r="BF41" s="182">
        <f t="shared" si="16"/>
        <v>0</v>
      </c>
      <c r="BG41" s="183">
        <f>-SUMIF('05.conso TB'!A:A,'May-26'!B41,'05.conso TB'!H:H)/10^5</f>
        <v>0</v>
      </c>
      <c r="BH41" s="184">
        <f t="shared" si="92"/>
        <v>0</v>
      </c>
      <c r="BI41" s="180">
        <f>BK41-'Apr-26'!BK41</f>
        <v>0</v>
      </c>
      <c r="BJ41" s="182">
        <f t="shared" si="17"/>
        <v>0</v>
      </c>
      <c r="BK41" s="183">
        <f>-SUMIF('05.conso TB'!A:A,'May-26'!B41,'05.conso TB'!I:I)/10^5</f>
        <v>0</v>
      </c>
      <c r="BL41" s="184">
        <f t="shared" si="93"/>
        <v>0</v>
      </c>
      <c r="BM41" s="180">
        <f>BO41-'Apr-26'!BO41</f>
        <v>0</v>
      </c>
      <c r="BN41" s="182">
        <f t="shared" si="94"/>
        <v>0</v>
      </c>
      <c r="BO41" s="181">
        <f>-SUMIF('05.conso TB'!A:A,'May-26'!B41,'05.conso TB'!J:J)/10^5</f>
        <v>0</v>
      </c>
      <c r="BP41" s="182">
        <f t="shared" si="95"/>
        <v>0</v>
      </c>
      <c r="BQ41" s="192"/>
      <c r="BR41" s="180">
        <f>BT41-'Apr-26'!BT41</f>
        <v>0</v>
      </c>
      <c r="BS41" s="182">
        <f t="shared" si="18"/>
        <v>0</v>
      </c>
      <c r="BT41" s="183">
        <f t="shared" si="19"/>
        <v>0</v>
      </c>
      <c r="BU41" s="182">
        <f t="shared" si="20"/>
        <v>0</v>
      </c>
      <c r="BV41" s="191"/>
      <c r="BW41" s="180">
        <f>BY41-'Apr-26'!BY41</f>
        <v>0</v>
      </c>
      <c r="BX41" s="182">
        <f t="shared" si="21"/>
        <v>0</v>
      </c>
      <c r="BY41" s="183">
        <f>-SUMIF('05.conso TB'!A:A,'May-26'!B41,'05.conso TB'!L:L)/10^5</f>
        <v>0</v>
      </c>
      <c r="BZ41" s="182">
        <f t="shared" si="22"/>
        <v>0</v>
      </c>
      <c r="CA41" s="191"/>
      <c r="CB41" s="180">
        <f>CD41-'Apr-26'!CD41</f>
        <v>0</v>
      </c>
      <c r="CC41" s="346"/>
      <c r="CD41" s="186"/>
      <c r="CE41" s="187">
        <f t="shared" si="96"/>
        <v>0</v>
      </c>
      <c r="CF41" s="182">
        <f t="shared" si="23"/>
        <v>0</v>
      </c>
      <c r="CG41" s="187">
        <f t="shared" si="96"/>
        <v>0</v>
      </c>
      <c r="CH41" s="182">
        <f t="shared" si="24"/>
        <v>0</v>
      </c>
    </row>
    <row r="42" spans="1:86" s="194" customFormat="1" x14ac:dyDescent="0.35">
      <c r="B42" s="197" t="s">
        <v>470</v>
      </c>
      <c r="C42" s="180">
        <f>E42-'Apr-26'!E42</f>
        <v>0</v>
      </c>
      <c r="D42" s="182">
        <f t="shared" si="81"/>
        <v>0</v>
      </c>
      <c r="E42" s="181">
        <f>-SUMIF('05.conso TB'!A:A,'May-26'!B42,'05.conso TB'!R:R)/10^5</f>
        <v>0</v>
      </c>
      <c r="F42" s="182">
        <f t="shared" si="1"/>
        <v>0</v>
      </c>
      <c r="G42" s="180">
        <f>I42-'Apr-26'!I42</f>
        <v>0</v>
      </c>
      <c r="H42" s="182">
        <f t="shared" si="2"/>
        <v>0</v>
      </c>
      <c r="I42" s="181">
        <f>-SUMIF('05.conso TB'!A:A,'May-26'!B42,'05.conso TB'!S:S)/10^5</f>
        <v>0</v>
      </c>
      <c r="J42" s="182">
        <f t="shared" si="3"/>
        <v>0</v>
      </c>
      <c r="K42" s="180">
        <f>M42-'Apr-26'!M42</f>
        <v>0</v>
      </c>
      <c r="L42" s="182">
        <f t="shared" si="82"/>
        <v>0</v>
      </c>
      <c r="M42" s="181">
        <f>-SUMIF('05.conso TB'!A:A,'May-26'!B42,'05.conso TB'!T:T)/10^5</f>
        <v>0</v>
      </c>
      <c r="N42" s="182">
        <f t="shared" si="83"/>
        <v>0</v>
      </c>
      <c r="O42" s="180">
        <f>Q42-'Apr-26'!Q42</f>
        <v>0</v>
      </c>
      <c r="P42" s="182">
        <f t="shared" si="4"/>
        <v>0</v>
      </c>
      <c r="Q42" s="181">
        <f>-SUMIF('05.conso TB'!A:A,'May-26'!B42,'05.conso TB'!U:U)/10^5</f>
        <v>0</v>
      </c>
      <c r="R42" s="182">
        <f t="shared" si="5"/>
        <v>0</v>
      </c>
      <c r="S42" s="180">
        <f>U42-'Apr-26'!U42</f>
        <v>0</v>
      </c>
      <c r="T42" s="182">
        <f t="shared" si="6"/>
        <v>0</v>
      </c>
      <c r="U42" s="183">
        <f>-SUMIF('05.conso TB'!A:A,'May-26'!B42,'05.conso TB'!V:V)/10^5</f>
        <v>0</v>
      </c>
      <c r="V42" s="182">
        <f t="shared" si="7"/>
        <v>0</v>
      </c>
      <c r="W42" s="180">
        <f>Y42-'Apr-26'!Y42</f>
        <v>0</v>
      </c>
      <c r="X42" s="182">
        <f t="shared" si="8"/>
        <v>0</v>
      </c>
      <c r="Y42" s="181">
        <f>-SUMIF('05.conso TB'!A:A,'May-26'!B42,'05.conso TB'!G:G)/10^5</f>
        <v>0</v>
      </c>
      <c r="Z42" s="182">
        <f t="shared" si="9"/>
        <v>0</v>
      </c>
      <c r="AA42" s="185"/>
      <c r="AB42" s="180">
        <f>AD42-'Apr-26'!AD42</f>
        <v>0</v>
      </c>
      <c r="AC42" s="182">
        <f t="shared" si="10"/>
        <v>0</v>
      </c>
      <c r="AD42" s="187">
        <f t="shared" si="84"/>
        <v>0</v>
      </c>
      <c r="AE42" s="182">
        <f t="shared" si="11"/>
        <v>0</v>
      </c>
      <c r="AF42" s="186"/>
      <c r="AG42" s="180">
        <f>AI42-'Apr-26'!AI42</f>
        <v>0</v>
      </c>
      <c r="AH42" s="182">
        <f t="shared" si="12"/>
        <v>0</v>
      </c>
      <c r="AI42" s="183">
        <f>-SUMIF('05.conso TB'!A:A,'May-26'!B42,'05.conso TB'!Q:Q)/10^5</f>
        <v>0</v>
      </c>
      <c r="AJ42" s="184">
        <f t="shared" si="85"/>
        <v>0</v>
      </c>
      <c r="AK42" s="186"/>
      <c r="AL42" s="180">
        <f>AN42-'Apr-26'!AN42</f>
        <v>0</v>
      </c>
      <c r="AM42" s="182">
        <f t="shared" si="13"/>
        <v>0</v>
      </c>
      <c r="AN42" s="181">
        <f>-SUMIF('05.conso TB'!A:A,'May-26'!B42,'05.conso TB'!W:W)/10^5</f>
        <v>0</v>
      </c>
      <c r="AO42" s="184">
        <f t="shared" si="86"/>
        <v>0</v>
      </c>
      <c r="AP42" s="545"/>
      <c r="AQ42" s="180">
        <f>AS42-'Apr-26'!AS42</f>
        <v>0</v>
      </c>
      <c r="AR42" s="182">
        <f t="shared" si="14"/>
        <v>0</v>
      </c>
      <c r="AS42" s="183">
        <f>-SUMIF('05.conso TB'!A:A,'May-26'!B42,'05.conso TB'!M:M)/10^5</f>
        <v>0</v>
      </c>
      <c r="AT42" s="184">
        <f t="shared" si="87"/>
        <v>0</v>
      </c>
      <c r="AU42" s="180">
        <f>AW42-'Apr-26'!AW42</f>
        <v>0</v>
      </c>
      <c r="AV42" s="182">
        <f t="shared" si="88"/>
        <v>0</v>
      </c>
      <c r="AW42" s="183">
        <f>-SUMIF('05.conso TB'!A:A,'May-26'!B42,'05.conso TB'!P:P)/10^5</f>
        <v>0</v>
      </c>
      <c r="AX42" s="184">
        <f t="shared" si="89"/>
        <v>0</v>
      </c>
      <c r="AY42" s="195"/>
      <c r="AZ42" s="180">
        <f>BB42-'Apr-26'!BB42</f>
        <v>0</v>
      </c>
      <c r="BA42" s="182">
        <f t="shared" si="15"/>
        <v>0</v>
      </c>
      <c r="BB42" s="190">
        <f t="shared" si="90"/>
        <v>0</v>
      </c>
      <c r="BC42" s="184">
        <f t="shared" si="91"/>
        <v>0</v>
      </c>
      <c r="BD42" s="191"/>
      <c r="BE42" s="180">
        <f>BG42-'Apr-26'!BG42</f>
        <v>0</v>
      </c>
      <c r="BF42" s="182">
        <f t="shared" si="16"/>
        <v>0</v>
      </c>
      <c r="BG42" s="183">
        <f>-SUMIF('05.conso TB'!A:A,'May-26'!B42,'05.conso TB'!H:H)/10^5</f>
        <v>0</v>
      </c>
      <c r="BH42" s="184">
        <f t="shared" si="92"/>
        <v>0</v>
      </c>
      <c r="BI42" s="180">
        <f>BK42-'Apr-26'!BK42</f>
        <v>0</v>
      </c>
      <c r="BJ42" s="182">
        <f t="shared" si="17"/>
        <v>0</v>
      </c>
      <c r="BK42" s="183">
        <f>-SUMIF('05.conso TB'!A:A,'May-26'!B42,'05.conso TB'!I:I)/10^5</f>
        <v>0</v>
      </c>
      <c r="BL42" s="184">
        <f t="shared" si="93"/>
        <v>0</v>
      </c>
      <c r="BM42" s="180">
        <f>BO42-'Apr-26'!BO42</f>
        <v>0</v>
      </c>
      <c r="BN42" s="182">
        <f t="shared" si="94"/>
        <v>0</v>
      </c>
      <c r="BO42" s="181">
        <f>-SUMIF('05.conso TB'!A:A,'May-26'!B42,'05.conso TB'!J:J)/10^5</f>
        <v>0</v>
      </c>
      <c r="BP42" s="182">
        <f t="shared" si="95"/>
        <v>0</v>
      </c>
      <c r="BQ42" s="192"/>
      <c r="BR42" s="180">
        <f>BT42-'Apr-26'!BT42</f>
        <v>0</v>
      </c>
      <c r="BS42" s="182">
        <f t="shared" si="18"/>
        <v>0</v>
      </c>
      <c r="BT42" s="183">
        <f t="shared" si="19"/>
        <v>0</v>
      </c>
      <c r="BU42" s="182">
        <f t="shared" si="20"/>
        <v>0</v>
      </c>
      <c r="BV42" s="191"/>
      <c r="BW42" s="180">
        <f>BY42-'Apr-26'!BY42</f>
        <v>0</v>
      </c>
      <c r="BX42" s="182">
        <f t="shared" si="21"/>
        <v>0</v>
      </c>
      <c r="BY42" s="183">
        <f>-SUMIF('05.conso TB'!A:A,'May-26'!B42,'05.conso TB'!L:L)/10^5</f>
        <v>0</v>
      </c>
      <c r="BZ42" s="182">
        <f t="shared" si="22"/>
        <v>0</v>
      </c>
      <c r="CA42" s="191"/>
      <c r="CB42" s="180">
        <f>CD42-'Apr-26'!CD42</f>
        <v>0</v>
      </c>
      <c r="CC42" s="346"/>
      <c r="CD42" s="186"/>
      <c r="CE42" s="187">
        <f t="shared" si="96"/>
        <v>0</v>
      </c>
      <c r="CF42" s="182">
        <f t="shared" si="23"/>
        <v>0</v>
      </c>
      <c r="CG42" s="187">
        <f t="shared" si="96"/>
        <v>0</v>
      </c>
      <c r="CH42" s="182">
        <f t="shared" si="24"/>
        <v>0</v>
      </c>
    </row>
    <row r="43" spans="1:86" s="194" customFormat="1" x14ac:dyDescent="0.35">
      <c r="B43" s="197" t="s">
        <v>445</v>
      </c>
      <c r="C43" s="180">
        <f>E43-'Apr-26'!E43</f>
        <v>5.83621E-2</v>
      </c>
      <c r="D43" s="182">
        <f t="shared" si="81"/>
        <v>1.8681624686193794E-5</v>
      </c>
      <c r="E43" s="181">
        <f>-SUMIF('05.conso TB'!A:A,'May-26'!B43,'05.conso TB'!R:R)/10^5</f>
        <v>5.2944100000000001E-2</v>
      </c>
      <c r="F43" s="182">
        <f t="shared" si="1"/>
        <v>8.1942247127533063E-6</v>
      </c>
      <c r="G43" s="180">
        <f>I43-'Apr-26'!I43</f>
        <v>3.15368</v>
      </c>
      <c r="H43" s="182">
        <f t="shared" si="2"/>
        <v>2.3743886889020884E-3</v>
      </c>
      <c r="I43" s="181">
        <f>-SUMIF('05.conso TB'!A:A,'May-26'!B43,'05.conso TB'!S:S)/10^5</f>
        <v>3.15368</v>
      </c>
      <c r="J43" s="182">
        <f t="shared" si="3"/>
        <v>1.2566692766897126E-3</v>
      </c>
      <c r="K43" s="180">
        <f>M43-'Apr-26'!M43</f>
        <v>0</v>
      </c>
      <c r="L43" s="182">
        <f t="shared" si="82"/>
        <v>0</v>
      </c>
      <c r="M43" s="181">
        <f>-SUMIF('05.conso TB'!A:A,'May-26'!B43,'05.conso TB'!T:T)/10^5</f>
        <v>0</v>
      </c>
      <c r="N43" s="182">
        <f t="shared" si="83"/>
        <v>0</v>
      </c>
      <c r="O43" s="180">
        <f>Q43-'Apr-26'!Q43</f>
        <v>0</v>
      </c>
      <c r="P43" s="182">
        <f t="shared" si="4"/>
        <v>0</v>
      </c>
      <c r="Q43" s="181">
        <f>-SUMIF('05.conso TB'!A:A,'May-26'!B43,'05.conso TB'!U:U)/10^5</f>
        <v>0</v>
      </c>
      <c r="R43" s="182">
        <f t="shared" si="5"/>
        <v>0</v>
      </c>
      <c r="S43" s="180">
        <f>U43-'Apr-26'!U43</f>
        <v>-2.043E-2</v>
      </c>
      <c r="T43" s="182">
        <f t="shared" si="6"/>
        <v>0.86999846696305394</v>
      </c>
      <c r="U43" s="183">
        <f>-SUMIF('05.conso TB'!A:A,'May-26'!B43,'05.conso TB'!V:V)/10^5</f>
        <v>-2.043E-2</v>
      </c>
      <c r="V43" s="182">
        <f t="shared" si="7"/>
        <v>-4.1914084399012776E-4</v>
      </c>
      <c r="W43" s="180">
        <f>Y43-'Apr-26'!Y43</f>
        <v>-45.001240000000003</v>
      </c>
      <c r="X43" s="182">
        <f t="shared" si="8"/>
        <v>-1.2099877614965627E-2</v>
      </c>
      <c r="Y43" s="181">
        <f>-SUMIF('05.conso TB'!A:A,'May-26'!B43,'05.conso TB'!G:G)/10^5</f>
        <v>-45.001240000000003</v>
      </c>
      <c r="Z43" s="182">
        <f t="shared" si="9"/>
        <v>-1.1862365454352162E-2</v>
      </c>
      <c r="AA43" s="185"/>
      <c r="AB43" s="180">
        <f>AD43-'Apr-26'!AD43</f>
        <v>-41.809627900000002</v>
      </c>
      <c r="AC43" s="182">
        <f t="shared" si="10"/>
        <v>-4.5339814790523025E-3</v>
      </c>
      <c r="AD43" s="187">
        <f t="shared" si="84"/>
        <v>-41.815045900000001</v>
      </c>
      <c r="AE43" s="182">
        <f t="shared" si="11"/>
        <v>-2.8931817169342501E-3</v>
      </c>
      <c r="AF43" s="186"/>
      <c r="AG43" s="180">
        <f>AI43-'Apr-26'!AI43</f>
        <v>0</v>
      </c>
      <c r="AH43" s="182">
        <f t="shared" si="12"/>
        <v>0</v>
      </c>
      <c r="AI43" s="183">
        <f>-SUMIF('05.conso TB'!A:A,'May-26'!B43,'05.conso TB'!Q:Q)/10^5</f>
        <v>0</v>
      </c>
      <c r="AJ43" s="184">
        <f t="shared" si="85"/>
        <v>0</v>
      </c>
      <c r="AK43" s="186"/>
      <c r="AL43" s="180">
        <f>AN43-'Apr-26'!AN43</f>
        <v>0</v>
      </c>
      <c r="AM43" s="182">
        <f t="shared" si="13"/>
        <v>0</v>
      </c>
      <c r="AN43" s="181">
        <f>-SUMIF('05.conso TB'!A:A,'May-26'!B43,'05.conso TB'!W:W)/10^5</f>
        <v>0</v>
      </c>
      <c r="AO43" s="184">
        <f t="shared" si="86"/>
        <v>0</v>
      </c>
      <c r="AP43" s="545"/>
      <c r="AQ43" s="180">
        <f>AS43-'Apr-26'!AS43</f>
        <v>0</v>
      </c>
      <c r="AR43" s="182">
        <f t="shared" si="14"/>
        <v>0</v>
      </c>
      <c r="AS43" s="183">
        <f>-SUMIF('05.conso TB'!A:A,'May-26'!B43,'05.conso TB'!M:M)/10^5</f>
        <v>0</v>
      </c>
      <c r="AT43" s="184">
        <f t="shared" si="87"/>
        <v>0</v>
      </c>
      <c r="AU43" s="180">
        <f>AW43-'Apr-26'!AW43</f>
        <v>0</v>
      </c>
      <c r="AV43" s="182">
        <f t="shared" si="88"/>
        <v>0</v>
      </c>
      <c r="AW43" s="183">
        <f>-SUMIF('05.conso TB'!A:A,'May-26'!B43,'05.conso TB'!P:P)/10^5</f>
        <v>0</v>
      </c>
      <c r="AX43" s="184">
        <f t="shared" si="89"/>
        <v>0</v>
      </c>
      <c r="AY43" s="195"/>
      <c r="AZ43" s="180">
        <f>BB43-'Apr-26'!BB43</f>
        <v>0</v>
      </c>
      <c r="BA43" s="182">
        <f t="shared" si="15"/>
        <v>0</v>
      </c>
      <c r="BB43" s="190">
        <f t="shared" si="90"/>
        <v>0</v>
      </c>
      <c r="BC43" s="184">
        <f t="shared" si="91"/>
        <v>0</v>
      </c>
      <c r="BD43" s="191"/>
      <c r="BE43" s="180">
        <f>BG43-'Apr-26'!BG43</f>
        <v>5.6329999999999991E-3</v>
      </c>
      <c r="BF43" s="182">
        <f t="shared" si="16"/>
        <v>2.0154403043437597E-6</v>
      </c>
      <c r="BG43" s="183">
        <f>-SUMIF('05.conso TB'!A:A,'May-26'!B43,'05.conso TB'!H:H)/10^5</f>
        <v>5.6329999999999991E-3</v>
      </c>
      <c r="BH43" s="184">
        <f t="shared" si="92"/>
        <v>1.1987301740480061E-6</v>
      </c>
      <c r="BI43" s="180">
        <f>BK43-'Apr-26'!BK43</f>
        <v>0</v>
      </c>
      <c r="BJ43" s="182">
        <f t="shared" si="17"/>
        <v>0</v>
      </c>
      <c r="BK43" s="183">
        <f>-SUMIF('05.conso TB'!A:A,'May-26'!B43,'05.conso TB'!I:I)/10^5</f>
        <v>0</v>
      </c>
      <c r="BL43" s="184">
        <f t="shared" si="93"/>
        <v>0</v>
      </c>
      <c r="BM43" s="180">
        <f>BO43-'Apr-26'!BO43</f>
        <v>0</v>
      </c>
      <c r="BN43" s="182">
        <f t="shared" si="94"/>
        <v>0</v>
      </c>
      <c r="BO43" s="181">
        <f>-SUMIF('05.conso TB'!A:A,'May-26'!B43,'05.conso TB'!J:J)/10^5</f>
        <v>7.6170000000000002E-2</v>
      </c>
      <c r="BP43" s="182">
        <f t="shared" si="95"/>
        <v>2.4381907990757379E-5</v>
      </c>
      <c r="BQ43" s="192"/>
      <c r="BR43" s="180">
        <f>BT43-'Apr-26'!BT43</f>
        <v>5.6329999999999991E-3</v>
      </c>
      <c r="BS43" s="182">
        <f t="shared" si="18"/>
        <v>2.1300840973488289E-6</v>
      </c>
      <c r="BT43" s="183">
        <f t="shared" si="19"/>
        <v>8.1803000000000001E-2</v>
      </c>
      <c r="BU43" s="182">
        <f t="shared" si="20"/>
        <v>1.8228077714113426E-5</v>
      </c>
      <c r="BV43" s="191"/>
      <c r="BW43" s="180">
        <f>BY43-'Apr-26'!BY43</f>
        <v>0</v>
      </c>
      <c r="BX43" s="182">
        <f t="shared" si="21"/>
        <v>0</v>
      </c>
      <c r="BY43" s="183">
        <f>-SUMIF('05.conso TB'!A:A,'May-26'!B43,'05.conso TB'!L:L)/10^5</f>
        <v>0</v>
      </c>
      <c r="BZ43" s="182">
        <f t="shared" si="22"/>
        <v>0</v>
      </c>
      <c r="CA43" s="191"/>
      <c r="CB43" s="180">
        <f>CD43-'Apr-26'!CD43</f>
        <v>0</v>
      </c>
      <c r="CC43" s="346"/>
      <c r="CD43" s="186"/>
      <c r="CE43" s="187">
        <f t="shared" si="96"/>
        <v>-41.803994899999999</v>
      </c>
      <c r="CF43" s="182">
        <f t="shared" si="23"/>
        <v>-2.4728233860670246E-3</v>
      </c>
      <c r="CG43" s="187">
        <f t="shared" si="96"/>
        <v>-41.7332429</v>
      </c>
      <c r="CH43" s="182">
        <f t="shared" si="24"/>
        <v>-3.4125052339215836E-3</v>
      </c>
    </row>
    <row r="44" spans="1:86" s="194" customFormat="1" x14ac:dyDescent="0.35">
      <c r="B44" s="197" t="s">
        <v>442</v>
      </c>
      <c r="C44" s="180">
        <f>E44-'Apr-26'!E44</f>
        <v>0.59489530000000002</v>
      </c>
      <c r="D44" s="182">
        <f t="shared" si="81"/>
        <v>1.9042513415693855E-4</v>
      </c>
      <c r="E44" s="181">
        <f>-SUMIF('05.conso TB'!A:A,'May-26'!B44,'05.conso TB'!R:R)/10^5</f>
        <v>0.59484429999999999</v>
      </c>
      <c r="F44" s="182">
        <f t="shared" si="1"/>
        <v>9.2064797839616535E-5</v>
      </c>
      <c r="G44" s="180">
        <f>I44-'Apr-26'!I44</f>
        <v>-5.8900000000000002E-5</v>
      </c>
      <c r="H44" s="182">
        <f t="shared" si="2"/>
        <v>-4.4345492813580647E-8</v>
      </c>
      <c r="I44" s="181">
        <f>-SUMIF('05.conso TB'!A:A,'May-26'!B44,'05.conso TB'!S:S)/10^5</f>
        <v>-4.6300000000000001E-5</v>
      </c>
      <c r="J44" s="182">
        <f t="shared" si="3"/>
        <v>-1.8449489964338073E-8</v>
      </c>
      <c r="K44" s="180">
        <f>M44-'Apr-26'!M44</f>
        <v>-9.214999999999999E-4</v>
      </c>
      <c r="L44" s="182">
        <f t="shared" si="82"/>
        <v>-2.9497083121285181E-7</v>
      </c>
      <c r="M44" s="181">
        <f>-SUMIF('05.conso TB'!A:A,'May-26'!B44,'05.conso TB'!T:T)/10^5</f>
        <v>-9.2209999999999992E-4</v>
      </c>
      <c r="N44" s="182">
        <f t="shared" si="83"/>
        <v>-2.9516289035417328E-7</v>
      </c>
      <c r="O44" s="180">
        <f>Q44-'Apr-26'!Q44</f>
        <v>2.7799999999999998E-5</v>
      </c>
      <c r="P44" s="182">
        <f t="shared" si="4"/>
        <v>2.2382280217854156E-8</v>
      </c>
      <c r="Q44" s="181">
        <f>-SUMIF('05.conso TB'!A:A,'May-26'!B44,'05.conso TB'!U:U)/10^5</f>
        <v>1.8099999999999999E-5</v>
      </c>
      <c r="R44" s="182">
        <f t="shared" si="5"/>
        <v>8.3071560743917055E-9</v>
      </c>
      <c r="S44" s="180">
        <f>U44-'Apr-26'!U44</f>
        <v>-3.0527999999999996E-3</v>
      </c>
      <c r="T44" s="182">
        <f t="shared" si="6"/>
        <v>0.13000153303694617</v>
      </c>
      <c r="U44" s="183">
        <f>-SUMIF('05.conso TB'!A:A,'May-26'!B44,'05.conso TB'!V:V)/10^5</f>
        <v>-2.0669999999999998E-3</v>
      </c>
      <c r="V44" s="182">
        <f t="shared" si="7"/>
        <v>-4.2406467181967401E-5</v>
      </c>
      <c r="W44" s="180">
        <f>Y44-'Apr-26'!Y44</f>
        <v>9.9999999999999974E-7</v>
      </c>
      <c r="X44" s="182">
        <f t="shared" si="8"/>
        <v>2.6887876011784616E-10</v>
      </c>
      <c r="Y44" s="181">
        <f>-SUMIF('05.conso TB'!A:A,'May-26'!B44,'05.conso TB'!G:G)/10^5</f>
        <v>5.7999999999999995E-6</v>
      </c>
      <c r="Z44" s="182">
        <f t="shared" si="9"/>
        <v>1.5288849737305577E-9</v>
      </c>
      <c r="AA44" s="185"/>
      <c r="AB44" s="180">
        <f>AD44-'Apr-26'!AD44</f>
        <v>0.59089089999999977</v>
      </c>
      <c r="AC44" s="182">
        <f t="shared" si="10"/>
        <v>6.4078264536301819E-5</v>
      </c>
      <c r="AD44" s="187">
        <f t="shared" si="84"/>
        <v>0.59183279999999983</v>
      </c>
      <c r="AE44" s="182">
        <f t="shared" si="11"/>
        <v>4.0948892906560317E-5</v>
      </c>
      <c r="AF44" s="186"/>
      <c r="AG44" s="180">
        <f>AI44-'Apr-26'!AI44</f>
        <v>5.6000000000000006E-6</v>
      </c>
      <c r="AH44" s="182">
        <f t="shared" si="12"/>
        <v>1.5237722510868256E-8</v>
      </c>
      <c r="AI44" s="183">
        <f>-SUMIF('05.conso TB'!A:A,'May-26'!B44,'05.conso TB'!Q:Q)/10^5</f>
        <v>1.36E-5</v>
      </c>
      <c r="AJ44" s="184">
        <f t="shared" si="85"/>
        <v>1.8428117551003233E-8</v>
      </c>
      <c r="AK44" s="186"/>
      <c r="AL44" s="180">
        <f>AN44-'Apr-26'!AN44</f>
        <v>-3.6799999999999993E-5</v>
      </c>
      <c r="AM44" s="182">
        <f t="shared" si="13"/>
        <v>-3.1074837403495112E-8</v>
      </c>
      <c r="AN44" s="181">
        <f>-SUMIF('05.conso TB'!A:A,'May-26'!B44,'05.conso TB'!W:W)/10^5</f>
        <v>-8.6099999999999992E-5</v>
      </c>
      <c r="AO44" s="184">
        <f t="shared" si="86"/>
        <v>-3.7074545424974591E-8</v>
      </c>
      <c r="AP44" s="545"/>
      <c r="AQ44" s="180">
        <f>AS44-'Apr-26'!AS44</f>
        <v>-9.3300000000000018E-5</v>
      </c>
      <c r="AR44" s="182">
        <f t="shared" si="14"/>
        <v>-4.576160803152348E-8</v>
      </c>
      <c r="AS44" s="183">
        <f>-SUMIF('05.conso TB'!A:A,'May-26'!B44,'05.conso TB'!M:M)/10^5</f>
        <v>-1.7810000000000002E-4</v>
      </c>
      <c r="AT44" s="184">
        <f t="shared" si="87"/>
        <v>-4.6014257161817237E-8</v>
      </c>
      <c r="AU44" s="180">
        <f>AW44-'Apr-26'!AW44</f>
        <v>8.4030000000000007E-3</v>
      </c>
      <c r="AV44" s="182">
        <f t="shared" si="88"/>
        <v>2.6897882742068303E-6</v>
      </c>
      <c r="AW44" s="183">
        <f>-SUMIF('05.conso TB'!A:A,'May-26'!B44,'05.conso TB'!P:P)/10^5</f>
        <v>8.4132000000000009E-3</v>
      </c>
      <c r="AX44" s="184">
        <f t="shared" si="89"/>
        <v>4.5544884091794998E-6</v>
      </c>
      <c r="AY44" s="195"/>
      <c r="AZ44" s="180">
        <f>BB44-'Apr-26'!BB44</f>
        <v>8.3096999999999997E-3</v>
      </c>
      <c r="BA44" s="182">
        <f t="shared" si="15"/>
        <v>2.7377717229057526E-6</v>
      </c>
      <c r="BB44" s="190">
        <f t="shared" si="90"/>
        <v>8.2351000000000004E-3</v>
      </c>
      <c r="BC44" s="184">
        <f t="shared" si="91"/>
        <v>1.4402637398186151E-6</v>
      </c>
      <c r="BD44" s="191"/>
      <c r="BE44" s="180">
        <f>BG44-'Apr-26'!BG44</f>
        <v>2.4350000000000001E-4</v>
      </c>
      <c r="BF44" s="182">
        <f t="shared" si="16"/>
        <v>8.7122264176762921E-8</v>
      </c>
      <c r="BG44" s="183">
        <f>-SUMIF('05.conso TB'!A:A,'May-26'!B44,'05.conso TB'!H:H)/10^5</f>
        <v>1.962E-4</v>
      </c>
      <c r="BH44" s="184">
        <f t="shared" si="92"/>
        <v>4.1752327382960911E-8</v>
      </c>
      <c r="BI44" s="180">
        <f>BK44-'Apr-26'!BK44</f>
        <v>-5.9999999999999764E-7</v>
      </c>
      <c r="BJ44" s="182">
        <f t="shared" si="17"/>
        <v>-3.1218920264088625E-8</v>
      </c>
      <c r="BK44" s="183">
        <f>-SUMIF('05.conso TB'!A:A,'May-26'!B44,'05.conso TB'!I:I)/10^5</f>
        <v>-1.4099999999999999E-5</v>
      </c>
      <c r="BL44" s="184">
        <f t="shared" si="93"/>
        <v>-3.6528759640396274E-7</v>
      </c>
      <c r="BM44" s="180">
        <f>BO44-'Apr-26'!BO44</f>
        <v>0</v>
      </c>
      <c r="BN44" s="182">
        <f t="shared" si="94"/>
        <v>0</v>
      </c>
      <c r="BO44" s="181">
        <f>-SUMIF('05.conso TB'!A:A,'May-26'!B44,'05.conso TB'!J:J)/10^5</f>
        <v>0</v>
      </c>
      <c r="BP44" s="182">
        <f t="shared" si="95"/>
        <v>0</v>
      </c>
      <c r="BQ44" s="192"/>
      <c r="BR44" s="180">
        <f>BT44-'Apr-26'!BT44</f>
        <v>2.4290000000000002E-4</v>
      </c>
      <c r="BS44" s="182">
        <f t="shared" si="18"/>
        <v>9.18511321224979E-8</v>
      </c>
      <c r="BT44" s="183">
        <f t="shared" si="19"/>
        <v>1.8210000000000001E-4</v>
      </c>
      <c r="BU44" s="182">
        <f t="shared" si="20"/>
        <v>4.0577154282117468E-8</v>
      </c>
      <c r="BV44" s="191"/>
      <c r="BW44" s="180">
        <f>BY44-'Apr-26'!BY44</f>
        <v>-1.7900000000000001E-5</v>
      </c>
      <c r="BX44" s="182">
        <f t="shared" si="21"/>
        <v>-3.9555595133838062E-8</v>
      </c>
      <c r="BY44" s="183">
        <f>-SUMIF('05.conso TB'!A:A,'May-26'!B44,'05.conso TB'!L:L)/10^5</f>
        <v>-4.1900000000000002E-5</v>
      </c>
      <c r="BZ44" s="182">
        <f t="shared" si="22"/>
        <v>-1.9390215219706677E-8</v>
      </c>
      <c r="CA44" s="191"/>
      <c r="CB44" s="180">
        <f>CD44-'Apr-26'!CD44</f>
        <v>0</v>
      </c>
      <c r="CC44" s="346"/>
      <c r="CD44" s="186"/>
      <c r="CE44" s="187">
        <f t="shared" si="96"/>
        <v>0.59939439999999988</v>
      </c>
      <c r="CF44" s="182">
        <f t="shared" si="23"/>
        <v>3.5455857588328536E-5</v>
      </c>
      <c r="CG44" s="187">
        <f t="shared" si="96"/>
        <v>0.60013559999999977</v>
      </c>
      <c r="CH44" s="182">
        <f t="shared" si="24"/>
        <v>4.9072771099287599E-5</v>
      </c>
    </row>
    <row r="45" spans="1:86" s="296" customFormat="1" x14ac:dyDescent="0.35">
      <c r="B45" s="297" t="s">
        <v>474</v>
      </c>
      <c r="C45" s="298">
        <f t="shared" ref="C45:AA45" si="97">SUM(C35:C44)</f>
        <v>15.904517399999998</v>
      </c>
      <c r="D45" s="301">
        <f t="shared" si="97"/>
        <v>5.0910132582932871E-3</v>
      </c>
      <c r="E45" s="300">
        <f t="shared" si="97"/>
        <v>25.012938399999999</v>
      </c>
      <c r="F45" s="182">
        <f t="shared" si="1"/>
        <v>3.8712838253149293E-3</v>
      </c>
      <c r="G45" s="298">
        <f t="shared" ref="G45" si="98">SUM(G35:G44)</f>
        <v>14.4053211</v>
      </c>
      <c r="H45" s="182">
        <f t="shared" si="2"/>
        <v>1.0845688681109876E-2</v>
      </c>
      <c r="I45" s="300">
        <f t="shared" si="97"/>
        <v>23.653883700000002</v>
      </c>
      <c r="J45" s="182">
        <f t="shared" si="3"/>
        <v>9.4255311002326113E-3</v>
      </c>
      <c r="K45" s="298">
        <f t="shared" ref="K45" si="99">SUM(K35:K44)</f>
        <v>15.948028499999996</v>
      </c>
      <c r="L45" s="301">
        <f t="shared" ref="L45" si="100">SUM(L35:L44)</f>
        <v>5.1049410991332068E-3</v>
      </c>
      <c r="M45" s="300">
        <f t="shared" si="97"/>
        <v>38.220237900000001</v>
      </c>
      <c r="N45" s="301">
        <f t="shared" ref="N45" si="101">SUM(N35:N44)</f>
        <v>1.2234243453625547E-2</v>
      </c>
      <c r="O45" s="298">
        <f t="shared" ref="O45" si="102">SUM(O35:O44)</f>
        <v>2.7799999999999998E-5</v>
      </c>
      <c r="P45" s="182">
        <f t="shared" si="4"/>
        <v>2.2382280217854156E-8</v>
      </c>
      <c r="Q45" s="300">
        <f t="shared" si="97"/>
        <v>1.8099999999999999E-5</v>
      </c>
      <c r="R45" s="182">
        <f t="shared" si="5"/>
        <v>8.3071560743917055E-9</v>
      </c>
      <c r="S45" s="298">
        <f t="shared" ref="S45" si="103">SUM(S35:S44)</f>
        <v>-2.3482799999999998E-2</v>
      </c>
      <c r="T45" s="182">
        <f t="shared" si="6"/>
        <v>1</v>
      </c>
      <c r="U45" s="302">
        <f t="shared" si="97"/>
        <v>-2.2497E-2</v>
      </c>
      <c r="V45" s="182">
        <f t="shared" si="7"/>
        <v>-4.6154731117209512E-4</v>
      </c>
      <c r="W45" s="298">
        <f t="shared" ref="W45" si="104">SUM(W35:W44)</f>
        <v>-44.551239000000002</v>
      </c>
      <c r="X45" s="182">
        <f t="shared" si="8"/>
        <v>-1.1978881904033836E-2</v>
      </c>
      <c r="Y45" s="300">
        <f t="shared" si="97"/>
        <v>-44.101234200000007</v>
      </c>
      <c r="Z45" s="182">
        <f t="shared" si="9"/>
        <v>-1.1625123153681412E-2</v>
      </c>
      <c r="AA45" s="304">
        <f t="shared" si="97"/>
        <v>0</v>
      </c>
      <c r="AB45" s="305">
        <f t="shared" si="84"/>
        <v>1.6831729999999894</v>
      </c>
      <c r="AC45" s="182">
        <f t="shared" si="10"/>
        <v>1.8252913482736001E-4</v>
      </c>
      <c r="AD45" s="305">
        <f t="shared" si="84"/>
        <v>42.763346900000002</v>
      </c>
      <c r="AE45" s="182">
        <f t="shared" si="11"/>
        <v>2.9587946334407094E-3</v>
      </c>
      <c r="AF45" s="306"/>
      <c r="AG45" s="298">
        <f t="shared" ref="AG45" si="105">SUM(AG35:AG44)</f>
        <v>5.6000000000000006E-6</v>
      </c>
      <c r="AH45" s="182">
        <f t="shared" si="12"/>
        <v>1.5237722510868256E-8</v>
      </c>
      <c r="AI45" s="302">
        <f t="shared" ref="AI45:AJ45" si="106">SUM(AI35:AI44)</f>
        <v>1.36E-5</v>
      </c>
      <c r="AJ45" s="303">
        <f t="shared" si="106"/>
        <v>1.8428117551003233E-8</v>
      </c>
      <c r="AK45" s="306"/>
      <c r="AL45" s="298">
        <f t="shared" ref="AL45" si="107">SUM(AL35:AL44)</f>
        <v>6.1640631999999993</v>
      </c>
      <c r="AM45" s="182">
        <f t="shared" si="13"/>
        <v>5.2050886327409717E-3</v>
      </c>
      <c r="AN45" s="300">
        <f>SUM(AN35:AN44)</f>
        <v>7.3342638999999998</v>
      </c>
      <c r="AO45" s="303">
        <f>SUM(AO35:AO44)</f>
        <v>3.1581242754854973E-3</v>
      </c>
      <c r="AP45" s="547"/>
      <c r="AQ45" s="298">
        <f t="shared" ref="AQ45" si="108">SUM(AQ35:AQ44)</f>
        <v>-2.0000933000000001</v>
      </c>
      <c r="AR45" s="182">
        <f t="shared" si="14"/>
        <v>-9.8100198950778431E-4</v>
      </c>
      <c r="AS45" s="302">
        <f t="shared" ref="AS45:AX45" si="109">SUM(AS35:AS44)</f>
        <v>-2.0001780999999998</v>
      </c>
      <c r="AT45" s="303">
        <f t="shared" si="109"/>
        <v>-5.1676984538368887E-4</v>
      </c>
      <c r="AU45" s="298">
        <f t="shared" ref="AU45" si="110">SUM(AU35:AU44)</f>
        <v>8.4030000000000007E-3</v>
      </c>
      <c r="AV45" s="301">
        <f t="shared" si="109"/>
        <v>2.6897882742068303E-6</v>
      </c>
      <c r="AW45" s="299">
        <f t="shared" si="109"/>
        <v>8.4132000000000009E-3</v>
      </c>
      <c r="AX45" s="303">
        <f t="shared" si="109"/>
        <v>4.5544884091794998E-6</v>
      </c>
      <c r="AY45" s="307"/>
      <c r="AZ45" s="298">
        <f t="shared" ref="AZ45" si="111">SUM(AZ35:AZ44)</f>
        <v>-1.9916902999999999</v>
      </c>
      <c r="BA45" s="182">
        <f t="shared" si="15"/>
        <v>-6.5619617845718561E-4</v>
      </c>
      <c r="BB45" s="307">
        <f>SUM(BB35:BB44)</f>
        <v>-1.9917648999999999</v>
      </c>
      <c r="BC45" s="303">
        <f>SUM(BC35:BC44)</f>
        <v>-3.4834631804270131E-4</v>
      </c>
      <c r="BD45" s="308"/>
      <c r="BE45" s="298">
        <f t="shared" ref="BE45" si="112">SUM(BE35:BE44)</f>
        <v>0.2458765</v>
      </c>
      <c r="BF45" s="182">
        <f t="shared" si="16"/>
        <v>8.7972556007629766E-5</v>
      </c>
      <c r="BG45" s="302">
        <f t="shared" ref="BG45:BP45" si="113">SUM(BG35:BG44)</f>
        <v>0.48582919999999996</v>
      </c>
      <c r="BH45" s="303">
        <f t="shared" si="113"/>
        <v>1.0338684918757386E-4</v>
      </c>
      <c r="BI45" s="298">
        <f t="shared" ref="BI45" si="114">SUM(BI35:BI44)</f>
        <v>-5.9999999999999764E-7</v>
      </c>
      <c r="BJ45" s="182">
        <f t="shared" si="17"/>
        <v>-3.1218920264088625E-8</v>
      </c>
      <c r="BK45" s="302">
        <f t="shared" si="113"/>
        <v>-1.4099999999999999E-5</v>
      </c>
      <c r="BL45" s="303">
        <f t="shared" si="113"/>
        <v>-3.6528759640396274E-7</v>
      </c>
      <c r="BM45" s="298">
        <f t="shared" ref="BM45" si="115">SUM(BM35:BM44)</f>
        <v>0</v>
      </c>
      <c r="BN45" s="301">
        <f t="shared" si="113"/>
        <v>0</v>
      </c>
      <c r="BO45" s="300">
        <f t="shared" si="113"/>
        <v>7.6170000000000002E-2</v>
      </c>
      <c r="BP45" s="301">
        <f t="shared" si="113"/>
        <v>2.4381907990757379E-5</v>
      </c>
      <c r="BQ45" s="309"/>
      <c r="BR45" s="298">
        <f t="shared" ref="BR45" si="116">SUM(BR35:BR44)</f>
        <v>0.24587589999999998</v>
      </c>
      <c r="BS45" s="182">
        <f t="shared" si="18"/>
        <v>9.297645029492827E-5</v>
      </c>
      <c r="BT45" s="183">
        <f t="shared" si="19"/>
        <v>0.5619850999999999</v>
      </c>
      <c r="BU45" s="182">
        <f t="shared" si="20"/>
        <v>1.2522655742422409E-4</v>
      </c>
      <c r="BV45" s="308"/>
      <c r="BW45" s="298">
        <f t="shared" ref="BW45" si="117">SUM(BW35:BW44)</f>
        <v>7.5992921000000004</v>
      </c>
      <c r="BX45" s="182">
        <f t="shared" si="21"/>
        <v>1.6792990034154975E-2</v>
      </c>
      <c r="BY45" s="302">
        <f t="shared" ref="BY45:CC45" si="118">SUM(BY35:BY44)</f>
        <v>9.5095381000000003</v>
      </c>
      <c r="BZ45" s="182">
        <f t="shared" si="22"/>
        <v>4.4007634940095592E-3</v>
      </c>
      <c r="CA45" s="308"/>
      <c r="CB45" s="298">
        <f t="shared" ref="CB45" si="119">SUM(CB35:CB44)</f>
        <v>4.6899999999999995</v>
      </c>
      <c r="CC45" s="305">
        <f t="shared" si="118"/>
        <v>7.38</v>
      </c>
      <c r="CD45" s="306"/>
      <c r="CE45" s="305">
        <f t="shared" si="96"/>
        <v>13.700719499999988</v>
      </c>
      <c r="CF45" s="182">
        <f t="shared" si="23"/>
        <v>8.1043593241717871E-4</v>
      </c>
      <c r="CG45" s="305">
        <f t="shared" si="96"/>
        <v>58.177382700000003</v>
      </c>
      <c r="CH45" s="182">
        <f t="shared" si="24"/>
        <v>4.7571338617351739E-3</v>
      </c>
    </row>
    <row r="46" spans="1:86" s="23" customFormat="1" ht="16" thickBot="1" x14ac:dyDescent="0.4">
      <c r="A46" s="281"/>
      <c r="B46" s="282" t="s">
        <v>476</v>
      </c>
      <c r="C46" s="165">
        <f>C25+C28+C33+C45</f>
        <v>3124.0377097999999</v>
      </c>
      <c r="D46" s="167">
        <f>D25+D28+D33+D45</f>
        <v>1</v>
      </c>
      <c r="E46" s="166">
        <f>E25+E28+E33+E45</f>
        <v>6461.1481690999999</v>
      </c>
      <c r="F46" s="182">
        <f t="shared" si="1"/>
        <v>1</v>
      </c>
      <c r="G46" s="165">
        <f>G25+G28+G33+G45</f>
        <v>1328.2071359000004</v>
      </c>
      <c r="H46" s="182">
        <f t="shared" si="2"/>
        <v>1</v>
      </c>
      <c r="I46" s="166">
        <f t="shared" ref="I46:AA46" si="120">I25+I28+I33+I45</f>
        <v>2509.5544694999999</v>
      </c>
      <c r="J46" s="182">
        <f t="shared" si="3"/>
        <v>1</v>
      </c>
      <c r="K46" s="165">
        <f>K25+K28+K33+K45</f>
        <v>23.363878499999998</v>
      </c>
      <c r="L46" s="167">
        <f>L25+L28+L33+L45</f>
        <v>7.4787440710809318E-3</v>
      </c>
      <c r="M46" s="166">
        <f t="shared" si="120"/>
        <v>64.683179700000011</v>
      </c>
      <c r="N46" s="167">
        <f>N25+N28+N33+N45</f>
        <v>2.070499325187115E-2</v>
      </c>
      <c r="O46" s="165">
        <f>O25+O28+O33+O45</f>
        <v>1242.0539699000003</v>
      </c>
      <c r="P46" s="182">
        <f t="shared" si="4"/>
        <v>1</v>
      </c>
      <c r="Q46" s="166">
        <f t="shared" si="120"/>
        <v>2178.8443407000004</v>
      </c>
      <c r="R46" s="182">
        <f t="shared" si="5"/>
        <v>1</v>
      </c>
      <c r="S46" s="168">
        <f>S25+S28+S33+S45</f>
        <v>-2.3482799999999998E-2</v>
      </c>
      <c r="T46" s="182">
        <f t="shared" si="6"/>
        <v>1</v>
      </c>
      <c r="U46" s="168">
        <f>U25+U28+U33+U45</f>
        <v>48.742565400000004</v>
      </c>
      <c r="V46" s="182">
        <f t="shared" si="7"/>
        <v>1</v>
      </c>
      <c r="W46" s="165">
        <f>W25+W28+W33+W45</f>
        <v>3719.148361</v>
      </c>
      <c r="X46" s="182">
        <f t="shared" si="8"/>
        <v>1</v>
      </c>
      <c r="Y46" s="166">
        <f t="shared" si="120"/>
        <v>3793.6143658000001</v>
      </c>
      <c r="Z46" s="182">
        <f t="shared" si="9"/>
        <v>1</v>
      </c>
      <c r="AA46" s="170">
        <f t="shared" si="120"/>
        <v>603.62492220000013</v>
      </c>
      <c r="AB46" s="168">
        <f t="shared" ref="AB46:AD46" si="121">AB25+AB28+AB33+AB45</f>
        <v>9221.3936235000001</v>
      </c>
      <c r="AC46" s="182">
        <f t="shared" si="10"/>
        <v>1</v>
      </c>
      <c r="AD46" s="168">
        <f t="shared" si="121"/>
        <v>14452.962168</v>
      </c>
      <c r="AE46" s="182">
        <f t="shared" si="11"/>
        <v>1</v>
      </c>
      <c r="AF46" s="511">
        <f>AG46/$AG$1*10^5</f>
        <v>99.994555355441619</v>
      </c>
      <c r="AG46" s="165">
        <f>AG25+AG28+AG33+AG45</f>
        <v>367.50898935230106</v>
      </c>
      <c r="AH46" s="182">
        <f t="shared" si="12"/>
        <v>1</v>
      </c>
      <c r="AI46" s="168">
        <f t="shared" ref="AI46:AJ46" si="122">AI25+AI28+AI33+AI45</f>
        <v>738.00267240316202</v>
      </c>
      <c r="AJ46" s="169">
        <f t="shared" si="122"/>
        <v>1</v>
      </c>
      <c r="AK46" s="437">
        <f>AL46/$AL$1*10^5</f>
        <v>268.15523927594518</v>
      </c>
      <c r="AL46" s="165">
        <f>AL25+AL28+AL33+AL45</f>
        <v>1184.2378939</v>
      </c>
      <c r="AM46" s="182">
        <f t="shared" si="13"/>
        <v>1</v>
      </c>
      <c r="AN46" s="166">
        <f>AN25+AN28+AN33+AN45</f>
        <v>2322.3480966000002</v>
      </c>
      <c r="AO46" s="169">
        <f>AO25+AO28+AO33+AO45</f>
        <v>0.99999999999999989</v>
      </c>
      <c r="AP46" s="546">
        <f>AQ46/$AQ$1*10^5</f>
        <v>341.49775233867933</v>
      </c>
      <c r="AQ46" s="165">
        <f>AQ25+AQ28+AQ33+AQ45</f>
        <v>2038.8269559000003</v>
      </c>
      <c r="AR46" s="182">
        <f t="shared" si="14"/>
        <v>1</v>
      </c>
      <c r="AS46" s="168">
        <f t="shared" ref="AS46:AX46" si="123">AS25+AS28+AS33+AS45</f>
        <v>3870.5395020000001</v>
      </c>
      <c r="AT46" s="169">
        <f t="shared" si="123"/>
        <v>0.99999999999999989</v>
      </c>
      <c r="AU46" s="165">
        <f>AU25+AU28+AU33+AU45</f>
        <v>996.37862040000005</v>
      </c>
      <c r="AV46" s="167">
        <f>AV25+AV28+AV33+AV45</f>
        <v>0.31742631927288983</v>
      </c>
      <c r="AW46" s="168">
        <f t="shared" si="123"/>
        <v>1847.2327172999999</v>
      </c>
      <c r="AX46" s="169">
        <f t="shared" si="123"/>
        <v>1</v>
      </c>
      <c r="AY46" s="172"/>
      <c r="AZ46" s="165">
        <f>AZ25+AZ28+AZ33+AZ45</f>
        <v>3035.2055763000003</v>
      </c>
      <c r="BA46" s="182">
        <f t="shared" si="15"/>
        <v>1</v>
      </c>
      <c r="BB46" s="172">
        <f>BB25+BB28+BB33+BB45</f>
        <v>5717.7722193</v>
      </c>
      <c r="BC46" s="169">
        <f>BC25+BC28+BC33+BC45</f>
        <v>1</v>
      </c>
      <c r="BD46" s="173"/>
      <c r="BE46" s="165">
        <f>BE25+BE28+BE33+BE45</f>
        <v>2794.9227708999997</v>
      </c>
      <c r="BF46" s="182">
        <f t="shared" si="16"/>
        <v>1</v>
      </c>
      <c r="BG46" s="168">
        <f t="shared" ref="BG46:CC46" si="124">BG25+BG28+BG33+BG45</f>
        <v>4699.1392408000002</v>
      </c>
      <c r="BH46" s="169">
        <f t="shared" si="124"/>
        <v>0.99999999999999989</v>
      </c>
      <c r="BI46" s="165">
        <f>BI25+BI28+BI33+BI45</f>
        <v>19.219114400000006</v>
      </c>
      <c r="BJ46" s="182">
        <f t="shared" si="17"/>
        <v>1</v>
      </c>
      <c r="BK46" s="210">
        <f t="shared" si="124"/>
        <v>38.599722900000003</v>
      </c>
      <c r="BL46" s="174">
        <f t="shared" si="124"/>
        <v>1</v>
      </c>
      <c r="BM46" s="165">
        <f>BM25+BM28+BM33+BM45</f>
        <v>0</v>
      </c>
      <c r="BN46" s="167">
        <f>BN25+BN28+BN33+BN45</f>
        <v>0</v>
      </c>
      <c r="BO46" s="166">
        <f t="shared" si="124"/>
        <v>7.6170000000000002E-2</v>
      </c>
      <c r="BP46" s="167">
        <f>BP25+BP28+BP33+BP45</f>
        <v>2.4381907990757379E-5</v>
      </c>
      <c r="BQ46" s="175">
        <f t="shared" si="124"/>
        <v>250.06819280000002</v>
      </c>
      <c r="BR46" s="165">
        <f>BR25+BR28+BR33+BR45</f>
        <v>2644.4965280999995</v>
      </c>
      <c r="BS46" s="182">
        <f t="shared" si="18"/>
        <v>1</v>
      </c>
      <c r="BT46" s="183">
        <f t="shared" si="19"/>
        <v>4487.7469409000005</v>
      </c>
      <c r="BU46" s="182">
        <f t="shared" si="20"/>
        <v>1</v>
      </c>
      <c r="BV46" s="173"/>
      <c r="BW46" s="165">
        <f>BW25+BW28+BW33+BW45</f>
        <v>452.52763710000011</v>
      </c>
      <c r="BX46" s="182">
        <f t="shared" si="21"/>
        <v>1</v>
      </c>
      <c r="BY46" s="168">
        <f t="shared" ref="BY46" si="125">BY25+BY28+BY33+BY45</f>
        <v>2160.8836996000005</v>
      </c>
      <c r="BZ46" s="182">
        <f t="shared" si="22"/>
        <v>1</v>
      </c>
      <c r="CA46" s="159"/>
      <c r="CB46" s="165">
        <f>CB25+CB28+CB33+CB45</f>
        <v>10033.981809011695</v>
      </c>
      <c r="CC46" s="520">
        <f t="shared" si="124"/>
        <v>17657.592824864572</v>
      </c>
      <c r="CD46" s="528"/>
      <c r="CE46" s="168">
        <f>CE25+CE28+CE33+CE45</f>
        <v>16905.370248252304</v>
      </c>
      <c r="CF46" s="182">
        <f t="shared" si="23"/>
        <v>1</v>
      </c>
      <c r="CG46" s="168">
        <f>CG25+CG28+CG33+CG45</f>
        <v>12229.502971938589</v>
      </c>
      <c r="CH46" s="182">
        <f t="shared" si="24"/>
        <v>1</v>
      </c>
    </row>
    <row r="47" spans="1:86" x14ac:dyDescent="0.35">
      <c r="B47" s="85"/>
      <c r="C47" s="136"/>
      <c r="D47" s="402"/>
      <c r="E47" s="134"/>
      <c r="F47" s="182">
        <f t="shared" si="1"/>
        <v>0</v>
      </c>
      <c r="G47" s="136"/>
      <c r="H47" s="182">
        <f t="shared" si="2"/>
        <v>0</v>
      </c>
      <c r="I47" s="134"/>
      <c r="J47" s="182">
        <f t="shared" si="3"/>
        <v>0</v>
      </c>
      <c r="K47" s="136"/>
      <c r="L47" s="402"/>
      <c r="M47" s="134"/>
      <c r="N47" s="402"/>
      <c r="O47" s="136"/>
      <c r="P47" s="182">
        <f t="shared" si="4"/>
        <v>0</v>
      </c>
      <c r="Q47" s="134"/>
      <c r="R47" s="182">
        <f t="shared" si="5"/>
        <v>0</v>
      </c>
      <c r="S47" s="136"/>
      <c r="T47" s="182">
        <f t="shared" si="6"/>
        <v>0</v>
      </c>
      <c r="U47" s="131"/>
      <c r="V47" s="182">
        <f t="shared" si="7"/>
        <v>0</v>
      </c>
      <c r="W47" s="136"/>
      <c r="X47" s="182">
        <f t="shared" si="8"/>
        <v>0</v>
      </c>
      <c r="Y47" s="134"/>
      <c r="Z47" s="182">
        <f t="shared" si="9"/>
        <v>0</v>
      </c>
      <c r="AA47" s="176"/>
      <c r="AB47" s="136"/>
      <c r="AC47" s="182">
        <f t="shared" si="10"/>
        <v>0</v>
      </c>
      <c r="AD47" s="131"/>
      <c r="AE47" s="182">
        <f t="shared" si="11"/>
        <v>0</v>
      </c>
      <c r="AF47" s="177"/>
      <c r="AG47" s="136"/>
      <c r="AH47" s="182">
        <f t="shared" si="12"/>
        <v>0</v>
      </c>
      <c r="AI47" s="131"/>
      <c r="AJ47" s="132"/>
      <c r="AK47" s="139"/>
      <c r="AL47" s="136"/>
      <c r="AM47" s="182">
        <f t="shared" si="13"/>
        <v>0</v>
      </c>
      <c r="AN47" s="134"/>
      <c r="AO47" s="132"/>
      <c r="AP47" s="139"/>
      <c r="AQ47" s="136"/>
      <c r="AR47" s="182">
        <f t="shared" si="14"/>
        <v>0</v>
      </c>
      <c r="AS47" s="131">
        <f>(AS46-AQ46)/11</f>
        <v>166.51932237272726</v>
      </c>
      <c r="AT47" s="132"/>
      <c r="AU47" s="136"/>
      <c r="AV47" s="402"/>
      <c r="AW47" s="131"/>
      <c r="AX47" s="132"/>
      <c r="AY47" s="142"/>
      <c r="AZ47" s="136"/>
      <c r="BA47" s="182">
        <f t="shared" si="15"/>
        <v>0</v>
      </c>
      <c r="BB47" s="143"/>
      <c r="BC47" s="132"/>
      <c r="BD47" s="178"/>
      <c r="BE47" s="136"/>
      <c r="BF47" s="182">
        <f t="shared" si="16"/>
        <v>0</v>
      </c>
      <c r="BG47" s="131"/>
      <c r="BH47" s="132"/>
      <c r="BI47" s="136"/>
      <c r="BJ47" s="182">
        <f t="shared" si="17"/>
        <v>0</v>
      </c>
      <c r="BK47" s="145"/>
      <c r="BL47" s="141"/>
      <c r="BM47" s="136"/>
      <c r="BN47" s="402"/>
      <c r="BO47" s="134"/>
      <c r="BP47" s="402"/>
      <c r="BQ47" s="147"/>
      <c r="BR47" s="136"/>
      <c r="BS47" s="182">
        <f t="shared" si="18"/>
        <v>0</v>
      </c>
      <c r="BT47" s="183">
        <f t="shared" si="19"/>
        <v>0</v>
      </c>
      <c r="BU47" s="182">
        <f t="shared" si="20"/>
        <v>0</v>
      </c>
      <c r="BV47" s="144"/>
      <c r="BW47" s="136"/>
      <c r="BX47" s="182">
        <f t="shared" si="21"/>
        <v>0</v>
      </c>
      <c r="BY47" s="131"/>
      <c r="BZ47" s="182">
        <f t="shared" si="22"/>
        <v>0</v>
      </c>
      <c r="CA47" s="178"/>
      <c r="CB47" s="136"/>
      <c r="CC47" s="521"/>
      <c r="CD47" s="139"/>
      <c r="CE47" s="129"/>
      <c r="CF47" s="182">
        <f t="shared" si="23"/>
        <v>0</v>
      </c>
      <c r="CG47" s="131"/>
      <c r="CH47" s="182">
        <f t="shared" si="24"/>
        <v>0</v>
      </c>
    </row>
    <row r="48" spans="1:86" x14ac:dyDescent="0.35">
      <c r="B48" s="86" t="s">
        <v>526</v>
      </c>
      <c r="C48" s="136"/>
      <c r="D48" s="402"/>
      <c r="E48" s="134"/>
      <c r="F48" s="182">
        <f t="shared" si="1"/>
        <v>0</v>
      </c>
      <c r="G48" s="136"/>
      <c r="H48" s="182">
        <f t="shared" si="2"/>
        <v>0</v>
      </c>
      <c r="I48" s="134"/>
      <c r="J48" s="182">
        <f t="shared" si="3"/>
        <v>0</v>
      </c>
      <c r="K48" s="136"/>
      <c r="L48" s="402"/>
      <c r="M48" s="134"/>
      <c r="N48" s="402"/>
      <c r="O48" s="136"/>
      <c r="P48" s="182">
        <f t="shared" si="4"/>
        <v>0</v>
      </c>
      <c r="Q48" s="134"/>
      <c r="R48" s="182">
        <f t="shared" si="5"/>
        <v>0</v>
      </c>
      <c r="S48" s="136"/>
      <c r="T48" s="182">
        <f t="shared" si="6"/>
        <v>0</v>
      </c>
      <c r="U48" s="131"/>
      <c r="V48" s="182">
        <f t="shared" si="7"/>
        <v>0</v>
      </c>
      <c r="W48" s="136"/>
      <c r="X48" s="182">
        <f t="shared" si="8"/>
        <v>0</v>
      </c>
      <c r="Y48" s="134"/>
      <c r="Z48" s="182">
        <f t="shared" si="9"/>
        <v>0</v>
      </c>
      <c r="AA48" s="176"/>
      <c r="AB48" s="136"/>
      <c r="AC48" s="182">
        <f t="shared" si="10"/>
        <v>0</v>
      </c>
      <c r="AD48" s="131"/>
      <c r="AE48" s="182">
        <f t="shared" si="11"/>
        <v>0</v>
      </c>
      <c r="AF48" s="139"/>
      <c r="AG48" s="136"/>
      <c r="AH48" s="182">
        <f t="shared" si="12"/>
        <v>0</v>
      </c>
      <c r="AI48" s="131"/>
      <c r="AJ48" s="132"/>
      <c r="AK48" s="139"/>
      <c r="AL48" s="136"/>
      <c r="AM48" s="182">
        <f t="shared" si="13"/>
        <v>0</v>
      </c>
      <c r="AN48" s="134"/>
      <c r="AO48" s="132"/>
      <c r="AP48" s="139"/>
      <c r="AQ48" s="136"/>
      <c r="AR48" s="182">
        <f t="shared" si="14"/>
        <v>0</v>
      </c>
      <c r="AS48" s="131"/>
      <c r="AT48" s="132"/>
      <c r="AU48" s="136"/>
      <c r="AV48" s="402"/>
      <c r="AW48" s="131"/>
      <c r="AX48" s="132"/>
      <c r="AY48" s="142"/>
      <c r="AZ48" s="136"/>
      <c r="BA48" s="182">
        <f t="shared" si="15"/>
        <v>0</v>
      </c>
      <c r="BB48" s="143"/>
      <c r="BC48" s="132"/>
      <c r="BD48" s="144"/>
      <c r="BE48" s="136"/>
      <c r="BF48" s="182">
        <f t="shared" si="16"/>
        <v>0</v>
      </c>
      <c r="BG48" s="131"/>
      <c r="BH48" s="132"/>
      <c r="BI48" s="136"/>
      <c r="BJ48" s="182">
        <f t="shared" si="17"/>
        <v>0</v>
      </c>
      <c r="BK48" s="131"/>
      <c r="BL48" s="132"/>
      <c r="BM48" s="136"/>
      <c r="BN48" s="402"/>
      <c r="BO48" s="134"/>
      <c r="BP48" s="402"/>
      <c r="BQ48" s="147"/>
      <c r="BR48" s="136"/>
      <c r="BS48" s="182">
        <f t="shared" si="18"/>
        <v>0</v>
      </c>
      <c r="BT48" s="183">
        <f t="shared" si="19"/>
        <v>0</v>
      </c>
      <c r="BU48" s="182">
        <f t="shared" si="20"/>
        <v>0</v>
      </c>
      <c r="BV48" s="144"/>
      <c r="BW48" s="136"/>
      <c r="BX48" s="182">
        <f t="shared" si="21"/>
        <v>0</v>
      </c>
      <c r="BY48" s="131"/>
      <c r="BZ48" s="182">
        <f t="shared" si="22"/>
        <v>0</v>
      </c>
      <c r="CA48" s="178"/>
      <c r="CB48" s="136"/>
      <c r="CC48" s="521"/>
      <c r="CD48" s="139"/>
      <c r="CE48" s="129"/>
      <c r="CF48" s="182">
        <f t="shared" si="23"/>
        <v>0</v>
      </c>
      <c r="CG48" s="131"/>
      <c r="CH48" s="182">
        <f t="shared" si="24"/>
        <v>0</v>
      </c>
    </row>
    <row r="49" spans="1:86" s="204" customFormat="1" x14ac:dyDescent="0.35">
      <c r="B49" s="197" t="s">
        <v>462</v>
      </c>
      <c r="C49" s="180">
        <f>E49-'Apr-26'!E49</f>
        <v>2250.9285385369494</v>
      </c>
      <c r="D49" s="182">
        <f>C49/$C$46*100%</f>
        <v>0.72051900381223422</v>
      </c>
      <c r="E49" s="181">
        <f>E114</f>
        <v>4363.1335270814498</v>
      </c>
      <c r="F49" s="182">
        <f t="shared" si="1"/>
        <v>0.67528764437686761</v>
      </c>
      <c r="G49" s="180">
        <f>I49-'Apr-26'!I49</f>
        <v>659.15560742000093</v>
      </c>
      <c r="H49" s="182">
        <f t="shared" si="2"/>
        <v>0.49627470716256433</v>
      </c>
      <c r="I49" s="181">
        <f>I114</f>
        <v>1451.8446349500009</v>
      </c>
      <c r="J49" s="182">
        <f t="shared" si="3"/>
        <v>0.57852684713365254</v>
      </c>
      <c r="K49" s="180">
        <f>M49-'Apr-26'!M49</f>
        <v>0</v>
      </c>
      <c r="L49" s="182">
        <f>K49/$C$46*100%</f>
        <v>0</v>
      </c>
      <c r="M49" s="181">
        <f>SUMIF('05.conso TB'!A:A,'May-26'!B49,'05.conso TB'!T:T)</f>
        <v>0</v>
      </c>
      <c r="N49" s="182">
        <f>M49/$C$46*100%</f>
        <v>0</v>
      </c>
      <c r="O49" s="180">
        <f>Q49-'Apr-26'!Q49</f>
        <v>808.44162012197592</v>
      </c>
      <c r="P49" s="182">
        <f t="shared" si="4"/>
        <v>0.65089089501244846</v>
      </c>
      <c r="Q49" s="181">
        <f>Q114</f>
        <v>1626.0564544231624</v>
      </c>
      <c r="R49" s="182">
        <f t="shared" si="5"/>
        <v>0.74629308025774665</v>
      </c>
      <c r="S49" s="180">
        <f>U49-'Apr-26'!U49</f>
        <v>0</v>
      </c>
      <c r="T49" s="182">
        <f t="shared" si="6"/>
        <v>0</v>
      </c>
      <c r="U49" s="181">
        <f>U114</f>
        <v>0</v>
      </c>
      <c r="V49" s="182">
        <f t="shared" si="7"/>
        <v>0</v>
      </c>
      <c r="W49" s="180">
        <f>Y49-'Apr-26'!Y49</f>
        <v>3780.8800959999999</v>
      </c>
      <c r="X49" s="182">
        <f t="shared" si="8"/>
        <v>1.0165983523667235</v>
      </c>
      <c r="Y49" s="181">
        <f>Y114</f>
        <v>3819.5416998000001</v>
      </c>
      <c r="Z49" s="182">
        <f t="shared" si="9"/>
        <v>1.0068344674761196</v>
      </c>
      <c r="AA49" s="185">
        <f>AA23</f>
        <v>317.57265710000019</v>
      </c>
      <c r="AB49" s="180">
        <f>AD49-'Apr-26'!AD49</f>
        <v>7308.2096578789269</v>
      </c>
      <c r="AC49" s="182">
        <f t="shared" si="10"/>
        <v>0.79252767599623186</v>
      </c>
      <c r="AD49" s="187">
        <f>E49+I49+M49+Q49+U49+Y49-AA49</f>
        <v>10943.003659154614</v>
      </c>
      <c r="AE49" s="182">
        <f t="shared" si="11"/>
        <v>0.75714608064105282</v>
      </c>
      <c r="AF49" s="186"/>
      <c r="AG49" s="180">
        <f>AI49-'Apr-26'!AI49</f>
        <v>76.380955664091246</v>
      </c>
      <c r="AH49" s="182">
        <f t="shared" si="12"/>
        <v>0.20783425134363454</v>
      </c>
      <c r="AI49" s="183">
        <f>AI114</f>
        <v>154.55398219426425</v>
      </c>
      <c r="AJ49" s="184">
        <f>AI49/$AI$46*100%</f>
        <v>0.20942198175379134</v>
      </c>
      <c r="AK49" s="186"/>
      <c r="AL49" s="180">
        <f>AN49-'Apr-26'!AN49</f>
        <v>586.06297968693525</v>
      </c>
      <c r="AM49" s="182">
        <f t="shared" si="13"/>
        <v>0.49488619027117864</v>
      </c>
      <c r="AN49" s="181">
        <f>AN114</f>
        <v>1377.7247824375452</v>
      </c>
      <c r="AO49" s="184">
        <f>AN49/$AN$46*100%</f>
        <v>0.59324645795114994</v>
      </c>
      <c r="AP49" s="545"/>
      <c r="AQ49" s="180">
        <f>AS49-'Apr-26'!AS49</f>
        <v>865.47213103199965</v>
      </c>
      <c r="AR49" s="182">
        <f t="shared" si="14"/>
        <v>0.42449513850475551</v>
      </c>
      <c r="AS49" s="183">
        <f>AS114</f>
        <v>2107.2343571599999</v>
      </c>
      <c r="AT49" s="184">
        <f>AS49/$AS$46*100%</f>
        <v>0.54442910505657971</v>
      </c>
      <c r="AU49" s="180">
        <f>AW49-'Apr-26'!AW49</f>
        <v>592.72467230460984</v>
      </c>
      <c r="AV49" s="182">
        <f>AU49/$C$46*100%</f>
        <v>0.18973031933809656</v>
      </c>
      <c r="AW49" s="183">
        <f>AW114</f>
        <v>1137.5888468379444</v>
      </c>
      <c r="AX49" s="184">
        <f>AW49/$AW$46*100%</f>
        <v>0.61583407233101439</v>
      </c>
      <c r="AY49" s="189">
        <f>AY23</f>
        <v>0</v>
      </c>
      <c r="AZ49" s="180">
        <f>BB49-'Apr-26'!BB49</f>
        <v>1458.1968033366095</v>
      </c>
      <c r="BA49" s="182">
        <f t="shared" si="15"/>
        <v>0.48042768988128698</v>
      </c>
      <c r="BB49" s="190">
        <f t="shared" ref="BB49:BB52" si="126">AS49+AW49</f>
        <v>3244.8232039979443</v>
      </c>
      <c r="BC49" s="184">
        <f>BB49/$BB$46*100%</f>
        <v>0.56749780850752263</v>
      </c>
      <c r="BD49" s="191"/>
      <c r="BE49" s="180">
        <f>BG49-'Apr-26'!BG49</f>
        <v>2282.3378176000001</v>
      </c>
      <c r="BF49" s="182">
        <f t="shared" si="16"/>
        <v>0.81660138926309545</v>
      </c>
      <c r="BG49" s="183">
        <f>BG114</f>
        <v>3421.9024305000003</v>
      </c>
      <c r="BH49" s="184">
        <f>BG49/$BG$46*100%</f>
        <v>0.72819770922928473</v>
      </c>
      <c r="BI49" s="180">
        <f>BK49-'Apr-26'!BK49</f>
        <v>4.2892373999999975</v>
      </c>
      <c r="BJ49" s="182">
        <f t="shared" si="17"/>
        <v>0.22317560064057876</v>
      </c>
      <c r="BK49" s="183">
        <f>BK114</f>
        <v>7.8503508000000011</v>
      </c>
      <c r="BL49" s="184">
        <f>BK49/$BK$46*100%</f>
        <v>0.20337842373474657</v>
      </c>
      <c r="BM49" s="180">
        <f>BO49-'Apr-26'!BO49</f>
        <v>0</v>
      </c>
      <c r="BN49" s="182">
        <f>BM49/$C$46*100%</f>
        <v>0</v>
      </c>
      <c r="BO49" s="181">
        <f>BO114</f>
        <v>0</v>
      </c>
      <c r="BP49" s="182">
        <f>BO49/$C$46*100%</f>
        <v>0</v>
      </c>
      <c r="BQ49" s="344">
        <f>BQ23</f>
        <v>0</v>
      </c>
      <c r="BR49" s="180">
        <f>BT49-'Apr-26'!BT49</f>
        <v>2286.6270549999999</v>
      </c>
      <c r="BS49" s="182">
        <f t="shared" si="18"/>
        <v>0.8646738729669956</v>
      </c>
      <c r="BT49" s="183">
        <f t="shared" si="19"/>
        <v>3429.7527813000002</v>
      </c>
      <c r="BU49" s="182">
        <f t="shared" si="20"/>
        <v>0.7642482578601405</v>
      </c>
      <c r="BV49" s="191"/>
      <c r="BW49" s="180">
        <f>BY49-'Apr-26'!BY49</f>
        <v>397.16708830000016</v>
      </c>
      <c r="BX49" s="182">
        <f t="shared" si="21"/>
        <v>0.87766371761341444</v>
      </c>
      <c r="BY49" s="183">
        <f>BY114</f>
        <v>2050.8490572000001</v>
      </c>
      <c r="BZ49" s="182">
        <f t="shared" si="22"/>
        <v>0.94907886878855685</v>
      </c>
      <c r="CA49" s="191"/>
      <c r="CB49" s="180">
        <f>CC49-'Apr-26'!CC49</f>
        <v>9180.8743045598931</v>
      </c>
      <c r="CC49" s="346">
        <f>CC25</f>
        <v>16274.814484654771</v>
      </c>
      <c r="CD49" s="186"/>
      <c r="CE49" s="187">
        <f>AB49+AG49+AL49+AZ49+BR49+BW49-CA49</f>
        <v>12112.644539866564</v>
      </c>
      <c r="CF49" s="182">
        <f t="shared" si="23"/>
        <v>0.71649685052705558</v>
      </c>
      <c r="CG49" s="187">
        <f>AD49+AI49+AN49+BB49+BT49+BY49-CC49</f>
        <v>4925.8929816295986</v>
      </c>
      <c r="CH49" s="182">
        <f t="shared" si="24"/>
        <v>0.40278766789888265</v>
      </c>
    </row>
    <row r="50" spans="1:86" s="204" customFormat="1" x14ac:dyDescent="0.35">
      <c r="B50" s="197" t="s">
        <v>475</v>
      </c>
      <c r="C50" s="180">
        <f>E50-'Apr-26'!E50</f>
        <v>250.14250000000001</v>
      </c>
      <c r="D50" s="182">
        <f>C50/$C$46*100%</f>
        <v>8.007025626333239E-2</v>
      </c>
      <c r="E50" s="181">
        <f>E124</f>
        <v>250.39250000000001</v>
      </c>
      <c r="F50" s="182">
        <f t="shared" si="1"/>
        <v>3.8753561046237117E-2</v>
      </c>
      <c r="G50" s="180">
        <f>I50-'Apr-26'!I50</f>
        <v>0</v>
      </c>
      <c r="H50" s="182">
        <f t="shared" si="2"/>
        <v>0</v>
      </c>
      <c r="I50" s="181">
        <f>I124</f>
        <v>0.32596000000000003</v>
      </c>
      <c r="J50" s="182">
        <f t="shared" si="3"/>
        <v>1.2988759716578053E-4</v>
      </c>
      <c r="K50" s="180">
        <f>M50-'Apr-26'!M50</f>
        <v>0</v>
      </c>
      <c r="L50" s="182">
        <f>K50/$C$46*100%</f>
        <v>0</v>
      </c>
      <c r="M50" s="181">
        <f>SUMIF('05.conso TB'!A:A,'May-26'!B50,'05.conso TB'!T:T)</f>
        <v>0</v>
      </c>
      <c r="N50" s="182">
        <f>M50/$C$46*100%</f>
        <v>0</v>
      </c>
      <c r="O50" s="180">
        <f>Q50-'Apr-26'!Q50</f>
        <v>0</v>
      </c>
      <c r="P50" s="182">
        <f t="shared" si="4"/>
        <v>0</v>
      </c>
      <c r="Q50" s="181">
        <f>Q124</f>
        <v>15.4331672</v>
      </c>
      <c r="R50" s="182">
        <f t="shared" si="5"/>
        <v>7.0831894283194937E-3</v>
      </c>
      <c r="S50" s="180">
        <f>U50-'Apr-26'!U50</f>
        <v>0</v>
      </c>
      <c r="T50" s="182">
        <f t="shared" si="6"/>
        <v>0</v>
      </c>
      <c r="U50" s="181">
        <f>U124</f>
        <v>48.769940499999997</v>
      </c>
      <c r="V50" s="182">
        <f t="shared" si="7"/>
        <v>1.0005616261634025</v>
      </c>
      <c r="W50" s="180">
        <f>Y50-'Apr-26'!Y50</f>
        <v>0</v>
      </c>
      <c r="X50" s="182">
        <f t="shared" si="8"/>
        <v>0</v>
      </c>
      <c r="Y50" s="181">
        <f>Y124</f>
        <v>0</v>
      </c>
      <c r="Z50" s="182">
        <f t="shared" si="9"/>
        <v>0</v>
      </c>
      <c r="AA50" s="185">
        <f>AA24</f>
        <v>286.0522651</v>
      </c>
      <c r="AB50" s="180">
        <f>AD50-'Apr-26'!AD50</f>
        <v>225.94475540000008</v>
      </c>
      <c r="AC50" s="182">
        <f t="shared" si="10"/>
        <v>2.4502235196228642E-2</v>
      </c>
      <c r="AD50" s="187">
        <f>E50+I50+M50+Q50+U50+Y50-AA50</f>
        <v>28.869302600000026</v>
      </c>
      <c r="AE50" s="182">
        <f t="shared" si="11"/>
        <v>1.9974661432324886E-3</v>
      </c>
      <c r="AF50" s="186"/>
      <c r="AG50" s="180">
        <f>AI50-'Apr-26'!AI50</f>
        <v>0</v>
      </c>
      <c r="AH50" s="182">
        <f t="shared" si="12"/>
        <v>0</v>
      </c>
      <c r="AI50" s="183">
        <f>AI124</f>
        <v>0</v>
      </c>
      <c r="AJ50" s="184">
        <f>AI50/$AI$46*100%</f>
        <v>0</v>
      </c>
      <c r="AK50" s="186"/>
      <c r="AL50" s="180">
        <f>AN50-'Apr-26'!AN50</f>
        <v>459.52826910000005</v>
      </c>
      <c r="AM50" s="182">
        <f t="shared" si="13"/>
        <v>0.38803712621174047</v>
      </c>
      <c r="AN50" s="181">
        <f>AN124</f>
        <v>546.42793470000004</v>
      </c>
      <c r="AO50" s="184">
        <f>AN50/$AN$46*100%</f>
        <v>0.23529114153902675</v>
      </c>
      <c r="AP50" s="545"/>
      <c r="AQ50" s="180">
        <f>AS50-'Apr-26'!AS50</f>
        <v>0</v>
      </c>
      <c r="AR50" s="182">
        <f t="shared" si="14"/>
        <v>0</v>
      </c>
      <c r="AS50" s="183">
        <f>AS124</f>
        <v>0</v>
      </c>
      <c r="AT50" s="184">
        <f>AS50/$AS$46*100%</f>
        <v>0</v>
      </c>
      <c r="AU50" s="180">
        <f>AW50-'Apr-26'!AW50</f>
        <v>0</v>
      </c>
      <c r="AV50" s="182">
        <f>AU50/$C$46*100%</f>
        <v>0</v>
      </c>
      <c r="AW50" s="183">
        <f>AW124</f>
        <v>0</v>
      </c>
      <c r="AX50" s="184">
        <f>AW50/$AW$46*100%</f>
        <v>0</v>
      </c>
      <c r="AY50" s="189">
        <f>AY24</f>
        <v>0</v>
      </c>
      <c r="AZ50" s="180">
        <f>BB50-'Apr-26'!BB50</f>
        <v>0</v>
      </c>
      <c r="BA50" s="182">
        <f t="shared" si="15"/>
        <v>0</v>
      </c>
      <c r="BB50" s="190">
        <f t="shared" si="126"/>
        <v>0</v>
      </c>
      <c r="BC50" s="184">
        <f>BB50/$BB$46*100%</f>
        <v>0</v>
      </c>
      <c r="BD50" s="191"/>
      <c r="BE50" s="180">
        <f>BG50-'Apr-26'!BG50</f>
        <v>159.31999180000003</v>
      </c>
      <c r="BF50" s="182">
        <f t="shared" si="16"/>
        <v>5.7003361044103917E-2</v>
      </c>
      <c r="BG50" s="183">
        <f>BG124</f>
        <v>575.32657180000001</v>
      </c>
      <c r="BH50" s="184">
        <f>BG50/$BG$46*100%</f>
        <v>0.12243233118200901</v>
      </c>
      <c r="BI50" s="180">
        <f>BK50-'Apr-26'!BK50</f>
        <v>0</v>
      </c>
      <c r="BJ50" s="182">
        <f t="shared" si="17"/>
        <v>0</v>
      </c>
      <c r="BK50" s="183">
        <f>BK124</f>
        <v>0</v>
      </c>
      <c r="BL50" s="184">
        <f>BK50/$BK$46*100%</f>
        <v>0</v>
      </c>
      <c r="BM50" s="180">
        <f>BO50-'Apr-26'!BO50</f>
        <v>0</v>
      </c>
      <c r="BN50" s="182">
        <f>BM50/$C$46*100%</f>
        <v>0</v>
      </c>
      <c r="BO50" s="181">
        <f>BO124</f>
        <v>0</v>
      </c>
      <c r="BP50" s="182">
        <f>BO50/$C$46*100%</f>
        <v>0</v>
      </c>
      <c r="BQ50" s="344">
        <f>BQ24</f>
        <v>250.06819280000002</v>
      </c>
      <c r="BR50" s="180">
        <f>BT50-'Apr-26'!BT50</f>
        <v>-10.32536540000001</v>
      </c>
      <c r="BS50" s="182">
        <f t="shared" si="18"/>
        <v>-3.9044730406277033E-3</v>
      </c>
      <c r="BT50" s="183">
        <f t="shared" si="19"/>
        <v>325.25837899999999</v>
      </c>
      <c r="BU50" s="182">
        <f t="shared" si="20"/>
        <v>7.2476987513643246E-2</v>
      </c>
      <c r="BV50" s="191"/>
      <c r="BW50" s="180">
        <f>BY50-'Apr-26'!BY50</f>
        <v>0</v>
      </c>
      <c r="BX50" s="182">
        <f t="shared" si="21"/>
        <v>0</v>
      </c>
      <c r="BY50" s="183">
        <f>BY124</f>
        <v>0</v>
      </c>
      <c r="BZ50" s="182">
        <f t="shared" si="22"/>
        <v>0</v>
      </c>
      <c r="CA50" s="191"/>
      <c r="CB50" s="180">
        <f>CD50-'Apr-26'!CD50</f>
        <v>0</v>
      </c>
      <c r="CC50" s="346"/>
      <c r="CD50" s="186"/>
      <c r="CE50" s="187">
        <f>AB50+AG50+AL50+AZ50+BR50+BW50</f>
        <v>675.14765910000006</v>
      </c>
      <c r="CF50" s="182">
        <f t="shared" si="23"/>
        <v>3.9936875039444791E-2</v>
      </c>
      <c r="CG50" s="187">
        <f>AD50+AI50+AN50+BB50+BT50+BY50</f>
        <v>900.5556163</v>
      </c>
      <c r="CH50" s="182">
        <f t="shared" si="24"/>
        <v>7.3637957189788092E-2</v>
      </c>
    </row>
    <row r="51" spans="1:86" s="204" customFormat="1" x14ac:dyDescent="0.35">
      <c r="B51" s="197" t="s">
        <v>478</v>
      </c>
      <c r="C51" s="180">
        <f>E51-'Apr-26'!E51</f>
        <v>-165.83024369899999</v>
      </c>
      <c r="D51" s="182">
        <f>C51/$C$46*100%</f>
        <v>-5.3082023683259705E-2</v>
      </c>
      <c r="E51" s="181">
        <f>E132</f>
        <v>-99.144551407000563</v>
      </c>
      <c r="F51" s="182">
        <f t="shared" si="1"/>
        <v>-1.5344726480837045E-2</v>
      </c>
      <c r="G51" s="180">
        <f>I51-'Apr-26'!I51</f>
        <v>154.83652289999964</v>
      </c>
      <c r="H51" s="182">
        <f t="shared" si="2"/>
        <v>0.11657558427065788</v>
      </c>
      <c r="I51" s="181">
        <f>I132</f>
        <v>-2.6233151000005819</v>
      </c>
      <c r="J51" s="182">
        <f t="shared" si="3"/>
        <v>-1.0453310067118199E-3</v>
      </c>
      <c r="K51" s="180">
        <f>M51-'Apr-26'!M51</f>
        <v>0</v>
      </c>
      <c r="L51" s="182">
        <f>K51/$C$46*100%</f>
        <v>0</v>
      </c>
      <c r="M51" s="181">
        <f>SUMIF('05.conso TB'!A:A,'May-26'!B51,'05.conso TB'!T:T)</f>
        <v>0</v>
      </c>
      <c r="N51" s="182">
        <f>M51/$C$46*100%</f>
        <v>0</v>
      </c>
      <c r="O51" s="180">
        <f>Q51-'Apr-26'!Q51</f>
        <v>5.6409202999999479</v>
      </c>
      <c r="P51" s="182">
        <f t="shared" si="4"/>
        <v>4.5416064331359994E-3</v>
      </c>
      <c r="Q51" s="181">
        <f>Q132</f>
        <v>-149.58631760448719</v>
      </c>
      <c r="R51" s="182">
        <f t="shared" si="5"/>
        <v>-6.8653971653812304E-2</v>
      </c>
      <c r="S51" s="180">
        <f>U51-'Apr-26'!U51</f>
        <v>0</v>
      </c>
      <c r="T51" s="182">
        <f t="shared" si="6"/>
        <v>0</v>
      </c>
      <c r="U51" s="181">
        <f>U132</f>
        <v>0</v>
      </c>
      <c r="V51" s="182">
        <f t="shared" si="7"/>
        <v>0</v>
      </c>
      <c r="W51" s="180">
        <f>Y51-'Apr-26'!Y51</f>
        <v>0</v>
      </c>
      <c r="X51" s="182">
        <f t="shared" si="8"/>
        <v>0</v>
      </c>
      <c r="Y51" s="181">
        <f>Y132</f>
        <v>0</v>
      </c>
      <c r="Z51" s="182">
        <f t="shared" si="9"/>
        <v>0</v>
      </c>
      <c r="AA51" s="185"/>
      <c r="AB51" s="180">
        <f>AD51-'Apr-26'!AD51</f>
        <v>-5.3528004990004092</v>
      </c>
      <c r="AC51" s="182">
        <f t="shared" si="10"/>
        <v>-5.8047630516055797E-4</v>
      </c>
      <c r="AD51" s="187">
        <f>E51+I51+M51+Q51+U51+Y51</f>
        <v>-251.35418411148834</v>
      </c>
      <c r="AE51" s="182">
        <f t="shared" si="11"/>
        <v>-1.7391188130832194E-2</v>
      </c>
      <c r="AF51" s="186"/>
      <c r="AG51" s="180">
        <f>AI51-'Apr-26'!AI51</f>
        <v>24.079956999999862</v>
      </c>
      <c r="AH51" s="182">
        <f t="shared" si="12"/>
        <v>6.5522089792792421E-2</v>
      </c>
      <c r="AI51" s="183">
        <f>AI132</f>
        <v>48.255238501199678</v>
      </c>
      <c r="AJ51" s="184">
        <f>AI51/$AI$46*100%</f>
        <v>6.5386265261162119E-2</v>
      </c>
      <c r="AK51" s="186"/>
      <c r="AL51" s="180">
        <f>AN51-'Apr-26'!AN51</f>
        <v>2.2500646965854685</v>
      </c>
      <c r="AM51" s="182">
        <f t="shared" si="13"/>
        <v>1.900010722655924E-3</v>
      </c>
      <c r="AN51" s="181">
        <f>AN132</f>
        <v>-95.012191255643756</v>
      </c>
      <c r="AO51" s="184">
        <f>AN51/$AN$46*100%</f>
        <v>-4.091212312002019E-2</v>
      </c>
      <c r="AP51" s="545"/>
      <c r="AQ51" s="180">
        <f>AS51-'Apr-26'!AS51</f>
        <v>-498.90356655799997</v>
      </c>
      <c r="AR51" s="182">
        <f t="shared" si="14"/>
        <v>-0.24470128036823446</v>
      </c>
      <c r="AS51" s="183">
        <f>AS132</f>
        <v>-997.56394331000001</v>
      </c>
      <c r="AT51" s="184">
        <f>AS51/$AS$46*100%</f>
        <v>-0.2577325312904144</v>
      </c>
      <c r="AU51" s="180">
        <f>AW51-'Apr-26'!AW51</f>
        <v>-140.59837331037102</v>
      </c>
      <c r="AV51" s="182">
        <f>AU51/$C$46*100%</f>
        <v>-4.5005338081969597E-2</v>
      </c>
      <c r="AW51" s="183">
        <f>AW132</f>
        <v>-214.35475814928554</v>
      </c>
      <c r="AX51" s="184">
        <f>AW51/$AW$46*100%</f>
        <v>-0.11604101429223075</v>
      </c>
      <c r="AY51" s="195"/>
      <c r="AZ51" s="180">
        <f>BB51-'Apr-26'!BB51</f>
        <v>-639.50193986837098</v>
      </c>
      <c r="BA51" s="182">
        <f t="shared" si="15"/>
        <v>-0.2106947696926485</v>
      </c>
      <c r="BB51" s="190">
        <f t="shared" si="126"/>
        <v>-1211.9187014592856</v>
      </c>
      <c r="BC51" s="184">
        <f>BB51/$BB$46*100%</f>
        <v>-0.21195644999087687</v>
      </c>
      <c r="BD51" s="191"/>
      <c r="BE51" s="180">
        <f>BG51-'Apr-26'!BG51</f>
        <v>-81.862500000000011</v>
      </c>
      <c r="BF51" s="182">
        <f t="shared" si="16"/>
        <v>-2.9289718074621173E-2</v>
      </c>
      <c r="BG51" s="183">
        <f>BG132</f>
        <v>26.460320000000003</v>
      </c>
      <c r="BH51" s="184">
        <f>BG51/$BG$46*100%</f>
        <v>5.6308865611514195E-3</v>
      </c>
      <c r="BI51" s="180">
        <f>BK51-'Apr-26'!BK51</f>
        <v>-2.2591799999999997</v>
      </c>
      <c r="BJ51" s="182">
        <f t="shared" si="17"/>
        <v>-0.11754860047037334</v>
      </c>
      <c r="BK51" s="183">
        <f>BK132</f>
        <v>7.6110299999999986</v>
      </c>
      <c r="BL51" s="184">
        <f>BK51/$BK$46*100%</f>
        <v>0.19717835850059945</v>
      </c>
      <c r="BM51" s="180">
        <f>BO51-'Apr-26'!BO51</f>
        <v>0</v>
      </c>
      <c r="BN51" s="182">
        <f>BM51/$C$46*100%</f>
        <v>0</v>
      </c>
      <c r="BO51" s="181">
        <f>BO132</f>
        <v>0</v>
      </c>
      <c r="BP51" s="182">
        <f>BO51/$C$46*100%</f>
        <v>0</v>
      </c>
      <c r="BQ51" s="192"/>
      <c r="BR51" s="180">
        <f>BT51-'Apr-26'!BT51</f>
        <v>-84.121679999999998</v>
      </c>
      <c r="BS51" s="182">
        <f t="shared" si="18"/>
        <v>-3.1810092812048114E-2</v>
      </c>
      <c r="BT51" s="183">
        <f t="shared" si="19"/>
        <v>34.071350000000002</v>
      </c>
      <c r="BU51" s="182">
        <f t="shared" si="20"/>
        <v>7.5920836109281877E-3</v>
      </c>
      <c r="BV51" s="191"/>
      <c r="BW51" s="180">
        <f>BY51-'Apr-26'!BY51</f>
        <v>0</v>
      </c>
      <c r="BX51" s="182">
        <f t="shared" si="21"/>
        <v>0</v>
      </c>
      <c r="BY51" s="183">
        <f>BY132</f>
        <v>0</v>
      </c>
      <c r="BZ51" s="182">
        <f t="shared" si="22"/>
        <v>0</v>
      </c>
      <c r="CA51" s="191"/>
      <c r="CB51" s="180">
        <f>CD51-'Apr-26'!CD51</f>
        <v>0</v>
      </c>
      <c r="CC51" s="346"/>
      <c r="CD51" s="186"/>
      <c r="CE51" s="187">
        <f>AB51+AG51+AL51+AZ51+BR51+BW51</f>
        <v>-702.64639867078608</v>
      </c>
      <c r="CF51" s="182">
        <f t="shared" si="23"/>
        <v>-4.1563502505567805E-2</v>
      </c>
      <c r="CG51" s="187">
        <f>AD51+AI51+AN51+BB51+BT51+BY51</f>
        <v>-1475.958488325218</v>
      </c>
      <c r="CH51" s="182">
        <f t="shared" si="24"/>
        <v>-0.12068834618315259</v>
      </c>
    </row>
    <row r="52" spans="1:86" s="204" customFormat="1" ht="15.5" x14ac:dyDescent="0.35">
      <c r="B52" s="197" t="s">
        <v>479</v>
      </c>
      <c r="C52" s="180">
        <f>E52-'Apr-26'!E52</f>
        <v>36.410483150000118</v>
      </c>
      <c r="D52" s="182">
        <f>C52/$C$46*100%</f>
        <v>1.1654943548146578E-2</v>
      </c>
      <c r="E52" s="181">
        <f>E140</f>
        <v>70.512800150000146</v>
      </c>
      <c r="F52" s="182">
        <f t="shared" si="1"/>
        <v>1.0913354454123619E-2</v>
      </c>
      <c r="G52" s="180">
        <f>I52-'Apr-26'!I52</f>
        <v>14.770487500000002</v>
      </c>
      <c r="H52" s="182">
        <f t="shared" si="2"/>
        <v>1.1120620497187315E-2</v>
      </c>
      <c r="I52" s="181">
        <f>I140</f>
        <v>44.499429000000035</v>
      </c>
      <c r="J52" s="182">
        <f t="shared" si="3"/>
        <v>1.7732003644800761E-2</v>
      </c>
      <c r="K52" s="180">
        <f>M52-'Apr-26'!M52</f>
        <v>0</v>
      </c>
      <c r="L52" s="182">
        <f>K52/$C$46*100%</f>
        <v>0</v>
      </c>
      <c r="M52" s="181">
        <f>SUMIF('05.conso TB'!A:A,'May-26'!B52,'05.conso TB'!T:T)</f>
        <v>0</v>
      </c>
      <c r="N52" s="182">
        <f>M52/$C$46*100%</f>
        <v>0</v>
      </c>
      <c r="O52" s="180">
        <f>Q52-'Apr-26'!Q52</f>
        <v>13.481975900000009</v>
      </c>
      <c r="P52" s="182">
        <f t="shared" si="4"/>
        <v>1.0854581384322184E-2</v>
      </c>
      <c r="Q52" s="181">
        <f>Q140</f>
        <v>24.750572500000004</v>
      </c>
      <c r="R52" s="182">
        <f t="shared" si="5"/>
        <v>1.1359495507626926E-2</v>
      </c>
      <c r="S52" s="180">
        <f>U52-'Apr-26'!U52</f>
        <v>0</v>
      </c>
      <c r="T52" s="182">
        <f t="shared" si="6"/>
        <v>0</v>
      </c>
      <c r="U52" s="181">
        <f>U140</f>
        <v>0</v>
      </c>
      <c r="V52" s="182">
        <f t="shared" si="7"/>
        <v>0</v>
      </c>
      <c r="W52" s="180">
        <f>Y52-'Apr-26'!Y52</f>
        <v>0</v>
      </c>
      <c r="X52" s="182">
        <f t="shared" si="8"/>
        <v>0</v>
      </c>
      <c r="Y52" s="181">
        <f>Y140</f>
        <v>0</v>
      </c>
      <c r="Z52" s="182">
        <f t="shared" si="9"/>
        <v>0</v>
      </c>
      <c r="AA52" s="185"/>
      <c r="AB52" s="180">
        <f>AD52-'Apr-26'!AD52</f>
        <v>64.662946550000143</v>
      </c>
      <c r="AC52" s="182">
        <f t="shared" si="10"/>
        <v>7.0122748458770574E-3</v>
      </c>
      <c r="AD52" s="187">
        <f>E52+I52+M52+Q52+U52+Y52</f>
        <v>139.7628016500002</v>
      </c>
      <c r="AE52" s="182">
        <f t="shared" si="11"/>
        <v>9.6701838713344236E-3</v>
      </c>
      <c r="AF52" s="511">
        <f>AG52/$AG$1*10^5</f>
        <v>7.6437014222006887</v>
      </c>
      <c r="AG52" s="180">
        <f>AI52-'Apr-26'!AI52</f>
        <v>28.092819399999968</v>
      </c>
      <c r="AH52" s="182">
        <f t="shared" si="12"/>
        <v>7.6441176172345707E-2</v>
      </c>
      <c r="AI52" s="183">
        <f>AI140</f>
        <v>54.716383299999961</v>
      </c>
      <c r="AJ52" s="184">
        <f>AI52/$AI$46*100%</f>
        <v>7.4141172310158057E-2</v>
      </c>
      <c r="AK52" s="437">
        <f>AL52/$AL$1*10^5</f>
        <v>3.3392375414379516</v>
      </c>
      <c r="AL52" s="180">
        <f>AN52-'Apr-26'!AN52</f>
        <v>14.746874399999939</v>
      </c>
      <c r="AM52" s="182">
        <f t="shared" si="13"/>
        <v>1.2452628374721813E-2</v>
      </c>
      <c r="AN52" s="181">
        <f>AN140</f>
        <v>29.170035899999988</v>
      </c>
      <c r="AO52" s="184">
        <f>AN52/$AN$46*100%</f>
        <v>1.2560578641378505E-2</v>
      </c>
      <c r="AP52" s="546">
        <f t="shared" ref="AP52:AP53" si="127">AQ52/$AQ$1*10^5</f>
        <v>3.1773539969013034</v>
      </c>
      <c r="AQ52" s="180">
        <f>AS52-'Apr-26'!AS52</f>
        <v>18.969597700000008</v>
      </c>
      <c r="AR52" s="182">
        <f t="shared" si="14"/>
        <v>9.304172502283917E-3</v>
      </c>
      <c r="AS52" s="183">
        <f>AS140</f>
        <v>27.260608399999995</v>
      </c>
      <c r="AT52" s="184">
        <f>AS52/$AS$46*100%</f>
        <v>7.0431030056439907E-3</v>
      </c>
      <c r="AU52" s="180">
        <f>AW52-'Apr-26'!AW52</f>
        <v>0</v>
      </c>
      <c r="AV52" s="182">
        <f>AU52/$C$46*100%</f>
        <v>0</v>
      </c>
      <c r="AW52" s="183">
        <f>AW140</f>
        <v>0</v>
      </c>
      <c r="AX52" s="184">
        <f>AW52/$AW$46*100%</f>
        <v>0</v>
      </c>
      <c r="AY52" s="195"/>
      <c r="AZ52" s="180">
        <f>BB52-'Apr-26'!BB52</f>
        <v>18.969597700000008</v>
      </c>
      <c r="BA52" s="182">
        <f t="shared" si="15"/>
        <v>6.2498559728940912E-3</v>
      </c>
      <c r="BB52" s="190">
        <f t="shared" si="126"/>
        <v>27.260608399999995</v>
      </c>
      <c r="BC52" s="184">
        <f>BB52/$BB$46*100%</f>
        <v>4.7676975147739244E-3</v>
      </c>
      <c r="BD52" s="191"/>
      <c r="BE52" s="180">
        <f>BG52-'Apr-26'!BG52</f>
        <v>10.446037699999991</v>
      </c>
      <c r="BF52" s="182">
        <f t="shared" si="16"/>
        <v>3.7375049531820294E-3</v>
      </c>
      <c r="BG52" s="183">
        <f>BG140</f>
        <v>9.1025262999999939</v>
      </c>
      <c r="BH52" s="184">
        <f>BG52/$BG$46*100%</f>
        <v>1.9370624775209562E-3</v>
      </c>
      <c r="BI52" s="180">
        <f>BK52-'Apr-26'!BK52</f>
        <v>-0.3495145000000015</v>
      </c>
      <c r="BJ52" s="182">
        <f t="shared" si="17"/>
        <v>-1.8185775511071488E-2</v>
      </c>
      <c r="BK52" s="183">
        <f>BK140</f>
        <v>-0.4959744999999991</v>
      </c>
      <c r="BL52" s="184">
        <f>BK52/$BK$46*100%</f>
        <v>-1.2849172551961482E-2</v>
      </c>
      <c r="BM52" s="180">
        <f>BO52-'Apr-26'!BO52</f>
        <v>0</v>
      </c>
      <c r="BN52" s="182">
        <f>BM52/$C$46*100%</f>
        <v>0</v>
      </c>
      <c r="BO52" s="181">
        <f>BO140</f>
        <v>0</v>
      </c>
      <c r="BP52" s="182">
        <f>BO52/$C$46*100%</f>
        <v>0</v>
      </c>
      <c r="BQ52" s="192"/>
      <c r="BR52" s="180">
        <f>BT52-'Apr-26'!BT52</f>
        <v>10.096523199999989</v>
      </c>
      <c r="BS52" s="182">
        <f t="shared" si="18"/>
        <v>3.8179377785963944E-3</v>
      </c>
      <c r="BT52" s="183">
        <f t="shared" si="19"/>
        <v>8.6065517999999948</v>
      </c>
      <c r="BU52" s="182">
        <f t="shared" si="20"/>
        <v>1.9177890182626883E-3</v>
      </c>
      <c r="BV52" s="191"/>
      <c r="BW52" s="180">
        <f>BY52-'Apr-26'!BY52</f>
        <v>0</v>
      </c>
      <c r="BX52" s="182">
        <f t="shared" si="21"/>
        <v>0</v>
      </c>
      <c r="BY52" s="183">
        <f>BY140</f>
        <v>0</v>
      </c>
      <c r="BZ52" s="182">
        <f t="shared" si="22"/>
        <v>0</v>
      </c>
      <c r="CA52" s="191"/>
      <c r="CB52" s="180">
        <f>CD52-'Apr-26'!CD52</f>
        <v>0</v>
      </c>
      <c r="CC52" s="346"/>
      <c r="CD52" s="528"/>
      <c r="CE52" s="187">
        <f>AB52+AG52+AL52+AZ52+BR52+BW52</f>
        <v>136.56876125000005</v>
      </c>
      <c r="CF52" s="182">
        <f t="shared" si="23"/>
        <v>8.0784247398615061E-3</v>
      </c>
      <c r="CG52" s="187">
        <f>AD52+AI52+AN52+BB52+BT52+BY52</f>
        <v>259.51638105000012</v>
      </c>
      <c r="CH52" s="182">
        <f t="shared" si="24"/>
        <v>2.1220517436029721E-2</v>
      </c>
    </row>
    <row r="53" spans="1:86" ht="15.5" x14ac:dyDescent="0.35">
      <c r="A53" s="218"/>
      <c r="B53" s="280" t="s">
        <v>481</v>
      </c>
      <c r="C53" s="148">
        <f t="shared" ref="C53:AD53" si="128">SUM(C49:C52)</f>
        <v>2371.6512779879495</v>
      </c>
      <c r="D53" s="151">
        <f t="shared" si="128"/>
        <v>0.75916217994045354</v>
      </c>
      <c r="E53" s="149">
        <f t="shared" si="128"/>
        <v>4584.8942758244484</v>
      </c>
      <c r="F53" s="182">
        <f t="shared" si="1"/>
        <v>0.70960983339639117</v>
      </c>
      <c r="G53" s="148">
        <f t="shared" ref="G53" si="129">SUM(G49:G52)</f>
        <v>828.76261782000051</v>
      </c>
      <c r="H53" s="182">
        <f t="shared" si="2"/>
        <v>0.62397091193040943</v>
      </c>
      <c r="I53" s="149">
        <f t="shared" si="128"/>
        <v>1494.0467088500002</v>
      </c>
      <c r="J53" s="182">
        <f t="shared" si="3"/>
        <v>0.59534340736890723</v>
      </c>
      <c r="K53" s="148">
        <f t="shared" ref="K53" si="130">SUM(K49:K52)</f>
        <v>0</v>
      </c>
      <c r="L53" s="151">
        <f t="shared" ref="L53" si="131">SUM(L49:L52)</f>
        <v>0</v>
      </c>
      <c r="M53" s="149">
        <f t="shared" si="128"/>
        <v>0</v>
      </c>
      <c r="N53" s="151">
        <f t="shared" ref="N53" si="132">SUM(N49:N52)</f>
        <v>0</v>
      </c>
      <c r="O53" s="148">
        <f t="shared" ref="O53" si="133">SUM(O49:O52)</f>
        <v>827.56451632197582</v>
      </c>
      <c r="P53" s="182">
        <f t="shared" si="4"/>
        <v>0.66628708282990656</v>
      </c>
      <c r="Q53" s="149">
        <f t="shared" si="128"/>
        <v>1516.6538765186754</v>
      </c>
      <c r="R53" s="182">
        <f t="shared" si="5"/>
        <v>0.69608179353988076</v>
      </c>
      <c r="S53" s="148">
        <f t="shared" ref="S53" si="134">SUM(S49:S52)</f>
        <v>0</v>
      </c>
      <c r="T53" s="182">
        <f t="shared" si="6"/>
        <v>0</v>
      </c>
      <c r="U53" s="152">
        <f t="shared" si="128"/>
        <v>48.769940499999997</v>
      </c>
      <c r="V53" s="182">
        <f t="shared" si="7"/>
        <v>1.0005616261634025</v>
      </c>
      <c r="W53" s="148">
        <f t="shared" ref="W53" si="135">SUM(W49:W52)</f>
        <v>3780.8800959999999</v>
      </c>
      <c r="X53" s="182">
        <f t="shared" si="8"/>
        <v>1.0165983523667235</v>
      </c>
      <c r="Y53" s="149">
        <f t="shared" si="128"/>
        <v>3819.5416998000001</v>
      </c>
      <c r="Z53" s="182">
        <f t="shared" si="9"/>
        <v>1.0068344674761196</v>
      </c>
      <c r="AA53" s="154">
        <f t="shared" si="128"/>
        <v>603.62492220000013</v>
      </c>
      <c r="AB53" s="152">
        <f t="shared" si="128"/>
        <v>7593.4645593299265</v>
      </c>
      <c r="AC53" s="182">
        <f t="shared" si="10"/>
        <v>0.82346170973317701</v>
      </c>
      <c r="AD53" s="152">
        <f t="shared" si="128"/>
        <v>10860.281579293127</v>
      </c>
      <c r="AE53" s="182">
        <f t="shared" si="11"/>
        <v>0.75142254252478768</v>
      </c>
      <c r="AF53" s="511">
        <f>AG53/$AG$1*10^5</f>
        <v>34.977847207728118</v>
      </c>
      <c r="AG53" s="148">
        <f t="shared" ref="AG53" si="136">SUM(AG49:AG52)</f>
        <v>128.55373206409109</v>
      </c>
      <c r="AH53" s="182">
        <f t="shared" si="12"/>
        <v>0.34979751730877273</v>
      </c>
      <c r="AI53" s="152">
        <f t="shared" ref="AI53:AJ53" si="137">SUM(AI49:AI52)</f>
        <v>257.52560399546388</v>
      </c>
      <c r="AJ53" s="153">
        <f t="shared" si="137"/>
        <v>0.34894941932511148</v>
      </c>
      <c r="AK53" s="437">
        <f>AL53/$AL$1*10^5</f>
        <v>240.60924856518685</v>
      </c>
      <c r="AL53" s="148">
        <f t="shared" ref="AL53" si="138">SUM(AL49:AL52)</f>
        <v>1062.5881878835207</v>
      </c>
      <c r="AM53" s="182">
        <f t="shared" si="13"/>
        <v>0.89727595558029682</v>
      </c>
      <c r="AN53" s="149">
        <f>SUM(AN49:AN52)</f>
        <v>1858.3105617819012</v>
      </c>
      <c r="AO53" s="153">
        <f>SUM(AO49:AO52)</f>
        <v>0.80018605501153495</v>
      </c>
      <c r="AP53" s="546">
        <f t="shared" si="127"/>
        <v>64.576552434822617</v>
      </c>
      <c r="AQ53" s="148">
        <f t="shared" ref="AQ53" si="139">SUM(AQ49:AQ52)</f>
        <v>385.53816217399969</v>
      </c>
      <c r="AR53" s="182">
        <f t="shared" si="14"/>
        <v>0.18909803063880495</v>
      </c>
      <c r="AS53" s="152">
        <f t="shared" ref="AS53:AY53" si="140">SUM(AS49:AS52)</f>
        <v>1136.9310222499998</v>
      </c>
      <c r="AT53" s="153">
        <f t="shared" si="140"/>
        <v>0.29373967677180929</v>
      </c>
      <c r="AU53" s="148">
        <f t="shared" ref="AU53" si="141">SUM(AU49:AU52)</f>
        <v>452.12629899423882</v>
      </c>
      <c r="AV53" s="151">
        <f t="shared" si="140"/>
        <v>0.14472498125612696</v>
      </c>
      <c r="AW53" s="152">
        <f t="shared" si="140"/>
        <v>923.23408868865886</v>
      </c>
      <c r="AX53" s="153">
        <f t="shared" si="140"/>
        <v>0.49979305803878366</v>
      </c>
      <c r="AY53" s="157">
        <f t="shared" si="140"/>
        <v>0</v>
      </c>
      <c r="AZ53" s="148">
        <f t="shared" ref="AZ53" si="142">SUM(AZ49:AZ52)</f>
        <v>837.66446116823852</v>
      </c>
      <c r="BA53" s="182">
        <f t="shared" si="15"/>
        <v>0.27598277616153261</v>
      </c>
      <c r="BB53" s="157">
        <f>SUM(BB49:BB52)</f>
        <v>2060.1651109386589</v>
      </c>
      <c r="BC53" s="153">
        <f>SUM(BC49:BC52)</f>
        <v>0.36030905603141966</v>
      </c>
      <c r="BD53" s="178"/>
      <c r="BE53" s="148">
        <f t="shared" ref="BE53" si="143">SUM(BE49:BE52)</f>
        <v>2370.2413471</v>
      </c>
      <c r="BF53" s="182">
        <f t="shared" si="16"/>
        <v>0.84805253718576024</v>
      </c>
      <c r="BG53" s="152">
        <f t="shared" ref="BG53:CC53" si="144">SUM(BG49:BG52)</f>
        <v>4032.7918486000008</v>
      </c>
      <c r="BH53" s="153">
        <f t="shared" si="144"/>
        <v>0.85819798944996606</v>
      </c>
      <c r="BI53" s="148">
        <f t="shared" ref="BI53" si="145">SUM(BI49:BI52)</f>
        <v>1.6805428999999963</v>
      </c>
      <c r="BJ53" s="182">
        <f t="shared" si="17"/>
        <v>8.7441224659133912E-2</v>
      </c>
      <c r="BK53" s="152">
        <f t="shared" si="144"/>
        <v>14.965406300000001</v>
      </c>
      <c r="BL53" s="153">
        <f t="shared" si="144"/>
        <v>0.38770760968338452</v>
      </c>
      <c r="BM53" s="148">
        <f t="shared" ref="BM53" si="146">SUM(BM49:BM52)</f>
        <v>0</v>
      </c>
      <c r="BN53" s="151">
        <f t="shared" si="144"/>
        <v>0</v>
      </c>
      <c r="BO53" s="149">
        <f t="shared" si="144"/>
        <v>0</v>
      </c>
      <c r="BP53" s="151">
        <f t="shared" si="144"/>
        <v>0</v>
      </c>
      <c r="BQ53" s="164">
        <f t="shared" si="144"/>
        <v>250.06819280000002</v>
      </c>
      <c r="BR53" s="148">
        <f t="shared" ref="BR53" si="147">SUM(BR49:BR52)</f>
        <v>2202.2765327999996</v>
      </c>
      <c r="BS53" s="182">
        <f t="shared" si="18"/>
        <v>0.83277724489291605</v>
      </c>
      <c r="BT53" s="183">
        <f t="shared" si="19"/>
        <v>3797.6890621000007</v>
      </c>
      <c r="BU53" s="182">
        <f t="shared" si="20"/>
        <v>0.84623511800297468</v>
      </c>
      <c r="BV53" s="159"/>
      <c r="BW53" s="148">
        <f t="shared" ref="BW53" si="148">SUM(BW49:BW52)</f>
        <v>397.16708830000016</v>
      </c>
      <c r="BX53" s="182">
        <f t="shared" si="21"/>
        <v>0.87766371761341444</v>
      </c>
      <c r="BY53" s="152">
        <f t="shared" ref="BY53" si="149">SUM(BY49:BY52)</f>
        <v>2050.8490572000001</v>
      </c>
      <c r="BZ53" s="182">
        <f t="shared" si="22"/>
        <v>0.94907886878855685</v>
      </c>
      <c r="CA53" s="178"/>
      <c r="CB53" s="148">
        <f t="shared" ref="CB53" si="150">SUM(CB49:CB52)</f>
        <v>9180.8743045598931</v>
      </c>
      <c r="CC53" s="361">
        <f t="shared" si="144"/>
        <v>16274.814484654771</v>
      </c>
      <c r="CD53" s="528"/>
      <c r="CE53" s="152">
        <f>SUM(CE49:CE52)</f>
        <v>12221.714561545778</v>
      </c>
      <c r="CF53" s="182">
        <f t="shared" si="23"/>
        <v>0.72294864780079404</v>
      </c>
      <c r="CG53" s="152">
        <f>SUM(CG49:CG52)</f>
        <v>4610.0064906543803</v>
      </c>
      <c r="CH53" s="182">
        <f t="shared" si="24"/>
        <v>0.3769577963415478</v>
      </c>
    </row>
    <row r="54" spans="1:86" x14ac:dyDescent="0.35">
      <c r="B54" s="86" t="s">
        <v>482</v>
      </c>
      <c r="C54" s="136"/>
      <c r="D54" s="402"/>
      <c r="E54" s="134"/>
      <c r="F54" s="182">
        <f t="shared" si="1"/>
        <v>0</v>
      </c>
      <c r="G54" s="136"/>
      <c r="H54" s="182">
        <f t="shared" si="2"/>
        <v>0</v>
      </c>
      <c r="I54" s="134"/>
      <c r="J54" s="182">
        <f t="shared" si="3"/>
        <v>0</v>
      </c>
      <c r="K54" s="136"/>
      <c r="L54" s="402"/>
      <c r="M54" s="134"/>
      <c r="N54" s="402"/>
      <c r="O54" s="136"/>
      <c r="P54" s="182">
        <f t="shared" si="4"/>
        <v>0</v>
      </c>
      <c r="Q54" s="134"/>
      <c r="R54" s="182">
        <f t="shared" si="5"/>
        <v>0</v>
      </c>
      <c r="S54" s="136"/>
      <c r="T54" s="182">
        <f t="shared" si="6"/>
        <v>0</v>
      </c>
      <c r="U54" s="131"/>
      <c r="V54" s="182">
        <f t="shared" si="7"/>
        <v>0</v>
      </c>
      <c r="W54" s="136"/>
      <c r="X54" s="182">
        <f t="shared" si="8"/>
        <v>0</v>
      </c>
      <c r="Y54" s="134"/>
      <c r="Z54" s="182">
        <f t="shared" si="9"/>
        <v>0</v>
      </c>
      <c r="AA54" s="176"/>
      <c r="AB54" s="136"/>
      <c r="AC54" s="182">
        <f t="shared" si="10"/>
        <v>0</v>
      </c>
      <c r="AD54" s="131"/>
      <c r="AE54" s="182">
        <f t="shared" si="11"/>
        <v>0</v>
      </c>
      <c r="AF54" s="139"/>
      <c r="AG54" s="136"/>
      <c r="AH54" s="182">
        <f t="shared" si="12"/>
        <v>0</v>
      </c>
      <c r="AI54" s="131"/>
      <c r="AJ54" s="132"/>
      <c r="AK54" s="139"/>
      <c r="AL54" s="136"/>
      <c r="AM54" s="182">
        <f t="shared" si="13"/>
        <v>0</v>
      </c>
      <c r="AN54" s="134"/>
      <c r="AO54" s="132"/>
      <c r="AP54" s="139"/>
      <c r="AQ54" s="136"/>
      <c r="AR54" s="182">
        <f t="shared" si="14"/>
        <v>0</v>
      </c>
      <c r="AS54" s="131"/>
      <c r="AT54" s="132"/>
      <c r="AU54" s="136"/>
      <c r="AV54" s="402"/>
      <c r="AW54" s="131"/>
      <c r="AX54" s="132"/>
      <c r="AY54" s="142"/>
      <c r="AZ54" s="136"/>
      <c r="BA54" s="182">
        <f t="shared" si="15"/>
        <v>0</v>
      </c>
      <c r="BB54" s="143"/>
      <c r="BC54" s="132"/>
      <c r="BD54" s="178"/>
      <c r="BE54" s="136"/>
      <c r="BF54" s="182">
        <f t="shared" si="16"/>
        <v>0</v>
      </c>
      <c r="BG54" s="131"/>
      <c r="BH54" s="132"/>
      <c r="BI54" s="136"/>
      <c r="BJ54" s="182">
        <f t="shared" si="17"/>
        <v>0</v>
      </c>
      <c r="BK54" s="131"/>
      <c r="BL54" s="132"/>
      <c r="BM54" s="136"/>
      <c r="BN54" s="402"/>
      <c r="BO54" s="134"/>
      <c r="BP54" s="402"/>
      <c r="BQ54" s="147"/>
      <c r="BR54" s="136"/>
      <c r="BS54" s="182">
        <f t="shared" si="18"/>
        <v>0</v>
      </c>
      <c r="BT54" s="183">
        <f t="shared" si="19"/>
        <v>0</v>
      </c>
      <c r="BU54" s="182">
        <f t="shared" si="20"/>
        <v>0</v>
      </c>
      <c r="BV54" s="144"/>
      <c r="BW54" s="136"/>
      <c r="BX54" s="182">
        <f t="shared" si="21"/>
        <v>0</v>
      </c>
      <c r="BY54" s="131"/>
      <c r="BZ54" s="182">
        <f t="shared" si="22"/>
        <v>0</v>
      </c>
      <c r="CA54" s="178"/>
      <c r="CB54" s="136"/>
      <c r="CC54" s="521"/>
      <c r="CD54" s="139"/>
      <c r="CE54" s="129"/>
      <c r="CF54" s="182">
        <f t="shared" si="23"/>
        <v>0</v>
      </c>
      <c r="CG54" s="131"/>
      <c r="CH54" s="182">
        <f t="shared" si="24"/>
        <v>0</v>
      </c>
    </row>
    <row r="55" spans="1:86" s="204" customFormat="1" x14ac:dyDescent="0.35">
      <c r="B55" s="197" t="s">
        <v>441</v>
      </c>
      <c r="C55" s="180">
        <f>E55-'Apr-26'!E55</f>
        <v>58.084747699999994</v>
      </c>
      <c r="D55" s="182">
        <f>C55/$C$46*100%</f>
        <v>1.8592844611891247E-2</v>
      </c>
      <c r="E55" s="181">
        <f>SUMIF('05.conso TB'!A:A,'May-26'!B55,'05.conso TB'!R:R)/10^5</f>
        <v>118.54095769999999</v>
      </c>
      <c r="F55" s="182">
        <f t="shared" si="1"/>
        <v>1.8346732592654975E-2</v>
      </c>
      <c r="G55" s="180">
        <f>I55-'Apr-26'!I55</f>
        <v>10.005020000000002</v>
      </c>
      <c r="H55" s="182">
        <f t="shared" si="2"/>
        <v>7.5327256792823549E-3</v>
      </c>
      <c r="I55" s="181">
        <f>SUMIF('05.conso TB'!A:A,'May-26'!B55,'05.conso TB'!S:S)/10^5</f>
        <v>185.38622000000001</v>
      </c>
      <c r="J55" s="182">
        <f t="shared" si="3"/>
        <v>7.3872164263856802E-2</v>
      </c>
      <c r="K55" s="180">
        <f>M55-'Apr-26'!M55</f>
        <v>2.4283800000000002</v>
      </c>
      <c r="L55" s="182">
        <f>K55/$C$46*100%</f>
        <v>7.7732096267028243E-4</v>
      </c>
      <c r="M55" s="181">
        <f>SUMIF('05.conso TB'!A:A,'May-26'!B55,'05.conso TB'!T:T)/10^5</f>
        <v>4.8567600000000004</v>
      </c>
      <c r="N55" s="182">
        <f>M55/$C$46*100%</f>
        <v>1.5546419253405649E-3</v>
      </c>
      <c r="O55" s="180">
        <f>Q55-'Apr-26'!Q55</f>
        <v>10.829610000000001</v>
      </c>
      <c r="P55" s="182">
        <f t="shared" si="4"/>
        <v>8.719113873024301E-3</v>
      </c>
      <c r="Q55" s="181">
        <f>SUMIF('05.conso TB'!A:A,'May-26'!B55,'05.conso TB'!U:U)/10^5</f>
        <v>21.807210000000001</v>
      </c>
      <c r="R55" s="182">
        <f t="shared" si="5"/>
        <v>1.0008613094863844E-2</v>
      </c>
      <c r="S55" s="180">
        <f>U55-'Apr-26'!U55</f>
        <v>14.857210000000002</v>
      </c>
      <c r="T55" s="182">
        <f t="shared" si="6"/>
        <v>-632.6847735363757</v>
      </c>
      <c r="U55" s="183">
        <f>SUMIF('05.conso TB'!A:A,'May-26'!B55,'05.conso TB'!V:V)/10^5</f>
        <v>39.857210000000002</v>
      </c>
      <c r="V55" s="182">
        <f t="shared" si="7"/>
        <v>0.81770849919196087</v>
      </c>
      <c r="W55" s="180">
        <f>Y55-'Apr-26'!Y55</f>
        <v>1.0163599999999999</v>
      </c>
      <c r="X55" s="182">
        <f t="shared" si="8"/>
        <v>2.7327761663337418E-4</v>
      </c>
      <c r="Y55" s="181">
        <f>SUMIF('05.conso TB'!A:A,'May-26'!B55,'05.conso TB'!G:G)/10^5</f>
        <v>1.0163599999999999</v>
      </c>
      <c r="Z55" s="182">
        <f t="shared" si="9"/>
        <v>2.6791336756910167E-4</v>
      </c>
      <c r="AA55" s="185"/>
      <c r="AB55" s="180">
        <f>AD55-'Apr-26'!AD55</f>
        <v>97.221327700000074</v>
      </c>
      <c r="AC55" s="182">
        <f t="shared" si="10"/>
        <v>1.0543018948051316E-2</v>
      </c>
      <c r="AD55" s="187">
        <f>E55+I55+M55+Q55+U55+Y55</f>
        <v>371.46471770000005</v>
      </c>
      <c r="AE55" s="182">
        <f t="shared" si="11"/>
        <v>2.5701632190143851E-2</v>
      </c>
      <c r="AF55" s="186"/>
      <c r="AG55" s="180">
        <f>AI55-'Apr-26'!AI55</f>
        <v>51.754079999999995</v>
      </c>
      <c r="AH55" s="182">
        <f t="shared" si="12"/>
        <v>0.14082398390094222</v>
      </c>
      <c r="AI55" s="183">
        <f>SUMIF('05.conso TB'!A:A,'May-26'!B55,'05.conso TB'!Q:Q)/10^5</f>
        <v>95.766189999999995</v>
      </c>
      <c r="AJ55" s="184">
        <f>AI55/$AI$46*100%</f>
        <v>0.12976401520086106</v>
      </c>
      <c r="AK55" s="186"/>
      <c r="AL55" s="180">
        <f>AN55-'Apr-26'!AN55</f>
        <v>33.102205699999999</v>
      </c>
      <c r="AM55" s="182">
        <f t="shared" si="13"/>
        <v>2.7952327712623619E-2</v>
      </c>
      <c r="AN55" s="181">
        <f>SUMIF('05.conso TB'!A:A,'May-26'!B55,'05.conso TB'!W:W)/10^5</f>
        <v>61.517033100000006</v>
      </c>
      <c r="AO55" s="184">
        <f>AN55/$AN$46*100%</f>
        <v>2.6489152590889849E-2</v>
      </c>
      <c r="AP55" s="545"/>
      <c r="AQ55" s="180">
        <f>AS55-'Apr-26'!AS55</f>
        <v>288.57817599999998</v>
      </c>
      <c r="AR55" s="182">
        <f t="shared" si="14"/>
        <v>0.14154127949157549</v>
      </c>
      <c r="AS55" s="183">
        <f>SUMIF('05.conso TB'!A:A,'May-26'!B55,'05.conso TB'!M:M)/10^5</f>
        <v>442.56965600000001</v>
      </c>
      <c r="AT55" s="184">
        <f>AS55/$AS$46*100%</f>
        <v>0.11434314409433458</v>
      </c>
      <c r="AU55" s="180">
        <f>AW55-'Apr-26'!AW55</f>
        <v>1.4999900000000002</v>
      </c>
      <c r="AV55" s="182">
        <f>AU55/$C$46*100%</f>
        <v>4.8014465231792261E-4</v>
      </c>
      <c r="AW55" s="183">
        <f>SUMIF('05.conso TB'!A:A,'May-26'!B55,'05.conso TB'!P:P)/10^5</f>
        <v>2.5370900000000001</v>
      </c>
      <c r="AX55" s="184">
        <f>AW55/$AW$46*100%</f>
        <v>1.3734544522946341E-3</v>
      </c>
      <c r="AY55" s="195"/>
      <c r="AZ55" s="180">
        <f>BB55-'Apr-26'!BB55</f>
        <v>290.07816600000001</v>
      </c>
      <c r="BA55" s="182">
        <f t="shared" si="15"/>
        <v>9.5571175891688148E-2</v>
      </c>
      <c r="BB55" s="190">
        <f t="shared" ref="BB55:BB59" si="151">AS55+AW55</f>
        <v>445.10674599999999</v>
      </c>
      <c r="BC55" s="184">
        <f>BB55/$BB$46*100%</f>
        <v>7.7846183605840169E-2</v>
      </c>
      <c r="BD55" s="191"/>
      <c r="BE55" s="180">
        <f>BG55-'Apr-26'!BG55</f>
        <v>43.636350000000007</v>
      </c>
      <c r="BF55" s="182">
        <f t="shared" si="16"/>
        <v>1.5612721200861147E-2</v>
      </c>
      <c r="BG55" s="183">
        <f>SUMIF('05.conso TB'!A:A,'May-26'!B55,'05.conso TB'!H:H)/10^5</f>
        <v>104.00973</v>
      </c>
      <c r="BH55" s="184">
        <f>BG55/$BG$46*100%</f>
        <v>2.2133783373972329E-2</v>
      </c>
      <c r="BI55" s="180">
        <f>BK55-'Apr-26'!BK55</f>
        <v>4.1775500000000001</v>
      </c>
      <c r="BJ55" s="182">
        <f t="shared" si="17"/>
        <v>0.21736433391540658</v>
      </c>
      <c r="BK55" s="183">
        <f>SUMIF('05.conso TB'!A:A,'May-26'!B55,'05.conso TB'!I:I)/10^5</f>
        <v>13.17618</v>
      </c>
      <c r="BL55" s="184">
        <f>BK55/$BK$46*100%</f>
        <v>0.3413542639706359</v>
      </c>
      <c r="BM55" s="180">
        <f>BO55-'Apr-26'!BO55</f>
        <v>0</v>
      </c>
      <c r="BN55" s="182">
        <f>BM55/$C$46*100%</f>
        <v>0</v>
      </c>
      <c r="BO55" s="181">
        <f>SUMIF('05.conso TB'!A:A,'May-26'!B55,'05.conso TB'!J:J)/10^5</f>
        <v>0</v>
      </c>
      <c r="BP55" s="182">
        <f>BO55/$C$46*100%</f>
        <v>0</v>
      </c>
      <c r="BQ55" s="192"/>
      <c r="BR55" s="180">
        <f>BT55-'Apr-26'!BT55</f>
        <v>47.813900000000004</v>
      </c>
      <c r="BS55" s="182">
        <f t="shared" si="18"/>
        <v>1.8080530449534386E-2</v>
      </c>
      <c r="BT55" s="183">
        <f t="shared" si="19"/>
        <v>117.18591000000001</v>
      </c>
      <c r="BU55" s="182">
        <f t="shared" si="20"/>
        <v>2.6112414880616868E-2</v>
      </c>
      <c r="BV55" s="191"/>
      <c r="BW55" s="180">
        <f>BY55-'Apr-26'!BY55</f>
        <v>0.42670000000000002</v>
      </c>
      <c r="BX55" s="182">
        <f t="shared" si="21"/>
        <v>9.4292583483847499E-4</v>
      </c>
      <c r="BY55" s="183">
        <f>SUMIF('05.conso TB'!A:A,'May-26'!B55,'05.conso TB'!L:L)/10^5</f>
        <v>0.85340000000000005</v>
      </c>
      <c r="BZ55" s="182">
        <f t="shared" si="22"/>
        <v>3.9493101834123338E-4</v>
      </c>
      <c r="CA55" s="191"/>
      <c r="CB55" s="180">
        <f>CD55-'Apr-26'!CD55</f>
        <v>0</v>
      </c>
      <c r="CC55" s="346"/>
      <c r="CD55" s="186"/>
      <c r="CE55" s="187">
        <f>AB55+AG55+AL55+AZ55+BR55+BW55</f>
        <v>520.39637940000011</v>
      </c>
      <c r="CF55" s="182">
        <f t="shared" si="23"/>
        <v>3.0782903406318431E-2</v>
      </c>
      <c r="CG55" s="187">
        <f>AD55+AI55+AN55+BB55+BT55+BY55</f>
        <v>1091.8939968</v>
      </c>
      <c r="CH55" s="182">
        <f t="shared" si="24"/>
        <v>8.9283595523499487E-2</v>
      </c>
    </row>
    <row r="56" spans="1:86" s="204" customFormat="1" x14ac:dyDescent="0.35">
      <c r="B56" s="197" t="s">
        <v>426</v>
      </c>
      <c r="C56" s="180">
        <f>E56-'Apr-26'!E56</f>
        <v>1.6303400000000001</v>
      </c>
      <c r="D56" s="182">
        <f>C56/$C$46*100%</f>
        <v>5.2186950077000641E-4</v>
      </c>
      <c r="E56" s="181">
        <f>SUMIF('05.conso TB'!A:A,'May-26'!B56,'05.conso TB'!R:R)/10^5</f>
        <v>3.4419900000000001</v>
      </c>
      <c r="F56" s="182">
        <f t="shared" si="1"/>
        <v>5.3272110620540829E-4</v>
      </c>
      <c r="G56" s="180">
        <f>I56-'Apr-26'!I56</f>
        <v>3.0020499999999997</v>
      </c>
      <c r="H56" s="182">
        <f t="shared" si="2"/>
        <v>2.2602272784551744E-3</v>
      </c>
      <c r="I56" s="181">
        <f>SUMIF('05.conso TB'!A:A,'May-26'!B56,'05.conso TB'!S:S)/10^5</f>
        <v>6.3713199999999999</v>
      </c>
      <c r="J56" s="182">
        <f t="shared" si="3"/>
        <v>2.5388251490191457E-3</v>
      </c>
      <c r="K56" s="180">
        <f>M56-'Apr-26'!M56</f>
        <v>0</v>
      </c>
      <c r="L56" s="182">
        <f>K56/$C$46*100%</f>
        <v>0</v>
      </c>
      <c r="M56" s="181">
        <f>SUMIF('05.conso TB'!A:A,'May-26'!B56,'05.conso TB'!T:T)/10^5</f>
        <v>0</v>
      </c>
      <c r="N56" s="182">
        <f>M56/$C$46*100%</f>
        <v>0</v>
      </c>
      <c r="O56" s="180">
        <f>Q56-'Apr-26'!Q56</f>
        <v>0.33466000000000007</v>
      </c>
      <c r="P56" s="182">
        <f t="shared" si="4"/>
        <v>2.6944078768730484E-4</v>
      </c>
      <c r="Q56" s="181">
        <f>SUMIF('05.conso TB'!A:A,'May-26'!B56,'05.conso TB'!U:U)/10^5</f>
        <v>0.68871000000000004</v>
      </c>
      <c r="R56" s="182">
        <f t="shared" si="5"/>
        <v>3.1608958342510009E-4</v>
      </c>
      <c r="S56" s="180">
        <f>U56-'Apr-26'!U56</f>
        <v>0</v>
      </c>
      <c r="T56" s="182">
        <f t="shared" si="6"/>
        <v>0</v>
      </c>
      <c r="U56" s="183">
        <f>SUMIF('05.conso TB'!A:A,'May-26'!B56,'05.conso TB'!V:V)/10^5</f>
        <v>0.13672000000000001</v>
      </c>
      <c r="V56" s="182">
        <f t="shared" si="7"/>
        <v>2.804940586898202E-3</v>
      </c>
      <c r="W56" s="180">
        <f>Y56-'Apr-26'!Y56</f>
        <v>0</v>
      </c>
      <c r="X56" s="182">
        <f t="shared" si="8"/>
        <v>0</v>
      </c>
      <c r="Y56" s="181">
        <f>SUMIF('05.conso TB'!A:A,'May-26'!B56,'05.conso TB'!G:G)/10^5</f>
        <v>0</v>
      </c>
      <c r="Z56" s="182">
        <f t="shared" si="9"/>
        <v>0</v>
      </c>
      <c r="AA56" s="185"/>
      <c r="AB56" s="180">
        <f>AD56-'Apr-26'!AD56</f>
        <v>4.9670499999999995</v>
      </c>
      <c r="AC56" s="182">
        <f t="shared" si="10"/>
        <v>5.3864417926395222E-4</v>
      </c>
      <c r="AD56" s="187">
        <f>E56+I56+M56+Q56+U56+Y56</f>
        <v>10.63874</v>
      </c>
      <c r="AE56" s="182">
        <f t="shared" si="11"/>
        <v>7.3609408758814926E-4</v>
      </c>
      <c r="AF56" s="186"/>
      <c r="AG56" s="180">
        <f>AI56-'Apr-26'!AI56</f>
        <v>1.5947100000000001</v>
      </c>
      <c r="AH56" s="182">
        <f t="shared" si="12"/>
        <v>4.3392407973761992E-3</v>
      </c>
      <c r="AI56" s="183">
        <f>SUMIF('05.conso TB'!A:A,'May-26'!B56,'05.conso TB'!Q:Q)/10^5</f>
        <v>2.99837</v>
      </c>
      <c r="AJ56" s="184">
        <f>AI56/$AI$46*100%</f>
        <v>4.0628172662795269E-3</v>
      </c>
      <c r="AK56" s="186"/>
      <c r="AL56" s="180">
        <f>AN56-'Apr-26'!AN56</f>
        <v>1.41856</v>
      </c>
      <c r="AM56" s="182">
        <f t="shared" si="13"/>
        <v>1.1978674279103812E-3</v>
      </c>
      <c r="AN56" s="181">
        <f>SUMIF('05.conso TB'!A:A,'May-26'!B56,'05.conso TB'!W:W)/10^5</f>
        <v>1.41856</v>
      </c>
      <c r="AO56" s="184">
        <f>AN56/$AN$46*100%</f>
        <v>6.108300482932865E-4</v>
      </c>
      <c r="AP56" s="545"/>
      <c r="AQ56" s="180">
        <f>AS56-'Apr-26'!AS56</f>
        <v>-1.8994800000000005</v>
      </c>
      <c r="AR56" s="182">
        <f t="shared" si="14"/>
        <v>-9.316533678855115E-4</v>
      </c>
      <c r="AS56" s="183">
        <f>SUMIF('05.conso TB'!A:A,'May-26'!B56,'05.conso TB'!M:M)/10^5</f>
        <v>8.2384199999999996</v>
      </c>
      <c r="AT56" s="184">
        <f>AS56/$AS$46*100%</f>
        <v>2.1284939724147012E-3</v>
      </c>
      <c r="AU56" s="180">
        <f>AW56-'Apr-26'!AW56</f>
        <v>0</v>
      </c>
      <c r="AV56" s="182">
        <f>AU56/$C$46*100%</f>
        <v>0</v>
      </c>
      <c r="AW56" s="183">
        <f>SUMIF('05.conso TB'!A:A,'May-26'!B56,'05.conso TB'!P:P)/10^5</f>
        <v>0</v>
      </c>
      <c r="AX56" s="184">
        <f>AW56/$AW$46*100%</f>
        <v>0</v>
      </c>
      <c r="AY56" s="195"/>
      <c r="AZ56" s="180">
        <f>BB56-'Apr-26'!BB56</f>
        <v>-1.8994800000000005</v>
      </c>
      <c r="BA56" s="182">
        <f t="shared" si="15"/>
        <v>-6.2581592984404014E-4</v>
      </c>
      <c r="BB56" s="190">
        <f t="shared" si="151"/>
        <v>8.2384199999999996</v>
      </c>
      <c r="BC56" s="184">
        <f>BB56/$BB$46*100%</f>
        <v>1.4408443855443739E-3</v>
      </c>
      <c r="BD56" s="191"/>
      <c r="BE56" s="180">
        <f>BG56-'Apr-26'!BG56</f>
        <v>1.4254631</v>
      </c>
      <c r="BF56" s="182">
        <f t="shared" si="16"/>
        <v>5.1001877935288463E-4</v>
      </c>
      <c r="BG56" s="183">
        <f>SUMIF('05.conso TB'!A:A,'May-26'!B56,'05.conso TB'!H:H)/10^5</f>
        <v>2.9043131</v>
      </c>
      <c r="BH56" s="184">
        <f>BG56/$BG$46*100%</f>
        <v>6.1805214767493425E-4</v>
      </c>
      <c r="BI56" s="180">
        <f>BK56-'Apr-26'!BK56</f>
        <v>0.21660999999999997</v>
      </c>
      <c r="BJ56" s="182">
        <f t="shared" si="17"/>
        <v>1.1270550530673771E-2</v>
      </c>
      <c r="BK56" s="183">
        <f>SUMIF('05.conso TB'!A:A,'May-26'!B56,'05.conso TB'!I:I)/10^5</f>
        <v>0.30160999999999999</v>
      </c>
      <c r="BL56" s="184">
        <f>BK56/$BK$46*100%</f>
        <v>7.8137866632198016E-3</v>
      </c>
      <c r="BM56" s="180">
        <f>BO56-'Apr-26'!BO56</f>
        <v>0</v>
      </c>
      <c r="BN56" s="182">
        <f>BM56/$C$46*100%</f>
        <v>0</v>
      </c>
      <c r="BO56" s="181">
        <f>SUMIF('05.conso TB'!A:A,'May-26'!B56,'05.conso TB'!J:J)/10^5</f>
        <v>0</v>
      </c>
      <c r="BP56" s="182">
        <f>BO56/$C$46*100%</f>
        <v>0</v>
      </c>
      <c r="BQ56" s="192"/>
      <c r="BR56" s="180">
        <f>BT56-'Apr-26'!BT56</f>
        <v>1.6420731000000002</v>
      </c>
      <c r="BS56" s="182">
        <f t="shared" si="18"/>
        <v>6.2093978288554842E-4</v>
      </c>
      <c r="BT56" s="183">
        <f t="shared" si="19"/>
        <v>3.2059231000000001</v>
      </c>
      <c r="BU56" s="182">
        <f t="shared" si="20"/>
        <v>7.1437252194016634E-4</v>
      </c>
      <c r="BV56" s="191"/>
      <c r="BW56" s="180">
        <f>BY56-'Apr-26'!BY56</f>
        <v>0</v>
      </c>
      <c r="BX56" s="182">
        <f t="shared" si="21"/>
        <v>0</v>
      </c>
      <c r="BY56" s="183">
        <f>SUMIF('05.conso TB'!A:A,'May-26'!B56,'05.conso TB'!L:L)/10^5</f>
        <v>0</v>
      </c>
      <c r="BZ56" s="182">
        <f t="shared" si="22"/>
        <v>0</v>
      </c>
      <c r="CA56" s="191"/>
      <c r="CB56" s="180">
        <f>CD56-'Apr-26'!CD56</f>
        <v>0</v>
      </c>
      <c r="CC56" s="346"/>
      <c r="CD56" s="186"/>
      <c r="CE56" s="187">
        <f>AB56+AG56+AL56+AZ56+BR56+BW56</f>
        <v>7.7229130999999995</v>
      </c>
      <c r="CF56" s="182">
        <f t="shared" si="23"/>
        <v>4.5683194077328197E-4</v>
      </c>
      <c r="CG56" s="187">
        <f>AD56+AI56+AN56+BB56+BT56+BY56</f>
        <v>26.500013099999997</v>
      </c>
      <c r="CH56" s="182">
        <f t="shared" si="24"/>
        <v>2.1668920773645541E-3</v>
      </c>
    </row>
    <row r="57" spans="1:86" s="204" customFormat="1" x14ac:dyDescent="0.35">
      <c r="B57" s="197" t="s">
        <v>444</v>
      </c>
      <c r="C57" s="180">
        <f>E57-'Apr-26'!E57</f>
        <v>0</v>
      </c>
      <c r="D57" s="182">
        <f>C57/$C$46*100%</f>
        <v>0</v>
      </c>
      <c r="E57" s="181">
        <f>SUMIF('05.conso TB'!A:A,'May-26'!B57,'05.conso TB'!R:R)/10^5</f>
        <v>0</v>
      </c>
      <c r="F57" s="182">
        <f t="shared" si="1"/>
        <v>0</v>
      </c>
      <c r="G57" s="180">
        <f>I57-'Apr-26'!I57</f>
        <v>0</v>
      </c>
      <c r="H57" s="182">
        <f t="shared" si="2"/>
        <v>0</v>
      </c>
      <c r="I57" s="181">
        <f>SUMIF('05.conso TB'!A:A,'May-26'!B57,'05.conso TB'!S:S)/10^5</f>
        <v>0</v>
      </c>
      <c r="J57" s="182">
        <f t="shared" si="3"/>
        <v>0</v>
      </c>
      <c r="K57" s="180">
        <f>M57-'Apr-26'!M57</f>
        <v>0</v>
      </c>
      <c r="L57" s="182">
        <f>K57/$C$46*100%</f>
        <v>0</v>
      </c>
      <c r="M57" s="181">
        <f>SUMIF('05.conso TB'!A:A,'May-26'!B57,'05.conso TB'!T:T)/10^5</f>
        <v>0</v>
      </c>
      <c r="N57" s="182">
        <f>M57/$C$46*100%</f>
        <v>0</v>
      </c>
      <c r="O57" s="180">
        <f>Q57-'Apr-26'!Q57</f>
        <v>0</v>
      </c>
      <c r="P57" s="182">
        <f t="shared" si="4"/>
        <v>0</v>
      </c>
      <c r="Q57" s="181">
        <f>SUMIF('05.conso TB'!A:A,'May-26'!B57,'05.conso TB'!U:U)/10^5</f>
        <v>0</v>
      </c>
      <c r="R57" s="182">
        <f t="shared" si="5"/>
        <v>0</v>
      </c>
      <c r="S57" s="180">
        <f>U57-'Apr-26'!U57</f>
        <v>0</v>
      </c>
      <c r="T57" s="182">
        <f t="shared" si="6"/>
        <v>0</v>
      </c>
      <c r="U57" s="183">
        <f>SUMIF('05.conso TB'!A:A,'May-26'!B57,'05.conso TB'!V:V)/10^5</f>
        <v>0</v>
      </c>
      <c r="V57" s="182">
        <f t="shared" si="7"/>
        <v>0</v>
      </c>
      <c r="W57" s="180">
        <f>Y57-'Apr-26'!Y57</f>
        <v>0</v>
      </c>
      <c r="X57" s="182">
        <f t="shared" si="8"/>
        <v>0</v>
      </c>
      <c r="Y57" s="181">
        <f>SUMIF('05.conso TB'!A:A,'May-26'!B57,'05.conso TB'!G:G)/10^5</f>
        <v>0</v>
      </c>
      <c r="Z57" s="182">
        <f t="shared" si="9"/>
        <v>0</v>
      </c>
      <c r="AA57" s="185"/>
      <c r="AB57" s="180">
        <f>AD57-'Apr-26'!AD57</f>
        <v>0</v>
      </c>
      <c r="AC57" s="182">
        <f t="shared" si="10"/>
        <v>0</v>
      </c>
      <c r="AD57" s="187">
        <f>E57+I57+M57+Q57+U57+Y57</f>
        <v>0</v>
      </c>
      <c r="AE57" s="182">
        <f t="shared" si="11"/>
        <v>0</v>
      </c>
      <c r="AF57" s="186"/>
      <c r="AG57" s="180">
        <f>AI57-'Apr-26'!AI57</f>
        <v>0</v>
      </c>
      <c r="AH57" s="182">
        <f t="shared" si="12"/>
        <v>0</v>
      </c>
      <c r="AI57" s="183">
        <f>SUMIF('05.conso TB'!A:A,'May-26'!B57,'05.conso TB'!Q:Q)/10^5</f>
        <v>1.2997399999999999</v>
      </c>
      <c r="AJ57" s="184">
        <f>AI57/$AI$46*100%</f>
        <v>1.7611589342456575E-3</v>
      </c>
      <c r="AK57" s="186"/>
      <c r="AL57" s="180">
        <f>AN57-'Apr-26'!AN57</f>
        <v>0.50261</v>
      </c>
      <c r="AM57" s="182">
        <f t="shared" si="13"/>
        <v>4.2441641378724676E-4</v>
      </c>
      <c r="AN57" s="181">
        <f>SUMIF('05.conso TB'!A:A,'May-26'!B57,'05.conso TB'!W:W)/10^5</f>
        <v>0.50261</v>
      </c>
      <c r="AO57" s="184">
        <f>AN57/$AN$46*100%</f>
        <v>2.1642319716662581E-4</v>
      </c>
      <c r="AP57" s="545"/>
      <c r="AQ57" s="180">
        <f>AS57-'Apr-26'!AS57</f>
        <v>0</v>
      </c>
      <c r="AR57" s="182">
        <f t="shared" si="14"/>
        <v>0</v>
      </c>
      <c r="AS57" s="183">
        <f>SUMIF('05.conso TB'!A:A,'May-26'!B57,'05.conso TB'!M:M)/10^5</f>
        <v>0</v>
      </c>
      <c r="AT57" s="184">
        <f>AS57/$AS$46*100%</f>
        <v>0</v>
      </c>
      <c r="AU57" s="180">
        <f>AW57-'Apr-26'!AW57</f>
        <v>0</v>
      </c>
      <c r="AV57" s="182">
        <f>AU57/$C$46*100%</f>
        <v>0</v>
      </c>
      <c r="AW57" s="183">
        <f>SUMIF('05.conso TB'!A:A,'May-26'!B57,'05.conso TB'!P:P)/10^5</f>
        <v>0</v>
      </c>
      <c r="AX57" s="184">
        <f>AW57/$AW$46*100%</f>
        <v>0</v>
      </c>
      <c r="AY57" s="195"/>
      <c r="AZ57" s="180">
        <f>BB57-'Apr-26'!BB57</f>
        <v>0</v>
      </c>
      <c r="BA57" s="182">
        <f t="shared" si="15"/>
        <v>0</v>
      </c>
      <c r="BB57" s="190">
        <f t="shared" si="151"/>
        <v>0</v>
      </c>
      <c r="BC57" s="184">
        <f>BB57/$BB$46*100%</f>
        <v>0</v>
      </c>
      <c r="BD57" s="191"/>
      <c r="BE57" s="180">
        <f>BG57-'Apr-26'!BG57</f>
        <v>0</v>
      </c>
      <c r="BF57" s="182">
        <f t="shared" si="16"/>
        <v>0</v>
      </c>
      <c r="BG57" s="183">
        <f>SUMIF('05.conso TB'!A:A,'May-26'!B57,'05.conso TB'!H:H)/10^5</f>
        <v>0</v>
      </c>
      <c r="BH57" s="184">
        <f>BG57/$BG$46*100%</f>
        <v>0</v>
      </c>
      <c r="BI57" s="180">
        <f>BK57-'Apr-26'!BK57</f>
        <v>0</v>
      </c>
      <c r="BJ57" s="182">
        <f t="shared" si="17"/>
        <v>0</v>
      </c>
      <c r="BK57" s="183">
        <f>SUMIF('05.conso TB'!A:A,'May-26'!B57,'05.conso TB'!I:I)/10^5</f>
        <v>0</v>
      </c>
      <c r="BL57" s="184">
        <f>BK57/$BK$46*100%</f>
        <v>0</v>
      </c>
      <c r="BM57" s="180">
        <f>BO57-'Apr-26'!BO57</f>
        <v>0</v>
      </c>
      <c r="BN57" s="182">
        <f>BM57/$C$46*100%</f>
        <v>0</v>
      </c>
      <c r="BO57" s="181">
        <f>SUMIF('05.conso TB'!A:A,'May-26'!B57,'05.conso TB'!J:J)/10^5</f>
        <v>0</v>
      </c>
      <c r="BP57" s="182">
        <f>BO57/$C$46*100%</f>
        <v>0</v>
      </c>
      <c r="BQ57" s="192"/>
      <c r="BR57" s="180">
        <f>BT57-'Apr-26'!BT57</f>
        <v>0</v>
      </c>
      <c r="BS57" s="182">
        <f t="shared" si="18"/>
        <v>0</v>
      </c>
      <c r="BT57" s="183">
        <f t="shared" si="19"/>
        <v>0</v>
      </c>
      <c r="BU57" s="182">
        <f t="shared" si="20"/>
        <v>0</v>
      </c>
      <c r="BV57" s="191"/>
      <c r="BW57" s="180">
        <f>BY57-'Apr-26'!BY57</f>
        <v>0</v>
      </c>
      <c r="BX57" s="182">
        <f t="shared" si="21"/>
        <v>0</v>
      </c>
      <c r="BY57" s="183">
        <f>SUMIF('05.conso TB'!A:A,'May-26'!B57,'05.conso TB'!L:L)/10^5</f>
        <v>0</v>
      </c>
      <c r="BZ57" s="182">
        <f t="shared" si="22"/>
        <v>0</v>
      </c>
      <c r="CA57" s="191"/>
      <c r="CB57" s="180">
        <f>CD57-'Apr-26'!CD57</f>
        <v>0</v>
      </c>
      <c r="CC57" s="346"/>
      <c r="CD57" s="186"/>
      <c r="CE57" s="187">
        <f>AB57+AG57+AL57+AZ57+BR57+BW57</f>
        <v>0.50261</v>
      </c>
      <c r="CF57" s="182">
        <f t="shared" si="23"/>
        <v>2.9730789247396718E-5</v>
      </c>
      <c r="CG57" s="187">
        <f>AD57+AI57+AN57+BB57+BT57+BY57</f>
        <v>1.8023499999999999</v>
      </c>
      <c r="CH57" s="182">
        <f t="shared" si="24"/>
        <v>1.4737720773572011E-4</v>
      </c>
    </row>
    <row r="58" spans="1:86" s="204" customFormat="1" x14ac:dyDescent="0.35">
      <c r="B58" s="197" t="s">
        <v>427</v>
      </c>
      <c r="C58" s="180">
        <f>E58-'Apr-26'!E58</f>
        <v>1.3415600000000003</v>
      </c>
      <c r="D58" s="182">
        <f>C58/$C$46*100%</f>
        <v>4.2943143605199521E-4</v>
      </c>
      <c r="E58" s="181">
        <f>SUMIF('05.conso TB'!A:A,'May-26'!B58,'05.conso TB'!R:R)/10^5</f>
        <v>5.0218600000000002</v>
      </c>
      <c r="F58" s="182">
        <f t="shared" si="1"/>
        <v>7.7723956618371687E-4</v>
      </c>
      <c r="G58" s="180">
        <f>I58-'Apr-26'!I58</f>
        <v>2.4081700000000001</v>
      </c>
      <c r="H58" s="182">
        <f t="shared" si="2"/>
        <v>1.81309822459899E-3</v>
      </c>
      <c r="I58" s="181">
        <f>SUMIF('05.conso TB'!A:A,'May-26'!B58,'05.conso TB'!S:S)/10^5</f>
        <v>4.5836300000000003</v>
      </c>
      <c r="J58" s="182">
        <f t="shared" si="3"/>
        <v>1.8264716130721149E-3</v>
      </c>
      <c r="K58" s="180">
        <f>M58-'Apr-26'!M58</f>
        <v>0</v>
      </c>
      <c r="L58" s="182">
        <f>K58/$C$46*100%</f>
        <v>0</v>
      </c>
      <c r="M58" s="181">
        <f>SUMIF('05.conso TB'!A:A,'May-26'!B58,'05.conso TB'!T:T)/10^5</f>
        <v>0</v>
      </c>
      <c r="N58" s="182">
        <f>M58/$C$46*100%</f>
        <v>0</v>
      </c>
      <c r="O58" s="180">
        <f>Q58-'Apr-26'!Q58</f>
        <v>0.31197000000000003</v>
      </c>
      <c r="P58" s="182">
        <f t="shared" si="4"/>
        <v>2.5117266041596988E-4</v>
      </c>
      <c r="Q58" s="181">
        <f>SUMIF('05.conso TB'!A:A,'May-26'!B58,'05.conso TB'!U:U)/10^5</f>
        <v>0.77927000000000002</v>
      </c>
      <c r="R58" s="182">
        <f t="shared" si="5"/>
        <v>3.5765290133100687E-4</v>
      </c>
      <c r="S58" s="180">
        <f>U58-'Apr-26'!U58</f>
        <v>0.40751999999999999</v>
      </c>
      <c r="T58" s="182">
        <f t="shared" si="6"/>
        <v>-17.353978230875367</v>
      </c>
      <c r="U58" s="183">
        <f>SUMIF('05.conso TB'!A:A,'May-26'!B58,'05.conso TB'!V:V)/10^5</f>
        <v>0.57877999999999996</v>
      </c>
      <c r="V58" s="182">
        <f t="shared" si="7"/>
        <v>1.1874221129936668E-2</v>
      </c>
      <c r="W58" s="180">
        <f>Y58-'Apr-26'!Y58</f>
        <v>0.34286</v>
      </c>
      <c r="X58" s="182">
        <f t="shared" si="8"/>
        <v>9.2187771694004762E-5</v>
      </c>
      <c r="Y58" s="181">
        <f>SUMIF('05.conso TB'!A:A,'May-26'!B58,'05.conso TB'!G:G)/10^5</f>
        <v>0.73404999999999998</v>
      </c>
      <c r="Z58" s="182">
        <f t="shared" si="9"/>
        <v>1.9349620947705447E-4</v>
      </c>
      <c r="AA58" s="185"/>
      <c r="AB58" s="180">
        <f>AD58-'Apr-26'!AD58</f>
        <v>4.8120799999999999</v>
      </c>
      <c r="AC58" s="182">
        <f t="shared" si="10"/>
        <v>5.2183869342013452E-4</v>
      </c>
      <c r="AD58" s="187">
        <f>E58+I58+M58+Q58+U58+Y58</f>
        <v>11.69759</v>
      </c>
      <c r="AE58" s="182">
        <f t="shared" si="11"/>
        <v>8.0935588594422455E-4</v>
      </c>
      <c r="AF58" s="186"/>
      <c r="AG58" s="180">
        <f>AI58-'Apr-26'!AI58</f>
        <v>1.69658</v>
      </c>
      <c r="AH58" s="182">
        <f t="shared" si="12"/>
        <v>4.6164312959801543E-3</v>
      </c>
      <c r="AI58" s="183">
        <f>SUMIF('05.conso TB'!A:A,'May-26'!B58,'05.conso TB'!Q:Q)/10^5</f>
        <v>2.99037</v>
      </c>
      <c r="AJ58" s="184">
        <f>AI58/$AI$46*100%</f>
        <v>4.0519771971318777E-3</v>
      </c>
      <c r="AK58" s="186"/>
      <c r="AL58" s="180">
        <f>AN58-'Apr-26'!AN58</f>
        <v>5.7137000000000002</v>
      </c>
      <c r="AM58" s="182">
        <f t="shared" si="13"/>
        <v>4.8247907193573383E-3</v>
      </c>
      <c r="AN58" s="181">
        <f>SUMIF('05.conso TB'!A:A,'May-26'!B58,'05.conso TB'!W:W)/10^5</f>
        <v>6.0954100000000002</v>
      </c>
      <c r="AO58" s="184">
        <f>AN58/$AN$46*100%</f>
        <v>2.62467543471364E-3</v>
      </c>
      <c r="AP58" s="545"/>
      <c r="AQ58" s="180">
        <f>AS58-'Apr-26'!AS58</f>
        <v>3.4243424</v>
      </c>
      <c r="AR58" s="182">
        <f t="shared" si="14"/>
        <v>1.6795650018705934E-3</v>
      </c>
      <c r="AS58" s="183">
        <f>SUMIF('05.conso TB'!A:A,'May-26'!B58,'05.conso TB'!M:M)/10^5</f>
        <v>6.0554123999999998</v>
      </c>
      <c r="AT58" s="184">
        <f>AS58/$AS$46*100%</f>
        <v>1.5644879471895389E-3</v>
      </c>
      <c r="AU58" s="180">
        <f>AW58-'Apr-26'!AW58</f>
        <v>0</v>
      </c>
      <c r="AV58" s="182">
        <f>AU58/$C$46*100%</f>
        <v>0</v>
      </c>
      <c r="AW58" s="183">
        <f>SUMIF('05.conso TB'!A:A,'May-26'!B58,'05.conso TB'!P:P)/10^5</f>
        <v>0</v>
      </c>
      <c r="AX58" s="184">
        <f>AW58/$AW$46*100%</f>
        <v>0</v>
      </c>
      <c r="AY58" s="195"/>
      <c r="AZ58" s="180">
        <f>BB58-'Apr-26'!BB58</f>
        <v>3.4243424</v>
      </c>
      <c r="BA58" s="182">
        <f t="shared" si="15"/>
        <v>1.1282077322005873E-3</v>
      </c>
      <c r="BB58" s="190">
        <f t="shared" si="151"/>
        <v>6.0554123999999998</v>
      </c>
      <c r="BC58" s="184">
        <f>BB58/$BB$46*100%</f>
        <v>1.0590510023397426E-3</v>
      </c>
      <c r="BD58" s="191"/>
      <c r="BE58" s="180">
        <f>BG58-'Apr-26'!BG58</f>
        <v>0.25688</v>
      </c>
      <c r="BF58" s="182">
        <f t="shared" si="16"/>
        <v>9.1909516310993258E-5</v>
      </c>
      <c r="BG58" s="183">
        <f>SUMIF('05.conso TB'!A:A,'May-26'!B58,'05.conso TB'!H:H)/10^5</f>
        <v>0.36718000000000001</v>
      </c>
      <c r="BH58" s="184">
        <f>BG58/$BG$46*100%</f>
        <v>7.81377144162874E-5</v>
      </c>
      <c r="BI58" s="180">
        <f>BK58-'Apr-26'!BK58</f>
        <v>-4.0050000000000009E-2</v>
      </c>
      <c r="BJ58" s="182">
        <f t="shared" si="17"/>
        <v>-2.0838629276279243E-3</v>
      </c>
      <c r="BK58" s="183">
        <f>SUMIF('05.conso TB'!A:A,'May-26'!B58,'05.conso TB'!I:I)/10^5</f>
        <v>-8.8650000000000007E-2</v>
      </c>
      <c r="BL58" s="184">
        <f>BK58/$BK$46*100%</f>
        <v>-2.2966486114334257E-3</v>
      </c>
      <c r="BM58" s="180">
        <f>BO58-'Apr-26'!BO58</f>
        <v>0</v>
      </c>
      <c r="BN58" s="182">
        <f>BM58/$C$46*100%</f>
        <v>0</v>
      </c>
      <c r="BO58" s="181">
        <f>SUMIF('05.conso TB'!A:A,'May-26'!B58,'05.conso TB'!J:J)/10^5</f>
        <v>0</v>
      </c>
      <c r="BP58" s="182">
        <f>BO58/$C$46*100%</f>
        <v>0</v>
      </c>
      <c r="BQ58" s="192"/>
      <c r="BR58" s="180">
        <f>BT58-'Apr-26'!BT58</f>
        <v>0.21682999999999999</v>
      </c>
      <c r="BS58" s="182">
        <f t="shared" si="18"/>
        <v>8.1992922923512622E-5</v>
      </c>
      <c r="BT58" s="183">
        <f t="shared" si="19"/>
        <v>0.27853</v>
      </c>
      <c r="BU58" s="182">
        <f t="shared" si="20"/>
        <v>6.2064551247656104E-5</v>
      </c>
      <c r="BV58" s="191"/>
      <c r="BW58" s="180">
        <f>BY58-'Apr-26'!BY58</f>
        <v>0</v>
      </c>
      <c r="BX58" s="182">
        <f t="shared" si="21"/>
        <v>0</v>
      </c>
      <c r="BY58" s="183">
        <f>SUMIF('05.conso TB'!A:A,'May-26'!B58,'05.conso TB'!L:L)/10^5</f>
        <v>0</v>
      </c>
      <c r="BZ58" s="182">
        <f t="shared" si="22"/>
        <v>0</v>
      </c>
      <c r="CA58" s="191"/>
      <c r="CB58" s="180">
        <f>CD58-'Apr-26'!CD58</f>
        <v>0</v>
      </c>
      <c r="CC58" s="346"/>
      <c r="CD58" s="186"/>
      <c r="CE58" s="187">
        <f>AB58+AG58+AL58+AZ58+BR58+BW58</f>
        <v>15.8635324</v>
      </c>
      <c r="CF58" s="182">
        <f t="shared" si="23"/>
        <v>9.3837237321909531E-4</v>
      </c>
      <c r="CG58" s="187">
        <f>AD58+AI58+AN58+BB58+BT58+BY58</f>
        <v>27.117312399999999</v>
      </c>
      <c r="CH58" s="182">
        <f t="shared" si="24"/>
        <v>2.2173683151492322E-3</v>
      </c>
    </row>
    <row r="59" spans="1:86" s="204" customFormat="1" x14ac:dyDescent="0.35">
      <c r="B59" s="197" t="s">
        <v>434</v>
      </c>
      <c r="C59" s="180">
        <f>E59-'Apr-26'!E59</f>
        <v>71.965710000000001</v>
      </c>
      <c r="D59" s="182">
        <f>C59/$C$46*100%</f>
        <v>2.3036120778646821E-2</v>
      </c>
      <c r="E59" s="181">
        <f>SUMIF('05.conso TB'!A:A,'May-26'!B59,'05.conso TB'!R:R)/10^5</f>
        <v>134.82776000000001</v>
      </c>
      <c r="F59" s="182">
        <f t="shared" si="1"/>
        <v>2.0867461397156093E-2</v>
      </c>
      <c r="G59" s="180">
        <f>I59-'Apr-26'!I59</f>
        <v>147.849648</v>
      </c>
      <c r="H59" s="182">
        <f t="shared" si="2"/>
        <v>0.11131520378394615</v>
      </c>
      <c r="I59" s="181">
        <f>SUMIF('05.conso TB'!A:A,'May-26'!B59,'05.conso TB'!S:S)/10^5</f>
        <v>149.338978</v>
      </c>
      <c r="J59" s="182">
        <f t="shared" si="3"/>
        <v>5.9508163626252789E-2</v>
      </c>
      <c r="K59" s="180">
        <f>M59-'Apr-26'!M59</f>
        <v>0</v>
      </c>
      <c r="L59" s="182">
        <f>K59/$C$46*100%</f>
        <v>0</v>
      </c>
      <c r="M59" s="181">
        <f>SUMIF('05.conso TB'!A:A,'May-26'!B59,'05.conso TB'!T:T)/10^5</f>
        <v>0</v>
      </c>
      <c r="N59" s="182">
        <f>M59/$C$46*100%</f>
        <v>0</v>
      </c>
      <c r="O59" s="180">
        <f>Q59-'Apr-26'!Q59</f>
        <v>71.42306099999999</v>
      </c>
      <c r="P59" s="182">
        <f t="shared" si="4"/>
        <v>5.7503991558233471E-2</v>
      </c>
      <c r="Q59" s="181">
        <f>SUMIF('05.conso TB'!A:A,'May-26'!B59,'05.conso TB'!U:U)/10^5</f>
        <v>143.48536099999998</v>
      </c>
      <c r="R59" s="182">
        <f t="shared" si="5"/>
        <v>6.5853883326930207E-2</v>
      </c>
      <c r="S59" s="180">
        <f>U59-'Apr-26'!U59</f>
        <v>0</v>
      </c>
      <c r="T59" s="182">
        <f t="shared" si="6"/>
        <v>0</v>
      </c>
      <c r="U59" s="183">
        <f>SUMIF('05.conso TB'!A:A,'May-26'!B59,'05.conso TB'!V:V)/10^5</f>
        <v>0</v>
      </c>
      <c r="V59" s="182">
        <f t="shared" si="7"/>
        <v>0</v>
      </c>
      <c r="W59" s="180">
        <f>Y59-'Apr-26'!Y59</f>
        <v>0</v>
      </c>
      <c r="X59" s="182">
        <f t="shared" si="8"/>
        <v>0</v>
      </c>
      <c r="Y59" s="181">
        <f>SUMIF('05.conso TB'!A:A,'May-26'!B59,'05.conso TB'!G:G)/10^5</f>
        <v>0</v>
      </c>
      <c r="Z59" s="182">
        <f t="shared" si="9"/>
        <v>0</v>
      </c>
      <c r="AA59" s="185"/>
      <c r="AB59" s="180">
        <f>AD59-'Apr-26'!AD59</f>
        <v>291.23841900000002</v>
      </c>
      <c r="AC59" s="182">
        <f t="shared" si="10"/>
        <v>3.1582907192878276E-2</v>
      </c>
      <c r="AD59" s="187">
        <f>E59+I59+M59+Q59+U59+Y59</f>
        <v>427.65209900000002</v>
      </c>
      <c r="AE59" s="182">
        <f t="shared" si="11"/>
        <v>2.9589235343523944E-2</v>
      </c>
      <c r="AF59" s="186"/>
      <c r="AG59" s="180">
        <f>AI59-'Apr-26'!AI59</f>
        <v>99.187930000000009</v>
      </c>
      <c r="AH59" s="182">
        <f t="shared" si="12"/>
        <v>0.26989252745846876</v>
      </c>
      <c r="AI59" s="183">
        <f>SUMIF('05.conso TB'!A:A,'May-26'!B59,'05.conso TB'!Q:Q)/10^5</f>
        <v>191.72584000000001</v>
      </c>
      <c r="AJ59" s="184">
        <f>AI59/$AI$46*100%</f>
        <v>0.25979017037388513</v>
      </c>
      <c r="AK59" s="186"/>
      <c r="AL59" s="180">
        <f>AN59-'Apr-26'!AN59</f>
        <v>67.48614640000001</v>
      </c>
      <c r="AM59" s="182">
        <f t="shared" si="13"/>
        <v>5.6986984412186616E-2</v>
      </c>
      <c r="AN59" s="181">
        <f>SUMIF('05.conso TB'!A:A,'May-26'!B59,'05.conso TB'!W:W)/10^5</f>
        <v>144.09382640000001</v>
      </c>
      <c r="AO59" s="184">
        <f>AN59/$AN$46*100%</f>
        <v>6.2046609899247436E-2</v>
      </c>
      <c r="AP59" s="545"/>
      <c r="AQ59" s="180">
        <f>AS59-'Apr-26'!AS59</f>
        <v>50.873383799999992</v>
      </c>
      <c r="AR59" s="182">
        <f t="shared" si="14"/>
        <v>2.4952281336472194E-2</v>
      </c>
      <c r="AS59" s="183">
        <f>SUMIF('05.conso TB'!A:A,'May-26'!B59,'05.conso TB'!M:M)/10^5</f>
        <v>97.71728379999999</v>
      </c>
      <c r="AT59" s="184">
        <f>AS59/$AS$46*100%</f>
        <v>2.5246424626207055E-2</v>
      </c>
      <c r="AU59" s="180">
        <f>AW59-'Apr-26'!AW59</f>
        <v>0</v>
      </c>
      <c r="AV59" s="182">
        <f>AU59/$C$46*100%</f>
        <v>0</v>
      </c>
      <c r="AW59" s="183">
        <f>SUMIF('05.conso TB'!A:A,'May-26'!B59,'05.conso TB'!P:P)/10^5</f>
        <v>0</v>
      </c>
      <c r="AX59" s="184">
        <f>AW59/$AW$46*100%</f>
        <v>0</v>
      </c>
      <c r="AY59" s="195"/>
      <c r="AZ59" s="180">
        <f>BB59-'Apr-26'!BB59</f>
        <v>50.873383799999992</v>
      </c>
      <c r="BA59" s="182">
        <f t="shared" si="15"/>
        <v>1.6761099873180932E-2</v>
      </c>
      <c r="BB59" s="190">
        <f t="shared" si="151"/>
        <v>97.71728379999999</v>
      </c>
      <c r="BC59" s="184">
        <f>BB59/$BB$46*100%</f>
        <v>1.7090097340737204E-2</v>
      </c>
      <c r="BD59" s="191"/>
      <c r="BE59" s="180">
        <f>BG59-'Apr-26'!BG59</f>
        <v>25.812807000000006</v>
      </c>
      <c r="BF59" s="182">
        <f t="shared" si="16"/>
        <v>9.2356065322291396E-3</v>
      </c>
      <c r="BG59" s="183">
        <f>SUMIF('05.conso TB'!A:A,'May-26'!B59,'05.conso TB'!H:H)/10^5</f>
        <v>52.931267000000005</v>
      </c>
      <c r="BH59" s="184">
        <f>BG59/$BG$46*100%</f>
        <v>1.1264034600300283E-2</v>
      </c>
      <c r="BI59" s="180">
        <f>BK59-'Apr-26'!BK59</f>
        <v>0.88628000000000007</v>
      </c>
      <c r="BJ59" s="182">
        <f t="shared" si="17"/>
        <v>4.6114507752760957E-2</v>
      </c>
      <c r="BK59" s="183">
        <f>SUMIF('05.conso TB'!A:A,'May-26'!B59,'05.conso TB'!I:I)/10^5</f>
        <v>1.4316800000000001</v>
      </c>
      <c r="BL59" s="184">
        <f>BK59/$BK$46*100%</f>
        <v>3.7090421703519533E-2</v>
      </c>
      <c r="BM59" s="180">
        <f>BO59-'Apr-26'!BO59</f>
        <v>0</v>
      </c>
      <c r="BN59" s="182">
        <f>BM59/$C$46*100%</f>
        <v>0</v>
      </c>
      <c r="BO59" s="181">
        <f>SUMIF('05.conso TB'!A:A,'May-26'!B59,'05.conso TB'!J:J)/10^5</f>
        <v>0</v>
      </c>
      <c r="BP59" s="182">
        <f>BO59/$C$46*100%</f>
        <v>0</v>
      </c>
      <c r="BQ59" s="192"/>
      <c r="BR59" s="180">
        <f>BT59-'Apr-26'!BT59</f>
        <v>26.699087000000006</v>
      </c>
      <c r="BS59" s="182">
        <f t="shared" si="18"/>
        <v>1.0096094555731025E-2</v>
      </c>
      <c r="BT59" s="183">
        <f t="shared" si="19"/>
        <v>54.362947000000005</v>
      </c>
      <c r="BU59" s="182">
        <f t="shared" si="20"/>
        <v>1.2113639141403487E-2</v>
      </c>
      <c r="BV59" s="191"/>
      <c r="BW59" s="180">
        <f>BY59-'Apr-26'!BY59</f>
        <v>0</v>
      </c>
      <c r="BX59" s="182">
        <f t="shared" si="21"/>
        <v>0</v>
      </c>
      <c r="BY59" s="183">
        <f>SUMIF('05.conso TB'!A:A,'May-26'!B59,'05.conso TB'!L:L)/10^5</f>
        <v>0</v>
      </c>
      <c r="BZ59" s="182">
        <f t="shared" si="22"/>
        <v>0</v>
      </c>
      <c r="CA59" s="191"/>
      <c r="CB59" s="180">
        <f>CD59-'Apr-26'!CD59</f>
        <v>0</v>
      </c>
      <c r="CC59" s="346"/>
      <c r="CD59" s="186"/>
      <c r="CE59" s="187">
        <f>AB59+AG59+AL59+AZ59+BR59+BW59</f>
        <v>535.48496620000003</v>
      </c>
      <c r="CF59" s="182">
        <f t="shared" si="23"/>
        <v>3.1675435576772361E-2</v>
      </c>
      <c r="CG59" s="187">
        <f>AD59+AI59+AN59+BB59+BT59+BY59</f>
        <v>915.55199619999996</v>
      </c>
      <c r="CH59" s="182">
        <f t="shared" si="24"/>
        <v>7.4864203255095088E-2</v>
      </c>
    </row>
    <row r="60" spans="1:86" ht="15.5" x14ac:dyDescent="0.35">
      <c r="A60" s="218"/>
      <c r="B60" s="280" t="s">
        <v>486</v>
      </c>
      <c r="C60" s="148">
        <f t="shared" ref="C60:AD60" si="152">SUM(C55:C59)</f>
        <v>133.02235769999999</v>
      </c>
      <c r="D60" s="151">
        <f t="shared" si="152"/>
        <v>4.2580266327360068E-2</v>
      </c>
      <c r="E60" s="149">
        <f t="shared" si="152"/>
        <v>261.83256770000003</v>
      </c>
      <c r="F60" s="182">
        <f t="shared" si="1"/>
        <v>4.0524154662200197E-2</v>
      </c>
      <c r="G60" s="148">
        <f t="shared" ref="G60" si="153">SUM(G55:G59)</f>
        <v>163.26488800000001</v>
      </c>
      <c r="H60" s="182">
        <f t="shared" si="2"/>
        <v>0.12292125496628267</v>
      </c>
      <c r="I60" s="149">
        <f t="shared" si="152"/>
        <v>345.68014800000003</v>
      </c>
      <c r="J60" s="182">
        <f t="shared" si="3"/>
        <v>0.13774562465220086</v>
      </c>
      <c r="K60" s="148">
        <f t="shared" ref="K60" si="154">SUM(K55:K59)</f>
        <v>2.4283800000000002</v>
      </c>
      <c r="L60" s="151">
        <f t="shared" ref="L60" si="155">SUM(L55:L59)</f>
        <v>7.7732096267028243E-4</v>
      </c>
      <c r="M60" s="149">
        <f t="shared" si="152"/>
        <v>4.8567600000000004</v>
      </c>
      <c r="N60" s="151">
        <f t="shared" ref="N60" si="156">SUM(N55:N59)</f>
        <v>1.5546419253405649E-3</v>
      </c>
      <c r="O60" s="148">
        <f t="shared" ref="O60" si="157">SUM(O55:O59)</f>
        <v>82.899300999999994</v>
      </c>
      <c r="P60" s="182">
        <f t="shared" si="4"/>
        <v>6.674371887936105E-2</v>
      </c>
      <c r="Q60" s="149">
        <f t="shared" si="152"/>
        <v>166.76055099999999</v>
      </c>
      <c r="R60" s="182">
        <f t="shared" si="5"/>
        <v>7.6536238906550161E-2</v>
      </c>
      <c r="S60" s="148">
        <f t="shared" ref="S60" si="158">SUM(S55:S59)</f>
        <v>15.264730000000002</v>
      </c>
      <c r="T60" s="182">
        <f t="shared" si="6"/>
        <v>-650.03875176725103</v>
      </c>
      <c r="U60" s="152">
        <f t="shared" si="152"/>
        <v>40.572710000000001</v>
      </c>
      <c r="V60" s="182">
        <f t="shared" si="7"/>
        <v>0.83238766090879568</v>
      </c>
      <c r="W60" s="148">
        <f t="shared" ref="W60" si="159">SUM(W55:W59)</f>
        <v>1.3592199999999999</v>
      </c>
      <c r="X60" s="182">
        <f t="shared" si="8"/>
        <v>3.6546538832737892E-4</v>
      </c>
      <c r="Y60" s="149">
        <f t="shared" si="152"/>
        <v>1.75041</v>
      </c>
      <c r="Z60" s="182">
        <f t="shared" si="9"/>
        <v>4.6140957704615617E-4</v>
      </c>
      <c r="AA60" s="154">
        <f t="shared" si="152"/>
        <v>0</v>
      </c>
      <c r="AB60" s="152">
        <f t="shared" si="152"/>
        <v>398.23887670000011</v>
      </c>
      <c r="AC60" s="182">
        <f t="shared" si="10"/>
        <v>4.3186409013613682E-2</v>
      </c>
      <c r="AD60" s="152">
        <f t="shared" si="152"/>
        <v>821.45314670000005</v>
      </c>
      <c r="AE60" s="182">
        <f t="shared" si="11"/>
        <v>5.6836317507200161E-2</v>
      </c>
      <c r="AF60" s="511">
        <f>AG60/$AG$1*10^5</f>
        <v>41.964933379406794</v>
      </c>
      <c r="AG60" s="148">
        <f t="shared" ref="AG60" si="160">SUM(AG55:AG59)</f>
        <v>154.23329999999999</v>
      </c>
      <c r="AH60" s="182">
        <f t="shared" si="12"/>
        <v>0.4196721834527673</v>
      </c>
      <c r="AI60" s="152">
        <f t="shared" ref="AI60:AJ60" si="161">SUM(AI55:AI59)</f>
        <v>294.78050999999999</v>
      </c>
      <c r="AJ60" s="153">
        <f t="shared" si="161"/>
        <v>0.39943013897240326</v>
      </c>
      <c r="AK60" s="437">
        <f>AL60/$AL$1*10^5</f>
        <v>24.505738388312231</v>
      </c>
      <c r="AL60" s="148">
        <f t="shared" ref="AL60" si="162">SUM(AL55:AL59)</f>
        <v>108.22322210000002</v>
      </c>
      <c r="AM60" s="182">
        <f t="shared" si="13"/>
        <v>9.1386386685865212E-2</v>
      </c>
      <c r="AN60" s="149">
        <f>SUM(AN55:AN59)</f>
        <v>213.62743950000001</v>
      </c>
      <c r="AO60" s="153">
        <f>SUM(AO55:AO59)</f>
        <v>9.1987691170310831E-2</v>
      </c>
      <c r="AP60" s="546">
        <f>AQ60/$AQ$1*10^5</f>
        <v>57.112586943595325</v>
      </c>
      <c r="AQ60" s="148">
        <f t="shared" ref="AQ60" si="163">SUM(AQ55:AQ59)</f>
        <v>340.9764222</v>
      </c>
      <c r="AR60" s="182">
        <f t="shared" si="14"/>
        <v>0.16724147246203278</v>
      </c>
      <c r="AS60" s="152">
        <f t="shared" ref="AS60:AX60" si="164">SUM(AS55:AS59)</f>
        <v>554.58077220000007</v>
      </c>
      <c r="AT60" s="153">
        <f t="shared" si="164"/>
        <v>0.14328255064014586</v>
      </c>
      <c r="AU60" s="148">
        <f t="shared" ref="AU60" si="165">SUM(AU55:AU59)</f>
        <v>1.4999900000000002</v>
      </c>
      <c r="AV60" s="151">
        <f t="shared" si="164"/>
        <v>4.8014465231792261E-4</v>
      </c>
      <c r="AW60" s="152">
        <f t="shared" si="164"/>
        <v>2.5370900000000001</v>
      </c>
      <c r="AX60" s="153">
        <f t="shared" si="164"/>
        <v>1.3734544522946341E-3</v>
      </c>
      <c r="AY60" s="163"/>
      <c r="AZ60" s="148">
        <f t="shared" ref="AZ60" si="166">SUM(AZ55:AZ59)</f>
        <v>342.47641220000003</v>
      </c>
      <c r="BA60" s="182">
        <f t="shared" si="15"/>
        <v>0.11283466756722563</v>
      </c>
      <c r="BB60" s="157">
        <f>SUM(BB55:BB59)</f>
        <v>557.11786219999999</v>
      </c>
      <c r="BC60" s="153">
        <f>SUM(BC55:BC59)</f>
        <v>9.7436176334461486E-2</v>
      </c>
      <c r="BD60" s="178"/>
      <c r="BE60" s="148">
        <f t="shared" ref="BE60" si="167">SUM(BE55:BE59)</f>
        <v>71.131500100000011</v>
      </c>
      <c r="BF60" s="182">
        <f t="shared" si="16"/>
        <v>2.5450256028754163E-2</v>
      </c>
      <c r="BG60" s="152">
        <f t="shared" ref="BG60:BP60" si="168">SUM(BG55:BG59)</f>
        <v>160.21249010000002</v>
      </c>
      <c r="BH60" s="153">
        <f t="shared" si="168"/>
        <v>3.4094007836363835E-2</v>
      </c>
      <c r="BI60" s="148">
        <f t="shared" ref="BI60" si="169">SUM(BI55:BI59)</f>
        <v>5.2403900000000005</v>
      </c>
      <c r="BJ60" s="182">
        <f t="shared" si="17"/>
        <v>0.2726655292712134</v>
      </c>
      <c r="BK60" s="152">
        <f t="shared" si="168"/>
        <v>14.820820000000001</v>
      </c>
      <c r="BL60" s="153">
        <f t="shared" si="168"/>
        <v>0.38396182372594179</v>
      </c>
      <c r="BM60" s="148">
        <f t="shared" ref="BM60" si="170">SUM(BM55:BM59)</f>
        <v>0</v>
      </c>
      <c r="BN60" s="151">
        <f t="shared" si="168"/>
        <v>0</v>
      </c>
      <c r="BO60" s="149">
        <f t="shared" si="168"/>
        <v>0</v>
      </c>
      <c r="BP60" s="151">
        <f t="shared" si="168"/>
        <v>0</v>
      </c>
      <c r="BQ60" s="164"/>
      <c r="BR60" s="148">
        <f t="shared" ref="BR60" si="171">SUM(BR55:BR59)</f>
        <v>76.371890100000002</v>
      </c>
      <c r="BS60" s="182">
        <f t="shared" si="18"/>
        <v>2.887955771107447E-2</v>
      </c>
      <c r="BT60" s="183">
        <f t="shared" si="19"/>
        <v>175.03331010000002</v>
      </c>
      <c r="BU60" s="182">
        <f t="shared" si="20"/>
        <v>3.9002491095208182E-2</v>
      </c>
      <c r="BV60" s="159"/>
      <c r="BW60" s="148">
        <f t="shared" ref="BW60" si="172">SUM(BW55:BW59)</f>
        <v>0.42670000000000002</v>
      </c>
      <c r="BX60" s="182">
        <f t="shared" si="21"/>
        <v>9.4292583483847499E-4</v>
      </c>
      <c r="BY60" s="152">
        <f t="shared" ref="BY60" si="173">SUM(BY55:BY59)</f>
        <v>0.85340000000000005</v>
      </c>
      <c r="BZ60" s="182">
        <f t="shared" si="22"/>
        <v>3.9493101834123338E-4</v>
      </c>
      <c r="CA60" s="178"/>
      <c r="CB60" s="148">
        <f t="shared" ref="CB60" si="174">SUM(CB55:CB59)</f>
        <v>0</v>
      </c>
      <c r="CC60" s="361"/>
      <c r="CD60" s="528"/>
      <c r="CE60" s="152">
        <f>SUM(CE55:CE59)</f>
        <v>1079.9704011000003</v>
      </c>
      <c r="CF60" s="182">
        <f t="shared" si="23"/>
        <v>6.3883274086330571E-2</v>
      </c>
      <c r="CG60" s="152">
        <f>SUM(CG55:CG59)</f>
        <v>2062.8656684999996</v>
      </c>
      <c r="CH60" s="182">
        <f t="shared" si="24"/>
        <v>0.16867943637884406</v>
      </c>
    </row>
    <row r="61" spans="1:86" x14ac:dyDescent="0.35">
      <c r="B61" s="86" t="s">
        <v>487</v>
      </c>
      <c r="C61" s="136"/>
      <c r="D61" s="402"/>
      <c r="E61" s="134"/>
      <c r="F61" s="182">
        <f t="shared" si="1"/>
        <v>0</v>
      </c>
      <c r="G61" s="136"/>
      <c r="H61" s="182">
        <f t="shared" si="2"/>
        <v>0</v>
      </c>
      <c r="I61" s="134"/>
      <c r="J61" s="182">
        <f t="shared" si="3"/>
        <v>0</v>
      </c>
      <c r="K61" s="136"/>
      <c r="L61" s="402"/>
      <c r="M61" s="134"/>
      <c r="N61" s="402"/>
      <c r="O61" s="136"/>
      <c r="P61" s="182">
        <f t="shared" si="4"/>
        <v>0</v>
      </c>
      <c r="Q61" s="134"/>
      <c r="R61" s="182">
        <f t="shared" si="5"/>
        <v>0</v>
      </c>
      <c r="S61" s="136"/>
      <c r="T61" s="182">
        <f t="shared" si="6"/>
        <v>0</v>
      </c>
      <c r="U61" s="131"/>
      <c r="V61" s="182">
        <f t="shared" si="7"/>
        <v>0</v>
      </c>
      <c r="W61" s="136"/>
      <c r="X61" s="182">
        <f t="shared" si="8"/>
        <v>0</v>
      </c>
      <c r="Y61" s="134"/>
      <c r="Z61" s="182">
        <f t="shared" si="9"/>
        <v>0</v>
      </c>
      <c r="AA61" s="176"/>
      <c r="AB61" s="136"/>
      <c r="AC61" s="182">
        <f t="shared" si="10"/>
        <v>0</v>
      </c>
      <c r="AD61" s="131"/>
      <c r="AE61" s="182">
        <f t="shared" si="11"/>
        <v>0</v>
      </c>
      <c r="AF61" s="139"/>
      <c r="AG61" s="136"/>
      <c r="AH61" s="182">
        <f t="shared" si="12"/>
        <v>0</v>
      </c>
      <c r="AI61" s="131"/>
      <c r="AJ61" s="132"/>
      <c r="AK61" s="139"/>
      <c r="AL61" s="136"/>
      <c r="AM61" s="182">
        <f t="shared" si="13"/>
        <v>0</v>
      </c>
      <c r="AN61" s="134"/>
      <c r="AO61" s="132"/>
      <c r="AP61" s="139"/>
      <c r="AQ61" s="136"/>
      <c r="AR61" s="182">
        <f t="shared" si="14"/>
        <v>0</v>
      </c>
      <c r="AS61" s="131"/>
      <c r="AT61" s="132"/>
      <c r="AU61" s="136"/>
      <c r="AV61" s="402"/>
      <c r="AW61" s="131"/>
      <c r="AX61" s="132"/>
      <c r="AY61" s="142"/>
      <c r="AZ61" s="136"/>
      <c r="BA61" s="182">
        <f t="shared" si="15"/>
        <v>0</v>
      </c>
      <c r="BB61" s="143"/>
      <c r="BC61" s="132"/>
      <c r="BD61" s="178"/>
      <c r="BE61" s="136"/>
      <c r="BF61" s="182">
        <f t="shared" si="16"/>
        <v>0</v>
      </c>
      <c r="BG61" s="131"/>
      <c r="BH61" s="132"/>
      <c r="BI61" s="136"/>
      <c r="BJ61" s="182">
        <f t="shared" si="17"/>
        <v>0</v>
      </c>
      <c r="BK61" s="131"/>
      <c r="BL61" s="132"/>
      <c r="BM61" s="136"/>
      <c r="BN61" s="402"/>
      <c r="BO61" s="134"/>
      <c r="BP61" s="402"/>
      <c r="BQ61" s="147"/>
      <c r="BR61" s="136"/>
      <c r="BS61" s="182">
        <f t="shared" si="18"/>
        <v>0</v>
      </c>
      <c r="BT61" s="183">
        <f t="shared" si="19"/>
        <v>0</v>
      </c>
      <c r="BU61" s="182">
        <f t="shared" si="20"/>
        <v>0</v>
      </c>
      <c r="BV61" s="144"/>
      <c r="BW61" s="136"/>
      <c r="BX61" s="182">
        <f t="shared" si="21"/>
        <v>0</v>
      </c>
      <c r="BY61" s="131"/>
      <c r="BZ61" s="182">
        <f t="shared" si="22"/>
        <v>0</v>
      </c>
      <c r="CA61" s="178"/>
      <c r="CB61" s="136"/>
      <c r="CC61" s="521"/>
      <c r="CD61" s="139"/>
      <c r="CE61" s="129"/>
      <c r="CF61" s="182">
        <f t="shared" si="23"/>
        <v>0</v>
      </c>
      <c r="CG61" s="131"/>
      <c r="CH61" s="182">
        <f t="shared" si="24"/>
        <v>0</v>
      </c>
    </row>
    <row r="62" spans="1:86" s="204" customFormat="1" ht="15.5" x14ac:dyDescent="0.35">
      <c r="B62" s="197" t="s">
        <v>435</v>
      </c>
      <c r="C62" s="180">
        <f>E62-'Apr-26'!E62</f>
        <v>90.159499999999994</v>
      </c>
      <c r="D62" s="182">
        <f>C62/$C$46*100%</f>
        <v>2.885992691995129E-2</v>
      </c>
      <c r="E62" s="181">
        <f>SUMIF('05.conso TB'!A:A,'May-26'!B62,'05.conso TB'!R:R)/10^5</f>
        <v>203.12544449999999</v>
      </c>
      <c r="F62" s="182">
        <f t="shared" si="1"/>
        <v>3.1437979625886549E-2</v>
      </c>
      <c r="G62" s="180">
        <f>I62-'Apr-26'!I62</f>
        <v>36.010979999999996</v>
      </c>
      <c r="H62" s="182">
        <f t="shared" si="2"/>
        <v>2.7112472916808086E-2</v>
      </c>
      <c r="I62" s="181">
        <f>SUMIF('05.conso TB'!A:A,'May-26'!B62,'05.conso TB'!S:S)/10^5</f>
        <v>81.622519999999994</v>
      </c>
      <c r="J62" s="182">
        <f t="shared" si="3"/>
        <v>3.252470547740785E-2</v>
      </c>
      <c r="K62" s="180">
        <f>M62-'Apr-26'!M62</f>
        <v>0</v>
      </c>
      <c r="L62" s="182">
        <f>K62/$C$46*100%</f>
        <v>0</v>
      </c>
      <c r="M62" s="181">
        <f>SUMIF('05.conso TB'!A:A,'May-26'!B62,'05.conso TB'!T:T)/10^5</f>
        <v>0</v>
      </c>
      <c r="N62" s="182">
        <f>M62/$C$46*100%</f>
        <v>0</v>
      </c>
      <c r="O62" s="180">
        <f>Q62-'Apr-26'!Q62</f>
        <v>3.7824078000000005</v>
      </c>
      <c r="P62" s="182">
        <f t="shared" si="4"/>
        <v>3.0452845783380316E-3</v>
      </c>
      <c r="Q62" s="181">
        <f>SUMIF('05.conso TB'!A:A,'May-26'!B62,'05.conso TB'!U:U)/10^5</f>
        <v>9.3234203000000004</v>
      </c>
      <c r="R62" s="182">
        <f t="shared" si="5"/>
        <v>4.279066717085743E-3</v>
      </c>
      <c r="S62" s="180">
        <f>U62-'Apr-26'!U62</f>
        <v>0</v>
      </c>
      <c r="T62" s="182">
        <f t="shared" si="6"/>
        <v>0</v>
      </c>
      <c r="U62" s="183">
        <f>SUMIF('05.conso TB'!A:A,'May-26'!B62,'05.conso TB'!V:V)/10^5</f>
        <v>0</v>
      </c>
      <c r="V62" s="182">
        <f t="shared" si="7"/>
        <v>0</v>
      </c>
      <c r="W62" s="180">
        <f>Y62-'Apr-26'!Y62</f>
        <v>4.0693499999999966E-2</v>
      </c>
      <c r="X62" s="182">
        <f t="shared" si="8"/>
        <v>1.0941617824855567E-5</v>
      </c>
      <c r="Y62" s="181">
        <f>SUMIF('05.conso TB'!A:A,'May-26'!B62,'05.conso TB'!G:G)/10^5</f>
        <v>0.26654459999999996</v>
      </c>
      <c r="Z62" s="182">
        <f t="shared" si="9"/>
        <v>7.0261385132590001E-5</v>
      </c>
      <c r="AA62" s="185"/>
      <c r="AB62" s="180">
        <f>AD62-'Apr-26'!AD62</f>
        <v>129.99358129999996</v>
      </c>
      <c r="AC62" s="182">
        <f t="shared" si="10"/>
        <v>1.4096956122632211E-2</v>
      </c>
      <c r="AD62" s="187">
        <f>E62+I62+M62+Q62+U62+Y62</f>
        <v>294.33792939999995</v>
      </c>
      <c r="AE62" s="182">
        <f t="shared" si="11"/>
        <v>2.0365232121875153E-2</v>
      </c>
      <c r="AF62" s="511">
        <f>AG62/$AG$1*10^5</f>
        <v>5.8536904570795771</v>
      </c>
      <c r="AG62" s="180">
        <f>AI62-'Apr-26'!AI62</f>
        <v>21.514009999999999</v>
      </c>
      <c r="AH62" s="182">
        <f t="shared" si="12"/>
        <v>5.8540091870722274E-2</v>
      </c>
      <c r="AI62" s="183">
        <f>SUMIF('05.conso TB'!A:A,'May-26'!B62,'05.conso TB'!Q:Q)/10^5</f>
        <v>41.826639999999998</v>
      </c>
      <c r="AJ62" s="184">
        <f>AI62/$AI$46*100%</f>
        <v>5.6675458726727489E-2</v>
      </c>
      <c r="AK62" s="437">
        <f>AL62/$AL$1*10^5</f>
        <v>4.2097649357824745</v>
      </c>
      <c r="AL62" s="180">
        <f>AN62-'Apr-26'!AN62</f>
        <v>18.591332299999998</v>
      </c>
      <c r="AM62" s="182">
        <f t="shared" si="13"/>
        <v>1.5698984465675185E-2</v>
      </c>
      <c r="AN62" s="181">
        <f>SUMIF('05.conso TB'!A:A,'May-26'!B62,'05.conso TB'!W:W)/10^5</f>
        <v>57.739351099999993</v>
      </c>
      <c r="AO62" s="184">
        <f>AN62/$AN$46*100%</f>
        <v>2.4862487748728301E-2</v>
      </c>
      <c r="AP62" s="546">
        <f>AQ62/$AQ$1*10^5</f>
        <v>8.8590611783426159</v>
      </c>
      <c r="AQ62" s="180">
        <f>AS62-'Apr-26'!AS62</f>
        <v>52.890810000000002</v>
      </c>
      <c r="AR62" s="182">
        <f t="shared" si="14"/>
        <v>2.5941784734081264E-2</v>
      </c>
      <c r="AS62" s="183">
        <f>SUMIF('05.conso TB'!A:A,'May-26'!B62,'05.conso TB'!M:M)/10^5</f>
        <v>88.655280000000005</v>
      </c>
      <c r="AT62" s="184">
        <f>AS62/$AS$46*100%</f>
        <v>2.2905147965597485E-2</v>
      </c>
      <c r="AU62" s="180">
        <f>AW62-'Apr-26'!AW62</f>
        <v>0</v>
      </c>
      <c r="AV62" s="182">
        <f>AU62/$C$46*100%</f>
        <v>0</v>
      </c>
      <c r="AW62" s="183">
        <f>SUMIF('05.conso TB'!A:A,'May-26'!B62,'05.conso TB'!P:P)/10^5</f>
        <v>1.498E-2</v>
      </c>
      <c r="AX62" s="184">
        <f>AW62/$AW$46*100%</f>
        <v>8.1094276101256241E-6</v>
      </c>
      <c r="AY62" s="195"/>
      <c r="AZ62" s="180">
        <f>BB62-'Apr-26'!BB62</f>
        <v>52.890809999999995</v>
      </c>
      <c r="BA62" s="182">
        <f t="shared" si="15"/>
        <v>1.7425775180762337E-2</v>
      </c>
      <c r="BB62" s="190">
        <f t="shared" ref="BB62:BB64" si="175">AS62+AW62</f>
        <v>88.670259999999999</v>
      </c>
      <c r="BC62" s="184">
        <f>BB62/$BB$46*100%</f>
        <v>1.5507833575583654E-2</v>
      </c>
      <c r="BD62" s="191"/>
      <c r="BE62" s="180">
        <f>BG62-'Apr-26'!BG62</f>
        <v>30.330061799999996</v>
      </c>
      <c r="BF62" s="182">
        <f t="shared" si="16"/>
        <v>1.085184253239074E-2</v>
      </c>
      <c r="BG62" s="183">
        <f>SUMIF('05.conso TB'!A:A,'May-26'!B62,'05.conso TB'!H:H)/10^5</f>
        <v>115.02363779999999</v>
      </c>
      <c r="BH62" s="184">
        <f>BG62/$BG$46*100%</f>
        <v>2.4477597258943513E-2</v>
      </c>
      <c r="BI62" s="180">
        <f>BK62-'Apr-26'!BK62</f>
        <v>0</v>
      </c>
      <c r="BJ62" s="182">
        <f t="shared" si="17"/>
        <v>0</v>
      </c>
      <c r="BK62" s="183">
        <f>SUMIF('05.conso TB'!A:A,'May-26'!B62,'05.conso TB'!I:I)/10^5</f>
        <v>0</v>
      </c>
      <c r="BL62" s="184">
        <f>BK62/$BK$46*100%</f>
        <v>0</v>
      </c>
      <c r="BM62" s="180">
        <f>BO62-'Apr-26'!BO62</f>
        <v>0</v>
      </c>
      <c r="BN62" s="182">
        <f>BM62/$C$46*100%</f>
        <v>0</v>
      </c>
      <c r="BO62" s="181">
        <f>SUMIF('05.conso TB'!A:A,'May-26'!B62,'05.conso TB'!J:J)/10^5</f>
        <v>0</v>
      </c>
      <c r="BP62" s="182">
        <f>BO62/$C$46*100%</f>
        <v>0</v>
      </c>
      <c r="BQ62" s="192"/>
      <c r="BR62" s="180">
        <f>BT62-'Apr-26'!BT62</f>
        <v>30.330061799999996</v>
      </c>
      <c r="BS62" s="182">
        <f t="shared" si="18"/>
        <v>1.1469125210684749E-2</v>
      </c>
      <c r="BT62" s="183">
        <f t="shared" si="19"/>
        <v>115.02363779999999</v>
      </c>
      <c r="BU62" s="182">
        <f t="shared" si="20"/>
        <v>2.5630598007144414E-2</v>
      </c>
      <c r="BV62" s="191"/>
      <c r="BW62" s="180">
        <f>BY62-'Apr-26'!BY62</f>
        <v>0</v>
      </c>
      <c r="BX62" s="182">
        <f t="shared" si="21"/>
        <v>0</v>
      </c>
      <c r="BY62" s="183">
        <f>SUMIF('05.conso TB'!A:A,'May-26'!B62,'05.conso TB'!L:L)/10^5</f>
        <v>0</v>
      </c>
      <c r="BZ62" s="182">
        <f t="shared" si="22"/>
        <v>0</v>
      </c>
      <c r="CA62" s="191"/>
      <c r="CB62" s="180">
        <f>CD62-'Apr-26'!CD62</f>
        <v>0</v>
      </c>
      <c r="CC62" s="346"/>
      <c r="CD62" s="528"/>
      <c r="CE62" s="187">
        <f>AB62+AG62+AL62+AZ62+BR62+BW62</f>
        <v>253.31979539999992</v>
      </c>
      <c r="CF62" s="182">
        <f t="shared" si="23"/>
        <v>1.4984575414796869E-2</v>
      </c>
      <c r="CG62" s="187">
        <f>AD62+AI62+AN62+BB62+BT62+BY62</f>
        <v>597.59781829999986</v>
      </c>
      <c r="CH62" s="182">
        <f t="shared" si="24"/>
        <v>4.8865258029801205E-2</v>
      </c>
    </row>
    <row r="63" spans="1:86" s="204" customFormat="1" x14ac:dyDescent="0.35">
      <c r="B63" s="197" t="s">
        <v>438</v>
      </c>
      <c r="C63" s="180">
        <f>E63-'Apr-26'!E63</f>
        <v>124.13153939999999</v>
      </c>
      <c r="D63" s="182">
        <f>C63/$C$46*100%</f>
        <v>3.9734328113455092E-2</v>
      </c>
      <c r="E63" s="181">
        <f>SUMIF('05.conso TB'!A:A,'May-26'!B63,'05.conso TB'!R:R)/10^5</f>
        <v>245.2525009</v>
      </c>
      <c r="F63" s="182">
        <f t="shared" si="1"/>
        <v>3.7958036943480628E-2</v>
      </c>
      <c r="G63" s="180">
        <f>I63-'Apr-26'!I63</f>
        <v>40.4320606</v>
      </c>
      <c r="H63" s="182">
        <f t="shared" si="2"/>
        <v>3.0441080692284503E-2</v>
      </c>
      <c r="I63" s="181">
        <f>SUMIF('05.conso TB'!A:A,'May-26'!B63,'05.conso TB'!S:S)/10^5</f>
        <v>57.166915700000004</v>
      </c>
      <c r="J63" s="182">
        <f t="shared" si="3"/>
        <v>2.2779707073419236E-2</v>
      </c>
      <c r="K63" s="180">
        <f>M63-'Apr-26'!M63</f>
        <v>0</v>
      </c>
      <c r="L63" s="182">
        <f>K63/$C$46*100%</f>
        <v>0</v>
      </c>
      <c r="M63" s="181">
        <f>SUMIF('05.conso TB'!A:A,'May-26'!B63,'05.conso TB'!T:T)/10^5</f>
        <v>0</v>
      </c>
      <c r="N63" s="182">
        <f>M63/$C$46*100%</f>
        <v>0</v>
      </c>
      <c r="O63" s="180">
        <f>Q63-'Apr-26'!Q63</f>
        <v>1.067995</v>
      </c>
      <c r="P63" s="182">
        <f t="shared" si="4"/>
        <v>8.5986199141248744E-4</v>
      </c>
      <c r="Q63" s="181">
        <f>SUMIF('05.conso TB'!A:A,'May-26'!B63,'05.conso TB'!U:U)/10^5</f>
        <v>2.453055</v>
      </c>
      <c r="R63" s="182">
        <f t="shared" si="5"/>
        <v>1.1258514223241407E-3</v>
      </c>
      <c r="S63" s="180">
        <f>U63-'Apr-26'!U63</f>
        <v>0</v>
      </c>
      <c r="T63" s="182">
        <f t="shared" si="6"/>
        <v>0</v>
      </c>
      <c r="U63" s="183">
        <f>SUMIF('05.conso TB'!A:A,'May-26'!B63,'05.conso TB'!V:V)/10^5</f>
        <v>0</v>
      </c>
      <c r="V63" s="182">
        <f t="shared" si="7"/>
        <v>0</v>
      </c>
      <c r="W63" s="180">
        <f>Y63-'Apr-26'!Y63</f>
        <v>0</v>
      </c>
      <c r="X63" s="182">
        <f t="shared" si="8"/>
        <v>0</v>
      </c>
      <c r="Y63" s="181">
        <f>SUMIF('05.conso TB'!A:A,'May-26'!B63,'05.conso TB'!G:G)/10^5</f>
        <v>0</v>
      </c>
      <c r="Z63" s="182">
        <f t="shared" si="9"/>
        <v>0</v>
      </c>
      <c r="AA63" s="185"/>
      <c r="AB63" s="180">
        <f>AD63-'Apr-26'!AD63</f>
        <v>165.63159499999998</v>
      </c>
      <c r="AC63" s="182">
        <f t="shared" si="10"/>
        <v>1.7961666290646223E-2</v>
      </c>
      <c r="AD63" s="187">
        <f>E63+I63+M63+Q63+U63+Y63</f>
        <v>304.87247159999998</v>
      </c>
      <c r="AE63" s="182">
        <f t="shared" si="11"/>
        <v>2.1094116766942884E-2</v>
      </c>
      <c r="AF63" s="186"/>
      <c r="AG63" s="180">
        <f>AI63-'Apr-26'!AI63</f>
        <v>0</v>
      </c>
      <c r="AH63" s="182">
        <f t="shared" si="12"/>
        <v>0</v>
      </c>
      <c r="AI63" s="183">
        <f>SUMIF('05.conso TB'!A:A,'May-26'!B63,'05.conso TB'!Q:Q)/10^5</f>
        <v>0.90176420000000002</v>
      </c>
      <c r="AJ63" s="184">
        <f>AI63/$AI$46*100%</f>
        <v>1.2218982853592934E-3</v>
      </c>
      <c r="AK63" s="186"/>
      <c r="AL63" s="180">
        <f>AN63-'Apr-26'!AN63</f>
        <v>4.2795498000000007</v>
      </c>
      <c r="AM63" s="182">
        <f t="shared" si="13"/>
        <v>3.6137585379119584E-3</v>
      </c>
      <c r="AN63" s="181">
        <f>SUMIF('05.conso TB'!A:A,'May-26'!B63,'05.conso TB'!W:W)/10^5</f>
        <v>8.0672677000000004</v>
      </c>
      <c r="AO63" s="184">
        <f>AN63/$AN$46*100%</f>
        <v>3.4737547363423967E-3</v>
      </c>
      <c r="AP63" s="545"/>
      <c r="AQ63" s="180">
        <f>AS63-'Apr-26'!AS63</f>
        <v>318.53975549999996</v>
      </c>
      <c r="AR63" s="182">
        <f t="shared" si="14"/>
        <v>0.15623677849569476</v>
      </c>
      <c r="AS63" s="183">
        <f>SUMIF('05.conso TB'!A:A,'May-26'!B63,'05.conso TB'!M:M)/10^5</f>
        <v>478.38760579999996</v>
      </c>
      <c r="AT63" s="184">
        <f>AS63/$AS$46*100%</f>
        <v>0.12359713821621138</v>
      </c>
      <c r="AU63" s="180">
        <f>AW63-'Apr-26'!AW63</f>
        <v>275.56306999999998</v>
      </c>
      <c r="AV63" s="182">
        <f>AU63/$C$46*100%</f>
        <v>8.8207344340168498E-2</v>
      </c>
      <c r="AW63" s="183">
        <f>SUMIF('05.conso TB'!A:A,'May-26'!B63,'05.conso TB'!P:P)/10^5</f>
        <v>538.05597999999998</v>
      </c>
      <c r="AX63" s="184">
        <f>AW63/$AW$46*100%</f>
        <v>0.29127677036082777</v>
      </c>
      <c r="AY63" s="195"/>
      <c r="AZ63" s="180">
        <f>BB63-'Apr-26'!BB63</f>
        <v>594.10282549999988</v>
      </c>
      <c r="BA63" s="182">
        <f t="shared" si="15"/>
        <v>0.19573726080993423</v>
      </c>
      <c r="BB63" s="190">
        <f t="shared" si="175"/>
        <v>1016.4435857999999</v>
      </c>
      <c r="BC63" s="184">
        <f>BB63/$BB$46*100%</f>
        <v>0.17776916372587476</v>
      </c>
      <c r="BD63" s="191"/>
      <c r="BE63" s="180">
        <f>BG63-'Apr-26'!BG63</f>
        <v>227.0836257</v>
      </c>
      <c r="BF63" s="182">
        <f t="shared" si="16"/>
        <v>8.1248622704117243E-2</v>
      </c>
      <c r="BG63" s="183">
        <f>SUMIF('05.conso TB'!A:A,'May-26'!B63,'05.conso TB'!H:H)/10^5</f>
        <v>251.8014057</v>
      </c>
      <c r="BH63" s="184">
        <f>BG63/$BG$46*100%</f>
        <v>5.3584580663996739E-2</v>
      </c>
      <c r="BI63" s="180">
        <f>BK63-'Apr-26'!BK63</f>
        <v>1.8636E-2</v>
      </c>
      <c r="BJ63" s="182">
        <f t="shared" si="17"/>
        <v>9.6965966340259641E-4</v>
      </c>
      <c r="BK63" s="183">
        <f>SUMIF('05.conso TB'!A:A,'May-26'!B63,'05.conso TB'!I:I)/10^5</f>
        <v>1.8636E-2</v>
      </c>
      <c r="BL63" s="184">
        <f>BK63/$BK$46*100%</f>
        <v>4.8280139337476949E-4</v>
      </c>
      <c r="BM63" s="180">
        <f>BO63-'Apr-26'!BO63</f>
        <v>0</v>
      </c>
      <c r="BN63" s="182">
        <f>BM63/$C$46*100%</f>
        <v>0</v>
      </c>
      <c r="BO63" s="181">
        <f>SUMIF('05.conso TB'!A:A,'May-26'!B63,'05.conso TB'!J:J)/10^5</f>
        <v>0</v>
      </c>
      <c r="BP63" s="182">
        <f>BO63/$C$46*100%</f>
        <v>0</v>
      </c>
      <c r="BQ63" s="192">
        <f>BQ27</f>
        <v>0</v>
      </c>
      <c r="BR63" s="180">
        <f>BT63-'Apr-26'!BT63</f>
        <v>227.10226169999999</v>
      </c>
      <c r="BS63" s="182">
        <f t="shared" si="18"/>
        <v>8.5877315128549986E-2</v>
      </c>
      <c r="BT63" s="183">
        <f t="shared" si="19"/>
        <v>251.82004169999999</v>
      </c>
      <c r="BU63" s="182">
        <f t="shared" si="20"/>
        <v>5.6112798920319347E-2</v>
      </c>
      <c r="BV63" s="191"/>
      <c r="BW63" s="180">
        <f>BY63-'Apr-26'!BY63</f>
        <v>0</v>
      </c>
      <c r="BX63" s="182">
        <f t="shared" si="21"/>
        <v>0</v>
      </c>
      <c r="BY63" s="183">
        <f>SUMIF('05.conso TB'!A:A,'May-26'!B63,'05.conso TB'!L:L)/10^5</f>
        <v>0</v>
      </c>
      <c r="BZ63" s="182">
        <f t="shared" si="22"/>
        <v>0</v>
      </c>
      <c r="CA63" s="191"/>
      <c r="CB63" s="180">
        <f>CC63-'Apr-26'!CC63</f>
        <v>848.41750445180071</v>
      </c>
      <c r="CC63" s="187">
        <f>+CC28</f>
        <v>1375.3983402098006</v>
      </c>
      <c r="CD63" s="186"/>
      <c r="CE63" s="444">
        <f>AB63+AG63+AL63+AZ63+BR63+BW63-CA63</f>
        <v>991.11623199999985</v>
      </c>
      <c r="CF63" s="182">
        <f t="shared" si="23"/>
        <v>5.8627301114713093E-2</v>
      </c>
      <c r="CG63" s="444">
        <f>AD63+AI63+AN63+BB63+BT63+BY63-CC63</f>
        <v>206.70679079019942</v>
      </c>
      <c r="CH63" s="182">
        <f t="shared" si="24"/>
        <v>1.6902305127567484E-2</v>
      </c>
    </row>
    <row r="64" spans="1:86" s="204" customFormat="1" x14ac:dyDescent="0.35">
      <c r="B64" s="197" t="s">
        <v>422</v>
      </c>
      <c r="C64" s="180">
        <f>E64-'Apr-26'!E64</f>
        <v>8.3444167</v>
      </c>
      <c r="D64" s="182">
        <f>C64/$C$46*100%</f>
        <v>2.6710358437172024E-3</v>
      </c>
      <c r="E64" s="181">
        <f>SUMIF('05.conso TB'!A:A,'May-26'!B64,'05.conso TB'!R:R)/10^5</f>
        <v>17.1654746</v>
      </c>
      <c r="F64" s="182">
        <f t="shared" si="1"/>
        <v>2.6567220176272554E-3</v>
      </c>
      <c r="G64" s="180">
        <f>I64-'Apr-26'!I64</f>
        <v>7.9387643999999984</v>
      </c>
      <c r="H64" s="182">
        <f t="shared" si="2"/>
        <v>5.9770529651767372E-3</v>
      </c>
      <c r="I64" s="181">
        <f>SUMIF('05.conso TB'!A:A,'May-26'!B64,'05.conso TB'!S:S)/10^5</f>
        <v>17.598174799999999</v>
      </c>
      <c r="J64" s="182">
        <f t="shared" si="3"/>
        <v>7.0124697486666767E-3</v>
      </c>
      <c r="K64" s="180">
        <f>M64-'Apr-26'!M64</f>
        <v>5.0210000000000019E-2</v>
      </c>
      <c r="L64" s="182">
        <f>K64/$C$46*100%</f>
        <v>1.6072149142916219E-5</v>
      </c>
      <c r="M64" s="181">
        <f>SUMIF('05.conso TB'!A:A,'May-26'!B64,'05.conso TB'!T:T)/10^5</f>
        <v>0.12518000000000001</v>
      </c>
      <c r="N64" s="182">
        <f>M64/$C$46*100%</f>
        <v>4.006993885103071E-5</v>
      </c>
      <c r="O64" s="180">
        <f>Q64-'Apr-26'!Q64</f>
        <v>4.9398499999999999</v>
      </c>
      <c r="P64" s="182">
        <f t="shared" si="4"/>
        <v>3.9771621199340594E-3</v>
      </c>
      <c r="Q64" s="181">
        <f>SUMIF('05.conso TB'!A:A,'May-26'!B64,'05.conso TB'!U:U)/10^5</f>
        <v>10.11192</v>
      </c>
      <c r="R64" s="182">
        <f t="shared" si="5"/>
        <v>4.6409556713681204E-3</v>
      </c>
      <c r="S64" s="180">
        <f>U64-'Apr-26'!U64</f>
        <v>3.2612003999999999</v>
      </c>
      <c r="T64" s="182">
        <f t="shared" si="6"/>
        <v>-138.87613061474781</v>
      </c>
      <c r="U64" s="183">
        <f>SUMIF('05.conso TB'!A:A,'May-26'!B64,'05.conso TB'!V:V)/10^5</f>
        <v>3.2612003999999999</v>
      </c>
      <c r="V64" s="182">
        <f t="shared" si="7"/>
        <v>6.6906622030197857E-2</v>
      </c>
      <c r="W64" s="180">
        <f>Y64-'Apr-26'!Y64</f>
        <v>1E-3</v>
      </c>
      <c r="X64" s="182">
        <f t="shared" si="8"/>
        <v>2.6887876011784622E-7</v>
      </c>
      <c r="Y64" s="181">
        <f>SUMIF('05.conso TB'!A:A,'May-26'!B64,'05.conso TB'!G:G)/10^5</f>
        <v>1E-3</v>
      </c>
      <c r="Z64" s="182">
        <f t="shared" si="9"/>
        <v>2.6360085753975135E-7</v>
      </c>
      <c r="AA64" s="185"/>
      <c r="AB64" s="180">
        <f>AD64-'Apr-26'!AD64</f>
        <v>24.535441499999997</v>
      </c>
      <c r="AC64" s="182">
        <f t="shared" si="10"/>
        <v>2.6607086197332846E-3</v>
      </c>
      <c r="AD64" s="187">
        <f>E64+I64+M64+Q64+U64+Y64</f>
        <v>48.262949799999994</v>
      </c>
      <c r="AE64" s="182">
        <f t="shared" si="11"/>
        <v>3.3393119859441672E-3</v>
      </c>
      <c r="AF64" s="186"/>
      <c r="AG64" s="180">
        <f>AI64-'Apr-26'!AI64</f>
        <v>6.3972300000000004</v>
      </c>
      <c r="AH64" s="182">
        <f t="shared" si="12"/>
        <v>1.7407002781821741E-2</v>
      </c>
      <c r="AI64" s="183">
        <f>SUMIF('05.conso TB'!A:A,'May-26'!B64,'05.conso TB'!Q:Q)/10^5</f>
        <v>9.670185</v>
      </c>
      <c r="AJ64" s="184">
        <f>AI64/$AI$46*100%</f>
        <v>1.3103184258819721E-2</v>
      </c>
      <c r="AK64" s="186"/>
      <c r="AL64" s="180">
        <f>AN64-'Apr-26'!AN64</f>
        <v>0.56281999999999999</v>
      </c>
      <c r="AM64" s="182">
        <f t="shared" si="13"/>
        <v>4.7525923878899781E-4</v>
      </c>
      <c r="AN64" s="181">
        <f>SUMIF('05.conso TB'!A:A,'May-26'!B64,'05.conso TB'!W:W)/10^5</f>
        <v>1.4334931</v>
      </c>
      <c r="AO64" s="184">
        <f>AN64/$AN$46*100%</f>
        <v>6.1726022128150582E-4</v>
      </c>
      <c r="AP64" s="545"/>
      <c r="AQ64" s="180">
        <f>AS64-'Apr-26'!AS64</f>
        <v>6.281196400000006</v>
      </c>
      <c r="AR64" s="182">
        <f t="shared" si="14"/>
        <v>3.0807893636207563E-3</v>
      </c>
      <c r="AS64" s="183">
        <f>SUMIF('05.conso TB'!A:A,'May-26'!B64,'05.conso TB'!M:M)/10^5</f>
        <v>30.024920700000003</v>
      </c>
      <c r="AT64" s="184">
        <f>AS64/$AS$46*100%</f>
        <v>7.7572960266870834E-3</v>
      </c>
      <c r="AU64" s="180">
        <f>AW64-'Apr-26'!AW64</f>
        <v>-0.39400000000000013</v>
      </c>
      <c r="AV64" s="182">
        <f>AU64/$C$46*100%</f>
        <v>-1.2611883613441527E-4</v>
      </c>
      <c r="AW64" s="183">
        <f>SUMIF('05.conso TB'!A:A,'May-26'!B64,'05.conso TB'!P:P)/10^5</f>
        <v>3.2439100000000001</v>
      </c>
      <c r="AX64" s="184">
        <f>AW64/$AW$46*100%</f>
        <v>1.7560916768199341E-3</v>
      </c>
      <c r="AY64" s="195"/>
      <c r="AZ64" s="180">
        <f>BB64-'Apr-26'!BB64</f>
        <v>5.8871964000000041</v>
      </c>
      <c r="BA64" s="182">
        <f t="shared" si="15"/>
        <v>1.9396367896690081E-3</v>
      </c>
      <c r="BB64" s="190">
        <f t="shared" si="175"/>
        <v>33.268830700000002</v>
      </c>
      <c r="BC64" s="184">
        <f>BB64/$BB$46*100%</f>
        <v>5.8184952852271803E-3</v>
      </c>
      <c r="BD64" s="191"/>
      <c r="BE64" s="180">
        <f>BG64-'Apr-26'!BG64</f>
        <v>0.82647300000000001</v>
      </c>
      <c r="BF64" s="182">
        <f t="shared" si="16"/>
        <v>2.9570512953167055E-4</v>
      </c>
      <c r="BG64" s="183">
        <f>SUMIF('05.conso TB'!A:A,'May-26'!B64,'05.conso TB'!H:H)/10^5</f>
        <v>5.8598210000000002</v>
      </c>
      <c r="BH64" s="184">
        <f>BG64/$BG$46*100%</f>
        <v>1.2469988012107512E-3</v>
      </c>
      <c r="BI64" s="180">
        <f>BK64-'Apr-26'!BK64</f>
        <v>4.3000000000000038E-2</v>
      </c>
      <c r="BJ64" s="182">
        <f t="shared" si="17"/>
        <v>2.2373559522596955E-3</v>
      </c>
      <c r="BK64" s="183">
        <f>SUMIF('05.conso TB'!A:A,'May-26'!B64,'05.conso TB'!I:I)/10^5</f>
        <v>0.60899999999999999</v>
      </c>
      <c r="BL64" s="184">
        <f>BK64/$BK$46*100%</f>
        <v>1.5777315334043498E-2</v>
      </c>
      <c r="BM64" s="180">
        <f>BO64-'Apr-26'!BO64</f>
        <v>0</v>
      </c>
      <c r="BN64" s="182">
        <f>BM64/$C$46*100%</f>
        <v>0</v>
      </c>
      <c r="BO64" s="181">
        <f>SUMIF('05.conso TB'!A:A,'May-26'!B64,'05.conso TB'!J:J)/10^5</f>
        <v>0</v>
      </c>
      <c r="BP64" s="182">
        <f>BO64/$C$46*100%</f>
        <v>0</v>
      </c>
      <c r="BQ64" s="192"/>
      <c r="BR64" s="180">
        <f>BT64-'Apr-26'!BT64</f>
        <v>0.86947300000000016</v>
      </c>
      <c r="BS64" s="182">
        <f t="shared" si="18"/>
        <v>3.2878583532295025E-4</v>
      </c>
      <c r="BT64" s="183">
        <f t="shared" si="19"/>
        <v>6.4688210000000002</v>
      </c>
      <c r="BU64" s="182">
        <f t="shared" si="20"/>
        <v>1.4414406795189533E-3</v>
      </c>
      <c r="BV64" s="191"/>
      <c r="BW64" s="180">
        <f>BY64-'Apr-26'!BY64</f>
        <v>0</v>
      </c>
      <c r="BX64" s="182">
        <f t="shared" si="21"/>
        <v>0</v>
      </c>
      <c r="BY64" s="183">
        <f>SUMIF('05.conso TB'!A:A,'May-26'!B64,'05.conso TB'!L:L)/10^5</f>
        <v>0</v>
      </c>
      <c r="BZ64" s="182">
        <f t="shared" si="22"/>
        <v>0</v>
      </c>
      <c r="CA64" s="191"/>
      <c r="CB64" s="180">
        <f>CD64-'Apr-26'!CD64</f>
        <v>0</v>
      </c>
      <c r="CC64" s="346"/>
      <c r="CD64" s="186"/>
      <c r="CE64" s="187">
        <f>AB64+AG64+AL64+AZ64+BR64+BW64</f>
        <v>38.2521609</v>
      </c>
      <c r="CF64" s="182">
        <f t="shared" si="23"/>
        <v>2.2627224567267051E-3</v>
      </c>
      <c r="CG64" s="187">
        <f>AD64+AI64+AN64+BB64+BT64+BY64</f>
        <v>99.104279599999998</v>
      </c>
      <c r="CH64" s="182">
        <f t="shared" si="24"/>
        <v>8.1037046090426876E-3</v>
      </c>
    </row>
    <row r="65" spans="1:7168 7170:15360 15362:16333" ht="15.5" x14ac:dyDescent="0.35">
      <c r="B65" s="85" t="s">
        <v>490</v>
      </c>
      <c r="C65" s="148">
        <f t="shared" ref="C65:AA65" si="176">SUM(C62:C64)</f>
        <v>222.6354561</v>
      </c>
      <c r="D65" s="151">
        <f t="shared" si="176"/>
        <v>7.1265290877123577E-2</v>
      </c>
      <c r="E65" s="149">
        <f t="shared" si="176"/>
        <v>465.54341999999997</v>
      </c>
      <c r="F65" s="182">
        <f t="shared" si="1"/>
        <v>7.205273858699443E-2</v>
      </c>
      <c r="G65" s="148">
        <f t="shared" ref="G65" si="177">SUM(G62:G64)</f>
        <v>84.381804999999986</v>
      </c>
      <c r="H65" s="182">
        <f t="shared" si="2"/>
        <v>6.3530606574269316E-2</v>
      </c>
      <c r="I65" s="149">
        <f t="shared" si="176"/>
        <v>156.38761050000002</v>
      </c>
      <c r="J65" s="182">
        <f t="shared" si="3"/>
        <v>6.2316882299493774E-2</v>
      </c>
      <c r="K65" s="148">
        <f t="shared" ref="K65" si="178">SUM(K62:K64)</f>
        <v>5.0210000000000019E-2</v>
      </c>
      <c r="L65" s="151">
        <f t="shared" ref="L65" si="179">SUM(L62:L64)</f>
        <v>1.6072149142916219E-5</v>
      </c>
      <c r="M65" s="150">
        <f t="shared" si="176"/>
        <v>0.12518000000000001</v>
      </c>
      <c r="N65" s="151">
        <f t="shared" ref="N65" si="180">SUM(N62:N64)</f>
        <v>4.006993885103071E-5</v>
      </c>
      <c r="O65" s="148">
        <f t="shared" ref="O65" si="181">SUM(O62:O64)</f>
        <v>9.7902528000000011</v>
      </c>
      <c r="P65" s="182">
        <f t="shared" si="4"/>
        <v>7.8823086896845796E-3</v>
      </c>
      <c r="Q65" s="149">
        <f t="shared" si="176"/>
        <v>21.888395299999999</v>
      </c>
      <c r="R65" s="182">
        <f t="shared" si="5"/>
        <v>1.0045873810778002E-2</v>
      </c>
      <c r="S65" s="148">
        <f t="shared" ref="S65" si="182">SUM(S62:S64)</f>
        <v>3.2612003999999999</v>
      </c>
      <c r="T65" s="182">
        <f t="shared" si="6"/>
        <v>-138.87613061474781</v>
      </c>
      <c r="U65" s="152">
        <f t="shared" si="176"/>
        <v>3.2612003999999999</v>
      </c>
      <c r="V65" s="182">
        <f t="shared" si="7"/>
        <v>6.6906622030197857E-2</v>
      </c>
      <c r="W65" s="148">
        <f t="shared" ref="W65" si="183">SUM(W62:W64)</f>
        <v>4.1693499999999967E-2</v>
      </c>
      <c r="X65" s="182">
        <f t="shared" si="8"/>
        <v>1.1210496584973413E-5</v>
      </c>
      <c r="Y65" s="149">
        <f t="shared" si="176"/>
        <v>0.26754459999999997</v>
      </c>
      <c r="Z65" s="182">
        <f t="shared" si="9"/>
        <v>7.0524985990129757E-5</v>
      </c>
      <c r="AA65" s="176">
        <f t="shared" si="176"/>
        <v>0</v>
      </c>
      <c r="AB65" s="152">
        <f>SUM(AB62:AB64)</f>
        <v>320.1606177999999</v>
      </c>
      <c r="AC65" s="182">
        <f t="shared" si="10"/>
        <v>3.4719331033011717E-2</v>
      </c>
      <c r="AD65" s="152">
        <f>SUM(AD62:AD64)</f>
        <v>647.47335079999993</v>
      </c>
      <c r="AE65" s="182">
        <f t="shared" si="11"/>
        <v>4.4798660874762204E-2</v>
      </c>
      <c r="AF65" s="511">
        <f>AG65/$AG$1*10^5</f>
        <v>7.5942959603187781</v>
      </c>
      <c r="AG65" s="148">
        <f t="shared" ref="AG65" si="184">SUM(AG62:AG64)</f>
        <v>27.911239999999999</v>
      </c>
      <c r="AH65" s="182">
        <f t="shared" si="12"/>
        <v>7.5947094652544012E-2</v>
      </c>
      <c r="AI65" s="152">
        <f t="shared" ref="AI65:AJ65" si="185">SUM(AI62:AI64)</f>
        <v>52.398589200000004</v>
      </c>
      <c r="AJ65" s="153">
        <f t="shared" si="185"/>
        <v>7.1000541270906506E-2</v>
      </c>
      <c r="AK65" s="437">
        <f>AL65/$AL$1*10^5</f>
        <v>5.306256476097313</v>
      </c>
      <c r="AL65" s="148">
        <f t="shared" ref="AL65" si="186">SUM(AL62:AL64)</f>
        <v>23.433702099999998</v>
      </c>
      <c r="AM65" s="182">
        <f t="shared" si="13"/>
        <v>1.9788002242376139E-2</v>
      </c>
      <c r="AN65" s="149">
        <f>SUM(AN62:AN64)</f>
        <v>67.240111900000002</v>
      </c>
      <c r="AO65" s="153">
        <f>SUM(AO62:AO64)</f>
        <v>2.8953502706352201E-2</v>
      </c>
      <c r="AP65" s="546">
        <f>AQ65/$AQ$1*10^5</f>
        <v>63.265652510363871</v>
      </c>
      <c r="AQ65" s="148">
        <f t="shared" ref="AQ65" si="187">SUM(AQ62:AQ64)</f>
        <v>377.71176189999994</v>
      </c>
      <c r="AR65" s="182">
        <f t="shared" si="14"/>
        <v>0.18525935259339676</v>
      </c>
      <c r="AS65" s="152">
        <f t="shared" ref="AS65:AX65" si="188">SUM(AS62:AS64)</f>
        <v>597.06780650000007</v>
      </c>
      <c r="AT65" s="153">
        <f t="shared" si="188"/>
        <v>0.15425958220849595</v>
      </c>
      <c r="AU65" s="148">
        <f t="shared" ref="AU65" si="189">SUM(AU62:AU64)</f>
        <v>275.16906999999998</v>
      </c>
      <c r="AV65" s="151">
        <f t="shared" si="188"/>
        <v>8.8081225504034077E-2</v>
      </c>
      <c r="AW65" s="152">
        <f t="shared" si="188"/>
        <v>541.31487000000004</v>
      </c>
      <c r="AX65" s="153">
        <f t="shared" si="188"/>
        <v>0.29304097146525787</v>
      </c>
      <c r="AY65" s="163"/>
      <c r="AZ65" s="148">
        <f t="shared" ref="AZ65" si="190">SUM(AZ62:AZ64)</f>
        <v>652.88083189999986</v>
      </c>
      <c r="BA65" s="182">
        <f t="shared" si="15"/>
        <v>0.21510267278036557</v>
      </c>
      <c r="BB65" s="157">
        <f>SUM(BB62:BB64)</f>
        <v>1138.3826765000001</v>
      </c>
      <c r="BC65" s="153">
        <f>SUM(BC62:BC64)</f>
        <v>0.1990954925866856</v>
      </c>
      <c r="BD65" s="178"/>
      <c r="BE65" s="148">
        <f t="shared" ref="BE65" si="191">SUM(BE62:BE64)</f>
        <v>258.2401605</v>
      </c>
      <c r="BF65" s="182">
        <f t="shared" si="16"/>
        <v>9.2396170366039657E-2</v>
      </c>
      <c r="BG65" s="152">
        <f t="shared" ref="BG65:BP65" si="192">SUM(BG62:BG64)</f>
        <v>372.6848645</v>
      </c>
      <c r="BH65" s="153">
        <f t="shared" si="192"/>
        <v>7.9309176724150998E-2</v>
      </c>
      <c r="BI65" s="148">
        <f t="shared" ref="BI65" si="193">SUM(BI62:BI64)</f>
        <v>6.1636000000000038E-2</v>
      </c>
      <c r="BJ65" s="182">
        <f t="shared" si="17"/>
        <v>3.2070156156622917E-3</v>
      </c>
      <c r="BK65" s="152">
        <f t="shared" si="192"/>
        <v>0.62763599999999997</v>
      </c>
      <c r="BL65" s="153">
        <f t="shared" si="192"/>
        <v>1.6260116727418266E-2</v>
      </c>
      <c r="BM65" s="148">
        <f t="shared" ref="BM65" si="194">SUM(BM62:BM64)</f>
        <v>0</v>
      </c>
      <c r="BN65" s="151">
        <f t="shared" si="192"/>
        <v>0</v>
      </c>
      <c r="BO65" s="149">
        <f t="shared" si="192"/>
        <v>0</v>
      </c>
      <c r="BP65" s="151">
        <f t="shared" si="192"/>
        <v>0</v>
      </c>
      <c r="BQ65" s="164">
        <f>BQ63</f>
        <v>0</v>
      </c>
      <c r="BR65" s="148">
        <f t="shared" ref="BR65" si="195">SUM(BR62:BR64)</f>
        <v>258.30179650000002</v>
      </c>
      <c r="BS65" s="182">
        <f t="shared" si="18"/>
        <v>9.7675226174557692E-2</v>
      </c>
      <c r="BT65" s="183">
        <f t="shared" si="19"/>
        <v>373.3125005</v>
      </c>
      <c r="BU65" s="182">
        <f t="shared" si="20"/>
        <v>8.3184837606982712E-2</v>
      </c>
      <c r="BV65" s="159"/>
      <c r="BW65" s="148">
        <f t="shared" ref="BW65" si="196">SUM(BW62:BW64)</f>
        <v>0</v>
      </c>
      <c r="BX65" s="182">
        <f t="shared" si="21"/>
        <v>0</v>
      </c>
      <c r="BY65" s="152">
        <f t="shared" ref="BY65" si="197">SUM(BY62:BY64)</f>
        <v>0</v>
      </c>
      <c r="BZ65" s="182">
        <f t="shared" si="22"/>
        <v>0</v>
      </c>
      <c r="CA65" s="178"/>
      <c r="CB65" s="148">
        <f t="shared" ref="CB65" si="198">SUM(CB62:CB64)</f>
        <v>848.41750445180071</v>
      </c>
      <c r="CC65" s="361">
        <f>SUM(CC62:CC64)</f>
        <v>1375.3983402098006</v>
      </c>
      <c r="CD65" s="528"/>
      <c r="CE65" s="152">
        <f>SUM(CE62:CE64)</f>
        <v>1282.6881882999999</v>
      </c>
      <c r="CF65" s="182">
        <f t="shared" si="23"/>
        <v>7.5874598986236677E-2</v>
      </c>
      <c r="CG65" s="152">
        <f>SUM(CG62:CG64)</f>
        <v>903.40888869019932</v>
      </c>
      <c r="CH65" s="182">
        <f t="shared" si="24"/>
        <v>7.3871267766411383E-2</v>
      </c>
    </row>
    <row r="66" spans="1:7168 7170:15360 15362:16333" x14ac:dyDescent="0.35">
      <c r="B66" s="86" t="s">
        <v>492</v>
      </c>
      <c r="C66" s="136"/>
      <c r="D66" s="402"/>
      <c r="E66" s="134"/>
      <c r="F66" s="182">
        <f t="shared" si="1"/>
        <v>0</v>
      </c>
      <c r="G66" s="136"/>
      <c r="H66" s="182">
        <f t="shared" si="2"/>
        <v>0</v>
      </c>
      <c r="I66" s="134">
        <f>SUMIF('05.conso TB'!A:A,'May-26'!B66,'05.conso TB'!S:S)/10^5</f>
        <v>0</v>
      </c>
      <c r="J66" s="182">
        <f t="shared" si="3"/>
        <v>0</v>
      </c>
      <c r="K66" s="136"/>
      <c r="L66" s="402"/>
      <c r="M66" s="134">
        <f>SUMIF('05.conso TB'!A:A,'May-26'!B66,'05.conso TB'!T:T)/10^5</f>
        <v>0</v>
      </c>
      <c r="N66" s="402"/>
      <c r="O66" s="136"/>
      <c r="P66" s="182">
        <f t="shared" si="4"/>
        <v>0</v>
      </c>
      <c r="Q66" s="134"/>
      <c r="R66" s="182">
        <f t="shared" si="5"/>
        <v>0</v>
      </c>
      <c r="S66" s="136"/>
      <c r="T66" s="182">
        <f t="shared" si="6"/>
        <v>0</v>
      </c>
      <c r="U66" s="131"/>
      <c r="V66" s="182">
        <f t="shared" si="7"/>
        <v>0</v>
      </c>
      <c r="W66" s="136"/>
      <c r="X66" s="182">
        <f t="shared" si="8"/>
        <v>0</v>
      </c>
      <c r="Y66" s="134"/>
      <c r="Z66" s="182">
        <f t="shared" si="9"/>
        <v>0</v>
      </c>
      <c r="AA66" s="176"/>
      <c r="AB66" s="136"/>
      <c r="AC66" s="182">
        <f t="shared" si="10"/>
        <v>0</v>
      </c>
      <c r="AD66" s="131"/>
      <c r="AE66" s="182">
        <f t="shared" si="11"/>
        <v>0</v>
      </c>
      <c r="AF66" s="139"/>
      <c r="AG66" s="136"/>
      <c r="AH66" s="182">
        <f t="shared" si="12"/>
        <v>0</v>
      </c>
      <c r="AI66" s="131"/>
      <c r="AJ66" s="132"/>
      <c r="AK66" s="139"/>
      <c r="AL66" s="136"/>
      <c r="AM66" s="182">
        <f t="shared" si="13"/>
        <v>0</v>
      </c>
      <c r="AN66" s="134"/>
      <c r="AO66" s="132"/>
      <c r="AP66" s="139"/>
      <c r="AQ66" s="136"/>
      <c r="AR66" s="182">
        <f t="shared" si="14"/>
        <v>0</v>
      </c>
      <c r="AS66" s="131"/>
      <c r="AT66" s="132"/>
      <c r="AU66" s="136"/>
      <c r="AV66" s="402"/>
      <c r="AW66" s="131"/>
      <c r="AX66" s="132"/>
      <c r="AY66" s="142"/>
      <c r="AZ66" s="136"/>
      <c r="BA66" s="182">
        <f t="shared" si="15"/>
        <v>0</v>
      </c>
      <c r="BB66" s="143"/>
      <c r="BC66" s="132"/>
      <c r="BD66" s="178"/>
      <c r="BE66" s="136"/>
      <c r="BF66" s="182">
        <f t="shared" si="16"/>
        <v>0</v>
      </c>
      <c r="BG66" s="131"/>
      <c r="BH66" s="132"/>
      <c r="BI66" s="136"/>
      <c r="BJ66" s="182">
        <f t="shared" si="17"/>
        <v>0</v>
      </c>
      <c r="BK66" s="131"/>
      <c r="BL66" s="132"/>
      <c r="BM66" s="136"/>
      <c r="BN66" s="402"/>
      <c r="BO66" s="134"/>
      <c r="BP66" s="402"/>
      <c r="BQ66" s="147"/>
      <c r="BR66" s="136"/>
      <c r="BS66" s="182">
        <f t="shared" si="18"/>
        <v>0</v>
      </c>
      <c r="BT66" s="183">
        <f t="shared" si="19"/>
        <v>0</v>
      </c>
      <c r="BU66" s="182">
        <f t="shared" si="20"/>
        <v>0</v>
      </c>
      <c r="BV66" s="144"/>
      <c r="BW66" s="136"/>
      <c r="BX66" s="182">
        <f t="shared" si="21"/>
        <v>0</v>
      </c>
      <c r="BY66" s="131"/>
      <c r="BZ66" s="182">
        <f t="shared" si="22"/>
        <v>0</v>
      </c>
      <c r="CA66" s="178"/>
      <c r="CB66" s="136"/>
      <c r="CC66" s="521"/>
      <c r="CD66" s="139"/>
      <c r="CE66" s="129"/>
      <c r="CF66" s="182">
        <f t="shared" si="23"/>
        <v>0</v>
      </c>
      <c r="CG66" s="131"/>
      <c r="CH66" s="182">
        <f t="shared" si="24"/>
        <v>0</v>
      </c>
    </row>
    <row r="67" spans="1:7168 7170:15360 15362:16333" s="204" customFormat="1" x14ac:dyDescent="0.35">
      <c r="B67" s="197" t="s">
        <v>448</v>
      </c>
      <c r="C67" s="180">
        <f>E67-'Apr-26'!E67</f>
        <v>0</v>
      </c>
      <c r="D67" s="182">
        <f>C67/$C$46*100%</f>
        <v>0</v>
      </c>
      <c r="E67" s="181">
        <f>SUMIF('05.conso TB'!A:A,'May-26'!B67,'05.conso TB'!R:R)/10^5</f>
        <v>0</v>
      </c>
      <c r="F67" s="182">
        <f t="shared" si="1"/>
        <v>0</v>
      </c>
      <c r="G67" s="180">
        <f>I67-'Apr-26'!I67</f>
        <v>0</v>
      </c>
      <c r="H67" s="182">
        <f t="shared" si="2"/>
        <v>0</v>
      </c>
      <c r="I67" s="181">
        <f>SUMIF('05.conso TB'!A:A,'May-26'!B67,'05.conso TB'!S:S)/10^5</f>
        <v>0</v>
      </c>
      <c r="J67" s="182">
        <f t="shared" si="3"/>
        <v>0</v>
      </c>
      <c r="K67" s="180">
        <f>M67-'Apr-26'!M67</f>
        <v>0</v>
      </c>
      <c r="L67" s="182">
        <f>K67/$C$46*100%</f>
        <v>0</v>
      </c>
      <c r="M67" s="181">
        <f>SUMIF('05.conso TB'!A:A,'May-26'!B67,'05.conso TB'!T:T)/10^5</f>
        <v>0</v>
      </c>
      <c r="N67" s="182">
        <f>M67/$C$46*100%</f>
        <v>0</v>
      </c>
      <c r="O67" s="180">
        <f>Q67-'Apr-26'!Q67</f>
        <v>0</v>
      </c>
      <c r="P67" s="182">
        <f t="shared" si="4"/>
        <v>0</v>
      </c>
      <c r="Q67" s="181">
        <f>SUMIF('05.conso TB'!A:A,'May-26'!B67,'05.conso TB'!U:U)/10^5</f>
        <v>0</v>
      </c>
      <c r="R67" s="182">
        <f t="shared" si="5"/>
        <v>0</v>
      </c>
      <c r="S67" s="180">
        <f>U67-'Apr-26'!U67</f>
        <v>5.098999999999998E-2</v>
      </c>
      <c r="T67" s="182">
        <f t="shared" si="6"/>
        <v>-2.17137649684024</v>
      </c>
      <c r="U67" s="183">
        <f>SUMIF('05.conso TB'!A:A,'May-26'!B67,'05.conso TB'!V:V)/10^5</f>
        <v>0.37525999999999998</v>
      </c>
      <c r="V67" s="182">
        <f t="shared" si="7"/>
        <v>7.6988151304814159E-3</v>
      </c>
      <c r="W67" s="180">
        <f>Y67-'Apr-26'!Y67</f>
        <v>6.7070000000000018E-2</v>
      </c>
      <c r="X67" s="182">
        <f t="shared" si="8"/>
        <v>1.8033698441103952E-5</v>
      </c>
      <c r="Y67" s="181">
        <f>SUMIF('05.conso TB'!A:A,'May-26'!B67,'05.conso TB'!G:G)/10^5</f>
        <v>0.38207000000000002</v>
      </c>
      <c r="Z67" s="182">
        <f t="shared" si="9"/>
        <v>1.007139796402128E-4</v>
      </c>
      <c r="AA67" s="185"/>
      <c r="AB67" s="180">
        <f>AD67-'Apr-26'!AD67</f>
        <v>0.11806000000000005</v>
      </c>
      <c r="AC67" s="182">
        <f t="shared" si="10"/>
        <v>1.2802837056985983E-5</v>
      </c>
      <c r="AD67" s="187">
        <f>E67+I67+M67+Q67+U67+Y67</f>
        <v>0.75733000000000006</v>
      </c>
      <c r="AE67" s="182">
        <f t="shared" si="11"/>
        <v>5.2399638994197918E-5</v>
      </c>
      <c r="AF67" s="186"/>
      <c r="AG67" s="180">
        <f>AI67-'Apr-26'!AI67</f>
        <v>0</v>
      </c>
      <c r="AH67" s="182">
        <f t="shared" si="12"/>
        <v>0</v>
      </c>
      <c r="AI67" s="183">
        <f>SUMIF('05.conso TB'!A:A,'May-26'!B67,'05.conso TB'!Q:Q)/10^5</f>
        <v>0</v>
      </c>
      <c r="AJ67" s="184">
        <f>AI67/$AI$46*100%</f>
        <v>0</v>
      </c>
      <c r="AK67" s="186"/>
      <c r="AL67" s="180">
        <f>AN67-'Apr-26'!AN67</f>
        <v>0</v>
      </c>
      <c r="AM67" s="182">
        <f t="shared" si="13"/>
        <v>0</v>
      </c>
      <c r="AN67" s="181">
        <f>SUMIF('05.conso TB'!A:A,'May-26'!B67,'05.conso TB'!W:W)/10^5</f>
        <v>0</v>
      </c>
      <c r="AO67" s="184">
        <f>AN67/$AN$46*100%</f>
        <v>0</v>
      </c>
      <c r="AP67" s="545"/>
      <c r="AQ67" s="180">
        <f>AS67-'Apr-26'!AS67</f>
        <v>0</v>
      </c>
      <c r="AR67" s="182">
        <f t="shared" si="14"/>
        <v>0</v>
      </c>
      <c r="AS67" s="183">
        <f>SUMIF('05.conso TB'!A:A,'May-26'!B67,'05.conso TB'!M:M)/10^5</f>
        <v>0.16073879999999999</v>
      </c>
      <c r="AT67" s="184">
        <f>AS67/$AS$46*100%</f>
        <v>4.1528784273340294E-5</v>
      </c>
      <c r="AU67" s="180">
        <f>AW67-'Apr-26'!AW67</f>
        <v>0</v>
      </c>
      <c r="AV67" s="182">
        <f>AU67/$C$46*100%</f>
        <v>0</v>
      </c>
      <c r="AW67" s="183">
        <f>SUMIF('05.conso TB'!A:A,'May-26'!B67,'05.conso TB'!P:P)/10^5</f>
        <v>0</v>
      </c>
      <c r="AX67" s="184">
        <f>AW67/$AW$46*100%</f>
        <v>0</v>
      </c>
      <c r="AY67" s="195"/>
      <c r="AZ67" s="180">
        <f>BB67-'Apr-26'!BB67</f>
        <v>0</v>
      </c>
      <c r="BA67" s="182">
        <f t="shared" si="15"/>
        <v>0</v>
      </c>
      <c r="BB67" s="190">
        <f t="shared" ref="BB67:BB71" si="199">AS67+AW67</f>
        <v>0.16073879999999999</v>
      </c>
      <c r="BC67" s="184">
        <f>BB67/$BB$46*100%</f>
        <v>2.8112137705912057E-5</v>
      </c>
      <c r="BD67" s="191"/>
      <c r="BE67" s="180">
        <f>BG67-'Apr-26'!BG67</f>
        <v>26.2930052</v>
      </c>
      <c r="BF67" s="182">
        <f t="shared" si="16"/>
        <v>9.4074174334102707E-3</v>
      </c>
      <c r="BG67" s="183">
        <f>SUMIF('05.conso TB'!A:A,'May-26'!B67,'05.conso TB'!H:H)/10^5</f>
        <v>35.1081602</v>
      </c>
      <c r="BH67" s="184">
        <f>BG67/$BG$46*100%</f>
        <v>7.4711895947188502E-3</v>
      </c>
      <c r="BI67" s="180">
        <f>BK67-'Apr-26'!BK67</f>
        <v>0</v>
      </c>
      <c r="BJ67" s="182">
        <f t="shared" si="17"/>
        <v>0</v>
      </c>
      <c r="BK67" s="183">
        <f>SUMIF('05.conso TB'!A:A,'May-26'!B67,'05.conso TB'!I:I)/10^5</f>
        <v>0</v>
      </c>
      <c r="BL67" s="184">
        <f>BK67/$BK$46*100%</f>
        <v>0</v>
      </c>
      <c r="BM67" s="180">
        <f>BO67-'Apr-26'!BO67</f>
        <v>0</v>
      </c>
      <c r="BN67" s="182">
        <f>BM67/$C$46*100%</f>
        <v>0</v>
      </c>
      <c r="BO67" s="181">
        <f>SUMIF('05.conso TB'!A:A,'May-26'!B67,'05.conso TB'!J:J)/10^5</f>
        <v>0</v>
      </c>
      <c r="BP67" s="182">
        <f>BO67/$C$46*100%</f>
        <v>0</v>
      </c>
      <c r="BQ67" s="192"/>
      <c r="BR67" s="180">
        <f>BT67-'Apr-26'!BT67</f>
        <v>26.2930052</v>
      </c>
      <c r="BS67" s="182">
        <f t="shared" si="18"/>
        <v>9.9425372355814081E-3</v>
      </c>
      <c r="BT67" s="183">
        <f t="shared" si="19"/>
        <v>35.1081602</v>
      </c>
      <c r="BU67" s="182">
        <f t="shared" si="20"/>
        <v>7.8231149533042055E-3</v>
      </c>
      <c r="BV67" s="191"/>
      <c r="BW67" s="180">
        <f>BY67-'Apr-26'!BY67</f>
        <v>0</v>
      </c>
      <c r="BX67" s="182">
        <f t="shared" si="21"/>
        <v>0</v>
      </c>
      <c r="BY67" s="183">
        <f>SUMIF('05.conso TB'!A:A,'May-26'!B67,'05.conso TB'!L:L)/10^5</f>
        <v>0</v>
      </c>
      <c r="BZ67" s="182">
        <f t="shared" si="22"/>
        <v>0</v>
      </c>
      <c r="CA67" s="191"/>
      <c r="CB67" s="180">
        <f>CD67-'Apr-26'!CD67</f>
        <v>0</v>
      </c>
      <c r="CC67" s="346"/>
      <c r="CD67" s="186"/>
      <c r="CE67" s="187">
        <f>AB67+AG67+AL67+AZ67+BR67+BW67</f>
        <v>26.411065199999999</v>
      </c>
      <c r="CF67" s="182">
        <f t="shared" si="23"/>
        <v>1.5622884806519043E-3</v>
      </c>
      <c r="CG67" s="187">
        <f>AD67+AI67+AN67+BB67+BT67+BY67</f>
        <v>36.026229000000001</v>
      </c>
      <c r="CH67" s="182">
        <f t="shared" si="24"/>
        <v>2.9458457210129133E-3</v>
      </c>
    </row>
    <row r="68" spans="1:7168 7170:15360 15362:16333" s="204" customFormat="1" x14ac:dyDescent="0.35">
      <c r="B68" s="197" t="s">
        <v>443</v>
      </c>
      <c r="C68" s="180">
        <f>E68-'Apr-26'!E68</f>
        <v>0.17504999999999998</v>
      </c>
      <c r="D68" s="182">
        <f>C68/$C$46*100%</f>
        <v>5.6033254480531425E-5</v>
      </c>
      <c r="E68" s="181">
        <f>SUMIF('05.conso TB'!A:A,'May-26'!B68,'05.conso TB'!R:R)/10^5</f>
        <v>0.18826999999999999</v>
      </c>
      <c r="F68" s="182">
        <f t="shared" si="1"/>
        <v>2.9138783862036845E-5</v>
      </c>
      <c r="G68" s="180">
        <f>I68-'Apr-26'!I68</f>
        <v>0</v>
      </c>
      <c r="H68" s="182">
        <f t="shared" si="2"/>
        <v>0</v>
      </c>
      <c r="I68" s="181">
        <f>SUMIF('05.conso TB'!A:A,'May-26'!B68,'05.conso TB'!S:S)/10^5</f>
        <v>0</v>
      </c>
      <c r="J68" s="182">
        <f t="shared" si="3"/>
        <v>0</v>
      </c>
      <c r="K68" s="180">
        <f>M68-'Apr-26'!M68</f>
        <v>0</v>
      </c>
      <c r="L68" s="182">
        <f>K68/$C$46*100%</f>
        <v>0</v>
      </c>
      <c r="M68" s="181">
        <f>SUMIF('05.conso TB'!A:A,'May-26'!B68,'05.conso TB'!T:T)/10^5</f>
        <v>0</v>
      </c>
      <c r="N68" s="182">
        <f>M68/$C$46*100%</f>
        <v>0</v>
      </c>
      <c r="O68" s="180">
        <f>Q68-'Apr-26'!Q68</f>
        <v>0</v>
      </c>
      <c r="P68" s="182">
        <f t="shared" si="4"/>
        <v>0</v>
      </c>
      <c r="Q68" s="181">
        <f>SUMIF('05.conso TB'!A:A,'May-26'!B68,'05.conso TB'!U:U)/10^5</f>
        <v>0</v>
      </c>
      <c r="R68" s="182">
        <f t="shared" si="5"/>
        <v>0</v>
      </c>
      <c r="S68" s="180">
        <f>U68-'Apr-26'!U68</f>
        <v>13.2827308</v>
      </c>
      <c r="T68" s="182">
        <f t="shared" si="6"/>
        <v>-565.63658507503362</v>
      </c>
      <c r="U68" s="183">
        <f>SUMIF('05.conso TB'!A:A,'May-26'!B68,'05.conso TB'!V:V)/10^5</f>
        <v>22.697923599999999</v>
      </c>
      <c r="V68" s="182">
        <f t="shared" si="7"/>
        <v>0.46566944956081441</v>
      </c>
      <c r="W68" s="180">
        <f>Y68-'Apr-26'!Y68</f>
        <v>8.6999999999999855E-3</v>
      </c>
      <c r="X68" s="182">
        <f t="shared" si="8"/>
        <v>2.3392452130252585E-6</v>
      </c>
      <c r="Y68" s="181">
        <f>SUMIF('05.conso TB'!A:A,'May-26'!B68,'05.conso TB'!G:G)/10^5</f>
        <v>0.1472</v>
      </c>
      <c r="Z68" s="182">
        <f t="shared" si="9"/>
        <v>3.8802046229851401E-5</v>
      </c>
      <c r="AA68" s="185"/>
      <c r="AB68" s="180">
        <f>AD68-'Apr-26'!AD68</f>
        <v>13.466480799999999</v>
      </c>
      <c r="AC68" s="182">
        <f t="shared" si="10"/>
        <v>1.4603520194259713E-3</v>
      </c>
      <c r="AD68" s="187">
        <f>E68+I68+M68+Q68+U68+Y68</f>
        <v>23.0333936</v>
      </c>
      <c r="AE68" s="182">
        <f t="shared" si="11"/>
        <v>1.5936797821970194E-3</v>
      </c>
      <c r="AF68" s="186"/>
      <c r="AG68" s="180">
        <f>AI68-'Apr-26'!AI68</f>
        <v>0.21892</v>
      </c>
      <c r="AH68" s="182">
        <f t="shared" si="12"/>
        <v>5.9568610929987124E-4</v>
      </c>
      <c r="AI68" s="183">
        <f>SUMIF('05.conso TB'!A:A,'May-26'!B68,'05.conso TB'!Q:Q)/10^5</f>
        <v>0.22717000000000001</v>
      </c>
      <c r="AJ68" s="184">
        <f>AI68/$AI$46*100%</f>
        <v>3.0781731353392685E-4</v>
      </c>
      <c r="AK68" s="186"/>
      <c r="AL68" s="180">
        <f>AN68-'Apr-26'!AN68</f>
        <v>13.980738000000001</v>
      </c>
      <c r="AM68" s="182">
        <f t="shared" si="13"/>
        <v>1.1805683699208301E-2</v>
      </c>
      <c r="AN68" s="181">
        <f>SUMIF('05.conso TB'!A:A,'May-26'!B68,'05.conso TB'!W:W)/10^5</f>
        <v>14.846215800000001</v>
      </c>
      <c r="AO68" s="184">
        <f>AN68/$AN$46*100%</f>
        <v>6.3927607673179513E-3</v>
      </c>
      <c r="AP68" s="545"/>
      <c r="AQ68" s="180">
        <f>AS68-'Apr-26'!AS68</f>
        <v>2.2782</v>
      </c>
      <c r="AR68" s="182">
        <f t="shared" si="14"/>
        <v>1.1174072392006085E-3</v>
      </c>
      <c r="AS68" s="183">
        <f>SUMIF('05.conso TB'!A:A,'May-26'!B68,'05.conso TB'!M:M)/10^5</f>
        <v>5.0286900000000001</v>
      </c>
      <c r="AT68" s="184">
        <f>AS68/$AS$46*100%</f>
        <v>1.2992219811738277E-3</v>
      </c>
      <c r="AU68" s="180">
        <f>AW68-'Apr-26'!AW68</f>
        <v>0</v>
      </c>
      <c r="AV68" s="182">
        <f>AU68/$C$46*100%</f>
        <v>0</v>
      </c>
      <c r="AW68" s="183">
        <f>SUMIF('05.conso TB'!A:A,'May-26'!B68,'05.conso TB'!P:P)/10^5</f>
        <v>0</v>
      </c>
      <c r="AX68" s="184">
        <f>AW68/$AW$46*100%</f>
        <v>0</v>
      </c>
      <c r="AY68" s="195"/>
      <c r="AZ68" s="180">
        <f>BB68-'Apr-26'!BB68</f>
        <v>2.2782</v>
      </c>
      <c r="BA68" s="182">
        <f t="shared" si="15"/>
        <v>7.5059166265014211E-4</v>
      </c>
      <c r="BB68" s="190">
        <f t="shared" si="199"/>
        <v>5.0286900000000001</v>
      </c>
      <c r="BC68" s="184">
        <f>BB68/$BB$46*100%</f>
        <v>8.7948414297197013E-4</v>
      </c>
      <c r="BD68" s="191"/>
      <c r="BE68" s="180">
        <f>BG68-'Apr-26'!BG68</f>
        <v>2.8200000000000003</v>
      </c>
      <c r="BF68" s="182">
        <f t="shared" si="16"/>
        <v>1.0089724229095337E-3</v>
      </c>
      <c r="BG68" s="183">
        <f>SUMIF('05.conso TB'!A:A,'May-26'!B68,'05.conso TB'!H:H)/10^5</f>
        <v>2.9918800000000001</v>
      </c>
      <c r="BH68" s="184">
        <f>BG68/$BG$46*100%</f>
        <v>6.3668681575195256E-4</v>
      </c>
      <c r="BI68" s="180">
        <f>BK68-'Apr-26'!BK68</f>
        <v>0.18342999999999998</v>
      </c>
      <c r="BJ68" s="182">
        <f t="shared" si="17"/>
        <v>9.544144240069663E-3</v>
      </c>
      <c r="BK68" s="183">
        <f>SUMIF('05.conso TB'!A:A,'May-26'!B68,'05.conso TB'!I:I)/10^5</f>
        <v>0.58584999999999998</v>
      </c>
      <c r="BL68" s="184">
        <f>BK68/$BK$46*100%</f>
        <v>1.5177570095975998E-2</v>
      </c>
      <c r="BM68" s="180">
        <f>BO68-'Apr-26'!BO68</f>
        <v>0</v>
      </c>
      <c r="BN68" s="182">
        <f>BM68/$C$46*100%</f>
        <v>0</v>
      </c>
      <c r="BO68" s="181">
        <f>SUMIF('05.conso TB'!A:A,'May-26'!B68,'05.conso TB'!J:J)/10^5</f>
        <v>0</v>
      </c>
      <c r="BP68" s="182">
        <f>BO68/$C$46*100%</f>
        <v>0</v>
      </c>
      <c r="BQ68" s="192"/>
      <c r="BR68" s="180">
        <f>BT68-'Apr-26'!BT68</f>
        <v>3.0034299999999998</v>
      </c>
      <c r="BS68" s="182">
        <f t="shared" si="18"/>
        <v>1.1357284715960223E-3</v>
      </c>
      <c r="BT68" s="183">
        <f t="shared" si="19"/>
        <v>3.5777299999999999</v>
      </c>
      <c r="BU68" s="182">
        <f t="shared" si="20"/>
        <v>7.9722186814805114E-4</v>
      </c>
      <c r="BV68" s="191"/>
      <c r="BW68" s="180">
        <f>BY68-'Apr-26'!BY68</f>
        <v>0</v>
      </c>
      <c r="BX68" s="182">
        <f t="shared" si="21"/>
        <v>0</v>
      </c>
      <c r="BY68" s="183">
        <f>SUMIF('05.conso TB'!A:A,'May-26'!B68,'05.conso TB'!L:L)/10^5</f>
        <v>0</v>
      </c>
      <c r="BZ68" s="182">
        <f t="shared" si="22"/>
        <v>0</v>
      </c>
      <c r="CA68" s="191"/>
      <c r="CB68" s="180">
        <f>CD68-'Apr-26'!CD68</f>
        <v>0</v>
      </c>
      <c r="CC68" s="346"/>
      <c r="CD68" s="186"/>
      <c r="CE68" s="187">
        <f>AB68+AG68+AL68+AZ68+BR68+BW68</f>
        <v>32.947768799999999</v>
      </c>
      <c r="CF68" s="182">
        <f t="shared" si="23"/>
        <v>1.9489528070765665E-3</v>
      </c>
      <c r="CG68" s="187">
        <f>AD68+AI68+AN68+BB68+BT68+BY68</f>
        <v>46.713199400000001</v>
      </c>
      <c r="CH68" s="182">
        <f t="shared" si="24"/>
        <v>3.8197136471683725E-3</v>
      </c>
    </row>
    <row r="69" spans="1:7168 7170:15360 15362:16333" s="204" customFormat="1" x14ac:dyDescent="0.35">
      <c r="B69" s="197" t="s">
        <v>446</v>
      </c>
      <c r="C69" s="180">
        <f>E69-'Apr-26'!E69</f>
        <v>0</v>
      </c>
      <c r="D69" s="182">
        <f>C69/$C$46*100%</f>
        <v>0</v>
      </c>
      <c r="E69" s="181">
        <f>SUMIF('05.conso TB'!A:A,'May-26'!B69,'05.conso TB'!R:R)/10^5</f>
        <v>0</v>
      </c>
      <c r="F69" s="182">
        <f t="shared" si="1"/>
        <v>0</v>
      </c>
      <c r="G69" s="180">
        <f>I69-'Apr-26'!I69</f>
        <v>0</v>
      </c>
      <c r="H69" s="182">
        <f t="shared" si="2"/>
        <v>0</v>
      </c>
      <c r="I69" s="181">
        <f>SUMIF('05.conso TB'!A:A,'May-26'!B69,'05.conso TB'!S:S)/10^5</f>
        <v>0</v>
      </c>
      <c r="J69" s="182">
        <f t="shared" si="3"/>
        <v>0</v>
      </c>
      <c r="K69" s="180">
        <f>M69-'Apr-26'!M69</f>
        <v>0</v>
      </c>
      <c r="L69" s="182">
        <f>K69/$C$46*100%</f>
        <v>0</v>
      </c>
      <c r="M69" s="181">
        <f>SUMIF('05.conso TB'!A:A,'May-26'!B69,'05.conso TB'!T:T)/10^5</f>
        <v>0</v>
      </c>
      <c r="N69" s="182">
        <f>M69/$C$46*100%</f>
        <v>0</v>
      </c>
      <c r="O69" s="180">
        <f>Q69-'Apr-26'!Q69</f>
        <v>0</v>
      </c>
      <c r="P69" s="182">
        <f t="shared" si="4"/>
        <v>0</v>
      </c>
      <c r="Q69" s="181">
        <f>SUMIF('05.conso TB'!A:A,'May-26'!B69,'05.conso TB'!U:U)/10^5</f>
        <v>0</v>
      </c>
      <c r="R69" s="182">
        <f t="shared" si="5"/>
        <v>0</v>
      </c>
      <c r="S69" s="180">
        <f>U69-'Apr-26'!U69</f>
        <v>3</v>
      </c>
      <c r="T69" s="182">
        <f t="shared" si="6"/>
        <v>-127.75307884920028</v>
      </c>
      <c r="U69" s="183">
        <f>SUMIF('05.conso TB'!A:A,'May-26'!B69,'05.conso TB'!V:V)/10^5</f>
        <v>3</v>
      </c>
      <c r="V69" s="182">
        <f t="shared" si="7"/>
        <v>6.1547847869328598E-2</v>
      </c>
      <c r="W69" s="180">
        <f>Y69-'Apr-26'!Y69</f>
        <v>0</v>
      </c>
      <c r="X69" s="182">
        <f t="shared" si="8"/>
        <v>0</v>
      </c>
      <c r="Y69" s="181">
        <f>SUMIF('05.conso TB'!A:A,'May-26'!B69,'05.conso TB'!G:G)/10^5</f>
        <v>0</v>
      </c>
      <c r="Z69" s="182">
        <f t="shared" si="9"/>
        <v>0</v>
      </c>
      <c r="AA69" s="185"/>
      <c r="AB69" s="180">
        <f>AD69-'Apr-26'!AD69</f>
        <v>3</v>
      </c>
      <c r="AC69" s="182">
        <f t="shared" si="10"/>
        <v>3.2533043512585069E-4</v>
      </c>
      <c r="AD69" s="187">
        <f>E69+I69+M69+Q69+U69+Y69</f>
        <v>3</v>
      </c>
      <c r="AE69" s="182">
        <f t="shared" si="11"/>
        <v>2.075699060945608E-4</v>
      </c>
      <c r="AF69" s="186"/>
      <c r="AG69" s="180">
        <f>AI69-'Apr-26'!AI69</f>
        <v>0</v>
      </c>
      <c r="AH69" s="182">
        <f t="shared" si="12"/>
        <v>0</v>
      </c>
      <c r="AI69" s="183">
        <f>SUMIF('05.conso TB'!A:A,'May-26'!B69,'05.conso TB'!Q:Q)/10^5</f>
        <v>0</v>
      </c>
      <c r="AJ69" s="184">
        <f>AI69/$AI$46*100%</f>
        <v>0</v>
      </c>
      <c r="AK69" s="186"/>
      <c r="AL69" s="180">
        <f>AN69-'Apr-26'!AN69</f>
        <v>0</v>
      </c>
      <c r="AM69" s="182">
        <f t="shared" si="13"/>
        <v>0</v>
      </c>
      <c r="AN69" s="181">
        <f>SUMIF('05.conso TB'!A:A,'May-26'!B69,'05.conso TB'!W:W)/10^5</f>
        <v>0</v>
      </c>
      <c r="AO69" s="184">
        <f>AN69/$AN$46*100%</f>
        <v>0</v>
      </c>
      <c r="AP69" s="545"/>
      <c r="AQ69" s="180">
        <f>AS69-'Apr-26'!AS69</f>
        <v>0</v>
      </c>
      <c r="AR69" s="182">
        <f t="shared" si="14"/>
        <v>0</v>
      </c>
      <c r="AS69" s="183">
        <f>SUMIF('05.conso TB'!A:A,'May-26'!B69,'05.conso TB'!M:M)/10^5</f>
        <v>0</v>
      </c>
      <c r="AT69" s="184">
        <f>AS69/$AS$46*100%</f>
        <v>0</v>
      </c>
      <c r="AU69" s="180">
        <f>AW69-'Apr-26'!AW69</f>
        <v>0</v>
      </c>
      <c r="AV69" s="182">
        <f>AU69/$C$46*100%</f>
        <v>0</v>
      </c>
      <c r="AW69" s="183">
        <f>SUMIF('05.conso TB'!A:A,'May-26'!B69,'05.conso TB'!P:P)/10^5</f>
        <v>0</v>
      </c>
      <c r="AX69" s="184">
        <f>AW69/$AW$46*100%</f>
        <v>0</v>
      </c>
      <c r="AY69" s="195"/>
      <c r="AZ69" s="180">
        <f>BB69-'Apr-26'!BB69</f>
        <v>0</v>
      </c>
      <c r="BA69" s="182">
        <f t="shared" si="15"/>
        <v>0</v>
      </c>
      <c r="BB69" s="190">
        <f t="shared" si="199"/>
        <v>0</v>
      </c>
      <c r="BC69" s="184">
        <f>BB69/$BB$46*100%</f>
        <v>0</v>
      </c>
      <c r="BD69" s="191"/>
      <c r="BE69" s="180">
        <f>BG69-'Apr-26'!BG69</f>
        <v>0</v>
      </c>
      <c r="BF69" s="182">
        <f t="shared" si="16"/>
        <v>0</v>
      </c>
      <c r="BG69" s="183">
        <f>SUMIF('05.conso TB'!A:A,'May-26'!B69,'05.conso TB'!H:H)/10^5</f>
        <v>0</v>
      </c>
      <c r="BH69" s="184">
        <f>BG69/$BG$46*100%</f>
        <v>0</v>
      </c>
      <c r="BI69" s="180">
        <f>BK69-'Apr-26'!BK69</f>
        <v>0</v>
      </c>
      <c r="BJ69" s="182">
        <f t="shared" si="17"/>
        <v>0</v>
      </c>
      <c r="BK69" s="183">
        <f>SUMIF('05.conso TB'!A:A,'May-26'!B69,'05.conso TB'!I:I)/10^5</f>
        <v>0</v>
      </c>
      <c r="BL69" s="184">
        <f>BK69/$BK$46*100%</f>
        <v>0</v>
      </c>
      <c r="BM69" s="180">
        <f>BO69-'Apr-26'!BO69</f>
        <v>0</v>
      </c>
      <c r="BN69" s="182">
        <f>BM69/$C$46*100%</f>
        <v>0</v>
      </c>
      <c r="BO69" s="181">
        <f>SUMIF('05.conso TB'!A:A,'May-26'!B69,'05.conso TB'!J:J)/10^5</f>
        <v>0</v>
      </c>
      <c r="BP69" s="182">
        <f>BO69/$C$46*100%</f>
        <v>0</v>
      </c>
      <c r="BQ69" s="192"/>
      <c r="BR69" s="180">
        <f>BT69-'Apr-26'!BT69</f>
        <v>0</v>
      </c>
      <c r="BS69" s="182">
        <f t="shared" si="18"/>
        <v>0</v>
      </c>
      <c r="BT69" s="183">
        <f t="shared" si="19"/>
        <v>0</v>
      </c>
      <c r="BU69" s="182">
        <f t="shared" si="20"/>
        <v>0</v>
      </c>
      <c r="BV69" s="191"/>
      <c r="BW69" s="180">
        <f>BY69-'Apr-26'!BY69</f>
        <v>0</v>
      </c>
      <c r="BX69" s="182">
        <f t="shared" si="21"/>
        <v>0</v>
      </c>
      <c r="BY69" s="183">
        <f>SUMIF('05.conso TB'!A:A,'May-26'!B69,'05.conso TB'!L:L)/10^5</f>
        <v>0</v>
      </c>
      <c r="BZ69" s="182">
        <f t="shared" si="22"/>
        <v>0</v>
      </c>
      <c r="CA69" s="191"/>
      <c r="CB69" s="180">
        <f>CD69-'Apr-26'!CD69</f>
        <v>0</v>
      </c>
      <c r="CC69" s="346"/>
      <c r="CD69" s="186"/>
      <c r="CE69" s="187">
        <f>AB69+AG69+AL69+AZ69+BR69+BW69</f>
        <v>3</v>
      </c>
      <c r="CF69" s="182">
        <f t="shared" si="23"/>
        <v>1.7745840262268987E-4</v>
      </c>
      <c r="CG69" s="187">
        <f>AD69+AI69+AN69+BB69+BT69+BY69</f>
        <v>3</v>
      </c>
      <c r="CH69" s="182">
        <f t="shared" si="24"/>
        <v>2.4530841579446853E-4</v>
      </c>
    </row>
    <row r="70" spans="1:7168 7170:15360 15362:16333" s="204" customFormat="1" x14ac:dyDescent="0.35">
      <c r="B70" s="197" t="s">
        <v>440</v>
      </c>
      <c r="C70" s="180">
        <f>E70-'Apr-26'!E70</f>
        <v>1.1932</v>
      </c>
      <c r="D70" s="182">
        <f>C70/$C$46*100%</f>
        <v>3.8194161237457933E-4</v>
      </c>
      <c r="E70" s="181">
        <f>SUMIF('05.conso TB'!A:A,'May-26'!B70,'05.conso TB'!R:R)/10^5</f>
        <v>2.6103700000000001</v>
      </c>
      <c r="F70" s="182">
        <f t="shared" si="1"/>
        <v>4.0401023652172479E-4</v>
      </c>
      <c r="G70" s="180">
        <f>I70-'Apr-26'!I70</f>
        <v>6.1936499999999999</v>
      </c>
      <c r="H70" s="182">
        <f t="shared" si="2"/>
        <v>4.6631657311516769E-3</v>
      </c>
      <c r="I70" s="181">
        <f>SUMIF('05.conso TB'!A:A,'May-26'!B70,'05.conso TB'!S:S)/10^5</f>
        <v>8.7428884</v>
      </c>
      <c r="J70" s="182">
        <f t="shared" si="3"/>
        <v>3.4838408595059987E-3</v>
      </c>
      <c r="K70" s="180">
        <f>M70-'Apr-26'!M70</f>
        <v>0.25413999999999998</v>
      </c>
      <c r="L70" s="182">
        <f>K70/$C$46*100%</f>
        <v>8.1349850292386505E-5</v>
      </c>
      <c r="M70" s="181">
        <f>SUMIF('05.conso TB'!A:A,'May-26'!B70,'05.conso TB'!T:T)/10^5</f>
        <v>0.44619999999999999</v>
      </c>
      <c r="N70" s="182">
        <f>M70/$C$46*100%</f>
        <v>1.428279814293809E-4</v>
      </c>
      <c r="O70" s="180">
        <f>Q70-'Apr-26'!Q70</f>
        <v>2.0785</v>
      </c>
      <c r="P70" s="182">
        <f t="shared" si="4"/>
        <v>1.6734377493816499E-3</v>
      </c>
      <c r="Q70" s="181">
        <f>SUMIF('05.conso TB'!A:A,'May-26'!B70,'05.conso TB'!U:U)/10^5</f>
        <v>4.0624000000000002</v>
      </c>
      <c r="R70" s="182">
        <f t="shared" si="5"/>
        <v>1.8644746318568436E-3</v>
      </c>
      <c r="S70" s="180">
        <f>U70-'Apr-26'!U70</f>
        <v>0.37782000000000004</v>
      </c>
      <c r="T70" s="182">
        <f t="shared" si="6"/>
        <v>-16.089222750268284</v>
      </c>
      <c r="U70" s="183">
        <f>SUMIF('05.conso TB'!A:A,'May-26'!B70,'05.conso TB'!V:V)/10^5</f>
        <v>1.50213</v>
      </c>
      <c r="V70" s="182">
        <f t="shared" si="7"/>
        <v>3.0817622906651521E-2</v>
      </c>
      <c r="W70" s="180">
        <f>Y70-'Apr-26'!Y70</f>
        <v>0.25029000000000001</v>
      </c>
      <c r="X70" s="182">
        <f t="shared" si="8"/>
        <v>6.7297664869895741E-5</v>
      </c>
      <c r="Y70" s="181">
        <f>SUMIF('05.conso TB'!A:A,'May-26'!B70,'05.conso TB'!G:G)/10^5</f>
        <v>0.47297</v>
      </c>
      <c r="Z70" s="182">
        <f t="shared" si="9"/>
        <v>1.2467529759057619E-4</v>
      </c>
      <c r="AA70" s="185"/>
      <c r="AB70" s="180">
        <f>AD70-'Apr-26'!AD70</f>
        <v>10.3476</v>
      </c>
      <c r="AC70" s="182">
        <f t="shared" si="10"/>
        <v>1.1221297368360843E-3</v>
      </c>
      <c r="AD70" s="187">
        <f>E70+I70+M70+Q70+U70+Y70</f>
        <v>17.8369584</v>
      </c>
      <c r="AE70" s="182">
        <f t="shared" si="11"/>
        <v>1.2341385933668627E-3</v>
      </c>
      <c r="AF70" s="186"/>
      <c r="AG70" s="180">
        <f>AI70-'Apr-26'!AI70</f>
        <v>4.1593</v>
      </c>
      <c r="AH70" s="182">
        <f t="shared" si="12"/>
        <v>1.1317546292759703E-2</v>
      </c>
      <c r="AI70" s="183">
        <f>SUMIF('05.conso TB'!A:A,'May-26'!B70,'05.conso TB'!Q:Q)/10^5</f>
        <v>8.2173499999999997</v>
      </c>
      <c r="AJ70" s="184">
        <f>AI70/$AI$46*100%</f>
        <v>1.1134580276304148E-2</v>
      </c>
      <c r="AK70" s="186"/>
      <c r="AL70" s="180">
        <f>AN70-'Apr-26'!AN70</f>
        <v>0.54947900000000005</v>
      </c>
      <c r="AM70" s="182">
        <f t="shared" si="13"/>
        <v>4.6399376580530144E-4</v>
      </c>
      <c r="AN70" s="181">
        <f>SUMIF('05.conso TB'!A:A,'May-26'!B70,'05.conso TB'!W:W)/10^5</f>
        <v>0.89999580000000001</v>
      </c>
      <c r="AO70" s="184">
        <f>AN70/$AN$46*100%</f>
        <v>3.8753699383723989E-4</v>
      </c>
      <c r="AP70" s="545"/>
      <c r="AQ70" s="180">
        <f>AS70-'Apr-26'!AS70</f>
        <v>2.5899499999999995</v>
      </c>
      <c r="AR70" s="182">
        <f t="shared" si="14"/>
        <v>1.2703137912244821E-3</v>
      </c>
      <c r="AS70" s="183">
        <f>SUMIF('05.conso TB'!A:A,'May-26'!B70,'05.conso TB'!M:M)/10^5</f>
        <v>5.1730799999999997</v>
      </c>
      <c r="AT70" s="184">
        <f>AS70/$AS$46*100%</f>
        <v>1.3365268581620072E-3</v>
      </c>
      <c r="AU70" s="180">
        <f>AW70-'Apr-26'!AW70</f>
        <v>0.16006000000000001</v>
      </c>
      <c r="AV70" s="182">
        <f>AU70/$C$46*100%</f>
        <v>5.1234976933184012E-5</v>
      </c>
      <c r="AW70" s="183">
        <f>SUMIF('05.conso TB'!A:A,'May-26'!B70,'05.conso TB'!P:P)/10^5</f>
        <v>0.16006000000000001</v>
      </c>
      <c r="AX70" s="184">
        <f>AW70/$AW$46*100%</f>
        <v>8.6648530258792212E-5</v>
      </c>
      <c r="AY70" s="195"/>
      <c r="AZ70" s="180">
        <f>BB70-'Apr-26'!BB70</f>
        <v>2.7500099999999992</v>
      </c>
      <c r="BA70" s="182">
        <f t="shared" si="15"/>
        <v>9.0603747616737631E-4</v>
      </c>
      <c r="BB70" s="190">
        <f t="shared" si="199"/>
        <v>5.3331399999999993</v>
      </c>
      <c r="BC70" s="184">
        <f>BB70/$BB$46*100%</f>
        <v>9.3273040538381408E-4</v>
      </c>
      <c r="BD70" s="191"/>
      <c r="BE70" s="180">
        <f>BG70-'Apr-26'!BG70</f>
        <v>1.4788199999999998</v>
      </c>
      <c r="BF70" s="182">
        <f t="shared" si="16"/>
        <v>5.2910943207343133E-4</v>
      </c>
      <c r="BG70" s="183">
        <f>SUMIF('05.conso TB'!A:A,'May-26'!B70,'05.conso TB'!H:H)/10^5</f>
        <v>2.6588799999999999</v>
      </c>
      <c r="BH70" s="184">
        <f>BG70/$BG$46*100%</f>
        <v>5.6582277386344089E-4</v>
      </c>
      <c r="BI70" s="180">
        <f>BK70-'Apr-26'!BK70</f>
        <v>1.9999999999999997E-2</v>
      </c>
      <c r="BJ70" s="182">
        <f t="shared" si="17"/>
        <v>1.0406306754696247E-3</v>
      </c>
      <c r="BK70" s="183">
        <f>SUMIF('05.conso TB'!A:A,'May-26'!B70,'05.conso TB'!I:I)/10^5</f>
        <v>0.06</v>
      </c>
      <c r="BL70" s="184">
        <f>BK70/$BK$46*100%</f>
        <v>1.5544153038466501E-3</v>
      </c>
      <c r="BM70" s="180">
        <f>BO70-'Apr-26'!BO70</f>
        <v>0</v>
      </c>
      <c r="BN70" s="182">
        <f>BM70/$C$46*100%</f>
        <v>0</v>
      </c>
      <c r="BO70" s="181">
        <f>SUMIF('05.conso TB'!A:A,'May-26'!B70,'05.conso TB'!J:J)/10^5</f>
        <v>0</v>
      </c>
      <c r="BP70" s="182">
        <f>BO70/$C$46*100%</f>
        <v>0</v>
      </c>
      <c r="BQ70" s="192"/>
      <c r="BR70" s="180">
        <f>BT70-'Apr-26'!BT70</f>
        <v>1.4988199999999998</v>
      </c>
      <c r="BS70" s="182">
        <f t="shared" si="18"/>
        <v>5.6676950946003401E-4</v>
      </c>
      <c r="BT70" s="183">
        <f t="shared" si="19"/>
        <v>2.71888</v>
      </c>
      <c r="BU70" s="182">
        <f t="shared" si="20"/>
        <v>6.0584521271039827E-4</v>
      </c>
      <c r="BV70" s="191"/>
      <c r="BW70" s="180">
        <f>BY70-'Apr-26'!BY70</f>
        <v>0</v>
      </c>
      <c r="BX70" s="182">
        <f t="shared" si="21"/>
        <v>0</v>
      </c>
      <c r="BY70" s="183">
        <f>SUMIF('05.conso TB'!A:A,'May-26'!B70,'05.conso TB'!L:L)/10^5</f>
        <v>0</v>
      </c>
      <c r="BZ70" s="182">
        <f t="shared" si="22"/>
        <v>0</v>
      </c>
      <c r="CA70" s="191"/>
      <c r="CB70" s="180">
        <f>CD70-'Apr-26'!CD70</f>
        <v>0</v>
      </c>
      <c r="CC70" s="346"/>
      <c r="CD70" s="186"/>
      <c r="CE70" s="187">
        <f>AB70+AG70+AL70+AZ70+BR70+BW70</f>
        <v>19.305208999999998</v>
      </c>
      <c r="CF70" s="182">
        <f t="shared" si="23"/>
        <v>1.1419571838123918E-3</v>
      </c>
      <c r="CG70" s="187">
        <f>AD70+AI70+AN70+BB70+BT70+BY70</f>
        <v>35.006324199999995</v>
      </c>
      <c r="CH70" s="182">
        <f t="shared" si="24"/>
        <v>2.8624486440965214E-3</v>
      </c>
    </row>
    <row r="71" spans="1:7168 7170:15360 15362:16333" s="204" customFormat="1" x14ac:dyDescent="0.35">
      <c r="B71" s="197" t="s">
        <v>428</v>
      </c>
      <c r="C71" s="180">
        <f>E71-'Apr-26'!E71</f>
        <v>32.803314399999998</v>
      </c>
      <c r="D71" s="182">
        <f>C71/$C$46*100%</f>
        <v>1.0500293993602292E-2</v>
      </c>
      <c r="E71" s="181">
        <f>SUMIF('05.conso TB'!A:A,'May-26'!B71,'05.conso TB'!R:R)/10^5</f>
        <v>47.496631099999995</v>
      </c>
      <c r="F71" s="182">
        <f t="shared" si="1"/>
        <v>7.3511131236936172E-3</v>
      </c>
      <c r="G71" s="180">
        <f>I71-'Apr-26'!I71</f>
        <v>26.065784300000008</v>
      </c>
      <c r="H71" s="182">
        <f t="shared" si="2"/>
        <v>1.9624788630831811E-2</v>
      </c>
      <c r="I71" s="181">
        <f>SUMIF('05.conso TB'!A:A,'May-26'!B71,'05.conso TB'!S:S)/10^5</f>
        <v>54.127398100000008</v>
      </c>
      <c r="J71" s="182">
        <f t="shared" si="3"/>
        <v>2.1568528899388373E-2</v>
      </c>
      <c r="K71" s="180">
        <f>M71-'Apr-26'!M71</f>
        <v>0</v>
      </c>
      <c r="L71" s="182">
        <f>K71/$C$46*100%</f>
        <v>0</v>
      </c>
      <c r="M71" s="181">
        <f>SUMIF('05.conso TB'!A:A,'May-26'!B71,'05.conso TB'!T:T)/10^5</f>
        <v>0</v>
      </c>
      <c r="N71" s="182">
        <f>M71/$C$46*100%</f>
        <v>0</v>
      </c>
      <c r="O71" s="180">
        <f>Q71-'Apr-26'!Q71</f>
        <v>12.066477599999999</v>
      </c>
      <c r="P71" s="182">
        <f t="shared" si="4"/>
        <v>9.7149382332971327E-3</v>
      </c>
      <c r="Q71" s="181">
        <f>SUMIF('05.conso TB'!A:A,'May-26'!B71,'05.conso TB'!U:U)/10^5</f>
        <v>18.0445004</v>
      </c>
      <c r="R71" s="182">
        <f t="shared" si="5"/>
        <v>8.2816840390731259E-3</v>
      </c>
      <c r="S71" s="180">
        <f>U71-'Apr-26'!U71</f>
        <v>0</v>
      </c>
      <c r="T71" s="182">
        <f t="shared" si="6"/>
        <v>0</v>
      </c>
      <c r="U71" s="183">
        <f>SUMIF('05.conso TB'!A:A,'May-26'!B71,'05.conso TB'!V:V)/10^5</f>
        <v>4.6695E-2</v>
      </c>
      <c r="V71" s="182">
        <f t="shared" si="7"/>
        <v>9.5799225208609957E-4</v>
      </c>
      <c r="W71" s="180">
        <f>Y71-'Apr-26'!Y71</f>
        <v>0</v>
      </c>
      <c r="X71" s="182">
        <f t="shared" si="8"/>
        <v>0</v>
      </c>
      <c r="Y71" s="181">
        <f>SUMIF('05.conso TB'!A:A,'May-26'!B71,'05.conso TB'!G:G)/10^5</f>
        <v>0</v>
      </c>
      <c r="Z71" s="182">
        <f t="shared" si="9"/>
        <v>0</v>
      </c>
      <c r="AA71" s="185"/>
      <c r="AB71" s="180">
        <f>AD71-'Apr-26'!AD71</f>
        <v>70.935576300000008</v>
      </c>
      <c r="AC71" s="182">
        <f t="shared" si="10"/>
        <v>7.6925006345273279E-3</v>
      </c>
      <c r="AD71" s="187">
        <f>E71+I71+M71+Q71+U71+Y71</f>
        <v>119.7152246</v>
      </c>
      <c r="AE71" s="182">
        <f t="shared" si="11"/>
        <v>8.2830926427704191E-3</v>
      </c>
      <c r="AF71" s="186"/>
      <c r="AG71" s="180">
        <f>AI71-'Apr-26'!AI71</f>
        <v>6.8711799999999998</v>
      </c>
      <c r="AH71" s="182">
        <f t="shared" si="12"/>
        <v>1.869663110039781E-2</v>
      </c>
      <c r="AI71" s="183">
        <f>SUMIF('05.conso TB'!A:A,'May-26'!B71,'05.conso TB'!Q:Q)/10^5</f>
        <v>9.4332399999999996</v>
      </c>
      <c r="AJ71" s="184">
        <f>AI71/$AI$46*100%</f>
        <v>1.278212173579601E-2</v>
      </c>
      <c r="AK71" s="186"/>
      <c r="AL71" s="180">
        <f>AN71-'Apr-26'!AN71</f>
        <v>10.538692900000001</v>
      </c>
      <c r="AM71" s="182">
        <f t="shared" si="13"/>
        <v>8.8991350085018597E-3</v>
      </c>
      <c r="AN71" s="181">
        <f>SUMIF('05.conso TB'!A:A,'May-26'!B71,'05.conso TB'!W:W)/10^5</f>
        <v>14.9978953</v>
      </c>
      <c r="AO71" s="184">
        <f>AN71/$AN$46*100%</f>
        <v>6.4580737581749481E-3</v>
      </c>
      <c r="AP71" s="545"/>
      <c r="AQ71" s="180">
        <f>AS71-'Apr-26'!AS71</f>
        <v>-74.25665140000001</v>
      </c>
      <c r="AR71" s="182">
        <f t="shared" si="14"/>
        <v>-3.6421262326905457E-2</v>
      </c>
      <c r="AS71" s="183">
        <f>SUMIF('05.conso TB'!A:A,'May-26'!B71,'05.conso TB'!M:M)/10^5</f>
        <v>-38.79169120000001</v>
      </c>
      <c r="AT71" s="184">
        <f>AS71/$AS$46*100%</f>
        <v>-1.0022295646370595E-2</v>
      </c>
      <c r="AU71" s="180">
        <f>AW71-'Apr-26'!AW71</f>
        <v>1.2155398999999996</v>
      </c>
      <c r="AV71" s="182">
        <f>AU71/$C$46*100%</f>
        <v>3.8909258239325738E-4</v>
      </c>
      <c r="AW71" s="183">
        <f>SUMIF('05.conso TB'!A:A,'May-26'!B71,'05.conso TB'!P:P)/10^5</f>
        <v>6.7256447999999995</v>
      </c>
      <c r="AX71" s="184">
        <f>AW71/$AW$46*100%</f>
        <v>3.6409298823109363E-3</v>
      </c>
      <c r="AY71" s="195"/>
      <c r="AZ71" s="180">
        <f>BB71-'Apr-26'!BB71</f>
        <v>-73.041111500000014</v>
      </c>
      <c r="BA71" s="182">
        <f t="shared" si="15"/>
        <v>-2.4064634063119754E-2</v>
      </c>
      <c r="BB71" s="190">
        <f t="shared" si="199"/>
        <v>-32.066046400000012</v>
      </c>
      <c r="BC71" s="184">
        <f>BB71/$BB$46*100%</f>
        <v>-5.6081363807678414E-3</v>
      </c>
      <c r="BD71" s="191"/>
      <c r="BE71" s="180">
        <f>BG71-'Apr-26'!BG71</f>
        <v>51.257199499999999</v>
      </c>
      <c r="BF71" s="182">
        <f t="shared" si="16"/>
        <v>1.8339397436550473E-2</v>
      </c>
      <c r="BG71" s="183">
        <f>SUMIF('05.conso TB'!A:A,'May-26'!B71,'05.conso TB'!H:H)/10^5</f>
        <v>51.9400847</v>
      </c>
      <c r="BH71" s="184">
        <f>BG71/$BG$46*100%</f>
        <v>1.1053106119740669E-2</v>
      </c>
      <c r="BI71" s="180">
        <f>BK71-'Apr-26'!BK71</f>
        <v>0.12253999999999998</v>
      </c>
      <c r="BJ71" s="182">
        <f t="shared" si="17"/>
        <v>6.3759441486023905E-3</v>
      </c>
      <c r="BK71" s="183">
        <f>SUMIF('05.conso TB'!A:A,'May-26'!B71,'05.conso TB'!I:I)/10^5</f>
        <v>0.35958559999999995</v>
      </c>
      <c r="BL71" s="184">
        <f>BK71/$BK$46*100%</f>
        <v>9.315755994714665E-3</v>
      </c>
      <c r="BM71" s="180">
        <f>BO71-'Apr-26'!BO71</f>
        <v>0</v>
      </c>
      <c r="BN71" s="182">
        <f>BM71/$C$46*100%</f>
        <v>0</v>
      </c>
      <c r="BO71" s="181">
        <f>SUMIF('05.conso TB'!A:A,'May-26'!B71,'05.conso TB'!J:J)/10^5</f>
        <v>0</v>
      </c>
      <c r="BP71" s="182">
        <f>BO71/$C$46*100%</f>
        <v>0</v>
      </c>
      <c r="BQ71" s="192"/>
      <c r="BR71" s="180">
        <f>BT71-'Apr-26'!BT71</f>
        <v>51.379739499999999</v>
      </c>
      <c r="BS71" s="182">
        <f t="shared" si="18"/>
        <v>1.9428930593800013E-2</v>
      </c>
      <c r="BT71" s="183">
        <f t="shared" si="19"/>
        <v>52.299670300000002</v>
      </c>
      <c r="BU71" s="182">
        <f t="shared" si="20"/>
        <v>1.1653881332602837E-2</v>
      </c>
      <c r="BV71" s="191"/>
      <c r="BW71" s="180">
        <f>BY71-'Apr-26'!BY71</f>
        <v>0.96049999999999991</v>
      </c>
      <c r="BX71" s="182">
        <f t="shared" si="21"/>
        <v>2.1225222975447739E-3</v>
      </c>
      <c r="BY71" s="183">
        <f>SUMIF('05.conso TB'!A:A,'May-26'!B71,'05.conso TB'!L:L)/10^5</f>
        <v>1.8411999999999999</v>
      </c>
      <c r="BZ71" s="182">
        <f t="shared" si="22"/>
        <v>8.5205881294806525E-4</v>
      </c>
      <c r="CA71" s="191"/>
      <c r="CB71" s="180">
        <f>CD71-'Apr-26'!CD71</f>
        <v>0</v>
      </c>
      <c r="CC71" s="346"/>
      <c r="CD71" s="186"/>
      <c r="CE71" s="187">
        <f>AB71+AG71+AL71+AZ71+BR71+BW71</f>
        <v>67.644577199999986</v>
      </c>
      <c r="CF71" s="182">
        <f t="shared" si="23"/>
        <v>4.0013662053330753E-3</v>
      </c>
      <c r="CG71" s="187">
        <f>AD71+AI71+AN71+BB71+BT71+BY71</f>
        <v>166.22118380000001</v>
      </c>
      <c r="CH71" s="182">
        <f t="shared" si="24"/>
        <v>1.359181842315306E-2</v>
      </c>
    </row>
    <row r="72" spans="1:7168 7170:15360 15362:16333" ht="15.5" x14ac:dyDescent="0.35">
      <c r="A72" s="218"/>
      <c r="B72" s="280" t="s">
        <v>496</v>
      </c>
      <c r="C72" s="148">
        <f t="shared" ref="C72:AD72" si="200">SUM(C67:C71)</f>
        <v>34.171564400000001</v>
      </c>
      <c r="D72" s="151">
        <f t="shared" si="200"/>
        <v>1.0938268860457403E-2</v>
      </c>
      <c r="E72" s="149">
        <f t="shared" si="200"/>
        <v>50.295271099999994</v>
      </c>
      <c r="F72" s="182">
        <f t="shared" si="1"/>
        <v>7.7842621440773786E-3</v>
      </c>
      <c r="G72" s="148">
        <f t="shared" ref="G72" si="201">SUM(G67:G71)</f>
        <v>32.259434300000009</v>
      </c>
      <c r="H72" s="182">
        <f t="shared" si="2"/>
        <v>2.4287954361983489E-2</v>
      </c>
      <c r="I72" s="149">
        <f t="shared" si="200"/>
        <v>62.870286500000006</v>
      </c>
      <c r="J72" s="182">
        <f t="shared" si="3"/>
        <v>2.5052369758894372E-2</v>
      </c>
      <c r="K72" s="148">
        <f t="shared" ref="K72" si="202">SUM(K67:K71)</f>
        <v>0.25413999999999998</v>
      </c>
      <c r="L72" s="151">
        <f t="shared" ref="L72" si="203">SUM(L67:L71)</f>
        <v>8.1349850292386505E-5</v>
      </c>
      <c r="M72" s="149">
        <f t="shared" si="200"/>
        <v>0.44619999999999999</v>
      </c>
      <c r="N72" s="151">
        <f t="shared" ref="N72" si="204">SUM(N67:N71)</f>
        <v>1.428279814293809E-4</v>
      </c>
      <c r="O72" s="148">
        <f t="shared" ref="O72" si="205">SUM(O67:O71)</f>
        <v>14.144977599999999</v>
      </c>
      <c r="P72" s="182">
        <f t="shared" si="4"/>
        <v>1.1388375982678783E-2</v>
      </c>
      <c r="Q72" s="149">
        <f t="shared" si="200"/>
        <v>22.106900400000001</v>
      </c>
      <c r="R72" s="182">
        <f t="shared" si="5"/>
        <v>1.0146158670929968E-2</v>
      </c>
      <c r="S72" s="148">
        <f t="shared" ref="S72" si="206">SUM(S67:S71)</f>
        <v>16.711540800000002</v>
      </c>
      <c r="T72" s="182">
        <f t="shared" si="6"/>
        <v>-711.65026317134254</v>
      </c>
      <c r="U72" s="152">
        <f t="shared" si="200"/>
        <v>27.622008600000001</v>
      </c>
      <c r="V72" s="182">
        <f t="shared" si="7"/>
        <v>0.56669172771936205</v>
      </c>
      <c r="W72" s="148">
        <f t="shared" ref="W72" si="207">SUM(W67:W71)</f>
        <v>0.32606000000000002</v>
      </c>
      <c r="X72" s="182">
        <f t="shared" si="8"/>
        <v>8.7670608524024945E-5</v>
      </c>
      <c r="Y72" s="149">
        <f t="shared" si="200"/>
        <v>1.00224</v>
      </c>
      <c r="Z72" s="182">
        <f t="shared" si="9"/>
        <v>2.6419132346064043E-4</v>
      </c>
      <c r="AA72" s="176">
        <f t="shared" si="200"/>
        <v>0</v>
      </c>
      <c r="AB72" s="152">
        <f t="shared" si="200"/>
        <v>97.867717100000007</v>
      </c>
      <c r="AC72" s="182">
        <f t="shared" si="10"/>
        <v>1.061311566297222E-2</v>
      </c>
      <c r="AD72" s="152">
        <f t="shared" si="200"/>
        <v>164.34290659999999</v>
      </c>
      <c r="AE72" s="182">
        <f t="shared" si="11"/>
        <v>1.1370880563423058E-2</v>
      </c>
      <c r="AF72" s="511">
        <f>AG72/$AG$1*10^5</f>
        <v>3.0608196904189877</v>
      </c>
      <c r="AG72" s="148">
        <f t="shared" ref="AG72" si="208">SUM(AG67:AG71)</f>
        <v>11.2494</v>
      </c>
      <c r="AH72" s="182">
        <f t="shared" si="12"/>
        <v>3.0609863502457386E-2</v>
      </c>
      <c r="AI72" s="152">
        <f t="shared" ref="AI72:AJ72" si="209">SUM(AI67:AI71)</f>
        <v>17.877759999999999</v>
      </c>
      <c r="AJ72" s="153">
        <f t="shared" si="209"/>
        <v>2.4224519325634082E-2</v>
      </c>
      <c r="AK72" s="437">
        <f>AL72/$AL$1*10^5</f>
        <v>5.6765279740231511</v>
      </c>
      <c r="AL72" s="148">
        <f t="shared" ref="AL72" si="210">SUM(AL67:AL71)</f>
        <v>25.068909900000001</v>
      </c>
      <c r="AM72" s="182">
        <f t="shared" si="13"/>
        <v>2.1168812473515462E-2</v>
      </c>
      <c r="AN72" s="149">
        <f>SUM(AN67:AN71)</f>
        <v>30.744106899999998</v>
      </c>
      <c r="AO72" s="153">
        <f>SUM(AO67:AO71)</f>
        <v>1.323837151933014E-2</v>
      </c>
      <c r="AP72" s="546">
        <f>AQ72/$AQ$1*10^5</f>
        <v>-11.622377856873666</v>
      </c>
      <c r="AQ72" s="148">
        <f t="shared" ref="AQ72" si="211">SUM(AQ67:AQ71)</f>
        <v>-69.38850140000001</v>
      </c>
      <c r="AR72" s="182">
        <f t="shared" si="14"/>
        <v>-3.4033541296480362E-2</v>
      </c>
      <c r="AS72" s="152">
        <f t="shared" ref="AS72:AX72" si="212">SUM(AS67:AS71)</f>
        <v>-28.429182400000009</v>
      </c>
      <c r="AT72" s="153">
        <f t="shared" si="212"/>
        <v>-7.3450180227614195E-3</v>
      </c>
      <c r="AU72" s="148">
        <f t="shared" ref="AU72" si="213">SUM(AU67:AU71)</f>
        <v>1.3755998999999997</v>
      </c>
      <c r="AV72" s="151">
        <f t="shared" si="212"/>
        <v>4.4032755932644141E-4</v>
      </c>
      <c r="AW72" s="152">
        <f t="shared" si="212"/>
        <v>6.8857047999999992</v>
      </c>
      <c r="AX72" s="153">
        <f t="shared" si="212"/>
        <v>3.7275784125697284E-3</v>
      </c>
      <c r="AY72" s="163"/>
      <c r="AZ72" s="148">
        <f t="shared" ref="AZ72" si="214">SUM(AZ67:AZ71)</f>
        <v>-68.012901500000012</v>
      </c>
      <c r="BA72" s="182">
        <f t="shared" si="15"/>
        <v>-2.2408004924302234E-2</v>
      </c>
      <c r="BB72" s="157">
        <f>SUM(BB67:BB71)</f>
        <v>-21.543477600000013</v>
      </c>
      <c r="BC72" s="153">
        <f>SUM(BC67:BC71)</f>
        <v>-3.767809694706145E-3</v>
      </c>
      <c r="BD72" s="178"/>
      <c r="BE72" s="148">
        <f t="shared" ref="BE72" si="215">SUM(BE67:BE71)</f>
        <v>81.849024700000001</v>
      </c>
      <c r="BF72" s="182">
        <f t="shared" si="16"/>
        <v>2.928489672494371E-2</v>
      </c>
      <c r="BG72" s="152">
        <f t="shared" ref="BG72:BP72" si="216">SUM(BG67:BG71)</f>
        <v>92.699004900000006</v>
      </c>
      <c r="BH72" s="153">
        <f t="shared" si="216"/>
        <v>1.9726805304074911E-2</v>
      </c>
      <c r="BI72" s="148">
        <f t="shared" ref="BI72" si="217">SUM(BI67:BI71)</f>
        <v>0.32596999999999998</v>
      </c>
      <c r="BJ72" s="182">
        <f t="shared" si="17"/>
        <v>1.6960719064141681E-2</v>
      </c>
      <c r="BK72" s="152">
        <f t="shared" si="216"/>
        <v>1.0054356</v>
      </c>
      <c r="BL72" s="153">
        <f t="shared" si="216"/>
        <v>2.6047741394537312E-2</v>
      </c>
      <c r="BM72" s="148">
        <f t="shared" ref="BM72" si="218">SUM(BM67:BM71)</f>
        <v>0</v>
      </c>
      <c r="BN72" s="151">
        <f t="shared" si="216"/>
        <v>0</v>
      </c>
      <c r="BO72" s="149">
        <f t="shared" si="216"/>
        <v>0</v>
      </c>
      <c r="BP72" s="151">
        <f t="shared" si="216"/>
        <v>0</v>
      </c>
      <c r="BQ72" s="164"/>
      <c r="BR72" s="148">
        <f t="shared" ref="BR72" si="219">SUM(BR67:BR71)</f>
        <v>82.174994699999999</v>
      </c>
      <c r="BS72" s="182">
        <f t="shared" si="18"/>
        <v>3.107396581043748E-2</v>
      </c>
      <c r="BT72" s="183">
        <f t="shared" si="19"/>
        <v>93.704440500000004</v>
      </c>
      <c r="BU72" s="182">
        <f t="shared" si="20"/>
        <v>2.0880063366765494E-2</v>
      </c>
      <c r="BV72" s="159"/>
      <c r="BW72" s="148">
        <f t="shared" ref="BW72" si="220">SUM(BW67:BW71)</f>
        <v>0.96049999999999991</v>
      </c>
      <c r="BX72" s="182">
        <f t="shared" si="21"/>
        <v>2.1225222975447739E-3</v>
      </c>
      <c r="BY72" s="152">
        <f t="shared" ref="BY72" si="221">SUM(BY67:BY71)</f>
        <v>1.8411999999999999</v>
      </c>
      <c r="BZ72" s="182">
        <f t="shared" si="22"/>
        <v>8.5205881294806525E-4</v>
      </c>
      <c r="CA72" s="178"/>
      <c r="CB72" s="148">
        <f t="shared" ref="CB72" si="222">SUM(CB67:CB71)</f>
        <v>0</v>
      </c>
      <c r="CC72" s="361"/>
      <c r="CD72" s="528"/>
      <c r="CE72" s="152">
        <f>SUM(CE67:CE71)</f>
        <v>149.30862019999998</v>
      </c>
      <c r="CF72" s="182">
        <f t="shared" si="23"/>
        <v>8.8320230794966276E-3</v>
      </c>
      <c r="CG72" s="152">
        <f>SUM(CG67:CG71)</f>
        <v>286.96693640000001</v>
      </c>
      <c r="CH72" s="182">
        <f t="shared" si="24"/>
        <v>2.3465134851225335E-2</v>
      </c>
    </row>
    <row r="73" spans="1:7168 7170:15360 15362:16333" x14ac:dyDescent="0.35">
      <c r="B73" s="86" t="s">
        <v>497</v>
      </c>
      <c r="C73" s="136"/>
      <c r="D73" s="402"/>
      <c r="E73" s="134"/>
      <c r="F73" s="182">
        <f t="shared" si="1"/>
        <v>0</v>
      </c>
      <c r="G73" s="136"/>
      <c r="H73" s="182">
        <f t="shared" si="2"/>
        <v>0</v>
      </c>
      <c r="I73" s="134">
        <f>SUMIF('05.conso TB'!A:A,'May-26'!B73,'05.conso TB'!S:S)/10^5</f>
        <v>0</v>
      </c>
      <c r="J73" s="182">
        <f t="shared" si="3"/>
        <v>0</v>
      </c>
      <c r="K73" s="136"/>
      <c r="L73" s="402"/>
      <c r="M73" s="134"/>
      <c r="N73" s="402"/>
      <c r="O73" s="136"/>
      <c r="P73" s="182">
        <f t="shared" si="4"/>
        <v>0</v>
      </c>
      <c r="Q73" s="134"/>
      <c r="R73" s="182">
        <f t="shared" si="5"/>
        <v>0</v>
      </c>
      <c r="S73" s="136"/>
      <c r="T73" s="182">
        <f t="shared" si="6"/>
        <v>0</v>
      </c>
      <c r="U73" s="131"/>
      <c r="V73" s="182">
        <f t="shared" si="7"/>
        <v>0</v>
      </c>
      <c r="W73" s="136"/>
      <c r="X73" s="182">
        <f t="shared" si="8"/>
        <v>0</v>
      </c>
      <c r="Y73" s="134"/>
      <c r="Z73" s="182">
        <f t="shared" si="9"/>
        <v>0</v>
      </c>
      <c r="AA73" s="176"/>
      <c r="AB73" s="136"/>
      <c r="AC73" s="182">
        <f t="shared" si="10"/>
        <v>0</v>
      </c>
      <c r="AD73" s="131"/>
      <c r="AE73" s="182">
        <f t="shared" si="11"/>
        <v>0</v>
      </c>
      <c r="AF73" s="139"/>
      <c r="AG73" s="136"/>
      <c r="AH73" s="182">
        <f t="shared" si="12"/>
        <v>0</v>
      </c>
      <c r="AI73" s="131"/>
      <c r="AJ73" s="132"/>
      <c r="AK73" s="139"/>
      <c r="AL73" s="136"/>
      <c r="AM73" s="182">
        <f t="shared" si="13"/>
        <v>0</v>
      </c>
      <c r="AN73" s="134"/>
      <c r="AO73" s="132"/>
      <c r="AP73" s="139"/>
      <c r="AQ73" s="136"/>
      <c r="AR73" s="182">
        <f t="shared" si="14"/>
        <v>0</v>
      </c>
      <c r="AS73" s="131"/>
      <c r="AT73" s="132"/>
      <c r="AU73" s="136"/>
      <c r="AV73" s="402"/>
      <c r="AW73" s="131"/>
      <c r="AX73" s="132"/>
      <c r="AY73" s="142"/>
      <c r="AZ73" s="136"/>
      <c r="BA73" s="182">
        <f t="shared" si="15"/>
        <v>0</v>
      </c>
      <c r="BB73" s="143"/>
      <c r="BC73" s="132"/>
      <c r="BD73" s="178"/>
      <c r="BE73" s="136"/>
      <c r="BF73" s="182">
        <f t="shared" si="16"/>
        <v>0</v>
      </c>
      <c r="BG73" s="131"/>
      <c r="BH73" s="132"/>
      <c r="BI73" s="136"/>
      <c r="BJ73" s="182">
        <f t="shared" si="17"/>
        <v>0</v>
      </c>
      <c r="BK73" s="131"/>
      <c r="BL73" s="132"/>
      <c r="BM73" s="136"/>
      <c r="BN73" s="402"/>
      <c r="BO73" s="134"/>
      <c r="BP73" s="402"/>
      <c r="BQ73" s="147"/>
      <c r="BR73" s="136"/>
      <c r="BS73" s="182">
        <f t="shared" si="18"/>
        <v>0</v>
      </c>
      <c r="BT73" s="183">
        <f t="shared" si="19"/>
        <v>0</v>
      </c>
      <c r="BU73" s="182">
        <f t="shared" si="20"/>
        <v>0</v>
      </c>
      <c r="BV73" s="144"/>
      <c r="BW73" s="136"/>
      <c r="BX73" s="182">
        <f t="shared" si="21"/>
        <v>0</v>
      </c>
      <c r="BY73" s="131"/>
      <c r="BZ73" s="182">
        <f t="shared" si="22"/>
        <v>0</v>
      </c>
      <c r="CA73" s="178"/>
      <c r="CB73" s="136"/>
      <c r="CC73" s="521"/>
      <c r="CD73" s="139"/>
      <c r="CE73" s="129"/>
      <c r="CF73" s="182">
        <f t="shared" si="23"/>
        <v>0</v>
      </c>
      <c r="CG73" s="131"/>
      <c r="CH73" s="182">
        <f t="shared" si="24"/>
        <v>0</v>
      </c>
    </row>
    <row r="74" spans="1:7168 7170:15360 15362:16333" s="204" customFormat="1" x14ac:dyDescent="0.35">
      <c r="B74" s="197" t="s">
        <v>437</v>
      </c>
      <c r="C74" s="180">
        <f>E74-'Apr-26'!E74</f>
        <v>2.4287714999999999</v>
      </c>
      <c r="D74" s="182">
        <f t="shared" ref="D74:D79" si="223">C74/$C$46*100%</f>
        <v>7.7744628125999457E-4</v>
      </c>
      <c r="E74" s="181">
        <f>SUMIF('05.conso TB'!A:A,'May-26'!B74,'05.conso TB'!R:R)/10^5</f>
        <v>4.4124134000000002</v>
      </c>
      <c r="F74" s="182">
        <f t="shared" si="1"/>
        <v>6.8291475207178599E-4</v>
      </c>
      <c r="G74" s="180">
        <f>I74-'Apr-26'!I74</f>
        <v>0.20976270000000002</v>
      </c>
      <c r="H74" s="182">
        <f t="shared" si="2"/>
        <v>1.5792920722253436E-4</v>
      </c>
      <c r="I74" s="181">
        <f>SUMIF('05.conso TB'!A:A,'May-26'!B74,'05.conso TB'!S:S)/10^5</f>
        <v>0.13227080000000002</v>
      </c>
      <c r="J74" s="182">
        <f t="shared" si="3"/>
        <v>5.270688546814187E-5</v>
      </c>
      <c r="K74" s="180">
        <f>M74-'Apr-26'!M74</f>
        <v>0</v>
      </c>
      <c r="L74" s="182">
        <f t="shared" ref="L74:L79" si="224">K74/$C$46*100%</f>
        <v>0</v>
      </c>
      <c r="M74" s="181">
        <f>SUMIF('05.conso TB'!A:A,'May-26'!B74,'05.conso TB'!T:T)/10^5</f>
        <v>0</v>
      </c>
      <c r="N74" s="182">
        <f t="shared" ref="N74:N79" si="225">M74/$C$46*100%</f>
        <v>0</v>
      </c>
      <c r="O74" s="180">
        <f>Q74-'Apr-26'!Q74</f>
        <v>0</v>
      </c>
      <c r="P74" s="182">
        <f t="shared" si="4"/>
        <v>0</v>
      </c>
      <c r="Q74" s="181">
        <f>SUMIF('05.conso TB'!A:A,'May-26'!B74,'05.conso TB'!U:U)/10^5</f>
        <v>0</v>
      </c>
      <c r="R74" s="182">
        <f t="shared" si="5"/>
        <v>0</v>
      </c>
      <c r="S74" s="180">
        <f>U74-'Apr-26'!U74</f>
        <v>0</v>
      </c>
      <c r="T74" s="182">
        <f t="shared" si="6"/>
        <v>0</v>
      </c>
      <c r="U74" s="183">
        <f>SUMIF('05.conso TB'!A:A,'May-26'!B74,'05.conso TB'!V:V)/10^5</f>
        <v>5.8999999999999999E-3</v>
      </c>
      <c r="V74" s="182">
        <f t="shared" si="7"/>
        <v>1.2104410080967958E-4</v>
      </c>
      <c r="W74" s="180">
        <f>Y74-'Apr-26'!Y74</f>
        <v>0</v>
      </c>
      <c r="X74" s="182">
        <f t="shared" si="8"/>
        <v>0</v>
      </c>
      <c r="Y74" s="181">
        <f>SUMIF('05.conso TB'!A:A,'May-26'!B74,'05.conso TB'!G:G)/10^5</f>
        <v>0</v>
      </c>
      <c r="Z74" s="182">
        <f t="shared" si="9"/>
        <v>0</v>
      </c>
      <c r="AA74" s="185"/>
      <c r="AB74" s="180">
        <f>AD74-'Apr-26'!AD74</f>
        <v>2.6385341999999996</v>
      </c>
      <c r="AC74" s="182">
        <f t="shared" si="10"/>
        <v>2.8613182646014605E-4</v>
      </c>
      <c r="AD74" s="187">
        <f t="shared" ref="AD74:AD76" si="226">E74+I74+M74+Q74+U74+Y74</f>
        <v>4.5505841999999994</v>
      </c>
      <c r="AE74" s="182">
        <f t="shared" si="11"/>
        <v>3.1485477835646402E-4</v>
      </c>
      <c r="AF74" s="186"/>
      <c r="AG74" s="180">
        <f>AI74-'Apr-26'!AI74</f>
        <v>6.9000000000000006E-2</v>
      </c>
      <c r="AH74" s="182">
        <f t="shared" si="12"/>
        <v>1.8775050950891245E-4</v>
      </c>
      <c r="AI74" s="183">
        <f>SUMIF('05.conso TB'!A:A,'May-26'!B74,'05.conso TB'!Q:Q)/10^5</f>
        <v>0.1159</v>
      </c>
      <c r="AJ74" s="184">
        <f t="shared" ref="AJ74:AJ79" si="227">AI74/$AI$46*100%</f>
        <v>1.5704550177656433E-4</v>
      </c>
      <c r="AK74" s="186"/>
      <c r="AL74" s="180">
        <f>AN74-'Apr-26'!AN74</f>
        <v>1.41238</v>
      </c>
      <c r="AM74" s="182">
        <f t="shared" si="13"/>
        <v>1.1926488818464248E-3</v>
      </c>
      <c r="AN74" s="181">
        <f>SUMIF('05.conso TB'!A:A,'May-26'!B74,'05.conso TB'!W:W)/10^5</f>
        <v>2.83405</v>
      </c>
      <c r="AO74" s="184">
        <f t="shared" ref="AO74:AO79" si="228">AN74/$AN$46*100%</f>
        <v>1.2203381586718845E-3</v>
      </c>
      <c r="AP74" s="545"/>
      <c r="AQ74" s="180">
        <f>AS74-'Apr-26'!AS74</f>
        <v>7.241441</v>
      </c>
      <c r="AR74" s="182">
        <f t="shared" si="14"/>
        <v>3.5517683239593071E-3</v>
      </c>
      <c r="AS74" s="183">
        <f>SUMIF('05.conso TB'!A:A,'May-26'!B74,'05.conso TB'!M:M)/10^5</f>
        <v>10.891778199999999</v>
      </c>
      <c r="AT74" s="184">
        <f t="shared" ref="AT74:AT79" si="229">AS74/$AS$46*100%</f>
        <v>2.8140206796421941E-3</v>
      </c>
      <c r="AU74" s="180">
        <f>AW74-'Apr-26'!AW74</f>
        <v>7.994469999999998E-2</v>
      </c>
      <c r="AV74" s="182">
        <f t="shared" ref="AV74:AV79" si="230">AU74/$C$46*100%</f>
        <v>2.5590184058667468E-5</v>
      </c>
      <c r="AW74" s="183">
        <f>SUMIF('05.conso TB'!A:A,'May-26'!B74,'05.conso TB'!P:P)/10^5</f>
        <v>0.5065847</v>
      </c>
      <c r="AX74" s="184">
        <f t="shared" ref="AX74:AX79" si="231">AW74/$AW$46*100%</f>
        <v>2.7423978324747704E-4</v>
      </c>
      <c r="AY74" s="195"/>
      <c r="AZ74" s="180">
        <f>BB74-'Apr-26'!BB74</f>
        <v>7.3213856999999987</v>
      </c>
      <c r="BA74" s="182">
        <f t="shared" si="15"/>
        <v>2.4121548000465161E-3</v>
      </c>
      <c r="BB74" s="190">
        <f t="shared" ref="BB74:BB79" si="232">AS74+AW74</f>
        <v>11.398362899999999</v>
      </c>
      <c r="BC74" s="184">
        <f t="shared" ref="BC74:BC79" si="233">BB74/$BB$46*100%</f>
        <v>1.9934971983538454E-3</v>
      </c>
      <c r="BD74" s="191"/>
      <c r="BE74" s="180">
        <f>BG74-'Apr-26'!BG74</f>
        <v>2.0763921000000001</v>
      </c>
      <c r="BF74" s="182">
        <f t="shared" si="16"/>
        <v>7.4291573335007611E-4</v>
      </c>
      <c r="BG74" s="183">
        <f>SUMIF('05.conso TB'!A:A,'May-26'!B74,'05.conso TB'!H:H)/10^5</f>
        <v>1.9870998000000002</v>
      </c>
      <c r="BH74" s="184">
        <f t="shared" ref="BH74:BH79" si="234">BG74/$BG$46*100%</f>
        <v>4.2286463502658596E-4</v>
      </c>
      <c r="BI74" s="180">
        <f>BK74-'Apr-26'!BK74</f>
        <v>0</v>
      </c>
      <c r="BJ74" s="182">
        <f t="shared" si="17"/>
        <v>0</v>
      </c>
      <c r="BK74" s="183">
        <f>SUMIF('05.conso TB'!A:A,'May-26'!B74,'05.conso TB'!I:I)/10^5</f>
        <v>0</v>
      </c>
      <c r="BL74" s="184">
        <f t="shared" ref="BL74:BL79" si="235">BK74/$BK$46*100%</f>
        <v>0</v>
      </c>
      <c r="BM74" s="180">
        <f>BO74-'Apr-26'!BO74</f>
        <v>0</v>
      </c>
      <c r="BN74" s="182">
        <f t="shared" ref="BN74:BN79" si="236">BM74/$C$46*100%</f>
        <v>0</v>
      </c>
      <c r="BO74" s="181">
        <f>SUMIF('05.conso TB'!A:A,'May-26'!B74,'05.conso TB'!J:J)/10^5</f>
        <v>0</v>
      </c>
      <c r="BP74" s="182">
        <f t="shared" ref="BP74:BP79" si="237">BO74/$C$46*100%</f>
        <v>0</v>
      </c>
      <c r="BQ74" s="192"/>
      <c r="BR74" s="180">
        <f>BT74-'Apr-26'!BT74</f>
        <v>2.0763921000000001</v>
      </c>
      <c r="BS74" s="182">
        <f t="shared" si="18"/>
        <v>7.8517482550519082E-4</v>
      </c>
      <c r="BT74" s="183">
        <f t="shared" si="19"/>
        <v>1.9870998000000002</v>
      </c>
      <c r="BU74" s="182">
        <f t="shared" si="20"/>
        <v>4.4278338911897178E-4</v>
      </c>
      <c r="BV74" s="191"/>
      <c r="BW74" s="180">
        <f>BY74-'Apr-26'!BY74</f>
        <v>0</v>
      </c>
      <c r="BX74" s="182">
        <f t="shared" si="21"/>
        <v>0</v>
      </c>
      <c r="BY74" s="183">
        <f>SUMIF('05.conso TB'!A:A,'May-26'!B74,'05.conso TB'!L:L)/10^5</f>
        <v>0</v>
      </c>
      <c r="BZ74" s="182">
        <f t="shared" si="22"/>
        <v>0</v>
      </c>
      <c r="CA74" s="191"/>
      <c r="CB74" s="180">
        <f>CD74-'Apr-26'!CD74</f>
        <v>0</v>
      </c>
      <c r="CC74" s="346"/>
      <c r="CD74" s="186"/>
      <c r="CE74" s="187">
        <f t="shared" ref="CE74:CE79" si="238">AB74+AG74+AL74+AZ74+BR74+BW74</f>
        <v>13.517691999999997</v>
      </c>
      <c r="CF74" s="182">
        <f t="shared" si="23"/>
        <v>7.9960934315517112E-4</v>
      </c>
      <c r="CG74" s="187">
        <f t="shared" ref="CG74:CG79" si="239">AD74+AI74+AN74+BB74+BT74+BY74</f>
        <v>20.885996899999999</v>
      </c>
      <c r="CH74" s="182">
        <f t="shared" si="24"/>
        <v>1.7078369372757268E-3</v>
      </c>
    </row>
    <row r="75" spans="1:7168 7170:15360 15362:16333" s="204" customFormat="1" x14ac:dyDescent="0.35">
      <c r="B75" s="197" t="s">
        <v>310</v>
      </c>
      <c r="C75" s="180">
        <f>E75-'Apr-26'!E75</f>
        <v>0</v>
      </c>
      <c r="D75" s="182">
        <f t="shared" si="223"/>
        <v>0</v>
      </c>
      <c r="E75" s="181">
        <f>SUMIF('05.conso TB'!A:A,'May-26'!B75,'05.conso TB'!R:R)/10^5</f>
        <v>0</v>
      </c>
      <c r="F75" s="182">
        <f t="shared" si="1"/>
        <v>0</v>
      </c>
      <c r="G75" s="180">
        <f>I75-'Apr-26'!I75</f>
        <v>0</v>
      </c>
      <c r="H75" s="182">
        <f t="shared" si="2"/>
        <v>0</v>
      </c>
      <c r="I75" s="181">
        <f>SUMIF('05.conso TB'!A:A,'May-26'!B75,'05.conso TB'!S:S)/10^5</f>
        <v>0</v>
      </c>
      <c r="J75" s="182">
        <f t="shared" si="3"/>
        <v>0</v>
      </c>
      <c r="K75" s="180">
        <f>M75-'Apr-26'!M75</f>
        <v>0</v>
      </c>
      <c r="L75" s="182">
        <f t="shared" si="224"/>
        <v>0</v>
      </c>
      <c r="M75" s="181">
        <f>SUMIF('05.conso TB'!A:A,'May-26'!B75,'05.conso TB'!T:T)/10^5</f>
        <v>0</v>
      </c>
      <c r="N75" s="182">
        <f t="shared" si="225"/>
        <v>0</v>
      </c>
      <c r="O75" s="180">
        <f>Q75-'Apr-26'!Q75</f>
        <v>0</v>
      </c>
      <c r="P75" s="182">
        <f t="shared" si="4"/>
        <v>0</v>
      </c>
      <c r="Q75" s="181">
        <f>SUMIF('05.conso TB'!A:A,'May-26'!B75,'05.conso TB'!U:U)/10^5</f>
        <v>0</v>
      </c>
      <c r="R75" s="182">
        <f t="shared" si="5"/>
        <v>0</v>
      </c>
      <c r="S75" s="180">
        <f>U75-'Apr-26'!U75</f>
        <v>0</v>
      </c>
      <c r="T75" s="182">
        <f t="shared" si="6"/>
        <v>0</v>
      </c>
      <c r="U75" s="183">
        <f>SUMIF('05.conso TB'!A:A,'May-26'!B75,'05.conso TB'!V:V)/10^5</f>
        <v>0</v>
      </c>
      <c r="V75" s="182">
        <f t="shared" si="7"/>
        <v>0</v>
      </c>
      <c r="W75" s="180">
        <f>Y75-'Apr-26'!Y75</f>
        <v>0</v>
      </c>
      <c r="X75" s="182">
        <f t="shared" si="8"/>
        <v>0</v>
      </c>
      <c r="Y75" s="181">
        <f>SUMIF('05.conso TB'!A:A,'May-26'!B75,'05.conso TB'!G:G)/10^5</f>
        <v>0</v>
      </c>
      <c r="Z75" s="182">
        <f t="shared" si="9"/>
        <v>0</v>
      </c>
      <c r="AA75" s="185"/>
      <c r="AB75" s="180">
        <f>AD75-'Apr-26'!AD75</f>
        <v>0</v>
      </c>
      <c r="AC75" s="182">
        <f t="shared" si="10"/>
        <v>0</v>
      </c>
      <c r="AD75" s="187">
        <f t="shared" si="226"/>
        <v>0</v>
      </c>
      <c r="AE75" s="182">
        <f t="shared" si="11"/>
        <v>0</v>
      </c>
      <c r="AF75" s="186"/>
      <c r="AG75" s="180">
        <f>AI75-'Apr-26'!AI75</f>
        <v>0</v>
      </c>
      <c r="AH75" s="182">
        <f t="shared" si="12"/>
        <v>0</v>
      </c>
      <c r="AI75" s="183">
        <f>SUMIF('05.conso TB'!A:A,'May-26'!B75,'05.conso TB'!Q:Q)/10^5</f>
        <v>0</v>
      </c>
      <c r="AJ75" s="184">
        <f t="shared" si="227"/>
        <v>0</v>
      </c>
      <c r="AK75" s="186"/>
      <c r="AL75" s="180">
        <f>AN75-'Apr-26'!AN75</f>
        <v>0</v>
      </c>
      <c r="AM75" s="182">
        <f t="shared" si="13"/>
        <v>0</v>
      </c>
      <c r="AN75" s="181">
        <f>SUMIF('05.conso TB'!A:A,'May-26'!B75,'05.conso TB'!W:W)/10^5</f>
        <v>0</v>
      </c>
      <c r="AO75" s="184">
        <f t="shared" si="228"/>
        <v>0</v>
      </c>
      <c r="AP75" s="545"/>
      <c r="AQ75" s="180">
        <f>AS75-'Apr-26'!AS75</f>
        <v>0</v>
      </c>
      <c r="AR75" s="182">
        <f t="shared" si="14"/>
        <v>0</v>
      </c>
      <c r="AS75" s="183">
        <f>SUMIF('05.conso TB'!A:A,'May-26'!B75,'05.conso TB'!M:M)/10^5</f>
        <v>0</v>
      </c>
      <c r="AT75" s="184">
        <f t="shared" si="229"/>
        <v>0</v>
      </c>
      <c r="AU75" s="180">
        <f>AW75-'Apr-26'!AW75</f>
        <v>0</v>
      </c>
      <c r="AV75" s="182">
        <f t="shared" si="230"/>
        <v>0</v>
      </c>
      <c r="AW75" s="183">
        <f>SUMIF('05.conso TB'!A:A,'May-26'!B75,'05.conso TB'!P:P)/10^5</f>
        <v>0</v>
      </c>
      <c r="AX75" s="184">
        <f t="shared" si="231"/>
        <v>0</v>
      </c>
      <c r="AY75" s="195"/>
      <c r="AZ75" s="180">
        <f>BB75-'Apr-26'!BB75</f>
        <v>0</v>
      </c>
      <c r="BA75" s="182">
        <f t="shared" si="15"/>
        <v>0</v>
      </c>
      <c r="BB75" s="190">
        <f t="shared" si="232"/>
        <v>0</v>
      </c>
      <c r="BC75" s="184">
        <f t="shared" si="233"/>
        <v>0</v>
      </c>
      <c r="BD75" s="191"/>
      <c r="BE75" s="180">
        <f>BG75-'Apr-26'!BG75</f>
        <v>0</v>
      </c>
      <c r="BF75" s="182">
        <f t="shared" si="16"/>
        <v>0</v>
      </c>
      <c r="BG75" s="183">
        <f>SUMIF('05.conso TB'!A:A,'May-26'!B75,'05.conso TB'!H:H)/10^5</f>
        <v>0</v>
      </c>
      <c r="BH75" s="184">
        <f t="shared" si="234"/>
        <v>0</v>
      </c>
      <c r="BI75" s="180">
        <f>BK75-'Apr-26'!BK75</f>
        <v>0</v>
      </c>
      <c r="BJ75" s="182">
        <f t="shared" si="17"/>
        <v>0</v>
      </c>
      <c r="BK75" s="183">
        <f>SUMIF('05.conso TB'!A:A,'May-26'!B75,'05.conso TB'!I:I)/10^5</f>
        <v>0</v>
      </c>
      <c r="BL75" s="184">
        <f t="shared" si="235"/>
        <v>0</v>
      </c>
      <c r="BM75" s="180">
        <f>BO75-'Apr-26'!BO75</f>
        <v>0</v>
      </c>
      <c r="BN75" s="182">
        <f t="shared" si="236"/>
        <v>0</v>
      </c>
      <c r="BO75" s="181">
        <f>SUMIF('05.conso TB'!A:A,'May-26'!B75,'05.conso TB'!J:J)/10^5</f>
        <v>0</v>
      </c>
      <c r="BP75" s="182">
        <f t="shared" si="237"/>
        <v>0</v>
      </c>
      <c r="BQ75" s="192"/>
      <c r="BR75" s="180">
        <f>BT75-'Apr-26'!BT75</f>
        <v>0</v>
      </c>
      <c r="BS75" s="182">
        <f t="shared" si="18"/>
        <v>0</v>
      </c>
      <c r="BT75" s="183">
        <f t="shared" si="19"/>
        <v>0</v>
      </c>
      <c r="BU75" s="182">
        <f t="shared" si="20"/>
        <v>0</v>
      </c>
      <c r="BV75" s="191"/>
      <c r="BW75" s="180">
        <f>BY75-'Apr-26'!BY75</f>
        <v>0</v>
      </c>
      <c r="BX75" s="182">
        <f t="shared" si="21"/>
        <v>0</v>
      </c>
      <c r="BY75" s="183">
        <f>SUMIF('05.conso TB'!A:A,'May-26'!B75,'05.conso TB'!L:L)/10^5</f>
        <v>0</v>
      </c>
      <c r="BZ75" s="182">
        <f t="shared" si="22"/>
        <v>0</v>
      </c>
      <c r="CA75" s="191"/>
      <c r="CB75" s="180">
        <f>CD75-'Apr-26'!CD75</f>
        <v>0</v>
      </c>
      <c r="CC75" s="346"/>
      <c r="CD75" s="186"/>
      <c r="CE75" s="187">
        <f t="shared" si="238"/>
        <v>0</v>
      </c>
      <c r="CF75" s="182">
        <f t="shared" si="23"/>
        <v>0</v>
      </c>
      <c r="CG75" s="187">
        <f t="shared" si="239"/>
        <v>0</v>
      </c>
      <c r="CH75" s="182">
        <f t="shared" si="24"/>
        <v>0</v>
      </c>
    </row>
    <row r="76" spans="1:7168 7170:15360 15362:16333" s="204" customFormat="1" x14ac:dyDescent="0.35">
      <c r="B76" s="197" t="s">
        <v>431</v>
      </c>
      <c r="C76" s="180">
        <f>E76-'Apr-26'!E76</f>
        <v>46.217535300000009</v>
      </c>
      <c r="D76" s="182">
        <f t="shared" si="223"/>
        <v>1.4794166906185919E-2</v>
      </c>
      <c r="E76" s="181">
        <f>SUMIF('05.conso TB'!A:A,'May-26'!B76,'05.conso TB'!R:R)/10^5</f>
        <v>69.155083000000005</v>
      </c>
      <c r="F76" s="182">
        <f t="shared" si="1"/>
        <v>1.0703218869167785E-2</v>
      </c>
      <c r="G76" s="180">
        <f>I76-'Apr-26'!I76</f>
        <v>24.168931700000012</v>
      </c>
      <c r="H76" s="182">
        <f t="shared" si="2"/>
        <v>1.8196658523162514E-2</v>
      </c>
      <c r="I76" s="181">
        <f>SUMIF('05.conso TB'!A:A,'May-26'!B76,'05.conso TB'!S:S)/10^5</f>
        <v>47.293316100000013</v>
      </c>
      <c r="J76" s="182">
        <f t="shared" si="3"/>
        <v>1.8845303688276853E-2</v>
      </c>
      <c r="K76" s="180">
        <f>M76-'Apr-26'!M76</f>
        <v>1.5497998999999996</v>
      </c>
      <c r="L76" s="182">
        <f t="shared" si="224"/>
        <v>4.9608873002343406E-4</v>
      </c>
      <c r="M76" s="181">
        <f>SUMIF('05.conso TB'!A:A,'May-26'!B76,'05.conso TB'!T:T)/10^5</f>
        <v>2.9069120999999996</v>
      </c>
      <c r="N76" s="182">
        <f t="shared" si="225"/>
        <v>9.3049840303819481E-4</v>
      </c>
      <c r="O76" s="180">
        <f>Q76-'Apr-26'!Q76</f>
        <v>4.8602050000000014</v>
      </c>
      <c r="P76" s="182">
        <f t="shared" si="4"/>
        <v>3.913038497345896E-3</v>
      </c>
      <c r="Q76" s="181">
        <f>SUMIF('05.conso TB'!A:A,'May-26'!B76,'05.conso TB'!U:U)/10^5</f>
        <v>9.1330605000000009</v>
      </c>
      <c r="R76" s="182">
        <f t="shared" si="5"/>
        <v>4.1916993928376774E-3</v>
      </c>
      <c r="S76" s="180">
        <f>U76-'Apr-26'!U76</f>
        <v>37.425195999999993</v>
      </c>
      <c r="T76" s="182"/>
      <c r="U76" s="183">
        <f>SUMIF('05.conso TB'!A:A,'May-26'!B76,'05.conso TB'!V:V)/10^5</f>
        <v>45.519293399999995</v>
      </c>
      <c r="V76" s="182">
        <f t="shared" si="7"/>
        <v>0.93387151510084432</v>
      </c>
      <c r="W76" s="180">
        <f>Y76-'Apr-26'!Y76</f>
        <v>2.3708400000000003</v>
      </c>
      <c r="X76" s="182">
        <f t="shared" si="8"/>
        <v>6.3746851963779468E-4</v>
      </c>
      <c r="Y76" s="181">
        <f>SUMIF('05.conso TB'!A:A,'May-26'!B76,'05.conso TB'!G:G)/10^5</f>
        <v>3.60087</v>
      </c>
      <c r="Z76" s="182">
        <f t="shared" si="9"/>
        <v>9.4919241988916441E-4</v>
      </c>
      <c r="AA76" s="185"/>
      <c r="AB76" s="180">
        <f>AD76-'Apr-26'!AD76</f>
        <v>116.59250789999999</v>
      </c>
      <c r="AC76" s="182">
        <f t="shared" si="10"/>
        <v>1.2643697109173726E-2</v>
      </c>
      <c r="AD76" s="187">
        <f t="shared" si="226"/>
        <v>177.60853509999998</v>
      </c>
      <c r="AE76" s="182">
        <f t="shared" si="11"/>
        <v>1.2288728984099835E-2</v>
      </c>
      <c r="AF76" s="186"/>
      <c r="AG76" s="180">
        <f>AI76-'Apr-26'!AI76</f>
        <v>20.317729999999997</v>
      </c>
      <c r="AH76" s="182">
        <f t="shared" si="12"/>
        <v>5.5284987819775581E-2</v>
      </c>
      <c r="AI76" s="183">
        <f>SUMIF('05.conso TB'!A:A,'May-26'!B76,'05.conso TB'!Q:Q)/10^5</f>
        <v>32.47336</v>
      </c>
      <c r="AJ76" s="184">
        <f t="shared" si="227"/>
        <v>4.400168348206223E-2</v>
      </c>
      <c r="AK76" s="186"/>
      <c r="AL76" s="180">
        <f>AN76-'Apr-26'!AN76</f>
        <v>12.416982600000003</v>
      </c>
      <c r="AM76" s="182">
        <f t="shared" si="13"/>
        <v>1.0485209655897504E-2</v>
      </c>
      <c r="AN76" s="181">
        <f>SUMIF('05.conso TB'!A:A,'May-26'!B76,'05.conso TB'!W:W)/10^5</f>
        <v>22.888887700000002</v>
      </c>
      <c r="AO76" s="184">
        <f t="shared" si="228"/>
        <v>9.8559245849104797E-3</v>
      </c>
      <c r="AP76" s="545"/>
      <c r="AQ76" s="180">
        <f>AS76-'Apr-26'!AS76</f>
        <v>41.796600099999999</v>
      </c>
      <c r="AR76" s="182">
        <f t="shared" si="14"/>
        <v>2.0500317586565217E-2</v>
      </c>
      <c r="AS76" s="183">
        <f>SUMIF('05.conso TB'!A:A,'May-26'!B76,'05.conso TB'!M:M)/10^5</f>
        <v>94.716470700000002</v>
      </c>
      <c r="AT76" s="184">
        <f t="shared" si="229"/>
        <v>2.4471128805443724E-2</v>
      </c>
      <c r="AU76" s="180">
        <f>AW76-'Apr-26'!AW76</f>
        <v>0.55639000000000016</v>
      </c>
      <c r="AV76" s="182">
        <f t="shared" si="230"/>
        <v>1.7809964273306423E-4</v>
      </c>
      <c r="AW76" s="183">
        <f>SUMIF('05.conso TB'!A:A,'May-26'!B76,'05.conso TB'!P:P)/10^5</f>
        <v>1.0189600000000001</v>
      </c>
      <c r="AX76" s="184">
        <f t="shared" si="231"/>
        <v>5.5161430958702309E-4</v>
      </c>
      <c r="AY76" s="195"/>
      <c r="AZ76" s="180">
        <f>BB76-'Apr-26'!BB76</f>
        <v>42.352990100000007</v>
      </c>
      <c r="BA76" s="182">
        <f t="shared" si="15"/>
        <v>1.3953911534265654E-2</v>
      </c>
      <c r="BB76" s="190">
        <f t="shared" si="232"/>
        <v>95.735430700000009</v>
      </c>
      <c r="BC76" s="184">
        <f t="shared" si="233"/>
        <v>1.6743484530015163E-2</v>
      </c>
      <c r="BD76" s="191"/>
      <c r="BE76" s="180">
        <f>BG76-'Apr-26'!BG76</f>
        <v>27.088711100000001</v>
      </c>
      <c r="BF76" s="182">
        <f t="shared" si="16"/>
        <v>9.6921143517955249E-3</v>
      </c>
      <c r="BG76" s="183">
        <f>SUMIF('05.conso TB'!A:A,'May-26'!B76,'05.conso TB'!H:H)/10^5</f>
        <v>44.570414200000002</v>
      </c>
      <c r="BH76" s="184">
        <f t="shared" si="234"/>
        <v>9.4848039004718152E-3</v>
      </c>
      <c r="BI76" s="180">
        <f>BK76-'Apr-26'!BK76</f>
        <v>1.3187600000000002</v>
      </c>
      <c r="BJ76" s="182">
        <f t="shared" si="17"/>
        <v>6.8617105479116133E-2</v>
      </c>
      <c r="BK76" s="183">
        <f>SUMIF('05.conso TB'!A:A,'May-26'!B76,'05.conso TB'!I:I)/10^5</f>
        <v>2.7667600000000001</v>
      </c>
      <c r="BL76" s="184">
        <f t="shared" si="235"/>
        <v>7.1678234767845961E-2</v>
      </c>
      <c r="BM76" s="180">
        <f>BO76-'Apr-26'!BO76</f>
        <v>0</v>
      </c>
      <c r="BN76" s="182">
        <f t="shared" si="236"/>
        <v>0</v>
      </c>
      <c r="BO76" s="181">
        <f>SUMIF('05.conso TB'!A:A,'May-26'!B76,'05.conso TB'!J:J)/10^5</f>
        <v>0</v>
      </c>
      <c r="BP76" s="182">
        <f t="shared" si="237"/>
        <v>0</v>
      </c>
      <c r="BQ76" s="192"/>
      <c r="BR76" s="180">
        <f>BT76-'Apr-26'!BT76</f>
        <v>28.407471099999999</v>
      </c>
      <c r="BS76" s="182">
        <f t="shared" si="18"/>
        <v>1.0742109432985345E-2</v>
      </c>
      <c r="BT76" s="183">
        <f t="shared" si="19"/>
        <v>47.3371742</v>
      </c>
      <c r="BU76" s="182">
        <f t="shared" si="20"/>
        <v>1.0548093469483088E-2</v>
      </c>
      <c r="BV76" s="191"/>
      <c r="BW76" s="180">
        <f>BY76-'Apr-26'!BY76</f>
        <v>4.1171399999999991</v>
      </c>
      <c r="BX76" s="182">
        <f t="shared" si="21"/>
        <v>9.0980962541525132E-3</v>
      </c>
      <c r="BY76" s="183">
        <f>SUMIF('05.conso TB'!A:A,'May-26'!B76,'05.conso TB'!L:L)/10^5</f>
        <v>4.7843799999999996</v>
      </c>
      <c r="BZ76" s="182">
        <f t="shared" si="22"/>
        <v>2.2140849139107451E-3</v>
      </c>
      <c r="CA76" s="191"/>
      <c r="CB76" s="180">
        <f>CC76-'Apr-26'!CC76</f>
        <v>4.6899999999999995</v>
      </c>
      <c r="CC76" s="187">
        <f>+CC39</f>
        <v>7.38</v>
      </c>
      <c r="CD76" s="186"/>
      <c r="CE76" s="187">
        <f t="shared" si="238"/>
        <v>224.2048217</v>
      </c>
      <c r="CF76" s="182">
        <f t="shared" si="23"/>
        <v>1.3262343173062331E-2</v>
      </c>
      <c r="CG76" s="187">
        <f t="shared" si="239"/>
        <v>380.82776769999998</v>
      </c>
      <c r="CH76" s="182">
        <f t="shared" si="24"/>
        <v>3.1140085461676955E-2</v>
      </c>
    </row>
    <row r="77" spans="1:7168 7170:15360 15362:16333" s="204" customFormat="1" x14ac:dyDescent="0.35">
      <c r="B77" s="197" t="s">
        <v>436</v>
      </c>
      <c r="C77" s="180">
        <f>E77-'Apr-26'!E77</f>
        <v>-77.681406799999991</v>
      </c>
      <c r="D77" s="182">
        <f>C77/$C$46*100%</f>
        <v>-2.4865707144416362E-2</v>
      </c>
      <c r="E77" s="181">
        <f>SUMIF('05.conso TB'!A:A,'May-26'!B77,'05.conso TB'!R:R)/10^5</f>
        <v>-100.95243959999999</v>
      </c>
      <c r="F77" s="182">
        <f>E77/$E$46*100%</f>
        <v>-1.5624535602325008E-2</v>
      </c>
      <c r="G77" s="180">
        <f>I77-'Apr-26'!I77</f>
        <v>-32.272215799999998</v>
      </c>
      <c r="H77" s="182">
        <f>G77/$G$46*100%</f>
        <v>-2.4297577484502949E-2</v>
      </c>
      <c r="I77" s="181">
        <f>SUMIF('05.conso TB'!A:A,'May-26'!B77,'05.conso TB'!S:S)/10^5</f>
        <v>-60.444320199999993</v>
      </c>
      <c r="J77" s="182">
        <f>I77/$I$46*100%</f>
        <v>-2.4085677730694099E-2</v>
      </c>
      <c r="K77" s="180">
        <f>M77-'Apr-26'!M77</f>
        <v>0</v>
      </c>
      <c r="L77" s="182">
        <f>K77/$C$46*100%</f>
        <v>0</v>
      </c>
      <c r="M77" s="181">
        <f>SUMIF('05.conso TB'!A:A,'May-26'!B77,'05.conso TB'!T:T)/10^5</f>
        <v>0</v>
      </c>
      <c r="N77" s="182">
        <f>M77/$C$46*100%</f>
        <v>0</v>
      </c>
      <c r="O77" s="180">
        <f>Q77-'Apr-26'!Q77</f>
        <v>-9.8093598999999987</v>
      </c>
      <c r="P77" s="182">
        <f>O77/$O$46*100%</f>
        <v>-7.8976921596971873E-3</v>
      </c>
      <c r="Q77" s="181">
        <f>SUMIF('05.conso TB'!A:A,'May-26'!B77,'05.conso TB'!U:U)/10^5</f>
        <v>-11.959544099999999</v>
      </c>
      <c r="R77" s="182">
        <f>Q77/$Q$46*100%</f>
        <v>-5.4889391943243352E-3</v>
      </c>
      <c r="S77" s="180">
        <f>U77-'Apr-26'!U77</f>
        <v>-1.8813982</v>
      </c>
      <c r="T77" s="182"/>
      <c r="U77" s="183">
        <f>SUMIF('05.conso TB'!A:A,'May-26'!B77,'05.conso TB'!V:V)/10^5</f>
        <v>-1.8813982</v>
      </c>
      <c r="V77" s="182">
        <f>U77/$U$46*100%</f>
        <v>-3.8598670065076217E-2</v>
      </c>
      <c r="W77" s="180">
        <f>Y77-'Apr-26'!Y77</f>
        <v>-1.4885640000000002</v>
      </c>
      <c r="X77" s="182">
        <f>W77/$W$46*100%</f>
        <v>-4.002432426760617E-4</v>
      </c>
      <c r="Y77" s="181">
        <f>SUMIF('05.conso TB'!A:A,'May-26'!B77,'05.conso TB'!G:G)/10^5</f>
        <v>-3.1438152000000001</v>
      </c>
      <c r="Z77" s="182">
        <f>Y77/$Y$46*100%</f>
        <v>-8.2871238266650493E-4</v>
      </c>
      <c r="AA77" s="185"/>
      <c r="AB77" s="180">
        <f>AD77-'Apr-26'!AD77</f>
        <v>-123.1329447</v>
      </c>
      <c r="AC77" s="182">
        <f>AB77/$AB$46*100%</f>
        <v>-1.3352964825859437E-2</v>
      </c>
      <c r="AD77" s="187">
        <f>E77+I77+M77+Q77+U77+Y77</f>
        <v>-178.38151729999998</v>
      </c>
      <c r="AE77" s="182">
        <f>AD77/$AD$46*100%</f>
        <v>-1.234221159832209E-2</v>
      </c>
      <c r="AF77" s="186"/>
      <c r="AG77" s="180">
        <f>AI77-'Apr-26'!AI77</f>
        <v>0</v>
      </c>
      <c r="AH77" s="182">
        <f>AG77/$AG$46*100%</f>
        <v>0</v>
      </c>
      <c r="AI77" s="183">
        <f>SUMIF('05.conso TB'!A:A,'May-26'!B77,'05.conso TB'!Q:Q)/10^5</f>
        <v>0</v>
      </c>
      <c r="AJ77" s="184">
        <f>AI77/$AI$46*100%</f>
        <v>0</v>
      </c>
      <c r="AK77" s="186"/>
      <c r="AL77" s="180">
        <f>AN77-'Apr-26'!AN77</f>
        <v>50.038984299999996</v>
      </c>
      <c r="AM77" s="182">
        <f>AL77/$AL$46*100%</f>
        <v>4.2254165786916972E-2</v>
      </c>
      <c r="AN77" s="181">
        <f>SUMIF('05.conso TB'!A:A,'May-26'!B77,'05.conso TB'!W:W)/10^5</f>
        <v>50.038984299999996</v>
      </c>
      <c r="AO77" s="184">
        <f>AN77/$AN$46*100%</f>
        <v>2.1546720051683399E-2</v>
      </c>
      <c r="AP77" s="545"/>
      <c r="AQ77" s="180">
        <f>AS77-'Apr-26'!AS77</f>
        <v>196.68179089999998</v>
      </c>
      <c r="AR77" s="182">
        <f>AQ77/$AQ$46*100%</f>
        <v>9.646811384891596E-2</v>
      </c>
      <c r="AS77" s="183">
        <f>SUMIF('05.conso TB'!A:A,'May-26'!B77,'05.conso TB'!M:M)/10^5</f>
        <v>165.46558069999998</v>
      </c>
      <c r="AT77" s="184">
        <f>AS77/$AS$46*100%</f>
        <v>4.2750004389439759E-2</v>
      </c>
      <c r="AU77" s="180">
        <f>AW77-'Apr-26'!AW77</f>
        <v>-38.358250299999995</v>
      </c>
      <c r="AV77" s="182">
        <f>AU77/$C$46*100%</f>
        <v>-1.2278421025351732E-2</v>
      </c>
      <c r="AW77" s="183">
        <f>SUMIF('05.conso TB'!A:A,'May-26'!B77,'05.conso TB'!P:P)/10^5</f>
        <v>-58.270507899999991</v>
      </c>
      <c r="AX77" s="184">
        <f>AW77/$AW$46*100%</f>
        <v>-3.1544757384532926E-2</v>
      </c>
      <c r="AY77" s="195"/>
      <c r="AZ77" s="180">
        <f>BB77-'Apr-26'!BB77</f>
        <v>158.3235406</v>
      </c>
      <c r="BA77" s="182">
        <f>AZ77/$AZ$46*100%</f>
        <v>5.216237800702804E-2</v>
      </c>
      <c r="BB77" s="190">
        <f>AS77+AW77</f>
        <v>107.19507279999999</v>
      </c>
      <c r="BC77" s="184">
        <f>BB77/$BB$46*100%</f>
        <v>1.8747699049320186E-2</v>
      </c>
      <c r="BD77" s="191"/>
      <c r="BE77" s="180">
        <f>BG77-'Apr-26'!BG77</f>
        <v>99.590514099999993</v>
      </c>
      <c r="BF77" s="182">
        <f>BE77/$BE$46*100%</f>
        <v>3.5632653301518817E-2</v>
      </c>
      <c r="BG77" s="183">
        <f>SUMIF('05.conso TB'!A:A,'May-26'!B77,'05.conso TB'!H:H)/10^5</f>
        <v>84.579859499999998</v>
      </c>
      <c r="BH77" s="184">
        <f>BG77/$BG$46*100%</f>
        <v>1.7999011130728014E-2</v>
      </c>
      <c r="BI77" s="180">
        <f>BK77-'Apr-26'!BK77</f>
        <v>0</v>
      </c>
      <c r="BJ77" s="182">
        <f>BI77/$BI$46*100%</f>
        <v>0</v>
      </c>
      <c r="BK77" s="183">
        <f>SUMIF('05.conso TB'!A:A,'May-26'!B77,'05.conso TB'!I:I)/10^5</f>
        <v>0</v>
      </c>
      <c r="BL77" s="184">
        <f>BK77/$BK$46*100%</f>
        <v>0</v>
      </c>
      <c r="BM77" s="180">
        <f>BO77-'Apr-26'!BO77</f>
        <v>0</v>
      </c>
      <c r="BN77" s="182">
        <f>BM77/$C$46*100%</f>
        <v>0</v>
      </c>
      <c r="BO77" s="181">
        <f>SUMIF('05.conso TB'!A:A,'May-26'!B77,'05.conso TB'!J:J)/10^5</f>
        <v>0</v>
      </c>
      <c r="BP77" s="182">
        <f>BO77/$C$46*100%</f>
        <v>0</v>
      </c>
      <c r="BQ77" s="192"/>
      <c r="BR77" s="180">
        <f>BT77-'Apr-26'!BT77</f>
        <v>99.590514099999993</v>
      </c>
      <c r="BS77" s="182">
        <f>BR77/$BR$46*100%</f>
        <v>3.7659536717771051E-2</v>
      </c>
      <c r="BT77" s="183">
        <f t="shared" si="19"/>
        <v>84.579859499999998</v>
      </c>
      <c r="BU77" s="182">
        <f>BT77/$BT$46*100%</f>
        <v>1.8846842438722231E-2</v>
      </c>
      <c r="BV77" s="191"/>
      <c r="BW77" s="180">
        <f>BY77-'Apr-26'!BY77</f>
        <v>0</v>
      </c>
      <c r="BX77" s="182">
        <f>BW77/$BW$46*100%</f>
        <v>0</v>
      </c>
      <c r="BY77" s="183">
        <f>SUMIF('05.conso TB'!A:A,'May-26'!B77,'05.conso TB'!L:L)/10^5</f>
        <v>0</v>
      </c>
      <c r="BZ77" s="182">
        <f>BY77/$BY$46*100%</f>
        <v>0</v>
      </c>
      <c r="CA77" s="191"/>
      <c r="CB77" s="298">
        <f t="shared" ref="CB77" si="240">SUM(CB67:CB76)</f>
        <v>4.6899999999999995</v>
      </c>
      <c r="CC77" s="346"/>
      <c r="CD77" s="186"/>
      <c r="CE77" s="187">
        <f t="shared" si="238"/>
        <v>184.82009429999999</v>
      </c>
      <c r="CF77" s="182">
        <f>CE77/$CE$46*100%</f>
        <v>1.0932626235684303E-2</v>
      </c>
      <c r="CG77" s="187">
        <f t="shared" si="239"/>
        <v>63.432399299999986</v>
      </c>
      <c r="CH77" s="182">
        <f>CG77/$CG$46*100%</f>
        <v>5.1868337941083833E-3</v>
      </c>
    </row>
    <row r="78" spans="1:7168 7170:15360 15362:16333" s="445" customFormat="1" x14ac:dyDescent="0.35">
      <c r="B78" s="446" t="s">
        <v>499</v>
      </c>
      <c r="C78" s="180">
        <f>E78-'Apr-26'!E78</f>
        <v>2.6478228000000001</v>
      </c>
      <c r="D78" s="448">
        <f t="shared" si="223"/>
        <v>8.4756428889890489E-4</v>
      </c>
      <c r="E78" s="449">
        <f>+'common exp'!O5/100000</f>
        <v>5.2634844000000003</v>
      </c>
      <c r="F78" s="182">
        <f t="shared" si="1"/>
        <v>8.1463607740374301E-4</v>
      </c>
      <c r="G78" s="180">
        <f>I78-'Apr-26'!I78</f>
        <v>4.4130380000000011</v>
      </c>
      <c r="H78" s="182">
        <f t="shared" si="2"/>
        <v>3.3225525452471706E-3</v>
      </c>
      <c r="I78" s="449">
        <f>+'common exp'!O6/100000</f>
        <v>8.7724740000000008</v>
      </c>
      <c r="J78" s="182">
        <f t="shared" si="3"/>
        <v>3.4956300437455003E-3</v>
      </c>
      <c r="K78" s="180">
        <f>M78-'Apr-26'!M78</f>
        <v>0</v>
      </c>
      <c r="L78" s="448">
        <f t="shared" si="224"/>
        <v>0</v>
      </c>
      <c r="M78" s="449">
        <v>0</v>
      </c>
      <c r="N78" s="448">
        <f t="shared" si="225"/>
        <v>0</v>
      </c>
      <c r="O78" s="180">
        <f>Q78-'Apr-26'!Q78</f>
        <v>2.6478228000000001</v>
      </c>
      <c r="P78" s="182">
        <f t="shared" si="4"/>
        <v>2.131809779741842E-3</v>
      </c>
      <c r="Q78" s="449">
        <f>+'common exp'!O7/100000</f>
        <v>5.2634844000000003</v>
      </c>
      <c r="R78" s="182">
        <f t="shared" si="5"/>
        <v>2.4157230058522642E-3</v>
      </c>
      <c r="S78" s="180">
        <f>U78-'Apr-26'!U78</f>
        <v>0</v>
      </c>
      <c r="T78" s="182"/>
      <c r="U78" s="449">
        <v>0</v>
      </c>
      <c r="V78" s="182">
        <f t="shared" si="7"/>
        <v>0</v>
      </c>
      <c r="W78" s="180">
        <f>Y78-'Apr-26'!Y78</f>
        <v>0</v>
      </c>
      <c r="X78" s="182">
        <f t="shared" si="8"/>
        <v>0</v>
      </c>
      <c r="Y78" s="453">
        <v>0</v>
      </c>
      <c r="Z78" s="182">
        <f t="shared" si="9"/>
        <v>0</v>
      </c>
      <c r="AA78" s="450"/>
      <c r="AB78" s="180">
        <f>AD78-'Apr-26'!AD78</f>
        <v>9.7086836000000005</v>
      </c>
      <c r="AC78" s="182">
        <f t="shared" si="10"/>
        <v>1.0528434200290703E-3</v>
      </c>
      <c r="AD78" s="187">
        <f>E78+I78+M78+Q78+U78+Y78</f>
        <v>19.299442800000001</v>
      </c>
      <c r="AE78" s="182">
        <f t="shared" si="11"/>
        <v>1.3353278432244493E-3</v>
      </c>
      <c r="AF78" s="450"/>
      <c r="AG78" s="180">
        <f>AI78-'Apr-26'!AI78</f>
        <v>-18.976063400000001</v>
      </c>
      <c r="AH78" s="182">
        <f t="shared" si="12"/>
        <v>-5.1634283649614865E-2</v>
      </c>
      <c r="AI78" s="464">
        <f>+'common exp'!O11/100000</f>
        <v>-37.721638200000001</v>
      </c>
      <c r="AJ78" s="449">
        <f t="shared" si="227"/>
        <v>-5.1113145806324561E-2</v>
      </c>
      <c r="AK78" s="450"/>
      <c r="AL78" s="180">
        <f>AN78-'Apr-26'!AN78</f>
        <v>4.4130380000000011</v>
      </c>
      <c r="AM78" s="182">
        <f t="shared" si="13"/>
        <v>3.7264793017784052E-3</v>
      </c>
      <c r="AN78" s="464">
        <f>+'common exp'!O8/100000</f>
        <v>8.7724740000000008</v>
      </c>
      <c r="AO78" s="449">
        <f t="shared" si="228"/>
        <v>3.7774156306899956E-3</v>
      </c>
      <c r="AP78" s="548"/>
      <c r="AQ78" s="180">
        <f>AS78-'Apr-26'!AS78</f>
        <v>4.8543418000000003</v>
      </c>
      <c r="AR78" s="182">
        <f t="shared" si="14"/>
        <v>2.3809484105320484E-3</v>
      </c>
      <c r="AS78" s="449">
        <f>+'common exp'!O9/100000</f>
        <v>9.6497214000000007</v>
      </c>
      <c r="AT78" s="450">
        <f t="shared" si="229"/>
        <v>2.493120505555817E-3</v>
      </c>
      <c r="AU78" s="180">
        <f>AW78-'Apr-26'!AW78</f>
        <v>0</v>
      </c>
      <c r="AV78" s="448">
        <f t="shared" si="230"/>
        <v>0</v>
      </c>
      <c r="AW78" s="455">
        <f>SUMIF('05.conso TB'!A:A,'May-26'!B78,'05.conso TB'!P:P)/10^5</f>
        <v>0</v>
      </c>
      <c r="AX78" s="449">
        <f t="shared" si="231"/>
        <v>0</v>
      </c>
      <c r="AY78" s="450"/>
      <c r="AZ78" s="180">
        <f>BB78-'Apr-26'!BB78</f>
        <v>4.8543418000000003</v>
      </c>
      <c r="BA78" s="182">
        <f t="shared" si="15"/>
        <v>1.5993453088991676E-3</v>
      </c>
      <c r="BB78" s="465">
        <f t="shared" si="232"/>
        <v>9.6497214000000007</v>
      </c>
      <c r="BC78" s="449">
        <f t="shared" si="233"/>
        <v>1.6876715318298165E-3</v>
      </c>
      <c r="BD78" s="450"/>
      <c r="BE78" s="180">
        <f>BG78-'Apr-26'!BG78</f>
        <v>0</v>
      </c>
      <c r="BF78" s="182">
        <f t="shared" si="16"/>
        <v>0</v>
      </c>
      <c r="BG78" s="449">
        <f>SUMIF('05.conso TB'!A:A,'May-26'!B78,'05.conso TB'!H:H)/10^5</f>
        <v>0</v>
      </c>
      <c r="BH78" s="450">
        <f t="shared" si="234"/>
        <v>0</v>
      </c>
      <c r="BI78" s="180">
        <f>BK78-'Apr-26'!BK78</f>
        <v>0</v>
      </c>
      <c r="BJ78" s="182">
        <f t="shared" si="17"/>
        <v>0</v>
      </c>
      <c r="BK78" s="449">
        <f>SUMIF('05.conso TB'!A:A,'May-26'!B78,'05.conso TB'!I:I)/10^5</f>
        <v>0</v>
      </c>
      <c r="BL78" s="450">
        <f t="shared" si="235"/>
        <v>0</v>
      </c>
      <c r="BM78" s="180">
        <f>BO78-'Apr-26'!BO78</f>
        <v>0</v>
      </c>
      <c r="BN78" s="448">
        <f t="shared" si="236"/>
        <v>0</v>
      </c>
      <c r="BO78" s="457">
        <f>SUMIF('05.conso TB'!A:A,'May-26'!B78,'05.conso TB'!J:J)/10^5</f>
        <v>0</v>
      </c>
      <c r="BP78" s="448">
        <f t="shared" si="237"/>
        <v>0</v>
      </c>
      <c r="BQ78" s="450"/>
      <c r="BR78" s="180">
        <f>BT78-'Apr-26'!BT78</f>
        <v>0</v>
      </c>
      <c r="BS78" s="182">
        <f t="shared" si="18"/>
        <v>0</v>
      </c>
      <c r="BT78" s="183">
        <f t="shared" si="19"/>
        <v>0</v>
      </c>
      <c r="BU78" s="182">
        <f t="shared" si="20"/>
        <v>0</v>
      </c>
      <c r="BV78" s="450"/>
      <c r="BW78" s="180">
        <f>BY78-'Apr-26'!BY78</f>
        <v>0</v>
      </c>
      <c r="BX78" s="182">
        <f t="shared" si="21"/>
        <v>0</v>
      </c>
      <c r="BY78" s="456">
        <f>SUMIF('05.conso TB'!A:A,'May-26'!B78,'05.conso TB'!L:L)/10^5</f>
        <v>0</v>
      </c>
      <c r="BZ78" s="182">
        <f t="shared" si="22"/>
        <v>0</v>
      </c>
      <c r="CA78" s="458"/>
      <c r="CB78" s="180">
        <f>CD78-'Apr-26'!CD78</f>
        <v>0</v>
      </c>
      <c r="CC78" s="454"/>
      <c r="CD78" s="450"/>
      <c r="CE78" s="187">
        <f t="shared" si="238"/>
        <v>8.8817841970012523E-16</v>
      </c>
      <c r="CF78" s="182">
        <f t="shared" si="23"/>
        <v>5.2538241201309749E-20</v>
      </c>
      <c r="CG78" s="187">
        <f t="shared" si="239"/>
        <v>1.7763568394002505E-15</v>
      </c>
      <c r="CH78" s="182">
        <f t="shared" si="24"/>
        <v>1.4525176071964819E-19</v>
      </c>
      <c r="CI78" s="456"/>
      <c r="CJ78" s="449"/>
      <c r="CK78" s="450"/>
      <c r="CL78" s="452"/>
      <c r="CM78" s="448"/>
      <c r="CN78" s="449"/>
      <c r="CO78" s="450"/>
      <c r="CP78" s="452"/>
      <c r="CQ78" s="448"/>
      <c r="CR78" s="449"/>
      <c r="CS78" s="450"/>
      <c r="CT78" s="447"/>
      <c r="CU78" s="448"/>
      <c r="CV78" s="457"/>
      <c r="CW78" s="460"/>
      <c r="CX78" s="450"/>
      <c r="CY78" s="461"/>
      <c r="CZ78" s="448"/>
      <c r="DA78" s="456"/>
      <c r="DB78" s="449"/>
      <c r="DC78" s="450"/>
      <c r="DD78" s="452"/>
      <c r="DE78" s="448"/>
      <c r="DF78" s="456"/>
      <c r="DG78" s="458"/>
      <c r="DH78" s="458"/>
      <c r="DJ78" s="454"/>
      <c r="DK78" s="450"/>
      <c r="DL78" s="454"/>
      <c r="DM78" s="448"/>
      <c r="DN78" s="449"/>
      <c r="DO78" s="450"/>
      <c r="DP78" s="447"/>
      <c r="DQ78" s="448"/>
      <c r="DR78" s="449"/>
      <c r="DS78" s="450"/>
      <c r="DT78" s="447"/>
      <c r="DU78" s="451"/>
      <c r="DV78" s="449"/>
      <c r="DW78" s="450"/>
      <c r="DX78" s="447"/>
      <c r="DY78" s="451"/>
      <c r="DZ78" s="449"/>
      <c r="EA78" s="450"/>
      <c r="EB78" s="447"/>
      <c r="EC78" s="451"/>
      <c r="ED78" s="449"/>
      <c r="EE78" s="450"/>
      <c r="EF78" s="452"/>
      <c r="EG78" s="451"/>
      <c r="EH78" s="449"/>
      <c r="EI78" s="450"/>
      <c r="EJ78" s="447"/>
      <c r="EK78" s="448"/>
      <c r="EL78" s="453"/>
      <c r="EM78" s="449"/>
      <c r="EN78" s="450"/>
      <c r="EO78" s="454"/>
      <c r="EP78" s="448"/>
      <c r="ER78" s="449"/>
      <c r="ES78" s="450"/>
      <c r="ET78" s="452"/>
      <c r="EU78" s="448"/>
      <c r="EW78" s="449"/>
      <c r="EX78" s="450"/>
      <c r="EY78" s="447"/>
      <c r="EZ78" s="448"/>
      <c r="FB78" s="449"/>
      <c r="FC78" s="450"/>
      <c r="FD78" s="452"/>
      <c r="FE78" s="448"/>
      <c r="FF78" s="449"/>
      <c r="FG78" s="450"/>
      <c r="FH78" s="452"/>
      <c r="FI78" s="448"/>
      <c r="FJ78" s="455"/>
      <c r="FK78" s="449"/>
      <c r="FL78" s="450"/>
      <c r="FM78" s="459"/>
      <c r="FN78" s="448"/>
      <c r="FO78" s="456"/>
      <c r="FP78" s="449"/>
      <c r="FQ78" s="450"/>
      <c r="FR78" s="452"/>
      <c r="FS78" s="448"/>
      <c r="FT78" s="449"/>
      <c r="FU78" s="450"/>
      <c r="FV78" s="452"/>
      <c r="FW78" s="448"/>
      <c r="FX78" s="449"/>
      <c r="FY78" s="450"/>
      <c r="FZ78" s="447"/>
      <c r="GA78" s="448"/>
      <c r="GB78" s="457"/>
      <c r="GC78" s="460"/>
      <c r="GD78" s="450"/>
      <c r="GE78" s="461"/>
      <c r="GF78" s="448"/>
      <c r="GG78" s="456"/>
      <c r="GH78" s="449"/>
      <c r="GI78" s="450"/>
      <c r="GJ78" s="452"/>
      <c r="GK78" s="448"/>
      <c r="GL78" s="456"/>
      <c r="GM78" s="458"/>
      <c r="GN78" s="458"/>
      <c r="GP78" s="454"/>
      <c r="GQ78" s="450"/>
      <c r="GR78" s="454"/>
      <c r="GS78" s="448"/>
      <c r="GT78" s="449"/>
      <c r="GU78" s="450"/>
      <c r="GV78" s="447"/>
      <c r="GW78" s="448"/>
      <c r="GX78" s="449"/>
      <c r="GY78" s="450"/>
      <c r="GZ78" s="447"/>
      <c r="HA78" s="451"/>
      <c r="HB78" s="449"/>
      <c r="HC78" s="450"/>
      <c r="HD78" s="447"/>
      <c r="HE78" s="451"/>
      <c r="HF78" s="449"/>
      <c r="HG78" s="450"/>
      <c r="HH78" s="447"/>
      <c r="HI78" s="451"/>
      <c r="HJ78" s="449"/>
      <c r="HK78" s="450"/>
      <c r="HL78" s="452"/>
      <c r="HM78" s="451"/>
      <c r="HN78" s="449"/>
      <c r="HO78" s="450"/>
      <c r="HP78" s="447"/>
      <c r="HQ78" s="448"/>
      <c r="HR78" s="453"/>
      <c r="HS78" s="449"/>
      <c r="HT78" s="450"/>
      <c r="HU78" s="454"/>
      <c r="HV78" s="448"/>
      <c r="HX78" s="449"/>
      <c r="HY78" s="450"/>
      <c r="HZ78" s="452"/>
      <c r="IA78" s="448"/>
      <c r="IC78" s="449"/>
      <c r="ID78" s="450"/>
      <c r="IE78" s="447"/>
      <c r="IF78" s="448"/>
      <c r="IH78" s="449"/>
      <c r="II78" s="450"/>
      <c r="IJ78" s="452"/>
      <c r="IK78" s="448"/>
      <c r="IL78" s="449"/>
      <c r="IM78" s="450"/>
      <c r="IN78" s="452"/>
      <c r="IO78" s="448"/>
      <c r="IP78" s="455"/>
      <c r="IQ78" s="449"/>
      <c r="IR78" s="450"/>
      <c r="IS78" s="459"/>
      <c r="IT78" s="448"/>
      <c r="IU78" s="456"/>
      <c r="IV78" s="449"/>
      <c r="IW78" s="450"/>
      <c r="IX78" s="452"/>
      <c r="IY78" s="448"/>
      <c r="IZ78" s="449"/>
      <c r="JA78" s="450"/>
      <c r="JB78" s="452"/>
      <c r="JC78" s="448"/>
      <c r="JD78" s="449"/>
      <c r="JE78" s="450"/>
      <c r="JF78" s="447"/>
      <c r="JG78" s="448"/>
      <c r="JH78" s="457"/>
      <c r="JI78" s="460"/>
      <c r="JJ78" s="450"/>
      <c r="JK78" s="461"/>
      <c r="JL78" s="448"/>
      <c r="JM78" s="456"/>
      <c r="JN78" s="449"/>
      <c r="JO78" s="450"/>
      <c r="JP78" s="452"/>
      <c r="JQ78" s="448"/>
      <c r="JR78" s="456"/>
      <c r="JS78" s="458"/>
      <c r="JT78" s="458"/>
      <c r="JV78" s="454"/>
      <c r="JW78" s="450"/>
      <c r="JX78" s="454"/>
      <c r="JY78" s="448"/>
      <c r="JZ78" s="449"/>
      <c r="KA78" s="450"/>
      <c r="KB78" s="447"/>
      <c r="KC78" s="448"/>
      <c r="KD78" s="449"/>
      <c r="KE78" s="450"/>
      <c r="KF78" s="447"/>
      <c r="KG78" s="451"/>
      <c r="KH78" s="449"/>
      <c r="KI78" s="450"/>
      <c r="KJ78" s="447"/>
      <c r="KK78" s="451"/>
      <c r="KL78" s="449"/>
      <c r="KM78" s="450"/>
      <c r="KN78" s="447"/>
      <c r="KO78" s="451"/>
      <c r="KP78" s="449"/>
      <c r="KQ78" s="450"/>
      <c r="KR78" s="452"/>
      <c r="KS78" s="451"/>
      <c r="KT78" s="449"/>
      <c r="KU78" s="450"/>
      <c r="KV78" s="447"/>
      <c r="KW78" s="448"/>
      <c r="KX78" s="453"/>
      <c r="KY78" s="449"/>
      <c r="KZ78" s="450"/>
      <c r="LA78" s="454"/>
      <c r="LB78" s="448"/>
      <c r="LD78" s="449"/>
      <c r="LE78" s="450"/>
      <c r="LF78" s="452"/>
      <c r="LG78" s="448"/>
      <c r="LI78" s="449"/>
      <c r="LJ78" s="450"/>
      <c r="LK78" s="447"/>
      <c r="LL78" s="448"/>
      <c r="LN78" s="449"/>
      <c r="LO78" s="450"/>
      <c r="LP78" s="452"/>
      <c r="LQ78" s="448"/>
      <c r="LR78" s="449"/>
      <c r="LS78" s="450"/>
      <c r="LT78" s="452"/>
      <c r="LU78" s="448"/>
      <c r="LV78" s="455"/>
      <c r="LW78" s="449"/>
      <c r="LX78" s="450"/>
      <c r="LY78" s="459"/>
      <c r="LZ78" s="448"/>
      <c r="MA78" s="456"/>
      <c r="MB78" s="449"/>
      <c r="MC78" s="450"/>
      <c r="MD78" s="452"/>
      <c r="ME78" s="448"/>
      <c r="MF78" s="449"/>
      <c r="MG78" s="450"/>
      <c r="MH78" s="452"/>
      <c r="MI78" s="448"/>
      <c r="MJ78" s="449"/>
      <c r="MK78" s="450"/>
      <c r="ML78" s="447"/>
      <c r="MM78" s="448"/>
      <c r="MN78" s="457"/>
      <c r="MO78" s="460"/>
      <c r="MP78" s="450"/>
      <c r="MQ78" s="461"/>
      <c r="MR78" s="448"/>
      <c r="MS78" s="456"/>
      <c r="MT78" s="449"/>
      <c r="MU78" s="450"/>
      <c r="MV78" s="452"/>
      <c r="MW78" s="448"/>
      <c r="MX78" s="456"/>
      <c r="MY78" s="458"/>
      <c r="MZ78" s="458"/>
      <c r="NB78" s="454"/>
      <c r="NC78" s="450"/>
      <c r="ND78" s="454"/>
      <c r="NE78" s="448"/>
      <c r="NF78" s="449"/>
      <c r="NG78" s="450"/>
      <c r="NH78" s="447"/>
      <c r="NI78" s="448"/>
      <c r="NJ78" s="449"/>
      <c r="NK78" s="450"/>
      <c r="NL78" s="447"/>
      <c r="NM78" s="451"/>
      <c r="NN78" s="449"/>
      <c r="NO78" s="450"/>
      <c r="NP78" s="447"/>
      <c r="NQ78" s="451"/>
      <c r="NR78" s="449"/>
      <c r="NS78" s="450"/>
      <c r="NT78" s="447"/>
      <c r="NU78" s="451"/>
      <c r="NV78" s="449"/>
      <c r="NW78" s="450"/>
      <c r="NX78" s="452"/>
      <c r="NY78" s="451"/>
      <c r="NZ78" s="449"/>
      <c r="OA78" s="450"/>
      <c r="OB78" s="447"/>
      <c r="OC78" s="448"/>
      <c r="OD78" s="453"/>
      <c r="OE78" s="449"/>
      <c r="OF78" s="450"/>
      <c r="OG78" s="454"/>
      <c r="OH78" s="448"/>
      <c r="OJ78" s="449"/>
      <c r="OK78" s="450"/>
      <c r="OL78" s="452"/>
      <c r="OM78" s="448"/>
      <c r="OO78" s="449"/>
      <c r="OP78" s="450"/>
      <c r="OQ78" s="447"/>
      <c r="OR78" s="448"/>
      <c r="OT78" s="449"/>
      <c r="OU78" s="450"/>
      <c r="OV78" s="452"/>
      <c r="OW78" s="448"/>
      <c r="OX78" s="449"/>
      <c r="OY78" s="450"/>
      <c r="OZ78" s="452"/>
      <c r="PA78" s="448"/>
      <c r="PB78" s="455"/>
      <c r="PC78" s="449"/>
      <c r="PD78" s="450"/>
      <c r="PE78" s="459"/>
      <c r="PF78" s="448"/>
      <c r="PG78" s="456"/>
      <c r="PH78" s="449"/>
      <c r="PI78" s="450"/>
      <c r="PJ78" s="452"/>
      <c r="PK78" s="448"/>
      <c r="PL78" s="449"/>
      <c r="PM78" s="450"/>
      <c r="PN78" s="452"/>
      <c r="PO78" s="448"/>
      <c r="PP78" s="449"/>
      <c r="PQ78" s="450"/>
      <c r="PR78" s="447"/>
      <c r="PS78" s="448"/>
      <c r="PT78" s="457"/>
      <c r="PU78" s="460"/>
      <c r="PV78" s="450"/>
      <c r="PW78" s="461"/>
      <c r="PX78" s="448"/>
      <c r="PY78" s="456"/>
      <c r="PZ78" s="449"/>
      <c r="QA78" s="450"/>
      <c r="QB78" s="452"/>
      <c r="QC78" s="448"/>
      <c r="QD78" s="456"/>
      <c r="QE78" s="458"/>
      <c r="QF78" s="458"/>
      <c r="QH78" s="454"/>
      <c r="QI78" s="450"/>
      <c r="QJ78" s="454"/>
      <c r="QK78" s="448"/>
      <c r="QL78" s="449"/>
      <c r="QM78" s="450"/>
      <c r="QN78" s="447"/>
      <c r="QO78" s="448"/>
      <c r="QP78" s="449"/>
      <c r="QQ78" s="450"/>
      <c r="QR78" s="447"/>
      <c r="QS78" s="451"/>
      <c r="QT78" s="449"/>
      <c r="QU78" s="450"/>
      <c r="QV78" s="447"/>
      <c r="QW78" s="451"/>
      <c r="QX78" s="449"/>
      <c r="QY78" s="450"/>
      <c r="QZ78" s="447"/>
      <c r="RA78" s="451"/>
      <c r="RB78" s="449"/>
      <c r="RC78" s="450"/>
      <c r="RD78" s="452"/>
      <c r="RE78" s="451"/>
      <c r="RF78" s="449"/>
      <c r="RG78" s="450"/>
      <c r="RH78" s="447"/>
      <c r="RI78" s="448"/>
      <c r="RJ78" s="453"/>
      <c r="RK78" s="449"/>
      <c r="RL78" s="450"/>
      <c r="RM78" s="454"/>
      <c r="RN78" s="448"/>
      <c r="RP78" s="449"/>
      <c r="RQ78" s="450"/>
      <c r="RR78" s="452"/>
      <c r="RS78" s="448"/>
      <c r="RU78" s="449"/>
      <c r="RV78" s="450"/>
      <c r="RW78" s="447"/>
      <c r="RX78" s="448"/>
      <c r="RZ78" s="449"/>
      <c r="SA78" s="450"/>
      <c r="SB78" s="452"/>
      <c r="SC78" s="448"/>
      <c r="SD78" s="449"/>
      <c r="SE78" s="450"/>
      <c r="SF78" s="452"/>
      <c r="SG78" s="448"/>
      <c r="SH78" s="455"/>
      <c r="SI78" s="449"/>
      <c r="SJ78" s="450"/>
      <c r="SK78" s="459"/>
      <c r="SL78" s="448"/>
      <c r="SM78" s="456"/>
      <c r="SN78" s="449"/>
      <c r="SO78" s="450"/>
      <c r="SP78" s="452"/>
      <c r="SQ78" s="448"/>
      <c r="SR78" s="449"/>
      <c r="SS78" s="450"/>
      <c r="ST78" s="452"/>
      <c r="SU78" s="448"/>
      <c r="SV78" s="449"/>
      <c r="SW78" s="450"/>
      <c r="SX78" s="447"/>
      <c r="SY78" s="448"/>
      <c r="SZ78" s="457"/>
      <c r="TA78" s="460"/>
      <c r="TB78" s="450"/>
      <c r="TC78" s="461"/>
      <c r="TD78" s="448"/>
      <c r="TE78" s="456"/>
      <c r="TF78" s="449"/>
      <c r="TG78" s="450"/>
      <c r="TH78" s="452"/>
      <c r="TI78" s="448"/>
      <c r="TJ78" s="456"/>
      <c r="TK78" s="458"/>
      <c r="TL78" s="458"/>
      <c r="TN78" s="454"/>
      <c r="TO78" s="450"/>
      <c r="TP78" s="454"/>
      <c r="TQ78" s="448"/>
      <c r="TR78" s="449"/>
      <c r="TS78" s="450"/>
      <c r="TT78" s="447"/>
      <c r="TU78" s="448"/>
      <c r="TV78" s="449"/>
      <c r="TW78" s="450"/>
      <c r="TX78" s="447"/>
      <c r="TY78" s="451"/>
      <c r="TZ78" s="449"/>
      <c r="UA78" s="450"/>
      <c r="UB78" s="447"/>
      <c r="UC78" s="451"/>
      <c r="UD78" s="449"/>
      <c r="UE78" s="450"/>
      <c r="UF78" s="447"/>
      <c r="UG78" s="451"/>
      <c r="UH78" s="449"/>
      <c r="UI78" s="450"/>
      <c r="UJ78" s="452"/>
      <c r="UK78" s="451"/>
      <c r="UL78" s="449"/>
      <c r="UM78" s="450"/>
      <c r="UN78" s="447"/>
      <c r="UO78" s="448"/>
      <c r="UP78" s="453"/>
      <c r="UQ78" s="449"/>
      <c r="UR78" s="450"/>
      <c r="US78" s="454"/>
      <c r="UT78" s="448"/>
      <c r="UV78" s="449"/>
      <c r="UW78" s="450"/>
      <c r="UX78" s="452"/>
      <c r="UY78" s="448"/>
      <c r="VA78" s="449"/>
      <c r="VB78" s="450"/>
      <c r="VC78" s="447"/>
      <c r="VD78" s="448"/>
      <c r="VF78" s="449"/>
      <c r="VG78" s="450"/>
      <c r="VH78" s="452"/>
      <c r="VI78" s="448"/>
      <c r="VJ78" s="449"/>
      <c r="VK78" s="450"/>
      <c r="VL78" s="452"/>
      <c r="VM78" s="448"/>
      <c r="VN78" s="455"/>
      <c r="VO78" s="449"/>
      <c r="VP78" s="450"/>
      <c r="VQ78" s="459"/>
      <c r="VR78" s="448"/>
      <c r="VS78" s="456"/>
      <c r="VT78" s="449"/>
      <c r="VU78" s="450"/>
      <c r="VV78" s="452"/>
      <c r="VW78" s="448"/>
      <c r="VX78" s="449"/>
      <c r="VY78" s="450"/>
      <c r="VZ78" s="452"/>
      <c r="WA78" s="448"/>
      <c r="WB78" s="449"/>
      <c r="WC78" s="450"/>
      <c r="WD78" s="447"/>
      <c r="WE78" s="448"/>
      <c r="WF78" s="457"/>
      <c r="WG78" s="460"/>
      <c r="WH78" s="450"/>
      <c r="WI78" s="461"/>
      <c r="WJ78" s="448"/>
      <c r="WK78" s="456"/>
      <c r="WL78" s="449"/>
      <c r="WM78" s="450"/>
      <c r="WN78" s="452"/>
      <c r="WO78" s="448"/>
      <c r="WP78" s="456"/>
      <c r="WQ78" s="458"/>
      <c r="WR78" s="458"/>
      <c r="WT78" s="454"/>
      <c r="WU78" s="450"/>
      <c r="WV78" s="454"/>
      <c r="WW78" s="448"/>
      <c r="WX78" s="449"/>
      <c r="WY78" s="450"/>
      <c r="WZ78" s="447"/>
      <c r="XA78" s="448"/>
      <c r="XB78" s="449"/>
      <c r="XC78" s="450"/>
      <c r="XD78" s="447"/>
      <c r="XE78" s="451"/>
      <c r="XF78" s="449"/>
      <c r="XG78" s="450"/>
      <c r="XH78" s="447"/>
      <c r="XI78" s="451"/>
      <c r="XJ78" s="449"/>
      <c r="XK78" s="450"/>
      <c r="XL78" s="447"/>
      <c r="XM78" s="451"/>
      <c r="XN78" s="449"/>
      <c r="XO78" s="450"/>
      <c r="XP78" s="452"/>
      <c r="XQ78" s="451"/>
      <c r="XR78" s="449"/>
      <c r="XS78" s="450"/>
      <c r="XT78" s="447"/>
      <c r="XU78" s="448"/>
      <c r="XV78" s="453"/>
      <c r="XW78" s="449"/>
      <c r="XX78" s="450"/>
      <c r="XY78" s="454"/>
      <c r="XZ78" s="448"/>
      <c r="YB78" s="449"/>
      <c r="YC78" s="450"/>
      <c r="YD78" s="452"/>
      <c r="YE78" s="448"/>
      <c r="YG78" s="449"/>
      <c r="YH78" s="450"/>
      <c r="YI78" s="447"/>
      <c r="YJ78" s="448"/>
      <c r="YL78" s="449"/>
      <c r="YM78" s="450"/>
      <c r="YN78" s="452"/>
      <c r="YO78" s="448"/>
      <c r="YP78" s="449"/>
      <c r="YQ78" s="450"/>
      <c r="YR78" s="452"/>
      <c r="YS78" s="448"/>
      <c r="YT78" s="455"/>
      <c r="YU78" s="449"/>
      <c r="YV78" s="450"/>
      <c r="YW78" s="459"/>
      <c r="YX78" s="448"/>
      <c r="YY78" s="456"/>
      <c r="YZ78" s="449"/>
      <c r="ZA78" s="450"/>
      <c r="ZB78" s="452"/>
      <c r="ZC78" s="448"/>
      <c r="ZD78" s="449"/>
      <c r="ZE78" s="450"/>
      <c r="ZF78" s="452"/>
      <c r="ZG78" s="448"/>
      <c r="ZH78" s="449"/>
      <c r="ZI78" s="450"/>
      <c r="ZJ78" s="447"/>
      <c r="ZK78" s="448"/>
      <c r="ZL78" s="457"/>
      <c r="ZM78" s="460"/>
      <c r="ZN78" s="450"/>
      <c r="ZO78" s="461"/>
      <c r="ZP78" s="448"/>
      <c r="ZQ78" s="456"/>
      <c r="ZR78" s="449"/>
      <c r="ZS78" s="450"/>
      <c r="ZT78" s="452"/>
      <c r="ZU78" s="448"/>
      <c r="ZV78" s="456"/>
      <c r="ZW78" s="458"/>
      <c r="ZX78" s="458"/>
      <c r="ZZ78" s="454"/>
      <c r="AAA78" s="450"/>
      <c r="AAB78" s="454"/>
      <c r="AAC78" s="448"/>
      <c r="AAD78" s="449"/>
      <c r="AAE78" s="450"/>
      <c r="AAF78" s="447"/>
      <c r="AAG78" s="448"/>
      <c r="AAH78" s="449"/>
      <c r="AAI78" s="450"/>
      <c r="AAJ78" s="447"/>
      <c r="AAK78" s="451"/>
      <c r="AAL78" s="449"/>
      <c r="AAM78" s="450"/>
      <c r="AAN78" s="447"/>
      <c r="AAO78" s="451"/>
      <c r="AAP78" s="449"/>
      <c r="AAQ78" s="450"/>
      <c r="AAR78" s="447"/>
      <c r="AAS78" s="451"/>
      <c r="AAT78" s="449"/>
      <c r="AAU78" s="450"/>
      <c r="AAV78" s="452"/>
      <c r="AAW78" s="451"/>
      <c r="AAX78" s="449"/>
      <c r="AAY78" s="450"/>
      <c r="AAZ78" s="447"/>
      <c r="ABA78" s="448"/>
      <c r="ABB78" s="453"/>
      <c r="ABC78" s="449"/>
      <c r="ABD78" s="450"/>
      <c r="ABE78" s="454"/>
      <c r="ABF78" s="448"/>
      <c r="ABH78" s="449"/>
      <c r="ABI78" s="450"/>
      <c r="ABJ78" s="452"/>
      <c r="ABK78" s="448"/>
      <c r="ABM78" s="449"/>
      <c r="ABN78" s="450"/>
      <c r="ABO78" s="447"/>
      <c r="ABP78" s="448"/>
      <c r="ABR78" s="449"/>
      <c r="ABS78" s="450"/>
      <c r="ABT78" s="452"/>
      <c r="ABU78" s="448"/>
      <c r="ABV78" s="449"/>
      <c r="ABW78" s="450"/>
      <c r="ABX78" s="452"/>
      <c r="ABY78" s="448"/>
      <c r="ABZ78" s="455"/>
      <c r="ACA78" s="449"/>
      <c r="ACB78" s="450"/>
      <c r="ACC78" s="459"/>
      <c r="ACD78" s="448"/>
      <c r="ACE78" s="456"/>
      <c r="ACF78" s="449"/>
      <c r="ACG78" s="450"/>
      <c r="ACH78" s="452"/>
      <c r="ACI78" s="448"/>
      <c r="ACJ78" s="449"/>
      <c r="ACK78" s="450"/>
      <c r="ACL78" s="452"/>
      <c r="ACM78" s="448"/>
      <c r="ACN78" s="449"/>
      <c r="ACO78" s="450"/>
      <c r="ACP78" s="447"/>
      <c r="ACQ78" s="448"/>
      <c r="ACR78" s="457"/>
      <c r="ACS78" s="460"/>
      <c r="ACT78" s="450"/>
      <c r="ACU78" s="461"/>
      <c r="ACV78" s="448"/>
      <c r="ACW78" s="456"/>
      <c r="ACX78" s="449"/>
      <c r="ACY78" s="450"/>
      <c r="ACZ78" s="452"/>
      <c r="ADA78" s="448"/>
      <c r="ADB78" s="456"/>
      <c r="ADC78" s="458"/>
      <c r="ADD78" s="458"/>
      <c r="ADF78" s="454"/>
      <c r="ADG78" s="450"/>
      <c r="ADH78" s="454"/>
      <c r="ADI78" s="448"/>
      <c r="ADJ78" s="449"/>
      <c r="ADK78" s="450"/>
      <c r="ADL78" s="447"/>
      <c r="ADM78" s="448"/>
      <c r="ADN78" s="449"/>
      <c r="ADO78" s="450"/>
      <c r="ADP78" s="447"/>
      <c r="ADQ78" s="451"/>
      <c r="ADR78" s="449"/>
      <c r="ADS78" s="450"/>
      <c r="ADT78" s="447"/>
      <c r="ADU78" s="451"/>
      <c r="ADV78" s="449"/>
      <c r="ADW78" s="450"/>
      <c r="ADX78" s="447"/>
      <c r="ADY78" s="451"/>
      <c r="ADZ78" s="449"/>
      <c r="AEA78" s="450"/>
      <c r="AEB78" s="452"/>
      <c r="AEC78" s="451"/>
      <c r="AED78" s="449"/>
      <c r="AEE78" s="450"/>
      <c r="AEF78" s="447"/>
      <c r="AEG78" s="448"/>
      <c r="AEH78" s="453"/>
      <c r="AEI78" s="449"/>
      <c r="AEJ78" s="450"/>
      <c r="AEK78" s="454"/>
      <c r="AEL78" s="448"/>
      <c r="AEN78" s="449"/>
      <c r="AEO78" s="450"/>
      <c r="AEP78" s="452"/>
      <c r="AEQ78" s="448"/>
      <c r="AES78" s="449"/>
      <c r="AET78" s="450"/>
      <c r="AEU78" s="447"/>
      <c r="AEV78" s="448"/>
      <c r="AEX78" s="449"/>
      <c r="AEY78" s="450"/>
      <c r="AEZ78" s="452"/>
      <c r="AFA78" s="448"/>
      <c r="AFB78" s="449"/>
      <c r="AFC78" s="450"/>
      <c r="AFD78" s="452"/>
      <c r="AFE78" s="448"/>
      <c r="AFF78" s="455"/>
      <c r="AFG78" s="449"/>
      <c r="AFH78" s="450"/>
      <c r="AFI78" s="459"/>
      <c r="AFJ78" s="448"/>
      <c r="AFK78" s="456"/>
      <c r="AFL78" s="449"/>
      <c r="AFM78" s="450"/>
      <c r="AFN78" s="452"/>
      <c r="AFO78" s="448"/>
      <c r="AFP78" s="449"/>
      <c r="AFQ78" s="450"/>
      <c r="AFR78" s="452"/>
      <c r="AFS78" s="448"/>
      <c r="AFT78" s="449"/>
      <c r="AFU78" s="450"/>
      <c r="AFV78" s="447"/>
      <c r="AFW78" s="448"/>
      <c r="AFX78" s="457"/>
      <c r="AFY78" s="460"/>
      <c r="AFZ78" s="450"/>
      <c r="AGA78" s="461"/>
      <c r="AGB78" s="448"/>
      <c r="AGC78" s="456"/>
      <c r="AGD78" s="449"/>
      <c r="AGE78" s="450"/>
      <c r="AGF78" s="452"/>
      <c r="AGG78" s="448"/>
      <c r="AGH78" s="456"/>
      <c r="AGI78" s="458"/>
      <c r="AGJ78" s="458"/>
      <c r="AGL78" s="454"/>
      <c r="AGM78" s="450"/>
      <c r="AGN78" s="454"/>
      <c r="AGO78" s="448"/>
      <c r="AGP78" s="449"/>
      <c r="AGQ78" s="450"/>
      <c r="AGR78" s="447"/>
      <c r="AGS78" s="448"/>
      <c r="AGT78" s="449"/>
      <c r="AGU78" s="450"/>
      <c r="AGV78" s="447"/>
      <c r="AGW78" s="451"/>
      <c r="AGX78" s="449"/>
      <c r="AGY78" s="450"/>
      <c r="AGZ78" s="447"/>
      <c r="AHA78" s="451"/>
      <c r="AHB78" s="449"/>
      <c r="AHC78" s="450"/>
      <c r="AHD78" s="447"/>
      <c r="AHE78" s="451"/>
      <c r="AHF78" s="449"/>
      <c r="AHG78" s="450"/>
      <c r="AHH78" s="452"/>
      <c r="AHI78" s="451"/>
      <c r="AHJ78" s="449"/>
      <c r="AHK78" s="450"/>
      <c r="AHL78" s="447"/>
      <c r="AHM78" s="448"/>
      <c r="AHN78" s="453"/>
      <c r="AHO78" s="449"/>
      <c r="AHP78" s="450"/>
      <c r="AHQ78" s="454"/>
      <c r="AHR78" s="448"/>
      <c r="AHT78" s="449"/>
      <c r="AHU78" s="450"/>
      <c r="AHV78" s="452"/>
      <c r="AHW78" s="448"/>
      <c r="AHY78" s="449"/>
      <c r="AHZ78" s="450"/>
      <c r="AIA78" s="447"/>
      <c r="AIB78" s="448"/>
      <c r="AID78" s="449"/>
      <c r="AIE78" s="450"/>
      <c r="AIF78" s="452"/>
      <c r="AIG78" s="448"/>
      <c r="AIH78" s="449"/>
      <c r="AII78" s="450"/>
      <c r="AIJ78" s="452"/>
      <c r="AIK78" s="448"/>
      <c r="AIL78" s="455"/>
      <c r="AIM78" s="449"/>
      <c r="AIN78" s="450"/>
      <c r="AIO78" s="459"/>
      <c r="AIP78" s="448"/>
      <c r="AIQ78" s="456"/>
      <c r="AIR78" s="449"/>
      <c r="AIS78" s="450"/>
      <c r="AIT78" s="452"/>
      <c r="AIU78" s="448"/>
      <c r="AIV78" s="449"/>
      <c r="AIW78" s="450"/>
      <c r="AIX78" s="452"/>
      <c r="AIY78" s="448"/>
      <c r="AIZ78" s="449"/>
      <c r="AJA78" s="450"/>
      <c r="AJB78" s="447"/>
      <c r="AJC78" s="448"/>
      <c r="AJD78" s="457"/>
      <c r="AJE78" s="460"/>
      <c r="AJF78" s="450"/>
      <c r="AJG78" s="461"/>
      <c r="AJH78" s="448"/>
      <c r="AJI78" s="456"/>
      <c r="AJJ78" s="449"/>
      <c r="AJK78" s="450"/>
      <c r="AJL78" s="452"/>
      <c r="AJM78" s="448"/>
      <c r="AJN78" s="456"/>
      <c r="AJO78" s="458"/>
      <c r="AJP78" s="458"/>
      <c r="AJR78" s="454"/>
      <c r="AJS78" s="450"/>
      <c r="AJT78" s="454"/>
      <c r="AJU78" s="448"/>
      <c r="AJV78" s="449"/>
      <c r="AJW78" s="450"/>
      <c r="AJX78" s="447"/>
      <c r="AJY78" s="448"/>
      <c r="AJZ78" s="449"/>
      <c r="AKA78" s="450"/>
      <c r="AKB78" s="447"/>
      <c r="AKC78" s="451"/>
      <c r="AKD78" s="449"/>
      <c r="AKE78" s="450"/>
      <c r="AKF78" s="447"/>
      <c r="AKG78" s="451"/>
      <c r="AKH78" s="449"/>
      <c r="AKI78" s="450"/>
      <c r="AKJ78" s="447"/>
      <c r="AKK78" s="451"/>
      <c r="AKL78" s="449"/>
      <c r="AKM78" s="450"/>
      <c r="AKN78" s="452"/>
      <c r="AKO78" s="451"/>
      <c r="AKP78" s="449"/>
      <c r="AKQ78" s="450"/>
      <c r="AKR78" s="447"/>
      <c r="AKS78" s="448"/>
      <c r="AKT78" s="453"/>
      <c r="AKU78" s="449"/>
      <c r="AKV78" s="450"/>
      <c r="AKW78" s="454"/>
      <c r="AKX78" s="448"/>
      <c r="AKZ78" s="449"/>
      <c r="ALA78" s="450"/>
      <c r="ALB78" s="452"/>
      <c r="ALC78" s="448"/>
      <c r="ALE78" s="449"/>
      <c r="ALF78" s="450"/>
      <c r="ALG78" s="447"/>
      <c r="ALH78" s="448"/>
      <c r="ALJ78" s="449"/>
      <c r="ALK78" s="450"/>
      <c r="ALL78" s="452"/>
      <c r="ALM78" s="448"/>
      <c r="ALN78" s="449"/>
      <c r="ALO78" s="450"/>
      <c r="ALP78" s="452"/>
      <c r="ALQ78" s="448"/>
      <c r="ALR78" s="455"/>
      <c r="ALS78" s="449"/>
      <c r="ALT78" s="450"/>
      <c r="ALU78" s="459"/>
      <c r="ALV78" s="448"/>
      <c r="ALW78" s="456"/>
      <c r="ALX78" s="449"/>
      <c r="ALY78" s="450"/>
      <c r="ALZ78" s="452"/>
      <c r="AMA78" s="448"/>
      <c r="AMB78" s="449"/>
      <c r="AMC78" s="450"/>
      <c r="AMD78" s="452"/>
      <c r="AME78" s="448"/>
      <c r="AMF78" s="449"/>
      <c r="AMG78" s="450"/>
      <c r="AMH78" s="447"/>
      <c r="AMI78" s="448"/>
      <c r="AMJ78" s="457"/>
      <c r="AMK78" s="460"/>
      <c r="AML78" s="450"/>
      <c r="AMM78" s="461"/>
      <c r="AMN78" s="448"/>
      <c r="AMO78" s="456"/>
      <c r="AMP78" s="449"/>
      <c r="AMQ78" s="450"/>
      <c r="AMR78" s="452"/>
      <c r="AMS78" s="448"/>
      <c r="AMT78" s="456"/>
      <c r="AMU78" s="458"/>
      <c r="AMV78" s="458"/>
      <c r="AMX78" s="454"/>
      <c r="AMY78" s="450"/>
      <c r="AMZ78" s="454"/>
      <c r="ANA78" s="448"/>
      <c r="ANB78" s="449"/>
      <c r="ANC78" s="450"/>
      <c r="AND78" s="447"/>
      <c r="ANE78" s="448"/>
      <c r="ANF78" s="449"/>
      <c r="ANG78" s="450"/>
      <c r="ANH78" s="447"/>
      <c r="ANI78" s="451"/>
      <c r="ANJ78" s="449"/>
      <c r="ANK78" s="450"/>
      <c r="ANL78" s="447"/>
      <c r="ANM78" s="451"/>
      <c r="ANN78" s="449"/>
      <c r="ANO78" s="450"/>
      <c r="ANP78" s="447"/>
      <c r="ANQ78" s="451"/>
      <c r="ANR78" s="449"/>
      <c r="ANS78" s="450"/>
      <c r="ANT78" s="452"/>
      <c r="ANU78" s="451"/>
      <c r="ANV78" s="449"/>
      <c r="ANW78" s="450"/>
      <c r="ANX78" s="447"/>
      <c r="ANY78" s="448"/>
      <c r="ANZ78" s="453"/>
      <c r="AOA78" s="449"/>
      <c r="AOB78" s="450"/>
      <c r="AOC78" s="454"/>
      <c r="AOD78" s="448"/>
      <c r="AOF78" s="449"/>
      <c r="AOG78" s="450"/>
      <c r="AOH78" s="452"/>
      <c r="AOI78" s="448"/>
      <c r="AOK78" s="449"/>
      <c r="AOL78" s="450"/>
      <c r="AOM78" s="447"/>
      <c r="AON78" s="448"/>
      <c r="AOP78" s="449"/>
      <c r="AOQ78" s="450"/>
      <c r="AOR78" s="452"/>
      <c r="AOS78" s="448"/>
      <c r="AOT78" s="449"/>
      <c r="AOU78" s="450"/>
      <c r="AOV78" s="452"/>
      <c r="AOW78" s="448"/>
      <c r="AOX78" s="455"/>
      <c r="AOY78" s="449"/>
      <c r="AOZ78" s="450"/>
      <c r="APA78" s="459"/>
      <c r="APB78" s="448"/>
      <c r="APC78" s="456"/>
      <c r="APD78" s="449"/>
      <c r="APE78" s="450"/>
      <c r="APF78" s="452"/>
      <c r="APG78" s="448"/>
      <c r="APH78" s="449"/>
      <c r="API78" s="450"/>
      <c r="APJ78" s="452"/>
      <c r="APK78" s="448"/>
      <c r="APL78" s="449"/>
      <c r="APM78" s="450"/>
      <c r="APN78" s="447"/>
      <c r="APO78" s="448"/>
      <c r="APP78" s="457"/>
      <c r="APQ78" s="460"/>
      <c r="APR78" s="450"/>
      <c r="APS78" s="461"/>
      <c r="APT78" s="448"/>
      <c r="APU78" s="456"/>
      <c r="APV78" s="449"/>
      <c r="APW78" s="450"/>
      <c r="APX78" s="452"/>
      <c r="APY78" s="448"/>
      <c r="APZ78" s="456"/>
      <c r="AQA78" s="458"/>
      <c r="AQB78" s="458"/>
      <c r="AQD78" s="454"/>
      <c r="AQE78" s="450"/>
      <c r="AQF78" s="454"/>
      <c r="AQG78" s="448"/>
      <c r="AQH78" s="449"/>
      <c r="AQI78" s="450"/>
      <c r="AQJ78" s="447"/>
      <c r="AQK78" s="448"/>
      <c r="AQL78" s="449"/>
      <c r="AQM78" s="450"/>
      <c r="AQN78" s="447"/>
      <c r="AQO78" s="451"/>
      <c r="AQP78" s="449"/>
      <c r="AQQ78" s="450"/>
      <c r="AQR78" s="447"/>
      <c r="AQS78" s="451"/>
      <c r="AQT78" s="449"/>
      <c r="AQU78" s="450"/>
      <c r="AQV78" s="447"/>
      <c r="AQW78" s="451"/>
      <c r="AQX78" s="449"/>
      <c r="AQY78" s="450"/>
      <c r="AQZ78" s="452"/>
      <c r="ARA78" s="451"/>
      <c r="ARB78" s="449"/>
      <c r="ARC78" s="450"/>
      <c r="ARD78" s="447"/>
      <c r="ARE78" s="448"/>
      <c r="ARF78" s="453"/>
      <c r="ARG78" s="449"/>
      <c r="ARH78" s="450"/>
      <c r="ARI78" s="454"/>
      <c r="ARJ78" s="448"/>
      <c r="ARL78" s="449"/>
      <c r="ARM78" s="450"/>
      <c r="ARN78" s="452"/>
      <c r="ARO78" s="448"/>
      <c r="ARQ78" s="449"/>
      <c r="ARR78" s="450"/>
      <c r="ARS78" s="447"/>
      <c r="ART78" s="448"/>
      <c r="ARV78" s="449"/>
      <c r="ARW78" s="450"/>
      <c r="ARX78" s="452"/>
      <c r="ARY78" s="448"/>
      <c r="ARZ78" s="449"/>
      <c r="ASA78" s="450"/>
      <c r="ASB78" s="452"/>
      <c r="ASC78" s="448"/>
      <c r="ASD78" s="455"/>
      <c r="ASE78" s="449"/>
      <c r="ASF78" s="450"/>
      <c r="ASG78" s="459"/>
      <c r="ASH78" s="448"/>
      <c r="ASI78" s="456"/>
      <c r="ASJ78" s="449"/>
      <c r="ASK78" s="450"/>
      <c r="ASL78" s="452"/>
      <c r="ASM78" s="448"/>
      <c r="ASN78" s="449"/>
      <c r="ASO78" s="450"/>
      <c r="ASP78" s="452"/>
      <c r="ASQ78" s="448"/>
      <c r="ASR78" s="449"/>
      <c r="ASS78" s="450"/>
      <c r="AST78" s="447"/>
      <c r="ASU78" s="448"/>
      <c r="ASV78" s="457"/>
      <c r="ASW78" s="460"/>
      <c r="ASX78" s="450"/>
      <c r="ASY78" s="461"/>
      <c r="ASZ78" s="448"/>
      <c r="ATA78" s="456"/>
      <c r="ATB78" s="449"/>
      <c r="ATC78" s="450"/>
      <c r="ATD78" s="452"/>
      <c r="ATE78" s="448"/>
      <c r="ATF78" s="456"/>
      <c r="ATG78" s="458"/>
      <c r="ATH78" s="458"/>
      <c r="ATJ78" s="454"/>
      <c r="ATK78" s="450"/>
      <c r="ATL78" s="454"/>
      <c r="ATM78" s="448"/>
      <c r="ATN78" s="449"/>
      <c r="ATO78" s="450"/>
      <c r="ATP78" s="447"/>
      <c r="ATQ78" s="448"/>
      <c r="ATR78" s="449"/>
      <c r="ATS78" s="450"/>
      <c r="ATT78" s="447"/>
      <c r="ATU78" s="451"/>
      <c r="ATV78" s="449"/>
      <c r="ATW78" s="450"/>
      <c r="ATX78" s="447"/>
      <c r="ATY78" s="451"/>
      <c r="ATZ78" s="449"/>
      <c r="AUA78" s="450"/>
      <c r="AUB78" s="447"/>
      <c r="AUC78" s="451"/>
      <c r="AUD78" s="449"/>
      <c r="AUE78" s="450"/>
      <c r="AUF78" s="452"/>
      <c r="AUG78" s="451"/>
      <c r="AUH78" s="449"/>
      <c r="AUI78" s="450"/>
      <c r="AUJ78" s="447"/>
      <c r="AUK78" s="448"/>
      <c r="AUL78" s="453"/>
      <c r="AUM78" s="449"/>
      <c r="AUN78" s="450"/>
      <c r="AUO78" s="454"/>
      <c r="AUP78" s="448"/>
      <c r="AUR78" s="449"/>
      <c r="AUS78" s="450"/>
      <c r="AUT78" s="452"/>
      <c r="AUU78" s="448"/>
      <c r="AUW78" s="449"/>
      <c r="AUX78" s="450"/>
      <c r="AUY78" s="447"/>
      <c r="AUZ78" s="448"/>
      <c r="AVB78" s="449"/>
      <c r="AVC78" s="450"/>
      <c r="AVD78" s="452"/>
      <c r="AVE78" s="448"/>
      <c r="AVF78" s="449"/>
      <c r="AVG78" s="450"/>
      <c r="AVH78" s="452"/>
      <c r="AVI78" s="448"/>
      <c r="AVJ78" s="455"/>
      <c r="AVK78" s="449"/>
      <c r="AVL78" s="450"/>
      <c r="AVM78" s="459"/>
      <c r="AVN78" s="448"/>
      <c r="AVO78" s="456"/>
      <c r="AVP78" s="449"/>
      <c r="AVQ78" s="450"/>
      <c r="AVR78" s="452"/>
      <c r="AVS78" s="448"/>
      <c r="AVT78" s="449"/>
      <c r="AVU78" s="450"/>
      <c r="AVV78" s="452"/>
      <c r="AVW78" s="448"/>
      <c r="AVX78" s="449"/>
      <c r="AVY78" s="450"/>
      <c r="AVZ78" s="447"/>
      <c r="AWA78" s="448"/>
      <c r="AWB78" s="457"/>
      <c r="AWC78" s="460"/>
      <c r="AWD78" s="450"/>
      <c r="AWE78" s="461"/>
      <c r="AWF78" s="448"/>
      <c r="AWG78" s="456"/>
      <c r="AWH78" s="449"/>
      <c r="AWI78" s="450"/>
      <c r="AWJ78" s="452"/>
      <c r="AWK78" s="448"/>
      <c r="AWL78" s="456"/>
      <c r="AWM78" s="458"/>
      <c r="AWN78" s="458"/>
      <c r="AWP78" s="454"/>
      <c r="AWQ78" s="450"/>
      <c r="AWR78" s="454"/>
      <c r="AWS78" s="448"/>
      <c r="AWT78" s="449"/>
      <c r="AWU78" s="450"/>
      <c r="AWV78" s="447"/>
      <c r="AWW78" s="448"/>
      <c r="AWX78" s="449"/>
      <c r="AWY78" s="450"/>
      <c r="AWZ78" s="447"/>
      <c r="AXA78" s="451"/>
      <c r="AXB78" s="449"/>
      <c r="AXC78" s="450"/>
      <c r="AXD78" s="447"/>
      <c r="AXE78" s="451"/>
      <c r="AXF78" s="449"/>
      <c r="AXG78" s="450"/>
      <c r="AXH78" s="447"/>
      <c r="AXI78" s="451"/>
      <c r="AXJ78" s="449"/>
      <c r="AXK78" s="450"/>
      <c r="AXL78" s="452"/>
      <c r="AXM78" s="451"/>
      <c r="AXN78" s="449"/>
      <c r="AXO78" s="450"/>
      <c r="AXP78" s="447"/>
      <c r="AXQ78" s="448"/>
      <c r="AXR78" s="453"/>
      <c r="AXS78" s="449"/>
      <c r="AXT78" s="450"/>
      <c r="AXU78" s="454"/>
      <c r="AXV78" s="448"/>
      <c r="AXX78" s="449"/>
      <c r="AXY78" s="450"/>
      <c r="AXZ78" s="452"/>
      <c r="AYA78" s="448"/>
      <c r="AYC78" s="449"/>
      <c r="AYD78" s="450"/>
      <c r="AYE78" s="447"/>
      <c r="AYF78" s="448"/>
      <c r="AYH78" s="449"/>
      <c r="AYI78" s="450"/>
      <c r="AYJ78" s="452"/>
      <c r="AYK78" s="448"/>
      <c r="AYL78" s="449"/>
      <c r="AYM78" s="450"/>
      <c r="AYN78" s="452"/>
      <c r="AYO78" s="448"/>
      <c r="AYP78" s="455"/>
      <c r="AYQ78" s="449"/>
      <c r="AYR78" s="450"/>
      <c r="AYS78" s="459"/>
      <c r="AYT78" s="448"/>
      <c r="AYU78" s="456"/>
      <c r="AYV78" s="449"/>
      <c r="AYW78" s="450"/>
      <c r="AYX78" s="452"/>
      <c r="AYY78" s="448"/>
      <c r="AYZ78" s="449"/>
      <c r="AZA78" s="450"/>
      <c r="AZB78" s="452"/>
      <c r="AZC78" s="448"/>
      <c r="AZD78" s="449"/>
      <c r="AZE78" s="450"/>
      <c r="AZF78" s="447"/>
      <c r="AZG78" s="448"/>
      <c r="AZH78" s="457"/>
      <c r="AZI78" s="460"/>
      <c r="AZJ78" s="450"/>
      <c r="AZK78" s="461"/>
      <c r="AZL78" s="448"/>
      <c r="AZM78" s="456"/>
      <c r="AZN78" s="449"/>
      <c r="AZO78" s="450"/>
      <c r="AZP78" s="452"/>
      <c r="AZQ78" s="448"/>
      <c r="AZR78" s="456"/>
      <c r="AZS78" s="458"/>
      <c r="AZT78" s="458"/>
      <c r="AZV78" s="454"/>
      <c r="AZW78" s="450"/>
      <c r="AZX78" s="454"/>
      <c r="AZY78" s="448"/>
      <c r="AZZ78" s="449"/>
      <c r="BAA78" s="450"/>
      <c r="BAB78" s="447"/>
      <c r="BAC78" s="448"/>
      <c r="BAD78" s="449"/>
      <c r="BAE78" s="450"/>
      <c r="BAF78" s="447"/>
      <c r="BAG78" s="451"/>
      <c r="BAH78" s="449"/>
      <c r="BAI78" s="450"/>
      <c r="BAJ78" s="447"/>
      <c r="BAK78" s="451"/>
      <c r="BAL78" s="449"/>
      <c r="BAM78" s="450"/>
      <c r="BAN78" s="447"/>
      <c r="BAO78" s="451"/>
      <c r="BAP78" s="449"/>
      <c r="BAQ78" s="450"/>
      <c r="BAR78" s="452"/>
      <c r="BAS78" s="451"/>
      <c r="BAT78" s="449"/>
      <c r="BAU78" s="450"/>
      <c r="BAV78" s="447"/>
      <c r="BAW78" s="448"/>
      <c r="BAX78" s="453"/>
      <c r="BAY78" s="449"/>
      <c r="BAZ78" s="450"/>
      <c r="BBA78" s="454"/>
      <c r="BBB78" s="448"/>
      <c r="BBD78" s="449"/>
      <c r="BBE78" s="450"/>
      <c r="BBF78" s="452"/>
      <c r="BBG78" s="448"/>
      <c r="BBI78" s="449"/>
      <c r="BBJ78" s="450"/>
      <c r="BBK78" s="447"/>
      <c r="BBL78" s="448"/>
      <c r="BBN78" s="449"/>
      <c r="BBO78" s="450"/>
      <c r="BBP78" s="452"/>
      <c r="BBQ78" s="448"/>
      <c r="BBR78" s="449"/>
      <c r="BBS78" s="450"/>
      <c r="BBT78" s="452"/>
      <c r="BBU78" s="448"/>
      <c r="BBV78" s="455"/>
      <c r="BBW78" s="449"/>
      <c r="BBX78" s="450"/>
      <c r="BBY78" s="459"/>
      <c r="BBZ78" s="448"/>
      <c r="BCA78" s="456"/>
      <c r="BCB78" s="449"/>
      <c r="BCC78" s="450"/>
      <c r="BCD78" s="452"/>
      <c r="BCE78" s="448"/>
      <c r="BCF78" s="449"/>
      <c r="BCG78" s="450"/>
      <c r="BCH78" s="452"/>
      <c r="BCI78" s="448"/>
      <c r="BCJ78" s="449"/>
      <c r="BCK78" s="450"/>
      <c r="BCL78" s="447"/>
      <c r="BCM78" s="448"/>
      <c r="BCN78" s="457"/>
      <c r="BCO78" s="460"/>
      <c r="BCP78" s="450"/>
      <c r="BCQ78" s="461"/>
      <c r="BCR78" s="448"/>
      <c r="BCS78" s="456"/>
      <c r="BCT78" s="449"/>
      <c r="BCU78" s="450"/>
      <c r="BCV78" s="452"/>
      <c r="BCW78" s="448"/>
      <c r="BCX78" s="456"/>
      <c r="BCY78" s="458"/>
      <c r="BCZ78" s="458"/>
      <c r="BDB78" s="454"/>
      <c r="BDC78" s="450"/>
      <c r="BDD78" s="454"/>
      <c r="BDE78" s="448"/>
      <c r="BDF78" s="449"/>
      <c r="BDG78" s="450"/>
      <c r="BDH78" s="447"/>
      <c r="BDI78" s="448"/>
      <c r="BDJ78" s="449"/>
      <c r="BDK78" s="450"/>
      <c r="BDL78" s="447"/>
      <c r="BDM78" s="451"/>
      <c r="BDN78" s="449"/>
      <c r="BDO78" s="450"/>
      <c r="BDP78" s="447"/>
      <c r="BDQ78" s="451"/>
      <c r="BDR78" s="449"/>
      <c r="BDS78" s="450"/>
      <c r="BDT78" s="447"/>
      <c r="BDU78" s="451"/>
      <c r="BDV78" s="449"/>
      <c r="BDW78" s="450"/>
      <c r="BDX78" s="452"/>
      <c r="BDY78" s="451"/>
      <c r="BDZ78" s="449"/>
      <c r="BEA78" s="450"/>
      <c r="BEB78" s="447"/>
      <c r="BEC78" s="448"/>
      <c r="BED78" s="453"/>
      <c r="BEE78" s="449"/>
      <c r="BEF78" s="450"/>
      <c r="BEG78" s="454"/>
      <c r="BEH78" s="448"/>
      <c r="BEJ78" s="449"/>
      <c r="BEK78" s="450"/>
      <c r="BEL78" s="452"/>
      <c r="BEM78" s="448"/>
      <c r="BEO78" s="449"/>
      <c r="BEP78" s="450"/>
      <c r="BEQ78" s="447"/>
      <c r="BER78" s="448"/>
      <c r="BET78" s="449"/>
      <c r="BEU78" s="450"/>
      <c r="BEV78" s="452"/>
      <c r="BEW78" s="448"/>
      <c r="BEX78" s="449"/>
      <c r="BEY78" s="450"/>
      <c r="BEZ78" s="452"/>
      <c r="BFA78" s="448"/>
      <c r="BFB78" s="455"/>
      <c r="BFC78" s="449"/>
      <c r="BFD78" s="450"/>
      <c r="BFE78" s="459"/>
      <c r="BFF78" s="448"/>
      <c r="BFG78" s="456"/>
      <c r="BFH78" s="449"/>
      <c r="BFI78" s="450"/>
      <c r="BFJ78" s="452"/>
      <c r="BFK78" s="448"/>
      <c r="BFL78" s="449"/>
      <c r="BFM78" s="450"/>
      <c r="BFN78" s="452"/>
      <c r="BFO78" s="448"/>
      <c r="BFP78" s="449"/>
      <c r="BFQ78" s="450"/>
      <c r="BFR78" s="447"/>
      <c r="BFS78" s="448"/>
      <c r="BFT78" s="457"/>
      <c r="BFU78" s="460"/>
      <c r="BFV78" s="450"/>
      <c r="BFW78" s="461"/>
      <c r="BFX78" s="448"/>
      <c r="BFY78" s="456"/>
      <c r="BFZ78" s="449"/>
      <c r="BGA78" s="450"/>
      <c r="BGB78" s="452"/>
      <c r="BGC78" s="448"/>
      <c r="BGD78" s="456"/>
      <c r="BGE78" s="458"/>
      <c r="BGF78" s="458"/>
      <c r="BGH78" s="454"/>
      <c r="BGI78" s="450"/>
      <c r="BGJ78" s="454"/>
      <c r="BGK78" s="448"/>
      <c r="BGL78" s="449"/>
      <c r="BGM78" s="450"/>
      <c r="BGN78" s="447"/>
      <c r="BGO78" s="448"/>
      <c r="BGP78" s="449"/>
      <c r="BGQ78" s="450"/>
      <c r="BGR78" s="447"/>
      <c r="BGS78" s="451"/>
      <c r="BGT78" s="449"/>
      <c r="BGU78" s="450"/>
      <c r="BGV78" s="447"/>
      <c r="BGW78" s="451"/>
      <c r="BGX78" s="449"/>
      <c r="BGY78" s="450"/>
      <c r="BGZ78" s="447"/>
      <c r="BHA78" s="451"/>
      <c r="BHB78" s="449"/>
      <c r="BHC78" s="450"/>
      <c r="BHD78" s="452"/>
      <c r="BHE78" s="451"/>
      <c r="BHF78" s="449"/>
      <c r="BHG78" s="450"/>
      <c r="BHH78" s="447"/>
      <c r="BHI78" s="448"/>
      <c r="BHJ78" s="453"/>
      <c r="BHK78" s="449"/>
      <c r="BHL78" s="450"/>
      <c r="BHM78" s="454"/>
      <c r="BHN78" s="448"/>
      <c r="BHP78" s="449"/>
      <c r="BHQ78" s="450"/>
      <c r="BHR78" s="452"/>
      <c r="BHS78" s="448"/>
      <c r="BHU78" s="449"/>
      <c r="BHV78" s="450"/>
      <c r="BHW78" s="447"/>
      <c r="BHX78" s="448"/>
      <c r="BHZ78" s="449"/>
      <c r="BIA78" s="450"/>
      <c r="BIB78" s="452"/>
      <c r="BIC78" s="448"/>
      <c r="BID78" s="449"/>
      <c r="BIE78" s="450"/>
      <c r="BIF78" s="452"/>
      <c r="BIG78" s="448"/>
      <c r="BIH78" s="455"/>
      <c r="BII78" s="449"/>
      <c r="BIJ78" s="450"/>
      <c r="BIK78" s="459"/>
      <c r="BIL78" s="448"/>
      <c r="BIM78" s="456"/>
      <c r="BIN78" s="449"/>
      <c r="BIO78" s="450"/>
      <c r="BIP78" s="452"/>
      <c r="BIQ78" s="448"/>
      <c r="BIR78" s="449"/>
      <c r="BIS78" s="450"/>
      <c r="BIT78" s="452"/>
      <c r="BIU78" s="448"/>
      <c r="BIV78" s="449"/>
      <c r="BIW78" s="450"/>
      <c r="BIX78" s="447"/>
      <c r="BIY78" s="448"/>
      <c r="BIZ78" s="457"/>
      <c r="BJA78" s="460"/>
      <c r="BJB78" s="450"/>
      <c r="BJC78" s="461"/>
      <c r="BJD78" s="448"/>
      <c r="BJE78" s="456"/>
      <c r="BJF78" s="449"/>
      <c r="BJG78" s="450"/>
      <c r="BJH78" s="452"/>
      <c r="BJI78" s="448"/>
      <c r="BJJ78" s="456"/>
      <c r="BJK78" s="458"/>
      <c r="BJL78" s="458"/>
      <c r="BJN78" s="454"/>
      <c r="BJO78" s="450"/>
      <c r="BJP78" s="454"/>
      <c r="BJQ78" s="448"/>
      <c r="BJR78" s="449"/>
      <c r="BJS78" s="450"/>
      <c r="BJT78" s="447"/>
      <c r="BJU78" s="448"/>
      <c r="BJV78" s="449"/>
      <c r="BJW78" s="450"/>
      <c r="BJX78" s="447"/>
      <c r="BJY78" s="451"/>
      <c r="BJZ78" s="449"/>
      <c r="BKA78" s="450"/>
      <c r="BKB78" s="447"/>
      <c r="BKC78" s="451"/>
      <c r="BKD78" s="449"/>
      <c r="BKE78" s="450"/>
      <c r="BKF78" s="447"/>
      <c r="BKG78" s="451"/>
      <c r="BKH78" s="449"/>
      <c r="BKI78" s="450"/>
      <c r="BKJ78" s="452"/>
      <c r="BKK78" s="451"/>
      <c r="BKL78" s="449"/>
      <c r="BKM78" s="450"/>
      <c r="BKN78" s="447"/>
      <c r="BKO78" s="448"/>
      <c r="BKP78" s="453"/>
      <c r="BKQ78" s="449"/>
      <c r="BKR78" s="450"/>
      <c r="BKS78" s="454"/>
      <c r="BKT78" s="448"/>
      <c r="BKV78" s="449"/>
      <c r="BKW78" s="450"/>
      <c r="BKX78" s="452"/>
      <c r="BKY78" s="448"/>
      <c r="BLA78" s="449"/>
      <c r="BLB78" s="450"/>
      <c r="BLC78" s="447"/>
      <c r="BLD78" s="448"/>
      <c r="BLF78" s="449"/>
      <c r="BLG78" s="450"/>
      <c r="BLH78" s="452"/>
      <c r="BLI78" s="448"/>
      <c r="BLJ78" s="449"/>
      <c r="BLK78" s="450"/>
      <c r="BLL78" s="452"/>
      <c r="BLM78" s="448"/>
      <c r="BLN78" s="455"/>
      <c r="BLO78" s="449"/>
      <c r="BLP78" s="450"/>
      <c r="BLQ78" s="459"/>
      <c r="BLR78" s="448"/>
      <c r="BLS78" s="456"/>
      <c r="BLT78" s="449"/>
      <c r="BLU78" s="450"/>
      <c r="BLV78" s="452"/>
      <c r="BLW78" s="448"/>
      <c r="BLX78" s="449"/>
      <c r="BLY78" s="450"/>
      <c r="BLZ78" s="452"/>
      <c r="BMA78" s="448"/>
      <c r="BMB78" s="449"/>
      <c r="BMC78" s="450"/>
      <c r="BMD78" s="447"/>
      <c r="BME78" s="448"/>
      <c r="BMF78" s="457"/>
      <c r="BMG78" s="460"/>
      <c r="BMH78" s="450"/>
      <c r="BMI78" s="461"/>
      <c r="BMJ78" s="448"/>
      <c r="BMK78" s="456"/>
      <c r="BML78" s="449"/>
      <c r="BMM78" s="450"/>
      <c r="BMN78" s="452"/>
      <c r="BMO78" s="448"/>
      <c r="BMP78" s="456"/>
      <c r="BMQ78" s="458"/>
      <c r="BMR78" s="458"/>
      <c r="BMT78" s="454"/>
      <c r="BMU78" s="450"/>
      <c r="BMV78" s="454"/>
      <c r="BMW78" s="448"/>
      <c r="BMX78" s="449"/>
      <c r="BMY78" s="450"/>
      <c r="BMZ78" s="447"/>
      <c r="BNA78" s="448"/>
      <c r="BNB78" s="449"/>
      <c r="BNC78" s="450"/>
      <c r="BND78" s="447"/>
      <c r="BNE78" s="451"/>
      <c r="BNF78" s="449"/>
      <c r="BNG78" s="450"/>
      <c r="BNH78" s="447"/>
      <c r="BNI78" s="451"/>
      <c r="BNJ78" s="449"/>
      <c r="BNK78" s="450"/>
      <c r="BNL78" s="447"/>
      <c r="BNM78" s="451"/>
      <c r="BNN78" s="449"/>
      <c r="BNO78" s="450"/>
      <c r="BNP78" s="452"/>
      <c r="BNQ78" s="451"/>
      <c r="BNR78" s="449"/>
      <c r="BNS78" s="450"/>
      <c r="BNT78" s="447"/>
      <c r="BNU78" s="448"/>
      <c r="BNV78" s="453"/>
      <c r="BNW78" s="449"/>
      <c r="BNX78" s="450"/>
      <c r="BNY78" s="454"/>
      <c r="BNZ78" s="448"/>
      <c r="BOB78" s="449"/>
      <c r="BOC78" s="450"/>
      <c r="BOD78" s="452"/>
      <c r="BOE78" s="448"/>
      <c r="BOG78" s="449"/>
      <c r="BOH78" s="450"/>
      <c r="BOI78" s="447"/>
      <c r="BOJ78" s="448"/>
      <c r="BOL78" s="449"/>
      <c r="BOM78" s="450"/>
      <c r="BON78" s="452"/>
      <c r="BOO78" s="448"/>
      <c r="BOP78" s="449"/>
      <c r="BOQ78" s="450"/>
      <c r="BOR78" s="452"/>
      <c r="BOS78" s="448"/>
      <c r="BOT78" s="455"/>
      <c r="BOU78" s="449"/>
      <c r="BOV78" s="450"/>
      <c r="BOW78" s="459"/>
      <c r="BOX78" s="448"/>
      <c r="BOY78" s="456"/>
      <c r="BOZ78" s="449"/>
      <c r="BPA78" s="450"/>
      <c r="BPB78" s="452"/>
      <c r="BPC78" s="448"/>
      <c r="BPD78" s="449"/>
      <c r="BPE78" s="450"/>
      <c r="BPF78" s="452"/>
      <c r="BPG78" s="448"/>
      <c r="BPH78" s="449"/>
      <c r="BPI78" s="450"/>
      <c r="BPJ78" s="447"/>
      <c r="BPK78" s="448"/>
      <c r="BPL78" s="457"/>
      <c r="BPM78" s="460"/>
      <c r="BPN78" s="450"/>
      <c r="BPO78" s="461"/>
      <c r="BPP78" s="448"/>
      <c r="BPQ78" s="456"/>
      <c r="BPR78" s="449"/>
      <c r="BPS78" s="450"/>
      <c r="BPT78" s="452"/>
      <c r="BPU78" s="448"/>
      <c r="BPV78" s="456"/>
      <c r="BPW78" s="458"/>
      <c r="BPX78" s="458"/>
      <c r="BPZ78" s="454"/>
      <c r="BQA78" s="450"/>
      <c r="BQB78" s="454"/>
      <c r="BQC78" s="448"/>
      <c r="BQD78" s="449"/>
      <c r="BQE78" s="450"/>
      <c r="BQF78" s="447"/>
      <c r="BQG78" s="448"/>
      <c r="BQH78" s="449"/>
      <c r="BQI78" s="450"/>
      <c r="BQJ78" s="447"/>
      <c r="BQK78" s="451"/>
      <c r="BQL78" s="449"/>
      <c r="BQM78" s="450"/>
      <c r="BQN78" s="447"/>
      <c r="BQO78" s="451"/>
      <c r="BQP78" s="449"/>
      <c r="BQQ78" s="450"/>
      <c r="BQR78" s="447"/>
      <c r="BQS78" s="451"/>
      <c r="BQT78" s="449"/>
      <c r="BQU78" s="450"/>
      <c r="BQV78" s="452"/>
      <c r="BQW78" s="451"/>
      <c r="BQX78" s="449"/>
      <c r="BQY78" s="450"/>
      <c r="BQZ78" s="447"/>
      <c r="BRA78" s="448"/>
      <c r="BRB78" s="453"/>
      <c r="BRC78" s="449"/>
      <c r="BRD78" s="450"/>
      <c r="BRE78" s="454"/>
      <c r="BRF78" s="448"/>
      <c r="BRH78" s="449"/>
      <c r="BRI78" s="450"/>
      <c r="BRJ78" s="452"/>
      <c r="BRK78" s="448"/>
      <c r="BRM78" s="449"/>
      <c r="BRN78" s="450"/>
      <c r="BRO78" s="447"/>
      <c r="BRP78" s="448"/>
      <c r="BRR78" s="449"/>
      <c r="BRS78" s="450"/>
      <c r="BRT78" s="452"/>
      <c r="BRU78" s="448"/>
      <c r="BRV78" s="449"/>
      <c r="BRW78" s="450"/>
      <c r="BRX78" s="452"/>
      <c r="BRY78" s="448"/>
      <c r="BRZ78" s="455"/>
      <c r="BSA78" s="449"/>
      <c r="BSB78" s="450"/>
      <c r="BSC78" s="459"/>
      <c r="BSD78" s="448"/>
      <c r="BSE78" s="456"/>
      <c r="BSF78" s="449"/>
      <c r="BSG78" s="450"/>
      <c r="BSH78" s="452"/>
      <c r="BSI78" s="448"/>
      <c r="BSJ78" s="449"/>
      <c r="BSK78" s="450"/>
      <c r="BSL78" s="452"/>
      <c r="BSM78" s="448"/>
      <c r="BSN78" s="449"/>
      <c r="BSO78" s="450"/>
      <c r="BSP78" s="447"/>
      <c r="BSQ78" s="448"/>
      <c r="BSR78" s="457"/>
      <c r="BSS78" s="460"/>
      <c r="BST78" s="450"/>
      <c r="BSU78" s="461"/>
      <c r="BSV78" s="448"/>
      <c r="BSW78" s="456"/>
      <c r="BSX78" s="449"/>
      <c r="BSY78" s="450"/>
      <c r="BSZ78" s="452"/>
      <c r="BTA78" s="448"/>
      <c r="BTB78" s="456"/>
      <c r="BTC78" s="458"/>
      <c r="BTD78" s="458"/>
      <c r="BTF78" s="454"/>
      <c r="BTG78" s="450"/>
      <c r="BTH78" s="454"/>
      <c r="BTI78" s="448"/>
      <c r="BTJ78" s="449"/>
      <c r="BTK78" s="450"/>
      <c r="BTL78" s="447"/>
      <c r="BTM78" s="448"/>
      <c r="BTN78" s="449"/>
      <c r="BTO78" s="450"/>
      <c r="BTP78" s="447"/>
      <c r="BTQ78" s="451"/>
      <c r="BTR78" s="449"/>
      <c r="BTS78" s="450"/>
      <c r="BTT78" s="447"/>
      <c r="BTU78" s="451"/>
      <c r="BTV78" s="449"/>
      <c r="BTW78" s="450"/>
      <c r="BTX78" s="447"/>
      <c r="BTY78" s="451"/>
      <c r="BTZ78" s="449"/>
      <c r="BUA78" s="450"/>
      <c r="BUB78" s="452"/>
      <c r="BUC78" s="451"/>
      <c r="BUD78" s="449"/>
      <c r="BUE78" s="450"/>
      <c r="BUF78" s="447"/>
      <c r="BUG78" s="448"/>
      <c r="BUH78" s="453"/>
      <c r="BUI78" s="449"/>
      <c r="BUJ78" s="450"/>
      <c r="BUK78" s="454"/>
      <c r="BUL78" s="448"/>
      <c r="BUN78" s="449"/>
      <c r="BUO78" s="450"/>
      <c r="BUP78" s="452"/>
      <c r="BUQ78" s="448"/>
      <c r="BUS78" s="449"/>
      <c r="BUT78" s="450"/>
      <c r="BUU78" s="447"/>
      <c r="BUV78" s="448"/>
      <c r="BUX78" s="449"/>
      <c r="BUY78" s="450"/>
      <c r="BUZ78" s="452"/>
      <c r="BVA78" s="448"/>
      <c r="BVB78" s="449"/>
      <c r="BVC78" s="450"/>
      <c r="BVD78" s="452"/>
      <c r="BVE78" s="448"/>
      <c r="BVF78" s="455"/>
      <c r="BVG78" s="449"/>
      <c r="BVH78" s="450"/>
      <c r="BVI78" s="459"/>
      <c r="BVJ78" s="448"/>
      <c r="BVK78" s="456"/>
      <c r="BVL78" s="449"/>
      <c r="BVM78" s="450"/>
      <c r="BVN78" s="452"/>
      <c r="BVO78" s="448"/>
      <c r="BVP78" s="449"/>
      <c r="BVQ78" s="450"/>
      <c r="BVR78" s="452"/>
      <c r="BVS78" s="448"/>
      <c r="BVT78" s="449"/>
      <c r="BVU78" s="450"/>
      <c r="BVV78" s="447"/>
      <c r="BVW78" s="448"/>
      <c r="BVX78" s="457"/>
      <c r="BVY78" s="460"/>
      <c r="BVZ78" s="450"/>
      <c r="BWA78" s="461"/>
      <c r="BWB78" s="448"/>
      <c r="BWC78" s="456"/>
      <c r="BWD78" s="449"/>
      <c r="BWE78" s="450"/>
      <c r="BWF78" s="452"/>
      <c r="BWG78" s="448"/>
      <c r="BWH78" s="456"/>
      <c r="BWI78" s="458"/>
      <c r="BWJ78" s="458"/>
      <c r="BWL78" s="454"/>
      <c r="BWM78" s="450"/>
      <c r="BWN78" s="454"/>
      <c r="BWO78" s="448"/>
      <c r="BWP78" s="449"/>
      <c r="BWQ78" s="450"/>
      <c r="BWR78" s="447"/>
      <c r="BWS78" s="448"/>
      <c r="BWT78" s="449"/>
      <c r="BWU78" s="450"/>
      <c r="BWV78" s="447"/>
      <c r="BWW78" s="451"/>
      <c r="BWX78" s="449"/>
      <c r="BWY78" s="450"/>
      <c r="BWZ78" s="447"/>
      <c r="BXA78" s="451"/>
      <c r="BXB78" s="449"/>
      <c r="BXC78" s="450"/>
      <c r="BXD78" s="447"/>
      <c r="BXE78" s="451"/>
      <c r="BXF78" s="449"/>
      <c r="BXG78" s="450"/>
      <c r="BXH78" s="452"/>
      <c r="BXI78" s="451"/>
      <c r="BXJ78" s="449"/>
      <c r="BXK78" s="450"/>
      <c r="BXL78" s="447"/>
      <c r="BXM78" s="448"/>
      <c r="BXN78" s="453"/>
      <c r="BXO78" s="449"/>
      <c r="BXP78" s="450"/>
      <c r="BXQ78" s="454"/>
      <c r="BXR78" s="448"/>
      <c r="BXT78" s="449"/>
      <c r="BXU78" s="450"/>
      <c r="BXV78" s="452"/>
      <c r="BXW78" s="448"/>
      <c r="BXY78" s="449"/>
      <c r="BXZ78" s="450"/>
      <c r="BYA78" s="447"/>
      <c r="BYB78" s="448"/>
      <c r="BYD78" s="449"/>
      <c r="BYE78" s="450"/>
      <c r="BYF78" s="452"/>
      <c r="BYG78" s="448"/>
      <c r="BYH78" s="449"/>
      <c r="BYI78" s="450"/>
      <c r="BYJ78" s="452"/>
      <c r="BYK78" s="448"/>
      <c r="BYL78" s="455"/>
      <c r="BYM78" s="449"/>
      <c r="BYN78" s="450"/>
      <c r="BYO78" s="459"/>
      <c r="BYP78" s="448"/>
      <c r="BYQ78" s="456"/>
      <c r="BYR78" s="449"/>
      <c r="BYS78" s="450"/>
      <c r="BYT78" s="452"/>
      <c r="BYU78" s="448"/>
      <c r="BYV78" s="449"/>
      <c r="BYW78" s="450"/>
      <c r="BYX78" s="452"/>
      <c r="BYY78" s="448"/>
      <c r="BYZ78" s="449"/>
      <c r="BZA78" s="450"/>
      <c r="BZB78" s="447"/>
      <c r="BZC78" s="448"/>
      <c r="BZD78" s="457"/>
      <c r="BZE78" s="460"/>
      <c r="BZF78" s="450"/>
      <c r="BZG78" s="461"/>
      <c r="BZH78" s="448"/>
      <c r="BZI78" s="456"/>
      <c r="BZJ78" s="449"/>
      <c r="BZK78" s="450"/>
      <c r="BZL78" s="452"/>
      <c r="BZM78" s="448"/>
      <c r="BZN78" s="456"/>
      <c r="BZO78" s="458"/>
      <c r="BZP78" s="458"/>
      <c r="BZR78" s="454"/>
      <c r="BZS78" s="450"/>
      <c r="BZT78" s="454"/>
      <c r="BZU78" s="448"/>
      <c r="BZV78" s="449"/>
      <c r="BZW78" s="450"/>
      <c r="BZX78" s="447"/>
      <c r="BZY78" s="448"/>
      <c r="BZZ78" s="449"/>
      <c r="CAA78" s="450"/>
      <c r="CAB78" s="447"/>
      <c r="CAC78" s="451"/>
      <c r="CAD78" s="449"/>
      <c r="CAE78" s="450"/>
      <c r="CAF78" s="447"/>
      <c r="CAG78" s="451"/>
      <c r="CAH78" s="449"/>
      <c r="CAI78" s="450"/>
      <c r="CAJ78" s="447"/>
      <c r="CAK78" s="451"/>
      <c r="CAL78" s="449"/>
      <c r="CAM78" s="450"/>
      <c r="CAN78" s="452"/>
      <c r="CAO78" s="451"/>
      <c r="CAP78" s="449"/>
      <c r="CAQ78" s="450"/>
      <c r="CAR78" s="447"/>
      <c r="CAS78" s="448"/>
      <c r="CAT78" s="453"/>
      <c r="CAU78" s="449"/>
      <c r="CAV78" s="450"/>
      <c r="CAW78" s="454"/>
      <c r="CAX78" s="448"/>
      <c r="CAZ78" s="449"/>
      <c r="CBA78" s="450"/>
      <c r="CBB78" s="452"/>
      <c r="CBC78" s="448"/>
      <c r="CBE78" s="449"/>
      <c r="CBF78" s="450"/>
      <c r="CBG78" s="447"/>
      <c r="CBH78" s="448"/>
      <c r="CBJ78" s="449"/>
      <c r="CBK78" s="450"/>
      <c r="CBL78" s="452"/>
      <c r="CBM78" s="448"/>
      <c r="CBN78" s="449"/>
      <c r="CBO78" s="450"/>
      <c r="CBP78" s="452"/>
      <c r="CBQ78" s="448"/>
      <c r="CBR78" s="455"/>
      <c r="CBS78" s="449"/>
      <c r="CBT78" s="450"/>
      <c r="CBU78" s="459"/>
      <c r="CBV78" s="448"/>
      <c r="CBW78" s="456"/>
      <c r="CBX78" s="449"/>
      <c r="CBY78" s="450"/>
      <c r="CBZ78" s="452"/>
      <c r="CCA78" s="448"/>
      <c r="CCB78" s="449"/>
      <c r="CCC78" s="450"/>
      <c r="CCD78" s="452"/>
      <c r="CCE78" s="448"/>
      <c r="CCF78" s="449"/>
      <c r="CCG78" s="450"/>
      <c r="CCH78" s="447"/>
      <c r="CCI78" s="448"/>
      <c r="CCJ78" s="457"/>
      <c r="CCK78" s="460"/>
      <c r="CCL78" s="450"/>
      <c r="CCM78" s="461"/>
      <c r="CCN78" s="448"/>
      <c r="CCO78" s="456"/>
      <c r="CCP78" s="449"/>
      <c r="CCQ78" s="450"/>
      <c r="CCR78" s="452"/>
      <c r="CCS78" s="448"/>
      <c r="CCT78" s="456"/>
      <c r="CCU78" s="458"/>
      <c r="CCV78" s="458"/>
      <c r="CCX78" s="454"/>
      <c r="CCY78" s="450"/>
      <c r="CCZ78" s="454"/>
      <c r="CDA78" s="448"/>
      <c r="CDB78" s="449"/>
      <c r="CDC78" s="450"/>
      <c r="CDD78" s="447"/>
      <c r="CDE78" s="448"/>
      <c r="CDF78" s="449"/>
      <c r="CDG78" s="450"/>
      <c r="CDH78" s="447"/>
      <c r="CDI78" s="451"/>
      <c r="CDJ78" s="449"/>
      <c r="CDK78" s="450"/>
      <c r="CDL78" s="447"/>
      <c r="CDM78" s="451"/>
      <c r="CDN78" s="449"/>
      <c r="CDO78" s="450"/>
      <c r="CDP78" s="447"/>
      <c r="CDQ78" s="451"/>
      <c r="CDR78" s="449"/>
      <c r="CDS78" s="450"/>
      <c r="CDT78" s="452"/>
      <c r="CDU78" s="451"/>
      <c r="CDV78" s="449"/>
      <c r="CDW78" s="450"/>
      <c r="CDX78" s="447"/>
      <c r="CDY78" s="448"/>
      <c r="CDZ78" s="453"/>
      <c r="CEA78" s="449"/>
      <c r="CEB78" s="450"/>
      <c r="CEC78" s="454"/>
      <c r="CED78" s="448"/>
      <c r="CEF78" s="449"/>
      <c r="CEG78" s="450"/>
      <c r="CEH78" s="452"/>
      <c r="CEI78" s="448"/>
      <c r="CEK78" s="449"/>
      <c r="CEL78" s="450"/>
      <c r="CEM78" s="447"/>
      <c r="CEN78" s="448"/>
      <c r="CEP78" s="449"/>
      <c r="CEQ78" s="450"/>
      <c r="CER78" s="452"/>
      <c r="CES78" s="448"/>
      <c r="CET78" s="449"/>
      <c r="CEU78" s="450"/>
      <c r="CEV78" s="452"/>
      <c r="CEW78" s="448"/>
      <c r="CEX78" s="455"/>
      <c r="CEY78" s="449"/>
      <c r="CEZ78" s="450"/>
      <c r="CFA78" s="459"/>
      <c r="CFB78" s="448"/>
      <c r="CFC78" s="456"/>
      <c r="CFD78" s="449"/>
      <c r="CFE78" s="450"/>
      <c r="CFF78" s="452"/>
      <c r="CFG78" s="448"/>
      <c r="CFH78" s="449"/>
      <c r="CFI78" s="450"/>
      <c r="CFJ78" s="452"/>
      <c r="CFK78" s="448"/>
      <c r="CFL78" s="449"/>
      <c r="CFM78" s="450"/>
      <c r="CFN78" s="447"/>
      <c r="CFO78" s="448"/>
      <c r="CFP78" s="457"/>
      <c r="CFQ78" s="460"/>
      <c r="CFR78" s="450"/>
      <c r="CFS78" s="461"/>
      <c r="CFT78" s="448"/>
      <c r="CFU78" s="456"/>
      <c r="CFV78" s="449"/>
      <c r="CFW78" s="450"/>
      <c r="CFX78" s="452"/>
      <c r="CFY78" s="448"/>
      <c r="CFZ78" s="456"/>
      <c r="CGA78" s="458"/>
      <c r="CGB78" s="458"/>
      <c r="CGD78" s="454"/>
      <c r="CGE78" s="450"/>
      <c r="CGF78" s="454"/>
      <c r="CGG78" s="448"/>
      <c r="CGH78" s="449"/>
      <c r="CGI78" s="450"/>
      <c r="CGJ78" s="447"/>
      <c r="CGK78" s="448"/>
      <c r="CGL78" s="449"/>
      <c r="CGM78" s="450"/>
      <c r="CGN78" s="447"/>
      <c r="CGO78" s="451"/>
      <c r="CGP78" s="449"/>
      <c r="CGQ78" s="450"/>
      <c r="CGR78" s="447"/>
      <c r="CGS78" s="451"/>
      <c r="CGT78" s="449"/>
      <c r="CGU78" s="450"/>
      <c r="CGV78" s="447"/>
      <c r="CGW78" s="451"/>
      <c r="CGX78" s="449"/>
      <c r="CGY78" s="450"/>
      <c r="CGZ78" s="452"/>
      <c r="CHA78" s="451"/>
      <c r="CHB78" s="449"/>
      <c r="CHC78" s="450"/>
      <c r="CHD78" s="447"/>
      <c r="CHE78" s="448"/>
      <c r="CHF78" s="453"/>
      <c r="CHG78" s="449"/>
      <c r="CHH78" s="450"/>
      <c r="CHI78" s="454"/>
      <c r="CHJ78" s="448"/>
      <c r="CHL78" s="449"/>
      <c r="CHM78" s="450"/>
      <c r="CHN78" s="452"/>
      <c r="CHO78" s="448"/>
      <c r="CHQ78" s="449"/>
      <c r="CHR78" s="450"/>
      <c r="CHS78" s="447"/>
      <c r="CHT78" s="448"/>
      <c r="CHV78" s="449"/>
      <c r="CHW78" s="450"/>
      <c r="CHX78" s="452"/>
      <c r="CHY78" s="448"/>
      <c r="CHZ78" s="449"/>
      <c r="CIA78" s="450"/>
      <c r="CIB78" s="452"/>
      <c r="CIC78" s="448"/>
      <c r="CID78" s="455"/>
      <c r="CIE78" s="449"/>
      <c r="CIF78" s="450"/>
      <c r="CIG78" s="459"/>
      <c r="CIH78" s="448"/>
      <c r="CII78" s="456"/>
      <c r="CIJ78" s="449"/>
      <c r="CIK78" s="450"/>
      <c r="CIL78" s="452"/>
      <c r="CIM78" s="448"/>
      <c r="CIN78" s="449"/>
      <c r="CIO78" s="450"/>
      <c r="CIP78" s="452"/>
      <c r="CIQ78" s="448"/>
      <c r="CIR78" s="449"/>
      <c r="CIS78" s="450"/>
      <c r="CIT78" s="447"/>
      <c r="CIU78" s="448"/>
      <c r="CIV78" s="457"/>
      <c r="CIW78" s="460"/>
      <c r="CIX78" s="450"/>
      <c r="CIY78" s="461"/>
      <c r="CIZ78" s="448"/>
      <c r="CJA78" s="456"/>
      <c r="CJB78" s="449"/>
      <c r="CJC78" s="450"/>
      <c r="CJD78" s="452"/>
      <c r="CJE78" s="448"/>
      <c r="CJF78" s="456"/>
      <c r="CJG78" s="458"/>
      <c r="CJH78" s="458"/>
      <c r="CJJ78" s="454"/>
      <c r="CJK78" s="450"/>
      <c r="CJL78" s="454"/>
      <c r="CJM78" s="448"/>
      <c r="CJN78" s="449"/>
      <c r="CJO78" s="450"/>
      <c r="CJP78" s="447"/>
      <c r="CJQ78" s="448"/>
      <c r="CJR78" s="449"/>
      <c r="CJS78" s="450"/>
      <c r="CJT78" s="447"/>
      <c r="CJU78" s="451"/>
      <c r="CJV78" s="449"/>
      <c r="CJW78" s="450"/>
      <c r="CJX78" s="447"/>
      <c r="CJY78" s="451"/>
      <c r="CJZ78" s="449"/>
      <c r="CKA78" s="450"/>
      <c r="CKB78" s="447"/>
      <c r="CKC78" s="451"/>
      <c r="CKD78" s="449"/>
      <c r="CKE78" s="450"/>
      <c r="CKF78" s="452"/>
      <c r="CKG78" s="451"/>
      <c r="CKH78" s="449"/>
      <c r="CKI78" s="450"/>
      <c r="CKJ78" s="447"/>
      <c r="CKK78" s="448"/>
      <c r="CKL78" s="453"/>
      <c r="CKM78" s="449"/>
      <c r="CKN78" s="450"/>
      <c r="CKO78" s="454"/>
      <c r="CKP78" s="448"/>
      <c r="CKR78" s="449"/>
      <c r="CKS78" s="450"/>
      <c r="CKT78" s="452"/>
      <c r="CKU78" s="448"/>
      <c r="CKW78" s="449"/>
      <c r="CKX78" s="450"/>
      <c r="CKY78" s="447"/>
      <c r="CKZ78" s="448"/>
      <c r="CLB78" s="449"/>
      <c r="CLC78" s="450"/>
      <c r="CLD78" s="452"/>
      <c r="CLE78" s="448"/>
      <c r="CLF78" s="449"/>
      <c r="CLG78" s="450"/>
      <c r="CLH78" s="452"/>
      <c r="CLI78" s="448"/>
      <c r="CLJ78" s="455"/>
      <c r="CLK78" s="449"/>
      <c r="CLL78" s="450"/>
      <c r="CLM78" s="459"/>
      <c r="CLN78" s="448"/>
      <c r="CLO78" s="456"/>
      <c r="CLP78" s="449"/>
      <c r="CLQ78" s="450"/>
      <c r="CLR78" s="452"/>
      <c r="CLS78" s="448"/>
      <c r="CLT78" s="449"/>
      <c r="CLU78" s="450"/>
      <c r="CLV78" s="452"/>
      <c r="CLW78" s="448"/>
      <c r="CLX78" s="449"/>
      <c r="CLY78" s="450"/>
      <c r="CLZ78" s="447"/>
      <c r="CMA78" s="448"/>
      <c r="CMB78" s="457"/>
      <c r="CMC78" s="460"/>
      <c r="CMD78" s="450"/>
      <c r="CME78" s="461"/>
      <c r="CMF78" s="448"/>
      <c r="CMG78" s="456"/>
      <c r="CMH78" s="449"/>
      <c r="CMI78" s="450"/>
      <c r="CMJ78" s="452"/>
      <c r="CMK78" s="448"/>
      <c r="CML78" s="456"/>
      <c r="CMM78" s="458"/>
      <c r="CMN78" s="458"/>
      <c r="CMP78" s="454"/>
      <c r="CMQ78" s="450"/>
      <c r="CMR78" s="454"/>
      <c r="CMS78" s="448"/>
      <c r="CMT78" s="449"/>
      <c r="CMU78" s="450"/>
      <c r="CMV78" s="447"/>
      <c r="CMW78" s="448"/>
      <c r="CMX78" s="449"/>
      <c r="CMY78" s="450"/>
      <c r="CMZ78" s="447"/>
      <c r="CNA78" s="451"/>
      <c r="CNB78" s="449"/>
      <c r="CNC78" s="450"/>
      <c r="CND78" s="447"/>
      <c r="CNE78" s="451"/>
      <c r="CNF78" s="449"/>
      <c r="CNG78" s="450"/>
      <c r="CNH78" s="447"/>
      <c r="CNI78" s="451"/>
      <c r="CNJ78" s="449"/>
      <c r="CNK78" s="450"/>
      <c r="CNL78" s="452"/>
      <c r="CNM78" s="451"/>
      <c r="CNN78" s="449"/>
      <c r="CNO78" s="450"/>
      <c r="CNP78" s="447"/>
      <c r="CNQ78" s="448"/>
      <c r="CNR78" s="453"/>
      <c r="CNS78" s="449"/>
      <c r="CNT78" s="450"/>
      <c r="CNU78" s="454"/>
      <c r="CNV78" s="448"/>
      <c r="CNX78" s="449"/>
      <c r="CNY78" s="450"/>
      <c r="CNZ78" s="452"/>
      <c r="COA78" s="448"/>
      <c r="COC78" s="449"/>
      <c r="COD78" s="450"/>
      <c r="COE78" s="447"/>
      <c r="COF78" s="448"/>
      <c r="COH78" s="449"/>
      <c r="COI78" s="450"/>
      <c r="COJ78" s="452"/>
      <c r="COK78" s="448"/>
      <c r="COL78" s="449"/>
      <c r="COM78" s="450"/>
      <c r="CON78" s="452"/>
      <c r="COO78" s="448"/>
      <c r="COP78" s="455"/>
      <c r="COQ78" s="449"/>
      <c r="COR78" s="450"/>
      <c r="COS78" s="459"/>
      <c r="COT78" s="448"/>
      <c r="COU78" s="456"/>
      <c r="COV78" s="449"/>
      <c r="COW78" s="450"/>
      <c r="COX78" s="452"/>
      <c r="COY78" s="448"/>
      <c r="COZ78" s="449"/>
      <c r="CPA78" s="450"/>
      <c r="CPB78" s="452"/>
      <c r="CPC78" s="448"/>
      <c r="CPD78" s="449"/>
      <c r="CPE78" s="450"/>
      <c r="CPF78" s="447"/>
      <c r="CPG78" s="448"/>
      <c r="CPH78" s="457"/>
      <c r="CPI78" s="460"/>
      <c r="CPJ78" s="450"/>
      <c r="CPK78" s="461"/>
      <c r="CPL78" s="448"/>
      <c r="CPM78" s="456"/>
      <c r="CPN78" s="449"/>
      <c r="CPO78" s="450"/>
      <c r="CPP78" s="452"/>
      <c r="CPQ78" s="448"/>
      <c r="CPR78" s="456"/>
      <c r="CPS78" s="458"/>
      <c r="CPT78" s="458"/>
      <c r="CPV78" s="454"/>
      <c r="CPW78" s="450"/>
      <c r="CPX78" s="454"/>
      <c r="CPY78" s="448"/>
      <c r="CPZ78" s="449"/>
      <c r="CQA78" s="450"/>
      <c r="CQB78" s="447"/>
      <c r="CQC78" s="448"/>
      <c r="CQD78" s="449"/>
      <c r="CQE78" s="450"/>
      <c r="CQF78" s="447"/>
      <c r="CQG78" s="451"/>
      <c r="CQH78" s="449"/>
      <c r="CQI78" s="450"/>
      <c r="CQJ78" s="447"/>
      <c r="CQK78" s="451"/>
      <c r="CQL78" s="449"/>
      <c r="CQM78" s="450"/>
      <c r="CQN78" s="447"/>
      <c r="CQO78" s="451"/>
      <c r="CQP78" s="449"/>
      <c r="CQQ78" s="450"/>
      <c r="CQR78" s="452"/>
      <c r="CQS78" s="451"/>
      <c r="CQT78" s="449"/>
      <c r="CQU78" s="450"/>
      <c r="CQV78" s="447"/>
      <c r="CQW78" s="448"/>
      <c r="CQX78" s="453"/>
      <c r="CQY78" s="449"/>
      <c r="CQZ78" s="450"/>
      <c r="CRA78" s="454"/>
      <c r="CRB78" s="448"/>
      <c r="CRD78" s="449"/>
      <c r="CRE78" s="450"/>
      <c r="CRF78" s="452"/>
      <c r="CRG78" s="448"/>
      <c r="CRI78" s="449"/>
      <c r="CRJ78" s="450"/>
      <c r="CRK78" s="447"/>
      <c r="CRL78" s="448"/>
      <c r="CRN78" s="449"/>
      <c r="CRO78" s="450"/>
      <c r="CRP78" s="452"/>
      <c r="CRQ78" s="448"/>
      <c r="CRR78" s="449"/>
      <c r="CRS78" s="450"/>
      <c r="CRT78" s="452"/>
      <c r="CRU78" s="448"/>
      <c r="CRV78" s="455"/>
      <c r="CRW78" s="449"/>
      <c r="CRX78" s="450"/>
      <c r="CRY78" s="459"/>
      <c r="CRZ78" s="448"/>
      <c r="CSA78" s="456"/>
      <c r="CSB78" s="449"/>
      <c r="CSC78" s="450"/>
      <c r="CSD78" s="452"/>
      <c r="CSE78" s="448"/>
      <c r="CSF78" s="449"/>
      <c r="CSG78" s="450"/>
      <c r="CSH78" s="452"/>
      <c r="CSI78" s="448"/>
      <c r="CSJ78" s="449"/>
      <c r="CSK78" s="450"/>
      <c r="CSL78" s="447"/>
      <c r="CSM78" s="448"/>
      <c r="CSN78" s="457"/>
      <c r="CSO78" s="460"/>
      <c r="CSP78" s="450"/>
      <c r="CSQ78" s="461"/>
      <c r="CSR78" s="448"/>
      <c r="CSS78" s="456"/>
      <c r="CST78" s="449"/>
      <c r="CSU78" s="450"/>
      <c r="CSV78" s="452"/>
      <c r="CSW78" s="448"/>
      <c r="CSX78" s="456"/>
      <c r="CSY78" s="458"/>
      <c r="CSZ78" s="458"/>
      <c r="CTB78" s="454"/>
      <c r="CTC78" s="450"/>
      <c r="CTD78" s="454"/>
      <c r="CTE78" s="448"/>
      <c r="CTF78" s="449"/>
      <c r="CTG78" s="450"/>
      <c r="CTH78" s="447"/>
      <c r="CTI78" s="448"/>
      <c r="CTJ78" s="449"/>
      <c r="CTK78" s="450"/>
      <c r="CTL78" s="447"/>
      <c r="CTM78" s="451"/>
      <c r="CTN78" s="449"/>
      <c r="CTO78" s="450"/>
      <c r="CTP78" s="447"/>
      <c r="CTQ78" s="451"/>
      <c r="CTR78" s="449"/>
      <c r="CTS78" s="450"/>
      <c r="CTT78" s="447"/>
      <c r="CTU78" s="451"/>
      <c r="CTV78" s="449"/>
      <c r="CTW78" s="450"/>
      <c r="CTX78" s="452"/>
      <c r="CTY78" s="451"/>
      <c r="CTZ78" s="449"/>
      <c r="CUA78" s="450"/>
      <c r="CUB78" s="447"/>
      <c r="CUC78" s="448"/>
      <c r="CUD78" s="453"/>
      <c r="CUE78" s="449"/>
      <c r="CUF78" s="450"/>
      <c r="CUG78" s="454"/>
      <c r="CUH78" s="448"/>
      <c r="CUJ78" s="449"/>
      <c r="CUK78" s="450"/>
      <c r="CUL78" s="452"/>
      <c r="CUM78" s="448"/>
      <c r="CUO78" s="449"/>
      <c r="CUP78" s="450"/>
      <c r="CUQ78" s="447"/>
      <c r="CUR78" s="448"/>
      <c r="CUT78" s="449"/>
      <c r="CUU78" s="450"/>
      <c r="CUV78" s="452"/>
      <c r="CUW78" s="448"/>
      <c r="CUX78" s="449"/>
      <c r="CUY78" s="450"/>
      <c r="CUZ78" s="452"/>
      <c r="CVA78" s="448"/>
      <c r="CVB78" s="455"/>
      <c r="CVC78" s="449"/>
      <c r="CVD78" s="450"/>
      <c r="CVE78" s="459"/>
      <c r="CVF78" s="448"/>
      <c r="CVG78" s="456"/>
      <c r="CVH78" s="449"/>
      <c r="CVI78" s="450"/>
      <c r="CVJ78" s="452"/>
      <c r="CVK78" s="448"/>
      <c r="CVL78" s="449"/>
      <c r="CVM78" s="450"/>
      <c r="CVN78" s="452"/>
      <c r="CVO78" s="448"/>
      <c r="CVP78" s="449"/>
      <c r="CVQ78" s="450"/>
      <c r="CVR78" s="447"/>
      <c r="CVS78" s="448"/>
      <c r="CVT78" s="457"/>
      <c r="CVU78" s="460"/>
      <c r="CVV78" s="450"/>
      <c r="CVW78" s="461"/>
      <c r="CVX78" s="448"/>
      <c r="CVY78" s="456"/>
      <c r="CVZ78" s="449"/>
      <c r="CWA78" s="450"/>
      <c r="CWB78" s="452"/>
      <c r="CWC78" s="448"/>
      <c r="CWD78" s="456"/>
      <c r="CWE78" s="458"/>
      <c r="CWF78" s="458"/>
      <c r="CWH78" s="454"/>
      <c r="CWI78" s="450"/>
      <c r="CWJ78" s="454"/>
      <c r="CWK78" s="448"/>
      <c r="CWL78" s="449"/>
      <c r="CWM78" s="450"/>
      <c r="CWN78" s="447"/>
      <c r="CWO78" s="448"/>
      <c r="CWP78" s="449"/>
      <c r="CWQ78" s="450"/>
      <c r="CWR78" s="447"/>
      <c r="CWS78" s="451"/>
      <c r="CWT78" s="449"/>
      <c r="CWU78" s="450"/>
      <c r="CWV78" s="447"/>
      <c r="CWW78" s="451"/>
      <c r="CWX78" s="449"/>
      <c r="CWY78" s="450"/>
      <c r="CWZ78" s="447"/>
      <c r="CXA78" s="451"/>
      <c r="CXB78" s="449"/>
      <c r="CXC78" s="450"/>
      <c r="CXD78" s="452"/>
      <c r="CXE78" s="451"/>
      <c r="CXF78" s="449"/>
      <c r="CXG78" s="450"/>
      <c r="CXH78" s="447"/>
      <c r="CXI78" s="448"/>
      <c r="CXJ78" s="453"/>
      <c r="CXK78" s="449"/>
      <c r="CXL78" s="450"/>
      <c r="CXM78" s="454"/>
      <c r="CXN78" s="448"/>
      <c r="CXP78" s="449"/>
      <c r="CXQ78" s="450"/>
      <c r="CXR78" s="452"/>
      <c r="CXS78" s="448"/>
      <c r="CXU78" s="449"/>
      <c r="CXV78" s="450"/>
      <c r="CXW78" s="447"/>
      <c r="CXX78" s="448"/>
      <c r="CXZ78" s="449"/>
      <c r="CYA78" s="450"/>
      <c r="CYB78" s="452"/>
      <c r="CYC78" s="448"/>
      <c r="CYD78" s="449"/>
      <c r="CYE78" s="450"/>
      <c r="CYF78" s="452"/>
      <c r="CYG78" s="448"/>
      <c r="CYH78" s="455"/>
      <c r="CYI78" s="449"/>
      <c r="CYJ78" s="450"/>
      <c r="CYK78" s="459"/>
      <c r="CYL78" s="448"/>
      <c r="CYM78" s="456"/>
      <c r="CYN78" s="449"/>
      <c r="CYO78" s="450"/>
      <c r="CYP78" s="452"/>
      <c r="CYQ78" s="448"/>
      <c r="CYR78" s="449"/>
      <c r="CYS78" s="450"/>
      <c r="CYT78" s="452"/>
      <c r="CYU78" s="448"/>
      <c r="CYV78" s="449"/>
      <c r="CYW78" s="450"/>
      <c r="CYX78" s="447"/>
      <c r="CYY78" s="448"/>
      <c r="CYZ78" s="457"/>
      <c r="CZA78" s="460"/>
      <c r="CZB78" s="450"/>
      <c r="CZC78" s="461"/>
      <c r="CZD78" s="448"/>
      <c r="CZE78" s="456"/>
      <c r="CZF78" s="449"/>
      <c r="CZG78" s="450"/>
      <c r="CZH78" s="452"/>
      <c r="CZI78" s="448"/>
      <c r="CZJ78" s="456"/>
      <c r="CZK78" s="458"/>
      <c r="CZL78" s="458"/>
      <c r="CZN78" s="454"/>
      <c r="CZO78" s="450"/>
      <c r="CZP78" s="454"/>
      <c r="CZQ78" s="448"/>
      <c r="CZR78" s="449"/>
      <c r="CZS78" s="450"/>
      <c r="CZT78" s="447"/>
      <c r="CZU78" s="448"/>
      <c r="CZV78" s="449"/>
      <c r="CZW78" s="450"/>
      <c r="CZX78" s="447"/>
      <c r="CZY78" s="451"/>
      <c r="CZZ78" s="449"/>
      <c r="DAA78" s="450"/>
      <c r="DAB78" s="447"/>
      <c r="DAC78" s="451"/>
      <c r="DAD78" s="449"/>
      <c r="DAE78" s="450"/>
      <c r="DAF78" s="447"/>
      <c r="DAG78" s="451"/>
      <c r="DAH78" s="449"/>
      <c r="DAI78" s="450"/>
      <c r="DAJ78" s="452"/>
      <c r="DAK78" s="451"/>
      <c r="DAL78" s="449"/>
      <c r="DAM78" s="450"/>
      <c r="DAN78" s="447"/>
      <c r="DAO78" s="448"/>
      <c r="DAP78" s="453"/>
      <c r="DAQ78" s="449"/>
      <c r="DAR78" s="450"/>
      <c r="DAS78" s="454"/>
      <c r="DAT78" s="448"/>
      <c r="DAV78" s="449"/>
      <c r="DAW78" s="450"/>
      <c r="DAX78" s="452"/>
      <c r="DAY78" s="448"/>
      <c r="DBA78" s="449"/>
      <c r="DBB78" s="450"/>
      <c r="DBC78" s="447"/>
      <c r="DBD78" s="448"/>
      <c r="DBF78" s="449"/>
      <c r="DBG78" s="450"/>
      <c r="DBH78" s="452"/>
      <c r="DBI78" s="448"/>
      <c r="DBJ78" s="449"/>
      <c r="DBK78" s="450"/>
      <c r="DBL78" s="452"/>
      <c r="DBM78" s="448"/>
      <c r="DBN78" s="455"/>
      <c r="DBO78" s="449"/>
      <c r="DBP78" s="450"/>
      <c r="DBQ78" s="459"/>
      <c r="DBR78" s="448"/>
      <c r="DBS78" s="456"/>
      <c r="DBT78" s="449"/>
      <c r="DBU78" s="450"/>
      <c r="DBV78" s="452"/>
      <c r="DBW78" s="448"/>
      <c r="DBX78" s="449"/>
      <c r="DBY78" s="450"/>
      <c r="DBZ78" s="452"/>
      <c r="DCA78" s="448"/>
      <c r="DCB78" s="449"/>
      <c r="DCC78" s="450"/>
      <c r="DCD78" s="447"/>
      <c r="DCE78" s="448"/>
      <c r="DCF78" s="457"/>
      <c r="DCG78" s="460"/>
      <c r="DCH78" s="450"/>
      <c r="DCI78" s="461"/>
      <c r="DCJ78" s="448"/>
      <c r="DCK78" s="456"/>
      <c r="DCL78" s="449"/>
      <c r="DCM78" s="450"/>
      <c r="DCN78" s="452"/>
      <c r="DCO78" s="448"/>
      <c r="DCP78" s="456"/>
      <c r="DCQ78" s="458"/>
      <c r="DCR78" s="458"/>
      <c r="DCT78" s="454"/>
      <c r="DCU78" s="450"/>
      <c r="DCV78" s="454"/>
      <c r="DCW78" s="448"/>
      <c r="DCX78" s="449"/>
      <c r="DCY78" s="450"/>
      <c r="DCZ78" s="447"/>
      <c r="DDA78" s="448"/>
      <c r="DDB78" s="449"/>
      <c r="DDC78" s="450"/>
      <c r="DDD78" s="447"/>
      <c r="DDE78" s="451"/>
      <c r="DDF78" s="449"/>
      <c r="DDG78" s="450"/>
      <c r="DDH78" s="447"/>
      <c r="DDI78" s="451"/>
      <c r="DDJ78" s="449"/>
      <c r="DDK78" s="450"/>
      <c r="DDL78" s="447"/>
      <c r="DDM78" s="451"/>
      <c r="DDN78" s="449"/>
      <c r="DDO78" s="450"/>
      <c r="DDP78" s="452"/>
      <c r="DDQ78" s="451"/>
      <c r="DDR78" s="449"/>
      <c r="DDS78" s="450"/>
      <c r="DDT78" s="447"/>
      <c r="DDU78" s="448"/>
      <c r="DDV78" s="453"/>
      <c r="DDW78" s="449"/>
      <c r="DDX78" s="450"/>
      <c r="DDY78" s="454"/>
      <c r="DDZ78" s="448"/>
      <c r="DEB78" s="449"/>
      <c r="DEC78" s="450"/>
      <c r="DED78" s="452"/>
      <c r="DEE78" s="448"/>
      <c r="DEG78" s="449"/>
      <c r="DEH78" s="450"/>
      <c r="DEI78" s="447"/>
      <c r="DEJ78" s="448"/>
      <c r="DEL78" s="449"/>
      <c r="DEM78" s="450"/>
      <c r="DEN78" s="452"/>
      <c r="DEO78" s="448"/>
      <c r="DEP78" s="449"/>
      <c r="DEQ78" s="450"/>
      <c r="DER78" s="452"/>
      <c r="DES78" s="448"/>
      <c r="DET78" s="455"/>
      <c r="DEU78" s="449"/>
      <c r="DEV78" s="450"/>
      <c r="DEW78" s="459"/>
      <c r="DEX78" s="448"/>
      <c r="DEY78" s="456"/>
      <c r="DEZ78" s="449"/>
      <c r="DFA78" s="450"/>
      <c r="DFB78" s="452"/>
      <c r="DFC78" s="448"/>
      <c r="DFD78" s="449"/>
      <c r="DFE78" s="450"/>
      <c r="DFF78" s="452"/>
      <c r="DFG78" s="448"/>
      <c r="DFH78" s="449"/>
      <c r="DFI78" s="450"/>
      <c r="DFJ78" s="447"/>
      <c r="DFK78" s="448"/>
      <c r="DFL78" s="457"/>
      <c r="DFM78" s="460"/>
      <c r="DFN78" s="450"/>
      <c r="DFO78" s="461"/>
      <c r="DFP78" s="448"/>
      <c r="DFQ78" s="456"/>
      <c r="DFR78" s="449"/>
      <c r="DFS78" s="450"/>
      <c r="DFT78" s="452"/>
      <c r="DFU78" s="448"/>
      <c r="DFV78" s="456"/>
      <c r="DFW78" s="458"/>
      <c r="DFX78" s="458"/>
      <c r="DFZ78" s="454"/>
      <c r="DGA78" s="450"/>
      <c r="DGB78" s="454"/>
      <c r="DGC78" s="448"/>
      <c r="DGD78" s="449"/>
      <c r="DGE78" s="450"/>
      <c r="DGF78" s="447"/>
      <c r="DGG78" s="448"/>
      <c r="DGH78" s="449"/>
      <c r="DGI78" s="450"/>
      <c r="DGJ78" s="447"/>
      <c r="DGK78" s="451"/>
      <c r="DGL78" s="449"/>
      <c r="DGM78" s="450"/>
      <c r="DGN78" s="447"/>
      <c r="DGO78" s="451"/>
      <c r="DGP78" s="449"/>
      <c r="DGQ78" s="450"/>
      <c r="DGR78" s="447"/>
      <c r="DGS78" s="451"/>
      <c r="DGT78" s="449"/>
      <c r="DGU78" s="450"/>
      <c r="DGV78" s="452"/>
      <c r="DGW78" s="451"/>
      <c r="DGX78" s="449"/>
      <c r="DGY78" s="450"/>
      <c r="DGZ78" s="447"/>
      <c r="DHA78" s="448"/>
      <c r="DHB78" s="453"/>
      <c r="DHC78" s="449"/>
      <c r="DHD78" s="450"/>
      <c r="DHE78" s="454"/>
      <c r="DHF78" s="448"/>
      <c r="DHH78" s="449"/>
      <c r="DHI78" s="450"/>
      <c r="DHJ78" s="452"/>
      <c r="DHK78" s="448"/>
      <c r="DHM78" s="449"/>
      <c r="DHN78" s="450"/>
      <c r="DHO78" s="447"/>
      <c r="DHP78" s="448"/>
      <c r="DHR78" s="449"/>
      <c r="DHS78" s="450"/>
      <c r="DHT78" s="452"/>
      <c r="DHU78" s="448"/>
      <c r="DHV78" s="449"/>
      <c r="DHW78" s="450"/>
      <c r="DHX78" s="452"/>
      <c r="DHY78" s="448"/>
      <c r="DHZ78" s="455"/>
      <c r="DIA78" s="449"/>
      <c r="DIB78" s="450"/>
      <c r="DIC78" s="459"/>
      <c r="DID78" s="448"/>
      <c r="DIE78" s="456"/>
      <c r="DIF78" s="449"/>
      <c r="DIG78" s="450"/>
      <c r="DIH78" s="452"/>
      <c r="DII78" s="448"/>
      <c r="DIJ78" s="449"/>
      <c r="DIK78" s="450"/>
      <c r="DIL78" s="452"/>
      <c r="DIM78" s="448"/>
      <c r="DIN78" s="449"/>
      <c r="DIO78" s="450"/>
      <c r="DIP78" s="447"/>
      <c r="DIQ78" s="448"/>
      <c r="DIR78" s="457"/>
      <c r="DIS78" s="460"/>
      <c r="DIT78" s="450"/>
      <c r="DIU78" s="461"/>
      <c r="DIV78" s="448"/>
      <c r="DIW78" s="456"/>
      <c r="DIX78" s="449"/>
      <c r="DIY78" s="450"/>
      <c r="DIZ78" s="452"/>
      <c r="DJA78" s="448"/>
      <c r="DJB78" s="456"/>
      <c r="DJC78" s="458"/>
      <c r="DJD78" s="458"/>
      <c r="DJF78" s="454"/>
      <c r="DJG78" s="450"/>
      <c r="DJH78" s="454"/>
      <c r="DJI78" s="448"/>
      <c r="DJJ78" s="449"/>
      <c r="DJK78" s="450"/>
      <c r="DJL78" s="447"/>
      <c r="DJM78" s="448"/>
      <c r="DJN78" s="449"/>
      <c r="DJO78" s="450"/>
      <c r="DJP78" s="447"/>
      <c r="DJQ78" s="451"/>
      <c r="DJR78" s="449"/>
      <c r="DJS78" s="450"/>
      <c r="DJT78" s="447"/>
      <c r="DJU78" s="451"/>
      <c r="DJV78" s="449"/>
      <c r="DJW78" s="450"/>
      <c r="DJX78" s="447"/>
      <c r="DJY78" s="451"/>
      <c r="DJZ78" s="449"/>
      <c r="DKA78" s="450"/>
      <c r="DKB78" s="452"/>
      <c r="DKC78" s="451"/>
      <c r="DKD78" s="449"/>
      <c r="DKE78" s="450"/>
      <c r="DKF78" s="447"/>
      <c r="DKG78" s="448"/>
      <c r="DKH78" s="453"/>
      <c r="DKI78" s="449"/>
      <c r="DKJ78" s="450"/>
      <c r="DKK78" s="454"/>
      <c r="DKL78" s="448"/>
      <c r="DKN78" s="449"/>
      <c r="DKO78" s="450"/>
      <c r="DKP78" s="452"/>
      <c r="DKQ78" s="448"/>
      <c r="DKS78" s="449"/>
      <c r="DKT78" s="450"/>
      <c r="DKU78" s="447"/>
      <c r="DKV78" s="448"/>
      <c r="DKX78" s="449"/>
      <c r="DKY78" s="450"/>
      <c r="DKZ78" s="452"/>
      <c r="DLA78" s="448"/>
      <c r="DLB78" s="449"/>
      <c r="DLC78" s="450"/>
      <c r="DLD78" s="452"/>
      <c r="DLE78" s="448"/>
      <c r="DLF78" s="455"/>
      <c r="DLG78" s="449"/>
      <c r="DLH78" s="450"/>
      <c r="DLI78" s="459"/>
      <c r="DLJ78" s="448"/>
      <c r="DLK78" s="456"/>
      <c r="DLL78" s="449"/>
      <c r="DLM78" s="450"/>
      <c r="DLN78" s="452"/>
      <c r="DLO78" s="448"/>
      <c r="DLP78" s="449"/>
      <c r="DLQ78" s="450"/>
      <c r="DLR78" s="452"/>
      <c r="DLS78" s="448"/>
      <c r="DLT78" s="449"/>
      <c r="DLU78" s="450"/>
      <c r="DLV78" s="447"/>
      <c r="DLW78" s="448"/>
      <c r="DLX78" s="457"/>
      <c r="DLY78" s="460"/>
      <c r="DLZ78" s="450"/>
      <c r="DMA78" s="461"/>
      <c r="DMB78" s="448"/>
      <c r="DMC78" s="456"/>
      <c r="DMD78" s="449"/>
      <c r="DME78" s="450"/>
      <c r="DMF78" s="452"/>
      <c r="DMG78" s="448"/>
      <c r="DMH78" s="456"/>
      <c r="DMI78" s="458"/>
      <c r="DMJ78" s="458"/>
      <c r="DML78" s="454"/>
      <c r="DMM78" s="450"/>
      <c r="DMN78" s="454"/>
      <c r="DMO78" s="448"/>
      <c r="DMP78" s="449"/>
      <c r="DMQ78" s="450"/>
      <c r="DMR78" s="447"/>
      <c r="DMS78" s="448"/>
      <c r="DMT78" s="449"/>
      <c r="DMU78" s="450"/>
      <c r="DMV78" s="447"/>
      <c r="DMW78" s="451"/>
      <c r="DMX78" s="449"/>
      <c r="DMY78" s="450"/>
      <c r="DMZ78" s="447"/>
      <c r="DNA78" s="451"/>
      <c r="DNB78" s="449"/>
      <c r="DNC78" s="450"/>
      <c r="DND78" s="447"/>
      <c r="DNE78" s="451"/>
      <c r="DNF78" s="449"/>
      <c r="DNG78" s="450"/>
      <c r="DNH78" s="452"/>
      <c r="DNI78" s="451"/>
      <c r="DNJ78" s="449"/>
      <c r="DNK78" s="450"/>
      <c r="DNL78" s="447"/>
      <c r="DNM78" s="448"/>
      <c r="DNN78" s="453"/>
      <c r="DNO78" s="449"/>
      <c r="DNP78" s="450"/>
      <c r="DNQ78" s="454"/>
      <c r="DNR78" s="448"/>
      <c r="DNT78" s="449"/>
      <c r="DNU78" s="450"/>
      <c r="DNV78" s="452"/>
      <c r="DNW78" s="448"/>
      <c r="DNY78" s="449"/>
      <c r="DNZ78" s="450"/>
      <c r="DOA78" s="447"/>
      <c r="DOB78" s="448"/>
      <c r="DOD78" s="449"/>
      <c r="DOE78" s="450"/>
      <c r="DOF78" s="452"/>
      <c r="DOG78" s="448"/>
      <c r="DOH78" s="449"/>
      <c r="DOI78" s="450"/>
      <c r="DOJ78" s="452"/>
      <c r="DOK78" s="448"/>
      <c r="DOL78" s="455"/>
      <c r="DOM78" s="449"/>
      <c r="DON78" s="450"/>
      <c r="DOO78" s="459"/>
      <c r="DOP78" s="448"/>
      <c r="DOQ78" s="456"/>
      <c r="DOR78" s="449"/>
      <c r="DOS78" s="450"/>
      <c r="DOT78" s="452"/>
      <c r="DOU78" s="448"/>
      <c r="DOV78" s="449"/>
      <c r="DOW78" s="450"/>
      <c r="DOX78" s="452"/>
      <c r="DOY78" s="448"/>
      <c r="DOZ78" s="449"/>
      <c r="DPA78" s="450"/>
      <c r="DPB78" s="447"/>
      <c r="DPC78" s="448"/>
      <c r="DPD78" s="457"/>
      <c r="DPE78" s="460"/>
      <c r="DPF78" s="450"/>
      <c r="DPG78" s="461"/>
      <c r="DPH78" s="448"/>
      <c r="DPI78" s="456"/>
      <c r="DPJ78" s="449"/>
      <c r="DPK78" s="450"/>
      <c r="DPL78" s="452"/>
      <c r="DPM78" s="448"/>
      <c r="DPN78" s="456"/>
      <c r="DPO78" s="458"/>
      <c r="DPP78" s="458"/>
      <c r="DPR78" s="454"/>
      <c r="DPS78" s="450"/>
      <c r="DPT78" s="454"/>
      <c r="DPU78" s="448"/>
      <c r="DPV78" s="449"/>
      <c r="DPW78" s="450"/>
      <c r="DPX78" s="447"/>
      <c r="DPY78" s="448"/>
      <c r="DPZ78" s="449"/>
      <c r="DQA78" s="450"/>
      <c r="DQB78" s="447"/>
      <c r="DQC78" s="451"/>
      <c r="DQD78" s="449"/>
      <c r="DQE78" s="450"/>
      <c r="DQF78" s="447"/>
      <c r="DQG78" s="451"/>
      <c r="DQH78" s="449"/>
      <c r="DQI78" s="450"/>
      <c r="DQJ78" s="447"/>
      <c r="DQK78" s="451"/>
      <c r="DQL78" s="449"/>
      <c r="DQM78" s="450"/>
      <c r="DQN78" s="452"/>
      <c r="DQO78" s="451"/>
      <c r="DQP78" s="449"/>
      <c r="DQQ78" s="450"/>
      <c r="DQR78" s="447"/>
      <c r="DQS78" s="448"/>
      <c r="DQT78" s="453"/>
      <c r="DQU78" s="449"/>
      <c r="DQV78" s="450"/>
      <c r="DQW78" s="454"/>
      <c r="DQX78" s="448"/>
      <c r="DQZ78" s="449"/>
      <c r="DRA78" s="450"/>
      <c r="DRB78" s="452"/>
      <c r="DRC78" s="448"/>
      <c r="DRE78" s="449"/>
      <c r="DRF78" s="450"/>
      <c r="DRG78" s="447"/>
      <c r="DRH78" s="448"/>
      <c r="DRJ78" s="449"/>
      <c r="DRK78" s="450"/>
      <c r="DRL78" s="452"/>
      <c r="DRM78" s="448"/>
      <c r="DRN78" s="449"/>
      <c r="DRO78" s="450"/>
      <c r="DRP78" s="452"/>
      <c r="DRQ78" s="448"/>
      <c r="DRR78" s="455"/>
      <c r="DRS78" s="449"/>
      <c r="DRT78" s="450"/>
      <c r="DRU78" s="459"/>
      <c r="DRV78" s="448"/>
      <c r="DRW78" s="456"/>
      <c r="DRX78" s="449"/>
      <c r="DRY78" s="450"/>
      <c r="DRZ78" s="452"/>
      <c r="DSA78" s="448"/>
      <c r="DSB78" s="449"/>
      <c r="DSC78" s="450"/>
      <c r="DSD78" s="452"/>
      <c r="DSE78" s="448"/>
      <c r="DSF78" s="449"/>
      <c r="DSG78" s="450"/>
      <c r="DSH78" s="447"/>
      <c r="DSI78" s="448"/>
      <c r="DSJ78" s="457"/>
      <c r="DSK78" s="460"/>
      <c r="DSL78" s="450"/>
      <c r="DSM78" s="461"/>
      <c r="DSN78" s="448"/>
      <c r="DSO78" s="456"/>
      <c r="DSP78" s="449"/>
      <c r="DSQ78" s="450"/>
      <c r="DSR78" s="452"/>
      <c r="DSS78" s="448"/>
      <c r="DST78" s="456"/>
      <c r="DSU78" s="458"/>
      <c r="DSV78" s="458"/>
      <c r="DSX78" s="454"/>
      <c r="DSY78" s="450"/>
      <c r="DSZ78" s="454"/>
      <c r="DTA78" s="448"/>
      <c r="DTB78" s="449"/>
      <c r="DTC78" s="450"/>
      <c r="DTD78" s="447"/>
      <c r="DTE78" s="448"/>
      <c r="DTF78" s="449"/>
      <c r="DTG78" s="450"/>
      <c r="DTH78" s="447"/>
      <c r="DTI78" s="451"/>
      <c r="DTJ78" s="449"/>
      <c r="DTK78" s="450"/>
      <c r="DTL78" s="447"/>
      <c r="DTM78" s="451"/>
      <c r="DTN78" s="449"/>
      <c r="DTO78" s="450"/>
      <c r="DTP78" s="447"/>
      <c r="DTQ78" s="451"/>
      <c r="DTR78" s="449"/>
      <c r="DTS78" s="450"/>
      <c r="DTT78" s="452"/>
      <c r="DTU78" s="451"/>
      <c r="DTV78" s="449"/>
      <c r="DTW78" s="450"/>
      <c r="DTX78" s="447"/>
      <c r="DTY78" s="448"/>
      <c r="DTZ78" s="453"/>
      <c r="DUA78" s="449"/>
      <c r="DUB78" s="450"/>
      <c r="DUC78" s="454"/>
      <c r="DUD78" s="448"/>
      <c r="DUF78" s="449"/>
      <c r="DUG78" s="450"/>
      <c r="DUH78" s="452"/>
      <c r="DUI78" s="448"/>
      <c r="DUK78" s="449"/>
      <c r="DUL78" s="450"/>
      <c r="DUM78" s="447"/>
      <c r="DUN78" s="448"/>
      <c r="DUP78" s="449"/>
      <c r="DUQ78" s="450"/>
      <c r="DUR78" s="452"/>
      <c r="DUS78" s="448"/>
      <c r="DUT78" s="449"/>
      <c r="DUU78" s="450"/>
      <c r="DUV78" s="452"/>
      <c r="DUW78" s="448"/>
      <c r="DUX78" s="455"/>
      <c r="DUY78" s="449"/>
      <c r="DUZ78" s="450"/>
      <c r="DVA78" s="459"/>
      <c r="DVB78" s="448"/>
      <c r="DVC78" s="456"/>
      <c r="DVD78" s="449"/>
      <c r="DVE78" s="450"/>
      <c r="DVF78" s="452"/>
      <c r="DVG78" s="448"/>
      <c r="DVH78" s="449"/>
      <c r="DVI78" s="450"/>
      <c r="DVJ78" s="452"/>
      <c r="DVK78" s="448"/>
      <c r="DVL78" s="449"/>
      <c r="DVM78" s="450"/>
      <c r="DVN78" s="447"/>
      <c r="DVO78" s="448"/>
      <c r="DVP78" s="457"/>
      <c r="DVQ78" s="460"/>
      <c r="DVR78" s="450"/>
      <c r="DVS78" s="461"/>
      <c r="DVT78" s="448"/>
      <c r="DVU78" s="456"/>
      <c r="DVV78" s="449"/>
      <c r="DVW78" s="450"/>
      <c r="DVX78" s="452"/>
      <c r="DVY78" s="448"/>
      <c r="DVZ78" s="456"/>
      <c r="DWA78" s="458"/>
      <c r="DWB78" s="458"/>
      <c r="DWD78" s="454"/>
      <c r="DWE78" s="450"/>
      <c r="DWF78" s="454"/>
      <c r="DWG78" s="448"/>
      <c r="DWH78" s="449"/>
      <c r="DWI78" s="450"/>
      <c r="DWJ78" s="447"/>
      <c r="DWK78" s="448"/>
      <c r="DWL78" s="449"/>
      <c r="DWM78" s="450"/>
      <c r="DWN78" s="447"/>
      <c r="DWO78" s="451"/>
      <c r="DWP78" s="449"/>
      <c r="DWQ78" s="450"/>
      <c r="DWR78" s="447"/>
      <c r="DWS78" s="451"/>
      <c r="DWT78" s="449"/>
      <c r="DWU78" s="450"/>
      <c r="DWV78" s="447"/>
      <c r="DWW78" s="451"/>
      <c r="DWX78" s="449"/>
      <c r="DWY78" s="450"/>
      <c r="DWZ78" s="452"/>
      <c r="DXA78" s="451"/>
      <c r="DXB78" s="449"/>
      <c r="DXC78" s="450"/>
      <c r="DXD78" s="447"/>
      <c r="DXE78" s="448"/>
      <c r="DXF78" s="453"/>
      <c r="DXG78" s="449"/>
      <c r="DXH78" s="450"/>
      <c r="DXI78" s="454"/>
      <c r="DXJ78" s="448"/>
      <c r="DXL78" s="449"/>
      <c r="DXM78" s="450"/>
      <c r="DXN78" s="452"/>
      <c r="DXO78" s="448"/>
      <c r="DXQ78" s="449"/>
      <c r="DXR78" s="450"/>
      <c r="DXS78" s="447"/>
      <c r="DXT78" s="448"/>
      <c r="DXV78" s="449"/>
      <c r="DXW78" s="450"/>
      <c r="DXX78" s="452"/>
      <c r="DXY78" s="448"/>
      <c r="DXZ78" s="449"/>
      <c r="DYA78" s="450"/>
      <c r="DYB78" s="452"/>
      <c r="DYC78" s="448"/>
      <c r="DYD78" s="455"/>
      <c r="DYE78" s="449"/>
      <c r="DYF78" s="450"/>
      <c r="DYG78" s="459"/>
      <c r="DYH78" s="448"/>
      <c r="DYI78" s="456"/>
      <c r="DYJ78" s="449"/>
      <c r="DYK78" s="450"/>
      <c r="DYL78" s="452"/>
      <c r="DYM78" s="448"/>
      <c r="DYN78" s="449"/>
      <c r="DYO78" s="450"/>
      <c r="DYP78" s="452"/>
      <c r="DYQ78" s="448"/>
      <c r="DYR78" s="449"/>
      <c r="DYS78" s="450"/>
      <c r="DYT78" s="447"/>
      <c r="DYU78" s="448"/>
      <c r="DYV78" s="457"/>
      <c r="DYW78" s="460"/>
      <c r="DYX78" s="450"/>
      <c r="DYY78" s="461"/>
      <c r="DYZ78" s="448"/>
      <c r="DZA78" s="456"/>
      <c r="DZB78" s="449"/>
      <c r="DZC78" s="450"/>
      <c r="DZD78" s="452"/>
      <c r="DZE78" s="448"/>
      <c r="DZF78" s="456"/>
      <c r="DZG78" s="458"/>
      <c r="DZH78" s="458"/>
      <c r="DZJ78" s="454"/>
      <c r="DZK78" s="450"/>
      <c r="DZL78" s="454"/>
      <c r="DZM78" s="448"/>
      <c r="DZN78" s="449"/>
      <c r="DZO78" s="450"/>
      <c r="DZP78" s="447"/>
      <c r="DZQ78" s="448"/>
      <c r="DZR78" s="449"/>
      <c r="DZS78" s="450"/>
      <c r="DZT78" s="447"/>
      <c r="DZU78" s="451"/>
      <c r="DZV78" s="449"/>
      <c r="DZW78" s="450"/>
      <c r="DZX78" s="447"/>
      <c r="DZY78" s="451"/>
      <c r="DZZ78" s="449"/>
      <c r="EAA78" s="450"/>
      <c r="EAB78" s="447"/>
      <c r="EAC78" s="451"/>
      <c r="EAD78" s="449"/>
      <c r="EAE78" s="450"/>
      <c r="EAF78" s="452"/>
      <c r="EAG78" s="451"/>
      <c r="EAH78" s="449"/>
      <c r="EAI78" s="450"/>
      <c r="EAJ78" s="447"/>
      <c r="EAK78" s="448"/>
      <c r="EAL78" s="453"/>
      <c r="EAM78" s="449"/>
      <c r="EAN78" s="450"/>
      <c r="EAO78" s="454"/>
      <c r="EAP78" s="448"/>
      <c r="EAR78" s="449"/>
      <c r="EAS78" s="450"/>
      <c r="EAT78" s="452"/>
      <c r="EAU78" s="448"/>
      <c r="EAW78" s="449"/>
      <c r="EAX78" s="450"/>
      <c r="EAY78" s="447"/>
      <c r="EAZ78" s="448"/>
      <c r="EBB78" s="449"/>
      <c r="EBC78" s="450"/>
      <c r="EBD78" s="452"/>
      <c r="EBE78" s="448"/>
      <c r="EBF78" s="449"/>
      <c r="EBG78" s="450"/>
      <c r="EBH78" s="452"/>
      <c r="EBI78" s="448"/>
      <c r="EBJ78" s="455"/>
      <c r="EBK78" s="449"/>
      <c r="EBL78" s="450"/>
      <c r="EBM78" s="459"/>
      <c r="EBN78" s="448"/>
      <c r="EBO78" s="456"/>
      <c r="EBP78" s="449"/>
      <c r="EBQ78" s="450"/>
      <c r="EBR78" s="452"/>
      <c r="EBS78" s="448"/>
      <c r="EBT78" s="449"/>
      <c r="EBU78" s="450"/>
      <c r="EBV78" s="452"/>
      <c r="EBW78" s="448"/>
      <c r="EBX78" s="449"/>
      <c r="EBY78" s="450"/>
      <c r="EBZ78" s="447"/>
      <c r="ECA78" s="448"/>
      <c r="ECB78" s="457"/>
      <c r="ECC78" s="460"/>
      <c r="ECD78" s="450"/>
      <c r="ECE78" s="461"/>
      <c r="ECF78" s="448"/>
      <c r="ECG78" s="456"/>
      <c r="ECH78" s="449"/>
      <c r="ECI78" s="450"/>
      <c r="ECJ78" s="452"/>
      <c r="ECK78" s="448"/>
      <c r="ECL78" s="456"/>
      <c r="ECM78" s="458"/>
      <c r="ECN78" s="458"/>
      <c r="ECP78" s="454"/>
      <c r="ECQ78" s="450"/>
      <c r="ECR78" s="454"/>
      <c r="ECS78" s="448"/>
      <c r="ECT78" s="449"/>
      <c r="ECU78" s="450"/>
      <c r="ECV78" s="447"/>
      <c r="ECW78" s="448"/>
      <c r="ECX78" s="449"/>
      <c r="ECY78" s="450"/>
      <c r="ECZ78" s="447"/>
      <c r="EDA78" s="451"/>
      <c r="EDB78" s="449"/>
      <c r="EDC78" s="450"/>
      <c r="EDD78" s="447"/>
      <c r="EDE78" s="451"/>
      <c r="EDF78" s="449"/>
      <c r="EDG78" s="450"/>
      <c r="EDH78" s="447"/>
      <c r="EDI78" s="451"/>
      <c r="EDJ78" s="449"/>
      <c r="EDK78" s="450"/>
      <c r="EDL78" s="452"/>
      <c r="EDM78" s="451"/>
      <c r="EDN78" s="449"/>
      <c r="EDO78" s="450"/>
      <c r="EDP78" s="447"/>
      <c r="EDQ78" s="448"/>
      <c r="EDR78" s="453"/>
      <c r="EDS78" s="449"/>
      <c r="EDT78" s="450"/>
      <c r="EDU78" s="454"/>
      <c r="EDV78" s="448"/>
      <c r="EDX78" s="449"/>
      <c r="EDY78" s="450"/>
      <c r="EDZ78" s="452"/>
      <c r="EEA78" s="448"/>
      <c r="EEC78" s="449"/>
      <c r="EED78" s="450"/>
      <c r="EEE78" s="447"/>
      <c r="EEF78" s="448"/>
      <c r="EEH78" s="449"/>
      <c r="EEI78" s="450"/>
      <c r="EEJ78" s="452"/>
      <c r="EEK78" s="448"/>
      <c r="EEL78" s="449"/>
      <c r="EEM78" s="450"/>
      <c r="EEN78" s="452"/>
      <c r="EEO78" s="448"/>
      <c r="EEP78" s="455"/>
      <c r="EEQ78" s="449"/>
      <c r="EER78" s="450"/>
      <c r="EES78" s="459"/>
      <c r="EET78" s="448"/>
      <c r="EEU78" s="456"/>
      <c r="EEV78" s="449"/>
      <c r="EEW78" s="450"/>
      <c r="EEX78" s="452"/>
      <c r="EEY78" s="448"/>
      <c r="EEZ78" s="449"/>
      <c r="EFA78" s="450"/>
      <c r="EFB78" s="452"/>
      <c r="EFC78" s="448"/>
      <c r="EFD78" s="449"/>
      <c r="EFE78" s="450"/>
      <c r="EFF78" s="447"/>
      <c r="EFG78" s="448"/>
      <c r="EFH78" s="457"/>
      <c r="EFI78" s="460"/>
      <c r="EFJ78" s="450"/>
      <c r="EFK78" s="461"/>
      <c r="EFL78" s="448"/>
      <c r="EFM78" s="456"/>
      <c r="EFN78" s="449"/>
      <c r="EFO78" s="450"/>
      <c r="EFP78" s="452"/>
      <c r="EFQ78" s="448"/>
      <c r="EFR78" s="456"/>
      <c r="EFS78" s="458"/>
      <c r="EFT78" s="458"/>
      <c r="EFV78" s="454"/>
      <c r="EFW78" s="450"/>
      <c r="EFX78" s="454"/>
      <c r="EFY78" s="448"/>
      <c r="EFZ78" s="449"/>
      <c r="EGA78" s="450"/>
      <c r="EGB78" s="447"/>
      <c r="EGC78" s="448"/>
      <c r="EGD78" s="449"/>
      <c r="EGE78" s="450"/>
      <c r="EGF78" s="447"/>
      <c r="EGG78" s="451"/>
      <c r="EGH78" s="449"/>
      <c r="EGI78" s="450"/>
      <c r="EGJ78" s="447"/>
      <c r="EGK78" s="451"/>
      <c r="EGL78" s="449"/>
      <c r="EGM78" s="450"/>
      <c r="EGN78" s="447"/>
      <c r="EGO78" s="451"/>
      <c r="EGP78" s="449"/>
      <c r="EGQ78" s="450"/>
      <c r="EGR78" s="452"/>
      <c r="EGS78" s="451"/>
      <c r="EGT78" s="449"/>
      <c r="EGU78" s="450"/>
      <c r="EGV78" s="447"/>
      <c r="EGW78" s="448"/>
      <c r="EGX78" s="453"/>
      <c r="EGY78" s="449"/>
      <c r="EGZ78" s="450"/>
      <c r="EHA78" s="454"/>
      <c r="EHB78" s="448"/>
      <c r="EHD78" s="449"/>
      <c r="EHE78" s="450"/>
      <c r="EHF78" s="452"/>
      <c r="EHG78" s="448"/>
      <c r="EHI78" s="449"/>
      <c r="EHJ78" s="450"/>
      <c r="EHK78" s="447"/>
      <c r="EHL78" s="448"/>
      <c r="EHN78" s="449"/>
      <c r="EHO78" s="450"/>
      <c r="EHP78" s="452"/>
      <c r="EHQ78" s="448"/>
      <c r="EHR78" s="449"/>
      <c r="EHS78" s="450"/>
      <c r="EHT78" s="452"/>
      <c r="EHU78" s="448"/>
      <c r="EHV78" s="455"/>
      <c r="EHW78" s="449"/>
      <c r="EHX78" s="450"/>
      <c r="EHY78" s="459"/>
      <c r="EHZ78" s="448"/>
      <c r="EIA78" s="456"/>
      <c r="EIB78" s="449"/>
      <c r="EIC78" s="450"/>
      <c r="EID78" s="452"/>
      <c r="EIE78" s="448"/>
      <c r="EIF78" s="449"/>
      <c r="EIG78" s="450"/>
      <c r="EIH78" s="452"/>
      <c r="EII78" s="448"/>
      <c r="EIJ78" s="449"/>
      <c r="EIK78" s="450"/>
      <c r="EIL78" s="447"/>
      <c r="EIM78" s="448"/>
      <c r="EIN78" s="457"/>
      <c r="EIO78" s="460"/>
      <c r="EIP78" s="450"/>
      <c r="EIQ78" s="461"/>
      <c r="EIR78" s="448"/>
      <c r="EIS78" s="456"/>
      <c r="EIT78" s="449"/>
      <c r="EIU78" s="450"/>
      <c r="EIV78" s="452"/>
      <c r="EIW78" s="448"/>
      <c r="EIX78" s="456"/>
      <c r="EIY78" s="458"/>
      <c r="EIZ78" s="458"/>
      <c r="EJB78" s="454"/>
      <c r="EJC78" s="450"/>
      <c r="EJD78" s="454"/>
      <c r="EJE78" s="448"/>
      <c r="EJF78" s="449"/>
      <c r="EJG78" s="450"/>
      <c r="EJH78" s="447"/>
      <c r="EJI78" s="448"/>
      <c r="EJJ78" s="449"/>
      <c r="EJK78" s="450"/>
      <c r="EJL78" s="447"/>
      <c r="EJM78" s="451"/>
      <c r="EJN78" s="449"/>
      <c r="EJO78" s="450"/>
      <c r="EJP78" s="447"/>
      <c r="EJQ78" s="451"/>
      <c r="EJR78" s="449"/>
      <c r="EJS78" s="450"/>
      <c r="EJT78" s="447"/>
      <c r="EJU78" s="451"/>
      <c r="EJV78" s="449"/>
      <c r="EJW78" s="450"/>
      <c r="EJX78" s="452"/>
      <c r="EJY78" s="451"/>
      <c r="EJZ78" s="449"/>
      <c r="EKA78" s="450"/>
      <c r="EKB78" s="447"/>
      <c r="EKC78" s="448"/>
      <c r="EKD78" s="453"/>
      <c r="EKE78" s="449"/>
      <c r="EKF78" s="450"/>
      <c r="EKG78" s="454"/>
      <c r="EKH78" s="448"/>
      <c r="EKJ78" s="449"/>
      <c r="EKK78" s="450"/>
      <c r="EKL78" s="452"/>
      <c r="EKM78" s="448"/>
      <c r="EKO78" s="449"/>
      <c r="EKP78" s="450"/>
      <c r="EKQ78" s="447"/>
      <c r="EKR78" s="448"/>
      <c r="EKT78" s="449"/>
      <c r="EKU78" s="450"/>
      <c r="EKV78" s="452"/>
      <c r="EKW78" s="448"/>
      <c r="EKX78" s="449"/>
      <c r="EKY78" s="450"/>
      <c r="EKZ78" s="452"/>
      <c r="ELA78" s="448"/>
      <c r="ELB78" s="455"/>
      <c r="ELC78" s="449"/>
      <c r="ELD78" s="450"/>
      <c r="ELE78" s="459"/>
      <c r="ELF78" s="448"/>
      <c r="ELG78" s="456"/>
      <c r="ELH78" s="449"/>
      <c r="ELI78" s="450"/>
      <c r="ELJ78" s="452"/>
      <c r="ELK78" s="448"/>
      <c r="ELL78" s="449"/>
      <c r="ELM78" s="450"/>
      <c r="ELN78" s="452"/>
      <c r="ELO78" s="448"/>
      <c r="ELP78" s="449"/>
      <c r="ELQ78" s="450"/>
      <c r="ELR78" s="447"/>
      <c r="ELS78" s="448"/>
      <c r="ELT78" s="457"/>
      <c r="ELU78" s="460"/>
      <c r="ELV78" s="450"/>
      <c r="ELW78" s="461"/>
      <c r="ELX78" s="448"/>
      <c r="ELY78" s="456"/>
      <c r="ELZ78" s="449"/>
      <c r="EMA78" s="450"/>
      <c r="EMB78" s="452"/>
      <c r="EMC78" s="448"/>
      <c r="EMD78" s="456"/>
      <c r="EME78" s="458"/>
      <c r="EMF78" s="458"/>
      <c r="EMH78" s="454"/>
      <c r="EMI78" s="450"/>
      <c r="EMJ78" s="454"/>
      <c r="EMK78" s="448"/>
      <c r="EML78" s="449"/>
      <c r="EMM78" s="450"/>
      <c r="EMN78" s="447"/>
      <c r="EMO78" s="448"/>
      <c r="EMP78" s="449"/>
      <c r="EMQ78" s="450"/>
      <c r="EMR78" s="447"/>
      <c r="EMS78" s="451"/>
      <c r="EMT78" s="449"/>
      <c r="EMU78" s="450"/>
      <c r="EMV78" s="447"/>
      <c r="EMW78" s="451"/>
      <c r="EMX78" s="449"/>
      <c r="EMY78" s="450"/>
      <c r="EMZ78" s="447"/>
      <c r="ENA78" s="451"/>
      <c r="ENB78" s="449"/>
      <c r="ENC78" s="450"/>
      <c r="END78" s="452"/>
      <c r="ENE78" s="451"/>
      <c r="ENF78" s="449"/>
      <c r="ENG78" s="450"/>
      <c r="ENH78" s="447"/>
      <c r="ENI78" s="448"/>
      <c r="ENJ78" s="453"/>
      <c r="ENK78" s="449"/>
      <c r="ENL78" s="450"/>
      <c r="ENM78" s="454"/>
      <c r="ENN78" s="448"/>
      <c r="ENP78" s="449"/>
      <c r="ENQ78" s="450"/>
      <c r="ENR78" s="452"/>
      <c r="ENS78" s="448"/>
      <c r="ENU78" s="449"/>
      <c r="ENV78" s="450"/>
      <c r="ENW78" s="447"/>
      <c r="ENX78" s="448"/>
      <c r="ENZ78" s="449"/>
      <c r="EOA78" s="450"/>
      <c r="EOB78" s="452"/>
      <c r="EOC78" s="448"/>
      <c r="EOD78" s="449"/>
      <c r="EOE78" s="450"/>
      <c r="EOF78" s="452"/>
      <c r="EOG78" s="448"/>
      <c r="EOH78" s="455"/>
      <c r="EOI78" s="449"/>
      <c r="EOJ78" s="450"/>
      <c r="EOK78" s="459"/>
      <c r="EOL78" s="448"/>
      <c r="EOM78" s="456"/>
      <c r="EON78" s="449"/>
      <c r="EOO78" s="450"/>
      <c r="EOP78" s="452"/>
      <c r="EOQ78" s="448"/>
      <c r="EOR78" s="449"/>
      <c r="EOS78" s="450"/>
      <c r="EOT78" s="452"/>
      <c r="EOU78" s="448"/>
      <c r="EOV78" s="449"/>
      <c r="EOW78" s="450"/>
      <c r="EOX78" s="447"/>
      <c r="EOY78" s="448"/>
      <c r="EOZ78" s="457"/>
      <c r="EPA78" s="460"/>
      <c r="EPB78" s="450"/>
      <c r="EPC78" s="461"/>
      <c r="EPD78" s="448"/>
      <c r="EPE78" s="456"/>
      <c r="EPF78" s="449"/>
      <c r="EPG78" s="450"/>
      <c r="EPH78" s="452"/>
      <c r="EPI78" s="448"/>
      <c r="EPJ78" s="456"/>
      <c r="EPK78" s="458"/>
      <c r="EPL78" s="458"/>
      <c r="EPN78" s="454"/>
      <c r="EPO78" s="450"/>
      <c r="EPP78" s="454"/>
      <c r="EPQ78" s="448"/>
      <c r="EPR78" s="449"/>
      <c r="EPS78" s="450"/>
      <c r="EPT78" s="447"/>
      <c r="EPU78" s="448"/>
      <c r="EPV78" s="449"/>
      <c r="EPW78" s="450"/>
      <c r="EPX78" s="447"/>
      <c r="EPY78" s="451"/>
      <c r="EPZ78" s="449"/>
      <c r="EQA78" s="450"/>
      <c r="EQB78" s="447"/>
      <c r="EQC78" s="451"/>
      <c r="EQD78" s="449"/>
      <c r="EQE78" s="450"/>
      <c r="EQF78" s="447"/>
      <c r="EQG78" s="451"/>
      <c r="EQH78" s="449"/>
      <c r="EQI78" s="450"/>
      <c r="EQJ78" s="452"/>
      <c r="EQK78" s="451"/>
      <c r="EQL78" s="449"/>
      <c r="EQM78" s="450"/>
      <c r="EQN78" s="447"/>
      <c r="EQO78" s="448"/>
      <c r="EQP78" s="453"/>
      <c r="EQQ78" s="449"/>
      <c r="EQR78" s="450"/>
      <c r="EQS78" s="454"/>
      <c r="EQT78" s="448"/>
      <c r="EQV78" s="449"/>
      <c r="EQW78" s="450"/>
      <c r="EQX78" s="452"/>
      <c r="EQY78" s="448"/>
      <c r="ERA78" s="449"/>
      <c r="ERB78" s="450"/>
      <c r="ERC78" s="447"/>
      <c r="ERD78" s="448"/>
      <c r="ERF78" s="449"/>
      <c r="ERG78" s="450"/>
      <c r="ERH78" s="452"/>
      <c r="ERI78" s="448"/>
      <c r="ERJ78" s="449"/>
      <c r="ERK78" s="450"/>
      <c r="ERL78" s="452"/>
      <c r="ERM78" s="448"/>
      <c r="ERN78" s="455"/>
      <c r="ERO78" s="449"/>
      <c r="ERP78" s="450"/>
      <c r="ERQ78" s="459"/>
      <c r="ERR78" s="448"/>
      <c r="ERS78" s="456"/>
      <c r="ERT78" s="449"/>
      <c r="ERU78" s="450"/>
      <c r="ERV78" s="452"/>
      <c r="ERW78" s="448"/>
      <c r="ERX78" s="449"/>
      <c r="ERY78" s="450"/>
      <c r="ERZ78" s="452"/>
      <c r="ESA78" s="448"/>
      <c r="ESB78" s="449"/>
      <c r="ESC78" s="450"/>
      <c r="ESD78" s="447"/>
      <c r="ESE78" s="448"/>
      <c r="ESF78" s="457"/>
      <c r="ESG78" s="460"/>
      <c r="ESH78" s="450"/>
      <c r="ESI78" s="461"/>
      <c r="ESJ78" s="448"/>
      <c r="ESK78" s="456"/>
      <c r="ESL78" s="449"/>
      <c r="ESM78" s="450"/>
      <c r="ESN78" s="452"/>
      <c r="ESO78" s="448"/>
      <c r="ESP78" s="456"/>
      <c r="ESQ78" s="458"/>
      <c r="ESR78" s="458"/>
      <c r="EST78" s="454"/>
      <c r="ESU78" s="450"/>
      <c r="ESV78" s="454"/>
      <c r="ESW78" s="448"/>
      <c r="ESX78" s="449"/>
      <c r="ESY78" s="450"/>
      <c r="ESZ78" s="447"/>
      <c r="ETA78" s="448"/>
      <c r="ETB78" s="449"/>
      <c r="ETC78" s="450"/>
      <c r="ETD78" s="447"/>
      <c r="ETE78" s="451"/>
      <c r="ETF78" s="449"/>
      <c r="ETG78" s="450"/>
      <c r="ETH78" s="447"/>
      <c r="ETI78" s="451"/>
      <c r="ETJ78" s="449"/>
      <c r="ETK78" s="450"/>
      <c r="ETL78" s="447"/>
      <c r="ETM78" s="451"/>
      <c r="ETN78" s="449"/>
      <c r="ETO78" s="450"/>
      <c r="ETP78" s="452"/>
      <c r="ETQ78" s="451"/>
      <c r="ETR78" s="449"/>
      <c r="ETS78" s="450"/>
      <c r="ETT78" s="447"/>
      <c r="ETU78" s="448"/>
      <c r="ETV78" s="453"/>
      <c r="ETW78" s="449"/>
      <c r="ETX78" s="450"/>
      <c r="ETY78" s="454"/>
      <c r="ETZ78" s="448"/>
      <c r="EUB78" s="449"/>
      <c r="EUC78" s="450"/>
      <c r="EUD78" s="452"/>
      <c r="EUE78" s="448"/>
      <c r="EUG78" s="449"/>
      <c r="EUH78" s="450"/>
      <c r="EUI78" s="447"/>
      <c r="EUJ78" s="448"/>
      <c r="EUL78" s="449"/>
      <c r="EUM78" s="450"/>
      <c r="EUN78" s="452"/>
      <c r="EUO78" s="448"/>
      <c r="EUP78" s="449"/>
      <c r="EUQ78" s="450"/>
      <c r="EUR78" s="452"/>
      <c r="EUS78" s="448"/>
      <c r="EUT78" s="455"/>
      <c r="EUU78" s="449"/>
      <c r="EUV78" s="450"/>
      <c r="EUW78" s="459"/>
      <c r="EUX78" s="448"/>
      <c r="EUY78" s="456"/>
      <c r="EUZ78" s="449"/>
      <c r="EVA78" s="450"/>
      <c r="EVB78" s="452"/>
      <c r="EVC78" s="448"/>
      <c r="EVD78" s="449"/>
      <c r="EVE78" s="450"/>
      <c r="EVF78" s="452"/>
      <c r="EVG78" s="448"/>
      <c r="EVH78" s="449"/>
      <c r="EVI78" s="450"/>
      <c r="EVJ78" s="447"/>
      <c r="EVK78" s="448"/>
      <c r="EVL78" s="457"/>
      <c r="EVM78" s="460"/>
      <c r="EVN78" s="450"/>
      <c r="EVO78" s="461"/>
      <c r="EVP78" s="448"/>
      <c r="EVQ78" s="456"/>
      <c r="EVR78" s="449"/>
      <c r="EVS78" s="450"/>
      <c r="EVT78" s="452"/>
      <c r="EVU78" s="448"/>
      <c r="EVV78" s="456"/>
      <c r="EVW78" s="458"/>
      <c r="EVX78" s="458"/>
      <c r="EVZ78" s="454"/>
      <c r="EWA78" s="450"/>
      <c r="EWB78" s="454"/>
      <c r="EWC78" s="448"/>
      <c r="EWD78" s="449"/>
      <c r="EWE78" s="450"/>
      <c r="EWF78" s="447"/>
      <c r="EWG78" s="448"/>
      <c r="EWH78" s="449"/>
      <c r="EWI78" s="450"/>
      <c r="EWJ78" s="447"/>
      <c r="EWK78" s="451"/>
      <c r="EWL78" s="449"/>
      <c r="EWM78" s="450"/>
      <c r="EWN78" s="447"/>
      <c r="EWO78" s="451"/>
      <c r="EWP78" s="449"/>
      <c r="EWQ78" s="450"/>
      <c r="EWR78" s="447"/>
      <c r="EWS78" s="451"/>
      <c r="EWT78" s="449"/>
      <c r="EWU78" s="450"/>
      <c r="EWV78" s="452"/>
      <c r="EWW78" s="451"/>
      <c r="EWX78" s="449"/>
      <c r="EWY78" s="450"/>
      <c r="EWZ78" s="447"/>
      <c r="EXA78" s="448"/>
      <c r="EXB78" s="453"/>
      <c r="EXC78" s="449"/>
      <c r="EXD78" s="450"/>
      <c r="EXE78" s="454"/>
      <c r="EXF78" s="448"/>
      <c r="EXH78" s="449"/>
      <c r="EXI78" s="450"/>
      <c r="EXJ78" s="452"/>
      <c r="EXK78" s="448"/>
      <c r="EXM78" s="449"/>
      <c r="EXN78" s="450"/>
      <c r="EXO78" s="447"/>
      <c r="EXP78" s="448"/>
      <c r="EXR78" s="449"/>
      <c r="EXS78" s="450"/>
      <c r="EXT78" s="452"/>
      <c r="EXU78" s="448"/>
      <c r="EXV78" s="449"/>
      <c r="EXW78" s="450"/>
      <c r="EXX78" s="452"/>
      <c r="EXY78" s="448"/>
      <c r="EXZ78" s="455"/>
      <c r="EYA78" s="449"/>
      <c r="EYB78" s="450"/>
      <c r="EYC78" s="459"/>
      <c r="EYD78" s="448"/>
      <c r="EYE78" s="456"/>
      <c r="EYF78" s="449"/>
      <c r="EYG78" s="450"/>
      <c r="EYH78" s="452"/>
      <c r="EYI78" s="448"/>
      <c r="EYJ78" s="449"/>
      <c r="EYK78" s="450"/>
      <c r="EYL78" s="452"/>
      <c r="EYM78" s="448"/>
      <c r="EYN78" s="449"/>
      <c r="EYO78" s="450"/>
      <c r="EYP78" s="447"/>
      <c r="EYQ78" s="448"/>
      <c r="EYR78" s="457"/>
      <c r="EYS78" s="460"/>
      <c r="EYT78" s="450"/>
      <c r="EYU78" s="461"/>
      <c r="EYV78" s="448"/>
      <c r="EYW78" s="456"/>
      <c r="EYX78" s="449"/>
      <c r="EYY78" s="450"/>
      <c r="EYZ78" s="452"/>
      <c r="EZA78" s="448"/>
      <c r="EZB78" s="456"/>
      <c r="EZC78" s="458"/>
      <c r="EZD78" s="458"/>
      <c r="EZF78" s="454"/>
      <c r="EZG78" s="450"/>
      <c r="EZH78" s="454"/>
      <c r="EZI78" s="448"/>
      <c r="EZJ78" s="449"/>
      <c r="EZK78" s="450"/>
      <c r="EZL78" s="447"/>
      <c r="EZM78" s="448"/>
      <c r="EZN78" s="449"/>
      <c r="EZO78" s="450"/>
      <c r="EZP78" s="447"/>
      <c r="EZQ78" s="451"/>
      <c r="EZR78" s="449"/>
      <c r="EZS78" s="450"/>
      <c r="EZT78" s="447"/>
      <c r="EZU78" s="451"/>
      <c r="EZV78" s="449"/>
      <c r="EZW78" s="450"/>
      <c r="EZX78" s="447"/>
      <c r="EZY78" s="451"/>
      <c r="EZZ78" s="449"/>
      <c r="FAA78" s="450"/>
      <c r="FAB78" s="452"/>
      <c r="FAC78" s="451"/>
      <c r="FAD78" s="449"/>
      <c r="FAE78" s="450"/>
      <c r="FAF78" s="447"/>
      <c r="FAG78" s="448"/>
      <c r="FAH78" s="453"/>
      <c r="FAI78" s="449"/>
      <c r="FAJ78" s="450"/>
      <c r="FAK78" s="454"/>
      <c r="FAL78" s="448"/>
      <c r="FAN78" s="449"/>
      <c r="FAO78" s="450"/>
      <c r="FAP78" s="452"/>
      <c r="FAQ78" s="448"/>
      <c r="FAS78" s="449"/>
      <c r="FAT78" s="450"/>
      <c r="FAU78" s="447"/>
      <c r="FAV78" s="448"/>
      <c r="FAX78" s="449"/>
      <c r="FAY78" s="450"/>
      <c r="FAZ78" s="452"/>
      <c r="FBA78" s="448"/>
      <c r="FBB78" s="449"/>
      <c r="FBC78" s="450"/>
      <c r="FBD78" s="452"/>
      <c r="FBE78" s="448"/>
      <c r="FBF78" s="455"/>
      <c r="FBG78" s="449"/>
      <c r="FBH78" s="450"/>
      <c r="FBI78" s="459"/>
      <c r="FBJ78" s="448"/>
      <c r="FBK78" s="456"/>
      <c r="FBL78" s="449"/>
      <c r="FBM78" s="450"/>
      <c r="FBN78" s="452"/>
      <c r="FBO78" s="448"/>
      <c r="FBP78" s="449"/>
      <c r="FBQ78" s="450"/>
      <c r="FBR78" s="452"/>
      <c r="FBS78" s="448"/>
      <c r="FBT78" s="449"/>
      <c r="FBU78" s="450"/>
      <c r="FBV78" s="447"/>
      <c r="FBW78" s="448"/>
      <c r="FBX78" s="457"/>
      <c r="FBY78" s="460"/>
      <c r="FBZ78" s="450"/>
      <c r="FCA78" s="461"/>
      <c r="FCB78" s="448"/>
      <c r="FCC78" s="456"/>
      <c r="FCD78" s="449"/>
      <c r="FCE78" s="450"/>
      <c r="FCF78" s="452"/>
      <c r="FCG78" s="448"/>
      <c r="FCH78" s="456"/>
      <c r="FCI78" s="458"/>
      <c r="FCJ78" s="458"/>
      <c r="FCL78" s="454"/>
      <c r="FCM78" s="450"/>
      <c r="FCN78" s="454"/>
      <c r="FCO78" s="448"/>
      <c r="FCP78" s="449"/>
      <c r="FCQ78" s="450"/>
      <c r="FCR78" s="447"/>
      <c r="FCS78" s="448"/>
      <c r="FCT78" s="449"/>
      <c r="FCU78" s="450"/>
      <c r="FCV78" s="447"/>
      <c r="FCW78" s="451"/>
      <c r="FCX78" s="449"/>
      <c r="FCY78" s="450"/>
      <c r="FCZ78" s="447"/>
      <c r="FDA78" s="451"/>
      <c r="FDB78" s="449"/>
      <c r="FDC78" s="450"/>
      <c r="FDD78" s="447"/>
      <c r="FDE78" s="451"/>
      <c r="FDF78" s="449"/>
      <c r="FDG78" s="450"/>
      <c r="FDH78" s="452"/>
      <c r="FDI78" s="451"/>
      <c r="FDJ78" s="449"/>
      <c r="FDK78" s="450"/>
      <c r="FDL78" s="447"/>
      <c r="FDM78" s="448"/>
      <c r="FDN78" s="453"/>
      <c r="FDO78" s="449"/>
      <c r="FDP78" s="450"/>
      <c r="FDQ78" s="454"/>
      <c r="FDR78" s="448"/>
      <c r="FDT78" s="449"/>
      <c r="FDU78" s="450"/>
      <c r="FDV78" s="452"/>
      <c r="FDW78" s="448"/>
      <c r="FDY78" s="449"/>
      <c r="FDZ78" s="450"/>
      <c r="FEA78" s="447"/>
      <c r="FEB78" s="448"/>
      <c r="FED78" s="449"/>
      <c r="FEE78" s="450"/>
      <c r="FEF78" s="452"/>
      <c r="FEG78" s="448"/>
      <c r="FEH78" s="449"/>
      <c r="FEI78" s="450"/>
      <c r="FEJ78" s="452"/>
      <c r="FEK78" s="448"/>
      <c r="FEL78" s="455"/>
      <c r="FEM78" s="449"/>
      <c r="FEN78" s="450"/>
      <c r="FEO78" s="459"/>
      <c r="FEP78" s="448"/>
      <c r="FEQ78" s="456"/>
      <c r="FER78" s="449"/>
      <c r="FES78" s="450"/>
      <c r="FET78" s="452"/>
      <c r="FEU78" s="448"/>
      <c r="FEV78" s="449"/>
      <c r="FEW78" s="450"/>
      <c r="FEX78" s="452"/>
      <c r="FEY78" s="448"/>
      <c r="FEZ78" s="449"/>
      <c r="FFA78" s="450"/>
      <c r="FFB78" s="447"/>
      <c r="FFC78" s="448"/>
      <c r="FFD78" s="457"/>
      <c r="FFE78" s="460"/>
      <c r="FFF78" s="450"/>
      <c r="FFG78" s="461"/>
      <c r="FFH78" s="448"/>
      <c r="FFI78" s="456"/>
      <c r="FFJ78" s="449"/>
      <c r="FFK78" s="450"/>
      <c r="FFL78" s="452"/>
      <c r="FFM78" s="448"/>
      <c r="FFN78" s="456"/>
      <c r="FFO78" s="458"/>
      <c r="FFP78" s="458"/>
      <c r="FFR78" s="454"/>
      <c r="FFS78" s="450"/>
      <c r="FFT78" s="454"/>
      <c r="FFU78" s="448"/>
      <c r="FFV78" s="449"/>
      <c r="FFW78" s="450"/>
      <c r="FFX78" s="447"/>
      <c r="FFY78" s="448"/>
      <c r="FFZ78" s="449"/>
      <c r="FGA78" s="450"/>
      <c r="FGB78" s="447"/>
      <c r="FGC78" s="451"/>
      <c r="FGD78" s="449"/>
      <c r="FGE78" s="450"/>
      <c r="FGF78" s="447"/>
      <c r="FGG78" s="451"/>
      <c r="FGH78" s="449"/>
      <c r="FGI78" s="450"/>
      <c r="FGJ78" s="447"/>
      <c r="FGK78" s="451"/>
      <c r="FGL78" s="449"/>
      <c r="FGM78" s="450"/>
      <c r="FGN78" s="452"/>
      <c r="FGO78" s="451"/>
      <c r="FGP78" s="449"/>
      <c r="FGQ78" s="450"/>
      <c r="FGR78" s="447"/>
      <c r="FGS78" s="448"/>
      <c r="FGT78" s="453"/>
      <c r="FGU78" s="449"/>
      <c r="FGV78" s="450"/>
      <c r="FGW78" s="454"/>
      <c r="FGX78" s="448"/>
      <c r="FGZ78" s="449"/>
      <c r="FHA78" s="450"/>
      <c r="FHB78" s="452"/>
      <c r="FHC78" s="448"/>
      <c r="FHE78" s="449"/>
      <c r="FHF78" s="450"/>
      <c r="FHG78" s="447"/>
      <c r="FHH78" s="448"/>
      <c r="FHJ78" s="449"/>
      <c r="FHK78" s="450"/>
      <c r="FHL78" s="452"/>
      <c r="FHM78" s="448"/>
      <c r="FHN78" s="449"/>
      <c r="FHO78" s="450"/>
      <c r="FHP78" s="452"/>
      <c r="FHQ78" s="448"/>
      <c r="FHR78" s="455"/>
      <c r="FHS78" s="449"/>
      <c r="FHT78" s="450"/>
      <c r="FHU78" s="459"/>
      <c r="FHV78" s="448"/>
      <c r="FHW78" s="456"/>
      <c r="FHX78" s="449"/>
      <c r="FHY78" s="450"/>
      <c r="FHZ78" s="452"/>
      <c r="FIA78" s="448"/>
      <c r="FIB78" s="449"/>
      <c r="FIC78" s="450"/>
      <c r="FID78" s="452"/>
      <c r="FIE78" s="448"/>
      <c r="FIF78" s="449"/>
      <c r="FIG78" s="450"/>
      <c r="FIH78" s="447"/>
      <c r="FII78" s="448"/>
      <c r="FIJ78" s="457"/>
      <c r="FIK78" s="460"/>
      <c r="FIL78" s="450"/>
      <c r="FIM78" s="461"/>
      <c r="FIN78" s="448"/>
      <c r="FIO78" s="456"/>
      <c r="FIP78" s="449"/>
      <c r="FIQ78" s="450"/>
      <c r="FIR78" s="452"/>
      <c r="FIS78" s="448"/>
      <c r="FIT78" s="456"/>
      <c r="FIU78" s="458"/>
      <c r="FIV78" s="458"/>
      <c r="FIX78" s="454"/>
      <c r="FIY78" s="450"/>
      <c r="FIZ78" s="454"/>
      <c r="FJA78" s="448"/>
      <c r="FJB78" s="449"/>
      <c r="FJC78" s="450"/>
      <c r="FJD78" s="447"/>
      <c r="FJE78" s="448"/>
      <c r="FJF78" s="449"/>
      <c r="FJG78" s="450"/>
      <c r="FJH78" s="447"/>
      <c r="FJI78" s="451"/>
      <c r="FJJ78" s="449"/>
      <c r="FJK78" s="450"/>
      <c r="FJL78" s="447"/>
      <c r="FJM78" s="451"/>
      <c r="FJN78" s="449"/>
      <c r="FJO78" s="450"/>
      <c r="FJP78" s="447"/>
      <c r="FJQ78" s="451"/>
      <c r="FJR78" s="449"/>
      <c r="FJS78" s="450"/>
      <c r="FJT78" s="452"/>
      <c r="FJU78" s="451"/>
      <c r="FJV78" s="449"/>
      <c r="FJW78" s="450"/>
      <c r="FJX78" s="447"/>
      <c r="FJY78" s="448"/>
      <c r="FJZ78" s="453"/>
      <c r="FKA78" s="449"/>
      <c r="FKB78" s="450"/>
      <c r="FKC78" s="454"/>
      <c r="FKD78" s="448"/>
      <c r="FKF78" s="449"/>
      <c r="FKG78" s="450"/>
      <c r="FKH78" s="452"/>
      <c r="FKI78" s="448"/>
      <c r="FKK78" s="449"/>
      <c r="FKL78" s="450"/>
      <c r="FKM78" s="447"/>
      <c r="FKN78" s="448"/>
      <c r="FKP78" s="449"/>
      <c r="FKQ78" s="450"/>
      <c r="FKR78" s="452"/>
      <c r="FKS78" s="448"/>
      <c r="FKT78" s="449"/>
      <c r="FKU78" s="450"/>
      <c r="FKV78" s="452"/>
      <c r="FKW78" s="448"/>
      <c r="FKX78" s="455"/>
      <c r="FKY78" s="449"/>
      <c r="FKZ78" s="450"/>
      <c r="FLA78" s="459"/>
      <c r="FLB78" s="448"/>
      <c r="FLC78" s="456"/>
      <c r="FLD78" s="449"/>
      <c r="FLE78" s="450"/>
      <c r="FLF78" s="452"/>
      <c r="FLG78" s="448"/>
      <c r="FLH78" s="449"/>
      <c r="FLI78" s="450"/>
      <c r="FLJ78" s="452"/>
      <c r="FLK78" s="448"/>
      <c r="FLL78" s="449"/>
      <c r="FLM78" s="450"/>
      <c r="FLN78" s="447"/>
      <c r="FLO78" s="448"/>
      <c r="FLP78" s="457"/>
      <c r="FLQ78" s="460"/>
      <c r="FLR78" s="450"/>
      <c r="FLS78" s="461"/>
      <c r="FLT78" s="448"/>
      <c r="FLU78" s="456"/>
      <c r="FLV78" s="449"/>
      <c r="FLW78" s="450"/>
      <c r="FLX78" s="452"/>
      <c r="FLY78" s="448"/>
      <c r="FLZ78" s="456"/>
      <c r="FMA78" s="458"/>
      <c r="FMB78" s="458"/>
      <c r="FMD78" s="454"/>
      <c r="FME78" s="450"/>
      <c r="FMF78" s="454"/>
      <c r="FMG78" s="448"/>
      <c r="FMH78" s="449"/>
      <c r="FMI78" s="450"/>
      <c r="FMJ78" s="447"/>
      <c r="FMK78" s="448"/>
      <c r="FML78" s="449"/>
      <c r="FMM78" s="450"/>
      <c r="FMN78" s="447"/>
      <c r="FMO78" s="451"/>
      <c r="FMP78" s="449"/>
      <c r="FMQ78" s="450"/>
      <c r="FMR78" s="447"/>
      <c r="FMS78" s="451"/>
      <c r="FMT78" s="449"/>
      <c r="FMU78" s="450"/>
      <c r="FMV78" s="447"/>
      <c r="FMW78" s="451"/>
      <c r="FMX78" s="449"/>
      <c r="FMY78" s="450"/>
      <c r="FMZ78" s="452"/>
      <c r="FNA78" s="451"/>
      <c r="FNB78" s="449"/>
      <c r="FNC78" s="450"/>
      <c r="FND78" s="447"/>
      <c r="FNE78" s="448"/>
      <c r="FNF78" s="453"/>
      <c r="FNG78" s="449"/>
      <c r="FNH78" s="450"/>
      <c r="FNI78" s="454"/>
      <c r="FNJ78" s="448"/>
      <c r="FNL78" s="449"/>
      <c r="FNM78" s="450"/>
      <c r="FNN78" s="452"/>
      <c r="FNO78" s="448"/>
      <c r="FNQ78" s="449"/>
      <c r="FNR78" s="450"/>
      <c r="FNS78" s="447"/>
      <c r="FNT78" s="448"/>
      <c r="FNV78" s="449"/>
      <c r="FNW78" s="450"/>
      <c r="FNX78" s="452"/>
      <c r="FNY78" s="448"/>
      <c r="FNZ78" s="449"/>
      <c r="FOA78" s="450"/>
      <c r="FOB78" s="452"/>
      <c r="FOC78" s="448"/>
      <c r="FOD78" s="455"/>
      <c r="FOE78" s="449"/>
      <c r="FOF78" s="450"/>
      <c r="FOG78" s="459"/>
      <c r="FOH78" s="448"/>
      <c r="FOI78" s="456"/>
      <c r="FOJ78" s="449"/>
      <c r="FOK78" s="450"/>
      <c r="FOL78" s="452"/>
      <c r="FOM78" s="448"/>
      <c r="FON78" s="449"/>
      <c r="FOO78" s="450"/>
      <c r="FOP78" s="452"/>
      <c r="FOQ78" s="448"/>
      <c r="FOR78" s="449"/>
      <c r="FOS78" s="450"/>
      <c r="FOT78" s="447"/>
      <c r="FOU78" s="448"/>
      <c r="FOV78" s="457"/>
      <c r="FOW78" s="460"/>
      <c r="FOX78" s="450"/>
      <c r="FOY78" s="461"/>
      <c r="FOZ78" s="448"/>
      <c r="FPA78" s="456"/>
      <c r="FPB78" s="449"/>
      <c r="FPC78" s="450"/>
      <c r="FPD78" s="452"/>
      <c r="FPE78" s="448"/>
      <c r="FPF78" s="456"/>
      <c r="FPG78" s="458"/>
      <c r="FPH78" s="458"/>
      <c r="FPJ78" s="454"/>
      <c r="FPK78" s="450"/>
      <c r="FPL78" s="454"/>
      <c r="FPM78" s="448"/>
      <c r="FPN78" s="449"/>
      <c r="FPO78" s="450"/>
      <c r="FPP78" s="447"/>
      <c r="FPQ78" s="448"/>
      <c r="FPR78" s="449"/>
      <c r="FPS78" s="450"/>
      <c r="FPT78" s="447"/>
      <c r="FPU78" s="451"/>
      <c r="FPV78" s="449"/>
      <c r="FPW78" s="450"/>
      <c r="FPX78" s="447"/>
      <c r="FPY78" s="451"/>
      <c r="FPZ78" s="449"/>
      <c r="FQA78" s="450"/>
      <c r="FQB78" s="447"/>
      <c r="FQC78" s="451"/>
      <c r="FQD78" s="449"/>
      <c r="FQE78" s="450"/>
      <c r="FQF78" s="452"/>
      <c r="FQG78" s="451"/>
      <c r="FQH78" s="449"/>
      <c r="FQI78" s="450"/>
      <c r="FQJ78" s="447"/>
      <c r="FQK78" s="448"/>
      <c r="FQL78" s="453"/>
      <c r="FQM78" s="449"/>
      <c r="FQN78" s="450"/>
      <c r="FQO78" s="454"/>
      <c r="FQP78" s="448"/>
      <c r="FQR78" s="449"/>
      <c r="FQS78" s="450"/>
      <c r="FQT78" s="452"/>
      <c r="FQU78" s="448"/>
      <c r="FQW78" s="449"/>
      <c r="FQX78" s="450"/>
      <c r="FQY78" s="447"/>
      <c r="FQZ78" s="448"/>
      <c r="FRB78" s="449"/>
      <c r="FRC78" s="450"/>
      <c r="FRD78" s="452"/>
      <c r="FRE78" s="448"/>
      <c r="FRF78" s="449"/>
      <c r="FRG78" s="450"/>
      <c r="FRH78" s="452"/>
      <c r="FRI78" s="448"/>
      <c r="FRJ78" s="455"/>
      <c r="FRK78" s="449"/>
      <c r="FRL78" s="450"/>
      <c r="FRM78" s="459"/>
      <c r="FRN78" s="448"/>
      <c r="FRO78" s="456"/>
      <c r="FRP78" s="449"/>
      <c r="FRQ78" s="450"/>
      <c r="FRR78" s="452"/>
      <c r="FRS78" s="448"/>
      <c r="FRT78" s="449"/>
      <c r="FRU78" s="450"/>
      <c r="FRV78" s="452"/>
      <c r="FRW78" s="448"/>
      <c r="FRX78" s="449"/>
      <c r="FRY78" s="450"/>
      <c r="FRZ78" s="447"/>
      <c r="FSA78" s="448"/>
      <c r="FSB78" s="457"/>
      <c r="FSC78" s="460"/>
      <c r="FSD78" s="450"/>
      <c r="FSE78" s="461"/>
      <c r="FSF78" s="448"/>
      <c r="FSG78" s="456"/>
      <c r="FSH78" s="449"/>
      <c r="FSI78" s="450"/>
      <c r="FSJ78" s="452"/>
      <c r="FSK78" s="448"/>
      <c r="FSL78" s="456"/>
      <c r="FSM78" s="458"/>
      <c r="FSN78" s="458"/>
      <c r="FSP78" s="454"/>
      <c r="FSQ78" s="450"/>
      <c r="FSR78" s="454"/>
      <c r="FSS78" s="448"/>
      <c r="FST78" s="449"/>
      <c r="FSU78" s="450"/>
      <c r="FSV78" s="447"/>
      <c r="FSW78" s="448"/>
      <c r="FSX78" s="449"/>
      <c r="FSY78" s="450"/>
      <c r="FSZ78" s="447"/>
      <c r="FTA78" s="451"/>
      <c r="FTB78" s="449"/>
      <c r="FTC78" s="450"/>
      <c r="FTD78" s="447"/>
      <c r="FTE78" s="451"/>
      <c r="FTF78" s="449"/>
      <c r="FTG78" s="450"/>
      <c r="FTH78" s="447"/>
      <c r="FTI78" s="451"/>
      <c r="FTJ78" s="449"/>
      <c r="FTK78" s="450"/>
      <c r="FTL78" s="452"/>
      <c r="FTM78" s="451"/>
      <c r="FTN78" s="449"/>
      <c r="FTO78" s="450"/>
      <c r="FTP78" s="447"/>
      <c r="FTQ78" s="448"/>
      <c r="FTR78" s="453"/>
      <c r="FTS78" s="449"/>
      <c r="FTT78" s="450"/>
      <c r="FTU78" s="454"/>
      <c r="FTV78" s="448"/>
      <c r="FTX78" s="449"/>
      <c r="FTY78" s="450"/>
      <c r="FTZ78" s="452"/>
      <c r="FUA78" s="448"/>
      <c r="FUC78" s="449"/>
      <c r="FUD78" s="450"/>
      <c r="FUE78" s="447"/>
      <c r="FUF78" s="448"/>
      <c r="FUH78" s="449"/>
      <c r="FUI78" s="450"/>
      <c r="FUJ78" s="452"/>
      <c r="FUK78" s="448"/>
      <c r="FUL78" s="449"/>
      <c r="FUM78" s="450"/>
      <c r="FUN78" s="452"/>
      <c r="FUO78" s="448"/>
      <c r="FUP78" s="455"/>
      <c r="FUQ78" s="449"/>
      <c r="FUR78" s="450"/>
      <c r="FUS78" s="459"/>
      <c r="FUT78" s="448"/>
      <c r="FUU78" s="456"/>
      <c r="FUV78" s="449"/>
      <c r="FUW78" s="450"/>
      <c r="FUX78" s="452"/>
      <c r="FUY78" s="448"/>
      <c r="FUZ78" s="449"/>
      <c r="FVA78" s="450"/>
      <c r="FVB78" s="452"/>
      <c r="FVC78" s="448"/>
      <c r="FVD78" s="449"/>
      <c r="FVE78" s="450"/>
      <c r="FVF78" s="447"/>
      <c r="FVG78" s="448"/>
      <c r="FVH78" s="457"/>
      <c r="FVI78" s="460"/>
      <c r="FVJ78" s="450"/>
      <c r="FVK78" s="461"/>
      <c r="FVL78" s="448"/>
      <c r="FVM78" s="456"/>
      <c r="FVN78" s="449"/>
      <c r="FVO78" s="450"/>
      <c r="FVP78" s="452"/>
      <c r="FVQ78" s="448"/>
      <c r="FVR78" s="456"/>
      <c r="FVS78" s="458"/>
      <c r="FVT78" s="458"/>
      <c r="FVV78" s="454"/>
      <c r="FVW78" s="450"/>
      <c r="FVX78" s="454"/>
      <c r="FVY78" s="448"/>
      <c r="FVZ78" s="449"/>
      <c r="FWA78" s="450"/>
      <c r="FWB78" s="447"/>
      <c r="FWC78" s="448"/>
      <c r="FWD78" s="449"/>
      <c r="FWE78" s="450"/>
      <c r="FWF78" s="447"/>
      <c r="FWG78" s="451"/>
      <c r="FWH78" s="449"/>
      <c r="FWI78" s="450"/>
      <c r="FWJ78" s="447"/>
      <c r="FWK78" s="451"/>
      <c r="FWL78" s="449"/>
      <c r="FWM78" s="450"/>
      <c r="FWN78" s="447"/>
      <c r="FWO78" s="451"/>
      <c r="FWP78" s="449"/>
      <c r="FWQ78" s="450"/>
      <c r="FWR78" s="452"/>
      <c r="FWS78" s="451"/>
      <c r="FWT78" s="449"/>
      <c r="FWU78" s="450"/>
      <c r="FWV78" s="447"/>
      <c r="FWW78" s="448"/>
      <c r="FWX78" s="453"/>
      <c r="FWY78" s="449"/>
      <c r="FWZ78" s="450"/>
      <c r="FXA78" s="454"/>
      <c r="FXB78" s="448"/>
      <c r="FXD78" s="449"/>
      <c r="FXE78" s="450"/>
      <c r="FXF78" s="452"/>
      <c r="FXG78" s="448"/>
      <c r="FXI78" s="449"/>
      <c r="FXJ78" s="450"/>
      <c r="FXK78" s="447"/>
      <c r="FXL78" s="448"/>
      <c r="FXN78" s="449"/>
      <c r="FXO78" s="450"/>
      <c r="FXP78" s="452"/>
      <c r="FXQ78" s="448"/>
      <c r="FXR78" s="449"/>
      <c r="FXS78" s="450"/>
      <c r="FXT78" s="452"/>
      <c r="FXU78" s="448"/>
      <c r="FXV78" s="455"/>
      <c r="FXW78" s="449"/>
      <c r="FXX78" s="450"/>
      <c r="FXY78" s="459"/>
      <c r="FXZ78" s="448"/>
      <c r="FYA78" s="456"/>
      <c r="FYB78" s="449"/>
      <c r="FYC78" s="450"/>
      <c r="FYD78" s="452"/>
      <c r="FYE78" s="448"/>
      <c r="FYF78" s="449"/>
      <c r="FYG78" s="450"/>
      <c r="FYH78" s="452"/>
      <c r="FYI78" s="448"/>
      <c r="FYJ78" s="449"/>
      <c r="FYK78" s="450"/>
      <c r="FYL78" s="447"/>
      <c r="FYM78" s="448"/>
      <c r="FYN78" s="457"/>
      <c r="FYO78" s="460"/>
      <c r="FYP78" s="450"/>
      <c r="FYQ78" s="461"/>
      <c r="FYR78" s="448"/>
      <c r="FYS78" s="456"/>
      <c r="FYT78" s="449"/>
      <c r="FYU78" s="450"/>
      <c r="FYV78" s="452"/>
      <c r="FYW78" s="448"/>
      <c r="FYX78" s="456"/>
      <c r="FYY78" s="458"/>
      <c r="FYZ78" s="458"/>
      <c r="FZB78" s="454"/>
      <c r="FZC78" s="450"/>
      <c r="FZD78" s="454"/>
      <c r="FZE78" s="448"/>
      <c r="FZF78" s="449"/>
      <c r="FZG78" s="450"/>
      <c r="FZH78" s="447"/>
      <c r="FZI78" s="448"/>
      <c r="FZJ78" s="449"/>
      <c r="FZK78" s="450"/>
      <c r="FZL78" s="447"/>
      <c r="FZM78" s="451"/>
      <c r="FZN78" s="449"/>
      <c r="FZO78" s="450"/>
      <c r="FZP78" s="447"/>
      <c r="FZQ78" s="451"/>
      <c r="FZR78" s="449"/>
      <c r="FZS78" s="450"/>
      <c r="FZT78" s="447"/>
      <c r="FZU78" s="451"/>
      <c r="FZV78" s="449"/>
      <c r="FZW78" s="450"/>
      <c r="FZX78" s="452"/>
      <c r="FZY78" s="451"/>
      <c r="FZZ78" s="449"/>
      <c r="GAA78" s="450"/>
      <c r="GAB78" s="447"/>
      <c r="GAC78" s="448"/>
      <c r="GAD78" s="453"/>
      <c r="GAE78" s="449"/>
      <c r="GAF78" s="450"/>
      <c r="GAG78" s="454"/>
      <c r="GAH78" s="448"/>
      <c r="GAJ78" s="449"/>
      <c r="GAK78" s="450"/>
      <c r="GAL78" s="452"/>
      <c r="GAM78" s="448"/>
      <c r="GAO78" s="449"/>
      <c r="GAP78" s="450"/>
      <c r="GAQ78" s="447"/>
      <c r="GAR78" s="448"/>
      <c r="GAT78" s="449"/>
      <c r="GAU78" s="450"/>
      <c r="GAV78" s="452"/>
      <c r="GAW78" s="448"/>
      <c r="GAX78" s="449"/>
      <c r="GAY78" s="450"/>
      <c r="GAZ78" s="452"/>
      <c r="GBA78" s="448"/>
      <c r="GBB78" s="455"/>
      <c r="GBC78" s="449"/>
      <c r="GBD78" s="450"/>
      <c r="GBE78" s="459"/>
      <c r="GBF78" s="448"/>
      <c r="GBG78" s="456"/>
      <c r="GBH78" s="449"/>
      <c r="GBI78" s="450"/>
      <c r="GBJ78" s="452"/>
      <c r="GBK78" s="448"/>
      <c r="GBL78" s="449"/>
      <c r="GBM78" s="450"/>
      <c r="GBN78" s="452"/>
      <c r="GBO78" s="448"/>
      <c r="GBP78" s="449"/>
      <c r="GBQ78" s="450"/>
      <c r="GBR78" s="447"/>
      <c r="GBS78" s="448"/>
      <c r="GBT78" s="457"/>
      <c r="GBU78" s="460"/>
      <c r="GBV78" s="450"/>
      <c r="GBW78" s="461"/>
      <c r="GBX78" s="448"/>
      <c r="GBY78" s="456"/>
      <c r="GBZ78" s="449"/>
      <c r="GCA78" s="450"/>
      <c r="GCB78" s="452"/>
      <c r="GCC78" s="448"/>
      <c r="GCD78" s="456"/>
      <c r="GCE78" s="458"/>
      <c r="GCF78" s="458"/>
      <c r="GCH78" s="454"/>
      <c r="GCI78" s="450"/>
      <c r="GCJ78" s="454"/>
      <c r="GCK78" s="448"/>
      <c r="GCL78" s="449"/>
      <c r="GCM78" s="450"/>
      <c r="GCN78" s="447"/>
      <c r="GCO78" s="448"/>
      <c r="GCP78" s="449"/>
      <c r="GCQ78" s="450"/>
      <c r="GCR78" s="447"/>
      <c r="GCS78" s="451"/>
      <c r="GCT78" s="449"/>
      <c r="GCU78" s="450"/>
      <c r="GCV78" s="447"/>
      <c r="GCW78" s="451"/>
      <c r="GCX78" s="449"/>
      <c r="GCY78" s="450"/>
      <c r="GCZ78" s="447"/>
      <c r="GDA78" s="451"/>
      <c r="GDB78" s="449"/>
      <c r="GDC78" s="450"/>
      <c r="GDD78" s="452"/>
      <c r="GDE78" s="451"/>
      <c r="GDF78" s="449"/>
      <c r="GDG78" s="450"/>
      <c r="GDH78" s="447"/>
      <c r="GDI78" s="448"/>
      <c r="GDJ78" s="453"/>
      <c r="GDK78" s="449"/>
      <c r="GDL78" s="450"/>
      <c r="GDM78" s="454"/>
      <c r="GDN78" s="448"/>
      <c r="GDP78" s="449"/>
      <c r="GDQ78" s="450"/>
      <c r="GDR78" s="452"/>
      <c r="GDS78" s="448"/>
      <c r="GDU78" s="449"/>
      <c r="GDV78" s="450"/>
      <c r="GDW78" s="447"/>
      <c r="GDX78" s="448"/>
      <c r="GDZ78" s="449"/>
      <c r="GEA78" s="450"/>
      <c r="GEB78" s="452"/>
      <c r="GEC78" s="448"/>
      <c r="GED78" s="449"/>
      <c r="GEE78" s="450"/>
      <c r="GEF78" s="452"/>
      <c r="GEG78" s="448"/>
      <c r="GEH78" s="455"/>
      <c r="GEI78" s="449"/>
      <c r="GEJ78" s="450"/>
      <c r="GEK78" s="459"/>
      <c r="GEL78" s="448"/>
      <c r="GEM78" s="456"/>
      <c r="GEN78" s="449"/>
      <c r="GEO78" s="450"/>
      <c r="GEP78" s="452"/>
      <c r="GEQ78" s="448"/>
      <c r="GER78" s="449"/>
      <c r="GES78" s="450"/>
      <c r="GET78" s="452"/>
      <c r="GEU78" s="448"/>
      <c r="GEV78" s="449"/>
      <c r="GEW78" s="450"/>
      <c r="GEX78" s="447"/>
      <c r="GEY78" s="448"/>
      <c r="GEZ78" s="457"/>
      <c r="GFA78" s="460"/>
      <c r="GFB78" s="450"/>
      <c r="GFC78" s="461"/>
      <c r="GFD78" s="448"/>
      <c r="GFE78" s="456"/>
      <c r="GFF78" s="449"/>
      <c r="GFG78" s="450"/>
      <c r="GFH78" s="452"/>
      <c r="GFI78" s="448"/>
      <c r="GFJ78" s="456"/>
      <c r="GFK78" s="458"/>
      <c r="GFL78" s="458"/>
      <c r="GFN78" s="454"/>
      <c r="GFO78" s="450"/>
      <c r="GFP78" s="454"/>
      <c r="GFQ78" s="448"/>
      <c r="GFR78" s="449"/>
      <c r="GFS78" s="450"/>
      <c r="GFT78" s="447"/>
      <c r="GFU78" s="448"/>
      <c r="GFV78" s="449"/>
      <c r="GFW78" s="450"/>
      <c r="GFX78" s="447"/>
      <c r="GFY78" s="451"/>
      <c r="GFZ78" s="449"/>
      <c r="GGA78" s="450"/>
      <c r="GGB78" s="447"/>
      <c r="GGC78" s="451"/>
      <c r="GGD78" s="449"/>
      <c r="GGE78" s="450"/>
      <c r="GGF78" s="447"/>
      <c r="GGG78" s="451"/>
      <c r="GGH78" s="449"/>
      <c r="GGI78" s="450"/>
      <c r="GGJ78" s="452"/>
      <c r="GGK78" s="451"/>
      <c r="GGL78" s="449"/>
      <c r="GGM78" s="450"/>
      <c r="GGN78" s="447"/>
      <c r="GGO78" s="448"/>
      <c r="GGP78" s="453"/>
      <c r="GGQ78" s="449"/>
      <c r="GGR78" s="450"/>
      <c r="GGS78" s="454"/>
      <c r="GGT78" s="448"/>
      <c r="GGV78" s="449"/>
      <c r="GGW78" s="450"/>
      <c r="GGX78" s="452"/>
      <c r="GGY78" s="448"/>
      <c r="GHA78" s="449"/>
      <c r="GHB78" s="450"/>
      <c r="GHC78" s="447"/>
      <c r="GHD78" s="448"/>
      <c r="GHF78" s="449"/>
      <c r="GHG78" s="450"/>
      <c r="GHH78" s="452"/>
      <c r="GHI78" s="448"/>
      <c r="GHJ78" s="449"/>
      <c r="GHK78" s="450"/>
      <c r="GHL78" s="452"/>
      <c r="GHM78" s="448"/>
      <c r="GHN78" s="455"/>
      <c r="GHO78" s="449"/>
      <c r="GHP78" s="450"/>
      <c r="GHQ78" s="459"/>
      <c r="GHR78" s="448"/>
      <c r="GHS78" s="456"/>
      <c r="GHT78" s="449"/>
      <c r="GHU78" s="450"/>
      <c r="GHV78" s="452"/>
      <c r="GHW78" s="448"/>
      <c r="GHX78" s="449"/>
      <c r="GHY78" s="450"/>
      <c r="GHZ78" s="452"/>
      <c r="GIA78" s="448"/>
      <c r="GIB78" s="449"/>
      <c r="GIC78" s="450"/>
      <c r="GID78" s="447"/>
      <c r="GIE78" s="448"/>
      <c r="GIF78" s="457"/>
      <c r="GIG78" s="460"/>
      <c r="GIH78" s="450"/>
      <c r="GII78" s="461"/>
      <c r="GIJ78" s="448"/>
      <c r="GIK78" s="456"/>
      <c r="GIL78" s="449"/>
      <c r="GIM78" s="450"/>
      <c r="GIN78" s="452"/>
      <c r="GIO78" s="448"/>
      <c r="GIP78" s="456"/>
      <c r="GIQ78" s="458"/>
      <c r="GIR78" s="458"/>
      <c r="GIT78" s="454"/>
      <c r="GIU78" s="450"/>
      <c r="GIV78" s="454"/>
      <c r="GIW78" s="448"/>
      <c r="GIX78" s="449"/>
      <c r="GIY78" s="450"/>
      <c r="GIZ78" s="447"/>
      <c r="GJA78" s="448"/>
      <c r="GJB78" s="449"/>
      <c r="GJC78" s="450"/>
      <c r="GJD78" s="447"/>
      <c r="GJE78" s="451"/>
      <c r="GJF78" s="449"/>
      <c r="GJG78" s="450"/>
      <c r="GJH78" s="447"/>
      <c r="GJI78" s="451"/>
      <c r="GJJ78" s="449"/>
      <c r="GJK78" s="450"/>
      <c r="GJL78" s="447"/>
      <c r="GJM78" s="451"/>
      <c r="GJN78" s="449"/>
      <c r="GJO78" s="450"/>
      <c r="GJP78" s="452"/>
      <c r="GJQ78" s="451"/>
      <c r="GJR78" s="449"/>
      <c r="GJS78" s="450"/>
      <c r="GJT78" s="447"/>
      <c r="GJU78" s="448"/>
      <c r="GJV78" s="453"/>
      <c r="GJW78" s="449"/>
      <c r="GJX78" s="450"/>
      <c r="GJY78" s="454"/>
      <c r="GJZ78" s="448"/>
      <c r="GKB78" s="449"/>
      <c r="GKC78" s="450"/>
      <c r="GKD78" s="452"/>
      <c r="GKE78" s="448"/>
      <c r="GKG78" s="449"/>
      <c r="GKH78" s="450"/>
      <c r="GKI78" s="447"/>
      <c r="GKJ78" s="448"/>
      <c r="GKL78" s="449"/>
      <c r="GKM78" s="450"/>
      <c r="GKN78" s="452"/>
      <c r="GKO78" s="448"/>
      <c r="GKP78" s="449"/>
      <c r="GKQ78" s="450"/>
      <c r="GKR78" s="452"/>
      <c r="GKS78" s="448"/>
      <c r="GKT78" s="455"/>
      <c r="GKU78" s="449"/>
      <c r="GKV78" s="450"/>
      <c r="GKW78" s="459"/>
      <c r="GKX78" s="448"/>
      <c r="GKY78" s="456"/>
      <c r="GKZ78" s="449"/>
      <c r="GLA78" s="450"/>
      <c r="GLB78" s="452"/>
      <c r="GLC78" s="448"/>
      <c r="GLD78" s="449"/>
      <c r="GLE78" s="450"/>
      <c r="GLF78" s="452"/>
      <c r="GLG78" s="448"/>
      <c r="GLH78" s="449"/>
      <c r="GLI78" s="450"/>
      <c r="GLJ78" s="447"/>
      <c r="GLK78" s="448"/>
      <c r="GLL78" s="457"/>
      <c r="GLM78" s="460"/>
      <c r="GLN78" s="450"/>
      <c r="GLO78" s="461"/>
      <c r="GLP78" s="448"/>
      <c r="GLQ78" s="456"/>
      <c r="GLR78" s="449"/>
      <c r="GLS78" s="450"/>
      <c r="GLT78" s="452"/>
      <c r="GLU78" s="448"/>
      <c r="GLV78" s="456"/>
      <c r="GLW78" s="458"/>
      <c r="GLX78" s="458"/>
      <c r="GLZ78" s="454"/>
      <c r="GMA78" s="450"/>
      <c r="GMB78" s="454"/>
      <c r="GMC78" s="448"/>
      <c r="GMD78" s="449"/>
      <c r="GME78" s="450"/>
      <c r="GMF78" s="447"/>
      <c r="GMG78" s="448"/>
      <c r="GMH78" s="449"/>
      <c r="GMI78" s="450"/>
      <c r="GMJ78" s="447"/>
      <c r="GMK78" s="451"/>
      <c r="GML78" s="449"/>
      <c r="GMM78" s="450"/>
      <c r="GMN78" s="447"/>
      <c r="GMO78" s="451"/>
      <c r="GMP78" s="449"/>
      <c r="GMQ78" s="450"/>
      <c r="GMR78" s="447"/>
      <c r="GMS78" s="451"/>
      <c r="GMT78" s="449"/>
      <c r="GMU78" s="450"/>
      <c r="GMV78" s="452"/>
      <c r="GMW78" s="451"/>
      <c r="GMX78" s="449"/>
      <c r="GMY78" s="450"/>
      <c r="GMZ78" s="447"/>
      <c r="GNA78" s="448"/>
      <c r="GNB78" s="453"/>
      <c r="GNC78" s="449"/>
      <c r="GND78" s="450"/>
      <c r="GNE78" s="454"/>
      <c r="GNF78" s="448"/>
      <c r="GNH78" s="449"/>
      <c r="GNI78" s="450"/>
      <c r="GNJ78" s="452"/>
      <c r="GNK78" s="448"/>
      <c r="GNM78" s="449"/>
      <c r="GNN78" s="450"/>
      <c r="GNO78" s="447"/>
      <c r="GNP78" s="448"/>
      <c r="GNR78" s="449"/>
      <c r="GNS78" s="450"/>
      <c r="GNT78" s="452"/>
      <c r="GNU78" s="448"/>
      <c r="GNV78" s="449"/>
      <c r="GNW78" s="450"/>
      <c r="GNX78" s="452"/>
      <c r="GNY78" s="448"/>
      <c r="GNZ78" s="455"/>
      <c r="GOA78" s="449"/>
      <c r="GOB78" s="450"/>
      <c r="GOC78" s="459"/>
      <c r="GOD78" s="448"/>
      <c r="GOE78" s="456"/>
      <c r="GOF78" s="449"/>
      <c r="GOG78" s="450"/>
      <c r="GOH78" s="452"/>
      <c r="GOI78" s="448"/>
      <c r="GOJ78" s="449"/>
      <c r="GOK78" s="450"/>
      <c r="GOL78" s="452"/>
      <c r="GOM78" s="448"/>
      <c r="GON78" s="449"/>
      <c r="GOO78" s="450"/>
      <c r="GOP78" s="447"/>
      <c r="GOQ78" s="448"/>
      <c r="GOR78" s="457"/>
      <c r="GOS78" s="460"/>
      <c r="GOT78" s="450"/>
      <c r="GOU78" s="461"/>
      <c r="GOV78" s="448"/>
      <c r="GOW78" s="456"/>
      <c r="GOX78" s="449"/>
      <c r="GOY78" s="450"/>
      <c r="GOZ78" s="452"/>
      <c r="GPA78" s="448"/>
      <c r="GPB78" s="456"/>
      <c r="GPC78" s="458"/>
      <c r="GPD78" s="458"/>
      <c r="GPF78" s="454"/>
      <c r="GPG78" s="450"/>
      <c r="GPH78" s="454"/>
      <c r="GPI78" s="448"/>
      <c r="GPJ78" s="449"/>
      <c r="GPK78" s="450"/>
      <c r="GPL78" s="447"/>
      <c r="GPM78" s="448"/>
      <c r="GPN78" s="449"/>
      <c r="GPO78" s="450"/>
      <c r="GPP78" s="447"/>
      <c r="GPQ78" s="451"/>
      <c r="GPR78" s="449"/>
      <c r="GPS78" s="450"/>
      <c r="GPT78" s="447"/>
      <c r="GPU78" s="451"/>
      <c r="GPV78" s="449"/>
      <c r="GPW78" s="450"/>
      <c r="GPX78" s="447"/>
      <c r="GPY78" s="451"/>
      <c r="GPZ78" s="449"/>
      <c r="GQA78" s="450"/>
      <c r="GQB78" s="452"/>
      <c r="GQC78" s="451"/>
      <c r="GQD78" s="449"/>
      <c r="GQE78" s="450"/>
      <c r="GQF78" s="447"/>
      <c r="GQG78" s="448"/>
      <c r="GQH78" s="453"/>
      <c r="GQI78" s="449"/>
      <c r="GQJ78" s="450"/>
      <c r="GQK78" s="454"/>
      <c r="GQL78" s="448"/>
      <c r="GQN78" s="449"/>
      <c r="GQO78" s="450"/>
      <c r="GQP78" s="452"/>
      <c r="GQQ78" s="448"/>
      <c r="GQS78" s="449"/>
      <c r="GQT78" s="450"/>
      <c r="GQU78" s="447"/>
      <c r="GQV78" s="448"/>
      <c r="GQX78" s="449"/>
      <c r="GQY78" s="450"/>
      <c r="GQZ78" s="452"/>
      <c r="GRA78" s="448"/>
      <c r="GRB78" s="449"/>
      <c r="GRC78" s="450"/>
      <c r="GRD78" s="452"/>
      <c r="GRE78" s="448"/>
      <c r="GRF78" s="455"/>
      <c r="GRG78" s="449"/>
      <c r="GRH78" s="450"/>
      <c r="GRI78" s="459"/>
      <c r="GRJ78" s="448"/>
      <c r="GRK78" s="456"/>
      <c r="GRL78" s="449"/>
      <c r="GRM78" s="450"/>
      <c r="GRN78" s="452"/>
      <c r="GRO78" s="448"/>
      <c r="GRP78" s="449"/>
      <c r="GRQ78" s="450"/>
      <c r="GRR78" s="452"/>
      <c r="GRS78" s="448"/>
      <c r="GRT78" s="449"/>
      <c r="GRU78" s="450"/>
      <c r="GRV78" s="447"/>
      <c r="GRW78" s="448"/>
      <c r="GRX78" s="457"/>
      <c r="GRY78" s="460"/>
      <c r="GRZ78" s="450"/>
      <c r="GSA78" s="461"/>
      <c r="GSB78" s="448"/>
      <c r="GSC78" s="456"/>
      <c r="GSD78" s="449"/>
      <c r="GSE78" s="450"/>
      <c r="GSF78" s="452"/>
      <c r="GSG78" s="448"/>
      <c r="GSH78" s="456"/>
      <c r="GSI78" s="458"/>
      <c r="GSJ78" s="458"/>
      <c r="GSL78" s="454"/>
      <c r="GSM78" s="450"/>
      <c r="GSN78" s="454"/>
      <c r="GSO78" s="448"/>
      <c r="GSP78" s="449"/>
      <c r="GSQ78" s="450"/>
      <c r="GSR78" s="447"/>
      <c r="GSS78" s="448"/>
      <c r="GST78" s="449"/>
      <c r="GSU78" s="450"/>
      <c r="GSV78" s="447"/>
      <c r="GSW78" s="451"/>
      <c r="GSX78" s="449"/>
      <c r="GSY78" s="450"/>
      <c r="GSZ78" s="447"/>
      <c r="GTA78" s="451"/>
      <c r="GTB78" s="449"/>
      <c r="GTC78" s="450"/>
      <c r="GTD78" s="447"/>
      <c r="GTE78" s="451"/>
      <c r="GTF78" s="449"/>
      <c r="GTG78" s="450"/>
      <c r="GTH78" s="452"/>
      <c r="GTI78" s="451"/>
      <c r="GTJ78" s="449"/>
      <c r="GTK78" s="450"/>
      <c r="GTL78" s="447"/>
      <c r="GTM78" s="448"/>
      <c r="GTN78" s="453"/>
      <c r="GTO78" s="449"/>
      <c r="GTP78" s="450"/>
      <c r="GTQ78" s="454"/>
      <c r="GTR78" s="448"/>
      <c r="GTT78" s="449"/>
      <c r="GTU78" s="450"/>
      <c r="GTV78" s="452"/>
      <c r="GTW78" s="448"/>
      <c r="GTY78" s="449"/>
      <c r="GTZ78" s="450"/>
      <c r="GUA78" s="447"/>
      <c r="GUB78" s="448"/>
      <c r="GUD78" s="449"/>
      <c r="GUE78" s="450"/>
      <c r="GUF78" s="452"/>
      <c r="GUG78" s="448"/>
      <c r="GUH78" s="449"/>
      <c r="GUI78" s="450"/>
      <c r="GUJ78" s="452"/>
      <c r="GUK78" s="448"/>
      <c r="GUL78" s="455"/>
      <c r="GUM78" s="449"/>
      <c r="GUN78" s="450"/>
      <c r="GUO78" s="459"/>
      <c r="GUP78" s="448"/>
      <c r="GUQ78" s="456"/>
      <c r="GUR78" s="449"/>
      <c r="GUS78" s="450"/>
      <c r="GUT78" s="452"/>
      <c r="GUU78" s="448"/>
      <c r="GUV78" s="449"/>
      <c r="GUW78" s="450"/>
      <c r="GUX78" s="452"/>
      <c r="GUY78" s="448"/>
      <c r="GUZ78" s="449"/>
      <c r="GVA78" s="450"/>
      <c r="GVB78" s="447"/>
      <c r="GVC78" s="448"/>
      <c r="GVD78" s="457"/>
      <c r="GVE78" s="460"/>
      <c r="GVF78" s="450"/>
      <c r="GVG78" s="461"/>
      <c r="GVH78" s="448"/>
      <c r="GVI78" s="456"/>
      <c r="GVJ78" s="449"/>
      <c r="GVK78" s="450"/>
      <c r="GVL78" s="452"/>
      <c r="GVM78" s="448"/>
      <c r="GVN78" s="456"/>
      <c r="GVO78" s="458"/>
      <c r="GVP78" s="458"/>
      <c r="GVR78" s="454"/>
      <c r="GVS78" s="450"/>
      <c r="GVT78" s="454"/>
      <c r="GVU78" s="448"/>
      <c r="GVV78" s="449"/>
      <c r="GVW78" s="450"/>
      <c r="GVX78" s="447"/>
      <c r="GVY78" s="448"/>
      <c r="GVZ78" s="449"/>
      <c r="GWA78" s="450"/>
      <c r="GWB78" s="447"/>
      <c r="GWC78" s="451"/>
      <c r="GWD78" s="449"/>
      <c r="GWE78" s="450"/>
      <c r="GWF78" s="447"/>
      <c r="GWG78" s="451"/>
      <c r="GWH78" s="449"/>
      <c r="GWI78" s="450"/>
      <c r="GWJ78" s="447"/>
      <c r="GWK78" s="451"/>
      <c r="GWL78" s="449"/>
      <c r="GWM78" s="450"/>
      <c r="GWN78" s="452"/>
      <c r="GWO78" s="451"/>
      <c r="GWP78" s="449"/>
      <c r="GWQ78" s="450"/>
      <c r="GWR78" s="447"/>
      <c r="GWS78" s="448"/>
      <c r="GWT78" s="453"/>
      <c r="GWU78" s="449"/>
      <c r="GWV78" s="450"/>
      <c r="GWW78" s="454"/>
      <c r="GWX78" s="448"/>
      <c r="GWZ78" s="449"/>
      <c r="GXA78" s="450"/>
      <c r="GXB78" s="452"/>
      <c r="GXC78" s="448"/>
      <c r="GXE78" s="449"/>
      <c r="GXF78" s="450"/>
      <c r="GXG78" s="447"/>
      <c r="GXH78" s="448"/>
      <c r="GXJ78" s="449"/>
      <c r="GXK78" s="450"/>
      <c r="GXL78" s="452"/>
      <c r="GXM78" s="448"/>
      <c r="GXN78" s="449"/>
      <c r="GXO78" s="450"/>
      <c r="GXP78" s="452"/>
      <c r="GXQ78" s="448"/>
      <c r="GXR78" s="455"/>
      <c r="GXS78" s="449"/>
      <c r="GXT78" s="450"/>
      <c r="GXU78" s="459"/>
      <c r="GXV78" s="448"/>
      <c r="GXW78" s="456"/>
      <c r="GXX78" s="449"/>
      <c r="GXY78" s="450"/>
      <c r="GXZ78" s="452"/>
      <c r="GYA78" s="448"/>
      <c r="GYB78" s="449"/>
      <c r="GYC78" s="450"/>
      <c r="GYD78" s="452"/>
      <c r="GYE78" s="448"/>
      <c r="GYF78" s="449"/>
      <c r="GYG78" s="450"/>
      <c r="GYH78" s="447"/>
      <c r="GYI78" s="448"/>
      <c r="GYJ78" s="457"/>
      <c r="GYK78" s="460"/>
      <c r="GYL78" s="450"/>
      <c r="GYM78" s="461"/>
      <c r="GYN78" s="448"/>
      <c r="GYO78" s="456"/>
      <c r="GYP78" s="449"/>
      <c r="GYQ78" s="450"/>
      <c r="GYR78" s="452"/>
      <c r="GYS78" s="448"/>
      <c r="GYT78" s="456"/>
      <c r="GYU78" s="458"/>
      <c r="GYV78" s="458"/>
      <c r="GYX78" s="454"/>
      <c r="GYY78" s="450"/>
      <c r="GYZ78" s="454"/>
      <c r="GZA78" s="448"/>
      <c r="GZB78" s="449"/>
      <c r="GZC78" s="450"/>
      <c r="GZD78" s="447"/>
      <c r="GZE78" s="448"/>
      <c r="GZF78" s="449"/>
      <c r="GZG78" s="450"/>
      <c r="GZH78" s="447"/>
      <c r="GZI78" s="451"/>
      <c r="GZJ78" s="449"/>
      <c r="GZK78" s="450"/>
      <c r="GZL78" s="447"/>
      <c r="GZM78" s="451"/>
      <c r="GZN78" s="449"/>
      <c r="GZO78" s="450"/>
      <c r="GZP78" s="447"/>
      <c r="GZQ78" s="451"/>
      <c r="GZR78" s="449"/>
      <c r="GZS78" s="450"/>
      <c r="GZT78" s="452"/>
      <c r="GZU78" s="451"/>
      <c r="GZV78" s="449"/>
      <c r="GZW78" s="450"/>
      <c r="GZX78" s="447"/>
      <c r="GZY78" s="448"/>
      <c r="GZZ78" s="453"/>
      <c r="HAA78" s="449"/>
      <c r="HAB78" s="450"/>
      <c r="HAC78" s="454"/>
      <c r="HAD78" s="448"/>
      <c r="HAF78" s="449"/>
      <c r="HAG78" s="450"/>
      <c r="HAH78" s="452"/>
      <c r="HAI78" s="448"/>
      <c r="HAK78" s="449"/>
      <c r="HAL78" s="450"/>
      <c r="HAM78" s="447"/>
      <c r="HAN78" s="448"/>
      <c r="HAP78" s="449"/>
      <c r="HAQ78" s="450"/>
      <c r="HAR78" s="452"/>
      <c r="HAS78" s="448"/>
      <c r="HAT78" s="449"/>
      <c r="HAU78" s="450"/>
      <c r="HAV78" s="452"/>
      <c r="HAW78" s="448"/>
      <c r="HAX78" s="455"/>
      <c r="HAY78" s="449"/>
      <c r="HAZ78" s="450"/>
      <c r="HBA78" s="459"/>
      <c r="HBB78" s="448"/>
      <c r="HBC78" s="456"/>
      <c r="HBD78" s="449"/>
      <c r="HBE78" s="450"/>
      <c r="HBF78" s="452"/>
      <c r="HBG78" s="448"/>
      <c r="HBH78" s="449"/>
      <c r="HBI78" s="450"/>
      <c r="HBJ78" s="452"/>
      <c r="HBK78" s="448"/>
      <c r="HBL78" s="449"/>
      <c r="HBM78" s="450"/>
      <c r="HBN78" s="447"/>
      <c r="HBO78" s="448"/>
      <c r="HBP78" s="457"/>
      <c r="HBQ78" s="460"/>
      <c r="HBR78" s="450"/>
      <c r="HBS78" s="461"/>
      <c r="HBT78" s="448"/>
      <c r="HBU78" s="456"/>
      <c r="HBV78" s="449"/>
      <c r="HBW78" s="450"/>
      <c r="HBX78" s="452"/>
      <c r="HBY78" s="448"/>
      <c r="HBZ78" s="456"/>
      <c r="HCA78" s="458"/>
      <c r="HCB78" s="458"/>
      <c r="HCD78" s="454"/>
      <c r="HCE78" s="450"/>
      <c r="HCF78" s="454"/>
      <c r="HCG78" s="448"/>
      <c r="HCH78" s="449"/>
      <c r="HCI78" s="450"/>
      <c r="HCJ78" s="447"/>
      <c r="HCK78" s="448"/>
      <c r="HCL78" s="449"/>
      <c r="HCM78" s="450"/>
      <c r="HCN78" s="447"/>
      <c r="HCO78" s="451"/>
      <c r="HCP78" s="449"/>
      <c r="HCQ78" s="450"/>
      <c r="HCR78" s="447"/>
      <c r="HCS78" s="451"/>
      <c r="HCT78" s="449"/>
      <c r="HCU78" s="450"/>
      <c r="HCV78" s="447"/>
      <c r="HCW78" s="451"/>
      <c r="HCX78" s="449"/>
      <c r="HCY78" s="450"/>
      <c r="HCZ78" s="452"/>
      <c r="HDA78" s="451"/>
      <c r="HDB78" s="449"/>
      <c r="HDC78" s="450"/>
      <c r="HDD78" s="447"/>
      <c r="HDE78" s="448"/>
      <c r="HDF78" s="453"/>
      <c r="HDG78" s="449"/>
      <c r="HDH78" s="450"/>
      <c r="HDI78" s="454"/>
      <c r="HDJ78" s="448"/>
      <c r="HDL78" s="449"/>
      <c r="HDM78" s="450"/>
      <c r="HDN78" s="452"/>
      <c r="HDO78" s="448"/>
      <c r="HDQ78" s="449"/>
      <c r="HDR78" s="450"/>
      <c r="HDS78" s="447"/>
      <c r="HDT78" s="448"/>
      <c r="HDV78" s="449"/>
      <c r="HDW78" s="450"/>
      <c r="HDX78" s="452"/>
      <c r="HDY78" s="448"/>
      <c r="HDZ78" s="449"/>
      <c r="HEA78" s="450"/>
      <c r="HEB78" s="452"/>
      <c r="HEC78" s="448"/>
      <c r="HED78" s="455"/>
      <c r="HEE78" s="449"/>
      <c r="HEF78" s="450"/>
      <c r="HEG78" s="459"/>
      <c r="HEH78" s="448"/>
      <c r="HEI78" s="456"/>
      <c r="HEJ78" s="449"/>
      <c r="HEK78" s="450"/>
      <c r="HEL78" s="452"/>
      <c r="HEM78" s="448"/>
      <c r="HEN78" s="449"/>
      <c r="HEO78" s="450"/>
      <c r="HEP78" s="452"/>
      <c r="HEQ78" s="448"/>
      <c r="HER78" s="449"/>
      <c r="HES78" s="450"/>
      <c r="HET78" s="447"/>
      <c r="HEU78" s="448"/>
      <c r="HEV78" s="457"/>
      <c r="HEW78" s="460"/>
      <c r="HEX78" s="450"/>
      <c r="HEY78" s="461"/>
      <c r="HEZ78" s="448"/>
      <c r="HFA78" s="456"/>
      <c r="HFB78" s="449"/>
      <c r="HFC78" s="450"/>
      <c r="HFD78" s="452"/>
      <c r="HFE78" s="448"/>
      <c r="HFF78" s="456"/>
      <c r="HFG78" s="458"/>
      <c r="HFH78" s="458"/>
      <c r="HFJ78" s="454"/>
      <c r="HFK78" s="450"/>
      <c r="HFL78" s="454"/>
      <c r="HFM78" s="448"/>
      <c r="HFN78" s="449"/>
      <c r="HFO78" s="450"/>
      <c r="HFP78" s="447"/>
      <c r="HFQ78" s="448"/>
      <c r="HFR78" s="449"/>
      <c r="HFS78" s="450"/>
      <c r="HFT78" s="447"/>
      <c r="HFU78" s="451"/>
      <c r="HFV78" s="449"/>
      <c r="HFW78" s="450"/>
      <c r="HFX78" s="447"/>
      <c r="HFY78" s="451"/>
      <c r="HFZ78" s="449"/>
      <c r="HGA78" s="450"/>
      <c r="HGB78" s="447"/>
      <c r="HGC78" s="451"/>
      <c r="HGD78" s="449"/>
      <c r="HGE78" s="450"/>
      <c r="HGF78" s="452"/>
      <c r="HGG78" s="451"/>
      <c r="HGH78" s="449"/>
      <c r="HGI78" s="450"/>
      <c r="HGJ78" s="447"/>
      <c r="HGK78" s="448"/>
      <c r="HGL78" s="453"/>
      <c r="HGM78" s="449"/>
      <c r="HGN78" s="450"/>
      <c r="HGO78" s="454"/>
      <c r="HGP78" s="448"/>
      <c r="HGR78" s="449"/>
      <c r="HGS78" s="450"/>
      <c r="HGT78" s="452"/>
      <c r="HGU78" s="448"/>
      <c r="HGW78" s="449"/>
      <c r="HGX78" s="450"/>
      <c r="HGY78" s="447"/>
      <c r="HGZ78" s="448"/>
      <c r="HHB78" s="449"/>
      <c r="HHC78" s="450"/>
      <c r="HHD78" s="452"/>
      <c r="HHE78" s="448"/>
      <c r="HHF78" s="449"/>
      <c r="HHG78" s="450"/>
      <c r="HHH78" s="452"/>
      <c r="HHI78" s="448"/>
      <c r="HHJ78" s="455"/>
      <c r="HHK78" s="449"/>
      <c r="HHL78" s="450"/>
      <c r="HHM78" s="459"/>
      <c r="HHN78" s="448"/>
      <c r="HHO78" s="456"/>
      <c r="HHP78" s="449"/>
      <c r="HHQ78" s="450"/>
      <c r="HHR78" s="452"/>
      <c r="HHS78" s="448"/>
      <c r="HHT78" s="449"/>
      <c r="HHU78" s="450"/>
      <c r="HHV78" s="452"/>
      <c r="HHW78" s="448"/>
      <c r="HHX78" s="449"/>
      <c r="HHY78" s="450"/>
      <c r="HHZ78" s="447"/>
      <c r="HIA78" s="448"/>
      <c r="HIB78" s="457"/>
      <c r="HIC78" s="460"/>
      <c r="HID78" s="450"/>
      <c r="HIE78" s="461"/>
      <c r="HIF78" s="448"/>
      <c r="HIG78" s="456"/>
      <c r="HIH78" s="449"/>
      <c r="HII78" s="450"/>
      <c r="HIJ78" s="452"/>
      <c r="HIK78" s="448"/>
      <c r="HIL78" s="456"/>
      <c r="HIM78" s="458"/>
      <c r="HIN78" s="458"/>
      <c r="HIP78" s="454"/>
      <c r="HIQ78" s="450"/>
      <c r="HIR78" s="454"/>
      <c r="HIS78" s="448"/>
      <c r="HIT78" s="449"/>
      <c r="HIU78" s="450"/>
      <c r="HIV78" s="447"/>
      <c r="HIW78" s="448"/>
      <c r="HIX78" s="449"/>
      <c r="HIY78" s="450"/>
      <c r="HIZ78" s="447"/>
      <c r="HJA78" s="451"/>
      <c r="HJB78" s="449"/>
      <c r="HJC78" s="450"/>
      <c r="HJD78" s="447"/>
      <c r="HJE78" s="451"/>
      <c r="HJF78" s="449"/>
      <c r="HJG78" s="450"/>
      <c r="HJH78" s="447"/>
      <c r="HJI78" s="451"/>
      <c r="HJJ78" s="449"/>
      <c r="HJK78" s="450"/>
      <c r="HJL78" s="452"/>
      <c r="HJM78" s="451"/>
      <c r="HJN78" s="449"/>
      <c r="HJO78" s="450"/>
      <c r="HJP78" s="447"/>
      <c r="HJQ78" s="448"/>
      <c r="HJR78" s="453"/>
      <c r="HJS78" s="449"/>
      <c r="HJT78" s="450"/>
      <c r="HJU78" s="454"/>
      <c r="HJV78" s="448"/>
      <c r="HJX78" s="449"/>
      <c r="HJY78" s="450"/>
      <c r="HJZ78" s="452"/>
      <c r="HKA78" s="448"/>
      <c r="HKC78" s="449"/>
      <c r="HKD78" s="450"/>
      <c r="HKE78" s="447"/>
      <c r="HKF78" s="448"/>
      <c r="HKH78" s="449"/>
      <c r="HKI78" s="450"/>
      <c r="HKJ78" s="452"/>
      <c r="HKK78" s="448"/>
      <c r="HKL78" s="449"/>
      <c r="HKM78" s="450"/>
      <c r="HKN78" s="452"/>
      <c r="HKO78" s="448"/>
      <c r="HKP78" s="455"/>
      <c r="HKQ78" s="449"/>
      <c r="HKR78" s="450"/>
      <c r="HKS78" s="459"/>
      <c r="HKT78" s="448"/>
      <c r="HKU78" s="456"/>
      <c r="HKV78" s="449"/>
      <c r="HKW78" s="450"/>
      <c r="HKX78" s="452"/>
      <c r="HKY78" s="448"/>
      <c r="HKZ78" s="449"/>
      <c r="HLA78" s="450"/>
      <c r="HLB78" s="452"/>
      <c r="HLC78" s="448"/>
      <c r="HLD78" s="449"/>
      <c r="HLE78" s="450"/>
      <c r="HLF78" s="447"/>
      <c r="HLG78" s="448"/>
      <c r="HLH78" s="457"/>
      <c r="HLI78" s="460"/>
      <c r="HLJ78" s="450"/>
      <c r="HLK78" s="461"/>
      <c r="HLL78" s="448"/>
      <c r="HLM78" s="456"/>
      <c r="HLN78" s="449"/>
      <c r="HLO78" s="450"/>
      <c r="HLP78" s="452"/>
      <c r="HLQ78" s="448"/>
      <c r="HLR78" s="456"/>
      <c r="HLS78" s="458"/>
      <c r="HLT78" s="458"/>
      <c r="HLV78" s="454"/>
      <c r="HLW78" s="450"/>
      <c r="HLX78" s="454"/>
      <c r="HLY78" s="448"/>
      <c r="HLZ78" s="449"/>
      <c r="HMA78" s="450"/>
      <c r="HMB78" s="447"/>
      <c r="HMC78" s="448"/>
      <c r="HMD78" s="449"/>
      <c r="HME78" s="450"/>
      <c r="HMF78" s="447"/>
      <c r="HMG78" s="451"/>
      <c r="HMH78" s="449"/>
      <c r="HMI78" s="450"/>
      <c r="HMJ78" s="447"/>
      <c r="HMK78" s="451"/>
      <c r="HML78" s="449"/>
      <c r="HMM78" s="450"/>
      <c r="HMN78" s="447"/>
      <c r="HMO78" s="451"/>
      <c r="HMP78" s="449"/>
      <c r="HMQ78" s="450"/>
      <c r="HMR78" s="452"/>
      <c r="HMS78" s="451"/>
      <c r="HMT78" s="449"/>
      <c r="HMU78" s="450"/>
      <c r="HMV78" s="447"/>
      <c r="HMW78" s="448"/>
      <c r="HMX78" s="453"/>
      <c r="HMY78" s="449"/>
      <c r="HMZ78" s="450"/>
      <c r="HNA78" s="454"/>
      <c r="HNB78" s="448"/>
      <c r="HND78" s="449"/>
      <c r="HNE78" s="450"/>
      <c r="HNF78" s="452"/>
      <c r="HNG78" s="448"/>
      <c r="HNI78" s="449"/>
      <c r="HNJ78" s="450"/>
      <c r="HNK78" s="447"/>
      <c r="HNL78" s="448"/>
      <c r="HNN78" s="449"/>
      <c r="HNO78" s="450"/>
      <c r="HNP78" s="452"/>
      <c r="HNQ78" s="448"/>
      <c r="HNR78" s="449"/>
      <c r="HNS78" s="450"/>
      <c r="HNT78" s="452"/>
      <c r="HNU78" s="448"/>
      <c r="HNV78" s="455"/>
      <c r="HNW78" s="449"/>
      <c r="HNX78" s="450"/>
      <c r="HNY78" s="459"/>
      <c r="HNZ78" s="448"/>
      <c r="HOA78" s="456"/>
      <c r="HOB78" s="449"/>
      <c r="HOC78" s="450"/>
      <c r="HOD78" s="452"/>
      <c r="HOE78" s="448"/>
      <c r="HOF78" s="449"/>
      <c r="HOG78" s="450"/>
      <c r="HOH78" s="452"/>
      <c r="HOI78" s="448"/>
      <c r="HOJ78" s="449"/>
      <c r="HOK78" s="450"/>
      <c r="HOL78" s="447"/>
      <c r="HOM78" s="448"/>
      <c r="HON78" s="457"/>
      <c r="HOO78" s="460"/>
      <c r="HOP78" s="450"/>
      <c r="HOQ78" s="461"/>
      <c r="HOR78" s="448"/>
      <c r="HOS78" s="456"/>
      <c r="HOT78" s="449"/>
      <c r="HOU78" s="450"/>
      <c r="HOV78" s="452"/>
      <c r="HOW78" s="448"/>
      <c r="HOX78" s="456"/>
      <c r="HOY78" s="458"/>
      <c r="HOZ78" s="458"/>
      <c r="HPB78" s="454"/>
      <c r="HPC78" s="450"/>
      <c r="HPD78" s="454"/>
      <c r="HPE78" s="448"/>
      <c r="HPF78" s="449"/>
      <c r="HPG78" s="450"/>
      <c r="HPH78" s="447"/>
      <c r="HPI78" s="448"/>
      <c r="HPJ78" s="449"/>
      <c r="HPK78" s="450"/>
      <c r="HPL78" s="447"/>
      <c r="HPM78" s="451"/>
      <c r="HPN78" s="449"/>
      <c r="HPO78" s="450"/>
      <c r="HPP78" s="447"/>
      <c r="HPQ78" s="451"/>
      <c r="HPR78" s="449"/>
      <c r="HPS78" s="450"/>
      <c r="HPT78" s="447"/>
      <c r="HPU78" s="451"/>
      <c r="HPV78" s="449"/>
      <c r="HPW78" s="450"/>
      <c r="HPX78" s="452"/>
      <c r="HPY78" s="451"/>
      <c r="HPZ78" s="449"/>
      <c r="HQA78" s="450"/>
      <c r="HQB78" s="447"/>
      <c r="HQC78" s="448"/>
      <c r="HQD78" s="453"/>
      <c r="HQE78" s="449"/>
      <c r="HQF78" s="450"/>
      <c r="HQG78" s="454"/>
      <c r="HQH78" s="448"/>
      <c r="HQJ78" s="449"/>
      <c r="HQK78" s="450"/>
      <c r="HQL78" s="452"/>
      <c r="HQM78" s="448"/>
      <c r="HQO78" s="449"/>
      <c r="HQP78" s="450"/>
      <c r="HQQ78" s="447"/>
      <c r="HQR78" s="448"/>
      <c r="HQT78" s="449"/>
      <c r="HQU78" s="450"/>
      <c r="HQV78" s="452"/>
      <c r="HQW78" s="448"/>
      <c r="HQX78" s="449"/>
      <c r="HQY78" s="450"/>
      <c r="HQZ78" s="452"/>
      <c r="HRA78" s="448"/>
      <c r="HRB78" s="455"/>
      <c r="HRC78" s="449"/>
      <c r="HRD78" s="450"/>
      <c r="HRE78" s="459"/>
      <c r="HRF78" s="448"/>
      <c r="HRG78" s="456"/>
      <c r="HRH78" s="449"/>
      <c r="HRI78" s="450"/>
      <c r="HRJ78" s="452"/>
      <c r="HRK78" s="448"/>
      <c r="HRL78" s="449"/>
      <c r="HRM78" s="450"/>
      <c r="HRN78" s="452"/>
      <c r="HRO78" s="448"/>
      <c r="HRP78" s="449"/>
      <c r="HRQ78" s="450"/>
      <c r="HRR78" s="447"/>
      <c r="HRS78" s="448"/>
      <c r="HRT78" s="457"/>
      <c r="HRU78" s="460"/>
      <c r="HRV78" s="450"/>
      <c r="HRW78" s="461"/>
      <c r="HRX78" s="448"/>
      <c r="HRY78" s="456"/>
      <c r="HRZ78" s="449"/>
      <c r="HSA78" s="450"/>
      <c r="HSB78" s="452"/>
      <c r="HSC78" s="448"/>
      <c r="HSD78" s="456"/>
      <c r="HSE78" s="458"/>
      <c r="HSF78" s="458"/>
      <c r="HSH78" s="454"/>
      <c r="HSI78" s="450"/>
      <c r="HSJ78" s="454"/>
      <c r="HSK78" s="448"/>
      <c r="HSL78" s="449"/>
      <c r="HSM78" s="450"/>
      <c r="HSN78" s="447"/>
      <c r="HSO78" s="448"/>
      <c r="HSP78" s="449"/>
      <c r="HSQ78" s="450"/>
      <c r="HSR78" s="447"/>
      <c r="HSS78" s="451"/>
      <c r="HST78" s="449"/>
      <c r="HSU78" s="450"/>
      <c r="HSV78" s="447"/>
      <c r="HSW78" s="451"/>
      <c r="HSX78" s="449"/>
      <c r="HSY78" s="450"/>
      <c r="HSZ78" s="447"/>
      <c r="HTA78" s="451"/>
      <c r="HTB78" s="449"/>
      <c r="HTC78" s="450"/>
      <c r="HTD78" s="452"/>
      <c r="HTE78" s="451"/>
      <c r="HTF78" s="449"/>
      <c r="HTG78" s="450"/>
      <c r="HTH78" s="447"/>
      <c r="HTI78" s="448"/>
      <c r="HTJ78" s="453"/>
      <c r="HTK78" s="449"/>
      <c r="HTL78" s="450"/>
      <c r="HTM78" s="454"/>
      <c r="HTN78" s="448"/>
      <c r="HTP78" s="449"/>
      <c r="HTQ78" s="450"/>
      <c r="HTR78" s="452"/>
      <c r="HTS78" s="448"/>
      <c r="HTU78" s="449"/>
      <c r="HTV78" s="450"/>
      <c r="HTW78" s="447"/>
      <c r="HTX78" s="448"/>
      <c r="HTZ78" s="449"/>
      <c r="HUA78" s="450"/>
      <c r="HUB78" s="452"/>
      <c r="HUC78" s="448"/>
      <c r="HUD78" s="449"/>
      <c r="HUE78" s="450"/>
      <c r="HUF78" s="452"/>
      <c r="HUG78" s="448"/>
      <c r="HUH78" s="455"/>
      <c r="HUI78" s="449"/>
      <c r="HUJ78" s="450"/>
      <c r="HUK78" s="459"/>
      <c r="HUL78" s="448"/>
      <c r="HUM78" s="456"/>
      <c r="HUN78" s="449"/>
      <c r="HUO78" s="450"/>
      <c r="HUP78" s="452"/>
      <c r="HUQ78" s="448"/>
      <c r="HUR78" s="449"/>
      <c r="HUS78" s="450"/>
      <c r="HUT78" s="452"/>
      <c r="HUU78" s="448"/>
      <c r="HUV78" s="449"/>
      <c r="HUW78" s="450"/>
      <c r="HUX78" s="447"/>
      <c r="HUY78" s="448"/>
      <c r="HUZ78" s="457"/>
      <c r="HVA78" s="460"/>
      <c r="HVB78" s="450"/>
      <c r="HVC78" s="461"/>
      <c r="HVD78" s="448"/>
      <c r="HVE78" s="456"/>
      <c r="HVF78" s="449"/>
      <c r="HVG78" s="450"/>
      <c r="HVH78" s="452"/>
      <c r="HVI78" s="448"/>
      <c r="HVJ78" s="456"/>
      <c r="HVK78" s="458"/>
      <c r="HVL78" s="458"/>
      <c r="HVN78" s="454"/>
      <c r="HVO78" s="450"/>
      <c r="HVP78" s="454"/>
      <c r="HVQ78" s="448"/>
      <c r="HVR78" s="449"/>
      <c r="HVS78" s="450"/>
      <c r="HVT78" s="447"/>
      <c r="HVU78" s="448"/>
      <c r="HVV78" s="449"/>
      <c r="HVW78" s="450"/>
      <c r="HVX78" s="447"/>
      <c r="HVY78" s="451"/>
      <c r="HVZ78" s="449"/>
      <c r="HWA78" s="450"/>
      <c r="HWB78" s="447"/>
      <c r="HWC78" s="451"/>
      <c r="HWD78" s="449"/>
      <c r="HWE78" s="450"/>
      <c r="HWF78" s="447"/>
      <c r="HWG78" s="451"/>
      <c r="HWH78" s="449"/>
      <c r="HWI78" s="450"/>
      <c r="HWJ78" s="452"/>
      <c r="HWK78" s="451"/>
      <c r="HWL78" s="449"/>
      <c r="HWM78" s="450"/>
      <c r="HWN78" s="447"/>
      <c r="HWO78" s="448"/>
      <c r="HWP78" s="453"/>
      <c r="HWQ78" s="449"/>
      <c r="HWR78" s="450"/>
      <c r="HWS78" s="454"/>
      <c r="HWT78" s="448"/>
      <c r="HWV78" s="449"/>
      <c r="HWW78" s="450"/>
      <c r="HWX78" s="452"/>
      <c r="HWY78" s="448"/>
      <c r="HXA78" s="449"/>
      <c r="HXB78" s="450"/>
      <c r="HXC78" s="447"/>
      <c r="HXD78" s="448"/>
      <c r="HXF78" s="449"/>
      <c r="HXG78" s="450"/>
      <c r="HXH78" s="452"/>
      <c r="HXI78" s="448"/>
      <c r="HXJ78" s="449"/>
      <c r="HXK78" s="450"/>
      <c r="HXL78" s="452"/>
      <c r="HXM78" s="448"/>
      <c r="HXN78" s="455"/>
      <c r="HXO78" s="449"/>
      <c r="HXP78" s="450"/>
      <c r="HXQ78" s="459"/>
      <c r="HXR78" s="448"/>
      <c r="HXS78" s="456"/>
      <c r="HXT78" s="449"/>
      <c r="HXU78" s="450"/>
      <c r="HXV78" s="452"/>
      <c r="HXW78" s="448"/>
      <c r="HXX78" s="449"/>
      <c r="HXY78" s="450"/>
      <c r="HXZ78" s="452"/>
      <c r="HYA78" s="448"/>
      <c r="HYB78" s="449"/>
      <c r="HYC78" s="450"/>
      <c r="HYD78" s="447"/>
      <c r="HYE78" s="448"/>
      <c r="HYF78" s="457"/>
      <c r="HYG78" s="460"/>
      <c r="HYH78" s="450"/>
      <c r="HYI78" s="461"/>
      <c r="HYJ78" s="448"/>
      <c r="HYK78" s="456"/>
      <c r="HYL78" s="449"/>
      <c r="HYM78" s="450"/>
      <c r="HYN78" s="452"/>
      <c r="HYO78" s="448"/>
      <c r="HYP78" s="456"/>
      <c r="HYQ78" s="458"/>
      <c r="HYR78" s="458"/>
      <c r="HYT78" s="454"/>
      <c r="HYU78" s="450"/>
      <c r="HYV78" s="454"/>
      <c r="HYW78" s="448"/>
      <c r="HYX78" s="449"/>
      <c r="HYY78" s="450"/>
      <c r="HYZ78" s="447"/>
      <c r="HZA78" s="448"/>
      <c r="HZB78" s="449"/>
      <c r="HZC78" s="450"/>
      <c r="HZD78" s="447"/>
      <c r="HZE78" s="451"/>
      <c r="HZF78" s="449"/>
      <c r="HZG78" s="450"/>
      <c r="HZH78" s="447"/>
      <c r="HZI78" s="451"/>
      <c r="HZJ78" s="449"/>
      <c r="HZK78" s="450"/>
      <c r="HZL78" s="447"/>
      <c r="HZM78" s="451"/>
      <c r="HZN78" s="449"/>
      <c r="HZO78" s="450"/>
      <c r="HZP78" s="452"/>
      <c r="HZQ78" s="451"/>
      <c r="HZR78" s="449"/>
      <c r="HZS78" s="450"/>
      <c r="HZT78" s="447"/>
      <c r="HZU78" s="448"/>
      <c r="HZV78" s="453"/>
      <c r="HZW78" s="449"/>
      <c r="HZX78" s="450"/>
      <c r="HZY78" s="454"/>
      <c r="HZZ78" s="448"/>
      <c r="IAB78" s="449"/>
      <c r="IAC78" s="450"/>
      <c r="IAD78" s="452"/>
      <c r="IAE78" s="448"/>
      <c r="IAG78" s="449"/>
      <c r="IAH78" s="450"/>
      <c r="IAI78" s="447"/>
      <c r="IAJ78" s="448"/>
      <c r="IAL78" s="449"/>
      <c r="IAM78" s="450"/>
      <c r="IAN78" s="452"/>
      <c r="IAO78" s="448"/>
      <c r="IAP78" s="449"/>
      <c r="IAQ78" s="450"/>
      <c r="IAR78" s="452"/>
      <c r="IAS78" s="448"/>
      <c r="IAT78" s="455"/>
      <c r="IAU78" s="449"/>
      <c r="IAV78" s="450"/>
      <c r="IAW78" s="459"/>
      <c r="IAX78" s="448"/>
      <c r="IAY78" s="456"/>
      <c r="IAZ78" s="449"/>
      <c r="IBA78" s="450"/>
      <c r="IBB78" s="452"/>
      <c r="IBC78" s="448"/>
      <c r="IBD78" s="449"/>
      <c r="IBE78" s="450"/>
      <c r="IBF78" s="452"/>
      <c r="IBG78" s="448"/>
      <c r="IBH78" s="449"/>
      <c r="IBI78" s="450"/>
      <c r="IBJ78" s="447"/>
      <c r="IBK78" s="448"/>
      <c r="IBL78" s="457"/>
      <c r="IBM78" s="460"/>
      <c r="IBN78" s="450"/>
      <c r="IBO78" s="461"/>
      <c r="IBP78" s="448"/>
      <c r="IBQ78" s="456"/>
      <c r="IBR78" s="449"/>
      <c r="IBS78" s="450"/>
      <c r="IBT78" s="452"/>
      <c r="IBU78" s="448"/>
      <c r="IBV78" s="456"/>
      <c r="IBW78" s="458"/>
      <c r="IBX78" s="458"/>
      <c r="IBZ78" s="454"/>
      <c r="ICA78" s="450"/>
      <c r="ICB78" s="454"/>
      <c r="ICC78" s="448"/>
      <c r="ICD78" s="449"/>
      <c r="ICE78" s="450"/>
      <c r="ICF78" s="447"/>
      <c r="ICG78" s="448"/>
      <c r="ICH78" s="449"/>
      <c r="ICI78" s="450"/>
      <c r="ICJ78" s="447"/>
      <c r="ICK78" s="451"/>
      <c r="ICL78" s="449"/>
      <c r="ICM78" s="450"/>
      <c r="ICN78" s="447"/>
      <c r="ICO78" s="451"/>
      <c r="ICP78" s="449"/>
      <c r="ICQ78" s="450"/>
      <c r="ICR78" s="447"/>
      <c r="ICS78" s="451"/>
      <c r="ICT78" s="449"/>
      <c r="ICU78" s="450"/>
      <c r="ICV78" s="452"/>
      <c r="ICW78" s="451"/>
      <c r="ICX78" s="449"/>
      <c r="ICY78" s="450"/>
      <c r="ICZ78" s="447"/>
      <c r="IDA78" s="448"/>
      <c r="IDB78" s="453"/>
      <c r="IDC78" s="449"/>
      <c r="IDD78" s="450"/>
      <c r="IDE78" s="454"/>
      <c r="IDF78" s="448"/>
      <c r="IDH78" s="449"/>
      <c r="IDI78" s="450"/>
      <c r="IDJ78" s="452"/>
      <c r="IDK78" s="448"/>
      <c r="IDM78" s="449"/>
      <c r="IDN78" s="450"/>
      <c r="IDO78" s="447"/>
      <c r="IDP78" s="448"/>
      <c r="IDR78" s="449"/>
      <c r="IDS78" s="450"/>
      <c r="IDT78" s="452"/>
      <c r="IDU78" s="448"/>
      <c r="IDV78" s="449"/>
      <c r="IDW78" s="450"/>
      <c r="IDX78" s="452"/>
      <c r="IDY78" s="448"/>
      <c r="IDZ78" s="455"/>
      <c r="IEA78" s="449"/>
      <c r="IEB78" s="450"/>
      <c r="IEC78" s="459"/>
      <c r="IED78" s="448"/>
      <c r="IEE78" s="456"/>
      <c r="IEF78" s="449"/>
      <c r="IEG78" s="450"/>
      <c r="IEH78" s="452"/>
      <c r="IEI78" s="448"/>
      <c r="IEJ78" s="449"/>
      <c r="IEK78" s="450"/>
      <c r="IEL78" s="452"/>
      <c r="IEM78" s="448"/>
      <c r="IEN78" s="449"/>
      <c r="IEO78" s="450"/>
      <c r="IEP78" s="447"/>
      <c r="IEQ78" s="448"/>
      <c r="IER78" s="457"/>
      <c r="IES78" s="460"/>
      <c r="IET78" s="450"/>
      <c r="IEU78" s="461"/>
      <c r="IEV78" s="448"/>
      <c r="IEW78" s="456"/>
      <c r="IEX78" s="449"/>
      <c r="IEY78" s="450"/>
      <c r="IEZ78" s="452"/>
      <c r="IFA78" s="448"/>
      <c r="IFB78" s="456"/>
      <c r="IFC78" s="458"/>
      <c r="IFD78" s="458"/>
      <c r="IFF78" s="454"/>
      <c r="IFG78" s="450"/>
      <c r="IFH78" s="454"/>
      <c r="IFI78" s="448"/>
      <c r="IFJ78" s="449"/>
      <c r="IFK78" s="450"/>
      <c r="IFL78" s="447"/>
      <c r="IFM78" s="448"/>
      <c r="IFN78" s="449"/>
      <c r="IFO78" s="450"/>
      <c r="IFP78" s="447"/>
      <c r="IFQ78" s="451"/>
      <c r="IFR78" s="449"/>
      <c r="IFS78" s="450"/>
      <c r="IFT78" s="447"/>
      <c r="IFU78" s="451"/>
      <c r="IFV78" s="449"/>
      <c r="IFW78" s="450"/>
      <c r="IFX78" s="447"/>
      <c r="IFY78" s="451"/>
      <c r="IFZ78" s="449"/>
      <c r="IGA78" s="450"/>
      <c r="IGB78" s="452"/>
      <c r="IGC78" s="451"/>
      <c r="IGD78" s="449"/>
      <c r="IGE78" s="450"/>
      <c r="IGF78" s="447"/>
      <c r="IGG78" s="448"/>
      <c r="IGH78" s="453"/>
      <c r="IGI78" s="449"/>
      <c r="IGJ78" s="450"/>
      <c r="IGK78" s="454"/>
      <c r="IGL78" s="448"/>
      <c r="IGN78" s="449"/>
      <c r="IGO78" s="450"/>
      <c r="IGP78" s="452"/>
      <c r="IGQ78" s="448"/>
      <c r="IGS78" s="449"/>
      <c r="IGT78" s="450"/>
      <c r="IGU78" s="447"/>
      <c r="IGV78" s="448"/>
      <c r="IGX78" s="449"/>
      <c r="IGY78" s="450"/>
      <c r="IGZ78" s="452"/>
      <c r="IHA78" s="448"/>
      <c r="IHB78" s="449"/>
      <c r="IHC78" s="450"/>
      <c r="IHD78" s="452"/>
      <c r="IHE78" s="448"/>
      <c r="IHF78" s="455"/>
      <c r="IHG78" s="449"/>
      <c r="IHH78" s="450"/>
      <c r="IHI78" s="459"/>
      <c r="IHJ78" s="448"/>
      <c r="IHK78" s="456"/>
      <c r="IHL78" s="449"/>
      <c r="IHM78" s="450"/>
      <c r="IHN78" s="452"/>
      <c r="IHO78" s="448"/>
      <c r="IHP78" s="449"/>
      <c r="IHQ78" s="450"/>
      <c r="IHR78" s="452"/>
      <c r="IHS78" s="448"/>
      <c r="IHT78" s="449"/>
      <c r="IHU78" s="450"/>
      <c r="IHV78" s="447"/>
      <c r="IHW78" s="448"/>
      <c r="IHX78" s="457"/>
      <c r="IHY78" s="460"/>
      <c r="IHZ78" s="450"/>
      <c r="IIA78" s="461"/>
      <c r="IIB78" s="448"/>
      <c r="IIC78" s="456"/>
      <c r="IID78" s="449"/>
      <c r="IIE78" s="450"/>
      <c r="IIF78" s="452"/>
      <c r="IIG78" s="448"/>
      <c r="IIH78" s="456"/>
      <c r="III78" s="458"/>
      <c r="IIJ78" s="458"/>
      <c r="IIL78" s="454"/>
      <c r="IIM78" s="450"/>
      <c r="IIN78" s="454"/>
      <c r="IIO78" s="448"/>
      <c r="IIP78" s="449"/>
      <c r="IIQ78" s="450"/>
      <c r="IIR78" s="447"/>
      <c r="IIS78" s="448"/>
      <c r="IIT78" s="449"/>
      <c r="IIU78" s="450"/>
      <c r="IIV78" s="447"/>
      <c r="IIW78" s="451"/>
      <c r="IIX78" s="449"/>
      <c r="IIY78" s="450"/>
      <c r="IIZ78" s="447"/>
      <c r="IJA78" s="451"/>
      <c r="IJB78" s="449"/>
      <c r="IJC78" s="450"/>
      <c r="IJD78" s="447"/>
      <c r="IJE78" s="451"/>
      <c r="IJF78" s="449"/>
      <c r="IJG78" s="450"/>
      <c r="IJH78" s="452"/>
      <c r="IJI78" s="451"/>
      <c r="IJJ78" s="449"/>
      <c r="IJK78" s="450"/>
      <c r="IJL78" s="447"/>
      <c r="IJM78" s="448"/>
      <c r="IJN78" s="453"/>
      <c r="IJO78" s="449"/>
      <c r="IJP78" s="450"/>
      <c r="IJQ78" s="454"/>
      <c r="IJR78" s="448"/>
      <c r="IJT78" s="449"/>
      <c r="IJU78" s="450"/>
      <c r="IJV78" s="452"/>
      <c r="IJW78" s="448"/>
      <c r="IJY78" s="449"/>
      <c r="IJZ78" s="450"/>
      <c r="IKA78" s="447"/>
      <c r="IKB78" s="448"/>
      <c r="IKD78" s="449"/>
      <c r="IKE78" s="450"/>
      <c r="IKF78" s="452"/>
      <c r="IKG78" s="448"/>
      <c r="IKH78" s="449"/>
      <c r="IKI78" s="450"/>
      <c r="IKJ78" s="452"/>
      <c r="IKK78" s="448"/>
      <c r="IKL78" s="455"/>
      <c r="IKM78" s="449"/>
      <c r="IKN78" s="450"/>
      <c r="IKO78" s="459"/>
      <c r="IKP78" s="448"/>
      <c r="IKQ78" s="456"/>
      <c r="IKR78" s="449"/>
      <c r="IKS78" s="450"/>
      <c r="IKT78" s="452"/>
      <c r="IKU78" s="448"/>
      <c r="IKV78" s="449"/>
      <c r="IKW78" s="450"/>
      <c r="IKX78" s="452"/>
      <c r="IKY78" s="448"/>
      <c r="IKZ78" s="449"/>
      <c r="ILA78" s="450"/>
      <c r="ILB78" s="447"/>
      <c r="ILC78" s="448"/>
      <c r="ILD78" s="457"/>
      <c r="ILE78" s="460"/>
      <c r="ILF78" s="450"/>
      <c r="ILG78" s="461"/>
      <c r="ILH78" s="448"/>
      <c r="ILI78" s="456"/>
      <c r="ILJ78" s="449"/>
      <c r="ILK78" s="450"/>
      <c r="ILL78" s="452"/>
      <c r="ILM78" s="448"/>
      <c r="ILN78" s="456"/>
      <c r="ILO78" s="458"/>
      <c r="ILP78" s="458"/>
      <c r="ILR78" s="454"/>
      <c r="ILS78" s="450"/>
      <c r="ILT78" s="454"/>
      <c r="ILU78" s="448"/>
      <c r="ILV78" s="449"/>
      <c r="ILW78" s="450"/>
      <c r="ILX78" s="447"/>
      <c r="ILY78" s="448"/>
      <c r="ILZ78" s="449"/>
      <c r="IMA78" s="450"/>
      <c r="IMB78" s="447"/>
      <c r="IMC78" s="451"/>
      <c r="IMD78" s="449"/>
      <c r="IME78" s="450"/>
      <c r="IMF78" s="447"/>
      <c r="IMG78" s="451"/>
      <c r="IMH78" s="449"/>
      <c r="IMI78" s="450"/>
      <c r="IMJ78" s="447"/>
      <c r="IMK78" s="451"/>
      <c r="IML78" s="449"/>
      <c r="IMM78" s="450"/>
      <c r="IMN78" s="452"/>
      <c r="IMO78" s="451"/>
      <c r="IMP78" s="449"/>
      <c r="IMQ78" s="450"/>
      <c r="IMR78" s="447"/>
      <c r="IMS78" s="448"/>
      <c r="IMT78" s="453"/>
      <c r="IMU78" s="449"/>
      <c r="IMV78" s="450"/>
      <c r="IMW78" s="454"/>
      <c r="IMX78" s="448"/>
      <c r="IMZ78" s="449"/>
      <c r="INA78" s="450"/>
      <c r="INB78" s="452"/>
      <c r="INC78" s="448"/>
      <c r="INE78" s="449"/>
      <c r="INF78" s="450"/>
      <c r="ING78" s="447"/>
      <c r="INH78" s="448"/>
      <c r="INJ78" s="449"/>
      <c r="INK78" s="450"/>
      <c r="INL78" s="452"/>
      <c r="INM78" s="448"/>
      <c r="INN78" s="449"/>
      <c r="INO78" s="450"/>
      <c r="INP78" s="452"/>
      <c r="INQ78" s="448"/>
      <c r="INR78" s="455"/>
      <c r="INS78" s="449"/>
      <c r="INT78" s="450"/>
      <c r="INU78" s="459"/>
      <c r="INV78" s="448"/>
      <c r="INW78" s="456"/>
      <c r="INX78" s="449"/>
      <c r="INY78" s="450"/>
      <c r="INZ78" s="452"/>
      <c r="IOA78" s="448"/>
      <c r="IOB78" s="449"/>
      <c r="IOC78" s="450"/>
      <c r="IOD78" s="452"/>
      <c r="IOE78" s="448"/>
      <c r="IOF78" s="449"/>
      <c r="IOG78" s="450"/>
      <c r="IOH78" s="447"/>
      <c r="IOI78" s="448"/>
      <c r="IOJ78" s="457"/>
      <c r="IOK78" s="460"/>
      <c r="IOL78" s="450"/>
      <c r="IOM78" s="461"/>
      <c r="ION78" s="448"/>
      <c r="IOO78" s="456"/>
      <c r="IOP78" s="449"/>
      <c r="IOQ78" s="450"/>
      <c r="IOR78" s="452"/>
      <c r="IOS78" s="448"/>
      <c r="IOT78" s="456"/>
      <c r="IOU78" s="458"/>
      <c r="IOV78" s="458"/>
      <c r="IOX78" s="454"/>
      <c r="IOY78" s="450"/>
      <c r="IOZ78" s="454"/>
      <c r="IPA78" s="448"/>
      <c r="IPB78" s="449"/>
      <c r="IPC78" s="450"/>
      <c r="IPD78" s="447"/>
      <c r="IPE78" s="448"/>
      <c r="IPF78" s="449"/>
      <c r="IPG78" s="450"/>
      <c r="IPH78" s="447"/>
      <c r="IPI78" s="451"/>
      <c r="IPJ78" s="449"/>
      <c r="IPK78" s="450"/>
      <c r="IPL78" s="447"/>
      <c r="IPM78" s="451"/>
      <c r="IPN78" s="449"/>
      <c r="IPO78" s="450"/>
      <c r="IPP78" s="447"/>
      <c r="IPQ78" s="451"/>
      <c r="IPR78" s="449"/>
      <c r="IPS78" s="450"/>
      <c r="IPT78" s="452"/>
      <c r="IPU78" s="451"/>
      <c r="IPV78" s="449"/>
      <c r="IPW78" s="450"/>
      <c r="IPX78" s="447"/>
      <c r="IPY78" s="448"/>
      <c r="IPZ78" s="453"/>
      <c r="IQA78" s="449"/>
      <c r="IQB78" s="450"/>
      <c r="IQC78" s="454"/>
      <c r="IQD78" s="448"/>
      <c r="IQF78" s="449"/>
      <c r="IQG78" s="450"/>
      <c r="IQH78" s="452"/>
      <c r="IQI78" s="448"/>
      <c r="IQK78" s="449"/>
      <c r="IQL78" s="450"/>
      <c r="IQM78" s="447"/>
      <c r="IQN78" s="448"/>
      <c r="IQP78" s="449"/>
      <c r="IQQ78" s="450"/>
      <c r="IQR78" s="452"/>
      <c r="IQS78" s="448"/>
      <c r="IQT78" s="449"/>
      <c r="IQU78" s="450"/>
      <c r="IQV78" s="452"/>
      <c r="IQW78" s="448"/>
      <c r="IQX78" s="455"/>
      <c r="IQY78" s="449"/>
      <c r="IQZ78" s="450"/>
      <c r="IRA78" s="459"/>
      <c r="IRB78" s="448"/>
      <c r="IRC78" s="456"/>
      <c r="IRD78" s="449"/>
      <c r="IRE78" s="450"/>
      <c r="IRF78" s="452"/>
      <c r="IRG78" s="448"/>
      <c r="IRH78" s="449"/>
      <c r="IRI78" s="450"/>
      <c r="IRJ78" s="452"/>
      <c r="IRK78" s="448"/>
      <c r="IRL78" s="449"/>
      <c r="IRM78" s="450"/>
      <c r="IRN78" s="447"/>
      <c r="IRO78" s="448"/>
      <c r="IRP78" s="457"/>
      <c r="IRQ78" s="460"/>
      <c r="IRR78" s="450"/>
      <c r="IRS78" s="461"/>
      <c r="IRT78" s="448"/>
      <c r="IRU78" s="456"/>
      <c r="IRV78" s="449"/>
      <c r="IRW78" s="450"/>
      <c r="IRX78" s="452"/>
      <c r="IRY78" s="448"/>
      <c r="IRZ78" s="456"/>
      <c r="ISA78" s="458"/>
      <c r="ISB78" s="458"/>
      <c r="ISD78" s="454"/>
      <c r="ISE78" s="450"/>
      <c r="ISF78" s="454"/>
      <c r="ISG78" s="448"/>
      <c r="ISH78" s="449"/>
      <c r="ISI78" s="450"/>
      <c r="ISJ78" s="447"/>
      <c r="ISK78" s="448"/>
      <c r="ISL78" s="449"/>
      <c r="ISM78" s="450"/>
      <c r="ISN78" s="447"/>
      <c r="ISO78" s="451"/>
      <c r="ISP78" s="449"/>
      <c r="ISQ78" s="450"/>
      <c r="ISR78" s="447"/>
      <c r="ISS78" s="451"/>
      <c r="IST78" s="449"/>
      <c r="ISU78" s="450"/>
      <c r="ISV78" s="447"/>
      <c r="ISW78" s="451"/>
      <c r="ISX78" s="449"/>
      <c r="ISY78" s="450"/>
      <c r="ISZ78" s="452"/>
      <c r="ITA78" s="451"/>
      <c r="ITB78" s="449"/>
      <c r="ITC78" s="450"/>
      <c r="ITD78" s="447"/>
      <c r="ITE78" s="448"/>
      <c r="ITF78" s="453"/>
      <c r="ITG78" s="449"/>
      <c r="ITH78" s="450"/>
      <c r="ITI78" s="454"/>
      <c r="ITJ78" s="448"/>
      <c r="ITL78" s="449"/>
      <c r="ITM78" s="450"/>
      <c r="ITN78" s="452"/>
      <c r="ITO78" s="448"/>
      <c r="ITQ78" s="449"/>
      <c r="ITR78" s="450"/>
      <c r="ITS78" s="447"/>
      <c r="ITT78" s="448"/>
      <c r="ITV78" s="449"/>
      <c r="ITW78" s="450"/>
      <c r="ITX78" s="452"/>
      <c r="ITY78" s="448"/>
      <c r="ITZ78" s="449"/>
      <c r="IUA78" s="450"/>
      <c r="IUB78" s="452"/>
      <c r="IUC78" s="448"/>
      <c r="IUD78" s="455"/>
      <c r="IUE78" s="449"/>
      <c r="IUF78" s="450"/>
      <c r="IUG78" s="459"/>
      <c r="IUH78" s="448"/>
      <c r="IUI78" s="456"/>
      <c r="IUJ78" s="449"/>
      <c r="IUK78" s="450"/>
      <c r="IUL78" s="452"/>
      <c r="IUM78" s="448"/>
      <c r="IUN78" s="449"/>
      <c r="IUO78" s="450"/>
      <c r="IUP78" s="452"/>
      <c r="IUQ78" s="448"/>
      <c r="IUR78" s="449"/>
      <c r="IUS78" s="450"/>
      <c r="IUT78" s="447"/>
      <c r="IUU78" s="448"/>
      <c r="IUV78" s="457"/>
      <c r="IUW78" s="460"/>
      <c r="IUX78" s="450"/>
      <c r="IUY78" s="461"/>
      <c r="IUZ78" s="448"/>
      <c r="IVA78" s="456"/>
      <c r="IVB78" s="449"/>
      <c r="IVC78" s="450"/>
      <c r="IVD78" s="452"/>
      <c r="IVE78" s="448"/>
      <c r="IVF78" s="456"/>
      <c r="IVG78" s="458"/>
      <c r="IVH78" s="458"/>
      <c r="IVJ78" s="454"/>
      <c r="IVK78" s="450"/>
      <c r="IVL78" s="454"/>
      <c r="IVM78" s="448"/>
      <c r="IVN78" s="449"/>
      <c r="IVO78" s="450"/>
      <c r="IVP78" s="447"/>
      <c r="IVQ78" s="448"/>
      <c r="IVR78" s="449"/>
      <c r="IVS78" s="450"/>
      <c r="IVT78" s="447"/>
      <c r="IVU78" s="451"/>
      <c r="IVV78" s="449"/>
      <c r="IVW78" s="450"/>
      <c r="IVX78" s="447"/>
      <c r="IVY78" s="451"/>
      <c r="IVZ78" s="449"/>
      <c r="IWA78" s="450"/>
      <c r="IWB78" s="447"/>
      <c r="IWC78" s="451"/>
      <c r="IWD78" s="449"/>
      <c r="IWE78" s="450"/>
      <c r="IWF78" s="452"/>
      <c r="IWG78" s="451"/>
      <c r="IWH78" s="449"/>
      <c r="IWI78" s="450"/>
      <c r="IWJ78" s="447"/>
      <c r="IWK78" s="448"/>
      <c r="IWL78" s="453"/>
      <c r="IWM78" s="449"/>
      <c r="IWN78" s="450"/>
      <c r="IWO78" s="454"/>
      <c r="IWP78" s="448"/>
      <c r="IWR78" s="449"/>
      <c r="IWS78" s="450"/>
      <c r="IWT78" s="452"/>
      <c r="IWU78" s="448"/>
      <c r="IWW78" s="449"/>
      <c r="IWX78" s="450"/>
      <c r="IWY78" s="447"/>
      <c r="IWZ78" s="448"/>
      <c r="IXB78" s="449"/>
      <c r="IXC78" s="450"/>
      <c r="IXD78" s="452"/>
      <c r="IXE78" s="448"/>
      <c r="IXF78" s="449"/>
      <c r="IXG78" s="450"/>
      <c r="IXH78" s="452"/>
      <c r="IXI78" s="448"/>
      <c r="IXJ78" s="455"/>
      <c r="IXK78" s="449"/>
      <c r="IXL78" s="450"/>
      <c r="IXM78" s="459"/>
      <c r="IXN78" s="448"/>
      <c r="IXO78" s="456"/>
      <c r="IXP78" s="449"/>
      <c r="IXQ78" s="450"/>
      <c r="IXR78" s="452"/>
      <c r="IXS78" s="448"/>
      <c r="IXT78" s="449"/>
      <c r="IXU78" s="450"/>
      <c r="IXV78" s="452"/>
      <c r="IXW78" s="448"/>
      <c r="IXX78" s="449"/>
      <c r="IXY78" s="450"/>
      <c r="IXZ78" s="447"/>
      <c r="IYA78" s="448"/>
      <c r="IYB78" s="457"/>
      <c r="IYC78" s="460"/>
      <c r="IYD78" s="450"/>
      <c r="IYE78" s="461"/>
      <c r="IYF78" s="448"/>
      <c r="IYG78" s="456"/>
      <c r="IYH78" s="449"/>
      <c r="IYI78" s="450"/>
      <c r="IYJ78" s="452"/>
      <c r="IYK78" s="448"/>
      <c r="IYL78" s="456"/>
      <c r="IYM78" s="458"/>
      <c r="IYN78" s="458"/>
      <c r="IYP78" s="454"/>
      <c r="IYQ78" s="450"/>
      <c r="IYR78" s="454"/>
      <c r="IYS78" s="448"/>
      <c r="IYT78" s="449"/>
      <c r="IYU78" s="450"/>
      <c r="IYV78" s="447"/>
      <c r="IYW78" s="448"/>
      <c r="IYX78" s="449"/>
      <c r="IYY78" s="450"/>
      <c r="IYZ78" s="447"/>
      <c r="IZA78" s="451"/>
      <c r="IZB78" s="449"/>
      <c r="IZC78" s="450"/>
      <c r="IZD78" s="447"/>
      <c r="IZE78" s="451"/>
      <c r="IZF78" s="449"/>
      <c r="IZG78" s="450"/>
      <c r="IZH78" s="447"/>
      <c r="IZI78" s="451"/>
      <c r="IZJ78" s="449"/>
      <c r="IZK78" s="450"/>
      <c r="IZL78" s="452"/>
      <c r="IZM78" s="451"/>
      <c r="IZN78" s="449"/>
      <c r="IZO78" s="450"/>
      <c r="IZP78" s="447"/>
      <c r="IZQ78" s="448"/>
      <c r="IZR78" s="453"/>
      <c r="IZS78" s="449"/>
      <c r="IZT78" s="450"/>
      <c r="IZU78" s="454"/>
      <c r="IZV78" s="448"/>
      <c r="IZX78" s="449"/>
      <c r="IZY78" s="450"/>
      <c r="IZZ78" s="452"/>
      <c r="JAA78" s="448"/>
      <c r="JAC78" s="449"/>
      <c r="JAD78" s="450"/>
      <c r="JAE78" s="447"/>
      <c r="JAF78" s="448"/>
      <c r="JAH78" s="449"/>
      <c r="JAI78" s="450"/>
      <c r="JAJ78" s="452"/>
      <c r="JAK78" s="448"/>
      <c r="JAL78" s="449"/>
      <c r="JAM78" s="450"/>
      <c r="JAN78" s="452"/>
      <c r="JAO78" s="448"/>
      <c r="JAP78" s="455"/>
      <c r="JAQ78" s="449"/>
      <c r="JAR78" s="450"/>
      <c r="JAS78" s="459"/>
      <c r="JAT78" s="448"/>
      <c r="JAU78" s="456"/>
      <c r="JAV78" s="449"/>
      <c r="JAW78" s="450"/>
      <c r="JAX78" s="452"/>
      <c r="JAY78" s="448"/>
      <c r="JAZ78" s="449"/>
      <c r="JBA78" s="450"/>
      <c r="JBB78" s="452"/>
      <c r="JBC78" s="448"/>
      <c r="JBD78" s="449"/>
      <c r="JBE78" s="450"/>
      <c r="JBF78" s="447"/>
      <c r="JBG78" s="448"/>
      <c r="JBH78" s="457"/>
      <c r="JBI78" s="460"/>
      <c r="JBJ78" s="450"/>
      <c r="JBK78" s="461"/>
      <c r="JBL78" s="448"/>
      <c r="JBM78" s="456"/>
      <c r="JBN78" s="449"/>
      <c r="JBO78" s="450"/>
      <c r="JBP78" s="452"/>
      <c r="JBQ78" s="448"/>
      <c r="JBR78" s="456"/>
      <c r="JBS78" s="458"/>
      <c r="JBT78" s="458"/>
      <c r="JBV78" s="454"/>
      <c r="JBW78" s="450"/>
      <c r="JBX78" s="454"/>
      <c r="JBY78" s="448"/>
      <c r="JBZ78" s="449"/>
      <c r="JCA78" s="450"/>
      <c r="JCB78" s="447"/>
      <c r="JCC78" s="448"/>
      <c r="JCD78" s="449"/>
      <c r="JCE78" s="450"/>
      <c r="JCF78" s="447"/>
      <c r="JCG78" s="451"/>
      <c r="JCH78" s="449"/>
      <c r="JCI78" s="450"/>
      <c r="JCJ78" s="447"/>
      <c r="JCK78" s="451"/>
      <c r="JCL78" s="449"/>
      <c r="JCM78" s="450"/>
      <c r="JCN78" s="447"/>
      <c r="JCO78" s="451"/>
      <c r="JCP78" s="449"/>
      <c r="JCQ78" s="450"/>
      <c r="JCR78" s="452"/>
      <c r="JCS78" s="451"/>
      <c r="JCT78" s="449"/>
      <c r="JCU78" s="450"/>
      <c r="JCV78" s="447"/>
      <c r="JCW78" s="448"/>
      <c r="JCX78" s="453"/>
      <c r="JCY78" s="449"/>
      <c r="JCZ78" s="450"/>
      <c r="JDA78" s="454"/>
      <c r="JDB78" s="448"/>
      <c r="JDD78" s="449"/>
      <c r="JDE78" s="450"/>
      <c r="JDF78" s="452"/>
      <c r="JDG78" s="448"/>
      <c r="JDI78" s="449"/>
      <c r="JDJ78" s="450"/>
      <c r="JDK78" s="447"/>
      <c r="JDL78" s="448"/>
      <c r="JDN78" s="449"/>
      <c r="JDO78" s="450"/>
      <c r="JDP78" s="452"/>
      <c r="JDQ78" s="448"/>
      <c r="JDR78" s="449"/>
      <c r="JDS78" s="450"/>
      <c r="JDT78" s="452"/>
      <c r="JDU78" s="448"/>
      <c r="JDV78" s="455"/>
      <c r="JDW78" s="449"/>
      <c r="JDX78" s="450"/>
      <c r="JDY78" s="459"/>
      <c r="JDZ78" s="448"/>
      <c r="JEA78" s="456"/>
      <c r="JEB78" s="449"/>
      <c r="JEC78" s="450"/>
      <c r="JED78" s="452"/>
      <c r="JEE78" s="448"/>
      <c r="JEF78" s="449"/>
      <c r="JEG78" s="450"/>
      <c r="JEH78" s="452"/>
      <c r="JEI78" s="448"/>
      <c r="JEJ78" s="449"/>
      <c r="JEK78" s="450"/>
      <c r="JEL78" s="447"/>
      <c r="JEM78" s="448"/>
      <c r="JEN78" s="457"/>
      <c r="JEO78" s="460"/>
      <c r="JEP78" s="450"/>
      <c r="JEQ78" s="461"/>
      <c r="JER78" s="448"/>
      <c r="JES78" s="456"/>
      <c r="JET78" s="449"/>
      <c r="JEU78" s="450"/>
      <c r="JEV78" s="452"/>
      <c r="JEW78" s="448"/>
      <c r="JEX78" s="456"/>
      <c r="JEY78" s="458"/>
      <c r="JEZ78" s="458"/>
      <c r="JFB78" s="454"/>
      <c r="JFC78" s="450"/>
      <c r="JFD78" s="454"/>
      <c r="JFE78" s="448"/>
      <c r="JFF78" s="449"/>
      <c r="JFG78" s="450"/>
      <c r="JFH78" s="447"/>
      <c r="JFI78" s="448"/>
      <c r="JFJ78" s="449"/>
      <c r="JFK78" s="450"/>
      <c r="JFL78" s="447"/>
      <c r="JFM78" s="451"/>
      <c r="JFN78" s="449"/>
      <c r="JFO78" s="450"/>
      <c r="JFP78" s="447"/>
      <c r="JFQ78" s="451"/>
      <c r="JFR78" s="449"/>
      <c r="JFS78" s="450"/>
      <c r="JFT78" s="447"/>
      <c r="JFU78" s="451"/>
      <c r="JFV78" s="449"/>
      <c r="JFW78" s="450"/>
      <c r="JFX78" s="452"/>
      <c r="JFY78" s="451"/>
      <c r="JFZ78" s="449"/>
      <c r="JGA78" s="450"/>
      <c r="JGB78" s="447"/>
      <c r="JGC78" s="448"/>
      <c r="JGD78" s="453"/>
      <c r="JGE78" s="449"/>
      <c r="JGF78" s="450"/>
      <c r="JGG78" s="454"/>
      <c r="JGH78" s="448"/>
      <c r="JGJ78" s="449"/>
      <c r="JGK78" s="450"/>
      <c r="JGL78" s="452"/>
      <c r="JGM78" s="448"/>
      <c r="JGO78" s="449"/>
      <c r="JGP78" s="450"/>
      <c r="JGQ78" s="447"/>
      <c r="JGR78" s="448"/>
      <c r="JGT78" s="449"/>
      <c r="JGU78" s="450"/>
      <c r="JGV78" s="452"/>
      <c r="JGW78" s="448"/>
      <c r="JGX78" s="449"/>
      <c r="JGY78" s="450"/>
      <c r="JGZ78" s="452"/>
      <c r="JHA78" s="448"/>
      <c r="JHB78" s="455"/>
      <c r="JHC78" s="449"/>
      <c r="JHD78" s="450"/>
      <c r="JHE78" s="459"/>
      <c r="JHF78" s="448"/>
      <c r="JHG78" s="456"/>
      <c r="JHH78" s="449"/>
      <c r="JHI78" s="450"/>
      <c r="JHJ78" s="452"/>
      <c r="JHK78" s="448"/>
      <c r="JHL78" s="449"/>
      <c r="JHM78" s="450"/>
      <c r="JHN78" s="452"/>
      <c r="JHO78" s="448"/>
      <c r="JHP78" s="449"/>
      <c r="JHQ78" s="450"/>
      <c r="JHR78" s="447"/>
      <c r="JHS78" s="448"/>
      <c r="JHT78" s="457"/>
      <c r="JHU78" s="460"/>
      <c r="JHV78" s="450"/>
      <c r="JHW78" s="461"/>
      <c r="JHX78" s="448"/>
      <c r="JHY78" s="456"/>
      <c r="JHZ78" s="449"/>
      <c r="JIA78" s="450"/>
      <c r="JIB78" s="452"/>
      <c r="JIC78" s="448"/>
      <c r="JID78" s="456"/>
      <c r="JIE78" s="458"/>
      <c r="JIF78" s="458"/>
      <c r="JIH78" s="454"/>
      <c r="JII78" s="450"/>
      <c r="JIJ78" s="454"/>
      <c r="JIK78" s="448"/>
      <c r="JIL78" s="449"/>
      <c r="JIM78" s="450"/>
      <c r="JIN78" s="447"/>
      <c r="JIO78" s="448"/>
      <c r="JIP78" s="449"/>
      <c r="JIQ78" s="450"/>
      <c r="JIR78" s="447"/>
      <c r="JIS78" s="451"/>
      <c r="JIT78" s="449"/>
      <c r="JIU78" s="450"/>
      <c r="JIV78" s="447"/>
      <c r="JIW78" s="451"/>
      <c r="JIX78" s="449"/>
      <c r="JIY78" s="450"/>
      <c r="JIZ78" s="447"/>
      <c r="JJA78" s="451"/>
      <c r="JJB78" s="449"/>
      <c r="JJC78" s="450"/>
      <c r="JJD78" s="452"/>
      <c r="JJE78" s="451"/>
      <c r="JJF78" s="449"/>
      <c r="JJG78" s="450"/>
      <c r="JJH78" s="447"/>
      <c r="JJI78" s="448"/>
      <c r="JJJ78" s="453"/>
      <c r="JJK78" s="449"/>
      <c r="JJL78" s="450"/>
      <c r="JJM78" s="454"/>
      <c r="JJN78" s="448"/>
      <c r="JJP78" s="449"/>
      <c r="JJQ78" s="450"/>
      <c r="JJR78" s="452"/>
      <c r="JJS78" s="448"/>
      <c r="JJU78" s="449"/>
      <c r="JJV78" s="450"/>
      <c r="JJW78" s="447"/>
      <c r="JJX78" s="448"/>
      <c r="JJZ78" s="449"/>
      <c r="JKA78" s="450"/>
      <c r="JKB78" s="452"/>
      <c r="JKC78" s="448"/>
      <c r="JKD78" s="449"/>
      <c r="JKE78" s="450"/>
      <c r="JKF78" s="452"/>
      <c r="JKG78" s="448"/>
      <c r="JKH78" s="455"/>
      <c r="JKI78" s="449"/>
      <c r="JKJ78" s="450"/>
      <c r="JKK78" s="459"/>
      <c r="JKL78" s="448"/>
      <c r="JKM78" s="456"/>
      <c r="JKN78" s="449"/>
      <c r="JKO78" s="450"/>
      <c r="JKP78" s="452"/>
      <c r="JKQ78" s="448"/>
      <c r="JKR78" s="449"/>
      <c r="JKS78" s="450"/>
      <c r="JKT78" s="452"/>
      <c r="JKU78" s="448"/>
      <c r="JKV78" s="449"/>
      <c r="JKW78" s="450"/>
      <c r="JKX78" s="447"/>
      <c r="JKY78" s="448"/>
      <c r="JKZ78" s="457"/>
      <c r="JLA78" s="460"/>
      <c r="JLB78" s="450"/>
      <c r="JLC78" s="461"/>
      <c r="JLD78" s="448"/>
      <c r="JLE78" s="456"/>
      <c r="JLF78" s="449"/>
      <c r="JLG78" s="450"/>
      <c r="JLH78" s="452"/>
      <c r="JLI78" s="448"/>
      <c r="JLJ78" s="456"/>
      <c r="JLK78" s="458"/>
      <c r="JLL78" s="458"/>
      <c r="JLN78" s="454"/>
      <c r="JLO78" s="450"/>
      <c r="JLP78" s="454"/>
      <c r="JLQ78" s="448"/>
      <c r="JLR78" s="449"/>
      <c r="JLS78" s="450"/>
      <c r="JLT78" s="447"/>
      <c r="JLU78" s="448"/>
      <c r="JLV78" s="449"/>
      <c r="JLW78" s="450"/>
      <c r="JLX78" s="447"/>
      <c r="JLY78" s="451"/>
      <c r="JLZ78" s="449"/>
      <c r="JMA78" s="450"/>
      <c r="JMB78" s="447"/>
      <c r="JMC78" s="451"/>
      <c r="JMD78" s="449"/>
      <c r="JME78" s="450"/>
      <c r="JMF78" s="447"/>
      <c r="JMG78" s="451"/>
      <c r="JMH78" s="449"/>
      <c r="JMI78" s="450"/>
      <c r="JMJ78" s="452"/>
      <c r="JMK78" s="451"/>
      <c r="JML78" s="449"/>
      <c r="JMM78" s="450"/>
      <c r="JMN78" s="447"/>
      <c r="JMO78" s="448"/>
      <c r="JMP78" s="453"/>
      <c r="JMQ78" s="449"/>
      <c r="JMR78" s="450"/>
      <c r="JMS78" s="454"/>
      <c r="JMT78" s="448"/>
      <c r="JMV78" s="449"/>
      <c r="JMW78" s="450"/>
      <c r="JMX78" s="452"/>
      <c r="JMY78" s="448"/>
      <c r="JNA78" s="449"/>
      <c r="JNB78" s="450"/>
      <c r="JNC78" s="447"/>
      <c r="JND78" s="448"/>
      <c r="JNF78" s="449"/>
      <c r="JNG78" s="450"/>
      <c r="JNH78" s="452"/>
      <c r="JNI78" s="448"/>
      <c r="JNJ78" s="449"/>
      <c r="JNK78" s="450"/>
      <c r="JNL78" s="452"/>
      <c r="JNM78" s="448"/>
      <c r="JNN78" s="455"/>
      <c r="JNO78" s="449"/>
      <c r="JNP78" s="450"/>
      <c r="JNQ78" s="459"/>
      <c r="JNR78" s="448"/>
      <c r="JNS78" s="456"/>
      <c r="JNT78" s="449"/>
      <c r="JNU78" s="450"/>
      <c r="JNV78" s="452"/>
      <c r="JNW78" s="448"/>
      <c r="JNX78" s="449"/>
      <c r="JNY78" s="450"/>
      <c r="JNZ78" s="452"/>
      <c r="JOA78" s="448"/>
      <c r="JOB78" s="449"/>
      <c r="JOC78" s="450"/>
      <c r="JOD78" s="447"/>
      <c r="JOE78" s="448"/>
      <c r="JOF78" s="457"/>
      <c r="JOG78" s="460"/>
      <c r="JOH78" s="450"/>
      <c r="JOI78" s="461"/>
      <c r="JOJ78" s="448"/>
      <c r="JOK78" s="456"/>
      <c r="JOL78" s="449"/>
      <c r="JOM78" s="450"/>
      <c r="JON78" s="452"/>
      <c r="JOO78" s="448"/>
      <c r="JOP78" s="456"/>
      <c r="JOQ78" s="458"/>
      <c r="JOR78" s="458"/>
      <c r="JOT78" s="454"/>
      <c r="JOU78" s="450"/>
      <c r="JOV78" s="454"/>
      <c r="JOW78" s="448"/>
      <c r="JOX78" s="449"/>
      <c r="JOY78" s="450"/>
      <c r="JOZ78" s="447"/>
      <c r="JPA78" s="448"/>
      <c r="JPB78" s="449"/>
      <c r="JPC78" s="450"/>
      <c r="JPD78" s="447"/>
      <c r="JPE78" s="451"/>
      <c r="JPF78" s="449"/>
      <c r="JPG78" s="450"/>
      <c r="JPH78" s="447"/>
      <c r="JPI78" s="451"/>
      <c r="JPJ78" s="449"/>
      <c r="JPK78" s="450"/>
      <c r="JPL78" s="447"/>
      <c r="JPM78" s="451"/>
      <c r="JPN78" s="449"/>
      <c r="JPO78" s="450"/>
      <c r="JPP78" s="452"/>
      <c r="JPQ78" s="451"/>
      <c r="JPR78" s="449"/>
      <c r="JPS78" s="450"/>
      <c r="JPT78" s="447"/>
      <c r="JPU78" s="448"/>
      <c r="JPV78" s="453"/>
      <c r="JPW78" s="449"/>
      <c r="JPX78" s="450"/>
      <c r="JPY78" s="454"/>
      <c r="JPZ78" s="448"/>
      <c r="JQB78" s="449"/>
      <c r="JQC78" s="450"/>
      <c r="JQD78" s="452"/>
      <c r="JQE78" s="448"/>
      <c r="JQG78" s="449"/>
      <c r="JQH78" s="450"/>
      <c r="JQI78" s="447"/>
      <c r="JQJ78" s="448"/>
      <c r="JQL78" s="449"/>
      <c r="JQM78" s="450"/>
      <c r="JQN78" s="452"/>
      <c r="JQO78" s="448"/>
      <c r="JQP78" s="449"/>
      <c r="JQQ78" s="450"/>
      <c r="JQR78" s="452"/>
      <c r="JQS78" s="448"/>
      <c r="JQT78" s="455"/>
      <c r="JQU78" s="449"/>
      <c r="JQV78" s="450"/>
      <c r="JQW78" s="459"/>
      <c r="JQX78" s="448"/>
      <c r="JQY78" s="456"/>
      <c r="JQZ78" s="449"/>
      <c r="JRA78" s="450"/>
      <c r="JRB78" s="452"/>
      <c r="JRC78" s="448"/>
      <c r="JRD78" s="449"/>
      <c r="JRE78" s="450"/>
      <c r="JRF78" s="452"/>
      <c r="JRG78" s="448"/>
      <c r="JRH78" s="449"/>
      <c r="JRI78" s="450"/>
      <c r="JRJ78" s="447"/>
      <c r="JRK78" s="448"/>
      <c r="JRL78" s="457"/>
      <c r="JRM78" s="460"/>
      <c r="JRN78" s="450"/>
      <c r="JRO78" s="461"/>
      <c r="JRP78" s="448"/>
      <c r="JRQ78" s="456"/>
      <c r="JRR78" s="449"/>
      <c r="JRS78" s="450"/>
      <c r="JRT78" s="452"/>
      <c r="JRU78" s="448"/>
      <c r="JRV78" s="456"/>
      <c r="JRW78" s="458"/>
      <c r="JRX78" s="458"/>
      <c r="JRZ78" s="454"/>
      <c r="JSA78" s="450"/>
      <c r="JSB78" s="454"/>
      <c r="JSC78" s="448"/>
      <c r="JSD78" s="449"/>
      <c r="JSE78" s="450"/>
      <c r="JSF78" s="447"/>
      <c r="JSG78" s="448"/>
      <c r="JSH78" s="449"/>
      <c r="JSI78" s="450"/>
      <c r="JSJ78" s="447"/>
      <c r="JSK78" s="451"/>
      <c r="JSL78" s="449"/>
      <c r="JSM78" s="450"/>
      <c r="JSN78" s="447"/>
      <c r="JSO78" s="451"/>
      <c r="JSP78" s="449"/>
      <c r="JSQ78" s="450"/>
      <c r="JSR78" s="447"/>
      <c r="JSS78" s="451"/>
      <c r="JST78" s="449"/>
      <c r="JSU78" s="450"/>
      <c r="JSV78" s="452"/>
      <c r="JSW78" s="451"/>
      <c r="JSX78" s="449"/>
      <c r="JSY78" s="450"/>
      <c r="JSZ78" s="447"/>
      <c r="JTA78" s="448"/>
      <c r="JTB78" s="453"/>
      <c r="JTC78" s="449"/>
      <c r="JTD78" s="450"/>
      <c r="JTE78" s="454"/>
      <c r="JTF78" s="448"/>
      <c r="JTH78" s="449"/>
      <c r="JTI78" s="450"/>
      <c r="JTJ78" s="452"/>
      <c r="JTK78" s="448"/>
      <c r="JTM78" s="449"/>
      <c r="JTN78" s="450"/>
      <c r="JTO78" s="447"/>
      <c r="JTP78" s="448"/>
      <c r="JTR78" s="449"/>
      <c r="JTS78" s="450"/>
      <c r="JTT78" s="452"/>
      <c r="JTU78" s="448"/>
      <c r="JTV78" s="449"/>
      <c r="JTW78" s="450"/>
      <c r="JTX78" s="452"/>
      <c r="JTY78" s="448"/>
      <c r="JTZ78" s="455"/>
      <c r="JUA78" s="449"/>
      <c r="JUB78" s="450"/>
      <c r="JUC78" s="459"/>
      <c r="JUD78" s="448"/>
      <c r="JUE78" s="456"/>
      <c r="JUF78" s="449"/>
      <c r="JUG78" s="450"/>
      <c r="JUH78" s="452"/>
      <c r="JUI78" s="448"/>
      <c r="JUJ78" s="449"/>
      <c r="JUK78" s="450"/>
      <c r="JUL78" s="452"/>
      <c r="JUM78" s="448"/>
      <c r="JUN78" s="449"/>
      <c r="JUO78" s="450"/>
      <c r="JUP78" s="447"/>
      <c r="JUQ78" s="448"/>
      <c r="JUR78" s="457"/>
      <c r="JUS78" s="460"/>
      <c r="JUT78" s="450"/>
      <c r="JUU78" s="461"/>
      <c r="JUV78" s="448"/>
      <c r="JUW78" s="456"/>
      <c r="JUX78" s="449"/>
      <c r="JUY78" s="450"/>
      <c r="JUZ78" s="452"/>
      <c r="JVA78" s="448"/>
      <c r="JVB78" s="456"/>
      <c r="JVC78" s="458"/>
      <c r="JVD78" s="458"/>
      <c r="JVF78" s="454"/>
      <c r="JVG78" s="450"/>
      <c r="JVH78" s="454"/>
      <c r="JVI78" s="448"/>
      <c r="JVJ78" s="449"/>
      <c r="JVK78" s="450"/>
      <c r="JVL78" s="447"/>
      <c r="JVM78" s="448"/>
      <c r="JVN78" s="449"/>
      <c r="JVO78" s="450"/>
      <c r="JVP78" s="447"/>
      <c r="JVQ78" s="451"/>
      <c r="JVR78" s="449"/>
      <c r="JVS78" s="450"/>
      <c r="JVT78" s="447"/>
      <c r="JVU78" s="451"/>
      <c r="JVV78" s="449"/>
      <c r="JVW78" s="450"/>
      <c r="JVX78" s="447"/>
      <c r="JVY78" s="451"/>
      <c r="JVZ78" s="449"/>
      <c r="JWA78" s="450"/>
      <c r="JWB78" s="452"/>
      <c r="JWC78" s="451"/>
      <c r="JWD78" s="449"/>
      <c r="JWE78" s="450"/>
      <c r="JWF78" s="447"/>
      <c r="JWG78" s="448"/>
      <c r="JWH78" s="453"/>
      <c r="JWI78" s="449"/>
      <c r="JWJ78" s="450"/>
      <c r="JWK78" s="454"/>
      <c r="JWL78" s="448"/>
      <c r="JWN78" s="449"/>
      <c r="JWO78" s="450"/>
      <c r="JWP78" s="452"/>
      <c r="JWQ78" s="448"/>
      <c r="JWS78" s="449"/>
      <c r="JWT78" s="450"/>
      <c r="JWU78" s="447"/>
      <c r="JWV78" s="448"/>
      <c r="JWX78" s="449"/>
      <c r="JWY78" s="450"/>
      <c r="JWZ78" s="452"/>
      <c r="JXA78" s="448"/>
      <c r="JXB78" s="449"/>
      <c r="JXC78" s="450"/>
      <c r="JXD78" s="452"/>
      <c r="JXE78" s="448"/>
      <c r="JXF78" s="455"/>
      <c r="JXG78" s="449"/>
      <c r="JXH78" s="450"/>
      <c r="JXI78" s="459"/>
      <c r="JXJ78" s="448"/>
      <c r="JXK78" s="456"/>
      <c r="JXL78" s="449"/>
      <c r="JXM78" s="450"/>
      <c r="JXN78" s="452"/>
      <c r="JXO78" s="448"/>
      <c r="JXP78" s="449"/>
      <c r="JXQ78" s="450"/>
      <c r="JXR78" s="452"/>
      <c r="JXS78" s="448"/>
      <c r="JXT78" s="449"/>
      <c r="JXU78" s="450"/>
      <c r="JXV78" s="447"/>
      <c r="JXW78" s="448"/>
      <c r="JXX78" s="457"/>
      <c r="JXY78" s="460"/>
      <c r="JXZ78" s="450"/>
      <c r="JYA78" s="461"/>
      <c r="JYB78" s="448"/>
      <c r="JYC78" s="456"/>
      <c r="JYD78" s="449"/>
      <c r="JYE78" s="450"/>
      <c r="JYF78" s="452"/>
      <c r="JYG78" s="448"/>
      <c r="JYH78" s="456"/>
      <c r="JYI78" s="458"/>
      <c r="JYJ78" s="458"/>
      <c r="JYL78" s="454"/>
      <c r="JYM78" s="450"/>
      <c r="JYN78" s="454"/>
      <c r="JYO78" s="448"/>
      <c r="JYP78" s="449"/>
      <c r="JYQ78" s="450"/>
      <c r="JYR78" s="447"/>
      <c r="JYS78" s="448"/>
      <c r="JYT78" s="449"/>
      <c r="JYU78" s="450"/>
      <c r="JYV78" s="447"/>
      <c r="JYW78" s="451"/>
      <c r="JYX78" s="449"/>
      <c r="JYY78" s="450"/>
      <c r="JYZ78" s="447"/>
      <c r="JZA78" s="451"/>
      <c r="JZB78" s="449"/>
      <c r="JZC78" s="450"/>
      <c r="JZD78" s="447"/>
      <c r="JZE78" s="451"/>
      <c r="JZF78" s="449"/>
      <c r="JZG78" s="450"/>
      <c r="JZH78" s="452"/>
      <c r="JZI78" s="451"/>
      <c r="JZJ78" s="449"/>
      <c r="JZK78" s="450"/>
      <c r="JZL78" s="447"/>
      <c r="JZM78" s="448"/>
      <c r="JZN78" s="453"/>
      <c r="JZO78" s="449"/>
      <c r="JZP78" s="450"/>
      <c r="JZQ78" s="454"/>
      <c r="JZR78" s="448"/>
      <c r="JZT78" s="449"/>
      <c r="JZU78" s="450"/>
      <c r="JZV78" s="452"/>
      <c r="JZW78" s="448"/>
      <c r="JZY78" s="449"/>
      <c r="JZZ78" s="450"/>
      <c r="KAA78" s="447"/>
      <c r="KAB78" s="448"/>
      <c r="KAD78" s="449"/>
      <c r="KAE78" s="450"/>
      <c r="KAF78" s="452"/>
      <c r="KAG78" s="448"/>
      <c r="KAH78" s="449"/>
      <c r="KAI78" s="450"/>
      <c r="KAJ78" s="452"/>
      <c r="KAK78" s="448"/>
      <c r="KAL78" s="455"/>
      <c r="KAM78" s="449"/>
      <c r="KAN78" s="450"/>
      <c r="KAO78" s="459"/>
      <c r="KAP78" s="448"/>
      <c r="KAQ78" s="456"/>
      <c r="KAR78" s="449"/>
      <c r="KAS78" s="450"/>
      <c r="KAT78" s="452"/>
      <c r="KAU78" s="448"/>
      <c r="KAV78" s="449"/>
      <c r="KAW78" s="450"/>
      <c r="KAX78" s="452"/>
      <c r="KAY78" s="448"/>
      <c r="KAZ78" s="449"/>
      <c r="KBA78" s="450"/>
      <c r="KBB78" s="447"/>
      <c r="KBC78" s="448"/>
      <c r="KBD78" s="457"/>
      <c r="KBE78" s="460"/>
      <c r="KBF78" s="450"/>
      <c r="KBG78" s="461"/>
      <c r="KBH78" s="448"/>
      <c r="KBI78" s="456"/>
      <c r="KBJ78" s="449"/>
      <c r="KBK78" s="450"/>
      <c r="KBL78" s="452"/>
      <c r="KBM78" s="448"/>
      <c r="KBN78" s="456"/>
      <c r="KBO78" s="458"/>
      <c r="KBP78" s="458"/>
      <c r="KBR78" s="454"/>
      <c r="KBS78" s="450"/>
      <c r="KBT78" s="454"/>
      <c r="KBU78" s="448"/>
      <c r="KBV78" s="449"/>
      <c r="KBW78" s="450"/>
      <c r="KBX78" s="447"/>
      <c r="KBY78" s="448"/>
      <c r="KBZ78" s="449"/>
      <c r="KCA78" s="450"/>
      <c r="KCB78" s="447"/>
      <c r="KCC78" s="451"/>
      <c r="KCD78" s="449"/>
      <c r="KCE78" s="450"/>
      <c r="KCF78" s="447"/>
      <c r="KCG78" s="451"/>
      <c r="KCH78" s="449"/>
      <c r="KCI78" s="450"/>
      <c r="KCJ78" s="447"/>
      <c r="KCK78" s="451"/>
      <c r="KCL78" s="449"/>
      <c r="KCM78" s="450"/>
      <c r="KCN78" s="452"/>
      <c r="KCO78" s="451"/>
      <c r="KCP78" s="449"/>
      <c r="KCQ78" s="450"/>
      <c r="KCR78" s="447"/>
      <c r="KCS78" s="448"/>
      <c r="KCT78" s="453"/>
      <c r="KCU78" s="449"/>
      <c r="KCV78" s="450"/>
      <c r="KCW78" s="454"/>
      <c r="KCX78" s="448"/>
      <c r="KCZ78" s="449"/>
      <c r="KDA78" s="450"/>
      <c r="KDB78" s="452"/>
      <c r="KDC78" s="448"/>
      <c r="KDE78" s="449"/>
      <c r="KDF78" s="450"/>
      <c r="KDG78" s="447"/>
      <c r="KDH78" s="448"/>
      <c r="KDJ78" s="449"/>
      <c r="KDK78" s="450"/>
      <c r="KDL78" s="452"/>
      <c r="KDM78" s="448"/>
      <c r="KDN78" s="449"/>
      <c r="KDO78" s="450"/>
      <c r="KDP78" s="452"/>
      <c r="KDQ78" s="448"/>
      <c r="KDR78" s="455"/>
      <c r="KDS78" s="449"/>
      <c r="KDT78" s="450"/>
      <c r="KDU78" s="459"/>
      <c r="KDV78" s="448"/>
      <c r="KDW78" s="456"/>
      <c r="KDX78" s="449"/>
      <c r="KDY78" s="450"/>
      <c r="KDZ78" s="452"/>
      <c r="KEA78" s="448"/>
      <c r="KEB78" s="449"/>
      <c r="KEC78" s="450"/>
      <c r="KED78" s="452"/>
      <c r="KEE78" s="448"/>
      <c r="KEF78" s="449"/>
      <c r="KEG78" s="450"/>
      <c r="KEH78" s="447"/>
      <c r="KEI78" s="448"/>
      <c r="KEJ78" s="457"/>
      <c r="KEK78" s="460"/>
      <c r="KEL78" s="450"/>
      <c r="KEM78" s="461"/>
      <c r="KEN78" s="448"/>
      <c r="KEO78" s="456"/>
      <c r="KEP78" s="449"/>
      <c r="KEQ78" s="450"/>
      <c r="KER78" s="452"/>
      <c r="KES78" s="448"/>
      <c r="KET78" s="456"/>
      <c r="KEU78" s="458"/>
      <c r="KEV78" s="458"/>
      <c r="KEX78" s="454"/>
      <c r="KEY78" s="450"/>
      <c r="KEZ78" s="454"/>
      <c r="KFA78" s="448"/>
      <c r="KFB78" s="449"/>
      <c r="KFC78" s="450"/>
      <c r="KFD78" s="447"/>
      <c r="KFE78" s="448"/>
      <c r="KFF78" s="449"/>
      <c r="KFG78" s="450"/>
      <c r="KFH78" s="447"/>
      <c r="KFI78" s="451"/>
      <c r="KFJ78" s="449"/>
      <c r="KFK78" s="450"/>
      <c r="KFL78" s="447"/>
      <c r="KFM78" s="451"/>
      <c r="KFN78" s="449"/>
      <c r="KFO78" s="450"/>
      <c r="KFP78" s="447"/>
      <c r="KFQ78" s="451"/>
      <c r="KFR78" s="449"/>
      <c r="KFS78" s="450"/>
      <c r="KFT78" s="452"/>
      <c r="KFU78" s="451"/>
      <c r="KFV78" s="449"/>
      <c r="KFW78" s="450"/>
      <c r="KFX78" s="447"/>
      <c r="KFY78" s="448"/>
      <c r="KFZ78" s="453"/>
      <c r="KGA78" s="449"/>
      <c r="KGB78" s="450"/>
      <c r="KGC78" s="454"/>
      <c r="KGD78" s="448"/>
      <c r="KGF78" s="449"/>
      <c r="KGG78" s="450"/>
      <c r="KGH78" s="452"/>
      <c r="KGI78" s="448"/>
      <c r="KGK78" s="449"/>
      <c r="KGL78" s="450"/>
      <c r="KGM78" s="447"/>
      <c r="KGN78" s="448"/>
      <c r="KGP78" s="449"/>
      <c r="KGQ78" s="450"/>
      <c r="KGR78" s="452"/>
      <c r="KGS78" s="448"/>
      <c r="KGT78" s="449"/>
      <c r="KGU78" s="450"/>
      <c r="KGV78" s="452"/>
      <c r="KGW78" s="448"/>
      <c r="KGX78" s="455"/>
      <c r="KGY78" s="449"/>
      <c r="KGZ78" s="450"/>
      <c r="KHA78" s="459"/>
      <c r="KHB78" s="448"/>
      <c r="KHC78" s="456"/>
      <c r="KHD78" s="449"/>
      <c r="KHE78" s="450"/>
      <c r="KHF78" s="452"/>
      <c r="KHG78" s="448"/>
      <c r="KHH78" s="449"/>
      <c r="KHI78" s="450"/>
      <c r="KHJ78" s="452"/>
      <c r="KHK78" s="448"/>
      <c r="KHL78" s="449"/>
      <c r="KHM78" s="450"/>
      <c r="KHN78" s="447"/>
      <c r="KHO78" s="448"/>
      <c r="KHP78" s="457"/>
      <c r="KHQ78" s="460"/>
      <c r="KHR78" s="450"/>
      <c r="KHS78" s="461"/>
      <c r="KHT78" s="448"/>
      <c r="KHU78" s="456"/>
      <c r="KHV78" s="449"/>
      <c r="KHW78" s="450"/>
      <c r="KHX78" s="452"/>
      <c r="KHY78" s="448"/>
      <c r="KHZ78" s="456"/>
      <c r="KIA78" s="458"/>
      <c r="KIB78" s="458"/>
      <c r="KID78" s="454"/>
      <c r="KIE78" s="450"/>
      <c r="KIF78" s="454"/>
      <c r="KIG78" s="448"/>
      <c r="KIH78" s="449"/>
      <c r="KII78" s="450"/>
      <c r="KIJ78" s="447"/>
      <c r="KIK78" s="448"/>
      <c r="KIL78" s="449"/>
      <c r="KIM78" s="450"/>
      <c r="KIN78" s="447"/>
      <c r="KIO78" s="451"/>
      <c r="KIP78" s="449"/>
      <c r="KIQ78" s="450"/>
      <c r="KIR78" s="447"/>
      <c r="KIS78" s="451"/>
      <c r="KIT78" s="449"/>
      <c r="KIU78" s="450"/>
      <c r="KIV78" s="447"/>
      <c r="KIW78" s="451"/>
      <c r="KIX78" s="449"/>
      <c r="KIY78" s="450"/>
      <c r="KIZ78" s="452"/>
      <c r="KJA78" s="451"/>
      <c r="KJB78" s="449"/>
      <c r="KJC78" s="450"/>
      <c r="KJD78" s="447"/>
      <c r="KJE78" s="448"/>
      <c r="KJF78" s="453"/>
      <c r="KJG78" s="449"/>
      <c r="KJH78" s="450"/>
      <c r="KJI78" s="454"/>
      <c r="KJJ78" s="448"/>
      <c r="KJL78" s="449"/>
      <c r="KJM78" s="450"/>
      <c r="KJN78" s="452"/>
      <c r="KJO78" s="448"/>
      <c r="KJQ78" s="449"/>
      <c r="KJR78" s="450"/>
      <c r="KJS78" s="447"/>
      <c r="KJT78" s="448"/>
      <c r="KJV78" s="449"/>
      <c r="KJW78" s="450"/>
      <c r="KJX78" s="452"/>
      <c r="KJY78" s="448"/>
      <c r="KJZ78" s="449"/>
      <c r="KKA78" s="450"/>
      <c r="KKB78" s="452"/>
      <c r="KKC78" s="448"/>
      <c r="KKD78" s="455"/>
      <c r="KKE78" s="449"/>
      <c r="KKF78" s="450"/>
      <c r="KKG78" s="459"/>
      <c r="KKH78" s="448"/>
      <c r="KKI78" s="456"/>
      <c r="KKJ78" s="449"/>
      <c r="KKK78" s="450"/>
      <c r="KKL78" s="452"/>
      <c r="KKM78" s="448"/>
      <c r="KKN78" s="449"/>
      <c r="KKO78" s="450"/>
      <c r="KKP78" s="452"/>
      <c r="KKQ78" s="448"/>
      <c r="KKR78" s="449"/>
      <c r="KKS78" s="450"/>
      <c r="KKT78" s="447"/>
      <c r="KKU78" s="448"/>
      <c r="KKV78" s="457"/>
      <c r="KKW78" s="460"/>
      <c r="KKX78" s="450"/>
      <c r="KKY78" s="461"/>
      <c r="KKZ78" s="448"/>
      <c r="KLA78" s="456"/>
      <c r="KLB78" s="449"/>
      <c r="KLC78" s="450"/>
      <c r="KLD78" s="452"/>
      <c r="KLE78" s="448"/>
      <c r="KLF78" s="456"/>
      <c r="KLG78" s="458"/>
      <c r="KLH78" s="458"/>
      <c r="KLJ78" s="454"/>
      <c r="KLK78" s="450"/>
      <c r="KLL78" s="454"/>
      <c r="KLM78" s="448"/>
      <c r="KLN78" s="449"/>
      <c r="KLO78" s="450"/>
      <c r="KLP78" s="447"/>
      <c r="KLQ78" s="448"/>
      <c r="KLR78" s="449"/>
      <c r="KLS78" s="450"/>
      <c r="KLT78" s="447"/>
      <c r="KLU78" s="451"/>
      <c r="KLV78" s="449"/>
      <c r="KLW78" s="450"/>
      <c r="KLX78" s="447"/>
      <c r="KLY78" s="451"/>
      <c r="KLZ78" s="449"/>
      <c r="KMA78" s="450"/>
      <c r="KMB78" s="447"/>
      <c r="KMC78" s="451"/>
      <c r="KMD78" s="449"/>
      <c r="KME78" s="450"/>
      <c r="KMF78" s="452"/>
      <c r="KMG78" s="451"/>
      <c r="KMH78" s="449"/>
      <c r="KMI78" s="450"/>
      <c r="KMJ78" s="447"/>
      <c r="KMK78" s="448"/>
      <c r="KML78" s="453"/>
      <c r="KMM78" s="449"/>
      <c r="KMN78" s="450"/>
      <c r="KMO78" s="454"/>
      <c r="KMP78" s="448"/>
      <c r="KMR78" s="449"/>
      <c r="KMS78" s="450"/>
      <c r="KMT78" s="452"/>
      <c r="KMU78" s="448"/>
      <c r="KMW78" s="449"/>
      <c r="KMX78" s="450"/>
      <c r="KMY78" s="447"/>
      <c r="KMZ78" s="448"/>
      <c r="KNB78" s="449"/>
      <c r="KNC78" s="450"/>
      <c r="KND78" s="452"/>
      <c r="KNE78" s="448"/>
      <c r="KNF78" s="449"/>
      <c r="KNG78" s="450"/>
      <c r="KNH78" s="452"/>
      <c r="KNI78" s="448"/>
      <c r="KNJ78" s="455"/>
      <c r="KNK78" s="449"/>
      <c r="KNL78" s="450"/>
      <c r="KNM78" s="459"/>
      <c r="KNN78" s="448"/>
      <c r="KNO78" s="456"/>
      <c r="KNP78" s="449"/>
      <c r="KNQ78" s="450"/>
      <c r="KNR78" s="452"/>
      <c r="KNS78" s="448"/>
      <c r="KNT78" s="449"/>
      <c r="KNU78" s="450"/>
      <c r="KNV78" s="452"/>
      <c r="KNW78" s="448"/>
      <c r="KNX78" s="449"/>
      <c r="KNY78" s="450"/>
      <c r="KNZ78" s="447"/>
      <c r="KOA78" s="448"/>
      <c r="KOB78" s="457"/>
      <c r="KOC78" s="460"/>
      <c r="KOD78" s="450"/>
      <c r="KOE78" s="461"/>
      <c r="KOF78" s="448"/>
      <c r="KOG78" s="456"/>
      <c r="KOH78" s="449"/>
      <c r="KOI78" s="450"/>
      <c r="KOJ78" s="452"/>
      <c r="KOK78" s="448"/>
      <c r="KOL78" s="456"/>
      <c r="KOM78" s="458"/>
      <c r="KON78" s="458"/>
      <c r="KOP78" s="454"/>
      <c r="KOQ78" s="450"/>
      <c r="KOR78" s="454"/>
      <c r="KOS78" s="448"/>
      <c r="KOT78" s="449"/>
      <c r="KOU78" s="450"/>
      <c r="KOV78" s="447"/>
      <c r="KOW78" s="448"/>
      <c r="KOX78" s="449"/>
      <c r="KOY78" s="450"/>
      <c r="KOZ78" s="447"/>
      <c r="KPA78" s="451"/>
      <c r="KPB78" s="449"/>
      <c r="KPC78" s="450"/>
      <c r="KPD78" s="447"/>
      <c r="KPE78" s="451"/>
      <c r="KPF78" s="449"/>
      <c r="KPG78" s="450"/>
      <c r="KPH78" s="447"/>
      <c r="KPI78" s="451"/>
      <c r="KPJ78" s="449"/>
      <c r="KPK78" s="450"/>
      <c r="KPL78" s="452"/>
      <c r="KPM78" s="451"/>
      <c r="KPN78" s="449"/>
      <c r="KPO78" s="450"/>
      <c r="KPP78" s="447"/>
      <c r="KPQ78" s="448"/>
      <c r="KPR78" s="453"/>
      <c r="KPS78" s="449"/>
      <c r="KPT78" s="450"/>
      <c r="KPU78" s="454"/>
      <c r="KPV78" s="448"/>
      <c r="KPX78" s="449"/>
      <c r="KPY78" s="450"/>
      <c r="KPZ78" s="452"/>
      <c r="KQA78" s="448"/>
      <c r="KQC78" s="449"/>
      <c r="KQD78" s="450"/>
      <c r="KQE78" s="447"/>
      <c r="KQF78" s="448"/>
      <c r="KQH78" s="449"/>
      <c r="KQI78" s="450"/>
      <c r="KQJ78" s="452"/>
      <c r="KQK78" s="448"/>
      <c r="KQL78" s="449"/>
      <c r="KQM78" s="450"/>
      <c r="KQN78" s="452"/>
      <c r="KQO78" s="448"/>
      <c r="KQP78" s="455"/>
      <c r="KQQ78" s="449"/>
      <c r="KQR78" s="450"/>
      <c r="KQS78" s="459"/>
      <c r="KQT78" s="448"/>
      <c r="KQU78" s="456"/>
      <c r="KQV78" s="449"/>
      <c r="KQW78" s="450"/>
      <c r="KQX78" s="452"/>
      <c r="KQY78" s="448"/>
      <c r="KQZ78" s="449"/>
      <c r="KRA78" s="450"/>
      <c r="KRB78" s="452"/>
      <c r="KRC78" s="448"/>
      <c r="KRD78" s="449"/>
      <c r="KRE78" s="450"/>
      <c r="KRF78" s="447"/>
      <c r="KRG78" s="448"/>
      <c r="KRH78" s="457"/>
      <c r="KRI78" s="460"/>
      <c r="KRJ78" s="450"/>
      <c r="KRK78" s="461"/>
      <c r="KRL78" s="448"/>
      <c r="KRM78" s="456"/>
      <c r="KRN78" s="449"/>
      <c r="KRO78" s="450"/>
      <c r="KRP78" s="452"/>
      <c r="KRQ78" s="448"/>
      <c r="KRR78" s="456"/>
      <c r="KRS78" s="458"/>
      <c r="KRT78" s="458"/>
      <c r="KRV78" s="454"/>
      <c r="KRW78" s="450"/>
      <c r="KRX78" s="454"/>
      <c r="KRY78" s="448"/>
      <c r="KRZ78" s="449"/>
      <c r="KSA78" s="450"/>
      <c r="KSB78" s="447"/>
      <c r="KSC78" s="448"/>
      <c r="KSD78" s="449"/>
      <c r="KSE78" s="450"/>
      <c r="KSF78" s="447"/>
      <c r="KSG78" s="451"/>
      <c r="KSH78" s="449"/>
      <c r="KSI78" s="450"/>
      <c r="KSJ78" s="447"/>
      <c r="KSK78" s="451"/>
      <c r="KSL78" s="449"/>
      <c r="KSM78" s="450"/>
      <c r="KSN78" s="447"/>
      <c r="KSO78" s="451"/>
      <c r="KSP78" s="449"/>
      <c r="KSQ78" s="450"/>
      <c r="KSR78" s="452"/>
      <c r="KSS78" s="451"/>
      <c r="KST78" s="449"/>
      <c r="KSU78" s="450"/>
      <c r="KSV78" s="447"/>
      <c r="KSW78" s="448"/>
      <c r="KSX78" s="453"/>
      <c r="KSY78" s="449"/>
      <c r="KSZ78" s="450"/>
      <c r="KTA78" s="454"/>
      <c r="KTB78" s="448"/>
      <c r="KTD78" s="449"/>
      <c r="KTE78" s="450"/>
      <c r="KTF78" s="452"/>
      <c r="KTG78" s="448"/>
      <c r="KTI78" s="449"/>
      <c r="KTJ78" s="450"/>
      <c r="KTK78" s="447"/>
      <c r="KTL78" s="448"/>
      <c r="KTN78" s="449"/>
      <c r="KTO78" s="450"/>
      <c r="KTP78" s="452"/>
      <c r="KTQ78" s="448"/>
      <c r="KTR78" s="449"/>
      <c r="KTS78" s="450"/>
      <c r="KTT78" s="452"/>
      <c r="KTU78" s="448"/>
      <c r="KTV78" s="455"/>
      <c r="KTW78" s="449"/>
      <c r="KTX78" s="450"/>
      <c r="KTY78" s="459"/>
      <c r="KTZ78" s="448"/>
      <c r="KUA78" s="456"/>
      <c r="KUB78" s="449"/>
      <c r="KUC78" s="450"/>
      <c r="KUD78" s="452"/>
      <c r="KUE78" s="448"/>
      <c r="KUF78" s="449"/>
      <c r="KUG78" s="450"/>
      <c r="KUH78" s="452"/>
      <c r="KUI78" s="448"/>
      <c r="KUJ78" s="449"/>
      <c r="KUK78" s="450"/>
      <c r="KUL78" s="447"/>
      <c r="KUM78" s="448"/>
      <c r="KUN78" s="457"/>
      <c r="KUO78" s="460"/>
      <c r="KUP78" s="450"/>
      <c r="KUQ78" s="461"/>
      <c r="KUR78" s="448"/>
      <c r="KUS78" s="456"/>
      <c r="KUT78" s="449"/>
      <c r="KUU78" s="450"/>
      <c r="KUV78" s="452"/>
      <c r="KUW78" s="448"/>
      <c r="KUX78" s="456"/>
      <c r="KUY78" s="458"/>
      <c r="KUZ78" s="458"/>
      <c r="KVB78" s="454"/>
      <c r="KVC78" s="450"/>
      <c r="KVD78" s="454"/>
      <c r="KVE78" s="448"/>
      <c r="KVF78" s="449"/>
      <c r="KVG78" s="450"/>
      <c r="KVH78" s="447"/>
      <c r="KVI78" s="448"/>
      <c r="KVJ78" s="449"/>
      <c r="KVK78" s="450"/>
      <c r="KVL78" s="447"/>
      <c r="KVM78" s="451"/>
      <c r="KVN78" s="449"/>
      <c r="KVO78" s="450"/>
      <c r="KVP78" s="447"/>
      <c r="KVQ78" s="451"/>
      <c r="KVR78" s="449"/>
      <c r="KVS78" s="450"/>
      <c r="KVT78" s="447"/>
      <c r="KVU78" s="451"/>
      <c r="KVV78" s="449"/>
      <c r="KVW78" s="450"/>
      <c r="KVX78" s="452"/>
      <c r="KVY78" s="451"/>
      <c r="KVZ78" s="449"/>
      <c r="KWA78" s="450"/>
      <c r="KWB78" s="447"/>
      <c r="KWC78" s="448"/>
      <c r="KWD78" s="453"/>
      <c r="KWE78" s="449"/>
      <c r="KWF78" s="450"/>
      <c r="KWG78" s="454"/>
      <c r="KWH78" s="448"/>
      <c r="KWJ78" s="449"/>
      <c r="KWK78" s="450"/>
      <c r="KWL78" s="452"/>
      <c r="KWM78" s="448"/>
      <c r="KWO78" s="449"/>
      <c r="KWP78" s="450"/>
      <c r="KWQ78" s="447"/>
      <c r="KWR78" s="448"/>
      <c r="KWT78" s="449"/>
      <c r="KWU78" s="450"/>
      <c r="KWV78" s="452"/>
      <c r="KWW78" s="448"/>
      <c r="KWX78" s="449"/>
      <c r="KWY78" s="450"/>
      <c r="KWZ78" s="452"/>
      <c r="KXA78" s="448"/>
      <c r="KXB78" s="455"/>
      <c r="KXC78" s="449"/>
      <c r="KXD78" s="450"/>
      <c r="KXE78" s="459"/>
      <c r="KXF78" s="448"/>
      <c r="KXG78" s="456"/>
      <c r="KXH78" s="449"/>
      <c r="KXI78" s="450"/>
      <c r="KXJ78" s="452"/>
      <c r="KXK78" s="448"/>
      <c r="KXL78" s="449"/>
      <c r="KXM78" s="450"/>
      <c r="KXN78" s="452"/>
      <c r="KXO78" s="448"/>
      <c r="KXP78" s="449"/>
      <c r="KXQ78" s="450"/>
      <c r="KXR78" s="447"/>
      <c r="KXS78" s="448"/>
      <c r="KXT78" s="457"/>
      <c r="KXU78" s="460"/>
      <c r="KXV78" s="450"/>
      <c r="KXW78" s="461"/>
      <c r="KXX78" s="448"/>
      <c r="KXY78" s="456"/>
      <c r="KXZ78" s="449"/>
      <c r="KYA78" s="450"/>
      <c r="KYB78" s="452"/>
      <c r="KYC78" s="448"/>
      <c r="KYD78" s="456"/>
      <c r="KYE78" s="458"/>
      <c r="KYF78" s="458"/>
      <c r="KYH78" s="454"/>
      <c r="KYI78" s="450"/>
      <c r="KYJ78" s="454"/>
      <c r="KYK78" s="448"/>
      <c r="KYL78" s="449"/>
      <c r="KYM78" s="450"/>
      <c r="KYN78" s="447"/>
      <c r="KYO78" s="448"/>
      <c r="KYP78" s="449"/>
      <c r="KYQ78" s="450"/>
      <c r="KYR78" s="447"/>
      <c r="KYS78" s="451"/>
      <c r="KYT78" s="449"/>
      <c r="KYU78" s="450"/>
      <c r="KYV78" s="447"/>
      <c r="KYW78" s="451"/>
      <c r="KYX78" s="449"/>
      <c r="KYY78" s="450"/>
      <c r="KYZ78" s="447"/>
      <c r="KZA78" s="451"/>
      <c r="KZB78" s="449"/>
      <c r="KZC78" s="450"/>
      <c r="KZD78" s="452"/>
      <c r="KZE78" s="451"/>
      <c r="KZF78" s="449"/>
      <c r="KZG78" s="450"/>
      <c r="KZH78" s="447"/>
      <c r="KZI78" s="448"/>
      <c r="KZJ78" s="453"/>
      <c r="KZK78" s="449"/>
      <c r="KZL78" s="450"/>
      <c r="KZM78" s="454"/>
      <c r="KZN78" s="448"/>
      <c r="KZP78" s="449"/>
      <c r="KZQ78" s="450"/>
      <c r="KZR78" s="452"/>
      <c r="KZS78" s="448"/>
      <c r="KZU78" s="449"/>
      <c r="KZV78" s="450"/>
      <c r="KZW78" s="447"/>
      <c r="KZX78" s="448"/>
      <c r="KZZ78" s="449"/>
      <c r="LAA78" s="450"/>
      <c r="LAB78" s="452"/>
      <c r="LAC78" s="448"/>
      <c r="LAD78" s="449"/>
      <c r="LAE78" s="450"/>
      <c r="LAF78" s="452"/>
      <c r="LAG78" s="448"/>
      <c r="LAH78" s="455"/>
      <c r="LAI78" s="449"/>
      <c r="LAJ78" s="450"/>
      <c r="LAK78" s="459"/>
      <c r="LAL78" s="448"/>
      <c r="LAM78" s="456"/>
      <c r="LAN78" s="449"/>
      <c r="LAO78" s="450"/>
      <c r="LAP78" s="452"/>
      <c r="LAQ78" s="448"/>
      <c r="LAR78" s="449"/>
      <c r="LAS78" s="450"/>
      <c r="LAT78" s="452"/>
      <c r="LAU78" s="448"/>
      <c r="LAV78" s="449"/>
      <c r="LAW78" s="450"/>
      <c r="LAX78" s="447"/>
      <c r="LAY78" s="448"/>
      <c r="LAZ78" s="457"/>
      <c r="LBA78" s="460"/>
      <c r="LBB78" s="450"/>
      <c r="LBC78" s="461"/>
      <c r="LBD78" s="448"/>
      <c r="LBE78" s="456"/>
      <c r="LBF78" s="449"/>
      <c r="LBG78" s="450"/>
      <c r="LBH78" s="452"/>
      <c r="LBI78" s="448"/>
      <c r="LBJ78" s="456"/>
      <c r="LBK78" s="458"/>
      <c r="LBL78" s="458"/>
      <c r="LBN78" s="454"/>
      <c r="LBO78" s="450"/>
      <c r="LBP78" s="454"/>
      <c r="LBQ78" s="448"/>
      <c r="LBR78" s="449"/>
      <c r="LBS78" s="450"/>
      <c r="LBT78" s="447"/>
      <c r="LBU78" s="448"/>
      <c r="LBV78" s="449"/>
      <c r="LBW78" s="450"/>
      <c r="LBX78" s="447"/>
      <c r="LBY78" s="451"/>
      <c r="LBZ78" s="449"/>
      <c r="LCA78" s="450"/>
      <c r="LCB78" s="447"/>
      <c r="LCC78" s="451"/>
      <c r="LCD78" s="449"/>
      <c r="LCE78" s="450"/>
      <c r="LCF78" s="447"/>
      <c r="LCG78" s="451"/>
      <c r="LCH78" s="449"/>
      <c r="LCI78" s="450"/>
      <c r="LCJ78" s="452"/>
      <c r="LCK78" s="451"/>
      <c r="LCL78" s="449"/>
      <c r="LCM78" s="450"/>
      <c r="LCN78" s="447"/>
      <c r="LCO78" s="448"/>
      <c r="LCP78" s="453"/>
      <c r="LCQ78" s="449"/>
      <c r="LCR78" s="450"/>
      <c r="LCS78" s="454"/>
      <c r="LCT78" s="448"/>
      <c r="LCV78" s="449"/>
      <c r="LCW78" s="450"/>
      <c r="LCX78" s="452"/>
      <c r="LCY78" s="448"/>
      <c r="LDA78" s="449"/>
      <c r="LDB78" s="450"/>
      <c r="LDC78" s="447"/>
      <c r="LDD78" s="448"/>
      <c r="LDF78" s="449"/>
      <c r="LDG78" s="450"/>
      <c r="LDH78" s="452"/>
      <c r="LDI78" s="448"/>
      <c r="LDJ78" s="449"/>
      <c r="LDK78" s="450"/>
      <c r="LDL78" s="452"/>
      <c r="LDM78" s="448"/>
      <c r="LDN78" s="455"/>
      <c r="LDO78" s="449"/>
      <c r="LDP78" s="450"/>
      <c r="LDQ78" s="459"/>
      <c r="LDR78" s="448"/>
      <c r="LDS78" s="456"/>
      <c r="LDT78" s="449"/>
      <c r="LDU78" s="450"/>
      <c r="LDV78" s="452"/>
      <c r="LDW78" s="448"/>
      <c r="LDX78" s="449"/>
      <c r="LDY78" s="450"/>
      <c r="LDZ78" s="452"/>
      <c r="LEA78" s="448"/>
      <c r="LEB78" s="449"/>
      <c r="LEC78" s="450"/>
      <c r="LED78" s="447"/>
      <c r="LEE78" s="448"/>
      <c r="LEF78" s="457"/>
      <c r="LEG78" s="460"/>
      <c r="LEH78" s="450"/>
      <c r="LEI78" s="461"/>
      <c r="LEJ78" s="448"/>
      <c r="LEK78" s="456"/>
      <c r="LEL78" s="449"/>
      <c r="LEM78" s="450"/>
      <c r="LEN78" s="452"/>
      <c r="LEO78" s="448"/>
      <c r="LEP78" s="456"/>
      <c r="LEQ78" s="458"/>
      <c r="LER78" s="458"/>
      <c r="LET78" s="454"/>
      <c r="LEU78" s="450"/>
      <c r="LEV78" s="454"/>
      <c r="LEW78" s="448"/>
      <c r="LEX78" s="449"/>
      <c r="LEY78" s="450"/>
      <c r="LEZ78" s="447"/>
      <c r="LFA78" s="448"/>
      <c r="LFB78" s="449"/>
      <c r="LFC78" s="450"/>
      <c r="LFD78" s="447"/>
      <c r="LFE78" s="451"/>
      <c r="LFF78" s="449"/>
      <c r="LFG78" s="450"/>
      <c r="LFH78" s="447"/>
      <c r="LFI78" s="451"/>
      <c r="LFJ78" s="449"/>
      <c r="LFK78" s="450"/>
      <c r="LFL78" s="447"/>
      <c r="LFM78" s="451"/>
      <c r="LFN78" s="449"/>
      <c r="LFO78" s="450"/>
      <c r="LFP78" s="452"/>
      <c r="LFQ78" s="451"/>
      <c r="LFR78" s="449"/>
      <c r="LFS78" s="450"/>
      <c r="LFT78" s="447"/>
      <c r="LFU78" s="448"/>
      <c r="LFV78" s="453"/>
      <c r="LFW78" s="449"/>
      <c r="LFX78" s="450"/>
      <c r="LFY78" s="454"/>
      <c r="LFZ78" s="448"/>
      <c r="LGB78" s="449"/>
      <c r="LGC78" s="450"/>
      <c r="LGD78" s="452"/>
      <c r="LGE78" s="448"/>
      <c r="LGG78" s="449"/>
      <c r="LGH78" s="450"/>
      <c r="LGI78" s="447"/>
      <c r="LGJ78" s="448"/>
      <c r="LGL78" s="449"/>
      <c r="LGM78" s="450"/>
      <c r="LGN78" s="452"/>
      <c r="LGO78" s="448"/>
      <c r="LGP78" s="449"/>
      <c r="LGQ78" s="450"/>
      <c r="LGR78" s="452"/>
      <c r="LGS78" s="448"/>
      <c r="LGT78" s="455"/>
      <c r="LGU78" s="449"/>
      <c r="LGV78" s="450"/>
      <c r="LGW78" s="459"/>
      <c r="LGX78" s="448"/>
      <c r="LGY78" s="456"/>
      <c r="LGZ78" s="449"/>
      <c r="LHA78" s="450"/>
      <c r="LHB78" s="452"/>
      <c r="LHC78" s="448"/>
      <c r="LHD78" s="449"/>
      <c r="LHE78" s="450"/>
      <c r="LHF78" s="452"/>
      <c r="LHG78" s="448"/>
      <c r="LHH78" s="449"/>
      <c r="LHI78" s="450"/>
      <c r="LHJ78" s="447"/>
      <c r="LHK78" s="448"/>
      <c r="LHL78" s="457"/>
      <c r="LHM78" s="460"/>
      <c r="LHN78" s="450"/>
      <c r="LHO78" s="461"/>
      <c r="LHP78" s="448"/>
      <c r="LHQ78" s="456"/>
      <c r="LHR78" s="449"/>
      <c r="LHS78" s="450"/>
      <c r="LHT78" s="452"/>
      <c r="LHU78" s="448"/>
      <c r="LHV78" s="456"/>
      <c r="LHW78" s="458"/>
      <c r="LHX78" s="458"/>
      <c r="LHZ78" s="454"/>
      <c r="LIA78" s="450"/>
      <c r="LIB78" s="454"/>
      <c r="LIC78" s="448"/>
      <c r="LID78" s="449"/>
      <c r="LIE78" s="450"/>
      <c r="LIF78" s="447"/>
      <c r="LIG78" s="448"/>
      <c r="LIH78" s="449"/>
      <c r="LII78" s="450"/>
      <c r="LIJ78" s="447"/>
      <c r="LIK78" s="451"/>
      <c r="LIL78" s="449"/>
      <c r="LIM78" s="450"/>
      <c r="LIN78" s="447"/>
      <c r="LIO78" s="451"/>
      <c r="LIP78" s="449"/>
      <c r="LIQ78" s="450"/>
      <c r="LIR78" s="447"/>
      <c r="LIS78" s="451"/>
      <c r="LIT78" s="449"/>
      <c r="LIU78" s="450"/>
      <c r="LIV78" s="452"/>
      <c r="LIW78" s="451"/>
      <c r="LIX78" s="449"/>
      <c r="LIY78" s="450"/>
      <c r="LIZ78" s="447"/>
      <c r="LJA78" s="448"/>
      <c r="LJB78" s="453"/>
      <c r="LJC78" s="449"/>
      <c r="LJD78" s="450"/>
      <c r="LJE78" s="454"/>
      <c r="LJF78" s="448"/>
      <c r="LJH78" s="449"/>
      <c r="LJI78" s="450"/>
      <c r="LJJ78" s="452"/>
      <c r="LJK78" s="448"/>
      <c r="LJM78" s="449"/>
      <c r="LJN78" s="450"/>
      <c r="LJO78" s="447"/>
      <c r="LJP78" s="448"/>
      <c r="LJR78" s="449"/>
      <c r="LJS78" s="450"/>
      <c r="LJT78" s="452"/>
      <c r="LJU78" s="448"/>
      <c r="LJV78" s="449"/>
      <c r="LJW78" s="450"/>
      <c r="LJX78" s="452"/>
      <c r="LJY78" s="448"/>
      <c r="LJZ78" s="455"/>
      <c r="LKA78" s="449"/>
      <c r="LKB78" s="450"/>
      <c r="LKC78" s="459"/>
      <c r="LKD78" s="448"/>
      <c r="LKE78" s="456"/>
      <c r="LKF78" s="449"/>
      <c r="LKG78" s="450"/>
      <c r="LKH78" s="452"/>
      <c r="LKI78" s="448"/>
      <c r="LKJ78" s="449"/>
      <c r="LKK78" s="450"/>
      <c r="LKL78" s="452"/>
      <c r="LKM78" s="448"/>
      <c r="LKN78" s="449"/>
      <c r="LKO78" s="450"/>
      <c r="LKP78" s="447"/>
      <c r="LKQ78" s="448"/>
      <c r="LKR78" s="457"/>
      <c r="LKS78" s="460"/>
      <c r="LKT78" s="450"/>
      <c r="LKU78" s="461"/>
      <c r="LKV78" s="448"/>
      <c r="LKW78" s="456"/>
      <c r="LKX78" s="449"/>
      <c r="LKY78" s="450"/>
      <c r="LKZ78" s="452"/>
      <c r="LLA78" s="448"/>
      <c r="LLB78" s="456"/>
      <c r="LLC78" s="458"/>
      <c r="LLD78" s="458"/>
      <c r="LLF78" s="454"/>
      <c r="LLG78" s="450"/>
      <c r="LLH78" s="454"/>
      <c r="LLI78" s="448"/>
      <c r="LLJ78" s="449"/>
      <c r="LLK78" s="450"/>
      <c r="LLL78" s="447"/>
      <c r="LLM78" s="448"/>
      <c r="LLN78" s="449"/>
      <c r="LLO78" s="450"/>
      <c r="LLP78" s="447"/>
      <c r="LLQ78" s="451"/>
      <c r="LLR78" s="449"/>
      <c r="LLS78" s="450"/>
      <c r="LLT78" s="447"/>
      <c r="LLU78" s="451"/>
      <c r="LLV78" s="449"/>
      <c r="LLW78" s="450"/>
      <c r="LLX78" s="447"/>
      <c r="LLY78" s="451"/>
      <c r="LLZ78" s="449"/>
      <c r="LMA78" s="450"/>
      <c r="LMB78" s="452"/>
      <c r="LMC78" s="451"/>
      <c r="LMD78" s="449"/>
      <c r="LME78" s="450"/>
      <c r="LMF78" s="447"/>
      <c r="LMG78" s="448"/>
      <c r="LMH78" s="453"/>
      <c r="LMI78" s="449"/>
      <c r="LMJ78" s="450"/>
      <c r="LMK78" s="454"/>
      <c r="LML78" s="448"/>
      <c r="LMN78" s="449"/>
      <c r="LMO78" s="450"/>
      <c r="LMP78" s="452"/>
      <c r="LMQ78" s="448"/>
      <c r="LMS78" s="449"/>
      <c r="LMT78" s="450"/>
      <c r="LMU78" s="447"/>
      <c r="LMV78" s="448"/>
      <c r="LMX78" s="449"/>
      <c r="LMY78" s="450"/>
      <c r="LMZ78" s="452"/>
      <c r="LNA78" s="448"/>
      <c r="LNB78" s="449"/>
      <c r="LNC78" s="450"/>
      <c r="LND78" s="452"/>
      <c r="LNE78" s="448"/>
      <c r="LNF78" s="455"/>
      <c r="LNG78" s="449"/>
      <c r="LNH78" s="450"/>
      <c r="LNI78" s="459"/>
      <c r="LNJ78" s="448"/>
      <c r="LNK78" s="456"/>
      <c r="LNL78" s="449"/>
      <c r="LNM78" s="450"/>
      <c r="LNN78" s="452"/>
      <c r="LNO78" s="448"/>
      <c r="LNP78" s="449"/>
      <c r="LNQ78" s="450"/>
      <c r="LNR78" s="452"/>
      <c r="LNS78" s="448"/>
      <c r="LNT78" s="449"/>
      <c r="LNU78" s="450"/>
      <c r="LNV78" s="447"/>
      <c r="LNW78" s="448"/>
      <c r="LNX78" s="457"/>
      <c r="LNY78" s="460"/>
      <c r="LNZ78" s="450"/>
      <c r="LOA78" s="461"/>
      <c r="LOB78" s="448"/>
      <c r="LOC78" s="456"/>
      <c r="LOD78" s="449"/>
      <c r="LOE78" s="450"/>
      <c r="LOF78" s="452"/>
      <c r="LOG78" s="448"/>
      <c r="LOH78" s="456"/>
      <c r="LOI78" s="458"/>
      <c r="LOJ78" s="458"/>
      <c r="LOL78" s="454"/>
      <c r="LOM78" s="450"/>
      <c r="LON78" s="454"/>
      <c r="LOO78" s="448"/>
      <c r="LOP78" s="449"/>
      <c r="LOQ78" s="450"/>
      <c r="LOR78" s="447"/>
      <c r="LOS78" s="448"/>
      <c r="LOT78" s="449"/>
      <c r="LOU78" s="450"/>
      <c r="LOV78" s="447"/>
      <c r="LOW78" s="451"/>
      <c r="LOX78" s="449"/>
      <c r="LOY78" s="450"/>
      <c r="LOZ78" s="447"/>
      <c r="LPA78" s="451"/>
      <c r="LPB78" s="449"/>
      <c r="LPC78" s="450"/>
      <c r="LPD78" s="447"/>
      <c r="LPE78" s="451"/>
      <c r="LPF78" s="449"/>
      <c r="LPG78" s="450"/>
      <c r="LPH78" s="452"/>
      <c r="LPI78" s="451"/>
      <c r="LPJ78" s="449"/>
      <c r="LPK78" s="450"/>
      <c r="LPL78" s="447"/>
      <c r="LPM78" s="448"/>
      <c r="LPN78" s="453"/>
      <c r="LPO78" s="449"/>
      <c r="LPP78" s="450"/>
      <c r="LPQ78" s="454"/>
      <c r="LPR78" s="448"/>
      <c r="LPT78" s="449"/>
      <c r="LPU78" s="450"/>
      <c r="LPV78" s="452"/>
      <c r="LPW78" s="448"/>
      <c r="LPY78" s="449"/>
      <c r="LPZ78" s="450"/>
      <c r="LQA78" s="447"/>
      <c r="LQB78" s="448"/>
      <c r="LQD78" s="449"/>
      <c r="LQE78" s="450"/>
      <c r="LQF78" s="452"/>
      <c r="LQG78" s="448"/>
      <c r="LQH78" s="449"/>
      <c r="LQI78" s="450"/>
      <c r="LQJ78" s="452"/>
      <c r="LQK78" s="448"/>
      <c r="LQL78" s="455"/>
      <c r="LQM78" s="449"/>
      <c r="LQN78" s="450"/>
      <c r="LQO78" s="459"/>
      <c r="LQP78" s="448"/>
      <c r="LQQ78" s="456"/>
      <c r="LQR78" s="449"/>
      <c r="LQS78" s="450"/>
      <c r="LQT78" s="452"/>
      <c r="LQU78" s="448"/>
      <c r="LQV78" s="449"/>
      <c r="LQW78" s="450"/>
      <c r="LQX78" s="452"/>
      <c r="LQY78" s="448"/>
      <c r="LQZ78" s="449"/>
      <c r="LRA78" s="450"/>
      <c r="LRB78" s="447"/>
      <c r="LRC78" s="448"/>
      <c r="LRD78" s="457"/>
      <c r="LRE78" s="460"/>
      <c r="LRF78" s="450"/>
      <c r="LRG78" s="461"/>
      <c r="LRH78" s="448"/>
      <c r="LRI78" s="456"/>
      <c r="LRJ78" s="449"/>
      <c r="LRK78" s="450"/>
      <c r="LRL78" s="452"/>
      <c r="LRM78" s="448"/>
      <c r="LRN78" s="456"/>
      <c r="LRO78" s="458"/>
      <c r="LRP78" s="458"/>
      <c r="LRR78" s="454"/>
      <c r="LRS78" s="450"/>
      <c r="LRT78" s="454"/>
      <c r="LRU78" s="448"/>
      <c r="LRV78" s="449"/>
      <c r="LRW78" s="450"/>
      <c r="LRX78" s="447"/>
      <c r="LRY78" s="448"/>
      <c r="LRZ78" s="449"/>
      <c r="LSA78" s="450"/>
      <c r="LSB78" s="447"/>
      <c r="LSC78" s="451"/>
      <c r="LSD78" s="449"/>
      <c r="LSE78" s="450"/>
      <c r="LSF78" s="447"/>
      <c r="LSG78" s="451"/>
      <c r="LSH78" s="449"/>
      <c r="LSI78" s="450"/>
      <c r="LSJ78" s="447"/>
      <c r="LSK78" s="451"/>
      <c r="LSL78" s="449"/>
      <c r="LSM78" s="450"/>
      <c r="LSN78" s="452"/>
      <c r="LSO78" s="451"/>
      <c r="LSP78" s="449"/>
      <c r="LSQ78" s="450"/>
      <c r="LSR78" s="447"/>
      <c r="LSS78" s="448"/>
      <c r="LST78" s="453"/>
      <c r="LSU78" s="449"/>
      <c r="LSV78" s="450"/>
      <c r="LSW78" s="454"/>
      <c r="LSX78" s="448"/>
      <c r="LSZ78" s="449"/>
      <c r="LTA78" s="450"/>
      <c r="LTB78" s="452"/>
      <c r="LTC78" s="448"/>
      <c r="LTE78" s="449"/>
      <c r="LTF78" s="450"/>
      <c r="LTG78" s="447"/>
      <c r="LTH78" s="448"/>
      <c r="LTJ78" s="449"/>
      <c r="LTK78" s="450"/>
      <c r="LTL78" s="452"/>
      <c r="LTM78" s="448"/>
      <c r="LTN78" s="449"/>
      <c r="LTO78" s="450"/>
      <c r="LTP78" s="452"/>
      <c r="LTQ78" s="448"/>
      <c r="LTR78" s="455"/>
      <c r="LTS78" s="449"/>
      <c r="LTT78" s="450"/>
      <c r="LTU78" s="459"/>
      <c r="LTV78" s="448"/>
      <c r="LTW78" s="456"/>
      <c r="LTX78" s="449"/>
      <c r="LTY78" s="450"/>
      <c r="LTZ78" s="452"/>
      <c r="LUA78" s="448"/>
      <c r="LUB78" s="449"/>
      <c r="LUC78" s="450"/>
      <c r="LUD78" s="452"/>
      <c r="LUE78" s="448"/>
      <c r="LUF78" s="449"/>
      <c r="LUG78" s="450"/>
      <c r="LUH78" s="447"/>
      <c r="LUI78" s="448"/>
      <c r="LUJ78" s="457"/>
      <c r="LUK78" s="460"/>
      <c r="LUL78" s="450"/>
      <c r="LUM78" s="461"/>
      <c r="LUN78" s="448"/>
      <c r="LUO78" s="456"/>
      <c r="LUP78" s="449"/>
      <c r="LUQ78" s="450"/>
      <c r="LUR78" s="452"/>
      <c r="LUS78" s="448"/>
      <c r="LUT78" s="456"/>
      <c r="LUU78" s="458"/>
      <c r="LUV78" s="458"/>
      <c r="LUX78" s="454"/>
      <c r="LUY78" s="450"/>
      <c r="LUZ78" s="454"/>
      <c r="LVA78" s="448"/>
      <c r="LVB78" s="449"/>
      <c r="LVC78" s="450"/>
      <c r="LVD78" s="447"/>
      <c r="LVE78" s="448"/>
      <c r="LVF78" s="449"/>
      <c r="LVG78" s="450"/>
      <c r="LVH78" s="447"/>
      <c r="LVI78" s="451"/>
      <c r="LVJ78" s="449"/>
      <c r="LVK78" s="450"/>
      <c r="LVL78" s="447"/>
      <c r="LVM78" s="451"/>
      <c r="LVN78" s="449"/>
      <c r="LVO78" s="450"/>
      <c r="LVP78" s="447"/>
      <c r="LVQ78" s="451"/>
      <c r="LVR78" s="449"/>
      <c r="LVS78" s="450"/>
      <c r="LVT78" s="452"/>
      <c r="LVU78" s="451"/>
      <c r="LVV78" s="449"/>
      <c r="LVW78" s="450"/>
      <c r="LVX78" s="447"/>
      <c r="LVY78" s="448"/>
      <c r="LVZ78" s="453"/>
      <c r="LWA78" s="449"/>
      <c r="LWB78" s="450"/>
      <c r="LWC78" s="454"/>
      <c r="LWD78" s="448"/>
      <c r="LWF78" s="449"/>
      <c r="LWG78" s="450"/>
      <c r="LWH78" s="452"/>
      <c r="LWI78" s="448"/>
      <c r="LWK78" s="449"/>
      <c r="LWL78" s="450"/>
      <c r="LWM78" s="447"/>
      <c r="LWN78" s="448"/>
      <c r="LWP78" s="449"/>
      <c r="LWQ78" s="450"/>
      <c r="LWR78" s="452"/>
      <c r="LWS78" s="448"/>
      <c r="LWT78" s="449"/>
      <c r="LWU78" s="450"/>
      <c r="LWV78" s="452"/>
      <c r="LWW78" s="448"/>
      <c r="LWX78" s="455"/>
      <c r="LWY78" s="449"/>
      <c r="LWZ78" s="450"/>
      <c r="LXA78" s="459"/>
      <c r="LXB78" s="448"/>
      <c r="LXC78" s="456"/>
      <c r="LXD78" s="449"/>
      <c r="LXE78" s="450"/>
      <c r="LXF78" s="452"/>
      <c r="LXG78" s="448"/>
      <c r="LXH78" s="449"/>
      <c r="LXI78" s="450"/>
      <c r="LXJ78" s="452"/>
      <c r="LXK78" s="448"/>
      <c r="LXL78" s="449"/>
      <c r="LXM78" s="450"/>
      <c r="LXN78" s="447"/>
      <c r="LXO78" s="448"/>
      <c r="LXP78" s="457"/>
      <c r="LXQ78" s="460"/>
      <c r="LXR78" s="450"/>
      <c r="LXS78" s="461"/>
      <c r="LXT78" s="448"/>
      <c r="LXU78" s="456"/>
      <c r="LXV78" s="449"/>
      <c r="LXW78" s="450"/>
      <c r="LXX78" s="452"/>
      <c r="LXY78" s="448"/>
      <c r="LXZ78" s="456"/>
      <c r="LYA78" s="458"/>
      <c r="LYB78" s="458"/>
      <c r="LYD78" s="454"/>
      <c r="LYE78" s="450"/>
      <c r="LYF78" s="454"/>
      <c r="LYG78" s="448"/>
      <c r="LYH78" s="449"/>
      <c r="LYI78" s="450"/>
      <c r="LYJ78" s="447"/>
      <c r="LYK78" s="448"/>
      <c r="LYL78" s="449"/>
      <c r="LYM78" s="450"/>
      <c r="LYN78" s="447"/>
      <c r="LYO78" s="451"/>
      <c r="LYP78" s="449"/>
      <c r="LYQ78" s="450"/>
      <c r="LYR78" s="447"/>
      <c r="LYS78" s="451"/>
      <c r="LYT78" s="449"/>
      <c r="LYU78" s="450"/>
      <c r="LYV78" s="447"/>
      <c r="LYW78" s="451"/>
      <c r="LYX78" s="449"/>
      <c r="LYY78" s="450"/>
      <c r="LYZ78" s="452"/>
      <c r="LZA78" s="451"/>
      <c r="LZB78" s="449"/>
      <c r="LZC78" s="450"/>
      <c r="LZD78" s="447"/>
      <c r="LZE78" s="448"/>
      <c r="LZF78" s="453"/>
      <c r="LZG78" s="449"/>
      <c r="LZH78" s="450"/>
      <c r="LZI78" s="454"/>
      <c r="LZJ78" s="448"/>
      <c r="LZL78" s="449"/>
      <c r="LZM78" s="450"/>
      <c r="LZN78" s="452"/>
      <c r="LZO78" s="448"/>
      <c r="LZQ78" s="449"/>
      <c r="LZR78" s="450"/>
      <c r="LZS78" s="447"/>
      <c r="LZT78" s="448"/>
      <c r="LZV78" s="449"/>
      <c r="LZW78" s="450"/>
      <c r="LZX78" s="452"/>
      <c r="LZY78" s="448"/>
      <c r="LZZ78" s="449"/>
      <c r="MAA78" s="450"/>
      <c r="MAB78" s="452"/>
      <c r="MAC78" s="448"/>
      <c r="MAD78" s="455"/>
      <c r="MAE78" s="449"/>
      <c r="MAF78" s="450"/>
      <c r="MAG78" s="459"/>
      <c r="MAH78" s="448"/>
      <c r="MAI78" s="456"/>
      <c r="MAJ78" s="449"/>
      <c r="MAK78" s="450"/>
      <c r="MAL78" s="452"/>
      <c r="MAM78" s="448"/>
      <c r="MAN78" s="449"/>
      <c r="MAO78" s="450"/>
      <c r="MAP78" s="452"/>
      <c r="MAQ78" s="448"/>
      <c r="MAR78" s="449"/>
      <c r="MAS78" s="450"/>
      <c r="MAT78" s="447"/>
      <c r="MAU78" s="448"/>
      <c r="MAV78" s="457"/>
      <c r="MAW78" s="460"/>
      <c r="MAX78" s="450"/>
      <c r="MAY78" s="461"/>
      <c r="MAZ78" s="448"/>
      <c r="MBA78" s="456"/>
      <c r="MBB78" s="449"/>
      <c r="MBC78" s="450"/>
      <c r="MBD78" s="452"/>
      <c r="MBE78" s="448"/>
      <c r="MBF78" s="456"/>
      <c r="MBG78" s="458"/>
      <c r="MBH78" s="458"/>
      <c r="MBJ78" s="454"/>
      <c r="MBK78" s="450"/>
      <c r="MBL78" s="454"/>
      <c r="MBM78" s="448"/>
      <c r="MBN78" s="449"/>
      <c r="MBO78" s="450"/>
      <c r="MBP78" s="447"/>
      <c r="MBQ78" s="448"/>
      <c r="MBR78" s="449"/>
      <c r="MBS78" s="450"/>
      <c r="MBT78" s="447"/>
      <c r="MBU78" s="451"/>
      <c r="MBV78" s="449"/>
      <c r="MBW78" s="450"/>
      <c r="MBX78" s="447"/>
      <c r="MBY78" s="451"/>
      <c r="MBZ78" s="449"/>
      <c r="MCA78" s="450"/>
      <c r="MCB78" s="447"/>
      <c r="MCC78" s="451"/>
      <c r="MCD78" s="449"/>
      <c r="MCE78" s="450"/>
      <c r="MCF78" s="452"/>
      <c r="MCG78" s="451"/>
      <c r="MCH78" s="449"/>
      <c r="MCI78" s="450"/>
      <c r="MCJ78" s="447"/>
      <c r="MCK78" s="448"/>
      <c r="MCL78" s="453"/>
      <c r="MCM78" s="449"/>
      <c r="MCN78" s="450"/>
      <c r="MCO78" s="454"/>
      <c r="MCP78" s="448"/>
      <c r="MCR78" s="449"/>
      <c r="MCS78" s="450"/>
      <c r="MCT78" s="452"/>
      <c r="MCU78" s="448"/>
      <c r="MCW78" s="449"/>
      <c r="MCX78" s="450"/>
      <c r="MCY78" s="447"/>
      <c r="MCZ78" s="448"/>
      <c r="MDB78" s="449"/>
      <c r="MDC78" s="450"/>
      <c r="MDD78" s="452"/>
      <c r="MDE78" s="448"/>
      <c r="MDF78" s="449"/>
      <c r="MDG78" s="450"/>
      <c r="MDH78" s="452"/>
      <c r="MDI78" s="448"/>
      <c r="MDJ78" s="455"/>
      <c r="MDK78" s="449"/>
      <c r="MDL78" s="450"/>
      <c r="MDM78" s="459"/>
      <c r="MDN78" s="448"/>
      <c r="MDO78" s="456"/>
      <c r="MDP78" s="449"/>
      <c r="MDQ78" s="450"/>
      <c r="MDR78" s="452"/>
      <c r="MDS78" s="448"/>
      <c r="MDT78" s="449"/>
      <c r="MDU78" s="450"/>
      <c r="MDV78" s="452"/>
      <c r="MDW78" s="448"/>
      <c r="MDX78" s="449"/>
      <c r="MDY78" s="450"/>
      <c r="MDZ78" s="447"/>
      <c r="MEA78" s="448"/>
      <c r="MEB78" s="457"/>
      <c r="MEC78" s="460"/>
      <c r="MED78" s="450"/>
      <c r="MEE78" s="461"/>
      <c r="MEF78" s="448"/>
      <c r="MEG78" s="456"/>
      <c r="MEH78" s="449"/>
      <c r="MEI78" s="450"/>
      <c r="MEJ78" s="452"/>
      <c r="MEK78" s="448"/>
      <c r="MEL78" s="456"/>
      <c r="MEM78" s="458"/>
      <c r="MEN78" s="458"/>
      <c r="MEP78" s="454"/>
      <c r="MEQ78" s="450"/>
      <c r="MER78" s="454"/>
      <c r="MES78" s="448"/>
      <c r="MET78" s="449"/>
      <c r="MEU78" s="450"/>
      <c r="MEV78" s="447"/>
      <c r="MEW78" s="448"/>
      <c r="MEX78" s="449"/>
      <c r="MEY78" s="450"/>
      <c r="MEZ78" s="447"/>
      <c r="MFA78" s="451"/>
      <c r="MFB78" s="449"/>
      <c r="MFC78" s="450"/>
      <c r="MFD78" s="447"/>
      <c r="MFE78" s="451"/>
      <c r="MFF78" s="449"/>
      <c r="MFG78" s="450"/>
      <c r="MFH78" s="447"/>
      <c r="MFI78" s="451"/>
      <c r="MFJ78" s="449"/>
      <c r="MFK78" s="450"/>
      <c r="MFL78" s="452"/>
      <c r="MFM78" s="451"/>
      <c r="MFN78" s="449"/>
      <c r="MFO78" s="450"/>
      <c r="MFP78" s="447"/>
      <c r="MFQ78" s="448"/>
      <c r="MFR78" s="453"/>
      <c r="MFS78" s="449"/>
      <c r="MFT78" s="450"/>
      <c r="MFU78" s="454"/>
      <c r="MFV78" s="448"/>
      <c r="MFX78" s="449"/>
      <c r="MFY78" s="450"/>
      <c r="MFZ78" s="452"/>
      <c r="MGA78" s="448"/>
      <c r="MGC78" s="449"/>
      <c r="MGD78" s="450"/>
      <c r="MGE78" s="447"/>
      <c r="MGF78" s="448"/>
      <c r="MGH78" s="449"/>
      <c r="MGI78" s="450"/>
      <c r="MGJ78" s="452"/>
      <c r="MGK78" s="448"/>
      <c r="MGL78" s="449"/>
      <c r="MGM78" s="450"/>
      <c r="MGN78" s="452"/>
      <c r="MGO78" s="448"/>
      <c r="MGP78" s="455"/>
      <c r="MGQ78" s="449"/>
      <c r="MGR78" s="450"/>
      <c r="MGS78" s="459"/>
      <c r="MGT78" s="448"/>
      <c r="MGU78" s="456"/>
      <c r="MGV78" s="449"/>
      <c r="MGW78" s="450"/>
      <c r="MGX78" s="452"/>
      <c r="MGY78" s="448"/>
      <c r="MGZ78" s="449"/>
      <c r="MHA78" s="450"/>
      <c r="MHB78" s="452"/>
      <c r="MHC78" s="448"/>
      <c r="MHD78" s="449"/>
      <c r="MHE78" s="450"/>
      <c r="MHF78" s="447"/>
      <c r="MHG78" s="448"/>
      <c r="MHH78" s="457"/>
      <c r="MHI78" s="460"/>
      <c r="MHJ78" s="450"/>
      <c r="MHK78" s="461"/>
      <c r="MHL78" s="448"/>
      <c r="MHM78" s="456"/>
      <c r="MHN78" s="449"/>
      <c r="MHO78" s="450"/>
      <c r="MHP78" s="452"/>
      <c r="MHQ78" s="448"/>
      <c r="MHR78" s="456"/>
      <c r="MHS78" s="458"/>
      <c r="MHT78" s="458"/>
      <c r="MHV78" s="454"/>
      <c r="MHW78" s="450"/>
      <c r="MHX78" s="454"/>
      <c r="MHY78" s="448"/>
      <c r="MHZ78" s="449"/>
      <c r="MIA78" s="450"/>
      <c r="MIB78" s="447"/>
      <c r="MIC78" s="448"/>
      <c r="MID78" s="449"/>
      <c r="MIE78" s="450"/>
      <c r="MIF78" s="447"/>
      <c r="MIG78" s="451"/>
      <c r="MIH78" s="449"/>
      <c r="MII78" s="450"/>
      <c r="MIJ78" s="447"/>
      <c r="MIK78" s="451"/>
      <c r="MIL78" s="449"/>
      <c r="MIM78" s="450"/>
      <c r="MIN78" s="447"/>
      <c r="MIO78" s="451"/>
      <c r="MIP78" s="449"/>
      <c r="MIQ78" s="450"/>
      <c r="MIR78" s="452"/>
      <c r="MIS78" s="451"/>
      <c r="MIT78" s="449"/>
      <c r="MIU78" s="450"/>
      <c r="MIV78" s="447"/>
      <c r="MIW78" s="448"/>
      <c r="MIX78" s="453"/>
      <c r="MIY78" s="449"/>
      <c r="MIZ78" s="450"/>
      <c r="MJA78" s="454"/>
      <c r="MJB78" s="448"/>
      <c r="MJD78" s="449"/>
      <c r="MJE78" s="450"/>
      <c r="MJF78" s="452"/>
      <c r="MJG78" s="448"/>
      <c r="MJI78" s="449"/>
      <c r="MJJ78" s="450"/>
      <c r="MJK78" s="447"/>
      <c r="MJL78" s="448"/>
      <c r="MJN78" s="449"/>
      <c r="MJO78" s="450"/>
      <c r="MJP78" s="452"/>
      <c r="MJQ78" s="448"/>
      <c r="MJR78" s="449"/>
      <c r="MJS78" s="450"/>
      <c r="MJT78" s="452"/>
      <c r="MJU78" s="448"/>
      <c r="MJV78" s="455"/>
      <c r="MJW78" s="449"/>
      <c r="MJX78" s="450"/>
      <c r="MJY78" s="459"/>
      <c r="MJZ78" s="448"/>
      <c r="MKA78" s="456"/>
      <c r="MKB78" s="449"/>
      <c r="MKC78" s="450"/>
      <c r="MKD78" s="452"/>
      <c r="MKE78" s="448"/>
      <c r="MKF78" s="449"/>
      <c r="MKG78" s="450"/>
      <c r="MKH78" s="452"/>
      <c r="MKI78" s="448"/>
      <c r="MKJ78" s="449"/>
      <c r="MKK78" s="450"/>
      <c r="MKL78" s="447"/>
      <c r="MKM78" s="448"/>
      <c r="MKN78" s="457"/>
      <c r="MKO78" s="460"/>
      <c r="MKP78" s="450"/>
      <c r="MKQ78" s="461"/>
      <c r="MKR78" s="448"/>
      <c r="MKS78" s="456"/>
      <c r="MKT78" s="449"/>
      <c r="MKU78" s="450"/>
      <c r="MKV78" s="452"/>
      <c r="MKW78" s="448"/>
      <c r="MKX78" s="456"/>
      <c r="MKY78" s="458"/>
      <c r="MKZ78" s="458"/>
      <c r="MLB78" s="454"/>
      <c r="MLC78" s="450"/>
      <c r="MLD78" s="454"/>
      <c r="MLE78" s="448"/>
      <c r="MLF78" s="449"/>
      <c r="MLG78" s="450"/>
      <c r="MLH78" s="447"/>
      <c r="MLI78" s="448"/>
      <c r="MLJ78" s="449"/>
      <c r="MLK78" s="450"/>
      <c r="MLL78" s="447"/>
      <c r="MLM78" s="451"/>
      <c r="MLN78" s="449"/>
      <c r="MLO78" s="450"/>
      <c r="MLP78" s="447"/>
      <c r="MLQ78" s="451"/>
      <c r="MLR78" s="449"/>
      <c r="MLS78" s="450"/>
      <c r="MLT78" s="447"/>
      <c r="MLU78" s="451"/>
      <c r="MLV78" s="449"/>
      <c r="MLW78" s="450"/>
      <c r="MLX78" s="452"/>
      <c r="MLY78" s="451"/>
      <c r="MLZ78" s="449"/>
      <c r="MMA78" s="450"/>
      <c r="MMB78" s="447"/>
      <c r="MMC78" s="448"/>
      <c r="MMD78" s="453"/>
      <c r="MME78" s="449"/>
      <c r="MMF78" s="450"/>
      <c r="MMG78" s="454"/>
      <c r="MMH78" s="448"/>
      <c r="MMJ78" s="449"/>
      <c r="MMK78" s="450"/>
      <c r="MML78" s="452"/>
      <c r="MMM78" s="448"/>
      <c r="MMO78" s="449"/>
      <c r="MMP78" s="450"/>
      <c r="MMQ78" s="447"/>
      <c r="MMR78" s="448"/>
      <c r="MMT78" s="449"/>
      <c r="MMU78" s="450"/>
      <c r="MMV78" s="452"/>
      <c r="MMW78" s="448"/>
      <c r="MMX78" s="449"/>
      <c r="MMY78" s="450"/>
      <c r="MMZ78" s="452"/>
      <c r="MNA78" s="448"/>
      <c r="MNB78" s="455"/>
      <c r="MNC78" s="449"/>
      <c r="MND78" s="450"/>
      <c r="MNE78" s="459"/>
      <c r="MNF78" s="448"/>
      <c r="MNG78" s="456"/>
      <c r="MNH78" s="449"/>
      <c r="MNI78" s="450"/>
      <c r="MNJ78" s="452"/>
      <c r="MNK78" s="448"/>
      <c r="MNL78" s="449"/>
      <c r="MNM78" s="450"/>
      <c r="MNN78" s="452"/>
      <c r="MNO78" s="448"/>
      <c r="MNP78" s="449"/>
      <c r="MNQ78" s="450"/>
      <c r="MNR78" s="447"/>
      <c r="MNS78" s="448"/>
      <c r="MNT78" s="457"/>
      <c r="MNU78" s="460"/>
      <c r="MNV78" s="450"/>
      <c r="MNW78" s="461"/>
      <c r="MNX78" s="448"/>
      <c r="MNY78" s="456"/>
      <c r="MNZ78" s="449"/>
      <c r="MOA78" s="450"/>
      <c r="MOB78" s="452"/>
      <c r="MOC78" s="448"/>
      <c r="MOD78" s="456"/>
      <c r="MOE78" s="458"/>
      <c r="MOF78" s="458"/>
      <c r="MOH78" s="454"/>
      <c r="MOI78" s="450"/>
      <c r="MOJ78" s="454"/>
      <c r="MOK78" s="448"/>
      <c r="MOL78" s="449"/>
      <c r="MOM78" s="450"/>
      <c r="MON78" s="447"/>
      <c r="MOO78" s="448"/>
      <c r="MOP78" s="449"/>
      <c r="MOQ78" s="450"/>
      <c r="MOR78" s="447"/>
      <c r="MOS78" s="451"/>
      <c r="MOT78" s="449"/>
      <c r="MOU78" s="450"/>
      <c r="MOV78" s="447"/>
      <c r="MOW78" s="451"/>
      <c r="MOX78" s="449"/>
      <c r="MOY78" s="450"/>
      <c r="MOZ78" s="447"/>
      <c r="MPA78" s="451"/>
      <c r="MPB78" s="449"/>
      <c r="MPC78" s="450"/>
      <c r="MPD78" s="452"/>
      <c r="MPE78" s="451"/>
      <c r="MPF78" s="449"/>
      <c r="MPG78" s="450"/>
      <c r="MPH78" s="447"/>
      <c r="MPI78" s="448"/>
      <c r="MPJ78" s="453"/>
      <c r="MPK78" s="449"/>
      <c r="MPL78" s="450"/>
      <c r="MPM78" s="454"/>
      <c r="MPN78" s="448"/>
      <c r="MPP78" s="449"/>
      <c r="MPQ78" s="450"/>
      <c r="MPR78" s="452"/>
      <c r="MPS78" s="448"/>
      <c r="MPU78" s="449"/>
      <c r="MPV78" s="450"/>
      <c r="MPW78" s="447"/>
      <c r="MPX78" s="448"/>
      <c r="MPZ78" s="449"/>
      <c r="MQA78" s="450"/>
      <c r="MQB78" s="452"/>
      <c r="MQC78" s="448"/>
      <c r="MQD78" s="449"/>
      <c r="MQE78" s="450"/>
      <c r="MQF78" s="452"/>
      <c r="MQG78" s="448"/>
      <c r="MQH78" s="455"/>
      <c r="MQI78" s="449"/>
      <c r="MQJ78" s="450"/>
      <c r="MQK78" s="459"/>
      <c r="MQL78" s="448"/>
      <c r="MQM78" s="456"/>
      <c r="MQN78" s="449"/>
      <c r="MQO78" s="450"/>
      <c r="MQP78" s="452"/>
      <c r="MQQ78" s="448"/>
      <c r="MQR78" s="449"/>
      <c r="MQS78" s="450"/>
      <c r="MQT78" s="452"/>
      <c r="MQU78" s="448"/>
      <c r="MQV78" s="449"/>
      <c r="MQW78" s="450"/>
      <c r="MQX78" s="447"/>
      <c r="MQY78" s="448"/>
      <c r="MQZ78" s="457"/>
      <c r="MRA78" s="460"/>
      <c r="MRB78" s="450"/>
      <c r="MRC78" s="461"/>
      <c r="MRD78" s="448"/>
      <c r="MRE78" s="456"/>
      <c r="MRF78" s="449"/>
      <c r="MRG78" s="450"/>
      <c r="MRH78" s="452"/>
      <c r="MRI78" s="448"/>
      <c r="MRJ78" s="456"/>
      <c r="MRK78" s="458"/>
      <c r="MRL78" s="458"/>
      <c r="MRN78" s="454"/>
      <c r="MRO78" s="450"/>
      <c r="MRP78" s="454"/>
      <c r="MRQ78" s="448"/>
      <c r="MRR78" s="449"/>
      <c r="MRS78" s="450"/>
      <c r="MRT78" s="447"/>
      <c r="MRU78" s="448"/>
      <c r="MRV78" s="449"/>
      <c r="MRW78" s="450"/>
      <c r="MRX78" s="447"/>
      <c r="MRY78" s="451"/>
      <c r="MRZ78" s="449"/>
      <c r="MSA78" s="450"/>
      <c r="MSB78" s="447"/>
      <c r="MSC78" s="451"/>
      <c r="MSD78" s="449"/>
      <c r="MSE78" s="450"/>
      <c r="MSF78" s="447"/>
      <c r="MSG78" s="451"/>
      <c r="MSH78" s="449"/>
      <c r="MSI78" s="450"/>
      <c r="MSJ78" s="452"/>
      <c r="MSK78" s="451"/>
      <c r="MSL78" s="449"/>
      <c r="MSM78" s="450"/>
      <c r="MSN78" s="447"/>
      <c r="MSO78" s="448"/>
      <c r="MSP78" s="453"/>
      <c r="MSQ78" s="449"/>
      <c r="MSR78" s="450"/>
      <c r="MSS78" s="454"/>
      <c r="MST78" s="448"/>
      <c r="MSV78" s="449"/>
      <c r="MSW78" s="450"/>
      <c r="MSX78" s="452"/>
      <c r="MSY78" s="448"/>
      <c r="MTA78" s="449"/>
      <c r="MTB78" s="450"/>
      <c r="MTC78" s="447"/>
      <c r="MTD78" s="448"/>
      <c r="MTF78" s="449"/>
      <c r="MTG78" s="450"/>
      <c r="MTH78" s="452"/>
      <c r="MTI78" s="448"/>
      <c r="MTJ78" s="449"/>
      <c r="MTK78" s="450"/>
      <c r="MTL78" s="452"/>
      <c r="MTM78" s="448"/>
      <c r="MTN78" s="455"/>
      <c r="MTO78" s="449"/>
      <c r="MTP78" s="450"/>
      <c r="MTQ78" s="459"/>
      <c r="MTR78" s="448"/>
      <c r="MTS78" s="456"/>
      <c r="MTT78" s="449"/>
      <c r="MTU78" s="450"/>
      <c r="MTV78" s="452"/>
      <c r="MTW78" s="448"/>
      <c r="MTX78" s="449"/>
      <c r="MTY78" s="450"/>
      <c r="MTZ78" s="452"/>
      <c r="MUA78" s="448"/>
      <c r="MUB78" s="449"/>
      <c r="MUC78" s="450"/>
      <c r="MUD78" s="447"/>
      <c r="MUE78" s="448"/>
      <c r="MUF78" s="457"/>
      <c r="MUG78" s="460"/>
      <c r="MUH78" s="450"/>
      <c r="MUI78" s="461"/>
      <c r="MUJ78" s="448"/>
      <c r="MUK78" s="456"/>
      <c r="MUL78" s="449"/>
      <c r="MUM78" s="450"/>
      <c r="MUN78" s="452"/>
      <c r="MUO78" s="448"/>
      <c r="MUP78" s="456"/>
      <c r="MUQ78" s="458"/>
      <c r="MUR78" s="458"/>
      <c r="MUT78" s="454"/>
      <c r="MUU78" s="450"/>
      <c r="MUV78" s="454"/>
      <c r="MUW78" s="448"/>
      <c r="MUX78" s="449"/>
      <c r="MUY78" s="450"/>
      <c r="MUZ78" s="447"/>
      <c r="MVA78" s="448"/>
      <c r="MVB78" s="449"/>
      <c r="MVC78" s="450"/>
      <c r="MVD78" s="447"/>
      <c r="MVE78" s="451"/>
      <c r="MVF78" s="449"/>
      <c r="MVG78" s="450"/>
      <c r="MVH78" s="447"/>
      <c r="MVI78" s="451"/>
      <c r="MVJ78" s="449"/>
      <c r="MVK78" s="450"/>
      <c r="MVL78" s="447"/>
      <c r="MVM78" s="451"/>
      <c r="MVN78" s="449"/>
      <c r="MVO78" s="450"/>
      <c r="MVP78" s="452"/>
      <c r="MVQ78" s="451"/>
      <c r="MVR78" s="449"/>
      <c r="MVS78" s="450"/>
      <c r="MVT78" s="447"/>
      <c r="MVU78" s="448"/>
      <c r="MVV78" s="453"/>
      <c r="MVW78" s="449"/>
      <c r="MVX78" s="450"/>
      <c r="MVY78" s="454"/>
      <c r="MVZ78" s="448"/>
      <c r="MWB78" s="449"/>
      <c r="MWC78" s="450"/>
      <c r="MWD78" s="452"/>
      <c r="MWE78" s="448"/>
      <c r="MWG78" s="449"/>
      <c r="MWH78" s="450"/>
      <c r="MWI78" s="447"/>
      <c r="MWJ78" s="448"/>
      <c r="MWL78" s="449"/>
      <c r="MWM78" s="450"/>
      <c r="MWN78" s="452"/>
      <c r="MWO78" s="448"/>
      <c r="MWP78" s="449"/>
      <c r="MWQ78" s="450"/>
      <c r="MWR78" s="452"/>
      <c r="MWS78" s="448"/>
      <c r="MWT78" s="455"/>
      <c r="MWU78" s="449"/>
      <c r="MWV78" s="450"/>
      <c r="MWW78" s="459"/>
      <c r="MWX78" s="448"/>
      <c r="MWY78" s="456"/>
      <c r="MWZ78" s="449"/>
      <c r="MXA78" s="450"/>
      <c r="MXB78" s="452"/>
      <c r="MXC78" s="448"/>
      <c r="MXD78" s="449"/>
      <c r="MXE78" s="450"/>
      <c r="MXF78" s="452"/>
      <c r="MXG78" s="448"/>
      <c r="MXH78" s="449"/>
      <c r="MXI78" s="450"/>
      <c r="MXJ78" s="447"/>
      <c r="MXK78" s="448"/>
      <c r="MXL78" s="457"/>
      <c r="MXM78" s="460"/>
      <c r="MXN78" s="450"/>
      <c r="MXO78" s="461"/>
      <c r="MXP78" s="448"/>
      <c r="MXQ78" s="456"/>
      <c r="MXR78" s="449"/>
      <c r="MXS78" s="450"/>
      <c r="MXT78" s="452"/>
      <c r="MXU78" s="448"/>
      <c r="MXV78" s="456"/>
      <c r="MXW78" s="458"/>
      <c r="MXX78" s="458"/>
      <c r="MXZ78" s="454"/>
      <c r="MYA78" s="450"/>
      <c r="MYB78" s="454"/>
      <c r="MYC78" s="448"/>
      <c r="MYD78" s="449"/>
      <c r="MYE78" s="450"/>
      <c r="MYF78" s="447"/>
      <c r="MYG78" s="448"/>
      <c r="MYH78" s="449"/>
      <c r="MYI78" s="450"/>
      <c r="MYJ78" s="447"/>
      <c r="MYK78" s="451"/>
      <c r="MYL78" s="449"/>
      <c r="MYM78" s="450"/>
      <c r="MYN78" s="447"/>
      <c r="MYO78" s="451"/>
      <c r="MYP78" s="449"/>
      <c r="MYQ78" s="450"/>
      <c r="MYR78" s="447"/>
      <c r="MYS78" s="451"/>
      <c r="MYT78" s="449"/>
      <c r="MYU78" s="450"/>
      <c r="MYV78" s="452"/>
      <c r="MYW78" s="451"/>
      <c r="MYX78" s="449"/>
      <c r="MYY78" s="450"/>
      <c r="MYZ78" s="447"/>
      <c r="MZA78" s="448"/>
      <c r="MZB78" s="453"/>
      <c r="MZC78" s="449"/>
      <c r="MZD78" s="450"/>
      <c r="MZE78" s="454"/>
      <c r="MZF78" s="448"/>
      <c r="MZH78" s="449"/>
      <c r="MZI78" s="450"/>
      <c r="MZJ78" s="452"/>
      <c r="MZK78" s="448"/>
      <c r="MZM78" s="449"/>
      <c r="MZN78" s="450"/>
      <c r="MZO78" s="447"/>
      <c r="MZP78" s="448"/>
      <c r="MZR78" s="449"/>
      <c r="MZS78" s="450"/>
      <c r="MZT78" s="452"/>
      <c r="MZU78" s="448"/>
      <c r="MZV78" s="449"/>
      <c r="MZW78" s="450"/>
      <c r="MZX78" s="452"/>
      <c r="MZY78" s="448"/>
      <c r="MZZ78" s="455"/>
      <c r="NAA78" s="449"/>
      <c r="NAB78" s="450"/>
      <c r="NAC78" s="459"/>
      <c r="NAD78" s="448"/>
      <c r="NAE78" s="456"/>
      <c r="NAF78" s="449"/>
      <c r="NAG78" s="450"/>
      <c r="NAH78" s="452"/>
      <c r="NAI78" s="448"/>
      <c r="NAJ78" s="449"/>
      <c r="NAK78" s="450"/>
      <c r="NAL78" s="452"/>
      <c r="NAM78" s="448"/>
      <c r="NAN78" s="449"/>
      <c r="NAO78" s="450"/>
      <c r="NAP78" s="447"/>
      <c r="NAQ78" s="448"/>
      <c r="NAR78" s="457"/>
      <c r="NAS78" s="460"/>
      <c r="NAT78" s="450"/>
      <c r="NAU78" s="461"/>
      <c r="NAV78" s="448"/>
      <c r="NAW78" s="456"/>
      <c r="NAX78" s="449"/>
      <c r="NAY78" s="450"/>
      <c r="NAZ78" s="452"/>
      <c r="NBA78" s="448"/>
      <c r="NBB78" s="456"/>
      <c r="NBC78" s="458"/>
      <c r="NBD78" s="458"/>
      <c r="NBF78" s="454"/>
      <c r="NBG78" s="450"/>
      <c r="NBH78" s="454"/>
      <c r="NBI78" s="448"/>
      <c r="NBJ78" s="449"/>
      <c r="NBK78" s="450"/>
      <c r="NBL78" s="447"/>
      <c r="NBM78" s="448"/>
      <c r="NBN78" s="449"/>
      <c r="NBO78" s="450"/>
      <c r="NBP78" s="447"/>
      <c r="NBQ78" s="451"/>
      <c r="NBR78" s="449"/>
      <c r="NBS78" s="450"/>
      <c r="NBT78" s="447"/>
      <c r="NBU78" s="451"/>
      <c r="NBV78" s="449"/>
      <c r="NBW78" s="450"/>
      <c r="NBX78" s="447"/>
      <c r="NBY78" s="451"/>
      <c r="NBZ78" s="449"/>
      <c r="NCA78" s="450"/>
      <c r="NCB78" s="452"/>
      <c r="NCC78" s="451"/>
      <c r="NCD78" s="449"/>
      <c r="NCE78" s="450"/>
      <c r="NCF78" s="447"/>
      <c r="NCG78" s="448"/>
      <c r="NCH78" s="453"/>
      <c r="NCI78" s="449"/>
      <c r="NCJ78" s="450"/>
      <c r="NCK78" s="454"/>
      <c r="NCL78" s="448"/>
      <c r="NCN78" s="449"/>
      <c r="NCO78" s="450"/>
      <c r="NCP78" s="452"/>
      <c r="NCQ78" s="448"/>
      <c r="NCS78" s="449"/>
      <c r="NCT78" s="450"/>
      <c r="NCU78" s="447"/>
      <c r="NCV78" s="448"/>
      <c r="NCX78" s="449"/>
      <c r="NCY78" s="450"/>
      <c r="NCZ78" s="452"/>
      <c r="NDA78" s="448"/>
      <c r="NDB78" s="449"/>
      <c r="NDC78" s="450"/>
      <c r="NDD78" s="452"/>
      <c r="NDE78" s="448"/>
      <c r="NDF78" s="455"/>
      <c r="NDG78" s="449"/>
      <c r="NDH78" s="450"/>
      <c r="NDI78" s="459"/>
      <c r="NDJ78" s="448"/>
      <c r="NDK78" s="456"/>
      <c r="NDL78" s="449"/>
      <c r="NDM78" s="450"/>
      <c r="NDN78" s="452"/>
      <c r="NDO78" s="448"/>
      <c r="NDP78" s="449"/>
      <c r="NDQ78" s="450"/>
      <c r="NDR78" s="452"/>
      <c r="NDS78" s="448"/>
      <c r="NDT78" s="449"/>
      <c r="NDU78" s="450"/>
      <c r="NDV78" s="447"/>
      <c r="NDW78" s="448"/>
      <c r="NDX78" s="457"/>
      <c r="NDY78" s="460"/>
      <c r="NDZ78" s="450"/>
      <c r="NEA78" s="461"/>
      <c r="NEB78" s="448"/>
      <c r="NEC78" s="456"/>
      <c r="NED78" s="449"/>
      <c r="NEE78" s="450"/>
      <c r="NEF78" s="452"/>
      <c r="NEG78" s="448"/>
      <c r="NEH78" s="456"/>
      <c r="NEI78" s="458"/>
      <c r="NEJ78" s="458"/>
      <c r="NEL78" s="454"/>
      <c r="NEM78" s="450"/>
      <c r="NEN78" s="454"/>
      <c r="NEO78" s="448"/>
      <c r="NEP78" s="449"/>
      <c r="NEQ78" s="450"/>
      <c r="NER78" s="447"/>
      <c r="NES78" s="448"/>
      <c r="NET78" s="449"/>
      <c r="NEU78" s="450"/>
      <c r="NEV78" s="447"/>
      <c r="NEW78" s="451"/>
      <c r="NEX78" s="449"/>
      <c r="NEY78" s="450"/>
      <c r="NEZ78" s="447"/>
      <c r="NFA78" s="451"/>
      <c r="NFB78" s="449"/>
      <c r="NFC78" s="450"/>
      <c r="NFD78" s="447"/>
      <c r="NFE78" s="451"/>
      <c r="NFF78" s="449"/>
      <c r="NFG78" s="450"/>
      <c r="NFH78" s="452"/>
      <c r="NFI78" s="451"/>
      <c r="NFJ78" s="449"/>
      <c r="NFK78" s="450"/>
      <c r="NFL78" s="447"/>
      <c r="NFM78" s="448"/>
      <c r="NFN78" s="453"/>
      <c r="NFO78" s="449"/>
      <c r="NFP78" s="450"/>
      <c r="NFQ78" s="454"/>
      <c r="NFR78" s="448"/>
      <c r="NFT78" s="449"/>
      <c r="NFU78" s="450"/>
      <c r="NFV78" s="452"/>
      <c r="NFW78" s="448"/>
      <c r="NFY78" s="449"/>
      <c r="NFZ78" s="450"/>
      <c r="NGA78" s="447"/>
      <c r="NGB78" s="448"/>
      <c r="NGD78" s="449"/>
      <c r="NGE78" s="450"/>
      <c r="NGF78" s="452"/>
      <c r="NGG78" s="448"/>
      <c r="NGH78" s="449"/>
      <c r="NGI78" s="450"/>
      <c r="NGJ78" s="452"/>
      <c r="NGK78" s="448"/>
      <c r="NGL78" s="455"/>
      <c r="NGM78" s="449"/>
      <c r="NGN78" s="450"/>
      <c r="NGO78" s="459"/>
      <c r="NGP78" s="448"/>
      <c r="NGQ78" s="456"/>
      <c r="NGR78" s="449"/>
      <c r="NGS78" s="450"/>
      <c r="NGT78" s="452"/>
      <c r="NGU78" s="448"/>
      <c r="NGV78" s="449"/>
      <c r="NGW78" s="450"/>
      <c r="NGX78" s="452"/>
      <c r="NGY78" s="448"/>
      <c r="NGZ78" s="449"/>
      <c r="NHA78" s="450"/>
      <c r="NHB78" s="447"/>
      <c r="NHC78" s="448"/>
      <c r="NHD78" s="457"/>
      <c r="NHE78" s="460"/>
      <c r="NHF78" s="450"/>
      <c r="NHG78" s="461"/>
      <c r="NHH78" s="448"/>
      <c r="NHI78" s="456"/>
      <c r="NHJ78" s="449"/>
      <c r="NHK78" s="450"/>
      <c r="NHL78" s="452"/>
      <c r="NHM78" s="448"/>
      <c r="NHN78" s="456"/>
      <c r="NHO78" s="458"/>
      <c r="NHP78" s="458"/>
      <c r="NHR78" s="454"/>
      <c r="NHS78" s="450"/>
      <c r="NHT78" s="454"/>
      <c r="NHU78" s="448"/>
      <c r="NHV78" s="449"/>
      <c r="NHW78" s="450"/>
      <c r="NHX78" s="447"/>
      <c r="NHY78" s="448"/>
      <c r="NHZ78" s="449"/>
      <c r="NIA78" s="450"/>
      <c r="NIB78" s="447"/>
      <c r="NIC78" s="451"/>
      <c r="NID78" s="449"/>
      <c r="NIE78" s="450"/>
      <c r="NIF78" s="447"/>
      <c r="NIG78" s="451"/>
      <c r="NIH78" s="449"/>
      <c r="NII78" s="450"/>
      <c r="NIJ78" s="447"/>
      <c r="NIK78" s="451"/>
      <c r="NIL78" s="449"/>
      <c r="NIM78" s="450"/>
      <c r="NIN78" s="452"/>
      <c r="NIO78" s="451"/>
      <c r="NIP78" s="449"/>
      <c r="NIQ78" s="450"/>
      <c r="NIR78" s="447"/>
      <c r="NIS78" s="448"/>
      <c r="NIT78" s="453"/>
      <c r="NIU78" s="449"/>
      <c r="NIV78" s="450"/>
      <c r="NIW78" s="454"/>
      <c r="NIX78" s="448"/>
      <c r="NIZ78" s="449"/>
      <c r="NJA78" s="450"/>
      <c r="NJB78" s="452"/>
      <c r="NJC78" s="448"/>
      <c r="NJE78" s="449"/>
      <c r="NJF78" s="450"/>
      <c r="NJG78" s="447"/>
      <c r="NJH78" s="448"/>
      <c r="NJJ78" s="449"/>
      <c r="NJK78" s="450"/>
      <c r="NJL78" s="452"/>
      <c r="NJM78" s="448"/>
      <c r="NJN78" s="449"/>
      <c r="NJO78" s="450"/>
      <c r="NJP78" s="452"/>
      <c r="NJQ78" s="448"/>
      <c r="NJR78" s="455"/>
      <c r="NJS78" s="449"/>
      <c r="NJT78" s="450"/>
      <c r="NJU78" s="459"/>
      <c r="NJV78" s="448"/>
      <c r="NJW78" s="456"/>
      <c r="NJX78" s="449"/>
      <c r="NJY78" s="450"/>
      <c r="NJZ78" s="452"/>
      <c r="NKA78" s="448"/>
      <c r="NKB78" s="449"/>
      <c r="NKC78" s="450"/>
      <c r="NKD78" s="452"/>
      <c r="NKE78" s="448"/>
      <c r="NKF78" s="449"/>
      <c r="NKG78" s="450"/>
      <c r="NKH78" s="447"/>
      <c r="NKI78" s="448"/>
      <c r="NKJ78" s="457"/>
      <c r="NKK78" s="460"/>
      <c r="NKL78" s="450"/>
      <c r="NKM78" s="461"/>
      <c r="NKN78" s="448"/>
      <c r="NKO78" s="456"/>
      <c r="NKP78" s="449"/>
      <c r="NKQ78" s="450"/>
      <c r="NKR78" s="452"/>
      <c r="NKS78" s="448"/>
      <c r="NKT78" s="456"/>
      <c r="NKU78" s="458"/>
      <c r="NKV78" s="458"/>
      <c r="NKX78" s="454"/>
      <c r="NKY78" s="450"/>
      <c r="NKZ78" s="454"/>
      <c r="NLA78" s="448"/>
      <c r="NLB78" s="449"/>
      <c r="NLC78" s="450"/>
      <c r="NLD78" s="447"/>
      <c r="NLE78" s="448"/>
      <c r="NLF78" s="449"/>
      <c r="NLG78" s="450"/>
      <c r="NLH78" s="447"/>
      <c r="NLI78" s="451"/>
      <c r="NLJ78" s="449"/>
      <c r="NLK78" s="450"/>
      <c r="NLL78" s="447"/>
      <c r="NLM78" s="451"/>
      <c r="NLN78" s="449"/>
      <c r="NLO78" s="450"/>
      <c r="NLP78" s="447"/>
      <c r="NLQ78" s="451"/>
      <c r="NLR78" s="449"/>
      <c r="NLS78" s="450"/>
      <c r="NLT78" s="452"/>
      <c r="NLU78" s="451"/>
      <c r="NLV78" s="449"/>
      <c r="NLW78" s="450"/>
      <c r="NLX78" s="447"/>
      <c r="NLY78" s="448"/>
      <c r="NLZ78" s="453"/>
      <c r="NMA78" s="449"/>
      <c r="NMB78" s="450"/>
      <c r="NMC78" s="454"/>
      <c r="NMD78" s="448"/>
      <c r="NMF78" s="449"/>
      <c r="NMG78" s="450"/>
      <c r="NMH78" s="452"/>
      <c r="NMI78" s="448"/>
      <c r="NMK78" s="449"/>
      <c r="NML78" s="450"/>
      <c r="NMM78" s="447"/>
      <c r="NMN78" s="448"/>
      <c r="NMP78" s="449"/>
      <c r="NMQ78" s="450"/>
      <c r="NMR78" s="452"/>
      <c r="NMS78" s="448"/>
      <c r="NMT78" s="449"/>
      <c r="NMU78" s="450"/>
      <c r="NMV78" s="452"/>
      <c r="NMW78" s="448"/>
      <c r="NMX78" s="455"/>
      <c r="NMY78" s="449"/>
      <c r="NMZ78" s="450"/>
      <c r="NNA78" s="459"/>
      <c r="NNB78" s="448"/>
      <c r="NNC78" s="456"/>
      <c r="NND78" s="449"/>
      <c r="NNE78" s="450"/>
      <c r="NNF78" s="452"/>
      <c r="NNG78" s="448"/>
      <c r="NNH78" s="449"/>
      <c r="NNI78" s="450"/>
      <c r="NNJ78" s="452"/>
      <c r="NNK78" s="448"/>
      <c r="NNL78" s="449"/>
      <c r="NNM78" s="450"/>
      <c r="NNN78" s="447"/>
      <c r="NNO78" s="448"/>
      <c r="NNP78" s="457"/>
      <c r="NNQ78" s="460"/>
      <c r="NNR78" s="450"/>
      <c r="NNS78" s="461"/>
      <c r="NNT78" s="448"/>
      <c r="NNU78" s="456"/>
      <c r="NNV78" s="449"/>
      <c r="NNW78" s="450"/>
      <c r="NNX78" s="452"/>
      <c r="NNY78" s="448"/>
      <c r="NNZ78" s="456"/>
      <c r="NOA78" s="458"/>
      <c r="NOB78" s="458"/>
      <c r="NOD78" s="454"/>
      <c r="NOE78" s="450"/>
      <c r="NOF78" s="454"/>
      <c r="NOG78" s="448"/>
      <c r="NOH78" s="449"/>
      <c r="NOI78" s="450"/>
      <c r="NOJ78" s="447"/>
      <c r="NOK78" s="448"/>
      <c r="NOL78" s="449"/>
      <c r="NOM78" s="450"/>
      <c r="NON78" s="447"/>
      <c r="NOO78" s="451"/>
      <c r="NOP78" s="449"/>
      <c r="NOQ78" s="450"/>
      <c r="NOR78" s="447"/>
      <c r="NOS78" s="451"/>
      <c r="NOT78" s="449"/>
      <c r="NOU78" s="450"/>
      <c r="NOV78" s="447"/>
      <c r="NOW78" s="451"/>
      <c r="NOX78" s="449"/>
      <c r="NOY78" s="450"/>
      <c r="NOZ78" s="452"/>
      <c r="NPA78" s="451"/>
      <c r="NPB78" s="449"/>
      <c r="NPC78" s="450"/>
      <c r="NPD78" s="447"/>
      <c r="NPE78" s="448"/>
      <c r="NPF78" s="453"/>
      <c r="NPG78" s="449"/>
      <c r="NPH78" s="450"/>
      <c r="NPI78" s="454"/>
      <c r="NPJ78" s="448"/>
      <c r="NPL78" s="449"/>
      <c r="NPM78" s="450"/>
      <c r="NPN78" s="452"/>
      <c r="NPO78" s="448"/>
      <c r="NPQ78" s="449"/>
      <c r="NPR78" s="450"/>
      <c r="NPS78" s="447"/>
      <c r="NPT78" s="448"/>
      <c r="NPV78" s="449"/>
      <c r="NPW78" s="450"/>
      <c r="NPX78" s="452"/>
      <c r="NPY78" s="448"/>
      <c r="NPZ78" s="449"/>
      <c r="NQA78" s="450"/>
      <c r="NQB78" s="452"/>
      <c r="NQC78" s="448"/>
      <c r="NQD78" s="455"/>
      <c r="NQE78" s="449"/>
      <c r="NQF78" s="450"/>
      <c r="NQG78" s="459"/>
      <c r="NQH78" s="448"/>
      <c r="NQI78" s="456"/>
      <c r="NQJ78" s="449"/>
      <c r="NQK78" s="450"/>
      <c r="NQL78" s="452"/>
      <c r="NQM78" s="448"/>
      <c r="NQN78" s="449"/>
      <c r="NQO78" s="450"/>
      <c r="NQP78" s="452"/>
      <c r="NQQ78" s="448"/>
      <c r="NQR78" s="449"/>
      <c r="NQS78" s="450"/>
      <c r="NQT78" s="447"/>
      <c r="NQU78" s="448"/>
      <c r="NQV78" s="457"/>
      <c r="NQW78" s="460"/>
      <c r="NQX78" s="450"/>
      <c r="NQY78" s="461"/>
      <c r="NQZ78" s="448"/>
      <c r="NRA78" s="456"/>
      <c r="NRB78" s="449"/>
      <c r="NRC78" s="450"/>
      <c r="NRD78" s="452"/>
      <c r="NRE78" s="448"/>
      <c r="NRF78" s="456"/>
      <c r="NRG78" s="458"/>
      <c r="NRH78" s="458"/>
      <c r="NRJ78" s="454"/>
      <c r="NRK78" s="450"/>
      <c r="NRL78" s="454"/>
      <c r="NRM78" s="448"/>
      <c r="NRN78" s="449"/>
      <c r="NRO78" s="450"/>
      <c r="NRP78" s="447"/>
      <c r="NRQ78" s="448"/>
      <c r="NRR78" s="449"/>
      <c r="NRS78" s="450"/>
      <c r="NRT78" s="447"/>
      <c r="NRU78" s="451"/>
      <c r="NRV78" s="449"/>
      <c r="NRW78" s="450"/>
      <c r="NRX78" s="447"/>
      <c r="NRY78" s="451"/>
      <c r="NRZ78" s="449"/>
      <c r="NSA78" s="450"/>
      <c r="NSB78" s="447"/>
      <c r="NSC78" s="451"/>
      <c r="NSD78" s="449"/>
      <c r="NSE78" s="450"/>
      <c r="NSF78" s="452"/>
      <c r="NSG78" s="451"/>
      <c r="NSH78" s="449"/>
      <c r="NSI78" s="450"/>
      <c r="NSJ78" s="447"/>
      <c r="NSK78" s="448"/>
      <c r="NSL78" s="453"/>
      <c r="NSM78" s="449"/>
      <c r="NSN78" s="450"/>
      <c r="NSO78" s="454"/>
      <c r="NSP78" s="448"/>
      <c r="NSR78" s="449"/>
      <c r="NSS78" s="450"/>
      <c r="NST78" s="452"/>
      <c r="NSU78" s="448"/>
      <c r="NSW78" s="449"/>
      <c r="NSX78" s="450"/>
      <c r="NSY78" s="447"/>
      <c r="NSZ78" s="448"/>
      <c r="NTB78" s="449"/>
      <c r="NTC78" s="450"/>
      <c r="NTD78" s="452"/>
      <c r="NTE78" s="448"/>
      <c r="NTF78" s="449"/>
      <c r="NTG78" s="450"/>
      <c r="NTH78" s="452"/>
      <c r="NTI78" s="448"/>
      <c r="NTJ78" s="455"/>
      <c r="NTK78" s="449"/>
      <c r="NTL78" s="450"/>
      <c r="NTM78" s="459"/>
      <c r="NTN78" s="448"/>
      <c r="NTO78" s="456"/>
      <c r="NTP78" s="449"/>
      <c r="NTQ78" s="450"/>
      <c r="NTR78" s="452"/>
      <c r="NTS78" s="448"/>
      <c r="NTT78" s="449"/>
      <c r="NTU78" s="450"/>
      <c r="NTV78" s="452"/>
      <c r="NTW78" s="448"/>
      <c r="NTX78" s="449"/>
      <c r="NTY78" s="450"/>
      <c r="NTZ78" s="447"/>
      <c r="NUA78" s="448"/>
      <c r="NUB78" s="457"/>
      <c r="NUC78" s="460"/>
      <c r="NUD78" s="450"/>
      <c r="NUE78" s="461"/>
      <c r="NUF78" s="448"/>
      <c r="NUG78" s="456"/>
      <c r="NUH78" s="449"/>
      <c r="NUI78" s="450"/>
      <c r="NUJ78" s="452"/>
      <c r="NUK78" s="448"/>
      <c r="NUL78" s="456"/>
      <c r="NUM78" s="458"/>
      <c r="NUN78" s="458"/>
      <c r="NUP78" s="454"/>
      <c r="NUQ78" s="450"/>
      <c r="NUR78" s="454"/>
      <c r="NUS78" s="448"/>
      <c r="NUT78" s="449"/>
      <c r="NUU78" s="450"/>
      <c r="NUV78" s="447"/>
      <c r="NUW78" s="448"/>
      <c r="NUX78" s="449"/>
      <c r="NUY78" s="450"/>
      <c r="NUZ78" s="447"/>
      <c r="NVA78" s="451"/>
      <c r="NVB78" s="449"/>
      <c r="NVC78" s="450"/>
      <c r="NVD78" s="447"/>
      <c r="NVE78" s="451"/>
      <c r="NVF78" s="449"/>
      <c r="NVG78" s="450"/>
      <c r="NVH78" s="447"/>
      <c r="NVI78" s="451"/>
      <c r="NVJ78" s="449"/>
      <c r="NVK78" s="450"/>
      <c r="NVL78" s="452"/>
      <c r="NVM78" s="451"/>
      <c r="NVN78" s="449"/>
      <c r="NVO78" s="450"/>
      <c r="NVP78" s="447"/>
      <c r="NVQ78" s="448"/>
      <c r="NVR78" s="453"/>
      <c r="NVS78" s="449"/>
      <c r="NVT78" s="450"/>
      <c r="NVU78" s="454"/>
      <c r="NVV78" s="448"/>
      <c r="NVX78" s="449"/>
      <c r="NVY78" s="450"/>
      <c r="NVZ78" s="452"/>
      <c r="NWA78" s="448"/>
      <c r="NWC78" s="449"/>
      <c r="NWD78" s="450"/>
      <c r="NWE78" s="447"/>
      <c r="NWF78" s="448"/>
      <c r="NWH78" s="449"/>
      <c r="NWI78" s="450"/>
      <c r="NWJ78" s="452"/>
      <c r="NWK78" s="448"/>
      <c r="NWL78" s="449"/>
      <c r="NWM78" s="450"/>
      <c r="NWN78" s="452"/>
      <c r="NWO78" s="448"/>
      <c r="NWP78" s="455"/>
      <c r="NWQ78" s="449"/>
      <c r="NWR78" s="450"/>
      <c r="NWS78" s="459"/>
      <c r="NWT78" s="448"/>
      <c r="NWU78" s="456"/>
      <c r="NWV78" s="449"/>
      <c r="NWW78" s="450"/>
      <c r="NWX78" s="452"/>
      <c r="NWY78" s="448"/>
      <c r="NWZ78" s="449"/>
      <c r="NXA78" s="450"/>
      <c r="NXB78" s="452"/>
      <c r="NXC78" s="448"/>
      <c r="NXD78" s="449"/>
      <c r="NXE78" s="450"/>
      <c r="NXF78" s="447"/>
      <c r="NXG78" s="448"/>
      <c r="NXH78" s="457"/>
      <c r="NXI78" s="460"/>
      <c r="NXJ78" s="450"/>
      <c r="NXK78" s="461"/>
      <c r="NXL78" s="448"/>
      <c r="NXM78" s="456"/>
      <c r="NXN78" s="449"/>
      <c r="NXO78" s="450"/>
      <c r="NXP78" s="452"/>
      <c r="NXQ78" s="448"/>
      <c r="NXR78" s="456"/>
      <c r="NXS78" s="458"/>
      <c r="NXT78" s="458"/>
      <c r="NXV78" s="454"/>
      <c r="NXW78" s="450"/>
      <c r="NXX78" s="454"/>
      <c r="NXY78" s="448"/>
      <c r="NXZ78" s="449"/>
      <c r="NYA78" s="450"/>
      <c r="NYB78" s="447"/>
      <c r="NYC78" s="448"/>
      <c r="NYD78" s="449"/>
      <c r="NYE78" s="450"/>
      <c r="NYF78" s="447"/>
      <c r="NYG78" s="451"/>
      <c r="NYH78" s="449"/>
      <c r="NYI78" s="450"/>
      <c r="NYJ78" s="447"/>
      <c r="NYK78" s="451"/>
      <c r="NYL78" s="449"/>
      <c r="NYM78" s="450"/>
      <c r="NYN78" s="447"/>
      <c r="NYO78" s="451"/>
      <c r="NYP78" s="449"/>
      <c r="NYQ78" s="450"/>
      <c r="NYR78" s="452"/>
      <c r="NYS78" s="451"/>
      <c r="NYT78" s="449"/>
      <c r="NYU78" s="450"/>
      <c r="NYV78" s="447"/>
      <c r="NYW78" s="448"/>
      <c r="NYX78" s="453"/>
      <c r="NYY78" s="449"/>
      <c r="NYZ78" s="450"/>
      <c r="NZA78" s="454"/>
      <c r="NZB78" s="448"/>
      <c r="NZD78" s="449"/>
      <c r="NZE78" s="450"/>
      <c r="NZF78" s="452"/>
      <c r="NZG78" s="448"/>
      <c r="NZI78" s="449"/>
      <c r="NZJ78" s="450"/>
      <c r="NZK78" s="447"/>
      <c r="NZL78" s="448"/>
      <c r="NZN78" s="449"/>
      <c r="NZO78" s="450"/>
      <c r="NZP78" s="452"/>
      <c r="NZQ78" s="448"/>
      <c r="NZR78" s="449"/>
      <c r="NZS78" s="450"/>
      <c r="NZT78" s="452"/>
      <c r="NZU78" s="448"/>
      <c r="NZV78" s="455"/>
      <c r="NZW78" s="449"/>
      <c r="NZX78" s="450"/>
      <c r="NZY78" s="459"/>
      <c r="NZZ78" s="448"/>
      <c r="OAA78" s="456"/>
      <c r="OAB78" s="449"/>
      <c r="OAC78" s="450"/>
      <c r="OAD78" s="452"/>
      <c r="OAE78" s="448"/>
      <c r="OAF78" s="449"/>
      <c r="OAG78" s="450"/>
      <c r="OAH78" s="452"/>
      <c r="OAI78" s="448"/>
      <c r="OAJ78" s="449"/>
      <c r="OAK78" s="450"/>
      <c r="OAL78" s="447"/>
      <c r="OAM78" s="448"/>
      <c r="OAN78" s="457"/>
      <c r="OAO78" s="460"/>
      <c r="OAP78" s="450"/>
      <c r="OAQ78" s="461"/>
      <c r="OAR78" s="448"/>
      <c r="OAS78" s="456"/>
      <c r="OAT78" s="449"/>
      <c r="OAU78" s="450"/>
      <c r="OAV78" s="452"/>
      <c r="OAW78" s="448"/>
      <c r="OAX78" s="456"/>
      <c r="OAY78" s="458"/>
      <c r="OAZ78" s="458"/>
      <c r="OBB78" s="454"/>
      <c r="OBC78" s="450"/>
      <c r="OBD78" s="454"/>
      <c r="OBE78" s="448"/>
      <c r="OBF78" s="449"/>
      <c r="OBG78" s="450"/>
      <c r="OBH78" s="447"/>
      <c r="OBI78" s="448"/>
      <c r="OBJ78" s="449"/>
      <c r="OBK78" s="450"/>
      <c r="OBL78" s="447"/>
      <c r="OBM78" s="451"/>
      <c r="OBN78" s="449"/>
      <c r="OBO78" s="450"/>
      <c r="OBP78" s="447"/>
      <c r="OBQ78" s="451"/>
      <c r="OBR78" s="449"/>
      <c r="OBS78" s="450"/>
      <c r="OBT78" s="447"/>
      <c r="OBU78" s="451"/>
      <c r="OBV78" s="449"/>
      <c r="OBW78" s="450"/>
      <c r="OBX78" s="452"/>
      <c r="OBY78" s="451"/>
      <c r="OBZ78" s="449"/>
      <c r="OCA78" s="450"/>
      <c r="OCB78" s="447"/>
      <c r="OCC78" s="448"/>
      <c r="OCD78" s="453"/>
      <c r="OCE78" s="449"/>
      <c r="OCF78" s="450"/>
      <c r="OCG78" s="454"/>
      <c r="OCH78" s="448"/>
      <c r="OCJ78" s="449"/>
      <c r="OCK78" s="450"/>
      <c r="OCL78" s="452"/>
      <c r="OCM78" s="448"/>
      <c r="OCO78" s="449"/>
      <c r="OCP78" s="450"/>
      <c r="OCQ78" s="447"/>
      <c r="OCR78" s="448"/>
      <c r="OCT78" s="449"/>
      <c r="OCU78" s="450"/>
      <c r="OCV78" s="452"/>
      <c r="OCW78" s="448"/>
      <c r="OCX78" s="449"/>
      <c r="OCY78" s="450"/>
      <c r="OCZ78" s="452"/>
      <c r="ODA78" s="448"/>
      <c r="ODB78" s="455"/>
      <c r="ODC78" s="449"/>
      <c r="ODD78" s="450"/>
      <c r="ODE78" s="459"/>
      <c r="ODF78" s="448"/>
      <c r="ODG78" s="456"/>
      <c r="ODH78" s="449"/>
      <c r="ODI78" s="450"/>
      <c r="ODJ78" s="452"/>
      <c r="ODK78" s="448"/>
      <c r="ODL78" s="449"/>
      <c r="ODM78" s="450"/>
      <c r="ODN78" s="452"/>
      <c r="ODO78" s="448"/>
      <c r="ODP78" s="449"/>
      <c r="ODQ78" s="450"/>
      <c r="ODR78" s="447"/>
      <c r="ODS78" s="448"/>
      <c r="ODT78" s="457"/>
      <c r="ODU78" s="460"/>
      <c r="ODV78" s="450"/>
      <c r="ODW78" s="461"/>
      <c r="ODX78" s="448"/>
      <c r="ODY78" s="456"/>
      <c r="ODZ78" s="449"/>
      <c r="OEA78" s="450"/>
      <c r="OEB78" s="452"/>
      <c r="OEC78" s="448"/>
      <c r="OED78" s="456"/>
      <c r="OEE78" s="458"/>
      <c r="OEF78" s="458"/>
      <c r="OEH78" s="454"/>
      <c r="OEI78" s="450"/>
      <c r="OEJ78" s="454"/>
      <c r="OEK78" s="448"/>
      <c r="OEL78" s="449"/>
      <c r="OEM78" s="450"/>
      <c r="OEN78" s="447"/>
      <c r="OEO78" s="448"/>
      <c r="OEP78" s="449"/>
      <c r="OEQ78" s="450"/>
      <c r="OER78" s="447"/>
      <c r="OES78" s="451"/>
      <c r="OET78" s="449"/>
      <c r="OEU78" s="450"/>
      <c r="OEV78" s="447"/>
      <c r="OEW78" s="451"/>
      <c r="OEX78" s="449"/>
      <c r="OEY78" s="450"/>
      <c r="OEZ78" s="447"/>
      <c r="OFA78" s="451"/>
      <c r="OFB78" s="449"/>
      <c r="OFC78" s="450"/>
      <c r="OFD78" s="452"/>
      <c r="OFE78" s="451"/>
      <c r="OFF78" s="449"/>
      <c r="OFG78" s="450"/>
      <c r="OFH78" s="447"/>
      <c r="OFI78" s="448"/>
      <c r="OFJ78" s="453"/>
      <c r="OFK78" s="449"/>
      <c r="OFL78" s="450"/>
      <c r="OFM78" s="454"/>
      <c r="OFN78" s="448"/>
      <c r="OFP78" s="449"/>
      <c r="OFQ78" s="450"/>
      <c r="OFR78" s="452"/>
      <c r="OFS78" s="448"/>
      <c r="OFU78" s="449"/>
      <c r="OFV78" s="450"/>
      <c r="OFW78" s="447"/>
      <c r="OFX78" s="448"/>
      <c r="OFZ78" s="449"/>
      <c r="OGA78" s="450"/>
      <c r="OGB78" s="452"/>
      <c r="OGC78" s="448"/>
      <c r="OGD78" s="449"/>
      <c r="OGE78" s="450"/>
      <c r="OGF78" s="452"/>
      <c r="OGG78" s="448"/>
      <c r="OGH78" s="455"/>
      <c r="OGI78" s="449"/>
      <c r="OGJ78" s="450"/>
      <c r="OGK78" s="459"/>
      <c r="OGL78" s="448"/>
      <c r="OGM78" s="456"/>
      <c r="OGN78" s="449"/>
      <c r="OGO78" s="450"/>
      <c r="OGP78" s="452"/>
      <c r="OGQ78" s="448"/>
      <c r="OGR78" s="449"/>
      <c r="OGS78" s="450"/>
      <c r="OGT78" s="452"/>
      <c r="OGU78" s="448"/>
      <c r="OGV78" s="449"/>
      <c r="OGW78" s="450"/>
      <c r="OGX78" s="447"/>
      <c r="OGY78" s="448"/>
      <c r="OGZ78" s="457"/>
      <c r="OHA78" s="460"/>
      <c r="OHB78" s="450"/>
      <c r="OHC78" s="461"/>
      <c r="OHD78" s="448"/>
      <c r="OHE78" s="456"/>
      <c r="OHF78" s="449"/>
      <c r="OHG78" s="450"/>
      <c r="OHH78" s="452"/>
      <c r="OHI78" s="448"/>
      <c r="OHJ78" s="456"/>
      <c r="OHK78" s="458"/>
      <c r="OHL78" s="458"/>
      <c r="OHN78" s="454"/>
      <c r="OHO78" s="450"/>
      <c r="OHP78" s="454"/>
      <c r="OHQ78" s="448"/>
      <c r="OHR78" s="449"/>
      <c r="OHS78" s="450"/>
      <c r="OHT78" s="447"/>
      <c r="OHU78" s="448"/>
      <c r="OHV78" s="449"/>
      <c r="OHW78" s="450"/>
      <c r="OHX78" s="447"/>
      <c r="OHY78" s="451"/>
      <c r="OHZ78" s="449"/>
      <c r="OIA78" s="450"/>
      <c r="OIB78" s="447"/>
      <c r="OIC78" s="451"/>
      <c r="OID78" s="449"/>
      <c r="OIE78" s="450"/>
      <c r="OIF78" s="447"/>
      <c r="OIG78" s="451"/>
      <c r="OIH78" s="449"/>
      <c r="OII78" s="450"/>
      <c r="OIJ78" s="452"/>
      <c r="OIK78" s="451"/>
      <c r="OIL78" s="449"/>
      <c r="OIM78" s="450"/>
      <c r="OIN78" s="447"/>
      <c r="OIO78" s="448"/>
      <c r="OIP78" s="453"/>
      <c r="OIQ78" s="449"/>
      <c r="OIR78" s="450"/>
      <c r="OIS78" s="454"/>
      <c r="OIT78" s="448"/>
      <c r="OIV78" s="449"/>
      <c r="OIW78" s="450"/>
      <c r="OIX78" s="452"/>
      <c r="OIY78" s="448"/>
      <c r="OJA78" s="449"/>
      <c r="OJB78" s="450"/>
      <c r="OJC78" s="447"/>
      <c r="OJD78" s="448"/>
      <c r="OJF78" s="449"/>
      <c r="OJG78" s="450"/>
      <c r="OJH78" s="452"/>
      <c r="OJI78" s="448"/>
      <c r="OJJ78" s="449"/>
      <c r="OJK78" s="450"/>
      <c r="OJL78" s="452"/>
      <c r="OJM78" s="448"/>
      <c r="OJN78" s="455"/>
      <c r="OJO78" s="449"/>
      <c r="OJP78" s="450"/>
      <c r="OJQ78" s="459"/>
      <c r="OJR78" s="448"/>
      <c r="OJS78" s="456"/>
      <c r="OJT78" s="449"/>
      <c r="OJU78" s="450"/>
      <c r="OJV78" s="452"/>
      <c r="OJW78" s="448"/>
      <c r="OJX78" s="449"/>
      <c r="OJY78" s="450"/>
      <c r="OJZ78" s="452"/>
      <c r="OKA78" s="448"/>
      <c r="OKB78" s="449"/>
      <c r="OKC78" s="450"/>
      <c r="OKD78" s="447"/>
      <c r="OKE78" s="448"/>
      <c r="OKF78" s="457"/>
      <c r="OKG78" s="460"/>
      <c r="OKH78" s="450"/>
      <c r="OKI78" s="461"/>
      <c r="OKJ78" s="448"/>
      <c r="OKK78" s="456"/>
      <c r="OKL78" s="449"/>
      <c r="OKM78" s="450"/>
      <c r="OKN78" s="452"/>
      <c r="OKO78" s="448"/>
      <c r="OKP78" s="456"/>
      <c r="OKQ78" s="458"/>
      <c r="OKR78" s="458"/>
      <c r="OKT78" s="454"/>
      <c r="OKU78" s="450"/>
      <c r="OKV78" s="454"/>
      <c r="OKW78" s="448"/>
      <c r="OKX78" s="449"/>
      <c r="OKY78" s="450"/>
      <c r="OKZ78" s="447"/>
      <c r="OLA78" s="448"/>
      <c r="OLB78" s="449"/>
      <c r="OLC78" s="450"/>
      <c r="OLD78" s="447"/>
      <c r="OLE78" s="451"/>
      <c r="OLF78" s="449"/>
      <c r="OLG78" s="450"/>
      <c r="OLH78" s="447"/>
      <c r="OLI78" s="451"/>
      <c r="OLJ78" s="449"/>
      <c r="OLK78" s="450"/>
      <c r="OLL78" s="447"/>
      <c r="OLM78" s="451"/>
      <c r="OLN78" s="449"/>
      <c r="OLO78" s="450"/>
      <c r="OLP78" s="452"/>
      <c r="OLQ78" s="451"/>
      <c r="OLR78" s="449"/>
      <c r="OLS78" s="450"/>
      <c r="OLT78" s="447"/>
      <c r="OLU78" s="448"/>
      <c r="OLV78" s="453"/>
      <c r="OLW78" s="449"/>
      <c r="OLX78" s="450"/>
      <c r="OLY78" s="454"/>
      <c r="OLZ78" s="448"/>
      <c r="OMB78" s="449"/>
      <c r="OMC78" s="450"/>
      <c r="OMD78" s="452"/>
      <c r="OME78" s="448"/>
      <c r="OMG78" s="449"/>
      <c r="OMH78" s="450"/>
      <c r="OMI78" s="447"/>
      <c r="OMJ78" s="448"/>
      <c r="OML78" s="449"/>
      <c r="OMM78" s="450"/>
      <c r="OMN78" s="452"/>
      <c r="OMO78" s="448"/>
      <c r="OMP78" s="449"/>
      <c r="OMQ78" s="450"/>
      <c r="OMR78" s="452"/>
      <c r="OMS78" s="448"/>
      <c r="OMT78" s="455"/>
      <c r="OMU78" s="449"/>
      <c r="OMV78" s="450"/>
      <c r="OMW78" s="459"/>
      <c r="OMX78" s="448"/>
      <c r="OMY78" s="456"/>
      <c r="OMZ78" s="449"/>
      <c r="ONA78" s="450"/>
      <c r="ONB78" s="452"/>
      <c r="ONC78" s="448"/>
      <c r="OND78" s="449"/>
      <c r="ONE78" s="450"/>
      <c r="ONF78" s="452"/>
      <c r="ONG78" s="448"/>
      <c r="ONH78" s="449"/>
      <c r="ONI78" s="450"/>
      <c r="ONJ78" s="447"/>
      <c r="ONK78" s="448"/>
      <c r="ONL78" s="457"/>
      <c r="ONM78" s="460"/>
      <c r="ONN78" s="450"/>
      <c r="ONO78" s="461"/>
      <c r="ONP78" s="448"/>
      <c r="ONQ78" s="456"/>
      <c r="ONR78" s="449"/>
      <c r="ONS78" s="450"/>
      <c r="ONT78" s="452"/>
      <c r="ONU78" s="448"/>
      <c r="ONV78" s="456"/>
      <c r="ONW78" s="458"/>
      <c r="ONX78" s="458"/>
      <c r="ONZ78" s="454"/>
      <c r="OOA78" s="450"/>
      <c r="OOB78" s="454"/>
      <c r="OOC78" s="448"/>
      <c r="OOD78" s="449"/>
      <c r="OOE78" s="450"/>
      <c r="OOF78" s="447"/>
      <c r="OOG78" s="448"/>
      <c r="OOH78" s="449"/>
      <c r="OOI78" s="450"/>
      <c r="OOJ78" s="447"/>
      <c r="OOK78" s="451"/>
      <c r="OOL78" s="449"/>
      <c r="OOM78" s="450"/>
      <c r="OON78" s="447"/>
      <c r="OOO78" s="451"/>
      <c r="OOP78" s="449"/>
      <c r="OOQ78" s="450"/>
      <c r="OOR78" s="447"/>
      <c r="OOS78" s="451"/>
      <c r="OOT78" s="449"/>
      <c r="OOU78" s="450"/>
      <c r="OOV78" s="452"/>
      <c r="OOW78" s="451"/>
      <c r="OOX78" s="449"/>
      <c r="OOY78" s="450"/>
      <c r="OOZ78" s="447"/>
      <c r="OPA78" s="448"/>
      <c r="OPB78" s="453"/>
      <c r="OPC78" s="449"/>
      <c r="OPD78" s="450"/>
      <c r="OPE78" s="454"/>
      <c r="OPF78" s="448"/>
      <c r="OPH78" s="449"/>
      <c r="OPI78" s="450"/>
      <c r="OPJ78" s="452"/>
      <c r="OPK78" s="448"/>
      <c r="OPM78" s="449"/>
      <c r="OPN78" s="450"/>
      <c r="OPO78" s="447"/>
      <c r="OPP78" s="448"/>
      <c r="OPR78" s="449"/>
      <c r="OPS78" s="450"/>
      <c r="OPT78" s="452"/>
      <c r="OPU78" s="448"/>
      <c r="OPV78" s="449"/>
      <c r="OPW78" s="450"/>
      <c r="OPX78" s="452"/>
      <c r="OPY78" s="448"/>
      <c r="OPZ78" s="455"/>
      <c r="OQA78" s="449"/>
      <c r="OQB78" s="450"/>
      <c r="OQC78" s="459"/>
      <c r="OQD78" s="448"/>
      <c r="OQE78" s="456"/>
      <c r="OQF78" s="449"/>
      <c r="OQG78" s="450"/>
      <c r="OQH78" s="452"/>
      <c r="OQI78" s="448"/>
      <c r="OQJ78" s="449"/>
      <c r="OQK78" s="450"/>
      <c r="OQL78" s="452"/>
      <c r="OQM78" s="448"/>
      <c r="OQN78" s="449"/>
      <c r="OQO78" s="450"/>
      <c r="OQP78" s="447"/>
      <c r="OQQ78" s="448"/>
      <c r="OQR78" s="457"/>
      <c r="OQS78" s="460"/>
      <c r="OQT78" s="450"/>
      <c r="OQU78" s="461"/>
      <c r="OQV78" s="448"/>
      <c r="OQW78" s="456"/>
      <c r="OQX78" s="449"/>
      <c r="OQY78" s="450"/>
      <c r="OQZ78" s="452"/>
      <c r="ORA78" s="448"/>
      <c r="ORB78" s="456"/>
      <c r="ORC78" s="458"/>
      <c r="ORD78" s="458"/>
      <c r="ORF78" s="454"/>
      <c r="ORG78" s="450"/>
      <c r="ORH78" s="454"/>
      <c r="ORI78" s="448"/>
      <c r="ORJ78" s="449"/>
      <c r="ORK78" s="450"/>
      <c r="ORL78" s="447"/>
      <c r="ORM78" s="448"/>
      <c r="ORN78" s="449"/>
      <c r="ORO78" s="450"/>
      <c r="ORP78" s="447"/>
      <c r="ORQ78" s="451"/>
      <c r="ORR78" s="449"/>
      <c r="ORS78" s="450"/>
      <c r="ORT78" s="447"/>
      <c r="ORU78" s="451"/>
      <c r="ORV78" s="449"/>
      <c r="ORW78" s="450"/>
      <c r="ORX78" s="447"/>
      <c r="ORY78" s="451"/>
      <c r="ORZ78" s="449"/>
      <c r="OSA78" s="450"/>
      <c r="OSB78" s="452"/>
      <c r="OSC78" s="451"/>
      <c r="OSD78" s="449"/>
      <c r="OSE78" s="450"/>
      <c r="OSF78" s="447"/>
      <c r="OSG78" s="448"/>
      <c r="OSH78" s="453"/>
      <c r="OSI78" s="449"/>
      <c r="OSJ78" s="450"/>
      <c r="OSK78" s="454"/>
      <c r="OSL78" s="448"/>
      <c r="OSN78" s="449"/>
      <c r="OSO78" s="450"/>
      <c r="OSP78" s="452"/>
      <c r="OSQ78" s="448"/>
      <c r="OSS78" s="449"/>
      <c r="OST78" s="450"/>
      <c r="OSU78" s="447"/>
      <c r="OSV78" s="448"/>
      <c r="OSX78" s="449"/>
      <c r="OSY78" s="450"/>
      <c r="OSZ78" s="452"/>
      <c r="OTA78" s="448"/>
      <c r="OTB78" s="449"/>
      <c r="OTC78" s="450"/>
      <c r="OTD78" s="452"/>
      <c r="OTE78" s="448"/>
      <c r="OTF78" s="455"/>
      <c r="OTG78" s="449"/>
      <c r="OTH78" s="450"/>
      <c r="OTI78" s="459"/>
      <c r="OTJ78" s="448"/>
      <c r="OTK78" s="456"/>
      <c r="OTL78" s="449"/>
      <c r="OTM78" s="450"/>
      <c r="OTN78" s="452"/>
      <c r="OTO78" s="448"/>
      <c r="OTP78" s="449"/>
      <c r="OTQ78" s="450"/>
      <c r="OTR78" s="452"/>
      <c r="OTS78" s="448"/>
      <c r="OTT78" s="449"/>
      <c r="OTU78" s="450"/>
      <c r="OTV78" s="447"/>
      <c r="OTW78" s="448"/>
      <c r="OTX78" s="457"/>
      <c r="OTY78" s="460"/>
      <c r="OTZ78" s="450"/>
      <c r="OUA78" s="461"/>
      <c r="OUB78" s="448"/>
      <c r="OUC78" s="456"/>
      <c r="OUD78" s="449"/>
      <c r="OUE78" s="450"/>
      <c r="OUF78" s="452"/>
      <c r="OUG78" s="448"/>
      <c r="OUH78" s="456"/>
      <c r="OUI78" s="458"/>
      <c r="OUJ78" s="458"/>
      <c r="OUL78" s="454"/>
      <c r="OUM78" s="450"/>
      <c r="OUN78" s="454"/>
      <c r="OUO78" s="448"/>
      <c r="OUP78" s="449"/>
      <c r="OUQ78" s="450"/>
      <c r="OUR78" s="447"/>
      <c r="OUS78" s="448"/>
      <c r="OUT78" s="449"/>
      <c r="OUU78" s="450"/>
      <c r="OUV78" s="447"/>
      <c r="OUW78" s="451"/>
      <c r="OUX78" s="449"/>
      <c r="OUY78" s="450"/>
      <c r="OUZ78" s="447"/>
      <c r="OVA78" s="451"/>
      <c r="OVB78" s="449"/>
      <c r="OVC78" s="450"/>
      <c r="OVD78" s="447"/>
      <c r="OVE78" s="451"/>
      <c r="OVF78" s="449"/>
      <c r="OVG78" s="450"/>
      <c r="OVH78" s="452"/>
      <c r="OVI78" s="451"/>
      <c r="OVJ78" s="449"/>
      <c r="OVK78" s="450"/>
      <c r="OVL78" s="447"/>
      <c r="OVM78" s="448"/>
      <c r="OVN78" s="453"/>
      <c r="OVO78" s="449"/>
      <c r="OVP78" s="450"/>
      <c r="OVQ78" s="454"/>
      <c r="OVR78" s="448"/>
      <c r="OVT78" s="449"/>
      <c r="OVU78" s="450"/>
      <c r="OVV78" s="452"/>
      <c r="OVW78" s="448"/>
      <c r="OVY78" s="449"/>
      <c r="OVZ78" s="450"/>
      <c r="OWA78" s="447"/>
      <c r="OWB78" s="448"/>
      <c r="OWD78" s="449"/>
      <c r="OWE78" s="450"/>
      <c r="OWF78" s="452"/>
      <c r="OWG78" s="448"/>
      <c r="OWH78" s="449"/>
      <c r="OWI78" s="450"/>
      <c r="OWJ78" s="452"/>
      <c r="OWK78" s="448"/>
      <c r="OWL78" s="455"/>
      <c r="OWM78" s="449"/>
      <c r="OWN78" s="450"/>
      <c r="OWO78" s="459"/>
      <c r="OWP78" s="448"/>
      <c r="OWQ78" s="456"/>
      <c r="OWR78" s="449"/>
      <c r="OWS78" s="450"/>
      <c r="OWT78" s="452"/>
      <c r="OWU78" s="448"/>
      <c r="OWV78" s="449"/>
      <c r="OWW78" s="450"/>
      <c r="OWX78" s="452"/>
      <c r="OWY78" s="448"/>
      <c r="OWZ78" s="449"/>
      <c r="OXA78" s="450"/>
      <c r="OXB78" s="447"/>
      <c r="OXC78" s="448"/>
      <c r="OXD78" s="457"/>
      <c r="OXE78" s="460"/>
      <c r="OXF78" s="450"/>
      <c r="OXG78" s="461"/>
      <c r="OXH78" s="448"/>
      <c r="OXI78" s="456"/>
      <c r="OXJ78" s="449"/>
      <c r="OXK78" s="450"/>
      <c r="OXL78" s="452"/>
      <c r="OXM78" s="448"/>
      <c r="OXN78" s="456"/>
      <c r="OXO78" s="458"/>
      <c r="OXP78" s="458"/>
      <c r="OXR78" s="454"/>
      <c r="OXS78" s="450"/>
      <c r="OXT78" s="454"/>
      <c r="OXU78" s="448"/>
      <c r="OXV78" s="449"/>
      <c r="OXW78" s="450"/>
      <c r="OXX78" s="447"/>
      <c r="OXY78" s="448"/>
      <c r="OXZ78" s="449"/>
      <c r="OYA78" s="450"/>
      <c r="OYB78" s="447"/>
      <c r="OYC78" s="451"/>
      <c r="OYD78" s="449"/>
      <c r="OYE78" s="450"/>
      <c r="OYF78" s="447"/>
      <c r="OYG78" s="451"/>
      <c r="OYH78" s="449"/>
      <c r="OYI78" s="450"/>
      <c r="OYJ78" s="447"/>
      <c r="OYK78" s="451"/>
      <c r="OYL78" s="449"/>
      <c r="OYM78" s="450"/>
      <c r="OYN78" s="452"/>
      <c r="OYO78" s="451"/>
      <c r="OYP78" s="449"/>
      <c r="OYQ78" s="450"/>
      <c r="OYR78" s="447"/>
      <c r="OYS78" s="448"/>
      <c r="OYT78" s="453"/>
      <c r="OYU78" s="449"/>
      <c r="OYV78" s="450"/>
      <c r="OYW78" s="454"/>
      <c r="OYX78" s="448"/>
      <c r="OYZ78" s="449"/>
      <c r="OZA78" s="450"/>
      <c r="OZB78" s="452"/>
      <c r="OZC78" s="448"/>
      <c r="OZE78" s="449"/>
      <c r="OZF78" s="450"/>
      <c r="OZG78" s="447"/>
      <c r="OZH78" s="448"/>
      <c r="OZJ78" s="449"/>
      <c r="OZK78" s="450"/>
      <c r="OZL78" s="452"/>
      <c r="OZM78" s="448"/>
      <c r="OZN78" s="449"/>
      <c r="OZO78" s="450"/>
      <c r="OZP78" s="452"/>
      <c r="OZQ78" s="448"/>
      <c r="OZR78" s="455"/>
      <c r="OZS78" s="449"/>
      <c r="OZT78" s="450"/>
      <c r="OZU78" s="459"/>
      <c r="OZV78" s="448"/>
      <c r="OZW78" s="456"/>
      <c r="OZX78" s="449"/>
      <c r="OZY78" s="450"/>
      <c r="OZZ78" s="452"/>
      <c r="PAA78" s="448"/>
      <c r="PAB78" s="449"/>
      <c r="PAC78" s="450"/>
      <c r="PAD78" s="452"/>
      <c r="PAE78" s="448"/>
      <c r="PAF78" s="449"/>
      <c r="PAG78" s="450"/>
      <c r="PAH78" s="447"/>
      <c r="PAI78" s="448"/>
      <c r="PAJ78" s="457"/>
      <c r="PAK78" s="460"/>
      <c r="PAL78" s="450"/>
      <c r="PAM78" s="461"/>
      <c r="PAN78" s="448"/>
      <c r="PAO78" s="456"/>
      <c r="PAP78" s="449"/>
      <c r="PAQ78" s="450"/>
      <c r="PAR78" s="452"/>
      <c r="PAS78" s="448"/>
      <c r="PAT78" s="456"/>
      <c r="PAU78" s="458"/>
      <c r="PAV78" s="458"/>
      <c r="PAX78" s="454"/>
      <c r="PAY78" s="450"/>
      <c r="PAZ78" s="454"/>
      <c r="PBA78" s="448"/>
      <c r="PBB78" s="449"/>
      <c r="PBC78" s="450"/>
      <c r="PBD78" s="447"/>
      <c r="PBE78" s="448"/>
      <c r="PBF78" s="449"/>
      <c r="PBG78" s="450"/>
      <c r="PBH78" s="447"/>
      <c r="PBI78" s="451"/>
      <c r="PBJ78" s="449"/>
      <c r="PBK78" s="450"/>
      <c r="PBL78" s="447"/>
      <c r="PBM78" s="451"/>
      <c r="PBN78" s="449"/>
      <c r="PBO78" s="450"/>
      <c r="PBP78" s="447"/>
      <c r="PBQ78" s="451"/>
      <c r="PBR78" s="449"/>
      <c r="PBS78" s="450"/>
      <c r="PBT78" s="452"/>
      <c r="PBU78" s="451"/>
      <c r="PBV78" s="449"/>
      <c r="PBW78" s="450"/>
      <c r="PBX78" s="447"/>
      <c r="PBY78" s="448"/>
      <c r="PBZ78" s="453"/>
      <c r="PCA78" s="449"/>
      <c r="PCB78" s="450"/>
      <c r="PCC78" s="454"/>
      <c r="PCD78" s="448"/>
      <c r="PCF78" s="449"/>
      <c r="PCG78" s="450"/>
      <c r="PCH78" s="452"/>
      <c r="PCI78" s="448"/>
      <c r="PCK78" s="449"/>
      <c r="PCL78" s="450"/>
      <c r="PCM78" s="447"/>
      <c r="PCN78" s="448"/>
      <c r="PCP78" s="449"/>
      <c r="PCQ78" s="450"/>
      <c r="PCR78" s="452"/>
      <c r="PCS78" s="448"/>
      <c r="PCT78" s="449"/>
      <c r="PCU78" s="450"/>
      <c r="PCV78" s="452"/>
      <c r="PCW78" s="448"/>
      <c r="PCX78" s="455"/>
      <c r="PCY78" s="449"/>
      <c r="PCZ78" s="450"/>
      <c r="PDA78" s="459"/>
      <c r="PDB78" s="448"/>
      <c r="PDC78" s="456"/>
      <c r="PDD78" s="449"/>
      <c r="PDE78" s="450"/>
      <c r="PDF78" s="452"/>
      <c r="PDG78" s="448"/>
      <c r="PDH78" s="449"/>
      <c r="PDI78" s="450"/>
      <c r="PDJ78" s="452"/>
      <c r="PDK78" s="448"/>
      <c r="PDL78" s="449"/>
      <c r="PDM78" s="450"/>
      <c r="PDN78" s="447"/>
      <c r="PDO78" s="448"/>
      <c r="PDP78" s="457"/>
      <c r="PDQ78" s="460"/>
      <c r="PDR78" s="450"/>
      <c r="PDS78" s="461"/>
      <c r="PDT78" s="448"/>
      <c r="PDU78" s="456"/>
      <c r="PDV78" s="449"/>
      <c r="PDW78" s="450"/>
      <c r="PDX78" s="452"/>
      <c r="PDY78" s="448"/>
      <c r="PDZ78" s="456"/>
      <c r="PEA78" s="458"/>
      <c r="PEB78" s="458"/>
      <c r="PED78" s="454"/>
      <c r="PEE78" s="450"/>
      <c r="PEF78" s="454"/>
      <c r="PEG78" s="448"/>
      <c r="PEH78" s="449"/>
      <c r="PEI78" s="450"/>
      <c r="PEJ78" s="447"/>
      <c r="PEK78" s="448"/>
      <c r="PEL78" s="449"/>
      <c r="PEM78" s="450"/>
      <c r="PEN78" s="447"/>
      <c r="PEO78" s="451"/>
      <c r="PEP78" s="449"/>
      <c r="PEQ78" s="450"/>
      <c r="PER78" s="447"/>
      <c r="PES78" s="451"/>
      <c r="PET78" s="449"/>
      <c r="PEU78" s="450"/>
      <c r="PEV78" s="447"/>
      <c r="PEW78" s="451"/>
      <c r="PEX78" s="449"/>
      <c r="PEY78" s="450"/>
      <c r="PEZ78" s="452"/>
      <c r="PFA78" s="451"/>
      <c r="PFB78" s="449"/>
      <c r="PFC78" s="450"/>
      <c r="PFD78" s="447"/>
      <c r="PFE78" s="448"/>
      <c r="PFF78" s="453"/>
      <c r="PFG78" s="449"/>
      <c r="PFH78" s="450"/>
      <c r="PFI78" s="454"/>
      <c r="PFJ78" s="448"/>
      <c r="PFL78" s="449"/>
      <c r="PFM78" s="450"/>
      <c r="PFN78" s="452"/>
      <c r="PFO78" s="448"/>
      <c r="PFQ78" s="449"/>
      <c r="PFR78" s="450"/>
      <c r="PFS78" s="447"/>
      <c r="PFT78" s="448"/>
      <c r="PFV78" s="449"/>
      <c r="PFW78" s="450"/>
      <c r="PFX78" s="452"/>
      <c r="PFY78" s="448"/>
      <c r="PFZ78" s="449"/>
      <c r="PGA78" s="450"/>
      <c r="PGB78" s="452"/>
      <c r="PGC78" s="448"/>
      <c r="PGD78" s="455"/>
      <c r="PGE78" s="449"/>
      <c r="PGF78" s="450"/>
      <c r="PGG78" s="459"/>
      <c r="PGH78" s="448"/>
      <c r="PGI78" s="456"/>
      <c r="PGJ78" s="449"/>
      <c r="PGK78" s="450"/>
      <c r="PGL78" s="452"/>
      <c r="PGM78" s="448"/>
      <c r="PGN78" s="449"/>
      <c r="PGO78" s="450"/>
      <c r="PGP78" s="452"/>
      <c r="PGQ78" s="448"/>
      <c r="PGR78" s="449"/>
      <c r="PGS78" s="450"/>
      <c r="PGT78" s="447"/>
      <c r="PGU78" s="448"/>
      <c r="PGV78" s="457"/>
      <c r="PGW78" s="460"/>
      <c r="PGX78" s="450"/>
      <c r="PGY78" s="461"/>
      <c r="PGZ78" s="448"/>
      <c r="PHA78" s="456"/>
      <c r="PHB78" s="449"/>
      <c r="PHC78" s="450"/>
      <c r="PHD78" s="452"/>
      <c r="PHE78" s="448"/>
      <c r="PHF78" s="456"/>
      <c r="PHG78" s="458"/>
      <c r="PHH78" s="458"/>
      <c r="PHJ78" s="454"/>
      <c r="PHK78" s="450"/>
      <c r="PHL78" s="454"/>
      <c r="PHM78" s="448"/>
      <c r="PHN78" s="449"/>
      <c r="PHO78" s="450"/>
      <c r="PHP78" s="447"/>
      <c r="PHQ78" s="448"/>
      <c r="PHR78" s="449"/>
      <c r="PHS78" s="450"/>
      <c r="PHT78" s="447"/>
      <c r="PHU78" s="451"/>
      <c r="PHV78" s="449"/>
      <c r="PHW78" s="450"/>
      <c r="PHX78" s="447"/>
      <c r="PHY78" s="451"/>
      <c r="PHZ78" s="449"/>
      <c r="PIA78" s="450"/>
      <c r="PIB78" s="447"/>
      <c r="PIC78" s="451"/>
      <c r="PID78" s="449"/>
      <c r="PIE78" s="450"/>
      <c r="PIF78" s="452"/>
      <c r="PIG78" s="451"/>
      <c r="PIH78" s="449"/>
      <c r="PII78" s="450"/>
      <c r="PIJ78" s="447"/>
      <c r="PIK78" s="448"/>
      <c r="PIL78" s="453"/>
      <c r="PIM78" s="449"/>
      <c r="PIN78" s="450"/>
      <c r="PIO78" s="454"/>
      <c r="PIP78" s="448"/>
      <c r="PIR78" s="449"/>
      <c r="PIS78" s="450"/>
      <c r="PIT78" s="452"/>
      <c r="PIU78" s="448"/>
      <c r="PIW78" s="449"/>
      <c r="PIX78" s="450"/>
      <c r="PIY78" s="447"/>
      <c r="PIZ78" s="448"/>
      <c r="PJB78" s="449"/>
      <c r="PJC78" s="450"/>
      <c r="PJD78" s="452"/>
      <c r="PJE78" s="448"/>
      <c r="PJF78" s="449"/>
      <c r="PJG78" s="450"/>
      <c r="PJH78" s="452"/>
      <c r="PJI78" s="448"/>
      <c r="PJJ78" s="455"/>
      <c r="PJK78" s="449"/>
      <c r="PJL78" s="450"/>
      <c r="PJM78" s="459"/>
      <c r="PJN78" s="448"/>
      <c r="PJO78" s="456"/>
      <c r="PJP78" s="449"/>
      <c r="PJQ78" s="450"/>
      <c r="PJR78" s="452"/>
      <c r="PJS78" s="448"/>
      <c r="PJT78" s="449"/>
      <c r="PJU78" s="450"/>
      <c r="PJV78" s="452"/>
      <c r="PJW78" s="448"/>
      <c r="PJX78" s="449"/>
      <c r="PJY78" s="450"/>
      <c r="PJZ78" s="447"/>
      <c r="PKA78" s="448"/>
      <c r="PKB78" s="457"/>
      <c r="PKC78" s="460"/>
      <c r="PKD78" s="450"/>
      <c r="PKE78" s="461"/>
      <c r="PKF78" s="448"/>
      <c r="PKG78" s="456"/>
      <c r="PKH78" s="449"/>
      <c r="PKI78" s="450"/>
      <c r="PKJ78" s="452"/>
      <c r="PKK78" s="448"/>
      <c r="PKL78" s="456"/>
      <c r="PKM78" s="458"/>
      <c r="PKN78" s="458"/>
      <c r="PKP78" s="454"/>
      <c r="PKQ78" s="450"/>
      <c r="PKR78" s="454"/>
      <c r="PKS78" s="448"/>
      <c r="PKT78" s="449"/>
      <c r="PKU78" s="450"/>
      <c r="PKV78" s="447"/>
      <c r="PKW78" s="448"/>
      <c r="PKX78" s="449"/>
      <c r="PKY78" s="450"/>
      <c r="PKZ78" s="447"/>
      <c r="PLA78" s="451"/>
      <c r="PLB78" s="449"/>
      <c r="PLC78" s="450"/>
      <c r="PLD78" s="447"/>
      <c r="PLE78" s="451"/>
      <c r="PLF78" s="449"/>
      <c r="PLG78" s="450"/>
      <c r="PLH78" s="447"/>
      <c r="PLI78" s="451"/>
      <c r="PLJ78" s="449"/>
      <c r="PLK78" s="450"/>
      <c r="PLL78" s="452"/>
      <c r="PLM78" s="451"/>
      <c r="PLN78" s="449"/>
      <c r="PLO78" s="450"/>
      <c r="PLP78" s="447"/>
      <c r="PLQ78" s="448"/>
      <c r="PLR78" s="453"/>
      <c r="PLS78" s="449"/>
      <c r="PLT78" s="450"/>
      <c r="PLU78" s="454"/>
      <c r="PLV78" s="448"/>
      <c r="PLX78" s="449"/>
      <c r="PLY78" s="450"/>
      <c r="PLZ78" s="452"/>
      <c r="PMA78" s="448"/>
      <c r="PMC78" s="449"/>
      <c r="PMD78" s="450"/>
      <c r="PME78" s="447"/>
      <c r="PMF78" s="448"/>
      <c r="PMH78" s="449"/>
      <c r="PMI78" s="450"/>
      <c r="PMJ78" s="452"/>
      <c r="PMK78" s="448"/>
      <c r="PML78" s="449"/>
      <c r="PMM78" s="450"/>
      <c r="PMN78" s="452"/>
      <c r="PMO78" s="448"/>
      <c r="PMP78" s="455"/>
      <c r="PMQ78" s="449"/>
      <c r="PMR78" s="450"/>
      <c r="PMS78" s="459"/>
      <c r="PMT78" s="448"/>
      <c r="PMU78" s="456"/>
      <c r="PMV78" s="449"/>
      <c r="PMW78" s="450"/>
      <c r="PMX78" s="452"/>
      <c r="PMY78" s="448"/>
      <c r="PMZ78" s="449"/>
      <c r="PNA78" s="450"/>
      <c r="PNB78" s="452"/>
      <c r="PNC78" s="448"/>
      <c r="PND78" s="449"/>
      <c r="PNE78" s="450"/>
      <c r="PNF78" s="447"/>
      <c r="PNG78" s="448"/>
      <c r="PNH78" s="457"/>
      <c r="PNI78" s="460"/>
      <c r="PNJ78" s="450"/>
      <c r="PNK78" s="461"/>
      <c r="PNL78" s="448"/>
      <c r="PNM78" s="456"/>
      <c r="PNN78" s="449"/>
      <c r="PNO78" s="450"/>
      <c r="PNP78" s="452"/>
      <c r="PNQ78" s="448"/>
      <c r="PNR78" s="456"/>
      <c r="PNS78" s="458"/>
      <c r="PNT78" s="458"/>
      <c r="PNV78" s="454"/>
      <c r="PNW78" s="450"/>
      <c r="PNX78" s="454"/>
      <c r="PNY78" s="448"/>
      <c r="PNZ78" s="449"/>
      <c r="POA78" s="450"/>
      <c r="POB78" s="447"/>
      <c r="POC78" s="448"/>
      <c r="POD78" s="449"/>
      <c r="POE78" s="450"/>
      <c r="POF78" s="447"/>
      <c r="POG78" s="451"/>
      <c r="POH78" s="449"/>
      <c r="POI78" s="450"/>
      <c r="POJ78" s="447"/>
      <c r="POK78" s="451"/>
      <c r="POL78" s="449"/>
      <c r="POM78" s="450"/>
      <c r="PON78" s="447"/>
      <c r="POO78" s="451"/>
      <c r="POP78" s="449"/>
      <c r="POQ78" s="450"/>
      <c r="POR78" s="452"/>
      <c r="POS78" s="451"/>
      <c r="POT78" s="449"/>
      <c r="POU78" s="450"/>
      <c r="POV78" s="447"/>
      <c r="POW78" s="448"/>
      <c r="POX78" s="453"/>
      <c r="POY78" s="449"/>
      <c r="POZ78" s="450"/>
      <c r="PPA78" s="454"/>
      <c r="PPB78" s="448"/>
      <c r="PPD78" s="449"/>
      <c r="PPE78" s="450"/>
      <c r="PPF78" s="452"/>
      <c r="PPG78" s="448"/>
      <c r="PPI78" s="449"/>
      <c r="PPJ78" s="450"/>
      <c r="PPK78" s="447"/>
      <c r="PPL78" s="448"/>
      <c r="PPN78" s="449"/>
      <c r="PPO78" s="450"/>
      <c r="PPP78" s="452"/>
      <c r="PPQ78" s="448"/>
      <c r="PPR78" s="449"/>
      <c r="PPS78" s="450"/>
      <c r="PPT78" s="452"/>
      <c r="PPU78" s="448"/>
      <c r="PPV78" s="455"/>
      <c r="PPW78" s="449"/>
      <c r="PPX78" s="450"/>
      <c r="PPY78" s="459"/>
      <c r="PPZ78" s="448"/>
      <c r="PQA78" s="456"/>
      <c r="PQB78" s="449"/>
      <c r="PQC78" s="450"/>
      <c r="PQD78" s="452"/>
      <c r="PQE78" s="448"/>
      <c r="PQF78" s="449"/>
      <c r="PQG78" s="450"/>
      <c r="PQH78" s="452"/>
      <c r="PQI78" s="448"/>
      <c r="PQJ78" s="449"/>
      <c r="PQK78" s="450"/>
      <c r="PQL78" s="447"/>
      <c r="PQM78" s="448"/>
      <c r="PQN78" s="457"/>
      <c r="PQO78" s="460"/>
      <c r="PQP78" s="450"/>
      <c r="PQQ78" s="461"/>
      <c r="PQR78" s="448"/>
      <c r="PQS78" s="456"/>
      <c r="PQT78" s="449"/>
      <c r="PQU78" s="450"/>
      <c r="PQV78" s="452"/>
      <c r="PQW78" s="448"/>
      <c r="PQX78" s="456"/>
      <c r="PQY78" s="458"/>
      <c r="PQZ78" s="458"/>
      <c r="PRB78" s="454"/>
      <c r="PRC78" s="450"/>
      <c r="PRD78" s="454"/>
      <c r="PRE78" s="448"/>
      <c r="PRF78" s="449"/>
      <c r="PRG78" s="450"/>
      <c r="PRH78" s="447"/>
      <c r="PRI78" s="448"/>
      <c r="PRJ78" s="449"/>
      <c r="PRK78" s="450"/>
      <c r="PRL78" s="447"/>
      <c r="PRM78" s="451"/>
      <c r="PRN78" s="449"/>
      <c r="PRO78" s="450"/>
      <c r="PRP78" s="447"/>
      <c r="PRQ78" s="451"/>
      <c r="PRR78" s="449"/>
      <c r="PRS78" s="450"/>
      <c r="PRT78" s="447"/>
      <c r="PRU78" s="451"/>
      <c r="PRV78" s="449"/>
      <c r="PRW78" s="450"/>
      <c r="PRX78" s="452"/>
      <c r="PRY78" s="451"/>
      <c r="PRZ78" s="449"/>
      <c r="PSA78" s="450"/>
      <c r="PSB78" s="447"/>
      <c r="PSC78" s="448"/>
      <c r="PSD78" s="453"/>
      <c r="PSE78" s="449"/>
      <c r="PSF78" s="450"/>
      <c r="PSG78" s="454"/>
      <c r="PSH78" s="448"/>
      <c r="PSJ78" s="449"/>
      <c r="PSK78" s="450"/>
      <c r="PSL78" s="452"/>
      <c r="PSM78" s="448"/>
      <c r="PSO78" s="449"/>
      <c r="PSP78" s="450"/>
      <c r="PSQ78" s="447"/>
      <c r="PSR78" s="448"/>
      <c r="PST78" s="449"/>
      <c r="PSU78" s="450"/>
      <c r="PSV78" s="452"/>
      <c r="PSW78" s="448"/>
      <c r="PSX78" s="449"/>
      <c r="PSY78" s="450"/>
      <c r="PSZ78" s="452"/>
      <c r="PTA78" s="448"/>
      <c r="PTB78" s="455"/>
      <c r="PTC78" s="449"/>
      <c r="PTD78" s="450"/>
      <c r="PTE78" s="459"/>
      <c r="PTF78" s="448"/>
      <c r="PTG78" s="456"/>
      <c r="PTH78" s="449"/>
      <c r="PTI78" s="450"/>
      <c r="PTJ78" s="452"/>
      <c r="PTK78" s="448"/>
      <c r="PTL78" s="449"/>
      <c r="PTM78" s="450"/>
      <c r="PTN78" s="452"/>
      <c r="PTO78" s="448"/>
      <c r="PTP78" s="449"/>
      <c r="PTQ78" s="450"/>
      <c r="PTR78" s="447"/>
      <c r="PTS78" s="448"/>
      <c r="PTT78" s="457"/>
      <c r="PTU78" s="460"/>
      <c r="PTV78" s="450"/>
      <c r="PTW78" s="461"/>
      <c r="PTX78" s="448"/>
      <c r="PTY78" s="456"/>
      <c r="PTZ78" s="449"/>
      <c r="PUA78" s="450"/>
      <c r="PUB78" s="452"/>
      <c r="PUC78" s="448"/>
      <c r="PUD78" s="456"/>
      <c r="PUE78" s="458"/>
      <c r="PUF78" s="458"/>
      <c r="PUH78" s="454"/>
      <c r="PUI78" s="450"/>
      <c r="PUJ78" s="454"/>
      <c r="PUK78" s="448"/>
      <c r="PUL78" s="449"/>
      <c r="PUM78" s="450"/>
      <c r="PUN78" s="447"/>
      <c r="PUO78" s="448"/>
      <c r="PUP78" s="449"/>
      <c r="PUQ78" s="450"/>
      <c r="PUR78" s="447"/>
      <c r="PUS78" s="451"/>
      <c r="PUT78" s="449"/>
      <c r="PUU78" s="450"/>
      <c r="PUV78" s="447"/>
      <c r="PUW78" s="451"/>
      <c r="PUX78" s="449"/>
      <c r="PUY78" s="450"/>
      <c r="PUZ78" s="447"/>
      <c r="PVA78" s="451"/>
      <c r="PVB78" s="449"/>
      <c r="PVC78" s="450"/>
      <c r="PVD78" s="452"/>
      <c r="PVE78" s="451"/>
      <c r="PVF78" s="449"/>
      <c r="PVG78" s="450"/>
      <c r="PVH78" s="447"/>
      <c r="PVI78" s="448"/>
      <c r="PVJ78" s="453"/>
      <c r="PVK78" s="449"/>
      <c r="PVL78" s="450"/>
      <c r="PVM78" s="454"/>
      <c r="PVN78" s="448"/>
      <c r="PVP78" s="449"/>
      <c r="PVQ78" s="450"/>
      <c r="PVR78" s="452"/>
      <c r="PVS78" s="448"/>
      <c r="PVU78" s="449"/>
      <c r="PVV78" s="450"/>
      <c r="PVW78" s="447"/>
      <c r="PVX78" s="448"/>
      <c r="PVZ78" s="449"/>
      <c r="PWA78" s="450"/>
      <c r="PWB78" s="452"/>
      <c r="PWC78" s="448"/>
      <c r="PWD78" s="449"/>
      <c r="PWE78" s="450"/>
      <c r="PWF78" s="452"/>
      <c r="PWG78" s="448"/>
      <c r="PWH78" s="455"/>
      <c r="PWI78" s="449"/>
      <c r="PWJ78" s="450"/>
      <c r="PWK78" s="459"/>
      <c r="PWL78" s="448"/>
      <c r="PWM78" s="456"/>
      <c r="PWN78" s="449"/>
      <c r="PWO78" s="450"/>
      <c r="PWP78" s="452"/>
      <c r="PWQ78" s="448"/>
      <c r="PWR78" s="449"/>
      <c r="PWS78" s="450"/>
      <c r="PWT78" s="452"/>
      <c r="PWU78" s="448"/>
      <c r="PWV78" s="449"/>
      <c r="PWW78" s="450"/>
      <c r="PWX78" s="447"/>
      <c r="PWY78" s="448"/>
      <c r="PWZ78" s="457"/>
      <c r="PXA78" s="460"/>
      <c r="PXB78" s="450"/>
      <c r="PXC78" s="461"/>
      <c r="PXD78" s="448"/>
      <c r="PXE78" s="456"/>
      <c r="PXF78" s="449"/>
      <c r="PXG78" s="450"/>
      <c r="PXH78" s="452"/>
      <c r="PXI78" s="448"/>
      <c r="PXJ78" s="456"/>
      <c r="PXK78" s="458"/>
      <c r="PXL78" s="458"/>
      <c r="PXN78" s="454"/>
      <c r="PXO78" s="450"/>
      <c r="PXP78" s="454"/>
      <c r="PXQ78" s="448"/>
      <c r="PXR78" s="449"/>
      <c r="PXS78" s="450"/>
      <c r="PXT78" s="447"/>
      <c r="PXU78" s="448"/>
      <c r="PXV78" s="449"/>
      <c r="PXW78" s="450"/>
      <c r="PXX78" s="447"/>
      <c r="PXY78" s="451"/>
      <c r="PXZ78" s="449"/>
      <c r="PYA78" s="450"/>
      <c r="PYB78" s="447"/>
      <c r="PYC78" s="451"/>
      <c r="PYD78" s="449"/>
      <c r="PYE78" s="450"/>
      <c r="PYF78" s="447"/>
      <c r="PYG78" s="451"/>
      <c r="PYH78" s="449"/>
      <c r="PYI78" s="450"/>
      <c r="PYJ78" s="452"/>
      <c r="PYK78" s="451"/>
      <c r="PYL78" s="449"/>
      <c r="PYM78" s="450"/>
      <c r="PYN78" s="447"/>
      <c r="PYO78" s="448"/>
      <c r="PYP78" s="453"/>
      <c r="PYQ78" s="449"/>
      <c r="PYR78" s="450"/>
      <c r="PYS78" s="454"/>
      <c r="PYT78" s="448"/>
      <c r="PYV78" s="449"/>
      <c r="PYW78" s="450"/>
      <c r="PYX78" s="452"/>
      <c r="PYY78" s="448"/>
      <c r="PZA78" s="449"/>
      <c r="PZB78" s="450"/>
      <c r="PZC78" s="447"/>
      <c r="PZD78" s="448"/>
      <c r="PZF78" s="449"/>
      <c r="PZG78" s="450"/>
      <c r="PZH78" s="452"/>
      <c r="PZI78" s="448"/>
      <c r="PZJ78" s="449"/>
      <c r="PZK78" s="450"/>
      <c r="PZL78" s="452"/>
      <c r="PZM78" s="448"/>
      <c r="PZN78" s="455"/>
      <c r="PZO78" s="449"/>
      <c r="PZP78" s="450"/>
      <c r="PZQ78" s="459"/>
      <c r="PZR78" s="448"/>
      <c r="PZS78" s="456"/>
      <c r="PZT78" s="449"/>
      <c r="PZU78" s="450"/>
      <c r="PZV78" s="452"/>
      <c r="PZW78" s="448"/>
      <c r="PZX78" s="449"/>
      <c r="PZY78" s="450"/>
      <c r="PZZ78" s="452"/>
      <c r="QAA78" s="448"/>
      <c r="QAB78" s="449"/>
      <c r="QAC78" s="450"/>
      <c r="QAD78" s="447"/>
      <c r="QAE78" s="448"/>
      <c r="QAF78" s="457"/>
      <c r="QAG78" s="460"/>
      <c r="QAH78" s="450"/>
      <c r="QAI78" s="461"/>
      <c r="QAJ78" s="448"/>
      <c r="QAK78" s="456"/>
      <c r="QAL78" s="449"/>
      <c r="QAM78" s="450"/>
      <c r="QAN78" s="452"/>
      <c r="QAO78" s="448"/>
      <c r="QAP78" s="456"/>
      <c r="QAQ78" s="458"/>
      <c r="QAR78" s="458"/>
      <c r="QAT78" s="454"/>
      <c r="QAU78" s="450"/>
      <c r="QAV78" s="454"/>
      <c r="QAW78" s="448"/>
      <c r="QAX78" s="449"/>
      <c r="QAY78" s="450"/>
      <c r="QAZ78" s="447"/>
      <c r="QBA78" s="448"/>
      <c r="QBB78" s="449"/>
      <c r="QBC78" s="450"/>
      <c r="QBD78" s="447"/>
      <c r="QBE78" s="451"/>
      <c r="QBF78" s="449"/>
      <c r="QBG78" s="450"/>
      <c r="QBH78" s="447"/>
      <c r="QBI78" s="451"/>
      <c r="QBJ78" s="449"/>
      <c r="QBK78" s="450"/>
      <c r="QBL78" s="447"/>
      <c r="QBM78" s="451"/>
      <c r="QBN78" s="449"/>
      <c r="QBO78" s="450"/>
      <c r="QBP78" s="452"/>
      <c r="QBQ78" s="451"/>
      <c r="QBR78" s="449"/>
      <c r="QBS78" s="450"/>
      <c r="QBT78" s="447"/>
      <c r="QBU78" s="448"/>
      <c r="QBV78" s="453"/>
      <c r="QBW78" s="449"/>
      <c r="QBX78" s="450"/>
      <c r="QBY78" s="454"/>
      <c r="QBZ78" s="448"/>
      <c r="QCB78" s="449"/>
      <c r="QCC78" s="450"/>
      <c r="QCD78" s="452"/>
      <c r="QCE78" s="448"/>
      <c r="QCG78" s="449"/>
      <c r="QCH78" s="450"/>
      <c r="QCI78" s="447"/>
      <c r="QCJ78" s="448"/>
      <c r="QCL78" s="449"/>
      <c r="QCM78" s="450"/>
      <c r="QCN78" s="452"/>
      <c r="QCO78" s="448"/>
      <c r="QCP78" s="449"/>
      <c r="QCQ78" s="450"/>
      <c r="QCR78" s="452"/>
      <c r="QCS78" s="448"/>
      <c r="QCT78" s="455"/>
      <c r="QCU78" s="449"/>
      <c r="QCV78" s="450"/>
      <c r="QCW78" s="459"/>
      <c r="QCX78" s="448"/>
      <c r="QCY78" s="456"/>
      <c r="QCZ78" s="449"/>
      <c r="QDA78" s="450"/>
      <c r="QDB78" s="452"/>
      <c r="QDC78" s="448"/>
      <c r="QDD78" s="449"/>
      <c r="QDE78" s="450"/>
      <c r="QDF78" s="452"/>
      <c r="QDG78" s="448"/>
      <c r="QDH78" s="449"/>
      <c r="QDI78" s="450"/>
      <c r="QDJ78" s="447"/>
      <c r="QDK78" s="448"/>
      <c r="QDL78" s="457"/>
      <c r="QDM78" s="460"/>
      <c r="QDN78" s="450"/>
      <c r="QDO78" s="461"/>
      <c r="QDP78" s="448"/>
      <c r="QDQ78" s="456"/>
      <c r="QDR78" s="449"/>
      <c r="QDS78" s="450"/>
      <c r="QDT78" s="452"/>
      <c r="QDU78" s="448"/>
      <c r="QDV78" s="456"/>
      <c r="QDW78" s="458"/>
      <c r="QDX78" s="458"/>
      <c r="QDZ78" s="454"/>
      <c r="QEA78" s="450"/>
      <c r="QEB78" s="454"/>
      <c r="QEC78" s="448"/>
      <c r="QED78" s="449"/>
      <c r="QEE78" s="450"/>
      <c r="QEF78" s="447"/>
      <c r="QEG78" s="448"/>
      <c r="QEH78" s="449"/>
      <c r="QEI78" s="450"/>
      <c r="QEJ78" s="447"/>
      <c r="QEK78" s="451"/>
      <c r="QEL78" s="449"/>
      <c r="QEM78" s="450"/>
      <c r="QEN78" s="447"/>
      <c r="QEO78" s="451"/>
      <c r="QEP78" s="449"/>
      <c r="QEQ78" s="450"/>
      <c r="QER78" s="447"/>
      <c r="QES78" s="451"/>
      <c r="QET78" s="449"/>
      <c r="QEU78" s="450"/>
      <c r="QEV78" s="452"/>
      <c r="QEW78" s="451"/>
      <c r="QEX78" s="449"/>
      <c r="QEY78" s="450"/>
      <c r="QEZ78" s="447"/>
      <c r="QFA78" s="448"/>
      <c r="QFB78" s="453"/>
      <c r="QFC78" s="449"/>
      <c r="QFD78" s="450"/>
      <c r="QFE78" s="454"/>
      <c r="QFF78" s="448"/>
      <c r="QFH78" s="449"/>
      <c r="QFI78" s="450"/>
      <c r="QFJ78" s="452"/>
      <c r="QFK78" s="448"/>
      <c r="QFM78" s="449"/>
      <c r="QFN78" s="450"/>
      <c r="QFO78" s="447"/>
      <c r="QFP78" s="448"/>
      <c r="QFR78" s="449"/>
      <c r="QFS78" s="450"/>
      <c r="QFT78" s="452"/>
      <c r="QFU78" s="448"/>
      <c r="QFV78" s="449"/>
      <c r="QFW78" s="450"/>
      <c r="QFX78" s="452"/>
      <c r="QFY78" s="448"/>
      <c r="QFZ78" s="455"/>
      <c r="QGA78" s="449"/>
      <c r="QGB78" s="450"/>
      <c r="QGC78" s="459"/>
      <c r="QGD78" s="448"/>
      <c r="QGE78" s="456"/>
      <c r="QGF78" s="449"/>
      <c r="QGG78" s="450"/>
      <c r="QGH78" s="452"/>
      <c r="QGI78" s="448"/>
      <c r="QGJ78" s="449"/>
      <c r="QGK78" s="450"/>
      <c r="QGL78" s="452"/>
      <c r="QGM78" s="448"/>
      <c r="QGN78" s="449"/>
      <c r="QGO78" s="450"/>
      <c r="QGP78" s="447"/>
      <c r="QGQ78" s="448"/>
      <c r="QGR78" s="457"/>
      <c r="QGS78" s="460"/>
      <c r="QGT78" s="450"/>
      <c r="QGU78" s="461"/>
      <c r="QGV78" s="448"/>
      <c r="QGW78" s="456"/>
      <c r="QGX78" s="449"/>
      <c r="QGY78" s="450"/>
      <c r="QGZ78" s="452"/>
      <c r="QHA78" s="448"/>
      <c r="QHB78" s="456"/>
      <c r="QHC78" s="458"/>
      <c r="QHD78" s="458"/>
      <c r="QHF78" s="454"/>
      <c r="QHG78" s="450"/>
      <c r="QHH78" s="454"/>
      <c r="QHI78" s="448"/>
      <c r="QHJ78" s="449"/>
      <c r="QHK78" s="450"/>
      <c r="QHL78" s="447"/>
      <c r="QHM78" s="448"/>
      <c r="QHN78" s="449"/>
      <c r="QHO78" s="450"/>
      <c r="QHP78" s="447"/>
      <c r="QHQ78" s="451"/>
      <c r="QHR78" s="449"/>
      <c r="QHS78" s="450"/>
      <c r="QHT78" s="447"/>
      <c r="QHU78" s="451"/>
      <c r="QHV78" s="449"/>
      <c r="QHW78" s="450"/>
      <c r="QHX78" s="447"/>
      <c r="QHY78" s="451"/>
      <c r="QHZ78" s="449"/>
      <c r="QIA78" s="450"/>
      <c r="QIB78" s="452"/>
      <c r="QIC78" s="451"/>
      <c r="QID78" s="449"/>
      <c r="QIE78" s="450"/>
      <c r="QIF78" s="447"/>
      <c r="QIG78" s="448"/>
      <c r="QIH78" s="453"/>
      <c r="QII78" s="449"/>
      <c r="QIJ78" s="450"/>
      <c r="QIK78" s="454"/>
      <c r="QIL78" s="448"/>
      <c r="QIN78" s="449"/>
      <c r="QIO78" s="450"/>
      <c r="QIP78" s="452"/>
      <c r="QIQ78" s="448"/>
      <c r="QIS78" s="449"/>
      <c r="QIT78" s="450"/>
      <c r="QIU78" s="447"/>
      <c r="QIV78" s="448"/>
      <c r="QIX78" s="449"/>
      <c r="QIY78" s="450"/>
      <c r="QIZ78" s="452"/>
      <c r="QJA78" s="448"/>
      <c r="QJB78" s="449"/>
      <c r="QJC78" s="450"/>
      <c r="QJD78" s="452"/>
      <c r="QJE78" s="448"/>
      <c r="QJF78" s="455"/>
      <c r="QJG78" s="449"/>
      <c r="QJH78" s="450"/>
      <c r="QJI78" s="459"/>
      <c r="QJJ78" s="448"/>
      <c r="QJK78" s="456"/>
      <c r="QJL78" s="449"/>
      <c r="QJM78" s="450"/>
      <c r="QJN78" s="452"/>
      <c r="QJO78" s="448"/>
      <c r="QJP78" s="449"/>
      <c r="QJQ78" s="450"/>
      <c r="QJR78" s="452"/>
      <c r="QJS78" s="448"/>
      <c r="QJT78" s="449"/>
      <c r="QJU78" s="450"/>
      <c r="QJV78" s="447"/>
      <c r="QJW78" s="448"/>
      <c r="QJX78" s="457"/>
      <c r="QJY78" s="460"/>
      <c r="QJZ78" s="450"/>
      <c r="QKA78" s="461"/>
      <c r="QKB78" s="448"/>
      <c r="QKC78" s="456"/>
      <c r="QKD78" s="449"/>
      <c r="QKE78" s="450"/>
      <c r="QKF78" s="452"/>
      <c r="QKG78" s="448"/>
      <c r="QKH78" s="456"/>
      <c r="QKI78" s="458"/>
      <c r="QKJ78" s="458"/>
      <c r="QKL78" s="454"/>
      <c r="QKM78" s="450"/>
      <c r="QKN78" s="454"/>
      <c r="QKO78" s="448"/>
      <c r="QKP78" s="449"/>
      <c r="QKQ78" s="450"/>
      <c r="QKR78" s="447"/>
      <c r="QKS78" s="448"/>
      <c r="QKT78" s="449"/>
      <c r="QKU78" s="450"/>
      <c r="QKV78" s="447"/>
      <c r="QKW78" s="451"/>
      <c r="QKX78" s="449"/>
      <c r="QKY78" s="450"/>
      <c r="QKZ78" s="447"/>
      <c r="QLA78" s="451"/>
      <c r="QLB78" s="449"/>
      <c r="QLC78" s="450"/>
      <c r="QLD78" s="447"/>
      <c r="QLE78" s="451"/>
      <c r="QLF78" s="449"/>
      <c r="QLG78" s="450"/>
      <c r="QLH78" s="452"/>
      <c r="QLI78" s="451"/>
      <c r="QLJ78" s="449"/>
      <c r="QLK78" s="450"/>
      <c r="QLL78" s="447"/>
      <c r="QLM78" s="448"/>
      <c r="QLN78" s="453"/>
      <c r="QLO78" s="449"/>
      <c r="QLP78" s="450"/>
      <c r="QLQ78" s="454"/>
      <c r="QLR78" s="448"/>
      <c r="QLT78" s="449"/>
      <c r="QLU78" s="450"/>
      <c r="QLV78" s="452"/>
      <c r="QLW78" s="448"/>
      <c r="QLY78" s="449"/>
      <c r="QLZ78" s="450"/>
      <c r="QMA78" s="447"/>
      <c r="QMB78" s="448"/>
      <c r="QMD78" s="449"/>
      <c r="QME78" s="450"/>
      <c r="QMF78" s="452"/>
      <c r="QMG78" s="448"/>
      <c r="QMH78" s="449"/>
      <c r="QMI78" s="450"/>
      <c r="QMJ78" s="452"/>
      <c r="QMK78" s="448"/>
      <c r="QML78" s="455"/>
      <c r="QMM78" s="449"/>
      <c r="QMN78" s="450"/>
      <c r="QMO78" s="459"/>
      <c r="QMP78" s="448"/>
      <c r="QMQ78" s="456"/>
      <c r="QMR78" s="449"/>
      <c r="QMS78" s="450"/>
      <c r="QMT78" s="452"/>
      <c r="QMU78" s="448"/>
      <c r="QMV78" s="449"/>
      <c r="QMW78" s="450"/>
      <c r="QMX78" s="452"/>
      <c r="QMY78" s="448"/>
      <c r="QMZ78" s="449"/>
      <c r="QNA78" s="450"/>
      <c r="QNB78" s="447"/>
      <c r="QNC78" s="448"/>
      <c r="QND78" s="457"/>
      <c r="QNE78" s="460"/>
      <c r="QNF78" s="450"/>
      <c r="QNG78" s="461"/>
      <c r="QNH78" s="448"/>
      <c r="QNI78" s="456"/>
      <c r="QNJ78" s="449"/>
      <c r="QNK78" s="450"/>
      <c r="QNL78" s="452"/>
      <c r="QNM78" s="448"/>
      <c r="QNN78" s="456"/>
      <c r="QNO78" s="458"/>
      <c r="QNP78" s="458"/>
      <c r="QNR78" s="454"/>
      <c r="QNS78" s="450"/>
      <c r="QNT78" s="454"/>
      <c r="QNU78" s="448"/>
      <c r="QNV78" s="449"/>
      <c r="QNW78" s="450"/>
      <c r="QNX78" s="447"/>
      <c r="QNY78" s="448"/>
      <c r="QNZ78" s="449"/>
      <c r="QOA78" s="450"/>
      <c r="QOB78" s="447"/>
      <c r="QOC78" s="451"/>
      <c r="QOD78" s="449"/>
      <c r="QOE78" s="450"/>
      <c r="QOF78" s="447"/>
      <c r="QOG78" s="451"/>
      <c r="QOH78" s="449"/>
      <c r="QOI78" s="450"/>
      <c r="QOJ78" s="447"/>
      <c r="QOK78" s="451"/>
      <c r="QOL78" s="449"/>
      <c r="QOM78" s="450"/>
      <c r="QON78" s="452"/>
      <c r="QOO78" s="451"/>
      <c r="QOP78" s="449"/>
      <c r="QOQ78" s="450"/>
      <c r="QOR78" s="447"/>
      <c r="QOS78" s="448"/>
      <c r="QOT78" s="453"/>
      <c r="QOU78" s="449"/>
      <c r="QOV78" s="450"/>
      <c r="QOW78" s="454"/>
      <c r="QOX78" s="448"/>
      <c r="QOZ78" s="449"/>
      <c r="QPA78" s="450"/>
      <c r="QPB78" s="452"/>
      <c r="QPC78" s="448"/>
      <c r="QPE78" s="449"/>
      <c r="QPF78" s="450"/>
      <c r="QPG78" s="447"/>
      <c r="QPH78" s="448"/>
      <c r="QPJ78" s="449"/>
      <c r="QPK78" s="450"/>
      <c r="QPL78" s="452"/>
      <c r="QPM78" s="448"/>
      <c r="QPN78" s="449"/>
      <c r="QPO78" s="450"/>
      <c r="QPP78" s="452"/>
      <c r="QPQ78" s="448"/>
      <c r="QPR78" s="455"/>
      <c r="QPS78" s="449"/>
      <c r="QPT78" s="450"/>
      <c r="QPU78" s="459"/>
      <c r="QPV78" s="448"/>
      <c r="QPW78" s="456"/>
      <c r="QPX78" s="449"/>
      <c r="QPY78" s="450"/>
      <c r="QPZ78" s="452"/>
      <c r="QQA78" s="448"/>
      <c r="QQB78" s="449"/>
      <c r="QQC78" s="450"/>
      <c r="QQD78" s="452"/>
      <c r="QQE78" s="448"/>
      <c r="QQF78" s="449"/>
      <c r="QQG78" s="450"/>
      <c r="QQH78" s="447"/>
      <c r="QQI78" s="448"/>
      <c r="QQJ78" s="457"/>
      <c r="QQK78" s="460"/>
      <c r="QQL78" s="450"/>
      <c r="QQM78" s="461"/>
      <c r="QQN78" s="448"/>
      <c r="QQO78" s="456"/>
      <c r="QQP78" s="449"/>
      <c r="QQQ78" s="450"/>
      <c r="QQR78" s="452"/>
      <c r="QQS78" s="448"/>
      <c r="QQT78" s="456"/>
      <c r="QQU78" s="458"/>
      <c r="QQV78" s="458"/>
      <c r="QQX78" s="454"/>
      <c r="QQY78" s="450"/>
      <c r="QQZ78" s="454"/>
      <c r="QRA78" s="448"/>
      <c r="QRB78" s="449"/>
      <c r="QRC78" s="450"/>
      <c r="QRD78" s="447"/>
      <c r="QRE78" s="448"/>
      <c r="QRF78" s="449"/>
      <c r="QRG78" s="450"/>
      <c r="QRH78" s="447"/>
      <c r="QRI78" s="451"/>
      <c r="QRJ78" s="449"/>
      <c r="QRK78" s="450"/>
      <c r="QRL78" s="447"/>
      <c r="QRM78" s="451"/>
      <c r="QRN78" s="449"/>
      <c r="QRO78" s="450"/>
      <c r="QRP78" s="447"/>
      <c r="QRQ78" s="451"/>
      <c r="QRR78" s="449"/>
      <c r="QRS78" s="450"/>
      <c r="QRT78" s="452"/>
      <c r="QRU78" s="451"/>
      <c r="QRV78" s="449"/>
      <c r="QRW78" s="450"/>
      <c r="QRX78" s="447"/>
      <c r="QRY78" s="448"/>
      <c r="QRZ78" s="453"/>
      <c r="QSA78" s="449"/>
      <c r="QSB78" s="450"/>
      <c r="QSC78" s="454"/>
      <c r="QSD78" s="448"/>
      <c r="QSF78" s="449"/>
      <c r="QSG78" s="450"/>
      <c r="QSH78" s="452"/>
      <c r="QSI78" s="448"/>
      <c r="QSK78" s="449"/>
      <c r="QSL78" s="450"/>
      <c r="QSM78" s="447"/>
      <c r="QSN78" s="448"/>
      <c r="QSP78" s="449"/>
      <c r="QSQ78" s="450"/>
      <c r="QSR78" s="452"/>
      <c r="QSS78" s="448"/>
      <c r="QST78" s="449"/>
      <c r="QSU78" s="450"/>
      <c r="QSV78" s="452"/>
      <c r="QSW78" s="448"/>
      <c r="QSX78" s="455"/>
      <c r="QSY78" s="449"/>
      <c r="QSZ78" s="450"/>
      <c r="QTA78" s="459"/>
      <c r="QTB78" s="448"/>
      <c r="QTC78" s="456"/>
      <c r="QTD78" s="449"/>
      <c r="QTE78" s="450"/>
      <c r="QTF78" s="452"/>
      <c r="QTG78" s="448"/>
      <c r="QTH78" s="449"/>
      <c r="QTI78" s="450"/>
      <c r="QTJ78" s="452"/>
      <c r="QTK78" s="448"/>
      <c r="QTL78" s="449"/>
      <c r="QTM78" s="450"/>
      <c r="QTN78" s="447"/>
      <c r="QTO78" s="448"/>
      <c r="QTP78" s="457"/>
      <c r="QTQ78" s="460"/>
      <c r="QTR78" s="450"/>
      <c r="QTS78" s="461"/>
      <c r="QTT78" s="448"/>
      <c r="QTU78" s="456"/>
      <c r="QTV78" s="449"/>
      <c r="QTW78" s="450"/>
      <c r="QTX78" s="452"/>
      <c r="QTY78" s="448"/>
      <c r="QTZ78" s="456"/>
      <c r="QUA78" s="458"/>
      <c r="QUB78" s="458"/>
      <c r="QUD78" s="454"/>
      <c r="QUE78" s="450"/>
      <c r="QUF78" s="454"/>
      <c r="QUG78" s="448"/>
      <c r="QUH78" s="449"/>
      <c r="QUI78" s="450"/>
      <c r="QUJ78" s="447"/>
      <c r="QUK78" s="448"/>
      <c r="QUL78" s="449"/>
      <c r="QUM78" s="450"/>
      <c r="QUN78" s="447"/>
      <c r="QUO78" s="451"/>
      <c r="QUP78" s="449"/>
      <c r="QUQ78" s="450"/>
      <c r="QUR78" s="447"/>
      <c r="QUS78" s="451"/>
      <c r="QUT78" s="449"/>
      <c r="QUU78" s="450"/>
      <c r="QUV78" s="447"/>
      <c r="QUW78" s="451"/>
      <c r="QUX78" s="449"/>
      <c r="QUY78" s="450"/>
      <c r="QUZ78" s="452"/>
      <c r="QVA78" s="451"/>
      <c r="QVB78" s="449"/>
      <c r="QVC78" s="450"/>
      <c r="QVD78" s="447"/>
      <c r="QVE78" s="448"/>
      <c r="QVF78" s="453"/>
      <c r="QVG78" s="449"/>
      <c r="QVH78" s="450"/>
      <c r="QVI78" s="454"/>
      <c r="QVJ78" s="448"/>
      <c r="QVL78" s="449"/>
      <c r="QVM78" s="450"/>
      <c r="QVN78" s="452"/>
      <c r="QVO78" s="448"/>
      <c r="QVQ78" s="449"/>
      <c r="QVR78" s="450"/>
      <c r="QVS78" s="447"/>
      <c r="QVT78" s="448"/>
      <c r="QVV78" s="449"/>
      <c r="QVW78" s="450"/>
      <c r="QVX78" s="452"/>
      <c r="QVY78" s="448"/>
      <c r="QVZ78" s="449"/>
      <c r="QWA78" s="450"/>
      <c r="QWB78" s="452"/>
      <c r="QWC78" s="448"/>
      <c r="QWD78" s="455"/>
      <c r="QWE78" s="449"/>
      <c r="QWF78" s="450"/>
      <c r="QWG78" s="459"/>
      <c r="QWH78" s="448"/>
      <c r="QWI78" s="456"/>
      <c r="QWJ78" s="449"/>
      <c r="QWK78" s="450"/>
      <c r="QWL78" s="452"/>
      <c r="QWM78" s="448"/>
      <c r="QWN78" s="449"/>
      <c r="QWO78" s="450"/>
      <c r="QWP78" s="452"/>
      <c r="QWQ78" s="448"/>
      <c r="QWR78" s="449"/>
      <c r="QWS78" s="450"/>
      <c r="QWT78" s="447"/>
      <c r="QWU78" s="448"/>
      <c r="QWV78" s="457"/>
      <c r="QWW78" s="460"/>
      <c r="QWX78" s="450"/>
      <c r="QWY78" s="461"/>
      <c r="QWZ78" s="448"/>
      <c r="QXA78" s="456"/>
      <c r="QXB78" s="449"/>
      <c r="QXC78" s="450"/>
      <c r="QXD78" s="452"/>
      <c r="QXE78" s="448"/>
      <c r="QXF78" s="456"/>
      <c r="QXG78" s="458"/>
      <c r="QXH78" s="458"/>
      <c r="QXJ78" s="454"/>
      <c r="QXK78" s="450"/>
      <c r="QXL78" s="454"/>
      <c r="QXM78" s="448"/>
      <c r="QXN78" s="449"/>
      <c r="QXO78" s="450"/>
      <c r="QXP78" s="447"/>
      <c r="QXQ78" s="448"/>
      <c r="QXR78" s="449"/>
      <c r="QXS78" s="450"/>
      <c r="QXT78" s="447"/>
      <c r="QXU78" s="451"/>
      <c r="QXV78" s="449"/>
      <c r="QXW78" s="450"/>
      <c r="QXX78" s="447"/>
      <c r="QXY78" s="451"/>
      <c r="QXZ78" s="449"/>
      <c r="QYA78" s="450"/>
      <c r="QYB78" s="447"/>
      <c r="QYC78" s="451"/>
      <c r="QYD78" s="449"/>
      <c r="QYE78" s="450"/>
      <c r="QYF78" s="452"/>
      <c r="QYG78" s="451"/>
      <c r="QYH78" s="449"/>
      <c r="QYI78" s="450"/>
      <c r="QYJ78" s="447"/>
      <c r="QYK78" s="448"/>
      <c r="QYL78" s="453"/>
      <c r="QYM78" s="449"/>
      <c r="QYN78" s="450"/>
      <c r="QYO78" s="454"/>
      <c r="QYP78" s="448"/>
      <c r="QYR78" s="449"/>
      <c r="QYS78" s="450"/>
      <c r="QYT78" s="452"/>
      <c r="QYU78" s="448"/>
      <c r="QYW78" s="449"/>
      <c r="QYX78" s="450"/>
      <c r="QYY78" s="447"/>
      <c r="QYZ78" s="448"/>
      <c r="QZB78" s="449"/>
      <c r="QZC78" s="450"/>
      <c r="QZD78" s="452"/>
      <c r="QZE78" s="448"/>
      <c r="QZF78" s="449"/>
      <c r="QZG78" s="450"/>
      <c r="QZH78" s="452"/>
      <c r="QZI78" s="448"/>
      <c r="QZJ78" s="455"/>
      <c r="QZK78" s="449"/>
      <c r="QZL78" s="450"/>
      <c r="QZM78" s="459"/>
      <c r="QZN78" s="448"/>
      <c r="QZO78" s="456"/>
      <c r="QZP78" s="449"/>
      <c r="QZQ78" s="450"/>
      <c r="QZR78" s="452"/>
      <c r="QZS78" s="448"/>
      <c r="QZT78" s="449"/>
      <c r="QZU78" s="450"/>
      <c r="QZV78" s="452"/>
      <c r="QZW78" s="448"/>
      <c r="QZX78" s="449"/>
      <c r="QZY78" s="450"/>
      <c r="QZZ78" s="447"/>
      <c r="RAA78" s="448"/>
      <c r="RAB78" s="457"/>
      <c r="RAC78" s="460"/>
      <c r="RAD78" s="450"/>
      <c r="RAE78" s="461"/>
      <c r="RAF78" s="448"/>
      <c r="RAG78" s="456"/>
      <c r="RAH78" s="449"/>
      <c r="RAI78" s="450"/>
      <c r="RAJ78" s="452"/>
      <c r="RAK78" s="448"/>
      <c r="RAL78" s="456"/>
      <c r="RAM78" s="458"/>
      <c r="RAN78" s="458"/>
      <c r="RAP78" s="454"/>
      <c r="RAQ78" s="450"/>
      <c r="RAR78" s="454"/>
      <c r="RAS78" s="448"/>
      <c r="RAT78" s="449"/>
      <c r="RAU78" s="450"/>
      <c r="RAV78" s="447"/>
      <c r="RAW78" s="448"/>
      <c r="RAX78" s="449"/>
      <c r="RAY78" s="450"/>
      <c r="RAZ78" s="447"/>
      <c r="RBA78" s="451"/>
      <c r="RBB78" s="449"/>
      <c r="RBC78" s="450"/>
      <c r="RBD78" s="447"/>
      <c r="RBE78" s="451"/>
      <c r="RBF78" s="449"/>
      <c r="RBG78" s="450"/>
      <c r="RBH78" s="447"/>
      <c r="RBI78" s="451"/>
      <c r="RBJ78" s="449"/>
      <c r="RBK78" s="450"/>
      <c r="RBL78" s="452"/>
      <c r="RBM78" s="451"/>
      <c r="RBN78" s="449"/>
      <c r="RBO78" s="450"/>
      <c r="RBP78" s="447"/>
      <c r="RBQ78" s="448"/>
      <c r="RBR78" s="453"/>
      <c r="RBS78" s="449"/>
      <c r="RBT78" s="450"/>
      <c r="RBU78" s="454"/>
      <c r="RBV78" s="448"/>
      <c r="RBX78" s="449"/>
      <c r="RBY78" s="450"/>
      <c r="RBZ78" s="452"/>
      <c r="RCA78" s="448"/>
      <c r="RCC78" s="449"/>
      <c r="RCD78" s="450"/>
      <c r="RCE78" s="447"/>
      <c r="RCF78" s="448"/>
      <c r="RCH78" s="449"/>
      <c r="RCI78" s="450"/>
      <c r="RCJ78" s="452"/>
      <c r="RCK78" s="448"/>
      <c r="RCL78" s="449"/>
      <c r="RCM78" s="450"/>
      <c r="RCN78" s="452"/>
      <c r="RCO78" s="448"/>
      <c r="RCP78" s="455"/>
      <c r="RCQ78" s="449"/>
      <c r="RCR78" s="450"/>
      <c r="RCS78" s="459"/>
      <c r="RCT78" s="448"/>
      <c r="RCU78" s="456"/>
      <c r="RCV78" s="449"/>
      <c r="RCW78" s="450"/>
      <c r="RCX78" s="452"/>
      <c r="RCY78" s="448"/>
      <c r="RCZ78" s="449"/>
      <c r="RDA78" s="450"/>
      <c r="RDB78" s="452"/>
      <c r="RDC78" s="448"/>
      <c r="RDD78" s="449"/>
      <c r="RDE78" s="450"/>
      <c r="RDF78" s="447"/>
      <c r="RDG78" s="448"/>
      <c r="RDH78" s="457"/>
      <c r="RDI78" s="460"/>
      <c r="RDJ78" s="450"/>
      <c r="RDK78" s="461"/>
      <c r="RDL78" s="448"/>
      <c r="RDM78" s="456"/>
      <c r="RDN78" s="449"/>
      <c r="RDO78" s="450"/>
      <c r="RDP78" s="452"/>
      <c r="RDQ78" s="448"/>
      <c r="RDR78" s="456"/>
      <c r="RDS78" s="458"/>
      <c r="RDT78" s="458"/>
      <c r="RDV78" s="454"/>
      <c r="RDW78" s="450"/>
      <c r="RDX78" s="454"/>
      <c r="RDY78" s="448"/>
      <c r="RDZ78" s="449"/>
      <c r="REA78" s="450"/>
      <c r="REB78" s="447"/>
      <c r="REC78" s="448"/>
      <c r="RED78" s="449"/>
      <c r="REE78" s="450"/>
      <c r="REF78" s="447"/>
      <c r="REG78" s="451"/>
      <c r="REH78" s="449"/>
      <c r="REI78" s="450"/>
      <c r="REJ78" s="447"/>
      <c r="REK78" s="451"/>
      <c r="REL78" s="449"/>
      <c r="REM78" s="450"/>
      <c r="REN78" s="447"/>
      <c r="REO78" s="451"/>
      <c r="REP78" s="449"/>
      <c r="REQ78" s="450"/>
      <c r="RER78" s="452"/>
      <c r="RES78" s="451"/>
      <c r="RET78" s="449"/>
      <c r="REU78" s="450"/>
      <c r="REV78" s="447"/>
      <c r="REW78" s="448"/>
      <c r="REX78" s="453"/>
      <c r="REY78" s="449"/>
      <c r="REZ78" s="450"/>
      <c r="RFA78" s="454"/>
      <c r="RFB78" s="448"/>
      <c r="RFD78" s="449"/>
      <c r="RFE78" s="450"/>
      <c r="RFF78" s="452"/>
      <c r="RFG78" s="448"/>
      <c r="RFI78" s="449"/>
      <c r="RFJ78" s="450"/>
      <c r="RFK78" s="447"/>
      <c r="RFL78" s="448"/>
      <c r="RFN78" s="449"/>
      <c r="RFO78" s="450"/>
      <c r="RFP78" s="452"/>
      <c r="RFQ78" s="448"/>
      <c r="RFR78" s="449"/>
      <c r="RFS78" s="450"/>
      <c r="RFT78" s="452"/>
      <c r="RFU78" s="448"/>
      <c r="RFV78" s="455"/>
      <c r="RFW78" s="449"/>
      <c r="RFX78" s="450"/>
      <c r="RFY78" s="459"/>
      <c r="RFZ78" s="448"/>
      <c r="RGA78" s="456"/>
      <c r="RGB78" s="449"/>
      <c r="RGC78" s="450"/>
      <c r="RGD78" s="452"/>
      <c r="RGE78" s="448"/>
      <c r="RGF78" s="449"/>
      <c r="RGG78" s="450"/>
      <c r="RGH78" s="452"/>
      <c r="RGI78" s="448"/>
      <c r="RGJ78" s="449"/>
      <c r="RGK78" s="450"/>
      <c r="RGL78" s="447"/>
      <c r="RGM78" s="448"/>
      <c r="RGN78" s="457"/>
      <c r="RGO78" s="460"/>
      <c r="RGP78" s="450"/>
      <c r="RGQ78" s="461"/>
      <c r="RGR78" s="448"/>
      <c r="RGS78" s="456"/>
      <c r="RGT78" s="449"/>
      <c r="RGU78" s="450"/>
      <c r="RGV78" s="452"/>
      <c r="RGW78" s="448"/>
      <c r="RGX78" s="456"/>
      <c r="RGY78" s="458"/>
      <c r="RGZ78" s="458"/>
      <c r="RHB78" s="454"/>
      <c r="RHC78" s="450"/>
      <c r="RHD78" s="454"/>
      <c r="RHE78" s="448"/>
      <c r="RHF78" s="449"/>
      <c r="RHG78" s="450"/>
      <c r="RHH78" s="447"/>
      <c r="RHI78" s="448"/>
      <c r="RHJ78" s="449"/>
      <c r="RHK78" s="450"/>
      <c r="RHL78" s="447"/>
      <c r="RHM78" s="451"/>
      <c r="RHN78" s="449"/>
      <c r="RHO78" s="450"/>
      <c r="RHP78" s="447"/>
      <c r="RHQ78" s="451"/>
      <c r="RHR78" s="449"/>
      <c r="RHS78" s="450"/>
      <c r="RHT78" s="447"/>
      <c r="RHU78" s="451"/>
      <c r="RHV78" s="449"/>
      <c r="RHW78" s="450"/>
      <c r="RHX78" s="452"/>
      <c r="RHY78" s="451"/>
      <c r="RHZ78" s="449"/>
      <c r="RIA78" s="450"/>
      <c r="RIB78" s="447"/>
      <c r="RIC78" s="448"/>
      <c r="RID78" s="453"/>
      <c r="RIE78" s="449"/>
      <c r="RIF78" s="450"/>
      <c r="RIG78" s="454"/>
      <c r="RIH78" s="448"/>
      <c r="RIJ78" s="449"/>
      <c r="RIK78" s="450"/>
      <c r="RIL78" s="452"/>
      <c r="RIM78" s="448"/>
      <c r="RIO78" s="449"/>
      <c r="RIP78" s="450"/>
      <c r="RIQ78" s="447"/>
      <c r="RIR78" s="448"/>
      <c r="RIT78" s="449"/>
      <c r="RIU78" s="450"/>
      <c r="RIV78" s="452"/>
      <c r="RIW78" s="448"/>
      <c r="RIX78" s="449"/>
      <c r="RIY78" s="450"/>
      <c r="RIZ78" s="452"/>
      <c r="RJA78" s="448"/>
      <c r="RJB78" s="455"/>
      <c r="RJC78" s="449"/>
      <c r="RJD78" s="450"/>
      <c r="RJE78" s="459"/>
      <c r="RJF78" s="448"/>
      <c r="RJG78" s="456"/>
      <c r="RJH78" s="449"/>
      <c r="RJI78" s="450"/>
      <c r="RJJ78" s="452"/>
      <c r="RJK78" s="448"/>
      <c r="RJL78" s="449"/>
      <c r="RJM78" s="450"/>
      <c r="RJN78" s="452"/>
      <c r="RJO78" s="448"/>
      <c r="RJP78" s="449"/>
      <c r="RJQ78" s="450"/>
      <c r="RJR78" s="447"/>
      <c r="RJS78" s="448"/>
      <c r="RJT78" s="457"/>
      <c r="RJU78" s="460"/>
      <c r="RJV78" s="450"/>
      <c r="RJW78" s="461"/>
      <c r="RJX78" s="448"/>
      <c r="RJY78" s="456"/>
      <c r="RJZ78" s="449"/>
      <c r="RKA78" s="450"/>
      <c r="RKB78" s="452"/>
      <c r="RKC78" s="448"/>
      <c r="RKD78" s="456"/>
      <c r="RKE78" s="458"/>
      <c r="RKF78" s="458"/>
      <c r="RKH78" s="454"/>
      <c r="RKI78" s="450"/>
      <c r="RKJ78" s="454"/>
      <c r="RKK78" s="448"/>
      <c r="RKL78" s="449"/>
      <c r="RKM78" s="450"/>
      <c r="RKN78" s="447"/>
      <c r="RKO78" s="448"/>
      <c r="RKP78" s="449"/>
      <c r="RKQ78" s="450"/>
      <c r="RKR78" s="447"/>
      <c r="RKS78" s="451"/>
      <c r="RKT78" s="449"/>
      <c r="RKU78" s="450"/>
      <c r="RKV78" s="447"/>
      <c r="RKW78" s="451"/>
      <c r="RKX78" s="449"/>
      <c r="RKY78" s="450"/>
      <c r="RKZ78" s="447"/>
      <c r="RLA78" s="451"/>
      <c r="RLB78" s="449"/>
      <c r="RLC78" s="450"/>
      <c r="RLD78" s="452"/>
      <c r="RLE78" s="451"/>
      <c r="RLF78" s="449"/>
      <c r="RLG78" s="450"/>
      <c r="RLH78" s="447"/>
      <c r="RLI78" s="448"/>
      <c r="RLJ78" s="453"/>
      <c r="RLK78" s="449"/>
      <c r="RLL78" s="450"/>
      <c r="RLM78" s="454"/>
      <c r="RLN78" s="448"/>
      <c r="RLP78" s="449"/>
      <c r="RLQ78" s="450"/>
      <c r="RLR78" s="452"/>
      <c r="RLS78" s="448"/>
      <c r="RLU78" s="449"/>
      <c r="RLV78" s="450"/>
      <c r="RLW78" s="447"/>
      <c r="RLX78" s="448"/>
      <c r="RLZ78" s="449"/>
      <c r="RMA78" s="450"/>
      <c r="RMB78" s="452"/>
      <c r="RMC78" s="448"/>
      <c r="RMD78" s="449"/>
      <c r="RME78" s="450"/>
      <c r="RMF78" s="452"/>
      <c r="RMG78" s="448"/>
      <c r="RMH78" s="455"/>
      <c r="RMI78" s="449"/>
      <c r="RMJ78" s="450"/>
      <c r="RMK78" s="459"/>
      <c r="RML78" s="448"/>
      <c r="RMM78" s="456"/>
      <c r="RMN78" s="449"/>
      <c r="RMO78" s="450"/>
      <c r="RMP78" s="452"/>
      <c r="RMQ78" s="448"/>
      <c r="RMR78" s="449"/>
      <c r="RMS78" s="450"/>
      <c r="RMT78" s="452"/>
      <c r="RMU78" s="448"/>
      <c r="RMV78" s="449"/>
      <c r="RMW78" s="450"/>
      <c r="RMX78" s="447"/>
      <c r="RMY78" s="448"/>
      <c r="RMZ78" s="457"/>
      <c r="RNA78" s="460"/>
      <c r="RNB78" s="450"/>
      <c r="RNC78" s="461"/>
      <c r="RND78" s="448"/>
      <c r="RNE78" s="456"/>
      <c r="RNF78" s="449"/>
      <c r="RNG78" s="450"/>
      <c r="RNH78" s="452"/>
      <c r="RNI78" s="448"/>
      <c r="RNJ78" s="456"/>
      <c r="RNK78" s="458"/>
      <c r="RNL78" s="458"/>
      <c r="RNN78" s="454"/>
      <c r="RNO78" s="450"/>
      <c r="RNP78" s="454"/>
      <c r="RNQ78" s="448"/>
      <c r="RNR78" s="449"/>
      <c r="RNS78" s="450"/>
      <c r="RNT78" s="447"/>
      <c r="RNU78" s="448"/>
      <c r="RNV78" s="449"/>
      <c r="RNW78" s="450"/>
      <c r="RNX78" s="447"/>
      <c r="RNY78" s="451"/>
      <c r="RNZ78" s="449"/>
      <c r="ROA78" s="450"/>
      <c r="ROB78" s="447"/>
      <c r="ROC78" s="451"/>
      <c r="ROD78" s="449"/>
      <c r="ROE78" s="450"/>
      <c r="ROF78" s="447"/>
      <c r="ROG78" s="451"/>
      <c r="ROH78" s="449"/>
      <c r="ROI78" s="450"/>
      <c r="ROJ78" s="452"/>
      <c r="ROK78" s="451"/>
      <c r="ROL78" s="449"/>
      <c r="ROM78" s="450"/>
      <c r="RON78" s="447"/>
      <c r="ROO78" s="448"/>
      <c r="ROP78" s="453"/>
      <c r="ROQ78" s="449"/>
      <c r="ROR78" s="450"/>
      <c r="ROS78" s="454"/>
      <c r="ROT78" s="448"/>
      <c r="ROV78" s="449"/>
      <c r="ROW78" s="450"/>
      <c r="ROX78" s="452"/>
      <c r="ROY78" s="448"/>
      <c r="RPA78" s="449"/>
      <c r="RPB78" s="450"/>
      <c r="RPC78" s="447"/>
      <c r="RPD78" s="448"/>
      <c r="RPF78" s="449"/>
      <c r="RPG78" s="450"/>
      <c r="RPH78" s="452"/>
      <c r="RPI78" s="448"/>
      <c r="RPJ78" s="449"/>
      <c r="RPK78" s="450"/>
      <c r="RPL78" s="452"/>
      <c r="RPM78" s="448"/>
      <c r="RPN78" s="455"/>
      <c r="RPO78" s="449"/>
      <c r="RPP78" s="450"/>
      <c r="RPQ78" s="459"/>
      <c r="RPR78" s="448"/>
      <c r="RPS78" s="456"/>
      <c r="RPT78" s="449"/>
      <c r="RPU78" s="450"/>
      <c r="RPV78" s="452"/>
      <c r="RPW78" s="448"/>
      <c r="RPX78" s="449"/>
      <c r="RPY78" s="450"/>
      <c r="RPZ78" s="452"/>
      <c r="RQA78" s="448"/>
      <c r="RQB78" s="449"/>
      <c r="RQC78" s="450"/>
      <c r="RQD78" s="447"/>
      <c r="RQE78" s="448"/>
      <c r="RQF78" s="457"/>
      <c r="RQG78" s="460"/>
      <c r="RQH78" s="450"/>
      <c r="RQI78" s="461"/>
      <c r="RQJ78" s="448"/>
      <c r="RQK78" s="456"/>
      <c r="RQL78" s="449"/>
      <c r="RQM78" s="450"/>
      <c r="RQN78" s="452"/>
      <c r="RQO78" s="448"/>
      <c r="RQP78" s="456"/>
      <c r="RQQ78" s="458"/>
      <c r="RQR78" s="458"/>
      <c r="RQT78" s="454"/>
      <c r="RQU78" s="450"/>
      <c r="RQV78" s="454"/>
      <c r="RQW78" s="448"/>
      <c r="RQX78" s="449"/>
      <c r="RQY78" s="450"/>
      <c r="RQZ78" s="447"/>
      <c r="RRA78" s="448"/>
      <c r="RRB78" s="449"/>
      <c r="RRC78" s="450"/>
      <c r="RRD78" s="447"/>
      <c r="RRE78" s="451"/>
      <c r="RRF78" s="449"/>
      <c r="RRG78" s="450"/>
      <c r="RRH78" s="447"/>
      <c r="RRI78" s="451"/>
      <c r="RRJ78" s="449"/>
      <c r="RRK78" s="450"/>
      <c r="RRL78" s="447"/>
      <c r="RRM78" s="451"/>
      <c r="RRN78" s="449"/>
      <c r="RRO78" s="450"/>
      <c r="RRP78" s="452"/>
      <c r="RRQ78" s="451"/>
      <c r="RRR78" s="449"/>
      <c r="RRS78" s="450"/>
      <c r="RRT78" s="447"/>
      <c r="RRU78" s="448"/>
      <c r="RRV78" s="453"/>
      <c r="RRW78" s="449"/>
      <c r="RRX78" s="450"/>
      <c r="RRY78" s="454"/>
      <c r="RRZ78" s="448"/>
      <c r="RSB78" s="449"/>
      <c r="RSC78" s="450"/>
      <c r="RSD78" s="452"/>
      <c r="RSE78" s="448"/>
      <c r="RSG78" s="449"/>
      <c r="RSH78" s="450"/>
      <c r="RSI78" s="447"/>
      <c r="RSJ78" s="448"/>
      <c r="RSL78" s="449"/>
      <c r="RSM78" s="450"/>
      <c r="RSN78" s="452"/>
      <c r="RSO78" s="448"/>
      <c r="RSP78" s="449"/>
      <c r="RSQ78" s="450"/>
      <c r="RSR78" s="452"/>
      <c r="RSS78" s="448"/>
      <c r="RST78" s="455"/>
      <c r="RSU78" s="449"/>
      <c r="RSV78" s="450"/>
      <c r="RSW78" s="459"/>
      <c r="RSX78" s="448"/>
      <c r="RSY78" s="456"/>
      <c r="RSZ78" s="449"/>
      <c r="RTA78" s="450"/>
      <c r="RTB78" s="452"/>
      <c r="RTC78" s="448"/>
      <c r="RTD78" s="449"/>
      <c r="RTE78" s="450"/>
      <c r="RTF78" s="452"/>
      <c r="RTG78" s="448"/>
      <c r="RTH78" s="449"/>
      <c r="RTI78" s="450"/>
      <c r="RTJ78" s="447"/>
      <c r="RTK78" s="448"/>
      <c r="RTL78" s="457"/>
      <c r="RTM78" s="460"/>
      <c r="RTN78" s="450"/>
      <c r="RTO78" s="461"/>
      <c r="RTP78" s="448"/>
      <c r="RTQ78" s="456"/>
      <c r="RTR78" s="449"/>
      <c r="RTS78" s="450"/>
      <c r="RTT78" s="452"/>
      <c r="RTU78" s="448"/>
      <c r="RTV78" s="456"/>
      <c r="RTW78" s="458"/>
      <c r="RTX78" s="458"/>
      <c r="RTZ78" s="454"/>
      <c r="RUA78" s="450"/>
      <c r="RUB78" s="454"/>
      <c r="RUC78" s="448"/>
      <c r="RUD78" s="449"/>
      <c r="RUE78" s="450"/>
      <c r="RUF78" s="447"/>
      <c r="RUG78" s="448"/>
      <c r="RUH78" s="449"/>
      <c r="RUI78" s="450"/>
      <c r="RUJ78" s="447"/>
      <c r="RUK78" s="451"/>
      <c r="RUL78" s="449"/>
      <c r="RUM78" s="450"/>
      <c r="RUN78" s="447"/>
      <c r="RUO78" s="451"/>
      <c r="RUP78" s="449"/>
      <c r="RUQ78" s="450"/>
      <c r="RUR78" s="447"/>
      <c r="RUS78" s="451"/>
      <c r="RUT78" s="449"/>
      <c r="RUU78" s="450"/>
      <c r="RUV78" s="452"/>
      <c r="RUW78" s="451"/>
      <c r="RUX78" s="449"/>
      <c r="RUY78" s="450"/>
      <c r="RUZ78" s="447"/>
      <c r="RVA78" s="448"/>
      <c r="RVB78" s="453"/>
      <c r="RVC78" s="449"/>
      <c r="RVD78" s="450"/>
      <c r="RVE78" s="454"/>
      <c r="RVF78" s="448"/>
      <c r="RVH78" s="449"/>
      <c r="RVI78" s="450"/>
      <c r="RVJ78" s="452"/>
      <c r="RVK78" s="448"/>
      <c r="RVM78" s="449"/>
      <c r="RVN78" s="450"/>
      <c r="RVO78" s="447"/>
      <c r="RVP78" s="448"/>
      <c r="RVR78" s="449"/>
      <c r="RVS78" s="450"/>
      <c r="RVT78" s="452"/>
      <c r="RVU78" s="448"/>
      <c r="RVV78" s="449"/>
      <c r="RVW78" s="450"/>
      <c r="RVX78" s="452"/>
      <c r="RVY78" s="448"/>
      <c r="RVZ78" s="455"/>
      <c r="RWA78" s="449"/>
      <c r="RWB78" s="450"/>
      <c r="RWC78" s="459"/>
      <c r="RWD78" s="448"/>
      <c r="RWE78" s="456"/>
      <c r="RWF78" s="449"/>
      <c r="RWG78" s="450"/>
      <c r="RWH78" s="452"/>
      <c r="RWI78" s="448"/>
      <c r="RWJ78" s="449"/>
      <c r="RWK78" s="450"/>
      <c r="RWL78" s="452"/>
      <c r="RWM78" s="448"/>
      <c r="RWN78" s="449"/>
      <c r="RWO78" s="450"/>
      <c r="RWP78" s="447"/>
      <c r="RWQ78" s="448"/>
      <c r="RWR78" s="457"/>
      <c r="RWS78" s="460"/>
      <c r="RWT78" s="450"/>
      <c r="RWU78" s="461"/>
      <c r="RWV78" s="448"/>
      <c r="RWW78" s="456"/>
      <c r="RWX78" s="449"/>
      <c r="RWY78" s="450"/>
      <c r="RWZ78" s="452"/>
      <c r="RXA78" s="448"/>
      <c r="RXB78" s="456"/>
      <c r="RXC78" s="458"/>
      <c r="RXD78" s="458"/>
      <c r="RXF78" s="454"/>
      <c r="RXG78" s="450"/>
      <c r="RXH78" s="454"/>
      <c r="RXI78" s="448"/>
      <c r="RXJ78" s="449"/>
      <c r="RXK78" s="450"/>
      <c r="RXL78" s="447"/>
      <c r="RXM78" s="448"/>
      <c r="RXN78" s="449"/>
      <c r="RXO78" s="450"/>
      <c r="RXP78" s="447"/>
      <c r="RXQ78" s="451"/>
      <c r="RXR78" s="449"/>
      <c r="RXS78" s="450"/>
      <c r="RXT78" s="447"/>
      <c r="RXU78" s="451"/>
      <c r="RXV78" s="449"/>
      <c r="RXW78" s="450"/>
      <c r="RXX78" s="447"/>
      <c r="RXY78" s="451"/>
      <c r="RXZ78" s="449"/>
      <c r="RYA78" s="450"/>
      <c r="RYB78" s="452"/>
      <c r="RYC78" s="451"/>
      <c r="RYD78" s="449"/>
      <c r="RYE78" s="450"/>
      <c r="RYF78" s="447"/>
      <c r="RYG78" s="448"/>
      <c r="RYH78" s="453"/>
      <c r="RYI78" s="449"/>
      <c r="RYJ78" s="450"/>
      <c r="RYK78" s="454"/>
      <c r="RYL78" s="448"/>
      <c r="RYN78" s="449"/>
      <c r="RYO78" s="450"/>
      <c r="RYP78" s="452"/>
      <c r="RYQ78" s="448"/>
      <c r="RYS78" s="449"/>
      <c r="RYT78" s="450"/>
      <c r="RYU78" s="447"/>
      <c r="RYV78" s="448"/>
      <c r="RYX78" s="449"/>
      <c r="RYY78" s="450"/>
      <c r="RYZ78" s="452"/>
      <c r="RZA78" s="448"/>
      <c r="RZB78" s="449"/>
      <c r="RZC78" s="450"/>
      <c r="RZD78" s="452"/>
      <c r="RZE78" s="448"/>
      <c r="RZF78" s="455"/>
      <c r="RZG78" s="449"/>
      <c r="RZH78" s="450"/>
      <c r="RZI78" s="459"/>
      <c r="RZJ78" s="448"/>
      <c r="RZK78" s="456"/>
      <c r="RZL78" s="449"/>
      <c r="RZM78" s="450"/>
      <c r="RZN78" s="452"/>
      <c r="RZO78" s="448"/>
      <c r="RZP78" s="449"/>
      <c r="RZQ78" s="450"/>
      <c r="RZR78" s="452"/>
      <c r="RZS78" s="448"/>
      <c r="RZT78" s="449"/>
      <c r="RZU78" s="450"/>
      <c r="RZV78" s="447"/>
      <c r="RZW78" s="448"/>
      <c r="RZX78" s="457"/>
      <c r="RZY78" s="460"/>
      <c r="RZZ78" s="450"/>
      <c r="SAA78" s="461"/>
      <c r="SAB78" s="448"/>
      <c r="SAC78" s="456"/>
      <c r="SAD78" s="449"/>
      <c r="SAE78" s="450"/>
      <c r="SAF78" s="452"/>
      <c r="SAG78" s="448"/>
      <c r="SAH78" s="456"/>
      <c r="SAI78" s="458"/>
      <c r="SAJ78" s="458"/>
      <c r="SAL78" s="454"/>
      <c r="SAM78" s="450"/>
      <c r="SAN78" s="454"/>
      <c r="SAO78" s="448"/>
      <c r="SAP78" s="449"/>
      <c r="SAQ78" s="450"/>
      <c r="SAR78" s="447"/>
      <c r="SAS78" s="448"/>
      <c r="SAT78" s="449"/>
      <c r="SAU78" s="450"/>
      <c r="SAV78" s="447"/>
      <c r="SAW78" s="451"/>
      <c r="SAX78" s="449"/>
      <c r="SAY78" s="450"/>
      <c r="SAZ78" s="447"/>
      <c r="SBA78" s="451"/>
      <c r="SBB78" s="449"/>
      <c r="SBC78" s="450"/>
      <c r="SBD78" s="447"/>
      <c r="SBE78" s="451"/>
      <c r="SBF78" s="449"/>
      <c r="SBG78" s="450"/>
      <c r="SBH78" s="452"/>
      <c r="SBI78" s="451"/>
      <c r="SBJ78" s="449"/>
      <c r="SBK78" s="450"/>
      <c r="SBL78" s="447"/>
      <c r="SBM78" s="448"/>
      <c r="SBN78" s="453"/>
      <c r="SBO78" s="449"/>
      <c r="SBP78" s="450"/>
      <c r="SBQ78" s="454"/>
      <c r="SBR78" s="448"/>
      <c r="SBT78" s="449"/>
      <c r="SBU78" s="450"/>
      <c r="SBV78" s="452"/>
      <c r="SBW78" s="448"/>
      <c r="SBY78" s="449"/>
      <c r="SBZ78" s="450"/>
      <c r="SCA78" s="447"/>
      <c r="SCB78" s="448"/>
      <c r="SCD78" s="449"/>
      <c r="SCE78" s="450"/>
      <c r="SCF78" s="452"/>
      <c r="SCG78" s="448"/>
      <c r="SCH78" s="449"/>
      <c r="SCI78" s="450"/>
      <c r="SCJ78" s="452"/>
      <c r="SCK78" s="448"/>
      <c r="SCL78" s="455"/>
      <c r="SCM78" s="449"/>
      <c r="SCN78" s="450"/>
      <c r="SCO78" s="459"/>
      <c r="SCP78" s="448"/>
      <c r="SCQ78" s="456"/>
      <c r="SCR78" s="449"/>
      <c r="SCS78" s="450"/>
      <c r="SCT78" s="452"/>
      <c r="SCU78" s="448"/>
      <c r="SCV78" s="449"/>
      <c r="SCW78" s="450"/>
      <c r="SCX78" s="452"/>
      <c r="SCY78" s="448"/>
      <c r="SCZ78" s="449"/>
      <c r="SDA78" s="450"/>
      <c r="SDB78" s="447"/>
      <c r="SDC78" s="448"/>
      <c r="SDD78" s="457"/>
      <c r="SDE78" s="460"/>
      <c r="SDF78" s="450"/>
      <c r="SDG78" s="461"/>
      <c r="SDH78" s="448"/>
      <c r="SDI78" s="456"/>
      <c r="SDJ78" s="449"/>
      <c r="SDK78" s="450"/>
      <c r="SDL78" s="452"/>
      <c r="SDM78" s="448"/>
      <c r="SDN78" s="456"/>
      <c r="SDO78" s="458"/>
      <c r="SDP78" s="458"/>
      <c r="SDR78" s="454"/>
      <c r="SDS78" s="450"/>
      <c r="SDT78" s="454"/>
      <c r="SDU78" s="448"/>
      <c r="SDV78" s="449"/>
      <c r="SDW78" s="450"/>
      <c r="SDX78" s="447"/>
      <c r="SDY78" s="448"/>
      <c r="SDZ78" s="449"/>
      <c r="SEA78" s="450"/>
      <c r="SEB78" s="447"/>
      <c r="SEC78" s="451"/>
      <c r="SED78" s="449"/>
      <c r="SEE78" s="450"/>
      <c r="SEF78" s="447"/>
      <c r="SEG78" s="451"/>
      <c r="SEH78" s="449"/>
      <c r="SEI78" s="450"/>
      <c r="SEJ78" s="447"/>
      <c r="SEK78" s="451"/>
      <c r="SEL78" s="449"/>
      <c r="SEM78" s="450"/>
      <c r="SEN78" s="452"/>
      <c r="SEO78" s="451"/>
      <c r="SEP78" s="449"/>
      <c r="SEQ78" s="450"/>
      <c r="SER78" s="447"/>
      <c r="SES78" s="448"/>
      <c r="SET78" s="453"/>
      <c r="SEU78" s="449"/>
      <c r="SEV78" s="450"/>
      <c r="SEW78" s="454"/>
      <c r="SEX78" s="448"/>
      <c r="SEZ78" s="449"/>
      <c r="SFA78" s="450"/>
      <c r="SFB78" s="452"/>
      <c r="SFC78" s="448"/>
      <c r="SFE78" s="449"/>
      <c r="SFF78" s="450"/>
      <c r="SFG78" s="447"/>
      <c r="SFH78" s="448"/>
      <c r="SFJ78" s="449"/>
      <c r="SFK78" s="450"/>
      <c r="SFL78" s="452"/>
      <c r="SFM78" s="448"/>
      <c r="SFN78" s="449"/>
      <c r="SFO78" s="450"/>
      <c r="SFP78" s="452"/>
      <c r="SFQ78" s="448"/>
      <c r="SFR78" s="455"/>
      <c r="SFS78" s="449"/>
      <c r="SFT78" s="450"/>
      <c r="SFU78" s="459"/>
      <c r="SFV78" s="448"/>
      <c r="SFW78" s="456"/>
      <c r="SFX78" s="449"/>
      <c r="SFY78" s="450"/>
      <c r="SFZ78" s="452"/>
      <c r="SGA78" s="448"/>
      <c r="SGB78" s="449"/>
      <c r="SGC78" s="450"/>
      <c r="SGD78" s="452"/>
      <c r="SGE78" s="448"/>
      <c r="SGF78" s="449"/>
      <c r="SGG78" s="450"/>
      <c r="SGH78" s="447"/>
      <c r="SGI78" s="448"/>
      <c r="SGJ78" s="457"/>
      <c r="SGK78" s="460"/>
      <c r="SGL78" s="450"/>
      <c r="SGM78" s="461"/>
      <c r="SGN78" s="448"/>
      <c r="SGO78" s="456"/>
      <c r="SGP78" s="449"/>
      <c r="SGQ78" s="450"/>
      <c r="SGR78" s="452"/>
      <c r="SGS78" s="448"/>
      <c r="SGT78" s="456"/>
      <c r="SGU78" s="458"/>
      <c r="SGV78" s="458"/>
      <c r="SGX78" s="454"/>
      <c r="SGY78" s="450"/>
      <c r="SGZ78" s="454"/>
      <c r="SHA78" s="448"/>
      <c r="SHB78" s="449"/>
      <c r="SHC78" s="450"/>
      <c r="SHD78" s="447"/>
      <c r="SHE78" s="448"/>
      <c r="SHF78" s="449"/>
      <c r="SHG78" s="450"/>
      <c r="SHH78" s="447"/>
      <c r="SHI78" s="451"/>
      <c r="SHJ78" s="449"/>
      <c r="SHK78" s="450"/>
      <c r="SHL78" s="447"/>
      <c r="SHM78" s="451"/>
      <c r="SHN78" s="449"/>
      <c r="SHO78" s="450"/>
      <c r="SHP78" s="447"/>
      <c r="SHQ78" s="451"/>
      <c r="SHR78" s="449"/>
      <c r="SHS78" s="450"/>
      <c r="SHT78" s="452"/>
      <c r="SHU78" s="451"/>
      <c r="SHV78" s="449"/>
      <c r="SHW78" s="450"/>
      <c r="SHX78" s="447"/>
      <c r="SHY78" s="448"/>
      <c r="SHZ78" s="453"/>
      <c r="SIA78" s="449"/>
      <c r="SIB78" s="450"/>
      <c r="SIC78" s="454"/>
      <c r="SID78" s="448"/>
      <c r="SIF78" s="449"/>
      <c r="SIG78" s="450"/>
      <c r="SIH78" s="452"/>
      <c r="SII78" s="448"/>
      <c r="SIK78" s="449"/>
      <c r="SIL78" s="450"/>
      <c r="SIM78" s="447"/>
      <c r="SIN78" s="448"/>
      <c r="SIP78" s="449"/>
      <c r="SIQ78" s="450"/>
      <c r="SIR78" s="452"/>
      <c r="SIS78" s="448"/>
      <c r="SIT78" s="449"/>
      <c r="SIU78" s="450"/>
      <c r="SIV78" s="452"/>
      <c r="SIW78" s="448"/>
      <c r="SIX78" s="455"/>
      <c r="SIY78" s="449"/>
      <c r="SIZ78" s="450"/>
      <c r="SJA78" s="459"/>
      <c r="SJB78" s="448"/>
      <c r="SJC78" s="456"/>
      <c r="SJD78" s="449"/>
      <c r="SJE78" s="450"/>
      <c r="SJF78" s="452"/>
      <c r="SJG78" s="448"/>
      <c r="SJH78" s="449"/>
      <c r="SJI78" s="450"/>
      <c r="SJJ78" s="452"/>
      <c r="SJK78" s="448"/>
      <c r="SJL78" s="449"/>
      <c r="SJM78" s="450"/>
      <c r="SJN78" s="447"/>
      <c r="SJO78" s="448"/>
      <c r="SJP78" s="457"/>
      <c r="SJQ78" s="460"/>
      <c r="SJR78" s="450"/>
      <c r="SJS78" s="461"/>
      <c r="SJT78" s="448"/>
      <c r="SJU78" s="456"/>
      <c r="SJV78" s="449"/>
      <c r="SJW78" s="450"/>
      <c r="SJX78" s="452"/>
      <c r="SJY78" s="448"/>
      <c r="SJZ78" s="456"/>
      <c r="SKA78" s="458"/>
      <c r="SKB78" s="458"/>
      <c r="SKD78" s="454"/>
      <c r="SKE78" s="450"/>
      <c r="SKF78" s="454"/>
      <c r="SKG78" s="448"/>
      <c r="SKH78" s="449"/>
      <c r="SKI78" s="450"/>
      <c r="SKJ78" s="447"/>
      <c r="SKK78" s="448"/>
      <c r="SKL78" s="449"/>
      <c r="SKM78" s="450"/>
      <c r="SKN78" s="447"/>
      <c r="SKO78" s="451"/>
      <c r="SKP78" s="449"/>
      <c r="SKQ78" s="450"/>
      <c r="SKR78" s="447"/>
      <c r="SKS78" s="451"/>
      <c r="SKT78" s="449"/>
      <c r="SKU78" s="450"/>
      <c r="SKV78" s="447"/>
      <c r="SKW78" s="451"/>
      <c r="SKX78" s="449"/>
      <c r="SKY78" s="450"/>
      <c r="SKZ78" s="452"/>
      <c r="SLA78" s="451"/>
      <c r="SLB78" s="449"/>
      <c r="SLC78" s="450"/>
      <c r="SLD78" s="447"/>
      <c r="SLE78" s="448"/>
      <c r="SLF78" s="453"/>
      <c r="SLG78" s="449"/>
      <c r="SLH78" s="450"/>
      <c r="SLI78" s="454"/>
      <c r="SLJ78" s="448"/>
      <c r="SLL78" s="449"/>
      <c r="SLM78" s="450"/>
      <c r="SLN78" s="452"/>
      <c r="SLO78" s="448"/>
      <c r="SLQ78" s="449"/>
      <c r="SLR78" s="450"/>
      <c r="SLS78" s="447"/>
      <c r="SLT78" s="448"/>
      <c r="SLV78" s="449"/>
      <c r="SLW78" s="450"/>
      <c r="SLX78" s="452"/>
      <c r="SLY78" s="448"/>
      <c r="SLZ78" s="449"/>
      <c r="SMA78" s="450"/>
      <c r="SMB78" s="452"/>
      <c r="SMC78" s="448"/>
      <c r="SMD78" s="455"/>
      <c r="SME78" s="449"/>
      <c r="SMF78" s="450"/>
      <c r="SMG78" s="459"/>
      <c r="SMH78" s="448"/>
      <c r="SMI78" s="456"/>
      <c r="SMJ78" s="449"/>
      <c r="SMK78" s="450"/>
      <c r="SML78" s="452"/>
      <c r="SMM78" s="448"/>
      <c r="SMN78" s="449"/>
      <c r="SMO78" s="450"/>
      <c r="SMP78" s="452"/>
      <c r="SMQ78" s="448"/>
      <c r="SMR78" s="449"/>
      <c r="SMS78" s="450"/>
      <c r="SMT78" s="447"/>
      <c r="SMU78" s="448"/>
      <c r="SMV78" s="457"/>
      <c r="SMW78" s="460"/>
      <c r="SMX78" s="450"/>
      <c r="SMY78" s="461"/>
      <c r="SMZ78" s="448"/>
      <c r="SNA78" s="456"/>
      <c r="SNB78" s="449"/>
      <c r="SNC78" s="450"/>
      <c r="SND78" s="452"/>
      <c r="SNE78" s="448"/>
      <c r="SNF78" s="456"/>
      <c r="SNG78" s="458"/>
      <c r="SNH78" s="458"/>
      <c r="SNJ78" s="454"/>
      <c r="SNK78" s="450"/>
      <c r="SNL78" s="454"/>
      <c r="SNM78" s="448"/>
      <c r="SNN78" s="449"/>
      <c r="SNO78" s="450"/>
      <c r="SNP78" s="447"/>
      <c r="SNQ78" s="448"/>
      <c r="SNR78" s="449"/>
      <c r="SNS78" s="450"/>
      <c r="SNT78" s="447"/>
      <c r="SNU78" s="451"/>
      <c r="SNV78" s="449"/>
      <c r="SNW78" s="450"/>
      <c r="SNX78" s="447"/>
      <c r="SNY78" s="451"/>
      <c r="SNZ78" s="449"/>
      <c r="SOA78" s="450"/>
      <c r="SOB78" s="447"/>
      <c r="SOC78" s="451"/>
      <c r="SOD78" s="449"/>
      <c r="SOE78" s="450"/>
      <c r="SOF78" s="452"/>
      <c r="SOG78" s="451"/>
      <c r="SOH78" s="449"/>
      <c r="SOI78" s="450"/>
      <c r="SOJ78" s="447"/>
      <c r="SOK78" s="448"/>
      <c r="SOL78" s="453"/>
      <c r="SOM78" s="449"/>
      <c r="SON78" s="450"/>
      <c r="SOO78" s="454"/>
      <c r="SOP78" s="448"/>
      <c r="SOR78" s="449"/>
      <c r="SOS78" s="450"/>
      <c r="SOT78" s="452"/>
      <c r="SOU78" s="448"/>
      <c r="SOW78" s="449"/>
      <c r="SOX78" s="450"/>
      <c r="SOY78" s="447"/>
      <c r="SOZ78" s="448"/>
      <c r="SPB78" s="449"/>
      <c r="SPC78" s="450"/>
      <c r="SPD78" s="452"/>
      <c r="SPE78" s="448"/>
      <c r="SPF78" s="449"/>
      <c r="SPG78" s="450"/>
      <c r="SPH78" s="452"/>
      <c r="SPI78" s="448"/>
      <c r="SPJ78" s="455"/>
      <c r="SPK78" s="449"/>
      <c r="SPL78" s="450"/>
      <c r="SPM78" s="459"/>
      <c r="SPN78" s="448"/>
      <c r="SPO78" s="456"/>
      <c r="SPP78" s="449"/>
      <c r="SPQ78" s="450"/>
      <c r="SPR78" s="452"/>
      <c r="SPS78" s="448"/>
      <c r="SPT78" s="449"/>
      <c r="SPU78" s="450"/>
      <c r="SPV78" s="452"/>
      <c r="SPW78" s="448"/>
      <c r="SPX78" s="449"/>
      <c r="SPY78" s="450"/>
      <c r="SPZ78" s="447"/>
      <c r="SQA78" s="448"/>
      <c r="SQB78" s="457"/>
      <c r="SQC78" s="460"/>
      <c r="SQD78" s="450"/>
      <c r="SQE78" s="461"/>
      <c r="SQF78" s="448"/>
      <c r="SQG78" s="456"/>
      <c r="SQH78" s="449"/>
      <c r="SQI78" s="450"/>
      <c r="SQJ78" s="452"/>
      <c r="SQK78" s="448"/>
      <c r="SQL78" s="456"/>
      <c r="SQM78" s="458"/>
      <c r="SQN78" s="458"/>
      <c r="SQP78" s="454"/>
      <c r="SQQ78" s="450"/>
      <c r="SQR78" s="454"/>
      <c r="SQS78" s="448"/>
      <c r="SQT78" s="449"/>
      <c r="SQU78" s="450"/>
      <c r="SQV78" s="447"/>
      <c r="SQW78" s="448"/>
      <c r="SQX78" s="449"/>
      <c r="SQY78" s="450"/>
      <c r="SQZ78" s="447"/>
      <c r="SRA78" s="451"/>
      <c r="SRB78" s="449"/>
      <c r="SRC78" s="450"/>
      <c r="SRD78" s="447"/>
      <c r="SRE78" s="451"/>
      <c r="SRF78" s="449"/>
      <c r="SRG78" s="450"/>
      <c r="SRH78" s="447"/>
      <c r="SRI78" s="451"/>
      <c r="SRJ78" s="449"/>
      <c r="SRK78" s="450"/>
      <c r="SRL78" s="452"/>
      <c r="SRM78" s="451"/>
      <c r="SRN78" s="449"/>
      <c r="SRO78" s="450"/>
      <c r="SRP78" s="447"/>
      <c r="SRQ78" s="448"/>
      <c r="SRR78" s="453"/>
      <c r="SRS78" s="449"/>
      <c r="SRT78" s="450"/>
      <c r="SRU78" s="454"/>
      <c r="SRV78" s="448"/>
      <c r="SRX78" s="449"/>
      <c r="SRY78" s="450"/>
      <c r="SRZ78" s="452"/>
      <c r="SSA78" s="448"/>
      <c r="SSC78" s="449"/>
      <c r="SSD78" s="450"/>
      <c r="SSE78" s="447"/>
      <c r="SSF78" s="448"/>
      <c r="SSH78" s="449"/>
      <c r="SSI78" s="450"/>
      <c r="SSJ78" s="452"/>
      <c r="SSK78" s="448"/>
      <c r="SSL78" s="449"/>
      <c r="SSM78" s="450"/>
      <c r="SSN78" s="452"/>
      <c r="SSO78" s="448"/>
      <c r="SSP78" s="455"/>
      <c r="SSQ78" s="449"/>
      <c r="SSR78" s="450"/>
      <c r="SSS78" s="459"/>
      <c r="SST78" s="448"/>
      <c r="SSU78" s="456"/>
      <c r="SSV78" s="449"/>
      <c r="SSW78" s="450"/>
      <c r="SSX78" s="452"/>
      <c r="SSY78" s="448"/>
      <c r="SSZ78" s="449"/>
      <c r="STA78" s="450"/>
      <c r="STB78" s="452"/>
      <c r="STC78" s="448"/>
      <c r="STD78" s="449"/>
      <c r="STE78" s="450"/>
      <c r="STF78" s="447"/>
      <c r="STG78" s="448"/>
      <c r="STH78" s="457"/>
      <c r="STI78" s="460"/>
      <c r="STJ78" s="450"/>
      <c r="STK78" s="461"/>
      <c r="STL78" s="448"/>
      <c r="STM78" s="456"/>
      <c r="STN78" s="449"/>
      <c r="STO78" s="450"/>
      <c r="STP78" s="452"/>
      <c r="STQ78" s="448"/>
      <c r="STR78" s="456"/>
      <c r="STS78" s="458"/>
      <c r="STT78" s="458"/>
      <c r="STV78" s="454"/>
      <c r="STW78" s="450"/>
      <c r="STX78" s="454"/>
      <c r="STY78" s="448"/>
      <c r="STZ78" s="449"/>
      <c r="SUA78" s="450"/>
      <c r="SUB78" s="447"/>
      <c r="SUC78" s="448"/>
      <c r="SUD78" s="449"/>
      <c r="SUE78" s="450"/>
      <c r="SUF78" s="447"/>
      <c r="SUG78" s="451"/>
      <c r="SUH78" s="449"/>
      <c r="SUI78" s="450"/>
      <c r="SUJ78" s="447"/>
      <c r="SUK78" s="451"/>
      <c r="SUL78" s="449"/>
      <c r="SUM78" s="450"/>
      <c r="SUN78" s="447"/>
      <c r="SUO78" s="451"/>
      <c r="SUP78" s="449"/>
      <c r="SUQ78" s="450"/>
      <c r="SUR78" s="452"/>
      <c r="SUS78" s="451"/>
      <c r="SUT78" s="449"/>
      <c r="SUU78" s="450"/>
      <c r="SUV78" s="447"/>
      <c r="SUW78" s="448"/>
      <c r="SUX78" s="453"/>
      <c r="SUY78" s="449"/>
      <c r="SUZ78" s="450"/>
      <c r="SVA78" s="454"/>
      <c r="SVB78" s="448"/>
      <c r="SVD78" s="449"/>
      <c r="SVE78" s="450"/>
      <c r="SVF78" s="452"/>
      <c r="SVG78" s="448"/>
      <c r="SVI78" s="449"/>
      <c r="SVJ78" s="450"/>
      <c r="SVK78" s="447"/>
      <c r="SVL78" s="448"/>
      <c r="SVN78" s="449"/>
      <c r="SVO78" s="450"/>
      <c r="SVP78" s="452"/>
      <c r="SVQ78" s="448"/>
      <c r="SVR78" s="449"/>
      <c r="SVS78" s="450"/>
      <c r="SVT78" s="452"/>
      <c r="SVU78" s="448"/>
      <c r="SVV78" s="455"/>
      <c r="SVW78" s="449"/>
      <c r="SVX78" s="450"/>
      <c r="SVY78" s="459"/>
      <c r="SVZ78" s="448"/>
      <c r="SWA78" s="456"/>
      <c r="SWB78" s="449"/>
      <c r="SWC78" s="450"/>
      <c r="SWD78" s="452"/>
      <c r="SWE78" s="448"/>
      <c r="SWF78" s="449"/>
      <c r="SWG78" s="450"/>
      <c r="SWH78" s="452"/>
      <c r="SWI78" s="448"/>
      <c r="SWJ78" s="449"/>
      <c r="SWK78" s="450"/>
      <c r="SWL78" s="447"/>
      <c r="SWM78" s="448"/>
      <c r="SWN78" s="457"/>
      <c r="SWO78" s="460"/>
      <c r="SWP78" s="450"/>
      <c r="SWQ78" s="461"/>
      <c r="SWR78" s="448"/>
      <c r="SWS78" s="456"/>
      <c r="SWT78" s="449"/>
      <c r="SWU78" s="450"/>
      <c r="SWV78" s="452"/>
      <c r="SWW78" s="448"/>
      <c r="SWX78" s="456"/>
      <c r="SWY78" s="458"/>
      <c r="SWZ78" s="458"/>
      <c r="SXB78" s="454"/>
      <c r="SXC78" s="450"/>
      <c r="SXD78" s="454"/>
      <c r="SXE78" s="448"/>
      <c r="SXF78" s="449"/>
      <c r="SXG78" s="450"/>
      <c r="SXH78" s="447"/>
      <c r="SXI78" s="448"/>
      <c r="SXJ78" s="449"/>
      <c r="SXK78" s="450"/>
      <c r="SXL78" s="447"/>
      <c r="SXM78" s="451"/>
      <c r="SXN78" s="449"/>
      <c r="SXO78" s="450"/>
      <c r="SXP78" s="447"/>
      <c r="SXQ78" s="451"/>
      <c r="SXR78" s="449"/>
      <c r="SXS78" s="450"/>
      <c r="SXT78" s="447"/>
      <c r="SXU78" s="451"/>
      <c r="SXV78" s="449"/>
      <c r="SXW78" s="450"/>
      <c r="SXX78" s="452"/>
      <c r="SXY78" s="451"/>
      <c r="SXZ78" s="449"/>
      <c r="SYA78" s="450"/>
      <c r="SYB78" s="447"/>
      <c r="SYC78" s="448"/>
      <c r="SYD78" s="453"/>
      <c r="SYE78" s="449"/>
      <c r="SYF78" s="450"/>
      <c r="SYG78" s="454"/>
      <c r="SYH78" s="448"/>
      <c r="SYJ78" s="449"/>
      <c r="SYK78" s="450"/>
      <c r="SYL78" s="452"/>
      <c r="SYM78" s="448"/>
      <c r="SYO78" s="449"/>
      <c r="SYP78" s="450"/>
      <c r="SYQ78" s="447"/>
      <c r="SYR78" s="448"/>
      <c r="SYT78" s="449"/>
      <c r="SYU78" s="450"/>
      <c r="SYV78" s="452"/>
      <c r="SYW78" s="448"/>
      <c r="SYX78" s="449"/>
      <c r="SYY78" s="450"/>
      <c r="SYZ78" s="452"/>
      <c r="SZA78" s="448"/>
      <c r="SZB78" s="455"/>
      <c r="SZC78" s="449"/>
      <c r="SZD78" s="450"/>
      <c r="SZE78" s="459"/>
      <c r="SZF78" s="448"/>
      <c r="SZG78" s="456"/>
      <c r="SZH78" s="449"/>
      <c r="SZI78" s="450"/>
      <c r="SZJ78" s="452"/>
      <c r="SZK78" s="448"/>
      <c r="SZL78" s="449"/>
      <c r="SZM78" s="450"/>
      <c r="SZN78" s="452"/>
      <c r="SZO78" s="448"/>
      <c r="SZP78" s="449"/>
      <c r="SZQ78" s="450"/>
      <c r="SZR78" s="447"/>
      <c r="SZS78" s="448"/>
      <c r="SZT78" s="457"/>
      <c r="SZU78" s="460"/>
      <c r="SZV78" s="450"/>
      <c r="SZW78" s="461"/>
      <c r="SZX78" s="448"/>
      <c r="SZY78" s="456"/>
      <c r="SZZ78" s="449"/>
      <c r="TAA78" s="450"/>
      <c r="TAB78" s="452"/>
      <c r="TAC78" s="448"/>
      <c r="TAD78" s="456"/>
      <c r="TAE78" s="458"/>
      <c r="TAF78" s="458"/>
      <c r="TAH78" s="454"/>
      <c r="TAI78" s="450"/>
      <c r="TAJ78" s="454"/>
      <c r="TAK78" s="448"/>
      <c r="TAL78" s="449"/>
      <c r="TAM78" s="450"/>
      <c r="TAN78" s="447"/>
      <c r="TAO78" s="448"/>
      <c r="TAP78" s="449"/>
      <c r="TAQ78" s="450"/>
      <c r="TAR78" s="447"/>
      <c r="TAS78" s="451"/>
      <c r="TAT78" s="449"/>
      <c r="TAU78" s="450"/>
      <c r="TAV78" s="447"/>
      <c r="TAW78" s="451"/>
      <c r="TAX78" s="449"/>
      <c r="TAY78" s="450"/>
      <c r="TAZ78" s="447"/>
      <c r="TBA78" s="451"/>
      <c r="TBB78" s="449"/>
      <c r="TBC78" s="450"/>
      <c r="TBD78" s="452"/>
      <c r="TBE78" s="451"/>
      <c r="TBF78" s="449"/>
      <c r="TBG78" s="450"/>
      <c r="TBH78" s="447"/>
      <c r="TBI78" s="448"/>
      <c r="TBJ78" s="453"/>
      <c r="TBK78" s="449"/>
      <c r="TBL78" s="450"/>
      <c r="TBM78" s="454"/>
      <c r="TBN78" s="448"/>
      <c r="TBP78" s="449"/>
      <c r="TBQ78" s="450"/>
      <c r="TBR78" s="452"/>
      <c r="TBS78" s="448"/>
      <c r="TBU78" s="449"/>
      <c r="TBV78" s="450"/>
      <c r="TBW78" s="447"/>
      <c r="TBX78" s="448"/>
      <c r="TBZ78" s="449"/>
      <c r="TCA78" s="450"/>
      <c r="TCB78" s="452"/>
      <c r="TCC78" s="448"/>
      <c r="TCD78" s="449"/>
      <c r="TCE78" s="450"/>
      <c r="TCF78" s="452"/>
      <c r="TCG78" s="448"/>
      <c r="TCH78" s="455"/>
      <c r="TCI78" s="449"/>
      <c r="TCJ78" s="450"/>
      <c r="TCK78" s="459"/>
      <c r="TCL78" s="448"/>
      <c r="TCM78" s="456"/>
      <c r="TCN78" s="449"/>
      <c r="TCO78" s="450"/>
      <c r="TCP78" s="452"/>
      <c r="TCQ78" s="448"/>
      <c r="TCR78" s="449"/>
      <c r="TCS78" s="450"/>
      <c r="TCT78" s="452"/>
      <c r="TCU78" s="448"/>
      <c r="TCV78" s="449"/>
      <c r="TCW78" s="450"/>
      <c r="TCX78" s="447"/>
      <c r="TCY78" s="448"/>
      <c r="TCZ78" s="457"/>
      <c r="TDA78" s="460"/>
      <c r="TDB78" s="450"/>
      <c r="TDC78" s="461"/>
      <c r="TDD78" s="448"/>
      <c r="TDE78" s="456"/>
      <c r="TDF78" s="449"/>
      <c r="TDG78" s="450"/>
      <c r="TDH78" s="452"/>
      <c r="TDI78" s="448"/>
      <c r="TDJ78" s="456"/>
      <c r="TDK78" s="458"/>
      <c r="TDL78" s="458"/>
      <c r="TDN78" s="454"/>
      <c r="TDO78" s="450"/>
      <c r="TDP78" s="454"/>
      <c r="TDQ78" s="448"/>
      <c r="TDR78" s="449"/>
      <c r="TDS78" s="450"/>
      <c r="TDT78" s="447"/>
      <c r="TDU78" s="448"/>
      <c r="TDV78" s="449"/>
      <c r="TDW78" s="450"/>
      <c r="TDX78" s="447"/>
      <c r="TDY78" s="451"/>
      <c r="TDZ78" s="449"/>
      <c r="TEA78" s="450"/>
      <c r="TEB78" s="447"/>
      <c r="TEC78" s="451"/>
      <c r="TED78" s="449"/>
      <c r="TEE78" s="450"/>
      <c r="TEF78" s="447"/>
      <c r="TEG78" s="451"/>
      <c r="TEH78" s="449"/>
      <c r="TEI78" s="450"/>
      <c r="TEJ78" s="452"/>
      <c r="TEK78" s="451"/>
      <c r="TEL78" s="449"/>
      <c r="TEM78" s="450"/>
      <c r="TEN78" s="447"/>
      <c r="TEO78" s="448"/>
      <c r="TEP78" s="453"/>
      <c r="TEQ78" s="449"/>
      <c r="TER78" s="450"/>
      <c r="TES78" s="454"/>
      <c r="TET78" s="448"/>
      <c r="TEV78" s="449"/>
      <c r="TEW78" s="450"/>
      <c r="TEX78" s="452"/>
      <c r="TEY78" s="448"/>
      <c r="TFA78" s="449"/>
      <c r="TFB78" s="450"/>
      <c r="TFC78" s="447"/>
      <c r="TFD78" s="448"/>
      <c r="TFF78" s="449"/>
      <c r="TFG78" s="450"/>
      <c r="TFH78" s="452"/>
      <c r="TFI78" s="448"/>
      <c r="TFJ78" s="449"/>
      <c r="TFK78" s="450"/>
      <c r="TFL78" s="452"/>
      <c r="TFM78" s="448"/>
      <c r="TFN78" s="455"/>
      <c r="TFO78" s="449"/>
      <c r="TFP78" s="450"/>
      <c r="TFQ78" s="459"/>
      <c r="TFR78" s="448"/>
      <c r="TFS78" s="456"/>
      <c r="TFT78" s="449"/>
      <c r="TFU78" s="450"/>
      <c r="TFV78" s="452"/>
      <c r="TFW78" s="448"/>
      <c r="TFX78" s="449"/>
      <c r="TFY78" s="450"/>
      <c r="TFZ78" s="452"/>
      <c r="TGA78" s="448"/>
      <c r="TGB78" s="449"/>
      <c r="TGC78" s="450"/>
      <c r="TGD78" s="447"/>
      <c r="TGE78" s="448"/>
      <c r="TGF78" s="457"/>
      <c r="TGG78" s="460"/>
      <c r="TGH78" s="450"/>
      <c r="TGI78" s="461"/>
      <c r="TGJ78" s="448"/>
      <c r="TGK78" s="456"/>
      <c r="TGL78" s="449"/>
      <c r="TGM78" s="450"/>
      <c r="TGN78" s="452"/>
      <c r="TGO78" s="448"/>
      <c r="TGP78" s="456"/>
      <c r="TGQ78" s="458"/>
      <c r="TGR78" s="458"/>
      <c r="TGT78" s="454"/>
      <c r="TGU78" s="450"/>
      <c r="TGV78" s="454"/>
      <c r="TGW78" s="448"/>
      <c r="TGX78" s="449"/>
      <c r="TGY78" s="450"/>
      <c r="TGZ78" s="447"/>
      <c r="THA78" s="448"/>
      <c r="THB78" s="449"/>
      <c r="THC78" s="450"/>
      <c r="THD78" s="447"/>
      <c r="THE78" s="451"/>
      <c r="THF78" s="449"/>
      <c r="THG78" s="450"/>
      <c r="THH78" s="447"/>
      <c r="THI78" s="451"/>
      <c r="THJ78" s="449"/>
      <c r="THK78" s="450"/>
      <c r="THL78" s="447"/>
      <c r="THM78" s="451"/>
      <c r="THN78" s="449"/>
      <c r="THO78" s="450"/>
      <c r="THP78" s="452"/>
      <c r="THQ78" s="451"/>
      <c r="THR78" s="449"/>
      <c r="THS78" s="450"/>
      <c r="THT78" s="447"/>
      <c r="THU78" s="448"/>
      <c r="THV78" s="453"/>
      <c r="THW78" s="449"/>
      <c r="THX78" s="450"/>
      <c r="THY78" s="454"/>
      <c r="THZ78" s="448"/>
      <c r="TIB78" s="449"/>
      <c r="TIC78" s="450"/>
      <c r="TID78" s="452"/>
      <c r="TIE78" s="448"/>
      <c r="TIG78" s="449"/>
      <c r="TIH78" s="450"/>
      <c r="TII78" s="447"/>
      <c r="TIJ78" s="448"/>
      <c r="TIL78" s="449"/>
      <c r="TIM78" s="450"/>
      <c r="TIN78" s="452"/>
      <c r="TIO78" s="448"/>
      <c r="TIP78" s="449"/>
      <c r="TIQ78" s="450"/>
      <c r="TIR78" s="452"/>
      <c r="TIS78" s="448"/>
      <c r="TIT78" s="455"/>
      <c r="TIU78" s="449"/>
      <c r="TIV78" s="450"/>
      <c r="TIW78" s="459"/>
      <c r="TIX78" s="448"/>
      <c r="TIY78" s="456"/>
      <c r="TIZ78" s="449"/>
      <c r="TJA78" s="450"/>
      <c r="TJB78" s="452"/>
      <c r="TJC78" s="448"/>
      <c r="TJD78" s="449"/>
      <c r="TJE78" s="450"/>
      <c r="TJF78" s="452"/>
      <c r="TJG78" s="448"/>
      <c r="TJH78" s="449"/>
      <c r="TJI78" s="450"/>
      <c r="TJJ78" s="447"/>
      <c r="TJK78" s="448"/>
      <c r="TJL78" s="457"/>
      <c r="TJM78" s="460"/>
      <c r="TJN78" s="450"/>
      <c r="TJO78" s="461"/>
      <c r="TJP78" s="448"/>
      <c r="TJQ78" s="456"/>
      <c r="TJR78" s="449"/>
      <c r="TJS78" s="450"/>
      <c r="TJT78" s="452"/>
      <c r="TJU78" s="448"/>
      <c r="TJV78" s="456"/>
      <c r="TJW78" s="458"/>
      <c r="TJX78" s="458"/>
      <c r="TJZ78" s="454"/>
      <c r="TKA78" s="450"/>
      <c r="TKB78" s="454"/>
      <c r="TKC78" s="448"/>
      <c r="TKD78" s="449"/>
      <c r="TKE78" s="450"/>
      <c r="TKF78" s="447"/>
      <c r="TKG78" s="448"/>
      <c r="TKH78" s="449"/>
      <c r="TKI78" s="450"/>
      <c r="TKJ78" s="447"/>
      <c r="TKK78" s="451"/>
      <c r="TKL78" s="449"/>
      <c r="TKM78" s="450"/>
      <c r="TKN78" s="447"/>
      <c r="TKO78" s="451"/>
      <c r="TKP78" s="449"/>
      <c r="TKQ78" s="450"/>
      <c r="TKR78" s="447"/>
      <c r="TKS78" s="451"/>
      <c r="TKT78" s="449"/>
      <c r="TKU78" s="450"/>
      <c r="TKV78" s="452"/>
      <c r="TKW78" s="451"/>
      <c r="TKX78" s="449"/>
      <c r="TKY78" s="450"/>
      <c r="TKZ78" s="447"/>
      <c r="TLA78" s="448"/>
      <c r="TLB78" s="453"/>
      <c r="TLC78" s="449"/>
      <c r="TLD78" s="450"/>
      <c r="TLE78" s="454"/>
      <c r="TLF78" s="448"/>
      <c r="TLH78" s="449"/>
      <c r="TLI78" s="450"/>
      <c r="TLJ78" s="452"/>
      <c r="TLK78" s="448"/>
      <c r="TLM78" s="449"/>
      <c r="TLN78" s="450"/>
      <c r="TLO78" s="447"/>
      <c r="TLP78" s="448"/>
      <c r="TLR78" s="449"/>
      <c r="TLS78" s="450"/>
      <c r="TLT78" s="452"/>
      <c r="TLU78" s="448"/>
      <c r="TLV78" s="449"/>
      <c r="TLW78" s="450"/>
      <c r="TLX78" s="452"/>
      <c r="TLY78" s="448"/>
      <c r="TLZ78" s="455"/>
      <c r="TMA78" s="449"/>
      <c r="TMB78" s="450"/>
      <c r="TMC78" s="459"/>
      <c r="TMD78" s="448"/>
      <c r="TME78" s="456"/>
      <c r="TMF78" s="449"/>
      <c r="TMG78" s="450"/>
      <c r="TMH78" s="452"/>
      <c r="TMI78" s="448"/>
      <c r="TMJ78" s="449"/>
      <c r="TMK78" s="450"/>
      <c r="TML78" s="452"/>
      <c r="TMM78" s="448"/>
      <c r="TMN78" s="449"/>
      <c r="TMO78" s="450"/>
      <c r="TMP78" s="447"/>
      <c r="TMQ78" s="448"/>
      <c r="TMR78" s="457"/>
      <c r="TMS78" s="460"/>
      <c r="TMT78" s="450"/>
      <c r="TMU78" s="461"/>
      <c r="TMV78" s="448"/>
      <c r="TMW78" s="456"/>
      <c r="TMX78" s="449"/>
      <c r="TMY78" s="450"/>
      <c r="TMZ78" s="452"/>
      <c r="TNA78" s="448"/>
      <c r="TNB78" s="456"/>
      <c r="TNC78" s="458"/>
      <c r="TND78" s="458"/>
      <c r="TNF78" s="454"/>
      <c r="TNG78" s="450"/>
      <c r="TNH78" s="454"/>
      <c r="TNI78" s="448"/>
      <c r="TNJ78" s="449"/>
      <c r="TNK78" s="450"/>
      <c r="TNL78" s="447"/>
      <c r="TNM78" s="448"/>
      <c r="TNN78" s="449"/>
      <c r="TNO78" s="450"/>
      <c r="TNP78" s="447"/>
      <c r="TNQ78" s="451"/>
      <c r="TNR78" s="449"/>
      <c r="TNS78" s="450"/>
      <c r="TNT78" s="447"/>
      <c r="TNU78" s="451"/>
      <c r="TNV78" s="449"/>
      <c r="TNW78" s="450"/>
      <c r="TNX78" s="447"/>
      <c r="TNY78" s="451"/>
      <c r="TNZ78" s="449"/>
      <c r="TOA78" s="450"/>
      <c r="TOB78" s="452"/>
      <c r="TOC78" s="451"/>
      <c r="TOD78" s="449"/>
      <c r="TOE78" s="450"/>
      <c r="TOF78" s="447"/>
      <c r="TOG78" s="448"/>
      <c r="TOH78" s="453"/>
      <c r="TOI78" s="449"/>
      <c r="TOJ78" s="450"/>
      <c r="TOK78" s="454"/>
      <c r="TOL78" s="448"/>
      <c r="TON78" s="449"/>
      <c r="TOO78" s="450"/>
      <c r="TOP78" s="452"/>
      <c r="TOQ78" s="448"/>
      <c r="TOS78" s="449"/>
      <c r="TOT78" s="450"/>
      <c r="TOU78" s="447"/>
      <c r="TOV78" s="448"/>
      <c r="TOX78" s="449"/>
      <c r="TOY78" s="450"/>
      <c r="TOZ78" s="452"/>
      <c r="TPA78" s="448"/>
      <c r="TPB78" s="449"/>
      <c r="TPC78" s="450"/>
      <c r="TPD78" s="452"/>
      <c r="TPE78" s="448"/>
      <c r="TPF78" s="455"/>
      <c r="TPG78" s="449"/>
      <c r="TPH78" s="450"/>
      <c r="TPI78" s="459"/>
      <c r="TPJ78" s="448"/>
      <c r="TPK78" s="456"/>
      <c r="TPL78" s="449"/>
      <c r="TPM78" s="450"/>
      <c r="TPN78" s="452"/>
      <c r="TPO78" s="448"/>
      <c r="TPP78" s="449"/>
      <c r="TPQ78" s="450"/>
      <c r="TPR78" s="452"/>
      <c r="TPS78" s="448"/>
      <c r="TPT78" s="449"/>
      <c r="TPU78" s="450"/>
      <c r="TPV78" s="447"/>
      <c r="TPW78" s="448"/>
      <c r="TPX78" s="457"/>
      <c r="TPY78" s="460"/>
      <c r="TPZ78" s="450"/>
      <c r="TQA78" s="461"/>
      <c r="TQB78" s="448"/>
      <c r="TQC78" s="456"/>
      <c r="TQD78" s="449"/>
      <c r="TQE78" s="450"/>
      <c r="TQF78" s="452"/>
      <c r="TQG78" s="448"/>
      <c r="TQH78" s="456"/>
      <c r="TQI78" s="458"/>
      <c r="TQJ78" s="458"/>
      <c r="TQL78" s="454"/>
      <c r="TQM78" s="450"/>
      <c r="TQN78" s="454"/>
      <c r="TQO78" s="448"/>
      <c r="TQP78" s="449"/>
      <c r="TQQ78" s="450"/>
      <c r="TQR78" s="447"/>
      <c r="TQS78" s="448"/>
      <c r="TQT78" s="449"/>
      <c r="TQU78" s="450"/>
      <c r="TQV78" s="447"/>
      <c r="TQW78" s="451"/>
      <c r="TQX78" s="449"/>
      <c r="TQY78" s="450"/>
      <c r="TQZ78" s="447"/>
      <c r="TRA78" s="451"/>
      <c r="TRB78" s="449"/>
      <c r="TRC78" s="450"/>
      <c r="TRD78" s="447"/>
      <c r="TRE78" s="451"/>
      <c r="TRF78" s="449"/>
      <c r="TRG78" s="450"/>
      <c r="TRH78" s="452"/>
      <c r="TRI78" s="451"/>
      <c r="TRJ78" s="449"/>
      <c r="TRK78" s="450"/>
      <c r="TRL78" s="447"/>
      <c r="TRM78" s="448"/>
      <c r="TRN78" s="453"/>
      <c r="TRO78" s="449"/>
      <c r="TRP78" s="450"/>
      <c r="TRQ78" s="454"/>
      <c r="TRR78" s="448"/>
      <c r="TRT78" s="449"/>
      <c r="TRU78" s="450"/>
      <c r="TRV78" s="452"/>
      <c r="TRW78" s="448"/>
      <c r="TRY78" s="449"/>
      <c r="TRZ78" s="450"/>
      <c r="TSA78" s="447"/>
      <c r="TSB78" s="448"/>
      <c r="TSD78" s="449"/>
      <c r="TSE78" s="450"/>
      <c r="TSF78" s="452"/>
      <c r="TSG78" s="448"/>
      <c r="TSH78" s="449"/>
      <c r="TSI78" s="450"/>
      <c r="TSJ78" s="452"/>
      <c r="TSK78" s="448"/>
      <c r="TSL78" s="455"/>
      <c r="TSM78" s="449"/>
      <c r="TSN78" s="450"/>
      <c r="TSO78" s="459"/>
      <c r="TSP78" s="448"/>
      <c r="TSQ78" s="456"/>
      <c r="TSR78" s="449"/>
      <c r="TSS78" s="450"/>
      <c r="TST78" s="452"/>
      <c r="TSU78" s="448"/>
      <c r="TSV78" s="449"/>
      <c r="TSW78" s="450"/>
      <c r="TSX78" s="452"/>
      <c r="TSY78" s="448"/>
      <c r="TSZ78" s="449"/>
      <c r="TTA78" s="450"/>
      <c r="TTB78" s="447"/>
      <c r="TTC78" s="448"/>
      <c r="TTD78" s="457"/>
      <c r="TTE78" s="460"/>
      <c r="TTF78" s="450"/>
      <c r="TTG78" s="461"/>
      <c r="TTH78" s="448"/>
      <c r="TTI78" s="456"/>
      <c r="TTJ78" s="449"/>
      <c r="TTK78" s="450"/>
      <c r="TTL78" s="452"/>
      <c r="TTM78" s="448"/>
      <c r="TTN78" s="456"/>
      <c r="TTO78" s="458"/>
      <c r="TTP78" s="458"/>
      <c r="TTR78" s="454"/>
      <c r="TTS78" s="450"/>
      <c r="TTT78" s="454"/>
      <c r="TTU78" s="448"/>
      <c r="TTV78" s="449"/>
      <c r="TTW78" s="450"/>
      <c r="TTX78" s="447"/>
      <c r="TTY78" s="448"/>
      <c r="TTZ78" s="449"/>
      <c r="TUA78" s="450"/>
      <c r="TUB78" s="447"/>
      <c r="TUC78" s="451"/>
      <c r="TUD78" s="449"/>
      <c r="TUE78" s="450"/>
      <c r="TUF78" s="447"/>
      <c r="TUG78" s="451"/>
      <c r="TUH78" s="449"/>
      <c r="TUI78" s="450"/>
      <c r="TUJ78" s="447"/>
      <c r="TUK78" s="451"/>
      <c r="TUL78" s="449"/>
      <c r="TUM78" s="450"/>
      <c r="TUN78" s="452"/>
      <c r="TUO78" s="451"/>
      <c r="TUP78" s="449"/>
      <c r="TUQ78" s="450"/>
      <c r="TUR78" s="447"/>
      <c r="TUS78" s="448"/>
      <c r="TUT78" s="453"/>
      <c r="TUU78" s="449"/>
      <c r="TUV78" s="450"/>
      <c r="TUW78" s="454"/>
      <c r="TUX78" s="448"/>
      <c r="TUZ78" s="449"/>
      <c r="TVA78" s="450"/>
      <c r="TVB78" s="452"/>
      <c r="TVC78" s="448"/>
      <c r="TVE78" s="449"/>
      <c r="TVF78" s="450"/>
      <c r="TVG78" s="447"/>
      <c r="TVH78" s="448"/>
      <c r="TVJ78" s="449"/>
      <c r="TVK78" s="450"/>
      <c r="TVL78" s="452"/>
      <c r="TVM78" s="448"/>
      <c r="TVN78" s="449"/>
      <c r="TVO78" s="450"/>
      <c r="TVP78" s="452"/>
      <c r="TVQ78" s="448"/>
      <c r="TVR78" s="455"/>
      <c r="TVS78" s="449"/>
      <c r="TVT78" s="450"/>
      <c r="TVU78" s="459"/>
      <c r="TVV78" s="448"/>
      <c r="TVW78" s="456"/>
      <c r="TVX78" s="449"/>
      <c r="TVY78" s="450"/>
      <c r="TVZ78" s="452"/>
      <c r="TWA78" s="448"/>
      <c r="TWB78" s="449"/>
      <c r="TWC78" s="450"/>
      <c r="TWD78" s="452"/>
      <c r="TWE78" s="448"/>
      <c r="TWF78" s="449"/>
      <c r="TWG78" s="450"/>
      <c r="TWH78" s="447"/>
      <c r="TWI78" s="448"/>
      <c r="TWJ78" s="457"/>
      <c r="TWK78" s="460"/>
      <c r="TWL78" s="450"/>
      <c r="TWM78" s="461"/>
      <c r="TWN78" s="448"/>
      <c r="TWO78" s="456"/>
      <c r="TWP78" s="449"/>
      <c r="TWQ78" s="450"/>
      <c r="TWR78" s="452"/>
      <c r="TWS78" s="448"/>
      <c r="TWT78" s="456"/>
      <c r="TWU78" s="458"/>
      <c r="TWV78" s="458"/>
      <c r="TWX78" s="454"/>
      <c r="TWY78" s="450"/>
      <c r="TWZ78" s="454"/>
      <c r="TXA78" s="448"/>
      <c r="TXB78" s="449"/>
      <c r="TXC78" s="450"/>
      <c r="TXD78" s="447"/>
      <c r="TXE78" s="448"/>
      <c r="TXF78" s="449"/>
      <c r="TXG78" s="450"/>
      <c r="TXH78" s="447"/>
      <c r="TXI78" s="451"/>
      <c r="TXJ78" s="449"/>
      <c r="TXK78" s="450"/>
      <c r="TXL78" s="447"/>
      <c r="TXM78" s="451"/>
      <c r="TXN78" s="449"/>
      <c r="TXO78" s="450"/>
      <c r="TXP78" s="447"/>
      <c r="TXQ78" s="451"/>
      <c r="TXR78" s="449"/>
      <c r="TXS78" s="450"/>
      <c r="TXT78" s="452"/>
      <c r="TXU78" s="451"/>
      <c r="TXV78" s="449"/>
      <c r="TXW78" s="450"/>
      <c r="TXX78" s="447"/>
      <c r="TXY78" s="448"/>
      <c r="TXZ78" s="453"/>
      <c r="TYA78" s="449"/>
      <c r="TYB78" s="450"/>
      <c r="TYC78" s="454"/>
      <c r="TYD78" s="448"/>
      <c r="TYF78" s="449"/>
      <c r="TYG78" s="450"/>
      <c r="TYH78" s="452"/>
      <c r="TYI78" s="448"/>
      <c r="TYK78" s="449"/>
      <c r="TYL78" s="450"/>
      <c r="TYM78" s="447"/>
      <c r="TYN78" s="448"/>
      <c r="TYP78" s="449"/>
      <c r="TYQ78" s="450"/>
      <c r="TYR78" s="452"/>
      <c r="TYS78" s="448"/>
      <c r="TYT78" s="449"/>
      <c r="TYU78" s="450"/>
      <c r="TYV78" s="452"/>
      <c r="TYW78" s="448"/>
      <c r="TYX78" s="455"/>
      <c r="TYY78" s="449"/>
      <c r="TYZ78" s="450"/>
      <c r="TZA78" s="459"/>
      <c r="TZB78" s="448"/>
      <c r="TZC78" s="456"/>
      <c r="TZD78" s="449"/>
      <c r="TZE78" s="450"/>
      <c r="TZF78" s="452"/>
      <c r="TZG78" s="448"/>
      <c r="TZH78" s="449"/>
      <c r="TZI78" s="450"/>
      <c r="TZJ78" s="452"/>
      <c r="TZK78" s="448"/>
      <c r="TZL78" s="449"/>
      <c r="TZM78" s="450"/>
      <c r="TZN78" s="447"/>
      <c r="TZO78" s="448"/>
      <c r="TZP78" s="457"/>
      <c r="TZQ78" s="460"/>
      <c r="TZR78" s="450"/>
      <c r="TZS78" s="461"/>
      <c r="TZT78" s="448"/>
      <c r="TZU78" s="456"/>
      <c r="TZV78" s="449"/>
      <c r="TZW78" s="450"/>
      <c r="TZX78" s="452"/>
      <c r="TZY78" s="448"/>
      <c r="TZZ78" s="456"/>
      <c r="UAA78" s="458"/>
      <c r="UAB78" s="458"/>
      <c r="UAD78" s="454"/>
      <c r="UAE78" s="450"/>
      <c r="UAF78" s="454"/>
      <c r="UAG78" s="448"/>
      <c r="UAH78" s="449"/>
      <c r="UAI78" s="450"/>
      <c r="UAJ78" s="447"/>
      <c r="UAK78" s="448"/>
      <c r="UAL78" s="449"/>
      <c r="UAM78" s="450"/>
      <c r="UAN78" s="447"/>
      <c r="UAO78" s="451"/>
      <c r="UAP78" s="449"/>
      <c r="UAQ78" s="450"/>
      <c r="UAR78" s="447"/>
      <c r="UAS78" s="451"/>
      <c r="UAT78" s="449"/>
      <c r="UAU78" s="450"/>
      <c r="UAV78" s="447"/>
      <c r="UAW78" s="451"/>
      <c r="UAX78" s="449"/>
      <c r="UAY78" s="450"/>
      <c r="UAZ78" s="452"/>
      <c r="UBA78" s="451"/>
      <c r="UBB78" s="449"/>
      <c r="UBC78" s="450"/>
      <c r="UBD78" s="447"/>
      <c r="UBE78" s="448"/>
      <c r="UBF78" s="453"/>
      <c r="UBG78" s="449"/>
      <c r="UBH78" s="450"/>
      <c r="UBI78" s="454"/>
      <c r="UBJ78" s="448"/>
      <c r="UBL78" s="449"/>
      <c r="UBM78" s="450"/>
      <c r="UBN78" s="452"/>
      <c r="UBO78" s="448"/>
      <c r="UBQ78" s="449"/>
      <c r="UBR78" s="450"/>
      <c r="UBS78" s="447"/>
      <c r="UBT78" s="448"/>
      <c r="UBV78" s="449"/>
      <c r="UBW78" s="450"/>
      <c r="UBX78" s="452"/>
      <c r="UBY78" s="448"/>
      <c r="UBZ78" s="449"/>
      <c r="UCA78" s="450"/>
      <c r="UCB78" s="452"/>
      <c r="UCC78" s="448"/>
      <c r="UCD78" s="455"/>
      <c r="UCE78" s="449"/>
      <c r="UCF78" s="450"/>
      <c r="UCG78" s="459"/>
      <c r="UCH78" s="448"/>
      <c r="UCI78" s="456"/>
      <c r="UCJ78" s="449"/>
      <c r="UCK78" s="450"/>
      <c r="UCL78" s="452"/>
      <c r="UCM78" s="448"/>
      <c r="UCN78" s="449"/>
      <c r="UCO78" s="450"/>
      <c r="UCP78" s="452"/>
      <c r="UCQ78" s="448"/>
      <c r="UCR78" s="449"/>
      <c r="UCS78" s="450"/>
      <c r="UCT78" s="447"/>
      <c r="UCU78" s="448"/>
      <c r="UCV78" s="457"/>
      <c r="UCW78" s="460"/>
      <c r="UCX78" s="450"/>
      <c r="UCY78" s="461"/>
      <c r="UCZ78" s="448"/>
      <c r="UDA78" s="456"/>
      <c r="UDB78" s="449"/>
      <c r="UDC78" s="450"/>
      <c r="UDD78" s="452"/>
      <c r="UDE78" s="448"/>
      <c r="UDF78" s="456"/>
      <c r="UDG78" s="458"/>
      <c r="UDH78" s="458"/>
      <c r="UDJ78" s="454"/>
      <c r="UDK78" s="450"/>
      <c r="UDL78" s="454"/>
      <c r="UDM78" s="448"/>
      <c r="UDN78" s="449"/>
      <c r="UDO78" s="450"/>
      <c r="UDP78" s="447"/>
      <c r="UDQ78" s="448"/>
      <c r="UDR78" s="449"/>
      <c r="UDS78" s="450"/>
      <c r="UDT78" s="447"/>
      <c r="UDU78" s="451"/>
      <c r="UDV78" s="449"/>
      <c r="UDW78" s="450"/>
      <c r="UDX78" s="447"/>
      <c r="UDY78" s="451"/>
      <c r="UDZ78" s="449"/>
      <c r="UEA78" s="450"/>
      <c r="UEB78" s="447"/>
      <c r="UEC78" s="451"/>
      <c r="UED78" s="449"/>
      <c r="UEE78" s="450"/>
      <c r="UEF78" s="452"/>
      <c r="UEG78" s="451"/>
      <c r="UEH78" s="449"/>
      <c r="UEI78" s="450"/>
      <c r="UEJ78" s="447"/>
      <c r="UEK78" s="448"/>
      <c r="UEL78" s="453"/>
      <c r="UEM78" s="449"/>
      <c r="UEN78" s="450"/>
      <c r="UEO78" s="454"/>
      <c r="UEP78" s="448"/>
      <c r="UER78" s="449"/>
      <c r="UES78" s="450"/>
      <c r="UET78" s="452"/>
      <c r="UEU78" s="448"/>
      <c r="UEW78" s="449"/>
      <c r="UEX78" s="450"/>
      <c r="UEY78" s="447"/>
      <c r="UEZ78" s="448"/>
      <c r="UFB78" s="449"/>
      <c r="UFC78" s="450"/>
      <c r="UFD78" s="452"/>
      <c r="UFE78" s="448"/>
      <c r="UFF78" s="449"/>
      <c r="UFG78" s="450"/>
      <c r="UFH78" s="452"/>
      <c r="UFI78" s="448"/>
      <c r="UFJ78" s="455"/>
      <c r="UFK78" s="449"/>
      <c r="UFL78" s="450"/>
      <c r="UFM78" s="459"/>
      <c r="UFN78" s="448"/>
      <c r="UFO78" s="456"/>
      <c r="UFP78" s="449"/>
      <c r="UFQ78" s="450"/>
      <c r="UFR78" s="452"/>
      <c r="UFS78" s="448"/>
      <c r="UFT78" s="449"/>
      <c r="UFU78" s="450"/>
      <c r="UFV78" s="452"/>
      <c r="UFW78" s="448"/>
      <c r="UFX78" s="449"/>
      <c r="UFY78" s="450"/>
      <c r="UFZ78" s="447"/>
      <c r="UGA78" s="448"/>
      <c r="UGB78" s="457"/>
      <c r="UGC78" s="460"/>
      <c r="UGD78" s="450"/>
      <c r="UGE78" s="461"/>
      <c r="UGF78" s="448"/>
      <c r="UGG78" s="456"/>
      <c r="UGH78" s="449"/>
      <c r="UGI78" s="450"/>
      <c r="UGJ78" s="452"/>
      <c r="UGK78" s="448"/>
      <c r="UGL78" s="456"/>
      <c r="UGM78" s="458"/>
      <c r="UGN78" s="458"/>
      <c r="UGP78" s="454"/>
      <c r="UGQ78" s="450"/>
      <c r="UGR78" s="454"/>
      <c r="UGS78" s="448"/>
      <c r="UGT78" s="449"/>
      <c r="UGU78" s="450"/>
      <c r="UGV78" s="447"/>
      <c r="UGW78" s="448"/>
      <c r="UGX78" s="449"/>
      <c r="UGY78" s="450"/>
      <c r="UGZ78" s="447"/>
      <c r="UHA78" s="451"/>
      <c r="UHB78" s="449"/>
      <c r="UHC78" s="450"/>
      <c r="UHD78" s="447"/>
      <c r="UHE78" s="451"/>
      <c r="UHF78" s="449"/>
      <c r="UHG78" s="450"/>
      <c r="UHH78" s="447"/>
      <c r="UHI78" s="451"/>
      <c r="UHJ78" s="449"/>
      <c r="UHK78" s="450"/>
      <c r="UHL78" s="452"/>
      <c r="UHM78" s="451"/>
      <c r="UHN78" s="449"/>
      <c r="UHO78" s="450"/>
      <c r="UHP78" s="447"/>
      <c r="UHQ78" s="448"/>
      <c r="UHR78" s="453"/>
      <c r="UHS78" s="449"/>
      <c r="UHT78" s="450"/>
      <c r="UHU78" s="454"/>
      <c r="UHV78" s="448"/>
      <c r="UHX78" s="449"/>
      <c r="UHY78" s="450"/>
      <c r="UHZ78" s="452"/>
      <c r="UIA78" s="448"/>
      <c r="UIC78" s="449"/>
      <c r="UID78" s="450"/>
      <c r="UIE78" s="447"/>
      <c r="UIF78" s="448"/>
      <c r="UIH78" s="449"/>
      <c r="UII78" s="450"/>
      <c r="UIJ78" s="452"/>
      <c r="UIK78" s="448"/>
      <c r="UIL78" s="449"/>
      <c r="UIM78" s="450"/>
      <c r="UIN78" s="452"/>
      <c r="UIO78" s="448"/>
      <c r="UIP78" s="455"/>
      <c r="UIQ78" s="449"/>
      <c r="UIR78" s="450"/>
      <c r="UIS78" s="459"/>
      <c r="UIT78" s="448"/>
      <c r="UIU78" s="456"/>
      <c r="UIV78" s="449"/>
      <c r="UIW78" s="450"/>
      <c r="UIX78" s="452"/>
      <c r="UIY78" s="448"/>
      <c r="UIZ78" s="449"/>
      <c r="UJA78" s="450"/>
      <c r="UJB78" s="452"/>
      <c r="UJC78" s="448"/>
      <c r="UJD78" s="449"/>
      <c r="UJE78" s="450"/>
      <c r="UJF78" s="447"/>
      <c r="UJG78" s="448"/>
      <c r="UJH78" s="457"/>
      <c r="UJI78" s="460"/>
      <c r="UJJ78" s="450"/>
      <c r="UJK78" s="461"/>
      <c r="UJL78" s="448"/>
      <c r="UJM78" s="456"/>
      <c r="UJN78" s="449"/>
      <c r="UJO78" s="450"/>
      <c r="UJP78" s="452"/>
      <c r="UJQ78" s="448"/>
      <c r="UJR78" s="456"/>
      <c r="UJS78" s="458"/>
      <c r="UJT78" s="458"/>
      <c r="UJV78" s="454"/>
      <c r="UJW78" s="450"/>
      <c r="UJX78" s="454"/>
      <c r="UJY78" s="448"/>
      <c r="UJZ78" s="449"/>
      <c r="UKA78" s="450"/>
      <c r="UKB78" s="447"/>
      <c r="UKC78" s="448"/>
      <c r="UKD78" s="449"/>
      <c r="UKE78" s="450"/>
      <c r="UKF78" s="447"/>
      <c r="UKG78" s="451"/>
      <c r="UKH78" s="449"/>
      <c r="UKI78" s="450"/>
      <c r="UKJ78" s="447"/>
      <c r="UKK78" s="451"/>
      <c r="UKL78" s="449"/>
      <c r="UKM78" s="450"/>
      <c r="UKN78" s="447"/>
      <c r="UKO78" s="451"/>
      <c r="UKP78" s="449"/>
      <c r="UKQ78" s="450"/>
      <c r="UKR78" s="452"/>
      <c r="UKS78" s="451"/>
      <c r="UKT78" s="449"/>
      <c r="UKU78" s="450"/>
      <c r="UKV78" s="447"/>
      <c r="UKW78" s="448"/>
      <c r="UKX78" s="453"/>
      <c r="UKY78" s="449"/>
      <c r="UKZ78" s="450"/>
      <c r="ULA78" s="454"/>
      <c r="ULB78" s="448"/>
      <c r="ULD78" s="449"/>
      <c r="ULE78" s="450"/>
      <c r="ULF78" s="452"/>
      <c r="ULG78" s="448"/>
      <c r="ULI78" s="449"/>
      <c r="ULJ78" s="450"/>
      <c r="ULK78" s="447"/>
      <c r="ULL78" s="448"/>
      <c r="ULN78" s="449"/>
      <c r="ULO78" s="450"/>
      <c r="ULP78" s="452"/>
      <c r="ULQ78" s="448"/>
      <c r="ULR78" s="449"/>
      <c r="ULS78" s="450"/>
      <c r="ULT78" s="452"/>
      <c r="ULU78" s="448"/>
      <c r="ULV78" s="455"/>
      <c r="ULW78" s="449"/>
      <c r="ULX78" s="450"/>
      <c r="ULY78" s="459"/>
      <c r="ULZ78" s="448"/>
      <c r="UMA78" s="456"/>
      <c r="UMB78" s="449"/>
      <c r="UMC78" s="450"/>
      <c r="UMD78" s="452"/>
      <c r="UME78" s="448"/>
      <c r="UMF78" s="449"/>
      <c r="UMG78" s="450"/>
      <c r="UMH78" s="452"/>
      <c r="UMI78" s="448"/>
      <c r="UMJ78" s="449"/>
      <c r="UMK78" s="450"/>
      <c r="UML78" s="447"/>
      <c r="UMM78" s="448"/>
      <c r="UMN78" s="457"/>
      <c r="UMO78" s="460"/>
      <c r="UMP78" s="450"/>
      <c r="UMQ78" s="461"/>
      <c r="UMR78" s="448"/>
      <c r="UMS78" s="456"/>
      <c r="UMT78" s="449"/>
      <c r="UMU78" s="450"/>
      <c r="UMV78" s="452"/>
      <c r="UMW78" s="448"/>
      <c r="UMX78" s="456"/>
      <c r="UMY78" s="458"/>
      <c r="UMZ78" s="458"/>
      <c r="UNB78" s="454"/>
      <c r="UNC78" s="450"/>
      <c r="UND78" s="454"/>
      <c r="UNE78" s="448"/>
      <c r="UNF78" s="449"/>
      <c r="UNG78" s="450"/>
      <c r="UNH78" s="447"/>
      <c r="UNI78" s="448"/>
      <c r="UNJ78" s="449"/>
      <c r="UNK78" s="450"/>
      <c r="UNL78" s="447"/>
      <c r="UNM78" s="451"/>
      <c r="UNN78" s="449"/>
      <c r="UNO78" s="450"/>
      <c r="UNP78" s="447"/>
      <c r="UNQ78" s="451"/>
      <c r="UNR78" s="449"/>
      <c r="UNS78" s="450"/>
      <c r="UNT78" s="447"/>
      <c r="UNU78" s="451"/>
      <c r="UNV78" s="449"/>
      <c r="UNW78" s="450"/>
      <c r="UNX78" s="452"/>
      <c r="UNY78" s="451"/>
      <c r="UNZ78" s="449"/>
      <c r="UOA78" s="450"/>
      <c r="UOB78" s="447"/>
      <c r="UOC78" s="448"/>
      <c r="UOD78" s="453"/>
      <c r="UOE78" s="449"/>
      <c r="UOF78" s="450"/>
      <c r="UOG78" s="454"/>
      <c r="UOH78" s="448"/>
      <c r="UOJ78" s="449"/>
      <c r="UOK78" s="450"/>
      <c r="UOL78" s="452"/>
      <c r="UOM78" s="448"/>
      <c r="UOO78" s="449"/>
      <c r="UOP78" s="450"/>
      <c r="UOQ78" s="447"/>
      <c r="UOR78" s="448"/>
      <c r="UOT78" s="449"/>
      <c r="UOU78" s="450"/>
      <c r="UOV78" s="452"/>
      <c r="UOW78" s="448"/>
      <c r="UOX78" s="449"/>
      <c r="UOY78" s="450"/>
      <c r="UOZ78" s="452"/>
      <c r="UPA78" s="448"/>
      <c r="UPB78" s="455"/>
      <c r="UPC78" s="449"/>
      <c r="UPD78" s="450"/>
      <c r="UPE78" s="459"/>
      <c r="UPF78" s="448"/>
      <c r="UPG78" s="456"/>
      <c r="UPH78" s="449"/>
      <c r="UPI78" s="450"/>
      <c r="UPJ78" s="452"/>
      <c r="UPK78" s="448"/>
      <c r="UPL78" s="449"/>
      <c r="UPM78" s="450"/>
      <c r="UPN78" s="452"/>
      <c r="UPO78" s="448"/>
      <c r="UPP78" s="449"/>
      <c r="UPQ78" s="450"/>
      <c r="UPR78" s="447"/>
      <c r="UPS78" s="448"/>
      <c r="UPT78" s="457"/>
      <c r="UPU78" s="460"/>
      <c r="UPV78" s="450"/>
      <c r="UPW78" s="461"/>
      <c r="UPX78" s="448"/>
      <c r="UPY78" s="456"/>
      <c r="UPZ78" s="449"/>
      <c r="UQA78" s="450"/>
      <c r="UQB78" s="452"/>
      <c r="UQC78" s="448"/>
      <c r="UQD78" s="456"/>
      <c r="UQE78" s="458"/>
      <c r="UQF78" s="458"/>
      <c r="UQH78" s="454"/>
      <c r="UQI78" s="450"/>
      <c r="UQJ78" s="454"/>
      <c r="UQK78" s="448"/>
      <c r="UQL78" s="449"/>
      <c r="UQM78" s="450"/>
      <c r="UQN78" s="447"/>
      <c r="UQO78" s="448"/>
      <c r="UQP78" s="449"/>
      <c r="UQQ78" s="450"/>
      <c r="UQR78" s="447"/>
      <c r="UQS78" s="451"/>
      <c r="UQT78" s="449"/>
      <c r="UQU78" s="450"/>
      <c r="UQV78" s="447"/>
      <c r="UQW78" s="451"/>
      <c r="UQX78" s="449"/>
      <c r="UQY78" s="450"/>
      <c r="UQZ78" s="447"/>
      <c r="URA78" s="451"/>
      <c r="URB78" s="449"/>
      <c r="URC78" s="450"/>
      <c r="URD78" s="452"/>
      <c r="URE78" s="451"/>
      <c r="URF78" s="449"/>
      <c r="URG78" s="450"/>
      <c r="URH78" s="447"/>
      <c r="URI78" s="448"/>
      <c r="URJ78" s="453"/>
      <c r="URK78" s="449"/>
      <c r="URL78" s="450"/>
      <c r="URM78" s="454"/>
      <c r="URN78" s="448"/>
      <c r="URP78" s="449"/>
      <c r="URQ78" s="450"/>
      <c r="URR78" s="452"/>
      <c r="URS78" s="448"/>
      <c r="URU78" s="449"/>
      <c r="URV78" s="450"/>
      <c r="URW78" s="447"/>
      <c r="URX78" s="448"/>
      <c r="URZ78" s="449"/>
      <c r="USA78" s="450"/>
      <c r="USB78" s="452"/>
      <c r="USC78" s="448"/>
      <c r="USD78" s="449"/>
      <c r="USE78" s="450"/>
      <c r="USF78" s="452"/>
      <c r="USG78" s="448"/>
      <c r="USH78" s="455"/>
      <c r="USI78" s="449"/>
      <c r="USJ78" s="450"/>
      <c r="USK78" s="459"/>
      <c r="USL78" s="448"/>
      <c r="USM78" s="456"/>
      <c r="USN78" s="449"/>
      <c r="USO78" s="450"/>
      <c r="USP78" s="452"/>
      <c r="USQ78" s="448"/>
      <c r="USR78" s="449"/>
      <c r="USS78" s="450"/>
      <c r="UST78" s="452"/>
      <c r="USU78" s="448"/>
      <c r="USV78" s="449"/>
      <c r="USW78" s="450"/>
      <c r="USX78" s="447"/>
      <c r="USY78" s="448"/>
      <c r="USZ78" s="457"/>
      <c r="UTA78" s="460"/>
      <c r="UTB78" s="450"/>
      <c r="UTC78" s="461"/>
      <c r="UTD78" s="448"/>
      <c r="UTE78" s="456"/>
      <c r="UTF78" s="449"/>
      <c r="UTG78" s="450"/>
      <c r="UTH78" s="452"/>
      <c r="UTI78" s="448"/>
      <c r="UTJ78" s="456"/>
      <c r="UTK78" s="458"/>
      <c r="UTL78" s="458"/>
      <c r="UTN78" s="454"/>
      <c r="UTO78" s="450"/>
      <c r="UTP78" s="454"/>
      <c r="UTQ78" s="448"/>
      <c r="UTR78" s="449"/>
      <c r="UTS78" s="450"/>
      <c r="UTT78" s="447"/>
      <c r="UTU78" s="448"/>
      <c r="UTV78" s="449"/>
      <c r="UTW78" s="450"/>
      <c r="UTX78" s="447"/>
      <c r="UTY78" s="451"/>
      <c r="UTZ78" s="449"/>
      <c r="UUA78" s="450"/>
      <c r="UUB78" s="447"/>
      <c r="UUC78" s="451"/>
      <c r="UUD78" s="449"/>
      <c r="UUE78" s="450"/>
      <c r="UUF78" s="447"/>
      <c r="UUG78" s="451"/>
      <c r="UUH78" s="449"/>
      <c r="UUI78" s="450"/>
      <c r="UUJ78" s="452"/>
      <c r="UUK78" s="451"/>
      <c r="UUL78" s="449"/>
      <c r="UUM78" s="450"/>
      <c r="UUN78" s="447"/>
      <c r="UUO78" s="448"/>
      <c r="UUP78" s="453"/>
      <c r="UUQ78" s="449"/>
      <c r="UUR78" s="450"/>
      <c r="UUS78" s="454"/>
      <c r="UUT78" s="448"/>
      <c r="UUV78" s="449"/>
      <c r="UUW78" s="450"/>
      <c r="UUX78" s="452"/>
      <c r="UUY78" s="448"/>
      <c r="UVA78" s="449"/>
      <c r="UVB78" s="450"/>
      <c r="UVC78" s="447"/>
      <c r="UVD78" s="448"/>
      <c r="UVF78" s="449"/>
      <c r="UVG78" s="450"/>
      <c r="UVH78" s="452"/>
      <c r="UVI78" s="448"/>
      <c r="UVJ78" s="449"/>
      <c r="UVK78" s="450"/>
      <c r="UVL78" s="452"/>
      <c r="UVM78" s="448"/>
      <c r="UVN78" s="455"/>
      <c r="UVO78" s="449"/>
      <c r="UVP78" s="450"/>
      <c r="UVQ78" s="459"/>
      <c r="UVR78" s="448"/>
      <c r="UVS78" s="456"/>
      <c r="UVT78" s="449"/>
      <c r="UVU78" s="450"/>
      <c r="UVV78" s="452"/>
      <c r="UVW78" s="448"/>
      <c r="UVX78" s="449"/>
      <c r="UVY78" s="450"/>
      <c r="UVZ78" s="452"/>
      <c r="UWA78" s="448"/>
      <c r="UWB78" s="449"/>
      <c r="UWC78" s="450"/>
      <c r="UWD78" s="447"/>
      <c r="UWE78" s="448"/>
      <c r="UWF78" s="457"/>
      <c r="UWG78" s="460"/>
      <c r="UWH78" s="450"/>
      <c r="UWI78" s="461"/>
      <c r="UWJ78" s="448"/>
      <c r="UWK78" s="456"/>
      <c r="UWL78" s="449"/>
      <c r="UWM78" s="450"/>
      <c r="UWN78" s="452"/>
      <c r="UWO78" s="448"/>
      <c r="UWP78" s="456"/>
      <c r="UWQ78" s="458"/>
      <c r="UWR78" s="458"/>
      <c r="UWT78" s="454"/>
      <c r="UWU78" s="450"/>
      <c r="UWV78" s="454"/>
      <c r="UWW78" s="448"/>
      <c r="UWX78" s="449"/>
      <c r="UWY78" s="450"/>
      <c r="UWZ78" s="447"/>
      <c r="UXA78" s="448"/>
      <c r="UXB78" s="449"/>
      <c r="UXC78" s="450"/>
      <c r="UXD78" s="447"/>
      <c r="UXE78" s="451"/>
      <c r="UXF78" s="449"/>
      <c r="UXG78" s="450"/>
      <c r="UXH78" s="447"/>
      <c r="UXI78" s="451"/>
      <c r="UXJ78" s="449"/>
      <c r="UXK78" s="450"/>
      <c r="UXL78" s="447"/>
      <c r="UXM78" s="451"/>
      <c r="UXN78" s="449"/>
      <c r="UXO78" s="450"/>
      <c r="UXP78" s="452"/>
      <c r="UXQ78" s="451"/>
      <c r="UXR78" s="449"/>
      <c r="UXS78" s="450"/>
      <c r="UXT78" s="447"/>
      <c r="UXU78" s="448"/>
      <c r="UXV78" s="453"/>
      <c r="UXW78" s="449"/>
      <c r="UXX78" s="450"/>
      <c r="UXY78" s="454"/>
      <c r="UXZ78" s="448"/>
      <c r="UYB78" s="449"/>
      <c r="UYC78" s="450"/>
      <c r="UYD78" s="452"/>
      <c r="UYE78" s="448"/>
      <c r="UYG78" s="449"/>
      <c r="UYH78" s="450"/>
      <c r="UYI78" s="447"/>
      <c r="UYJ78" s="448"/>
      <c r="UYL78" s="449"/>
      <c r="UYM78" s="450"/>
      <c r="UYN78" s="452"/>
      <c r="UYO78" s="448"/>
      <c r="UYP78" s="449"/>
      <c r="UYQ78" s="450"/>
      <c r="UYR78" s="452"/>
      <c r="UYS78" s="448"/>
      <c r="UYT78" s="455"/>
      <c r="UYU78" s="449"/>
      <c r="UYV78" s="450"/>
      <c r="UYW78" s="459"/>
      <c r="UYX78" s="448"/>
      <c r="UYY78" s="456"/>
      <c r="UYZ78" s="449"/>
      <c r="UZA78" s="450"/>
      <c r="UZB78" s="452"/>
      <c r="UZC78" s="448"/>
      <c r="UZD78" s="449"/>
      <c r="UZE78" s="450"/>
      <c r="UZF78" s="452"/>
      <c r="UZG78" s="448"/>
      <c r="UZH78" s="449"/>
      <c r="UZI78" s="450"/>
      <c r="UZJ78" s="447"/>
      <c r="UZK78" s="448"/>
      <c r="UZL78" s="457"/>
      <c r="UZM78" s="460"/>
      <c r="UZN78" s="450"/>
      <c r="UZO78" s="461"/>
      <c r="UZP78" s="448"/>
      <c r="UZQ78" s="456"/>
      <c r="UZR78" s="449"/>
      <c r="UZS78" s="450"/>
      <c r="UZT78" s="452"/>
      <c r="UZU78" s="448"/>
      <c r="UZV78" s="456"/>
      <c r="UZW78" s="458"/>
      <c r="UZX78" s="458"/>
      <c r="UZZ78" s="454"/>
      <c r="VAA78" s="450"/>
      <c r="VAB78" s="454"/>
      <c r="VAC78" s="448"/>
      <c r="VAD78" s="449"/>
      <c r="VAE78" s="450"/>
      <c r="VAF78" s="447"/>
      <c r="VAG78" s="448"/>
      <c r="VAH78" s="449"/>
      <c r="VAI78" s="450"/>
      <c r="VAJ78" s="447"/>
      <c r="VAK78" s="451"/>
      <c r="VAL78" s="449"/>
      <c r="VAM78" s="450"/>
      <c r="VAN78" s="447"/>
      <c r="VAO78" s="451"/>
      <c r="VAP78" s="449"/>
      <c r="VAQ78" s="450"/>
      <c r="VAR78" s="447"/>
      <c r="VAS78" s="451"/>
      <c r="VAT78" s="449"/>
      <c r="VAU78" s="450"/>
      <c r="VAV78" s="452"/>
      <c r="VAW78" s="451"/>
      <c r="VAX78" s="449"/>
      <c r="VAY78" s="450"/>
      <c r="VAZ78" s="447"/>
      <c r="VBA78" s="448"/>
      <c r="VBB78" s="453"/>
      <c r="VBC78" s="449"/>
      <c r="VBD78" s="450"/>
      <c r="VBE78" s="454"/>
      <c r="VBF78" s="448"/>
      <c r="VBH78" s="449"/>
      <c r="VBI78" s="450"/>
      <c r="VBJ78" s="452"/>
      <c r="VBK78" s="448"/>
      <c r="VBM78" s="449"/>
      <c r="VBN78" s="450"/>
      <c r="VBO78" s="447"/>
      <c r="VBP78" s="448"/>
      <c r="VBR78" s="449"/>
      <c r="VBS78" s="450"/>
      <c r="VBT78" s="452"/>
      <c r="VBU78" s="448"/>
      <c r="VBV78" s="449"/>
      <c r="VBW78" s="450"/>
      <c r="VBX78" s="452"/>
      <c r="VBY78" s="448"/>
      <c r="VBZ78" s="455"/>
      <c r="VCA78" s="449"/>
      <c r="VCB78" s="450"/>
      <c r="VCC78" s="459"/>
      <c r="VCD78" s="448"/>
      <c r="VCE78" s="456"/>
      <c r="VCF78" s="449"/>
      <c r="VCG78" s="450"/>
      <c r="VCH78" s="452"/>
      <c r="VCI78" s="448"/>
      <c r="VCJ78" s="449"/>
      <c r="VCK78" s="450"/>
      <c r="VCL78" s="452"/>
      <c r="VCM78" s="448"/>
      <c r="VCN78" s="449"/>
      <c r="VCO78" s="450"/>
      <c r="VCP78" s="447"/>
      <c r="VCQ78" s="448"/>
      <c r="VCR78" s="457"/>
      <c r="VCS78" s="460"/>
      <c r="VCT78" s="450"/>
      <c r="VCU78" s="461"/>
      <c r="VCV78" s="448"/>
      <c r="VCW78" s="456"/>
      <c r="VCX78" s="449"/>
      <c r="VCY78" s="450"/>
      <c r="VCZ78" s="452"/>
      <c r="VDA78" s="448"/>
      <c r="VDB78" s="456"/>
      <c r="VDC78" s="458"/>
      <c r="VDD78" s="458"/>
      <c r="VDF78" s="454"/>
      <c r="VDG78" s="450"/>
      <c r="VDH78" s="454"/>
      <c r="VDI78" s="448"/>
      <c r="VDJ78" s="449"/>
      <c r="VDK78" s="450"/>
      <c r="VDL78" s="447"/>
      <c r="VDM78" s="448"/>
      <c r="VDN78" s="449"/>
      <c r="VDO78" s="450"/>
      <c r="VDP78" s="447"/>
      <c r="VDQ78" s="451"/>
      <c r="VDR78" s="449"/>
      <c r="VDS78" s="450"/>
      <c r="VDT78" s="447"/>
      <c r="VDU78" s="451"/>
      <c r="VDV78" s="449"/>
      <c r="VDW78" s="450"/>
      <c r="VDX78" s="447"/>
      <c r="VDY78" s="451"/>
      <c r="VDZ78" s="449"/>
      <c r="VEA78" s="450"/>
      <c r="VEB78" s="452"/>
      <c r="VEC78" s="451"/>
      <c r="VED78" s="449"/>
      <c r="VEE78" s="450"/>
      <c r="VEF78" s="447"/>
      <c r="VEG78" s="448"/>
      <c r="VEH78" s="453"/>
      <c r="VEI78" s="449"/>
      <c r="VEJ78" s="450"/>
      <c r="VEK78" s="454"/>
      <c r="VEL78" s="448"/>
      <c r="VEN78" s="449"/>
      <c r="VEO78" s="450"/>
      <c r="VEP78" s="452"/>
      <c r="VEQ78" s="448"/>
      <c r="VES78" s="449"/>
      <c r="VET78" s="450"/>
      <c r="VEU78" s="447"/>
      <c r="VEV78" s="448"/>
      <c r="VEX78" s="449"/>
      <c r="VEY78" s="450"/>
      <c r="VEZ78" s="452"/>
      <c r="VFA78" s="448"/>
      <c r="VFB78" s="449"/>
      <c r="VFC78" s="450"/>
      <c r="VFD78" s="452"/>
      <c r="VFE78" s="448"/>
      <c r="VFF78" s="455"/>
      <c r="VFG78" s="449"/>
      <c r="VFH78" s="450"/>
      <c r="VFI78" s="459"/>
      <c r="VFJ78" s="448"/>
      <c r="VFK78" s="456"/>
      <c r="VFL78" s="449"/>
      <c r="VFM78" s="450"/>
      <c r="VFN78" s="452"/>
      <c r="VFO78" s="448"/>
      <c r="VFP78" s="449"/>
      <c r="VFQ78" s="450"/>
      <c r="VFR78" s="452"/>
      <c r="VFS78" s="448"/>
      <c r="VFT78" s="449"/>
      <c r="VFU78" s="450"/>
      <c r="VFV78" s="447"/>
      <c r="VFW78" s="448"/>
      <c r="VFX78" s="457"/>
      <c r="VFY78" s="460"/>
      <c r="VFZ78" s="450"/>
      <c r="VGA78" s="461"/>
      <c r="VGB78" s="448"/>
      <c r="VGC78" s="456"/>
      <c r="VGD78" s="449"/>
      <c r="VGE78" s="450"/>
      <c r="VGF78" s="452"/>
      <c r="VGG78" s="448"/>
      <c r="VGH78" s="456"/>
      <c r="VGI78" s="458"/>
      <c r="VGJ78" s="458"/>
      <c r="VGL78" s="454"/>
      <c r="VGM78" s="450"/>
      <c r="VGN78" s="454"/>
      <c r="VGO78" s="448"/>
      <c r="VGP78" s="449"/>
      <c r="VGQ78" s="450"/>
      <c r="VGR78" s="447"/>
      <c r="VGS78" s="448"/>
      <c r="VGT78" s="449"/>
      <c r="VGU78" s="450"/>
      <c r="VGV78" s="447"/>
      <c r="VGW78" s="451"/>
      <c r="VGX78" s="449"/>
      <c r="VGY78" s="450"/>
      <c r="VGZ78" s="447"/>
      <c r="VHA78" s="451"/>
      <c r="VHB78" s="449"/>
      <c r="VHC78" s="450"/>
      <c r="VHD78" s="447"/>
      <c r="VHE78" s="451"/>
      <c r="VHF78" s="449"/>
      <c r="VHG78" s="450"/>
      <c r="VHH78" s="452"/>
      <c r="VHI78" s="451"/>
      <c r="VHJ78" s="449"/>
      <c r="VHK78" s="450"/>
      <c r="VHL78" s="447"/>
      <c r="VHM78" s="448"/>
      <c r="VHN78" s="453"/>
      <c r="VHO78" s="449"/>
      <c r="VHP78" s="450"/>
      <c r="VHQ78" s="454"/>
      <c r="VHR78" s="448"/>
      <c r="VHT78" s="449"/>
      <c r="VHU78" s="450"/>
      <c r="VHV78" s="452"/>
      <c r="VHW78" s="448"/>
      <c r="VHY78" s="449"/>
      <c r="VHZ78" s="450"/>
      <c r="VIA78" s="447"/>
      <c r="VIB78" s="448"/>
      <c r="VID78" s="449"/>
      <c r="VIE78" s="450"/>
      <c r="VIF78" s="452"/>
      <c r="VIG78" s="448"/>
      <c r="VIH78" s="449"/>
      <c r="VII78" s="450"/>
      <c r="VIJ78" s="452"/>
      <c r="VIK78" s="448"/>
      <c r="VIL78" s="455"/>
      <c r="VIM78" s="449"/>
      <c r="VIN78" s="450"/>
      <c r="VIO78" s="459"/>
      <c r="VIP78" s="448"/>
      <c r="VIQ78" s="456"/>
      <c r="VIR78" s="449"/>
      <c r="VIS78" s="450"/>
      <c r="VIT78" s="452"/>
      <c r="VIU78" s="448"/>
      <c r="VIV78" s="449"/>
      <c r="VIW78" s="450"/>
      <c r="VIX78" s="452"/>
      <c r="VIY78" s="448"/>
      <c r="VIZ78" s="449"/>
      <c r="VJA78" s="450"/>
      <c r="VJB78" s="447"/>
      <c r="VJC78" s="448"/>
      <c r="VJD78" s="457"/>
      <c r="VJE78" s="460"/>
      <c r="VJF78" s="450"/>
      <c r="VJG78" s="461"/>
      <c r="VJH78" s="448"/>
      <c r="VJI78" s="456"/>
      <c r="VJJ78" s="449"/>
      <c r="VJK78" s="450"/>
      <c r="VJL78" s="452"/>
      <c r="VJM78" s="448"/>
      <c r="VJN78" s="456"/>
      <c r="VJO78" s="458"/>
      <c r="VJP78" s="458"/>
      <c r="VJR78" s="454"/>
      <c r="VJS78" s="450"/>
      <c r="VJT78" s="454"/>
      <c r="VJU78" s="448"/>
      <c r="VJV78" s="449"/>
      <c r="VJW78" s="450"/>
      <c r="VJX78" s="447"/>
      <c r="VJY78" s="448"/>
      <c r="VJZ78" s="449"/>
      <c r="VKA78" s="450"/>
      <c r="VKB78" s="447"/>
      <c r="VKC78" s="451"/>
      <c r="VKD78" s="449"/>
      <c r="VKE78" s="450"/>
      <c r="VKF78" s="447"/>
      <c r="VKG78" s="451"/>
      <c r="VKH78" s="449"/>
      <c r="VKI78" s="450"/>
      <c r="VKJ78" s="447"/>
      <c r="VKK78" s="451"/>
      <c r="VKL78" s="449"/>
      <c r="VKM78" s="450"/>
      <c r="VKN78" s="452"/>
      <c r="VKO78" s="451"/>
      <c r="VKP78" s="449"/>
      <c r="VKQ78" s="450"/>
      <c r="VKR78" s="447"/>
      <c r="VKS78" s="448"/>
      <c r="VKT78" s="453"/>
      <c r="VKU78" s="449"/>
      <c r="VKV78" s="450"/>
      <c r="VKW78" s="454"/>
      <c r="VKX78" s="448"/>
      <c r="VKZ78" s="449"/>
      <c r="VLA78" s="450"/>
      <c r="VLB78" s="452"/>
      <c r="VLC78" s="448"/>
      <c r="VLE78" s="449"/>
      <c r="VLF78" s="450"/>
      <c r="VLG78" s="447"/>
      <c r="VLH78" s="448"/>
      <c r="VLJ78" s="449"/>
      <c r="VLK78" s="450"/>
      <c r="VLL78" s="452"/>
      <c r="VLM78" s="448"/>
      <c r="VLN78" s="449"/>
      <c r="VLO78" s="450"/>
      <c r="VLP78" s="452"/>
      <c r="VLQ78" s="448"/>
      <c r="VLR78" s="455"/>
      <c r="VLS78" s="449"/>
      <c r="VLT78" s="450"/>
      <c r="VLU78" s="459"/>
      <c r="VLV78" s="448"/>
      <c r="VLW78" s="456"/>
      <c r="VLX78" s="449"/>
      <c r="VLY78" s="450"/>
      <c r="VLZ78" s="452"/>
      <c r="VMA78" s="448"/>
      <c r="VMB78" s="449"/>
      <c r="VMC78" s="450"/>
      <c r="VMD78" s="452"/>
      <c r="VME78" s="448"/>
      <c r="VMF78" s="449"/>
      <c r="VMG78" s="450"/>
      <c r="VMH78" s="447"/>
      <c r="VMI78" s="448"/>
      <c r="VMJ78" s="457"/>
      <c r="VMK78" s="460"/>
      <c r="VML78" s="450"/>
      <c r="VMM78" s="461"/>
      <c r="VMN78" s="448"/>
      <c r="VMO78" s="456"/>
      <c r="VMP78" s="449"/>
      <c r="VMQ78" s="450"/>
      <c r="VMR78" s="452"/>
      <c r="VMS78" s="448"/>
      <c r="VMT78" s="456"/>
      <c r="VMU78" s="458"/>
      <c r="VMV78" s="458"/>
      <c r="VMX78" s="454"/>
      <c r="VMY78" s="450"/>
      <c r="VMZ78" s="454"/>
      <c r="VNA78" s="448"/>
      <c r="VNB78" s="449"/>
      <c r="VNC78" s="450"/>
      <c r="VND78" s="447"/>
      <c r="VNE78" s="448"/>
      <c r="VNF78" s="449"/>
      <c r="VNG78" s="450"/>
      <c r="VNH78" s="447"/>
      <c r="VNI78" s="451"/>
      <c r="VNJ78" s="449"/>
      <c r="VNK78" s="450"/>
      <c r="VNL78" s="447"/>
      <c r="VNM78" s="451"/>
      <c r="VNN78" s="449"/>
      <c r="VNO78" s="450"/>
      <c r="VNP78" s="447"/>
      <c r="VNQ78" s="451"/>
      <c r="VNR78" s="449"/>
      <c r="VNS78" s="450"/>
      <c r="VNT78" s="452"/>
      <c r="VNU78" s="451"/>
      <c r="VNV78" s="449"/>
      <c r="VNW78" s="450"/>
      <c r="VNX78" s="447"/>
      <c r="VNY78" s="448"/>
      <c r="VNZ78" s="453"/>
      <c r="VOA78" s="449"/>
      <c r="VOB78" s="450"/>
      <c r="VOC78" s="454"/>
      <c r="VOD78" s="448"/>
      <c r="VOF78" s="449"/>
      <c r="VOG78" s="450"/>
      <c r="VOH78" s="452"/>
      <c r="VOI78" s="448"/>
      <c r="VOK78" s="449"/>
      <c r="VOL78" s="450"/>
      <c r="VOM78" s="447"/>
      <c r="VON78" s="448"/>
      <c r="VOP78" s="449"/>
      <c r="VOQ78" s="450"/>
      <c r="VOR78" s="452"/>
      <c r="VOS78" s="448"/>
      <c r="VOT78" s="449"/>
      <c r="VOU78" s="450"/>
      <c r="VOV78" s="452"/>
      <c r="VOW78" s="448"/>
      <c r="VOX78" s="455"/>
      <c r="VOY78" s="449"/>
      <c r="VOZ78" s="450"/>
      <c r="VPA78" s="459"/>
      <c r="VPB78" s="448"/>
      <c r="VPC78" s="456"/>
      <c r="VPD78" s="449"/>
      <c r="VPE78" s="450"/>
      <c r="VPF78" s="452"/>
      <c r="VPG78" s="448"/>
      <c r="VPH78" s="449"/>
      <c r="VPI78" s="450"/>
      <c r="VPJ78" s="452"/>
      <c r="VPK78" s="448"/>
      <c r="VPL78" s="449"/>
      <c r="VPM78" s="450"/>
      <c r="VPN78" s="447"/>
      <c r="VPO78" s="448"/>
      <c r="VPP78" s="457"/>
      <c r="VPQ78" s="460"/>
      <c r="VPR78" s="450"/>
      <c r="VPS78" s="461"/>
      <c r="VPT78" s="448"/>
      <c r="VPU78" s="456"/>
      <c r="VPV78" s="449"/>
      <c r="VPW78" s="450"/>
      <c r="VPX78" s="452"/>
      <c r="VPY78" s="448"/>
      <c r="VPZ78" s="456"/>
      <c r="VQA78" s="458"/>
      <c r="VQB78" s="458"/>
      <c r="VQD78" s="454"/>
      <c r="VQE78" s="450"/>
      <c r="VQF78" s="454"/>
      <c r="VQG78" s="448"/>
      <c r="VQH78" s="449"/>
      <c r="VQI78" s="450"/>
      <c r="VQJ78" s="447"/>
      <c r="VQK78" s="448"/>
      <c r="VQL78" s="449"/>
      <c r="VQM78" s="450"/>
      <c r="VQN78" s="447"/>
      <c r="VQO78" s="451"/>
      <c r="VQP78" s="449"/>
      <c r="VQQ78" s="450"/>
      <c r="VQR78" s="447"/>
      <c r="VQS78" s="451"/>
      <c r="VQT78" s="449"/>
      <c r="VQU78" s="450"/>
      <c r="VQV78" s="447"/>
      <c r="VQW78" s="451"/>
      <c r="VQX78" s="449"/>
      <c r="VQY78" s="450"/>
      <c r="VQZ78" s="452"/>
      <c r="VRA78" s="451"/>
      <c r="VRB78" s="449"/>
      <c r="VRC78" s="450"/>
      <c r="VRD78" s="447"/>
      <c r="VRE78" s="448"/>
      <c r="VRF78" s="453"/>
      <c r="VRG78" s="449"/>
      <c r="VRH78" s="450"/>
      <c r="VRI78" s="454"/>
      <c r="VRJ78" s="448"/>
      <c r="VRL78" s="449"/>
      <c r="VRM78" s="450"/>
      <c r="VRN78" s="452"/>
      <c r="VRO78" s="448"/>
      <c r="VRQ78" s="449"/>
      <c r="VRR78" s="450"/>
      <c r="VRS78" s="447"/>
      <c r="VRT78" s="448"/>
      <c r="VRV78" s="449"/>
      <c r="VRW78" s="450"/>
      <c r="VRX78" s="452"/>
      <c r="VRY78" s="448"/>
      <c r="VRZ78" s="449"/>
      <c r="VSA78" s="450"/>
      <c r="VSB78" s="452"/>
      <c r="VSC78" s="448"/>
      <c r="VSD78" s="455"/>
      <c r="VSE78" s="449"/>
      <c r="VSF78" s="450"/>
      <c r="VSG78" s="459"/>
      <c r="VSH78" s="448"/>
      <c r="VSI78" s="456"/>
      <c r="VSJ78" s="449"/>
      <c r="VSK78" s="450"/>
      <c r="VSL78" s="452"/>
      <c r="VSM78" s="448"/>
      <c r="VSN78" s="449"/>
      <c r="VSO78" s="450"/>
      <c r="VSP78" s="452"/>
      <c r="VSQ78" s="448"/>
      <c r="VSR78" s="449"/>
      <c r="VSS78" s="450"/>
      <c r="VST78" s="447"/>
      <c r="VSU78" s="448"/>
      <c r="VSV78" s="457"/>
      <c r="VSW78" s="460"/>
      <c r="VSX78" s="450"/>
      <c r="VSY78" s="461"/>
      <c r="VSZ78" s="448"/>
      <c r="VTA78" s="456"/>
      <c r="VTB78" s="449"/>
      <c r="VTC78" s="450"/>
      <c r="VTD78" s="452"/>
      <c r="VTE78" s="448"/>
      <c r="VTF78" s="456"/>
      <c r="VTG78" s="458"/>
      <c r="VTH78" s="458"/>
      <c r="VTJ78" s="454"/>
      <c r="VTK78" s="450"/>
      <c r="VTL78" s="454"/>
      <c r="VTM78" s="448"/>
      <c r="VTN78" s="449"/>
      <c r="VTO78" s="450"/>
      <c r="VTP78" s="447"/>
      <c r="VTQ78" s="448"/>
      <c r="VTR78" s="449"/>
      <c r="VTS78" s="450"/>
      <c r="VTT78" s="447"/>
      <c r="VTU78" s="451"/>
      <c r="VTV78" s="449"/>
      <c r="VTW78" s="450"/>
      <c r="VTX78" s="447"/>
      <c r="VTY78" s="451"/>
      <c r="VTZ78" s="449"/>
      <c r="VUA78" s="450"/>
      <c r="VUB78" s="447"/>
      <c r="VUC78" s="451"/>
      <c r="VUD78" s="449"/>
      <c r="VUE78" s="450"/>
      <c r="VUF78" s="452"/>
      <c r="VUG78" s="451"/>
      <c r="VUH78" s="449"/>
      <c r="VUI78" s="450"/>
      <c r="VUJ78" s="447"/>
      <c r="VUK78" s="448"/>
      <c r="VUL78" s="453"/>
      <c r="VUM78" s="449"/>
      <c r="VUN78" s="450"/>
      <c r="VUO78" s="454"/>
      <c r="VUP78" s="448"/>
      <c r="VUR78" s="449"/>
      <c r="VUS78" s="450"/>
      <c r="VUT78" s="452"/>
      <c r="VUU78" s="448"/>
      <c r="VUW78" s="449"/>
      <c r="VUX78" s="450"/>
      <c r="VUY78" s="447"/>
      <c r="VUZ78" s="448"/>
      <c r="VVB78" s="449"/>
      <c r="VVC78" s="450"/>
      <c r="VVD78" s="452"/>
      <c r="VVE78" s="448"/>
      <c r="VVF78" s="449"/>
      <c r="VVG78" s="450"/>
      <c r="VVH78" s="452"/>
      <c r="VVI78" s="448"/>
      <c r="VVJ78" s="455"/>
      <c r="VVK78" s="449"/>
      <c r="VVL78" s="450"/>
      <c r="VVM78" s="459"/>
      <c r="VVN78" s="448"/>
      <c r="VVO78" s="456"/>
      <c r="VVP78" s="449"/>
      <c r="VVQ78" s="450"/>
      <c r="VVR78" s="452"/>
      <c r="VVS78" s="448"/>
      <c r="VVT78" s="449"/>
      <c r="VVU78" s="450"/>
      <c r="VVV78" s="452"/>
      <c r="VVW78" s="448"/>
      <c r="VVX78" s="449"/>
      <c r="VVY78" s="450"/>
      <c r="VVZ78" s="447"/>
      <c r="VWA78" s="448"/>
      <c r="VWB78" s="457"/>
      <c r="VWC78" s="460"/>
      <c r="VWD78" s="450"/>
      <c r="VWE78" s="461"/>
      <c r="VWF78" s="448"/>
      <c r="VWG78" s="456"/>
      <c r="VWH78" s="449"/>
      <c r="VWI78" s="450"/>
      <c r="VWJ78" s="452"/>
      <c r="VWK78" s="448"/>
      <c r="VWL78" s="456"/>
      <c r="VWM78" s="458"/>
      <c r="VWN78" s="458"/>
      <c r="VWP78" s="454"/>
      <c r="VWQ78" s="450"/>
      <c r="VWR78" s="454"/>
      <c r="VWS78" s="448"/>
      <c r="VWT78" s="449"/>
      <c r="VWU78" s="450"/>
      <c r="VWV78" s="447"/>
      <c r="VWW78" s="448"/>
      <c r="VWX78" s="449"/>
      <c r="VWY78" s="450"/>
      <c r="VWZ78" s="447"/>
      <c r="VXA78" s="451"/>
      <c r="VXB78" s="449"/>
      <c r="VXC78" s="450"/>
      <c r="VXD78" s="447"/>
      <c r="VXE78" s="451"/>
      <c r="VXF78" s="449"/>
      <c r="VXG78" s="450"/>
      <c r="VXH78" s="447"/>
      <c r="VXI78" s="451"/>
      <c r="VXJ78" s="449"/>
      <c r="VXK78" s="450"/>
      <c r="VXL78" s="452"/>
      <c r="VXM78" s="451"/>
      <c r="VXN78" s="449"/>
      <c r="VXO78" s="450"/>
      <c r="VXP78" s="447"/>
      <c r="VXQ78" s="448"/>
      <c r="VXR78" s="453"/>
      <c r="VXS78" s="449"/>
      <c r="VXT78" s="450"/>
      <c r="VXU78" s="454"/>
      <c r="VXV78" s="448"/>
      <c r="VXX78" s="449"/>
      <c r="VXY78" s="450"/>
      <c r="VXZ78" s="452"/>
      <c r="VYA78" s="448"/>
      <c r="VYC78" s="449"/>
      <c r="VYD78" s="450"/>
      <c r="VYE78" s="447"/>
      <c r="VYF78" s="448"/>
      <c r="VYH78" s="449"/>
      <c r="VYI78" s="450"/>
      <c r="VYJ78" s="452"/>
      <c r="VYK78" s="448"/>
      <c r="VYL78" s="449"/>
      <c r="VYM78" s="450"/>
      <c r="VYN78" s="452"/>
      <c r="VYO78" s="448"/>
      <c r="VYP78" s="455"/>
      <c r="VYQ78" s="449"/>
      <c r="VYR78" s="450"/>
      <c r="VYS78" s="459"/>
      <c r="VYT78" s="448"/>
      <c r="VYU78" s="456"/>
      <c r="VYV78" s="449"/>
      <c r="VYW78" s="450"/>
      <c r="VYX78" s="452"/>
      <c r="VYY78" s="448"/>
      <c r="VYZ78" s="449"/>
      <c r="VZA78" s="450"/>
      <c r="VZB78" s="452"/>
      <c r="VZC78" s="448"/>
      <c r="VZD78" s="449"/>
      <c r="VZE78" s="450"/>
      <c r="VZF78" s="447"/>
      <c r="VZG78" s="448"/>
      <c r="VZH78" s="457"/>
      <c r="VZI78" s="460"/>
      <c r="VZJ78" s="450"/>
      <c r="VZK78" s="461"/>
      <c r="VZL78" s="448"/>
      <c r="VZM78" s="456"/>
      <c r="VZN78" s="449"/>
      <c r="VZO78" s="450"/>
      <c r="VZP78" s="452"/>
      <c r="VZQ78" s="448"/>
      <c r="VZR78" s="456"/>
      <c r="VZS78" s="458"/>
      <c r="VZT78" s="458"/>
      <c r="VZV78" s="454"/>
      <c r="VZW78" s="450"/>
      <c r="VZX78" s="454"/>
      <c r="VZY78" s="448"/>
      <c r="VZZ78" s="449"/>
      <c r="WAA78" s="450"/>
      <c r="WAB78" s="447"/>
      <c r="WAC78" s="448"/>
      <c r="WAD78" s="449"/>
      <c r="WAE78" s="450"/>
      <c r="WAF78" s="447"/>
      <c r="WAG78" s="451"/>
      <c r="WAH78" s="449"/>
      <c r="WAI78" s="450"/>
      <c r="WAJ78" s="447"/>
      <c r="WAK78" s="451"/>
      <c r="WAL78" s="449"/>
      <c r="WAM78" s="450"/>
      <c r="WAN78" s="447"/>
      <c r="WAO78" s="451"/>
      <c r="WAP78" s="449"/>
      <c r="WAQ78" s="450"/>
      <c r="WAR78" s="452"/>
      <c r="WAS78" s="451"/>
      <c r="WAT78" s="449"/>
      <c r="WAU78" s="450"/>
      <c r="WAV78" s="447"/>
      <c r="WAW78" s="448"/>
      <c r="WAX78" s="453"/>
      <c r="WAY78" s="449"/>
      <c r="WAZ78" s="450"/>
      <c r="WBA78" s="454"/>
      <c r="WBB78" s="448"/>
      <c r="WBD78" s="449"/>
      <c r="WBE78" s="450"/>
      <c r="WBF78" s="452"/>
      <c r="WBG78" s="448"/>
      <c r="WBI78" s="449"/>
      <c r="WBJ78" s="450"/>
      <c r="WBK78" s="447"/>
      <c r="WBL78" s="448"/>
      <c r="WBN78" s="449"/>
      <c r="WBO78" s="450"/>
      <c r="WBP78" s="452"/>
      <c r="WBQ78" s="448"/>
      <c r="WBR78" s="449"/>
      <c r="WBS78" s="450"/>
      <c r="WBT78" s="452"/>
      <c r="WBU78" s="448"/>
      <c r="WBV78" s="455"/>
      <c r="WBW78" s="449"/>
      <c r="WBX78" s="450"/>
      <c r="WBY78" s="459"/>
      <c r="WBZ78" s="448"/>
      <c r="WCA78" s="456"/>
      <c r="WCB78" s="449"/>
      <c r="WCC78" s="450"/>
      <c r="WCD78" s="452"/>
      <c r="WCE78" s="448"/>
      <c r="WCF78" s="449"/>
      <c r="WCG78" s="450"/>
      <c r="WCH78" s="452"/>
      <c r="WCI78" s="448"/>
      <c r="WCJ78" s="449"/>
      <c r="WCK78" s="450"/>
      <c r="WCL78" s="447"/>
      <c r="WCM78" s="448"/>
      <c r="WCN78" s="457"/>
      <c r="WCO78" s="460"/>
      <c r="WCP78" s="450"/>
      <c r="WCQ78" s="461"/>
      <c r="WCR78" s="448"/>
      <c r="WCS78" s="456"/>
      <c r="WCT78" s="449"/>
      <c r="WCU78" s="450"/>
      <c r="WCV78" s="452"/>
      <c r="WCW78" s="448"/>
      <c r="WCX78" s="456"/>
      <c r="WCY78" s="458"/>
      <c r="WCZ78" s="458"/>
      <c r="WDB78" s="454"/>
      <c r="WDC78" s="450"/>
      <c r="WDD78" s="454"/>
      <c r="WDE78" s="448"/>
      <c r="WDF78" s="449"/>
      <c r="WDG78" s="450"/>
      <c r="WDH78" s="447"/>
      <c r="WDI78" s="448"/>
      <c r="WDJ78" s="449"/>
      <c r="WDK78" s="450"/>
      <c r="WDL78" s="447"/>
      <c r="WDM78" s="451"/>
      <c r="WDN78" s="449"/>
      <c r="WDO78" s="450"/>
      <c r="WDP78" s="447"/>
      <c r="WDQ78" s="451"/>
      <c r="WDR78" s="449"/>
      <c r="WDS78" s="450"/>
      <c r="WDT78" s="447"/>
      <c r="WDU78" s="451"/>
      <c r="WDV78" s="449"/>
      <c r="WDW78" s="450"/>
      <c r="WDX78" s="452"/>
      <c r="WDY78" s="451"/>
      <c r="WDZ78" s="449"/>
      <c r="WEA78" s="450"/>
      <c r="WEB78" s="447"/>
      <c r="WEC78" s="448"/>
      <c r="WED78" s="453"/>
      <c r="WEE78" s="449"/>
      <c r="WEF78" s="450"/>
      <c r="WEG78" s="454"/>
      <c r="WEH78" s="448"/>
      <c r="WEJ78" s="449"/>
      <c r="WEK78" s="450"/>
      <c r="WEL78" s="452"/>
      <c r="WEM78" s="448"/>
      <c r="WEO78" s="449"/>
      <c r="WEP78" s="450"/>
      <c r="WEQ78" s="447"/>
      <c r="WER78" s="448"/>
      <c r="WET78" s="449"/>
      <c r="WEU78" s="450"/>
      <c r="WEV78" s="452"/>
      <c r="WEW78" s="448"/>
      <c r="WEX78" s="449"/>
      <c r="WEY78" s="450"/>
      <c r="WEZ78" s="452"/>
      <c r="WFA78" s="448"/>
      <c r="WFB78" s="455"/>
      <c r="WFC78" s="449"/>
      <c r="WFD78" s="450"/>
      <c r="WFE78" s="459"/>
      <c r="WFF78" s="448"/>
      <c r="WFG78" s="456"/>
      <c r="WFH78" s="449"/>
      <c r="WFI78" s="450"/>
      <c r="WFJ78" s="452"/>
      <c r="WFK78" s="448"/>
      <c r="WFL78" s="449"/>
      <c r="WFM78" s="450"/>
      <c r="WFN78" s="452"/>
      <c r="WFO78" s="448"/>
      <c r="WFP78" s="449"/>
      <c r="WFQ78" s="450"/>
      <c r="WFR78" s="447"/>
      <c r="WFS78" s="448"/>
      <c r="WFT78" s="457"/>
      <c r="WFU78" s="460"/>
      <c r="WFV78" s="450"/>
      <c r="WFW78" s="461"/>
      <c r="WFX78" s="448"/>
      <c r="WFY78" s="456"/>
      <c r="WFZ78" s="449"/>
      <c r="WGA78" s="450"/>
      <c r="WGB78" s="452"/>
      <c r="WGC78" s="448"/>
      <c r="WGD78" s="456"/>
      <c r="WGE78" s="458"/>
      <c r="WGF78" s="458"/>
      <c r="WGH78" s="454"/>
      <c r="WGI78" s="450"/>
      <c r="WGJ78" s="454"/>
      <c r="WGK78" s="448"/>
      <c r="WGL78" s="449"/>
      <c r="WGM78" s="450"/>
      <c r="WGN78" s="447"/>
      <c r="WGO78" s="448"/>
      <c r="WGP78" s="449"/>
      <c r="WGQ78" s="450"/>
      <c r="WGR78" s="447"/>
      <c r="WGS78" s="451"/>
      <c r="WGT78" s="449"/>
      <c r="WGU78" s="450"/>
      <c r="WGV78" s="447"/>
      <c r="WGW78" s="451"/>
      <c r="WGX78" s="449"/>
      <c r="WGY78" s="450"/>
      <c r="WGZ78" s="447"/>
      <c r="WHA78" s="451"/>
      <c r="WHB78" s="449"/>
      <c r="WHC78" s="450"/>
      <c r="WHD78" s="452"/>
      <c r="WHE78" s="451"/>
      <c r="WHF78" s="449"/>
      <c r="WHG78" s="450"/>
      <c r="WHH78" s="447"/>
      <c r="WHI78" s="448"/>
      <c r="WHJ78" s="453"/>
      <c r="WHK78" s="449"/>
      <c r="WHL78" s="450"/>
      <c r="WHM78" s="454"/>
      <c r="WHN78" s="448"/>
      <c r="WHP78" s="449"/>
      <c r="WHQ78" s="450"/>
      <c r="WHR78" s="452"/>
      <c r="WHS78" s="448"/>
      <c r="WHU78" s="449"/>
      <c r="WHV78" s="450"/>
      <c r="WHW78" s="447"/>
      <c r="WHX78" s="448"/>
      <c r="WHZ78" s="449"/>
      <c r="WIA78" s="450"/>
      <c r="WIB78" s="452"/>
      <c r="WIC78" s="448"/>
      <c r="WID78" s="449"/>
      <c r="WIE78" s="450"/>
      <c r="WIF78" s="452"/>
      <c r="WIG78" s="448"/>
      <c r="WIH78" s="455"/>
      <c r="WII78" s="449"/>
      <c r="WIJ78" s="450"/>
      <c r="WIK78" s="459"/>
      <c r="WIL78" s="448"/>
      <c r="WIM78" s="456"/>
      <c r="WIN78" s="449"/>
      <c r="WIO78" s="450"/>
      <c r="WIP78" s="452"/>
      <c r="WIQ78" s="448"/>
      <c r="WIR78" s="449"/>
      <c r="WIS78" s="450"/>
      <c r="WIT78" s="452"/>
      <c r="WIU78" s="448"/>
      <c r="WIV78" s="449"/>
      <c r="WIW78" s="450"/>
      <c r="WIX78" s="447"/>
      <c r="WIY78" s="448"/>
      <c r="WIZ78" s="457"/>
      <c r="WJA78" s="460"/>
      <c r="WJB78" s="450"/>
      <c r="WJC78" s="461"/>
      <c r="WJD78" s="448"/>
      <c r="WJE78" s="456"/>
      <c r="WJF78" s="449"/>
      <c r="WJG78" s="450"/>
      <c r="WJH78" s="452"/>
      <c r="WJI78" s="448"/>
      <c r="WJJ78" s="456"/>
      <c r="WJK78" s="458"/>
      <c r="WJL78" s="458"/>
      <c r="WJN78" s="454"/>
      <c r="WJO78" s="450"/>
      <c r="WJP78" s="454"/>
      <c r="WJQ78" s="448"/>
      <c r="WJR78" s="449"/>
      <c r="WJS78" s="450"/>
      <c r="WJT78" s="447"/>
      <c r="WJU78" s="448"/>
      <c r="WJV78" s="449"/>
      <c r="WJW78" s="450"/>
      <c r="WJX78" s="447"/>
      <c r="WJY78" s="451"/>
      <c r="WJZ78" s="449"/>
      <c r="WKA78" s="450"/>
      <c r="WKB78" s="447"/>
      <c r="WKC78" s="451"/>
      <c r="WKD78" s="449"/>
      <c r="WKE78" s="450"/>
      <c r="WKF78" s="447"/>
      <c r="WKG78" s="451"/>
      <c r="WKH78" s="449"/>
      <c r="WKI78" s="450"/>
      <c r="WKJ78" s="452"/>
      <c r="WKK78" s="451"/>
      <c r="WKL78" s="449"/>
      <c r="WKM78" s="450"/>
      <c r="WKN78" s="447"/>
      <c r="WKO78" s="448"/>
      <c r="WKP78" s="453"/>
      <c r="WKQ78" s="449"/>
      <c r="WKR78" s="450"/>
      <c r="WKS78" s="454"/>
      <c r="WKT78" s="448"/>
      <c r="WKV78" s="449"/>
      <c r="WKW78" s="450"/>
      <c r="WKX78" s="452"/>
      <c r="WKY78" s="448"/>
      <c r="WLA78" s="449"/>
      <c r="WLB78" s="450"/>
      <c r="WLC78" s="447"/>
      <c r="WLD78" s="448"/>
      <c r="WLF78" s="449"/>
      <c r="WLG78" s="450"/>
      <c r="WLH78" s="452"/>
      <c r="WLI78" s="448"/>
      <c r="WLJ78" s="449"/>
      <c r="WLK78" s="450"/>
      <c r="WLL78" s="452"/>
      <c r="WLM78" s="448"/>
      <c r="WLN78" s="455"/>
      <c r="WLO78" s="449"/>
      <c r="WLP78" s="450"/>
      <c r="WLQ78" s="459"/>
      <c r="WLR78" s="448"/>
      <c r="WLS78" s="456"/>
      <c r="WLT78" s="449"/>
      <c r="WLU78" s="450"/>
      <c r="WLV78" s="452"/>
      <c r="WLW78" s="448"/>
      <c r="WLX78" s="449"/>
      <c r="WLY78" s="450"/>
      <c r="WLZ78" s="452"/>
      <c r="WMA78" s="448"/>
      <c r="WMB78" s="449"/>
      <c r="WMC78" s="450"/>
      <c r="WMD78" s="447"/>
      <c r="WME78" s="448"/>
      <c r="WMF78" s="457"/>
      <c r="WMG78" s="460"/>
      <c r="WMH78" s="450"/>
      <c r="WMI78" s="461"/>
      <c r="WMJ78" s="448"/>
      <c r="WMK78" s="456"/>
      <c r="WML78" s="449"/>
      <c r="WMM78" s="450"/>
      <c r="WMN78" s="452"/>
      <c r="WMO78" s="448"/>
      <c r="WMP78" s="456"/>
      <c r="WMQ78" s="458"/>
      <c r="WMR78" s="458"/>
      <c r="WMT78" s="454"/>
      <c r="WMU78" s="450"/>
      <c r="WMV78" s="454"/>
      <c r="WMW78" s="448"/>
      <c r="WMX78" s="449"/>
      <c r="WMY78" s="450"/>
      <c r="WMZ78" s="447"/>
      <c r="WNA78" s="448"/>
      <c r="WNB78" s="449"/>
      <c r="WNC78" s="450"/>
      <c r="WND78" s="447"/>
      <c r="WNE78" s="451"/>
      <c r="WNF78" s="449"/>
      <c r="WNG78" s="450"/>
      <c r="WNH78" s="447"/>
      <c r="WNI78" s="451"/>
      <c r="WNJ78" s="449"/>
      <c r="WNK78" s="450"/>
      <c r="WNL78" s="447"/>
      <c r="WNM78" s="451"/>
      <c r="WNN78" s="449"/>
      <c r="WNO78" s="450"/>
      <c r="WNP78" s="452"/>
      <c r="WNQ78" s="451"/>
      <c r="WNR78" s="449"/>
      <c r="WNS78" s="450"/>
      <c r="WNT78" s="447"/>
      <c r="WNU78" s="448"/>
      <c r="WNV78" s="453"/>
      <c r="WNW78" s="449"/>
      <c r="WNX78" s="450"/>
      <c r="WNY78" s="454"/>
      <c r="WNZ78" s="448"/>
      <c r="WOB78" s="449"/>
      <c r="WOC78" s="450"/>
      <c r="WOD78" s="452"/>
      <c r="WOE78" s="448"/>
      <c r="WOG78" s="449"/>
      <c r="WOH78" s="450"/>
      <c r="WOI78" s="447"/>
      <c r="WOJ78" s="448"/>
      <c r="WOL78" s="449"/>
      <c r="WOM78" s="450"/>
      <c r="WON78" s="452"/>
      <c r="WOO78" s="448"/>
      <c r="WOP78" s="449"/>
      <c r="WOQ78" s="450"/>
      <c r="WOR78" s="452"/>
      <c r="WOS78" s="448"/>
      <c r="WOT78" s="455"/>
      <c r="WOU78" s="449"/>
      <c r="WOV78" s="450"/>
      <c r="WOW78" s="459"/>
      <c r="WOX78" s="448"/>
      <c r="WOY78" s="456"/>
      <c r="WOZ78" s="449"/>
      <c r="WPA78" s="450"/>
      <c r="WPB78" s="452"/>
      <c r="WPC78" s="448"/>
      <c r="WPD78" s="449"/>
      <c r="WPE78" s="450"/>
      <c r="WPF78" s="452"/>
      <c r="WPG78" s="448"/>
      <c r="WPH78" s="449"/>
      <c r="WPI78" s="450"/>
      <c r="WPJ78" s="447"/>
      <c r="WPK78" s="448"/>
      <c r="WPL78" s="457"/>
      <c r="WPM78" s="460"/>
      <c r="WPN78" s="450"/>
      <c r="WPO78" s="461"/>
      <c r="WPP78" s="448"/>
      <c r="WPQ78" s="456"/>
      <c r="WPR78" s="449"/>
      <c r="WPS78" s="450"/>
      <c r="WPT78" s="452"/>
      <c r="WPU78" s="448"/>
      <c r="WPV78" s="456"/>
      <c r="WPW78" s="458"/>
      <c r="WPX78" s="458"/>
      <c r="WPZ78" s="454"/>
      <c r="WQA78" s="450"/>
      <c r="WQB78" s="454"/>
      <c r="WQC78" s="448"/>
      <c r="WQD78" s="449"/>
      <c r="WQE78" s="450"/>
      <c r="WQF78" s="447"/>
      <c r="WQG78" s="448"/>
      <c r="WQH78" s="449"/>
      <c r="WQI78" s="450"/>
      <c r="WQJ78" s="447"/>
      <c r="WQK78" s="451"/>
      <c r="WQL78" s="449"/>
      <c r="WQM78" s="450"/>
      <c r="WQN78" s="447"/>
      <c r="WQO78" s="451"/>
      <c r="WQP78" s="449"/>
      <c r="WQQ78" s="450"/>
      <c r="WQR78" s="447"/>
      <c r="WQS78" s="451"/>
      <c r="WQT78" s="449"/>
      <c r="WQU78" s="450"/>
      <c r="WQV78" s="452"/>
      <c r="WQW78" s="451"/>
      <c r="WQX78" s="449"/>
      <c r="WQY78" s="450"/>
      <c r="WQZ78" s="447"/>
      <c r="WRA78" s="448"/>
      <c r="WRB78" s="453"/>
      <c r="WRC78" s="449"/>
      <c r="WRD78" s="450"/>
      <c r="WRE78" s="454"/>
      <c r="WRF78" s="448"/>
      <c r="WRH78" s="449"/>
      <c r="WRI78" s="450"/>
      <c r="WRJ78" s="452"/>
      <c r="WRK78" s="448"/>
      <c r="WRM78" s="449"/>
      <c r="WRN78" s="450"/>
      <c r="WRO78" s="447"/>
      <c r="WRP78" s="448"/>
      <c r="WRR78" s="449"/>
      <c r="WRS78" s="450"/>
      <c r="WRT78" s="452"/>
      <c r="WRU78" s="448"/>
      <c r="WRV78" s="449"/>
      <c r="WRW78" s="450"/>
      <c r="WRX78" s="452"/>
      <c r="WRY78" s="448"/>
      <c r="WRZ78" s="455"/>
      <c r="WSA78" s="449"/>
      <c r="WSB78" s="450"/>
      <c r="WSC78" s="459"/>
      <c r="WSD78" s="448"/>
      <c r="WSE78" s="456"/>
      <c r="WSF78" s="449"/>
      <c r="WSG78" s="450"/>
      <c r="WSH78" s="452"/>
      <c r="WSI78" s="448"/>
      <c r="WSJ78" s="449"/>
      <c r="WSK78" s="450"/>
      <c r="WSL78" s="452"/>
      <c r="WSM78" s="448"/>
      <c r="WSN78" s="449"/>
      <c r="WSO78" s="450"/>
      <c r="WSP78" s="447"/>
      <c r="WSQ78" s="448"/>
      <c r="WSR78" s="457"/>
      <c r="WSS78" s="460"/>
      <c r="WST78" s="450"/>
      <c r="WSU78" s="461"/>
      <c r="WSV78" s="448"/>
      <c r="WSW78" s="456"/>
      <c r="WSX78" s="449"/>
      <c r="WSY78" s="450"/>
      <c r="WSZ78" s="452"/>
      <c r="WTA78" s="448"/>
      <c r="WTB78" s="456"/>
      <c r="WTC78" s="458"/>
      <c r="WTD78" s="458"/>
      <c r="WTF78" s="454"/>
      <c r="WTG78" s="450"/>
      <c r="WTH78" s="454"/>
      <c r="WTI78" s="448"/>
      <c r="WTJ78" s="449"/>
      <c r="WTK78" s="450"/>
      <c r="WTL78" s="447"/>
      <c r="WTM78" s="448"/>
      <c r="WTN78" s="449"/>
      <c r="WTO78" s="450"/>
      <c r="WTP78" s="447"/>
      <c r="WTQ78" s="451"/>
      <c r="WTR78" s="449"/>
      <c r="WTS78" s="450"/>
      <c r="WTT78" s="447"/>
      <c r="WTU78" s="451"/>
      <c r="WTV78" s="449"/>
      <c r="WTW78" s="450"/>
      <c r="WTX78" s="447"/>
      <c r="WTY78" s="451"/>
      <c r="WTZ78" s="449"/>
      <c r="WUA78" s="450"/>
      <c r="WUB78" s="452"/>
      <c r="WUC78" s="451"/>
      <c r="WUD78" s="449"/>
      <c r="WUE78" s="450"/>
      <c r="WUF78" s="447"/>
      <c r="WUG78" s="448"/>
      <c r="WUH78" s="453"/>
      <c r="WUI78" s="449"/>
      <c r="WUJ78" s="450"/>
      <c r="WUK78" s="454"/>
      <c r="WUL78" s="448"/>
      <c r="WUN78" s="449"/>
      <c r="WUO78" s="450"/>
      <c r="WUP78" s="452"/>
      <c r="WUQ78" s="448"/>
      <c r="WUS78" s="449"/>
      <c r="WUT78" s="450"/>
      <c r="WUU78" s="447"/>
      <c r="WUV78" s="448"/>
      <c r="WUX78" s="449"/>
      <c r="WUY78" s="450"/>
      <c r="WUZ78" s="452"/>
      <c r="WVA78" s="448"/>
      <c r="WVB78" s="449"/>
      <c r="WVC78" s="450"/>
      <c r="WVD78" s="452"/>
      <c r="WVE78" s="448"/>
      <c r="WVF78" s="455"/>
      <c r="WVG78" s="449"/>
      <c r="WVH78" s="450"/>
      <c r="WVI78" s="459"/>
      <c r="WVJ78" s="448"/>
      <c r="WVK78" s="456"/>
      <c r="WVL78" s="449"/>
      <c r="WVM78" s="450"/>
      <c r="WVN78" s="452"/>
      <c r="WVO78" s="448"/>
      <c r="WVP78" s="449"/>
      <c r="WVQ78" s="450"/>
      <c r="WVR78" s="452"/>
      <c r="WVS78" s="448"/>
      <c r="WVT78" s="449"/>
      <c r="WVU78" s="450"/>
      <c r="WVV78" s="447"/>
      <c r="WVW78" s="448"/>
      <c r="WVX78" s="457"/>
      <c r="WVY78" s="460"/>
      <c r="WVZ78" s="450"/>
      <c r="WWA78" s="461"/>
      <c r="WWB78" s="448"/>
      <c r="WWC78" s="456"/>
      <c r="WWD78" s="449"/>
      <c r="WWE78" s="450"/>
      <c r="WWF78" s="452"/>
      <c r="WWG78" s="448"/>
      <c r="WWH78" s="456"/>
      <c r="WWI78" s="458"/>
      <c r="WWJ78" s="458"/>
      <c r="WWL78" s="454"/>
      <c r="WWM78" s="450"/>
      <c r="WWN78" s="454"/>
      <c r="WWO78" s="448"/>
      <c r="WWP78" s="449"/>
      <c r="WWQ78" s="450"/>
      <c r="WWR78" s="447"/>
      <c r="WWS78" s="448"/>
      <c r="WWT78" s="449"/>
      <c r="WWU78" s="450"/>
      <c r="WWV78" s="447"/>
      <c r="WWW78" s="451"/>
      <c r="WWX78" s="449"/>
      <c r="WWY78" s="450"/>
      <c r="WWZ78" s="447"/>
      <c r="WXA78" s="451"/>
      <c r="WXB78" s="449"/>
      <c r="WXC78" s="450"/>
      <c r="WXD78" s="447"/>
      <c r="WXE78" s="451"/>
      <c r="WXF78" s="449"/>
      <c r="WXG78" s="450"/>
      <c r="WXH78" s="452"/>
      <c r="WXI78" s="451"/>
      <c r="WXJ78" s="449"/>
      <c r="WXK78" s="450"/>
      <c r="WXL78" s="447"/>
      <c r="WXM78" s="448"/>
      <c r="WXN78" s="453"/>
      <c r="WXO78" s="449"/>
      <c r="WXP78" s="450"/>
      <c r="WXQ78" s="454"/>
      <c r="WXR78" s="448"/>
      <c r="WXT78" s="449"/>
      <c r="WXU78" s="450"/>
      <c r="WXV78" s="452"/>
      <c r="WXW78" s="448"/>
      <c r="WXY78" s="449"/>
      <c r="WXZ78" s="450"/>
      <c r="WYA78" s="447"/>
      <c r="WYB78" s="448"/>
      <c r="WYD78" s="449"/>
      <c r="WYE78" s="450"/>
      <c r="WYF78" s="452"/>
      <c r="WYG78" s="448"/>
      <c r="WYH78" s="449"/>
      <c r="WYI78" s="450"/>
      <c r="WYJ78" s="452"/>
      <c r="WYK78" s="448"/>
      <c r="WYL78" s="455"/>
      <c r="WYM78" s="449"/>
      <c r="WYN78" s="450"/>
      <c r="WYO78" s="459"/>
      <c r="WYP78" s="448"/>
      <c r="WYQ78" s="456"/>
      <c r="WYR78" s="449"/>
      <c r="WYS78" s="450"/>
      <c r="WYT78" s="452"/>
      <c r="WYU78" s="448"/>
      <c r="WYV78" s="449"/>
      <c r="WYW78" s="450"/>
      <c r="WYX78" s="452"/>
      <c r="WYY78" s="448"/>
      <c r="WYZ78" s="449"/>
      <c r="WZA78" s="450"/>
      <c r="WZB78" s="447"/>
      <c r="WZC78" s="448"/>
      <c r="WZD78" s="457"/>
      <c r="WZE78" s="460"/>
      <c r="WZF78" s="450"/>
      <c r="WZG78" s="461"/>
      <c r="WZH78" s="448"/>
      <c r="WZI78" s="456"/>
      <c r="WZJ78" s="449"/>
      <c r="WZK78" s="450"/>
      <c r="WZL78" s="452"/>
      <c r="WZM78" s="448"/>
      <c r="WZN78" s="456"/>
      <c r="WZO78" s="458"/>
      <c r="WZP78" s="458"/>
      <c r="WZR78" s="454"/>
      <c r="WZS78" s="450"/>
      <c r="WZT78" s="454"/>
      <c r="WZU78" s="448"/>
      <c r="WZV78" s="449"/>
      <c r="WZW78" s="450"/>
      <c r="WZX78" s="447"/>
      <c r="WZY78" s="448"/>
      <c r="WZZ78" s="449"/>
      <c r="XAA78" s="450"/>
      <c r="XAB78" s="447"/>
      <c r="XAC78" s="451"/>
      <c r="XAD78" s="449"/>
      <c r="XAE78" s="450"/>
      <c r="XAF78" s="447"/>
      <c r="XAG78" s="451"/>
      <c r="XAH78" s="449"/>
      <c r="XAI78" s="450"/>
      <c r="XAJ78" s="447"/>
      <c r="XAK78" s="451"/>
      <c r="XAL78" s="449"/>
      <c r="XAM78" s="450"/>
      <c r="XAN78" s="452"/>
      <c r="XAO78" s="451"/>
      <c r="XAP78" s="449"/>
      <c r="XAQ78" s="450"/>
      <c r="XAR78" s="447"/>
      <c r="XAS78" s="448"/>
      <c r="XAT78" s="453"/>
      <c r="XAU78" s="449"/>
      <c r="XAV78" s="450"/>
      <c r="XAW78" s="454"/>
      <c r="XAX78" s="448"/>
      <c r="XAZ78" s="449"/>
      <c r="XBA78" s="450"/>
      <c r="XBB78" s="452"/>
      <c r="XBC78" s="448"/>
      <c r="XBE78" s="449"/>
      <c r="XBF78" s="450"/>
      <c r="XBG78" s="447"/>
      <c r="XBH78" s="448"/>
      <c r="XBJ78" s="449"/>
      <c r="XBK78" s="450"/>
      <c r="XBL78" s="452"/>
      <c r="XBM78" s="448"/>
      <c r="XBN78" s="449"/>
      <c r="XBO78" s="450"/>
      <c r="XBP78" s="452"/>
      <c r="XBQ78" s="448"/>
      <c r="XBR78" s="455"/>
      <c r="XBS78" s="449"/>
      <c r="XBT78" s="450"/>
      <c r="XBU78" s="459"/>
      <c r="XBV78" s="448"/>
      <c r="XBW78" s="456"/>
      <c r="XBX78" s="449"/>
      <c r="XBY78" s="450"/>
      <c r="XBZ78" s="452"/>
      <c r="XCA78" s="448"/>
      <c r="XCB78" s="449"/>
      <c r="XCC78" s="450"/>
      <c r="XCD78" s="452"/>
      <c r="XCE78" s="448"/>
      <c r="XCF78" s="449"/>
      <c r="XCG78" s="450"/>
      <c r="XCH78" s="447"/>
      <c r="XCI78" s="448"/>
      <c r="XCJ78" s="457"/>
      <c r="XCK78" s="460"/>
      <c r="XCL78" s="450"/>
      <c r="XCM78" s="461"/>
      <c r="XCN78" s="448"/>
      <c r="XCO78" s="456"/>
      <c r="XCP78" s="449"/>
      <c r="XCQ78" s="450"/>
      <c r="XCR78" s="452"/>
      <c r="XCS78" s="448"/>
      <c r="XCT78" s="456"/>
      <c r="XCU78" s="458"/>
      <c r="XCV78" s="458"/>
      <c r="XCX78" s="454"/>
      <c r="XCY78" s="450"/>
      <c r="XCZ78" s="454"/>
      <c r="XDA78" s="448"/>
      <c r="XDB78" s="449"/>
      <c r="XDC78" s="450"/>
      <c r="XDD78" s="447"/>
      <c r="XDE78" s="448"/>
    </row>
    <row r="79" spans="1:7168 7170:15360 15362:16333" s="445" customFormat="1" x14ac:dyDescent="0.35">
      <c r="B79" s="446" t="s">
        <v>527</v>
      </c>
      <c r="C79" s="180">
        <f>E79-'Apr-26'!E79</f>
        <v>6.3227911199999989</v>
      </c>
      <c r="D79" s="448">
        <f t="shared" si="223"/>
        <v>2.0239163887700901E-3</v>
      </c>
      <c r="E79" s="449">
        <f>+'common exp'!D18</f>
        <v>10.331040408</v>
      </c>
      <c r="F79" s="182">
        <f t="shared" si="1"/>
        <v>1.5989480720172145E-3</v>
      </c>
      <c r="G79" s="180">
        <f>I79-'Apr-26'!I79</f>
        <v>10.537985199999998</v>
      </c>
      <c r="H79" s="182">
        <f t="shared" si="2"/>
        <v>7.9339923082549935E-3</v>
      </c>
      <c r="I79" s="449">
        <f>+'common exp'!D19</f>
        <v>17.218400679999998</v>
      </c>
      <c r="J79" s="182">
        <f t="shared" si="3"/>
        <v>6.8611384567518743E-3</v>
      </c>
      <c r="K79" s="180">
        <f>M79-'Apr-26'!M79</f>
        <v>0</v>
      </c>
      <c r="L79" s="448">
        <f t="shared" si="224"/>
        <v>0</v>
      </c>
      <c r="M79" s="449">
        <v>0</v>
      </c>
      <c r="N79" s="448">
        <f t="shared" si="225"/>
        <v>0</v>
      </c>
      <c r="O79" s="180">
        <f>Q79-'Apr-26'!Q79</f>
        <v>6.3227911199999989</v>
      </c>
      <c r="P79" s="182">
        <f t="shared" si="4"/>
        <v>5.0905928995251763E-3</v>
      </c>
      <c r="Q79" s="449">
        <f>+'common exp'!D20</f>
        <v>10.331040408</v>
      </c>
      <c r="R79" s="182">
        <f t="shared" si="5"/>
        <v>4.7415229326023961E-3</v>
      </c>
      <c r="S79" s="180">
        <f>U79-'Apr-26'!U79</f>
        <v>-52.689925999999993</v>
      </c>
      <c r="T79" s="182"/>
      <c r="U79" s="449">
        <f>-'common exp'!D23</f>
        <v>-86.092003399999996</v>
      </c>
      <c r="V79" s="182">
        <f t="shared" si="7"/>
        <v>-1.76625917600964</v>
      </c>
      <c r="W79" s="180">
        <f>Y79-'Apr-26'!Y79</f>
        <v>0</v>
      </c>
      <c r="X79" s="182">
        <f t="shared" si="8"/>
        <v>0</v>
      </c>
      <c r="Y79" s="453">
        <v>0</v>
      </c>
      <c r="Z79" s="182">
        <f t="shared" si="9"/>
        <v>0</v>
      </c>
      <c r="AA79" s="450"/>
      <c r="AB79" s="180">
        <f>AD79-'Apr-26'!AD79</f>
        <v>-29.506358559999995</v>
      </c>
      <c r="AC79" s="182">
        <f t="shared" si="10"/>
        <v>-3.1997721564347224E-3</v>
      </c>
      <c r="AD79" s="187">
        <f>E79+I79+M79+Q79+U79+Y79</f>
        <v>-48.211521903999994</v>
      </c>
      <c r="AE79" s="182">
        <f t="shared" si="11"/>
        <v>-3.3357536914297133E-3</v>
      </c>
      <c r="AF79" s="450"/>
      <c r="AG79" s="180">
        <f>AI79-'Apr-26'!AI79</f>
        <v>7.3765896399999979</v>
      </c>
      <c r="AH79" s="182">
        <f t="shared" si="12"/>
        <v>2.007186178765456E-2</v>
      </c>
      <c r="AI79" s="464">
        <f>+'common exp'!D17</f>
        <v>12.052880475999999</v>
      </c>
      <c r="AJ79" s="449">
        <f t="shared" si="227"/>
        <v>1.6331757223523514E-2</v>
      </c>
      <c r="AK79" s="450"/>
      <c r="AL79" s="180">
        <f>AN79-'Apr-26'!AN79</f>
        <v>10.537985199999998</v>
      </c>
      <c r="AM79" s="182">
        <f t="shared" si="13"/>
        <v>8.8985374089792894E-3</v>
      </c>
      <c r="AN79" s="445">
        <f>+'common exp'!D21</f>
        <v>17.218400679999998</v>
      </c>
      <c r="AO79" s="449">
        <f t="shared" si="228"/>
        <v>7.4142204199311662E-3</v>
      </c>
      <c r="AP79" s="548"/>
      <c r="AQ79" s="180">
        <f>AS79-'Apr-26'!AS79</f>
        <v>11.591783719999995</v>
      </c>
      <c r="AR79" s="182">
        <f t="shared" si="14"/>
        <v>5.68551621630048E-3</v>
      </c>
      <c r="AS79" s="449">
        <f>+'common exp'!D22</f>
        <v>18.940240747999997</v>
      </c>
      <c r="AT79" s="450">
        <f t="shared" si="229"/>
        <v>4.8934368808826578E-3</v>
      </c>
      <c r="AU79" s="180">
        <f>AW79-'Apr-26'!AW79</f>
        <v>0</v>
      </c>
      <c r="AV79" s="448">
        <f t="shared" si="230"/>
        <v>0</v>
      </c>
      <c r="AW79" s="455">
        <f>SUMIF('05.conso TB'!A:A,'May-26'!B79,'05.conso TB'!P:P)/10^5</f>
        <v>0</v>
      </c>
      <c r="AX79" s="449">
        <f t="shared" si="231"/>
        <v>0</v>
      </c>
      <c r="AY79" s="450"/>
      <c r="AZ79" s="180">
        <f>BB79-'Apr-26'!BB79</f>
        <v>11.591783719999995</v>
      </c>
      <c r="BA79" s="182">
        <f t="shared" si="15"/>
        <v>3.8191099181264358E-3</v>
      </c>
      <c r="BB79" s="465">
        <f t="shared" si="232"/>
        <v>18.940240747999997</v>
      </c>
      <c r="BC79" s="449">
        <f t="shared" si="233"/>
        <v>3.312521034690459E-3</v>
      </c>
      <c r="BD79" s="450"/>
      <c r="BE79" s="180">
        <f>BG79-'Apr-26'!BG79</f>
        <v>0</v>
      </c>
      <c r="BF79" s="182">
        <f t="shared" si="16"/>
        <v>0</v>
      </c>
      <c r="BG79" s="449">
        <f>SUMIF('05.conso TB'!A:A,'May-26'!B79,'05.conso TB'!H:H)/10^5</f>
        <v>0</v>
      </c>
      <c r="BH79" s="450">
        <f t="shared" si="234"/>
        <v>0</v>
      </c>
      <c r="BI79" s="180">
        <f>BK79-'Apr-26'!BK79</f>
        <v>0</v>
      </c>
      <c r="BJ79" s="182">
        <f t="shared" si="17"/>
        <v>0</v>
      </c>
      <c r="BK79" s="449">
        <f>SUMIF('05.conso TB'!A:A,'May-26'!B79,'05.conso TB'!I:I)/10^5</f>
        <v>0</v>
      </c>
      <c r="BL79" s="450">
        <f t="shared" si="235"/>
        <v>0</v>
      </c>
      <c r="BM79" s="180">
        <f>BO79-'Apr-26'!BO79</f>
        <v>0</v>
      </c>
      <c r="BN79" s="448">
        <f t="shared" si="236"/>
        <v>0</v>
      </c>
      <c r="BO79" s="457">
        <f>SUMIF('05.conso TB'!A:A,'May-26'!B79,'05.conso TB'!J:J)/10^5</f>
        <v>0</v>
      </c>
      <c r="BP79" s="448">
        <f t="shared" si="237"/>
        <v>0</v>
      </c>
      <c r="BQ79" s="450"/>
      <c r="BR79" s="180">
        <f>BT79-'Apr-26'!BT79</f>
        <v>0</v>
      </c>
      <c r="BS79" s="182">
        <f t="shared" si="18"/>
        <v>0</v>
      </c>
      <c r="BT79" s="183">
        <f t="shared" si="19"/>
        <v>0</v>
      </c>
      <c r="BU79" s="182">
        <f t="shared" si="20"/>
        <v>0</v>
      </c>
      <c r="BV79" s="450"/>
      <c r="BW79" s="180">
        <f>BY79-'Apr-26'!BY79</f>
        <v>0</v>
      </c>
      <c r="BX79" s="182">
        <f t="shared" si="21"/>
        <v>0</v>
      </c>
      <c r="BY79" s="456">
        <f>SUMIF('05.conso TB'!A:A,'May-26'!B79,'05.conso TB'!L:L)/10^5</f>
        <v>0</v>
      </c>
      <c r="BZ79" s="182">
        <f t="shared" si="22"/>
        <v>0</v>
      </c>
      <c r="CA79" s="458"/>
      <c r="CB79" s="180">
        <f>CD79-'Apr-26'!CD79</f>
        <v>0</v>
      </c>
      <c r="CC79" s="454"/>
      <c r="CD79" s="450"/>
      <c r="CE79" s="187">
        <f t="shared" si="238"/>
        <v>-3.5527136788005009E-15</v>
      </c>
      <c r="CF79" s="182">
        <f t="shared" si="23"/>
        <v>-2.1015296480523899E-19</v>
      </c>
      <c r="CG79" s="187">
        <f t="shared" si="239"/>
        <v>0</v>
      </c>
      <c r="CH79" s="182">
        <f t="shared" si="24"/>
        <v>0</v>
      </c>
      <c r="CI79" s="456"/>
      <c r="CJ79" s="449"/>
      <c r="CK79" s="450"/>
      <c r="CL79" s="452"/>
      <c r="CM79" s="448"/>
      <c r="CN79" s="449"/>
      <c r="CO79" s="450"/>
      <c r="CP79" s="452"/>
      <c r="CQ79" s="448"/>
      <c r="CR79" s="449"/>
      <c r="CS79" s="450"/>
      <c r="CT79" s="447"/>
      <c r="CU79" s="448"/>
      <c r="CV79" s="457"/>
      <c r="CW79" s="460"/>
      <c r="CX79" s="450"/>
      <c r="CY79" s="461"/>
      <c r="CZ79" s="448"/>
      <c r="DA79" s="456"/>
      <c r="DB79" s="449"/>
      <c r="DC79" s="450"/>
      <c r="DD79" s="452"/>
      <c r="DE79" s="448"/>
      <c r="DF79" s="456"/>
      <c r="DG79" s="458"/>
      <c r="DH79" s="458"/>
      <c r="DJ79" s="454"/>
      <c r="DK79" s="450"/>
      <c r="DL79" s="454"/>
      <c r="DM79" s="448"/>
      <c r="DN79" s="449"/>
      <c r="DO79" s="450"/>
      <c r="DP79" s="447"/>
      <c r="DQ79" s="448"/>
      <c r="DR79" s="449"/>
      <c r="DS79" s="450"/>
      <c r="DT79" s="447"/>
      <c r="DU79" s="451"/>
      <c r="DV79" s="449"/>
      <c r="DW79" s="450"/>
      <c r="DX79" s="447"/>
      <c r="DY79" s="451"/>
      <c r="DZ79" s="449"/>
      <c r="EA79" s="450"/>
      <c r="EB79" s="447"/>
      <c r="EC79" s="451"/>
      <c r="ED79" s="449"/>
      <c r="EE79" s="450"/>
      <c r="EF79" s="452"/>
      <c r="EG79" s="451"/>
      <c r="EH79" s="449"/>
      <c r="EI79" s="450"/>
      <c r="EJ79" s="447"/>
      <c r="EK79" s="448"/>
      <c r="EL79" s="453"/>
      <c r="EM79" s="449"/>
      <c r="EN79" s="450"/>
      <c r="EO79" s="454"/>
      <c r="EP79" s="448"/>
      <c r="ER79" s="449"/>
      <c r="ES79" s="450"/>
      <c r="ET79" s="452"/>
      <c r="EU79" s="448"/>
      <c r="EW79" s="449"/>
      <c r="EX79" s="450"/>
      <c r="EY79" s="447"/>
      <c r="EZ79" s="448"/>
      <c r="FB79" s="449"/>
      <c r="FC79" s="450"/>
      <c r="FD79" s="452"/>
      <c r="FE79" s="448"/>
      <c r="FF79" s="449"/>
      <c r="FG79" s="450"/>
      <c r="FH79" s="452"/>
      <c r="FI79" s="448"/>
      <c r="FJ79" s="455"/>
      <c r="FK79" s="449"/>
      <c r="FL79" s="450"/>
      <c r="FM79" s="459"/>
      <c r="FN79" s="448"/>
      <c r="FO79" s="456"/>
      <c r="FP79" s="449"/>
      <c r="FQ79" s="450"/>
      <c r="FR79" s="452"/>
      <c r="FS79" s="448"/>
      <c r="FT79" s="449"/>
      <c r="FU79" s="450"/>
      <c r="FV79" s="452"/>
      <c r="FW79" s="448"/>
      <c r="FX79" s="449"/>
      <c r="FY79" s="450"/>
      <c r="FZ79" s="447"/>
      <c r="GA79" s="448"/>
      <c r="GB79" s="457"/>
      <c r="GC79" s="460"/>
      <c r="GD79" s="450"/>
      <c r="GE79" s="461"/>
      <c r="GF79" s="448"/>
      <c r="GG79" s="456"/>
      <c r="GH79" s="449"/>
      <c r="GI79" s="450"/>
      <c r="GJ79" s="452"/>
      <c r="GK79" s="448"/>
      <c r="GL79" s="456"/>
      <c r="GM79" s="458"/>
      <c r="GN79" s="458"/>
      <c r="GP79" s="454"/>
      <c r="GQ79" s="450"/>
      <c r="GR79" s="454"/>
      <c r="GS79" s="448"/>
      <c r="GT79" s="449"/>
      <c r="GU79" s="450"/>
      <c r="GV79" s="447"/>
      <c r="GW79" s="448"/>
      <c r="GX79" s="449"/>
      <c r="GY79" s="450"/>
      <c r="GZ79" s="447"/>
      <c r="HA79" s="451"/>
      <c r="HB79" s="449"/>
      <c r="HC79" s="450"/>
      <c r="HD79" s="447"/>
      <c r="HE79" s="451"/>
      <c r="HF79" s="449"/>
      <c r="HG79" s="450"/>
      <c r="HH79" s="447"/>
      <c r="HI79" s="451"/>
      <c r="HJ79" s="449"/>
      <c r="HK79" s="450"/>
      <c r="HL79" s="452"/>
      <c r="HM79" s="451"/>
      <c r="HN79" s="449"/>
      <c r="HO79" s="450"/>
      <c r="HP79" s="447"/>
      <c r="HQ79" s="448"/>
      <c r="HR79" s="453"/>
      <c r="HS79" s="449"/>
      <c r="HT79" s="450"/>
      <c r="HU79" s="454"/>
      <c r="HV79" s="448"/>
      <c r="HX79" s="449"/>
      <c r="HY79" s="450"/>
      <c r="HZ79" s="452"/>
      <c r="IA79" s="448"/>
      <c r="IC79" s="449"/>
      <c r="ID79" s="450"/>
      <c r="IE79" s="447"/>
      <c r="IF79" s="448"/>
      <c r="IH79" s="449"/>
      <c r="II79" s="450"/>
      <c r="IJ79" s="452"/>
      <c r="IK79" s="448"/>
      <c r="IL79" s="449"/>
      <c r="IM79" s="450"/>
      <c r="IN79" s="452"/>
      <c r="IO79" s="448"/>
      <c r="IP79" s="455"/>
      <c r="IQ79" s="449"/>
      <c r="IR79" s="450"/>
      <c r="IS79" s="459"/>
      <c r="IT79" s="448"/>
      <c r="IU79" s="456"/>
      <c r="IV79" s="449"/>
      <c r="IW79" s="450"/>
      <c r="IX79" s="452"/>
      <c r="IY79" s="448"/>
      <c r="IZ79" s="449"/>
      <c r="JA79" s="450"/>
      <c r="JB79" s="452"/>
      <c r="JC79" s="448"/>
      <c r="JD79" s="449"/>
      <c r="JE79" s="450"/>
      <c r="JF79" s="447"/>
      <c r="JG79" s="448"/>
      <c r="JH79" s="457"/>
      <c r="JI79" s="460"/>
      <c r="JJ79" s="450"/>
      <c r="JK79" s="461"/>
      <c r="JL79" s="448"/>
      <c r="JM79" s="456"/>
      <c r="JN79" s="449"/>
      <c r="JO79" s="450"/>
      <c r="JP79" s="452"/>
      <c r="JQ79" s="448"/>
      <c r="JR79" s="456"/>
      <c r="JS79" s="458"/>
      <c r="JT79" s="458"/>
      <c r="JV79" s="454"/>
      <c r="JW79" s="450"/>
      <c r="JX79" s="454"/>
      <c r="JY79" s="448"/>
      <c r="JZ79" s="449"/>
      <c r="KA79" s="450"/>
      <c r="KB79" s="447"/>
      <c r="KC79" s="448"/>
      <c r="KD79" s="449"/>
      <c r="KE79" s="450"/>
      <c r="KF79" s="447"/>
      <c r="KG79" s="451"/>
      <c r="KH79" s="449"/>
      <c r="KI79" s="450"/>
      <c r="KJ79" s="447"/>
      <c r="KK79" s="451"/>
      <c r="KL79" s="449"/>
      <c r="KM79" s="450"/>
      <c r="KN79" s="447"/>
      <c r="KO79" s="451"/>
      <c r="KP79" s="449"/>
      <c r="KQ79" s="450"/>
      <c r="KR79" s="452"/>
      <c r="KS79" s="451"/>
      <c r="KT79" s="449"/>
      <c r="KU79" s="450"/>
      <c r="KV79" s="447"/>
      <c r="KW79" s="448"/>
      <c r="KX79" s="453"/>
      <c r="KY79" s="449"/>
      <c r="KZ79" s="450"/>
      <c r="LA79" s="454"/>
      <c r="LB79" s="448"/>
      <c r="LD79" s="449"/>
      <c r="LE79" s="450"/>
      <c r="LF79" s="452"/>
      <c r="LG79" s="448"/>
      <c r="LI79" s="449"/>
      <c r="LJ79" s="450"/>
      <c r="LK79" s="447"/>
      <c r="LL79" s="448"/>
      <c r="LN79" s="449"/>
      <c r="LO79" s="450"/>
      <c r="LP79" s="452"/>
      <c r="LQ79" s="448"/>
      <c r="LR79" s="449"/>
      <c r="LS79" s="450"/>
      <c r="LT79" s="452"/>
      <c r="LU79" s="448"/>
      <c r="LV79" s="455"/>
      <c r="LW79" s="449"/>
      <c r="LX79" s="450"/>
      <c r="LY79" s="459"/>
      <c r="LZ79" s="448"/>
      <c r="MA79" s="456"/>
      <c r="MB79" s="449"/>
      <c r="MC79" s="450"/>
      <c r="MD79" s="452"/>
      <c r="ME79" s="448"/>
      <c r="MF79" s="449"/>
      <c r="MG79" s="450"/>
      <c r="MH79" s="452"/>
      <c r="MI79" s="448"/>
      <c r="MJ79" s="449"/>
      <c r="MK79" s="450"/>
      <c r="ML79" s="447"/>
      <c r="MM79" s="448"/>
      <c r="MN79" s="457"/>
      <c r="MO79" s="460"/>
      <c r="MP79" s="450"/>
      <c r="MQ79" s="461"/>
      <c r="MR79" s="448"/>
      <c r="MS79" s="456"/>
      <c r="MT79" s="449"/>
      <c r="MU79" s="450"/>
      <c r="MV79" s="452"/>
      <c r="MW79" s="448"/>
      <c r="MX79" s="456"/>
      <c r="MY79" s="458"/>
      <c r="MZ79" s="458"/>
      <c r="NB79" s="454"/>
      <c r="NC79" s="450"/>
      <c r="ND79" s="454"/>
      <c r="NE79" s="448"/>
      <c r="NF79" s="449"/>
      <c r="NG79" s="450"/>
      <c r="NH79" s="447"/>
      <c r="NI79" s="448"/>
      <c r="NJ79" s="449"/>
      <c r="NK79" s="450"/>
      <c r="NL79" s="447"/>
      <c r="NM79" s="451"/>
      <c r="NN79" s="449"/>
      <c r="NO79" s="450"/>
      <c r="NP79" s="447"/>
      <c r="NQ79" s="451"/>
      <c r="NR79" s="449"/>
      <c r="NS79" s="450"/>
      <c r="NT79" s="447"/>
      <c r="NU79" s="451"/>
      <c r="NV79" s="449"/>
      <c r="NW79" s="450"/>
      <c r="NX79" s="452"/>
      <c r="NY79" s="451"/>
      <c r="NZ79" s="449"/>
      <c r="OA79" s="450"/>
      <c r="OB79" s="447"/>
      <c r="OC79" s="448"/>
      <c r="OD79" s="453"/>
      <c r="OE79" s="449"/>
      <c r="OF79" s="450"/>
      <c r="OG79" s="454"/>
      <c r="OH79" s="448"/>
      <c r="OJ79" s="449"/>
      <c r="OK79" s="450"/>
      <c r="OL79" s="452"/>
      <c r="OM79" s="448"/>
      <c r="OO79" s="449"/>
      <c r="OP79" s="450"/>
      <c r="OQ79" s="447"/>
      <c r="OR79" s="448"/>
      <c r="OT79" s="449"/>
      <c r="OU79" s="450"/>
      <c r="OV79" s="452"/>
      <c r="OW79" s="448"/>
      <c r="OX79" s="449"/>
      <c r="OY79" s="450"/>
      <c r="OZ79" s="452"/>
      <c r="PA79" s="448"/>
      <c r="PB79" s="455"/>
      <c r="PC79" s="449"/>
      <c r="PD79" s="450"/>
      <c r="PE79" s="459"/>
      <c r="PF79" s="448"/>
      <c r="PG79" s="456"/>
      <c r="PH79" s="449"/>
      <c r="PI79" s="450"/>
      <c r="PJ79" s="452"/>
      <c r="PK79" s="448"/>
      <c r="PL79" s="449"/>
      <c r="PM79" s="450"/>
      <c r="PN79" s="452"/>
      <c r="PO79" s="448"/>
      <c r="PP79" s="449"/>
      <c r="PQ79" s="450"/>
      <c r="PR79" s="447"/>
      <c r="PS79" s="448"/>
      <c r="PT79" s="457"/>
      <c r="PU79" s="460"/>
      <c r="PV79" s="450"/>
      <c r="PW79" s="461"/>
      <c r="PX79" s="448"/>
      <c r="PY79" s="456"/>
      <c r="PZ79" s="449"/>
      <c r="QA79" s="450"/>
      <c r="QB79" s="452"/>
      <c r="QC79" s="448"/>
      <c r="QD79" s="456"/>
      <c r="QE79" s="458"/>
      <c r="QF79" s="458"/>
      <c r="QH79" s="454"/>
      <c r="QI79" s="450"/>
      <c r="QJ79" s="454"/>
      <c r="QK79" s="448"/>
      <c r="QL79" s="449"/>
      <c r="QM79" s="450"/>
      <c r="QN79" s="447"/>
      <c r="QO79" s="448"/>
      <c r="QP79" s="449"/>
      <c r="QQ79" s="450"/>
      <c r="QR79" s="447"/>
      <c r="QS79" s="451"/>
      <c r="QT79" s="449"/>
      <c r="QU79" s="450"/>
      <c r="QV79" s="447"/>
      <c r="QW79" s="451"/>
      <c r="QX79" s="449"/>
      <c r="QY79" s="450"/>
      <c r="QZ79" s="447"/>
      <c r="RA79" s="451"/>
      <c r="RB79" s="449"/>
      <c r="RC79" s="450"/>
      <c r="RD79" s="452"/>
      <c r="RE79" s="451"/>
      <c r="RF79" s="449"/>
      <c r="RG79" s="450"/>
      <c r="RH79" s="447"/>
      <c r="RI79" s="448"/>
      <c r="RJ79" s="453"/>
      <c r="RK79" s="449"/>
      <c r="RL79" s="450"/>
      <c r="RM79" s="454"/>
      <c r="RN79" s="448"/>
      <c r="RP79" s="449"/>
      <c r="RQ79" s="450"/>
      <c r="RR79" s="452"/>
      <c r="RS79" s="448"/>
      <c r="RU79" s="449"/>
      <c r="RV79" s="450"/>
      <c r="RW79" s="447"/>
      <c r="RX79" s="448"/>
      <c r="RZ79" s="449"/>
      <c r="SA79" s="450"/>
      <c r="SB79" s="452"/>
      <c r="SC79" s="448"/>
      <c r="SD79" s="449"/>
      <c r="SE79" s="450"/>
      <c r="SF79" s="452"/>
      <c r="SG79" s="448"/>
      <c r="SH79" s="455"/>
      <c r="SI79" s="449"/>
      <c r="SJ79" s="450"/>
      <c r="SK79" s="459"/>
      <c r="SL79" s="448"/>
      <c r="SM79" s="456"/>
      <c r="SN79" s="449"/>
      <c r="SO79" s="450"/>
      <c r="SP79" s="452"/>
      <c r="SQ79" s="448"/>
      <c r="SR79" s="449"/>
      <c r="SS79" s="450"/>
      <c r="ST79" s="452"/>
      <c r="SU79" s="448"/>
      <c r="SV79" s="449"/>
      <c r="SW79" s="450"/>
      <c r="SX79" s="447"/>
      <c r="SY79" s="448"/>
      <c r="SZ79" s="457"/>
      <c r="TA79" s="460"/>
      <c r="TB79" s="450"/>
      <c r="TC79" s="461"/>
      <c r="TD79" s="448"/>
      <c r="TE79" s="456"/>
      <c r="TF79" s="449"/>
      <c r="TG79" s="450"/>
      <c r="TH79" s="452"/>
      <c r="TI79" s="448"/>
      <c r="TJ79" s="456"/>
      <c r="TK79" s="458"/>
      <c r="TL79" s="458"/>
      <c r="TN79" s="454"/>
      <c r="TO79" s="450"/>
      <c r="TP79" s="454"/>
      <c r="TQ79" s="448"/>
      <c r="TR79" s="449"/>
      <c r="TS79" s="450"/>
      <c r="TT79" s="447"/>
      <c r="TU79" s="448"/>
      <c r="TV79" s="449"/>
      <c r="TW79" s="450"/>
      <c r="TX79" s="447"/>
      <c r="TY79" s="451"/>
      <c r="TZ79" s="449"/>
      <c r="UA79" s="450"/>
      <c r="UB79" s="447"/>
      <c r="UC79" s="451"/>
      <c r="UD79" s="449"/>
      <c r="UE79" s="450"/>
      <c r="UF79" s="447"/>
      <c r="UG79" s="451"/>
      <c r="UH79" s="449"/>
      <c r="UI79" s="450"/>
      <c r="UJ79" s="452"/>
      <c r="UK79" s="451"/>
      <c r="UL79" s="449"/>
      <c r="UM79" s="450"/>
      <c r="UN79" s="447"/>
      <c r="UO79" s="448"/>
      <c r="UP79" s="453"/>
      <c r="UQ79" s="449"/>
      <c r="UR79" s="450"/>
      <c r="US79" s="454"/>
      <c r="UT79" s="448"/>
      <c r="UV79" s="449"/>
      <c r="UW79" s="450"/>
      <c r="UX79" s="452"/>
      <c r="UY79" s="448"/>
      <c r="VA79" s="449"/>
      <c r="VB79" s="450"/>
      <c r="VC79" s="447"/>
      <c r="VD79" s="448"/>
      <c r="VF79" s="449"/>
      <c r="VG79" s="450"/>
      <c r="VH79" s="452"/>
      <c r="VI79" s="448"/>
      <c r="VJ79" s="449"/>
      <c r="VK79" s="450"/>
      <c r="VL79" s="452"/>
      <c r="VM79" s="448"/>
      <c r="VN79" s="455"/>
      <c r="VO79" s="449"/>
      <c r="VP79" s="450"/>
      <c r="VQ79" s="459"/>
      <c r="VR79" s="448"/>
      <c r="VS79" s="456"/>
      <c r="VT79" s="449"/>
      <c r="VU79" s="450"/>
      <c r="VV79" s="452"/>
      <c r="VW79" s="448"/>
      <c r="VX79" s="449"/>
      <c r="VY79" s="450"/>
      <c r="VZ79" s="452"/>
      <c r="WA79" s="448"/>
      <c r="WB79" s="449"/>
      <c r="WC79" s="450"/>
      <c r="WD79" s="447"/>
      <c r="WE79" s="448"/>
      <c r="WF79" s="457"/>
      <c r="WG79" s="460"/>
      <c r="WH79" s="450"/>
      <c r="WI79" s="461"/>
      <c r="WJ79" s="448"/>
      <c r="WK79" s="456"/>
      <c r="WL79" s="449"/>
      <c r="WM79" s="450"/>
      <c r="WN79" s="452"/>
      <c r="WO79" s="448"/>
      <c r="WP79" s="456"/>
      <c r="WQ79" s="458"/>
      <c r="WR79" s="458"/>
      <c r="WT79" s="454"/>
      <c r="WU79" s="450"/>
      <c r="WV79" s="454"/>
      <c r="WW79" s="448"/>
      <c r="WX79" s="449"/>
      <c r="WY79" s="450"/>
      <c r="WZ79" s="447"/>
      <c r="XA79" s="448"/>
      <c r="XB79" s="449"/>
      <c r="XC79" s="450"/>
      <c r="XD79" s="447"/>
      <c r="XE79" s="451"/>
      <c r="XF79" s="449"/>
      <c r="XG79" s="450"/>
      <c r="XH79" s="447"/>
      <c r="XI79" s="451"/>
      <c r="XJ79" s="449"/>
      <c r="XK79" s="450"/>
      <c r="XL79" s="447"/>
      <c r="XM79" s="451"/>
      <c r="XN79" s="449"/>
      <c r="XO79" s="450"/>
      <c r="XP79" s="452"/>
      <c r="XQ79" s="451"/>
      <c r="XR79" s="449"/>
      <c r="XS79" s="450"/>
      <c r="XT79" s="447"/>
      <c r="XU79" s="448"/>
      <c r="XV79" s="453"/>
      <c r="XW79" s="449"/>
      <c r="XX79" s="450"/>
      <c r="XY79" s="454"/>
      <c r="XZ79" s="448"/>
      <c r="YB79" s="449"/>
      <c r="YC79" s="450"/>
      <c r="YD79" s="452"/>
      <c r="YE79" s="448"/>
      <c r="YG79" s="449"/>
      <c r="YH79" s="450"/>
      <c r="YI79" s="447"/>
      <c r="YJ79" s="448"/>
      <c r="YL79" s="449"/>
      <c r="YM79" s="450"/>
      <c r="YN79" s="452"/>
      <c r="YO79" s="448"/>
      <c r="YP79" s="449"/>
      <c r="YQ79" s="450"/>
      <c r="YR79" s="452"/>
      <c r="YS79" s="448"/>
      <c r="YT79" s="455"/>
      <c r="YU79" s="449"/>
      <c r="YV79" s="450"/>
      <c r="YW79" s="459"/>
      <c r="YX79" s="448"/>
      <c r="YY79" s="456"/>
      <c r="YZ79" s="449"/>
      <c r="ZA79" s="450"/>
      <c r="ZB79" s="452"/>
      <c r="ZC79" s="448"/>
      <c r="ZD79" s="449"/>
      <c r="ZE79" s="450"/>
      <c r="ZF79" s="452"/>
      <c r="ZG79" s="448"/>
      <c r="ZH79" s="449"/>
      <c r="ZI79" s="450"/>
      <c r="ZJ79" s="447"/>
      <c r="ZK79" s="448"/>
      <c r="ZL79" s="457"/>
      <c r="ZM79" s="460"/>
      <c r="ZN79" s="450"/>
      <c r="ZO79" s="461"/>
      <c r="ZP79" s="448"/>
      <c r="ZQ79" s="456"/>
      <c r="ZR79" s="449"/>
      <c r="ZS79" s="450"/>
      <c r="ZT79" s="452"/>
      <c r="ZU79" s="448"/>
      <c r="ZV79" s="456"/>
      <c r="ZW79" s="458"/>
      <c r="ZX79" s="458"/>
      <c r="ZZ79" s="454"/>
      <c r="AAA79" s="450"/>
      <c r="AAB79" s="454"/>
      <c r="AAC79" s="448"/>
      <c r="AAD79" s="449"/>
      <c r="AAE79" s="450"/>
      <c r="AAF79" s="447"/>
      <c r="AAG79" s="448"/>
      <c r="AAH79" s="449"/>
      <c r="AAI79" s="450"/>
      <c r="AAJ79" s="447"/>
      <c r="AAK79" s="451"/>
      <c r="AAL79" s="449"/>
      <c r="AAM79" s="450"/>
      <c r="AAN79" s="447"/>
      <c r="AAO79" s="451"/>
      <c r="AAP79" s="449"/>
      <c r="AAQ79" s="450"/>
      <c r="AAR79" s="447"/>
      <c r="AAS79" s="451"/>
      <c r="AAT79" s="449"/>
      <c r="AAU79" s="450"/>
      <c r="AAV79" s="452"/>
      <c r="AAW79" s="451"/>
      <c r="AAX79" s="449"/>
      <c r="AAY79" s="450"/>
      <c r="AAZ79" s="447"/>
      <c r="ABA79" s="448"/>
      <c r="ABB79" s="453"/>
      <c r="ABC79" s="449"/>
      <c r="ABD79" s="450"/>
      <c r="ABE79" s="454"/>
      <c r="ABF79" s="448"/>
      <c r="ABH79" s="449"/>
      <c r="ABI79" s="450"/>
      <c r="ABJ79" s="452"/>
      <c r="ABK79" s="448"/>
      <c r="ABM79" s="449"/>
      <c r="ABN79" s="450"/>
      <c r="ABO79" s="447"/>
      <c r="ABP79" s="448"/>
      <c r="ABR79" s="449"/>
      <c r="ABS79" s="450"/>
      <c r="ABT79" s="452"/>
      <c r="ABU79" s="448"/>
      <c r="ABV79" s="449"/>
      <c r="ABW79" s="450"/>
      <c r="ABX79" s="452"/>
      <c r="ABY79" s="448"/>
      <c r="ABZ79" s="455"/>
      <c r="ACA79" s="449"/>
      <c r="ACB79" s="450"/>
      <c r="ACC79" s="459"/>
      <c r="ACD79" s="448"/>
      <c r="ACE79" s="456"/>
      <c r="ACF79" s="449"/>
      <c r="ACG79" s="450"/>
      <c r="ACH79" s="452"/>
      <c r="ACI79" s="448"/>
      <c r="ACJ79" s="449"/>
      <c r="ACK79" s="450"/>
      <c r="ACL79" s="452"/>
      <c r="ACM79" s="448"/>
      <c r="ACN79" s="449"/>
      <c r="ACO79" s="450"/>
      <c r="ACP79" s="447"/>
      <c r="ACQ79" s="448"/>
      <c r="ACR79" s="457"/>
      <c r="ACS79" s="460"/>
      <c r="ACT79" s="450"/>
      <c r="ACU79" s="461"/>
      <c r="ACV79" s="448"/>
      <c r="ACW79" s="456"/>
      <c r="ACX79" s="449"/>
      <c r="ACY79" s="450"/>
      <c r="ACZ79" s="452"/>
      <c r="ADA79" s="448"/>
      <c r="ADB79" s="456"/>
      <c r="ADC79" s="458"/>
      <c r="ADD79" s="458"/>
      <c r="ADF79" s="454"/>
      <c r="ADG79" s="450"/>
      <c r="ADH79" s="454"/>
      <c r="ADI79" s="448"/>
      <c r="ADJ79" s="449"/>
      <c r="ADK79" s="450"/>
      <c r="ADL79" s="447"/>
      <c r="ADM79" s="448"/>
      <c r="ADN79" s="449"/>
      <c r="ADO79" s="450"/>
      <c r="ADP79" s="447"/>
      <c r="ADQ79" s="451"/>
      <c r="ADR79" s="449"/>
      <c r="ADS79" s="450"/>
      <c r="ADT79" s="447"/>
      <c r="ADU79" s="451"/>
      <c r="ADV79" s="449"/>
      <c r="ADW79" s="450"/>
      <c r="ADX79" s="447"/>
      <c r="ADY79" s="451"/>
      <c r="ADZ79" s="449"/>
      <c r="AEA79" s="450"/>
      <c r="AEB79" s="452"/>
      <c r="AEC79" s="451"/>
      <c r="AED79" s="449"/>
      <c r="AEE79" s="450"/>
      <c r="AEF79" s="447"/>
      <c r="AEG79" s="448"/>
      <c r="AEH79" s="453"/>
      <c r="AEI79" s="449"/>
      <c r="AEJ79" s="450"/>
      <c r="AEK79" s="454"/>
      <c r="AEL79" s="448"/>
      <c r="AEN79" s="449"/>
      <c r="AEO79" s="450"/>
      <c r="AEP79" s="452"/>
      <c r="AEQ79" s="448"/>
      <c r="AES79" s="449"/>
      <c r="AET79" s="450"/>
      <c r="AEU79" s="447"/>
      <c r="AEV79" s="448"/>
      <c r="AEX79" s="449"/>
      <c r="AEY79" s="450"/>
      <c r="AEZ79" s="452"/>
      <c r="AFA79" s="448"/>
      <c r="AFB79" s="449"/>
      <c r="AFC79" s="450"/>
      <c r="AFD79" s="452"/>
      <c r="AFE79" s="448"/>
      <c r="AFF79" s="455"/>
      <c r="AFG79" s="449"/>
      <c r="AFH79" s="450"/>
      <c r="AFI79" s="459"/>
      <c r="AFJ79" s="448"/>
      <c r="AFK79" s="456"/>
      <c r="AFL79" s="449"/>
      <c r="AFM79" s="450"/>
      <c r="AFN79" s="452"/>
      <c r="AFO79" s="448"/>
      <c r="AFP79" s="449"/>
      <c r="AFQ79" s="450"/>
      <c r="AFR79" s="452"/>
      <c r="AFS79" s="448"/>
      <c r="AFT79" s="449"/>
      <c r="AFU79" s="450"/>
      <c r="AFV79" s="447"/>
      <c r="AFW79" s="448"/>
      <c r="AFX79" s="457"/>
      <c r="AFY79" s="460"/>
      <c r="AFZ79" s="450"/>
      <c r="AGA79" s="461"/>
      <c r="AGB79" s="448"/>
      <c r="AGC79" s="456"/>
      <c r="AGD79" s="449"/>
      <c r="AGE79" s="450"/>
      <c r="AGF79" s="452"/>
      <c r="AGG79" s="448"/>
      <c r="AGH79" s="456"/>
      <c r="AGI79" s="458"/>
      <c r="AGJ79" s="458"/>
      <c r="AGL79" s="454"/>
      <c r="AGM79" s="450"/>
      <c r="AGN79" s="454"/>
      <c r="AGO79" s="448"/>
      <c r="AGP79" s="449"/>
      <c r="AGQ79" s="450"/>
      <c r="AGR79" s="447"/>
      <c r="AGS79" s="448"/>
      <c r="AGT79" s="449"/>
      <c r="AGU79" s="450"/>
      <c r="AGV79" s="447"/>
      <c r="AGW79" s="451"/>
      <c r="AGX79" s="449"/>
      <c r="AGY79" s="450"/>
      <c r="AGZ79" s="447"/>
      <c r="AHA79" s="451"/>
      <c r="AHB79" s="449"/>
      <c r="AHC79" s="450"/>
      <c r="AHD79" s="447"/>
      <c r="AHE79" s="451"/>
      <c r="AHF79" s="449"/>
      <c r="AHG79" s="450"/>
      <c r="AHH79" s="452"/>
      <c r="AHI79" s="451"/>
      <c r="AHJ79" s="449"/>
      <c r="AHK79" s="450"/>
      <c r="AHL79" s="447"/>
      <c r="AHM79" s="448"/>
      <c r="AHN79" s="453"/>
      <c r="AHO79" s="449"/>
      <c r="AHP79" s="450"/>
      <c r="AHQ79" s="454"/>
      <c r="AHR79" s="448"/>
      <c r="AHT79" s="449"/>
      <c r="AHU79" s="450"/>
      <c r="AHV79" s="452"/>
      <c r="AHW79" s="448"/>
      <c r="AHY79" s="449"/>
      <c r="AHZ79" s="450"/>
      <c r="AIA79" s="447"/>
      <c r="AIB79" s="448"/>
      <c r="AID79" s="449"/>
      <c r="AIE79" s="450"/>
      <c r="AIF79" s="452"/>
      <c r="AIG79" s="448"/>
      <c r="AIH79" s="449"/>
      <c r="AII79" s="450"/>
      <c r="AIJ79" s="452"/>
      <c r="AIK79" s="448"/>
      <c r="AIL79" s="455"/>
      <c r="AIM79" s="449"/>
      <c r="AIN79" s="450"/>
      <c r="AIO79" s="459"/>
      <c r="AIP79" s="448"/>
      <c r="AIQ79" s="456"/>
      <c r="AIR79" s="449"/>
      <c r="AIS79" s="450"/>
      <c r="AIT79" s="452"/>
      <c r="AIU79" s="448"/>
      <c r="AIV79" s="449"/>
      <c r="AIW79" s="450"/>
      <c r="AIX79" s="452"/>
      <c r="AIY79" s="448"/>
      <c r="AIZ79" s="449"/>
      <c r="AJA79" s="450"/>
      <c r="AJB79" s="447"/>
      <c r="AJC79" s="448"/>
      <c r="AJD79" s="457"/>
      <c r="AJE79" s="460"/>
      <c r="AJF79" s="450"/>
      <c r="AJG79" s="461"/>
      <c r="AJH79" s="448"/>
      <c r="AJI79" s="456"/>
      <c r="AJJ79" s="449"/>
      <c r="AJK79" s="450"/>
      <c r="AJL79" s="452"/>
      <c r="AJM79" s="448"/>
      <c r="AJN79" s="456"/>
      <c r="AJO79" s="458"/>
      <c r="AJP79" s="458"/>
      <c r="AJR79" s="454"/>
      <c r="AJS79" s="450"/>
      <c r="AJT79" s="454"/>
      <c r="AJU79" s="448"/>
      <c r="AJV79" s="449"/>
      <c r="AJW79" s="450"/>
      <c r="AJX79" s="447"/>
      <c r="AJY79" s="448"/>
      <c r="AJZ79" s="449"/>
      <c r="AKA79" s="450"/>
      <c r="AKB79" s="447"/>
      <c r="AKC79" s="451"/>
      <c r="AKD79" s="449"/>
      <c r="AKE79" s="450"/>
      <c r="AKF79" s="447"/>
      <c r="AKG79" s="451"/>
      <c r="AKH79" s="449"/>
      <c r="AKI79" s="450"/>
      <c r="AKJ79" s="447"/>
      <c r="AKK79" s="451"/>
      <c r="AKL79" s="449"/>
      <c r="AKM79" s="450"/>
      <c r="AKN79" s="452"/>
      <c r="AKO79" s="451"/>
      <c r="AKP79" s="449"/>
      <c r="AKQ79" s="450"/>
      <c r="AKR79" s="447"/>
      <c r="AKS79" s="448"/>
      <c r="AKT79" s="453"/>
      <c r="AKU79" s="449"/>
      <c r="AKV79" s="450"/>
      <c r="AKW79" s="454"/>
      <c r="AKX79" s="448"/>
      <c r="AKZ79" s="449"/>
      <c r="ALA79" s="450"/>
      <c r="ALB79" s="452"/>
      <c r="ALC79" s="448"/>
      <c r="ALE79" s="449"/>
      <c r="ALF79" s="450"/>
      <c r="ALG79" s="447"/>
      <c r="ALH79" s="448"/>
      <c r="ALJ79" s="449"/>
      <c r="ALK79" s="450"/>
      <c r="ALL79" s="452"/>
      <c r="ALM79" s="448"/>
      <c r="ALN79" s="449"/>
      <c r="ALO79" s="450"/>
      <c r="ALP79" s="452"/>
      <c r="ALQ79" s="448"/>
      <c r="ALR79" s="455"/>
      <c r="ALS79" s="449"/>
      <c r="ALT79" s="450"/>
      <c r="ALU79" s="459"/>
      <c r="ALV79" s="448"/>
      <c r="ALW79" s="456"/>
      <c r="ALX79" s="449"/>
      <c r="ALY79" s="450"/>
      <c r="ALZ79" s="452"/>
      <c r="AMA79" s="448"/>
      <c r="AMB79" s="449"/>
      <c r="AMC79" s="450"/>
      <c r="AMD79" s="452"/>
      <c r="AME79" s="448"/>
      <c r="AMF79" s="449"/>
      <c r="AMG79" s="450"/>
      <c r="AMH79" s="447"/>
      <c r="AMI79" s="448"/>
      <c r="AMJ79" s="457"/>
      <c r="AMK79" s="460"/>
      <c r="AML79" s="450"/>
      <c r="AMM79" s="461"/>
      <c r="AMN79" s="448"/>
      <c r="AMO79" s="456"/>
      <c r="AMP79" s="449"/>
      <c r="AMQ79" s="450"/>
      <c r="AMR79" s="452"/>
      <c r="AMS79" s="448"/>
      <c r="AMT79" s="456"/>
      <c r="AMU79" s="458"/>
      <c r="AMV79" s="458"/>
      <c r="AMX79" s="454"/>
      <c r="AMY79" s="450"/>
      <c r="AMZ79" s="454"/>
      <c r="ANA79" s="448"/>
      <c r="ANB79" s="449"/>
      <c r="ANC79" s="450"/>
      <c r="AND79" s="447"/>
      <c r="ANE79" s="448"/>
      <c r="ANF79" s="449"/>
      <c r="ANG79" s="450"/>
      <c r="ANH79" s="447"/>
      <c r="ANI79" s="451"/>
      <c r="ANJ79" s="449"/>
      <c r="ANK79" s="450"/>
      <c r="ANL79" s="447"/>
      <c r="ANM79" s="451"/>
      <c r="ANN79" s="449"/>
      <c r="ANO79" s="450"/>
      <c r="ANP79" s="447"/>
      <c r="ANQ79" s="451"/>
      <c r="ANR79" s="449"/>
      <c r="ANS79" s="450"/>
      <c r="ANT79" s="452"/>
      <c r="ANU79" s="451"/>
      <c r="ANV79" s="449"/>
      <c r="ANW79" s="450"/>
      <c r="ANX79" s="447"/>
      <c r="ANY79" s="448"/>
      <c r="ANZ79" s="453"/>
      <c r="AOA79" s="449"/>
      <c r="AOB79" s="450"/>
      <c r="AOC79" s="454"/>
      <c r="AOD79" s="448"/>
      <c r="AOF79" s="449"/>
      <c r="AOG79" s="450"/>
      <c r="AOH79" s="452"/>
      <c r="AOI79" s="448"/>
      <c r="AOK79" s="449"/>
      <c r="AOL79" s="450"/>
      <c r="AOM79" s="447"/>
      <c r="AON79" s="448"/>
      <c r="AOP79" s="449"/>
      <c r="AOQ79" s="450"/>
      <c r="AOR79" s="452"/>
      <c r="AOS79" s="448"/>
      <c r="AOT79" s="449"/>
      <c r="AOU79" s="450"/>
      <c r="AOV79" s="452"/>
      <c r="AOW79" s="448"/>
      <c r="AOX79" s="455"/>
      <c r="AOY79" s="449"/>
      <c r="AOZ79" s="450"/>
      <c r="APA79" s="459"/>
      <c r="APB79" s="448"/>
      <c r="APC79" s="456"/>
      <c r="APD79" s="449"/>
      <c r="APE79" s="450"/>
      <c r="APF79" s="452"/>
      <c r="APG79" s="448"/>
      <c r="APH79" s="449"/>
      <c r="API79" s="450"/>
      <c r="APJ79" s="452"/>
      <c r="APK79" s="448"/>
      <c r="APL79" s="449"/>
      <c r="APM79" s="450"/>
      <c r="APN79" s="447"/>
      <c r="APO79" s="448"/>
      <c r="APP79" s="457"/>
      <c r="APQ79" s="460"/>
      <c r="APR79" s="450"/>
      <c r="APS79" s="461"/>
      <c r="APT79" s="448"/>
      <c r="APU79" s="456"/>
      <c r="APV79" s="449"/>
      <c r="APW79" s="450"/>
      <c r="APX79" s="452"/>
      <c r="APY79" s="448"/>
      <c r="APZ79" s="456"/>
      <c r="AQA79" s="458"/>
      <c r="AQB79" s="458"/>
      <c r="AQD79" s="454"/>
      <c r="AQE79" s="450"/>
      <c r="AQF79" s="454"/>
      <c r="AQG79" s="448"/>
      <c r="AQH79" s="449"/>
      <c r="AQI79" s="450"/>
      <c r="AQJ79" s="447"/>
      <c r="AQK79" s="448"/>
      <c r="AQL79" s="449"/>
      <c r="AQM79" s="450"/>
      <c r="AQN79" s="447"/>
      <c r="AQO79" s="451"/>
      <c r="AQP79" s="449"/>
      <c r="AQQ79" s="450"/>
      <c r="AQR79" s="447"/>
      <c r="AQS79" s="451"/>
      <c r="AQT79" s="449"/>
      <c r="AQU79" s="450"/>
      <c r="AQV79" s="447"/>
      <c r="AQW79" s="451"/>
      <c r="AQX79" s="449"/>
      <c r="AQY79" s="450"/>
      <c r="AQZ79" s="452"/>
      <c r="ARA79" s="451"/>
      <c r="ARB79" s="449"/>
      <c r="ARC79" s="450"/>
      <c r="ARD79" s="447"/>
      <c r="ARE79" s="448"/>
      <c r="ARF79" s="453"/>
      <c r="ARG79" s="449"/>
      <c r="ARH79" s="450"/>
      <c r="ARI79" s="454"/>
      <c r="ARJ79" s="448"/>
      <c r="ARL79" s="449"/>
      <c r="ARM79" s="450"/>
      <c r="ARN79" s="452"/>
      <c r="ARO79" s="448"/>
      <c r="ARQ79" s="449"/>
      <c r="ARR79" s="450"/>
      <c r="ARS79" s="447"/>
      <c r="ART79" s="448"/>
      <c r="ARV79" s="449"/>
      <c r="ARW79" s="450"/>
      <c r="ARX79" s="452"/>
      <c r="ARY79" s="448"/>
      <c r="ARZ79" s="449"/>
      <c r="ASA79" s="450"/>
      <c r="ASB79" s="452"/>
      <c r="ASC79" s="448"/>
      <c r="ASD79" s="455"/>
      <c r="ASE79" s="449"/>
      <c r="ASF79" s="450"/>
      <c r="ASG79" s="459"/>
      <c r="ASH79" s="448"/>
      <c r="ASI79" s="456"/>
      <c r="ASJ79" s="449"/>
      <c r="ASK79" s="450"/>
      <c r="ASL79" s="452"/>
      <c r="ASM79" s="448"/>
      <c r="ASN79" s="449"/>
      <c r="ASO79" s="450"/>
      <c r="ASP79" s="452"/>
      <c r="ASQ79" s="448"/>
      <c r="ASR79" s="449"/>
      <c r="ASS79" s="450"/>
      <c r="AST79" s="447"/>
      <c r="ASU79" s="448"/>
      <c r="ASV79" s="457"/>
      <c r="ASW79" s="460"/>
      <c r="ASX79" s="450"/>
      <c r="ASY79" s="461"/>
      <c r="ASZ79" s="448"/>
      <c r="ATA79" s="456"/>
      <c r="ATB79" s="449"/>
      <c r="ATC79" s="450"/>
      <c r="ATD79" s="452"/>
      <c r="ATE79" s="448"/>
      <c r="ATF79" s="456"/>
      <c r="ATG79" s="458"/>
      <c r="ATH79" s="458"/>
      <c r="ATJ79" s="454"/>
      <c r="ATK79" s="450"/>
      <c r="ATL79" s="454"/>
      <c r="ATM79" s="448"/>
      <c r="ATN79" s="449"/>
      <c r="ATO79" s="450"/>
      <c r="ATP79" s="447"/>
      <c r="ATQ79" s="448"/>
      <c r="ATR79" s="449"/>
      <c r="ATS79" s="450"/>
      <c r="ATT79" s="447"/>
      <c r="ATU79" s="451"/>
      <c r="ATV79" s="449"/>
      <c r="ATW79" s="450"/>
      <c r="ATX79" s="447"/>
      <c r="ATY79" s="451"/>
      <c r="ATZ79" s="449"/>
      <c r="AUA79" s="450"/>
      <c r="AUB79" s="447"/>
      <c r="AUC79" s="451"/>
      <c r="AUD79" s="449"/>
      <c r="AUE79" s="450"/>
      <c r="AUF79" s="452"/>
      <c r="AUG79" s="451"/>
      <c r="AUH79" s="449"/>
      <c r="AUI79" s="450"/>
      <c r="AUJ79" s="447"/>
      <c r="AUK79" s="448"/>
      <c r="AUL79" s="453"/>
      <c r="AUM79" s="449"/>
      <c r="AUN79" s="450"/>
      <c r="AUO79" s="454"/>
      <c r="AUP79" s="448"/>
      <c r="AUR79" s="449"/>
      <c r="AUS79" s="450"/>
      <c r="AUT79" s="452"/>
      <c r="AUU79" s="448"/>
      <c r="AUW79" s="449"/>
      <c r="AUX79" s="450"/>
      <c r="AUY79" s="447"/>
      <c r="AUZ79" s="448"/>
      <c r="AVB79" s="449"/>
      <c r="AVC79" s="450"/>
      <c r="AVD79" s="452"/>
      <c r="AVE79" s="448"/>
      <c r="AVF79" s="449"/>
      <c r="AVG79" s="450"/>
      <c r="AVH79" s="452"/>
      <c r="AVI79" s="448"/>
      <c r="AVJ79" s="455"/>
      <c r="AVK79" s="449"/>
      <c r="AVL79" s="450"/>
      <c r="AVM79" s="459"/>
      <c r="AVN79" s="448"/>
      <c r="AVO79" s="456"/>
      <c r="AVP79" s="449"/>
      <c r="AVQ79" s="450"/>
      <c r="AVR79" s="452"/>
      <c r="AVS79" s="448"/>
      <c r="AVT79" s="449"/>
      <c r="AVU79" s="450"/>
      <c r="AVV79" s="452"/>
      <c r="AVW79" s="448"/>
      <c r="AVX79" s="449"/>
      <c r="AVY79" s="450"/>
      <c r="AVZ79" s="447"/>
      <c r="AWA79" s="448"/>
      <c r="AWB79" s="457"/>
      <c r="AWC79" s="460"/>
      <c r="AWD79" s="450"/>
      <c r="AWE79" s="461"/>
      <c r="AWF79" s="448"/>
      <c r="AWG79" s="456"/>
      <c r="AWH79" s="449"/>
      <c r="AWI79" s="450"/>
      <c r="AWJ79" s="452"/>
      <c r="AWK79" s="448"/>
      <c r="AWL79" s="456"/>
      <c r="AWM79" s="458"/>
      <c r="AWN79" s="458"/>
      <c r="AWP79" s="454"/>
      <c r="AWQ79" s="450"/>
      <c r="AWR79" s="454"/>
      <c r="AWS79" s="448"/>
      <c r="AWT79" s="449"/>
      <c r="AWU79" s="450"/>
      <c r="AWV79" s="447"/>
      <c r="AWW79" s="448"/>
      <c r="AWX79" s="449"/>
      <c r="AWY79" s="450"/>
      <c r="AWZ79" s="447"/>
      <c r="AXA79" s="451"/>
      <c r="AXB79" s="449"/>
      <c r="AXC79" s="450"/>
      <c r="AXD79" s="447"/>
      <c r="AXE79" s="451"/>
      <c r="AXF79" s="449"/>
      <c r="AXG79" s="450"/>
      <c r="AXH79" s="447"/>
      <c r="AXI79" s="451"/>
      <c r="AXJ79" s="449"/>
      <c r="AXK79" s="450"/>
      <c r="AXL79" s="452"/>
      <c r="AXM79" s="451"/>
      <c r="AXN79" s="449"/>
      <c r="AXO79" s="450"/>
      <c r="AXP79" s="447"/>
      <c r="AXQ79" s="448"/>
      <c r="AXR79" s="453"/>
      <c r="AXS79" s="449"/>
      <c r="AXT79" s="450"/>
      <c r="AXU79" s="454"/>
      <c r="AXV79" s="448"/>
      <c r="AXX79" s="449"/>
      <c r="AXY79" s="450"/>
      <c r="AXZ79" s="452"/>
      <c r="AYA79" s="448"/>
      <c r="AYC79" s="449"/>
      <c r="AYD79" s="450"/>
      <c r="AYE79" s="447"/>
      <c r="AYF79" s="448"/>
      <c r="AYH79" s="449"/>
      <c r="AYI79" s="450"/>
      <c r="AYJ79" s="452"/>
      <c r="AYK79" s="448"/>
      <c r="AYL79" s="449"/>
      <c r="AYM79" s="450"/>
      <c r="AYN79" s="452"/>
      <c r="AYO79" s="448"/>
      <c r="AYP79" s="455"/>
      <c r="AYQ79" s="449"/>
      <c r="AYR79" s="450"/>
      <c r="AYS79" s="459"/>
      <c r="AYT79" s="448"/>
      <c r="AYU79" s="456"/>
      <c r="AYV79" s="449"/>
      <c r="AYW79" s="450"/>
      <c r="AYX79" s="452"/>
      <c r="AYY79" s="448"/>
      <c r="AYZ79" s="449"/>
      <c r="AZA79" s="450"/>
      <c r="AZB79" s="452"/>
      <c r="AZC79" s="448"/>
      <c r="AZD79" s="449"/>
      <c r="AZE79" s="450"/>
      <c r="AZF79" s="447"/>
      <c r="AZG79" s="448"/>
      <c r="AZH79" s="457"/>
      <c r="AZI79" s="460"/>
      <c r="AZJ79" s="450"/>
      <c r="AZK79" s="461"/>
      <c r="AZL79" s="448"/>
      <c r="AZM79" s="456"/>
      <c r="AZN79" s="449"/>
      <c r="AZO79" s="450"/>
      <c r="AZP79" s="452"/>
      <c r="AZQ79" s="448"/>
      <c r="AZR79" s="456"/>
      <c r="AZS79" s="458"/>
      <c r="AZT79" s="458"/>
      <c r="AZV79" s="454"/>
      <c r="AZW79" s="450"/>
      <c r="AZX79" s="454"/>
      <c r="AZY79" s="448"/>
      <c r="AZZ79" s="449"/>
      <c r="BAA79" s="450"/>
      <c r="BAB79" s="447"/>
      <c r="BAC79" s="448"/>
      <c r="BAD79" s="449"/>
      <c r="BAE79" s="450"/>
      <c r="BAF79" s="447"/>
      <c r="BAG79" s="451"/>
      <c r="BAH79" s="449"/>
      <c r="BAI79" s="450"/>
      <c r="BAJ79" s="447"/>
      <c r="BAK79" s="451"/>
      <c r="BAL79" s="449"/>
      <c r="BAM79" s="450"/>
      <c r="BAN79" s="447"/>
      <c r="BAO79" s="451"/>
      <c r="BAP79" s="449"/>
      <c r="BAQ79" s="450"/>
      <c r="BAR79" s="452"/>
      <c r="BAS79" s="451"/>
      <c r="BAT79" s="449"/>
      <c r="BAU79" s="450"/>
      <c r="BAV79" s="447"/>
      <c r="BAW79" s="448"/>
      <c r="BAX79" s="453"/>
      <c r="BAY79" s="449"/>
      <c r="BAZ79" s="450"/>
      <c r="BBA79" s="454"/>
      <c r="BBB79" s="448"/>
      <c r="BBD79" s="449"/>
      <c r="BBE79" s="450"/>
      <c r="BBF79" s="452"/>
      <c r="BBG79" s="448"/>
      <c r="BBI79" s="449"/>
      <c r="BBJ79" s="450"/>
      <c r="BBK79" s="447"/>
      <c r="BBL79" s="448"/>
      <c r="BBN79" s="449"/>
      <c r="BBO79" s="450"/>
      <c r="BBP79" s="452"/>
      <c r="BBQ79" s="448"/>
      <c r="BBR79" s="449"/>
      <c r="BBS79" s="450"/>
      <c r="BBT79" s="452"/>
      <c r="BBU79" s="448"/>
      <c r="BBV79" s="455"/>
      <c r="BBW79" s="449"/>
      <c r="BBX79" s="450"/>
      <c r="BBY79" s="459"/>
      <c r="BBZ79" s="448"/>
      <c r="BCA79" s="456"/>
      <c r="BCB79" s="449"/>
      <c r="BCC79" s="450"/>
      <c r="BCD79" s="452"/>
      <c r="BCE79" s="448"/>
      <c r="BCF79" s="449"/>
      <c r="BCG79" s="450"/>
      <c r="BCH79" s="452"/>
      <c r="BCI79" s="448"/>
      <c r="BCJ79" s="449"/>
      <c r="BCK79" s="450"/>
      <c r="BCL79" s="447"/>
      <c r="BCM79" s="448"/>
      <c r="BCN79" s="457"/>
      <c r="BCO79" s="460"/>
      <c r="BCP79" s="450"/>
      <c r="BCQ79" s="461"/>
      <c r="BCR79" s="448"/>
      <c r="BCS79" s="456"/>
      <c r="BCT79" s="449"/>
      <c r="BCU79" s="450"/>
      <c r="BCV79" s="452"/>
      <c r="BCW79" s="448"/>
      <c r="BCX79" s="456"/>
      <c r="BCY79" s="458"/>
      <c r="BCZ79" s="458"/>
      <c r="BDB79" s="454"/>
      <c r="BDC79" s="450"/>
      <c r="BDD79" s="454"/>
      <c r="BDE79" s="448"/>
      <c r="BDF79" s="449"/>
      <c r="BDG79" s="450"/>
      <c r="BDH79" s="447"/>
      <c r="BDI79" s="448"/>
      <c r="BDJ79" s="449"/>
      <c r="BDK79" s="450"/>
      <c r="BDL79" s="447"/>
      <c r="BDM79" s="451"/>
      <c r="BDN79" s="449"/>
      <c r="BDO79" s="450"/>
      <c r="BDP79" s="447"/>
      <c r="BDQ79" s="451"/>
      <c r="BDR79" s="449"/>
      <c r="BDS79" s="450"/>
      <c r="BDT79" s="447"/>
      <c r="BDU79" s="451"/>
      <c r="BDV79" s="449"/>
      <c r="BDW79" s="450"/>
      <c r="BDX79" s="452"/>
      <c r="BDY79" s="451"/>
      <c r="BDZ79" s="449"/>
      <c r="BEA79" s="450"/>
      <c r="BEB79" s="447"/>
      <c r="BEC79" s="448"/>
      <c r="BED79" s="453"/>
      <c r="BEE79" s="449"/>
      <c r="BEF79" s="450"/>
      <c r="BEG79" s="454"/>
      <c r="BEH79" s="448"/>
      <c r="BEJ79" s="449"/>
      <c r="BEK79" s="450"/>
      <c r="BEL79" s="452"/>
      <c r="BEM79" s="448"/>
      <c r="BEO79" s="449"/>
      <c r="BEP79" s="450"/>
      <c r="BEQ79" s="447"/>
      <c r="BER79" s="448"/>
      <c r="BET79" s="449"/>
      <c r="BEU79" s="450"/>
      <c r="BEV79" s="452"/>
      <c r="BEW79" s="448"/>
      <c r="BEX79" s="449"/>
      <c r="BEY79" s="450"/>
      <c r="BEZ79" s="452"/>
      <c r="BFA79" s="448"/>
      <c r="BFB79" s="455"/>
      <c r="BFC79" s="449"/>
      <c r="BFD79" s="450"/>
      <c r="BFE79" s="459"/>
      <c r="BFF79" s="448"/>
      <c r="BFG79" s="456"/>
      <c r="BFH79" s="449"/>
      <c r="BFI79" s="450"/>
      <c r="BFJ79" s="452"/>
      <c r="BFK79" s="448"/>
      <c r="BFL79" s="449"/>
      <c r="BFM79" s="450"/>
      <c r="BFN79" s="452"/>
      <c r="BFO79" s="448"/>
      <c r="BFP79" s="449"/>
      <c r="BFQ79" s="450"/>
      <c r="BFR79" s="447"/>
      <c r="BFS79" s="448"/>
      <c r="BFT79" s="457"/>
      <c r="BFU79" s="460"/>
      <c r="BFV79" s="450"/>
      <c r="BFW79" s="461"/>
      <c r="BFX79" s="448"/>
      <c r="BFY79" s="456"/>
      <c r="BFZ79" s="449"/>
      <c r="BGA79" s="450"/>
      <c r="BGB79" s="452"/>
      <c r="BGC79" s="448"/>
      <c r="BGD79" s="456"/>
      <c r="BGE79" s="458"/>
      <c r="BGF79" s="458"/>
      <c r="BGH79" s="454"/>
      <c r="BGI79" s="450"/>
      <c r="BGJ79" s="454"/>
      <c r="BGK79" s="448"/>
      <c r="BGL79" s="449"/>
      <c r="BGM79" s="450"/>
      <c r="BGN79" s="447"/>
      <c r="BGO79" s="448"/>
      <c r="BGP79" s="449"/>
      <c r="BGQ79" s="450"/>
      <c r="BGR79" s="447"/>
      <c r="BGS79" s="451"/>
      <c r="BGT79" s="449"/>
      <c r="BGU79" s="450"/>
      <c r="BGV79" s="447"/>
      <c r="BGW79" s="451"/>
      <c r="BGX79" s="449"/>
      <c r="BGY79" s="450"/>
      <c r="BGZ79" s="447"/>
      <c r="BHA79" s="451"/>
      <c r="BHB79" s="449"/>
      <c r="BHC79" s="450"/>
      <c r="BHD79" s="452"/>
      <c r="BHE79" s="451"/>
      <c r="BHF79" s="449"/>
      <c r="BHG79" s="450"/>
      <c r="BHH79" s="447"/>
      <c r="BHI79" s="448"/>
      <c r="BHJ79" s="453"/>
      <c r="BHK79" s="449"/>
      <c r="BHL79" s="450"/>
      <c r="BHM79" s="454"/>
      <c r="BHN79" s="448"/>
      <c r="BHP79" s="449"/>
      <c r="BHQ79" s="450"/>
      <c r="BHR79" s="452"/>
      <c r="BHS79" s="448"/>
      <c r="BHU79" s="449"/>
      <c r="BHV79" s="450"/>
      <c r="BHW79" s="447"/>
      <c r="BHX79" s="448"/>
      <c r="BHZ79" s="449"/>
      <c r="BIA79" s="450"/>
      <c r="BIB79" s="452"/>
      <c r="BIC79" s="448"/>
      <c r="BID79" s="449"/>
      <c r="BIE79" s="450"/>
      <c r="BIF79" s="452"/>
      <c r="BIG79" s="448"/>
      <c r="BIH79" s="455"/>
      <c r="BII79" s="449"/>
      <c r="BIJ79" s="450"/>
      <c r="BIK79" s="459"/>
      <c r="BIL79" s="448"/>
      <c r="BIM79" s="456"/>
      <c r="BIN79" s="449"/>
      <c r="BIO79" s="450"/>
      <c r="BIP79" s="452"/>
      <c r="BIQ79" s="448"/>
      <c r="BIR79" s="449"/>
      <c r="BIS79" s="450"/>
      <c r="BIT79" s="452"/>
      <c r="BIU79" s="448"/>
      <c r="BIV79" s="449"/>
      <c r="BIW79" s="450"/>
      <c r="BIX79" s="447"/>
      <c r="BIY79" s="448"/>
      <c r="BIZ79" s="457"/>
      <c r="BJA79" s="460"/>
      <c r="BJB79" s="450"/>
      <c r="BJC79" s="461"/>
      <c r="BJD79" s="448"/>
      <c r="BJE79" s="456"/>
      <c r="BJF79" s="449"/>
      <c r="BJG79" s="450"/>
      <c r="BJH79" s="452"/>
      <c r="BJI79" s="448"/>
      <c r="BJJ79" s="456"/>
      <c r="BJK79" s="458"/>
      <c r="BJL79" s="458"/>
      <c r="BJN79" s="454"/>
      <c r="BJO79" s="450"/>
      <c r="BJP79" s="454"/>
      <c r="BJQ79" s="448"/>
      <c r="BJR79" s="449"/>
      <c r="BJS79" s="450"/>
      <c r="BJT79" s="447"/>
      <c r="BJU79" s="448"/>
      <c r="BJV79" s="449"/>
      <c r="BJW79" s="450"/>
      <c r="BJX79" s="447"/>
      <c r="BJY79" s="451"/>
      <c r="BJZ79" s="449"/>
      <c r="BKA79" s="450"/>
      <c r="BKB79" s="447"/>
      <c r="BKC79" s="451"/>
      <c r="BKD79" s="449"/>
      <c r="BKE79" s="450"/>
      <c r="BKF79" s="447"/>
      <c r="BKG79" s="451"/>
      <c r="BKH79" s="449"/>
      <c r="BKI79" s="450"/>
      <c r="BKJ79" s="452"/>
      <c r="BKK79" s="451"/>
      <c r="BKL79" s="449"/>
      <c r="BKM79" s="450"/>
      <c r="BKN79" s="447"/>
      <c r="BKO79" s="448"/>
      <c r="BKP79" s="453"/>
      <c r="BKQ79" s="449"/>
      <c r="BKR79" s="450"/>
      <c r="BKS79" s="454"/>
      <c r="BKT79" s="448"/>
      <c r="BKV79" s="449"/>
      <c r="BKW79" s="450"/>
      <c r="BKX79" s="452"/>
      <c r="BKY79" s="448"/>
      <c r="BLA79" s="449"/>
      <c r="BLB79" s="450"/>
      <c r="BLC79" s="447"/>
      <c r="BLD79" s="448"/>
      <c r="BLF79" s="449"/>
      <c r="BLG79" s="450"/>
      <c r="BLH79" s="452"/>
      <c r="BLI79" s="448"/>
      <c r="BLJ79" s="449"/>
      <c r="BLK79" s="450"/>
      <c r="BLL79" s="452"/>
      <c r="BLM79" s="448"/>
      <c r="BLN79" s="455"/>
      <c r="BLO79" s="449"/>
      <c r="BLP79" s="450"/>
      <c r="BLQ79" s="459"/>
      <c r="BLR79" s="448"/>
      <c r="BLS79" s="456"/>
      <c r="BLT79" s="449"/>
      <c r="BLU79" s="450"/>
      <c r="BLV79" s="452"/>
      <c r="BLW79" s="448"/>
      <c r="BLX79" s="449"/>
      <c r="BLY79" s="450"/>
      <c r="BLZ79" s="452"/>
      <c r="BMA79" s="448"/>
      <c r="BMB79" s="449"/>
      <c r="BMC79" s="450"/>
      <c r="BMD79" s="447"/>
      <c r="BME79" s="448"/>
      <c r="BMF79" s="457"/>
      <c r="BMG79" s="460"/>
      <c r="BMH79" s="450"/>
      <c r="BMI79" s="461"/>
      <c r="BMJ79" s="448"/>
      <c r="BMK79" s="456"/>
      <c r="BML79" s="449"/>
      <c r="BMM79" s="450"/>
      <c r="BMN79" s="452"/>
      <c r="BMO79" s="448"/>
      <c r="BMP79" s="456"/>
      <c r="BMQ79" s="458"/>
      <c r="BMR79" s="458"/>
      <c r="BMT79" s="454"/>
      <c r="BMU79" s="450"/>
      <c r="BMV79" s="454"/>
      <c r="BMW79" s="448"/>
      <c r="BMX79" s="449"/>
      <c r="BMY79" s="450"/>
      <c r="BMZ79" s="447"/>
      <c r="BNA79" s="448"/>
      <c r="BNB79" s="449"/>
      <c r="BNC79" s="450"/>
      <c r="BND79" s="447"/>
      <c r="BNE79" s="451"/>
      <c r="BNF79" s="449"/>
      <c r="BNG79" s="450"/>
      <c r="BNH79" s="447"/>
      <c r="BNI79" s="451"/>
      <c r="BNJ79" s="449"/>
      <c r="BNK79" s="450"/>
      <c r="BNL79" s="447"/>
      <c r="BNM79" s="451"/>
      <c r="BNN79" s="449"/>
      <c r="BNO79" s="450"/>
      <c r="BNP79" s="452"/>
      <c r="BNQ79" s="451"/>
      <c r="BNR79" s="449"/>
      <c r="BNS79" s="450"/>
      <c r="BNT79" s="447"/>
      <c r="BNU79" s="448"/>
      <c r="BNV79" s="453"/>
      <c r="BNW79" s="449"/>
      <c r="BNX79" s="450"/>
      <c r="BNY79" s="454"/>
      <c r="BNZ79" s="448"/>
      <c r="BOB79" s="449"/>
      <c r="BOC79" s="450"/>
      <c r="BOD79" s="452"/>
      <c r="BOE79" s="448"/>
      <c r="BOG79" s="449"/>
      <c r="BOH79" s="450"/>
      <c r="BOI79" s="447"/>
      <c r="BOJ79" s="448"/>
      <c r="BOL79" s="449"/>
      <c r="BOM79" s="450"/>
      <c r="BON79" s="452"/>
      <c r="BOO79" s="448"/>
      <c r="BOP79" s="449"/>
      <c r="BOQ79" s="450"/>
      <c r="BOR79" s="452"/>
      <c r="BOS79" s="448"/>
      <c r="BOT79" s="455"/>
      <c r="BOU79" s="449"/>
      <c r="BOV79" s="450"/>
      <c r="BOW79" s="459"/>
      <c r="BOX79" s="448"/>
      <c r="BOY79" s="456"/>
      <c r="BOZ79" s="449"/>
      <c r="BPA79" s="450"/>
      <c r="BPB79" s="452"/>
      <c r="BPC79" s="448"/>
      <c r="BPD79" s="449"/>
      <c r="BPE79" s="450"/>
      <c r="BPF79" s="452"/>
      <c r="BPG79" s="448"/>
      <c r="BPH79" s="449"/>
      <c r="BPI79" s="450"/>
      <c r="BPJ79" s="447"/>
      <c r="BPK79" s="448"/>
      <c r="BPL79" s="457"/>
      <c r="BPM79" s="460"/>
      <c r="BPN79" s="450"/>
      <c r="BPO79" s="461"/>
      <c r="BPP79" s="448"/>
      <c r="BPQ79" s="456"/>
      <c r="BPR79" s="449"/>
      <c r="BPS79" s="450"/>
      <c r="BPT79" s="452"/>
      <c r="BPU79" s="448"/>
      <c r="BPV79" s="456"/>
      <c r="BPW79" s="458"/>
      <c r="BPX79" s="458"/>
      <c r="BPZ79" s="454"/>
      <c r="BQA79" s="450"/>
      <c r="BQB79" s="454"/>
      <c r="BQC79" s="448"/>
      <c r="BQD79" s="449"/>
      <c r="BQE79" s="450"/>
      <c r="BQF79" s="447"/>
      <c r="BQG79" s="448"/>
      <c r="BQH79" s="449"/>
      <c r="BQI79" s="450"/>
      <c r="BQJ79" s="447"/>
      <c r="BQK79" s="451"/>
      <c r="BQL79" s="449"/>
      <c r="BQM79" s="450"/>
      <c r="BQN79" s="447"/>
      <c r="BQO79" s="451"/>
      <c r="BQP79" s="449"/>
      <c r="BQQ79" s="450"/>
      <c r="BQR79" s="447"/>
      <c r="BQS79" s="451"/>
      <c r="BQT79" s="449"/>
      <c r="BQU79" s="450"/>
      <c r="BQV79" s="452"/>
      <c r="BQW79" s="451"/>
      <c r="BQX79" s="449"/>
      <c r="BQY79" s="450"/>
      <c r="BQZ79" s="447"/>
      <c r="BRA79" s="448"/>
      <c r="BRB79" s="453"/>
      <c r="BRC79" s="449"/>
      <c r="BRD79" s="450"/>
      <c r="BRE79" s="454"/>
      <c r="BRF79" s="448"/>
      <c r="BRH79" s="449"/>
      <c r="BRI79" s="450"/>
      <c r="BRJ79" s="452"/>
      <c r="BRK79" s="448"/>
      <c r="BRM79" s="449"/>
      <c r="BRN79" s="450"/>
      <c r="BRO79" s="447"/>
      <c r="BRP79" s="448"/>
      <c r="BRR79" s="449"/>
      <c r="BRS79" s="450"/>
      <c r="BRT79" s="452"/>
      <c r="BRU79" s="448"/>
      <c r="BRV79" s="449"/>
      <c r="BRW79" s="450"/>
      <c r="BRX79" s="452"/>
      <c r="BRY79" s="448"/>
      <c r="BRZ79" s="455"/>
      <c r="BSA79" s="449"/>
      <c r="BSB79" s="450"/>
      <c r="BSC79" s="459"/>
      <c r="BSD79" s="448"/>
      <c r="BSE79" s="456"/>
      <c r="BSF79" s="449"/>
      <c r="BSG79" s="450"/>
      <c r="BSH79" s="452"/>
      <c r="BSI79" s="448"/>
      <c r="BSJ79" s="449"/>
      <c r="BSK79" s="450"/>
      <c r="BSL79" s="452"/>
      <c r="BSM79" s="448"/>
      <c r="BSN79" s="449"/>
      <c r="BSO79" s="450"/>
      <c r="BSP79" s="447"/>
      <c r="BSQ79" s="448"/>
      <c r="BSR79" s="457"/>
      <c r="BSS79" s="460"/>
      <c r="BST79" s="450"/>
      <c r="BSU79" s="461"/>
      <c r="BSV79" s="448"/>
      <c r="BSW79" s="456"/>
      <c r="BSX79" s="449"/>
      <c r="BSY79" s="450"/>
      <c r="BSZ79" s="452"/>
      <c r="BTA79" s="448"/>
      <c r="BTB79" s="456"/>
      <c r="BTC79" s="458"/>
      <c r="BTD79" s="458"/>
      <c r="BTF79" s="454"/>
      <c r="BTG79" s="450"/>
      <c r="BTH79" s="454"/>
      <c r="BTI79" s="448"/>
      <c r="BTJ79" s="449"/>
      <c r="BTK79" s="450"/>
      <c r="BTL79" s="447"/>
      <c r="BTM79" s="448"/>
      <c r="BTN79" s="449"/>
      <c r="BTO79" s="450"/>
      <c r="BTP79" s="447"/>
      <c r="BTQ79" s="451"/>
      <c r="BTR79" s="449"/>
      <c r="BTS79" s="450"/>
      <c r="BTT79" s="447"/>
      <c r="BTU79" s="451"/>
      <c r="BTV79" s="449"/>
      <c r="BTW79" s="450"/>
      <c r="BTX79" s="447"/>
      <c r="BTY79" s="451"/>
      <c r="BTZ79" s="449"/>
      <c r="BUA79" s="450"/>
      <c r="BUB79" s="452"/>
      <c r="BUC79" s="451"/>
      <c r="BUD79" s="449"/>
      <c r="BUE79" s="450"/>
      <c r="BUF79" s="447"/>
      <c r="BUG79" s="448"/>
      <c r="BUH79" s="453"/>
      <c r="BUI79" s="449"/>
      <c r="BUJ79" s="450"/>
      <c r="BUK79" s="454"/>
      <c r="BUL79" s="448"/>
      <c r="BUN79" s="449"/>
      <c r="BUO79" s="450"/>
      <c r="BUP79" s="452"/>
      <c r="BUQ79" s="448"/>
      <c r="BUS79" s="449"/>
      <c r="BUT79" s="450"/>
      <c r="BUU79" s="447"/>
      <c r="BUV79" s="448"/>
      <c r="BUX79" s="449"/>
      <c r="BUY79" s="450"/>
      <c r="BUZ79" s="452"/>
      <c r="BVA79" s="448"/>
      <c r="BVB79" s="449"/>
      <c r="BVC79" s="450"/>
      <c r="BVD79" s="452"/>
      <c r="BVE79" s="448"/>
      <c r="BVF79" s="455"/>
      <c r="BVG79" s="449"/>
      <c r="BVH79" s="450"/>
      <c r="BVI79" s="459"/>
      <c r="BVJ79" s="448"/>
      <c r="BVK79" s="456"/>
      <c r="BVL79" s="449"/>
      <c r="BVM79" s="450"/>
      <c r="BVN79" s="452"/>
      <c r="BVO79" s="448"/>
      <c r="BVP79" s="449"/>
      <c r="BVQ79" s="450"/>
      <c r="BVR79" s="452"/>
      <c r="BVS79" s="448"/>
      <c r="BVT79" s="449"/>
      <c r="BVU79" s="450"/>
      <c r="BVV79" s="447"/>
      <c r="BVW79" s="448"/>
      <c r="BVX79" s="457"/>
      <c r="BVY79" s="460"/>
      <c r="BVZ79" s="450"/>
      <c r="BWA79" s="461"/>
      <c r="BWB79" s="448"/>
      <c r="BWC79" s="456"/>
      <c r="BWD79" s="449"/>
      <c r="BWE79" s="450"/>
      <c r="BWF79" s="452"/>
      <c r="BWG79" s="448"/>
      <c r="BWH79" s="456"/>
      <c r="BWI79" s="458"/>
      <c r="BWJ79" s="458"/>
      <c r="BWL79" s="454"/>
      <c r="BWM79" s="450"/>
      <c r="BWN79" s="454"/>
      <c r="BWO79" s="448"/>
      <c r="BWP79" s="449"/>
      <c r="BWQ79" s="450"/>
      <c r="BWR79" s="447"/>
      <c r="BWS79" s="448"/>
      <c r="BWT79" s="449"/>
      <c r="BWU79" s="450"/>
      <c r="BWV79" s="447"/>
      <c r="BWW79" s="451"/>
      <c r="BWX79" s="449"/>
      <c r="BWY79" s="450"/>
      <c r="BWZ79" s="447"/>
      <c r="BXA79" s="451"/>
      <c r="BXB79" s="449"/>
      <c r="BXC79" s="450"/>
      <c r="BXD79" s="447"/>
      <c r="BXE79" s="451"/>
      <c r="BXF79" s="449"/>
      <c r="BXG79" s="450"/>
      <c r="BXH79" s="452"/>
      <c r="BXI79" s="451"/>
      <c r="BXJ79" s="449"/>
      <c r="BXK79" s="450"/>
      <c r="BXL79" s="447"/>
      <c r="BXM79" s="448"/>
      <c r="BXN79" s="453"/>
      <c r="BXO79" s="449"/>
      <c r="BXP79" s="450"/>
      <c r="BXQ79" s="454"/>
      <c r="BXR79" s="448"/>
      <c r="BXT79" s="449"/>
      <c r="BXU79" s="450"/>
      <c r="BXV79" s="452"/>
      <c r="BXW79" s="448"/>
      <c r="BXY79" s="449"/>
      <c r="BXZ79" s="450"/>
      <c r="BYA79" s="447"/>
      <c r="BYB79" s="448"/>
      <c r="BYD79" s="449"/>
      <c r="BYE79" s="450"/>
      <c r="BYF79" s="452"/>
      <c r="BYG79" s="448"/>
      <c r="BYH79" s="449"/>
      <c r="BYI79" s="450"/>
      <c r="BYJ79" s="452"/>
      <c r="BYK79" s="448"/>
      <c r="BYL79" s="455"/>
      <c r="BYM79" s="449"/>
      <c r="BYN79" s="450"/>
      <c r="BYO79" s="459"/>
      <c r="BYP79" s="448"/>
      <c r="BYQ79" s="456"/>
      <c r="BYR79" s="449"/>
      <c r="BYS79" s="450"/>
      <c r="BYT79" s="452"/>
      <c r="BYU79" s="448"/>
      <c r="BYV79" s="449"/>
      <c r="BYW79" s="450"/>
      <c r="BYX79" s="452"/>
      <c r="BYY79" s="448"/>
      <c r="BYZ79" s="449"/>
      <c r="BZA79" s="450"/>
      <c r="BZB79" s="447"/>
      <c r="BZC79" s="448"/>
      <c r="BZD79" s="457"/>
      <c r="BZE79" s="460"/>
      <c r="BZF79" s="450"/>
      <c r="BZG79" s="461"/>
      <c r="BZH79" s="448"/>
      <c r="BZI79" s="456"/>
      <c r="BZJ79" s="449"/>
      <c r="BZK79" s="450"/>
      <c r="BZL79" s="452"/>
      <c r="BZM79" s="448"/>
      <c r="BZN79" s="456"/>
      <c r="BZO79" s="458"/>
      <c r="BZP79" s="458"/>
      <c r="BZR79" s="454"/>
      <c r="BZS79" s="450"/>
      <c r="BZT79" s="454"/>
      <c r="BZU79" s="448"/>
      <c r="BZV79" s="449"/>
      <c r="BZW79" s="450"/>
      <c r="BZX79" s="447"/>
      <c r="BZY79" s="448"/>
      <c r="BZZ79" s="449"/>
      <c r="CAA79" s="450"/>
      <c r="CAB79" s="447"/>
      <c r="CAC79" s="451"/>
      <c r="CAD79" s="449"/>
      <c r="CAE79" s="450"/>
      <c r="CAF79" s="447"/>
      <c r="CAG79" s="451"/>
      <c r="CAH79" s="449"/>
      <c r="CAI79" s="450"/>
      <c r="CAJ79" s="447"/>
      <c r="CAK79" s="451"/>
      <c r="CAL79" s="449"/>
      <c r="CAM79" s="450"/>
      <c r="CAN79" s="452"/>
      <c r="CAO79" s="451"/>
      <c r="CAP79" s="449"/>
      <c r="CAQ79" s="450"/>
      <c r="CAR79" s="447"/>
      <c r="CAS79" s="448"/>
      <c r="CAT79" s="453"/>
      <c r="CAU79" s="449"/>
      <c r="CAV79" s="450"/>
      <c r="CAW79" s="454"/>
      <c r="CAX79" s="448"/>
      <c r="CAZ79" s="449"/>
      <c r="CBA79" s="450"/>
      <c r="CBB79" s="452"/>
      <c r="CBC79" s="448"/>
      <c r="CBE79" s="449"/>
      <c r="CBF79" s="450"/>
      <c r="CBG79" s="447"/>
      <c r="CBH79" s="448"/>
      <c r="CBJ79" s="449"/>
      <c r="CBK79" s="450"/>
      <c r="CBL79" s="452"/>
      <c r="CBM79" s="448"/>
      <c r="CBN79" s="449"/>
      <c r="CBO79" s="450"/>
      <c r="CBP79" s="452"/>
      <c r="CBQ79" s="448"/>
      <c r="CBR79" s="455"/>
      <c r="CBS79" s="449"/>
      <c r="CBT79" s="450"/>
      <c r="CBU79" s="459"/>
      <c r="CBV79" s="448"/>
      <c r="CBW79" s="456"/>
      <c r="CBX79" s="449"/>
      <c r="CBY79" s="450"/>
      <c r="CBZ79" s="452"/>
      <c r="CCA79" s="448"/>
      <c r="CCB79" s="449"/>
      <c r="CCC79" s="450"/>
      <c r="CCD79" s="452"/>
      <c r="CCE79" s="448"/>
      <c r="CCF79" s="449"/>
      <c r="CCG79" s="450"/>
      <c r="CCH79" s="447"/>
      <c r="CCI79" s="448"/>
      <c r="CCJ79" s="457"/>
      <c r="CCK79" s="460"/>
      <c r="CCL79" s="450"/>
      <c r="CCM79" s="461"/>
      <c r="CCN79" s="448"/>
      <c r="CCO79" s="456"/>
      <c r="CCP79" s="449"/>
      <c r="CCQ79" s="450"/>
      <c r="CCR79" s="452"/>
      <c r="CCS79" s="448"/>
      <c r="CCT79" s="456"/>
      <c r="CCU79" s="458"/>
      <c r="CCV79" s="458"/>
      <c r="CCX79" s="454"/>
      <c r="CCY79" s="450"/>
      <c r="CCZ79" s="454"/>
      <c r="CDA79" s="448"/>
      <c r="CDB79" s="449"/>
      <c r="CDC79" s="450"/>
      <c r="CDD79" s="447"/>
      <c r="CDE79" s="448"/>
      <c r="CDF79" s="449"/>
      <c r="CDG79" s="450"/>
      <c r="CDH79" s="447"/>
      <c r="CDI79" s="451"/>
      <c r="CDJ79" s="449"/>
      <c r="CDK79" s="450"/>
      <c r="CDL79" s="447"/>
      <c r="CDM79" s="451"/>
      <c r="CDN79" s="449"/>
      <c r="CDO79" s="450"/>
      <c r="CDP79" s="447"/>
      <c r="CDQ79" s="451"/>
      <c r="CDR79" s="449"/>
      <c r="CDS79" s="450"/>
      <c r="CDT79" s="452"/>
      <c r="CDU79" s="451"/>
      <c r="CDV79" s="449"/>
      <c r="CDW79" s="450"/>
      <c r="CDX79" s="447"/>
      <c r="CDY79" s="448"/>
      <c r="CDZ79" s="453"/>
      <c r="CEA79" s="449"/>
      <c r="CEB79" s="450"/>
      <c r="CEC79" s="454"/>
      <c r="CED79" s="448"/>
      <c r="CEF79" s="449"/>
      <c r="CEG79" s="450"/>
      <c r="CEH79" s="452"/>
      <c r="CEI79" s="448"/>
      <c r="CEK79" s="449"/>
      <c r="CEL79" s="450"/>
      <c r="CEM79" s="447"/>
      <c r="CEN79" s="448"/>
      <c r="CEP79" s="449"/>
      <c r="CEQ79" s="450"/>
      <c r="CER79" s="452"/>
      <c r="CES79" s="448"/>
      <c r="CET79" s="449"/>
      <c r="CEU79" s="450"/>
      <c r="CEV79" s="452"/>
      <c r="CEW79" s="448"/>
      <c r="CEX79" s="455"/>
      <c r="CEY79" s="449"/>
      <c r="CEZ79" s="450"/>
      <c r="CFA79" s="459"/>
      <c r="CFB79" s="448"/>
      <c r="CFC79" s="456"/>
      <c r="CFD79" s="449"/>
      <c r="CFE79" s="450"/>
      <c r="CFF79" s="452"/>
      <c r="CFG79" s="448"/>
      <c r="CFH79" s="449"/>
      <c r="CFI79" s="450"/>
      <c r="CFJ79" s="452"/>
      <c r="CFK79" s="448"/>
      <c r="CFL79" s="449"/>
      <c r="CFM79" s="450"/>
      <c r="CFN79" s="447"/>
      <c r="CFO79" s="448"/>
      <c r="CFP79" s="457"/>
      <c r="CFQ79" s="460"/>
      <c r="CFR79" s="450"/>
      <c r="CFS79" s="461"/>
      <c r="CFT79" s="448"/>
      <c r="CFU79" s="456"/>
      <c r="CFV79" s="449"/>
      <c r="CFW79" s="450"/>
      <c r="CFX79" s="452"/>
      <c r="CFY79" s="448"/>
      <c r="CFZ79" s="456"/>
      <c r="CGA79" s="458"/>
      <c r="CGB79" s="458"/>
      <c r="CGD79" s="454"/>
      <c r="CGE79" s="450"/>
      <c r="CGF79" s="454"/>
      <c r="CGG79" s="448"/>
      <c r="CGH79" s="449"/>
      <c r="CGI79" s="450"/>
      <c r="CGJ79" s="447"/>
      <c r="CGK79" s="448"/>
      <c r="CGL79" s="449"/>
      <c r="CGM79" s="450"/>
      <c r="CGN79" s="447"/>
      <c r="CGO79" s="451"/>
      <c r="CGP79" s="449"/>
      <c r="CGQ79" s="450"/>
      <c r="CGR79" s="447"/>
      <c r="CGS79" s="451"/>
      <c r="CGT79" s="449"/>
      <c r="CGU79" s="450"/>
      <c r="CGV79" s="447"/>
      <c r="CGW79" s="451"/>
      <c r="CGX79" s="449"/>
      <c r="CGY79" s="450"/>
      <c r="CGZ79" s="452"/>
      <c r="CHA79" s="451"/>
      <c r="CHB79" s="449"/>
      <c r="CHC79" s="450"/>
      <c r="CHD79" s="447"/>
      <c r="CHE79" s="448"/>
      <c r="CHF79" s="453"/>
      <c r="CHG79" s="449"/>
      <c r="CHH79" s="450"/>
      <c r="CHI79" s="454"/>
      <c r="CHJ79" s="448"/>
      <c r="CHL79" s="449"/>
      <c r="CHM79" s="450"/>
      <c r="CHN79" s="452"/>
      <c r="CHO79" s="448"/>
      <c r="CHQ79" s="449"/>
      <c r="CHR79" s="450"/>
      <c r="CHS79" s="447"/>
      <c r="CHT79" s="448"/>
      <c r="CHV79" s="449"/>
      <c r="CHW79" s="450"/>
      <c r="CHX79" s="452"/>
      <c r="CHY79" s="448"/>
      <c r="CHZ79" s="449"/>
      <c r="CIA79" s="450"/>
      <c r="CIB79" s="452"/>
      <c r="CIC79" s="448"/>
      <c r="CID79" s="455"/>
      <c r="CIE79" s="449"/>
      <c r="CIF79" s="450"/>
      <c r="CIG79" s="459"/>
      <c r="CIH79" s="448"/>
      <c r="CII79" s="456"/>
      <c r="CIJ79" s="449"/>
      <c r="CIK79" s="450"/>
      <c r="CIL79" s="452"/>
      <c r="CIM79" s="448"/>
      <c r="CIN79" s="449"/>
      <c r="CIO79" s="450"/>
      <c r="CIP79" s="452"/>
      <c r="CIQ79" s="448"/>
      <c r="CIR79" s="449"/>
      <c r="CIS79" s="450"/>
      <c r="CIT79" s="447"/>
      <c r="CIU79" s="448"/>
      <c r="CIV79" s="457"/>
      <c r="CIW79" s="460"/>
      <c r="CIX79" s="450"/>
      <c r="CIY79" s="461"/>
      <c r="CIZ79" s="448"/>
      <c r="CJA79" s="456"/>
      <c r="CJB79" s="449"/>
      <c r="CJC79" s="450"/>
      <c r="CJD79" s="452"/>
      <c r="CJE79" s="448"/>
      <c r="CJF79" s="456"/>
      <c r="CJG79" s="458"/>
      <c r="CJH79" s="458"/>
      <c r="CJJ79" s="454"/>
      <c r="CJK79" s="450"/>
      <c r="CJL79" s="454"/>
      <c r="CJM79" s="448"/>
      <c r="CJN79" s="449"/>
      <c r="CJO79" s="450"/>
      <c r="CJP79" s="447"/>
      <c r="CJQ79" s="448"/>
      <c r="CJR79" s="449"/>
      <c r="CJS79" s="450"/>
      <c r="CJT79" s="447"/>
      <c r="CJU79" s="451"/>
      <c r="CJV79" s="449"/>
      <c r="CJW79" s="450"/>
      <c r="CJX79" s="447"/>
      <c r="CJY79" s="451"/>
      <c r="CJZ79" s="449"/>
      <c r="CKA79" s="450"/>
      <c r="CKB79" s="447"/>
      <c r="CKC79" s="451"/>
      <c r="CKD79" s="449"/>
      <c r="CKE79" s="450"/>
      <c r="CKF79" s="452"/>
      <c r="CKG79" s="451"/>
      <c r="CKH79" s="449"/>
      <c r="CKI79" s="450"/>
      <c r="CKJ79" s="447"/>
      <c r="CKK79" s="448"/>
      <c r="CKL79" s="453"/>
      <c r="CKM79" s="449"/>
      <c r="CKN79" s="450"/>
      <c r="CKO79" s="454"/>
      <c r="CKP79" s="448"/>
      <c r="CKR79" s="449"/>
      <c r="CKS79" s="450"/>
      <c r="CKT79" s="452"/>
      <c r="CKU79" s="448"/>
      <c r="CKW79" s="449"/>
      <c r="CKX79" s="450"/>
      <c r="CKY79" s="447"/>
      <c r="CKZ79" s="448"/>
      <c r="CLB79" s="449"/>
      <c r="CLC79" s="450"/>
      <c r="CLD79" s="452"/>
      <c r="CLE79" s="448"/>
      <c r="CLF79" s="449"/>
      <c r="CLG79" s="450"/>
      <c r="CLH79" s="452"/>
      <c r="CLI79" s="448"/>
      <c r="CLJ79" s="455"/>
      <c r="CLK79" s="449"/>
      <c r="CLL79" s="450"/>
      <c r="CLM79" s="459"/>
      <c r="CLN79" s="448"/>
      <c r="CLO79" s="456"/>
      <c r="CLP79" s="449"/>
      <c r="CLQ79" s="450"/>
      <c r="CLR79" s="452"/>
      <c r="CLS79" s="448"/>
      <c r="CLT79" s="449"/>
      <c r="CLU79" s="450"/>
      <c r="CLV79" s="452"/>
      <c r="CLW79" s="448"/>
      <c r="CLX79" s="449"/>
      <c r="CLY79" s="450"/>
      <c r="CLZ79" s="447"/>
      <c r="CMA79" s="448"/>
      <c r="CMB79" s="457"/>
      <c r="CMC79" s="460"/>
      <c r="CMD79" s="450"/>
      <c r="CME79" s="461"/>
      <c r="CMF79" s="448"/>
      <c r="CMG79" s="456"/>
      <c r="CMH79" s="449"/>
      <c r="CMI79" s="450"/>
      <c r="CMJ79" s="452"/>
      <c r="CMK79" s="448"/>
      <c r="CML79" s="456"/>
      <c r="CMM79" s="458"/>
      <c r="CMN79" s="458"/>
      <c r="CMP79" s="454"/>
      <c r="CMQ79" s="450"/>
      <c r="CMR79" s="454"/>
      <c r="CMS79" s="448"/>
      <c r="CMT79" s="449"/>
      <c r="CMU79" s="450"/>
      <c r="CMV79" s="447"/>
      <c r="CMW79" s="448"/>
      <c r="CMX79" s="449"/>
      <c r="CMY79" s="450"/>
      <c r="CMZ79" s="447"/>
      <c r="CNA79" s="451"/>
      <c r="CNB79" s="449"/>
      <c r="CNC79" s="450"/>
      <c r="CND79" s="447"/>
      <c r="CNE79" s="451"/>
      <c r="CNF79" s="449"/>
      <c r="CNG79" s="450"/>
      <c r="CNH79" s="447"/>
      <c r="CNI79" s="451"/>
      <c r="CNJ79" s="449"/>
      <c r="CNK79" s="450"/>
      <c r="CNL79" s="452"/>
      <c r="CNM79" s="451"/>
      <c r="CNN79" s="449"/>
      <c r="CNO79" s="450"/>
      <c r="CNP79" s="447"/>
      <c r="CNQ79" s="448"/>
      <c r="CNR79" s="453"/>
      <c r="CNS79" s="449"/>
      <c r="CNT79" s="450"/>
      <c r="CNU79" s="454"/>
      <c r="CNV79" s="448"/>
      <c r="CNX79" s="449"/>
      <c r="CNY79" s="450"/>
      <c r="CNZ79" s="452"/>
      <c r="COA79" s="448"/>
      <c r="COC79" s="449"/>
      <c r="COD79" s="450"/>
      <c r="COE79" s="447"/>
      <c r="COF79" s="448"/>
      <c r="COH79" s="449"/>
      <c r="COI79" s="450"/>
      <c r="COJ79" s="452"/>
      <c r="COK79" s="448"/>
      <c r="COL79" s="449"/>
      <c r="COM79" s="450"/>
      <c r="CON79" s="452"/>
      <c r="COO79" s="448"/>
      <c r="COP79" s="455"/>
      <c r="COQ79" s="449"/>
      <c r="COR79" s="450"/>
      <c r="COS79" s="459"/>
      <c r="COT79" s="448"/>
      <c r="COU79" s="456"/>
      <c r="COV79" s="449"/>
      <c r="COW79" s="450"/>
      <c r="COX79" s="452"/>
      <c r="COY79" s="448"/>
      <c r="COZ79" s="449"/>
      <c r="CPA79" s="450"/>
      <c r="CPB79" s="452"/>
      <c r="CPC79" s="448"/>
      <c r="CPD79" s="449"/>
      <c r="CPE79" s="450"/>
      <c r="CPF79" s="447"/>
      <c r="CPG79" s="448"/>
      <c r="CPH79" s="457"/>
      <c r="CPI79" s="460"/>
      <c r="CPJ79" s="450"/>
      <c r="CPK79" s="461"/>
      <c r="CPL79" s="448"/>
      <c r="CPM79" s="456"/>
      <c r="CPN79" s="449"/>
      <c r="CPO79" s="450"/>
      <c r="CPP79" s="452"/>
      <c r="CPQ79" s="448"/>
      <c r="CPR79" s="456"/>
      <c r="CPS79" s="458"/>
      <c r="CPT79" s="458"/>
      <c r="CPV79" s="454"/>
      <c r="CPW79" s="450"/>
      <c r="CPX79" s="454"/>
      <c r="CPY79" s="448"/>
      <c r="CPZ79" s="449"/>
      <c r="CQA79" s="450"/>
      <c r="CQB79" s="447"/>
      <c r="CQC79" s="448"/>
      <c r="CQD79" s="449"/>
      <c r="CQE79" s="450"/>
      <c r="CQF79" s="447"/>
      <c r="CQG79" s="451"/>
      <c r="CQH79" s="449"/>
      <c r="CQI79" s="450"/>
      <c r="CQJ79" s="447"/>
      <c r="CQK79" s="451"/>
      <c r="CQL79" s="449"/>
      <c r="CQM79" s="450"/>
      <c r="CQN79" s="447"/>
      <c r="CQO79" s="451"/>
      <c r="CQP79" s="449"/>
      <c r="CQQ79" s="450"/>
      <c r="CQR79" s="452"/>
      <c r="CQS79" s="451"/>
      <c r="CQT79" s="449"/>
      <c r="CQU79" s="450"/>
      <c r="CQV79" s="447"/>
      <c r="CQW79" s="448"/>
      <c r="CQX79" s="453"/>
      <c r="CQY79" s="449"/>
      <c r="CQZ79" s="450"/>
      <c r="CRA79" s="454"/>
      <c r="CRB79" s="448"/>
      <c r="CRD79" s="449"/>
      <c r="CRE79" s="450"/>
      <c r="CRF79" s="452"/>
      <c r="CRG79" s="448"/>
      <c r="CRI79" s="449"/>
      <c r="CRJ79" s="450"/>
      <c r="CRK79" s="447"/>
      <c r="CRL79" s="448"/>
      <c r="CRN79" s="449"/>
      <c r="CRO79" s="450"/>
      <c r="CRP79" s="452"/>
      <c r="CRQ79" s="448"/>
      <c r="CRR79" s="449"/>
      <c r="CRS79" s="450"/>
      <c r="CRT79" s="452"/>
      <c r="CRU79" s="448"/>
      <c r="CRV79" s="455"/>
      <c r="CRW79" s="449"/>
      <c r="CRX79" s="450"/>
      <c r="CRY79" s="459"/>
      <c r="CRZ79" s="448"/>
      <c r="CSA79" s="456"/>
      <c r="CSB79" s="449"/>
      <c r="CSC79" s="450"/>
      <c r="CSD79" s="452"/>
      <c r="CSE79" s="448"/>
      <c r="CSF79" s="449"/>
      <c r="CSG79" s="450"/>
      <c r="CSH79" s="452"/>
      <c r="CSI79" s="448"/>
      <c r="CSJ79" s="449"/>
      <c r="CSK79" s="450"/>
      <c r="CSL79" s="447"/>
      <c r="CSM79" s="448"/>
      <c r="CSN79" s="457"/>
      <c r="CSO79" s="460"/>
      <c r="CSP79" s="450"/>
      <c r="CSQ79" s="461"/>
      <c r="CSR79" s="448"/>
      <c r="CSS79" s="456"/>
      <c r="CST79" s="449"/>
      <c r="CSU79" s="450"/>
      <c r="CSV79" s="452"/>
      <c r="CSW79" s="448"/>
      <c r="CSX79" s="456"/>
      <c r="CSY79" s="458"/>
      <c r="CSZ79" s="458"/>
      <c r="CTB79" s="454"/>
      <c r="CTC79" s="450"/>
      <c r="CTD79" s="454"/>
      <c r="CTE79" s="448"/>
      <c r="CTF79" s="449"/>
      <c r="CTG79" s="450"/>
      <c r="CTH79" s="447"/>
      <c r="CTI79" s="448"/>
      <c r="CTJ79" s="449"/>
      <c r="CTK79" s="450"/>
      <c r="CTL79" s="447"/>
      <c r="CTM79" s="451"/>
      <c r="CTN79" s="449"/>
      <c r="CTO79" s="450"/>
      <c r="CTP79" s="447"/>
      <c r="CTQ79" s="451"/>
      <c r="CTR79" s="449"/>
      <c r="CTS79" s="450"/>
      <c r="CTT79" s="447"/>
      <c r="CTU79" s="451"/>
      <c r="CTV79" s="449"/>
      <c r="CTW79" s="450"/>
      <c r="CTX79" s="452"/>
      <c r="CTY79" s="451"/>
      <c r="CTZ79" s="449"/>
      <c r="CUA79" s="450"/>
      <c r="CUB79" s="447"/>
      <c r="CUC79" s="448"/>
      <c r="CUD79" s="453"/>
      <c r="CUE79" s="449"/>
      <c r="CUF79" s="450"/>
      <c r="CUG79" s="454"/>
      <c r="CUH79" s="448"/>
      <c r="CUJ79" s="449"/>
      <c r="CUK79" s="450"/>
      <c r="CUL79" s="452"/>
      <c r="CUM79" s="448"/>
      <c r="CUO79" s="449"/>
      <c r="CUP79" s="450"/>
      <c r="CUQ79" s="447"/>
      <c r="CUR79" s="448"/>
      <c r="CUT79" s="449"/>
      <c r="CUU79" s="450"/>
      <c r="CUV79" s="452"/>
      <c r="CUW79" s="448"/>
      <c r="CUX79" s="449"/>
      <c r="CUY79" s="450"/>
      <c r="CUZ79" s="452"/>
      <c r="CVA79" s="448"/>
      <c r="CVB79" s="455"/>
      <c r="CVC79" s="449"/>
      <c r="CVD79" s="450"/>
      <c r="CVE79" s="459"/>
      <c r="CVF79" s="448"/>
      <c r="CVG79" s="456"/>
      <c r="CVH79" s="449"/>
      <c r="CVI79" s="450"/>
      <c r="CVJ79" s="452"/>
      <c r="CVK79" s="448"/>
      <c r="CVL79" s="449"/>
      <c r="CVM79" s="450"/>
      <c r="CVN79" s="452"/>
      <c r="CVO79" s="448"/>
      <c r="CVP79" s="449"/>
      <c r="CVQ79" s="450"/>
      <c r="CVR79" s="447"/>
      <c r="CVS79" s="448"/>
      <c r="CVT79" s="457"/>
      <c r="CVU79" s="460"/>
      <c r="CVV79" s="450"/>
      <c r="CVW79" s="461"/>
      <c r="CVX79" s="448"/>
      <c r="CVY79" s="456"/>
      <c r="CVZ79" s="449"/>
      <c r="CWA79" s="450"/>
      <c r="CWB79" s="452"/>
      <c r="CWC79" s="448"/>
      <c r="CWD79" s="456"/>
      <c r="CWE79" s="458"/>
      <c r="CWF79" s="458"/>
      <c r="CWH79" s="454"/>
      <c r="CWI79" s="450"/>
      <c r="CWJ79" s="454"/>
      <c r="CWK79" s="448"/>
      <c r="CWL79" s="449"/>
      <c r="CWM79" s="450"/>
      <c r="CWN79" s="447"/>
      <c r="CWO79" s="448"/>
      <c r="CWP79" s="449"/>
      <c r="CWQ79" s="450"/>
      <c r="CWR79" s="447"/>
      <c r="CWS79" s="451"/>
      <c r="CWT79" s="449"/>
      <c r="CWU79" s="450"/>
      <c r="CWV79" s="447"/>
      <c r="CWW79" s="451"/>
      <c r="CWX79" s="449"/>
      <c r="CWY79" s="450"/>
      <c r="CWZ79" s="447"/>
      <c r="CXA79" s="451"/>
      <c r="CXB79" s="449"/>
      <c r="CXC79" s="450"/>
      <c r="CXD79" s="452"/>
      <c r="CXE79" s="451"/>
      <c r="CXF79" s="449"/>
      <c r="CXG79" s="450"/>
      <c r="CXH79" s="447"/>
      <c r="CXI79" s="448"/>
      <c r="CXJ79" s="453"/>
      <c r="CXK79" s="449"/>
      <c r="CXL79" s="450"/>
      <c r="CXM79" s="454"/>
      <c r="CXN79" s="448"/>
      <c r="CXP79" s="449"/>
      <c r="CXQ79" s="450"/>
      <c r="CXR79" s="452"/>
      <c r="CXS79" s="448"/>
      <c r="CXU79" s="449"/>
      <c r="CXV79" s="450"/>
      <c r="CXW79" s="447"/>
      <c r="CXX79" s="448"/>
      <c r="CXZ79" s="449"/>
      <c r="CYA79" s="450"/>
      <c r="CYB79" s="452"/>
      <c r="CYC79" s="448"/>
      <c r="CYD79" s="449"/>
      <c r="CYE79" s="450"/>
      <c r="CYF79" s="452"/>
      <c r="CYG79" s="448"/>
      <c r="CYH79" s="455"/>
      <c r="CYI79" s="449"/>
      <c r="CYJ79" s="450"/>
      <c r="CYK79" s="459"/>
      <c r="CYL79" s="448"/>
      <c r="CYM79" s="456"/>
      <c r="CYN79" s="449"/>
      <c r="CYO79" s="450"/>
      <c r="CYP79" s="452"/>
      <c r="CYQ79" s="448"/>
      <c r="CYR79" s="449"/>
      <c r="CYS79" s="450"/>
      <c r="CYT79" s="452"/>
      <c r="CYU79" s="448"/>
      <c r="CYV79" s="449"/>
      <c r="CYW79" s="450"/>
      <c r="CYX79" s="447"/>
      <c r="CYY79" s="448"/>
      <c r="CYZ79" s="457"/>
      <c r="CZA79" s="460"/>
      <c r="CZB79" s="450"/>
      <c r="CZC79" s="461"/>
      <c r="CZD79" s="448"/>
      <c r="CZE79" s="456"/>
      <c r="CZF79" s="449"/>
      <c r="CZG79" s="450"/>
      <c r="CZH79" s="452"/>
      <c r="CZI79" s="448"/>
      <c r="CZJ79" s="456"/>
      <c r="CZK79" s="458"/>
      <c r="CZL79" s="458"/>
      <c r="CZN79" s="454"/>
      <c r="CZO79" s="450"/>
      <c r="CZP79" s="454"/>
      <c r="CZQ79" s="448"/>
      <c r="CZR79" s="449"/>
      <c r="CZS79" s="450"/>
      <c r="CZT79" s="447"/>
      <c r="CZU79" s="448"/>
      <c r="CZV79" s="449"/>
      <c r="CZW79" s="450"/>
      <c r="CZX79" s="447"/>
      <c r="CZY79" s="451"/>
      <c r="CZZ79" s="449"/>
      <c r="DAA79" s="450"/>
      <c r="DAB79" s="447"/>
      <c r="DAC79" s="451"/>
      <c r="DAD79" s="449"/>
      <c r="DAE79" s="450"/>
      <c r="DAF79" s="447"/>
      <c r="DAG79" s="451"/>
      <c r="DAH79" s="449"/>
      <c r="DAI79" s="450"/>
      <c r="DAJ79" s="452"/>
      <c r="DAK79" s="451"/>
      <c r="DAL79" s="449"/>
      <c r="DAM79" s="450"/>
      <c r="DAN79" s="447"/>
      <c r="DAO79" s="448"/>
      <c r="DAP79" s="453"/>
      <c r="DAQ79" s="449"/>
      <c r="DAR79" s="450"/>
      <c r="DAS79" s="454"/>
      <c r="DAT79" s="448"/>
      <c r="DAV79" s="449"/>
      <c r="DAW79" s="450"/>
      <c r="DAX79" s="452"/>
      <c r="DAY79" s="448"/>
      <c r="DBA79" s="449"/>
      <c r="DBB79" s="450"/>
      <c r="DBC79" s="447"/>
      <c r="DBD79" s="448"/>
      <c r="DBF79" s="449"/>
      <c r="DBG79" s="450"/>
      <c r="DBH79" s="452"/>
      <c r="DBI79" s="448"/>
      <c r="DBJ79" s="449"/>
      <c r="DBK79" s="450"/>
      <c r="DBL79" s="452"/>
      <c r="DBM79" s="448"/>
      <c r="DBN79" s="455"/>
      <c r="DBO79" s="449"/>
      <c r="DBP79" s="450"/>
      <c r="DBQ79" s="459"/>
      <c r="DBR79" s="448"/>
      <c r="DBS79" s="456"/>
      <c r="DBT79" s="449"/>
      <c r="DBU79" s="450"/>
      <c r="DBV79" s="452"/>
      <c r="DBW79" s="448"/>
      <c r="DBX79" s="449"/>
      <c r="DBY79" s="450"/>
      <c r="DBZ79" s="452"/>
      <c r="DCA79" s="448"/>
      <c r="DCB79" s="449"/>
      <c r="DCC79" s="450"/>
      <c r="DCD79" s="447"/>
      <c r="DCE79" s="448"/>
      <c r="DCF79" s="457"/>
      <c r="DCG79" s="460"/>
      <c r="DCH79" s="450"/>
      <c r="DCI79" s="461"/>
      <c r="DCJ79" s="448"/>
      <c r="DCK79" s="456"/>
      <c r="DCL79" s="449"/>
      <c r="DCM79" s="450"/>
      <c r="DCN79" s="452"/>
      <c r="DCO79" s="448"/>
      <c r="DCP79" s="456"/>
      <c r="DCQ79" s="458"/>
      <c r="DCR79" s="458"/>
      <c r="DCT79" s="454"/>
      <c r="DCU79" s="450"/>
      <c r="DCV79" s="454"/>
      <c r="DCW79" s="448"/>
      <c r="DCX79" s="449"/>
      <c r="DCY79" s="450"/>
      <c r="DCZ79" s="447"/>
      <c r="DDA79" s="448"/>
      <c r="DDB79" s="449"/>
      <c r="DDC79" s="450"/>
      <c r="DDD79" s="447"/>
      <c r="DDE79" s="451"/>
      <c r="DDF79" s="449"/>
      <c r="DDG79" s="450"/>
      <c r="DDH79" s="447"/>
      <c r="DDI79" s="451"/>
      <c r="DDJ79" s="449"/>
      <c r="DDK79" s="450"/>
      <c r="DDL79" s="447"/>
      <c r="DDM79" s="451"/>
      <c r="DDN79" s="449"/>
      <c r="DDO79" s="450"/>
      <c r="DDP79" s="452"/>
      <c r="DDQ79" s="451"/>
      <c r="DDR79" s="449"/>
      <c r="DDS79" s="450"/>
      <c r="DDT79" s="447"/>
      <c r="DDU79" s="448"/>
      <c r="DDV79" s="453"/>
      <c r="DDW79" s="449"/>
      <c r="DDX79" s="450"/>
      <c r="DDY79" s="454"/>
      <c r="DDZ79" s="448"/>
      <c r="DEB79" s="449"/>
      <c r="DEC79" s="450"/>
      <c r="DED79" s="452"/>
      <c r="DEE79" s="448"/>
      <c r="DEG79" s="449"/>
      <c r="DEH79" s="450"/>
      <c r="DEI79" s="447"/>
      <c r="DEJ79" s="448"/>
      <c r="DEL79" s="449"/>
      <c r="DEM79" s="450"/>
      <c r="DEN79" s="452"/>
      <c r="DEO79" s="448"/>
      <c r="DEP79" s="449"/>
      <c r="DEQ79" s="450"/>
      <c r="DER79" s="452"/>
      <c r="DES79" s="448"/>
      <c r="DET79" s="455"/>
      <c r="DEU79" s="449"/>
      <c r="DEV79" s="450"/>
      <c r="DEW79" s="459"/>
      <c r="DEX79" s="448"/>
      <c r="DEY79" s="456"/>
      <c r="DEZ79" s="449"/>
      <c r="DFA79" s="450"/>
      <c r="DFB79" s="452"/>
      <c r="DFC79" s="448"/>
      <c r="DFD79" s="449"/>
      <c r="DFE79" s="450"/>
      <c r="DFF79" s="452"/>
      <c r="DFG79" s="448"/>
      <c r="DFH79" s="449"/>
      <c r="DFI79" s="450"/>
      <c r="DFJ79" s="447"/>
      <c r="DFK79" s="448"/>
      <c r="DFL79" s="457"/>
      <c r="DFM79" s="460"/>
      <c r="DFN79" s="450"/>
      <c r="DFO79" s="461"/>
      <c r="DFP79" s="448"/>
      <c r="DFQ79" s="456"/>
      <c r="DFR79" s="449"/>
      <c r="DFS79" s="450"/>
      <c r="DFT79" s="452"/>
      <c r="DFU79" s="448"/>
      <c r="DFV79" s="456"/>
      <c r="DFW79" s="458"/>
      <c r="DFX79" s="458"/>
      <c r="DFZ79" s="454"/>
      <c r="DGA79" s="450"/>
      <c r="DGB79" s="454"/>
      <c r="DGC79" s="448"/>
      <c r="DGD79" s="449"/>
      <c r="DGE79" s="450"/>
      <c r="DGF79" s="447"/>
      <c r="DGG79" s="448"/>
      <c r="DGH79" s="449"/>
      <c r="DGI79" s="450"/>
      <c r="DGJ79" s="447"/>
      <c r="DGK79" s="451"/>
      <c r="DGL79" s="449"/>
      <c r="DGM79" s="450"/>
      <c r="DGN79" s="447"/>
      <c r="DGO79" s="451"/>
      <c r="DGP79" s="449"/>
      <c r="DGQ79" s="450"/>
      <c r="DGR79" s="447"/>
      <c r="DGS79" s="451"/>
      <c r="DGT79" s="449"/>
      <c r="DGU79" s="450"/>
      <c r="DGV79" s="452"/>
      <c r="DGW79" s="451"/>
      <c r="DGX79" s="449"/>
      <c r="DGY79" s="450"/>
      <c r="DGZ79" s="447"/>
      <c r="DHA79" s="448"/>
      <c r="DHB79" s="453"/>
      <c r="DHC79" s="449"/>
      <c r="DHD79" s="450"/>
      <c r="DHE79" s="454"/>
      <c r="DHF79" s="448"/>
      <c r="DHH79" s="449"/>
      <c r="DHI79" s="450"/>
      <c r="DHJ79" s="452"/>
      <c r="DHK79" s="448"/>
      <c r="DHM79" s="449"/>
      <c r="DHN79" s="450"/>
      <c r="DHO79" s="447"/>
      <c r="DHP79" s="448"/>
      <c r="DHR79" s="449"/>
      <c r="DHS79" s="450"/>
      <c r="DHT79" s="452"/>
      <c r="DHU79" s="448"/>
      <c r="DHV79" s="449"/>
      <c r="DHW79" s="450"/>
      <c r="DHX79" s="452"/>
      <c r="DHY79" s="448"/>
      <c r="DHZ79" s="455"/>
      <c r="DIA79" s="449"/>
      <c r="DIB79" s="450"/>
      <c r="DIC79" s="459"/>
      <c r="DID79" s="448"/>
      <c r="DIE79" s="456"/>
      <c r="DIF79" s="449"/>
      <c r="DIG79" s="450"/>
      <c r="DIH79" s="452"/>
      <c r="DII79" s="448"/>
      <c r="DIJ79" s="449"/>
      <c r="DIK79" s="450"/>
      <c r="DIL79" s="452"/>
      <c r="DIM79" s="448"/>
      <c r="DIN79" s="449"/>
      <c r="DIO79" s="450"/>
      <c r="DIP79" s="447"/>
      <c r="DIQ79" s="448"/>
      <c r="DIR79" s="457"/>
      <c r="DIS79" s="460"/>
      <c r="DIT79" s="450"/>
      <c r="DIU79" s="461"/>
      <c r="DIV79" s="448"/>
      <c r="DIW79" s="456"/>
      <c r="DIX79" s="449"/>
      <c r="DIY79" s="450"/>
      <c r="DIZ79" s="452"/>
      <c r="DJA79" s="448"/>
      <c r="DJB79" s="456"/>
      <c r="DJC79" s="458"/>
      <c r="DJD79" s="458"/>
      <c r="DJF79" s="454"/>
      <c r="DJG79" s="450"/>
      <c r="DJH79" s="454"/>
      <c r="DJI79" s="448"/>
      <c r="DJJ79" s="449"/>
      <c r="DJK79" s="450"/>
      <c r="DJL79" s="447"/>
      <c r="DJM79" s="448"/>
      <c r="DJN79" s="449"/>
      <c r="DJO79" s="450"/>
      <c r="DJP79" s="447"/>
      <c r="DJQ79" s="451"/>
      <c r="DJR79" s="449"/>
      <c r="DJS79" s="450"/>
      <c r="DJT79" s="447"/>
      <c r="DJU79" s="451"/>
      <c r="DJV79" s="449"/>
      <c r="DJW79" s="450"/>
      <c r="DJX79" s="447"/>
      <c r="DJY79" s="451"/>
      <c r="DJZ79" s="449"/>
      <c r="DKA79" s="450"/>
      <c r="DKB79" s="452"/>
      <c r="DKC79" s="451"/>
      <c r="DKD79" s="449"/>
      <c r="DKE79" s="450"/>
      <c r="DKF79" s="447"/>
      <c r="DKG79" s="448"/>
      <c r="DKH79" s="453"/>
      <c r="DKI79" s="449"/>
      <c r="DKJ79" s="450"/>
      <c r="DKK79" s="454"/>
      <c r="DKL79" s="448"/>
      <c r="DKN79" s="449"/>
      <c r="DKO79" s="450"/>
      <c r="DKP79" s="452"/>
      <c r="DKQ79" s="448"/>
      <c r="DKS79" s="449"/>
      <c r="DKT79" s="450"/>
      <c r="DKU79" s="447"/>
      <c r="DKV79" s="448"/>
      <c r="DKX79" s="449"/>
      <c r="DKY79" s="450"/>
      <c r="DKZ79" s="452"/>
      <c r="DLA79" s="448"/>
      <c r="DLB79" s="449"/>
      <c r="DLC79" s="450"/>
      <c r="DLD79" s="452"/>
      <c r="DLE79" s="448"/>
      <c r="DLF79" s="455"/>
      <c r="DLG79" s="449"/>
      <c r="DLH79" s="450"/>
      <c r="DLI79" s="459"/>
      <c r="DLJ79" s="448"/>
      <c r="DLK79" s="456"/>
      <c r="DLL79" s="449"/>
      <c r="DLM79" s="450"/>
      <c r="DLN79" s="452"/>
      <c r="DLO79" s="448"/>
      <c r="DLP79" s="449"/>
      <c r="DLQ79" s="450"/>
      <c r="DLR79" s="452"/>
      <c r="DLS79" s="448"/>
      <c r="DLT79" s="449"/>
      <c r="DLU79" s="450"/>
      <c r="DLV79" s="447"/>
      <c r="DLW79" s="448"/>
      <c r="DLX79" s="457"/>
      <c r="DLY79" s="460"/>
      <c r="DLZ79" s="450"/>
      <c r="DMA79" s="461"/>
      <c r="DMB79" s="448"/>
      <c r="DMC79" s="456"/>
      <c r="DMD79" s="449"/>
      <c r="DME79" s="450"/>
      <c r="DMF79" s="452"/>
      <c r="DMG79" s="448"/>
      <c r="DMH79" s="456"/>
      <c r="DMI79" s="458"/>
      <c r="DMJ79" s="458"/>
      <c r="DML79" s="454"/>
      <c r="DMM79" s="450"/>
      <c r="DMN79" s="454"/>
      <c r="DMO79" s="448"/>
      <c r="DMP79" s="449"/>
      <c r="DMQ79" s="450"/>
      <c r="DMR79" s="447"/>
      <c r="DMS79" s="448"/>
      <c r="DMT79" s="449"/>
      <c r="DMU79" s="450"/>
      <c r="DMV79" s="447"/>
      <c r="DMW79" s="451"/>
      <c r="DMX79" s="449"/>
      <c r="DMY79" s="450"/>
      <c r="DMZ79" s="447"/>
      <c r="DNA79" s="451"/>
      <c r="DNB79" s="449"/>
      <c r="DNC79" s="450"/>
      <c r="DND79" s="447"/>
      <c r="DNE79" s="451"/>
      <c r="DNF79" s="449"/>
      <c r="DNG79" s="450"/>
      <c r="DNH79" s="452"/>
      <c r="DNI79" s="451"/>
      <c r="DNJ79" s="449"/>
      <c r="DNK79" s="450"/>
      <c r="DNL79" s="447"/>
      <c r="DNM79" s="448"/>
      <c r="DNN79" s="453"/>
      <c r="DNO79" s="449"/>
      <c r="DNP79" s="450"/>
      <c r="DNQ79" s="454"/>
      <c r="DNR79" s="448"/>
      <c r="DNT79" s="449"/>
      <c r="DNU79" s="450"/>
      <c r="DNV79" s="452"/>
      <c r="DNW79" s="448"/>
      <c r="DNY79" s="449"/>
      <c r="DNZ79" s="450"/>
      <c r="DOA79" s="447"/>
      <c r="DOB79" s="448"/>
      <c r="DOD79" s="449"/>
      <c r="DOE79" s="450"/>
      <c r="DOF79" s="452"/>
      <c r="DOG79" s="448"/>
      <c r="DOH79" s="449"/>
      <c r="DOI79" s="450"/>
      <c r="DOJ79" s="452"/>
      <c r="DOK79" s="448"/>
      <c r="DOL79" s="455"/>
      <c r="DOM79" s="449"/>
      <c r="DON79" s="450"/>
      <c r="DOO79" s="459"/>
      <c r="DOP79" s="448"/>
      <c r="DOQ79" s="456"/>
      <c r="DOR79" s="449"/>
      <c r="DOS79" s="450"/>
      <c r="DOT79" s="452"/>
      <c r="DOU79" s="448"/>
      <c r="DOV79" s="449"/>
      <c r="DOW79" s="450"/>
      <c r="DOX79" s="452"/>
      <c r="DOY79" s="448"/>
      <c r="DOZ79" s="449"/>
      <c r="DPA79" s="450"/>
      <c r="DPB79" s="447"/>
      <c r="DPC79" s="448"/>
      <c r="DPD79" s="457"/>
      <c r="DPE79" s="460"/>
      <c r="DPF79" s="450"/>
      <c r="DPG79" s="461"/>
      <c r="DPH79" s="448"/>
      <c r="DPI79" s="456"/>
      <c r="DPJ79" s="449"/>
      <c r="DPK79" s="450"/>
      <c r="DPL79" s="452"/>
      <c r="DPM79" s="448"/>
      <c r="DPN79" s="456"/>
      <c r="DPO79" s="458"/>
      <c r="DPP79" s="458"/>
      <c r="DPR79" s="454"/>
      <c r="DPS79" s="450"/>
      <c r="DPT79" s="454"/>
      <c r="DPU79" s="448"/>
      <c r="DPV79" s="449"/>
      <c r="DPW79" s="450"/>
      <c r="DPX79" s="447"/>
      <c r="DPY79" s="448"/>
      <c r="DPZ79" s="449"/>
      <c r="DQA79" s="450"/>
      <c r="DQB79" s="447"/>
      <c r="DQC79" s="451"/>
      <c r="DQD79" s="449"/>
      <c r="DQE79" s="450"/>
      <c r="DQF79" s="447"/>
      <c r="DQG79" s="451"/>
      <c r="DQH79" s="449"/>
      <c r="DQI79" s="450"/>
      <c r="DQJ79" s="447"/>
      <c r="DQK79" s="451"/>
      <c r="DQL79" s="449"/>
      <c r="DQM79" s="450"/>
      <c r="DQN79" s="452"/>
      <c r="DQO79" s="451"/>
      <c r="DQP79" s="449"/>
      <c r="DQQ79" s="450"/>
      <c r="DQR79" s="447"/>
      <c r="DQS79" s="448"/>
      <c r="DQT79" s="453"/>
      <c r="DQU79" s="449"/>
      <c r="DQV79" s="450"/>
      <c r="DQW79" s="454"/>
      <c r="DQX79" s="448"/>
      <c r="DQZ79" s="449"/>
      <c r="DRA79" s="450"/>
      <c r="DRB79" s="452"/>
      <c r="DRC79" s="448"/>
      <c r="DRE79" s="449"/>
      <c r="DRF79" s="450"/>
      <c r="DRG79" s="447"/>
      <c r="DRH79" s="448"/>
      <c r="DRJ79" s="449"/>
      <c r="DRK79" s="450"/>
      <c r="DRL79" s="452"/>
      <c r="DRM79" s="448"/>
      <c r="DRN79" s="449"/>
      <c r="DRO79" s="450"/>
      <c r="DRP79" s="452"/>
      <c r="DRQ79" s="448"/>
      <c r="DRR79" s="455"/>
      <c r="DRS79" s="449"/>
      <c r="DRT79" s="450"/>
      <c r="DRU79" s="459"/>
      <c r="DRV79" s="448"/>
      <c r="DRW79" s="456"/>
      <c r="DRX79" s="449"/>
      <c r="DRY79" s="450"/>
      <c r="DRZ79" s="452"/>
      <c r="DSA79" s="448"/>
      <c r="DSB79" s="449"/>
      <c r="DSC79" s="450"/>
      <c r="DSD79" s="452"/>
      <c r="DSE79" s="448"/>
      <c r="DSF79" s="449"/>
      <c r="DSG79" s="450"/>
      <c r="DSH79" s="447"/>
      <c r="DSI79" s="448"/>
      <c r="DSJ79" s="457"/>
      <c r="DSK79" s="460"/>
      <c r="DSL79" s="450"/>
      <c r="DSM79" s="461"/>
      <c r="DSN79" s="448"/>
      <c r="DSO79" s="456"/>
      <c r="DSP79" s="449"/>
      <c r="DSQ79" s="450"/>
      <c r="DSR79" s="452"/>
      <c r="DSS79" s="448"/>
      <c r="DST79" s="456"/>
      <c r="DSU79" s="458"/>
      <c r="DSV79" s="458"/>
      <c r="DSX79" s="454"/>
      <c r="DSY79" s="450"/>
      <c r="DSZ79" s="454"/>
      <c r="DTA79" s="448"/>
      <c r="DTB79" s="449"/>
      <c r="DTC79" s="450"/>
      <c r="DTD79" s="447"/>
      <c r="DTE79" s="448"/>
      <c r="DTF79" s="449"/>
      <c r="DTG79" s="450"/>
      <c r="DTH79" s="447"/>
      <c r="DTI79" s="451"/>
      <c r="DTJ79" s="449"/>
      <c r="DTK79" s="450"/>
      <c r="DTL79" s="447"/>
      <c r="DTM79" s="451"/>
      <c r="DTN79" s="449"/>
      <c r="DTO79" s="450"/>
      <c r="DTP79" s="447"/>
      <c r="DTQ79" s="451"/>
      <c r="DTR79" s="449"/>
      <c r="DTS79" s="450"/>
      <c r="DTT79" s="452"/>
      <c r="DTU79" s="451"/>
      <c r="DTV79" s="449"/>
      <c r="DTW79" s="450"/>
      <c r="DTX79" s="447"/>
      <c r="DTY79" s="448"/>
      <c r="DTZ79" s="453"/>
      <c r="DUA79" s="449"/>
      <c r="DUB79" s="450"/>
      <c r="DUC79" s="454"/>
      <c r="DUD79" s="448"/>
      <c r="DUF79" s="449"/>
      <c r="DUG79" s="450"/>
      <c r="DUH79" s="452"/>
      <c r="DUI79" s="448"/>
      <c r="DUK79" s="449"/>
      <c r="DUL79" s="450"/>
      <c r="DUM79" s="447"/>
      <c r="DUN79" s="448"/>
      <c r="DUP79" s="449"/>
      <c r="DUQ79" s="450"/>
      <c r="DUR79" s="452"/>
      <c r="DUS79" s="448"/>
      <c r="DUT79" s="449"/>
      <c r="DUU79" s="450"/>
      <c r="DUV79" s="452"/>
      <c r="DUW79" s="448"/>
      <c r="DUX79" s="455"/>
      <c r="DUY79" s="449"/>
      <c r="DUZ79" s="450"/>
      <c r="DVA79" s="459"/>
      <c r="DVB79" s="448"/>
      <c r="DVC79" s="456"/>
      <c r="DVD79" s="449"/>
      <c r="DVE79" s="450"/>
      <c r="DVF79" s="452"/>
      <c r="DVG79" s="448"/>
      <c r="DVH79" s="449"/>
      <c r="DVI79" s="450"/>
      <c r="DVJ79" s="452"/>
      <c r="DVK79" s="448"/>
      <c r="DVL79" s="449"/>
      <c r="DVM79" s="450"/>
      <c r="DVN79" s="447"/>
      <c r="DVO79" s="448"/>
      <c r="DVP79" s="457"/>
      <c r="DVQ79" s="460"/>
      <c r="DVR79" s="450"/>
      <c r="DVS79" s="461"/>
      <c r="DVT79" s="448"/>
      <c r="DVU79" s="456"/>
      <c r="DVV79" s="449"/>
      <c r="DVW79" s="450"/>
      <c r="DVX79" s="452"/>
      <c r="DVY79" s="448"/>
      <c r="DVZ79" s="456"/>
      <c r="DWA79" s="458"/>
      <c r="DWB79" s="458"/>
      <c r="DWD79" s="454"/>
      <c r="DWE79" s="450"/>
      <c r="DWF79" s="454"/>
      <c r="DWG79" s="448"/>
      <c r="DWH79" s="449"/>
      <c r="DWI79" s="450"/>
      <c r="DWJ79" s="447"/>
      <c r="DWK79" s="448"/>
      <c r="DWL79" s="449"/>
      <c r="DWM79" s="450"/>
      <c r="DWN79" s="447"/>
      <c r="DWO79" s="451"/>
      <c r="DWP79" s="449"/>
      <c r="DWQ79" s="450"/>
      <c r="DWR79" s="447"/>
      <c r="DWS79" s="451"/>
      <c r="DWT79" s="449"/>
      <c r="DWU79" s="450"/>
      <c r="DWV79" s="447"/>
      <c r="DWW79" s="451"/>
      <c r="DWX79" s="449"/>
      <c r="DWY79" s="450"/>
      <c r="DWZ79" s="452"/>
      <c r="DXA79" s="451"/>
      <c r="DXB79" s="449"/>
      <c r="DXC79" s="450"/>
      <c r="DXD79" s="447"/>
      <c r="DXE79" s="448"/>
      <c r="DXF79" s="453"/>
      <c r="DXG79" s="449"/>
      <c r="DXH79" s="450"/>
      <c r="DXI79" s="454"/>
      <c r="DXJ79" s="448"/>
      <c r="DXL79" s="449"/>
      <c r="DXM79" s="450"/>
      <c r="DXN79" s="452"/>
      <c r="DXO79" s="448"/>
      <c r="DXQ79" s="449"/>
      <c r="DXR79" s="450"/>
      <c r="DXS79" s="447"/>
      <c r="DXT79" s="448"/>
      <c r="DXV79" s="449"/>
      <c r="DXW79" s="450"/>
      <c r="DXX79" s="452"/>
      <c r="DXY79" s="448"/>
      <c r="DXZ79" s="449"/>
      <c r="DYA79" s="450"/>
      <c r="DYB79" s="452"/>
      <c r="DYC79" s="448"/>
      <c r="DYD79" s="455"/>
      <c r="DYE79" s="449"/>
      <c r="DYF79" s="450"/>
      <c r="DYG79" s="459"/>
      <c r="DYH79" s="448"/>
      <c r="DYI79" s="456"/>
      <c r="DYJ79" s="449"/>
      <c r="DYK79" s="450"/>
      <c r="DYL79" s="452"/>
      <c r="DYM79" s="448"/>
      <c r="DYN79" s="449"/>
      <c r="DYO79" s="450"/>
      <c r="DYP79" s="452"/>
      <c r="DYQ79" s="448"/>
      <c r="DYR79" s="449"/>
      <c r="DYS79" s="450"/>
      <c r="DYT79" s="447"/>
      <c r="DYU79" s="448"/>
      <c r="DYV79" s="457"/>
      <c r="DYW79" s="460"/>
      <c r="DYX79" s="450"/>
      <c r="DYY79" s="461"/>
      <c r="DYZ79" s="448"/>
      <c r="DZA79" s="456"/>
      <c r="DZB79" s="449"/>
      <c r="DZC79" s="450"/>
      <c r="DZD79" s="452"/>
      <c r="DZE79" s="448"/>
      <c r="DZF79" s="456"/>
      <c r="DZG79" s="458"/>
      <c r="DZH79" s="458"/>
      <c r="DZJ79" s="454"/>
      <c r="DZK79" s="450"/>
      <c r="DZL79" s="454"/>
      <c r="DZM79" s="448"/>
      <c r="DZN79" s="449"/>
      <c r="DZO79" s="450"/>
      <c r="DZP79" s="447"/>
      <c r="DZQ79" s="448"/>
      <c r="DZR79" s="449"/>
      <c r="DZS79" s="450"/>
      <c r="DZT79" s="447"/>
      <c r="DZU79" s="451"/>
      <c r="DZV79" s="449"/>
      <c r="DZW79" s="450"/>
      <c r="DZX79" s="447"/>
      <c r="DZY79" s="451"/>
      <c r="DZZ79" s="449"/>
      <c r="EAA79" s="450"/>
      <c r="EAB79" s="447"/>
      <c r="EAC79" s="451"/>
      <c r="EAD79" s="449"/>
      <c r="EAE79" s="450"/>
      <c r="EAF79" s="452"/>
      <c r="EAG79" s="451"/>
      <c r="EAH79" s="449"/>
      <c r="EAI79" s="450"/>
      <c r="EAJ79" s="447"/>
      <c r="EAK79" s="448"/>
      <c r="EAL79" s="453"/>
      <c r="EAM79" s="449"/>
      <c r="EAN79" s="450"/>
      <c r="EAO79" s="454"/>
      <c r="EAP79" s="448"/>
      <c r="EAR79" s="449"/>
      <c r="EAS79" s="450"/>
      <c r="EAT79" s="452"/>
      <c r="EAU79" s="448"/>
      <c r="EAW79" s="449"/>
      <c r="EAX79" s="450"/>
      <c r="EAY79" s="447"/>
      <c r="EAZ79" s="448"/>
      <c r="EBB79" s="449"/>
      <c r="EBC79" s="450"/>
      <c r="EBD79" s="452"/>
      <c r="EBE79" s="448"/>
      <c r="EBF79" s="449"/>
      <c r="EBG79" s="450"/>
      <c r="EBH79" s="452"/>
      <c r="EBI79" s="448"/>
      <c r="EBJ79" s="455"/>
      <c r="EBK79" s="449"/>
      <c r="EBL79" s="450"/>
      <c r="EBM79" s="459"/>
      <c r="EBN79" s="448"/>
      <c r="EBO79" s="456"/>
      <c r="EBP79" s="449"/>
      <c r="EBQ79" s="450"/>
      <c r="EBR79" s="452"/>
      <c r="EBS79" s="448"/>
      <c r="EBT79" s="449"/>
      <c r="EBU79" s="450"/>
      <c r="EBV79" s="452"/>
      <c r="EBW79" s="448"/>
      <c r="EBX79" s="449"/>
      <c r="EBY79" s="450"/>
      <c r="EBZ79" s="447"/>
      <c r="ECA79" s="448"/>
      <c r="ECB79" s="457"/>
      <c r="ECC79" s="460"/>
      <c r="ECD79" s="450"/>
      <c r="ECE79" s="461"/>
      <c r="ECF79" s="448"/>
      <c r="ECG79" s="456"/>
      <c r="ECH79" s="449"/>
      <c r="ECI79" s="450"/>
      <c r="ECJ79" s="452"/>
      <c r="ECK79" s="448"/>
      <c r="ECL79" s="456"/>
      <c r="ECM79" s="458"/>
      <c r="ECN79" s="458"/>
      <c r="ECP79" s="454"/>
      <c r="ECQ79" s="450"/>
      <c r="ECR79" s="454"/>
      <c r="ECS79" s="448"/>
      <c r="ECT79" s="449"/>
      <c r="ECU79" s="450"/>
      <c r="ECV79" s="447"/>
      <c r="ECW79" s="448"/>
      <c r="ECX79" s="449"/>
      <c r="ECY79" s="450"/>
      <c r="ECZ79" s="447"/>
      <c r="EDA79" s="451"/>
      <c r="EDB79" s="449"/>
      <c r="EDC79" s="450"/>
      <c r="EDD79" s="447"/>
      <c r="EDE79" s="451"/>
      <c r="EDF79" s="449"/>
      <c r="EDG79" s="450"/>
      <c r="EDH79" s="447"/>
      <c r="EDI79" s="451"/>
      <c r="EDJ79" s="449"/>
      <c r="EDK79" s="450"/>
      <c r="EDL79" s="452"/>
      <c r="EDM79" s="451"/>
      <c r="EDN79" s="449"/>
      <c r="EDO79" s="450"/>
      <c r="EDP79" s="447"/>
      <c r="EDQ79" s="448"/>
      <c r="EDR79" s="453"/>
      <c r="EDS79" s="449"/>
      <c r="EDT79" s="450"/>
      <c r="EDU79" s="454"/>
      <c r="EDV79" s="448"/>
      <c r="EDX79" s="449"/>
      <c r="EDY79" s="450"/>
      <c r="EDZ79" s="452"/>
      <c r="EEA79" s="448"/>
      <c r="EEC79" s="449"/>
      <c r="EED79" s="450"/>
      <c r="EEE79" s="447"/>
      <c r="EEF79" s="448"/>
      <c r="EEH79" s="449"/>
      <c r="EEI79" s="450"/>
      <c r="EEJ79" s="452"/>
      <c r="EEK79" s="448"/>
      <c r="EEL79" s="449"/>
      <c r="EEM79" s="450"/>
      <c r="EEN79" s="452"/>
      <c r="EEO79" s="448"/>
      <c r="EEP79" s="455"/>
      <c r="EEQ79" s="449"/>
      <c r="EER79" s="450"/>
      <c r="EES79" s="459"/>
      <c r="EET79" s="448"/>
      <c r="EEU79" s="456"/>
      <c r="EEV79" s="449"/>
      <c r="EEW79" s="450"/>
      <c r="EEX79" s="452"/>
      <c r="EEY79" s="448"/>
      <c r="EEZ79" s="449"/>
      <c r="EFA79" s="450"/>
      <c r="EFB79" s="452"/>
      <c r="EFC79" s="448"/>
      <c r="EFD79" s="449"/>
      <c r="EFE79" s="450"/>
      <c r="EFF79" s="447"/>
      <c r="EFG79" s="448"/>
      <c r="EFH79" s="457"/>
      <c r="EFI79" s="460"/>
      <c r="EFJ79" s="450"/>
      <c r="EFK79" s="461"/>
      <c r="EFL79" s="448"/>
      <c r="EFM79" s="456"/>
      <c r="EFN79" s="449"/>
      <c r="EFO79" s="450"/>
      <c r="EFP79" s="452"/>
      <c r="EFQ79" s="448"/>
      <c r="EFR79" s="456"/>
      <c r="EFS79" s="458"/>
      <c r="EFT79" s="458"/>
      <c r="EFV79" s="454"/>
      <c r="EFW79" s="450"/>
      <c r="EFX79" s="454"/>
      <c r="EFY79" s="448"/>
      <c r="EFZ79" s="449"/>
      <c r="EGA79" s="450"/>
      <c r="EGB79" s="447"/>
      <c r="EGC79" s="448"/>
      <c r="EGD79" s="449"/>
      <c r="EGE79" s="450"/>
      <c r="EGF79" s="447"/>
      <c r="EGG79" s="451"/>
      <c r="EGH79" s="449"/>
      <c r="EGI79" s="450"/>
      <c r="EGJ79" s="447"/>
      <c r="EGK79" s="451"/>
      <c r="EGL79" s="449"/>
      <c r="EGM79" s="450"/>
      <c r="EGN79" s="447"/>
      <c r="EGO79" s="451"/>
      <c r="EGP79" s="449"/>
      <c r="EGQ79" s="450"/>
      <c r="EGR79" s="452"/>
      <c r="EGS79" s="451"/>
      <c r="EGT79" s="449"/>
      <c r="EGU79" s="450"/>
      <c r="EGV79" s="447"/>
      <c r="EGW79" s="448"/>
      <c r="EGX79" s="453"/>
      <c r="EGY79" s="449"/>
      <c r="EGZ79" s="450"/>
      <c r="EHA79" s="454"/>
      <c r="EHB79" s="448"/>
      <c r="EHD79" s="449"/>
      <c r="EHE79" s="450"/>
      <c r="EHF79" s="452"/>
      <c r="EHG79" s="448"/>
      <c r="EHI79" s="449"/>
      <c r="EHJ79" s="450"/>
      <c r="EHK79" s="447"/>
      <c r="EHL79" s="448"/>
      <c r="EHN79" s="449"/>
      <c r="EHO79" s="450"/>
      <c r="EHP79" s="452"/>
      <c r="EHQ79" s="448"/>
      <c r="EHR79" s="449"/>
      <c r="EHS79" s="450"/>
      <c r="EHT79" s="452"/>
      <c r="EHU79" s="448"/>
      <c r="EHV79" s="455"/>
      <c r="EHW79" s="449"/>
      <c r="EHX79" s="450"/>
      <c r="EHY79" s="459"/>
      <c r="EHZ79" s="448"/>
      <c r="EIA79" s="456"/>
      <c r="EIB79" s="449"/>
      <c r="EIC79" s="450"/>
      <c r="EID79" s="452"/>
      <c r="EIE79" s="448"/>
      <c r="EIF79" s="449"/>
      <c r="EIG79" s="450"/>
      <c r="EIH79" s="452"/>
      <c r="EII79" s="448"/>
      <c r="EIJ79" s="449"/>
      <c r="EIK79" s="450"/>
      <c r="EIL79" s="447"/>
      <c r="EIM79" s="448"/>
      <c r="EIN79" s="457"/>
      <c r="EIO79" s="460"/>
      <c r="EIP79" s="450"/>
      <c r="EIQ79" s="461"/>
      <c r="EIR79" s="448"/>
      <c r="EIS79" s="456"/>
      <c r="EIT79" s="449"/>
      <c r="EIU79" s="450"/>
      <c r="EIV79" s="452"/>
      <c r="EIW79" s="448"/>
      <c r="EIX79" s="456"/>
      <c r="EIY79" s="458"/>
      <c r="EIZ79" s="458"/>
      <c r="EJB79" s="454"/>
      <c r="EJC79" s="450"/>
      <c r="EJD79" s="454"/>
      <c r="EJE79" s="448"/>
      <c r="EJF79" s="449"/>
      <c r="EJG79" s="450"/>
      <c r="EJH79" s="447"/>
      <c r="EJI79" s="448"/>
      <c r="EJJ79" s="449"/>
      <c r="EJK79" s="450"/>
      <c r="EJL79" s="447"/>
      <c r="EJM79" s="451"/>
      <c r="EJN79" s="449"/>
      <c r="EJO79" s="450"/>
      <c r="EJP79" s="447"/>
      <c r="EJQ79" s="451"/>
      <c r="EJR79" s="449"/>
      <c r="EJS79" s="450"/>
      <c r="EJT79" s="447"/>
      <c r="EJU79" s="451"/>
      <c r="EJV79" s="449"/>
      <c r="EJW79" s="450"/>
      <c r="EJX79" s="452"/>
      <c r="EJY79" s="451"/>
      <c r="EJZ79" s="449"/>
      <c r="EKA79" s="450"/>
      <c r="EKB79" s="447"/>
      <c r="EKC79" s="448"/>
      <c r="EKD79" s="453"/>
      <c r="EKE79" s="449"/>
      <c r="EKF79" s="450"/>
      <c r="EKG79" s="454"/>
      <c r="EKH79" s="448"/>
      <c r="EKJ79" s="449"/>
      <c r="EKK79" s="450"/>
      <c r="EKL79" s="452"/>
      <c r="EKM79" s="448"/>
      <c r="EKO79" s="449"/>
      <c r="EKP79" s="450"/>
      <c r="EKQ79" s="447"/>
      <c r="EKR79" s="448"/>
      <c r="EKT79" s="449"/>
      <c r="EKU79" s="450"/>
      <c r="EKV79" s="452"/>
      <c r="EKW79" s="448"/>
      <c r="EKX79" s="449"/>
      <c r="EKY79" s="450"/>
      <c r="EKZ79" s="452"/>
      <c r="ELA79" s="448"/>
      <c r="ELB79" s="455"/>
      <c r="ELC79" s="449"/>
      <c r="ELD79" s="450"/>
      <c r="ELE79" s="459"/>
      <c r="ELF79" s="448"/>
      <c r="ELG79" s="456"/>
      <c r="ELH79" s="449"/>
      <c r="ELI79" s="450"/>
      <c r="ELJ79" s="452"/>
      <c r="ELK79" s="448"/>
      <c r="ELL79" s="449"/>
      <c r="ELM79" s="450"/>
      <c r="ELN79" s="452"/>
      <c r="ELO79" s="448"/>
      <c r="ELP79" s="449"/>
      <c r="ELQ79" s="450"/>
      <c r="ELR79" s="447"/>
      <c r="ELS79" s="448"/>
      <c r="ELT79" s="457"/>
      <c r="ELU79" s="460"/>
      <c r="ELV79" s="450"/>
      <c r="ELW79" s="461"/>
      <c r="ELX79" s="448"/>
      <c r="ELY79" s="456"/>
      <c r="ELZ79" s="449"/>
      <c r="EMA79" s="450"/>
      <c r="EMB79" s="452"/>
      <c r="EMC79" s="448"/>
      <c r="EMD79" s="456"/>
      <c r="EME79" s="458"/>
      <c r="EMF79" s="458"/>
      <c r="EMH79" s="454"/>
      <c r="EMI79" s="450"/>
      <c r="EMJ79" s="454"/>
      <c r="EMK79" s="448"/>
      <c r="EML79" s="449"/>
      <c r="EMM79" s="450"/>
      <c r="EMN79" s="447"/>
      <c r="EMO79" s="448"/>
      <c r="EMP79" s="449"/>
      <c r="EMQ79" s="450"/>
      <c r="EMR79" s="447"/>
      <c r="EMS79" s="451"/>
      <c r="EMT79" s="449"/>
      <c r="EMU79" s="450"/>
      <c r="EMV79" s="447"/>
      <c r="EMW79" s="451"/>
      <c r="EMX79" s="449"/>
      <c r="EMY79" s="450"/>
      <c r="EMZ79" s="447"/>
      <c r="ENA79" s="451"/>
      <c r="ENB79" s="449"/>
      <c r="ENC79" s="450"/>
      <c r="END79" s="452"/>
      <c r="ENE79" s="451"/>
      <c r="ENF79" s="449"/>
      <c r="ENG79" s="450"/>
      <c r="ENH79" s="447"/>
      <c r="ENI79" s="448"/>
      <c r="ENJ79" s="453"/>
      <c r="ENK79" s="449"/>
      <c r="ENL79" s="450"/>
      <c r="ENM79" s="454"/>
      <c r="ENN79" s="448"/>
      <c r="ENP79" s="449"/>
      <c r="ENQ79" s="450"/>
      <c r="ENR79" s="452"/>
      <c r="ENS79" s="448"/>
      <c r="ENU79" s="449"/>
      <c r="ENV79" s="450"/>
      <c r="ENW79" s="447"/>
      <c r="ENX79" s="448"/>
      <c r="ENZ79" s="449"/>
      <c r="EOA79" s="450"/>
      <c r="EOB79" s="452"/>
      <c r="EOC79" s="448"/>
      <c r="EOD79" s="449"/>
      <c r="EOE79" s="450"/>
      <c r="EOF79" s="452"/>
      <c r="EOG79" s="448"/>
      <c r="EOH79" s="455"/>
      <c r="EOI79" s="449"/>
      <c r="EOJ79" s="450"/>
      <c r="EOK79" s="459"/>
      <c r="EOL79" s="448"/>
      <c r="EOM79" s="456"/>
      <c r="EON79" s="449"/>
      <c r="EOO79" s="450"/>
      <c r="EOP79" s="452"/>
      <c r="EOQ79" s="448"/>
      <c r="EOR79" s="449"/>
      <c r="EOS79" s="450"/>
      <c r="EOT79" s="452"/>
      <c r="EOU79" s="448"/>
      <c r="EOV79" s="449"/>
      <c r="EOW79" s="450"/>
      <c r="EOX79" s="447"/>
      <c r="EOY79" s="448"/>
      <c r="EOZ79" s="457"/>
      <c r="EPA79" s="460"/>
      <c r="EPB79" s="450"/>
      <c r="EPC79" s="461"/>
      <c r="EPD79" s="448"/>
      <c r="EPE79" s="456"/>
      <c r="EPF79" s="449"/>
      <c r="EPG79" s="450"/>
      <c r="EPH79" s="452"/>
      <c r="EPI79" s="448"/>
      <c r="EPJ79" s="456"/>
      <c r="EPK79" s="458"/>
      <c r="EPL79" s="458"/>
      <c r="EPN79" s="454"/>
      <c r="EPO79" s="450"/>
      <c r="EPP79" s="454"/>
      <c r="EPQ79" s="448"/>
      <c r="EPR79" s="449"/>
      <c r="EPS79" s="450"/>
      <c r="EPT79" s="447"/>
      <c r="EPU79" s="448"/>
      <c r="EPV79" s="449"/>
      <c r="EPW79" s="450"/>
      <c r="EPX79" s="447"/>
      <c r="EPY79" s="451"/>
      <c r="EPZ79" s="449"/>
      <c r="EQA79" s="450"/>
      <c r="EQB79" s="447"/>
      <c r="EQC79" s="451"/>
      <c r="EQD79" s="449"/>
      <c r="EQE79" s="450"/>
      <c r="EQF79" s="447"/>
      <c r="EQG79" s="451"/>
      <c r="EQH79" s="449"/>
      <c r="EQI79" s="450"/>
      <c r="EQJ79" s="452"/>
      <c r="EQK79" s="451"/>
      <c r="EQL79" s="449"/>
      <c r="EQM79" s="450"/>
      <c r="EQN79" s="447"/>
      <c r="EQO79" s="448"/>
      <c r="EQP79" s="453"/>
      <c r="EQQ79" s="449"/>
      <c r="EQR79" s="450"/>
      <c r="EQS79" s="454"/>
      <c r="EQT79" s="448"/>
      <c r="EQV79" s="449"/>
      <c r="EQW79" s="450"/>
      <c r="EQX79" s="452"/>
      <c r="EQY79" s="448"/>
      <c r="ERA79" s="449"/>
      <c r="ERB79" s="450"/>
      <c r="ERC79" s="447"/>
      <c r="ERD79" s="448"/>
      <c r="ERF79" s="449"/>
      <c r="ERG79" s="450"/>
      <c r="ERH79" s="452"/>
      <c r="ERI79" s="448"/>
      <c r="ERJ79" s="449"/>
      <c r="ERK79" s="450"/>
      <c r="ERL79" s="452"/>
      <c r="ERM79" s="448"/>
      <c r="ERN79" s="455"/>
      <c r="ERO79" s="449"/>
      <c r="ERP79" s="450"/>
      <c r="ERQ79" s="459"/>
      <c r="ERR79" s="448"/>
      <c r="ERS79" s="456"/>
      <c r="ERT79" s="449"/>
      <c r="ERU79" s="450"/>
      <c r="ERV79" s="452"/>
      <c r="ERW79" s="448"/>
      <c r="ERX79" s="449"/>
      <c r="ERY79" s="450"/>
      <c r="ERZ79" s="452"/>
      <c r="ESA79" s="448"/>
      <c r="ESB79" s="449"/>
      <c r="ESC79" s="450"/>
      <c r="ESD79" s="447"/>
      <c r="ESE79" s="448"/>
      <c r="ESF79" s="457"/>
      <c r="ESG79" s="460"/>
      <c r="ESH79" s="450"/>
      <c r="ESI79" s="461"/>
      <c r="ESJ79" s="448"/>
      <c r="ESK79" s="456"/>
      <c r="ESL79" s="449"/>
      <c r="ESM79" s="450"/>
      <c r="ESN79" s="452"/>
      <c r="ESO79" s="448"/>
      <c r="ESP79" s="456"/>
      <c r="ESQ79" s="458"/>
      <c r="ESR79" s="458"/>
      <c r="EST79" s="454"/>
      <c r="ESU79" s="450"/>
      <c r="ESV79" s="454"/>
      <c r="ESW79" s="448"/>
      <c r="ESX79" s="449"/>
      <c r="ESY79" s="450"/>
      <c r="ESZ79" s="447"/>
      <c r="ETA79" s="448"/>
      <c r="ETB79" s="449"/>
      <c r="ETC79" s="450"/>
      <c r="ETD79" s="447"/>
      <c r="ETE79" s="451"/>
      <c r="ETF79" s="449"/>
      <c r="ETG79" s="450"/>
      <c r="ETH79" s="447"/>
      <c r="ETI79" s="451"/>
      <c r="ETJ79" s="449"/>
      <c r="ETK79" s="450"/>
      <c r="ETL79" s="447"/>
      <c r="ETM79" s="451"/>
      <c r="ETN79" s="449"/>
      <c r="ETO79" s="450"/>
      <c r="ETP79" s="452"/>
      <c r="ETQ79" s="451"/>
      <c r="ETR79" s="449"/>
      <c r="ETS79" s="450"/>
      <c r="ETT79" s="447"/>
      <c r="ETU79" s="448"/>
      <c r="ETV79" s="453"/>
      <c r="ETW79" s="449"/>
      <c r="ETX79" s="450"/>
      <c r="ETY79" s="454"/>
      <c r="ETZ79" s="448"/>
      <c r="EUB79" s="449"/>
      <c r="EUC79" s="450"/>
      <c r="EUD79" s="452"/>
      <c r="EUE79" s="448"/>
      <c r="EUG79" s="449"/>
      <c r="EUH79" s="450"/>
      <c r="EUI79" s="447"/>
      <c r="EUJ79" s="448"/>
      <c r="EUL79" s="449"/>
      <c r="EUM79" s="450"/>
      <c r="EUN79" s="452"/>
      <c r="EUO79" s="448"/>
      <c r="EUP79" s="449"/>
      <c r="EUQ79" s="450"/>
      <c r="EUR79" s="452"/>
      <c r="EUS79" s="448"/>
      <c r="EUT79" s="455"/>
      <c r="EUU79" s="449"/>
      <c r="EUV79" s="450"/>
      <c r="EUW79" s="459"/>
      <c r="EUX79" s="448"/>
      <c r="EUY79" s="456"/>
      <c r="EUZ79" s="449"/>
      <c r="EVA79" s="450"/>
      <c r="EVB79" s="452"/>
      <c r="EVC79" s="448"/>
      <c r="EVD79" s="449"/>
      <c r="EVE79" s="450"/>
      <c r="EVF79" s="452"/>
      <c r="EVG79" s="448"/>
      <c r="EVH79" s="449"/>
      <c r="EVI79" s="450"/>
      <c r="EVJ79" s="447"/>
      <c r="EVK79" s="448"/>
      <c r="EVL79" s="457"/>
      <c r="EVM79" s="460"/>
      <c r="EVN79" s="450"/>
      <c r="EVO79" s="461"/>
      <c r="EVP79" s="448"/>
      <c r="EVQ79" s="456"/>
      <c r="EVR79" s="449"/>
      <c r="EVS79" s="450"/>
      <c r="EVT79" s="452"/>
      <c r="EVU79" s="448"/>
      <c r="EVV79" s="456"/>
      <c r="EVW79" s="458"/>
      <c r="EVX79" s="458"/>
      <c r="EVZ79" s="454"/>
      <c r="EWA79" s="450"/>
      <c r="EWB79" s="454"/>
      <c r="EWC79" s="448"/>
      <c r="EWD79" s="449"/>
      <c r="EWE79" s="450"/>
      <c r="EWF79" s="447"/>
      <c r="EWG79" s="448"/>
      <c r="EWH79" s="449"/>
      <c r="EWI79" s="450"/>
      <c r="EWJ79" s="447"/>
      <c r="EWK79" s="451"/>
      <c r="EWL79" s="449"/>
      <c r="EWM79" s="450"/>
      <c r="EWN79" s="447"/>
      <c r="EWO79" s="451"/>
      <c r="EWP79" s="449"/>
      <c r="EWQ79" s="450"/>
      <c r="EWR79" s="447"/>
      <c r="EWS79" s="451"/>
      <c r="EWT79" s="449"/>
      <c r="EWU79" s="450"/>
      <c r="EWV79" s="452"/>
      <c r="EWW79" s="451"/>
      <c r="EWX79" s="449"/>
      <c r="EWY79" s="450"/>
      <c r="EWZ79" s="447"/>
      <c r="EXA79" s="448"/>
      <c r="EXB79" s="453"/>
      <c r="EXC79" s="449"/>
      <c r="EXD79" s="450"/>
      <c r="EXE79" s="454"/>
      <c r="EXF79" s="448"/>
      <c r="EXH79" s="449"/>
      <c r="EXI79" s="450"/>
      <c r="EXJ79" s="452"/>
      <c r="EXK79" s="448"/>
      <c r="EXM79" s="449"/>
      <c r="EXN79" s="450"/>
      <c r="EXO79" s="447"/>
      <c r="EXP79" s="448"/>
      <c r="EXR79" s="449"/>
      <c r="EXS79" s="450"/>
      <c r="EXT79" s="452"/>
      <c r="EXU79" s="448"/>
      <c r="EXV79" s="449"/>
      <c r="EXW79" s="450"/>
      <c r="EXX79" s="452"/>
      <c r="EXY79" s="448"/>
      <c r="EXZ79" s="455"/>
      <c r="EYA79" s="449"/>
      <c r="EYB79" s="450"/>
      <c r="EYC79" s="459"/>
      <c r="EYD79" s="448"/>
      <c r="EYE79" s="456"/>
      <c r="EYF79" s="449"/>
      <c r="EYG79" s="450"/>
      <c r="EYH79" s="452"/>
      <c r="EYI79" s="448"/>
      <c r="EYJ79" s="449"/>
      <c r="EYK79" s="450"/>
      <c r="EYL79" s="452"/>
      <c r="EYM79" s="448"/>
      <c r="EYN79" s="449"/>
      <c r="EYO79" s="450"/>
      <c r="EYP79" s="447"/>
      <c r="EYQ79" s="448"/>
      <c r="EYR79" s="457"/>
      <c r="EYS79" s="460"/>
      <c r="EYT79" s="450"/>
      <c r="EYU79" s="461"/>
      <c r="EYV79" s="448"/>
      <c r="EYW79" s="456"/>
      <c r="EYX79" s="449"/>
      <c r="EYY79" s="450"/>
      <c r="EYZ79" s="452"/>
      <c r="EZA79" s="448"/>
      <c r="EZB79" s="456"/>
      <c r="EZC79" s="458"/>
      <c r="EZD79" s="458"/>
      <c r="EZF79" s="454"/>
      <c r="EZG79" s="450"/>
      <c r="EZH79" s="454"/>
      <c r="EZI79" s="448"/>
      <c r="EZJ79" s="449"/>
      <c r="EZK79" s="450"/>
      <c r="EZL79" s="447"/>
      <c r="EZM79" s="448"/>
      <c r="EZN79" s="449"/>
      <c r="EZO79" s="450"/>
      <c r="EZP79" s="447"/>
      <c r="EZQ79" s="451"/>
      <c r="EZR79" s="449"/>
      <c r="EZS79" s="450"/>
      <c r="EZT79" s="447"/>
      <c r="EZU79" s="451"/>
      <c r="EZV79" s="449"/>
      <c r="EZW79" s="450"/>
      <c r="EZX79" s="447"/>
      <c r="EZY79" s="451"/>
      <c r="EZZ79" s="449"/>
      <c r="FAA79" s="450"/>
      <c r="FAB79" s="452"/>
      <c r="FAC79" s="451"/>
      <c r="FAD79" s="449"/>
      <c r="FAE79" s="450"/>
      <c r="FAF79" s="447"/>
      <c r="FAG79" s="448"/>
      <c r="FAH79" s="453"/>
      <c r="FAI79" s="449"/>
      <c r="FAJ79" s="450"/>
      <c r="FAK79" s="454"/>
      <c r="FAL79" s="448"/>
      <c r="FAN79" s="449"/>
      <c r="FAO79" s="450"/>
      <c r="FAP79" s="452"/>
      <c r="FAQ79" s="448"/>
      <c r="FAS79" s="449"/>
      <c r="FAT79" s="450"/>
      <c r="FAU79" s="447"/>
      <c r="FAV79" s="448"/>
      <c r="FAX79" s="449"/>
      <c r="FAY79" s="450"/>
      <c r="FAZ79" s="452"/>
      <c r="FBA79" s="448"/>
      <c r="FBB79" s="449"/>
      <c r="FBC79" s="450"/>
      <c r="FBD79" s="452"/>
      <c r="FBE79" s="448"/>
      <c r="FBF79" s="455"/>
      <c r="FBG79" s="449"/>
      <c r="FBH79" s="450"/>
      <c r="FBI79" s="459"/>
      <c r="FBJ79" s="448"/>
      <c r="FBK79" s="456"/>
      <c r="FBL79" s="449"/>
      <c r="FBM79" s="450"/>
      <c r="FBN79" s="452"/>
      <c r="FBO79" s="448"/>
      <c r="FBP79" s="449"/>
      <c r="FBQ79" s="450"/>
      <c r="FBR79" s="452"/>
      <c r="FBS79" s="448"/>
      <c r="FBT79" s="449"/>
      <c r="FBU79" s="450"/>
      <c r="FBV79" s="447"/>
      <c r="FBW79" s="448"/>
      <c r="FBX79" s="457"/>
      <c r="FBY79" s="460"/>
      <c r="FBZ79" s="450"/>
      <c r="FCA79" s="461"/>
      <c r="FCB79" s="448"/>
      <c r="FCC79" s="456"/>
      <c r="FCD79" s="449"/>
      <c r="FCE79" s="450"/>
      <c r="FCF79" s="452"/>
      <c r="FCG79" s="448"/>
      <c r="FCH79" s="456"/>
      <c r="FCI79" s="458"/>
      <c r="FCJ79" s="458"/>
      <c r="FCL79" s="454"/>
      <c r="FCM79" s="450"/>
      <c r="FCN79" s="454"/>
      <c r="FCO79" s="448"/>
      <c r="FCP79" s="449"/>
      <c r="FCQ79" s="450"/>
      <c r="FCR79" s="447"/>
      <c r="FCS79" s="448"/>
      <c r="FCT79" s="449"/>
      <c r="FCU79" s="450"/>
      <c r="FCV79" s="447"/>
      <c r="FCW79" s="451"/>
      <c r="FCX79" s="449"/>
      <c r="FCY79" s="450"/>
      <c r="FCZ79" s="447"/>
      <c r="FDA79" s="451"/>
      <c r="FDB79" s="449"/>
      <c r="FDC79" s="450"/>
      <c r="FDD79" s="447"/>
      <c r="FDE79" s="451"/>
      <c r="FDF79" s="449"/>
      <c r="FDG79" s="450"/>
      <c r="FDH79" s="452"/>
      <c r="FDI79" s="451"/>
      <c r="FDJ79" s="449"/>
      <c r="FDK79" s="450"/>
      <c r="FDL79" s="447"/>
      <c r="FDM79" s="448"/>
      <c r="FDN79" s="453"/>
      <c r="FDO79" s="449"/>
      <c r="FDP79" s="450"/>
      <c r="FDQ79" s="454"/>
      <c r="FDR79" s="448"/>
      <c r="FDT79" s="449"/>
      <c r="FDU79" s="450"/>
      <c r="FDV79" s="452"/>
      <c r="FDW79" s="448"/>
      <c r="FDY79" s="449"/>
      <c r="FDZ79" s="450"/>
      <c r="FEA79" s="447"/>
      <c r="FEB79" s="448"/>
      <c r="FED79" s="449"/>
      <c r="FEE79" s="450"/>
      <c r="FEF79" s="452"/>
      <c r="FEG79" s="448"/>
      <c r="FEH79" s="449"/>
      <c r="FEI79" s="450"/>
      <c r="FEJ79" s="452"/>
      <c r="FEK79" s="448"/>
      <c r="FEL79" s="455"/>
      <c r="FEM79" s="449"/>
      <c r="FEN79" s="450"/>
      <c r="FEO79" s="459"/>
      <c r="FEP79" s="448"/>
      <c r="FEQ79" s="456"/>
      <c r="FER79" s="449"/>
      <c r="FES79" s="450"/>
      <c r="FET79" s="452"/>
      <c r="FEU79" s="448"/>
      <c r="FEV79" s="449"/>
      <c r="FEW79" s="450"/>
      <c r="FEX79" s="452"/>
      <c r="FEY79" s="448"/>
      <c r="FEZ79" s="449"/>
      <c r="FFA79" s="450"/>
      <c r="FFB79" s="447"/>
      <c r="FFC79" s="448"/>
      <c r="FFD79" s="457"/>
      <c r="FFE79" s="460"/>
      <c r="FFF79" s="450"/>
      <c r="FFG79" s="461"/>
      <c r="FFH79" s="448"/>
      <c r="FFI79" s="456"/>
      <c r="FFJ79" s="449"/>
      <c r="FFK79" s="450"/>
      <c r="FFL79" s="452"/>
      <c r="FFM79" s="448"/>
      <c r="FFN79" s="456"/>
      <c r="FFO79" s="458"/>
      <c r="FFP79" s="458"/>
      <c r="FFR79" s="454"/>
      <c r="FFS79" s="450"/>
      <c r="FFT79" s="454"/>
      <c r="FFU79" s="448"/>
      <c r="FFV79" s="449"/>
      <c r="FFW79" s="450"/>
      <c r="FFX79" s="447"/>
      <c r="FFY79" s="448"/>
      <c r="FFZ79" s="449"/>
      <c r="FGA79" s="450"/>
      <c r="FGB79" s="447"/>
      <c r="FGC79" s="451"/>
      <c r="FGD79" s="449"/>
      <c r="FGE79" s="450"/>
      <c r="FGF79" s="447"/>
      <c r="FGG79" s="451"/>
      <c r="FGH79" s="449"/>
      <c r="FGI79" s="450"/>
      <c r="FGJ79" s="447"/>
      <c r="FGK79" s="451"/>
      <c r="FGL79" s="449"/>
      <c r="FGM79" s="450"/>
      <c r="FGN79" s="452"/>
      <c r="FGO79" s="451"/>
      <c r="FGP79" s="449"/>
      <c r="FGQ79" s="450"/>
      <c r="FGR79" s="447"/>
      <c r="FGS79" s="448"/>
      <c r="FGT79" s="453"/>
      <c r="FGU79" s="449"/>
      <c r="FGV79" s="450"/>
      <c r="FGW79" s="454"/>
      <c r="FGX79" s="448"/>
      <c r="FGZ79" s="449"/>
      <c r="FHA79" s="450"/>
      <c r="FHB79" s="452"/>
      <c r="FHC79" s="448"/>
      <c r="FHE79" s="449"/>
      <c r="FHF79" s="450"/>
      <c r="FHG79" s="447"/>
      <c r="FHH79" s="448"/>
      <c r="FHJ79" s="449"/>
      <c r="FHK79" s="450"/>
      <c r="FHL79" s="452"/>
      <c r="FHM79" s="448"/>
      <c r="FHN79" s="449"/>
      <c r="FHO79" s="450"/>
      <c r="FHP79" s="452"/>
      <c r="FHQ79" s="448"/>
      <c r="FHR79" s="455"/>
      <c r="FHS79" s="449"/>
      <c r="FHT79" s="450"/>
      <c r="FHU79" s="459"/>
      <c r="FHV79" s="448"/>
      <c r="FHW79" s="456"/>
      <c r="FHX79" s="449"/>
      <c r="FHY79" s="450"/>
      <c r="FHZ79" s="452"/>
      <c r="FIA79" s="448"/>
      <c r="FIB79" s="449"/>
      <c r="FIC79" s="450"/>
      <c r="FID79" s="452"/>
      <c r="FIE79" s="448"/>
      <c r="FIF79" s="449"/>
      <c r="FIG79" s="450"/>
      <c r="FIH79" s="447"/>
      <c r="FII79" s="448"/>
      <c r="FIJ79" s="457"/>
      <c r="FIK79" s="460"/>
      <c r="FIL79" s="450"/>
      <c r="FIM79" s="461"/>
      <c r="FIN79" s="448"/>
      <c r="FIO79" s="456"/>
      <c r="FIP79" s="449"/>
      <c r="FIQ79" s="450"/>
      <c r="FIR79" s="452"/>
      <c r="FIS79" s="448"/>
      <c r="FIT79" s="456"/>
      <c r="FIU79" s="458"/>
      <c r="FIV79" s="458"/>
      <c r="FIX79" s="454"/>
      <c r="FIY79" s="450"/>
      <c r="FIZ79" s="454"/>
      <c r="FJA79" s="448"/>
      <c r="FJB79" s="449"/>
      <c r="FJC79" s="450"/>
      <c r="FJD79" s="447"/>
      <c r="FJE79" s="448"/>
      <c r="FJF79" s="449"/>
      <c r="FJG79" s="450"/>
      <c r="FJH79" s="447"/>
      <c r="FJI79" s="451"/>
      <c r="FJJ79" s="449"/>
      <c r="FJK79" s="450"/>
      <c r="FJL79" s="447"/>
      <c r="FJM79" s="451"/>
      <c r="FJN79" s="449"/>
      <c r="FJO79" s="450"/>
      <c r="FJP79" s="447"/>
      <c r="FJQ79" s="451"/>
      <c r="FJR79" s="449"/>
      <c r="FJS79" s="450"/>
      <c r="FJT79" s="452"/>
      <c r="FJU79" s="451"/>
      <c r="FJV79" s="449"/>
      <c r="FJW79" s="450"/>
      <c r="FJX79" s="447"/>
      <c r="FJY79" s="448"/>
      <c r="FJZ79" s="453"/>
      <c r="FKA79" s="449"/>
      <c r="FKB79" s="450"/>
      <c r="FKC79" s="454"/>
      <c r="FKD79" s="448"/>
      <c r="FKF79" s="449"/>
      <c r="FKG79" s="450"/>
      <c r="FKH79" s="452"/>
      <c r="FKI79" s="448"/>
      <c r="FKK79" s="449"/>
      <c r="FKL79" s="450"/>
      <c r="FKM79" s="447"/>
      <c r="FKN79" s="448"/>
      <c r="FKP79" s="449"/>
      <c r="FKQ79" s="450"/>
      <c r="FKR79" s="452"/>
      <c r="FKS79" s="448"/>
      <c r="FKT79" s="449"/>
      <c r="FKU79" s="450"/>
      <c r="FKV79" s="452"/>
      <c r="FKW79" s="448"/>
      <c r="FKX79" s="455"/>
      <c r="FKY79" s="449"/>
      <c r="FKZ79" s="450"/>
      <c r="FLA79" s="459"/>
      <c r="FLB79" s="448"/>
      <c r="FLC79" s="456"/>
      <c r="FLD79" s="449"/>
      <c r="FLE79" s="450"/>
      <c r="FLF79" s="452"/>
      <c r="FLG79" s="448"/>
      <c r="FLH79" s="449"/>
      <c r="FLI79" s="450"/>
      <c r="FLJ79" s="452"/>
      <c r="FLK79" s="448"/>
      <c r="FLL79" s="449"/>
      <c r="FLM79" s="450"/>
      <c r="FLN79" s="447"/>
      <c r="FLO79" s="448"/>
      <c r="FLP79" s="457"/>
      <c r="FLQ79" s="460"/>
      <c r="FLR79" s="450"/>
      <c r="FLS79" s="461"/>
      <c r="FLT79" s="448"/>
      <c r="FLU79" s="456"/>
      <c r="FLV79" s="449"/>
      <c r="FLW79" s="450"/>
      <c r="FLX79" s="452"/>
      <c r="FLY79" s="448"/>
      <c r="FLZ79" s="456"/>
      <c r="FMA79" s="458"/>
      <c r="FMB79" s="458"/>
      <c r="FMD79" s="454"/>
      <c r="FME79" s="450"/>
      <c r="FMF79" s="454"/>
      <c r="FMG79" s="448"/>
      <c r="FMH79" s="449"/>
      <c r="FMI79" s="450"/>
      <c r="FMJ79" s="447"/>
      <c r="FMK79" s="448"/>
      <c r="FML79" s="449"/>
      <c r="FMM79" s="450"/>
      <c r="FMN79" s="447"/>
      <c r="FMO79" s="451"/>
      <c r="FMP79" s="449"/>
      <c r="FMQ79" s="450"/>
      <c r="FMR79" s="447"/>
      <c r="FMS79" s="451"/>
      <c r="FMT79" s="449"/>
      <c r="FMU79" s="450"/>
      <c r="FMV79" s="447"/>
      <c r="FMW79" s="451"/>
      <c r="FMX79" s="449"/>
      <c r="FMY79" s="450"/>
      <c r="FMZ79" s="452"/>
      <c r="FNA79" s="451"/>
      <c r="FNB79" s="449"/>
      <c r="FNC79" s="450"/>
      <c r="FND79" s="447"/>
      <c r="FNE79" s="448"/>
      <c r="FNF79" s="453"/>
      <c r="FNG79" s="449"/>
      <c r="FNH79" s="450"/>
      <c r="FNI79" s="454"/>
      <c r="FNJ79" s="448"/>
      <c r="FNL79" s="449"/>
      <c r="FNM79" s="450"/>
      <c r="FNN79" s="452"/>
      <c r="FNO79" s="448"/>
      <c r="FNQ79" s="449"/>
      <c r="FNR79" s="450"/>
      <c r="FNS79" s="447"/>
      <c r="FNT79" s="448"/>
      <c r="FNV79" s="449"/>
      <c r="FNW79" s="450"/>
      <c r="FNX79" s="452"/>
      <c r="FNY79" s="448"/>
      <c r="FNZ79" s="449"/>
      <c r="FOA79" s="450"/>
      <c r="FOB79" s="452"/>
      <c r="FOC79" s="448"/>
      <c r="FOD79" s="455"/>
      <c r="FOE79" s="449"/>
      <c r="FOF79" s="450"/>
      <c r="FOG79" s="459"/>
      <c r="FOH79" s="448"/>
      <c r="FOI79" s="456"/>
      <c r="FOJ79" s="449"/>
      <c r="FOK79" s="450"/>
      <c r="FOL79" s="452"/>
      <c r="FOM79" s="448"/>
      <c r="FON79" s="449"/>
      <c r="FOO79" s="450"/>
      <c r="FOP79" s="452"/>
      <c r="FOQ79" s="448"/>
      <c r="FOR79" s="449"/>
      <c r="FOS79" s="450"/>
      <c r="FOT79" s="447"/>
      <c r="FOU79" s="448"/>
      <c r="FOV79" s="457"/>
      <c r="FOW79" s="460"/>
      <c r="FOX79" s="450"/>
      <c r="FOY79" s="461"/>
      <c r="FOZ79" s="448"/>
      <c r="FPA79" s="456"/>
      <c r="FPB79" s="449"/>
      <c r="FPC79" s="450"/>
      <c r="FPD79" s="452"/>
      <c r="FPE79" s="448"/>
      <c r="FPF79" s="456"/>
      <c r="FPG79" s="458"/>
      <c r="FPH79" s="458"/>
      <c r="FPJ79" s="454"/>
      <c r="FPK79" s="450"/>
      <c r="FPL79" s="454"/>
      <c r="FPM79" s="448"/>
      <c r="FPN79" s="449"/>
      <c r="FPO79" s="450"/>
      <c r="FPP79" s="447"/>
      <c r="FPQ79" s="448"/>
      <c r="FPR79" s="449"/>
      <c r="FPS79" s="450"/>
      <c r="FPT79" s="447"/>
      <c r="FPU79" s="451"/>
      <c r="FPV79" s="449"/>
      <c r="FPW79" s="450"/>
      <c r="FPX79" s="447"/>
      <c r="FPY79" s="451"/>
      <c r="FPZ79" s="449"/>
      <c r="FQA79" s="450"/>
      <c r="FQB79" s="447"/>
      <c r="FQC79" s="451"/>
      <c r="FQD79" s="449"/>
      <c r="FQE79" s="450"/>
      <c r="FQF79" s="452"/>
      <c r="FQG79" s="451"/>
      <c r="FQH79" s="449"/>
      <c r="FQI79" s="450"/>
      <c r="FQJ79" s="447"/>
      <c r="FQK79" s="448"/>
      <c r="FQL79" s="453"/>
      <c r="FQM79" s="449"/>
      <c r="FQN79" s="450"/>
      <c r="FQO79" s="454"/>
      <c r="FQP79" s="448"/>
      <c r="FQR79" s="449"/>
      <c r="FQS79" s="450"/>
      <c r="FQT79" s="452"/>
      <c r="FQU79" s="448"/>
      <c r="FQW79" s="449"/>
      <c r="FQX79" s="450"/>
      <c r="FQY79" s="447"/>
      <c r="FQZ79" s="448"/>
      <c r="FRB79" s="449"/>
      <c r="FRC79" s="450"/>
      <c r="FRD79" s="452"/>
      <c r="FRE79" s="448"/>
      <c r="FRF79" s="449"/>
      <c r="FRG79" s="450"/>
      <c r="FRH79" s="452"/>
      <c r="FRI79" s="448"/>
      <c r="FRJ79" s="455"/>
      <c r="FRK79" s="449"/>
      <c r="FRL79" s="450"/>
      <c r="FRM79" s="459"/>
      <c r="FRN79" s="448"/>
      <c r="FRO79" s="456"/>
      <c r="FRP79" s="449"/>
      <c r="FRQ79" s="450"/>
      <c r="FRR79" s="452"/>
      <c r="FRS79" s="448"/>
      <c r="FRT79" s="449"/>
      <c r="FRU79" s="450"/>
      <c r="FRV79" s="452"/>
      <c r="FRW79" s="448"/>
      <c r="FRX79" s="449"/>
      <c r="FRY79" s="450"/>
      <c r="FRZ79" s="447"/>
      <c r="FSA79" s="448"/>
      <c r="FSB79" s="457"/>
      <c r="FSC79" s="460"/>
      <c r="FSD79" s="450"/>
      <c r="FSE79" s="461"/>
      <c r="FSF79" s="448"/>
      <c r="FSG79" s="456"/>
      <c r="FSH79" s="449"/>
      <c r="FSI79" s="450"/>
      <c r="FSJ79" s="452"/>
      <c r="FSK79" s="448"/>
      <c r="FSL79" s="456"/>
      <c r="FSM79" s="458"/>
      <c r="FSN79" s="458"/>
      <c r="FSP79" s="454"/>
      <c r="FSQ79" s="450"/>
      <c r="FSR79" s="454"/>
      <c r="FSS79" s="448"/>
      <c r="FST79" s="449"/>
      <c r="FSU79" s="450"/>
      <c r="FSV79" s="447"/>
      <c r="FSW79" s="448"/>
      <c r="FSX79" s="449"/>
      <c r="FSY79" s="450"/>
      <c r="FSZ79" s="447"/>
      <c r="FTA79" s="451"/>
      <c r="FTB79" s="449"/>
      <c r="FTC79" s="450"/>
      <c r="FTD79" s="447"/>
      <c r="FTE79" s="451"/>
      <c r="FTF79" s="449"/>
      <c r="FTG79" s="450"/>
      <c r="FTH79" s="447"/>
      <c r="FTI79" s="451"/>
      <c r="FTJ79" s="449"/>
      <c r="FTK79" s="450"/>
      <c r="FTL79" s="452"/>
      <c r="FTM79" s="451"/>
      <c r="FTN79" s="449"/>
      <c r="FTO79" s="450"/>
      <c r="FTP79" s="447"/>
      <c r="FTQ79" s="448"/>
      <c r="FTR79" s="453"/>
      <c r="FTS79" s="449"/>
      <c r="FTT79" s="450"/>
      <c r="FTU79" s="454"/>
      <c r="FTV79" s="448"/>
      <c r="FTX79" s="449"/>
      <c r="FTY79" s="450"/>
      <c r="FTZ79" s="452"/>
      <c r="FUA79" s="448"/>
      <c r="FUC79" s="449"/>
      <c r="FUD79" s="450"/>
      <c r="FUE79" s="447"/>
      <c r="FUF79" s="448"/>
      <c r="FUH79" s="449"/>
      <c r="FUI79" s="450"/>
      <c r="FUJ79" s="452"/>
      <c r="FUK79" s="448"/>
      <c r="FUL79" s="449"/>
      <c r="FUM79" s="450"/>
      <c r="FUN79" s="452"/>
      <c r="FUO79" s="448"/>
      <c r="FUP79" s="455"/>
      <c r="FUQ79" s="449"/>
      <c r="FUR79" s="450"/>
      <c r="FUS79" s="459"/>
      <c r="FUT79" s="448"/>
      <c r="FUU79" s="456"/>
      <c r="FUV79" s="449"/>
      <c r="FUW79" s="450"/>
      <c r="FUX79" s="452"/>
      <c r="FUY79" s="448"/>
      <c r="FUZ79" s="449"/>
      <c r="FVA79" s="450"/>
      <c r="FVB79" s="452"/>
      <c r="FVC79" s="448"/>
      <c r="FVD79" s="449"/>
      <c r="FVE79" s="450"/>
      <c r="FVF79" s="447"/>
      <c r="FVG79" s="448"/>
      <c r="FVH79" s="457"/>
      <c r="FVI79" s="460"/>
      <c r="FVJ79" s="450"/>
      <c r="FVK79" s="461"/>
      <c r="FVL79" s="448"/>
      <c r="FVM79" s="456"/>
      <c r="FVN79" s="449"/>
      <c r="FVO79" s="450"/>
      <c r="FVP79" s="452"/>
      <c r="FVQ79" s="448"/>
      <c r="FVR79" s="456"/>
      <c r="FVS79" s="458"/>
      <c r="FVT79" s="458"/>
      <c r="FVV79" s="454"/>
      <c r="FVW79" s="450"/>
      <c r="FVX79" s="454"/>
      <c r="FVY79" s="448"/>
      <c r="FVZ79" s="449"/>
      <c r="FWA79" s="450"/>
      <c r="FWB79" s="447"/>
      <c r="FWC79" s="448"/>
      <c r="FWD79" s="449"/>
      <c r="FWE79" s="450"/>
      <c r="FWF79" s="447"/>
      <c r="FWG79" s="451"/>
      <c r="FWH79" s="449"/>
      <c r="FWI79" s="450"/>
      <c r="FWJ79" s="447"/>
      <c r="FWK79" s="451"/>
      <c r="FWL79" s="449"/>
      <c r="FWM79" s="450"/>
      <c r="FWN79" s="447"/>
      <c r="FWO79" s="451"/>
      <c r="FWP79" s="449"/>
      <c r="FWQ79" s="450"/>
      <c r="FWR79" s="452"/>
      <c r="FWS79" s="451"/>
      <c r="FWT79" s="449"/>
      <c r="FWU79" s="450"/>
      <c r="FWV79" s="447"/>
      <c r="FWW79" s="448"/>
      <c r="FWX79" s="453"/>
      <c r="FWY79" s="449"/>
      <c r="FWZ79" s="450"/>
      <c r="FXA79" s="454"/>
      <c r="FXB79" s="448"/>
      <c r="FXD79" s="449"/>
      <c r="FXE79" s="450"/>
      <c r="FXF79" s="452"/>
      <c r="FXG79" s="448"/>
      <c r="FXI79" s="449"/>
      <c r="FXJ79" s="450"/>
      <c r="FXK79" s="447"/>
      <c r="FXL79" s="448"/>
      <c r="FXN79" s="449"/>
      <c r="FXO79" s="450"/>
      <c r="FXP79" s="452"/>
      <c r="FXQ79" s="448"/>
      <c r="FXR79" s="449"/>
      <c r="FXS79" s="450"/>
      <c r="FXT79" s="452"/>
      <c r="FXU79" s="448"/>
      <c r="FXV79" s="455"/>
      <c r="FXW79" s="449"/>
      <c r="FXX79" s="450"/>
      <c r="FXY79" s="459"/>
      <c r="FXZ79" s="448"/>
      <c r="FYA79" s="456"/>
      <c r="FYB79" s="449"/>
      <c r="FYC79" s="450"/>
      <c r="FYD79" s="452"/>
      <c r="FYE79" s="448"/>
      <c r="FYF79" s="449"/>
      <c r="FYG79" s="450"/>
      <c r="FYH79" s="452"/>
      <c r="FYI79" s="448"/>
      <c r="FYJ79" s="449"/>
      <c r="FYK79" s="450"/>
      <c r="FYL79" s="447"/>
      <c r="FYM79" s="448"/>
      <c r="FYN79" s="457"/>
      <c r="FYO79" s="460"/>
      <c r="FYP79" s="450"/>
      <c r="FYQ79" s="461"/>
      <c r="FYR79" s="448"/>
      <c r="FYS79" s="456"/>
      <c r="FYT79" s="449"/>
      <c r="FYU79" s="450"/>
      <c r="FYV79" s="452"/>
      <c r="FYW79" s="448"/>
      <c r="FYX79" s="456"/>
      <c r="FYY79" s="458"/>
      <c r="FYZ79" s="458"/>
      <c r="FZB79" s="454"/>
      <c r="FZC79" s="450"/>
      <c r="FZD79" s="454"/>
      <c r="FZE79" s="448"/>
      <c r="FZF79" s="449"/>
      <c r="FZG79" s="450"/>
      <c r="FZH79" s="447"/>
      <c r="FZI79" s="448"/>
      <c r="FZJ79" s="449"/>
      <c r="FZK79" s="450"/>
      <c r="FZL79" s="447"/>
      <c r="FZM79" s="451"/>
      <c r="FZN79" s="449"/>
      <c r="FZO79" s="450"/>
      <c r="FZP79" s="447"/>
      <c r="FZQ79" s="451"/>
      <c r="FZR79" s="449"/>
      <c r="FZS79" s="450"/>
      <c r="FZT79" s="447"/>
      <c r="FZU79" s="451"/>
      <c r="FZV79" s="449"/>
      <c r="FZW79" s="450"/>
      <c r="FZX79" s="452"/>
      <c r="FZY79" s="451"/>
      <c r="FZZ79" s="449"/>
      <c r="GAA79" s="450"/>
      <c r="GAB79" s="447"/>
      <c r="GAC79" s="448"/>
      <c r="GAD79" s="453"/>
      <c r="GAE79" s="449"/>
      <c r="GAF79" s="450"/>
      <c r="GAG79" s="454"/>
      <c r="GAH79" s="448"/>
      <c r="GAJ79" s="449"/>
      <c r="GAK79" s="450"/>
      <c r="GAL79" s="452"/>
      <c r="GAM79" s="448"/>
      <c r="GAO79" s="449"/>
      <c r="GAP79" s="450"/>
      <c r="GAQ79" s="447"/>
      <c r="GAR79" s="448"/>
      <c r="GAT79" s="449"/>
      <c r="GAU79" s="450"/>
      <c r="GAV79" s="452"/>
      <c r="GAW79" s="448"/>
      <c r="GAX79" s="449"/>
      <c r="GAY79" s="450"/>
      <c r="GAZ79" s="452"/>
      <c r="GBA79" s="448"/>
      <c r="GBB79" s="455"/>
      <c r="GBC79" s="449"/>
      <c r="GBD79" s="450"/>
      <c r="GBE79" s="459"/>
      <c r="GBF79" s="448"/>
      <c r="GBG79" s="456"/>
      <c r="GBH79" s="449"/>
      <c r="GBI79" s="450"/>
      <c r="GBJ79" s="452"/>
      <c r="GBK79" s="448"/>
      <c r="GBL79" s="449"/>
      <c r="GBM79" s="450"/>
      <c r="GBN79" s="452"/>
      <c r="GBO79" s="448"/>
      <c r="GBP79" s="449"/>
      <c r="GBQ79" s="450"/>
      <c r="GBR79" s="447"/>
      <c r="GBS79" s="448"/>
      <c r="GBT79" s="457"/>
      <c r="GBU79" s="460"/>
      <c r="GBV79" s="450"/>
      <c r="GBW79" s="461"/>
      <c r="GBX79" s="448"/>
      <c r="GBY79" s="456"/>
      <c r="GBZ79" s="449"/>
      <c r="GCA79" s="450"/>
      <c r="GCB79" s="452"/>
      <c r="GCC79" s="448"/>
      <c r="GCD79" s="456"/>
      <c r="GCE79" s="458"/>
      <c r="GCF79" s="458"/>
      <c r="GCH79" s="454"/>
      <c r="GCI79" s="450"/>
      <c r="GCJ79" s="454"/>
      <c r="GCK79" s="448"/>
      <c r="GCL79" s="449"/>
      <c r="GCM79" s="450"/>
      <c r="GCN79" s="447"/>
      <c r="GCO79" s="448"/>
      <c r="GCP79" s="449"/>
      <c r="GCQ79" s="450"/>
      <c r="GCR79" s="447"/>
      <c r="GCS79" s="451"/>
      <c r="GCT79" s="449"/>
      <c r="GCU79" s="450"/>
      <c r="GCV79" s="447"/>
      <c r="GCW79" s="451"/>
      <c r="GCX79" s="449"/>
      <c r="GCY79" s="450"/>
      <c r="GCZ79" s="447"/>
      <c r="GDA79" s="451"/>
      <c r="GDB79" s="449"/>
      <c r="GDC79" s="450"/>
      <c r="GDD79" s="452"/>
      <c r="GDE79" s="451"/>
      <c r="GDF79" s="449"/>
      <c r="GDG79" s="450"/>
      <c r="GDH79" s="447"/>
      <c r="GDI79" s="448"/>
      <c r="GDJ79" s="453"/>
      <c r="GDK79" s="449"/>
      <c r="GDL79" s="450"/>
      <c r="GDM79" s="454"/>
      <c r="GDN79" s="448"/>
      <c r="GDP79" s="449"/>
      <c r="GDQ79" s="450"/>
      <c r="GDR79" s="452"/>
      <c r="GDS79" s="448"/>
      <c r="GDU79" s="449"/>
      <c r="GDV79" s="450"/>
      <c r="GDW79" s="447"/>
      <c r="GDX79" s="448"/>
      <c r="GDZ79" s="449"/>
      <c r="GEA79" s="450"/>
      <c r="GEB79" s="452"/>
      <c r="GEC79" s="448"/>
      <c r="GED79" s="449"/>
      <c r="GEE79" s="450"/>
      <c r="GEF79" s="452"/>
      <c r="GEG79" s="448"/>
      <c r="GEH79" s="455"/>
      <c r="GEI79" s="449"/>
      <c r="GEJ79" s="450"/>
      <c r="GEK79" s="459"/>
      <c r="GEL79" s="448"/>
      <c r="GEM79" s="456"/>
      <c r="GEN79" s="449"/>
      <c r="GEO79" s="450"/>
      <c r="GEP79" s="452"/>
      <c r="GEQ79" s="448"/>
      <c r="GER79" s="449"/>
      <c r="GES79" s="450"/>
      <c r="GET79" s="452"/>
      <c r="GEU79" s="448"/>
      <c r="GEV79" s="449"/>
      <c r="GEW79" s="450"/>
      <c r="GEX79" s="447"/>
      <c r="GEY79" s="448"/>
      <c r="GEZ79" s="457"/>
      <c r="GFA79" s="460"/>
      <c r="GFB79" s="450"/>
      <c r="GFC79" s="461"/>
      <c r="GFD79" s="448"/>
      <c r="GFE79" s="456"/>
      <c r="GFF79" s="449"/>
      <c r="GFG79" s="450"/>
      <c r="GFH79" s="452"/>
      <c r="GFI79" s="448"/>
      <c r="GFJ79" s="456"/>
      <c r="GFK79" s="458"/>
      <c r="GFL79" s="458"/>
      <c r="GFN79" s="454"/>
      <c r="GFO79" s="450"/>
      <c r="GFP79" s="454"/>
      <c r="GFQ79" s="448"/>
      <c r="GFR79" s="449"/>
      <c r="GFS79" s="450"/>
      <c r="GFT79" s="447"/>
      <c r="GFU79" s="448"/>
      <c r="GFV79" s="449"/>
      <c r="GFW79" s="450"/>
      <c r="GFX79" s="447"/>
      <c r="GFY79" s="451"/>
      <c r="GFZ79" s="449"/>
      <c r="GGA79" s="450"/>
      <c r="GGB79" s="447"/>
      <c r="GGC79" s="451"/>
      <c r="GGD79" s="449"/>
      <c r="GGE79" s="450"/>
      <c r="GGF79" s="447"/>
      <c r="GGG79" s="451"/>
      <c r="GGH79" s="449"/>
      <c r="GGI79" s="450"/>
      <c r="GGJ79" s="452"/>
      <c r="GGK79" s="451"/>
      <c r="GGL79" s="449"/>
      <c r="GGM79" s="450"/>
      <c r="GGN79" s="447"/>
      <c r="GGO79" s="448"/>
      <c r="GGP79" s="453"/>
      <c r="GGQ79" s="449"/>
      <c r="GGR79" s="450"/>
      <c r="GGS79" s="454"/>
      <c r="GGT79" s="448"/>
      <c r="GGV79" s="449"/>
      <c r="GGW79" s="450"/>
      <c r="GGX79" s="452"/>
      <c r="GGY79" s="448"/>
      <c r="GHA79" s="449"/>
      <c r="GHB79" s="450"/>
      <c r="GHC79" s="447"/>
      <c r="GHD79" s="448"/>
      <c r="GHF79" s="449"/>
      <c r="GHG79" s="450"/>
      <c r="GHH79" s="452"/>
      <c r="GHI79" s="448"/>
      <c r="GHJ79" s="449"/>
      <c r="GHK79" s="450"/>
      <c r="GHL79" s="452"/>
      <c r="GHM79" s="448"/>
      <c r="GHN79" s="455"/>
      <c r="GHO79" s="449"/>
      <c r="GHP79" s="450"/>
      <c r="GHQ79" s="459"/>
      <c r="GHR79" s="448"/>
      <c r="GHS79" s="456"/>
      <c r="GHT79" s="449"/>
      <c r="GHU79" s="450"/>
      <c r="GHV79" s="452"/>
      <c r="GHW79" s="448"/>
      <c r="GHX79" s="449"/>
      <c r="GHY79" s="450"/>
      <c r="GHZ79" s="452"/>
      <c r="GIA79" s="448"/>
      <c r="GIB79" s="449"/>
      <c r="GIC79" s="450"/>
      <c r="GID79" s="447"/>
      <c r="GIE79" s="448"/>
      <c r="GIF79" s="457"/>
      <c r="GIG79" s="460"/>
      <c r="GIH79" s="450"/>
      <c r="GII79" s="461"/>
      <c r="GIJ79" s="448"/>
      <c r="GIK79" s="456"/>
      <c r="GIL79" s="449"/>
      <c r="GIM79" s="450"/>
      <c r="GIN79" s="452"/>
      <c r="GIO79" s="448"/>
      <c r="GIP79" s="456"/>
      <c r="GIQ79" s="458"/>
      <c r="GIR79" s="458"/>
      <c r="GIT79" s="454"/>
      <c r="GIU79" s="450"/>
      <c r="GIV79" s="454"/>
      <c r="GIW79" s="448"/>
      <c r="GIX79" s="449"/>
      <c r="GIY79" s="450"/>
      <c r="GIZ79" s="447"/>
      <c r="GJA79" s="448"/>
      <c r="GJB79" s="449"/>
      <c r="GJC79" s="450"/>
      <c r="GJD79" s="447"/>
      <c r="GJE79" s="451"/>
      <c r="GJF79" s="449"/>
      <c r="GJG79" s="450"/>
      <c r="GJH79" s="447"/>
      <c r="GJI79" s="451"/>
      <c r="GJJ79" s="449"/>
      <c r="GJK79" s="450"/>
      <c r="GJL79" s="447"/>
      <c r="GJM79" s="451"/>
      <c r="GJN79" s="449"/>
      <c r="GJO79" s="450"/>
      <c r="GJP79" s="452"/>
      <c r="GJQ79" s="451"/>
      <c r="GJR79" s="449"/>
      <c r="GJS79" s="450"/>
      <c r="GJT79" s="447"/>
      <c r="GJU79" s="448"/>
      <c r="GJV79" s="453"/>
      <c r="GJW79" s="449"/>
      <c r="GJX79" s="450"/>
      <c r="GJY79" s="454"/>
      <c r="GJZ79" s="448"/>
      <c r="GKB79" s="449"/>
      <c r="GKC79" s="450"/>
      <c r="GKD79" s="452"/>
      <c r="GKE79" s="448"/>
      <c r="GKG79" s="449"/>
      <c r="GKH79" s="450"/>
      <c r="GKI79" s="447"/>
      <c r="GKJ79" s="448"/>
      <c r="GKL79" s="449"/>
      <c r="GKM79" s="450"/>
      <c r="GKN79" s="452"/>
      <c r="GKO79" s="448"/>
      <c r="GKP79" s="449"/>
      <c r="GKQ79" s="450"/>
      <c r="GKR79" s="452"/>
      <c r="GKS79" s="448"/>
      <c r="GKT79" s="455"/>
      <c r="GKU79" s="449"/>
      <c r="GKV79" s="450"/>
      <c r="GKW79" s="459"/>
      <c r="GKX79" s="448"/>
      <c r="GKY79" s="456"/>
      <c r="GKZ79" s="449"/>
      <c r="GLA79" s="450"/>
      <c r="GLB79" s="452"/>
      <c r="GLC79" s="448"/>
      <c r="GLD79" s="449"/>
      <c r="GLE79" s="450"/>
      <c r="GLF79" s="452"/>
      <c r="GLG79" s="448"/>
      <c r="GLH79" s="449"/>
      <c r="GLI79" s="450"/>
      <c r="GLJ79" s="447"/>
      <c r="GLK79" s="448"/>
      <c r="GLL79" s="457"/>
      <c r="GLM79" s="460"/>
      <c r="GLN79" s="450"/>
      <c r="GLO79" s="461"/>
      <c r="GLP79" s="448"/>
      <c r="GLQ79" s="456"/>
      <c r="GLR79" s="449"/>
      <c r="GLS79" s="450"/>
      <c r="GLT79" s="452"/>
      <c r="GLU79" s="448"/>
      <c r="GLV79" s="456"/>
      <c r="GLW79" s="458"/>
      <c r="GLX79" s="458"/>
      <c r="GLZ79" s="454"/>
      <c r="GMA79" s="450"/>
      <c r="GMB79" s="454"/>
      <c r="GMC79" s="448"/>
      <c r="GMD79" s="449"/>
      <c r="GME79" s="450"/>
      <c r="GMF79" s="447"/>
      <c r="GMG79" s="448"/>
      <c r="GMH79" s="449"/>
      <c r="GMI79" s="450"/>
      <c r="GMJ79" s="447"/>
      <c r="GMK79" s="451"/>
      <c r="GML79" s="449"/>
      <c r="GMM79" s="450"/>
      <c r="GMN79" s="447"/>
      <c r="GMO79" s="451"/>
      <c r="GMP79" s="449"/>
      <c r="GMQ79" s="450"/>
      <c r="GMR79" s="447"/>
      <c r="GMS79" s="451"/>
      <c r="GMT79" s="449"/>
      <c r="GMU79" s="450"/>
      <c r="GMV79" s="452"/>
      <c r="GMW79" s="451"/>
      <c r="GMX79" s="449"/>
      <c r="GMY79" s="450"/>
      <c r="GMZ79" s="447"/>
      <c r="GNA79" s="448"/>
      <c r="GNB79" s="453"/>
      <c r="GNC79" s="449"/>
      <c r="GND79" s="450"/>
      <c r="GNE79" s="454"/>
      <c r="GNF79" s="448"/>
      <c r="GNH79" s="449"/>
      <c r="GNI79" s="450"/>
      <c r="GNJ79" s="452"/>
      <c r="GNK79" s="448"/>
      <c r="GNM79" s="449"/>
      <c r="GNN79" s="450"/>
      <c r="GNO79" s="447"/>
      <c r="GNP79" s="448"/>
      <c r="GNR79" s="449"/>
      <c r="GNS79" s="450"/>
      <c r="GNT79" s="452"/>
      <c r="GNU79" s="448"/>
      <c r="GNV79" s="449"/>
      <c r="GNW79" s="450"/>
      <c r="GNX79" s="452"/>
      <c r="GNY79" s="448"/>
      <c r="GNZ79" s="455"/>
      <c r="GOA79" s="449"/>
      <c r="GOB79" s="450"/>
      <c r="GOC79" s="459"/>
      <c r="GOD79" s="448"/>
      <c r="GOE79" s="456"/>
      <c r="GOF79" s="449"/>
      <c r="GOG79" s="450"/>
      <c r="GOH79" s="452"/>
      <c r="GOI79" s="448"/>
      <c r="GOJ79" s="449"/>
      <c r="GOK79" s="450"/>
      <c r="GOL79" s="452"/>
      <c r="GOM79" s="448"/>
      <c r="GON79" s="449"/>
      <c r="GOO79" s="450"/>
      <c r="GOP79" s="447"/>
      <c r="GOQ79" s="448"/>
      <c r="GOR79" s="457"/>
      <c r="GOS79" s="460"/>
      <c r="GOT79" s="450"/>
      <c r="GOU79" s="461"/>
      <c r="GOV79" s="448"/>
      <c r="GOW79" s="456"/>
      <c r="GOX79" s="449"/>
      <c r="GOY79" s="450"/>
      <c r="GOZ79" s="452"/>
      <c r="GPA79" s="448"/>
      <c r="GPB79" s="456"/>
      <c r="GPC79" s="458"/>
      <c r="GPD79" s="458"/>
      <c r="GPF79" s="454"/>
      <c r="GPG79" s="450"/>
      <c r="GPH79" s="454"/>
      <c r="GPI79" s="448"/>
      <c r="GPJ79" s="449"/>
      <c r="GPK79" s="450"/>
      <c r="GPL79" s="447"/>
      <c r="GPM79" s="448"/>
      <c r="GPN79" s="449"/>
      <c r="GPO79" s="450"/>
      <c r="GPP79" s="447"/>
      <c r="GPQ79" s="451"/>
      <c r="GPR79" s="449"/>
      <c r="GPS79" s="450"/>
      <c r="GPT79" s="447"/>
      <c r="GPU79" s="451"/>
      <c r="GPV79" s="449"/>
      <c r="GPW79" s="450"/>
      <c r="GPX79" s="447"/>
      <c r="GPY79" s="451"/>
      <c r="GPZ79" s="449"/>
      <c r="GQA79" s="450"/>
      <c r="GQB79" s="452"/>
      <c r="GQC79" s="451"/>
      <c r="GQD79" s="449"/>
      <c r="GQE79" s="450"/>
      <c r="GQF79" s="447"/>
      <c r="GQG79" s="448"/>
      <c r="GQH79" s="453"/>
      <c r="GQI79" s="449"/>
      <c r="GQJ79" s="450"/>
      <c r="GQK79" s="454"/>
      <c r="GQL79" s="448"/>
      <c r="GQN79" s="449"/>
      <c r="GQO79" s="450"/>
      <c r="GQP79" s="452"/>
      <c r="GQQ79" s="448"/>
      <c r="GQS79" s="449"/>
      <c r="GQT79" s="450"/>
      <c r="GQU79" s="447"/>
      <c r="GQV79" s="448"/>
      <c r="GQX79" s="449"/>
      <c r="GQY79" s="450"/>
      <c r="GQZ79" s="452"/>
      <c r="GRA79" s="448"/>
      <c r="GRB79" s="449"/>
      <c r="GRC79" s="450"/>
      <c r="GRD79" s="452"/>
      <c r="GRE79" s="448"/>
      <c r="GRF79" s="455"/>
      <c r="GRG79" s="449"/>
      <c r="GRH79" s="450"/>
      <c r="GRI79" s="459"/>
      <c r="GRJ79" s="448"/>
      <c r="GRK79" s="456"/>
      <c r="GRL79" s="449"/>
      <c r="GRM79" s="450"/>
      <c r="GRN79" s="452"/>
      <c r="GRO79" s="448"/>
      <c r="GRP79" s="449"/>
      <c r="GRQ79" s="450"/>
      <c r="GRR79" s="452"/>
      <c r="GRS79" s="448"/>
      <c r="GRT79" s="449"/>
      <c r="GRU79" s="450"/>
      <c r="GRV79" s="447"/>
      <c r="GRW79" s="448"/>
      <c r="GRX79" s="457"/>
      <c r="GRY79" s="460"/>
      <c r="GRZ79" s="450"/>
      <c r="GSA79" s="461"/>
      <c r="GSB79" s="448"/>
      <c r="GSC79" s="456"/>
      <c r="GSD79" s="449"/>
      <c r="GSE79" s="450"/>
      <c r="GSF79" s="452"/>
      <c r="GSG79" s="448"/>
      <c r="GSH79" s="456"/>
      <c r="GSI79" s="458"/>
      <c r="GSJ79" s="458"/>
      <c r="GSL79" s="454"/>
      <c r="GSM79" s="450"/>
      <c r="GSN79" s="454"/>
      <c r="GSO79" s="448"/>
      <c r="GSP79" s="449"/>
      <c r="GSQ79" s="450"/>
      <c r="GSR79" s="447"/>
      <c r="GSS79" s="448"/>
      <c r="GST79" s="449"/>
      <c r="GSU79" s="450"/>
      <c r="GSV79" s="447"/>
      <c r="GSW79" s="451"/>
      <c r="GSX79" s="449"/>
      <c r="GSY79" s="450"/>
      <c r="GSZ79" s="447"/>
      <c r="GTA79" s="451"/>
      <c r="GTB79" s="449"/>
      <c r="GTC79" s="450"/>
      <c r="GTD79" s="447"/>
      <c r="GTE79" s="451"/>
      <c r="GTF79" s="449"/>
      <c r="GTG79" s="450"/>
      <c r="GTH79" s="452"/>
      <c r="GTI79" s="451"/>
      <c r="GTJ79" s="449"/>
      <c r="GTK79" s="450"/>
      <c r="GTL79" s="447"/>
      <c r="GTM79" s="448"/>
      <c r="GTN79" s="453"/>
      <c r="GTO79" s="449"/>
      <c r="GTP79" s="450"/>
      <c r="GTQ79" s="454"/>
      <c r="GTR79" s="448"/>
      <c r="GTT79" s="449"/>
      <c r="GTU79" s="450"/>
      <c r="GTV79" s="452"/>
      <c r="GTW79" s="448"/>
      <c r="GTY79" s="449"/>
      <c r="GTZ79" s="450"/>
      <c r="GUA79" s="447"/>
      <c r="GUB79" s="448"/>
      <c r="GUD79" s="449"/>
      <c r="GUE79" s="450"/>
      <c r="GUF79" s="452"/>
      <c r="GUG79" s="448"/>
      <c r="GUH79" s="449"/>
      <c r="GUI79" s="450"/>
      <c r="GUJ79" s="452"/>
      <c r="GUK79" s="448"/>
      <c r="GUL79" s="455"/>
      <c r="GUM79" s="449"/>
      <c r="GUN79" s="450"/>
      <c r="GUO79" s="459"/>
      <c r="GUP79" s="448"/>
      <c r="GUQ79" s="456"/>
      <c r="GUR79" s="449"/>
      <c r="GUS79" s="450"/>
      <c r="GUT79" s="452"/>
      <c r="GUU79" s="448"/>
      <c r="GUV79" s="449"/>
      <c r="GUW79" s="450"/>
      <c r="GUX79" s="452"/>
      <c r="GUY79" s="448"/>
      <c r="GUZ79" s="449"/>
      <c r="GVA79" s="450"/>
      <c r="GVB79" s="447"/>
      <c r="GVC79" s="448"/>
      <c r="GVD79" s="457"/>
      <c r="GVE79" s="460"/>
      <c r="GVF79" s="450"/>
      <c r="GVG79" s="461"/>
      <c r="GVH79" s="448"/>
      <c r="GVI79" s="456"/>
      <c r="GVJ79" s="449"/>
      <c r="GVK79" s="450"/>
      <c r="GVL79" s="452"/>
      <c r="GVM79" s="448"/>
      <c r="GVN79" s="456"/>
      <c r="GVO79" s="458"/>
      <c r="GVP79" s="458"/>
      <c r="GVR79" s="454"/>
      <c r="GVS79" s="450"/>
      <c r="GVT79" s="454"/>
      <c r="GVU79" s="448"/>
      <c r="GVV79" s="449"/>
      <c r="GVW79" s="450"/>
      <c r="GVX79" s="447"/>
      <c r="GVY79" s="448"/>
      <c r="GVZ79" s="449"/>
      <c r="GWA79" s="450"/>
      <c r="GWB79" s="447"/>
      <c r="GWC79" s="451"/>
      <c r="GWD79" s="449"/>
      <c r="GWE79" s="450"/>
      <c r="GWF79" s="447"/>
      <c r="GWG79" s="451"/>
      <c r="GWH79" s="449"/>
      <c r="GWI79" s="450"/>
      <c r="GWJ79" s="447"/>
      <c r="GWK79" s="451"/>
      <c r="GWL79" s="449"/>
      <c r="GWM79" s="450"/>
      <c r="GWN79" s="452"/>
      <c r="GWO79" s="451"/>
      <c r="GWP79" s="449"/>
      <c r="GWQ79" s="450"/>
      <c r="GWR79" s="447"/>
      <c r="GWS79" s="448"/>
      <c r="GWT79" s="453"/>
      <c r="GWU79" s="449"/>
      <c r="GWV79" s="450"/>
      <c r="GWW79" s="454"/>
      <c r="GWX79" s="448"/>
      <c r="GWZ79" s="449"/>
      <c r="GXA79" s="450"/>
      <c r="GXB79" s="452"/>
      <c r="GXC79" s="448"/>
      <c r="GXE79" s="449"/>
      <c r="GXF79" s="450"/>
      <c r="GXG79" s="447"/>
      <c r="GXH79" s="448"/>
      <c r="GXJ79" s="449"/>
      <c r="GXK79" s="450"/>
      <c r="GXL79" s="452"/>
      <c r="GXM79" s="448"/>
      <c r="GXN79" s="449"/>
      <c r="GXO79" s="450"/>
      <c r="GXP79" s="452"/>
      <c r="GXQ79" s="448"/>
      <c r="GXR79" s="455"/>
      <c r="GXS79" s="449"/>
      <c r="GXT79" s="450"/>
      <c r="GXU79" s="459"/>
      <c r="GXV79" s="448"/>
      <c r="GXW79" s="456"/>
      <c r="GXX79" s="449"/>
      <c r="GXY79" s="450"/>
      <c r="GXZ79" s="452"/>
      <c r="GYA79" s="448"/>
      <c r="GYB79" s="449"/>
      <c r="GYC79" s="450"/>
      <c r="GYD79" s="452"/>
      <c r="GYE79" s="448"/>
      <c r="GYF79" s="449"/>
      <c r="GYG79" s="450"/>
      <c r="GYH79" s="447"/>
      <c r="GYI79" s="448"/>
      <c r="GYJ79" s="457"/>
      <c r="GYK79" s="460"/>
      <c r="GYL79" s="450"/>
      <c r="GYM79" s="461"/>
      <c r="GYN79" s="448"/>
      <c r="GYO79" s="456"/>
      <c r="GYP79" s="449"/>
      <c r="GYQ79" s="450"/>
      <c r="GYR79" s="452"/>
      <c r="GYS79" s="448"/>
      <c r="GYT79" s="456"/>
      <c r="GYU79" s="458"/>
      <c r="GYV79" s="458"/>
      <c r="GYX79" s="454"/>
      <c r="GYY79" s="450"/>
      <c r="GYZ79" s="454"/>
      <c r="GZA79" s="448"/>
      <c r="GZB79" s="449"/>
      <c r="GZC79" s="450"/>
      <c r="GZD79" s="447"/>
      <c r="GZE79" s="448"/>
      <c r="GZF79" s="449"/>
      <c r="GZG79" s="450"/>
      <c r="GZH79" s="447"/>
      <c r="GZI79" s="451"/>
      <c r="GZJ79" s="449"/>
      <c r="GZK79" s="450"/>
      <c r="GZL79" s="447"/>
      <c r="GZM79" s="451"/>
      <c r="GZN79" s="449"/>
      <c r="GZO79" s="450"/>
      <c r="GZP79" s="447"/>
      <c r="GZQ79" s="451"/>
      <c r="GZR79" s="449"/>
      <c r="GZS79" s="450"/>
      <c r="GZT79" s="452"/>
      <c r="GZU79" s="451"/>
      <c r="GZV79" s="449"/>
      <c r="GZW79" s="450"/>
      <c r="GZX79" s="447"/>
      <c r="GZY79" s="448"/>
      <c r="GZZ79" s="453"/>
      <c r="HAA79" s="449"/>
      <c r="HAB79" s="450"/>
      <c r="HAC79" s="454"/>
      <c r="HAD79" s="448"/>
      <c r="HAF79" s="449"/>
      <c r="HAG79" s="450"/>
      <c r="HAH79" s="452"/>
      <c r="HAI79" s="448"/>
      <c r="HAK79" s="449"/>
      <c r="HAL79" s="450"/>
      <c r="HAM79" s="447"/>
      <c r="HAN79" s="448"/>
      <c r="HAP79" s="449"/>
      <c r="HAQ79" s="450"/>
      <c r="HAR79" s="452"/>
      <c r="HAS79" s="448"/>
      <c r="HAT79" s="449"/>
      <c r="HAU79" s="450"/>
      <c r="HAV79" s="452"/>
      <c r="HAW79" s="448"/>
      <c r="HAX79" s="455"/>
      <c r="HAY79" s="449"/>
      <c r="HAZ79" s="450"/>
      <c r="HBA79" s="459"/>
      <c r="HBB79" s="448"/>
      <c r="HBC79" s="456"/>
      <c r="HBD79" s="449"/>
      <c r="HBE79" s="450"/>
      <c r="HBF79" s="452"/>
      <c r="HBG79" s="448"/>
      <c r="HBH79" s="449"/>
      <c r="HBI79" s="450"/>
      <c r="HBJ79" s="452"/>
      <c r="HBK79" s="448"/>
      <c r="HBL79" s="449"/>
      <c r="HBM79" s="450"/>
      <c r="HBN79" s="447"/>
      <c r="HBO79" s="448"/>
      <c r="HBP79" s="457"/>
      <c r="HBQ79" s="460"/>
      <c r="HBR79" s="450"/>
      <c r="HBS79" s="461"/>
      <c r="HBT79" s="448"/>
      <c r="HBU79" s="456"/>
      <c r="HBV79" s="449"/>
      <c r="HBW79" s="450"/>
      <c r="HBX79" s="452"/>
      <c r="HBY79" s="448"/>
      <c r="HBZ79" s="456"/>
      <c r="HCA79" s="458"/>
      <c r="HCB79" s="458"/>
      <c r="HCD79" s="454"/>
      <c r="HCE79" s="450"/>
      <c r="HCF79" s="454"/>
      <c r="HCG79" s="448"/>
      <c r="HCH79" s="449"/>
      <c r="HCI79" s="450"/>
      <c r="HCJ79" s="447"/>
      <c r="HCK79" s="448"/>
      <c r="HCL79" s="449"/>
      <c r="HCM79" s="450"/>
      <c r="HCN79" s="447"/>
      <c r="HCO79" s="451"/>
      <c r="HCP79" s="449"/>
      <c r="HCQ79" s="450"/>
      <c r="HCR79" s="447"/>
      <c r="HCS79" s="451"/>
      <c r="HCT79" s="449"/>
      <c r="HCU79" s="450"/>
      <c r="HCV79" s="447"/>
      <c r="HCW79" s="451"/>
      <c r="HCX79" s="449"/>
      <c r="HCY79" s="450"/>
      <c r="HCZ79" s="452"/>
      <c r="HDA79" s="451"/>
      <c r="HDB79" s="449"/>
      <c r="HDC79" s="450"/>
      <c r="HDD79" s="447"/>
      <c r="HDE79" s="448"/>
      <c r="HDF79" s="453"/>
      <c r="HDG79" s="449"/>
      <c r="HDH79" s="450"/>
      <c r="HDI79" s="454"/>
      <c r="HDJ79" s="448"/>
      <c r="HDL79" s="449"/>
      <c r="HDM79" s="450"/>
      <c r="HDN79" s="452"/>
      <c r="HDO79" s="448"/>
      <c r="HDQ79" s="449"/>
      <c r="HDR79" s="450"/>
      <c r="HDS79" s="447"/>
      <c r="HDT79" s="448"/>
      <c r="HDV79" s="449"/>
      <c r="HDW79" s="450"/>
      <c r="HDX79" s="452"/>
      <c r="HDY79" s="448"/>
      <c r="HDZ79" s="449"/>
      <c r="HEA79" s="450"/>
      <c r="HEB79" s="452"/>
      <c r="HEC79" s="448"/>
      <c r="HED79" s="455"/>
      <c r="HEE79" s="449"/>
      <c r="HEF79" s="450"/>
      <c r="HEG79" s="459"/>
      <c r="HEH79" s="448"/>
      <c r="HEI79" s="456"/>
      <c r="HEJ79" s="449"/>
      <c r="HEK79" s="450"/>
      <c r="HEL79" s="452"/>
      <c r="HEM79" s="448"/>
      <c r="HEN79" s="449"/>
      <c r="HEO79" s="450"/>
      <c r="HEP79" s="452"/>
      <c r="HEQ79" s="448"/>
      <c r="HER79" s="449"/>
      <c r="HES79" s="450"/>
      <c r="HET79" s="447"/>
      <c r="HEU79" s="448"/>
      <c r="HEV79" s="457"/>
      <c r="HEW79" s="460"/>
      <c r="HEX79" s="450"/>
      <c r="HEY79" s="461"/>
      <c r="HEZ79" s="448"/>
      <c r="HFA79" s="456"/>
      <c r="HFB79" s="449"/>
      <c r="HFC79" s="450"/>
      <c r="HFD79" s="452"/>
      <c r="HFE79" s="448"/>
      <c r="HFF79" s="456"/>
      <c r="HFG79" s="458"/>
      <c r="HFH79" s="458"/>
      <c r="HFJ79" s="454"/>
      <c r="HFK79" s="450"/>
      <c r="HFL79" s="454"/>
      <c r="HFM79" s="448"/>
      <c r="HFN79" s="449"/>
      <c r="HFO79" s="450"/>
      <c r="HFP79" s="447"/>
      <c r="HFQ79" s="448"/>
      <c r="HFR79" s="449"/>
      <c r="HFS79" s="450"/>
      <c r="HFT79" s="447"/>
      <c r="HFU79" s="451"/>
      <c r="HFV79" s="449"/>
      <c r="HFW79" s="450"/>
      <c r="HFX79" s="447"/>
      <c r="HFY79" s="451"/>
      <c r="HFZ79" s="449"/>
      <c r="HGA79" s="450"/>
      <c r="HGB79" s="447"/>
      <c r="HGC79" s="451"/>
      <c r="HGD79" s="449"/>
      <c r="HGE79" s="450"/>
      <c r="HGF79" s="452"/>
      <c r="HGG79" s="451"/>
      <c r="HGH79" s="449"/>
      <c r="HGI79" s="450"/>
      <c r="HGJ79" s="447"/>
      <c r="HGK79" s="448"/>
      <c r="HGL79" s="453"/>
      <c r="HGM79" s="449"/>
      <c r="HGN79" s="450"/>
      <c r="HGO79" s="454"/>
      <c r="HGP79" s="448"/>
      <c r="HGR79" s="449"/>
      <c r="HGS79" s="450"/>
      <c r="HGT79" s="452"/>
      <c r="HGU79" s="448"/>
      <c r="HGW79" s="449"/>
      <c r="HGX79" s="450"/>
      <c r="HGY79" s="447"/>
      <c r="HGZ79" s="448"/>
      <c r="HHB79" s="449"/>
      <c r="HHC79" s="450"/>
      <c r="HHD79" s="452"/>
      <c r="HHE79" s="448"/>
      <c r="HHF79" s="449"/>
      <c r="HHG79" s="450"/>
      <c r="HHH79" s="452"/>
      <c r="HHI79" s="448"/>
      <c r="HHJ79" s="455"/>
      <c r="HHK79" s="449"/>
      <c r="HHL79" s="450"/>
      <c r="HHM79" s="459"/>
      <c r="HHN79" s="448"/>
      <c r="HHO79" s="456"/>
      <c r="HHP79" s="449"/>
      <c r="HHQ79" s="450"/>
      <c r="HHR79" s="452"/>
      <c r="HHS79" s="448"/>
      <c r="HHT79" s="449"/>
      <c r="HHU79" s="450"/>
      <c r="HHV79" s="452"/>
      <c r="HHW79" s="448"/>
      <c r="HHX79" s="449"/>
      <c r="HHY79" s="450"/>
      <c r="HHZ79" s="447"/>
      <c r="HIA79" s="448"/>
      <c r="HIB79" s="457"/>
      <c r="HIC79" s="460"/>
      <c r="HID79" s="450"/>
      <c r="HIE79" s="461"/>
      <c r="HIF79" s="448"/>
      <c r="HIG79" s="456"/>
      <c r="HIH79" s="449"/>
      <c r="HII79" s="450"/>
      <c r="HIJ79" s="452"/>
      <c r="HIK79" s="448"/>
      <c r="HIL79" s="456"/>
      <c r="HIM79" s="458"/>
      <c r="HIN79" s="458"/>
      <c r="HIP79" s="454"/>
      <c r="HIQ79" s="450"/>
      <c r="HIR79" s="454"/>
      <c r="HIS79" s="448"/>
      <c r="HIT79" s="449"/>
      <c r="HIU79" s="450"/>
      <c r="HIV79" s="447"/>
      <c r="HIW79" s="448"/>
      <c r="HIX79" s="449"/>
      <c r="HIY79" s="450"/>
      <c r="HIZ79" s="447"/>
      <c r="HJA79" s="451"/>
      <c r="HJB79" s="449"/>
      <c r="HJC79" s="450"/>
      <c r="HJD79" s="447"/>
      <c r="HJE79" s="451"/>
      <c r="HJF79" s="449"/>
      <c r="HJG79" s="450"/>
      <c r="HJH79" s="447"/>
      <c r="HJI79" s="451"/>
      <c r="HJJ79" s="449"/>
      <c r="HJK79" s="450"/>
      <c r="HJL79" s="452"/>
      <c r="HJM79" s="451"/>
      <c r="HJN79" s="449"/>
      <c r="HJO79" s="450"/>
      <c r="HJP79" s="447"/>
      <c r="HJQ79" s="448"/>
      <c r="HJR79" s="453"/>
      <c r="HJS79" s="449"/>
      <c r="HJT79" s="450"/>
      <c r="HJU79" s="454"/>
      <c r="HJV79" s="448"/>
      <c r="HJX79" s="449"/>
      <c r="HJY79" s="450"/>
      <c r="HJZ79" s="452"/>
      <c r="HKA79" s="448"/>
      <c r="HKC79" s="449"/>
      <c r="HKD79" s="450"/>
      <c r="HKE79" s="447"/>
      <c r="HKF79" s="448"/>
      <c r="HKH79" s="449"/>
      <c r="HKI79" s="450"/>
      <c r="HKJ79" s="452"/>
      <c r="HKK79" s="448"/>
      <c r="HKL79" s="449"/>
      <c r="HKM79" s="450"/>
      <c r="HKN79" s="452"/>
      <c r="HKO79" s="448"/>
      <c r="HKP79" s="455"/>
      <c r="HKQ79" s="449"/>
      <c r="HKR79" s="450"/>
      <c r="HKS79" s="459"/>
      <c r="HKT79" s="448"/>
      <c r="HKU79" s="456"/>
      <c r="HKV79" s="449"/>
      <c r="HKW79" s="450"/>
      <c r="HKX79" s="452"/>
      <c r="HKY79" s="448"/>
      <c r="HKZ79" s="449"/>
      <c r="HLA79" s="450"/>
      <c r="HLB79" s="452"/>
      <c r="HLC79" s="448"/>
      <c r="HLD79" s="449"/>
      <c r="HLE79" s="450"/>
      <c r="HLF79" s="447"/>
      <c r="HLG79" s="448"/>
      <c r="HLH79" s="457"/>
      <c r="HLI79" s="460"/>
      <c r="HLJ79" s="450"/>
      <c r="HLK79" s="461"/>
      <c r="HLL79" s="448"/>
      <c r="HLM79" s="456"/>
      <c r="HLN79" s="449"/>
      <c r="HLO79" s="450"/>
      <c r="HLP79" s="452"/>
      <c r="HLQ79" s="448"/>
      <c r="HLR79" s="456"/>
      <c r="HLS79" s="458"/>
      <c r="HLT79" s="458"/>
      <c r="HLV79" s="454"/>
      <c r="HLW79" s="450"/>
      <c r="HLX79" s="454"/>
      <c r="HLY79" s="448"/>
      <c r="HLZ79" s="449"/>
      <c r="HMA79" s="450"/>
      <c r="HMB79" s="447"/>
      <c r="HMC79" s="448"/>
      <c r="HMD79" s="449"/>
      <c r="HME79" s="450"/>
      <c r="HMF79" s="447"/>
      <c r="HMG79" s="451"/>
      <c r="HMH79" s="449"/>
      <c r="HMI79" s="450"/>
      <c r="HMJ79" s="447"/>
      <c r="HMK79" s="451"/>
      <c r="HML79" s="449"/>
      <c r="HMM79" s="450"/>
      <c r="HMN79" s="447"/>
      <c r="HMO79" s="451"/>
      <c r="HMP79" s="449"/>
      <c r="HMQ79" s="450"/>
      <c r="HMR79" s="452"/>
      <c r="HMS79" s="451"/>
      <c r="HMT79" s="449"/>
      <c r="HMU79" s="450"/>
      <c r="HMV79" s="447"/>
      <c r="HMW79" s="448"/>
      <c r="HMX79" s="453"/>
      <c r="HMY79" s="449"/>
      <c r="HMZ79" s="450"/>
      <c r="HNA79" s="454"/>
      <c r="HNB79" s="448"/>
      <c r="HND79" s="449"/>
      <c r="HNE79" s="450"/>
      <c r="HNF79" s="452"/>
      <c r="HNG79" s="448"/>
      <c r="HNI79" s="449"/>
      <c r="HNJ79" s="450"/>
      <c r="HNK79" s="447"/>
      <c r="HNL79" s="448"/>
      <c r="HNN79" s="449"/>
      <c r="HNO79" s="450"/>
      <c r="HNP79" s="452"/>
      <c r="HNQ79" s="448"/>
      <c r="HNR79" s="449"/>
      <c r="HNS79" s="450"/>
      <c r="HNT79" s="452"/>
      <c r="HNU79" s="448"/>
      <c r="HNV79" s="455"/>
      <c r="HNW79" s="449"/>
      <c r="HNX79" s="450"/>
      <c r="HNY79" s="459"/>
      <c r="HNZ79" s="448"/>
      <c r="HOA79" s="456"/>
      <c r="HOB79" s="449"/>
      <c r="HOC79" s="450"/>
      <c r="HOD79" s="452"/>
      <c r="HOE79" s="448"/>
      <c r="HOF79" s="449"/>
      <c r="HOG79" s="450"/>
      <c r="HOH79" s="452"/>
      <c r="HOI79" s="448"/>
      <c r="HOJ79" s="449"/>
      <c r="HOK79" s="450"/>
      <c r="HOL79" s="447"/>
      <c r="HOM79" s="448"/>
      <c r="HON79" s="457"/>
      <c r="HOO79" s="460"/>
      <c r="HOP79" s="450"/>
      <c r="HOQ79" s="461"/>
      <c r="HOR79" s="448"/>
      <c r="HOS79" s="456"/>
      <c r="HOT79" s="449"/>
      <c r="HOU79" s="450"/>
      <c r="HOV79" s="452"/>
      <c r="HOW79" s="448"/>
      <c r="HOX79" s="456"/>
      <c r="HOY79" s="458"/>
      <c r="HOZ79" s="458"/>
      <c r="HPB79" s="454"/>
      <c r="HPC79" s="450"/>
      <c r="HPD79" s="454"/>
      <c r="HPE79" s="448"/>
      <c r="HPF79" s="449"/>
      <c r="HPG79" s="450"/>
      <c r="HPH79" s="447"/>
      <c r="HPI79" s="448"/>
      <c r="HPJ79" s="449"/>
      <c r="HPK79" s="450"/>
      <c r="HPL79" s="447"/>
      <c r="HPM79" s="451"/>
      <c r="HPN79" s="449"/>
      <c r="HPO79" s="450"/>
      <c r="HPP79" s="447"/>
      <c r="HPQ79" s="451"/>
      <c r="HPR79" s="449"/>
      <c r="HPS79" s="450"/>
      <c r="HPT79" s="447"/>
      <c r="HPU79" s="451"/>
      <c r="HPV79" s="449"/>
      <c r="HPW79" s="450"/>
      <c r="HPX79" s="452"/>
      <c r="HPY79" s="451"/>
      <c r="HPZ79" s="449"/>
      <c r="HQA79" s="450"/>
      <c r="HQB79" s="447"/>
      <c r="HQC79" s="448"/>
      <c r="HQD79" s="453"/>
      <c r="HQE79" s="449"/>
      <c r="HQF79" s="450"/>
      <c r="HQG79" s="454"/>
      <c r="HQH79" s="448"/>
      <c r="HQJ79" s="449"/>
      <c r="HQK79" s="450"/>
      <c r="HQL79" s="452"/>
      <c r="HQM79" s="448"/>
      <c r="HQO79" s="449"/>
      <c r="HQP79" s="450"/>
      <c r="HQQ79" s="447"/>
      <c r="HQR79" s="448"/>
      <c r="HQT79" s="449"/>
      <c r="HQU79" s="450"/>
      <c r="HQV79" s="452"/>
      <c r="HQW79" s="448"/>
      <c r="HQX79" s="449"/>
      <c r="HQY79" s="450"/>
      <c r="HQZ79" s="452"/>
      <c r="HRA79" s="448"/>
      <c r="HRB79" s="455"/>
      <c r="HRC79" s="449"/>
      <c r="HRD79" s="450"/>
      <c r="HRE79" s="459"/>
      <c r="HRF79" s="448"/>
      <c r="HRG79" s="456"/>
      <c r="HRH79" s="449"/>
      <c r="HRI79" s="450"/>
      <c r="HRJ79" s="452"/>
      <c r="HRK79" s="448"/>
      <c r="HRL79" s="449"/>
      <c r="HRM79" s="450"/>
      <c r="HRN79" s="452"/>
      <c r="HRO79" s="448"/>
      <c r="HRP79" s="449"/>
      <c r="HRQ79" s="450"/>
      <c r="HRR79" s="447"/>
      <c r="HRS79" s="448"/>
      <c r="HRT79" s="457"/>
      <c r="HRU79" s="460"/>
      <c r="HRV79" s="450"/>
      <c r="HRW79" s="461"/>
      <c r="HRX79" s="448"/>
      <c r="HRY79" s="456"/>
      <c r="HRZ79" s="449"/>
      <c r="HSA79" s="450"/>
      <c r="HSB79" s="452"/>
      <c r="HSC79" s="448"/>
      <c r="HSD79" s="456"/>
      <c r="HSE79" s="458"/>
      <c r="HSF79" s="458"/>
      <c r="HSH79" s="454"/>
      <c r="HSI79" s="450"/>
      <c r="HSJ79" s="454"/>
      <c r="HSK79" s="448"/>
      <c r="HSL79" s="449"/>
      <c r="HSM79" s="450"/>
      <c r="HSN79" s="447"/>
      <c r="HSO79" s="448"/>
      <c r="HSP79" s="449"/>
      <c r="HSQ79" s="450"/>
      <c r="HSR79" s="447"/>
      <c r="HSS79" s="451"/>
      <c r="HST79" s="449"/>
      <c r="HSU79" s="450"/>
      <c r="HSV79" s="447"/>
      <c r="HSW79" s="451"/>
      <c r="HSX79" s="449"/>
      <c r="HSY79" s="450"/>
      <c r="HSZ79" s="447"/>
      <c r="HTA79" s="451"/>
      <c r="HTB79" s="449"/>
      <c r="HTC79" s="450"/>
      <c r="HTD79" s="452"/>
      <c r="HTE79" s="451"/>
      <c r="HTF79" s="449"/>
      <c r="HTG79" s="450"/>
      <c r="HTH79" s="447"/>
      <c r="HTI79" s="448"/>
      <c r="HTJ79" s="453"/>
      <c r="HTK79" s="449"/>
      <c r="HTL79" s="450"/>
      <c r="HTM79" s="454"/>
      <c r="HTN79" s="448"/>
      <c r="HTP79" s="449"/>
      <c r="HTQ79" s="450"/>
      <c r="HTR79" s="452"/>
      <c r="HTS79" s="448"/>
      <c r="HTU79" s="449"/>
      <c r="HTV79" s="450"/>
      <c r="HTW79" s="447"/>
      <c r="HTX79" s="448"/>
      <c r="HTZ79" s="449"/>
      <c r="HUA79" s="450"/>
      <c r="HUB79" s="452"/>
      <c r="HUC79" s="448"/>
      <c r="HUD79" s="449"/>
      <c r="HUE79" s="450"/>
      <c r="HUF79" s="452"/>
      <c r="HUG79" s="448"/>
      <c r="HUH79" s="455"/>
      <c r="HUI79" s="449"/>
      <c r="HUJ79" s="450"/>
      <c r="HUK79" s="459"/>
      <c r="HUL79" s="448"/>
      <c r="HUM79" s="456"/>
      <c r="HUN79" s="449"/>
      <c r="HUO79" s="450"/>
      <c r="HUP79" s="452"/>
      <c r="HUQ79" s="448"/>
      <c r="HUR79" s="449"/>
      <c r="HUS79" s="450"/>
      <c r="HUT79" s="452"/>
      <c r="HUU79" s="448"/>
      <c r="HUV79" s="449"/>
      <c r="HUW79" s="450"/>
      <c r="HUX79" s="447"/>
      <c r="HUY79" s="448"/>
      <c r="HUZ79" s="457"/>
      <c r="HVA79" s="460"/>
      <c r="HVB79" s="450"/>
      <c r="HVC79" s="461"/>
      <c r="HVD79" s="448"/>
      <c r="HVE79" s="456"/>
      <c r="HVF79" s="449"/>
      <c r="HVG79" s="450"/>
      <c r="HVH79" s="452"/>
      <c r="HVI79" s="448"/>
      <c r="HVJ79" s="456"/>
      <c r="HVK79" s="458"/>
      <c r="HVL79" s="458"/>
      <c r="HVN79" s="454"/>
      <c r="HVO79" s="450"/>
      <c r="HVP79" s="454"/>
      <c r="HVQ79" s="448"/>
      <c r="HVR79" s="449"/>
      <c r="HVS79" s="450"/>
      <c r="HVT79" s="447"/>
      <c r="HVU79" s="448"/>
      <c r="HVV79" s="449"/>
      <c r="HVW79" s="450"/>
      <c r="HVX79" s="447"/>
      <c r="HVY79" s="451"/>
      <c r="HVZ79" s="449"/>
      <c r="HWA79" s="450"/>
      <c r="HWB79" s="447"/>
      <c r="HWC79" s="451"/>
      <c r="HWD79" s="449"/>
      <c r="HWE79" s="450"/>
      <c r="HWF79" s="447"/>
      <c r="HWG79" s="451"/>
      <c r="HWH79" s="449"/>
      <c r="HWI79" s="450"/>
      <c r="HWJ79" s="452"/>
      <c r="HWK79" s="451"/>
      <c r="HWL79" s="449"/>
      <c r="HWM79" s="450"/>
      <c r="HWN79" s="447"/>
      <c r="HWO79" s="448"/>
      <c r="HWP79" s="453"/>
      <c r="HWQ79" s="449"/>
      <c r="HWR79" s="450"/>
      <c r="HWS79" s="454"/>
      <c r="HWT79" s="448"/>
      <c r="HWV79" s="449"/>
      <c r="HWW79" s="450"/>
      <c r="HWX79" s="452"/>
      <c r="HWY79" s="448"/>
      <c r="HXA79" s="449"/>
      <c r="HXB79" s="450"/>
      <c r="HXC79" s="447"/>
      <c r="HXD79" s="448"/>
      <c r="HXF79" s="449"/>
      <c r="HXG79" s="450"/>
      <c r="HXH79" s="452"/>
      <c r="HXI79" s="448"/>
      <c r="HXJ79" s="449"/>
      <c r="HXK79" s="450"/>
      <c r="HXL79" s="452"/>
      <c r="HXM79" s="448"/>
      <c r="HXN79" s="455"/>
      <c r="HXO79" s="449"/>
      <c r="HXP79" s="450"/>
      <c r="HXQ79" s="459"/>
      <c r="HXR79" s="448"/>
      <c r="HXS79" s="456"/>
      <c r="HXT79" s="449"/>
      <c r="HXU79" s="450"/>
      <c r="HXV79" s="452"/>
      <c r="HXW79" s="448"/>
      <c r="HXX79" s="449"/>
      <c r="HXY79" s="450"/>
      <c r="HXZ79" s="452"/>
      <c r="HYA79" s="448"/>
      <c r="HYB79" s="449"/>
      <c r="HYC79" s="450"/>
      <c r="HYD79" s="447"/>
      <c r="HYE79" s="448"/>
      <c r="HYF79" s="457"/>
      <c r="HYG79" s="460"/>
      <c r="HYH79" s="450"/>
      <c r="HYI79" s="461"/>
      <c r="HYJ79" s="448"/>
      <c r="HYK79" s="456"/>
      <c r="HYL79" s="449"/>
      <c r="HYM79" s="450"/>
      <c r="HYN79" s="452"/>
      <c r="HYO79" s="448"/>
      <c r="HYP79" s="456"/>
      <c r="HYQ79" s="458"/>
      <c r="HYR79" s="458"/>
      <c r="HYT79" s="454"/>
      <c r="HYU79" s="450"/>
      <c r="HYV79" s="454"/>
      <c r="HYW79" s="448"/>
      <c r="HYX79" s="449"/>
      <c r="HYY79" s="450"/>
      <c r="HYZ79" s="447"/>
      <c r="HZA79" s="448"/>
      <c r="HZB79" s="449"/>
      <c r="HZC79" s="450"/>
      <c r="HZD79" s="447"/>
      <c r="HZE79" s="451"/>
      <c r="HZF79" s="449"/>
      <c r="HZG79" s="450"/>
      <c r="HZH79" s="447"/>
      <c r="HZI79" s="451"/>
      <c r="HZJ79" s="449"/>
      <c r="HZK79" s="450"/>
      <c r="HZL79" s="447"/>
      <c r="HZM79" s="451"/>
      <c r="HZN79" s="449"/>
      <c r="HZO79" s="450"/>
      <c r="HZP79" s="452"/>
      <c r="HZQ79" s="451"/>
      <c r="HZR79" s="449"/>
      <c r="HZS79" s="450"/>
      <c r="HZT79" s="447"/>
      <c r="HZU79" s="448"/>
      <c r="HZV79" s="453"/>
      <c r="HZW79" s="449"/>
      <c r="HZX79" s="450"/>
      <c r="HZY79" s="454"/>
      <c r="HZZ79" s="448"/>
      <c r="IAB79" s="449"/>
      <c r="IAC79" s="450"/>
      <c r="IAD79" s="452"/>
      <c r="IAE79" s="448"/>
      <c r="IAG79" s="449"/>
      <c r="IAH79" s="450"/>
      <c r="IAI79" s="447"/>
      <c r="IAJ79" s="448"/>
      <c r="IAL79" s="449"/>
      <c r="IAM79" s="450"/>
      <c r="IAN79" s="452"/>
      <c r="IAO79" s="448"/>
      <c r="IAP79" s="449"/>
      <c r="IAQ79" s="450"/>
      <c r="IAR79" s="452"/>
      <c r="IAS79" s="448"/>
      <c r="IAT79" s="455"/>
      <c r="IAU79" s="449"/>
      <c r="IAV79" s="450"/>
      <c r="IAW79" s="459"/>
      <c r="IAX79" s="448"/>
      <c r="IAY79" s="456"/>
      <c r="IAZ79" s="449"/>
      <c r="IBA79" s="450"/>
      <c r="IBB79" s="452"/>
      <c r="IBC79" s="448"/>
      <c r="IBD79" s="449"/>
      <c r="IBE79" s="450"/>
      <c r="IBF79" s="452"/>
      <c r="IBG79" s="448"/>
      <c r="IBH79" s="449"/>
      <c r="IBI79" s="450"/>
      <c r="IBJ79" s="447"/>
      <c r="IBK79" s="448"/>
      <c r="IBL79" s="457"/>
      <c r="IBM79" s="460"/>
      <c r="IBN79" s="450"/>
      <c r="IBO79" s="461"/>
      <c r="IBP79" s="448"/>
      <c r="IBQ79" s="456"/>
      <c r="IBR79" s="449"/>
      <c r="IBS79" s="450"/>
      <c r="IBT79" s="452"/>
      <c r="IBU79" s="448"/>
      <c r="IBV79" s="456"/>
      <c r="IBW79" s="458"/>
      <c r="IBX79" s="458"/>
      <c r="IBZ79" s="454"/>
      <c r="ICA79" s="450"/>
      <c r="ICB79" s="454"/>
      <c r="ICC79" s="448"/>
      <c r="ICD79" s="449"/>
      <c r="ICE79" s="450"/>
      <c r="ICF79" s="447"/>
      <c r="ICG79" s="448"/>
      <c r="ICH79" s="449"/>
      <c r="ICI79" s="450"/>
      <c r="ICJ79" s="447"/>
      <c r="ICK79" s="451"/>
      <c r="ICL79" s="449"/>
      <c r="ICM79" s="450"/>
      <c r="ICN79" s="447"/>
      <c r="ICO79" s="451"/>
      <c r="ICP79" s="449"/>
      <c r="ICQ79" s="450"/>
      <c r="ICR79" s="447"/>
      <c r="ICS79" s="451"/>
      <c r="ICT79" s="449"/>
      <c r="ICU79" s="450"/>
      <c r="ICV79" s="452"/>
      <c r="ICW79" s="451"/>
      <c r="ICX79" s="449"/>
      <c r="ICY79" s="450"/>
      <c r="ICZ79" s="447"/>
      <c r="IDA79" s="448"/>
      <c r="IDB79" s="453"/>
      <c r="IDC79" s="449"/>
      <c r="IDD79" s="450"/>
      <c r="IDE79" s="454"/>
      <c r="IDF79" s="448"/>
      <c r="IDH79" s="449"/>
      <c r="IDI79" s="450"/>
      <c r="IDJ79" s="452"/>
      <c r="IDK79" s="448"/>
      <c r="IDM79" s="449"/>
      <c r="IDN79" s="450"/>
      <c r="IDO79" s="447"/>
      <c r="IDP79" s="448"/>
      <c r="IDR79" s="449"/>
      <c r="IDS79" s="450"/>
      <c r="IDT79" s="452"/>
      <c r="IDU79" s="448"/>
      <c r="IDV79" s="449"/>
      <c r="IDW79" s="450"/>
      <c r="IDX79" s="452"/>
      <c r="IDY79" s="448"/>
      <c r="IDZ79" s="455"/>
      <c r="IEA79" s="449"/>
      <c r="IEB79" s="450"/>
      <c r="IEC79" s="459"/>
      <c r="IED79" s="448"/>
      <c r="IEE79" s="456"/>
      <c r="IEF79" s="449"/>
      <c r="IEG79" s="450"/>
      <c r="IEH79" s="452"/>
      <c r="IEI79" s="448"/>
      <c r="IEJ79" s="449"/>
      <c r="IEK79" s="450"/>
      <c r="IEL79" s="452"/>
      <c r="IEM79" s="448"/>
      <c r="IEN79" s="449"/>
      <c r="IEO79" s="450"/>
      <c r="IEP79" s="447"/>
      <c r="IEQ79" s="448"/>
      <c r="IER79" s="457"/>
      <c r="IES79" s="460"/>
      <c r="IET79" s="450"/>
      <c r="IEU79" s="461"/>
      <c r="IEV79" s="448"/>
      <c r="IEW79" s="456"/>
      <c r="IEX79" s="449"/>
      <c r="IEY79" s="450"/>
      <c r="IEZ79" s="452"/>
      <c r="IFA79" s="448"/>
      <c r="IFB79" s="456"/>
      <c r="IFC79" s="458"/>
      <c r="IFD79" s="458"/>
      <c r="IFF79" s="454"/>
      <c r="IFG79" s="450"/>
      <c r="IFH79" s="454"/>
      <c r="IFI79" s="448"/>
      <c r="IFJ79" s="449"/>
      <c r="IFK79" s="450"/>
      <c r="IFL79" s="447"/>
      <c r="IFM79" s="448"/>
      <c r="IFN79" s="449"/>
      <c r="IFO79" s="450"/>
      <c r="IFP79" s="447"/>
      <c r="IFQ79" s="451"/>
      <c r="IFR79" s="449"/>
      <c r="IFS79" s="450"/>
      <c r="IFT79" s="447"/>
      <c r="IFU79" s="451"/>
      <c r="IFV79" s="449"/>
      <c r="IFW79" s="450"/>
      <c r="IFX79" s="447"/>
      <c r="IFY79" s="451"/>
      <c r="IFZ79" s="449"/>
      <c r="IGA79" s="450"/>
      <c r="IGB79" s="452"/>
      <c r="IGC79" s="451"/>
      <c r="IGD79" s="449"/>
      <c r="IGE79" s="450"/>
      <c r="IGF79" s="447"/>
      <c r="IGG79" s="448"/>
      <c r="IGH79" s="453"/>
      <c r="IGI79" s="449"/>
      <c r="IGJ79" s="450"/>
      <c r="IGK79" s="454"/>
      <c r="IGL79" s="448"/>
      <c r="IGN79" s="449"/>
      <c r="IGO79" s="450"/>
      <c r="IGP79" s="452"/>
      <c r="IGQ79" s="448"/>
      <c r="IGS79" s="449"/>
      <c r="IGT79" s="450"/>
      <c r="IGU79" s="447"/>
      <c r="IGV79" s="448"/>
      <c r="IGX79" s="449"/>
      <c r="IGY79" s="450"/>
      <c r="IGZ79" s="452"/>
      <c r="IHA79" s="448"/>
      <c r="IHB79" s="449"/>
      <c r="IHC79" s="450"/>
      <c r="IHD79" s="452"/>
      <c r="IHE79" s="448"/>
      <c r="IHF79" s="455"/>
      <c r="IHG79" s="449"/>
      <c r="IHH79" s="450"/>
      <c r="IHI79" s="459"/>
      <c r="IHJ79" s="448"/>
      <c r="IHK79" s="456"/>
      <c r="IHL79" s="449"/>
      <c r="IHM79" s="450"/>
      <c r="IHN79" s="452"/>
      <c r="IHO79" s="448"/>
      <c r="IHP79" s="449"/>
      <c r="IHQ79" s="450"/>
      <c r="IHR79" s="452"/>
      <c r="IHS79" s="448"/>
      <c r="IHT79" s="449"/>
      <c r="IHU79" s="450"/>
      <c r="IHV79" s="447"/>
      <c r="IHW79" s="448"/>
      <c r="IHX79" s="457"/>
      <c r="IHY79" s="460"/>
      <c r="IHZ79" s="450"/>
      <c r="IIA79" s="461"/>
      <c r="IIB79" s="448"/>
      <c r="IIC79" s="456"/>
      <c r="IID79" s="449"/>
      <c r="IIE79" s="450"/>
      <c r="IIF79" s="452"/>
      <c r="IIG79" s="448"/>
      <c r="IIH79" s="456"/>
      <c r="III79" s="458"/>
      <c r="IIJ79" s="458"/>
      <c r="IIL79" s="454"/>
      <c r="IIM79" s="450"/>
      <c r="IIN79" s="454"/>
      <c r="IIO79" s="448"/>
      <c r="IIP79" s="449"/>
      <c r="IIQ79" s="450"/>
      <c r="IIR79" s="447"/>
      <c r="IIS79" s="448"/>
      <c r="IIT79" s="449"/>
      <c r="IIU79" s="450"/>
      <c r="IIV79" s="447"/>
      <c r="IIW79" s="451"/>
      <c r="IIX79" s="449"/>
      <c r="IIY79" s="450"/>
      <c r="IIZ79" s="447"/>
      <c r="IJA79" s="451"/>
      <c r="IJB79" s="449"/>
      <c r="IJC79" s="450"/>
      <c r="IJD79" s="447"/>
      <c r="IJE79" s="451"/>
      <c r="IJF79" s="449"/>
      <c r="IJG79" s="450"/>
      <c r="IJH79" s="452"/>
      <c r="IJI79" s="451"/>
      <c r="IJJ79" s="449"/>
      <c r="IJK79" s="450"/>
      <c r="IJL79" s="447"/>
      <c r="IJM79" s="448"/>
      <c r="IJN79" s="453"/>
      <c r="IJO79" s="449"/>
      <c r="IJP79" s="450"/>
      <c r="IJQ79" s="454"/>
      <c r="IJR79" s="448"/>
      <c r="IJT79" s="449"/>
      <c r="IJU79" s="450"/>
      <c r="IJV79" s="452"/>
      <c r="IJW79" s="448"/>
      <c r="IJY79" s="449"/>
      <c r="IJZ79" s="450"/>
      <c r="IKA79" s="447"/>
      <c r="IKB79" s="448"/>
      <c r="IKD79" s="449"/>
      <c r="IKE79" s="450"/>
      <c r="IKF79" s="452"/>
      <c r="IKG79" s="448"/>
      <c r="IKH79" s="449"/>
      <c r="IKI79" s="450"/>
      <c r="IKJ79" s="452"/>
      <c r="IKK79" s="448"/>
      <c r="IKL79" s="455"/>
      <c r="IKM79" s="449"/>
      <c r="IKN79" s="450"/>
      <c r="IKO79" s="459"/>
      <c r="IKP79" s="448"/>
      <c r="IKQ79" s="456"/>
      <c r="IKR79" s="449"/>
      <c r="IKS79" s="450"/>
      <c r="IKT79" s="452"/>
      <c r="IKU79" s="448"/>
      <c r="IKV79" s="449"/>
      <c r="IKW79" s="450"/>
      <c r="IKX79" s="452"/>
      <c r="IKY79" s="448"/>
      <c r="IKZ79" s="449"/>
      <c r="ILA79" s="450"/>
      <c r="ILB79" s="447"/>
      <c r="ILC79" s="448"/>
      <c r="ILD79" s="457"/>
      <c r="ILE79" s="460"/>
      <c r="ILF79" s="450"/>
      <c r="ILG79" s="461"/>
      <c r="ILH79" s="448"/>
      <c r="ILI79" s="456"/>
      <c r="ILJ79" s="449"/>
      <c r="ILK79" s="450"/>
      <c r="ILL79" s="452"/>
      <c r="ILM79" s="448"/>
      <c r="ILN79" s="456"/>
      <c r="ILO79" s="458"/>
      <c r="ILP79" s="458"/>
      <c r="ILR79" s="454"/>
      <c r="ILS79" s="450"/>
      <c r="ILT79" s="454"/>
      <c r="ILU79" s="448"/>
      <c r="ILV79" s="449"/>
      <c r="ILW79" s="450"/>
      <c r="ILX79" s="447"/>
      <c r="ILY79" s="448"/>
      <c r="ILZ79" s="449"/>
      <c r="IMA79" s="450"/>
      <c r="IMB79" s="447"/>
      <c r="IMC79" s="451"/>
      <c r="IMD79" s="449"/>
      <c r="IME79" s="450"/>
      <c r="IMF79" s="447"/>
      <c r="IMG79" s="451"/>
      <c r="IMH79" s="449"/>
      <c r="IMI79" s="450"/>
      <c r="IMJ79" s="447"/>
      <c r="IMK79" s="451"/>
      <c r="IML79" s="449"/>
      <c r="IMM79" s="450"/>
      <c r="IMN79" s="452"/>
      <c r="IMO79" s="451"/>
      <c r="IMP79" s="449"/>
      <c r="IMQ79" s="450"/>
      <c r="IMR79" s="447"/>
      <c r="IMS79" s="448"/>
      <c r="IMT79" s="453"/>
      <c r="IMU79" s="449"/>
      <c r="IMV79" s="450"/>
      <c r="IMW79" s="454"/>
      <c r="IMX79" s="448"/>
      <c r="IMZ79" s="449"/>
      <c r="INA79" s="450"/>
      <c r="INB79" s="452"/>
      <c r="INC79" s="448"/>
      <c r="INE79" s="449"/>
      <c r="INF79" s="450"/>
      <c r="ING79" s="447"/>
      <c r="INH79" s="448"/>
      <c r="INJ79" s="449"/>
      <c r="INK79" s="450"/>
      <c r="INL79" s="452"/>
      <c r="INM79" s="448"/>
      <c r="INN79" s="449"/>
      <c r="INO79" s="450"/>
      <c r="INP79" s="452"/>
      <c r="INQ79" s="448"/>
      <c r="INR79" s="455"/>
      <c r="INS79" s="449"/>
      <c r="INT79" s="450"/>
      <c r="INU79" s="459"/>
      <c r="INV79" s="448"/>
      <c r="INW79" s="456"/>
      <c r="INX79" s="449"/>
      <c r="INY79" s="450"/>
      <c r="INZ79" s="452"/>
      <c r="IOA79" s="448"/>
      <c r="IOB79" s="449"/>
      <c r="IOC79" s="450"/>
      <c r="IOD79" s="452"/>
      <c r="IOE79" s="448"/>
      <c r="IOF79" s="449"/>
      <c r="IOG79" s="450"/>
      <c r="IOH79" s="447"/>
      <c r="IOI79" s="448"/>
      <c r="IOJ79" s="457"/>
      <c r="IOK79" s="460"/>
      <c r="IOL79" s="450"/>
      <c r="IOM79" s="461"/>
      <c r="ION79" s="448"/>
      <c r="IOO79" s="456"/>
      <c r="IOP79" s="449"/>
      <c r="IOQ79" s="450"/>
      <c r="IOR79" s="452"/>
      <c r="IOS79" s="448"/>
      <c r="IOT79" s="456"/>
      <c r="IOU79" s="458"/>
      <c r="IOV79" s="458"/>
      <c r="IOX79" s="454"/>
      <c r="IOY79" s="450"/>
      <c r="IOZ79" s="454"/>
      <c r="IPA79" s="448"/>
      <c r="IPB79" s="449"/>
      <c r="IPC79" s="450"/>
      <c r="IPD79" s="447"/>
      <c r="IPE79" s="448"/>
      <c r="IPF79" s="449"/>
      <c r="IPG79" s="450"/>
      <c r="IPH79" s="447"/>
      <c r="IPI79" s="451"/>
      <c r="IPJ79" s="449"/>
      <c r="IPK79" s="450"/>
      <c r="IPL79" s="447"/>
      <c r="IPM79" s="451"/>
      <c r="IPN79" s="449"/>
      <c r="IPO79" s="450"/>
      <c r="IPP79" s="447"/>
      <c r="IPQ79" s="451"/>
      <c r="IPR79" s="449"/>
      <c r="IPS79" s="450"/>
      <c r="IPT79" s="452"/>
      <c r="IPU79" s="451"/>
      <c r="IPV79" s="449"/>
      <c r="IPW79" s="450"/>
      <c r="IPX79" s="447"/>
      <c r="IPY79" s="448"/>
      <c r="IPZ79" s="453"/>
      <c r="IQA79" s="449"/>
      <c r="IQB79" s="450"/>
      <c r="IQC79" s="454"/>
      <c r="IQD79" s="448"/>
      <c r="IQF79" s="449"/>
      <c r="IQG79" s="450"/>
      <c r="IQH79" s="452"/>
      <c r="IQI79" s="448"/>
      <c r="IQK79" s="449"/>
      <c r="IQL79" s="450"/>
      <c r="IQM79" s="447"/>
      <c r="IQN79" s="448"/>
      <c r="IQP79" s="449"/>
      <c r="IQQ79" s="450"/>
      <c r="IQR79" s="452"/>
      <c r="IQS79" s="448"/>
      <c r="IQT79" s="449"/>
      <c r="IQU79" s="450"/>
      <c r="IQV79" s="452"/>
      <c r="IQW79" s="448"/>
      <c r="IQX79" s="455"/>
      <c r="IQY79" s="449"/>
      <c r="IQZ79" s="450"/>
      <c r="IRA79" s="459"/>
      <c r="IRB79" s="448"/>
      <c r="IRC79" s="456"/>
      <c r="IRD79" s="449"/>
      <c r="IRE79" s="450"/>
      <c r="IRF79" s="452"/>
      <c r="IRG79" s="448"/>
      <c r="IRH79" s="449"/>
      <c r="IRI79" s="450"/>
      <c r="IRJ79" s="452"/>
      <c r="IRK79" s="448"/>
      <c r="IRL79" s="449"/>
      <c r="IRM79" s="450"/>
      <c r="IRN79" s="447"/>
      <c r="IRO79" s="448"/>
      <c r="IRP79" s="457"/>
      <c r="IRQ79" s="460"/>
      <c r="IRR79" s="450"/>
      <c r="IRS79" s="461"/>
      <c r="IRT79" s="448"/>
      <c r="IRU79" s="456"/>
      <c r="IRV79" s="449"/>
      <c r="IRW79" s="450"/>
      <c r="IRX79" s="452"/>
      <c r="IRY79" s="448"/>
      <c r="IRZ79" s="456"/>
      <c r="ISA79" s="458"/>
      <c r="ISB79" s="458"/>
      <c r="ISD79" s="454"/>
      <c r="ISE79" s="450"/>
      <c r="ISF79" s="454"/>
      <c r="ISG79" s="448"/>
      <c r="ISH79" s="449"/>
      <c r="ISI79" s="450"/>
      <c r="ISJ79" s="447"/>
      <c r="ISK79" s="448"/>
      <c r="ISL79" s="449"/>
      <c r="ISM79" s="450"/>
      <c r="ISN79" s="447"/>
      <c r="ISO79" s="451"/>
      <c r="ISP79" s="449"/>
      <c r="ISQ79" s="450"/>
      <c r="ISR79" s="447"/>
      <c r="ISS79" s="451"/>
      <c r="IST79" s="449"/>
      <c r="ISU79" s="450"/>
      <c r="ISV79" s="447"/>
      <c r="ISW79" s="451"/>
      <c r="ISX79" s="449"/>
      <c r="ISY79" s="450"/>
      <c r="ISZ79" s="452"/>
      <c r="ITA79" s="451"/>
      <c r="ITB79" s="449"/>
      <c r="ITC79" s="450"/>
      <c r="ITD79" s="447"/>
      <c r="ITE79" s="448"/>
      <c r="ITF79" s="453"/>
      <c r="ITG79" s="449"/>
      <c r="ITH79" s="450"/>
      <c r="ITI79" s="454"/>
      <c r="ITJ79" s="448"/>
      <c r="ITL79" s="449"/>
      <c r="ITM79" s="450"/>
      <c r="ITN79" s="452"/>
      <c r="ITO79" s="448"/>
      <c r="ITQ79" s="449"/>
      <c r="ITR79" s="450"/>
      <c r="ITS79" s="447"/>
      <c r="ITT79" s="448"/>
      <c r="ITV79" s="449"/>
      <c r="ITW79" s="450"/>
      <c r="ITX79" s="452"/>
      <c r="ITY79" s="448"/>
      <c r="ITZ79" s="449"/>
      <c r="IUA79" s="450"/>
      <c r="IUB79" s="452"/>
      <c r="IUC79" s="448"/>
      <c r="IUD79" s="455"/>
      <c r="IUE79" s="449"/>
      <c r="IUF79" s="450"/>
      <c r="IUG79" s="459"/>
      <c r="IUH79" s="448"/>
      <c r="IUI79" s="456"/>
      <c r="IUJ79" s="449"/>
      <c r="IUK79" s="450"/>
      <c r="IUL79" s="452"/>
      <c r="IUM79" s="448"/>
      <c r="IUN79" s="449"/>
      <c r="IUO79" s="450"/>
      <c r="IUP79" s="452"/>
      <c r="IUQ79" s="448"/>
      <c r="IUR79" s="449"/>
      <c r="IUS79" s="450"/>
      <c r="IUT79" s="447"/>
      <c r="IUU79" s="448"/>
      <c r="IUV79" s="457"/>
      <c r="IUW79" s="460"/>
      <c r="IUX79" s="450"/>
      <c r="IUY79" s="461"/>
      <c r="IUZ79" s="448"/>
      <c r="IVA79" s="456"/>
      <c r="IVB79" s="449"/>
      <c r="IVC79" s="450"/>
      <c r="IVD79" s="452"/>
      <c r="IVE79" s="448"/>
      <c r="IVF79" s="456"/>
      <c r="IVG79" s="458"/>
      <c r="IVH79" s="458"/>
      <c r="IVJ79" s="454"/>
      <c r="IVK79" s="450"/>
      <c r="IVL79" s="454"/>
      <c r="IVM79" s="448"/>
      <c r="IVN79" s="449"/>
      <c r="IVO79" s="450"/>
      <c r="IVP79" s="447"/>
      <c r="IVQ79" s="448"/>
      <c r="IVR79" s="449"/>
      <c r="IVS79" s="450"/>
      <c r="IVT79" s="447"/>
      <c r="IVU79" s="451"/>
      <c r="IVV79" s="449"/>
      <c r="IVW79" s="450"/>
      <c r="IVX79" s="447"/>
      <c r="IVY79" s="451"/>
      <c r="IVZ79" s="449"/>
      <c r="IWA79" s="450"/>
      <c r="IWB79" s="447"/>
      <c r="IWC79" s="451"/>
      <c r="IWD79" s="449"/>
      <c r="IWE79" s="450"/>
      <c r="IWF79" s="452"/>
      <c r="IWG79" s="451"/>
      <c r="IWH79" s="449"/>
      <c r="IWI79" s="450"/>
      <c r="IWJ79" s="447"/>
      <c r="IWK79" s="448"/>
      <c r="IWL79" s="453"/>
      <c r="IWM79" s="449"/>
      <c r="IWN79" s="450"/>
      <c r="IWO79" s="454"/>
      <c r="IWP79" s="448"/>
      <c r="IWR79" s="449"/>
      <c r="IWS79" s="450"/>
      <c r="IWT79" s="452"/>
      <c r="IWU79" s="448"/>
      <c r="IWW79" s="449"/>
      <c r="IWX79" s="450"/>
      <c r="IWY79" s="447"/>
      <c r="IWZ79" s="448"/>
      <c r="IXB79" s="449"/>
      <c r="IXC79" s="450"/>
      <c r="IXD79" s="452"/>
      <c r="IXE79" s="448"/>
      <c r="IXF79" s="449"/>
      <c r="IXG79" s="450"/>
      <c r="IXH79" s="452"/>
      <c r="IXI79" s="448"/>
      <c r="IXJ79" s="455"/>
      <c r="IXK79" s="449"/>
      <c r="IXL79" s="450"/>
      <c r="IXM79" s="459"/>
      <c r="IXN79" s="448"/>
      <c r="IXO79" s="456"/>
      <c r="IXP79" s="449"/>
      <c r="IXQ79" s="450"/>
      <c r="IXR79" s="452"/>
      <c r="IXS79" s="448"/>
      <c r="IXT79" s="449"/>
      <c r="IXU79" s="450"/>
      <c r="IXV79" s="452"/>
      <c r="IXW79" s="448"/>
      <c r="IXX79" s="449"/>
      <c r="IXY79" s="450"/>
      <c r="IXZ79" s="447"/>
      <c r="IYA79" s="448"/>
      <c r="IYB79" s="457"/>
      <c r="IYC79" s="460"/>
      <c r="IYD79" s="450"/>
      <c r="IYE79" s="461"/>
      <c r="IYF79" s="448"/>
      <c r="IYG79" s="456"/>
      <c r="IYH79" s="449"/>
      <c r="IYI79" s="450"/>
      <c r="IYJ79" s="452"/>
      <c r="IYK79" s="448"/>
      <c r="IYL79" s="456"/>
      <c r="IYM79" s="458"/>
      <c r="IYN79" s="458"/>
      <c r="IYP79" s="454"/>
      <c r="IYQ79" s="450"/>
      <c r="IYR79" s="454"/>
      <c r="IYS79" s="448"/>
      <c r="IYT79" s="449"/>
      <c r="IYU79" s="450"/>
      <c r="IYV79" s="447"/>
      <c r="IYW79" s="448"/>
      <c r="IYX79" s="449"/>
      <c r="IYY79" s="450"/>
      <c r="IYZ79" s="447"/>
      <c r="IZA79" s="451"/>
      <c r="IZB79" s="449"/>
      <c r="IZC79" s="450"/>
      <c r="IZD79" s="447"/>
      <c r="IZE79" s="451"/>
      <c r="IZF79" s="449"/>
      <c r="IZG79" s="450"/>
      <c r="IZH79" s="447"/>
      <c r="IZI79" s="451"/>
      <c r="IZJ79" s="449"/>
      <c r="IZK79" s="450"/>
      <c r="IZL79" s="452"/>
      <c r="IZM79" s="451"/>
      <c r="IZN79" s="449"/>
      <c r="IZO79" s="450"/>
      <c r="IZP79" s="447"/>
      <c r="IZQ79" s="448"/>
      <c r="IZR79" s="453"/>
      <c r="IZS79" s="449"/>
      <c r="IZT79" s="450"/>
      <c r="IZU79" s="454"/>
      <c r="IZV79" s="448"/>
      <c r="IZX79" s="449"/>
      <c r="IZY79" s="450"/>
      <c r="IZZ79" s="452"/>
      <c r="JAA79" s="448"/>
      <c r="JAC79" s="449"/>
      <c r="JAD79" s="450"/>
      <c r="JAE79" s="447"/>
      <c r="JAF79" s="448"/>
      <c r="JAH79" s="449"/>
      <c r="JAI79" s="450"/>
      <c r="JAJ79" s="452"/>
      <c r="JAK79" s="448"/>
      <c r="JAL79" s="449"/>
      <c r="JAM79" s="450"/>
      <c r="JAN79" s="452"/>
      <c r="JAO79" s="448"/>
      <c r="JAP79" s="455"/>
      <c r="JAQ79" s="449"/>
      <c r="JAR79" s="450"/>
      <c r="JAS79" s="459"/>
      <c r="JAT79" s="448"/>
      <c r="JAU79" s="456"/>
      <c r="JAV79" s="449"/>
      <c r="JAW79" s="450"/>
      <c r="JAX79" s="452"/>
      <c r="JAY79" s="448"/>
      <c r="JAZ79" s="449"/>
      <c r="JBA79" s="450"/>
      <c r="JBB79" s="452"/>
      <c r="JBC79" s="448"/>
      <c r="JBD79" s="449"/>
      <c r="JBE79" s="450"/>
      <c r="JBF79" s="447"/>
      <c r="JBG79" s="448"/>
      <c r="JBH79" s="457"/>
      <c r="JBI79" s="460"/>
      <c r="JBJ79" s="450"/>
      <c r="JBK79" s="461"/>
      <c r="JBL79" s="448"/>
      <c r="JBM79" s="456"/>
      <c r="JBN79" s="449"/>
      <c r="JBO79" s="450"/>
      <c r="JBP79" s="452"/>
      <c r="JBQ79" s="448"/>
      <c r="JBR79" s="456"/>
      <c r="JBS79" s="458"/>
      <c r="JBT79" s="458"/>
      <c r="JBV79" s="454"/>
      <c r="JBW79" s="450"/>
      <c r="JBX79" s="454"/>
      <c r="JBY79" s="448"/>
      <c r="JBZ79" s="449"/>
      <c r="JCA79" s="450"/>
      <c r="JCB79" s="447"/>
      <c r="JCC79" s="448"/>
      <c r="JCD79" s="449"/>
      <c r="JCE79" s="450"/>
      <c r="JCF79" s="447"/>
      <c r="JCG79" s="451"/>
      <c r="JCH79" s="449"/>
      <c r="JCI79" s="450"/>
      <c r="JCJ79" s="447"/>
      <c r="JCK79" s="451"/>
      <c r="JCL79" s="449"/>
      <c r="JCM79" s="450"/>
      <c r="JCN79" s="447"/>
      <c r="JCO79" s="451"/>
      <c r="JCP79" s="449"/>
      <c r="JCQ79" s="450"/>
      <c r="JCR79" s="452"/>
      <c r="JCS79" s="451"/>
      <c r="JCT79" s="449"/>
      <c r="JCU79" s="450"/>
      <c r="JCV79" s="447"/>
      <c r="JCW79" s="448"/>
      <c r="JCX79" s="453"/>
      <c r="JCY79" s="449"/>
      <c r="JCZ79" s="450"/>
      <c r="JDA79" s="454"/>
      <c r="JDB79" s="448"/>
      <c r="JDD79" s="449"/>
      <c r="JDE79" s="450"/>
      <c r="JDF79" s="452"/>
      <c r="JDG79" s="448"/>
      <c r="JDI79" s="449"/>
      <c r="JDJ79" s="450"/>
      <c r="JDK79" s="447"/>
      <c r="JDL79" s="448"/>
      <c r="JDN79" s="449"/>
      <c r="JDO79" s="450"/>
      <c r="JDP79" s="452"/>
      <c r="JDQ79" s="448"/>
      <c r="JDR79" s="449"/>
      <c r="JDS79" s="450"/>
      <c r="JDT79" s="452"/>
      <c r="JDU79" s="448"/>
      <c r="JDV79" s="455"/>
      <c r="JDW79" s="449"/>
      <c r="JDX79" s="450"/>
      <c r="JDY79" s="459"/>
      <c r="JDZ79" s="448"/>
      <c r="JEA79" s="456"/>
      <c r="JEB79" s="449"/>
      <c r="JEC79" s="450"/>
      <c r="JED79" s="452"/>
      <c r="JEE79" s="448"/>
      <c r="JEF79" s="449"/>
      <c r="JEG79" s="450"/>
      <c r="JEH79" s="452"/>
      <c r="JEI79" s="448"/>
      <c r="JEJ79" s="449"/>
      <c r="JEK79" s="450"/>
      <c r="JEL79" s="447"/>
      <c r="JEM79" s="448"/>
      <c r="JEN79" s="457"/>
      <c r="JEO79" s="460"/>
      <c r="JEP79" s="450"/>
      <c r="JEQ79" s="461"/>
      <c r="JER79" s="448"/>
      <c r="JES79" s="456"/>
      <c r="JET79" s="449"/>
      <c r="JEU79" s="450"/>
      <c r="JEV79" s="452"/>
      <c r="JEW79" s="448"/>
      <c r="JEX79" s="456"/>
      <c r="JEY79" s="458"/>
      <c r="JEZ79" s="458"/>
      <c r="JFB79" s="454"/>
      <c r="JFC79" s="450"/>
      <c r="JFD79" s="454"/>
      <c r="JFE79" s="448"/>
      <c r="JFF79" s="449"/>
      <c r="JFG79" s="450"/>
      <c r="JFH79" s="447"/>
      <c r="JFI79" s="448"/>
      <c r="JFJ79" s="449"/>
      <c r="JFK79" s="450"/>
      <c r="JFL79" s="447"/>
      <c r="JFM79" s="451"/>
      <c r="JFN79" s="449"/>
      <c r="JFO79" s="450"/>
      <c r="JFP79" s="447"/>
      <c r="JFQ79" s="451"/>
      <c r="JFR79" s="449"/>
      <c r="JFS79" s="450"/>
      <c r="JFT79" s="447"/>
      <c r="JFU79" s="451"/>
      <c r="JFV79" s="449"/>
      <c r="JFW79" s="450"/>
      <c r="JFX79" s="452"/>
      <c r="JFY79" s="451"/>
      <c r="JFZ79" s="449"/>
      <c r="JGA79" s="450"/>
      <c r="JGB79" s="447"/>
      <c r="JGC79" s="448"/>
      <c r="JGD79" s="453"/>
      <c r="JGE79" s="449"/>
      <c r="JGF79" s="450"/>
      <c r="JGG79" s="454"/>
      <c r="JGH79" s="448"/>
      <c r="JGJ79" s="449"/>
      <c r="JGK79" s="450"/>
      <c r="JGL79" s="452"/>
      <c r="JGM79" s="448"/>
      <c r="JGO79" s="449"/>
      <c r="JGP79" s="450"/>
      <c r="JGQ79" s="447"/>
      <c r="JGR79" s="448"/>
      <c r="JGT79" s="449"/>
      <c r="JGU79" s="450"/>
      <c r="JGV79" s="452"/>
      <c r="JGW79" s="448"/>
      <c r="JGX79" s="449"/>
      <c r="JGY79" s="450"/>
      <c r="JGZ79" s="452"/>
      <c r="JHA79" s="448"/>
      <c r="JHB79" s="455"/>
      <c r="JHC79" s="449"/>
      <c r="JHD79" s="450"/>
      <c r="JHE79" s="459"/>
      <c r="JHF79" s="448"/>
      <c r="JHG79" s="456"/>
      <c r="JHH79" s="449"/>
      <c r="JHI79" s="450"/>
      <c r="JHJ79" s="452"/>
      <c r="JHK79" s="448"/>
      <c r="JHL79" s="449"/>
      <c r="JHM79" s="450"/>
      <c r="JHN79" s="452"/>
      <c r="JHO79" s="448"/>
      <c r="JHP79" s="449"/>
      <c r="JHQ79" s="450"/>
      <c r="JHR79" s="447"/>
      <c r="JHS79" s="448"/>
      <c r="JHT79" s="457"/>
      <c r="JHU79" s="460"/>
      <c r="JHV79" s="450"/>
      <c r="JHW79" s="461"/>
      <c r="JHX79" s="448"/>
      <c r="JHY79" s="456"/>
      <c r="JHZ79" s="449"/>
      <c r="JIA79" s="450"/>
      <c r="JIB79" s="452"/>
      <c r="JIC79" s="448"/>
      <c r="JID79" s="456"/>
      <c r="JIE79" s="458"/>
      <c r="JIF79" s="458"/>
      <c r="JIH79" s="454"/>
      <c r="JII79" s="450"/>
      <c r="JIJ79" s="454"/>
      <c r="JIK79" s="448"/>
      <c r="JIL79" s="449"/>
      <c r="JIM79" s="450"/>
      <c r="JIN79" s="447"/>
      <c r="JIO79" s="448"/>
      <c r="JIP79" s="449"/>
      <c r="JIQ79" s="450"/>
      <c r="JIR79" s="447"/>
      <c r="JIS79" s="451"/>
      <c r="JIT79" s="449"/>
      <c r="JIU79" s="450"/>
      <c r="JIV79" s="447"/>
      <c r="JIW79" s="451"/>
      <c r="JIX79" s="449"/>
      <c r="JIY79" s="450"/>
      <c r="JIZ79" s="447"/>
      <c r="JJA79" s="451"/>
      <c r="JJB79" s="449"/>
      <c r="JJC79" s="450"/>
      <c r="JJD79" s="452"/>
      <c r="JJE79" s="451"/>
      <c r="JJF79" s="449"/>
      <c r="JJG79" s="450"/>
      <c r="JJH79" s="447"/>
      <c r="JJI79" s="448"/>
      <c r="JJJ79" s="453"/>
      <c r="JJK79" s="449"/>
      <c r="JJL79" s="450"/>
      <c r="JJM79" s="454"/>
      <c r="JJN79" s="448"/>
      <c r="JJP79" s="449"/>
      <c r="JJQ79" s="450"/>
      <c r="JJR79" s="452"/>
      <c r="JJS79" s="448"/>
      <c r="JJU79" s="449"/>
      <c r="JJV79" s="450"/>
      <c r="JJW79" s="447"/>
      <c r="JJX79" s="448"/>
      <c r="JJZ79" s="449"/>
      <c r="JKA79" s="450"/>
      <c r="JKB79" s="452"/>
      <c r="JKC79" s="448"/>
      <c r="JKD79" s="449"/>
      <c r="JKE79" s="450"/>
      <c r="JKF79" s="452"/>
      <c r="JKG79" s="448"/>
      <c r="JKH79" s="455"/>
      <c r="JKI79" s="449"/>
      <c r="JKJ79" s="450"/>
      <c r="JKK79" s="459"/>
      <c r="JKL79" s="448"/>
      <c r="JKM79" s="456"/>
      <c r="JKN79" s="449"/>
      <c r="JKO79" s="450"/>
      <c r="JKP79" s="452"/>
      <c r="JKQ79" s="448"/>
      <c r="JKR79" s="449"/>
      <c r="JKS79" s="450"/>
      <c r="JKT79" s="452"/>
      <c r="JKU79" s="448"/>
      <c r="JKV79" s="449"/>
      <c r="JKW79" s="450"/>
      <c r="JKX79" s="447"/>
      <c r="JKY79" s="448"/>
      <c r="JKZ79" s="457"/>
      <c r="JLA79" s="460"/>
      <c r="JLB79" s="450"/>
      <c r="JLC79" s="461"/>
      <c r="JLD79" s="448"/>
      <c r="JLE79" s="456"/>
      <c r="JLF79" s="449"/>
      <c r="JLG79" s="450"/>
      <c r="JLH79" s="452"/>
      <c r="JLI79" s="448"/>
      <c r="JLJ79" s="456"/>
      <c r="JLK79" s="458"/>
      <c r="JLL79" s="458"/>
      <c r="JLN79" s="454"/>
      <c r="JLO79" s="450"/>
      <c r="JLP79" s="454"/>
      <c r="JLQ79" s="448"/>
      <c r="JLR79" s="449"/>
      <c r="JLS79" s="450"/>
      <c r="JLT79" s="447"/>
      <c r="JLU79" s="448"/>
      <c r="JLV79" s="449"/>
      <c r="JLW79" s="450"/>
      <c r="JLX79" s="447"/>
      <c r="JLY79" s="451"/>
      <c r="JLZ79" s="449"/>
      <c r="JMA79" s="450"/>
      <c r="JMB79" s="447"/>
      <c r="JMC79" s="451"/>
      <c r="JMD79" s="449"/>
      <c r="JME79" s="450"/>
      <c r="JMF79" s="447"/>
      <c r="JMG79" s="451"/>
      <c r="JMH79" s="449"/>
      <c r="JMI79" s="450"/>
      <c r="JMJ79" s="452"/>
      <c r="JMK79" s="451"/>
      <c r="JML79" s="449"/>
      <c r="JMM79" s="450"/>
      <c r="JMN79" s="447"/>
      <c r="JMO79" s="448"/>
      <c r="JMP79" s="453"/>
      <c r="JMQ79" s="449"/>
      <c r="JMR79" s="450"/>
      <c r="JMS79" s="454"/>
      <c r="JMT79" s="448"/>
      <c r="JMV79" s="449"/>
      <c r="JMW79" s="450"/>
      <c r="JMX79" s="452"/>
      <c r="JMY79" s="448"/>
      <c r="JNA79" s="449"/>
      <c r="JNB79" s="450"/>
      <c r="JNC79" s="447"/>
      <c r="JND79" s="448"/>
      <c r="JNF79" s="449"/>
      <c r="JNG79" s="450"/>
      <c r="JNH79" s="452"/>
      <c r="JNI79" s="448"/>
      <c r="JNJ79" s="449"/>
      <c r="JNK79" s="450"/>
      <c r="JNL79" s="452"/>
      <c r="JNM79" s="448"/>
      <c r="JNN79" s="455"/>
      <c r="JNO79" s="449"/>
      <c r="JNP79" s="450"/>
      <c r="JNQ79" s="459"/>
      <c r="JNR79" s="448"/>
      <c r="JNS79" s="456"/>
      <c r="JNT79" s="449"/>
      <c r="JNU79" s="450"/>
      <c r="JNV79" s="452"/>
      <c r="JNW79" s="448"/>
      <c r="JNX79" s="449"/>
      <c r="JNY79" s="450"/>
      <c r="JNZ79" s="452"/>
      <c r="JOA79" s="448"/>
      <c r="JOB79" s="449"/>
      <c r="JOC79" s="450"/>
      <c r="JOD79" s="447"/>
      <c r="JOE79" s="448"/>
      <c r="JOF79" s="457"/>
      <c r="JOG79" s="460"/>
      <c r="JOH79" s="450"/>
      <c r="JOI79" s="461"/>
      <c r="JOJ79" s="448"/>
      <c r="JOK79" s="456"/>
      <c r="JOL79" s="449"/>
      <c r="JOM79" s="450"/>
      <c r="JON79" s="452"/>
      <c r="JOO79" s="448"/>
      <c r="JOP79" s="456"/>
      <c r="JOQ79" s="458"/>
      <c r="JOR79" s="458"/>
      <c r="JOT79" s="454"/>
      <c r="JOU79" s="450"/>
      <c r="JOV79" s="454"/>
      <c r="JOW79" s="448"/>
      <c r="JOX79" s="449"/>
      <c r="JOY79" s="450"/>
      <c r="JOZ79" s="447"/>
      <c r="JPA79" s="448"/>
      <c r="JPB79" s="449"/>
      <c r="JPC79" s="450"/>
      <c r="JPD79" s="447"/>
      <c r="JPE79" s="451"/>
      <c r="JPF79" s="449"/>
      <c r="JPG79" s="450"/>
      <c r="JPH79" s="447"/>
      <c r="JPI79" s="451"/>
      <c r="JPJ79" s="449"/>
      <c r="JPK79" s="450"/>
      <c r="JPL79" s="447"/>
      <c r="JPM79" s="451"/>
      <c r="JPN79" s="449"/>
      <c r="JPO79" s="450"/>
      <c r="JPP79" s="452"/>
      <c r="JPQ79" s="451"/>
      <c r="JPR79" s="449"/>
      <c r="JPS79" s="450"/>
      <c r="JPT79" s="447"/>
      <c r="JPU79" s="448"/>
      <c r="JPV79" s="453"/>
      <c r="JPW79" s="449"/>
      <c r="JPX79" s="450"/>
      <c r="JPY79" s="454"/>
      <c r="JPZ79" s="448"/>
      <c r="JQB79" s="449"/>
      <c r="JQC79" s="450"/>
      <c r="JQD79" s="452"/>
      <c r="JQE79" s="448"/>
      <c r="JQG79" s="449"/>
      <c r="JQH79" s="450"/>
      <c r="JQI79" s="447"/>
      <c r="JQJ79" s="448"/>
      <c r="JQL79" s="449"/>
      <c r="JQM79" s="450"/>
      <c r="JQN79" s="452"/>
      <c r="JQO79" s="448"/>
      <c r="JQP79" s="449"/>
      <c r="JQQ79" s="450"/>
      <c r="JQR79" s="452"/>
      <c r="JQS79" s="448"/>
      <c r="JQT79" s="455"/>
      <c r="JQU79" s="449"/>
      <c r="JQV79" s="450"/>
      <c r="JQW79" s="459"/>
      <c r="JQX79" s="448"/>
      <c r="JQY79" s="456"/>
      <c r="JQZ79" s="449"/>
      <c r="JRA79" s="450"/>
      <c r="JRB79" s="452"/>
      <c r="JRC79" s="448"/>
      <c r="JRD79" s="449"/>
      <c r="JRE79" s="450"/>
      <c r="JRF79" s="452"/>
      <c r="JRG79" s="448"/>
      <c r="JRH79" s="449"/>
      <c r="JRI79" s="450"/>
      <c r="JRJ79" s="447"/>
      <c r="JRK79" s="448"/>
      <c r="JRL79" s="457"/>
      <c r="JRM79" s="460"/>
      <c r="JRN79" s="450"/>
      <c r="JRO79" s="461"/>
      <c r="JRP79" s="448"/>
      <c r="JRQ79" s="456"/>
      <c r="JRR79" s="449"/>
      <c r="JRS79" s="450"/>
      <c r="JRT79" s="452"/>
      <c r="JRU79" s="448"/>
      <c r="JRV79" s="456"/>
      <c r="JRW79" s="458"/>
      <c r="JRX79" s="458"/>
      <c r="JRZ79" s="454"/>
      <c r="JSA79" s="450"/>
      <c r="JSB79" s="454"/>
      <c r="JSC79" s="448"/>
      <c r="JSD79" s="449"/>
      <c r="JSE79" s="450"/>
      <c r="JSF79" s="447"/>
      <c r="JSG79" s="448"/>
      <c r="JSH79" s="449"/>
      <c r="JSI79" s="450"/>
      <c r="JSJ79" s="447"/>
      <c r="JSK79" s="451"/>
      <c r="JSL79" s="449"/>
      <c r="JSM79" s="450"/>
      <c r="JSN79" s="447"/>
      <c r="JSO79" s="451"/>
      <c r="JSP79" s="449"/>
      <c r="JSQ79" s="450"/>
      <c r="JSR79" s="447"/>
      <c r="JSS79" s="451"/>
      <c r="JST79" s="449"/>
      <c r="JSU79" s="450"/>
      <c r="JSV79" s="452"/>
      <c r="JSW79" s="451"/>
      <c r="JSX79" s="449"/>
      <c r="JSY79" s="450"/>
      <c r="JSZ79" s="447"/>
      <c r="JTA79" s="448"/>
      <c r="JTB79" s="453"/>
      <c r="JTC79" s="449"/>
      <c r="JTD79" s="450"/>
      <c r="JTE79" s="454"/>
      <c r="JTF79" s="448"/>
      <c r="JTH79" s="449"/>
      <c r="JTI79" s="450"/>
      <c r="JTJ79" s="452"/>
      <c r="JTK79" s="448"/>
      <c r="JTM79" s="449"/>
      <c r="JTN79" s="450"/>
      <c r="JTO79" s="447"/>
      <c r="JTP79" s="448"/>
      <c r="JTR79" s="449"/>
      <c r="JTS79" s="450"/>
      <c r="JTT79" s="452"/>
      <c r="JTU79" s="448"/>
      <c r="JTV79" s="449"/>
      <c r="JTW79" s="450"/>
      <c r="JTX79" s="452"/>
      <c r="JTY79" s="448"/>
      <c r="JTZ79" s="455"/>
      <c r="JUA79" s="449"/>
      <c r="JUB79" s="450"/>
      <c r="JUC79" s="459"/>
      <c r="JUD79" s="448"/>
      <c r="JUE79" s="456"/>
      <c r="JUF79" s="449"/>
      <c r="JUG79" s="450"/>
      <c r="JUH79" s="452"/>
      <c r="JUI79" s="448"/>
      <c r="JUJ79" s="449"/>
      <c r="JUK79" s="450"/>
      <c r="JUL79" s="452"/>
      <c r="JUM79" s="448"/>
      <c r="JUN79" s="449"/>
      <c r="JUO79" s="450"/>
      <c r="JUP79" s="447"/>
      <c r="JUQ79" s="448"/>
      <c r="JUR79" s="457"/>
      <c r="JUS79" s="460"/>
      <c r="JUT79" s="450"/>
      <c r="JUU79" s="461"/>
      <c r="JUV79" s="448"/>
      <c r="JUW79" s="456"/>
      <c r="JUX79" s="449"/>
      <c r="JUY79" s="450"/>
      <c r="JUZ79" s="452"/>
      <c r="JVA79" s="448"/>
      <c r="JVB79" s="456"/>
      <c r="JVC79" s="458"/>
      <c r="JVD79" s="458"/>
      <c r="JVF79" s="454"/>
      <c r="JVG79" s="450"/>
      <c r="JVH79" s="454"/>
      <c r="JVI79" s="448"/>
      <c r="JVJ79" s="449"/>
      <c r="JVK79" s="450"/>
      <c r="JVL79" s="447"/>
      <c r="JVM79" s="448"/>
      <c r="JVN79" s="449"/>
      <c r="JVO79" s="450"/>
      <c r="JVP79" s="447"/>
      <c r="JVQ79" s="451"/>
      <c r="JVR79" s="449"/>
      <c r="JVS79" s="450"/>
      <c r="JVT79" s="447"/>
      <c r="JVU79" s="451"/>
      <c r="JVV79" s="449"/>
      <c r="JVW79" s="450"/>
      <c r="JVX79" s="447"/>
      <c r="JVY79" s="451"/>
      <c r="JVZ79" s="449"/>
      <c r="JWA79" s="450"/>
      <c r="JWB79" s="452"/>
      <c r="JWC79" s="451"/>
      <c r="JWD79" s="449"/>
      <c r="JWE79" s="450"/>
      <c r="JWF79" s="447"/>
      <c r="JWG79" s="448"/>
      <c r="JWH79" s="453"/>
      <c r="JWI79" s="449"/>
      <c r="JWJ79" s="450"/>
      <c r="JWK79" s="454"/>
      <c r="JWL79" s="448"/>
      <c r="JWN79" s="449"/>
      <c r="JWO79" s="450"/>
      <c r="JWP79" s="452"/>
      <c r="JWQ79" s="448"/>
      <c r="JWS79" s="449"/>
      <c r="JWT79" s="450"/>
      <c r="JWU79" s="447"/>
      <c r="JWV79" s="448"/>
      <c r="JWX79" s="449"/>
      <c r="JWY79" s="450"/>
      <c r="JWZ79" s="452"/>
      <c r="JXA79" s="448"/>
      <c r="JXB79" s="449"/>
      <c r="JXC79" s="450"/>
      <c r="JXD79" s="452"/>
      <c r="JXE79" s="448"/>
      <c r="JXF79" s="455"/>
      <c r="JXG79" s="449"/>
      <c r="JXH79" s="450"/>
      <c r="JXI79" s="459"/>
      <c r="JXJ79" s="448"/>
      <c r="JXK79" s="456"/>
      <c r="JXL79" s="449"/>
      <c r="JXM79" s="450"/>
      <c r="JXN79" s="452"/>
      <c r="JXO79" s="448"/>
      <c r="JXP79" s="449"/>
      <c r="JXQ79" s="450"/>
      <c r="JXR79" s="452"/>
      <c r="JXS79" s="448"/>
      <c r="JXT79" s="449"/>
      <c r="JXU79" s="450"/>
      <c r="JXV79" s="447"/>
      <c r="JXW79" s="448"/>
      <c r="JXX79" s="457"/>
      <c r="JXY79" s="460"/>
      <c r="JXZ79" s="450"/>
      <c r="JYA79" s="461"/>
      <c r="JYB79" s="448"/>
      <c r="JYC79" s="456"/>
      <c r="JYD79" s="449"/>
      <c r="JYE79" s="450"/>
      <c r="JYF79" s="452"/>
      <c r="JYG79" s="448"/>
      <c r="JYH79" s="456"/>
      <c r="JYI79" s="458"/>
      <c r="JYJ79" s="458"/>
      <c r="JYL79" s="454"/>
      <c r="JYM79" s="450"/>
      <c r="JYN79" s="454"/>
      <c r="JYO79" s="448"/>
      <c r="JYP79" s="449"/>
      <c r="JYQ79" s="450"/>
      <c r="JYR79" s="447"/>
      <c r="JYS79" s="448"/>
      <c r="JYT79" s="449"/>
      <c r="JYU79" s="450"/>
      <c r="JYV79" s="447"/>
      <c r="JYW79" s="451"/>
      <c r="JYX79" s="449"/>
      <c r="JYY79" s="450"/>
      <c r="JYZ79" s="447"/>
      <c r="JZA79" s="451"/>
      <c r="JZB79" s="449"/>
      <c r="JZC79" s="450"/>
      <c r="JZD79" s="447"/>
      <c r="JZE79" s="451"/>
      <c r="JZF79" s="449"/>
      <c r="JZG79" s="450"/>
      <c r="JZH79" s="452"/>
      <c r="JZI79" s="451"/>
      <c r="JZJ79" s="449"/>
      <c r="JZK79" s="450"/>
      <c r="JZL79" s="447"/>
      <c r="JZM79" s="448"/>
      <c r="JZN79" s="453"/>
      <c r="JZO79" s="449"/>
      <c r="JZP79" s="450"/>
      <c r="JZQ79" s="454"/>
      <c r="JZR79" s="448"/>
      <c r="JZT79" s="449"/>
      <c r="JZU79" s="450"/>
      <c r="JZV79" s="452"/>
      <c r="JZW79" s="448"/>
      <c r="JZY79" s="449"/>
      <c r="JZZ79" s="450"/>
      <c r="KAA79" s="447"/>
      <c r="KAB79" s="448"/>
      <c r="KAD79" s="449"/>
      <c r="KAE79" s="450"/>
      <c r="KAF79" s="452"/>
      <c r="KAG79" s="448"/>
      <c r="KAH79" s="449"/>
      <c r="KAI79" s="450"/>
      <c r="KAJ79" s="452"/>
      <c r="KAK79" s="448"/>
      <c r="KAL79" s="455"/>
      <c r="KAM79" s="449"/>
      <c r="KAN79" s="450"/>
      <c r="KAO79" s="459"/>
      <c r="KAP79" s="448"/>
      <c r="KAQ79" s="456"/>
      <c r="KAR79" s="449"/>
      <c r="KAS79" s="450"/>
      <c r="KAT79" s="452"/>
      <c r="KAU79" s="448"/>
      <c r="KAV79" s="449"/>
      <c r="KAW79" s="450"/>
      <c r="KAX79" s="452"/>
      <c r="KAY79" s="448"/>
      <c r="KAZ79" s="449"/>
      <c r="KBA79" s="450"/>
      <c r="KBB79" s="447"/>
      <c r="KBC79" s="448"/>
      <c r="KBD79" s="457"/>
      <c r="KBE79" s="460"/>
      <c r="KBF79" s="450"/>
      <c r="KBG79" s="461"/>
      <c r="KBH79" s="448"/>
      <c r="KBI79" s="456"/>
      <c r="KBJ79" s="449"/>
      <c r="KBK79" s="450"/>
      <c r="KBL79" s="452"/>
      <c r="KBM79" s="448"/>
      <c r="KBN79" s="456"/>
      <c r="KBO79" s="458"/>
      <c r="KBP79" s="458"/>
      <c r="KBR79" s="454"/>
      <c r="KBS79" s="450"/>
      <c r="KBT79" s="454"/>
      <c r="KBU79" s="448"/>
      <c r="KBV79" s="449"/>
      <c r="KBW79" s="450"/>
      <c r="KBX79" s="447"/>
      <c r="KBY79" s="448"/>
      <c r="KBZ79" s="449"/>
      <c r="KCA79" s="450"/>
      <c r="KCB79" s="447"/>
      <c r="KCC79" s="451"/>
      <c r="KCD79" s="449"/>
      <c r="KCE79" s="450"/>
      <c r="KCF79" s="447"/>
      <c r="KCG79" s="451"/>
      <c r="KCH79" s="449"/>
      <c r="KCI79" s="450"/>
      <c r="KCJ79" s="447"/>
      <c r="KCK79" s="451"/>
      <c r="KCL79" s="449"/>
      <c r="KCM79" s="450"/>
      <c r="KCN79" s="452"/>
      <c r="KCO79" s="451"/>
      <c r="KCP79" s="449"/>
      <c r="KCQ79" s="450"/>
      <c r="KCR79" s="447"/>
      <c r="KCS79" s="448"/>
      <c r="KCT79" s="453"/>
      <c r="KCU79" s="449"/>
      <c r="KCV79" s="450"/>
      <c r="KCW79" s="454"/>
      <c r="KCX79" s="448"/>
      <c r="KCZ79" s="449"/>
      <c r="KDA79" s="450"/>
      <c r="KDB79" s="452"/>
      <c r="KDC79" s="448"/>
      <c r="KDE79" s="449"/>
      <c r="KDF79" s="450"/>
      <c r="KDG79" s="447"/>
      <c r="KDH79" s="448"/>
      <c r="KDJ79" s="449"/>
      <c r="KDK79" s="450"/>
      <c r="KDL79" s="452"/>
      <c r="KDM79" s="448"/>
      <c r="KDN79" s="449"/>
      <c r="KDO79" s="450"/>
      <c r="KDP79" s="452"/>
      <c r="KDQ79" s="448"/>
      <c r="KDR79" s="455"/>
      <c r="KDS79" s="449"/>
      <c r="KDT79" s="450"/>
      <c r="KDU79" s="459"/>
      <c r="KDV79" s="448"/>
      <c r="KDW79" s="456"/>
      <c r="KDX79" s="449"/>
      <c r="KDY79" s="450"/>
      <c r="KDZ79" s="452"/>
      <c r="KEA79" s="448"/>
      <c r="KEB79" s="449"/>
      <c r="KEC79" s="450"/>
      <c r="KED79" s="452"/>
      <c r="KEE79" s="448"/>
      <c r="KEF79" s="449"/>
      <c r="KEG79" s="450"/>
      <c r="KEH79" s="447"/>
      <c r="KEI79" s="448"/>
      <c r="KEJ79" s="457"/>
      <c r="KEK79" s="460"/>
      <c r="KEL79" s="450"/>
      <c r="KEM79" s="461"/>
      <c r="KEN79" s="448"/>
      <c r="KEO79" s="456"/>
      <c r="KEP79" s="449"/>
      <c r="KEQ79" s="450"/>
      <c r="KER79" s="452"/>
      <c r="KES79" s="448"/>
      <c r="KET79" s="456"/>
      <c r="KEU79" s="458"/>
      <c r="KEV79" s="458"/>
      <c r="KEX79" s="454"/>
      <c r="KEY79" s="450"/>
      <c r="KEZ79" s="454"/>
      <c r="KFA79" s="448"/>
      <c r="KFB79" s="449"/>
      <c r="KFC79" s="450"/>
      <c r="KFD79" s="447"/>
      <c r="KFE79" s="448"/>
      <c r="KFF79" s="449"/>
      <c r="KFG79" s="450"/>
      <c r="KFH79" s="447"/>
      <c r="KFI79" s="451"/>
      <c r="KFJ79" s="449"/>
      <c r="KFK79" s="450"/>
      <c r="KFL79" s="447"/>
      <c r="KFM79" s="451"/>
      <c r="KFN79" s="449"/>
      <c r="KFO79" s="450"/>
      <c r="KFP79" s="447"/>
      <c r="KFQ79" s="451"/>
      <c r="KFR79" s="449"/>
      <c r="KFS79" s="450"/>
      <c r="KFT79" s="452"/>
      <c r="KFU79" s="451"/>
      <c r="KFV79" s="449"/>
      <c r="KFW79" s="450"/>
      <c r="KFX79" s="447"/>
      <c r="KFY79" s="448"/>
      <c r="KFZ79" s="453"/>
      <c r="KGA79" s="449"/>
      <c r="KGB79" s="450"/>
      <c r="KGC79" s="454"/>
      <c r="KGD79" s="448"/>
      <c r="KGF79" s="449"/>
      <c r="KGG79" s="450"/>
      <c r="KGH79" s="452"/>
      <c r="KGI79" s="448"/>
      <c r="KGK79" s="449"/>
      <c r="KGL79" s="450"/>
      <c r="KGM79" s="447"/>
      <c r="KGN79" s="448"/>
      <c r="KGP79" s="449"/>
      <c r="KGQ79" s="450"/>
      <c r="KGR79" s="452"/>
      <c r="KGS79" s="448"/>
      <c r="KGT79" s="449"/>
      <c r="KGU79" s="450"/>
      <c r="KGV79" s="452"/>
      <c r="KGW79" s="448"/>
      <c r="KGX79" s="455"/>
      <c r="KGY79" s="449"/>
      <c r="KGZ79" s="450"/>
      <c r="KHA79" s="459"/>
      <c r="KHB79" s="448"/>
      <c r="KHC79" s="456"/>
      <c r="KHD79" s="449"/>
      <c r="KHE79" s="450"/>
      <c r="KHF79" s="452"/>
      <c r="KHG79" s="448"/>
      <c r="KHH79" s="449"/>
      <c r="KHI79" s="450"/>
      <c r="KHJ79" s="452"/>
      <c r="KHK79" s="448"/>
      <c r="KHL79" s="449"/>
      <c r="KHM79" s="450"/>
      <c r="KHN79" s="447"/>
      <c r="KHO79" s="448"/>
      <c r="KHP79" s="457"/>
      <c r="KHQ79" s="460"/>
      <c r="KHR79" s="450"/>
      <c r="KHS79" s="461"/>
      <c r="KHT79" s="448"/>
      <c r="KHU79" s="456"/>
      <c r="KHV79" s="449"/>
      <c r="KHW79" s="450"/>
      <c r="KHX79" s="452"/>
      <c r="KHY79" s="448"/>
      <c r="KHZ79" s="456"/>
      <c r="KIA79" s="458"/>
      <c r="KIB79" s="458"/>
      <c r="KID79" s="454"/>
      <c r="KIE79" s="450"/>
      <c r="KIF79" s="454"/>
      <c r="KIG79" s="448"/>
      <c r="KIH79" s="449"/>
      <c r="KII79" s="450"/>
      <c r="KIJ79" s="447"/>
      <c r="KIK79" s="448"/>
      <c r="KIL79" s="449"/>
      <c r="KIM79" s="450"/>
      <c r="KIN79" s="447"/>
      <c r="KIO79" s="451"/>
      <c r="KIP79" s="449"/>
      <c r="KIQ79" s="450"/>
      <c r="KIR79" s="447"/>
      <c r="KIS79" s="451"/>
      <c r="KIT79" s="449"/>
      <c r="KIU79" s="450"/>
      <c r="KIV79" s="447"/>
      <c r="KIW79" s="451"/>
      <c r="KIX79" s="449"/>
      <c r="KIY79" s="450"/>
      <c r="KIZ79" s="452"/>
      <c r="KJA79" s="451"/>
      <c r="KJB79" s="449"/>
      <c r="KJC79" s="450"/>
      <c r="KJD79" s="447"/>
      <c r="KJE79" s="448"/>
      <c r="KJF79" s="453"/>
      <c r="KJG79" s="449"/>
      <c r="KJH79" s="450"/>
      <c r="KJI79" s="454"/>
      <c r="KJJ79" s="448"/>
      <c r="KJL79" s="449"/>
      <c r="KJM79" s="450"/>
      <c r="KJN79" s="452"/>
      <c r="KJO79" s="448"/>
      <c r="KJQ79" s="449"/>
      <c r="KJR79" s="450"/>
      <c r="KJS79" s="447"/>
      <c r="KJT79" s="448"/>
      <c r="KJV79" s="449"/>
      <c r="KJW79" s="450"/>
      <c r="KJX79" s="452"/>
      <c r="KJY79" s="448"/>
      <c r="KJZ79" s="449"/>
      <c r="KKA79" s="450"/>
      <c r="KKB79" s="452"/>
      <c r="KKC79" s="448"/>
      <c r="KKD79" s="455"/>
      <c r="KKE79" s="449"/>
      <c r="KKF79" s="450"/>
      <c r="KKG79" s="459"/>
      <c r="KKH79" s="448"/>
      <c r="KKI79" s="456"/>
      <c r="KKJ79" s="449"/>
      <c r="KKK79" s="450"/>
      <c r="KKL79" s="452"/>
      <c r="KKM79" s="448"/>
      <c r="KKN79" s="449"/>
      <c r="KKO79" s="450"/>
      <c r="KKP79" s="452"/>
      <c r="KKQ79" s="448"/>
      <c r="KKR79" s="449"/>
      <c r="KKS79" s="450"/>
      <c r="KKT79" s="447"/>
      <c r="KKU79" s="448"/>
      <c r="KKV79" s="457"/>
      <c r="KKW79" s="460"/>
      <c r="KKX79" s="450"/>
      <c r="KKY79" s="461"/>
      <c r="KKZ79" s="448"/>
      <c r="KLA79" s="456"/>
      <c r="KLB79" s="449"/>
      <c r="KLC79" s="450"/>
      <c r="KLD79" s="452"/>
      <c r="KLE79" s="448"/>
      <c r="KLF79" s="456"/>
      <c r="KLG79" s="458"/>
      <c r="KLH79" s="458"/>
      <c r="KLJ79" s="454"/>
      <c r="KLK79" s="450"/>
      <c r="KLL79" s="454"/>
      <c r="KLM79" s="448"/>
      <c r="KLN79" s="449"/>
      <c r="KLO79" s="450"/>
      <c r="KLP79" s="447"/>
      <c r="KLQ79" s="448"/>
      <c r="KLR79" s="449"/>
      <c r="KLS79" s="450"/>
      <c r="KLT79" s="447"/>
      <c r="KLU79" s="451"/>
      <c r="KLV79" s="449"/>
      <c r="KLW79" s="450"/>
      <c r="KLX79" s="447"/>
      <c r="KLY79" s="451"/>
      <c r="KLZ79" s="449"/>
      <c r="KMA79" s="450"/>
      <c r="KMB79" s="447"/>
      <c r="KMC79" s="451"/>
      <c r="KMD79" s="449"/>
      <c r="KME79" s="450"/>
      <c r="KMF79" s="452"/>
      <c r="KMG79" s="451"/>
      <c r="KMH79" s="449"/>
      <c r="KMI79" s="450"/>
      <c r="KMJ79" s="447"/>
      <c r="KMK79" s="448"/>
      <c r="KML79" s="453"/>
      <c r="KMM79" s="449"/>
      <c r="KMN79" s="450"/>
      <c r="KMO79" s="454"/>
      <c r="KMP79" s="448"/>
      <c r="KMR79" s="449"/>
      <c r="KMS79" s="450"/>
      <c r="KMT79" s="452"/>
      <c r="KMU79" s="448"/>
      <c r="KMW79" s="449"/>
      <c r="KMX79" s="450"/>
      <c r="KMY79" s="447"/>
      <c r="KMZ79" s="448"/>
      <c r="KNB79" s="449"/>
      <c r="KNC79" s="450"/>
      <c r="KND79" s="452"/>
      <c r="KNE79" s="448"/>
      <c r="KNF79" s="449"/>
      <c r="KNG79" s="450"/>
      <c r="KNH79" s="452"/>
      <c r="KNI79" s="448"/>
      <c r="KNJ79" s="455"/>
      <c r="KNK79" s="449"/>
      <c r="KNL79" s="450"/>
      <c r="KNM79" s="459"/>
      <c r="KNN79" s="448"/>
      <c r="KNO79" s="456"/>
      <c r="KNP79" s="449"/>
      <c r="KNQ79" s="450"/>
      <c r="KNR79" s="452"/>
      <c r="KNS79" s="448"/>
      <c r="KNT79" s="449"/>
      <c r="KNU79" s="450"/>
      <c r="KNV79" s="452"/>
      <c r="KNW79" s="448"/>
      <c r="KNX79" s="449"/>
      <c r="KNY79" s="450"/>
      <c r="KNZ79" s="447"/>
      <c r="KOA79" s="448"/>
      <c r="KOB79" s="457"/>
      <c r="KOC79" s="460"/>
      <c r="KOD79" s="450"/>
      <c r="KOE79" s="461"/>
      <c r="KOF79" s="448"/>
      <c r="KOG79" s="456"/>
      <c r="KOH79" s="449"/>
      <c r="KOI79" s="450"/>
      <c r="KOJ79" s="452"/>
      <c r="KOK79" s="448"/>
      <c r="KOL79" s="456"/>
      <c r="KOM79" s="458"/>
      <c r="KON79" s="458"/>
      <c r="KOP79" s="454"/>
      <c r="KOQ79" s="450"/>
      <c r="KOR79" s="454"/>
      <c r="KOS79" s="448"/>
      <c r="KOT79" s="449"/>
      <c r="KOU79" s="450"/>
      <c r="KOV79" s="447"/>
      <c r="KOW79" s="448"/>
      <c r="KOX79" s="449"/>
      <c r="KOY79" s="450"/>
      <c r="KOZ79" s="447"/>
      <c r="KPA79" s="451"/>
      <c r="KPB79" s="449"/>
      <c r="KPC79" s="450"/>
      <c r="KPD79" s="447"/>
      <c r="KPE79" s="451"/>
      <c r="KPF79" s="449"/>
      <c r="KPG79" s="450"/>
      <c r="KPH79" s="447"/>
      <c r="KPI79" s="451"/>
      <c r="KPJ79" s="449"/>
      <c r="KPK79" s="450"/>
      <c r="KPL79" s="452"/>
      <c r="KPM79" s="451"/>
      <c r="KPN79" s="449"/>
      <c r="KPO79" s="450"/>
      <c r="KPP79" s="447"/>
      <c r="KPQ79" s="448"/>
      <c r="KPR79" s="453"/>
      <c r="KPS79" s="449"/>
      <c r="KPT79" s="450"/>
      <c r="KPU79" s="454"/>
      <c r="KPV79" s="448"/>
      <c r="KPX79" s="449"/>
      <c r="KPY79" s="450"/>
      <c r="KPZ79" s="452"/>
      <c r="KQA79" s="448"/>
      <c r="KQC79" s="449"/>
      <c r="KQD79" s="450"/>
      <c r="KQE79" s="447"/>
      <c r="KQF79" s="448"/>
      <c r="KQH79" s="449"/>
      <c r="KQI79" s="450"/>
      <c r="KQJ79" s="452"/>
      <c r="KQK79" s="448"/>
      <c r="KQL79" s="449"/>
      <c r="KQM79" s="450"/>
      <c r="KQN79" s="452"/>
      <c r="KQO79" s="448"/>
      <c r="KQP79" s="455"/>
      <c r="KQQ79" s="449"/>
      <c r="KQR79" s="450"/>
      <c r="KQS79" s="459"/>
      <c r="KQT79" s="448"/>
      <c r="KQU79" s="456"/>
      <c r="KQV79" s="449"/>
      <c r="KQW79" s="450"/>
      <c r="KQX79" s="452"/>
      <c r="KQY79" s="448"/>
      <c r="KQZ79" s="449"/>
      <c r="KRA79" s="450"/>
      <c r="KRB79" s="452"/>
      <c r="KRC79" s="448"/>
      <c r="KRD79" s="449"/>
      <c r="KRE79" s="450"/>
      <c r="KRF79" s="447"/>
      <c r="KRG79" s="448"/>
      <c r="KRH79" s="457"/>
      <c r="KRI79" s="460"/>
      <c r="KRJ79" s="450"/>
      <c r="KRK79" s="461"/>
      <c r="KRL79" s="448"/>
      <c r="KRM79" s="456"/>
      <c r="KRN79" s="449"/>
      <c r="KRO79" s="450"/>
      <c r="KRP79" s="452"/>
      <c r="KRQ79" s="448"/>
      <c r="KRR79" s="456"/>
      <c r="KRS79" s="458"/>
      <c r="KRT79" s="458"/>
      <c r="KRV79" s="454"/>
      <c r="KRW79" s="450"/>
      <c r="KRX79" s="454"/>
      <c r="KRY79" s="448"/>
      <c r="KRZ79" s="449"/>
      <c r="KSA79" s="450"/>
      <c r="KSB79" s="447"/>
      <c r="KSC79" s="448"/>
      <c r="KSD79" s="449"/>
      <c r="KSE79" s="450"/>
      <c r="KSF79" s="447"/>
      <c r="KSG79" s="451"/>
      <c r="KSH79" s="449"/>
      <c r="KSI79" s="450"/>
      <c r="KSJ79" s="447"/>
      <c r="KSK79" s="451"/>
      <c r="KSL79" s="449"/>
      <c r="KSM79" s="450"/>
      <c r="KSN79" s="447"/>
      <c r="KSO79" s="451"/>
      <c r="KSP79" s="449"/>
      <c r="KSQ79" s="450"/>
      <c r="KSR79" s="452"/>
      <c r="KSS79" s="451"/>
      <c r="KST79" s="449"/>
      <c r="KSU79" s="450"/>
      <c r="KSV79" s="447"/>
      <c r="KSW79" s="448"/>
      <c r="KSX79" s="453"/>
      <c r="KSY79" s="449"/>
      <c r="KSZ79" s="450"/>
      <c r="KTA79" s="454"/>
      <c r="KTB79" s="448"/>
      <c r="KTD79" s="449"/>
      <c r="KTE79" s="450"/>
      <c r="KTF79" s="452"/>
      <c r="KTG79" s="448"/>
      <c r="KTI79" s="449"/>
      <c r="KTJ79" s="450"/>
      <c r="KTK79" s="447"/>
      <c r="KTL79" s="448"/>
      <c r="KTN79" s="449"/>
      <c r="KTO79" s="450"/>
      <c r="KTP79" s="452"/>
      <c r="KTQ79" s="448"/>
      <c r="KTR79" s="449"/>
      <c r="KTS79" s="450"/>
      <c r="KTT79" s="452"/>
      <c r="KTU79" s="448"/>
      <c r="KTV79" s="455"/>
      <c r="KTW79" s="449"/>
      <c r="KTX79" s="450"/>
      <c r="KTY79" s="459"/>
      <c r="KTZ79" s="448"/>
      <c r="KUA79" s="456"/>
      <c r="KUB79" s="449"/>
      <c r="KUC79" s="450"/>
      <c r="KUD79" s="452"/>
      <c r="KUE79" s="448"/>
      <c r="KUF79" s="449"/>
      <c r="KUG79" s="450"/>
      <c r="KUH79" s="452"/>
      <c r="KUI79" s="448"/>
      <c r="KUJ79" s="449"/>
      <c r="KUK79" s="450"/>
      <c r="KUL79" s="447"/>
      <c r="KUM79" s="448"/>
      <c r="KUN79" s="457"/>
      <c r="KUO79" s="460"/>
      <c r="KUP79" s="450"/>
      <c r="KUQ79" s="461"/>
      <c r="KUR79" s="448"/>
      <c r="KUS79" s="456"/>
      <c r="KUT79" s="449"/>
      <c r="KUU79" s="450"/>
      <c r="KUV79" s="452"/>
      <c r="KUW79" s="448"/>
      <c r="KUX79" s="456"/>
      <c r="KUY79" s="458"/>
      <c r="KUZ79" s="458"/>
      <c r="KVB79" s="454"/>
      <c r="KVC79" s="450"/>
      <c r="KVD79" s="454"/>
      <c r="KVE79" s="448"/>
      <c r="KVF79" s="449"/>
      <c r="KVG79" s="450"/>
      <c r="KVH79" s="447"/>
      <c r="KVI79" s="448"/>
      <c r="KVJ79" s="449"/>
      <c r="KVK79" s="450"/>
      <c r="KVL79" s="447"/>
      <c r="KVM79" s="451"/>
      <c r="KVN79" s="449"/>
      <c r="KVO79" s="450"/>
      <c r="KVP79" s="447"/>
      <c r="KVQ79" s="451"/>
      <c r="KVR79" s="449"/>
      <c r="KVS79" s="450"/>
      <c r="KVT79" s="447"/>
      <c r="KVU79" s="451"/>
      <c r="KVV79" s="449"/>
      <c r="KVW79" s="450"/>
      <c r="KVX79" s="452"/>
      <c r="KVY79" s="451"/>
      <c r="KVZ79" s="449"/>
      <c r="KWA79" s="450"/>
      <c r="KWB79" s="447"/>
      <c r="KWC79" s="448"/>
      <c r="KWD79" s="453"/>
      <c r="KWE79" s="449"/>
      <c r="KWF79" s="450"/>
      <c r="KWG79" s="454"/>
      <c r="KWH79" s="448"/>
      <c r="KWJ79" s="449"/>
      <c r="KWK79" s="450"/>
      <c r="KWL79" s="452"/>
      <c r="KWM79" s="448"/>
      <c r="KWO79" s="449"/>
      <c r="KWP79" s="450"/>
      <c r="KWQ79" s="447"/>
      <c r="KWR79" s="448"/>
      <c r="KWT79" s="449"/>
      <c r="KWU79" s="450"/>
      <c r="KWV79" s="452"/>
      <c r="KWW79" s="448"/>
      <c r="KWX79" s="449"/>
      <c r="KWY79" s="450"/>
      <c r="KWZ79" s="452"/>
      <c r="KXA79" s="448"/>
      <c r="KXB79" s="455"/>
      <c r="KXC79" s="449"/>
      <c r="KXD79" s="450"/>
      <c r="KXE79" s="459"/>
      <c r="KXF79" s="448"/>
      <c r="KXG79" s="456"/>
      <c r="KXH79" s="449"/>
      <c r="KXI79" s="450"/>
      <c r="KXJ79" s="452"/>
      <c r="KXK79" s="448"/>
      <c r="KXL79" s="449"/>
      <c r="KXM79" s="450"/>
      <c r="KXN79" s="452"/>
      <c r="KXO79" s="448"/>
      <c r="KXP79" s="449"/>
      <c r="KXQ79" s="450"/>
      <c r="KXR79" s="447"/>
      <c r="KXS79" s="448"/>
      <c r="KXT79" s="457"/>
      <c r="KXU79" s="460"/>
      <c r="KXV79" s="450"/>
      <c r="KXW79" s="461"/>
      <c r="KXX79" s="448"/>
      <c r="KXY79" s="456"/>
      <c r="KXZ79" s="449"/>
      <c r="KYA79" s="450"/>
      <c r="KYB79" s="452"/>
      <c r="KYC79" s="448"/>
      <c r="KYD79" s="456"/>
      <c r="KYE79" s="458"/>
      <c r="KYF79" s="458"/>
      <c r="KYH79" s="454"/>
      <c r="KYI79" s="450"/>
      <c r="KYJ79" s="454"/>
      <c r="KYK79" s="448"/>
      <c r="KYL79" s="449"/>
      <c r="KYM79" s="450"/>
      <c r="KYN79" s="447"/>
      <c r="KYO79" s="448"/>
      <c r="KYP79" s="449"/>
      <c r="KYQ79" s="450"/>
      <c r="KYR79" s="447"/>
      <c r="KYS79" s="451"/>
      <c r="KYT79" s="449"/>
      <c r="KYU79" s="450"/>
      <c r="KYV79" s="447"/>
      <c r="KYW79" s="451"/>
      <c r="KYX79" s="449"/>
      <c r="KYY79" s="450"/>
      <c r="KYZ79" s="447"/>
      <c r="KZA79" s="451"/>
      <c r="KZB79" s="449"/>
      <c r="KZC79" s="450"/>
      <c r="KZD79" s="452"/>
      <c r="KZE79" s="451"/>
      <c r="KZF79" s="449"/>
      <c r="KZG79" s="450"/>
      <c r="KZH79" s="447"/>
      <c r="KZI79" s="448"/>
      <c r="KZJ79" s="453"/>
      <c r="KZK79" s="449"/>
      <c r="KZL79" s="450"/>
      <c r="KZM79" s="454"/>
      <c r="KZN79" s="448"/>
      <c r="KZP79" s="449"/>
      <c r="KZQ79" s="450"/>
      <c r="KZR79" s="452"/>
      <c r="KZS79" s="448"/>
      <c r="KZU79" s="449"/>
      <c r="KZV79" s="450"/>
      <c r="KZW79" s="447"/>
      <c r="KZX79" s="448"/>
      <c r="KZZ79" s="449"/>
      <c r="LAA79" s="450"/>
      <c r="LAB79" s="452"/>
      <c r="LAC79" s="448"/>
      <c r="LAD79" s="449"/>
      <c r="LAE79" s="450"/>
      <c r="LAF79" s="452"/>
      <c r="LAG79" s="448"/>
      <c r="LAH79" s="455"/>
      <c r="LAI79" s="449"/>
      <c r="LAJ79" s="450"/>
      <c r="LAK79" s="459"/>
      <c r="LAL79" s="448"/>
      <c r="LAM79" s="456"/>
      <c r="LAN79" s="449"/>
      <c r="LAO79" s="450"/>
      <c r="LAP79" s="452"/>
      <c r="LAQ79" s="448"/>
      <c r="LAR79" s="449"/>
      <c r="LAS79" s="450"/>
      <c r="LAT79" s="452"/>
      <c r="LAU79" s="448"/>
      <c r="LAV79" s="449"/>
      <c r="LAW79" s="450"/>
      <c r="LAX79" s="447"/>
      <c r="LAY79" s="448"/>
      <c r="LAZ79" s="457"/>
      <c r="LBA79" s="460"/>
      <c r="LBB79" s="450"/>
      <c r="LBC79" s="461"/>
      <c r="LBD79" s="448"/>
      <c r="LBE79" s="456"/>
      <c r="LBF79" s="449"/>
      <c r="LBG79" s="450"/>
      <c r="LBH79" s="452"/>
      <c r="LBI79" s="448"/>
      <c r="LBJ79" s="456"/>
      <c r="LBK79" s="458"/>
      <c r="LBL79" s="458"/>
      <c r="LBN79" s="454"/>
      <c r="LBO79" s="450"/>
      <c r="LBP79" s="454"/>
      <c r="LBQ79" s="448"/>
      <c r="LBR79" s="449"/>
      <c r="LBS79" s="450"/>
      <c r="LBT79" s="447"/>
      <c r="LBU79" s="448"/>
      <c r="LBV79" s="449"/>
      <c r="LBW79" s="450"/>
      <c r="LBX79" s="447"/>
      <c r="LBY79" s="451"/>
      <c r="LBZ79" s="449"/>
      <c r="LCA79" s="450"/>
      <c r="LCB79" s="447"/>
      <c r="LCC79" s="451"/>
      <c r="LCD79" s="449"/>
      <c r="LCE79" s="450"/>
      <c r="LCF79" s="447"/>
      <c r="LCG79" s="451"/>
      <c r="LCH79" s="449"/>
      <c r="LCI79" s="450"/>
      <c r="LCJ79" s="452"/>
      <c r="LCK79" s="451"/>
      <c r="LCL79" s="449"/>
      <c r="LCM79" s="450"/>
      <c r="LCN79" s="447"/>
      <c r="LCO79" s="448"/>
      <c r="LCP79" s="453"/>
      <c r="LCQ79" s="449"/>
      <c r="LCR79" s="450"/>
      <c r="LCS79" s="454"/>
      <c r="LCT79" s="448"/>
      <c r="LCV79" s="449"/>
      <c r="LCW79" s="450"/>
      <c r="LCX79" s="452"/>
      <c r="LCY79" s="448"/>
      <c r="LDA79" s="449"/>
      <c r="LDB79" s="450"/>
      <c r="LDC79" s="447"/>
      <c r="LDD79" s="448"/>
      <c r="LDF79" s="449"/>
      <c r="LDG79" s="450"/>
      <c r="LDH79" s="452"/>
      <c r="LDI79" s="448"/>
      <c r="LDJ79" s="449"/>
      <c r="LDK79" s="450"/>
      <c r="LDL79" s="452"/>
      <c r="LDM79" s="448"/>
      <c r="LDN79" s="455"/>
      <c r="LDO79" s="449"/>
      <c r="LDP79" s="450"/>
      <c r="LDQ79" s="459"/>
      <c r="LDR79" s="448"/>
      <c r="LDS79" s="456"/>
      <c r="LDT79" s="449"/>
      <c r="LDU79" s="450"/>
      <c r="LDV79" s="452"/>
      <c r="LDW79" s="448"/>
      <c r="LDX79" s="449"/>
      <c r="LDY79" s="450"/>
      <c r="LDZ79" s="452"/>
      <c r="LEA79" s="448"/>
      <c r="LEB79" s="449"/>
      <c r="LEC79" s="450"/>
      <c r="LED79" s="447"/>
      <c r="LEE79" s="448"/>
      <c r="LEF79" s="457"/>
      <c r="LEG79" s="460"/>
      <c r="LEH79" s="450"/>
      <c r="LEI79" s="461"/>
      <c r="LEJ79" s="448"/>
      <c r="LEK79" s="456"/>
      <c r="LEL79" s="449"/>
      <c r="LEM79" s="450"/>
      <c r="LEN79" s="452"/>
      <c r="LEO79" s="448"/>
      <c r="LEP79" s="456"/>
      <c r="LEQ79" s="458"/>
      <c r="LER79" s="458"/>
      <c r="LET79" s="454"/>
      <c r="LEU79" s="450"/>
      <c r="LEV79" s="454"/>
      <c r="LEW79" s="448"/>
      <c r="LEX79" s="449"/>
      <c r="LEY79" s="450"/>
      <c r="LEZ79" s="447"/>
      <c r="LFA79" s="448"/>
      <c r="LFB79" s="449"/>
      <c r="LFC79" s="450"/>
      <c r="LFD79" s="447"/>
      <c r="LFE79" s="451"/>
      <c r="LFF79" s="449"/>
      <c r="LFG79" s="450"/>
      <c r="LFH79" s="447"/>
      <c r="LFI79" s="451"/>
      <c r="LFJ79" s="449"/>
      <c r="LFK79" s="450"/>
      <c r="LFL79" s="447"/>
      <c r="LFM79" s="451"/>
      <c r="LFN79" s="449"/>
      <c r="LFO79" s="450"/>
      <c r="LFP79" s="452"/>
      <c r="LFQ79" s="451"/>
      <c r="LFR79" s="449"/>
      <c r="LFS79" s="450"/>
      <c r="LFT79" s="447"/>
      <c r="LFU79" s="448"/>
      <c r="LFV79" s="453"/>
      <c r="LFW79" s="449"/>
      <c r="LFX79" s="450"/>
      <c r="LFY79" s="454"/>
      <c r="LFZ79" s="448"/>
      <c r="LGB79" s="449"/>
      <c r="LGC79" s="450"/>
      <c r="LGD79" s="452"/>
      <c r="LGE79" s="448"/>
      <c r="LGG79" s="449"/>
      <c r="LGH79" s="450"/>
      <c r="LGI79" s="447"/>
      <c r="LGJ79" s="448"/>
      <c r="LGL79" s="449"/>
      <c r="LGM79" s="450"/>
      <c r="LGN79" s="452"/>
      <c r="LGO79" s="448"/>
      <c r="LGP79" s="449"/>
      <c r="LGQ79" s="450"/>
      <c r="LGR79" s="452"/>
      <c r="LGS79" s="448"/>
      <c r="LGT79" s="455"/>
      <c r="LGU79" s="449"/>
      <c r="LGV79" s="450"/>
      <c r="LGW79" s="459"/>
      <c r="LGX79" s="448"/>
      <c r="LGY79" s="456"/>
      <c r="LGZ79" s="449"/>
      <c r="LHA79" s="450"/>
      <c r="LHB79" s="452"/>
      <c r="LHC79" s="448"/>
      <c r="LHD79" s="449"/>
      <c r="LHE79" s="450"/>
      <c r="LHF79" s="452"/>
      <c r="LHG79" s="448"/>
      <c r="LHH79" s="449"/>
      <c r="LHI79" s="450"/>
      <c r="LHJ79" s="447"/>
      <c r="LHK79" s="448"/>
      <c r="LHL79" s="457"/>
      <c r="LHM79" s="460"/>
      <c r="LHN79" s="450"/>
      <c r="LHO79" s="461"/>
      <c r="LHP79" s="448"/>
      <c r="LHQ79" s="456"/>
      <c r="LHR79" s="449"/>
      <c r="LHS79" s="450"/>
      <c r="LHT79" s="452"/>
      <c r="LHU79" s="448"/>
      <c r="LHV79" s="456"/>
      <c r="LHW79" s="458"/>
      <c r="LHX79" s="458"/>
      <c r="LHZ79" s="454"/>
      <c r="LIA79" s="450"/>
      <c r="LIB79" s="454"/>
      <c r="LIC79" s="448"/>
      <c r="LID79" s="449"/>
      <c r="LIE79" s="450"/>
      <c r="LIF79" s="447"/>
      <c r="LIG79" s="448"/>
      <c r="LIH79" s="449"/>
      <c r="LII79" s="450"/>
      <c r="LIJ79" s="447"/>
      <c r="LIK79" s="451"/>
      <c r="LIL79" s="449"/>
      <c r="LIM79" s="450"/>
      <c r="LIN79" s="447"/>
      <c r="LIO79" s="451"/>
      <c r="LIP79" s="449"/>
      <c r="LIQ79" s="450"/>
      <c r="LIR79" s="447"/>
      <c r="LIS79" s="451"/>
      <c r="LIT79" s="449"/>
      <c r="LIU79" s="450"/>
      <c r="LIV79" s="452"/>
      <c r="LIW79" s="451"/>
      <c r="LIX79" s="449"/>
      <c r="LIY79" s="450"/>
      <c r="LIZ79" s="447"/>
      <c r="LJA79" s="448"/>
      <c r="LJB79" s="453"/>
      <c r="LJC79" s="449"/>
      <c r="LJD79" s="450"/>
      <c r="LJE79" s="454"/>
      <c r="LJF79" s="448"/>
      <c r="LJH79" s="449"/>
      <c r="LJI79" s="450"/>
      <c r="LJJ79" s="452"/>
      <c r="LJK79" s="448"/>
      <c r="LJM79" s="449"/>
      <c r="LJN79" s="450"/>
      <c r="LJO79" s="447"/>
      <c r="LJP79" s="448"/>
      <c r="LJR79" s="449"/>
      <c r="LJS79" s="450"/>
      <c r="LJT79" s="452"/>
      <c r="LJU79" s="448"/>
      <c r="LJV79" s="449"/>
      <c r="LJW79" s="450"/>
      <c r="LJX79" s="452"/>
      <c r="LJY79" s="448"/>
      <c r="LJZ79" s="455"/>
      <c r="LKA79" s="449"/>
      <c r="LKB79" s="450"/>
      <c r="LKC79" s="459"/>
      <c r="LKD79" s="448"/>
      <c r="LKE79" s="456"/>
      <c r="LKF79" s="449"/>
      <c r="LKG79" s="450"/>
      <c r="LKH79" s="452"/>
      <c r="LKI79" s="448"/>
      <c r="LKJ79" s="449"/>
      <c r="LKK79" s="450"/>
      <c r="LKL79" s="452"/>
      <c r="LKM79" s="448"/>
      <c r="LKN79" s="449"/>
      <c r="LKO79" s="450"/>
      <c r="LKP79" s="447"/>
      <c r="LKQ79" s="448"/>
      <c r="LKR79" s="457"/>
      <c r="LKS79" s="460"/>
      <c r="LKT79" s="450"/>
      <c r="LKU79" s="461"/>
      <c r="LKV79" s="448"/>
      <c r="LKW79" s="456"/>
      <c r="LKX79" s="449"/>
      <c r="LKY79" s="450"/>
      <c r="LKZ79" s="452"/>
      <c r="LLA79" s="448"/>
      <c r="LLB79" s="456"/>
      <c r="LLC79" s="458"/>
      <c r="LLD79" s="458"/>
      <c r="LLF79" s="454"/>
      <c r="LLG79" s="450"/>
      <c r="LLH79" s="454"/>
      <c r="LLI79" s="448"/>
      <c r="LLJ79" s="449"/>
      <c r="LLK79" s="450"/>
      <c r="LLL79" s="447"/>
      <c r="LLM79" s="448"/>
      <c r="LLN79" s="449"/>
      <c r="LLO79" s="450"/>
      <c r="LLP79" s="447"/>
      <c r="LLQ79" s="451"/>
      <c r="LLR79" s="449"/>
      <c r="LLS79" s="450"/>
      <c r="LLT79" s="447"/>
      <c r="LLU79" s="451"/>
      <c r="LLV79" s="449"/>
      <c r="LLW79" s="450"/>
      <c r="LLX79" s="447"/>
      <c r="LLY79" s="451"/>
      <c r="LLZ79" s="449"/>
      <c r="LMA79" s="450"/>
      <c r="LMB79" s="452"/>
      <c r="LMC79" s="451"/>
      <c r="LMD79" s="449"/>
      <c r="LME79" s="450"/>
      <c r="LMF79" s="447"/>
      <c r="LMG79" s="448"/>
      <c r="LMH79" s="453"/>
      <c r="LMI79" s="449"/>
      <c r="LMJ79" s="450"/>
      <c r="LMK79" s="454"/>
      <c r="LML79" s="448"/>
      <c r="LMN79" s="449"/>
      <c r="LMO79" s="450"/>
      <c r="LMP79" s="452"/>
      <c r="LMQ79" s="448"/>
      <c r="LMS79" s="449"/>
      <c r="LMT79" s="450"/>
      <c r="LMU79" s="447"/>
      <c r="LMV79" s="448"/>
      <c r="LMX79" s="449"/>
      <c r="LMY79" s="450"/>
      <c r="LMZ79" s="452"/>
      <c r="LNA79" s="448"/>
      <c r="LNB79" s="449"/>
      <c r="LNC79" s="450"/>
      <c r="LND79" s="452"/>
      <c r="LNE79" s="448"/>
      <c r="LNF79" s="455"/>
      <c r="LNG79" s="449"/>
      <c r="LNH79" s="450"/>
      <c r="LNI79" s="459"/>
      <c r="LNJ79" s="448"/>
      <c r="LNK79" s="456"/>
      <c r="LNL79" s="449"/>
      <c r="LNM79" s="450"/>
      <c r="LNN79" s="452"/>
      <c r="LNO79" s="448"/>
      <c r="LNP79" s="449"/>
      <c r="LNQ79" s="450"/>
      <c r="LNR79" s="452"/>
      <c r="LNS79" s="448"/>
      <c r="LNT79" s="449"/>
      <c r="LNU79" s="450"/>
      <c r="LNV79" s="447"/>
      <c r="LNW79" s="448"/>
      <c r="LNX79" s="457"/>
      <c r="LNY79" s="460"/>
      <c r="LNZ79" s="450"/>
      <c r="LOA79" s="461"/>
      <c r="LOB79" s="448"/>
      <c r="LOC79" s="456"/>
      <c r="LOD79" s="449"/>
      <c r="LOE79" s="450"/>
      <c r="LOF79" s="452"/>
      <c r="LOG79" s="448"/>
      <c r="LOH79" s="456"/>
      <c r="LOI79" s="458"/>
      <c r="LOJ79" s="458"/>
      <c r="LOL79" s="454"/>
      <c r="LOM79" s="450"/>
      <c r="LON79" s="454"/>
      <c r="LOO79" s="448"/>
      <c r="LOP79" s="449"/>
      <c r="LOQ79" s="450"/>
      <c r="LOR79" s="447"/>
      <c r="LOS79" s="448"/>
      <c r="LOT79" s="449"/>
      <c r="LOU79" s="450"/>
      <c r="LOV79" s="447"/>
      <c r="LOW79" s="451"/>
      <c r="LOX79" s="449"/>
      <c r="LOY79" s="450"/>
      <c r="LOZ79" s="447"/>
      <c r="LPA79" s="451"/>
      <c r="LPB79" s="449"/>
      <c r="LPC79" s="450"/>
      <c r="LPD79" s="447"/>
      <c r="LPE79" s="451"/>
      <c r="LPF79" s="449"/>
      <c r="LPG79" s="450"/>
      <c r="LPH79" s="452"/>
      <c r="LPI79" s="451"/>
      <c r="LPJ79" s="449"/>
      <c r="LPK79" s="450"/>
      <c r="LPL79" s="447"/>
      <c r="LPM79" s="448"/>
      <c r="LPN79" s="453"/>
      <c r="LPO79" s="449"/>
      <c r="LPP79" s="450"/>
      <c r="LPQ79" s="454"/>
      <c r="LPR79" s="448"/>
      <c r="LPT79" s="449"/>
      <c r="LPU79" s="450"/>
      <c r="LPV79" s="452"/>
      <c r="LPW79" s="448"/>
      <c r="LPY79" s="449"/>
      <c r="LPZ79" s="450"/>
      <c r="LQA79" s="447"/>
      <c r="LQB79" s="448"/>
      <c r="LQD79" s="449"/>
      <c r="LQE79" s="450"/>
      <c r="LQF79" s="452"/>
      <c r="LQG79" s="448"/>
      <c r="LQH79" s="449"/>
      <c r="LQI79" s="450"/>
      <c r="LQJ79" s="452"/>
      <c r="LQK79" s="448"/>
      <c r="LQL79" s="455"/>
      <c r="LQM79" s="449"/>
      <c r="LQN79" s="450"/>
      <c r="LQO79" s="459"/>
      <c r="LQP79" s="448"/>
      <c r="LQQ79" s="456"/>
      <c r="LQR79" s="449"/>
      <c r="LQS79" s="450"/>
      <c r="LQT79" s="452"/>
      <c r="LQU79" s="448"/>
      <c r="LQV79" s="449"/>
      <c r="LQW79" s="450"/>
      <c r="LQX79" s="452"/>
      <c r="LQY79" s="448"/>
      <c r="LQZ79" s="449"/>
      <c r="LRA79" s="450"/>
      <c r="LRB79" s="447"/>
      <c r="LRC79" s="448"/>
      <c r="LRD79" s="457"/>
      <c r="LRE79" s="460"/>
      <c r="LRF79" s="450"/>
      <c r="LRG79" s="461"/>
      <c r="LRH79" s="448"/>
      <c r="LRI79" s="456"/>
      <c r="LRJ79" s="449"/>
      <c r="LRK79" s="450"/>
      <c r="LRL79" s="452"/>
      <c r="LRM79" s="448"/>
      <c r="LRN79" s="456"/>
      <c r="LRO79" s="458"/>
      <c r="LRP79" s="458"/>
      <c r="LRR79" s="454"/>
      <c r="LRS79" s="450"/>
      <c r="LRT79" s="454"/>
      <c r="LRU79" s="448"/>
      <c r="LRV79" s="449"/>
      <c r="LRW79" s="450"/>
      <c r="LRX79" s="447"/>
      <c r="LRY79" s="448"/>
      <c r="LRZ79" s="449"/>
      <c r="LSA79" s="450"/>
      <c r="LSB79" s="447"/>
      <c r="LSC79" s="451"/>
      <c r="LSD79" s="449"/>
      <c r="LSE79" s="450"/>
      <c r="LSF79" s="447"/>
      <c r="LSG79" s="451"/>
      <c r="LSH79" s="449"/>
      <c r="LSI79" s="450"/>
      <c r="LSJ79" s="447"/>
      <c r="LSK79" s="451"/>
      <c r="LSL79" s="449"/>
      <c r="LSM79" s="450"/>
      <c r="LSN79" s="452"/>
      <c r="LSO79" s="451"/>
      <c r="LSP79" s="449"/>
      <c r="LSQ79" s="450"/>
      <c r="LSR79" s="447"/>
      <c r="LSS79" s="448"/>
      <c r="LST79" s="453"/>
      <c r="LSU79" s="449"/>
      <c r="LSV79" s="450"/>
      <c r="LSW79" s="454"/>
      <c r="LSX79" s="448"/>
      <c r="LSZ79" s="449"/>
      <c r="LTA79" s="450"/>
      <c r="LTB79" s="452"/>
      <c r="LTC79" s="448"/>
      <c r="LTE79" s="449"/>
      <c r="LTF79" s="450"/>
      <c r="LTG79" s="447"/>
      <c r="LTH79" s="448"/>
      <c r="LTJ79" s="449"/>
      <c r="LTK79" s="450"/>
      <c r="LTL79" s="452"/>
      <c r="LTM79" s="448"/>
      <c r="LTN79" s="449"/>
      <c r="LTO79" s="450"/>
      <c r="LTP79" s="452"/>
      <c r="LTQ79" s="448"/>
      <c r="LTR79" s="455"/>
      <c r="LTS79" s="449"/>
      <c r="LTT79" s="450"/>
      <c r="LTU79" s="459"/>
      <c r="LTV79" s="448"/>
      <c r="LTW79" s="456"/>
      <c r="LTX79" s="449"/>
      <c r="LTY79" s="450"/>
      <c r="LTZ79" s="452"/>
      <c r="LUA79" s="448"/>
      <c r="LUB79" s="449"/>
      <c r="LUC79" s="450"/>
      <c r="LUD79" s="452"/>
      <c r="LUE79" s="448"/>
      <c r="LUF79" s="449"/>
      <c r="LUG79" s="450"/>
      <c r="LUH79" s="447"/>
      <c r="LUI79" s="448"/>
      <c r="LUJ79" s="457"/>
      <c r="LUK79" s="460"/>
      <c r="LUL79" s="450"/>
      <c r="LUM79" s="461"/>
      <c r="LUN79" s="448"/>
      <c r="LUO79" s="456"/>
      <c r="LUP79" s="449"/>
      <c r="LUQ79" s="450"/>
      <c r="LUR79" s="452"/>
      <c r="LUS79" s="448"/>
      <c r="LUT79" s="456"/>
      <c r="LUU79" s="458"/>
      <c r="LUV79" s="458"/>
      <c r="LUX79" s="454"/>
      <c r="LUY79" s="450"/>
      <c r="LUZ79" s="454"/>
      <c r="LVA79" s="448"/>
      <c r="LVB79" s="449"/>
      <c r="LVC79" s="450"/>
      <c r="LVD79" s="447"/>
      <c r="LVE79" s="448"/>
      <c r="LVF79" s="449"/>
      <c r="LVG79" s="450"/>
      <c r="LVH79" s="447"/>
      <c r="LVI79" s="451"/>
      <c r="LVJ79" s="449"/>
      <c r="LVK79" s="450"/>
      <c r="LVL79" s="447"/>
      <c r="LVM79" s="451"/>
      <c r="LVN79" s="449"/>
      <c r="LVO79" s="450"/>
      <c r="LVP79" s="447"/>
      <c r="LVQ79" s="451"/>
      <c r="LVR79" s="449"/>
      <c r="LVS79" s="450"/>
      <c r="LVT79" s="452"/>
      <c r="LVU79" s="451"/>
      <c r="LVV79" s="449"/>
      <c r="LVW79" s="450"/>
      <c r="LVX79" s="447"/>
      <c r="LVY79" s="448"/>
      <c r="LVZ79" s="453"/>
      <c r="LWA79" s="449"/>
      <c r="LWB79" s="450"/>
      <c r="LWC79" s="454"/>
      <c r="LWD79" s="448"/>
      <c r="LWF79" s="449"/>
      <c r="LWG79" s="450"/>
      <c r="LWH79" s="452"/>
      <c r="LWI79" s="448"/>
      <c r="LWK79" s="449"/>
      <c r="LWL79" s="450"/>
      <c r="LWM79" s="447"/>
      <c r="LWN79" s="448"/>
      <c r="LWP79" s="449"/>
      <c r="LWQ79" s="450"/>
      <c r="LWR79" s="452"/>
      <c r="LWS79" s="448"/>
      <c r="LWT79" s="449"/>
      <c r="LWU79" s="450"/>
      <c r="LWV79" s="452"/>
      <c r="LWW79" s="448"/>
      <c r="LWX79" s="455"/>
      <c r="LWY79" s="449"/>
      <c r="LWZ79" s="450"/>
      <c r="LXA79" s="459"/>
      <c r="LXB79" s="448"/>
      <c r="LXC79" s="456"/>
      <c r="LXD79" s="449"/>
      <c r="LXE79" s="450"/>
      <c r="LXF79" s="452"/>
      <c r="LXG79" s="448"/>
      <c r="LXH79" s="449"/>
      <c r="LXI79" s="450"/>
      <c r="LXJ79" s="452"/>
      <c r="LXK79" s="448"/>
      <c r="LXL79" s="449"/>
      <c r="LXM79" s="450"/>
      <c r="LXN79" s="447"/>
      <c r="LXO79" s="448"/>
      <c r="LXP79" s="457"/>
      <c r="LXQ79" s="460"/>
      <c r="LXR79" s="450"/>
      <c r="LXS79" s="461"/>
      <c r="LXT79" s="448"/>
      <c r="LXU79" s="456"/>
      <c r="LXV79" s="449"/>
      <c r="LXW79" s="450"/>
      <c r="LXX79" s="452"/>
      <c r="LXY79" s="448"/>
      <c r="LXZ79" s="456"/>
      <c r="LYA79" s="458"/>
      <c r="LYB79" s="458"/>
      <c r="LYD79" s="454"/>
      <c r="LYE79" s="450"/>
      <c r="LYF79" s="454"/>
      <c r="LYG79" s="448"/>
      <c r="LYH79" s="449"/>
      <c r="LYI79" s="450"/>
      <c r="LYJ79" s="447"/>
      <c r="LYK79" s="448"/>
      <c r="LYL79" s="449"/>
      <c r="LYM79" s="450"/>
      <c r="LYN79" s="447"/>
      <c r="LYO79" s="451"/>
      <c r="LYP79" s="449"/>
      <c r="LYQ79" s="450"/>
      <c r="LYR79" s="447"/>
      <c r="LYS79" s="451"/>
      <c r="LYT79" s="449"/>
      <c r="LYU79" s="450"/>
      <c r="LYV79" s="447"/>
      <c r="LYW79" s="451"/>
      <c r="LYX79" s="449"/>
      <c r="LYY79" s="450"/>
      <c r="LYZ79" s="452"/>
      <c r="LZA79" s="451"/>
      <c r="LZB79" s="449"/>
      <c r="LZC79" s="450"/>
      <c r="LZD79" s="447"/>
      <c r="LZE79" s="448"/>
      <c r="LZF79" s="453"/>
      <c r="LZG79" s="449"/>
      <c r="LZH79" s="450"/>
      <c r="LZI79" s="454"/>
      <c r="LZJ79" s="448"/>
      <c r="LZL79" s="449"/>
      <c r="LZM79" s="450"/>
      <c r="LZN79" s="452"/>
      <c r="LZO79" s="448"/>
      <c r="LZQ79" s="449"/>
      <c r="LZR79" s="450"/>
      <c r="LZS79" s="447"/>
      <c r="LZT79" s="448"/>
      <c r="LZV79" s="449"/>
      <c r="LZW79" s="450"/>
      <c r="LZX79" s="452"/>
      <c r="LZY79" s="448"/>
      <c r="LZZ79" s="449"/>
      <c r="MAA79" s="450"/>
      <c r="MAB79" s="452"/>
      <c r="MAC79" s="448"/>
      <c r="MAD79" s="455"/>
      <c r="MAE79" s="449"/>
      <c r="MAF79" s="450"/>
      <c r="MAG79" s="459"/>
      <c r="MAH79" s="448"/>
      <c r="MAI79" s="456"/>
      <c r="MAJ79" s="449"/>
      <c r="MAK79" s="450"/>
      <c r="MAL79" s="452"/>
      <c r="MAM79" s="448"/>
      <c r="MAN79" s="449"/>
      <c r="MAO79" s="450"/>
      <c r="MAP79" s="452"/>
      <c r="MAQ79" s="448"/>
      <c r="MAR79" s="449"/>
      <c r="MAS79" s="450"/>
      <c r="MAT79" s="447"/>
      <c r="MAU79" s="448"/>
      <c r="MAV79" s="457"/>
      <c r="MAW79" s="460"/>
      <c r="MAX79" s="450"/>
      <c r="MAY79" s="461"/>
      <c r="MAZ79" s="448"/>
      <c r="MBA79" s="456"/>
      <c r="MBB79" s="449"/>
      <c r="MBC79" s="450"/>
      <c r="MBD79" s="452"/>
      <c r="MBE79" s="448"/>
      <c r="MBF79" s="456"/>
      <c r="MBG79" s="458"/>
      <c r="MBH79" s="458"/>
      <c r="MBJ79" s="454"/>
      <c r="MBK79" s="450"/>
      <c r="MBL79" s="454"/>
      <c r="MBM79" s="448"/>
      <c r="MBN79" s="449"/>
      <c r="MBO79" s="450"/>
      <c r="MBP79" s="447"/>
      <c r="MBQ79" s="448"/>
      <c r="MBR79" s="449"/>
      <c r="MBS79" s="450"/>
      <c r="MBT79" s="447"/>
      <c r="MBU79" s="451"/>
      <c r="MBV79" s="449"/>
      <c r="MBW79" s="450"/>
      <c r="MBX79" s="447"/>
      <c r="MBY79" s="451"/>
      <c r="MBZ79" s="449"/>
      <c r="MCA79" s="450"/>
      <c r="MCB79" s="447"/>
      <c r="MCC79" s="451"/>
      <c r="MCD79" s="449"/>
      <c r="MCE79" s="450"/>
      <c r="MCF79" s="452"/>
      <c r="MCG79" s="451"/>
      <c r="MCH79" s="449"/>
      <c r="MCI79" s="450"/>
      <c r="MCJ79" s="447"/>
      <c r="MCK79" s="448"/>
      <c r="MCL79" s="453"/>
      <c r="MCM79" s="449"/>
      <c r="MCN79" s="450"/>
      <c r="MCO79" s="454"/>
      <c r="MCP79" s="448"/>
      <c r="MCR79" s="449"/>
      <c r="MCS79" s="450"/>
      <c r="MCT79" s="452"/>
      <c r="MCU79" s="448"/>
      <c r="MCW79" s="449"/>
      <c r="MCX79" s="450"/>
      <c r="MCY79" s="447"/>
      <c r="MCZ79" s="448"/>
      <c r="MDB79" s="449"/>
      <c r="MDC79" s="450"/>
      <c r="MDD79" s="452"/>
      <c r="MDE79" s="448"/>
      <c r="MDF79" s="449"/>
      <c r="MDG79" s="450"/>
      <c r="MDH79" s="452"/>
      <c r="MDI79" s="448"/>
      <c r="MDJ79" s="455"/>
      <c r="MDK79" s="449"/>
      <c r="MDL79" s="450"/>
      <c r="MDM79" s="459"/>
      <c r="MDN79" s="448"/>
      <c r="MDO79" s="456"/>
      <c r="MDP79" s="449"/>
      <c r="MDQ79" s="450"/>
      <c r="MDR79" s="452"/>
      <c r="MDS79" s="448"/>
      <c r="MDT79" s="449"/>
      <c r="MDU79" s="450"/>
      <c r="MDV79" s="452"/>
      <c r="MDW79" s="448"/>
      <c r="MDX79" s="449"/>
      <c r="MDY79" s="450"/>
      <c r="MDZ79" s="447"/>
      <c r="MEA79" s="448"/>
      <c r="MEB79" s="457"/>
      <c r="MEC79" s="460"/>
      <c r="MED79" s="450"/>
      <c r="MEE79" s="461"/>
      <c r="MEF79" s="448"/>
      <c r="MEG79" s="456"/>
      <c r="MEH79" s="449"/>
      <c r="MEI79" s="450"/>
      <c r="MEJ79" s="452"/>
      <c r="MEK79" s="448"/>
      <c r="MEL79" s="456"/>
      <c r="MEM79" s="458"/>
      <c r="MEN79" s="458"/>
      <c r="MEP79" s="454"/>
      <c r="MEQ79" s="450"/>
      <c r="MER79" s="454"/>
      <c r="MES79" s="448"/>
      <c r="MET79" s="449"/>
      <c r="MEU79" s="450"/>
      <c r="MEV79" s="447"/>
      <c r="MEW79" s="448"/>
      <c r="MEX79" s="449"/>
      <c r="MEY79" s="450"/>
      <c r="MEZ79" s="447"/>
      <c r="MFA79" s="451"/>
      <c r="MFB79" s="449"/>
      <c r="MFC79" s="450"/>
      <c r="MFD79" s="447"/>
      <c r="MFE79" s="451"/>
      <c r="MFF79" s="449"/>
      <c r="MFG79" s="450"/>
      <c r="MFH79" s="447"/>
      <c r="MFI79" s="451"/>
      <c r="MFJ79" s="449"/>
      <c r="MFK79" s="450"/>
      <c r="MFL79" s="452"/>
      <c r="MFM79" s="451"/>
      <c r="MFN79" s="449"/>
      <c r="MFO79" s="450"/>
      <c r="MFP79" s="447"/>
      <c r="MFQ79" s="448"/>
      <c r="MFR79" s="453"/>
      <c r="MFS79" s="449"/>
      <c r="MFT79" s="450"/>
      <c r="MFU79" s="454"/>
      <c r="MFV79" s="448"/>
      <c r="MFX79" s="449"/>
      <c r="MFY79" s="450"/>
      <c r="MFZ79" s="452"/>
      <c r="MGA79" s="448"/>
      <c r="MGC79" s="449"/>
      <c r="MGD79" s="450"/>
      <c r="MGE79" s="447"/>
      <c r="MGF79" s="448"/>
      <c r="MGH79" s="449"/>
      <c r="MGI79" s="450"/>
      <c r="MGJ79" s="452"/>
      <c r="MGK79" s="448"/>
      <c r="MGL79" s="449"/>
      <c r="MGM79" s="450"/>
      <c r="MGN79" s="452"/>
      <c r="MGO79" s="448"/>
      <c r="MGP79" s="455"/>
      <c r="MGQ79" s="449"/>
      <c r="MGR79" s="450"/>
      <c r="MGS79" s="459"/>
      <c r="MGT79" s="448"/>
      <c r="MGU79" s="456"/>
      <c r="MGV79" s="449"/>
      <c r="MGW79" s="450"/>
      <c r="MGX79" s="452"/>
      <c r="MGY79" s="448"/>
      <c r="MGZ79" s="449"/>
      <c r="MHA79" s="450"/>
      <c r="MHB79" s="452"/>
      <c r="MHC79" s="448"/>
      <c r="MHD79" s="449"/>
      <c r="MHE79" s="450"/>
      <c r="MHF79" s="447"/>
      <c r="MHG79" s="448"/>
      <c r="MHH79" s="457"/>
      <c r="MHI79" s="460"/>
      <c r="MHJ79" s="450"/>
      <c r="MHK79" s="461"/>
      <c r="MHL79" s="448"/>
      <c r="MHM79" s="456"/>
      <c r="MHN79" s="449"/>
      <c r="MHO79" s="450"/>
      <c r="MHP79" s="452"/>
      <c r="MHQ79" s="448"/>
      <c r="MHR79" s="456"/>
      <c r="MHS79" s="458"/>
      <c r="MHT79" s="458"/>
      <c r="MHV79" s="454"/>
      <c r="MHW79" s="450"/>
      <c r="MHX79" s="454"/>
      <c r="MHY79" s="448"/>
      <c r="MHZ79" s="449"/>
      <c r="MIA79" s="450"/>
      <c r="MIB79" s="447"/>
      <c r="MIC79" s="448"/>
      <c r="MID79" s="449"/>
      <c r="MIE79" s="450"/>
      <c r="MIF79" s="447"/>
      <c r="MIG79" s="451"/>
      <c r="MIH79" s="449"/>
      <c r="MII79" s="450"/>
      <c r="MIJ79" s="447"/>
      <c r="MIK79" s="451"/>
      <c r="MIL79" s="449"/>
      <c r="MIM79" s="450"/>
      <c r="MIN79" s="447"/>
      <c r="MIO79" s="451"/>
      <c r="MIP79" s="449"/>
      <c r="MIQ79" s="450"/>
      <c r="MIR79" s="452"/>
      <c r="MIS79" s="451"/>
      <c r="MIT79" s="449"/>
      <c r="MIU79" s="450"/>
      <c r="MIV79" s="447"/>
      <c r="MIW79" s="448"/>
      <c r="MIX79" s="453"/>
      <c r="MIY79" s="449"/>
      <c r="MIZ79" s="450"/>
      <c r="MJA79" s="454"/>
      <c r="MJB79" s="448"/>
      <c r="MJD79" s="449"/>
      <c r="MJE79" s="450"/>
      <c r="MJF79" s="452"/>
      <c r="MJG79" s="448"/>
      <c r="MJI79" s="449"/>
      <c r="MJJ79" s="450"/>
      <c r="MJK79" s="447"/>
      <c r="MJL79" s="448"/>
      <c r="MJN79" s="449"/>
      <c r="MJO79" s="450"/>
      <c r="MJP79" s="452"/>
      <c r="MJQ79" s="448"/>
      <c r="MJR79" s="449"/>
      <c r="MJS79" s="450"/>
      <c r="MJT79" s="452"/>
      <c r="MJU79" s="448"/>
      <c r="MJV79" s="455"/>
      <c r="MJW79" s="449"/>
      <c r="MJX79" s="450"/>
      <c r="MJY79" s="459"/>
      <c r="MJZ79" s="448"/>
      <c r="MKA79" s="456"/>
      <c r="MKB79" s="449"/>
      <c r="MKC79" s="450"/>
      <c r="MKD79" s="452"/>
      <c r="MKE79" s="448"/>
      <c r="MKF79" s="449"/>
      <c r="MKG79" s="450"/>
      <c r="MKH79" s="452"/>
      <c r="MKI79" s="448"/>
      <c r="MKJ79" s="449"/>
      <c r="MKK79" s="450"/>
      <c r="MKL79" s="447"/>
      <c r="MKM79" s="448"/>
      <c r="MKN79" s="457"/>
      <c r="MKO79" s="460"/>
      <c r="MKP79" s="450"/>
      <c r="MKQ79" s="461"/>
      <c r="MKR79" s="448"/>
      <c r="MKS79" s="456"/>
      <c r="MKT79" s="449"/>
      <c r="MKU79" s="450"/>
      <c r="MKV79" s="452"/>
      <c r="MKW79" s="448"/>
      <c r="MKX79" s="456"/>
      <c r="MKY79" s="458"/>
      <c r="MKZ79" s="458"/>
      <c r="MLB79" s="454"/>
      <c r="MLC79" s="450"/>
      <c r="MLD79" s="454"/>
      <c r="MLE79" s="448"/>
      <c r="MLF79" s="449"/>
      <c r="MLG79" s="450"/>
      <c r="MLH79" s="447"/>
      <c r="MLI79" s="448"/>
      <c r="MLJ79" s="449"/>
      <c r="MLK79" s="450"/>
      <c r="MLL79" s="447"/>
      <c r="MLM79" s="451"/>
      <c r="MLN79" s="449"/>
      <c r="MLO79" s="450"/>
      <c r="MLP79" s="447"/>
      <c r="MLQ79" s="451"/>
      <c r="MLR79" s="449"/>
      <c r="MLS79" s="450"/>
      <c r="MLT79" s="447"/>
      <c r="MLU79" s="451"/>
      <c r="MLV79" s="449"/>
      <c r="MLW79" s="450"/>
      <c r="MLX79" s="452"/>
      <c r="MLY79" s="451"/>
      <c r="MLZ79" s="449"/>
      <c r="MMA79" s="450"/>
      <c r="MMB79" s="447"/>
      <c r="MMC79" s="448"/>
      <c r="MMD79" s="453"/>
      <c r="MME79" s="449"/>
      <c r="MMF79" s="450"/>
      <c r="MMG79" s="454"/>
      <c r="MMH79" s="448"/>
      <c r="MMJ79" s="449"/>
      <c r="MMK79" s="450"/>
      <c r="MML79" s="452"/>
      <c r="MMM79" s="448"/>
      <c r="MMO79" s="449"/>
      <c r="MMP79" s="450"/>
      <c r="MMQ79" s="447"/>
      <c r="MMR79" s="448"/>
      <c r="MMT79" s="449"/>
      <c r="MMU79" s="450"/>
      <c r="MMV79" s="452"/>
      <c r="MMW79" s="448"/>
      <c r="MMX79" s="449"/>
      <c r="MMY79" s="450"/>
      <c r="MMZ79" s="452"/>
      <c r="MNA79" s="448"/>
      <c r="MNB79" s="455"/>
      <c r="MNC79" s="449"/>
      <c r="MND79" s="450"/>
      <c r="MNE79" s="459"/>
      <c r="MNF79" s="448"/>
      <c r="MNG79" s="456"/>
      <c r="MNH79" s="449"/>
      <c r="MNI79" s="450"/>
      <c r="MNJ79" s="452"/>
      <c r="MNK79" s="448"/>
      <c r="MNL79" s="449"/>
      <c r="MNM79" s="450"/>
      <c r="MNN79" s="452"/>
      <c r="MNO79" s="448"/>
      <c r="MNP79" s="449"/>
      <c r="MNQ79" s="450"/>
      <c r="MNR79" s="447"/>
      <c r="MNS79" s="448"/>
      <c r="MNT79" s="457"/>
      <c r="MNU79" s="460"/>
      <c r="MNV79" s="450"/>
      <c r="MNW79" s="461"/>
      <c r="MNX79" s="448"/>
      <c r="MNY79" s="456"/>
      <c r="MNZ79" s="449"/>
      <c r="MOA79" s="450"/>
      <c r="MOB79" s="452"/>
      <c r="MOC79" s="448"/>
      <c r="MOD79" s="456"/>
      <c r="MOE79" s="458"/>
      <c r="MOF79" s="458"/>
      <c r="MOH79" s="454"/>
      <c r="MOI79" s="450"/>
      <c r="MOJ79" s="454"/>
      <c r="MOK79" s="448"/>
      <c r="MOL79" s="449"/>
      <c r="MOM79" s="450"/>
      <c r="MON79" s="447"/>
      <c r="MOO79" s="448"/>
      <c r="MOP79" s="449"/>
      <c r="MOQ79" s="450"/>
      <c r="MOR79" s="447"/>
      <c r="MOS79" s="451"/>
      <c r="MOT79" s="449"/>
      <c r="MOU79" s="450"/>
      <c r="MOV79" s="447"/>
      <c r="MOW79" s="451"/>
      <c r="MOX79" s="449"/>
      <c r="MOY79" s="450"/>
      <c r="MOZ79" s="447"/>
      <c r="MPA79" s="451"/>
      <c r="MPB79" s="449"/>
      <c r="MPC79" s="450"/>
      <c r="MPD79" s="452"/>
      <c r="MPE79" s="451"/>
      <c r="MPF79" s="449"/>
      <c r="MPG79" s="450"/>
      <c r="MPH79" s="447"/>
      <c r="MPI79" s="448"/>
      <c r="MPJ79" s="453"/>
      <c r="MPK79" s="449"/>
      <c r="MPL79" s="450"/>
      <c r="MPM79" s="454"/>
      <c r="MPN79" s="448"/>
      <c r="MPP79" s="449"/>
      <c r="MPQ79" s="450"/>
      <c r="MPR79" s="452"/>
      <c r="MPS79" s="448"/>
      <c r="MPU79" s="449"/>
      <c r="MPV79" s="450"/>
      <c r="MPW79" s="447"/>
      <c r="MPX79" s="448"/>
      <c r="MPZ79" s="449"/>
      <c r="MQA79" s="450"/>
      <c r="MQB79" s="452"/>
      <c r="MQC79" s="448"/>
      <c r="MQD79" s="449"/>
      <c r="MQE79" s="450"/>
      <c r="MQF79" s="452"/>
      <c r="MQG79" s="448"/>
      <c r="MQH79" s="455"/>
      <c r="MQI79" s="449"/>
      <c r="MQJ79" s="450"/>
      <c r="MQK79" s="459"/>
      <c r="MQL79" s="448"/>
      <c r="MQM79" s="456"/>
      <c r="MQN79" s="449"/>
      <c r="MQO79" s="450"/>
      <c r="MQP79" s="452"/>
      <c r="MQQ79" s="448"/>
      <c r="MQR79" s="449"/>
      <c r="MQS79" s="450"/>
      <c r="MQT79" s="452"/>
      <c r="MQU79" s="448"/>
      <c r="MQV79" s="449"/>
      <c r="MQW79" s="450"/>
      <c r="MQX79" s="447"/>
      <c r="MQY79" s="448"/>
      <c r="MQZ79" s="457"/>
      <c r="MRA79" s="460"/>
      <c r="MRB79" s="450"/>
      <c r="MRC79" s="461"/>
      <c r="MRD79" s="448"/>
      <c r="MRE79" s="456"/>
      <c r="MRF79" s="449"/>
      <c r="MRG79" s="450"/>
      <c r="MRH79" s="452"/>
      <c r="MRI79" s="448"/>
      <c r="MRJ79" s="456"/>
      <c r="MRK79" s="458"/>
      <c r="MRL79" s="458"/>
      <c r="MRN79" s="454"/>
      <c r="MRO79" s="450"/>
      <c r="MRP79" s="454"/>
      <c r="MRQ79" s="448"/>
      <c r="MRR79" s="449"/>
      <c r="MRS79" s="450"/>
      <c r="MRT79" s="447"/>
      <c r="MRU79" s="448"/>
      <c r="MRV79" s="449"/>
      <c r="MRW79" s="450"/>
      <c r="MRX79" s="447"/>
      <c r="MRY79" s="451"/>
      <c r="MRZ79" s="449"/>
      <c r="MSA79" s="450"/>
      <c r="MSB79" s="447"/>
      <c r="MSC79" s="451"/>
      <c r="MSD79" s="449"/>
      <c r="MSE79" s="450"/>
      <c r="MSF79" s="447"/>
      <c r="MSG79" s="451"/>
      <c r="MSH79" s="449"/>
      <c r="MSI79" s="450"/>
      <c r="MSJ79" s="452"/>
      <c r="MSK79" s="451"/>
      <c r="MSL79" s="449"/>
      <c r="MSM79" s="450"/>
      <c r="MSN79" s="447"/>
      <c r="MSO79" s="448"/>
      <c r="MSP79" s="453"/>
      <c r="MSQ79" s="449"/>
      <c r="MSR79" s="450"/>
      <c r="MSS79" s="454"/>
      <c r="MST79" s="448"/>
      <c r="MSV79" s="449"/>
      <c r="MSW79" s="450"/>
      <c r="MSX79" s="452"/>
      <c r="MSY79" s="448"/>
      <c r="MTA79" s="449"/>
      <c r="MTB79" s="450"/>
      <c r="MTC79" s="447"/>
      <c r="MTD79" s="448"/>
      <c r="MTF79" s="449"/>
      <c r="MTG79" s="450"/>
      <c r="MTH79" s="452"/>
      <c r="MTI79" s="448"/>
      <c r="MTJ79" s="449"/>
      <c r="MTK79" s="450"/>
      <c r="MTL79" s="452"/>
      <c r="MTM79" s="448"/>
      <c r="MTN79" s="455"/>
      <c r="MTO79" s="449"/>
      <c r="MTP79" s="450"/>
      <c r="MTQ79" s="459"/>
      <c r="MTR79" s="448"/>
      <c r="MTS79" s="456"/>
      <c r="MTT79" s="449"/>
      <c r="MTU79" s="450"/>
      <c r="MTV79" s="452"/>
      <c r="MTW79" s="448"/>
      <c r="MTX79" s="449"/>
      <c r="MTY79" s="450"/>
      <c r="MTZ79" s="452"/>
      <c r="MUA79" s="448"/>
      <c r="MUB79" s="449"/>
      <c r="MUC79" s="450"/>
      <c r="MUD79" s="447"/>
      <c r="MUE79" s="448"/>
      <c r="MUF79" s="457"/>
      <c r="MUG79" s="460"/>
      <c r="MUH79" s="450"/>
      <c r="MUI79" s="461"/>
      <c r="MUJ79" s="448"/>
      <c r="MUK79" s="456"/>
      <c r="MUL79" s="449"/>
      <c r="MUM79" s="450"/>
      <c r="MUN79" s="452"/>
      <c r="MUO79" s="448"/>
      <c r="MUP79" s="456"/>
      <c r="MUQ79" s="458"/>
      <c r="MUR79" s="458"/>
      <c r="MUT79" s="454"/>
      <c r="MUU79" s="450"/>
      <c r="MUV79" s="454"/>
      <c r="MUW79" s="448"/>
      <c r="MUX79" s="449"/>
      <c r="MUY79" s="450"/>
      <c r="MUZ79" s="447"/>
      <c r="MVA79" s="448"/>
      <c r="MVB79" s="449"/>
      <c r="MVC79" s="450"/>
      <c r="MVD79" s="447"/>
      <c r="MVE79" s="451"/>
      <c r="MVF79" s="449"/>
      <c r="MVG79" s="450"/>
      <c r="MVH79" s="447"/>
      <c r="MVI79" s="451"/>
      <c r="MVJ79" s="449"/>
      <c r="MVK79" s="450"/>
      <c r="MVL79" s="447"/>
      <c r="MVM79" s="451"/>
      <c r="MVN79" s="449"/>
      <c r="MVO79" s="450"/>
      <c r="MVP79" s="452"/>
      <c r="MVQ79" s="451"/>
      <c r="MVR79" s="449"/>
      <c r="MVS79" s="450"/>
      <c r="MVT79" s="447"/>
      <c r="MVU79" s="448"/>
      <c r="MVV79" s="453"/>
      <c r="MVW79" s="449"/>
      <c r="MVX79" s="450"/>
      <c r="MVY79" s="454"/>
      <c r="MVZ79" s="448"/>
      <c r="MWB79" s="449"/>
      <c r="MWC79" s="450"/>
      <c r="MWD79" s="452"/>
      <c r="MWE79" s="448"/>
      <c r="MWG79" s="449"/>
      <c r="MWH79" s="450"/>
      <c r="MWI79" s="447"/>
      <c r="MWJ79" s="448"/>
      <c r="MWL79" s="449"/>
      <c r="MWM79" s="450"/>
      <c r="MWN79" s="452"/>
      <c r="MWO79" s="448"/>
      <c r="MWP79" s="449"/>
      <c r="MWQ79" s="450"/>
      <c r="MWR79" s="452"/>
      <c r="MWS79" s="448"/>
      <c r="MWT79" s="455"/>
      <c r="MWU79" s="449"/>
      <c r="MWV79" s="450"/>
      <c r="MWW79" s="459"/>
      <c r="MWX79" s="448"/>
      <c r="MWY79" s="456"/>
      <c r="MWZ79" s="449"/>
      <c r="MXA79" s="450"/>
      <c r="MXB79" s="452"/>
      <c r="MXC79" s="448"/>
      <c r="MXD79" s="449"/>
      <c r="MXE79" s="450"/>
      <c r="MXF79" s="452"/>
      <c r="MXG79" s="448"/>
      <c r="MXH79" s="449"/>
      <c r="MXI79" s="450"/>
      <c r="MXJ79" s="447"/>
      <c r="MXK79" s="448"/>
      <c r="MXL79" s="457"/>
      <c r="MXM79" s="460"/>
      <c r="MXN79" s="450"/>
      <c r="MXO79" s="461"/>
      <c r="MXP79" s="448"/>
      <c r="MXQ79" s="456"/>
      <c r="MXR79" s="449"/>
      <c r="MXS79" s="450"/>
      <c r="MXT79" s="452"/>
      <c r="MXU79" s="448"/>
      <c r="MXV79" s="456"/>
      <c r="MXW79" s="458"/>
      <c r="MXX79" s="458"/>
      <c r="MXZ79" s="454"/>
      <c r="MYA79" s="450"/>
      <c r="MYB79" s="454"/>
      <c r="MYC79" s="448"/>
      <c r="MYD79" s="449"/>
      <c r="MYE79" s="450"/>
      <c r="MYF79" s="447"/>
      <c r="MYG79" s="448"/>
      <c r="MYH79" s="449"/>
      <c r="MYI79" s="450"/>
      <c r="MYJ79" s="447"/>
      <c r="MYK79" s="451"/>
      <c r="MYL79" s="449"/>
      <c r="MYM79" s="450"/>
      <c r="MYN79" s="447"/>
      <c r="MYO79" s="451"/>
      <c r="MYP79" s="449"/>
      <c r="MYQ79" s="450"/>
      <c r="MYR79" s="447"/>
      <c r="MYS79" s="451"/>
      <c r="MYT79" s="449"/>
      <c r="MYU79" s="450"/>
      <c r="MYV79" s="452"/>
      <c r="MYW79" s="451"/>
      <c r="MYX79" s="449"/>
      <c r="MYY79" s="450"/>
      <c r="MYZ79" s="447"/>
      <c r="MZA79" s="448"/>
      <c r="MZB79" s="453"/>
      <c r="MZC79" s="449"/>
      <c r="MZD79" s="450"/>
      <c r="MZE79" s="454"/>
      <c r="MZF79" s="448"/>
      <c r="MZH79" s="449"/>
      <c r="MZI79" s="450"/>
      <c r="MZJ79" s="452"/>
      <c r="MZK79" s="448"/>
      <c r="MZM79" s="449"/>
      <c r="MZN79" s="450"/>
      <c r="MZO79" s="447"/>
      <c r="MZP79" s="448"/>
      <c r="MZR79" s="449"/>
      <c r="MZS79" s="450"/>
      <c r="MZT79" s="452"/>
      <c r="MZU79" s="448"/>
      <c r="MZV79" s="449"/>
      <c r="MZW79" s="450"/>
      <c r="MZX79" s="452"/>
      <c r="MZY79" s="448"/>
      <c r="MZZ79" s="455"/>
      <c r="NAA79" s="449"/>
      <c r="NAB79" s="450"/>
      <c r="NAC79" s="459"/>
      <c r="NAD79" s="448"/>
      <c r="NAE79" s="456"/>
      <c r="NAF79" s="449"/>
      <c r="NAG79" s="450"/>
      <c r="NAH79" s="452"/>
      <c r="NAI79" s="448"/>
      <c r="NAJ79" s="449"/>
      <c r="NAK79" s="450"/>
      <c r="NAL79" s="452"/>
      <c r="NAM79" s="448"/>
      <c r="NAN79" s="449"/>
      <c r="NAO79" s="450"/>
      <c r="NAP79" s="447"/>
      <c r="NAQ79" s="448"/>
      <c r="NAR79" s="457"/>
      <c r="NAS79" s="460"/>
      <c r="NAT79" s="450"/>
      <c r="NAU79" s="461"/>
      <c r="NAV79" s="448"/>
      <c r="NAW79" s="456"/>
      <c r="NAX79" s="449"/>
      <c r="NAY79" s="450"/>
      <c r="NAZ79" s="452"/>
      <c r="NBA79" s="448"/>
      <c r="NBB79" s="456"/>
      <c r="NBC79" s="458"/>
      <c r="NBD79" s="458"/>
      <c r="NBF79" s="454"/>
      <c r="NBG79" s="450"/>
      <c r="NBH79" s="454"/>
      <c r="NBI79" s="448"/>
      <c r="NBJ79" s="449"/>
      <c r="NBK79" s="450"/>
      <c r="NBL79" s="447"/>
      <c r="NBM79" s="448"/>
      <c r="NBN79" s="449"/>
      <c r="NBO79" s="450"/>
      <c r="NBP79" s="447"/>
      <c r="NBQ79" s="451"/>
      <c r="NBR79" s="449"/>
      <c r="NBS79" s="450"/>
      <c r="NBT79" s="447"/>
      <c r="NBU79" s="451"/>
      <c r="NBV79" s="449"/>
      <c r="NBW79" s="450"/>
      <c r="NBX79" s="447"/>
      <c r="NBY79" s="451"/>
      <c r="NBZ79" s="449"/>
      <c r="NCA79" s="450"/>
      <c r="NCB79" s="452"/>
      <c r="NCC79" s="451"/>
      <c r="NCD79" s="449"/>
      <c r="NCE79" s="450"/>
      <c r="NCF79" s="447"/>
      <c r="NCG79" s="448"/>
      <c r="NCH79" s="453"/>
      <c r="NCI79" s="449"/>
      <c r="NCJ79" s="450"/>
      <c r="NCK79" s="454"/>
      <c r="NCL79" s="448"/>
      <c r="NCN79" s="449"/>
      <c r="NCO79" s="450"/>
      <c r="NCP79" s="452"/>
      <c r="NCQ79" s="448"/>
      <c r="NCS79" s="449"/>
      <c r="NCT79" s="450"/>
      <c r="NCU79" s="447"/>
      <c r="NCV79" s="448"/>
      <c r="NCX79" s="449"/>
      <c r="NCY79" s="450"/>
      <c r="NCZ79" s="452"/>
      <c r="NDA79" s="448"/>
      <c r="NDB79" s="449"/>
      <c r="NDC79" s="450"/>
      <c r="NDD79" s="452"/>
      <c r="NDE79" s="448"/>
      <c r="NDF79" s="455"/>
      <c r="NDG79" s="449"/>
      <c r="NDH79" s="450"/>
      <c r="NDI79" s="459"/>
      <c r="NDJ79" s="448"/>
      <c r="NDK79" s="456"/>
      <c r="NDL79" s="449"/>
      <c r="NDM79" s="450"/>
      <c r="NDN79" s="452"/>
      <c r="NDO79" s="448"/>
      <c r="NDP79" s="449"/>
      <c r="NDQ79" s="450"/>
      <c r="NDR79" s="452"/>
      <c r="NDS79" s="448"/>
      <c r="NDT79" s="449"/>
      <c r="NDU79" s="450"/>
      <c r="NDV79" s="447"/>
      <c r="NDW79" s="448"/>
      <c r="NDX79" s="457"/>
      <c r="NDY79" s="460"/>
      <c r="NDZ79" s="450"/>
      <c r="NEA79" s="461"/>
      <c r="NEB79" s="448"/>
      <c r="NEC79" s="456"/>
      <c r="NED79" s="449"/>
      <c r="NEE79" s="450"/>
      <c r="NEF79" s="452"/>
      <c r="NEG79" s="448"/>
      <c r="NEH79" s="456"/>
      <c r="NEI79" s="458"/>
      <c r="NEJ79" s="458"/>
      <c r="NEL79" s="454"/>
      <c r="NEM79" s="450"/>
      <c r="NEN79" s="454"/>
      <c r="NEO79" s="448"/>
      <c r="NEP79" s="449"/>
      <c r="NEQ79" s="450"/>
      <c r="NER79" s="447"/>
      <c r="NES79" s="448"/>
      <c r="NET79" s="449"/>
      <c r="NEU79" s="450"/>
      <c r="NEV79" s="447"/>
      <c r="NEW79" s="451"/>
      <c r="NEX79" s="449"/>
      <c r="NEY79" s="450"/>
      <c r="NEZ79" s="447"/>
      <c r="NFA79" s="451"/>
      <c r="NFB79" s="449"/>
      <c r="NFC79" s="450"/>
      <c r="NFD79" s="447"/>
      <c r="NFE79" s="451"/>
      <c r="NFF79" s="449"/>
      <c r="NFG79" s="450"/>
      <c r="NFH79" s="452"/>
      <c r="NFI79" s="451"/>
      <c r="NFJ79" s="449"/>
      <c r="NFK79" s="450"/>
      <c r="NFL79" s="447"/>
      <c r="NFM79" s="448"/>
      <c r="NFN79" s="453"/>
      <c r="NFO79" s="449"/>
      <c r="NFP79" s="450"/>
      <c r="NFQ79" s="454"/>
      <c r="NFR79" s="448"/>
      <c r="NFT79" s="449"/>
      <c r="NFU79" s="450"/>
      <c r="NFV79" s="452"/>
      <c r="NFW79" s="448"/>
      <c r="NFY79" s="449"/>
      <c r="NFZ79" s="450"/>
      <c r="NGA79" s="447"/>
      <c r="NGB79" s="448"/>
      <c r="NGD79" s="449"/>
      <c r="NGE79" s="450"/>
      <c r="NGF79" s="452"/>
      <c r="NGG79" s="448"/>
      <c r="NGH79" s="449"/>
      <c r="NGI79" s="450"/>
      <c r="NGJ79" s="452"/>
      <c r="NGK79" s="448"/>
      <c r="NGL79" s="455"/>
      <c r="NGM79" s="449"/>
      <c r="NGN79" s="450"/>
      <c r="NGO79" s="459"/>
      <c r="NGP79" s="448"/>
      <c r="NGQ79" s="456"/>
      <c r="NGR79" s="449"/>
      <c r="NGS79" s="450"/>
      <c r="NGT79" s="452"/>
      <c r="NGU79" s="448"/>
      <c r="NGV79" s="449"/>
      <c r="NGW79" s="450"/>
      <c r="NGX79" s="452"/>
      <c r="NGY79" s="448"/>
      <c r="NGZ79" s="449"/>
      <c r="NHA79" s="450"/>
      <c r="NHB79" s="447"/>
      <c r="NHC79" s="448"/>
      <c r="NHD79" s="457"/>
      <c r="NHE79" s="460"/>
      <c r="NHF79" s="450"/>
      <c r="NHG79" s="461"/>
      <c r="NHH79" s="448"/>
      <c r="NHI79" s="456"/>
      <c r="NHJ79" s="449"/>
      <c r="NHK79" s="450"/>
      <c r="NHL79" s="452"/>
      <c r="NHM79" s="448"/>
      <c r="NHN79" s="456"/>
      <c r="NHO79" s="458"/>
      <c r="NHP79" s="458"/>
      <c r="NHR79" s="454"/>
      <c r="NHS79" s="450"/>
      <c r="NHT79" s="454"/>
      <c r="NHU79" s="448"/>
      <c r="NHV79" s="449"/>
      <c r="NHW79" s="450"/>
      <c r="NHX79" s="447"/>
      <c r="NHY79" s="448"/>
      <c r="NHZ79" s="449"/>
      <c r="NIA79" s="450"/>
      <c r="NIB79" s="447"/>
      <c r="NIC79" s="451"/>
      <c r="NID79" s="449"/>
      <c r="NIE79" s="450"/>
      <c r="NIF79" s="447"/>
      <c r="NIG79" s="451"/>
      <c r="NIH79" s="449"/>
      <c r="NII79" s="450"/>
      <c r="NIJ79" s="447"/>
      <c r="NIK79" s="451"/>
      <c r="NIL79" s="449"/>
      <c r="NIM79" s="450"/>
      <c r="NIN79" s="452"/>
      <c r="NIO79" s="451"/>
      <c r="NIP79" s="449"/>
      <c r="NIQ79" s="450"/>
      <c r="NIR79" s="447"/>
      <c r="NIS79" s="448"/>
      <c r="NIT79" s="453"/>
      <c r="NIU79" s="449"/>
      <c r="NIV79" s="450"/>
      <c r="NIW79" s="454"/>
      <c r="NIX79" s="448"/>
      <c r="NIZ79" s="449"/>
      <c r="NJA79" s="450"/>
      <c r="NJB79" s="452"/>
      <c r="NJC79" s="448"/>
      <c r="NJE79" s="449"/>
      <c r="NJF79" s="450"/>
      <c r="NJG79" s="447"/>
      <c r="NJH79" s="448"/>
      <c r="NJJ79" s="449"/>
      <c r="NJK79" s="450"/>
      <c r="NJL79" s="452"/>
      <c r="NJM79" s="448"/>
      <c r="NJN79" s="449"/>
      <c r="NJO79" s="450"/>
      <c r="NJP79" s="452"/>
      <c r="NJQ79" s="448"/>
      <c r="NJR79" s="455"/>
      <c r="NJS79" s="449"/>
      <c r="NJT79" s="450"/>
      <c r="NJU79" s="459"/>
      <c r="NJV79" s="448"/>
      <c r="NJW79" s="456"/>
      <c r="NJX79" s="449"/>
      <c r="NJY79" s="450"/>
      <c r="NJZ79" s="452"/>
      <c r="NKA79" s="448"/>
      <c r="NKB79" s="449"/>
      <c r="NKC79" s="450"/>
      <c r="NKD79" s="452"/>
      <c r="NKE79" s="448"/>
      <c r="NKF79" s="449"/>
      <c r="NKG79" s="450"/>
      <c r="NKH79" s="447"/>
      <c r="NKI79" s="448"/>
      <c r="NKJ79" s="457"/>
      <c r="NKK79" s="460"/>
      <c r="NKL79" s="450"/>
      <c r="NKM79" s="461"/>
      <c r="NKN79" s="448"/>
      <c r="NKO79" s="456"/>
      <c r="NKP79" s="449"/>
      <c r="NKQ79" s="450"/>
      <c r="NKR79" s="452"/>
      <c r="NKS79" s="448"/>
      <c r="NKT79" s="456"/>
      <c r="NKU79" s="458"/>
      <c r="NKV79" s="458"/>
      <c r="NKX79" s="454"/>
      <c r="NKY79" s="450"/>
      <c r="NKZ79" s="454"/>
      <c r="NLA79" s="448"/>
      <c r="NLB79" s="449"/>
      <c r="NLC79" s="450"/>
      <c r="NLD79" s="447"/>
      <c r="NLE79" s="448"/>
      <c r="NLF79" s="449"/>
      <c r="NLG79" s="450"/>
      <c r="NLH79" s="447"/>
      <c r="NLI79" s="451"/>
      <c r="NLJ79" s="449"/>
      <c r="NLK79" s="450"/>
      <c r="NLL79" s="447"/>
      <c r="NLM79" s="451"/>
      <c r="NLN79" s="449"/>
      <c r="NLO79" s="450"/>
      <c r="NLP79" s="447"/>
      <c r="NLQ79" s="451"/>
      <c r="NLR79" s="449"/>
      <c r="NLS79" s="450"/>
      <c r="NLT79" s="452"/>
      <c r="NLU79" s="451"/>
      <c r="NLV79" s="449"/>
      <c r="NLW79" s="450"/>
      <c r="NLX79" s="447"/>
      <c r="NLY79" s="448"/>
      <c r="NLZ79" s="453"/>
      <c r="NMA79" s="449"/>
      <c r="NMB79" s="450"/>
      <c r="NMC79" s="454"/>
      <c r="NMD79" s="448"/>
      <c r="NMF79" s="449"/>
      <c r="NMG79" s="450"/>
      <c r="NMH79" s="452"/>
      <c r="NMI79" s="448"/>
      <c r="NMK79" s="449"/>
      <c r="NML79" s="450"/>
      <c r="NMM79" s="447"/>
      <c r="NMN79" s="448"/>
      <c r="NMP79" s="449"/>
      <c r="NMQ79" s="450"/>
      <c r="NMR79" s="452"/>
      <c r="NMS79" s="448"/>
      <c r="NMT79" s="449"/>
      <c r="NMU79" s="450"/>
      <c r="NMV79" s="452"/>
      <c r="NMW79" s="448"/>
      <c r="NMX79" s="455"/>
      <c r="NMY79" s="449"/>
      <c r="NMZ79" s="450"/>
      <c r="NNA79" s="459"/>
      <c r="NNB79" s="448"/>
      <c r="NNC79" s="456"/>
      <c r="NND79" s="449"/>
      <c r="NNE79" s="450"/>
      <c r="NNF79" s="452"/>
      <c r="NNG79" s="448"/>
      <c r="NNH79" s="449"/>
      <c r="NNI79" s="450"/>
      <c r="NNJ79" s="452"/>
      <c r="NNK79" s="448"/>
      <c r="NNL79" s="449"/>
      <c r="NNM79" s="450"/>
      <c r="NNN79" s="447"/>
      <c r="NNO79" s="448"/>
      <c r="NNP79" s="457"/>
      <c r="NNQ79" s="460"/>
      <c r="NNR79" s="450"/>
      <c r="NNS79" s="461"/>
      <c r="NNT79" s="448"/>
      <c r="NNU79" s="456"/>
      <c r="NNV79" s="449"/>
      <c r="NNW79" s="450"/>
      <c r="NNX79" s="452"/>
      <c r="NNY79" s="448"/>
      <c r="NNZ79" s="456"/>
      <c r="NOA79" s="458"/>
      <c r="NOB79" s="458"/>
      <c r="NOD79" s="454"/>
      <c r="NOE79" s="450"/>
      <c r="NOF79" s="454"/>
      <c r="NOG79" s="448"/>
      <c r="NOH79" s="449"/>
      <c r="NOI79" s="450"/>
      <c r="NOJ79" s="447"/>
      <c r="NOK79" s="448"/>
      <c r="NOL79" s="449"/>
      <c r="NOM79" s="450"/>
      <c r="NON79" s="447"/>
      <c r="NOO79" s="451"/>
      <c r="NOP79" s="449"/>
      <c r="NOQ79" s="450"/>
      <c r="NOR79" s="447"/>
      <c r="NOS79" s="451"/>
      <c r="NOT79" s="449"/>
      <c r="NOU79" s="450"/>
      <c r="NOV79" s="447"/>
      <c r="NOW79" s="451"/>
      <c r="NOX79" s="449"/>
      <c r="NOY79" s="450"/>
      <c r="NOZ79" s="452"/>
      <c r="NPA79" s="451"/>
      <c r="NPB79" s="449"/>
      <c r="NPC79" s="450"/>
      <c r="NPD79" s="447"/>
      <c r="NPE79" s="448"/>
      <c r="NPF79" s="453"/>
      <c r="NPG79" s="449"/>
      <c r="NPH79" s="450"/>
      <c r="NPI79" s="454"/>
      <c r="NPJ79" s="448"/>
      <c r="NPL79" s="449"/>
      <c r="NPM79" s="450"/>
      <c r="NPN79" s="452"/>
      <c r="NPO79" s="448"/>
      <c r="NPQ79" s="449"/>
      <c r="NPR79" s="450"/>
      <c r="NPS79" s="447"/>
      <c r="NPT79" s="448"/>
      <c r="NPV79" s="449"/>
      <c r="NPW79" s="450"/>
      <c r="NPX79" s="452"/>
      <c r="NPY79" s="448"/>
      <c r="NPZ79" s="449"/>
      <c r="NQA79" s="450"/>
      <c r="NQB79" s="452"/>
      <c r="NQC79" s="448"/>
      <c r="NQD79" s="455"/>
      <c r="NQE79" s="449"/>
      <c r="NQF79" s="450"/>
      <c r="NQG79" s="459"/>
      <c r="NQH79" s="448"/>
      <c r="NQI79" s="456"/>
      <c r="NQJ79" s="449"/>
      <c r="NQK79" s="450"/>
      <c r="NQL79" s="452"/>
      <c r="NQM79" s="448"/>
      <c r="NQN79" s="449"/>
      <c r="NQO79" s="450"/>
      <c r="NQP79" s="452"/>
      <c r="NQQ79" s="448"/>
      <c r="NQR79" s="449"/>
      <c r="NQS79" s="450"/>
      <c r="NQT79" s="447"/>
      <c r="NQU79" s="448"/>
      <c r="NQV79" s="457"/>
      <c r="NQW79" s="460"/>
      <c r="NQX79" s="450"/>
      <c r="NQY79" s="461"/>
      <c r="NQZ79" s="448"/>
      <c r="NRA79" s="456"/>
      <c r="NRB79" s="449"/>
      <c r="NRC79" s="450"/>
      <c r="NRD79" s="452"/>
      <c r="NRE79" s="448"/>
      <c r="NRF79" s="456"/>
      <c r="NRG79" s="458"/>
      <c r="NRH79" s="458"/>
      <c r="NRJ79" s="454"/>
      <c r="NRK79" s="450"/>
      <c r="NRL79" s="454"/>
      <c r="NRM79" s="448"/>
      <c r="NRN79" s="449"/>
      <c r="NRO79" s="450"/>
      <c r="NRP79" s="447"/>
      <c r="NRQ79" s="448"/>
      <c r="NRR79" s="449"/>
      <c r="NRS79" s="450"/>
      <c r="NRT79" s="447"/>
      <c r="NRU79" s="451"/>
      <c r="NRV79" s="449"/>
      <c r="NRW79" s="450"/>
      <c r="NRX79" s="447"/>
      <c r="NRY79" s="451"/>
      <c r="NRZ79" s="449"/>
      <c r="NSA79" s="450"/>
      <c r="NSB79" s="447"/>
      <c r="NSC79" s="451"/>
      <c r="NSD79" s="449"/>
      <c r="NSE79" s="450"/>
      <c r="NSF79" s="452"/>
      <c r="NSG79" s="451"/>
      <c r="NSH79" s="449"/>
      <c r="NSI79" s="450"/>
      <c r="NSJ79" s="447"/>
      <c r="NSK79" s="448"/>
      <c r="NSL79" s="453"/>
      <c r="NSM79" s="449"/>
      <c r="NSN79" s="450"/>
      <c r="NSO79" s="454"/>
      <c r="NSP79" s="448"/>
      <c r="NSR79" s="449"/>
      <c r="NSS79" s="450"/>
      <c r="NST79" s="452"/>
      <c r="NSU79" s="448"/>
      <c r="NSW79" s="449"/>
      <c r="NSX79" s="450"/>
      <c r="NSY79" s="447"/>
      <c r="NSZ79" s="448"/>
      <c r="NTB79" s="449"/>
      <c r="NTC79" s="450"/>
      <c r="NTD79" s="452"/>
      <c r="NTE79" s="448"/>
      <c r="NTF79" s="449"/>
      <c r="NTG79" s="450"/>
      <c r="NTH79" s="452"/>
      <c r="NTI79" s="448"/>
      <c r="NTJ79" s="455"/>
      <c r="NTK79" s="449"/>
      <c r="NTL79" s="450"/>
      <c r="NTM79" s="459"/>
      <c r="NTN79" s="448"/>
      <c r="NTO79" s="456"/>
      <c r="NTP79" s="449"/>
      <c r="NTQ79" s="450"/>
      <c r="NTR79" s="452"/>
      <c r="NTS79" s="448"/>
      <c r="NTT79" s="449"/>
      <c r="NTU79" s="450"/>
      <c r="NTV79" s="452"/>
      <c r="NTW79" s="448"/>
      <c r="NTX79" s="449"/>
      <c r="NTY79" s="450"/>
      <c r="NTZ79" s="447"/>
      <c r="NUA79" s="448"/>
      <c r="NUB79" s="457"/>
      <c r="NUC79" s="460"/>
      <c r="NUD79" s="450"/>
      <c r="NUE79" s="461"/>
      <c r="NUF79" s="448"/>
      <c r="NUG79" s="456"/>
      <c r="NUH79" s="449"/>
      <c r="NUI79" s="450"/>
      <c r="NUJ79" s="452"/>
      <c r="NUK79" s="448"/>
      <c r="NUL79" s="456"/>
      <c r="NUM79" s="458"/>
      <c r="NUN79" s="458"/>
      <c r="NUP79" s="454"/>
      <c r="NUQ79" s="450"/>
      <c r="NUR79" s="454"/>
      <c r="NUS79" s="448"/>
      <c r="NUT79" s="449"/>
      <c r="NUU79" s="450"/>
      <c r="NUV79" s="447"/>
      <c r="NUW79" s="448"/>
      <c r="NUX79" s="449"/>
      <c r="NUY79" s="450"/>
      <c r="NUZ79" s="447"/>
      <c r="NVA79" s="451"/>
      <c r="NVB79" s="449"/>
      <c r="NVC79" s="450"/>
      <c r="NVD79" s="447"/>
      <c r="NVE79" s="451"/>
      <c r="NVF79" s="449"/>
      <c r="NVG79" s="450"/>
      <c r="NVH79" s="447"/>
      <c r="NVI79" s="451"/>
      <c r="NVJ79" s="449"/>
      <c r="NVK79" s="450"/>
      <c r="NVL79" s="452"/>
      <c r="NVM79" s="451"/>
      <c r="NVN79" s="449"/>
      <c r="NVO79" s="450"/>
      <c r="NVP79" s="447"/>
      <c r="NVQ79" s="448"/>
      <c r="NVR79" s="453"/>
      <c r="NVS79" s="449"/>
      <c r="NVT79" s="450"/>
      <c r="NVU79" s="454"/>
      <c r="NVV79" s="448"/>
      <c r="NVX79" s="449"/>
      <c r="NVY79" s="450"/>
      <c r="NVZ79" s="452"/>
      <c r="NWA79" s="448"/>
      <c r="NWC79" s="449"/>
      <c r="NWD79" s="450"/>
      <c r="NWE79" s="447"/>
      <c r="NWF79" s="448"/>
      <c r="NWH79" s="449"/>
      <c r="NWI79" s="450"/>
      <c r="NWJ79" s="452"/>
      <c r="NWK79" s="448"/>
      <c r="NWL79" s="449"/>
      <c r="NWM79" s="450"/>
      <c r="NWN79" s="452"/>
      <c r="NWO79" s="448"/>
      <c r="NWP79" s="455"/>
      <c r="NWQ79" s="449"/>
      <c r="NWR79" s="450"/>
      <c r="NWS79" s="459"/>
      <c r="NWT79" s="448"/>
      <c r="NWU79" s="456"/>
      <c r="NWV79" s="449"/>
      <c r="NWW79" s="450"/>
      <c r="NWX79" s="452"/>
      <c r="NWY79" s="448"/>
      <c r="NWZ79" s="449"/>
      <c r="NXA79" s="450"/>
      <c r="NXB79" s="452"/>
      <c r="NXC79" s="448"/>
      <c r="NXD79" s="449"/>
      <c r="NXE79" s="450"/>
      <c r="NXF79" s="447"/>
      <c r="NXG79" s="448"/>
      <c r="NXH79" s="457"/>
      <c r="NXI79" s="460"/>
      <c r="NXJ79" s="450"/>
      <c r="NXK79" s="461"/>
      <c r="NXL79" s="448"/>
      <c r="NXM79" s="456"/>
      <c r="NXN79" s="449"/>
      <c r="NXO79" s="450"/>
      <c r="NXP79" s="452"/>
      <c r="NXQ79" s="448"/>
      <c r="NXR79" s="456"/>
      <c r="NXS79" s="458"/>
      <c r="NXT79" s="458"/>
      <c r="NXV79" s="454"/>
      <c r="NXW79" s="450"/>
      <c r="NXX79" s="454"/>
      <c r="NXY79" s="448"/>
      <c r="NXZ79" s="449"/>
      <c r="NYA79" s="450"/>
      <c r="NYB79" s="447"/>
      <c r="NYC79" s="448"/>
      <c r="NYD79" s="449"/>
      <c r="NYE79" s="450"/>
      <c r="NYF79" s="447"/>
      <c r="NYG79" s="451"/>
      <c r="NYH79" s="449"/>
      <c r="NYI79" s="450"/>
      <c r="NYJ79" s="447"/>
      <c r="NYK79" s="451"/>
      <c r="NYL79" s="449"/>
      <c r="NYM79" s="450"/>
      <c r="NYN79" s="447"/>
      <c r="NYO79" s="451"/>
      <c r="NYP79" s="449"/>
      <c r="NYQ79" s="450"/>
      <c r="NYR79" s="452"/>
      <c r="NYS79" s="451"/>
      <c r="NYT79" s="449"/>
      <c r="NYU79" s="450"/>
      <c r="NYV79" s="447"/>
      <c r="NYW79" s="448"/>
      <c r="NYX79" s="453"/>
      <c r="NYY79" s="449"/>
      <c r="NYZ79" s="450"/>
      <c r="NZA79" s="454"/>
      <c r="NZB79" s="448"/>
      <c r="NZD79" s="449"/>
      <c r="NZE79" s="450"/>
      <c r="NZF79" s="452"/>
      <c r="NZG79" s="448"/>
      <c r="NZI79" s="449"/>
      <c r="NZJ79" s="450"/>
      <c r="NZK79" s="447"/>
      <c r="NZL79" s="448"/>
      <c r="NZN79" s="449"/>
      <c r="NZO79" s="450"/>
      <c r="NZP79" s="452"/>
      <c r="NZQ79" s="448"/>
      <c r="NZR79" s="449"/>
      <c r="NZS79" s="450"/>
      <c r="NZT79" s="452"/>
      <c r="NZU79" s="448"/>
      <c r="NZV79" s="455"/>
      <c r="NZW79" s="449"/>
      <c r="NZX79" s="450"/>
      <c r="NZY79" s="459"/>
      <c r="NZZ79" s="448"/>
      <c r="OAA79" s="456"/>
      <c r="OAB79" s="449"/>
      <c r="OAC79" s="450"/>
      <c r="OAD79" s="452"/>
      <c r="OAE79" s="448"/>
      <c r="OAF79" s="449"/>
      <c r="OAG79" s="450"/>
      <c r="OAH79" s="452"/>
      <c r="OAI79" s="448"/>
      <c r="OAJ79" s="449"/>
      <c r="OAK79" s="450"/>
      <c r="OAL79" s="447"/>
      <c r="OAM79" s="448"/>
      <c r="OAN79" s="457"/>
      <c r="OAO79" s="460"/>
      <c r="OAP79" s="450"/>
      <c r="OAQ79" s="461"/>
      <c r="OAR79" s="448"/>
      <c r="OAS79" s="456"/>
      <c r="OAT79" s="449"/>
      <c r="OAU79" s="450"/>
      <c r="OAV79" s="452"/>
      <c r="OAW79" s="448"/>
      <c r="OAX79" s="456"/>
      <c r="OAY79" s="458"/>
      <c r="OAZ79" s="458"/>
      <c r="OBB79" s="454"/>
      <c r="OBC79" s="450"/>
      <c r="OBD79" s="454"/>
      <c r="OBE79" s="448"/>
      <c r="OBF79" s="449"/>
      <c r="OBG79" s="450"/>
      <c r="OBH79" s="447"/>
      <c r="OBI79" s="448"/>
      <c r="OBJ79" s="449"/>
      <c r="OBK79" s="450"/>
      <c r="OBL79" s="447"/>
      <c r="OBM79" s="451"/>
      <c r="OBN79" s="449"/>
      <c r="OBO79" s="450"/>
      <c r="OBP79" s="447"/>
      <c r="OBQ79" s="451"/>
      <c r="OBR79" s="449"/>
      <c r="OBS79" s="450"/>
      <c r="OBT79" s="447"/>
      <c r="OBU79" s="451"/>
      <c r="OBV79" s="449"/>
      <c r="OBW79" s="450"/>
      <c r="OBX79" s="452"/>
      <c r="OBY79" s="451"/>
      <c r="OBZ79" s="449"/>
      <c r="OCA79" s="450"/>
      <c r="OCB79" s="447"/>
      <c r="OCC79" s="448"/>
      <c r="OCD79" s="453"/>
      <c r="OCE79" s="449"/>
      <c r="OCF79" s="450"/>
      <c r="OCG79" s="454"/>
      <c r="OCH79" s="448"/>
      <c r="OCJ79" s="449"/>
      <c r="OCK79" s="450"/>
      <c r="OCL79" s="452"/>
      <c r="OCM79" s="448"/>
      <c r="OCO79" s="449"/>
      <c r="OCP79" s="450"/>
      <c r="OCQ79" s="447"/>
      <c r="OCR79" s="448"/>
      <c r="OCT79" s="449"/>
      <c r="OCU79" s="450"/>
      <c r="OCV79" s="452"/>
      <c r="OCW79" s="448"/>
      <c r="OCX79" s="449"/>
      <c r="OCY79" s="450"/>
      <c r="OCZ79" s="452"/>
      <c r="ODA79" s="448"/>
      <c r="ODB79" s="455"/>
      <c r="ODC79" s="449"/>
      <c r="ODD79" s="450"/>
      <c r="ODE79" s="459"/>
      <c r="ODF79" s="448"/>
      <c r="ODG79" s="456"/>
      <c r="ODH79" s="449"/>
      <c r="ODI79" s="450"/>
      <c r="ODJ79" s="452"/>
      <c r="ODK79" s="448"/>
      <c r="ODL79" s="449"/>
      <c r="ODM79" s="450"/>
      <c r="ODN79" s="452"/>
      <c r="ODO79" s="448"/>
      <c r="ODP79" s="449"/>
      <c r="ODQ79" s="450"/>
      <c r="ODR79" s="447"/>
      <c r="ODS79" s="448"/>
      <c r="ODT79" s="457"/>
      <c r="ODU79" s="460"/>
      <c r="ODV79" s="450"/>
      <c r="ODW79" s="461"/>
      <c r="ODX79" s="448"/>
      <c r="ODY79" s="456"/>
      <c r="ODZ79" s="449"/>
      <c r="OEA79" s="450"/>
      <c r="OEB79" s="452"/>
      <c r="OEC79" s="448"/>
      <c r="OED79" s="456"/>
      <c r="OEE79" s="458"/>
      <c r="OEF79" s="458"/>
      <c r="OEH79" s="454"/>
      <c r="OEI79" s="450"/>
      <c r="OEJ79" s="454"/>
      <c r="OEK79" s="448"/>
      <c r="OEL79" s="449"/>
      <c r="OEM79" s="450"/>
      <c r="OEN79" s="447"/>
      <c r="OEO79" s="448"/>
      <c r="OEP79" s="449"/>
      <c r="OEQ79" s="450"/>
      <c r="OER79" s="447"/>
      <c r="OES79" s="451"/>
      <c r="OET79" s="449"/>
      <c r="OEU79" s="450"/>
      <c r="OEV79" s="447"/>
      <c r="OEW79" s="451"/>
      <c r="OEX79" s="449"/>
      <c r="OEY79" s="450"/>
      <c r="OEZ79" s="447"/>
      <c r="OFA79" s="451"/>
      <c r="OFB79" s="449"/>
      <c r="OFC79" s="450"/>
      <c r="OFD79" s="452"/>
      <c r="OFE79" s="451"/>
      <c r="OFF79" s="449"/>
      <c r="OFG79" s="450"/>
      <c r="OFH79" s="447"/>
      <c r="OFI79" s="448"/>
      <c r="OFJ79" s="453"/>
      <c r="OFK79" s="449"/>
      <c r="OFL79" s="450"/>
      <c r="OFM79" s="454"/>
      <c r="OFN79" s="448"/>
      <c r="OFP79" s="449"/>
      <c r="OFQ79" s="450"/>
      <c r="OFR79" s="452"/>
      <c r="OFS79" s="448"/>
      <c r="OFU79" s="449"/>
      <c r="OFV79" s="450"/>
      <c r="OFW79" s="447"/>
      <c r="OFX79" s="448"/>
      <c r="OFZ79" s="449"/>
      <c r="OGA79" s="450"/>
      <c r="OGB79" s="452"/>
      <c r="OGC79" s="448"/>
      <c r="OGD79" s="449"/>
      <c r="OGE79" s="450"/>
      <c r="OGF79" s="452"/>
      <c r="OGG79" s="448"/>
      <c r="OGH79" s="455"/>
      <c r="OGI79" s="449"/>
      <c r="OGJ79" s="450"/>
      <c r="OGK79" s="459"/>
      <c r="OGL79" s="448"/>
      <c r="OGM79" s="456"/>
      <c r="OGN79" s="449"/>
      <c r="OGO79" s="450"/>
      <c r="OGP79" s="452"/>
      <c r="OGQ79" s="448"/>
      <c r="OGR79" s="449"/>
      <c r="OGS79" s="450"/>
      <c r="OGT79" s="452"/>
      <c r="OGU79" s="448"/>
      <c r="OGV79" s="449"/>
      <c r="OGW79" s="450"/>
      <c r="OGX79" s="447"/>
      <c r="OGY79" s="448"/>
      <c r="OGZ79" s="457"/>
      <c r="OHA79" s="460"/>
      <c r="OHB79" s="450"/>
      <c r="OHC79" s="461"/>
      <c r="OHD79" s="448"/>
      <c r="OHE79" s="456"/>
      <c r="OHF79" s="449"/>
      <c r="OHG79" s="450"/>
      <c r="OHH79" s="452"/>
      <c r="OHI79" s="448"/>
      <c r="OHJ79" s="456"/>
      <c r="OHK79" s="458"/>
      <c r="OHL79" s="458"/>
      <c r="OHN79" s="454"/>
      <c r="OHO79" s="450"/>
      <c r="OHP79" s="454"/>
      <c r="OHQ79" s="448"/>
      <c r="OHR79" s="449"/>
      <c r="OHS79" s="450"/>
      <c r="OHT79" s="447"/>
      <c r="OHU79" s="448"/>
      <c r="OHV79" s="449"/>
      <c r="OHW79" s="450"/>
      <c r="OHX79" s="447"/>
      <c r="OHY79" s="451"/>
      <c r="OHZ79" s="449"/>
      <c r="OIA79" s="450"/>
      <c r="OIB79" s="447"/>
      <c r="OIC79" s="451"/>
      <c r="OID79" s="449"/>
      <c r="OIE79" s="450"/>
      <c r="OIF79" s="447"/>
      <c r="OIG79" s="451"/>
      <c r="OIH79" s="449"/>
      <c r="OII79" s="450"/>
      <c r="OIJ79" s="452"/>
      <c r="OIK79" s="451"/>
      <c r="OIL79" s="449"/>
      <c r="OIM79" s="450"/>
      <c r="OIN79" s="447"/>
      <c r="OIO79" s="448"/>
      <c r="OIP79" s="453"/>
      <c r="OIQ79" s="449"/>
      <c r="OIR79" s="450"/>
      <c r="OIS79" s="454"/>
      <c r="OIT79" s="448"/>
      <c r="OIV79" s="449"/>
      <c r="OIW79" s="450"/>
      <c r="OIX79" s="452"/>
      <c r="OIY79" s="448"/>
      <c r="OJA79" s="449"/>
      <c r="OJB79" s="450"/>
      <c r="OJC79" s="447"/>
      <c r="OJD79" s="448"/>
      <c r="OJF79" s="449"/>
      <c r="OJG79" s="450"/>
      <c r="OJH79" s="452"/>
      <c r="OJI79" s="448"/>
      <c r="OJJ79" s="449"/>
      <c r="OJK79" s="450"/>
      <c r="OJL79" s="452"/>
      <c r="OJM79" s="448"/>
      <c r="OJN79" s="455"/>
      <c r="OJO79" s="449"/>
      <c r="OJP79" s="450"/>
      <c r="OJQ79" s="459"/>
      <c r="OJR79" s="448"/>
      <c r="OJS79" s="456"/>
      <c r="OJT79" s="449"/>
      <c r="OJU79" s="450"/>
      <c r="OJV79" s="452"/>
      <c r="OJW79" s="448"/>
      <c r="OJX79" s="449"/>
      <c r="OJY79" s="450"/>
      <c r="OJZ79" s="452"/>
      <c r="OKA79" s="448"/>
      <c r="OKB79" s="449"/>
      <c r="OKC79" s="450"/>
      <c r="OKD79" s="447"/>
      <c r="OKE79" s="448"/>
      <c r="OKF79" s="457"/>
      <c r="OKG79" s="460"/>
      <c r="OKH79" s="450"/>
      <c r="OKI79" s="461"/>
      <c r="OKJ79" s="448"/>
      <c r="OKK79" s="456"/>
      <c r="OKL79" s="449"/>
      <c r="OKM79" s="450"/>
      <c r="OKN79" s="452"/>
      <c r="OKO79" s="448"/>
      <c r="OKP79" s="456"/>
      <c r="OKQ79" s="458"/>
      <c r="OKR79" s="458"/>
      <c r="OKT79" s="454"/>
      <c r="OKU79" s="450"/>
      <c r="OKV79" s="454"/>
      <c r="OKW79" s="448"/>
      <c r="OKX79" s="449"/>
      <c r="OKY79" s="450"/>
      <c r="OKZ79" s="447"/>
      <c r="OLA79" s="448"/>
      <c r="OLB79" s="449"/>
      <c r="OLC79" s="450"/>
      <c r="OLD79" s="447"/>
      <c r="OLE79" s="451"/>
      <c r="OLF79" s="449"/>
      <c r="OLG79" s="450"/>
      <c r="OLH79" s="447"/>
      <c r="OLI79" s="451"/>
      <c r="OLJ79" s="449"/>
      <c r="OLK79" s="450"/>
      <c r="OLL79" s="447"/>
      <c r="OLM79" s="451"/>
      <c r="OLN79" s="449"/>
      <c r="OLO79" s="450"/>
      <c r="OLP79" s="452"/>
      <c r="OLQ79" s="451"/>
      <c r="OLR79" s="449"/>
      <c r="OLS79" s="450"/>
      <c r="OLT79" s="447"/>
      <c r="OLU79" s="448"/>
      <c r="OLV79" s="453"/>
      <c r="OLW79" s="449"/>
      <c r="OLX79" s="450"/>
      <c r="OLY79" s="454"/>
      <c r="OLZ79" s="448"/>
      <c r="OMB79" s="449"/>
      <c r="OMC79" s="450"/>
      <c r="OMD79" s="452"/>
      <c r="OME79" s="448"/>
      <c r="OMG79" s="449"/>
      <c r="OMH79" s="450"/>
      <c r="OMI79" s="447"/>
      <c r="OMJ79" s="448"/>
      <c r="OML79" s="449"/>
      <c r="OMM79" s="450"/>
      <c r="OMN79" s="452"/>
      <c r="OMO79" s="448"/>
      <c r="OMP79" s="449"/>
      <c r="OMQ79" s="450"/>
      <c r="OMR79" s="452"/>
      <c r="OMS79" s="448"/>
      <c r="OMT79" s="455"/>
      <c r="OMU79" s="449"/>
      <c r="OMV79" s="450"/>
      <c r="OMW79" s="459"/>
      <c r="OMX79" s="448"/>
      <c r="OMY79" s="456"/>
      <c r="OMZ79" s="449"/>
      <c r="ONA79" s="450"/>
      <c r="ONB79" s="452"/>
      <c r="ONC79" s="448"/>
      <c r="OND79" s="449"/>
      <c r="ONE79" s="450"/>
      <c r="ONF79" s="452"/>
      <c r="ONG79" s="448"/>
      <c r="ONH79" s="449"/>
      <c r="ONI79" s="450"/>
      <c r="ONJ79" s="447"/>
      <c r="ONK79" s="448"/>
      <c r="ONL79" s="457"/>
      <c r="ONM79" s="460"/>
      <c r="ONN79" s="450"/>
      <c r="ONO79" s="461"/>
      <c r="ONP79" s="448"/>
      <c r="ONQ79" s="456"/>
      <c r="ONR79" s="449"/>
      <c r="ONS79" s="450"/>
      <c r="ONT79" s="452"/>
      <c r="ONU79" s="448"/>
      <c r="ONV79" s="456"/>
      <c r="ONW79" s="458"/>
      <c r="ONX79" s="458"/>
      <c r="ONZ79" s="454"/>
      <c r="OOA79" s="450"/>
      <c r="OOB79" s="454"/>
      <c r="OOC79" s="448"/>
      <c r="OOD79" s="449"/>
      <c r="OOE79" s="450"/>
      <c r="OOF79" s="447"/>
      <c r="OOG79" s="448"/>
      <c r="OOH79" s="449"/>
      <c r="OOI79" s="450"/>
      <c r="OOJ79" s="447"/>
      <c r="OOK79" s="451"/>
      <c r="OOL79" s="449"/>
      <c r="OOM79" s="450"/>
      <c r="OON79" s="447"/>
      <c r="OOO79" s="451"/>
      <c r="OOP79" s="449"/>
      <c r="OOQ79" s="450"/>
      <c r="OOR79" s="447"/>
      <c r="OOS79" s="451"/>
      <c r="OOT79" s="449"/>
      <c r="OOU79" s="450"/>
      <c r="OOV79" s="452"/>
      <c r="OOW79" s="451"/>
      <c r="OOX79" s="449"/>
      <c r="OOY79" s="450"/>
      <c r="OOZ79" s="447"/>
      <c r="OPA79" s="448"/>
      <c r="OPB79" s="453"/>
      <c r="OPC79" s="449"/>
      <c r="OPD79" s="450"/>
      <c r="OPE79" s="454"/>
      <c r="OPF79" s="448"/>
      <c r="OPH79" s="449"/>
      <c r="OPI79" s="450"/>
      <c r="OPJ79" s="452"/>
      <c r="OPK79" s="448"/>
      <c r="OPM79" s="449"/>
      <c r="OPN79" s="450"/>
      <c r="OPO79" s="447"/>
      <c r="OPP79" s="448"/>
      <c r="OPR79" s="449"/>
      <c r="OPS79" s="450"/>
      <c r="OPT79" s="452"/>
      <c r="OPU79" s="448"/>
      <c r="OPV79" s="449"/>
      <c r="OPW79" s="450"/>
      <c r="OPX79" s="452"/>
      <c r="OPY79" s="448"/>
      <c r="OPZ79" s="455"/>
      <c r="OQA79" s="449"/>
      <c r="OQB79" s="450"/>
      <c r="OQC79" s="459"/>
      <c r="OQD79" s="448"/>
      <c r="OQE79" s="456"/>
      <c r="OQF79" s="449"/>
      <c r="OQG79" s="450"/>
      <c r="OQH79" s="452"/>
      <c r="OQI79" s="448"/>
      <c r="OQJ79" s="449"/>
      <c r="OQK79" s="450"/>
      <c r="OQL79" s="452"/>
      <c r="OQM79" s="448"/>
      <c r="OQN79" s="449"/>
      <c r="OQO79" s="450"/>
      <c r="OQP79" s="447"/>
      <c r="OQQ79" s="448"/>
      <c r="OQR79" s="457"/>
      <c r="OQS79" s="460"/>
      <c r="OQT79" s="450"/>
      <c r="OQU79" s="461"/>
      <c r="OQV79" s="448"/>
      <c r="OQW79" s="456"/>
      <c r="OQX79" s="449"/>
      <c r="OQY79" s="450"/>
      <c r="OQZ79" s="452"/>
      <c r="ORA79" s="448"/>
      <c r="ORB79" s="456"/>
      <c r="ORC79" s="458"/>
      <c r="ORD79" s="458"/>
      <c r="ORF79" s="454"/>
      <c r="ORG79" s="450"/>
      <c r="ORH79" s="454"/>
      <c r="ORI79" s="448"/>
      <c r="ORJ79" s="449"/>
      <c r="ORK79" s="450"/>
      <c r="ORL79" s="447"/>
      <c r="ORM79" s="448"/>
      <c r="ORN79" s="449"/>
      <c r="ORO79" s="450"/>
      <c r="ORP79" s="447"/>
      <c r="ORQ79" s="451"/>
      <c r="ORR79" s="449"/>
      <c r="ORS79" s="450"/>
      <c r="ORT79" s="447"/>
      <c r="ORU79" s="451"/>
      <c r="ORV79" s="449"/>
      <c r="ORW79" s="450"/>
      <c r="ORX79" s="447"/>
      <c r="ORY79" s="451"/>
      <c r="ORZ79" s="449"/>
      <c r="OSA79" s="450"/>
      <c r="OSB79" s="452"/>
      <c r="OSC79" s="451"/>
      <c r="OSD79" s="449"/>
      <c r="OSE79" s="450"/>
      <c r="OSF79" s="447"/>
      <c r="OSG79" s="448"/>
      <c r="OSH79" s="453"/>
      <c r="OSI79" s="449"/>
      <c r="OSJ79" s="450"/>
      <c r="OSK79" s="454"/>
      <c r="OSL79" s="448"/>
      <c r="OSN79" s="449"/>
      <c r="OSO79" s="450"/>
      <c r="OSP79" s="452"/>
      <c r="OSQ79" s="448"/>
      <c r="OSS79" s="449"/>
      <c r="OST79" s="450"/>
      <c r="OSU79" s="447"/>
      <c r="OSV79" s="448"/>
      <c r="OSX79" s="449"/>
      <c r="OSY79" s="450"/>
      <c r="OSZ79" s="452"/>
      <c r="OTA79" s="448"/>
      <c r="OTB79" s="449"/>
      <c r="OTC79" s="450"/>
      <c r="OTD79" s="452"/>
      <c r="OTE79" s="448"/>
      <c r="OTF79" s="455"/>
      <c r="OTG79" s="449"/>
      <c r="OTH79" s="450"/>
      <c r="OTI79" s="459"/>
      <c r="OTJ79" s="448"/>
      <c r="OTK79" s="456"/>
      <c r="OTL79" s="449"/>
      <c r="OTM79" s="450"/>
      <c r="OTN79" s="452"/>
      <c r="OTO79" s="448"/>
      <c r="OTP79" s="449"/>
      <c r="OTQ79" s="450"/>
      <c r="OTR79" s="452"/>
      <c r="OTS79" s="448"/>
      <c r="OTT79" s="449"/>
      <c r="OTU79" s="450"/>
      <c r="OTV79" s="447"/>
      <c r="OTW79" s="448"/>
      <c r="OTX79" s="457"/>
      <c r="OTY79" s="460"/>
      <c r="OTZ79" s="450"/>
      <c r="OUA79" s="461"/>
      <c r="OUB79" s="448"/>
      <c r="OUC79" s="456"/>
      <c r="OUD79" s="449"/>
      <c r="OUE79" s="450"/>
      <c r="OUF79" s="452"/>
      <c r="OUG79" s="448"/>
      <c r="OUH79" s="456"/>
      <c r="OUI79" s="458"/>
      <c r="OUJ79" s="458"/>
      <c r="OUL79" s="454"/>
      <c r="OUM79" s="450"/>
      <c r="OUN79" s="454"/>
      <c r="OUO79" s="448"/>
      <c r="OUP79" s="449"/>
      <c r="OUQ79" s="450"/>
      <c r="OUR79" s="447"/>
      <c r="OUS79" s="448"/>
      <c r="OUT79" s="449"/>
      <c r="OUU79" s="450"/>
      <c r="OUV79" s="447"/>
      <c r="OUW79" s="451"/>
      <c r="OUX79" s="449"/>
      <c r="OUY79" s="450"/>
      <c r="OUZ79" s="447"/>
      <c r="OVA79" s="451"/>
      <c r="OVB79" s="449"/>
      <c r="OVC79" s="450"/>
      <c r="OVD79" s="447"/>
      <c r="OVE79" s="451"/>
      <c r="OVF79" s="449"/>
      <c r="OVG79" s="450"/>
      <c r="OVH79" s="452"/>
      <c r="OVI79" s="451"/>
      <c r="OVJ79" s="449"/>
      <c r="OVK79" s="450"/>
      <c r="OVL79" s="447"/>
      <c r="OVM79" s="448"/>
      <c r="OVN79" s="453"/>
      <c r="OVO79" s="449"/>
      <c r="OVP79" s="450"/>
      <c r="OVQ79" s="454"/>
      <c r="OVR79" s="448"/>
      <c r="OVT79" s="449"/>
      <c r="OVU79" s="450"/>
      <c r="OVV79" s="452"/>
      <c r="OVW79" s="448"/>
      <c r="OVY79" s="449"/>
      <c r="OVZ79" s="450"/>
      <c r="OWA79" s="447"/>
      <c r="OWB79" s="448"/>
      <c r="OWD79" s="449"/>
      <c r="OWE79" s="450"/>
      <c r="OWF79" s="452"/>
      <c r="OWG79" s="448"/>
      <c r="OWH79" s="449"/>
      <c r="OWI79" s="450"/>
      <c r="OWJ79" s="452"/>
      <c r="OWK79" s="448"/>
      <c r="OWL79" s="455"/>
      <c r="OWM79" s="449"/>
      <c r="OWN79" s="450"/>
      <c r="OWO79" s="459"/>
      <c r="OWP79" s="448"/>
      <c r="OWQ79" s="456"/>
      <c r="OWR79" s="449"/>
      <c r="OWS79" s="450"/>
      <c r="OWT79" s="452"/>
      <c r="OWU79" s="448"/>
      <c r="OWV79" s="449"/>
      <c r="OWW79" s="450"/>
      <c r="OWX79" s="452"/>
      <c r="OWY79" s="448"/>
      <c r="OWZ79" s="449"/>
      <c r="OXA79" s="450"/>
      <c r="OXB79" s="447"/>
      <c r="OXC79" s="448"/>
      <c r="OXD79" s="457"/>
      <c r="OXE79" s="460"/>
      <c r="OXF79" s="450"/>
      <c r="OXG79" s="461"/>
      <c r="OXH79" s="448"/>
      <c r="OXI79" s="456"/>
      <c r="OXJ79" s="449"/>
      <c r="OXK79" s="450"/>
      <c r="OXL79" s="452"/>
      <c r="OXM79" s="448"/>
      <c r="OXN79" s="456"/>
      <c r="OXO79" s="458"/>
      <c r="OXP79" s="458"/>
      <c r="OXR79" s="454"/>
      <c r="OXS79" s="450"/>
      <c r="OXT79" s="454"/>
      <c r="OXU79" s="448"/>
      <c r="OXV79" s="449"/>
      <c r="OXW79" s="450"/>
      <c r="OXX79" s="447"/>
      <c r="OXY79" s="448"/>
      <c r="OXZ79" s="449"/>
      <c r="OYA79" s="450"/>
      <c r="OYB79" s="447"/>
      <c r="OYC79" s="451"/>
      <c r="OYD79" s="449"/>
      <c r="OYE79" s="450"/>
      <c r="OYF79" s="447"/>
      <c r="OYG79" s="451"/>
      <c r="OYH79" s="449"/>
      <c r="OYI79" s="450"/>
      <c r="OYJ79" s="447"/>
      <c r="OYK79" s="451"/>
      <c r="OYL79" s="449"/>
      <c r="OYM79" s="450"/>
      <c r="OYN79" s="452"/>
      <c r="OYO79" s="451"/>
      <c r="OYP79" s="449"/>
      <c r="OYQ79" s="450"/>
      <c r="OYR79" s="447"/>
      <c r="OYS79" s="448"/>
      <c r="OYT79" s="453"/>
      <c r="OYU79" s="449"/>
      <c r="OYV79" s="450"/>
      <c r="OYW79" s="454"/>
      <c r="OYX79" s="448"/>
      <c r="OYZ79" s="449"/>
      <c r="OZA79" s="450"/>
      <c r="OZB79" s="452"/>
      <c r="OZC79" s="448"/>
      <c r="OZE79" s="449"/>
      <c r="OZF79" s="450"/>
      <c r="OZG79" s="447"/>
      <c r="OZH79" s="448"/>
      <c r="OZJ79" s="449"/>
      <c r="OZK79" s="450"/>
      <c r="OZL79" s="452"/>
      <c r="OZM79" s="448"/>
      <c r="OZN79" s="449"/>
      <c r="OZO79" s="450"/>
      <c r="OZP79" s="452"/>
      <c r="OZQ79" s="448"/>
      <c r="OZR79" s="455"/>
      <c r="OZS79" s="449"/>
      <c r="OZT79" s="450"/>
      <c r="OZU79" s="459"/>
      <c r="OZV79" s="448"/>
      <c r="OZW79" s="456"/>
      <c r="OZX79" s="449"/>
      <c r="OZY79" s="450"/>
      <c r="OZZ79" s="452"/>
      <c r="PAA79" s="448"/>
      <c r="PAB79" s="449"/>
      <c r="PAC79" s="450"/>
      <c r="PAD79" s="452"/>
      <c r="PAE79" s="448"/>
      <c r="PAF79" s="449"/>
      <c r="PAG79" s="450"/>
      <c r="PAH79" s="447"/>
      <c r="PAI79" s="448"/>
      <c r="PAJ79" s="457"/>
      <c r="PAK79" s="460"/>
      <c r="PAL79" s="450"/>
      <c r="PAM79" s="461"/>
      <c r="PAN79" s="448"/>
      <c r="PAO79" s="456"/>
      <c r="PAP79" s="449"/>
      <c r="PAQ79" s="450"/>
      <c r="PAR79" s="452"/>
      <c r="PAS79" s="448"/>
      <c r="PAT79" s="456"/>
      <c r="PAU79" s="458"/>
      <c r="PAV79" s="458"/>
      <c r="PAX79" s="454"/>
      <c r="PAY79" s="450"/>
      <c r="PAZ79" s="454"/>
      <c r="PBA79" s="448"/>
      <c r="PBB79" s="449"/>
      <c r="PBC79" s="450"/>
      <c r="PBD79" s="447"/>
      <c r="PBE79" s="448"/>
      <c r="PBF79" s="449"/>
      <c r="PBG79" s="450"/>
      <c r="PBH79" s="447"/>
      <c r="PBI79" s="451"/>
      <c r="PBJ79" s="449"/>
      <c r="PBK79" s="450"/>
      <c r="PBL79" s="447"/>
      <c r="PBM79" s="451"/>
      <c r="PBN79" s="449"/>
      <c r="PBO79" s="450"/>
      <c r="PBP79" s="447"/>
      <c r="PBQ79" s="451"/>
      <c r="PBR79" s="449"/>
      <c r="PBS79" s="450"/>
      <c r="PBT79" s="452"/>
      <c r="PBU79" s="451"/>
      <c r="PBV79" s="449"/>
      <c r="PBW79" s="450"/>
      <c r="PBX79" s="447"/>
      <c r="PBY79" s="448"/>
      <c r="PBZ79" s="453"/>
      <c r="PCA79" s="449"/>
      <c r="PCB79" s="450"/>
      <c r="PCC79" s="454"/>
      <c r="PCD79" s="448"/>
      <c r="PCF79" s="449"/>
      <c r="PCG79" s="450"/>
      <c r="PCH79" s="452"/>
      <c r="PCI79" s="448"/>
      <c r="PCK79" s="449"/>
      <c r="PCL79" s="450"/>
      <c r="PCM79" s="447"/>
      <c r="PCN79" s="448"/>
      <c r="PCP79" s="449"/>
      <c r="PCQ79" s="450"/>
      <c r="PCR79" s="452"/>
      <c r="PCS79" s="448"/>
      <c r="PCT79" s="449"/>
      <c r="PCU79" s="450"/>
      <c r="PCV79" s="452"/>
      <c r="PCW79" s="448"/>
      <c r="PCX79" s="455"/>
      <c r="PCY79" s="449"/>
      <c r="PCZ79" s="450"/>
      <c r="PDA79" s="459"/>
      <c r="PDB79" s="448"/>
      <c r="PDC79" s="456"/>
      <c r="PDD79" s="449"/>
      <c r="PDE79" s="450"/>
      <c r="PDF79" s="452"/>
      <c r="PDG79" s="448"/>
      <c r="PDH79" s="449"/>
      <c r="PDI79" s="450"/>
      <c r="PDJ79" s="452"/>
      <c r="PDK79" s="448"/>
      <c r="PDL79" s="449"/>
      <c r="PDM79" s="450"/>
      <c r="PDN79" s="447"/>
      <c r="PDO79" s="448"/>
      <c r="PDP79" s="457"/>
      <c r="PDQ79" s="460"/>
      <c r="PDR79" s="450"/>
      <c r="PDS79" s="461"/>
      <c r="PDT79" s="448"/>
      <c r="PDU79" s="456"/>
      <c r="PDV79" s="449"/>
      <c r="PDW79" s="450"/>
      <c r="PDX79" s="452"/>
      <c r="PDY79" s="448"/>
      <c r="PDZ79" s="456"/>
      <c r="PEA79" s="458"/>
      <c r="PEB79" s="458"/>
      <c r="PED79" s="454"/>
      <c r="PEE79" s="450"/>
      <c r="PEF79" s="454"/>
      <c r="PEG79" s="448"/>
      <c r="PEH79" s="449"/>
      <c r="PEI79" s="450"/>
      <c r="PEJ79" s="447"/>
      <c r="PEK79" s="448"/>
      <c r="PEL79" s="449"/>
      <c r="PEM79" s="450"/>
      <c r="PEN79" s="447"/>
      <c r="PEO79" s="451"/>
      <c r="PEP79" s="449"/>
      <c r="PEQ79" s="450"/>
      <c r="PER79" s="447"/>
      <c r="PES79" s="451"/>
      <c r="PET79" s="449"/>
      <c r="PEU79" s="450"/>
      <c r="PEV79" s="447"/>
      <c r="PEW79" s="451"/>
      <c r="PEX79" s="449"/>
      <c r="PEY79" s="450"/>
      <c r="PEZ79" s="452"/>
      <c r="PFA79" s="451"/>
      <c r="PFB79" s="449"/>
      <c r="PFC79" s="450"/>
      <c r="PFD79" s="447"/>
      <c r="PFE79" s="448"/>
      <c r="PFF79" s="453"/>
      <c r="PFG79" s="449"/>
      <c r="PFH79" s="450"/>
      <c r="PFI79" s="454"/>
      <c r="PFJ79" s="448"/>
      <c r="PFL79" s="449"/>
      <c r="PFM79" s="450"/>
      <c r="PFN79" s="452"/>
      <c r="PFO79" s="448"/>
      <c r="PFQ79" s="449"/>
      <c r="PFR79" s="450"/>
      <c r="PFS79" s="447"/>
      <c r="PFT79" s="448"/>
      <c r="PFV79" s="449"/>
      <c r="PFW79" s="450"/>
      <c r="PFX79" s="452"/>
      <c r="PFY79" s="448"/>
      <c r="PFZ79" s="449"/>
      <c r="PGA79" s="450"/>
      <c r="PGB79" s="452"/>
      <c r="PGC79" s="448"/>
      <c r="PGD79" s="455"/>
      <c r="PGE79" s="449"/>
      <c r="PGF79" s="450"/>
      <c r="PGG79" s="459"/>
      <c r="PGH79" s="448"/>
      <c r="PGI79" s="456"/>
      <c r="PGJ79" s="449"/>
      <c r="PGK79" s="450"/>
      <c r="PGL79" s="452"/>
      <c r="PGM79" s="448"/>
      <c r="PGN79" s="449"/>
      <c r="PGO79" s="450"/>
      <c r="PGP79" s="452"/>
      <c r="PGQ79" s="448"/>
      <c r="PGR79" s="449"/>
      <c r="PGS79" s="450"/>
      <c r="PGT79" s="447"/>
      <c r="PGU79" s="448"/>
      <c r="PGV79" s="457"/>
      <c r="PGW79" s="460"/>
      <c r="PGX79" s="450"/>
      <c r="PGY79" s="461"/>
      <c r="PGZ79" s="448"/>
      <c r="PHA79" s="456"/>
      <c r="PHB79" s="449"/>
      <c r="PHC79" s="450"/>
      <c r="PHD79" s="452"/>
      <c r="PHE79" s="448"/>
      <c r="PHF79" s="456"/>
      <c r="PHG79" s="458"/>
      <c r="PHH79" s="458"/>
      <c r="PHJ79" s="454"/>
      <c r="PHK79" s="450"/>
      <c r="PHL79" s="454"/>
      <c r="PHM79" s="448"/>
      <c r="PHN79" s="449"/>
      <c r="PHO79" s="450"/>
      <c r="PHP79" s="447"/>
      <c r="PHQ79" s="448"/>
      <c r="PHR79" s="449"/>
      <c r="PHS79" s="450"/>
      <c r="PHT79" s="447"/>
      <c r="PHU79" s="451"/>
      <c r="PHV79" s="449"/>
      <c r="PHW79" s="450"/>
      <c r="PHX79" s="447"/>
      <c r="PHY79" s="451"/>
      <c r="PHZ79" s="449"/>
      <c r="PIA79" s="450"/>
      <c r="PIB79" s="447"/>
      <c r="PIC79" s="451"/>
      <c r="PID79" s="449"/>
      <c r="PIE79" s="450"/>
      <c r="PIF79" s="452"/>
      <c r="PIG79" s="451"/>
      <c r="PIH79" s="449"/>
      <c r="PII79" s="450"/>
      <c r="PIJ79" s="447"/>
      <c r="PIK79" s="448"/>
      <c r="PIL79" s="453"/>
      <c r="PIM79" s="449"/>
      <c r="PIN79" s="450"/>
      <c r="PIO79" s="454"/>
      <c r="PIP79" s="448"/>
      <c r="PIR79" s="449"/>
      <c r="PIS79" s="450"/>
      <c r="PIT79" s="452"/>
      <c r="PIU79" s="448"/>
      <c r="PIW79" s="449"/>
      <c r="PIX79" s="450"/>
      <c r="PIY79" s="447"/>
      <c r="PIZ79" s="448"/>
      <c r="PJB79" s="449"/>
      <c r="PJC79" s="450"/>
      <c r="PJD79" s="452"/>
      <c r="PJE79" s="448"/>
      <c r="PJF79" s="449"/>
      <c r="PJG79" s="450"/>
      <c r="PJH79" s="452"/>
      <c r="PJI79" s="448"/>
      <c r="PJJ79" s="455"/>
      <c r="PJK79" s="449"/>
      <c r="PJL79" s="450"/>
      <c r="PJM79" s="459"/>
      <c r="PJN79" s="448"/>
      <c r="PJO79" s="456"/>
      <c r="PJP79" s="449"/>
      <c r="PJQ79" s="450"/>
      <c r="PJR79" s="452"/>
      <c r="PJS79" s="448"/>
      <c r="PJT79" s="449"/>
      <c r="PJU79" s="450"/>
      <c r="PJV79" s="452"/>
      <c r="PJW79" s="448"/>
      <c r="PJX79" s="449"/>
      <c r="PJY79" s="450"/>
      <c r="PJZ79" s="447"/>
      <c r="PKA79" s="448"/>
      <c r="PKB79" s="457"/>
      <c r="PKC79" s="460"/>
      <c r="PKD79" s="450"/>
      <c r="PKE79" s="461"/>
      <c r="PKF79" s="448"/>
      <c r="PKG79" s="456"/>
      <c r="PKH79" s="449"/>
      <c r="PKI79" s="450"/>
      <c r="PKJ79" s="452"/>
      <c r="PKK79" s="448"/>
      <c r="PKL79" s="456"/>
      <c r="PKM79" s="458"/>
      <c r="PKN79" s="458"/>
      <c r="PKP79" s="454"/>
      <c r="PKQ79" s="450"/>
      <c r="PKR79" s="454"/>
      <c r="PKS79" s="448"/>
      <c r="PKT79" s="449"/>
      <c r="PKU79" s="450"/>
      <c r="PKV79" s="447"/>
      <c r="PKW79" s="448"/>
      <c r="PKX79" s="449"/>
      <c r="PKY79" s="450"/>
      <c r="PKZ79" s="447"/>
      <c r="PLA79" s="451"/>
      <c r="PLB79" s="449"/>
      <c r="PLC79" s="450"/>
      <c r="PLD79" s="447"/>
      <c r="PLE79" s="451"/>
      <c r="PLF79" s="449"/>
      <c r="PLG79" s="450"/>
      <c r="PLH79" s="447"/>
      <c r="PLI79" s="451"/>
      <c r="PLJ79" s="449"/>
      <c r="PLK79" s="450"/>
      <c r="PLL79" s="452"/>
      <c r="PLM79" s="451"/>
      <c r="PLN79" s="449"/>
      <c r="PLO79" s="450"/>
      <c r="PLP79" s="447"/>
      <c r="PLQ79" s="448"/>
      <c r="PLR79" s="453"/>
      <c r="PLS79" s="449"/>
      <c r="PLT79" s="450"/>
      <c r="PLU79" s="454"/>
      <c r="PLV79" s="448"/>
      <c r="PLX79" s="449"/>
      <c r="PLY79" s="450"/>
      <c r="PLZ79" s="452"/>
      <c r="PMA79" s="448"/>
      <c r="PMC79" s="449"/>
      <c r="PMD79" s="450"/>
      <c r="PME79" s="447"/>
      <c r="PMF79" s="448"/>
      <c r="PMH79" s="449"/>
      <c r="PMI79" s="450"/>
      <c r="PMJ79" s="452"/>
      <c r="PMK79" s="448"/>
      <c r="PML79" s="449"/>
      <c r="PMM79" s="450"/>
      <c r="PMN79" s="452"/>
      <c r="PMO79" s="448"/>
      <c r="PMP79" s="455"/>
      <c r="PMQ79" s="449"/>
      <c r="PMR79" s="450"/>
      <c r="PMS79" s="459"/>
      <c r="PMT79" s="448"/>
      <c r="PMU79" s="456"/>
      <c r="PMV79" s="449"/>
      <c r="PMW79" s="450"/>
      <c r="PMX79" s="452"/>
      <c r="PMY79" s="448"/>
      <c r="PMZ79" s="449"/>
      <c r="PNA79" s="450"/>
      <c r="PNB79" s="452"/>
      <c r="PNC79" s="448"/>
      <c r="PND79" s="449"/>
      <c r="PNE79" s="450"/>
      <c r="PNF79" s="447"/>
      <c r="PNG79" s="448"/>
      <c r="PNH79" s="457"/>
      <c r="PNI79" s="460"/>
      <c r="PNJ79" s="450"/>
      <c r="PNK79" s="461"/>
      <c r="PNL79" s="448"/>
      <c r="PNM79" s="456"/>
      <c r="PNN79" s="449"/>
      <c r="PNO79" s="450"/>
      <c r="PNP79" s="452"/>
      <c r="PNQ79" s="448"/>
      <c r="PNR79" s="456"/>
      <c r="PNS79" s="458"/>
      <c r="PNT79" s="458"/>
      <c r="PNV79" s="454"/>
      <c r="PNW79" s="450"/>
      <c r="PNX79" s="454"/>
      <c r="PNY79" s="448"/>
      <c r="PNZ79" s="449"/>
      <c r="POA79" s="450"/>
      <c r="POB79" s="447"/>
      <c r="POC79" s="448"/>
      <c r="POD79" s="449"/>
      <c r="POE79" s="450"/>
      <c r="POF79" s="447"/>
      <c r="POG79" s="451"/>
      <c r="POH79" s="449"/>
      <c r="POI79" s="450"/>
      <c r="POJ79" s="447"/>
      <c r="POK79" s="451"/>
      <c r="POL79" s="449"/>
      <c r="POM79" s="450"/>
      <c r="PON79" s="447"/>
      <c r="POO79" s="451"/>
      <c r="POP79" s="449"/>
      <c r="POQ79" s="450"/>
      <c r="POR79" s="452"/>
      <c r="POS79" s="451"/>
      <c r="POT79" s="449"/>
      <c r="POU79" s="450"/>
      <c r="POV79" s="447"/>
      <c r="POW79" s="448"/>
      <c r="POX79" s="453"/>
      <c r="POY79" s="449"/>
      <c r="POZ79" s="450"/>
      <c r="PPA79" s="454"/>
      <c r="PPB79" s="448"/>
      <c r="PPD79" s="449"/>
      <c r="PPE79" s="450"/>
      <c r="PPF79" s="452"/>
      <c r="PPG79" s="448"/>
      <c r="PPI79" s="449"/>
      <c r="PPJ79" s="450"/>
      <c r="PPK79" s="447"/>
      <c r="PPL79" s="448"/>
      <c r="PPN79" s="449"/>
      <c r="PPO79" s="450"/>
      <c r="PPP79" s="452"/>
      <c r="PPQ79" s="448"/>
      <c r="PPR79" s="449"/>
      <c r="PPS79" s="450"/>
      <c r="PPT79" s="452"/>
      <c r="PPU79" s="448"/>
      <c r="PPV79" s="455"/>
      <c r="PPW79" s="449"/>
      <c r="PPX79" s="450"/>
      <c r="PPY79" s="459"/>
      <c r="PPZ79" s="448"/>
      <c r="PQA79" s="456"/>
      <c r="PQB79" s="449"/>
      <c r="PQC79" s="450"/>
      <c r="PQD79" s="452"/>
      <c r="PQE79" s="448"/>
      <c r="PQF79" s="449"/>
      <c r="PQG79" s="450"/>
      <c r="PQH79" s="452"/>
      <c r="PQI79" s="448"/>
      <c r="PQJ79" s="449"/>
      <c r="PQK79" s="450"/>
      <c r="PQL79" s="447"/>
      <c r="PQM79" s="448"/>
      <c r="PQN79" s="457"/>
      <c r="PQO79" s="460"/>
      <c r="PQP79" s="450"/>
      <c r="PQQ79" s="461"/>
      <c r="PQR79" s="448"/>
      <c r="PQS79" s="456"/>
      <c r="PQT79" s="449"/>
      <c r="PQU79" s="450"/>
      <c r="PQV79" s="452"/>
      <c r="PQW79" s="448"/>
      <c r="PQX79" s="456"/>
      <c r="PQY79" s="458"/>
      <c r="PQZ79" s="458"/>
      <c r="PRB79" s="454"/>
      <c r="PRC79" s="450"/>
      <c r="PRD79" s="454"/>
      <c r="PRE79" s="448"/>
      <c r="PRF79" s="449"/>
      <c r="PRG79" s="450"/>
      <c r="PRH79" s="447"/>
      <c r="PRI79" s="448"/>
      <c r="PRJ79" s="449"/>
      <c r="PRK79" s="450"/>
      <c r="PRL79" s="447"/>
      <c r="PRM79" s="451"/>
      <c r="PRN79" s="449"/>
      <c r="PRO79" s="450"/>
      <c r="PRP79" s="447"/>
      <c r="PRQ79" s="451"/>
      <c r="PRR79" s="449"/>
      <c r="PRS79" s="450"/>
      <c r="PRT79" s="447"/>
      <c r="PRU79" s="451"/>
      <c r="PRV79" s="449"/>
      <c r="PRW79" s="450"/>
      <c r="PRX79" s="452"/>
      <c r="PRY79" s="451"/>
      <c r="PRZ79" s="449"/>
      <c r="PSA79" s="450"/>
      <c r="PSB79" s="447"/>
      <c r="PSC79" s="448"/>
      <c r="PSD79" s="453"/>
      <c r="PSE79" s="449"/>
      <c r="PSF79" s="450"/>
      <c r="PSG79" s="454"/>
      <c r="PSH79" s="448"/>
      <c r="PSJ79" s="449"/>
      <c r="PSK79" s="450"/>
      <c r="PSL79" s="452"/>
      <c r="PSM79" s="448"/>
      <c r="PSO79" s="449"/>
      <c r="PSP79" s="450"/>
      <c r="PSQ79" s="447"/>
      <c r="PSR79" s="448"/>
      <c r="PST79" s="449"/>
      <c r="PSU79" s="450"/>
      <c r="PSV79" s="452"/>
      <c r="PSW79" s="448"/>
      <c r="PSX79" s="449"/>
      <c r="PSY79" s="450"/>
      <c r="PSZ79" s="452"/>
      <c r="PTA79" s="448"/>
      <c r="PTB79" s="455"/>
      <c r="PTC79" s="449"/>
      <c r="PTD79" s="450"/>
      <c r="PTE79" s="459"/>
      <c r="PTF79" s="448"/>
      <c r="PTG79" s="456"/>
      <c r="PTH79" s="449"/>
      <c r="PTI79" s="450"/>
      <c r="PTJ79" s="452"/>
      <c r="PTK79" s="448"/>
      <c r="PTL79" s="449"/>
      <c r="PTM79" s="450"/>
      <c r="PTN79" s="452"/>
      <c r="PTO79" s="448"/>
      <c r="PTP79" s="449"/>
      <c r="PTQ79" s="450"/>
      <c r="PTR79" s="447"/>
      <c r="PTS79" s="448"/>
      <c r="PTT79" s="457"/>
      <c r="PTU79" s="460"/>
      <c r="PTV79" s="450"/>
      <c r="PTW79" s="461"/>
      <c r="PTX79" s="448"/>
      <c r="PTY79" s="456"/>
      <c r="PTZ79" s="449"/>
      <c r="PUA79" s="450"/>
      <c r="PUB79" s="452"/>
      <c r="PUC79" s="448"/>
      <c r="PUD79" s="456"/>
      <c r="PUE79" s="458"/>
      <c r="PUF79" s="458"/>
      <c r="PUH79" s="454"/>
      <c r="PUI79" s="450"/>
      <c r="PUJ79" s="454"/>
      <c r="PUK79" s="448"/>
      <c r="PUL79" s="449"/>
      <c r="PUM79" s="450"/>
      <c r="PUN79" s="447"/>
      <c r="PUO79" s="448"/>
      <c r="PUP79" s="449"/>
      <c r="PUQ79" s="450"/>
      <c r="PUR79" s="447"/>
      <c r="PUS79" s="451"/>
      <c r="PUT79" s="449"/>
      <c r="PUU79" s="450"/>
      <c r="PUV79" s="447"/>
      <c r="PUW79" s="451"/>
      <c r="PUX79" s="449"/>
      <c r="PUY79" s="450"/>
      <c r="PUZ79" s="447"/>
      <c r="PVA79" s="451"/>
      <c r="PVB79" s="449"/>
      <c r="PVC79" s="450"/>
      <c r="PVD79" s="452"/>
      <c r="PVE79" s="451"/>
      <c r="PVF79" s="449"/>
      <c r="PVG79" s="450"/>
      <c r="PVH79" s="447"/>
      <c r="PVI79" s="448"/>
      <c r="PVJ79" s="453"/>
      <c r="PVK79" s="449"/>
      <c r="PVL79" s="450"/>
      <c r="PVM79" s="454"/>
      <c r="PVN79" s="448"/>
      <c r="PVP79" s="449"/>
      <c r="PVQ79" s="450"/>
      <c r="PVR79" s="452"/>
      <c r="PVS79" s="448"/>
      <c r="PVU79" s="449"/>
      <c r="PVV79" s="450"/>
      <c r="PVW79" s="447"/>
      <c r="PVX79" s="448"/>
      <c r="PVZ79" s="449"/>
      <c r="PWA79" s="450"/>
      <c r="PWB79" s="452"/>
      <c r="PWC79" s="448"/>
      <c r="PWD79" s="449"/>
      <c r="PWE79" s="450"/>
      <c r="PWF79" s="452"/>
      <c r="PWG79" s="448"/>
      <c r="PWH79" s="455"/>
      <c r="PWI79" s="449"/>
      <c r="PWJ79" s="450"/>
      <c r="PWK79" s="459"/>
      <c r="PWL79" s="448"/>
      <c r="PWM79" s="456"/>
      <c r="PWN79" s="449"/>
      <c r="PWO79" s="450"/>
      <c r="PWP79" s="452"/>
      <c r="PWQ79" s="448"/>
      <c r="PWR79" s="449"/>
      <c r="PWS79" s="450"/>
      <c r="PWT79" s="452"/>
      <c r="PWU79" s="448"/>
      <c r="PWV79" s="449"/>
      <c r="PWW79" s="450"/>
      <c r="PWX79" s="447"/>
      <c r="PWY79" s="448"/>
      <c r="PWZ79" s="457"/>
      <c r="PXA79" s="460"/>
      <c r="PXB79" s="450"/>
      <c r="PXC79" s="461"/>
      <c r="PXD79" s="448"/>
      <c r="PXE79" s="456"/>
      <c r="PXF79" s="449"/>
      <c r="PXG79" s="450"/>
      <c r="PXH79" s="452"/>
      <c r="PXI79" s="448"/>
      <c r="PXJ79" s="456"/>
      <c r="PXK79" s="458"/>
      <c r="PXL79" s="458"/>
      <c r="PXN79" s="454"/>
      <c r="PXO79" s="450"/>
      <c r="PXP79" s="454"/>
      <c r="PXQ79" s="448"/>
      <c r="PXR79" s="449"/>
      <c r="PXS79" s="450"/>
      <c r="PXT79" s="447"/>
      <c r="PXU79" s="448"/>
      <c r="PXV79" s="449"/>
      <c r="PXW79" s="450"/>
      <c r="PXX79" s="447"/>
      <c r="PXY79" s="451"/>
      <c r="PXZ79" s="449"/>
      <c r="PYA79" s="450"/>
      <c r="PYB79" s="447"/>
      <c r="PYC79" s="451"/>
      <c r="PYD79" s="449"/>
      <c r="PYE79" s="450"/>
      <c r="PYF79" s="447"/>
      <c r="PYG79" s="451"/>
      <c r="PYH79" s="449"/>
      <c r="PYI79" s="450"/>
      <c r="PYJ79" s="452"/>
      <c r="PYK79" s="451"/>
      <c r="PYL79" s="449"/>
      <c r="PYM79" s="450"/>
      <c r="PYN79" s="447"/>
      <c r="PYO79" s="448"/>
      <c r="PYP79" s="453"/>
      <c r="PYQ79" s="449"/>
      <c r="PYR79" s="450"/>
      <c r="PYS79" s="454"/>
      <c r="PYT79" s="448"/>
      <c r="PYV79" s="449"/>
      <c r="PYW79" s="450"/>
      <c r="PYX79" s="452"/>
      <c r="PYY79" s="448"/>
      <c r="PZA79" s="449"/>
      <c r="PZB79" s="450"/>
      <c r="PZC79" s="447"/>
      <c r="PZD79" s="448"/>
      <c r="PZF79" s="449"/>
      <c r="PZG79" s="450"/>
      <c r="PZH79" s="452"/>
      <c r="PZI79" s="448"/>
      <c r="PZJ79" s="449"/>
      <c r="PZK79" s="450"/>
      <c r="PZL79" s="452"/>
      <c r="PZM79" s="448"/>
      <c r="PZN79" s="455"/>
      <c r="PZO79" s="449"/>
      <c r="PZP79" s="450"/>
      <c r="PZQ79" s="459"/>
      <c r="PZR79" s="448"/>
      <c r="PZS79" s="456"/>
      <c r="PZT79" s="449"/>
      <c r="PZU79" s="450"/>
      <c r="PZV79" s="452"/>
      <c r="PZW79" s="448"/>
      <c r="PZX79" s="449"/>
      <c r="PZY79" s="450"/>
      <c r="PZZ79" s="452"/>
      <c r="QAA79" s="448"/>
      <c r="QAB79" s="449"/>
      <c r="QAC79" s="450"/>
      <c r="QAD79" s="447"/>
      <c r="QAE79" s="448"/>
      <c r="QAF79" s="457"/>
      <c r="QAG79" s="460"/>
      <c r="QAH79" s="450"/>
      <c r="QAI79" s="461"/>
      <c r="QAJ79" s="448"/>
      <c r="QAK79" s="456"/>
      <c r="QAL79" s="449"/>
      <c r="QAM79" s="450"/>
      <c r="QAN79" s="452"/>
      <c r="QAO79" s="448"/>
      <c r="QAP79" s="456"/>
      <c r="QAQ79" s="458"/>
      <c r="QAR79" s="458"/>
      <c r="QAT79" s="454"/>
      <c r="QAU79" s="450"/>
      <c r="QAV79" s="454"/>
      <c r="QAW79" s="448"/>
      <c r="QAX79" s="449"/>
      <c r="QAY79" s="450"/>
      <c r="QAZ79" s="447"/>
      <c r="QBA79" s="448"/>
      <c r="QBB79" s="449"/>
      <c r="QBC79" s="450"/>
      <c r="QBD79" s="447"/>
      <c r="QBE79" s="451"/>
      <c r="QBF79" s="449"/>
      <c r="QBG79" s="450"/>
      <c r="QBH79" s="447"/>
      <c r="QBI79" s="451"/>
      <c r="QBJ79" s="449"/>
      <c r="QBK79" s="450"/>
      <c r="QBL79" s="447"/>
      <c r="QBM79" s="451"/>
      <c r="QBN79" s="449"/>
      <c r="QBO79" s="450"/>
      <c r="QBP79" s="452"/>
      <c r="QBQ79" s="451"/>
      <c r="QBR79" s="449"/>
      <c r="QBS79" s="450"/>
      <c r="QBT79" s="447"/>
      <c r="QBU79" s="448"/>
      <c r="QBV79" s="453"/>
      <c r="QBW79" s="449"/>
      <c r="QBX79" s="450"/>
      <c r="QBY79" s="454"/>
      <c r="QBZ79" s="448"/>
      <c r="QCB79" s="449"/>
      <c r="QCC79" s="450"/>
      <c r="QCD79" s="452"/>
      <c r="QCE79" s="448"/>
      <c r="QCG79" s="449"/>
      <c r="QCH79" s="450"/>
      <c r="QCI79" s="447"/>
      <c r="QCJ79" s="448"/>
      <c r="QCL79" s="449"/>
      <c r="QCM79" s="450"/>
      <c r="QCN79" s="452"/>
      <c r="QCO79" s="448"/>
      <c r="QCP79" s="449"/>
      <c r="QCQ79" s="450"/>
      <c r="QCR79" s="452"/>
      <c r="QCS79" s="448"/>
      <c r="QCT79" s="455"/>
      <c r="QCU79" s="449"/>
      <c r="QCV79" s="450"/>
      <c r="QCW79" s="459"/>
      <c r="QCX79" s="448"/>
      <c r="QCY79" s="456"/>
      <c r="QCZ79" s="449"/>
      <c r="QDA79" s="450"/>
      <c r="QDB79" s="452"/>
      <c r="QDC79" s="448"/>
      <c r="QDD79" s="449"/>
      <c r="QDE79" s="450"/>
      <c r="QDF79" s="452"/>
      <c r="QDG79" s="448"/>
      <c r="QDH79" s="449"/>
      <c r="QDI79" s="450"/>
      <c r="QDJ79" s="447"/>
      <c r="QDK79" s="448"/>
      <c r="QDL79" s="457"/>
      <c r="QDM79" s="460"/>
      <c r="QDN79" s="450"/>
      <c r="QDO79" s="461"/>
      <c r="QDP79" s="448"/>
      <c r="QDQ79" s="456"/>
      <c r="QDR79" s="449"/>
      <c r="QDS79" s="450"/>
      <c r="QDT79" s="452"/>
      <c r="QDU79" s="448"/>
      <c r="QDV79" s="456"/>
      <c r="QDW79" s="458"/>
      <c r="QDX79" s="458"/>
      <c r="QDZ79" s="454"/>
      <c r="QEA79" s="450"/>
      <c r="QEB79" s="454"/>
      <c r="QEC79" s="448"/>
      <c r="QED79" s="449"/>
      <c r="QEE79" s="450"/>
      <c r="QEF79" s="447"/>
      <c r="QEG79" s="448"/>
      <c r="QEH79" s="449"/>
      <c r="QEI79" s="450"/>
      <c r="QEJ79" s="447"/>
      <c r="QEK79" s="451"/>
      <c r="QEL79" s="449"/>
      <c r="QEM79" s="450"/>
      <c r="QEN79" s="447"/>
      <c r="QEO79" s="451"/>
      <c r="QEP79" s="449"/>
      <c r="QEQ79" s="450"/>
      <c r="QER79" s="447"/>
      <c r="QES79" s="451"/>
      <c r="QET79" s="449"/>
      <c r="QEU79" s="450"/>
      <c r="QEV79" s="452"/>
      <c r="QEW79" s="451"/>
      <c r="QEX79" s="449"/>
      <c r="QEY79" s="450"/>
      <c r="QEZ79" s="447"/>
      <c r="QFA79" s="448"/>
      <c r="QFB79" s="453"/>
      <c r="QFC79" s="449"/>
      <c r="QFD79" s="450"/>
      <c r="QFE79" s="454"/>
      <c r="QFF79" s="448"/>
      <c r="QFH79" s="449"/>
      <c r="QFI79" s="450"/>
      <c r="QFJ79" s="452"/>
      <c r="QFK79" s="448"/>
      <c r="QFM79" s="449"/>
      <c r="QFN79" s="450"/>
      <c r="QFO79" s="447"/>
      <c r="QFP79" s="448"/>
      <c r="QFR79" s="449"/>
      <c r="QFS79" s="450"/>
      <c r="QFT79" s="452"/>
      <c r="QFU79" s="448"/>
      <c r="QFV79" s="449"/>
      <c r="QFW79" s="450"/>
      <c r="QFX79" s="452"/>
      <c r="QFY79" s="448"/>
      <c r="QFZ79" s="455"/>
      <c r="QGA79" s="449"/>
      <c r="QGB79" s="450"/>
      <c r="QGC79" s="459"/>
      <c r="QGD79" s="448"/>
      <c r="QGE79" s="456"/>
      <c r="QGF79" s="449"/>
      <c r="QGG79" s="450"/>
      <c r="QGH79" s="452"/>
      <c r="QGI79" s="448"/>
      <c r="QGJ79" s="449"/>
      <c r="QGK79" s="450"/>
      <c r="QGL79" s="452"/>
      <c r="QGM79" s="448"/>
      <c r="QGN79" s="449"/>
      <c r="QGO79" s="450"/>
      <c r="QGP79" s="447"/>
      <c r="QGQ79" s="448"/>
      <c r="QGR79" s="457"/>
      <c r="QGS79" s="460"/>
      <c r="QGT79" s="450"/>
      <c r="QGU79" s="461"/>
      <c r="QGV79" s="448"/>
      <c r="QGW79" s="456"/>
      <c r="QGX79" s="449"/>
      <c r="QGY79" s="450"/>
      <c r="QGZ79" s="452"/>
      <c r="QHA79" s="448"/>
      <c r="QHB79" s="456"/>
      <c r="QHC79" s="458"/>
      <c r="QHD79" s="458"/>
      <c r="QHF79" s="454"/>
      <c r="QHG79" s="450"/>
      <c r="QHH79" s="454"/>
      <c r="QHI79" s="448"/>
      <c r="QHJ79" s="449"/>
      <c r="QHK79" s="450"/>
      <c r="QHL79" s="447"/>
      <c r="QHM79" s="448"/>
      <c r="QHN79" s="449"/>
      <c r="QHO79" s="450"/>
      <c r="QHP79" s="447"/>
      <c r="QHQ79" s="451"/>
      <c r="QHR79" s="449"/>
      <c r="QHS79" s="450"/>
      <c r="QHT79" s="447"/>
      <c r="QHU79" s="451"/>
      <c r="QHV79" s="449"/>
      <c r="QHW79" s="450"/>
      <c r="QHX79" s="447"/>
      <c r="QHY79" s="451"/>
      <c r="QHZ79" s="449"/>
      <c r="QIA79" s="450"/>
      <c r="QIB79" s="452"/>
      <c r="QIC79" s="451"/>
      <c r="QID79" s="449"/>
      <c r="QIE79" s="450"/>
      <c r="QIF79" s="447"/>
      <c r="QIG79" s="448"/>
      <c r="QIH79" s="453"/>
      <c r="QII79" s="449"/>
      <c r="QIJ79" s="450"/>
      <c r="QIK79" s="454"/>
      <c r="QIL79" s="448"/>
      <c r="QIN79" s="449"/>
      <c r="QIO79" s="450"/>
      <c r="QIP79" s="452"/>
      <c r="QIQ79" s="448"/>
      <c r="QIS79" s="449"/>
      <c r="QIT79" s="450"/>
      <c r="QIU79" s="447"/>
      <c r="QIV79" s="448"/>
      <c r="QIX79" s="449"/>
      <c r="QIY79" s="450"/>
      <c r="QIZ79" s="452"/>
      <c r="QJA79" s="448"/>
      <c r="QJB79" s="449"/>
      <c r="QJC79" s="450"/>
      <c r="QJD79" s="452"/>
      <c r="QJE79" s="448"/>
      <c r="QJF79" s="455"/>
      <c r="QJG79" s="449"/>
      <c r="QJH79" s="450"/>
      <c r="QJI79" s="459"/>
      <c r="QJJ79" s="448"/>
      <c r="QJK79" s="456"/>
      <c r="QJL79" s="449"/>
      <c r="QJM79" s="450"/>
      <c r="QJN79" s="452"/>
      <c r="QJO79" s="448"/>
      <c r="QJP79" s="449"/>
      <c r="QJQ79" s="450"/>
      <c r="QJR79" s="452"/>
      <c r="QJS79" s="448"/>
      <c r="QJT79" s="449"/>
      <c r="QJU79" s="450"/>
      <c r="QJV79" s="447"/>
      <c r="QJW79" s="448"/>
      <c r="QJX79" s="457"/>
      <c r="QJY79" s="460"/>
      <c r="QJZ79" s="450"/>
      <c r="QKA79" s="461"/>
      <c r="QKB79" s="448"/>
      <c r="QKC79" s="456"/>
      <c r="QKD79" s="449"/>
      <c r="QKE79" s="450"/>
      <c r="QKF79" s="452"/>
      <c r="QKG79" s="448"/>
      <c r="QKH79" s="456"/>
      <c r="QKI79" s="458"/>
      <c r="QKJ79" s="458"/>
      <c r="QKL79" s="454"/>
      <c r="QKM79" s="450"/>
      <c r="QKN79" s="454"/>
      <c r="QKO79" s="448"/>
      <c r="QKP79" s="449"/>
      <c r="QKQ79" s="450"/>
      <c r="QKR79" s="447"/>
      <c r="QKS79" s="448"/>
      <c r="QKT79" s="449"/>
      <c r="QKU79" s="450"/>
      <c r="QKV79" s="447"/>
      <c r="QKW79" s="451"/>
      <c r="QKX79" s="449"/>
      <c r="QKY79" s="450"/>
      <c r="QKZ79" s="447"/>
      <c r="QLA79" s="451"/>
      <c r="QLB79" s="449"/>
      <c r="QLC79" s="450"/>
      <c r="QLD79" s="447"/>
      <c r="QLE79" s="451"/>
      <c r="QLF79" s="449"/>
      <c r="QLG79" s="450"/>
      <c r="QLH79" s="452"/>
      <c r="QLI79" s="451"/>
      <c r="QLJ79" s="449"/>
      <c r="QLK79" s="450"/>
      <c r="QLL79" s="447"/>
      <c r="QLM79" s="448"/>
      <c r="QLN79" s="453"/>
      <c r="QLO79" s="449"/>
      <c r="QLP79" s="450"/>
      <c r="QLQ79" s="454"/>
      <c r="QLR79" s="448"/>
      <c r="QLT79" s="449"/>
      <c r="QLU79" s="450"/>
      <c r="QLV79" s="452"/>
      <c r="QLW79" s="448"/>
      <c r="QLY79" s="449"/>
      <c r="QLZ79" s="450"/>
      <c r="QMA79" s="447"/>
      <c r="QMB79" s="448"/>
      <c r="QMD79" s="449"/>
      <c r="QME79" s="450"/>
      <c r="QMF79" s="452"/>
      <c r="QMG79" s="448"/>
      <c r="QMH79" s="449"/>
      <c r="QMI79" s="450"/>
      <c r="QMJ79" s="452"/>
      <c r="QMK79" s="448"/>
      <c r="QML79" s="455"/>
      <c r="QMM79" s="449"/>
      <c r="QMN79" s="450"/>
      <c r="QMO79" s="459"/>
      <c r="QMP79" s="448"/>
      <c r="QMQ79" s="456"/>
      <c r="QMR79" s="449"/>
      <c r="QMS79" s="450"/>
      <c r="QMT79" s="452"/>
      <c r="QMU79" s="448"/>
      <c r="QMV79" s="449"/>
      <c r="QMW79" s="450"/>
      <c r="QMX79" s="452"/>
      <c r="QMY79" s="448"/>
      <c r="QMZ79" s="449"/>
      <c r="QNA79" s="450"/>
      <c r="QNB79" s="447"/>
      <c r="QNC79" s="448"/>
      <c r="QND79" s="457"/>
      <c r="QNE79" s="460"/>
      <c r="QNF79" s="450"/>
      <c r="QNG79" s="461"/>
      <c r="QNH79" s="448"/>
      <c r="QNI79" s="456"/>
      <c r="QNJ79" s="449"/>
      <c r="QNK79" s="450"/>
      <c r="QNL79" s="452"/>
      <c r="QNM79" s="448"/>
      <c r="QNN79" s="456"/>
      <c r="QNO79" s="458"/>
      <c r="QNP79" s="458"/>
      <c r="QNR79" s="454"/>
      <c r="QNS79" s="450"/>
      <c r="QNT79" s="454"/>
      <c r="QNU79" s="448"/>
      <c r="QNV79" s="449"/>
      <c r="QNW79" s="450"/>
      <c r="QNX79" s="447"/>
      <c r="QNY79" s="448"/>
      <c r="QNZ79" s="449"/>
      <c r="QOA79" s="450"/>
      <c r="QOB79" s="447"/>
      <c r="QOC79" s="451"/>
      <c r="QOD79" s="449"/>
      <c r="QOE79" s="450"/>
      <c r="QOF79" s="447"/>
      <c r="QOG79" s="451"/>
      <c r="QOH79" s="449"/>
      <c r="QOI79" s="450"/>
      <c r="QOJ79" s="447"/>
      <c r="QOK79" s="451"/>
      <c r="QOL79" s="449"/>
      <c r="QOM79" s="450"/>
      <c r="QON79" s="452"/>
      <c r="QOO79" s="451"/>
      <c r="QOP79" s="449"/>
      <c r="QOQ79" s="450"/>
      <c r="QOR79" s="447"/>
      <c r="QOS79" s="448"/>
      <c r="QOT79" s="453"/>
      <c r="QOU79" s="449"/>
      <c r="QOV79" s="450"/>
      <c r="QOW79" s="454"/>
      <c r="QOX79" s="448"/>
      <c r="QOZ79" s="449"/>
      <c r="QPA79" s="450"/>
      <c r="QPB79" s="452"/>
      <c r="QPC79" s="448"/>
      <c r="QPE79" s="449"/>
      <c r="QPF79" s="450"/>
      <c r="QPG79" s="447"/>
      <c r="QPH79" s="448"/>
      <c r="QPJ79" s="449"/>
      <c r="QPK79" s="450"/>
      <c r="QPL79" s="452"/>
      <c r="QPM79" s="448"/>
      <c r="QPN79" s="449"/>
      <c r="QPO79" s="450"/>
      <c r="QPP79" s="452"/>
      <c r="QPQ79" s="448"/>
      <c r="QPR79" s="455"/>
      <c r="QPS79" s="449"/>
      <c r="QPT79" s="450"/>
      <c r="QPU79" s="459"/>
      <c r="QPV79" s="448"/>
      <c r="QPW79" s="456"/>
      <c r="QPX79" s="449"/>
      <c r="QPY79" s="450"/>
      <c r="QPZ79" s="452"/>
      <c r="QQA79" s="448"/>
      <c r="QQB79" s="449"/>
      <c r="QQC79" s="450"/>
      <c r="QQD79" s="452"/>
      <c r="QQE79" s="448"/>
      <c r="QQF79" s="449"/>
      <c r="QQG79" s="450"/>
      <c r="QQH79" s="447"/>
      <c r="QQI79" s="448"/>
      <c r="QQJ79" s="457"/>
      <c r="QQK79" s="460"/>
      <c r="QQL79" s="450"/>
      <c r="QQM79" s="461"/>
      <c r="QQN79" s="448"/>
      <c r="QQO79" s="456"/>
      <c r="QQP79" s="449"/>
      <c r="QQQ79" s="450"/>
      <c r="QQR79" s="452"/>
      <c r="QQS79" s="448"/>
      <c r="QQT79" s="456"/>
      <c r="QQU79" s="458"/>
      <c r="QQV79" s="458"/>
      <c r="QQX79" s="454"/>
      <c r="QQY79" s="450"/>
      <c r="QQZ79" s="454"/>
      <c r="QRA79" s="448"/>
      <c r="QRB79" s="449"/>
      <c r="QRC79" s="450"/>
      <c r="QRD79" s="447"/>
      <c r="QRE79" s="448"/>
      <c r="QRF79" s="449"/>
      <c r="QRG79" s="450"/>
      <c r="QRH79" s="447"/>
      <c r="QRI79" s="451"/>
      <c r="QRJ79" s="449"/>
      <c r="QRK79" s="450"/>
      <c r="QRL79" s="447"/>
      <c r="QRM79" s="451"/>
      <c r="QRN79" s="449"/>
      <c r="QRO79" s="450"/>
      <c r="QRP79" s="447"/>
      <c r="QRQ79" s="451"/>
      <c r="QRR79" s="449"/>
      <c r="QRS79" s="450"/>
      <c r="QRT79" s="452"/>
      <c r="QRU79" s="451"/>
      <c r="QRV79" s="449"/>
      <c r="QRW79" s="450"/>
      <c r="QRX79" s="447"/>
      <c r="QRY79" s="448"/>
      <c r="QRZ79" s="453"/>
      <c r="QSA79" s="449"/>
      <c r="QSB79" s="450"/>
      <c r="QSC79" s="454"/>
      <c r="QSD79" s="448"/>
      <c r="QSF79" s="449"/>
      <c r="QSG79" s="450"/>
      <c r="QSH79" s="452"/>
      <c r="QSI79" s="448"/>
      <c r="QSK79" s="449"/>
      <c r="QSL79" s="450"/>
      <c r="QSM79" s="447"/>
      <c r="QSN79" s="448"/>
      <c r="QSP79" s="449"/>
      <c r="QSQ79" s="450"/>
      <c r="QSR79" s="452"/>
      <c r="QSS79" s="448"/>
      <c r="QST79" s="449"/>
      <c r="QSU79" s="450"/>
      <c r="QSV79" s="452"/>
      <c r="QSW79" s="448"/>
      <c r="QSX79" s="455"/>
      <c r="QSY79" s="449"/>
      <c r="QSZ79" s="450"/>
      <c r="QTA79" s="459"/>
      <c r="QTB79" s="448"/>
      <c r="QTC79" s="456"/>
      <c r="QTD79" s="449"/>
      <c r="QTE79" s="450"/>
      <c r="QTF79" s="452"/>
      <c r="QTG79" s="448"/>
      <c r="QTH79" s="449"/>
      <c r="QTI79" s="450"/>
      <c r="QTJ79" s="452"/>
      <c r="QTK79" s="448"/>
      <c r="QTL79" s="449"/>
      <c r="QTM79" s="450"/>
      <c r="QTN79" s="447"/>
      <c r="QTO79" s="448"/>
      <c r="QTP79" s="457"/>
      <c r="QTQ79" s="460"/>
      <c r="QTR79" s="450"/>
      <c r="QTS79" s="461"/>
      <c r="QTT79" s="448"/>
      <c r="QTU79" s="456"/>
      <c r="QTV79" s="449"/>
      <c r="QTW79" s="450"/>
      <c r="QTX79" s="452"/>
      <c r="QTY79" s="448"/>
      <c r="QTZ79" s="456"/>
      <c r="QUA79" s="458"/>
      <c r="QUB79" s="458"/>
      <c r="QUD79" s="454"/>
      <c r="QUE79" s="450"/>
      <c r="QUF79" s="454"/>
      <c r="QUG79" s="448"/>
      <c r="QUH79" s="449"/>
      <c r="QUI79" s="450"/>
      <c r="QUJ79" s="447"/>
      <c r="QUK79" s="448"/>
      <c r="QUL79" s="449"/>
      <c r="QUM79" s="450"/>
      <c r="QUN79" s="447"/>
      <c r="QUO79" s="451"/>
      <c r="QUP79" s="449"/>
      <c r="QUQ79" s="450"/>
      <c r="QUR79" s="447"/>
      <c r="QUS79" s="451"/>
      <c r="QUT79" s="449"/>
      <c r="QUU79" s="450"/>
      <c r="QUV79" s="447"/>
      <c r="QUW79" s="451"/>
      <c r="QUX79" s="449"/>
      <c r="QUY79" s="450"/>
      <c r="QUZ79" s="452"/>
      <c r="QVA79" s="451"/>
      <c r="QVB79" s="449"/>
      <c r="QVC79" s="450"/>
      <c r="QVD79" s="447"/>
      <c r="QVE79" s="448"/>
      <c r="QVF79" s="453"/>
      <c r="QVG79" s="449"/>
      <c r="QVH79" s="450"/>
      <c r="QVI79" s="454"/>
      <c r="QVJ79" s="448"/>
      <c r="QVL79" s="449"/>
      <c r="QVM79" s="450"/>
      <c r="QVN79" s="452"/>
      <c r="QVO79" s="448"/>
      <c r="QVQ79" s="449"/>
      <c r="QVR79" s="450"/>
      <c r="QVS79" s="447"/>
      <c r="QVT79" s="448"/>
      <c r="QVV79" s="449"/>
      <c r="QVW79" s="450"/>
      <c r="QVX79" s="452"/>
      <c r="QVY79" s="448"/>
      <c r="QVZ79" s="449"/>
      <c r="QWA79" s="450"/>
      <c r="QWB79" s="452"/>
      <c r="QWC79" s="448"/>
      <c r="QWD79" s="455"/>
      <c r="QWE79" s="449"/>
      <c r="QWF79" s="450"/>
      <c r="QWG79" s="459"/>
      <c r="QWH79" s="448"/>
      <c r="QWI79" s="456"/>
      <c r="QWJ79" s="449"/>
      <c r="QWK79" s="450"/>
      <c r="QWL79" s="452"/>
      <c r="QWM79" s="448"/>
      <c r="QWN79" s="449"/>
      <c r="QWO79" s="450"/>
      <c r="QWP79" s="452"/>
      <c r="QWQ79" s="448"/>
      <c r="QWR79" s="449"/>
      <c r="QWS79" s="450"/>
      <c r="QWT79" s="447"/>
      <c r="QWU79" s="448"/>
      <c r="QWV79" s="457"/>
      <c r="QWW79" s="460"/>
      <c r="QWX79" s="450"/>
      <c r="QWY79" s="461"/>
      <c r="QWZ79" s="448"/>
      <c r="QXA79" s="456"/>
      <c r="QXB79" s="449"/>
      <c r="QXC79" s="450"/>
      <c r="QXD79" s="452"/>
      <c r="QXE79" s="448"/>
      <c r="QXF79" s="456"/>
      <c r="QXG79" s="458"/>
      <c r="QXH79" s="458"/>
      <c r="QXJ79" s="454"/>
      <c r="QXK79" s="450"/>
      <c r="QXL79" s="454"/>
      <c r="QXM79" s="448"/>
      <c r="QXN79" s="449"/>
      <c r="QXO79" s="450"/>
      <c r="QXP79" s="447"/>
      <c r="QXQ79" s="448"/>
      <c r="QXR79" s="449"/>
      <c r="QXS79" s="450"/>
      <c r="QXT79" s="447"/>
      <c r="QXU79" s="451"/>
      <c r="QXV79" s="449"/>
      <c r="QXW79" s="450"/>
      <c r="QXX79" s="447"/>
      <c r="QXY79" s="451"/>
      <c r="QXZ79" s="449"/>
      <c r="QYA79" s="450"/>
      <c r="QYB79" s="447"/>
      <c r="QYC79" s="451"/>
      <c r="QYD79" s="449"/>
      <c r="QYE79" s="450"/>
      <c r="QYF79" s="452"/>
      <c r="QYG79" s="451"/>
      <c r="QYH79" s="449"/>
      <c r="QYI79" s="450"/>
      <c r="QYJ79" s="447"/>
      <c r="QYK79" s="448"/>
      <c r="QYL79" s="453"/>
      <c r="QYM79" s="449"/>
      <c r="QYN79" s="450"/>
      <c r="QYO79" s="454"/>
      <c r="QYP79" s="448"/>
      <c r="QYR79" s="449"/>
      <c r="QYS79" s="450"/>
      <c r="QYT79" s="452"/>
      <c r="QYU79" s="448"/>
      <c r="QYW79" s="449"/>
      <c r="QYX79" s="450"/>
      <c r="QYY79" s="447"/>
      <c r="QYZ79" s="448"/>
      <c r="QZB79" s="449"/>
      <c r="QZC79" s="450"/>
      <c r="QZD79" s="452"/>
      <c r="QZE79" s="448"/>
      <c r="QZF79" s="449"/>
      <c r="QZG79" s="450"/>
      <c r="QZH79" s="452"/>
      <c r="QZI79" s="448"/>
      <c r="QZJ79" s="455"/>
      <c r="QZK79" s="449"/>
      <c r="QZL79" s="450"/>
      <c r="QZM79" s="459"/>
      <c r="QZN79" s="448"/>
      <c r="QZO79" s="456"/>
      <c r="QZP79" s="449"/>
      <c r="QZQ79" s="450"/>
      <c r="QZR79" s="452"/>
      <c r="QZS79" s="448"/>
      <c r="QZT79" s="449"/>
      <c r="QZU79" s="450"/>
      <c r="QZV79" s="452"/>
      <c r="QZW79" s="448"/>
      <c r="QZX79" s="449"/>
      <c r="QZY79" s="450"/>
      <c r="QZZ79" s="447"/>
      <c r="RAA79" s="448"/>
      <c r="RAB79" s="457"/>
      <c r="RAC79" s="460"/>
      <c r="RAD79" s="450"/>
      <c r="RAE79" s="461"/>
      <c r="RAF79" s="448"/>
      <c r="RAG79" s="456"/>
      <c r="RAH79" s="449"/>
      <c r="RAI79" s="450"/>
      <c r="RAJ79" s="452"/>
      <c r="RAK79" s="448"/>
      <c r="RAL79" s="456"/>
      <c r="RAM79" s="458"/>
      <c r="RAN79" s="458"/>
      <c r="RAP79" s="454"/>
      <c r="RAQ79" s="450"/>
      <c r="RAR79" s="454"/>
      <c r="RAS79" s="448"/>
      <c r="RAT79" s="449"/>
      <c r="RAU79" s="450"/>
      <c r="RAV79" s="447"/>
      <c r="RAW79" s="448"/>
      <c r="RAX79" s="449"/>
      <c r="RAY79" s="450"/>
      <c r="RAZ79" s="447"/>
      <c r="RBA79" s="451"/>
      <c r="RBB79" s="449"/>
      <c r="RBC79" s="450"/>
      <c r="RBD79" s="447"/>
      <c r="RBE79" s="451"/>
      <c r="RBF79" s="449"/>
      <c r="RBG79" s="450"/>
      <c r="RBH79" s="447"/>
      <c r="RBI79" s="451"/>
      <c r="RBJ79" s="449"/>
      <c r="RBK79" s="450"/>
      <c r="RBL79" s="452"/>
      <c r="RBM79" s="451"/>
      <c r="RBN79" s="449"/>
      <c r="RBO79" s="450"/>
      <c r="RBP79" s="447"/>
      <c r="RBQ79" s="448"/>
      <c r="RBR79" s="453"/>
      <c r="RBS79" s="449"/>
      <c r="RBT79" s="450"/>
      <c r="RBU79" s="454"/>
      <c r="RBV79" s="448"/>
      <c r="RBX79" s="449"/>
      <c r="RBY79" s="450"/>
      <c r="RBZ79" s="452"/>
      <c r="RCA79" s="448"/>
      <c r="RCC79" s="449"/>
      <c r="RCD79" s="450"/>
      <c r="RCE79" s="447"/>
      <c r="RCF79" s="448"/>
      <c r="RCH79" s="449"/>
      <c r="RCI79" s="450"/>
      <c r="RCJ79" s="452"/>
      <c r="RCK79" s="448"/>
      <c r="RCL79" s="449"/>
      <c r="RCM79" s="450"/>
      <c r="RCN79" s="452"/>
      <c r="RCO79" s="448"/>
      <c r="RCP79" s="455"/>
      <c r="RCQ79" s="449"/>
      <c r="RCR79" s="450"/>
      <c r="RCS79" s="459"/>
      <c r="RCT79" s="448"/>
      <c r="RCU79" s="456"/>
      <c r="RCV79" s="449"/>
      <c r="RCW79" s="450"/>
      <c r="RCX79" s="452"/>
      <c r="RCY79" s="448"/>
      <c r="RCZ79" s="449"/>
      <c r="RDA79" s="450"/>
      <c r="RDB79" s="452"/>
      <c r="RDC79" s="448"/>
      <c r="RDD79" s="449"/>
      <c r="RDE79" s="450"/>
      <c r="RDF79" s="447"/>
      <c r="RDG79" s="448"/>
      <c r="RDH79" s="457"/>
      <c r="RDI79" s="460"/>
      <c r="RDJ79" s="450"/>
      <c r="RDK79" s="461"/>
      <c r="RDL79" s="448"/>
      <c r="RDM79" s="456"/>
      <c r="RDN79" s="449"/>
      <c r="RDO79" s="450"/>
      <c r="RDP79" s="452"/>
      <c r="RDQ79" s="448"/>
      <c r="RDR79" s="456"/>
      <c r="RDS79" s="458"/>
      <c r="RDT79" s="458"/>
      <c r="RDV79" s="454"/>
      <c r="RDW79" s="450"/>
      <c r="RDX79" s="454"/>
      <c r="RDY79" s="448"/>
      <c r="RDZ79" s="449"/>
      <c r="REA79" s="450"/>
      <c r="REB79" s="447"/>
      <c r="REC79" s="448"/>
      <c r="RED79" s="449"/>
      <c r="REE79" s="450"/>
      <c r="REF79" s="447"/>
      <c r="REG79" s="451"/>
      <c r="REH79" s="449"/>
      <c r="REI79" s="450"/>
      <c r="REJ79" s="447"/>
      <c r="REK79" s="451"/>
      <c r="REL79" s="449"/>
      <c r="REM79" s="450"/>
      <c r="REN79" s="447"/>
      <c r="REO79" s="451"/>
      <c r="REP79" s="449"/>
      <c r="REQ79" s="450"/>
      <c r="RER79" s="452"/>
      <c r="RES79" s="451"/>
      <c r="RET79" s="449"/>
      <c r="REU79" s="450"/>
      <c r="REV79" s="447"/>
      <c r="REW79" s="448"/>
      <c r="REX79" s="453"/>
      <c r="REY79" s="449"/>
      <c r="REZ79" s="450"/>
      <c r="RFA79" s="454"/>
      <c r="RFB79" s="448"/>
      <c r="RFD79" s="449"/>
      <c r="RFE79" s="450"/>
      <c r="RFF79" s="452"/>
      <c r="RFG79" s="448"/>
      <c r="RFI79" s="449"/>
      <c r="RFJ79" s="450"/>
      <c r="RFK79" s="447"/>
      <c r="RFL79" s="448"/>
      <c r="RFN79" s="449"/>
      <c r="RFO79" s="450"/>
      <c r="RFP79" s="452"/>
      <c r="RFQ79" s="448"/>
      <c r="RFR79" s="449"/>
      <c r="RFS79" s="450"/>
      <c r="RFT79" s="452"/>
      <c r="RFU79" s="448"/>
      <c r="RFV79" s="455"/>
      <c r="RFW79" s="449"/>
      <c r="RFX79" s="450"/>
      <c r="RFY79" s="459"/>
      <c r="RFZ79" s="448"/>
      <c r="RGA79" s="456"/>
      <c r="RGB79" s="449"/>
      <c r="RGC79" s="450"/>
      <c r="RGD79" s="452"/>
      <c r="RGE79" s="448"/>
      <c r="RGF79" s="449"/>
      <c r="RGG79" s="450"/>
      <c r="RGH79" s="452"/>
      <c r="RGI79" s="448"/>
      <c r="RGJ79" s="449"/>
      <c r="RGK79" s="450"/>
      <c r="RGL79" s="447"/>
      <c r="RGM79" s="448"/>
      <c r="RGN79" s="457"/>
      <c r="RGO79" s="460"/>
      <c r="RGP79" s="450"/>
      <c r="RGQ79" s="461"/>
      <c r="RGR79" s="448"/>
      <c r="RGS79" s="456"/>
      <c r="RGT79" s="449"/>
      <c r="RGU79" s="450"/>
      <c r="RGV79" s="452"/>
      <c r="RGW79" s="448"/>
      <c r="RGX79" s="456"/>
      <c r="RGY79" s="458"/>
      <c r="RGZ79" s="458"/>
      <c r="RHB79" s="454"/>
      <c r="RHC79" s="450"/>
      <c r="RHD79" s="454"/>
      <c r="RHE79" s="448"/>
      <c r="RHF79" s="449"/>
      <c r="RHG79" s="450"/>
      <c r="RHH79" s="447"/>
      <c r="RHI79" s="448"/>
      <c r="RHJ79" s="449"/>
      <c r="RHK79" s="450"/>
      <c r="RHL79" s="447"/>
      <c r="RHM79" s="451"/>
      <c r="RHN79" s="449"/>
      <c r="RHO79" s="450"/>
      <c r="RHP79" s="447"/>
      <c r="RHQ79" s="451"/>
      <c r="RHR79" s="449"/>
      <c r="RHS79" s="450"/>
      <c r="RHT79" s="447"/>
      <c r="RHU79" s="451"/>
      <c r="RHV79" s="449"/>
      <c r="RHW79" s="450"/>
      <c r="RHX79" s="452"/>
      <c r="RHY79" s="451"/>
      <c r="RHZ79" s="449"/>
      <c r="RIA79" s="450"/>
      <c r="RIB79" s="447"/>
      <c r="RIC79" s="448"/>
      <c r="RID79" s="453"/>
      <c r="RIE79" s="449"/>
      <c r="RIF79" s="450"/>
      <c r="RIG79" s="454"/>
      <c r="RIH79" s="448"/>
      <c r="RIJ79" s="449"/>
      <c r="RIK79" s="450"/>
      <c r="RIL79" s="452"/>
      <c r="RIM79" s="448"/>
      <c r="RIO79" s="449"/>
      <c r="RIP79" s="450"/>
      <c r="RIQ79" s="447"/>
      <c r="RIR79" s="448"/>
      <c r="RIT79" s="449"/>
      <c r="RIU79" s="450"/>
      <c r="RIV79" s="452"/>
      <c r="RIW79" s="448"/>
      <c r="RIX79" s="449"/>
      <c r="RIY79" s="450"/>
      <c r="RIZ79" s="452"/>
      <c r="RJA79" s="448"/>
      <c r="RJB79" s="455"/>
      <c r="RJC79" s="449"/>
      <c r="RJD79" s="450"/>
      <c r="RJE79" s="459"/>
      <c r="RJF79" s="448"/>
      <c r="RJG79" s="456"/>
      <c r="RJH79" s="449"/>
      <c r="RJI79" s="450"/>
      <c r="RJJ79" s="452"/>
      <c r="RJK79" s="448"/>
      <c r="RJL79" s="449"/>
      <c r="RJM79" s="450"/>
      <c r="RJN79" s="452"/>
      <c r="RJO79" s="448"/>
      <c r="RJP79" s="449"/>
      <c r="RJQ79" s="450"/>
      <c r="RJR79" s="447"/>
      <c r="RJS79" s="448"/>
      <c r="RJT79" s="457"/>
      <c r="RJU79" s="460"/>
      <c r="RJV79" s="450"/>
      <c r="RJW79" s="461"/>
      <c r="RJX79" s="448"/>
      <c r="RJY79" s="456"/>
      <c r="RJZ79" s="449"/>
      <c r="RKA79" s="450"/>
      <c r="RKB79" s="452"/>
      <c r="RKC79" s="448"/>
      <c r="RKD79" s="456"/>
      <c r="RKE79" s="458"/>
      <c r="RKF79" s="458"/>
      <c r="RKH79" s="454"/>
      <c r="RKI79" s="450"/>
      <c r="RKJ79" s="454"/>
      <c r="RKK79" s="448"/>
      <c r="RKL79" s="449"/>
      <c r="RKM79" s="450"/>
      <c r="RKN79" s="447"/>
      <c r="RKO79" s="448"/>
      <c r="RKP79" s="449"/>
      <c r="RKQ79" s="450"/>
      <c r="RKR79" s="447"/>
      <c r="RKS79" s="451"/>
      <c r="RKT79" s="449"/>
      <c r="RKU79" s="450"/>
      <c r="RKV79" s="447"/>
      <c r="RKW79" s="451"/>
      <c r="RKX79" s="449"/>
      <c r="RKY79" s="450"/>
      <c r="RKZ79" s="447"/>
      <c r="RLA79" s="451"/>
      <c r="RLB79" s="449"/>
      <c r="RLC79" s="450"/>
      <c r="RLD79" s="452"/>
      <c r="RLE79" s="451"/>
      <c r="RLF79" s="449"/>
      <c r="RLG79" s="450"/>
      <c r="RLH79" s="447"/>
      <c r="RLI79" s="448"/>
      <c r="RLJ79" s="453"/>
      <c r="RLK79" s="449"/>
      <c r="RLL79" s="450"/>
      <c r="RLM79" s="454"/>
      <c r="RLN79" s="448"/>
      <c r="RLP79" s="449"/>
      <c r="RLQ79" s="450"/>
      <c r="RLR79" s="452"/>
      <c r="RLS79" s="448"/>
      <c r="RLU79" s="449"/>
      <c r="RLV79" s="450"/>
      <c r="RLW79" s="447"/>
      <c r="RLX79" s="448"/>
      <c r="RLZ79" s="449"/>
      <c r="RMA79" s="450"/>
      <c r="RMB79" s="452"/>
      <c r="RMC79" s="448"/>
      <c r="RMD79" s="449"/>
      <c r="RME79" s="450"/>
      <c r="RMF79" s="452"/>
      <c r="RMG79" s="448"/>
      <c r="RMH79" s="455"/>
      <c r="RMI79" s="449"/>
      <c r="RMJ79" s="450"/>
      <c r="RMK79" s="459"/>
      <c r="RML79" s="448"/>
      <c r="RMM79" s="456"/>
      <c r="RMN79" s="449"/>
      <c r="RMO79" s="450"/>
      <c r="RMP79" s="452"/>
      <c r="RMQ79" s="448"/>
      <c r="RMR79" s="449"/>
      <c r="RMS79" s="450"/>
      <c r="RMT79" s="452"/>
      <c r="RMU79" s="448"/>
      <c r="RMV79" s="449"/>
      <c r="RMW79" s="450"/>
      <c r="RMX79" s="447"/>
      <c r="RMY79" s="448"/>
      <c r="RMZ79" s="457"/>
      <c r="RNA79" s="460"/>
      <c r="RNB79" s="450"/>
      <c r="RNC79" s="461"/>
      <c r="RND79" s="448"/>
      <c r="RNE79" s="456"/>
      <c r="RNF79" s="449"/>
      <c r="RNG79" s="450"/>
      <c r="RNH79" s="452"/>
      <c r="RNI79" s="448"/>
      <c r="RNJ79" s="456"/>
      <c r="RNK79" s="458"/>
      <c r="RNL79" s="458"/>
      <c r="RNN79" s="454"/>
      <c r="RNO79" s="450"/>
      <c r="RNP79" s="454"/>
      <c r="RNQ79" s="448"/>
      <c r="RNR79" s="449"/>
      <c r="RNS79" s="450"/>
      <c r="RNT79" s="447"/>
      <c r="RNU79" s="448"/>
      <c r="RNV79" s="449"/>
      <c r="RNW79" s="450"/>
      <c r="RNX79" s="447"/>
      <c r="RNY79" s="451"/>
      <c r="RNZ79" s="449"/>
      <c r="ROA79" s="450"/>
      <c r="ROB79" s="447"/>
      <c r="ROC79" s="451"/>
      <c r="ROD79" s="449"/>
      <c r="ROE79" s="450"/>
      <c r="ROF79" s="447"/>
      <c r="ROG79" s="451"/>
      <c r="ROH79" s="449"/>
      <c r="ROI79" s="450"/>
      <c r="ROJ79" s="452"/>
      <c r="ROK79" s="451"/>
      <c r="ROL79" s="449"/>
      <c r="ROM79" s="450"/>
      <c r="RON79" s="447"/>
      <c r="ROO79" s="448"/>
      <c r="ROP79" s="453"/>
      <c r="ROQ79" s="449"/>
      <c r="ROR79" s="450"/>
      <c r="ROS79" s="454"/>
      <c r="ROT79" s="448"/>
      <c r="ROV79" s="449"/>
      <c r="ROW79" s="450"/>
      <c r="ROX79" s="452"/>
      <c r="ROY79" s="448"/>
      <c r="RPA79" s="449"/>
      <c r="RPB79" s="450"/>
      <c r="RPC79" s="447"/>
      <c r="RPD79" s="448"/>
      <c r="RPF79" s="449"/>
      <c r="RPG79" s="450"/>
      <c r="RPH79" s="452"/>
      <c r="RPI79" s="448"/>
      <c r="RPJ79" s="449"/>
      <c r="RPK79" s="450"/>
      <c r="RPL79" s="452"/>
      <c r="RPM79" s="448"/>
      <c r="RPN79" s="455"/>
      <c r="RPO79" s="449"/>
      <c r="RPP79" s="450"/>
      <c r="RPQ79" s="459"/>
      <c r="RPR79" s="448"/>
      <c r="RPS79" s="456"/>
      <c r="RPT79" s="449"/>
      <c r="RPU79" s="450"/>
      <c r="RPV79" s="452"/>
      <c r="RPW79" s="448"/>
      <c r="RPX79" s="449"/>
      <c r="RPY79" s="450"/>
      <c r="RPZ79" s="452"/>
      <c r="RQA79" s="448"/>
      <c r="RQB79" s="449"/>
      <c r="RQC79" s="450"/>
      <c r="RQD79" s="447"/>
      <c r="RQE79" s="448"/>
      <c r="RQF79" s="457"/>
      <c r="RQG79" s="460"/>
      <c r="RQH79" s="450"/>
      <c r="RQI79" s="461"/>
      <c r="RQJ79" s="448"/>
      <c r="RQK79" s="456"/>
      <c r="RQL79" s="449"/>
      <c r="RQM79" s="450"/>
      <c r="RQN79" s="452"/>
      <c r="RQO79" s="448"/>
      <c r="RQP79" s="456"/>
      <c r="RQQ79" s="458"/>
      <c r="RQR79" s="458"/>
      <c r="RQT79" s="454"/>
      <c r="RQU79" s="450"/>
      <c r="RQV79" s="454"/>
      <c r="RQW79" s="448"/>
      <c r="RQX79" s="449"/>
      <c r="RQY79" s="450"/>
      <c r="RQZ79" s="447"/>
      <c r="RRA79" s="448"/>
      <c r="RRB79" s="449"/>
      <c r="RRC79" s="450"/>
      <c r="RRD79" s="447"/>
      <c r="RRE79" s="451"/>
      <c r="RRF79" s="449"/>
      <c r="RRG79" s="450"/>
      <c r="RRH79" s="447"/>
      <c r="RRI79" s="451"/>
      <c r="RRJ79" s="449"/>
      <c r="RRK79" s="450"/>
      <c r="RRL79" s="447"/>
      <c r="RRM79" s="451"/>
      <c r="RRN79" s="449"/>
      <c r="RRO79" s="450"/>
      <c r="RRP79" s="452"/>
      <c r="RRQ79" s="451"/>
      <c r="RRR79" s="449"/>
      <c r="RRS79" s="450"/>
      <c r="RRT79" s="447"/>
      <c r="RRU79" s="448"/>
      <c r="RRV79" s="453"/>
      <c r="RRW79" s="449"/>
      <c r="RRX79" s="450"/>
      <c r="RRY79" s="454"/>
      <c r="RRZ79" s="448"/>
      <c r="RSB79" s="449"/>
      <c r="RSC79" s="450"/>
      <c r="RSD79" s="452"/>
      <c r="RSE79" s="448"/>
      <c r="RSG79" s="449"/>
      <c r="RSH79" s="450"/>
      <c r="RSI79" s="447"/>
      <c r="RSJ79" s="448"/>
      <c r="RSL79" s="449"/>
      <c r="RSM79" s="450"/>
      <c r="RSN79" s="452"/>
      <c r="RSO79" s="448"/>
      <c r="RSP79" s="449"/>
      <c r="RSQ79" s="450"/>
      <c r="RSR79" s="452"/>
      <c r="RSS79" s="448"/>
      <c r="RST79" s="455"/>
      <c r="RSU79" s="449"/>
      <c r="RSV79" s="450"/>
      <c r="RSW79" s="459"/>
      <c r="RSX79" s="448"/>
      <c r="RSY79" s="456"/>
      <c r="RSZ79" s="449"/>
      <c r="RTA79" s="450"/>
      <c r="RTB79" s="452"/>
      <c r="RTC79" s="448"/>
      <c r="RTD79" s="449"/>
      <c r="RTE79" s="450"/>
      <c r="RTF79" s="452"/>
      <c r="RTG79" s="448"/>
      <c r="RTH79" s="449"/>
      <c r="RTI79" s="450"/>
      <c r="RTJ79" s="447"/>
      <c r="RTK79" s="448"/>
      <c r="RTL79" s="457"/>
      <c r="RTM79" s="460"/>
      <c r="RTN79" s="450"/>
      <c r="RTO79" s="461"/>
      <c r="RTP79" s="448"/>
      <c r="RTQ79" s="456"/>
      <c r="RTR79" s="449"/>
      <c r="RTS79" s="450"/>
      <c r="RTT79" s="452"/>
      <c r="RTU79" s="448"/>
      <c r="RTV79" s="456"/>
      <c r="RTW79" s="458"/>
      <c r="RTX79" s="458"/>
      <c r="RTZ79" s="454"/>
      <c r="RUA79" s="450"/>
      <c r="RUB79" s="454"/>
      <c r="RUC79" s="448"/>
      <c r="RUD79" s="449"/>
      <c r="RUE79" s="450"/>
      <c r="RUF79" s="447"/>
      <c r="RUG79" s="448"/>
      <c r="RUH79" s="449"/>
      <c r="RUI79" s="450"/>
      <c r="RUJ79" s="447"/>
      <c r="RUK79" s="451"/>
      <c r="RUL79" s="449"/>
      <c r="RUM79" s="450"/>
      <c r="RUN79" s="447"/>
      <c r="RUO79" s="451"/>
      <c r="RUP79" s="449"/>
      <c r="RUQ79" s="450"/>
      <c r="RUR79" s="447"/>
      <c r="RUS79" s="451"/>
      <c r="RUT79" s="449"/>
      <c r="RUU79" s="450"/>
      <c r="RUV79" s="452"/>
      <c r="RUW79" s="451"/>
      <c r="RUX79" s="449"/>
      <c r="RUY79" s="450"/>
      <c r="RUZ79" s="447"/>
      <c r="RVA79" s="448"/>
      <c r="RVB79" s="453"/>
      <c r="RVC79" s="449"/>
      <c r="RVD79" s="450"/>
      <c r="RVE79" s="454"/>
      <c r="RVF79" s="448"/>
      <c r="RVH79" s="449"/>
      <c r="RVI79" s="450"/>
      <c r="RVJ79" s="452"/>
      <c r="RVK79" s="448"/>
      <c r="RVM79" s="449"/>
      <c r="RVN79" s="450"/>
      <c r="RVO79" s="447"/>
      <c r="RVP79" s="448"/>
      <c r="RVR79" s="449"/>
      <c r="RVS79" s="450"/>
      <c r="RVT79" s="452"/>
      <c r="RVU79" s="448"/>
      <c r="RVV79" s="449"/>
      <c r="RVW79" s="450"/>
      <c r="RVX79" s="452"/>
      <c r="RVY79" s="448"/>
      <c r="RVZ79" s="455"/>
      <c r="RWA79" s="449"/>
      <c r="RWB79" s="450"/>
      <c r="RWC79" s="459"/>
      <c r="RWD79" s="448"/>
      <c r="RWE79" s="456"/>
      <c r="RWF79" s="449"/>
      <c r="RWG79" s="450"/>
      <c r="RWH79" s="452"/>
      <c r="RWI79" s="448"/>
      <c r="RWJ79" s="449"/>
      <c r="RWK79" s="450"/>
      <c r="RWL79" s="452"/>
      <c r="RWM79" s="448"/>
      <c r="RWN79" s="449"/>
      <c r="RWO79" s="450"/>
      <c r="RWP79" s="447"/>
      <c r="RWQ79" s="448"/>
      <c r="RWR79" s="457"/>
      <c r="RWS79" s="460"/>
      <c r="RWT79" s="450"/>
      <c r="RWU79" s="461"/>
      <c r="RWV79" s="448"/>
      <c r="RWW79" s="456"/>
      <c r="RWX79" s="449"/>
      <c r="RWY79" s="450"/>
      <c r="RWZ79" s="452"/>
      <c r="RXA79" s="448"/>
      <c r="RXB79" s="456"/>
      <c r="RXC79" s="458"/>
      <c r="RXD79" s="458"/>
      <c r="RXF79" s="454"/>
      <c r="RXG79" s="450"/>
      <c r="RXH79" s="454"/>
      <c r="RXI79" s="448"/>
      <c r="RXJ79" s="449"/>
      <c r="RXK79" s="450"/>
      <c r="RXL79" s="447"/>
      <c r="RXM79" s="448"/>
      <c r="RXN79" s="449"/>
      <c r="RXO79" s="450"/>
      <c r="RXP79" s="447"/>
      <c r="RXQ79" s="451"/>
      <c r="RXR79" s="449"/>
      <c r="RXS79" s="450"/>
      <c r="RXT79" s="447"/>
      <c r="RXU79" s="451"/>
      <c r="RXV79" s="449"/>
      <c r="RXW79" s="450"/>
      <c r="RXX79" s="447"/>
      <c r="RXY79" s="451"/>
      <c r="RXZ79" s="449"/>
      <c r="RYA79" s="450"/>
      <c r="RYB79" s="452"/>
      <c r="RYC79" s="451"/>
      <c r="RYD79" s="449"/>
      <c r="RYE79" s="450"/>
      <c r="RYF79" s="447"/>
      <c r="RYG79" s="448"/>
      <c r="RYH79" s="453"/>
      <c r="RYI79" s="449"/>
      <c r="RYJ79" s="450"/>
      <c r="RYK79" s="454"/>
      <c r="RYL79" s="448"/>
      <c r="RYN79" s="449"/>
      <c r="RYO79" s="450"/>
      <c r="RYP79" s="452"/>
      <c r="RYQ79" s="448"/>
      <c r="RYS79" s="449"/>
      <c r="RYT79" s="450"/>
      <c r="RYU79" s="447"/>
      <c r="RYV79" s="448"/>
      <c r="RYX79" s="449"/>
      <c r="RYY79" s="450"/>
      <c r="RYZ79" s="452"/>
      <c r="RZA79" s="448"/>
      <c r="RZB79" s="449"/>
      <c r="RZC79" s="450"/>
      <c r="RZD79" s="452"/>
      <c r="RZE79" s="448"/>
      <c r="RZF79" s="455"/>
      <c r="RZG79" s="449"/>
      <c r="RZH79" s="450"/>
      <c r="RZI79" s="459"/>
      <c r="RZJ79" s="448"/>
      <c r="RZK79" s="456"/>
      <c r="RZL79" s="449"/>
      <c r="RZM79" s="450"/>
      <c r="RZN79" s="452"/>
      <c r="RZO79" s="448"/>
      <c r="RZP79" s="449"/>
      <c r="RZQ79" s="450"/>
      <c r="RZR79" s="452"/>
      <c r="RZS79" s="448"/>
      <c r="RZT79" s="449"/>
      <c r="RZU79" s="450"/>
      <c r="RZV79" s="447"/>
      <c r="RZW79" s="448"/>
      <c r="RZX79" s="457"/>
      <c r="RZY79" s="460"/>
      <c r="RZZ79" s="450"/>
      <c r="SAA79" s="461"/>
      <c r="SAB79" s="448"/>
      <c r="SAC79" s="456"/>
      <c r="SAD79" s="449"/>
      <c r="SAE79" s="450"/>
      <c r="SAF79" s="452"/>
      <c r="SAG79" s="448"/>
      <c r="SAH79" s="456"/>
      <c r="SAI79" s="458"/>
      <c r="SAJ79" s="458"/>
      <c r="SAL79" s="454"/>
      <c r="SAM79" s="450"/>
      <c r="SAN79" s="454"/>
      <c r="SAO79" s="448"/>
      <c r="SAP79" s="449"/>
      <c r="SAQ79" s="450"/>
      <c r="SAR79" s="447"/>
      <c r="SAS79" s="448"/>
      <c r="SAT79" s="449"/>
      <c r="SAU79" s="450"/>
      <c r="SAV79" s="447"/>
      <c r="SAW79" s="451"/>
      <c r="SAX79" s="449"/>
      <c r="SAY79" s="450"/>
      <c r="SAZ79" s="447"/>
      <c r="SBA79" s="451"/>
      <c r="SBB79" s="449"/>
      <c r="SBC79" s="450"/>
      <c r="SBD79" s="447"/>
      <c r="SBE79" s="451"/>
      <c r="SBF79" s="449"/>
      <c r="SBG79" s="450"/>
      <c r="SBH79" s="452"/>
      <c r="SBI79" s="451"/>
      <c r="SBJ79" s="449"/>
      <c r="SBK79" s="450"/>
      <c r="SBL79" s="447"/>
      <c r="SBM79" s="448"/>
      <c r="SBN79" s="453"/>
      <c r="SBO79" s="449"/>
      <c r="SBP79" s="450"/>
      <c r="SBQ79" s="454"/>
      <c r="SBR79" s="448"/>
      <c r="SBT79" s="449"/>
      <c r="SBU79" s="450"/>
      <c r="SBV79" s="452"/>
      <c r="SBW79" s="448"/>
      <c r="SBY79" s="449"/>
      <c r="SBZ79" s="450"/>
      <c r="SCA79" s="447"/>
      <c r="SCB79" s="448"/>
      <c r="SCD79" s="449"/>
      <c r="SCE79" s="450"/>
      <c r="SCF79" s="452"/>
      <c r="SCG79" s="448"/>
      <c r="SCH79" s="449"/>
      <c r="SCI79" s="450"/>
      <c r="SCJ79" s="452"/>
      <c r="SCK79" s="448"/>
      <c r="SCL79" s="455"/>
      <c r="SCM79" s="449"/>
      <c r="SCN79" s="450"/>
      <c r="SCO79" s="459"/>
      <c r="SCP79" s="448"/>
      <c r="SCQ79" s="456"/>
      <c r="SCR79" s="449"/>
      <c r="SCS79" s="450"/>
      <c r="SCT79" s="452"/>
      <c r="SCU79" s="448"/>
      <c r="SCV79" s="449"/>
      <c r="SCW79" s="450"/>
      <c r="SCX79" s="452"/>
      <c r="SCY79" s="448"/>
      <c r="SCZ79" s="449"/>
      <c r="SDA79" s="450"/>
      <c r="SDB79" s="447"/>
      <c r="SDC79" s="448"/>
      <c r="SDD79" s="457"/>
      <c r="SDE79" s="460"/>
      <c r="SDF79" s="450"/>
      <c r="SDG79" s="461"/>
      <c r="SDH79" s="448"/>
      <c r="SDI79" s="456"/>
      <c r="SDJ79" s="449"/>
      <c r="SDK79" s="450"/>
      <c r="SDL79" s="452"/>
      <c r="SDM79" s="448"/>
      <c r="SDN79" s="456"/>
      <c r="SDO79" s="458"/>
      <c r="SDP79" s="458"/>
      <c r="SDR79" s="454"/>
      <c r="SDS79" s="450"/>
      <c r="SDT79" s="454"/>
      <c r="SDU79" s="448"/>
      <c r="SDV79" s="449"/>
      <c r="SDW79" s="450"/>
      <c r="SDX79" s="447"/>
      <c r="SDY79" s="448"/>
      <c r="SDZ79" s="449"/>
      <c r="SEA79" s="450"/>
      <c r="SEB79" s="447"/>
      <c r="SEC79" s="451"/>
      <c r="SED79" s="449"/>
      <c r="SEE79" s="450"/>
      <c r="SEF79" s="447"/>
      <c r="SEG79" s="451"/>
      <c r="SEH79" s="449"/>
      <c r="SEI79" s="450"/>
      <c r="SEJ79" s="447"/>
      <c r="SEK79" s="451"/>
      <c r="SEL79" s="449"/>
      <c r="SEM79" s="450"/>
      <c r="SEN79" s="452"/>
      <c r="SEO79" s="451"/>
      <c r="SEP79" s="449"/>
      <c r="SEQ79" s="450"/>
      <c r="SER79" s="447"/>
      <c r="SES79" s="448"/>
      <c r="SET79" s="453"/>
      <c r="SEU79" s="449"/>
      <c r="SEV79" s="450"/>
      <c r="SEW79" s="454"/>
      <c r="SEX79" s="448"/>
      <c r="SEZ79" s="449"/>
      <c r="SFA79" s="450"/>
      <c r="SFB79" s="452"/>
      <c r="SFC79" s="448"/>
      <c r="SFE79" s="449"/>
      <c r="SFF79" s="450"/>
      <c r="SFG79" s="447"/>
      <c r="SFH79" s="448"/>
      <c r="SFJ79" s="449"/>
      <c r="SFK79" s="450"/>
      <c r="SFL79" s="452"/>
      <c r="SFM79" s="448"/>
      <c r="SFN79" s="449"/>
      <c r="SFO79" s="450"/>
      <c r="SFP79" s="452"/>
      <c r="SFQ79" s="448"/>
      <c r="SFR79" s="455"/>
      <c r="SFS79" s="449"/>
      <c r="SFT79" s="450"/>
      <c r="SFU79" s="459"/>
      <c r="SFV79" s="448"/>
      <c r="SFW79" s="456"/>
      <c r="SFX79" s="449"/>
      <c r="SFY79" s="450"/>
      <c r="SFZ79" s="452"/>
      <c r="SGA79" s="448"/>
      <c r="SGB79" s="449"/>
      <c r="SGC79" s="450"/>
      <c r="SGD79" s="452"/>
      <c r="SGE79" s="448"/>
      <c r="SGF79" s="449"/>
      <c r="SGG79" s="450"/>
      <c r="SGH79" s="447"/>
      <c r="SGI79" s="448"/>
      <c r="SGJ79" s="457"/>
      <c r="SGK79" s="460"/>
      <c r="SGL79" s="450"/>
      <c r="SGM79" s="461"/>
      <c r="SGN79" s="448"/>
      <c r="SGO79" s="456"/>
      <c r="SGP79" s="449"/>
      <c r="SGQ79" s="450"/>
      <c r="SGR79" s="452"/>
      <c r="SGS79" s="448"/>
      <c r="SGT79" s="456"/>
      <c r="SGU79" s="458"/>
      <c r="SGV79" s="458"/>
      <c r="SGX79" s="454"/>
      <c r="SGY79" s="450"/>
      <c r="SGZ79" s="454"/>
      <c r="SHA79" s="448"/>
      <c r="SHB79" s="449"/>
      <c r="SHC79" s="450"/>
      <c r="SHD79" s="447"/>
      <c r="SHE79" s="448"/>
      <c r="SHF79" s="449"/>
      <c r="SHG79" s="450"/>
      <c r="SHH79" s="447"/>
      <c r="SHI79" s="451"/>
      <c r="SHJ79" s="449"/>
      <c r="SHK79" s="450"/>
      <c r="SHL79" s="447"/>
      <c r="SHM79" s="451"/>
      <c r="SHN79" s="449"/>
      <c r="SHO79" s="450"/>
      <c r="SHP79" s="447"/>
      <c r="SHQ79" s="451"/>
      <c r="SHR79" s="449"/>
      <c r="SHS79" s="450"/>
      <c r="SHT79" s="452"/>
      <c r="SHU79" s="451"/>
      <c r="SHV79" s="449"/>
      <c r="SHW79" s="450"/>
      <c r="SHX79" s="447"/>
      <c r="SHY79" s="448"/>
      <c r="SHZ79" s="453"/>
      <c r="SIA79" s="449"/>
      <c r="SIB79" s="450"/>
      <c r="SIC79" s="454"/>
      <c r="SID79" s="448"/>
      <c r="SIF79" s="449"/>
      <c r="SIG79" s="450"/>
      <c r="SIH79" s="452"/>
      <c r="SII79" s="448"/>
      <c r="SIK79" s="449"/>
      <c r="SIL79" s="450"/>
      <c r="SIM79" s="447"/>
      <c r="SIN79" s="448"/>
      <c r="SIP79" s="449"/>
      <c r="SIQ79" s="450"/>
      <c r="SIR79" s="452"/>
      <c r="SIS79" s="448"/>
      <c r="SIT79" s="449"/>
      <c r="SIU79" s="450"/>
      <c r="SIV79" s="452"/>
      <c r="SIW79" s="448"/>
      <c r="SIX79" s="455"/>
      <c r="SIY79" s="449"/>
      <c r="SIZ79" s="450"/>
      <c r="SJA79" s="459"/>
      <c r="SJB79" s="448"/>
      <c r="SJC79" s="456"/>
      <c r="SJD79" s="449"/>
      <c r="SJE79" s="450"/>
      <c r="SJF79" s="452"/>
      <c r="SJG79" s="448"/>
      <c r="SJH79" s="449"/>
      <c r="SJI79" s="450"/>
      <c r="SJJ79" s="452"/>
      <c r="SJK79" s="448"/>
      <c r="SJL79" s="449"/>
      <c r="SJM79" s="450"/>
      <c r="SJN79" s="447"/>
      <c r="SJO79" s="448"/>
      <c r="SJP79" s="457"/>
      <c r="SJQ79" s="460"/>
      <c r="SJR79" s="450"/>
      <c r="SJS79" s="461"/>
      <c r="SJT79" s="448"/>
      <c r="SJU79" s="456"/>
      <c r="SJV79" s="449"/>
      <c r="SJW79" s="450"/>
      <c r="SJX79" s="452"/>
      <c r="SJY79" s="448"/>
      <c r="SJZ79" s="456"/>
      <c r="SKA79" s="458"/>
      <c r="SKB79" s="458"/>
      <c r="SKD79" s="454"/>
      <c r="SKE79" s="450"/>
      <c r="SKF79" s="454"/>
      <c r="SKG79" s="448"/>
      <c r="SKH79" s="449"/>
      <c r="SKI79" s="450"/>
      <c r="SKJ79" s="447"/>
      <c r="SKK79" s="448"/>
      <c r="SKL79" s="449"/>
      <c r="SKM79" s="450"/>
      <c r="SKN79" s="447"/>
      <c r="SKO79" s="451"/>
      <c r="SKP79" s="449"/>
      <c r="SKQ79" s="450"/>
      <c r="SKR79" s="447"/>
      <c r="SKS79" s="451"/>
      <c r="SKT79" s="449"/>
      <c r="SKU79" s="450"/>
      <c r="SKV79" s="447"/>
      <c r="SKW79" s="451"/>
      <c r="SKX79" s="449"/>
      <c r="SKY79" s="450"/>
      <c r="SKZ79" s="452"/>
      <c r="SLA79" s="451"/>
      <c r="SLB79" s="449"/>
      <c r="SLC79" s="450"/>
      <c r="SLD79" s="447"/>
      <c r="SLE79" s="448"/>
      <c r="SLF79" s="453"/>
      <c r="SLG79" s="449"/>
      <c r="SLH79" s="450"/>
      <c r="SLI79" s="454"/>
      <c r="SLJ79" s="448"/>
      <c r="SLL79" s="449"/>
      <c r="SLM79" s="450"/>
      <c r="SLN79" s="452"/>
      <c r="SLO79" s="448"/>
      <c r="SLQ79" s="449"/>
      <c r="SLR79" s="450"/>
      <c r="SLS79" s="447"/>
      <c r="SLT79" s="448"/>
      <c r="SLV79" s="449"/>
      <c r="SLW79" s="450"/>
      <c r="SLX79" s="452"/>
      <c r="SLY79" s="448"/>
      <c r="SLZ79" s="449"/>
      <c r="SMA79" s="450"/>
      <c r="SMB79" s="452"/>
      <c r="SMC79" s="448"/>
      <c r="SMD79" s="455"/>
      <c r="SME79" s="449"/>
      <c r="SMF79" s="450"/>
      <c r="SMG79" s="459"/>
      <c r="SMH79" s="448"/>
      <c r="SMI79" s="456"/>
      <c r="SMJ79" s="449"/>
      <c r="SMK79" s="450"/>
      <c r="SML79" s="452"/>
      <c r="SMM79" s="448"/>
      <c r="SMN79" s="449"/>
      <c r="SMO79" s="450"/>
      <c r="SMP79" s="452"/>
      <c r="SMQ79" s="448"/>
      <c r="SMR79" s="449"/>
      <c r="SMS79" s="450"/>
      <c r="SMT79" s="447"/>
      <c r="SMU79" s="448"/>
      <c r="SMV79" s="457"/>
      <c r="SMW79" s="460"/>
      <c r="SMX79" s="450"/>
      <c r="SMY79" s="461"/>
      <c r="SMZ79" s="448"/>
      <c r="SNA79" s="456"/>
      <c r="SNB79" s="449"/>
      <c r="SNC79" s="450"/>
      <c r="SND79" s="452"/>
      <c r="SNE79" s="448"/>
      <c r="SNF79" s="456"/>
      <c r="SNG79" s="458"/>
      <c r="SNH79" s="458"/>
      <c r="SNJ79" s="454"/>
      <c r="SNK79" s="450"/>
      <c r="SNL79" s="454"/>
      <c r="SNM79" s="448"/>
      <c r="SNN79" s="449"/>
      <c r="SNO79" s="450"/>
      <c r="SNP79" s="447"/>
      <c r="SNQ79" s="448"/>
      <c r="SNR79" s="449"/>
      <c r="SNS79" s="450"/>
      <c r="SNT79" s="447"/>
      <c r="SNU79" s="451"/>
      <c r="SNV79" s="449"/>
      <c r="SNW79" s="450"/>
      <c r="SNX79" s="447"/>
      <c r="SNY79" s="451"/>
      <c r="SNZ79" s="449"/>
      <c r="SOA79" s="450"/>
      <c r="SOB79" s="447"/>
      <c r="SOC79" s="451"/>
      <c r="SOD79" s="449"/>
      <c r="SOE79" s="450"/>
      <c r="SOF79" s="452"/>
      <c r="SOG79" s="451"/>
      <c r="SOH79" s="449"/>
      <c r="SOI79" s="450"/>
      <c r="SOJ79" s="447"/>
      <c r="SOK79" s="448"/>
      <c r="SOL79" s="453"/>
      <c r="SOM79" s="449"/>
      <c r="SON79" s="450"/>
      <c r="SOO79" s="454"/>
      <c r="SOP79" s="448"/>
      <c r="SOR79" s="449"/>
      <c r="SOS79" s="450"/>
      <c r="SOT79" s="452"/>
      <c r="SOU79" s="448"/>
      <c r="SOW79" s="449"/>
      <c r="SOX79" s="450"/>
      <c r="SOY79" s="447"/>
      <c r="SOZ79" s="448"/>
      <c r="SPB79" s="449"/>
      <c r="SPC79" s="450"/>
      <c r="SPD79" s="452"/>
      <c r="SPE79" s="448"/>
      <c r="SPF79" s="449"/>
      <c r="SPG79" s="450"/>
      <c r="SPH79" s="452"/>
      <c r="SPI79" s="448"/>
      <c r="SPJ79" s="455"/>
      <c r="SPK79" s="449"/>
      <c r="SPL79" s="450"/>
      <c r="SPM79" s="459"/>
      <c r="SPN79" s="448"/>
      <c r="SPO79" s="456"/>
      <c r="SPP79" s="449"/>
      <c r="SPQ79" s="450"/>
      <c r="SPR79" s="452"/>
      <c r="SPS79" s="448"/>
      <c r="SPT79" s="449"/>
      <c r="SPU79" s="450"/>
      <c r="SPV79" s="452"/>
      <c r="SPW79" s="448"/>
      <c r="SPX79" s="449"/>
      <c r="SPY79" s="450"/>
      <c r="SPZ79" s="447"/>
      <c r="SQA79" s="448"/>
      <c r="SQB79" s="457"/>
      <c r="SQC79" s="460"/>
      <c r="SQD79" s="450"/>
      <c r="SQE79" s="461"/>
      <c r="SQF79" s="448"/>
      <c r="SQG79" s="456"/>
      <c r="SQH79" s="449"/>
      <c r="SQI79" s="450"/>
      <c r="SQJ79" s="452"/>
      <c r="SQK79" s="448"/>
      <c r="SQL79" s="456"/>
      <c r="SQM79" s="458"/>
      <c r="SQN79" s="458"/>
      <c r="SQP79" s="454"/>
      <c r="SQQ79" s="450"/>
      <c r="SQR79" s="454"/>
      <c r="SQS79" s="448"/>
      <c r="SQT79" s="449"/>
      <c r="SQU79" s="450"/>
      <c r="SQV79" s="447"/>
      <c r="SQW79" s="448"/>
      <c r="SQX79" s="449"/>
      <c r="SQY79" s="450"/>
      <c r="SQZ79" s="447"/>
      <c r="SRA79" s="451"/>
      <c r="SRB79" s="449"/>
      <c r="SRC79" s="450"/>
      <c r="SRD79" s="447"/>
      <c r="SRE79" s="451"/>
      <c r="SRF79" s="449"/>
      <c r="SRG79" s="450"/>
      <c r="SRH79" s="447"/>
      <c r="SRI79" s="451"/>
      <c r="SRJ79" s="449"/>
      <c r="SRK79" s="450"/>
      <c r="SRL79" s="452"/>
      <c r="SRM79" s="451"/>
      <c r="SRN79" s="449"/>
      <c r="SRO79" s="450"/>
      <c r="SRP79" s="447"/>
      <c r="SRQ79" s="448"/>
      <c r="SRR79" s="453"/>
      <c r="SRS79" s="449"/>
      <c r="SRT79" s="450"/>
      <c r="SRU79" s="454"/>
      <c r="SRV79" s="448"/>
      <c r="SRX79" s="449"/>
      <c r="SRY79" s="450"/>
      <c r="SRZ79" s="452"/>
      <c r="SSA79" s="448"/>
      <c r="SSC79" s="449"/>
      <c r="SSD79" s="450"/>
      <c r="SSE79" s="447"/>
      <c r="SSF79" s="448"/>
      <c r="SSH79" s="449"/>
      <c r="SSI79" s="450"/>
      <c r="SSJ79" s="452"/>
      <c r="SSK79" s="448"/>
      <c r="SSL79" s="449"/>
      <c r="SSM79" s="450"/>
      <c r="SSN79" s="452"/>
      <c r="SSO79" s="448"/>
      <c r="SSP79" s="455"/>
      <c r="SSQ79" s="449"/>
      <c r="SSR79" s="450"/>
      <c r="SSS79" s="459"/>
      <c r="SST79" s="448"/>
      <c r="SSU79" s="456"/>
      <c r="SSV79" s="449"/>
      <c r="SSW79" s="450"/>
      <c r="SSX79" s="452"/>
      <c r="SSY79" s="448"/>
      <c r="SSZ79" s="449"/>
      <c r="STA79" s="450"/>
      <c r="STB79" s="452"/>
      <c r="STC79" s="448"/>
      <c r="STD79" s="449"/>
      <c r="STE79" s="450"/>
      <c r="STF79" s="447"/>
      <c r="STG79" s="448"/>
      <c r="STH79" s="457"/>
      <c r="STI79" s="460"/>
      <c r="STJ79" s="450"/>
      <c r="STK79" s="461"/>
      <c r="STL79" s="448"/>
      <c r="STM79" s="456"/>
      <c r="STN79" s="449"/>
      <c r="STO79" s="450"/>
      <c r="STP79" s="452"/>
      <c r="STQ79" s="448"/>
      <c r="STR79" s="456"/>
      <c r="STS79" s="458"/>
      <c r="STT79" s="458"/>
      <c r="STV79" s="454"/>
      <c r="STW79" s="450"/>
      <c r="STX79" s="454"/>
      <c r="STY79" s="448"/>
      <c r="STZ79" s="449"/>
      <c r="SUA79" s="450"/>
      <c r="SUB79" s="447"/>
      <c r="SUC79" s="448"/>
      <c r="SUD79" s="449"/>
      <c r="SUE79" s="450"/>
      <c r="SUF79" s="447"/>
      <c r="SUG79" s="451"/>
      <c r="SUH79" s="449"/>
      <c r="SUI79" s="450"/>
      <c r="SUJ79" s="447"/>
      <c r="SUK79" s="451"/>
      <c r="SUL79" s="449"/>
      <c r="SUM79" s="450"/>
      <c r="SUN79" s="447"/>
      <c r="SUO79" s="451"/>
      <c r="SUP79" s="449"/>
      <c r="SUQ79" s="450"/>
      <c r="SUR79" s="452"/>
      <c r="SUS79" s="451"/>
      <c r="SUT79" s="449"/>
      <c r="SUU79" s="450"/>
      <c r="SUV79" s="447"/>
      <c r="SUW79" s="448"/>
      <c r="SUX79" s="453"/>
      <c r="SUY79" s="449"/>
      <c r="SUZ79" s="450"/>
      <c r="SVA79" s="454"/>
      <c r="SVB79" s="448"/>
      <c r="SVD79" s="449"/>
      <c r="SVE79" s="450"/>
      <c r="SVF79" s="452"/>
      <c r="SVG79" s="448"/>
      <c r="SVI79" s="449"/>
      <c r="SVJ79" s="450"/>
      <c r="SVK79" s="447"/>
      <c r="SVL79" s="448"/>
      <c r="SVN79" s="449"/>
      <c r="SVO79" s="450"/>
      <c r="SVP79" s="452"/>
      <c r="SVQ79" s="448"/>
      <c r="SVR79" s="449"/>
      <c r="SVS79" s="450"/>
      <c r="SVT79" s="452"/>
      <c r="SVU79" s="448"/>
      <c r="SVV79" s="455"/>
      <c r="SVW79" s="449"/>
      <c r="SVX79" s="450"/>
      <c r="SVY79" s="459"/>
      <c r="SVZ79" s="448"/>
      <c r="SWA79" s="456"/>
      <c r="SWB79" s="449"/>
      <c r="SWC79" s="450"/>
      <c r="SWD79" s="452"/>
      <c r="SWE79" s="448"/>
      <c r="SWF79" s="449"/>
      <c r="SWG79" s="450"/>
      <c r="SWH79" s="452"/>
      <c r="SWI79" s="448"/>
      <c r="SWJ79" s="449"/>
      <c r="SWK79" s="450"/>
      <c r="SWL79" s="447"/>
      <c r="SWM79" s="448"/>
      <c r="SWN79" s="457"/>
      <c r="SWO79" s="460"/>
      <c r="SWP79" s="450"/>
      <c r="SWQ79" s="461"/>
      <c r="SWR79" s="448"/>
      <c r="SWS79" s="456"/>
      <c r="SWT79" s="449"/>
      <c r="SWU79" s="450"/>
      <c r="SWV79" s="452"/>
      <c r="SWW79" s="448"/>
      <c r="SWX79" s="456"/>
      <c r="SWY79" s="458"/>
      <c r="SWZ79" s="458"/>
      <c r="SXB79" s="454"/>
      <c r="SXC79" s="450"/>
      <c r="SXD79" s="454"/>
      <c r="SXE79" s="448"/>
      <c r="SXF79" s="449"/>
      <c r="SXG79" s="450"/>
      <c r="SXH79" s="447"/>
      <c r="SXI79" s="448"/>
      <c r="SXJ79" s="449"/>
      <c r="SXK79" s="450"/>
      <c r="SXL79" s="447"/>
      <c r="SXM79" s="451"/>
      <c r="SXN79" s="449"/>
      <c r="SXO79" s="450"/>
      <c r="SXP79" s="447"/>
      <c r="SXQ79" s="451"/>
      <c r="SXR79" s="449"/>
      <c r="SXS79" s="450"/>
      <c r="SXT79" s="447"/>
      <c r="SXU79" s="451"/>
      <c r="SXV79" s="449"/>
      <c r="SXW79" s="450"/>
      <c r="SXX79" s="452"/>
      <c r="SXY79" s="451"/>
      <c r="SXZ79" s="449"/>
      <c r="SYA79" s="450"/>
      <c r="SYB79" s="447"/>
      <c r="SYC79" s="448"/>
      <c r="SYD79" s="453"/>
      <c r="SYE79" s="449"/>
      <c r="SYF79" s="450"/>
      <c r="SYG79" s="454"/>
      <c r="SYH79" s="448"/>
      <c r="SYJ79" s="449"/>
      <c r="SYK79" s="450"/>
      <c r="SYL79" s="452"/>
      <c r="SYM79" s="448"/>
      <c r="SYO79" s="449"/>
      <c r="SYP79" s="450"/>
      <c r="SYQ79" s="447"/>
      <c r="SYR79" s="448"/>
      <c r="SYT79" s="449"/>
      <c r="SYU79" s="450"/>
      <c r="SYV79" s="452"/>
      <c r="SYW79" s="448"/>
      <c r="SYX79" s="449"/>
      <c r="SYY79" s="450"/>
      <c r="SYZ79" s="452"/>
      <c r="SZA79" s="448"/>
      <c r="SZB79" s="455"/>
      <c r="SZC79" s="449"/>
      <c r="SZD79" s="450"/>
      <c r="SZE79" s="459"/>
      <c r="SZF79" s="448"/>
      <c r="SZG79" s="456"/>
      <c r="SZH79" s="449"/>
      <c r="SZI79" s="450"/>
      <c r="SZJ79" s="452"/>
      <c r="SZK79" s="448"/>
      <c r="SZL79" s="449"/>
      <c r="SZM79" s="450"/>
      <c r="SZN79" s="452"/>
      <c r="SZO79" s="448"/>
      <c r="SZP79" s="449"/>
      <c r="SZQ79" s="450"/>
      <c r="SZR79" s="447"/>
      <c r="SZS79" s="448"/>
      <c r="SZT79" s="457"/>
      <c r="SZU79" s="460"/>
      <c r="SZV79" s="450"/>
      <c r="SZW79" s="461"/>
      <c r="SZX79" s="448"/>
      <c r="SZY79" s="456"/>
      <c r="SZZ79" s="449"/>
      <c r="TAA79" s="450"/>
      <c r="TAB79" s="452"/>
      <c r="TAC79" s="448"/>
      <c r="TAD79" s="456"/>
      <c r="TAE79" s="458"/>
      <c r="TAF79" s="458"/>
      <c r="TAH79" s="454"/>
      <c r="TAI79" s="450"/>
      <c r="TAJ79" s="454"/>
      <c r="TAK79" s="448"/>
      <c r="TAL79" s="449"/>
      <c r="TAM79" s="450"/>
      <c r="TAN79" s="447"/>
      <c r="TAO79" s="448"/>
      <c r="TAP79" s="449"/>
      <c r="TAQ79" s="450"/>
      <c r="TAR79" s="447"/>
      <c r="TAS79" s="451"/>
      <c r="TAT79" s="449"/>
      <c r="TAU79" s="450"/>
      <c r="TAV79" s="447"/>
      <c r="TAW79" s="451"/>
      <c r="TAX79" s="449"/>
      <c r="TAY79" s="450"/>
      <c r="TAZ79" s="447"/>
      <c r="TBA79" s="451"/>
      <c r="TBB79" s="449"/>
      <c r="TBC79" s="450"/>
      <c r="TBD79" s="452"/>
      <c r="TBE79" s="451"/>
      <c r="TBF79" s="449"/>
      <c r="TBG79" s="450"/>
      <c r="TBH79" s="447"/>
      <c r="TBI79" s="448"/>
      <c r="TBJ79" s="453"/>
      <c r="TBK79" s="449"/>
      <c r="TBL79" s="450"/>
      <c r="TBM79" s="454"/>
      <c r="TBN79" s="448"/>
      <c r="TBP79" s="449"/>
      <c r="TBQ79" s="450"/>
      <c r="TBR79" s="452"/>
      <c r="TBS79" s="448"/>
      <c r="TBU79" s="449"/>
      <c r="TBV79" s="450"/>
      <c r="TBW79" s="447"/>
      <c r="TBX79" s="448"/>
      <c r="TBZ79" s="449"/>
      <c r="TCA79" s="450"/>
      <c r="TCB79" s="452"/>
      <c r="TCC79" s="448"/>
      <c r="TCD79" s="449"/>
      <c r="TCE79" s="450"/>
      <c r="TCF79" s="452"/>
      <c r="TCG79" s="448"/>
      <c r="TCH79" s="455"/>
      <c r="TCI79" s="449"/>
      <c r="TCJ79" s="450"/>
      <c r="TCK79" s="459"/>
      <c r="TCL79" s="448"/>
      <c r="TCM79" s="456"/>
      <c r="TCN79" s="449"/>
      <c r="TCO79" s="450"/>
      <c r="TCP79" s="452"/>
      <c r="TCQ79" s="448"/>
      <c r="TCR79" s="449"/>
      <c r="TCS79" s="450"/>
      <c r="TCT79" s="452"/>
      <c r="TCU79" s="448"/>
      <c r="TCV79" s="449"/>
      <c r="TCW79" s="450"/>
      <c r="TCX79" s="447"/>
      <c r="TCY79" s="448"/>
      <c r="TCZ79" s="457"/>
      <c r="TDA79" s="460"/>
      <c r="TDB79" s="450"/>
      <c r="TDC79" s="461"/>
      <c r="TDD79" s="448"/>
      <c r="TDE79" s="456"/>
      <c r="TDF79" s="449"/>
      <c r="TDG79" s="450"/>
      <c r="TDH79" s="452"/>
      <c r="TDI79" s="448"/>
      <c r="TDJ79" s="456"/>
      <c r="TDK79" s="458"/>
      <c r="TDL79" s="458"/>
      <c r="TDN79" s="454"/>
      <c r="TDO79" s="450"/>
      <c r="TDP79" s="454"/>
      <c r="TDQ79" s="448"/>
      <c r="TDR79" s="449"/>
      <c r="TDS79" s="450"/>
      <c r="TDT79" s="447"/>
      <c r="TDU79" s="448"/>
      <c r="TDV79" s="449"/>
      <c r="TDW79" s="450"/>
      <c r="TDX79" s="447"/>
      <c r="TDY79" s="451"/>
      <c r="TDZ79" s="449"/>
      <c r="TEA79" s="450"/>
      <c r="TEB79" s="447"/>
      <c r="TEC79" s="451"/>
      <c r="TED79" s="449"/>
      <c r="TEE79" s="450"/>
      <c r="TEF79" s="447"/>
      <c r="TEG79" s="451"/>
      <c r="TEH79" s="449"/>
      <c r="TEI79" s="450"/>
      <c r="TEJ79" s="452"/>
      <c r="TEK79" s="451"/>
      <c r="TEL79" s="449"/>
      <c r="TEM79" s="450"/>
      <c r="TEN79" s="447"/>
      <c r="TEO79" s="448"/>
      <c r="TEP79" s="453"/>
      <c r="TEQ79" s="449"/>
      <c r="TER79" s="450"/>
      <c r="TES79" s="454"/>
      <c r="TET79" s="448"/>
      <c r="TEV79" s="449"/>
      <c r="TEW79" s="450"/>
      <c r="TEX79" s="452"/>
      <c r="TEY79" s="448"/>
      <c r="TFA79" s="449"/>
      <c r="TFB79" s="450"/>
      <c r="TFC79" s="447"/>
      <c r="TFD79" s="448"/>
      <c r="TFF79" s="449"/>
      <c r="TFG79" s="450"/>
      <c r="TFH79" s="452"/>
      <c r="TFI79" s="448"/>
      <c r="TFJ79" s="449"/>
      <c r="TFK79" s="450"/>
      <c r="TFL79" s="452"/>
      <c r="TFM79" s="448"/>
      <c r="TFN79" s="455"/>
      <c r="TFO79" s="449"/>
      <c r="TFP79" s="450"/>
      <c r="TFQ79" s="459"/>
      <c r="TFR79" s="448"/>
      <c r="TFS79" s="456"/>
      <c r="TFT79" s="449"/>
      <c r="TFU79" s="450"/>
      <c r="TFV79" s="452"/>
      <c r="TFW79" s="448"/>
      <c r="TFX79" s="449"/>
      <c r="TFY79" s="450"/>
      <c r="TFZ79" s="452"/>
      <c r="TGA79" s="448"/>
      <c r="TGB79" s="449"/>
      <c r="TGC79" s="450"/>
      <c r="TGD79" s="447"/>
      <c r="TGE79" s="448"/>
      <c r="TGF79" s="457"/>
      <c r="TGG79" s="460"/>
      <c r="TGH79" s="450"/>
      <c r="TGI79" s="461"/>
      <c r="TGJ79" s="448"/>
      <c r="TGK79" s="456"/>
      <c r="TGL79" s="449"/>
      <c r="TGM79" s="450"/>
      <c r="TGN79" s="452"/>
      <c r="TGO79" s="448"/>
      <c r="TGP79" s="456"/>
      <c r="TGQ79" s="458"/>
      <c r="TGR79" s="458"/>
      <c r="TGT79" s="454"/>
      <c r="TGU79" s="450"/>
      <c r="TGV79" s="454"/>
      <c r="TGW79" s="448"/>
      <c r="TGX79" s="449"/>
      <c r="TGY79" s="450"/>
      <c r="TGZ79" s="447"/>
      <c r="THA79" s="448"/>
      <c r="THB79" s="449"/>
      <c r="THC79" s="450"/>
      <c r="THD79" s="447"/>
      <c r="THE79" s="451"/>
      <c r="THF79" s="449"/>
      <c r="THG79" s="450"/>
      <c r="THH79" s="447"/>
      <c r="THI79" s="451"/>
      <c r="THJ79" s="449"/>
      <c r="THK79" s="450"/>
      <c r="THL79" s="447"/>
      <c r="THM79" s="451"/>
      <c r="THN79" s="449"/>
      <c r="THO79" s="450"/>
      <c r="THP79" s="452"/>
      <c r="THQ79" s="451"/>
      <c r="THR79" s="449"/>
      <c r="THS79" s="450"/>
      <c r="THT79" s="447"/>
      <c r="THU79" s="448"/>
      <c r="THV79" s="453"/>
      <c r="THW79" s="449"/>
      <c r="THX79" s="450"/>
      <c r="THY79" s="454"/>
      <c r="THZ79" s="448"/>
      <c r="TIB79" s="449"/>
      <c r="TIC79" s="450"/>
      <c r="TID79" s="452"/>
      <c r="TIE79" s="448"/>
      <c r="TIG79" s="449"/>
      <c r="TIH79" s="450"/>
      <c r="TII79" s="447"/>
      <c r="TIJ79" s="448"/>
      <c r="TIL79" s="449"/>
      <c r="TIM79" s="450"/>
      <c r="TIN79" s="452"/>
      <c r="TIO79" s="448"/>
      <c r="TIP79" s="449"/>
      <c r="TIQ79" s="450"/>
      <c r="TIR79" s="452"/>
      <c r="TIS79" s="448"/>
      <c r="TIT79" s="455"/>
      <c r="TIU79" s="449"/>
      <c r="TIV79" s="450"/>
      <c r="TIW79" s="459"/>
      <c r="TIX79" s="448"/>
      <c r="TIY79" s="456"/>
      <c r="TIZ79" s="449"/>
      <c r="TJA79" s="450"/>
      <c r="TJB79" s="452"/>
      <c r="TJC79" s="448"/>
      <c r="TJD79" s="449"/>
      <c r="TJE79" s="450"/>
      <c r="TJF79" s="452"/>
      <c r="TJG79" s="448"/>
      <c r="TJH79" s="449"/>
      <c r="TJI79" s="450"/>
      <c r="TJJ79" s="447"/>
      <c r="TJK79" s="448"/>
      <c r="TJL79" s="457"/>
      <c r="TJM79" s="460"/>
      <c r="TJN79" s="450"/>
      <c r="TJO79" s="461"/>
      <c r="TJP79" s="448"/>
      <c r="TJQ79" s="456"/>
      <c r="TJR79" s="449"/>
      <c r="TJS79" s="450"/>
      <c r="TJT79" s="452"/>
      <c r="TJU79" s="448"/>
      <c r="TJV79" s="456"/>
      <c r="TJW79" s="458"/>
      <c r="TJX79" s="458"/>
      <c r="TJZ79" s="454"/>
      <c r="TKA79" s="450"/>
      <c r="TKB79" s="454"/>
      <c r="TKC79" s="448"/>
      <c r="TKD79" s="449"/>
      <c r="TKE79" s="450"/>
      <c r="TKF79" s="447"/>
      <c r="TKG79" s="448"/>
      <c r="TKH79" s="449"/>
      <c r="TKI79" s="450"/>
      <c r="TKJ79" s="447"/>
      <c r="TKK79" s="451"/>
      <c r="TKL79" s="449"/>
      <c r="TKM79" s="450"/>
      <c r="TKN79" s="447"/>
      <c r="TKO79" s="451"/>
      <c r="TKP79" s="449"/>
      <c r="TKQ79" s="450"/>
      <c r="TKR79" s="447"/>
      <c r="TKS79" s="451"/>
      <c r="TKT79" s="449"/>
      <c r="TKU79" s="450"/>
      <c r="TKV79" s="452"/>
      <c r="TKW79" s="451"/>
      <c r="TKX79" s="449"/>
      <c r="TKY79" s="450"/>
      <c r="TKZ79" s="447"/>
      <c r="TLA79" s="448"/>
      <c r="TLB79" s="453"/>
      <c r="TLC79" s="449"/>
      <c r="TLD79" s="450"/>
      <c r="TLE79" s="454"/>
      <c r="TLF79" s="448"/>
      <c r="TLH79" s="449"/>
      <c r="TLI79" s="450"/>
      <c r="TLJ79" s="452"/>
      <c r="TLK79" s="448"/>
      <c r="TLM79" s="449"/>
      <c r="TLN79" s="450"/>
      <c r="TLO79" s="447"/>
      <c r="TLP79" s="448"/>
      <c r="TLR79" s="449"/>
      <c r="TLS79" s="450"/>
      <c r="TLT79" s="452"/>
      <c r="TLU79" s="448"/>
      <c r="TLV79" s="449"/>
      <c r="TLW79" s="450"/>
      <c r="TLX79" s="452"/>
      <c r="TLY79" s="448"/>
      <c r="TLZ79" s="455"/>
      <c r="TMA79" s="449"/>
      <c r="TMB79" s="450"/>
      <c r="TMC79" s="459"/>
      <c r="TMD79" s="448"/>
      <c r="TME79" s="456"/>
      <c r="TMF79" s="449"/>
      <c r="TMG79" s="450"/>
      <c r="TMH79" s="452"/>
      <c r="TMI79" s="448"/>
      <c r="TMJ79" s="449"/>
      <c r="TMK79" s="450"/>
      <c r="TML79" s="452"/>
      <c r="TMM79" s="448"/>
      <c r="TMN79" s="449"/>
      <c r="TMO79" s="450"/>
      <c r="TMP79" s="447"/>
      <c r="TMQ79" s="448"/>
      <c r="TMR79" s="457"/>
      <c r="TMS79" s="460"/>
      <c r="TMT79" s="450"/>
      <c r="TMU79" s="461"/>
      <c r="TMV79" s="448"/>
      <c r="TMW79" s="456"/>
      <c r="TMX79" s="449"/>
      <c r="TMY79" s="450"/>
      <c r="TMZ79" s="452"/>
      <c r="TNA79" s="448"/>
      <c r="TNB79" s="456"/>
      <c r="TNC79" s="458"/>
      <c r="TND79" s="458"/>
      <c r="TNF79" s="454"/>
      <c r="TNG79" s="450"/>
      <c r="TNH79" s="454"/>
      <c r="TNI79" s="448"/>
      <c r="TNJ79" s="449"/>
      <c r="TNK79" s="450"/>
      <c r="TNL79" s="447"/>
      <c r="TNM79" s="448"/>
      <c r="TNN79" s="449"/>
      <c r="TNO79" s="450"/>
      <c r="TNP79" s="447"/>
      <c r="TNQ79" s="451"/>
      <c r="TNR79" s="449"/>
      <c r="TNS79" s="450"/>
      <c r="TNT79" s="447"/>
      <c r="TNU79" s="451"/>
      <c r="TNV79" s="449"/>
      <c r="TNW79" s="450"/>
      <c r="TNX79" s="447"/>
      <c r="TNY79" s="451"/>
      <c r="TNZ79" s="449"/>
      <c r="TOA79" s="450"/>
      <c r="TOB79" s="452"/>
      <c r="TOC79" s="451"/>
      <c r="TOD79" s="449"/>
      <c r="TOE79" s="450"/>
      <c r="TOF79" s="447"/>
      <c r="TOG79" s="448"/>
      <c r="TOH79" s="453"/>
      <c r="TOI79" s="449"/>
      <c r="TOJ79" s="450"/>
      <c r="TOK79" s="454"/>
      <c r="TOL79" s="448"/>
      <c r="TON79" s="449"/>
      <c r="TOO79" s="450"/>
      <c r="TOP79" s="452"/>
      <c r="TOQ79" s="448"/>
      <c r="TOS79" s="449"/>
      <c r="TOT79" s="450"/>
      <c r="TOU79" s="447"/>
      <c r="TOV79" s="448"/>
      <c r="TOX79" s="449"/>
      <c r="TOY79" s="450"/>
      <c r="TOZ79" s="452"/>
      <c r="TPA79" s="448"/>
      <c r="TPB79" s="449"/>
      <c r="TPC79" s="450"/>
      <c r="TPD79" s="452"/>
      <c r="TPE79" s="448"/>
      <c r="TPF79" s="455"/>
      <c r="TPG79" s="449"/>
      <c r="TPH79" s="450"/>
      <c r="TPI79" s="459"/>
      <c r="TPJ79" s="448"/>
      <c r="TPK79" s="456"/>
      <c r="TPL79" s="449"/>
      <c r="TPM79" s="450"/>
      <c r="TPN79" s="452"/>
      <c r="TPO79" s="448"/>
      <c r="TPP79" s="449"/>
      <c r="TPQ79" s="450"/>
      <c r="TPR79" s="452"/>
      <c r="TPS79" s="448"/>
      <c r="TPT79" s="449"/>
      <c r="TPU79" s="450"/>
      <c r="TPV79" s="447"/>
      <c r="TPW79" s="448"/>
      <c r="TPX79" s="457"/>
      <c r="TPY79" s="460"/>
      <c r="TPZ79" s="450"/>
      <c r="TQA79" s="461"/>
      <c r="TQB79" s="448"/>
      <c r="TQC79" s="456"/>
      <c r="TQD79" s="449"/>
      <c r="TQE79" s="450"/>
      <c r="TQF79" s="452"/>
      <c r="TQG79" s="448"/>
      <c r="TQH79" s="456"/>
      <c r="TQI79" s="458"/>
      <c r="TQJ79" s="458"/>
      <c r="TQL79" s="454"/>
      <c r="TQM79" s="450"/>
      <c r="TQN79" s="454"/>
      <c r="TQO79" s="448"/>
      <c r="TQP79" s="449"/>
      <c r="TQQ79" s="450"/>
      <c r="TQR79" s="447"/>
      <c r="TQS79" s="448"/>
      <c r="TQT79" s="449"/>
      <c r="TQU79" s="450"/>
      <c r="TQV79" s="447"/>
      <c r="TQW79" s="451"/>
      <c r="TQX79" s="449"/>
      <c r="TQY79" s="450"/>
      <c r="TQZ79" s="447"/>
      <c r="TRA79" s="451"/>
      <c r="TRB79" s="449"/>
      <c r="TRC79" s="450"/>
      <c r="TRD79" s="447"/>
      <c r="TRE79" s="451"/>
      <c r="TRF79" s="449"/>
      <c r="TRG79" s="450"/>
      <c r="TRH79" s="452"/>
      <c r="TRI79" s="451"/>
      <c r="TRJ79" s="449"/>
      <c r="TRK79" s="450"/>
      <c r="TRL79" s="447"/>
      <c r="TRM79" s="448"/>
      <c r="TRN79" s="453"/>
      <c r="TRO79" s="449"/>
      <c r="TRP79" s="450"/>
      <c r="TRQ79" s="454"/>
      <c r="TRR79" s="448"/>
      <c r="TRT79" s="449"/>
      <c r="TRU79" s="450"/>
      <c r="TRV79" s="452"/>
      <c r="TRW79" s="448"/>
      <c r="TRY79" s="449"/>
      <c r="TRZ79" s="450"/>
      <c r="TSA79" s="447"/>
      <c r="TSB79" s="448"/>
      <c r="TSD79" s="449"/>
      <c r="TSE79" s="450"/>
      <c r="TSF79" s="452"/>
      <c r="TSG79" s="448"/>
      <c r="TSH79" s="449"/>
      <c r="TSI79" s="450"/>
      <c r="TSJ79" s="452"/>
      <c r="TSK79" s="448"/>
      <c r="TSL79" s="455"/>
      <c r="TSM79" s="449"/>
      <c r="TSN79" s="450"/>
      <c r="TSO79" s="459"/>
      <c r="TSP79" s="448"/>
      <c r="TSQ79" s="456"/>
      <c r="TSR79" s="449"/>
      <c r="TSS79" s="450"/>
      <c r="TST79" s="452"/>
      <c r="TSU79" s="448"/>
      <c r="TSV79" s="449"/>
      <c r="TSW79" s="450"/>
      <c r="TSX79" s="452"/>
      <c r="TSY79" s="448"/>
      <c r="TSZ79" s="449"/>
      <c r="TTA79" s="450"/>
      <c r="TTB79" s="447"/>
      <c r="TTC79" s="448"/>
      <c r="TTD79" s="457"/>
      <c r="TTE79" s="460"/>
      <c r="TTF79" s="450"/>
      <c r="TTG79" s="461"/>
      <c r="TTH79" s="448"/>
      <c r="TTI79" s="456"/>
      <c r="TTJ79" s="449"/>
      <c r="TTK79" s="450"/>
      <c r="TTL79" s="452"/>
      <c r="TTM79" s="448"/>
      <c r="TTN79" s="456"/>
      <c r="TTO79" s="458"/>
      <c r="TTP79" s="458"/>
      <c r="TTR79" s="454"/>
      <c r="TTS79" s="450"/>
      <c r="TTT79" s="454"/>
      <c r="TTU79" s="448"/>
      <c r="TTV79" s="449"/>
      <c r="TTW79" s="450"/>
      <c r="TTX79" s="447"/>
      <c r="TTY79" s="448"/>
      <c r="TTZ79" s="449"/>
      <c r="TUA79" s="450"/>
      <c r="TUB79" s="447"/>
      <c r="TUC79" s="451"/>
      <c r="TUD79" s="449"/>
      <c r="TUE79" s="450"/>
      <c r="TUF79" s="447"/>
      <c r="TUG79" s="451"/>
      <c r="TUH79" s="449"/>
      <c r="TUI79" s="450"/>
      <c r="TUJ79" s="447"/>
      <c r="TUK79" s="451"/>
      <c r="TUL79" s="449"/>
      <c r="TUM79" s="450"/>
      <c r="TUN79" s="452"/>
      <c r="TUO79" s="451"/>
      <c r="TUP79" s="449"/>
      <c r="TUQ79" s="450"/>
      <c r="TUR79" s="447"/>
      <c r="TUS79" s="448"/>
      <c r="TUT79" s="453"/>
      <c r="TUU79" s="449"/>
      <c r="TUV79" s="450"/>
      <c r="TUW79" s="454"/>
      <c r="TUX79" s="448"/>
      <c r="TUZ79" s="449"/>
      <c r="TVA79" s="450"/>
      <c r="TVB79" s="452"/>
      <c r="TVC79" s="448"/>
      <c r="TVE79" s="449"/>
      <c r="TVF79" s="450"/>
      <c r="TVG79" s="447"/>
      <c r="TVH79" s="448"/>
      <c r="TVJ79" s="449"/>
      <c r="TVK79" s="450"/>
      <c r="TVL79" s="452"/>
      <c r="TVM79" s="448"/>
      <c r="TVN79" s="449"/>
      <c r="TVO79" s="450"/>
      <c r="TVP79" s="452"/>
      <c r="TVQ79" s="448"/>
      <c r="TVR79" s="455"/>
      <c r="TVS79" s="449"/>
      <c r="TVT79" s="450"/>
      <c r="TVU79" s="459"/>
      <c r="TVV79" s="448"/>
      <c r="TVW79" s="456"/>
      <c r="TVX79" s="449"/>
      <c r="TVY79" s="450"/>
      <c r="TVZ79" s="452"/>
      <c r="TWA79" s="448"/>
      <c r="TWB79" s="449"/>
      <c r="TWC79" s="450"/>
      <c r="TWD79" s="452"/>
      <c r="TWE79" s="448"/>
      <c r="TWF79" s="449"/>
      <c r="TWG79" s="450"/>
      <c r="TWH79" s="447"/>
      <c r="TWI79" s="448"/>
      <c r="TWJ79" s="457"/>
      <c r="TWK79" s="460"/>
      <c r="TWL79" s="450"/>
      <c r="TWM79" s="461"/>
      <c r="TWN79" s="448"/>
      <c r="TWO79" s="456"/>
      <c r="TWP79" s="449"/>
      <c r="TWQ79" s="450"/>
      <c r="TWR79" s="452"/>
      <c r="TWS79" s="448"/>
      <c r="TWT79" s="456"/>
      <c r="TWU79" s="458"/>
      <c r="TWV79" s="458"/>
      <c r="TWX79" s="454"/>
      <c r="TWY79" s="450"/>
      <c r="TWZ79" s="454"/>
      <c r="TXA79" s="448"/>
      <c r="TXB79" s="449"/>
      <c r="TXC79" s="450"/>
      <c r="TXD79" s="447"/>
      <c r="TXE79" s="448"/>
      <c r="TXF79" s="449"/>
      <c r="TXG79" s="450"/>
      <c r="TXH79" s="447"/>
      <c r="TXI79" s="451"/>
      <c r="TXJ79" s="449"/>
      <c r="TXK79" s="450"/>
      <c r="TXL79" s="447"/>
      <c r="TXM79" s="451"/>
      <c r="TXN79" s="449"/>
      <c r="TXO79" s="450"/>
      <c r="TXP79" s="447"/>
      <c r="TXQ79" s="451"/>
      <c r="TXR79" s="449"/>
      <c r="TXS79" s="450"/>
      <c r="TXT79" s="452"/>
      <c r="TXU79" s="451"/>
      <c r="TXV79" s="449"/>
      <c r="TXW79" s="450"/>
      <c r="TXX79" s="447"/>
      <c r="TXY79" s="448"/>
      <c r="TXZ79" s="453"/>
      <c r="TYA79" s="449"/>
      <c r="TYB79" s="450"/>
      <c r="TYC79" s="454"/>
      <c r="TYD79" s="448"/>
      <c r="TYF79" s="449"/>
      <c r="TYG79" s="450"/>
      <c r="TYH79" s="452"/>
      <c r="TYI79" s="448"/>
      <c r="TYK79" s="449"/>
      <c r="TYL79" s="450"/>
      <c r="TYM79" s="447"/>
      <c r="TYN79" s="448"/>
      <c r="TYP79" s="449"/>
      <c r="TYQ79" s="450"/>
      <c r="TYR79" s="452"/>
      <c r="TYS79" s="448"/>
      <c r="TYT79" s="449"/>
      <c r="TYU79" s="450"/>
      <c r="TYV79" s="452"/>
      <c r="TYW79" s="448"/>
      <c r="TYX79" s="455"/>
      <c r="TYY79" s="449"/>
      <c r="TYZ79" s="450"/>
      <c r="TZA79" s="459"/>
      <c r="TZB79" s="448"/>
      <c r="TZC79" s="456"/>
      <c r="TZD79" s="449"/>
      <c r="TZE79" s="450"/>
      <c r="TZF79" s="452"/>
      <c r="TZG79" s="448"/>
      <c r="TZH79" s="449"/>
      <c r="TZI79" s="450"/>
      <c r="TZJ79" s="452"/>
      <c r="TZK79" s="448"/>
      <c r="TZL79" s="449"/>
      <c r="TZM79" s="450"/>
      <c r="TZN79" s="447"/>
      <c r="TZO79" s="448"/>
      <c r="TZP79" s="457"/>
      <c r="TZQ79" s="460"/>
      <c r="TZR79" s="450"/>
      <c r="TZS79" s="461"/>
      <c r="TZT79" s="448"/>
      <c r="TZU79" s="456"/>
      <c r="TZV79" s="449"/>
      <c r="TZW79" s="450"/>
      <c r="TZX79" s="452"/>
      <c r="TZY79" s="448"/>
      <c r="TZZ79" s="456"/>
      <c r="UAA79" s="458"/>
      <c r="UAB79" s="458"/>
      <c r="UAD79" s="454"/>
      <c r="UAE79" s="450"/>
      <c r="UAF79" s="454"/>
      <c r="UAG79" s="448"/>
      <c r="UAH79" s="449"/>
      <c r="UAI79" s="450"/>
      <c r="UAJ79" s="447"/>
      <c r="UAK79" s="448"/>
      <c r="UAL79" s="449"/>
      <c r="UAM79" s="450"/>
      <c r="UAN79" s="447"/>
      <c r="UAO79" s="451"/>
      <c r="UAP79" s="449"/>
      <c r="UAQ79" s="450"/>
      <c r="UAR79" s="447"/>
      <c r="UAS79" s="451"/>
      <c r="UAT79" s="449"/>
      <c r="UAU79" s="450"/>
      <c r="UAV79" s="447"/>
      <c r="UAW79" s="451"/>
      <c r="UAX79" s="449"/>
      <c r="UAY79" s="450"/>
      <c r="UAZ79" s="452"/>
      <c r="UBA79" s="451"/>
      <c r="UBB79" s="449"/>
      <c r="UBC79" s="450"/>
      <c r="UBD79" s="447"/>
      <c r="UBE79" s="448"/>
      <c r="UBF79" s="453"/>
      <c r="UBG79" s="449"/>
      <c r="UBH79" s="450"/>
      <c r="UBI79" s="454"/>
      <c r="UBJ79" s="448"/>
      <c r="UBL79" s="449"/>
      <c r="UBM79" s="450"/>
      <c r="UBN79" s="452"/>
      <c r="UBO79" s="448"/>
      <c r="UBQ79" s="449"/>
      <c r="UBR79" s="450"/>
      <c r="UBS79" s="447"/>
      <c r="UBT79" s="448"/>
      <c r="UBV79" s="449"/>
      <c r="UBW79" s="450"/>
      <c r="UBX79" s="452"/>
      <c r="UBY79" s="448"/>
      <c r="UBZ79" s="449"/>
      <c r="UCA79" s="450"/>
      <c r="UCB79" s="452"/>
      <c r="UCC79" s="448"/>
      <c r="UCD79" s="455"/>
      <c r="UCE79" s="449"/>
      <c r="UCF79" s="450"/>
      <c r="UCG79" s="459"/>
      <c r="UCH79" s="448"/>
      <c r="UCI79" s="456"/>
      <c r="UCJ79" s="449"/>
      <c r="UCK79" s="450"/>
      <c r="UCL79" s="452"/>
      <c r="UCM79" s="448"/>
      <c r="UCN79" s="449"/>
      <c r="UCO79" s="450"/>
      <c r="UCP79" s="452"/>
      <c r="UCQ79" s="448"/>
      <c r="UCR79" s="449"/>
      <c r="UCS79" s="450"/>
      <c r="UCT79" s="447"/>
      <c r="UCU79" s="448"/>
      <c r="UCV79" s="457"/>
      <c r="UCW79" s="460"/>
      <c r="UCX79" s="450"/>
      <c r="UCY79" s="461"/>
      <c r="UCZ79" s="448"/>
      <c r="UDA79" s="456"/>
      <c r="UDB79" s="449"/>
      <c r="UDC79" s="450"/>
      <c r="UDD79" s="452"/>
      <c r="UDE79" s="448"/>
      <c r="UDF79" s="456"/>
      <c r="UDG79" s="458"/>
      <c r="UDH79" s="458"/>
      <c r="UDJ79" s="454"/>
      <c r="UDK79" s="450"/>
      <c r="UDL79" s="454"/>
      <c r="UDM79" s="448"/>
      <c r="UDN79" s="449"/>
      <c r="UDO79" s="450"/>
      <c r="UDP79" s="447"/>
      <c r="UDQ79" s="448"/>
      <c r="UDR79" s="449"/>
      <c r="UDS79" s="450"/>
      <c r="UDT79" s="447"/>
      <c r="UDU79" s="451"/>
      <c r="UDV79" s="449"/>
      <c r="UDW79" s="450"/>
      <c r="UDX79" s="447"/>
      <c r="UDY79" s="451"/>
      <c r="UDZ79" s="449"/>
      <c r="UEA79" s="450"/>
      <c r="UEB79" s="447"/>
      <c r="UEC79" s="451"/>
      <c r="UED79" s="449"/>
      <c r="UEE79" s="450"/>
      <c r="UEF79" s="452"/>
      <c r="UEG79" s="451"/>
      <c r="UEH79" s="449"/>
      <c r="UEI79" s="450"/>
      <c r="UEJ79" s="447"/>
      <c r="UEK79" s="448"/>
      <c r="UEL79" s="453"/>
      <c r="UEM79" s="449"/>
      <c r="UEN79" s="450"/>
      <c r="UEO79" s="454"/>
      <c r="UEP79" s="448"/>
      <c r="UER79" s="449"/>
      <c r="UES79" s="450"/>
      <c r="UET79" s="452"/>
      <c r="UEU79" s="448"/>
      <c r="UEW79" s="449"/>
      <c r="UEX79" s="450"/>
      <c r="UEY79" s="447"/>
      <c r="UEZ79" s="448"/>
      <c r="UFB79" s="449"/>
      <c r="UFC79" s="450"/>
      <c r="UFD79" s="452"/>
      <c r="UFE79" s="448"/>
      <c r="UFF79" s="449"/>
      <c r="UFG79" s="450"/>
      <c r="UFH79" s="452"/>
      <c r="UFI79" s="448"/>
      <c r="UFJ79" s="455"/>
      <c r="UFK79" s="449"/>
      <c r="UFL79" s="450"/>
      <c r="UFM79" s="459"/>
      <c r="UFN79" s="448"/>
      <c r="UFO79" s="456"/>
      <c r="UFP79" s="449"/>
      <c r="UFQ79" s="450"/>
      <c r="UFR79" s="452"/>
      <c r="UFS79" s="448"/>
      <c r="UFT79" s="449"/>
      <c r="UFU79" s="450"/>
      <c r="UFV79" s="452"/>
      <c r="UFW79" s="448"/>
      <c r="UFX79" s="449"/>
      <c r="UFY79" s="450"/>
      <c r="UFZ79" s="447"/>
      <c r="UGA79" s="448"/>
      <c r="UGB79" s="457"/>
      <c r="UGC79" s="460"/>
      <c r="UGD79" s="450"/>
      <c r="UGE79" s="461"/>
      <c r="UGF79" s="448"/>
      <c r="UGG79" s="456"/>
      <c r="UGH79" s="449"/>
      <c r="UGI79" s="450"/>
      <c r="UGJ79" s="452"/>
      <c r="UGK79" s="448"/>
      <c r="UGL79" s="456"/>
      <c r="UGM79" s="458"/>
      <c r="UGN79" s="458"/>
      <c r="UGP79" s="454"/>
      <c r="UGQ79" s="450"/>
      <c r="UGR79" s="454"/>
      <c r="UGS79" s="448"/>
      <c r="UGT79" s="449"/>
      <c r="UGU79" s="450"/>
      <c r="UGV79" s="447"/>
      <c r="UGW79" s="448"/>
      <c r="UGX79" s="449"/>
      <c r="UGY79" s="450"/>
      <c r="UGZ79" s="447"/>
      <c r="UHA79" s="451"/>
      <c r="UHB79" s="449"/>
      <c r="UHC79" s="450"/>
      <c r="UHD79" s="447"/>
      <c r="UHE79" s="451"/>
      <c r="UHF79" s="449"/>
      <c r="UHG79" s="450"/>
      <c r="UHH79" s="447"/>
      <c r="UHI79" s="451"/>
      <c r="UHJ79" s="449"/>
      <c r="UHK79" s="450"/>
      <c r="UHL79" s="452"/>
      <c r="UHM79" s="451"/>
      <c r="UHN79" s="449"/>
      <c r="UHO79" s="450"/>
      <c r="UHP79" s="447"/>
      <c r="UHQ79" s="448"/>
      <c r="UHR79" s="453"/>
      <c r="UHS79" s="449"/>
      <c r="UHT79" s="450"/>
      <c r="UHU79" s="454"/>
      <c r="UHV79" s="448"/>
      <c r="UHX79" s="449"/>
      <c r="UHY79" s="450"/>
      <c r="UHZ79" s="452"/>
      <c r="UIA79" s="448"/>
      <c r="UIC79" s="449"/>
      <c r="UID79" s="450"/>
      <c r="UIE79" s="447"/>
      <c r="UIF79" s="448"/>
      <c r="UIH79" s="449"/>
      <c r="UII79" s="450"/>
      <c r="UIJ79" s="452"/>
      <c r="UIK79" s="448"/>
      <c r="UIL79" s="449"/>
      <c r="UIM79" s="450"/>
      <c r="UIN79" s="452"/>
      <c r="UIO79" s="448"/>
      <c r="UIP79" s="455"/>
      <c r="UIQ79" s="449"/>
      <c r="UIR79" s="450"/>
      <c r="UIS79" s="459"/>
      <c r="UIT79" s="448"/>
      <c r="UIU79" s="456"/>
      <c r="UIV79" s="449"/>
      <c r="UIW79" s="450"/>
      <c r="UIX79" s="452"/>
      <c r="UIY79" s="448"/>
      <c r="UIZ79" s="449"/>
      <c r="UJA79" s="450"/>
      <c r="UJB79" s="452"/>
      <c r="UJC79" s="448"/>
      <c r="UJD79" s="449"/>
      <c r="UJE79" s="450"/>
      <c r="UJF79" s="447"/>
      <c r="UJG79" s="448"/>
      <c r="UJH79" s="457"/>
      <c r="UJI79" s="460"/>
      <c r="UJJ79" s="450"/>
      <c r="UJK79" s="461"/>
      <c r="UJL79" s="448"/>
      <c r="UJM79" s="456"/>
      <c r="UJN79" s="449"/>
      <c r="UJO79" s="450"/>
      <c r="UJP79" s="452"/>
      <c r="UJQ79" s="448"/>
      <c r="UJR79" s="456"/>
      <c r="UJS79" s="458"/>
      <c r="UJT79" s="458"/>
      <c r="UJV79" s="454"/>
      <c r="UJW79" s="450"/>
      <c r="UJX79" s="454"/>
      <c r="UJY79" s="448"/>
      <c r="UJZ79" s="449"/>
      <c r="UKA79" s="450"/>
      <c r="UKB79" s="447"/>
      <c r="UKC79" s="448"/>
      <c r="UKD79" s="449"/>
      <c r="UKE79" s="450"/>
      <c r="UKF79" s="447"/>
      <c r="UKG79" s="451"/>
      <c r="UKH79" s="449"/>
      <c r="UKI79" s="450"/>
      <c r="UKJ79" s="447"/>
      <c r="UKK79" s="451"/>
      <c r="UKL79" s="449"/>
      <c r="UKM79" s="450"/>
      <c r="UKN79" s="447"/>
      <c r="UKO79" s="451"/>
      <c r="UKP79" s="449"/>
      <c r="UKQ79" s="450"/>
      <c r="UKR79" s="452"/>
      <c r="UKS79" s="451"/>
      <c r="UKT79" s="449"/>
      <c r="UKU79" s="450"/>
      <c r="UKV79" s="447"/>
      <c r="UKW79" s="448"/>
      <c r="UKX79" s="453"/>
      <c r="UKY79" s="449"/>
      <c r="UKZ79" s="450"/>
      <c r="ULA79" s="454"/>
      <c r="ULB79" s="448"/>
      <c r="ULD79" s="449"/>
      <c r="ULE79" s="450"/>
      <c r="ULF79" s="452"/>
      <c r="ULG79" s="448"/>
      <c r="ULI79" s="449"/>
      <c r="ULJ79" s="450"/>
      <c r="ULK79" s="447"/>
      <c r="ULL79" s="448"/>
      <c r="ULN79" s="449"/>
      <c r="ULO79" s="450"/>
      <c r="ULP79" s="452"/>
      <c r="ULQ79" s="448"/>
      <c r="ULR79" s="449"/>
      <c r="ULS79" s="450"/>
      <c r="ULT79" s="452"/>
      <c r="ULU79" s="448"/>
      <c r="ULV79" s="455"/>
      <c r="ULW79" s="449"/>
      <c r="ULX79" s="450"/>
      <c r="ULY79" s="459"/>
      <c r="ULZ79" s="448"/>
      <c r="UMA79" s="456"/>
      <c r="UMB79" s="449"/>
      <c r="UMC79" s="450"/>
      <c r="UMD79" s="452"/>
      <c r="UME79" s="448"/>
      <c r="UMF79" s="449"/>
      <c r="UMG79" s="450"/>
      <c r="UMH79" s="452"/>
      <c r="UMI79" s="448"/>
      <c r="UMJ79" s="449"/>
      <c r="UMK79" s="450"/>
      <c r="UML79" s="447"/>
      <c r="UMM79" s="448"/>
      <c r="UMN79" s="457"/>
      <c r="UMO79" s="460"/>
      <c r="UMP79" s="450"/>
      <c r="UMQ79" s="461"/>
      <c r="UMR79" s="448"/>
      <c r="UMS79" s="456"/>
      <c r="UMT79" s="449"/>
      <c r="UMU79" s="450"/>
      <c r="UMV79" s="452"/>
      <c r="UMW79" s="448"/>
      <c r="UMX79" s="456"/>
      <c r="UMY79" s="458"/>
      <c r="UMZ79" s="458"/>
      <c r="UNB79" s="454"/>
      <c r="UNC79" s="450"/>
      <c r="UND79" s="454"/>
      <c r="UNE79" s="448"/>
      <c r="UNF79" s="449"/>
      <c r="UNG79" s="450"/>
      <c r="UNH79" s="447"/>
      <c r="UNI79" s="448"/>
      <c r="UNJ79" s="449"/>
      <c r="UNK79" s="450"/>
      <c r="UNL79" s="447"/>
      <c r="UNM79" s="451"/>
      <c r="UNN79" s="449"/>
      <c r="UNO79" s="450"/>
      <c r="UNP79" s="447"/>
      <c r="UNQ79" s="451"/>
      <c r="UNR79" s="449"/>
      <c r="UNS79" s="450"/>
      <c r="UNT79" s="447"/>
      <c r="UNU79" s="451"/>
      <c r="UNV79" s="449"/>
      <c r="UNW79" s="450"/>
      <c r="UNX79" s="452"/>
      <c r="UNY79" s="451"/>
      <c r="UNZ79" s="449"/>
      <c r="UOA79" s="450"/>
      <c r="UOB79" s="447"/>
      <c r="UOC79" s="448"/>
      <c r="UOD79" s="453"/>
      <c r="UOE79" s="449"/>
      <c r="UOF79" s="450"/>
      <c r="UOG79" s="454"/>
      <c r="UOH79" s="448"/>
      <c r="UOJ79" s="449"/>
      <c r="UOK79" s="450"/>
      <c r="UOL79" s="452"/>
      <c r="UOM79" s="448"/>
      <c r="UOO79" s="449"/>
      <c r="UOP79" s="450"/>
      <c r="UOQ79" s="447"/>
      <c r="UOR79" s="448"/>
      <c r="UOT79" s="449"/>
      <c r="UOU79" s="450"/>
      <c r="UOV79" s="452"/>
      <c r="UOW79" s="448"/>
      <c r="UOX79" s="449"/>
      <c r="UOY79" s="450"/>
      <c r="UOZ79" s="452"/>
      <c r="UPA79" s="448"/>
      <c r="UPB79" s="455"/>
      <c r="UPC79" s="449"/>
      <c r="UPD79" s="450"/>
      <c r="UPE79" s="459"/>
      <c r="UPF79" s="448"/>
      <c r="UPG79" s="456"/>
      <c r="UPH79" s="449"/>
      <c r="UPI79" s="450"/>
      <c r="UPJ79" s="452"/>
      <c r="UPK79" s="448"/>
      <c r="UPL79" s="449"/>
      <c r="UPM79" s="450"/>
      <c r="UPN79" s="452"/>
      <c r="UPO79" s="448"/>
      <c r="UPP79" s="449"/>
      <c r="UPQ79" s="450"/>
      <c r="UPR79" s="447"/>
      <c r="UPS79" s="448"/>
      <c r="UPT79" s="457"/>
      <c r="UPU79" s="460"/>
      <c r="UPV79" s="450"/>
      <c r="UPW79" s="461"/>
      <c r="UPX79" s="448"/>
      <c r="UPY79" s="456"/>
      <c r="UPZ79" s="449"/>
      <c r="UQA79" s="450"/>
      <c r="UQB79" s="452"/>
      <c r="UQC79" s="448"/>
      <c r="UQD79" s="456"/>
      <c r="UQE79" s="458"/>
      <c r="UQF79" s="458"/>
      <c r="UQH79" s="454"/>
      <c r="UQI79" s="450"/>
      <c r="UQJ79" s="454"/>
      <c r="UQK79" s="448"/>
      <c r="UQL79" s="449"/>
      <c r="UQM79" s="450"/>
      <c r="UQN79" s="447"/>
      <c r="UQO79" s="448"/>
      <c r="UQP79" s="449"/>
      <c r="UQQ79" s="450"/>
      <c r="UQR79" s="447"/>
      <c r="UQS79" s="451"/>
      <c r="UQT79" s="449"/>
      <c r="UQU79" s="450"/>
      <c r="UQV79" s="447"/>
      <c r="UQW79" s="451"/>
      <c r="UQX79" s="449"/>
      <c r="UQY79" s="450"/>
      <c r="UQZ79" s="447"/>
      <c r="URA79" s="451"/>
      <c r="URB79" s="449"/>
      <c r="URC79" s="450"/>
      <c r="URD79" s="452"/>
      <c r="URE79" s="451"/>
      <c r="URF79" s="449"/>
      <c r="URG79" s="450"/>
      <c r="URH79" s="447"/>
      <c r="URI79" s="448"/>
      <c r="URJ79" s="453"/>
      <c r="URK79" s="449"/>
      <c r="URL79" s="450"/>
      <c r="URM79" s="454"/>
      <c r="URN79" s="448"/>
      <c r="URP79" s="449"/>
      <c r="URQ79" s="450"/>
      <c r="URR79" s="452"/>
      <c r="URS79" s="448"/>
      <c r="URU79" s="449"/>
      <c r="URV79" s="450"/>
      <c r="URW79" s="447"/>
      <c r="URX79" s="448"/>
      <c r="URZ79" s="449"/>
      <c r="USA79" s="450"/>
      <c r="USB79" s="452"/>
      <c r="USC79" s="448"/>
      <c r="USD79" s="449"/>
      <c r="USE79" s="450"/>
      <c r="USF79" s="452"/>
      <c r="USG79" s="448"/>
      <c r="USH79" s="455"/>
      <c r="USI79" s="449"/>
      <c r="USJ79" s="450"/>
      <c r="USK79" s="459"/>
      <c r="USL79" s="448"/>
      <c r="USM79" s="456"/>
      <c r="USN79" s="449"/>
      <c r="USO79" s="450"/>
      <c r="USP79" s="452"/>
      <c r="USQ79" s="448"/>
      <c r="USR79" s="449"/>
      <c r="USS79" s="450"/>
      <c r="UST79" s="452"/>
      <c r="USU79" s="448"/>
      <c r="USV79" s="449"/>
      <c r="USW79" s="450"/>
      <c r="USX79" s="447"/>
      <c r="USY79" s="448"/>
      <c r="USZ79" s="457"/>
      <c r="UTA79" s="460"/>
      <c r="UTB79" s="450"/>
      <c r="UTC79" s="461"/>
      <c r="UTD79" s="448"/>
      <c r="UTE79" s="456"/>
      <c r="UTF79" s="449"/>
      <c r="UTG79" s="450"/>
      <c r="UTH79" s="452"/>
      <c r="UTI79" s="448"/>
      <c r="UTJ79" s="456"/>
      <c r="UTK79" s="458"/>
      <c r="UTL79" s="458"/>
      <c r="UTN79" s="454"/>
      <c r="UTO79" s="450"/>
      <c r="UTP79" s="454"/>
      <c r="UTQ79" s="448"/>
      <c r="UTR79" s="449"/>
      <c r="UTS79" s="450"/>
      <c r="UTT79" s="447"/>
      <c r="UTU79" s="448"/>
      <c r="UTV79" s="449"/>
      <c r="UTW79" s="450"/>
      <c r="UTX79" s="447"/>
      <c r="UTY79" s="451"/>
      <c r="UTZ79" s="449"/>
      <c r="UUA79" s="450"/>
      <c r="UUB79" s="447"/>
      <c r="UUC79" s="451"/>
      <c r="UUD79" s="449"/>
      <c r="UUE79" s="450"/>
      <c r="UUF79" s="447"/>
      <c r="UUG79" s="451"/>
      <c r="UUH79" s="449"/>
      <c r="UUI79" s="450"/>
      <c r="UUJ79" s="452"/>
      <c r="UUK79" s="451"/>
      <c r="UUL79" s="449"/>
      <c r="UUM79" s="450"/>
      <c r="UUN79" s="447"/>
      <c r="UUO79" s="448"/>
      <c r="UUP79" s="453"/>
      <c r="UUQ79" s="449"/>
      <c r="UUR79" s="450"/>
      <c r="UUS79" s="454"/>
      <c r="UUT79" s="448"/>
      <c r="UUV79" s="449"/>
      <c r="UUW79" s="450"/>
      <c r="UUX79" s="452"/>
      <c r="UUY79" s="448"/>
      <c r="UVA79" s="449"/>
      <c r="UVB79" s="450"/>
      <c r="UVC79" s="447"/>
      <c r="UVD79" s="448"/>
      <c r="UVF79" s="449"/>
      <c r="UVG79" s="450"/>
      <c r="UVH79" s="452"/>
      <c r="UVI79" s="448"/>
      <c r="UVJ79" s="449"/>
      <c r="UVK79" s="450"/>
      <c r="UVL79" s="452"/>
      <c r="UVM79" s="448"/>
      <c r="UVN79" s="455"/>
      <c r="UVO79" s="449"/>
      <c r="UVP79" s="450"/>
      <c r="UVQ79" s="459"/>
      <c r="UVR79" s="448"/>
      <c r="UVS79" s="456"/>
      <c r="UVT79" s="449"/>
      <c r="UVU79" s="450"/>
      <c r="UVV79" s="452"/>
      <c r="UVW79" s="448"/>
      <c r="UVX79" s="449"/>
      <c r="UVY79" s="450"/>
      <c r="UVZ79" s="452"/>
      <c r="UWA79" s="448"/>
      <c r="UWB79" s="449"/>
      <c r="UWC79" s="450"/>
      <c r="UWD79" s="447"/>
      <c r="UWE79" s="448"/>
      <c r="UWF79" s="457"/>
      <c r="UWG79" s="460"/>
      <c r="UWH79" s="450"/>
      <c r="UWI79" s="461"/>
      <c r="UWJ79" s="448"/>
      <c r="UWK79" s="456"/>
      <c r="UWL79" s="449"/>
      <c r="UWM79" s="450"/>
      <c r="UWN79" s="452"/>
      <c r="UWO79" s="448"/>
      <c r="UWP79" s="456"/>
      <c r="UWQ79" s="458"/>
      <c r="UWR79" s="458"/>
      <c r="UWT79" s="454"/>
      <c r="UWU79" s="450"/>
      <c r="UWV79" s="454"/>
      <c r="UWW79" s="448"/>
      <c r="UWX79" s="449"/>
      <c r="UWY79" s="450"/>
      <c r="UWZ79" s="447"/>
      <c r="UXA79" s="448"/>
      <c r="UXB79" s="449"/>
      <c r="UXC79" s="450"/>
      <c r="UXD79" s="447"/>
      <c r="UXE79" s="451"/>
      <c r="UXF79" s="449"/>
      <c r="UXG79" s="450"/>
      <c r="UXH79" s="447"/>
      <c r="UXI79" s="451"/>
      <c r="UXJ79" s="449"/>
      <c r="UXK79" s="450"/>
      <c r="UXL79" s="447"/>
      <c r="UXM79" s="451"/>
      <c r="UXN79" s="449"/>
      <c r="UXO79" s="450"/>
      <c r="UXP79" s="452"/>
      <c r="UXQ79" s="451"/>
      <c r="UXR79" s="449"/>
      <c r="UXS79" s="450"/>
      <c r="UXT79" s="447"/>
      <c r="UXU79" s="448"/>
      <c r="UXV79" s="453"/>
      <c r="UXW79" s="449"/>
      <c r="UXX79" s="450"/>
      <c r="UXY79" s="454"/>
      <c r="UXZ79" s="448"/>
      <c r="UYB79" s="449"/>
      <c r="UYC79" s="450"/>
      <c r="UYD79" s="452"/>
      <c r="UYE79" s="448"/>
      <c r="UYG79" s="449"/>
      <c r="UYH79" s="450"/>
      <c r="UYI79" s="447"/>
      <c r="UYJ79" s="448"/>
      <c r="UYL79" s="449"/>
      <c r="UYM79" s="450"/>
      <c r="UYN79" s="452"/>
      <c r="UYO79" s="448"/>
      <c r="UYP79" s="449"/>
      <c r="UYQ79" s="450"/>
      <c r="UYR79" s="452"/>
      <c r="UYS79" s="448"/>
      <c r="UYT79" s="455"/>
      <c r="UYU79" s="449"/>
      <c r="UYV79" s="450"/>
      <c r="UYW79" s="459"/>
      <c r="UYX79" s="448"/>
      <c r="UYY79" s="456"/>
      <c r="UYZ79" s="449"/>
      <c r="UZA79" s="450"/>
      <c r="UZB79" s="452"/>
      <c r="UZC79" s="448"/>
      <c r="UZD79" s="449"/>
      <c r="UZE79" s="450"/>
      <c r="UZF79" s="452"/>
      <c r="UZG79" s="448"/>
      <c r="UZH79" s="449"/>
      <c r="UZI79" s="450"/>
      <c r="UZJ79" s="447"/>
      <c r="UZK79" s="448"/>
      <c r="UZL79" s="457"/>
      <c r="UZM79" s="460"/>
      <c r="UZN79" s="450"/>
      <c r="UZO79" s="461"/>
      <c r="UZP79" s="448"/>
      <c r="UZQ79" s="456"/>
      <c r="UZR79" s="449"/>
      <c r="UZS79" s="450"/>
      <c r="UZT79" s="452"/>
      <c r="UZU79" s="448"/>
      <c r="UZV79" s="456"/>
      <c r="UZW79" s="458"/>
      <c r="UZX79" s="458"/>
      <c r="UZZ79" s="454"/>
      <c r="VAA79" s="450"/>
      <c r="VAB79" s="454"/>
      <c r="VAC79" s="448"/>
      <c r="VAD79" s="449"/>
      <c r="VAE79" s="450"/>
      <c r="VAF79" s="447"/>
      <c r="VAG79" s="448"/>
      <c r="VAH79" s="449"/>
      <c r="VAI79" s="450"/>
      <c r="VAJ79" s="447"/>
      <c r="VAK79" s="451"/>
      <c r="VAL79" s="449"/>
      <c r="VAM79" s="450"/>
      <c r="VAN79" s="447"/>
      <c r="VAO79" s="451"/>
      <c r="VAP79" s="449"/>
      <c r="VAQ79" s="450"/>
      <c r="VAR79" s="447"/>
      <c r="VAS79" s="451"/>
      <c r="VAT79" s="449"/>
      <c r="VAU79" s="450"/>
      <c r="VAV79" s="452"/>
      <c r="VAW79" s="451"/>
      <c r="VAX79" s="449"/>
      <c r="VAY79" s="450"/>
      <c r="VAZ79" s="447"/>
      <c r="VBA79" s="448"/>
      <c r="VBB79" s="453"/>
      <c r="VBC79" s="449"/>
      <c r="VBD79" s="450"/>
      <c r="VBE79" s="454"/>
      <c r="VBF79" s="448"/>
      <c r="VBH79" s="449"/>
      <c r="VBI79" s="450"/>
      <c r="VBJ79" s="452"/>
      <c r="VBK79" s="448"/>
      <c r="VBM79" s="449"/>
      <c r="VBN79" s="450"/>
      <c r="VBO79" s="447"/>
      <c r="VBP79" s="448"/>
      <c r="VBR79" s="449"/>
      <c r="VBS79" s="450"/>
      <c r="VBT79" s="452"/>
      <c r="VBU79" s="448"/>
      <c r="VBV79" s="449"/>
      <c r="VBW79" s="450"/>
      <c r="VBX79" s="452"/>
      <c r="VBY79" s="448"/>
      <c r="VBZ79" s="455"/>
      <c r="VCA79" s="449"/>
      <c r="VCB79" s="450"/>
      <c r="VCC79" s="459"/>
      <c r="VCD79" s="448"/>
      <c r="VCE79" s="456"/>
      <c r="VCF79" s="449"/>
      <c r="VCG79" s="450"/>
      <c r="VCH79" s="452"/>
      <c r="VCI79" s="448"/>
      <c r="VCJ79" s="449"/>
      <c r="VCK79" s="450"/>
      <c r="VCL79" s="452"/>
      <c r="VCM79" s="448"/>
      <c r="VCN79" s="449"/>
      <c r="VCO79" s="450"/>
      <c r="VCP79" s="447"/>
      <c r="VCQ79" s="448"/>
      <c r="VCR79" s="457"/>
      <c r="VCS79" s="460"/>
      <c r="VCT79" s="450"/>
      <c r="VCU79" s="461"/>
      <c r="VCV79" s="448"/>
      <c r="VCW79" s="456"/>
      <c r="VCX79" s="449"/>
      <c r="VCY79" s="450"/>
      <c r="VCZ79" s="452"/>
      <c r="VDA79" s="448"/>
      <c r="VDB79" s="456"/>
      <c r="VDC79" s="458"/>
      <c r="VDD79" s="458"/>
      <c r="VDF79" s="454"/>
      <c r="VDG79" s="450"/>
      <c r="VDH79" s="454"/>
      <c r="VDI79" s="448"/>
      <c r="VDJ79" s="449"/>
      <c r="VDK79" s="450"/>
      <c r="VDL79" s="447"/>
      <c r="VDM79" s="448"/>
      <c r="VDN79" s="449"/>
      <c r="VDO79" s="450"/>
      <c r="VDP79" s="447"/>
      <c r="VDQ79" s="451"/>
      <c r="VDR79" s="449"/>
      <c r="VDS79" s="450"/>
      <c r="VDT79" s="447"/>
      <c r="VDU79" s="451"/>
      <c r="VDV79" s="449"/>
      <c r="VDW79" s="450"/>
      <c r="VDX79" s="447"/>
      <c r="VDY79" s="451"/>
      <c r="VDZ79" s="449"/>
      <c r="VEA79" s="450"/>
      <c r="VEB79" s="452"/>
      <c r="VEC79" s="451"/>
      <c r="VED79" s="449"/>
      <c r="VEE79" s="450"/>
      <c r="VEF79" s="447"/>
      <c r="VEG79" s="448"/>
      <c r="VEH79" s="453"/>
      <c r="VEI79" s="449"/>
      <c r="VEJ79" s="450"/>
      <c r="VEK79" s="454"/>
      <c r="VEL79" s="448"/>
      <c r="VEN79" s="449"/>
      <c r="VEO79" s="450"/>
      <c r="VEP79" s="452"/>
      <c r="VEQ79" s="448"/>
      <c r="VES79" s="449"/>
      <c r="VET79" s="450"/>
      <c r="VEU79" s="447"/>
      <c r="VEV79" s="448"/>
      <c r="VEX79" s="449"/>
      <c r="VEY79" s="450"/>
      <c r="VEZ79" s="452"/>
      <c r="VFA79" s="448"/>
      <c r="VFB79" s="449"/>
      <c r="VFC79" s="450"/>
      <c r="VFD79" s="452"/>
      <c r="VFE79" s="448"/>
      <c r="VFF79" s="455"/>
      <c r="VFG79" s="449"/>
      <c r="VFH79" s="450"/>
      <c r="VFI79" s="459"/>
      <c r="VFJ79" s="448"/>
      <c r="VFK79" s="456"/>
      <c r="VFL79" s="449"/>
      <c r="VFM79" s="450"/>
      <c r="VFN79" s="452"/>
      <c r="VFO79" s="448"/>
      <c r="VFP79" s="449"/>
      <c r="VFQ79" s="450"/>
      <c r="VFR79" s="452"/>
      <c r="VFS79" s="448"/>
      <c r="VFT79" s="449"/>
      <c r="VFU79" s="450"/>
      <c r="VFV79" s="447"/>
      <c r="VFW79" s="448"/>
      <c r="VFX79" s="457"/>
      <c r="VFY79" s="460"/>
      <c r="VFZ79" s="450"/>
      <c r="VGA79" s="461"/>
      <c r="VGB79" s="448"/>
      <c r="VGC79" s="456"/>
      <c r="VGD79" s="449"/>
      <c r="VGE79" s="450"/>
      <c r="VGF79" s="452"/>
      <c r="VGG79" s="448"/>
      <c r="VGH79" s="456"/>
      <c r="VGI79" s="458"/>
      <c r="VGJ79" s="458"/>
      <c r="VGL79" s="454"/>
      <c r="VGM79" s="450"/>
      <c r="VGN79" s="454"/>
      <c r="VGO79" s="448"/>
      <c r="VGP79" s="449"/>
      <c r="VGQ79" s="450"/>
      <c r="VGR79" s="447"/>
      <c r="VGS79" s="448"/>
      <c r="VGT79" s="449"/>
      <c r="VGU79" s="450"/>
      <c r="VGV79" s="447"/>
      <c r="VGW79" s="451"/>
      <c r="VGX79" s="449"/>
      <c r="VGY79" s="450"/>
      <c r="VGZ79" s="447"/>
      <c r="VHA79" s="451"/>
      <c r="VHB79" s="449"/>
      <c r="VHC79" s="450"/>
      <c r="VHD79" s="447"/>
      <c r="VHE79" s="451"/>
      <c r="VHF79" s="449"/>
      <c r="VHG79" s="450"/>
      <c r="VHH79" s="452"/>
      <c r="VHI79" s="451"/>
      <c r="VHJ79" s="449"/>
      <c r="VHK79" s="450"/>
      <c r="VHL79" s="447"/>
      <c r="VHM79" s="448"/>
      <c r="VHN79" s="453"/>
      <c r="VHO79" s="449"/>
      <c r="VHP79" s="450"/>
      <c r="VHQ79" s="454"/>
      <c r="VHR79" s="448"/>
      <c r="VHT79" s="449"/>
      <c r="VHU79" s="450"/>
      <c r="VHV79" s="452"/>
      <c r="VHW79" s="448"/>
      <c r="VHY79" s="449"/>
      <c r="VHZ79" s="450"/>
      <c r="VIA79" s="447"/>
      <c r="VIB79" s="448"/>
      <c r="VID79" s="449"/>
      <c r="VIE79" s="450"/>
      <c r="VIF79" s="452"/>
      <c r="VIG79" s="448"/>
      <c r="VIH79" s="449"/>
      <c r="VII79" s="450"/>
      <c r="VIJ79" s="452"/>
      <c r="VIK79" s="448"/>
      <c r="VIL79" s="455"/>
      <c r="VIM79" s="449"/>
      <c r="VIN79" s="450"/>
      <c r="VIO79" s="459"/>
      <c r="VIP79" s="448"/>
      <c r="VIQ79" s="456"/>
      <c r="VIR79" s="449"/>
      <c r="VIS79" s="450"/>
      <c r="VIT79" s="452"/>
      <c r="VIU79" s="448"/>
      <c r="VIV79" s="449"/>
      <c r="VIW79" s="450"/>
      <c r="VIX79" s="452"/>
      <c r="VIY79" s="448"/>
      <c r="VIZ79" s="449"/>
      <c r="VJA79" s="450"/>
      <c r="VJB79" s="447"/>
      <c r="VJC79" s="448"/>
      <c r="VJD79" s="457"/>
      <c r="VJE79" s="460"/>
      <c r="VJF79" s="450"/>
      <c r="VJG79" s="461"/>
      <c r="VJH79" s="448"/>
      <c r="VJI79" s="456"/>
      <c r="VJJ79" s="449"/>
      <c r="VJK79" s="450"/>
      <c r="VJL79" s="452"/>
      <c r="VJM79" s="448"/>
      <c r="VJN79" s="456"/>
      <c r="VJO79" s="458"/>
      <c r="VJP79" s="458"/>
      <c r="VJR79" s="454"/>
      <c r="VJS79" s="450"/>
      <c r="VJT79" s="454"/>
      <c r="VJU79" s="448"/>
      <c r="VJV79" s="449"/>
      <c r="VJW79" s="450"/>
      <c r="VJX79" s="447"/>
      <c r="VJY79" s="448"/>
      <c r="VJZ79" s="449"/>
      <c r="VKA79" s="450"/>
      <c r="VKB79" s="447"/>
      <c r="VKC79" s="451"/>
      <c r="VKD79" s="449"/>
      <c r="VKE79" s="450"/>
      <c r="VKF79" s="447"/>
      <c r="VKG79" s="451"/>
      <c r="VKH79" s="449"/>
      <c r="VKI79" s="450"/>
      <c r="VKJ79" s="447"/>
      <c r="VKK79" s="451"/>
      <c r="VKL79" s="449"/>
      <c r="VKM79" s="450"/>
      <c r="VKN79" s="452"/>
      <c r="VKO79" s="451"/>
      <c r="VKP79" s="449"/>
      <c r="VKQ79" s="450"/>
      <c r="VKR79" s="447"/>
      <c r="VKS79" s="448"/>
      <c r="VKT79" s="453"/>
      <c r="VKU79" s="449"/>
      <c r="VKV79" s="450"/>
      <c r="VKW79" s="454"/>
      <c r="VKX79" s="448"/>
      <c r="VKZ79" s="449"/>
      <c r="VLA79" s="450"/>
      <c r="VLB79" s="452"/>
      <c r="VLC79" s="448"/>
      <c r="VLE79" s="449"/>
      <c r="VLF79" s="450"/>
      <c r="VLG79" s="447"/>
      <c r="VLH79" s="448"/>
      <c r="VLJ79" s="449"/>
      <c r="VLK79" s="450"/>
      <c r="VLL79" s="452"/>
      <c r="VLM79" s="448"/>
      <c r="VLN79" s="449"/>
      <c r="VLO79" s="450"/>
      <c r="VLP79" s="452"/>
      <c r="VLQ79" s="448"/>
      <c r="VLR79" s="455"/>
      <c r="VLS79" s="449"/>
      <c r="VLT79" s="450"/>
      <c r="VLU79" s="459"/>
      <c r="VLV79" s="448"/>
      <c r="VLW79" s="456"/>
      <c r="VLX79" s="449"/>
      <c r="VLY79" s="450"/>
      <c r="VLZ79" s="452"/>
      <c r="VMA79" s="448"/>
      <c r="VMB79" s="449"/>
      <c r="VMC79" s="450"/>
      <c r="VMD79" s="452"/>
      <c r="VME79" s="448"/>
      <c r="VMF79" s="449"/>
      <c r="VMG79" s="450"/>
      <c r="VMH79" s="447"/>
      <c r="VMI79" s="448"/>
      <c r="VMJ79" s="457"/>
      <c r="VMK79" s="460"/>
      <c r="VML79" s="450"/>
      <c r="VMM79" s="461"/>
      <c r="VMN79" s="448"/>
      <c r="VMO79" s="456"/>
      <c r="VMP79" s="449"/>
      <c r="VMQ79" s="450"/>
      <c r="VMR79" s="452"/>
      <c r="VMS79" s="448"/>
      <c r="VMT79" s="456"/>
      <c r="VMU79" s="458"/>
      <c r="VMV79" s="458"/>
      <c r="VMX79" s="454"/>
      <c r="VMY79" s="450"/>
      <c r="VMZ79" s="454"/>
      <c r="VNA79" s="448"/>
      <c r="VNB79" s="449"/>
      <c r="VNC79" s="450"/>
      <c r="VND79" s="447"/>
      <c r="VNE79" s="448"/>
      <c r="VNF79" s="449"/>
      <c r="VNG79" s="450"/>
      <c r="VNH79" s="447"/>
      <c r="VNI79" s="451"/>
      <c r="VNJ79" s="449"/>
      <c r="VNK79" s="450"/>
      <c r="VNL79" s="447"/>
      <c r="VNM79" s="451"/>
      <c r="VNN79" s="449"/>
      <c r="VNO79" s="450"/>
      <c r="VNP79" s="447"/>
      <c r="VNQ79" s="451"/>
      <c r="VNR79" s="449"/>
      <c r="VNS79" s="450"/>
      <c r="VNT79" s="452"/>
      <c r="VNU79" s="451"/>
      <c r="VNV79" s="449"/>
      <c r="VNW79" s="450"/>
      <c r="VNX79" s="447"/>
      <c r="VNY79" s="448"/>
      <c r="VNZ79" s="453"/>
      <c r="VOA79" s="449"/>
      <c r="VOB79" s="450"/>
      <c r="VOC79" s="454"/>
      <c r="VOD79" s="448"/>
      <c r="VOF79" s="449"/>
      <c r="VOG79" s="450"/>
      <c r="VOH79" s="452"/>
      <c r="VOI79" s="448"/>
      <c r="VOK79" s="449"/>
      <c r="VOL79" s="450"/>
      <c r="VOM79" s="447"/>
      <c r="VON79" s="448"/>
      <c r="VOP79" s="449"/>
      <c r="VOQ79" s="450"/>
      <c r="VOR79" s="452"/>
      <c r="VOS79" s="448"/>
      <c r="VOT79" s="449"/>
      <c r="VOU79" s="450"/>
      <c r="VOV79" s="452"/>
      <c r="VOW79" s="448"/>
      <c r="VOX79" s="455"/>
      <c r="VOY79" s="449"/>
      <c r="VOZ79" s="450"/>
      <c r="VPA79" s="459"/>
      <c r="VPB79" s="448"/>
      <c r="VPC79" s="456"/>
      <c r="VPD79" s="449"/>
      <c r="VPE79" s="450"/>
      <c r="VPF79" s="452"/>
      <c r="VPG79" s="448"/>
      <c r="VPH79" s="449"/>
      <c r="VPI79" s="450"/>
      <c r="VPJ79" s="452"/>
      <c r="VPK79" s="448"/>
      <c r="VPL79" s="449"/>
      <c r="VPM79" s="450"/>
      <c r="VPN79" s="447"/>
      <c r="VPO79" s="448"/>
      <c r="VPP79" s="457"/>
      <c r="VPQ79" s="460"/>
      <c r="VPR79" s="450"/>
      <c r="VPS79" s="461"/>
      <c r="VPT79" s="448"/>
      <c r="VPU79" s="456"/>
      <c r="VPV79" s="449"/>
      <c r="VPW79" s="450"/>
      <c r="VPX79" s="452"/>
      <c r="VPY79" s="448"/>
      <c r="VPZ79" s="456"/>
      <c r="VQA79" s="458"/>
      <c r="VQB79" s="458"/>
      <c r="VQD79" s="454"/>
      <c r="VQE79" s="450"/>
      <c r="VQF79" s="454"/>
      <c r="VQG79" s="448"/>
      <c r="VQH79" s="449"/>
      <c r="VQI79" s="450"/>
      <c r="VQJ79" s="447"/>
      <c r="VQK79" s="448"/>
      <c r="VQL79" s="449"/>
      <c r="VQM79" s="450"/>
      <c r="VQN79" s="447"/>
      <c r="VQO79" s="451"/>
      <c r="VQP79" s="449"/>
      <c r="VQQ79" s="450"/>
      <c r="VQR79" s="447"/>
      <c r="VQS79" s="451"/>
      <c r="VQT79" s="449"/>
      <c r="VQU79" s="450"/>
      <c r="VQV79" s="447"/>
      <c r="VQW79" s="451"/>
      <c r="VQX79" s="449"/>
      <c r="VQY79" s="450"/>
      <c r="VQZ79" s="452"/>
      <c r="VRA79" s="451"/>
      <c r="VRB79" s="449"/>
      <c r="VRC79" s="450"/>
      <c r="VRD79" s="447"/>
      <c r="VRE79" s="448"/>
      <c r="VRF79" s="453"/>
      <c r="VRG79" s="449"/>
      <c r="VRH79" s="450"/>
      <c r="VRI79" s="454"/>
      <c r="VRJ79" s="448"/>
      <c r="VRL79" s="449"/>
      <c r="VRM79" s="450"/>
      <c r="VRN79" s="452"/>
      <c r="VRO79" s="448"/>
      <c r="VRQ79" s="449"/>
      <c r="VRR79" s="450"/>
      <c r="VRS79" s="447"/>
      <c r="VRT79" s="448"/>
      <c r="VRV79" s="449"/>
      <c r="VRW79" s="450"/>
      <c r="VRX79" s="452"/>
      <c r="VRY79" s="448"/>
      <c r="VRZ79" s="449"/>
      <c r="VSA79" s="450"/>
      <c r="VSB79" s="452"/>
      <c r="VSC79" s="448"/>
      <c r="VSD79" s="455"/>
      <c r="VSE79" s="449"/>
      <c r="VSF79" s="450"/>
      <c r="VSG79" s="459"/>
      <c r="VSH79" s="448"/>
      <c r="VSI79" s="456"/>
      <c r="VSJ79" s="449"/>
      <c r="VSK79" s="450"/>
      <c r="VSL79" s="452"/>
      <c r="VSM79" s="448"/>
      <c r="VSN79" s="449"/>
      <c r="VSO79" s="450"/>
      <c r="VSP79" s="452"/>
      <c r="VSQ79" s="448"/>
      <c r="VSR79" s="449"/>
      <c r="VSS79" s="450"/>
      <c r="VST79" s="447"/>
      <c r="VSU79" s="448"/>
      <c r="VSV79" s="457"/>
      <c r="VSW79" s="460"/>
      <c r="VSX79" s="450"/>
      <c r="VSY79" s="461"/>
      <c r="VSZ79" s="448"/>
      <c r="VTA79" s="456"/>
      <c r="VTB79" s="449"/>
      <c r="VTC79" s="450"/>
      <c r="VTD79" s="452"/>
      <c r="VTE79" s="448"/>
      <c r="VTF79" s="456"/>
      <c r="VTG79" s="458"/>
      <c r="VTH79" s="458"/>
      <c r="VTJ79" s="454"/>
      <c r="VTK79" s="450"/>
      <c r="VTL79" s="454"/>
      <c r="VTM79" s="448"/>
      <c r="VTN79" s="449"/>
      <c r="VTO79" s="450"/>
      <c r="VTP79" s="447"/>
      <c r="VTQ79" s="448"/>
      <c r="VTR79" s="449"/>
      <c r="VTS79" s="450"/>
      <c r="VTT79" s="447"/>
      <c r="VTU79" s="451"/>
      <c r="VTV79" s="449"/>
      <c r="VTW79" s="450"/>
      <c r="VTX79" s="447"/>
      <c r="VTY79" s="451"/>
      <c r="VTZ79" s="449"/>
      <c r="VUA79" s="450"/>
      <c r="VUB79" s="447"/>
      <c r="VUC79" s="451"/>
      <c r="VUD79" s="449"/>
      <c r="VUE79" s="450"/>
      <c r="VUF79" s="452"/>
      <c r="VUG79" s="451"/>
      <c r="VUH79" s="449"/>
      <c r="VUI79" s="450"/>
      <c r="VUJ79" s="447"/>
      <c r="VUK79" s="448"/>
      <c r="VUL79" s="453"/>
      <c r="VUM79" s="449"/>
      <c r="VUN79" s="450"/>
      <c r="VUO79" s="454"/>
      <c r="VUP79" s="448"/>
      <c r="VUR79" s="449"/>
      <c r="VUS79" s="450"/>
      <c r="VUT79" s="452"/>
      <c r="VUU79" s="448"/>
      <c r="VUW79" s="449"/>
      <c r="VUX79" s="450"/>
      <c r="VUY79" s="447"/>
      <c r="VUZ79" s="448"/>
      <c r="VVB79" s="449"/>
      <c r="VVC79" s="450"/>
      <c r="VVD79" s="452"/>
      <c r="VVE79" s="448"/>
      <c r="VVF79" s="449"/>
      <c r="VVG79" s="450"/>
      <c r="VVH79" s="452"/>
      <c r="VVI79" s="448"/>
      <c r="VVJ79" s="455"/>
      <c r="VVK79" s="449"/>
      <c r="VVL79" s="450"/>
      <c r="VVM79" s="459"/>
      <c r="VVN79" s="448"/>
      <c r="VVO79" s="456"/>
      <c r="VVP79" s="449"/>
      <c r="VVQ79" s="450"/>
      <c r="VVR79" s="452"/>
      <c r="VVS79" s="448"/>
      <c r="VVT79" s="449"/>
      <c r="VVU79" s="450"/>
      <c r="VVV79" s="452"/>
      <c r="VVW79" s="448"/>
      <c r="VVX79" s="449"/>
      <c r="VVY79" s="450"/>
      <c r="VVZ79" s="447"/>
      <c r="VWA79" s="448"/>
      <c r="VWB79" s="457"/>
      <c r="VWC79" s="460"/>
      <c r="VWD79" s="450"/>
      <c r="VWE79" s="461"/>
      <c r="VWF79" s="448"/>
      <c r="VWG79" s="456"/>
      <c r="VWH79" s="449"/>
      <c r="VWI79" s="450"/>
      <c r="VWJ79" s="452"/>
      <c r="VWK79" s="448"/>
      <c r="VWL79" s="456"/>
      <c r="VWM79" s="458"/>
      <c r="VWN79" s="458"/>
      <c r="VWP79" s="454"/>
      <c r="VWQ79" s="450"/>
      <c r="VWR79" s="454"/>
      <c r="VWS79" s="448"/>
      <c r="VWT79" s="449"/>
      <c r="VWU79" s="450"/>
      <c r="VWV79" s="447"/>
      <c r="VWW79" s="448"/>
      <c r="VWX79" s="449"/>
      <c r="VWY79" s="450"/>
      <c r="VWZ79" s="447"/>
      <c r="VXA79" s="451"/>
      <c r="VXB79" s="449"/>
      <c r="VXC79" s="450"/>
      <c r="VXD79" s="447"/>
      <c r="VXE79" s="451"/>
      <c r="VXF79" s="449"/>
      <c r="VXG79" s="450"/>
      <c r="VXH79" s="447"/>
      <c r="VXI79" s="451"/>
      <c r="VXJ79" s="449"/>
      <c r="VXK79" s="450"/>
      <c r="VXL79" s="452"/>
      <c r="VXM79" s="451"/>
      <c r="VXN79" s="449"/>
      <c r="VXO79" s="450"/>
      <c r="VXP79" s="447"/>
      <c r="VXQ79" s="448"/>
      <c r="VXR79" s="453"/>
      <c r="VXS79" s="449"/>
      <c r="VXT79" s="450"/>
      <c r="VXU79" s="454"/>
      <c r="VXV79" s="448"/>
      <c r="VXX79" s="449"/>
      <c r="VXY79" s="450"/>
      <c r="VXZ79" s="452"/>
      <c r="VYA79" s="448"/>
      <c r="VYC79" s="449"/>
      <c r="VYD79" s="450"/>
      <c r="VYE79" s="447"/>
      <c r="VYF79" s="448"/>
      <c r="VYH79" s="449"/>
      <c r="VYI79" s="450"/>
      <c r="VYJ79" s="452"/>
      <c r="VYK79" s="448"/>
      <c r="VYL79" s="449"/>
      <c r="VYM79" s="450"/>
      <c r="VYN79" s="452"/>
      <c r="VYO79" s="448"/>
      <c r="VYP79" s="455"/>
      <c r="VYQ79" s="449"/>
      <c r="VYR79" s="450"/>
      <c r="VYS79" s="459"/>
      <c r="VYT79" s="448"/>
      <c r="VYU79" s="456"/>
      <c r="VYV79" s="449"/>
      <c r="VYW79" s="450"/>
      <c r="VYX79" s="452"/>
      <c r="VYY79" s="448"/>
      <c r="VYZ79" s="449"/>
      <c r="VZA79" s="450"/>
      <c r="VZB79" s="452"/>
      <c r="VZC79" s="448"/>
      <c r="VZD79" s="449"/>
      <c r="VZE79" s="450"/>
      <c r="VZF79" s="447"/>
      <c r="VZG79" s="448"/>
      <c r="VZH79" s="457"/>
      <c r="VZI79" s="460"/>
      <c r="VZJ79" s="450"/>
      <c r="VZK79" s="461"/>
      <c r="VZL79" s="448"/>
      <c r="VZM79" s="456"/>
      <c r="VZN79" s="449"/>
      <c r="VZO79" s="450"/>
      <c r="VZP79" s="452"/>
      <c r="VZQ79" s="448"/>
      <c r="VZR79" s="456"/>
      <c r="VZS79" s="458"/>
      <c r="VZT79" s="458"/>
      <c r="VZV79" s="454"/>
      <c r="VZW79" s="450"/>
      <c r="VZX79" s="454"/>
      <c r="VZY79" s="448"/>
      <c r="VZZ79" s="449"/>
      <c r="WAA79" s="450"/>
      <c r="WAB79" s="447"/>
      <c r="WAC79" s="448"/>
      <c r="WAD79" s="449"/>
      <c r="WAE79" s="450"/>
      <c r="WAF79" s="447"/>
      <c r="WAG79" s="451"/>
      <c r="WAH79" s="449"/>
      <c r="WAI79" s="450"/>
      <c r="WAJ79" s="447"/>
      <c r="WAK79" s="451"/>
      <c r="WAL79" s="449"/>
      <c r="WAM79" s="450"/>
      <c r="WAN79" s="447"/>
      <c r="WAO79" s="451"/>
      <c r="WAP79" s="449"/>
      <c r="WAQ79" s="450"/>
      <c r="WAR79" s="452"/>
      <c r="WAS79" s="451"/>
      <c r="WAT79" s="449"/>
      <c r="WAU79" s="450"/>
      <c r="WAV79" s="447"/>
      <c r="WAW79" s="448"/>
      <c r="WAX79" s="453"/>
      <c r="WAY79" s="449"/>
      <c r="WAZ79" s="450"/>
      <c r="WBA79" s="454"/>
      <c r="WBB79" s="448"/>
      <c r="WBD79" s="449"/>
      <c r="WBE79" s="450"/>
      <c r="WBF79" s="452"/>
      <c r="WBG79" s="448"/>
      <c r="WBI79" s="449"/>
      <c r="WBJ79" s="450"/>
      <c r="WBK79" s="447"/>
      <c r="WBL79" s="448"/>
      <c r="WBN79" s="449"/>
      <c r="WBO79" s="450"/>
      <c r="WBP79" s="452"/>
      <c r="WBQ79" s="448"/>
      <c r="WBR79" s="449"/>
      <c r="WBS79" s="450"/>
      <c r="WBT79" s="452"/>
      <c r="WBU79" s="448"/>
      <c r="WBV79" s="455"/>
      <c r="WBW79" s="449"/>
      <c r="WBX79" s="450"/>
      <c r="WBY79" s="459"/>
      <c r="WBZ79" s="448"/>
      <c r="WCA79" s="456"/>
      <c r="WCB79" s="449"/>
      <c r="WCC79" s="450"/>
      <c r="WCD79" s="452"/>
      <c r="WCE79" s="448"/>
      <c r="WCF79" s="449"/>
      <c r="WCG79" s="450"/>
      <c r="WCH79" s="452"/>
      <c r="WCI79" s="448"/>
      <c r="WCJ79" s="449"/>
      <c r="WCK79" s="450"/>
      <c r="WCL79" s="447"/>
      <c r="WCM79" s="448"/>
      <c r="WCN79" s="457"/>
      <c r="WCO79" s="460"/>
      <c r="WCP79" s="450"/>
      <c r="WCQ79" s="461"/>
      <c r="WCR79" s="448"/>
      <c r="WCS79" s="456"/>
      <c r="WCT79" s="449"/>
      <c r="WCU79" s="450"/>
      <c r="WCV79" s="452"/>
      <c r="WCW79" s="448"/>
      <c r="WCX79" s="456"/>
      <c r="WCY79" s="458"/>
      <c r="WCZ79" s="458"/>
      <c r="WDB79" s="454"/>
      <c r="WDC79" s="450"/>
      <c r="WDD79" s="454"/>
      <c r="WDE79" s="448"/>
      <c r="WDF79" s="449"/>
      <c r="WDG79" s="450"/>
      <c r="WDH79" s="447"/>
      <c r="WDI79" s="448"/>
      <c r="WDJ79" s="449"/>
      <c r="WDK79" s="450"/>
      <c r="WDL79" s="447"/>
      <c r="WDM79" s="451"/>
      <c r="WDN79" s="449"/>
      <c r="WDO79" s="450"/>
      <c r="WDP79" s="447"/>
      <c r="WDQ79" s="451"/>
      <c r="WDR79" s="449"/>
      <c r="WDS79" s="450"/>
      <c r="WDT79" s="447"/>
      <c r="WDU79" s="451"/>
      <c r="WDV79" s="449"/>
      <c r="WDW79" s="450"/>
      <c r="WDX79" s="452"/>
      <c r="WDY79" s="451"/>
      <c r="WDZ79" s="449"/>
      <c r="WEA79" s="450"/>
      <c r="WEB79" s="447"/>
      <c r="WEC79" s="448"/>
      <c r="WED79" s="453"/>
      <c r="WEE79" s="449"/>
      <c r="WEF79" s="450"/>
      <c r="WEG79" s="454"/>
      <c r="WEH79" s="448"/>
      <c r="WEJ79" s="449"/>
      <c r="WEK79" s="450"/>
      <c r="WEL79" s="452"/>
      <c r="WEM79" s="448"/>
      <c r="WEO79" s="449"/>
      <c r="WEP79" s="450"/>
      <c r="WEQ79" s="447"/>
      <c r="WER79" s="448"/>
      <c r="WET79" s="449"/>
      <c r="WEU79" s="450"/>
      <c r="WEV79" s="452"/>
      <c r="WEW79" s="448"/>
      <c r="WEX79" s="449"/>
      <c r="WEY79" s="450"/>
      <c r="WEZ79" s="452"/>
      <c r="WFA79" s="448"/>
      <c r="WFB79" s="455"/>
      <c r="WFC79" s="449"/>
      <c r="WFD79" s="450"/>
      <c r="WFE79" s="459"/>
      <c r="WFF79" s="448"/>
      <c r="WFG79" s="456"/>
      <c r="WFH79" s="449"/>
      <c r="WFI79" s="450"/>
      <c r="WFJ79" s="452"/>
      <c r="WFK79" s="448"/>
      <c r="WFL79" s="449"/>
      <c r="WFM79" s="450"/>
      <c r="WFN79" s="452"/>
      <c r="WFO79" s="448"/>
      <c r="WFP79" s="449"/>
      <c r="WFQ79" s="450"/>
      <c r="WFR79" s="447"/>
      <c r="WFS79" s="448"/>
      <c r="WFT79" s="457"/>
      <c r="WFU79" s="460"/>
      <c r="WFV79" s="450"/>
      <c r="WFW79" s="461"/>
      <c r="WFX79" s="448"/>
      <c r="WFY79" s="456"/>
      <c r="WFZ79" s="449"/>
      <c r="WGA79" s="450"/>
      <c r="WGB79" s="452"/>
      <c r="WGC79" s="448"/>
      <c r="WGD79" s="456"/>
      <c r="WGE79" s="458"/>
      <c r="WGF79" s="458"/>
      <c r="WGH79" s="454"/>
      <c r="WGI79" s="450"/>
      <c r="WGJ79" s="454"/>
      <c r="WGK79" s="448"/>
      <c r="WGL79" s="449"/>
      <c r="WGM79" s="450"/>
      <c r="WGN79" s="447"/>
      <c r="WGO79" s="448"/>
      <c r="WGP79" s="449"/>
      <c r="WGQ79" s="450"/>
      <c r="WGR79" s="447"/>
      <c r="WGS79" s="451"/>
      <c r="WGT79" s="449"/>
      <c r="WGU79" s="450"/>
      <c r="WGV79" s="447"/>
      <c r="WGW79" s="451"/>
      <c r="WGX79" s="449"/>
      <c r="WGY79" s="450"/>
      <c r="WGZ79" s="447"/>
      <c r="WHA79" s="451"/>
      <c r="WHB79" s="449"/>
      <c r="WHC79" s="450"/>
      <c r="WHD79" s="452"/>
      <c r="WHE79" s="451"/>
      <c r="WHF79" s="449"/>
      <c r="WHG79" s="450"/>
      <c r="WHH79" s="447"/>
      <c r="WHI79" s="448"/>
      <c r="WHJ79" s="453"/>
      <c r="WHK79" s="449"/>
      <c r="WHL79" s="450"/>
      <c r="WHM79" s="454"/>
      <c r="WHN79" s="448"/>
      <c r="WHP79" s="449"/>
      <c r="WHQ79" s="450"/>
      <c r="WHR79" s="452"/>
      <c r="WHS79" s="448"/>
      <c r="WHU79" s="449"/>
      <c r="WHV79" s="450"/>
      <c r="WHW79" s="447"/>
      <c r="WHX79" s="448"/>
      <c r="WHZ79" s="449"/>
      <c r="WIA79" s="450"/>
      <c r="WIB79" s="452"/>
      <c r="WIC79" s="448"/>
      <c r="WID79" s="449"/>
      <c r="WIE79" s="450"/>
      <c r="WIF79" s="452"/>
      <c r="WIG79" s="448"/>
      <c r="WIH79" s="455"/>
      <c r="WII79" s="449"/>
      <c r="WIJ79" s="450"/>
      <c r="WIK79" s="459"/>
      <c r="WIL79" s="448"/>
      <c r="WIM79" s="456"/>
      <c r="WIN79" s="449"/>
      <c r="WIO79" s="450"/>
      <c r="WIP79" s="452"/>
      <c r="WIQ79" s="448"/>
      <c r="WIR79" s="449"/>
      <c r="WIS79" s="450"/>
      <c r="WIT79" s="452"/>
      <c r="WIU79" s="448"/>
      <c r="WIV79" s="449"/>
      <c r="WIW79" s="450"/>
      <c r="WIX79" s="447"/>
      <c r="WIY79" s="448"/>
      <c r="WIZ79" s="457"/>
      <c r="WJA79" s="460"/>
      <c r="WJB79" s="450"/>
      <c r="WJC79" s="461"/>
      <c r="WJD79" s="448"/>
      <c r="WJE79" s="456"/>
      <c r="WJF79" s="449"/>
      <c r="WJG79" s="450"/>
      <c r="WJH79" s="452"/>
      <c r="WJI79" s="448"/>
      <c r="WJJ79" s="456"/>
      <c r="WJK79" s="458"/>
      <c r="WJL79" s="458"/>
      <c r="WJN79" s="454"/>
      <c r="WJO79" s="450"/>
      <c r="WJP79" s="454"/>
      <c r="WJQ79" s="448"/>
      <c r="WJR79" s="449"/>
      <c r="WJS79" s="450"/>
      <c r="WJT79" s="447"/>
      <c r="WJU79" s="448"/>
      <c r="WJV79" s="449"/>
      <c r="WJW79" s="450"/>
      <c r="WJX79" s="447"/>
      <c r="WJY79" s="451"/>
      <c r="WJZ79" s="449"/>
      <c r="WKA79" s="450"/>
      <c r="WKB79" s="447"/>
      <c r="WKC79" s="451"/>
      <c r="WKD79" s="449"/>
      <c r="WKE79" s="450"/>
      <c r="WKF79" s="447"/>
      <c r="WKG79" s="451"/>
      <c r="WKH79" s="449"/>
      <c r="WKI79" s="450"/>
      <c r="WKJ79" s="452"/>
      <c r="WKK79" s="451"/>
      <c r="WKL79" s="449"/>
      <c r="WKM79" s="450"/>
      <c r="WKN79" s="447"/>
      <c r="WKO79" s="448"/>
      <c r="WKP79" s="453"/>
      <c r="WKQ79" s="449"/>
      <c r="WKR79" s="450"/>
      <c r="WKS79" s="454"/>
      <c r="WKT79" s="448"/>
      <c r="WKV79" s="449"/>
      <c r="WKW79" s="450"/>
      <c r="WKX79" s="452"/>
      <c r="WKY79" s="448"/>
      <c r="WLA79" s="449"/>
      <c r="WLB79" s="450"/>
      <c r="WLC79" s="447"/>
      <c r="WLD79" s="448"/>
      <c r="WLF79" s="449"/>
      <c r="WLG79" s="450"/>
      <c r="WLH79" s="452"/>
      <c r="WLI79" s="448"/>
      <c r="WLJ79" s="449"/>
      <c r="WLK79" s="450"/>
      <c r="WLL79" s="452"/>
      <c r="WLM79" s="448"/>
      <c r="WLN79" s="455"/>
      <c r="WLO79" s="449"/>
      <c r="WLP79" s="450"/>
      <c r="WLQ79" s="459"/>
      <c r="WLR79" s="448"/>
      <c r="WLS79" s="456"/>
      <c r="WLT79" s="449"/>
      <c r="WLU79" s="450"/>
      <c r="WLV79" s="452"/>
      <c r="WLW79" s="448"/>
      <c r="WLX79" s="449"/>
      <c r="WLY79" s="450"/>
      <c r="WLZ79" s="452"/>
      <c r="WMA79" s="448"/>
      <c r="WMB79" s="449"/>
      <c r="WMC79" s="450"/>
      <c r="WMD79" s="447"/>
      <c r="WME79" s="448"/>
      <c r="WMF79" s="457"/>
      <c r="WMG79" s="460"/>
      <c r="WMH79" s="450"/>
      <c r="WMI79" s="461"/>
      <c r="WMJ79" s="448"/>
      <c r="WMK79" s="456"/>
      <c r="WML79" s="449"/>
      <c r="WMM79" s="450"/>
      <c r="WMN79" s="452"/>
      <c r="WMO79" s="448"/>
      <c r="WMP79" s="456"/>
      <c r="WMQ79" s="458"/>
      <c r="WMR79" s="458"/>
      <c r="WMT79" s="454"/>
      <c r="WMU79" s="450"/>
      <c r="WMV79" s="454"/>
      <c r="WMW79" s="448"/>
      <c r="WMX79" s="449"/>
      <c r="WMY79" s="450"/>
      <c r="WMZ79" s="447"/>
      <c r="WNA79" s="448"/>
      <c r="WNB79" s="449"/>
      <c r="WNC79" s="450"/>
      <c r="WND79" s="447"/>
      <c r="WNE79" s="451"/>
      <c r="WNF79" s="449"/>
      <c r="WNG79" s="450"/>
      <c r="WNH79" s="447"/>
      <c r="WNI79" s="451"/>
      <c r="WNJ79" s="449"/>
      <c r="WNK79" s="450"/>
      <c r="WNL79" s="447"/>
      <c r="WNM79" s="451"/>
      <c r="WNN79" s="449"/>
      <c r="WNO79" s="450"/>
      <c r="WNP79" s="452"/>
      <c r="WNQ79" s="451"/>
      <c r="WNR79" s="449"/>
      <c r="WNS79" s="450"/>
      <c r="WNT79" s="447"/>
      <c r="WNU79" s="448"/>
      <c r="WNV79" s="453"/>
      <c r="WNW79" s="449"/>
      <c r="WNX79" s="450"/>
      <c r="WNY79" s="454"/>
      <c r="WNZ79" s="448"/>
      <c r="WOB79" s="449"/>
      <c r="WOC79" s="450"/>
      <c r="WOD79" s="452"/>
      <c r="WOE79" s="448"/>
      <c r="WOG79" s="449"/>
      <c r="WOH79" s="450"/>
      <c r="WOI79" s="447"/>
      <c r="WOJ79" s="448"/>
      <c r="WOL79" s="449"/>
      <c r="WOM79" s="450"/>
      <c r="WON79" s="452"/>
      <c r="WOO79" s="448"/>
      <c r="WOP79" s="449"/>
      <c r="WOQ79" s="450"/>
      <c r="WOR79" s="452"/>
      <c r="WOS79" s="448"/>
      <c r="WOT79" s="455"/>
      <c r="WOU79" s="449"/>
      <c r="WOV79" s="450"/>
      <c r="WOW79" s="459"/>
      <c r="WOX79" s="448"/>
      <c r="WOY79" s="456"/>
      <c r="WOZ79" s="449"/>
      <c r="WPA79" s="450"/>
      <c r="WPB79" s="452"/>
      <c r="WPC79" s="448"/>
      <c r="WPD79" s="449"/>
      <c r="WPE79" s="450"/>
      <c r="WPF79" s="452"/>
      <c r="WPG79" s="448"/>
      <c r="WPH79" s="449"/>
      <c r="WPI79" s="450"/>
      <c r="WPJ79" s="447"/>
      <c r="WPK79" s="448"/>
      <c r="WPL79" s="457"/>
      <c r="WPM79" s="460"/>
      <c r="WPN79" s="450"/>
      <c r="WPO79" s="461"/>
      <c r="WPP79" s="448"/>
      <c r="WPQ79" s="456"/>
      <c r="WPR79" s="449"/>
      <c r="WPS79" s="450"/>
      <c r="WPT79" s="452"/>
      <c r="WPU79" s="448"/>
      <c r="WPV79" s="456"/>
      <c r="WPW79" s="458"/>
      <c r="WPX79" s="458"/>
      <c r="WPZ79" s="454"/>
      <c r="WQA79" s="450"/>
      <c r="WQB79" s="454"/>
      <c r="WQC79" s="448"/>
      <c r="WQD79" s="449"/>
      <c r="WQE79" s="450"/>
      <c r="WQF79" s="447"/>
      <c r="WQG79" s="448"/>
      <c r="WQH79" s="449"/>
      <c r="WQI79" s="450"/>
      <c r="WQJ79" s="447"/>
      <c r="WQK79" s="451"/>
      <c r="WQL79" s="449"/>
      <c r="WQM79" s="450"/>
      <c r="WQN79" s="447"/>
      <c r="WQO79" s="451"/>
      <c r="WQP79" s="449"/>
      <c r="WQQ79" s="450"/>
      <c r="WQR79" s="447"/>
      <c r="WQS79" s="451"/>
      <c r="WQT79" s="449"/>
      <c r="WQU79" s="450"/>
      <c r="WQV79" s="452"/>
      <c r="WQW79" s="451"/>
      <c r="WQX79" s="449"/>
      <c r="WQY79" s="450"/>
      <c r="WQZ79" s="447"/>
      <c r="WRA79" s="448"/>
      <c r="WRB79" s="453"/>
      <c r="WRC79" s="449"/>
      <c r="WRD79" s="450"/>
      <c r="WRE79" s="454"/>
      <c r="WRF79" s="448"/>
      <c r="WRH79" s="449"/>
      <c r="WRI79" s="450"/>
      <c r="WRJ79" s="452"/>
      <c r="WRK79" s="448"/>
      <c r="WRM79" s="449"/>
      <c r="WRN79" s="450"/>
      <c r="WRO79" s="447"/>
      <c r="WRP79" s="448"/>
      <c r="WRR79" s="449"/>
      <c r="WRS79" s="450"/>
      <c r="WRT79" s="452"/>
      <c r="WRU79" s="448"/>
      <c r="WRV79" s="449"/>
      <c r="WRW79" s="450"/>
      <c r="WRX79" s="452"/>
      <c r="WRY79" s="448"/>
      <c r="WRZ79" s="455"/>
      <c r="WSA79" s="449"/>
      <c r="WSB79" s="450"/>
      <c r="WSC79" s="459"/>
      <c r="WSD79" s="448"/>
      <c r="WSE79" s="456"/>
      <c r="WSF79" s="449"/>
      <c r="WSG79" s="450"/>
      <c r="WSH79" s="452"/>
      <c r="WSI79" s="448"/>
      <c r="WSJ79" s="449"/>
      <c r="WSK79" s="450"/>
      <c r="WSL79" s="452"/>
      <c r="WSM79" s="448"/>
      <c r="WSN79" s="449"/>
      <c r="WSO79" s="450"/>
      <c r="WSP79" s="447"/>
      <c r="WSQ79" s="448"/>
      <c r="WSR79" s="457"/>
      <c r="WSS79" s="460"/>
      <c r="WST79" s="450"/>
      <c r="WSU79" s="461"/>
      <c r="WSV79" s="448"/>
      <c r="WSW79" s="456"/>
      <c r="WSX79" s="449"/>
      <c r="WSY79" s="450"/>
      <c r="WSZ79" s="452"/>
      <c r="WTA79" s="448"/>
      <c r="WTB79" s="456"/>
      <c r="WTC79" s="458"/>
      <c r="WTD79" s="458"/>
      <c r="WTF79" s="454"/>
      <c r="WTG79" s="450"/>
      <c r="WTH79" s="454"/>
      <c r="WTI79" s="448"/>
      <c r="WTJ79" s="449"/>
      <c r="WTK79" s="450"/>
      <c r="WTL79" s="447"/>
      <c r="WTM79" s="448"/>
      <c r="WTN79" s="449"/>
      <c r="WTO79" s="450"/>
      <c r="WTP79" s="447"/>
      <c r="WTQ79" s="451"/>
      <c r="WTR79" s="449"/>
      <c r="WTS79" s="450"/>
      <c r="WTT79" s="447"/>
      <c r="WTU79" s="451"/>
      <c r="WTV79" s="449"/>
      <c r="WTW79" s="450"/>
      <c r="WTX79" s="447"/>
      <c r="WTY79" s="451"/>
      <c r="WTZ79" s="449"/>
      <c r="WUA79" s="450"/>
      <c r="WUB79" s="452"/>
      <c r="WUC79" s="451"/>
      <c r="WUD79" s="449"/>
      <c r="WUE79" s="450"/>
      <c r="WUF79" s="447"/>
      <c r="WUG79" s="448"/>
      <c r="WUH79" s="453"/>
      <c r="WUI79" s="449"/>
      <c r="WUJ79" s="450"/>
      <c r="WUK79" s="454"/>
      <c r="WUL79" s="448"/>
      <c r="WUN79" s="449"/>
      <c r="WUO79" s="450"/>
      <c r="WUP79" s="452"/>
      <c r="WUQ79" s="448"/>
      <c r="WUS79" s="449"/>
      <c r="WUT79" s="450"/>
      <c r="WUU79" s="447"/>
      <c r="WUV79" s="448"/>
      <c r="WUX79" s="449"/>
      <c r="WUY79" s="450"/>
      <c r="WUZ79" s="452"/>
      <c r="WVA79" s="448"/>
      <c r="WVB79" s="449"/>
      <c r="WVC79" s="450"/>
      <c r="WVD79" s="452"/>
      <c r="WVE79" s="448"/>
      <c r="WVF79" s="455"/>
      <c r="WVG79" s="449"/>
      <c r="WVH79" s="450"/>
      <c r="WVI79" s="459"/>
      <c r="WVJ79" s="448"/>
      <c r="WVK79" s="456"/>
      <c r="WVL79" s="449"/>
      <c r="WVM79" s="450"/>
      <c r="WVN79" s="452"/>
      <c r="WVO79" s="448"/>
      <c r="WVP79" s="449"/>
      <c r="WVQ79" s="450"/>
      <c r="WVR79" s="452"/>
      <c r="WVS79" s="448"/>
      <c r="WVT79" s="449"/>
      <c r="WVU79" s="450"/>
      <c r="WVV79" s="447"/>
      <c r="WVW79" s="448"/>
      <c r="WVX79" s="457"/>
      <c r="WVY79" s="460"/>
      <c r="WVZ79" s="450"/>
      <c r="WWA79" s="461"/>
      <c r="WWB79" s="448"/>
      <c r="WWC79" s="456"/>
      <c r="WWD79" s="449"/>
      <c r="WWE79" s="450"/>
      <c r="WWF79" s="452"/>
      <c r="WWG79" s="448"/>
      <c r="WWH79" s="456"/>
      <c r="WWI79" s="458"/>
      <c r="WWJ79" s="458"/>
      <c r="WWL79" s="454"/>
      <c r="WWM79" s="450"/>
      <c r="WWN79" s="454"/>
      <c r="WWO79" s="448"/>
      <c r="WWP79" s="449"/>
      <c r="WWQ79" s="450"/>
      <c r="WWR79" s="447"/>
      <c r="WWS79" s="448"/>
      <c r="WWT79" s="449"/>
      <c r="WWU79" s="450"/>
      <c r="WWV79" s="447"/>
      <c r="WWW79" s="451"/>
      <c r="WWX79" s="449"/>
      <c r="WWY79" s="450"/>
      <c r="WWZ79" s="447"/>
      <c r="WXA79" s="451"/>
      <c r="WXB79" s="449"/>
      <c r="WXC79" s="450"/>
      <c r="WXD79" s="447"/>
      <c r="WXE79" s="451"/>
      <c r="WXF79" s="449"/>
      <c r="WXG79" s="450"/>
      <c r="WXH79" s="452"/>
      <c r="WXI79" s="451"/>
      <c r="WXJ79" s="449"/>
      <c r="WXK79" s="450"/>
      <c r="WXL79" s="447"/>
      <c r="WXM79" s="448"/>
      <c r="WXN79" s="453"/>
      <c r="WXO79" s="449"/>
      <c r="WXP79" s="450"/>
      <c r="WXQ79" s="454"/>
      <c r="WXR79" s="448"/>
      <c r="WXT79" s="449"/>
      <c r="WXU79" s="450"/>
      <c r="WXV79" s="452"/>
      <c r="WXW79" s="448"/>
      <c r="WXY79" s="449"/>
      <c r="WXZ79" s="450"/>
      <c r="WYA79" s="447"/>
      <c r="WYB79" s="448"/>
      <c r="WYD79" s="449"/>
      <c r="WYE79" s="450"/>
      <c r="WYF79" s="452"/>
      <c r="WYG79" s="448"/>
      <c r="WYH79" s="449"/>
      <c r="WYI79" s="450"/>
      <c r="WYJ79" s="452"/>
      <c r="WYK79" s="448"/>
      <c r="WYL79" s="455"/>
      <c r="WYM79" s="449"/>
      <c r="WYN79" s="450"/>
      <c r="WYO79" s="459"/>
      <c r="WYP79" s="448"/>
      <c r="WYQ79" s="456"/>
      <c r="WYR79" s="449"/>
      <c r="WYS79" s="450"/>
      <c r="WYT79" s="452"/>
      <c r="WYU79" s="448"/>
      <c r="WYV79" s="449"/>
      <c r="WYW79" s="450"/>
      <c r="WYX79" s="452"/>
      <c r="WYY79" s="448"/>
      <c r="WYZ79" s="449"/>
      <c r="WZA79" s="450"/>
      <c r="WZB79" s="447"/>
      <c r="WZC79" s="448"/>
      <c r="WZD79" s="457"/>
      <c r="WZE79" s="460"/>
      <c r="WZF79" s="450"/>
      <c r="WZG79" s="461"/>
      <c r="WZH79" s="448"/>
      <c r="WZI79" s="456"/>
      <c r="WZJ79" s="449"/>
      <c r="WZK79" s="450"/>
      <c r="WZL79" s="452"/>
      <c r="WZM79" s="448"/>
      <c r="WZN79" s="456"/>
      <c r="WZO79" s="458"/>
      <c r="WZP79" s="458"/>
      <c r="WZR79" s="454"/>
      <c r="WZS79" s="450"/>
      <c r="WZT79" s="454"/>
      <c r="WZU79" s="448"/>
      <c r="WZV79" s="449"/>
      <c r="WZW79" s="450"/>
      <c r="WZX79" s="447"/>
      <c r="WZY79" s="448"/>
      <c r="WZZ79" s="449"/>
      <c r="XAA79" s="450"/>
      <c r="XAB79" s="447"/>
      <c r="XAC79" s="451"/>
      <c r="XAD79" s="449"/>
      <c r="XAE79" s="450"/>
      <c r="XAF79" s="447"/>
      <c r="XAG79" s="451"/>
      <c r="XAH79" s="449"/>
      <c r="XAI79" s="450"/>
      <c r="XAJ79" s="447"/>
      <c r="XAK79" s="451"/>
      <c r="XAL79" s="449"/>
      <c r="XAM79" s="450"/>
      <c r="XAN79" s="452"/>
      <c r="XAO79" s="451"/>
      <c r="XAP79" s="449"/>
      <c r="XAQ79" s="450"/>
      <c r="XAR79" s="447"/>
      <c r="XAS79" s="448"/>
      <c r="XAT79" s="453"/>
      <c r="XAU79" s="449"/>
      <c r="XAV79" s="450"/>
      <c r="XAW79" s="454"/>
      <c r="XAX79" s="448"/>
      <c r="XAZ79" s="449"/>
      <c r="XBA79" s="450"/>
      <c r="XBB79" s="452"/>
      <c r="XBC79" s="448"/>
      <c r="XBE79" s="449"/>
      <c r="XBF79" s="450"/>
      <c r="XBG79" s="447"/>
      <c r="XBH79" s="448"/>
      <c r="XBJ79" s="449"/>
      <c r="XBK79" s="450"/>
      <c r="XBL79" s="452"/>
      <c r="XBM79" s="448"/>
      <c r="XBN79" s="449"/>
      <c r="XBO79" s="450"/>
      <c r="XBP79" s="452"/>
      <c r="XBQ79" s="448"/>
      <c r="XBR79" s="455"/>
      <c r="XBS79" s="449"/>
      <c r="XBT79" s="450"/>
      <c r="XBU79" s="459"/>
      <c r="XBV79" s="448"/>
      <c r="XBW79" s="456"/>
      <c r="XBX79" s="449"/>
      <c r="XBY79" s="450"/>
      <c r="XBZ79" s="452"/>
      <c r="XCA79" s="448"/>
      <c r="XCB79" s="449"/>
      <c r="XCC79" s="450"/>
      <c r="XCD79" s="452"/>
      <c r="XCE79" s="448"/>
      <c r="XCF79" s="449"/>
      <c r="XCG79" s="450"/>
      <c r="XCH79" s="447"/>
      <c r="XCI79" s="448"/>
      <c r="XCJ79" s="457"/>
      <c r="XCK79" s="460"/>
      <c r="XCL79" s="450"/>
      <c r="XCM79" s="461"/>
      <c r="XCN79" s="448"/>
      <c r="XCO79" s="456"/>
      <c r="XCP79" s="449"/>
      <c r="XCQ79" s="450"/>
      <c r="XCR79" s="452"/>
      <c r="XCS79" s="448"/>
      <c r="XCT79" s="456"/>
      <c r="XCU79" s="458"/>
      <c r="XCV79" s="458"/>
      <c r="XCX79" s="454"/>
      <c r="XCY79" s="450"/>
      <c r="XCZ79" s="454"/>
      <c r="XDA79" s="448"/>
      <c r="XDB79" s="449"/>
      <c r="XDC79" s="450"/>
      <c r="XDD79" s="447"/>
      <c r="XDE79" s="448"/>
    </row>
    <row r="80" spans="1:7168 7170:15360 15362:16333" ht="15.5" x14ac:dyDescent="0.35">
      <c r="B80" s="85" t="s">
        <v>500</v>
      </c>
      <c r="C80" s="149">
        <f>SUM(C74:C79)</f>
        <v>-20.064486079999988</v>
      </c>
      <c r="D80" s="151">
        <f>SUM(D74:D79)</f>
        <v>-6.4226132793014541E-3</v>
      </c>
      <c r="E80" s="149">
        <f>SUM(E74:E79)</f>
        <v>-11.790418391999982</v>
      </c>
      <c r="F80" s="182">
        <f t="shared" si="1"/>
        <v>-1.8248178316644791E-3</v>
      </c>
      <c r="G80" s="149">
        <f>SUM(G74:G79)</f>
        <v>7.0575018000000123</v>
      </c>
      <c r="H80" s="182">
        <f t="shared" si="2"/>
        <v>5.3135550993842623E-3</v>
      </c>
      <c r="I80" s="149">
        <f>SUM(I74:I79)</f>
        <v>12.97214138000002</v>
      </c>
      <c r="J80" s="182">
        <f t="shared" si="3"/>
        <v>5.169101343548272E-3</v>
      </c>
      <c r="K80" s="149">
        <f>SUM(K74:K79)</f>
        <v>1.5497998999999996</v>
      </c>
      <c r="L80" s="151">
        <f>SUM(L74:L79)</f>
        <v>4.9608873002343406E-4</v>
      </c>
      <c r="M80" s="149">
        <f>SUM(M74:M79)</f>
        <v>2.9069120999999996</v>
      </c>
      <c r="N80" s="151">
        <f>SUM(N74:N79)</f>
        <v>9.3049840303819481E-4</v>
      </c>
      <c r="O80" s="149">
        <f>SUM(O74:O79)</f>
        <v>4.0214590200000018</v>
      </c>
      <c r="P80" s="182">
        <f t="shared" si="4"/>
        <v>3.2377490169157269E-3</v>
      </c>
      <c r="Q80" s="149">
        <f>SUM(Q74:Q79)</f>
        <v>12.768041208000003</v>
      </c>
      <c r="R80" s="182">
        <f t="shared" si="5"/>
        <v>5.8600061369680021E-3</v>
      </c>
      <c r="S80" s="152">
        <f>SUM(S74:S79)</f>
        <v>-17.1461282</v>
      </c>
      <c r="T80" s="182"/>
      <c r="U80" s="152">
        <f>SUM(U74:U79)</f>
        <v>-42.448208200000003</v>
      </c>
      <c r="V80" s="182">
        <f t="shared" si="7"/>
        <v>-0.87086528687306231</v>
      </c>
      <c r="W80" s="149">
        <f>SUM(W74:W79)</f>
        <v>0.88227600000000006</v>
      </c>
      <c r="X80" s="182">
        <f t="shared" si="8"/>
        <v>2.3722527696173293E-4</v>
      </c>
      <c r="Y80" s="149">
        <f>SUM(Y74:Y79)</f>
        <v>0.45705479999999987</v>
      </c>
      <c r="Z80" s="182">
        <f t="shared" si="9"/>
        <v>1.2048003722265951E-4</v>
      </c>
      <c r="AA80" s="176"/>
      <c r="AB80" s="152">
        <f>SUM(AB74:AB79)</f>
        <v>-23.699577560000009</v>
      </c>
      <c r="AC80" s="182">
        <f t="shared" si="10"/>
        <v>-2.5700646266312165E-3</v>
      </c>
      <c r="AD80" s="152">
        <f>SUM(AD74:AD79)</f>
        <v>-25.134477103999991</v>
      </c>
      <c r="AE80" s="182">
        <f t="shared" si="11"/>
        <v>-1.7390536840710556E-3</v>
      </c>
      <c r="AF80" s="179"/>
      <c r="AG80" s="152">
        <f>SUM(AG74:AG79)</f>
        <v>8.7872562399999943</v>
      </c>
      <c r="AH80" s="182">
        <f t="shared" si="12"/>
        <v>2.3910316467324191E-2</v>
      </c>
      <c r="AI80" s="152">
        <f>SUM(AI74:AI79)</f>
        <v>6.9205022760000006</v>
      </c>
      <c r="AJ80" s="153">
        <f>SUM(AJ74:AJ79)</f>
        <v>9.3773404010377495E-3</v>
      </c>
      <c r="AK80" s="437"/>
      <c r="AL80" s="149">
        <f>SUM(AL74:AL79)</f>
        <v>78.8193701</v>
      </c>
      <c r="AM80" s="182">
        <f t="shared" si="13"/>
        <v>6.6557041035418596E-2</v>
      </c>
      <c r="AN80" s="149">
        <f>SUM(AN74:AN79)</f>
        <v>101.75279668</v>
      </c>
      <c r="AO80" s="153">
        <f>SUM(AO74:AO79)</f>
        <v>4.3814618845886923E-2</v>
      </c>
      <c r="AP80" s="546"/>
      <c r="AQ80" s="152">
        <f>SUM(AQ74:AQ79)</f>
        <v>262.16595752000001</v>
      </c>
      <c r="AR80" s="182">
        <f t="shared" si="14"/>
        <v>0.12858666438627303</v>
      </c>
      <c r="AS80" s="152">
        <f t="shared" ref="AS80:AX80" si="241">SUM(AS74:AS79)</f>
        <v>299.66379174799994</v>
      </c>
      <c r="AT80" s="153">
        <f t="shared" si="241"/>
        <v>7.7421711260964157E-2</v>
      </c>
      <c r="AU80" s="152">
        <f t="shared" si="241"/>
        <v>-37.721915599999996</v>
      </c>
      <c r="AV80" s="151">
        <f t="shared" si="241"/>
        <v>-1.207473119856E-2</v>
      </c>
      <c r="AW80" s="152">
        <f t="shared" si="241"/>
        <v>-56.744963199999994</v>
      </c>
      <c r="AX80" s="153">
        <f t="shared" si="241"/>
        <v>-3.0718903291698425E-2</v>
      </c>
      <c r="AY80" s="163"/>
      <c r="AZ80" s="157">
        <f>SUM(AZ74:AZ79)</f>
        <v>224.44404191999999</v>
      </c>
      <c r="BA80" s="182">
        <f t="shared" si="15"/>
        <v>7.3946899568365809E-2</v>
      </c>
      <c r="BB80" s="157">
        <f>SUM(BB74:BB79)</f>
        <v>242.91882854799999</v>
      </c>
      <c r="BC80" s="153">
        <f>SUM(BC74:BC79)</f>
        <v>4.2484873344209473E-2</v>
      </c>
      <c r="BD80" s="178"/>
      <c r="BE80" s="152">
        <f>SUM(BE74:BE79)</f>
        <v>128.75561729999998</v>
      </c>
      <c r="BF80" s="182">
        <f t="shared" si="16"/>
        <v>4.6067683386664414E-2</v>
      </c>
      <c r="BG80" s="152">
        <f>SUM(BG74:BG79)</f>
        <v>131.1373735</v>
      </c>
      <c r="BH80" s="153">
        <f>SUM(BH74:BH79)</f>
        <v>2.7906679666226415E-2</v>
      </c>
      <c r="BI80" s="152">
        <f>SUM(BI74:BI79)</f>
        <v>1.3187600000000002</v>
      </c>
      <c r="BJ80" s="182">
        <f t="shared" si="17"/>
        <v>6.8617105479116133E-2</v>
      </c>
      <c r="BK80" s="152">
        <f t="shared" ref="BK80:BP80" si="242">SUM(BK74:BK79)</f>
        <v>2.7667600000000001</v>
      </c>
      <c r="BL80" s="153">
        <f t="shared" si="242"/>
        <v>7.1678234767845961E-2</v>
      </c>
      <c r="BM80" s="149">
        <f t="shared" si="242"/>
        <v>0</v>
      </c>
      <c r="BN80" s="151">
        <f t="shared" si="242"/>
        <v>0</v>
      </c>
      <c r="BO80" s="149">
        <f t="shared" si="242"/>
        <v>0</v>
      </c>
      <c r="BP80" s="151">
        <f t="shared" si="242"/>
        <v>0</v>
      </c>
      <c r="BQ80" s="164"/>
      <c r="BR80" s="183">
        <f t="shared" si="19"/>
        <v>130.07437729999998</v>
      </c>
      <c r="BS80" s="182">
        <f t="shared" si="18"/>
        <v>4.9186820976261585E-2</v>
      </c>
      <c r="BT80" s="183">
        <f t="shared" si="19"/>
        <v>133.9041335</v>
      </c>
      <c r="BU80" s="182">
        <f t="shared" si="20"/>
        <v>2.9837719297324292E-2</v>
      </c>
      <c r="BV80" s="159"/>
      <c r="BW80" s="152">
        <f>SUM(BW74:BW79)</f>
        <v>4.1171399999999991</v>
      </c>
      <c r="BX80" s="182">
        <f t="shared" si="21"/>
        <v>9.0980962541525132E-3</v>
      </c>
      <c r="BY80" s="152">
        <f>SUM(BY74:BY79)</f>
        <v>4.7843799999999996</v>
      </c>
      <c r="BZ80" s="182">
        <f t="shared" si="22"/>
        <v>2.2140849139107451E-3</v>
      </c>
      <c r="CA80" s="178"/>
      <c r="CB80" s="180">
        <f>SUM(CB74:CB79)</f>
        <v>9.379999999999999</v>
      </c>
      <c r="CC80" s="180">
        <f>SUM(CC74:CC79)</f>
        <v>7.38</v>
      </c>
      <c r="CD80" s="528"/>
      <c r="CE80" s="152">
        <f>SUM(CE74:CE79)</f>
        <v>422.54260799999997</v>
      </c>
      <c r="CF80" s="182">
        <f t="shared" si="23"/>
        <v>2.4994578751901805E-2</v>
      </c>
      <c r="CG80" s="152">
        <f>SUM(CG74:CG79)</f>
        <v>465.14616389999998</v>
      </c>
      <c r="CH80" s="182">
        <f t="shared" si="24"/>
        <v>3.8034756193061063E-2</v>
      </c>
    </row>
    <row r="81" spans="1:86" ht="16" thickBot="1" x14ac:dyDescent="0.4">
      <c r="A81" s="218"/>
      <c r="B81" s="283" t="s">
        <v>501</v>
      </c>
      <c r="C81" s="149">
        <f>C53+C60+C65+C72+C80</f>
        <v>2741.4161701079497</v>
      </c>
      <c r="D81" s="151">
        <f>D53+D60+D65+D72+D80</f>
        <v>0.87752339272609314</v>
      </c>
      <c r="E81" s="149">
        <f>E53+E60+E65+E72+E80</f>
        <v>5350.7751162324485</v>
      </c>
      <c r="F81" s="182">
        <f t="shared" si="1"/>
        <v>0.8281461709579987</v>
      </c>
      <c r="G81" s="148">
        <f>G53+G60+G65+G72+G80</f>
        <v>1115.7262469200004</v>
      </c>
      <c r="H81" s="182">
        <f t="shared" si="2"/>
        <v>0.84002428293232911</v>
      </c>
      <c r="I81" s="149">
        <f>I53+I60+I65+I72+I80</f>
        <v>2071.9568952300001</v>
      </c>
      <c r="J81" s="182">
        <f t="shared" si="3"/>
        <v>0.82562738542304437</v>
      </c>
      <c r="K81" s="148">
        <f>K53+K60+K65+K72+K80</f>
        <v>4.2825299000000001</v>
      </c>
      <c r="L81" s="151">
        <f>L53+L60+L65+L72+L80</f>
        <v>1.3708316921290193E-3</v>
      </c>
      <c r="M81" s="149">
        <f>M53+M60+M65+M72+M80</f>
        <v>8.3350521000000004</v>
      </c>
      <c r="N81" s="151">
        <f>N53+N60+N65+N72+N80</f>
        <v>2.6680382486591716E-3</v>
      </c>
      <c r="O81" s="148">
        <f>O53+O60+O65+O72+O80</f>
        <v>938.42050674197571</v>
      </c>
      <c r="P81" s="182">
        <f t="shared" si="4"/>
        <v>0.75553923539854662</v>
      </c>
      <c r="Q81" s="149">
        <f>Q53+Q60+Q65+Q72+Q80</f>
        <v>1740.1777644266756</v>
      </c>
      <c r="R81" s="182">
        <f t="shared" si="5"/>
        <v>0.79867007106510701</v>
      </c>
      <c r="S81" s="152">
        <f>S53+S60+S65+S72+S80</f>
        <v>18.091343000000002</v>
      </c>
      <c r="T81" s="182"/>
      <c r="U81" s="152">
        <f>U53+U60+U65+U72+U80</f>
        <v>77.777651300000002</v>
      </c>
      <c r="V81" s="182">
        <f t="shared" si="7"/>
        <v>1.5956823499486958</v>
      </c>
      <c r="W81" s="148">
        <f>W53+W60+W65+W72+W80</f>
        <v>3783.4893454999992</v>
      </c>
      <c r="X81" s="182">
        <f t="shared" si="8"/>
        <v>1.0172999241371214</v>
      </c>
      <c r="Y81" s="149">
        <f>Y53+Y60+Y65+Y72+Y80</f>
        <v>3823.0189492</v>
      </c>
      <c r="Z81" s="182">
        <f t="shared" si="9"/>
        <v>1.0077510733998392</v>
      </c>
      <c r="AA81" s="176"/>
      <c r="AB81" s="152">
        <f>AB53+AB60+AB65+AB72+AB80</f>
        <v>8386.0321933699252</v>
      </c>
      <c r="AC81" s="182">
        <f t="shared" si="10"/>
        <v>0.90941050081614327</v>
      </c>
      <c r="AD81" s="152">
        <f>AD53+AD60+AD65+AD72+AD80</f>
        <v>12468.416506289126</v>
      </c>
      <c r="AE81" s="182">
        <f t="shared" si="11"/>
        <v>0.86268934778610196</v>
      </c>
      <c r="AF81" s="511"/>
      <c r="AG81" s="148">
        <f>AG53+AG60+AG65+AG72+AG80</f>
        <v>330.73492830409106</v>
      </c>
      <c r="AH81" s="182">
        <f t="shared" si="12"/>
        <v>0.89993697538386552</v>
      </c>
      <c r="AI81" s="152">
        <f>AI53+AI60+AI65+AI72+AI80</f>
        <v>629.50296547146388</v>
      </c>
      <c r="AJ81" s="153">
        <f>AJ53+AJ60+AJ65+AJ72+AJ80</f>
        <v>0.85298195929509313</v>
      </c>
      <c r="AK81" s="437"/>
      <c r="AL81" s="148">
        <f>AL53+AL60+AL65+AL72+AL80</f>
        <v>1298.1333920835207</v>
      </c>
      <c r="AM81" s="182">
        <f t="shared" si="13"/>
        <v>1.0961761980174722</v>
      </c>
      <c r="AN81" s="149">
        <f>AN53+AN60+AN65+AN72+AN80</f>
        <v>2271.6750167619011</v>
      </c>
      <c r="AO81" s="153">
        <f>AO53+AO60+AO65+AO72+AO80</f>
        <v>0.97818023925341502</v>
      </c>
      <c r="AP81" s="546"/>
      <c r="AQ81" s="148">
        <f>AQ53+AQ60+AQ65+AQ72+AQ80</f>
        <v>1297.0038023939996</v>
      </c>
      <c r="AR81" s="182">
        <f t="shared" si="14"/>
        <v>0.63615197878402718</v>
      </c>
      <c r="AS81" s="152">
        <f t="shared" ref="AS81:AX81" si="243">AS53+AS60+AS65+AS72+AS80</f>
        <v>2559.8142102979996</v>
      </c>
      <c r="AT81" s="153">
        <f t="shared" si="243"/>
        <v>0.66135850285865383</v>
      </c>
      <c r="AU81" s="148">
        <f t="shared" si="243"/>
        <v>692.44904329423878</v>
      </c>
      <c r="AV81" s="151">
        <f t="shared" si="243"/>
        <v>0.22165194777324537</v>
      </c>
      <c r="AW81" s="152">
        <f t="shared" si="243"/>
        <v>1417.226790288659</v>
      </c>
      <c r="AX81" s="153">
        <f t="shared" si="243"/>
        <v>0.76721615907720742</v>
      </c>
      <c r="AY81" s="157"/>
      <c r="AZ81" s="148">
        <f>AZ53+AZ60+AZ65+AZ72+AZ80</f>
        <v>1989.4528456882383</v>
      </c>
      <c r="BA81" s="182">
        <f t="shared" si="15"/>
        <v>0.65545901115318739</v>
      </c>
      <c r="BB81" s="157">
        <f>BB53+BB60+BB65+BB72+BB80</f>
        <v>3977.0410005866593</v>
      </c>
      <c r="BC81" s="153">
        <f>BC53+BC60+BC65+BC72+BC80</f>
        <v>0.69555778860207007</v>
      </c>
      <c r="BD81" s="178"/>
      <c r="BE81" s="148">
        <f>BE53+BE60+BE65+BE72+BE80</f>
        <v>2910.2176496999996</v>
      </c>
      <c r="BF81" s="182">
        <f t="shared" si="16"/>
        <v>1.0412515436921621</v>
      </c>
      <c r="BG81" s="152">
        <f>BG53+BG60+BG65+BG72+BG80</f>
        <v>4789.5255815999999</v>
      </c>
      <c r="BH81" s="153">
        <f>BH53+BH60+BH65+BH72+BH80</f>
        <v>1.0192346589807821</v>
      </c>
      <c r="BI81" s="148">
        <f>BI53+BI60+BI65+BI72+BI80</f>
        <v>8.627298899999996</v>
      </c>
      <c r="BJ81" s="182">
        <f t="shared" si="17"/>
        <v>0.44889159408926738</v>
      </c>
      <c r="BK81" s="152">
        <f t="shared" ref="BK81:BP81" si="244">BK53+BK60+BK65+BK72+BK80</f>
        <v>34.186057900000002</v>
      </c>
      <c r="BL81" s="153">
        <f t="shared" si="244"/>
        <v>0.88565552629912792</v>
      </c>
      <c r="BM81" s="148">
        <f t="shared" si="244"/>
        <v>0</v>
      </c>
      <c r="BN81" s="151">
        <f t="shared" si="244"/>
        <v>0</v>
      </c>
      <c r="BO81" s="149">
        <f t="shared" si="244"/>
        <v>0</v>
      </c>
      <c r="BP81" s="151">
        <f t="shared" si="244"/>
        <v>0</v>
      </c>
      <c r="BQ81" s="164">
        <f>BQ53+BQ60+BQ65+BQ72+BQ80</f>
        <v>250.06819280000002</v>
      </c>
      <c r="BR81" s="148">
        <f>BR53+BR60+BR65+BR72+BR80</f>
        <v>2749.1995913999995</v>
      </c>
      <c r="BS81" s="182">
        <f t="shared" si="18"/>
        <v>1.0395928155652472</v>
      </c>
      <c r="BT81" s="183">
        <f t="shared" si="19"/>
        <v>4573.6434466999999</v>
      </c>
      <c r="BU81" s="182">
        <f t="shared" si="20"/>
        <v>1.0191402293692553</v>
      </c>
      <c r="BV81" s="159"/>
      <c r="BW81" s="148">
        <f>BW53+BW60+BW65+BW72+BW80</f>
        <v>402.67142830000017</v>
      </c>
      <c r="BX81" s="182">
        <f t="shared" si="21"/>
        <v>0.88982726199995021</v>
      </c>
      <c r="BY81" s="152">
        <f>BY53+BY60+BY65+BY72+BY80</f>
        <v>2058.3280371999999</v>
      </c>
      <c r="BZ81" s="182">
        <f t="shared" si="22"/>
        <v>0.95253994353375682</v>
      </c>
      <c r="CA81" s="178"/>
      <c r="CB81" s="522">
        <f>CB53+CB60+CB65+CB72+CB80</f>
        <v>10038.671809011694</v>
      </c>
      <c r="CC81" s="522">
        <f>CC53+CC60+CC65+CC72+CC80</f>
        <v>17657.592824864572</v>
      </c>
      <c r="CD81" s="528"/>
      <c r="CE81" s="152">
        <f>CE53+CE60+CE65+CE72+CE80</f>
        <v>15156.224379145777</v>
      </c>
      <c r="CF81" s="182">
        <f t="shared" si="23"/>
        <v>0.89653312270475971</v>
      </c>
      <c r="CG81" s="152">
        <f>CG53+CG60+CG65+CG72+CG80</f>
        <v>8328.39414814458</v>
      </c>
      <c r="CH81" s="182">
        <f t="shared" si="24"/>
        <v>0.68100839153108972</v>
      </c>
    </row>
    <row r="82" spans="1:86" s="424" customFormat="1" ht="16" thickBot="1" x14ac:dyDescent="0.4">
      <c r="B82" s="425" t="s">
        <v>502</v>
      </c>
      <c r="C82" s="469">
        <f>C46-C81</f>
        <v>382.62153969205019</v>
      </c>
      <c r="D82" s="426">
        <f>D46-D81</f>
        <v>0.12247660727390686</v>
      </c>
      <c r="E82" s="469">
        <f>E46-E81</f>
        <v>1110.3730528675515</v>
      </c>
      <c r="F82" s="182">
        <f t="shared" si="1"/>
        <v>0.17185382904200136</v>
      </c>
      <c r="G82" s="468">
        <f>G46-G81</f>
        <v>212.48088897999992</v>
      </c>
      <c r="H82" s="182">
        <f t="shared" si="2"/>
        <v>0.15997571706767086</v>
      </c>
      <c r="I82" s="469">
        <f>I46-I81</f>
        <v>437.59757426999977</v>
      </c>
      <c r="J82" s="182">
        <f t="shared" si="3"/>
        <v>0.1743726145769556</v>
      </c>
      <c r="K82" s="468">
        <f>K46-K81</f>
        <v>19.081348599999998</v>
      </c>
      <c r="L82" s="426">
        <f>L46-L81</f>
        <v>6.1079123789519124E-3</v>
      </c>
      <c r="M82" s="469">
        <f>M46-M81</f>
        <v>56.348127600000012</v>
      </c>
      <c r="N82" s="426">
        <f>N46-N81</f>
        <v>1.803695500321198E-2</v>
      </c>
      <c r="O82" s="468">
        <f>O46-O81</f>
        <v>303.6334631580246</v>
      </c>
      <c r="P82" s="182">
        <f t="shared" si="4"/>
        <v>0.24446076460145336</v>
      </c>
      <c r="Q82" s="469">
        <f>Q46-Q81</f>
        <v>438.66657627332484</v>
      </c>
      <c r="R82" s="182">
        <f t="shared" si="5"/>
        <v>0.20132992893489299</v>
      </c>
      <c r="S82" s="468">
        <f>S46-S81</f>
        <v>-18.114825800000002</v>
      </c>
      <c r="T82" s="182"/>
      <c r="U82" s="470">
        <f>U46-U81</f>
        <v>-29.035085899999999</v>
      </c>
      <c r="V82" s="182">
        <f t="shared" si="7"/>
        <v>-0.59568234994869584</v>
      </c>
      <c r="W82" s="468">
        <f>W46-W81</f>
        <v>-64.340984499999195</v>
      </c>
      <c r="X82" s="182">
        <f t="shared" si="8"/>
        <v>-1.7299924137121347E-2</v>
      </c>
      <c r="Y82" s="469">
        <f>Y46-Y81</f>
        <v>-29.404583399999865</v>
      </c>
      <c r="Z82" s="182">
        <f t="shared" si="9"/>
        <v>-7.7510733998391017E-3</v>
      </c>
      <c r="AA82" s="430"/>
      <c r="AB82" s="429">
        <f>AB46-AB81</f>
        <v>835.36143013007495</v>
      </c>
      <c r="AC82" s="182">
        <f t="shared" si="10"/>
        <v>9.0589499183856739E-2</v>
      </c>
      <c r="AD82" s="429">
        <f>AD46-AD81</f>
        <v>1984.5456617108739</v>
      </c>
      <c r="AE82" s="182">
        <f t="shared" si="11"/>
        <v>0.13731065221389804</v>
      </c>
      <c r="AF82" s="511"/>
      <c r="AG82" s="468">
        <f>AG46-AG81</f>
        <v>36.774061048210001</v>
      </c>
      <c r="AH82" s="182">
        <f t="shared" si="12"/>
        <v>0.10006302461613446</v>
      </c>
      <c r="AI82" s="429">
        <f>AI46-AI81</f>
        <v>108.49970693169814</v>
      </c>
      <c r="AJ82" s="428">
        <f>AJ46-AJ81</f>
        <v>0.14701804070490687</v>
      </c>
      <c r="AK82" s="437"/>
      <c r="AL82" s="468">
        <f>AL46-AL81</f>
        <v>-113.89549818352066</v>
      </c>
      <c r="AM82" s="182">
        <f t="shared" si="13"/>
        <v>-9.6176198017472223E-2</v>
      </c>
      <c r="AN82" s="427">
        <f>AN46-AN81</f>
        <v>50.673079838099056</v>
      </c>
      <c r="AO82" s="428">
        <f>AO46-AO81</f>
        <v>2.1819760746584871E-2</v>
      </c>
      <c r="AP82" s="546"/>
      <c r="AQ82" s="468">
        <f>AQ46-AQ81</f>
        <v>741.82315350600061</v>
      </c>
      <c r="AR82" s="182">
        <f t="shared" si="14"/>
        <v>0.36384802121597282</v>
      </c>
      <c r="AS82" s="429">
        <f t="shared" ref="AS82:AX82" si="245">AS46-AS81</f>
        <v>1310.7252917020005</v>
      </c>
      <c r="AT82" s="428">
        <f t="shared" si="245"/>
        <v>0.33864149714134606</v>
      </c>
      <c r="AU82" s="468">
        <f t="shared" si="245"/>
        <v>303.92957710576127</v>
      </c>
      <c r="AV82" s="426">
        <f t="shared" si="245"/>
        <v>9.5774371499644462E-2</v>
      </c>
      <c r="AW82" s="429">
        <f t="shared" si="245"/>
        <v>430.00592701134087</v>
      </c>
      <c r="AX82" s="428">
        <f t="shared" si="245"/>
        <v>0.23278384092279258</v>
      </c>
      <c r="AY82" s="432">
        <f>AY25-AY53</f>
        <v>0</v>
      </c>
      <c r="AZ82" s="468">
        <f>AZ46-AZ81</f>
        <v>1045.752730611762</v>
      </c>
      <c r="BA82" s="182">
        <f t="shared" si="15"/>
        <v>0.34454098884681267</v>
      </c>
      <c r="BB82" s="432">
        <f>BB46-BB81</f>
        <v>1740.7312187133407</v>
      </c>
      <c r="BC82" s="428">
        <f>BC46-BC81</f>
        <v>0.30444221139792993</v>
      </c>
      <c r="BD82" s="433"/>
      <c r="BE82" s="468">
        <f>BE46-BE81</f>
        <v>-115.29487879999988</v>
      </c>
      <c r="BF82" s="182">
        <f t="shared" si="16"/>
        <v>-4.1251543692162024E-2</v>
      </c>
      <c r="BG82" s="429">
        <f>BG46-BG81</f>
        <v>-90.386340799999743</v>
      </c>
      <c r="BH82" s="428">
        <f>BH46-BH81</f>
        <v>-1.9234658980782249E-2</v>
      </c>
      <c r="BI82" s="468">
        <f>BI46-BI81</f>
        <v>10.59181550000001</v>
      </c>
      <c r="BJ82" s="182">
        <f t="shared" si="17"/>
        <v>0.55110840591073262</v>
      </c>
      <c r="BK82" s="429">
        <f t="shared" ref="BK82:BP82" si="246">BK46-BK81</f>
        <v>4.4136650000000017</v>
      </c>
      <c r="BL82" s="428">
        <f t="shared" si="246"/>
        <v>0.11434447370087208</v>
      </c>
      <c r="BM82" s="468">
        <f t="shared" si="246"/>
        <v>0</v>
      </c>
      <c r="BN82" s="426">
        <f t="shared" si="246"/>
        <v>0</v>
      </c>
      <c r="BO82" s="427">
        <f t="shared" si="246"/>
        <v>7.6170000000000002E-2</v>
      </c>
      <c r="BP82" s="426">
        <f t="shared" si="246"/>
        <v>2.4381907990757379E-5</v>
      </c>
      <c r="BQ82" s="434">
        <f>BQ46-BQ81</f>
        <v>0</v>
      </c>
      <c r="BR82" s="468">
        <f>BR46-BR81</f>
        <v>-104.70306329999994</v>
      </c>
      <c r="BS82" s="182">
        <f t="shared" si="18"/>
        <v>-3.9592815565247234E-2</v>
      </c>
      <c r="BT82" s="183">
        <f t="shared" si="19"/>
        <v>-85.89650579999973</v>
      </c>
      <c r="BU82" s="182">
        <f t="shared" si="20"/>
        <v>-1.9140229369255281E-2</v>
      </c>
      <c r="BV82" s="435"/>
      <c r="BW82" s="468">
        <f>BW46-BW81</f>
        <v>49.856208799999933</v>
      </c>
      <c r="BX82" s="182">
        <f t="shared" si="21"/>
        <v>0.11017273800004981</v>
      </c>
      <c r="BY82" s="429">
        <f>BY46-BY81</f>
        <v>102.55566240000053</v>
      </c>
      <c r="BZ82" s="182">
        <f t="shared" si="22"/>
        <v>4.7460056466243197E-2</v>
      </c>
      <c r="CA82" s="436"/>
      <c r="CB82" s="468">
        <v>0</v>
      </c>
      <c r="CC82" s="523">
        <f>CC46-CC81</f>
        <v>0</v>
      </c>
      <c r="CD82" s="528"/>
      <c r="CE82" s="429">
        <f>CE46-CE81</f>
        <v>1749.1458691065272</v>
      </c>
      <c r="CF82" s="566">
        <f t="shared" si="23"/>
        <v>0.1034668772952403</v>
      </c>
      <c r="CG82" s="429">
        <f>CG46-CG81</f>
        <v>3901.1088237940094</v>
      </c>
      <c r="CH82" s="426">
        <f t="shared" si="24"/>
        <v>0.31899160846891028</v>
      </c>
    </row>
    <row r="83" spans="1:86" s="204" customFormat="1" x14ac:dyDescent="0.35">
      <c r="B83" s="197" t="s">
        <v>528</v>
      </c>
      <c r="C83" s="180">
        <f t="shared" ref="C83:C87" si="247">E83</f>
        <v>0</v>
      </c>
      <c r="D83" s="182"/>
      <c r="E83" s="181">
        <f>SUMIF('05.conso TB'!A:A,'May-26'!B83,'05.conso TB'!R:R)</f>
        <v>0</v>
      </c>
      <c r="F83" s="184"/>
      <c r="G83" s="180">
        <v>0</v>
      </c>
      <c r="H83" s="201"/>
      <c r="I83" s="181">
        <v>0</v>
      </c>
      <c r="J83" s="202"/>
      <c r="K83" s="180">
        <v>0</v>
      </c>
      <c r="L83" s="201"/>
      <c r="M83" s="181">
        <f>SUMIF('05.conso TB'!A:A,'May-26'!B83,'05.conso TB'!T:T)/10^5</f>
        <v>0</v>
      </c>
      <c r="N83" s="202"/>
      <c r="O83" s="180">
        <v>0</v>
      </c>
      <c r="P83" s="201"/>
      <c r="Q83" s="181">
        <f>SUMIF('05.conso TB'!A:A,'May-26'!B83,'05.conso TB'!U:U)/10^5</f>
        <v>0</v>
      </c>
      <c r="R83" s="202"/>
      <c r="S83" s="180">
        <v>0</v>
      </c>
      <c r="T83" s="201"/>
      <c r="U83" s="183">
        <f>SUMIF('05.conso TB'!A:A,'May-26'!B83,'05.conso TB'!V:V)/10^5</f>
        <v>0</v>
      </c>
      <c r="V83" s="202"/>
      <c r="W83" s="180">
        <v>0</v>
      </c>
      <c r="X83" s="201"/>
      <c r="Y83" s="181">
        <f>SUMIF('05.conso TB'!A:A,'May-26'!B83,'05.conso TB'!G:G)/10^5</f>
        <v>0</v>
      </c>
      <c r="Z83" s="203"/>
      <c r="AA83" s="185"/>
      <c r="AB83" s="180">
        <v>0</v>
      </c>
      <c r="AC83" s="201"/>
      <c r="AD83" s="187">
        <f>E83+I83+M83+Q83+U83+Y83</f>
        <v>0</v>
      </c>
      <c r="AE83" s="203"/>
      <c r="AF83" s="186"/>
      <c r="AG83" s="180">
        <v>0</v>
      </c>
      <c r="AH83" s="201"/>
      <c r="AI83" s="183">
        <f>SUMIF('05.conso TB'!A:A,'May-26'!B83,'05.conso TB'!Q:Q)/10^5</f>
        <v>0</v>
      </c>
      <c r="AJ83" s="203"/>
      <c r="AK83" s="186"/>
      <c r="AL83" s="180">
        <v>0</v>
      </c>
      <c r="AM83" s="201"/>
      <c r="AN83" s="181">
        <f>SUMIF('05.conso TB'!A:A,'May-26'!B83,'05.conso TB'!W:W)/10^5</f>
        <v>0</v>
      </c>
      <c r="AO83" s="203"/>
      <c r="AP83" s="545"/>
      <c r="AQ83" s="180">
        <v>0</v>
      </c>
      <c r="AR83" s="201"/>
      <c r="AS83" s="183">
        <v>0</v>
      </c>
      <c r="AT83" s="203"/>
      <c r="AU83" s="180">
        <v>0</v>
      </c>
      <c r="AV83" s="201"/>
      <c r="AW83" s="183">
        <f>SUMIF('05.conso TB'!A:A,'May-26'!B83,'05.conso TB'!P:P)/10^5</f>
        <v>0</v>
      </c>
      <c r="AX83" s="203"/>
      <c r="AY83" s="189"/>
      <c r="AZ83" s="180">
        <v>0</v>
      </c>
      <c r="BA83" s="201"/>
      <c r="BB83" s="190">
        <f t="shared" ref="BB83:BB87" si="248">AS83+AW83</f>
        <v>0</v>
      </c>
      <c r="BC83" s="203"/>
      <c r="BD83" s="191"/>
      <c r="BE83" s="180">
        <v>0</v>
      </c>
      <c r="BF83" s="201"/>
      <c r="BG83" s="183"/>
      <c r="BH83" s="203"/>
      <c r="BI83" s="180">
        <v>0</v>
      </c>
      <c r="BJ83" s="201"/>
      <c r="BK83" s="183">
        <f>SUMIF('05.conso TB'!A:A,'May-26'!B83,'05.conso TB'!I:I)/10^5</f>
        <v>0</v>
      </c>
      <c r="BL83" s="203"/>
      <c r="BM83" s="180">
        <v>0</v>
      </c>
      <c r="BN83" s="201"/>
      <c r="BO83" s="181">
        <f>SUMIF('05.conso TB'!A:A,'May-26'!B83,'05.conso TB'!J:J)/10^5</f>
        <v>0</v>
      </c>
      <c r="BP83" s="203"/>
      <c r="BQ83" s="192"/>
      <c r="BR83" s="180">
        <v>0</v>
      </c>
      <c r="BS83" s="201"/>
      <c r="BT83" s="183">
        <f t="shared" si="19"/>
        <v>0</v>
      </c>
      <c r="BU83" s="203"/>
      <c r="BV83" s="196"/>
      <c r="BW83" s="180">
        <v>0</v>
      </c>
      <c r="BX83" s="201"/>
      <c r="BY83" s="183">
        <f>SUMIF('05.conso TB'!A:A,'May-26'!B83,'05.conso TB'!L:L)/10^5</f>
        <v>0</v>
      </c>
      <c r="BZ83" s="203"/>
      <c r="CA83" s="191"/>
      <c r="CB83" s="180">
        <v>0</v>
      </c>
      <c r="CC83" s="524"/>
      <c r="CD83" s="186"/>
      <c r="CE83" s="187">
        <f>AB83+AG83+AL83+AZ83+BR83+BW83</f>
        <v>0</v>
      </c>
      <c r="CF83" s="201"/>
      <c r="CG83" s="187">
        <f>AD83+AI83+AN83+BB83+BT83+BY83</f>
        <v>0</v>
      </c>
      <c r="CH83" s="203"/>
    </row>
    <row r="84" spans="1:86" s="204" customFormat="1" x14ac:dyDescent="0.35">
      <c r="B84" s="197" t="s">
        <v>529</v>
      </c>
      <c r="C84" s="180">
        <f t="shared" si="247"/>
        <v>21.3870969</v>
      </c>
      <c r="D84" s="182"/>
      <c r="E84" s="181">
        <f>SUMIF('05.conso TB'!A:A,'May-26'!B84,'05.conso TB'!R:R)/10^5</f>
        <v>21.3870969</v>
      </c>
      <c r="F84" s="184"/>
      <c r="G84" s="180">
        <f t="shared" ref="G84:G87" si="249">I84</f>
        <v>11.838292600000001</v>
      </c>
      <c r="H84" s="201"/>
      <c r="I84" s="181">
        <f>SUMIF('05.conso TB'!A:A,'May-26'!B84,'05.conso TB'!S:S)/10^5</f>
        <v>11.838292600000001</v>
      </c>
      <c r="J84" s="202"/>
      <c r="K84" s="180">
        <f t="shared" ref="K84:K87" si="250">M84</f>
        <v>0</v>
      </c>
      <c r="L84" s="201"/>
      <c r="M84" s="181">
        <f>SUMIF('05.conso TB'!A:A,'May-26'!B84,'05.conso TB'!T:T)/10^5</f>
        <v>0</v>
      </c>
      <c r="N84" s="202"/>
      <c r="O84" s="180">
        <f t="shared" ref="O84:O87" si="251">Q84</f>
        <v>1.4571533999999999</v>
      </c>
      <c r="P84" s="201"/>
      <c r="Q84" s="181">
        <f>SUMIF('05.conso TB'!A:A,'May-26'!B84,'05.conso TB'!U:U)/10^5</f>
        <v>1.4571533999999999</v>
      </c>
      <c r="R84" s="202"/>
      <c r="S84" s="180">
        <f t="shared" ref="S84:S87" si="252">U84</f>
        <v>-3.0507387000000001</v>
      </c>
      <c r="T84" s="201"/>
      <c r="U84" s="183">
        <f>SUMIF('05.conso TB'!A:A,'May-26'!B84,'05.conso TB'!V:V)/10^5</f>
        <v>-3.0507387000000001</v>
      </c>
      <c r="V84" s="202"/>
      <c r="W84" s="180">
        <f t="shared" ref="W84:W87" si="253">Y84</f>
        <v>0.28344360000000002</v>
      </c>
      <c r="X84" s="201"/>
      <c r="Y84" s="181">
        <f>SUMIF('05.conso TB'!A:A,'May-26'!B84,'05.conso TB'!G:G)/10^5</f>
        <v>0.28344360000000002</v>
      </c>
      <c r="Z84" s="203"/>
      <c r="AA84" s="185"/>
      <c r="AB84" s="180">
        <f t="shared" ref="AB84:AB87" si="254">AD84</f>
        <v>31.915247800000003</v>
      </c>
      <c r="AC84" s="201"/>
      <c r="AD84" s="187">
        <f>E84+I84+M84+Q84+U84+Y84</f>
        <v>31.915247800000003</v>
      </c>
      <c r="AE84" s="203"/>
      <c r="AF84" s="186"/>
      <c r="AG84" s="180">
        <f t="shared" ref="AG84:AG87" si="255">AI84</f>
        <v>2.5891000000000004E-3</v>
      </c>
      <c r="AH84" s="201"/>
      <c r="AI84" s="183">
        <f>SUMIF('05.conso TB'!A:A,'May-26'!B84,'05.conso TB'!Q:Q)/10^5</f>
        <v>2.5891000000000004E-3</v>
      </c>
      <c r="AJ84" s="203"/>
      <c r="AK84" s="186"/>
      <c r="AL84" s="180">
        <f t="shared" ref="AL84:AL87" si="256">AN84</f>
        <v>14.216923699999999</v>
      </c>
      <c r="AM84" s="201"/>
      <c r="AN84" s="181">
        <f>SUMIF('05.conso TB'!A:A,'May-26'!B84,'05.conso TB'!W:W)/10^5</f>
        <v>14.216923699999999</v>
      </c>
      <c r="AO84" s="203"/>
      <c r="AP84" s="545"/>
      <c r="AQ84" s="180">
        <f t="shared" ref="AQ84:AQ87" si="257">AS84</f>
        <v>10.4947544</v>
      </c>
      <c r="AR84" s="201"/>
      <c r="AS84" s="183">
        <f>SUMIF('05.conso TB'!A:A,'May-26'!B84,'05.conso TB'!M:M)/10^5</f>
        <v>10.4947544</v>
      </c>
      <c r="AT84" s="203"/>
      <c r="AU84" s="180">
        <f t="shared" ref="AU84:AU87" si="258">AW84</f>
        <v>9.4096732000000003</v>
      </c>
      <c r="AV84" s="201"/>
      <c r="AW84" s="183">
        <f>SUMIF('05.conso TB'!A:A,'May-26'!B84,'05.conso TB'!P:P)/10^5</f>
        <v>9.4096732000000003</v>
      </c>
      <c r="AX84" s="203"/>
      <c r="AY84" s="189"/>
      <c r="AZ84" s="180">
        <f t="shared" ref="AZ84:AZ87" si="259">BB84</f>
        <v>19.904427599999998</v>
      </c>
      <c r="BA84" s="201"/>
      <c r="BB84" s="190">
        <f t="shared" si="248"/>
        <v>19.904427599999998</v>
      </c>
      <c r="BC84" s="203"/>
      <c r="BD84" s="191"/>
      <c r="BE84" s="180">
        <f t="shared" ref="BE84:BE87" si="260">BG84</f>
        <v>0</v>
      </c>
      <c r="BF84" s="201"/>
      <c r="BG84" s="183"/>
      <c r="BH84" s="203"/>
      <c r="BI84" s="180">
        <f t="shared" ref="BI84:BI87" si="261">BK84</f>
        <v>0</v>
      </c>
      <c r="BJ84" s="201"/>
      <c r="BK84" s="183">
        <f>SUMIF('05.conso TB'!A:A,'May-26'!B84,'05.conso TB'!I:I)/10^5</f>
        <v>0</v>
      </c>
      <c r="BL84" s="203"/>
      <c r="BM84" s="180">
        <f t="shared" ref="BM84:BM87" si="262">BO84</f>
        <v>0</v>
      </c>
      <c r="BN84" s="201"/>
      <c r="BO84" s="181">
        <f>SUMIF('05.conso TB'!A:A,'May-26'!B84,'05.conso TB'!J:J)/10^5</f>
        <v>0</v>
      </c>
      <c r="BP84" s="203"/>
      <c r="BQ84" s="192"/>
      <c r="BR84" s="180">
        <f t="shared" ref="BR84:BR87" si="263">BT84</f>
        <v>0</v>
      </c>
      <c r="BS84" s="201"/>
      <c r="BT84" s="183">
        <f t="shared" si="19"/>
        <v>0</v>
      </c>
      <c r="BU84" s="203"/>
      <c r="BV84" s="196"/>
      <c r="BW84" s="180">
        <f t="shared" ref="BW84:BW87" si="264">BY84</f>
        <v>0</v>
      </c>
      <c r="BX84" s="201"/>
      <c r="BY84" s="183">
        <f>SUMIF('05.conso TB'!A:A,'May-26'!B84,'05.conso TB'!L:L)/10^5</f>
        <v>0</v>
      </c>
      <c r="BZ84" s="203"/>
      <c r="CA84" s="191"/>
      <c r="CB84" s="180">
        <f t="shared" ref="CB84:CB87" si="265">CD84</f>
        <v>0</v>
      </c>
      <c r="CC84" s="346"/>
      <c r="CD84" s="186"/>
      <c r="CE84" s="187">
        <f>AB84+AG84+AL84+AZ84+BR84+BW84</f>
        <v>66.039188200000012</v>
      </c>
      <c r="CF84" s="201"/>
      <c r="CG84" s="187">
        <f>AD84+AI84+AN84+BB84+BT84+BY84</f>
        <v>66.039188200000012</v>
      </c>
      <c r="CH84" s="203"/>
    </row>
    <row r="85" spans="1:86" s="204" customFormat="1" x14ac:dyDescent="0.35">
      <c r="B85" s="205" t="s">
        <v>373</v>
      </c>
      <c r="C85" s="180">
        <f t="shared" si="247"/>
        <v>12.7157681</v>
      </c>
      <c r="D85" s="182"/>
      <c r="E85" s="181">
        <f>SUMIF('05.conso TB'!A:A,'May-26'!B85,'05.conso TB'!R:R)/10^5</f>
        <v>12.7157681</v>
      </c>
      <c r="F85" s="184"/>
      <c r="G85" s="180">
        <f t="shared" si="249"/>
        <v>2.3349707</v>
      </c>
      <c r="H85" s="201"/>
      <c r="I85" s="181">
        <f>SUMIF('05.conso TB'!A:A,'May-26'!B85,'05.conso TB'!S:S)/10^5</f>
        <v>2.3349707</v>
      </c>
      <c r="J85" s="202"/>
      <c r="K85" s="180">
        <f t="shared" si="250"/>
        <v>0.12938920000000001</v>
      </c>
      <c r="L85" s="201"/>
      <c r="M85" s="181">
        <f>SUMIF('05.conso TB'!A:A,'May-26'!B85,'05.conso TB'!T:T)/10^5</f>
        <v>0.12938920000000001</v>
      </c>
      <c r="N85" s="202"/>
      <c r="O85" s="180">
        <f t="shared" si="251"/>
        <v>1.3999999999999999E-4</v>
      </c>
      <c r="P85" s="201"/>
      <c r="Q85" s="181">
        <f>SUMIF('05.conso TB'!A:A,'May-26'!B85,'05.conso TB'!U:U)/10^5</f>
        <v>1.3999999999999999E-4</v>
      </c>
      <c r="R85" s="202"/>
      <c r="S85" s="180">
        <f t="shared" si="252"/>
        <v>1.8600000000000001E-3</v>
      </c>
      <c r="T85" s="201"/>
      <c r="U85" s="183">
        <f>SUMIF('05.conso TB'!A:A,'May-26'!B85,'05.conso TB'!V:V)/10^5</f>
        <v>1.8600000000000001E-3</v>
      </c>
      <c r="V85" s="202"/>
      <c r="W85" s="180">
        <f t="shared" si="253"/>
        <v>0.21</v>
      </c>
      <c r="X85" s="201"/>
      <c r="Y85" s="181">
        <f>SUMIF('05.conso TB'!A:A,'May-26'!B85,'05.conso TB'!G:G)/10^5</f>
        <v>0.21</v>
      </c>
      <c r="Z85" s="203"/>
      <c r="AA85" s="185"/>
      <c r="AB85" s="180">
        <f t="shared" si="254"/>
        <v>15.392128000000001</v>
      </c>
      <c r="AC85" s="201"/>
      <c r="AD85" s="187">
        <f>E85+I85+M85+Q85+U85+Y85</f>
        <v>15.392128000000001</v>
      </c>
      <c r="AE85" s="203"/>
      <c r="AF85" s="186"/>
      <c r="AG85" s="180">
        <f t="shared" si="255"/>
        <v>0.44055059999999996</v>
      </c>
      <c r="AH85" s="201"/>
      <c r="AI85" s="183">
        <f>SUMIF('05.conso TB'!A:A,'May-26'!B85,'05.conso TB'!Q:Q)/10^5</f>
        <v>0.44055059999999996</v>
      </c>
      <c r="AJ85" s="203"/>
      <c r="AK85" s="186"/>
      <c r="AL85" s="180">
        <f t="shared" si="256"/>
        <v>0.14305950000000001</v>
      </c>
      <c r="AM85" s="201"/>
      <c r="AN85" s="181">
        <f>SUMIF('05.conso TB'!A:A,'May-26'!B85,'05.conso TB'!W:W)/10^5</f>
        <v>0.14305950000000001</v>
      </c>
      <c r="AO85" s="203"/>
      <c r="AP85" s="545"/>
      <c r="AQ85" s="180">
        <f t="shared" si="257"/>
        <v>23.0970494</v>
      </c>
      <c r="AR85" s="201"/>
      <c r="AS85" s="183">
        <f>SUMIF('05.conso TB'!A:A,'May-26'!B85,'05.conso TB'!M:M)/10^5</f>
        <v>23.0970494</v>
      </c>
      <c r="AT85" s="203"/>
      <c r="AU85" s="180">
        <f t="shared" si="258"/>
        <v>0</v>
      </c>
      <c r="AV85" s="201"/>
      <c r="AW85" s="183">
        <f>SUMIF('05.conso TB'!A:A,'May-26'!B85,'05.conso TB'!P:P)/10^5</f>
        <v>0</v>
      </c>
      <c r="AX85" s="203"/>
      <c r="AY85" s="189"/>
      <c r="AZ85" s="180">
        <f t="shared" si="259"/>
        <v>23.0970494</v>
      </c>
      <c r="BA85" s="201"/>
      <c r="BB85" s="190">
        <f t="shared" si="248"/>
        <v>23.0970494</v>
      </c>
      <c r="BC85" s="203"/>
      <c r="BD85" s="191"/>
      <c r="BE85" s="180">
        <f t="shared" si="260"/>
        <v>0</v>
      </c>
      <c r="BF85" s="201"/>
      <c r="BG85" s="183"/>
      <c r="BH85" s="203"/>
      <c r="BI85" s="180">
        <f t="shared" si="261"/>
        <v>0</v>
      </c>
      <c r="BJ85" s="201"/>
      <c r="BK85" s="183">
        <f>SUMIF('05.conso TB'!A:A,'May-26'!B85,'05.conso TB'!I:I)/10^5</f>
        <v>0</v>
      </c>
      <c r="BL85" s="203"/>
      <c r="BM85" s="180">
        <f t="shared" si="262"/>
        <v>0</v>
      </c>
      <c r="BN85" s="201"/>
      <c r="BO85" s="181">
        <f>SUMIF('05.conso TB'!A:A,'May-26'!B85,'05.conso TB'!J:J)/10^5</f>
        <v>0</v>
      </c>
      <c r="BP85" s="203"/>
      <c r="BQ85" s="192"/>
      <c r="BR85" s="180">
        <f t="shared" si="263"/>
        <v>0</v>
      </c>
      <c r="BS85" s="201"/>
      <c r="BT85" s="183">
        <f t="shared" si="19"/>
        <v>0</v>
      </c>
      <c r="BU85" s="203"/>
      <c r="BV85" s="196"/>
      <c r="BW85" s="180">
        <f t="shared" si="264"/>
        <v>0</v>
      </c>
      <c r="BX85" s="201"/>
      <c r="BY85" s="183">
        <f>SUMIF('05.conso TB'!A:A,'May-26'!B85,'05.conso TB'!L:L)/10^5</f>
        <v>0</v>
      </c>
      <c r="BZ85" s="203"/>
      <c r="CA85" s="191"/>
      <c r="CB85" s="180">
        <f t="shared" si="265"/>
        <v>0</v>
      </c>
      <c r="CC85" s="346"/>
      <c r="CD85" s="186"/>
      <c r="CE85" s="187">
        <f>AB85+AG85+AL85+AZ85+BR85+BW85</f>
        <v>39.072787500000004</v>
      </c>
      <c r="CF85" s="201"/>
      <c r="CG85" s="187">
        <f>AD85+AI85+AN85+BB85+BT85+BY85</f>
        <v>39.072787500000004</v>
      </c>
      <c r="CH85" s="203"/>
    </row>
    <row r="86" spans="1:86" s="204" customFormat="1" ht="15.5" x14ac:dyDescent="0.35">
      <c r="B86" s="197" t="s">
        <v>530</v>
      </c>
      <c r="C86" s="180">
        <f t="shared" si="247"/>
        <v>0</v>
      </c>
      <c r="D86" s="182"/>
      <c r="E86" s="181">
        <f>SUMIF('05.conso TB'!A:A,'May-26'!B86,'05.conso TB'!R:R)/10^5</f>
        <v>0</v>
      </c>
      <c r="F86" s="184"/>
      <c r="G86" s="180">
        <f t="shared" si="249"/>
        <v>0</v>
      </c>
      <c r="H86" s="201"/>
      <c r="I86" s="181">
        <f>SUMIF('05.conso TB'!A:A,'May-26'!B86,'05.conso TB'!S:S)/10^5</f>
        <v>0</v>
      </c>
      <c r="J86" s="202"/>
      <c r="K86" s="180">
        <f t="shared" si="250"/>
        <v>0</v>
      </c>
      <c r="L86" s="201"/>
      <c r="M86" s="181">
        <f>SUMIF('05.conso TB'!A:A,'May-26'!B86,'05.conso TB'!T:T)/10^5</f>
        <v>0</v>
      </c>
      <c r="N86" s="202"/>
      <c r="O86" s="180">
        <f t="shared" si="251"/>
        <v>0</v>
      </c>
      <c r="P86" s="201"/>
      <c r="Q86" s="181">
        <f>SUMIF('05.conso TB'!A:A,'May-26'!B86,'05.conso TB'!U:U)/10^5</f>
        <v>0</v>
      </c>
      <c r="R86" s="202"/>
      <c r="S86" s="180">
        <f t="shared" si="252"/>
        <v>0</v>
      </c>
      <c r="T86" s="201"/>
      <c r="U86" s="183">
        <f>SUMIF('05.conso TB'!A:A,'May-26'!B86,'05.conso TB'!V:V)/10^5</f>
        <v>0</v>
      </c>
      <c r="V86" s="202"/>
      <c r="W86" s="180">
        <f t="shared" si="253"/>
        <v>0</v>
      </c>
      <c r="X86" s="201"/>
      <c r="Y86" s="181">
        <f>SUMIF('05.conso TB'!A:A,'May-26'!B86,'05.conso TB'!G:G)/10^5</f>
        <v>0</v>
      </c>
      <c r="Z86" s="203"/>
      <c r="AA86" s="185"/>
      <c r="AB86" s="180">
        <f t="shared" si="254"/>
        <v>0</v>
      </c>
      <c r="AC86" s="201"/>
      <c r="AD86" s="187">
        <f>E86+I86+M86+Q86+U86+Y86</f>
        <v>0</v>
      </c>
      <c r="AE86" s="203"/>
      <c r="AF86" s="206"/>
      <c r="AG86" s="180">
        <f t="shared" si="255"/>
        <v>0</v>
      </c>
      <c r="AH86" s="201"/>
      <c r="AI86" s="183">
        <f>SUMIF('05.conso TB'!A:A,'May-26'!B86,'05.conso TB'!Q:Q)/10^5</f>
        <v>0</v>
      </c>
      <c r="AJ86" s="203"/>
      <c r="AK86" s="186"/>
      <c r="AL86" s="180">
        <f t="shared" si="256"/>
        <v>0</v>
      </c>
      <c r="AM86" s="201"/>
      <c r="AN86" s="181">
        <f>SUMIF('05.conso TB'!A:A,'May-26'!B86,'05.conso TB'!W:W)/10^5</f>
        <v>0</v>
      </c>
      <c r="AO86" s="203"/>
      <c r="AP86" s="545"/>
      <c r="AQ86" s="180">
        <f t="shared" si="257"/>
        <v>0</v>
      </c>
      <c r="AR86" s="201"/>
      <c r="AS86" s="183">
        <f>SUMIF('05.conso TB'!A:A,'May-26'!B86,'05.conso TB'!M:M)/10^5</f>
        <v>0</v>
      </c>
      <c r="AT86" s="203"/>
      <c r="AU86" s="180">
        <f t="shared" si="258"/>
        <v>0</v>
      </c>
      <c r="AV86" s="201"/>
      <c r="AW86" s="183">
        <f>SUMIF('05.conso TB'!A:A,'May-26'!B86,'05.conso TB'!P:P)/10^5</f>
        <v>0</v>
      </c>
      <c r="AX86" s="203"/>
      <c r="AY86" s="189"/>
      <c r="AZ86" s="180">
        <f t="shared" si="259"/>
        <v>0</v>
      </c>
      <c r="BA86" s="201"/>
      <c r="BB86" s="190">
        <f t="shared" si="248"/>
        <v>0</v>
      </c>
      <c r="BC86" s="203"/>
      <c r="BD86" s="191"/>
      <c r="BE86" s="180">
        <f t="shared" si="260"/>
        <v>0</v>
      </c>
      <c r="BF86" s="201"/>
      <c r="BG86" s="183">
        <f>SUMIF('05.conso TB'!A:A,'May-26'!B86,'05.conso TB'!H:H)/10^5</f>
        <v>0</v>
      </c>
      <c r="BH86" s="203"/>
      <c r="BI86" s="180">
        <f t="shared" si="261"/>
        <v>0</v>
      </c>
      <c r="BJ86" s="201"/>
      <c r="BK86" s="183">
        <f>SUMIF('05.conso TB'!A:A,'May-26'!B86,'05.conso TB'!I:I)/10^5</f>
        <v>0</v>
      </c>
      <c r="BL86" s="203"/>
      <c r="BM86" s="180">
        <f t="shared" si="262"/>
        <v>0</v>
      </c>
      <c r="BN86" s="201"/>
      <c r="BO86" s="181">
        <f>SUMIF('05.conso TB'!A:A,'May-26'!B86,'05.conso TB'!J:J)/10^5</f>
        <v>0</v>
      </c>
      <c r="BP86" s="203"/>
      <c r="BQ86" s="192"/>
      <c r="BR86" s="180">
        <f t="shared" si="263"/>
        <v>0</v>
      </c>
      <c r="BS86" s="201"/>
      <c r="BT86" s="183">
        <f t="shared" si="19"/>
        <v>0</v>
      </c>
      <c r="BU86" s="203"/>
      <c r="BV86" s="196"/>
      <c r="BW86" s="180">
        <f t="shared" si="264"/>
        <v>0</v>
      </c>
      <c r="BX86" s="201"/>
      <c r="BY86" s="183">
        <f>SUMIF('05.conso TB'!A:A,'May-26'!B86,'05.conso TB'!L:L)/10^5</f>
        <v>0</v>
      </c>
      <c r="BZ86" s="203"/>
      <c r="CA86" s="191"/>
      <c r="CB86" s="180">
        <f t="shared" si="265"/>
        <v>0</v>
      </c>
      <c r="CC86" s="346"/>
      <c r="CD86" s="186"/>
      <c r="CE86" s="187">
        <f>AB86+AG86+AL86+AZ86+BR86+BW86</f>
        <v>0</v>
      </c>
      <c r="CF86" s="201"/>
      <c r="CG86" s="187">
        <f>AD86+AI86+AN86+BB86+BT86+BY86</f>
        <v>0</v>
      </c>
      <c r="CH86" s="203"/>
    </row>
    <row r="87" spans="1:86" s="204" customFormat="1" ht="16" thickBot="1" x14ac:dyDescent="0.4">
      <c r="A87" s="358"/>
      <c r="B87" s="197" t="s">
        <v>651</v>
      </c>
      <c r="C87" s="180">
        <f t="shared" si="247"/>
        <v>204.2243823</v>
      </c>
      <c r="D87" s="182"/>
      <c r="E87" s="200">
        <f>SUMIF('05.conso TB'!A:A,'May-26'!B87,'05.conso TB'!R:R)/10^5</f>
        <v>204.2243823</v>
      </c>
      <c r="F87" s="184"/>
      <c r="G87" s="180">
        <f t="shared" si="249"/>
        <v>18.418333700000002</v>
      </c>
      <c r="H87" s="201"/>
      <c r="I87" s="181">
        <f>SUMIF('05.conso TB'!A:A,'May-26'!B87,'05.conso TB'!S:S)/10^5</f>
        <v>18.418333700000002</v>
      </c>
      <c r="J87" s="202"/>
      <c r="K87" s="180">
        <f t="shared" si="250"/>
        <v>49.958636200000001</v>
      </c>
      <c r="L87" s="201"/>
      <c r="M87" s="181">
        <f>SUMIF('05.conso TB'!A:A,'May-26'!B87,'05.conso TB'!T:T)/10^5</f>
        <v>49.958636200000001</v>
      </c>
      <c r="N87" s="202"/>
      <c r="O87" s="180">
        <f t="shared" si="251"/>
        <v>0.98284559999999999</v>
      </c>
      <c r="P87" s="201"/>
      <c r="Q87" s="181">
        <f>SUMIF('05.conso TB'!A:A,'May-26'!B87,'05.conso TB'!U:U)/10^5</f>
        <v>0.98284559999999999</v>
      </c>
      <c r="R87" s="202"/>
      <c r="S87" s="180">
        <f t="shared" si="252"/>
        <v>0</v>
      </c>
      <c r="T87" s="201"/>
      <c r="U87" s="183">
        <f>SUMIF('05.conso TB'!A:A,'May-26'!B87,'05.conso TB'!V:V)/10^5</f>
        <v>0</v>
      </c>
      <c r="V87" s="202"/>
      <c r="W87" s="180">
        <f t="shared" si="253"/>
        <v>0</v>
      </c>
      <c r="X87" s="201"/>
      <c r="Y87" s="181">
        <f>SUMIF('05.conso TB'!A:A,'May-26'!B87,'05.conso TB'!G:G)/10^5</f>
        <v>0</v>
      </c>
      <c r="Z87" s="203"/>
      <c r="AA87" s="185"/>
      <c r="AB87" s="180">
        <f t="shared" si="254"/>
        <v>273.58419780000003</v>
      </c>
      <c r="AC87" s="201"/>
      <c r="AD87" s="187">
        <f>E87+I87+M87+Q87+U87+Y87</f>
        <v>273.58419780000003</v>
      </c>
      <c r="AE87" s="203"/>
      <c r="AF87" s="206"/>
      <c r="AG87" s="180">
        <f t="shared" si="255"/>
        <v>41.84592</v>
      </c>
      <c r="AH87" s="201"/>
      <c r="AI87" s="183">
        <f>SUMIF('05.conso TB'!A:A,'May-26'!B87,'05.conso TB'!Q:Q)/10^5</f>
        <v>41.84592</v>
      </c>
      <c r="AJ87" s="203"/>
      <c r="AK87" s="186"/>
      <c r="AL87" s="180">
        <f t="shared" si="256"/>
        <v>49.238145600000003</v>
      </c>
      <c r="AM87" s="201"/>
      <c r="AN87" s="181">
        <f>SUMIF('05.conso TB'!A:A,'May-26'!B87,'05.conso TB'!W:W)/10^5</f>
        <v>49.238145600000003</v>
      </c>
      <c r="AO87" s="203"/>
      <c r="AP87" s="545"/>
      <c r="AQ87" s="180">
        <f t="shared" si="257"/>
        <v>115.5845867</v>
      </c>
      <c r="AR87" s="201"/>
      <c r="AS87" s="183">
        <f>SUMIF('05.conso TB'!A:A,'May-26'!B87,'05.conso TB'!M:M)/10^5</f>
        <v>115.5845867</v>
      </c>
      <c r="AT87" s="203"/>
      <c r="AU87" s="180">
        <f t="shared" si="258"/>
        <v>2.2382627000000004</v>
      </c>
      <c r="AV87" s="201"/>
      <c r="AW87" s="183">
        <f>SUMIF('05.conso TB'!A:A,'May-26'!B87,'05.conso TB'!P:P)/10^5</f>
        <v>2.2382627000000004</v>
      </c>
      <c r="AX87" s="203"/>
      <c r="AY87" s="189"/>
      <c r="AZ87" s="180">
        <f t="shared" si="259"/>
        <v>117.82284940000001</v>
      </c>
      <c r="BA87" s="201"/>
      <c r="BB87" s="190">
        <f t="shared" si="248"/>
        <v>117.82284940000001</v>
      </c>
      <c r="BC87" s="203"/>
      <c r="BD87" s="191"/>
      <c r="BE87" s="180">
        <f t="shared" si="260"/>
        <v>36.801485</v>
      </c>
      <c r="BF87" s="201"/>
      <c r="BG87" s="183">
        <v>36.801485</v>
      </c>
      <c r="BH87" s="203"/>
      <c r="BI87" s="180">
        <f t="shared" si="261"/>
        <v>0</v>
      </c>
      <c r="BJ87" s="207"/>
      <c r="BK87" s="183">
        <f>SUMIF('05.conso TB'!A:A,'May-26'!B87,'05.conso TB'!I:I)/10^5</f>
        <v>0</v>
      </c>
      <c r="BL87" s="208"/>
      <c r="BM87" s="180">
        <f t="shared" si="262"/>
        <v>0</v>
      </c>
      <c r="BN87" s="201"/>
      <c r="BO87" s="181">
        <f>SUMIF('05.conso TB'!A:A,'May-26'!B87,'05.conso TB'!J:J)/10^5</f>
        <v>0</v>
      </c>
      <c r="BP87" s="203"/>
      <c r="BQ87" s="192"/>
      <c r="BR87" s="180">
        <f t="shared" si="263"/>
        <v>36.801485</v>
      </c>
      <c r="BS87" s="201"/>
      <c r="BT87" s="183">
        <f t="shared" si="19"/>
        <v>36.801485</v>
      </c>
      <c r="BU87" s="203"/>
      <c r="BV87" s="196"/>
      <c r="BW87" s="180">
        <f t="shared" si="264"/>
        <v>0</v>
      </c>
      <c r="BX87" s="201"/>
      <c r="BY87" s="183">
        <f>SUMIF('05.conso TB'!A:A,'May-26'!B87,'05.conso TB'!L:L)/10^5</f>
        <v>0</v>
      </c>
      <c r="BZ87" s="203"/>
      <c r="CA87" s="191"/>
      <c r="CB87" s="180">
        <f t="shared" si="265"/>
        <v>0</v>
      </c>
      <c r="CC87" s="525"/>
      <c r="CD87" s="186"/>
      <c r="CE87" s="187">
        <f>AB87+AG87+AL87+AZ87+BR87+BW87</f>
        <v>519.29259779999995</v>
      </c>
      <c r="CF87" s="201"/>
      <c r="CG87" s="187">
        <f>AD87+AI87+AN87+BB87+BT87+BY87</f>
        <v>519.29259779999995</v>
      </c>
      <c r="CH87" s="203"/>
    </row>
    <row r="88" spans="1:86" s="286" customFormat="1" ht="16" thickBot="1" x14ac:dyDescent="0.4">
      <c r="A88" s="87"/>
      <c r="B88" s="90" t="s">
        <v>531</v>
      </c>
      <c r="C88" s="91">
        <f>C82-C83-C84-C86-C87-C85</f>
        <v>144.29429239205018</v>
      </c>
      <c r="D88" s="95"/>
      <c r="E88" s="91">
        <f>E82-E83-E84-E86-E87-E85</f>
        <v>872.0458055675515</v>
      </c>
      <c r="F88" s="413"/>
      <c r="G88" s="91">
        <f>G82-G83-G84-G86-G87-G85</f>
        <v>179.88929197999991</v>
      </c>
      <c r="H88" s="92"/>
      <c r="I88" s="91">
        <f>I82-I83-I84-I86-I87-I85</f>
        <v>405.00597726999979</v>
      </c>
      <c r="J88" s="93"/>
      <c r="K88" s="91">
        <f>K82-K83-K84-K86-K87-K85</f>
        <v>-31.006676800000001</v>
      </c>
      <c r="L88" s="92"/>
      <c r="M88" s="91">
        <f>M82-M83-M84-M86-M87-M85</f>
        <v>6.2601022000000111</v>
      </c>
      <c r="N88" s="93"/>
      <c r="O88" s="91">
        <f>O82-O83-O84-O86-O87-O85</f>
        <v>301.19332415802461</v>
      </c>
      <c r="P88" s="92"/>
      <c r="Q88" s="91">
        <f>Q82-Q83-Q84-Q86-Q87-Q85</f>
        <v>436.22643727332485</v>
      </c>
      <c r="R88" s="93"/>
      <c r="S88" s="91">
        <f>S82-S83-S84-S86-S87-S85</f>
        <v>-15.065947100000002</v>
      </c>
      <c r="T88" s="92"/>
      <c r="U88" s="91">
        <f>U82-U83-U84-U86-U87-U85</f>
        <v>-25.986207199999999</v>
      </c>
      <c r="V88" s="93"/>
      <c r="W88" s="91">
        <f>W82-W83-W84-W86-W87-W85</f>
        <v>-64.834428099999187</v>
      </c>
      <c r="X88" s="92"/>
      <c r="Y88" s="91">
        <f>Y82-Y83-Y84-Y86-Y87-Y85</f>
        <v>-29.898026999999864</v>
      </c>
      <c r="Z88" s="84"/>
      <c r="AA88" s="94"/>
      <c r="AB88" s="91">
        <f>AB82-AB83-AB84-AB86-AB87-AB85</f>
        <v>514.46985653007505</v>
      </c>
      <c r="AC88" s="95">
        <f>AD88/AD46</f>
        <v>0.11510817428100209</v>
      </c>
      <c r="AD88" s="91">
        <f>AD82-AD83-AD84-AD86-AD87-AD85</f>
        <v>1663.6540881108738</v>
      </c>
      <c r="AE88" s="84"/>
      <c r="AF88" s="96"/>
      <c r="AG88" s="91">
        <f>AG82-AG83-AG84-AG86-AG87-AG85</f>
        <v>-5.51499865179</v>
      </c>
      <c r="AH88" s="92"/>
      <c r="AI88" s="91">
        <f>AI82-AI83-AI84-AI86-AI87-AI85</f>
        <v>66.210647231698147</v>
      </c>
      <c r="AJ88" s="84"/>
      <c r="AK88" s="78"/>
      <c r="AL88" s="91">
        <f>AL82-AL83-AL84-AL86-AL87-AL85</f>
        <v>-177.49362698352064</v>
      </c>
      <c r="AM88" s="92"/>
      <c r="AN88" s="91">
        <f>AN82-AN83-AN84-AN86-AN87-AN85</f>
        <v>-12.925048961900941</v>
      </c>
      <c r="AO88" s="84"/>
      <c r="AP88" s="88"/>
      <c r="AQ88" s="91">
        <f>AQ82-AQ83-AQ84-AQ86-AQ87-AQ85</f>
        <v>592.64676300600058</v>
      </c>
      <c r="AR88" s="92"/>
      <c r="AS88" s="91">
        <f>AS82-AS83-AS84-AS86-AS87-AS85</f>
        <v>1161.5489012020005</v>
      </c>
      <c r="AT88" s="84"/>
      <c r="AU88" s="91">
        <f>AU82-AU83-AU84-AU86-AU87-AU85</f>
        <v>292.28164120576128</v>
      </c>
      <c r="AV88" s="92"/>
      <c r="AW88" s="91">
        <f>AW82-AW83-AW84-AW86-AW87-AW85</f>
        <v>418.35799111134088</v>
      </c>
      <c r="AX88" s="84"/>
      <c r="AY88" s="97"/>
      <c r="AZ88" s="91">
        <f>AZ82-AZ83-AZ84-AZ86-AZ87-AZ85</f>
        <v>884.92840421176209</v>
      </c>
      <c r="BA88" s="92"/>
      <c r="BB88" s="91">
        <f>BB82-BB83-BB84-BB86-BB87-BB85</f>
        <v>1579.9068923133407</v>
      </c>
      <c r="BC88" s="84"/>
      <c r="BD88" s="89"/>
      <c r="BE88" s="91">
        <f>BE82-BE83-BE84-BE86-BE87-BE85</f>
        <v>-152.09636379999989</v>
      </c>
      <c r="BF88" s="98"/>
      <c r="BG88" s="91">
        <f>BG82-BG83-BG84-BG86-BG87-BG85</f>
        <v>-127.18782579999974</v>
      </c>
      <c r="BH88" s="99"/>
      <c r="BI88" s="91">
        <f>BI82-BI83-BI84-BI86-BI87-BI85</f>
        <v>10.59181550000001</v>
      </c>
      <c r="BJ88" s="100"/>
      <c r="BK88" s="91">
        <f>BK82-BK83-BK84-BK86-BK87-BK85</f>
        <v>4.4136650000000017</v>
      </c>
      <c r="BL88" s="101"/>
      <c r="BM88" s="91">
        <f>BM82-BM83-BM84-BM86-BM87-BM85</f>
        <v>0</v>
      </c>
      <c r="BN88" s="92"/>
      <c r="BO88" s="91">
        <f>BO82-BO83-BO84-BO86-BO87-BO85</f>
        <v>7.6170000000000002E-2</v>
      </c>
      <c r="BP88" s="84"/>
      <c r="BQ88" s="102">
        <f>BQ82-BQ83</f>
        <v>0</v>
      </c>
      <c r="BR88" s="91">
        <f>BR82-BR83-BR84-BR86-BR87-BR85</f>
        <v>-141.50454829999995</v>
      </c>
      <c r="BS88" s="92"/>
      <c r="BT88" s="183">
        <f t="shared" ref="BT88:BT89" si="266">BG88+BK88+BO88-BQ88</f>
        <v>-122.69799079999974</v>
      </c>
      <c r="BU88" s="84"/>
      <c r="BV88" s="103"/>
      <c r="BW88" s="91">
        <f>BW82-BW83-BW84-BW86-BW87-BW85</f>
        <v>49.856208799999933</v>
      </c>
      <c r="BX88" s="92"/>
      <c r="BY88" s="91">
        <f>BY82-BY83-BY84-BY86-BY87-BY85</f>
        <v>102.55566240000053</v>
      </c>
      <c r="BZ88" s="84"/>
      <c r="CA88" s="79"/>
      <c r="CB88" s="91">
        <f>CB82-CB83-CB84-CB86-CB87-CB85</f>
        <v>0</v>
      </c>
      <c r="CC88" s="438"/>
      <c r="CD88" s="78"/>
      <c r="CE88" s="91">
        <f>CE82-CE83-CE84-CE86-CE87-CE85</f>
        <v>1124.7412956065275</v>
      </c>
      <c r="CF88" s="92"/>
      <c r="CG88" s="91">
        <f>CG82-CG83-CG84-CG86-CG87-CG85</f>
        <v>3276.7042502940094</v>
      </c>
      <c r="CH88" s="84"/>
    </row>
    <row r="89" spans="1:86" s="286" customFormat="1" ht="16" thickBot="1" x14ac:dyDescent="0.4">
      <c r="A89" s="87"/>
      <c r="B89" s="104" t="s">
        <v>532</v>
      </c>
      <c r="C89" s="105">
        <f>C88+C83</f>
        <v>144.29429239205018</v>
      </c>
      <c r="D89" s="111"/>
      <c r="E89" s="292">
        <f>E88+E83</f>
        <v>872.0458055675515</v>
      </c>
      <c r="F89" s="111"/>
      <c r="G89" s="105">
        <f>G88+G83</f>
        <v>179.88929197999991</v>
      </c>
      <c r="H89" s="100"/>
      <c r="I89" s="292">
        <f>I88+I83</f>
        <v>405.00597726999979</v>
      </c>
      <c r="J89" s="106"/>
      <c r="K89" s="105">
        <f>K88+K83</f>
        <v>-31.006676800000001</v>
      </c>
      <c r="L89" s="100"/>
      <c r="M89" s="105">
        <f>M88+M83</f>
        <v>6.2601022000000111</v>
      </c>
      <c r="N89" s="106"/>
      <c r="O89" s="105">
        <f>O88+O83</f>
        <v>301.19332415802461</v>
      </c>
      <c r="P89" s="100"/>
      <c r="Q89" s="292">
        <f>Q88+Q83</f>
        <v>436.22643727332485</v>
      </c>
      <c r="R89" s="106"/>
      <c r="S89" s="105">
        <f>S88+S83</f>
        <v>-15.065947100000002</v>
      </c>
      <c r="T89" s="100"/>
      <c r="U89" s="294">
        <f>U88+U83</f>
        <v>-25.986207199999999</v>
      </c>
      <c r="V89" s="108"/>
      <c r="W89" s="109">
        <f>W88+W83</f>
        <v>-64.834428099999187</v>
      </c>
      <c r="X89" s="100"/>
      <c r="Y89" s="105">
        <f>Y88+Y83</f>
        <v>-29.898026999999864</v>
      </c>
      <c r="Z89" s="108"/>
      <c r="AA89" s="110"/>
      <c r="AB89" s="127">
        <f>AB88+AB83</f>
        <v>514.46985653007505</v>
      </c>
      <c r="AC89" s="111"/>
      <c r="AD89" s="107">
        <f>AD88+AD83</f>
        <v>1663.6540881108738</v>
      </c>
      <c r="AE89" s="112"/>
      <c r="AF89" s="96"/>
      <c r="AG89" s="109">
        <f>AG88+AG83</f>
        <v>-5.51499865179</v>
      </c>
      <c r="AH89" s="100"/>
      <c r="AI89" s="107">
        <f>AI88+AI83</f>
        <v>66.210647231698147</v>
      </c>
      <c r="AJ89" s="108"/>
      <c r="AK89" s="78"/>
      <c r="AL89" s="109">
        <f>AL88+AL83</f>
        <v>-177.49362698352064</v>
      </c>
      <c r="AM89" s="100"/>
      <c r="AN89" s="292">
        <f>AN88+AN83</f>
        <v>-12.925048961900941</v>
      </c>
      <c r="AO89" s="108"/>
      <c r="AP89" s="88"/>
      <c r="AQ89" s="109">
        <f>AQ88+AQ83</f>
        <v>592.64676300600058</v>
      </c>
      <c r="AR89" s="100"/>
      <c r="AS89" s="294">
        <f>AS88+AS83</f>
        <v>1161.5489012020005</v>
      </c>
      <c r="AT89" s="101"/>
      <c r="AU89" s="109">
        <f>AU88+AU83</f>
        <v>292.28164120576128</v>
      </c>
      <c r="AV89" s="100"/>
      <c r="AW89" s="107">
        <f>AW88+AW83</f>
        <v>418.35799111134088</v>
      </c>
      <c r="AX89" s="108"/>
      <c r="AY89" s="88"/>
      <c r="AZ89" s="109">
        <f>AZ88+AZ83</f>
        <v>884.92840421176209</v>
      </c>
      <c r="BA89" s="113"/>
      <c r="BB89" s="114">
        <f>BB88+BB83</f>
        <v>1579.9068923133407</v>
      </c>
      <c r="BC89" s="115"/>
      <c r="BD89" s="88"/>
      <c r="BE89" s="109">
        <f>BE88+BE83</f>
        <v>-152.09636379999989</v>
      </c>
      <c r="BF89" s="92"/>
      <c r="BG89" s="295">
        <f>BG88+BG83</f>
        <v>-127.18782579999974</v>
      </c>
      <c r="BH89" s="84"/>
      <c r="BI89" s="109">
        <f>BI88+BI83</f>
        <v>10.59181550000001</v>
      </c>
      <c r="BJ89" s="100"/>
      <c r="BK89" s="294">
        <f>BK88+BK83</f>
        <v>4.4136650000000017</v>
      </c>
      <c r="BL89" s="108"/>
      <c r="BM89" s="109">
        <f>BM88+BM83</f>
        <v>0</v>
      </c>
      <c r="BN89" s="100"/>
      <c r="BO89" s="292">
        <f>BO88+BO83</f>
        <v>7.6170000000000002E-2</v>
      </c>
      <c r="BP89" s="101"/>
      <c r="BQ89" s="116"/>
      <c r="BR89" s="109">
        <f>BR88+BR83</f>
        <v>-141.50454829999995</v>
      </c>
      <c r="BS89" s="113"/>
      <c r="BT89" s="183">
        <f t="shared" si="266"/>
        <v>-122.69799079999974</v>
      </c>
      <c r="BU89" s="115"/>
      <c r="BV89" s="103"/>
      <c r="BW89" s="109">
        <f>BW88+BW83</f>
        <v>49.856208799999933</v>
      </c>
      <c r="BX89" s="100"/>
      <c r="BY89" s="294">
        <f>BY88+BY83</f>
        <v>102.55566240000053</v>
      </c>
      <c r="BZ89" s="101"/>
      <c r="CA89" s="79"/>
      <c r="CB89" s="109">
        <f>CB88+CB83</f>
        <v>0</v>
      </c>
      <c r="CC89" s="526"/>
      <c r="CD89" s="78"/>
      <c r="CE89" s="127">
        <f>CE88+CE83</f>
        <v>1124.7412956065275</v>
      </c>
      <c r="CF89" s="100"/>
      <c r="CG89" s="107">
        <f>CG88+CG83</f>
        <v>3276.7042502940094</v>
      </c>
      <c r="CH89" s="108"/>
    </row>
    <row r="90" spans="1:86" x14ac:dyDescent="0.35">
      <c r="C90" s="60" t="s">
        <v>650</v>
      </c>
      <c r="E90" s="73" t="e">
        <f>#REF!+'May-26'!C82-'May-26'!E82</f>
        <v>#REF!</v>
      </c>
      <c r="I90" s="73" t="e">
        <f>#REF!+'May-26'!G82-'May-26'!I82</f>
        <v>#REF!</v>
      </c>
      <c r="M90" s="73" t="e">
        <f>#REF!+'May-26'!K82-'May-26'!M82</f>
        <v>#REF!</v>
      </c>
      <c r="Q90" s="73" t="e">
        <f>#REF!+'May-26'!O82-'May-26'!Q82</f>
        <v>#REF!</v>
      </c>
      <c r="U90" s="73" t="e">
        <f>#REF!+'May-26'!S82-'May-26'!U82</f>
        <v>#REF!</v>
      </c>
      <c r="Y90" s="73" t="e">
        <f>#REF!+'May-26'!W82-'May-26'!Y82</f>
        <v>#REF!</v>
      </c>
      <c r="AA90" s="28"/>
      <c r="AD90" s="73" t="e">
        <f>#REF!+'May-26'!AB82-'May-26'!AD82</f>
        <v>#REF!</v>
      </c>
      <c r="AI90" s="73" t="e">
        <f>#REF!+'May-26'!AG82-'May-26'!AI82</f>
        <v>#REF!</v>
      </c>
      <c r="AN90" s="73" t="e">
        <f>#REF!+'May-26'!AL82-'May-26'!AN82</f>
        <v>#REF!</v>
      </c>
      <c r="AS90" s="73" t="e">
        <f>#REF!+'May-26'!AQ82-'May-26'!AS82</f>
        <v>#REF!</v>
      </c>
      <c r="AW90" s="73" t="e">
        <f>#REF!+'May-26'!AU82-'May-26'!AW82</f>
        <v>#REF!</v>
      </c>
      <c r="BB90" s="73" t="e">
        <f>#REF!+'May-26'!AZ82-'May-26'!BB82</f>
        <v>#REF!</v>
      </c>
      <c r="BG90" s="73" t="e">
        <f>#REF!+'May-26'!BE82-'May-26'!BG82</f>
        <v>#REF!</v>
      </c>
      <c r="BK90" s="73" t="e">
        <f>#REF!+'May-26'!BI82-'May-26'!BK82</f>
        <v>#REF!</v>
      </c>
      <c r="BO90" s="73" t="e">
        <f>#REF!+'May-26'!BM82-'May-26'!BO82</f>
        <v>#REF!</v>
      </c>
      <c r="BT90" s="73" t="e">
        <f>#REF!+'May-26'!BR82-'May-26'!BT82</f>
        <v>#REF!</v>
      </c>
      <c r="BV90" s="21"/>
      <c r="BY90" s="73" t="e">
        <f>#REF!+'May-26'!BW82-'May-26'!BY82</f>
        <v>#REF!</v>
      </c>
      <c r="CG90" s="73" t="e">
        <f>#REF!+'May-26'!CE82-'May-26'!CG82</f>
        <v>#REF!</v>
      </c>
    </row>
    <row r="91" spans="1:86" x14ac:dyDescent="0.35">
      <c r="C91" s="60" t="s">
        <v>650</v>
      </c>
      <c r="E91" s="73" t="e">
        <f>#REF!+'May-26'!C88-'May-26'!E88</f>
        <v>#REF!</v>
      </c>
      <c r="I91" s="73" t="e">
        <f>#REF!+'May-26'!G88-'May-26'!I88</f>
        <v>#REF!</v>
      </c>
      <c r="M91" s="73" t="e">
        <f>#REF!+'May-26'!K88-'May-26'!M88</f>
        <v>#REF!</v>
      </c>
      <c r="Q91" s="73" t="e">
        <f>#REF!+'May-26'!O88-'May-26'!Q88</f>
        <v>#REF!</v>
      </c>
      <c r="U91" s="73" t="e">
        <f>#REF!+'May-26'!S88-'May-26'!U88</f>
        <v>#REF!</v>
      </c>
      <c r="Y91" s="73" t="e">
        <f>#REF!+'May-26'!W88-'May-26'!Y88</f>
        <v>#REF!</v>
      </c>
      <c r="AA91" s="28"/>
      <c r="AD91" s="73" t="e">
        <f>#REF!+'May-26'!AB88-'May-26'!AD88</f>
        <v>#REF!</v>
      </c>
      <c r="AI91" s="73" t="e">
        <f>#REF!+'May-26'!AG88-'May-26'!AI88</f>
        <v>#REF!</v>
      </c>
      <c r="AN91" s="73" t="e">
        <f>#REF!+'May-26'!AL88-'May-26'!AN88</f>
        <v>#REF!</v>
      </c>
      <c r="AS91" s="73" t="e">
        <f>#REF!+'May-26'!AQ88-'May-26'!AS88</f>
        <v>#REF!</v>
      </c>
      <c r="AW91" s="73" t="e">
        <f>#REF!+'May-26'!AU88-'May-26'!AW88</f>
        <v>#REF!</v>
      </c>
      <c r="BB91" s="73" t="e">
        <f>#REF!+'May-26'!AZ88-'May-26'!BB88</f>
        <v>#REF!</v>
      </c>
      <c r="BG91" s="73" t="e">
        <f>#REF!+'May-26'!BE88-'May-26'!BG88</f>
        <v>#REF!</v>
      </c>
      <c r="BK91" s="73" t="e">
        <f>#REF!+'May-26'!BI88-'May-26'!BK88</f>
        <v>#REF!</v>
      </c>
      <c r="BO91" s="73" t="e">
        <f>#REF!+'May-26'!BM88-'May-26'!BO88</f>
        <v>#REF!</v>
      </c>
      <c r="BT91" s="73" t="e">
        <f>#REF!+'May-26'!BR88-'May-26'!BT88</f>
        <v>#REF!</v>
      </c>
      <c r="BV91" s="21"/>
      <c r="BY91" s="73" t="e">
        <f>#REF!+'May-26'!BW88-'May-26'!BY88</f>
        <v>#REF!</v>
      </c>
      <c r="CE91" s="60">
        <f>+CE89-Summary!AC19</f>
        <v>1124.7412956065275</v>
      </c>
      <c r="CG91" s="73" t="e">
        <f>#REF!+'May-26'!CE88-'May-26'!CG88</f>
        <v>#REF!</v>
      </c>
    </row>
    <row r="92" spans="1:86" ht="15.5" x14ac:dyDescent="0.35">
      <c r="E92" s="73"/>
      <c r="G92" s="80">
        <f>G81-G53+G52</f>
        <v>301.73411659999994</v>
      </c>
      <c r="O92" s="80">
        <f>O81-O53+O52</f>
        <v>124.33796631999991</v>
      </c>
      <c r="AA92" s="28"/>
      <c r="AF92" s="511">
        <f>AG92/$AG$1*10^5</f>
        <v>62.654651915903216</v>
      </c>
      <c r="AG92" s="80">
        <f>AG81-AG53+AG52</f>
        <v>230.27401563999993</v>
      </c>
      <c r="AL92" s="80">
        <f>AL81-AL53+AL52</f>
        <v>250.29207859999988</v>
      </c>
      <c r="AP92" s="60">
        <f>AQ92/AQ1*10^5</f>
        <v>155.84527246262718</v>
      </c>
      <c r="AQ92" s="80">
        <f>AQ81-AQ53+AQ52</f>
        <v>930.43523791999996</v>
      </c>
      <c r="AZ92" s="60">
        <f>AZ81-AZ53+AZ52</f>
        <v>1170.75798222</v>
      </c>
      <c r="BB92" s="19"/>
      <c r="BV92" s="21"/>
      <c r="CD92" s="528"/>
      <c r="CE92" s="60">
        <f>CE81-CE53+CE52</f>
        <v>3071.0785788499993</v>
      </c>
      <c r="CG92" s="60">
        <f>+CG89-Summary!AD19</f>
        <v>3276.7042502940094</v>
      </c>
    </row>
    <row r="93" spans="1:86" x14ac:dyDescent="0.35">
      <c r="E93" s="73"/>
      <c r="G93" s="80" t="e">
        <f>G92/G1*10^5</f>
        <v>#DIV/0!</v>
      </c>
      <c r="I93" s="73"/>
      <c r="M93" s="73"/>
      <c r="O93" s="80" t="e">
        <f>O92/O1*10^5</f>
        <v>#DIV/0!</v>
      </c>
      <c r="Q93" s="73"/>
      <c r="U93" s="73"/>
      <c r="Y93" s="73"/>
      <c r="AA93" s="28"/>
      <c r="AB93" s="73"/>
      <c r="AC93" s="73"/>
      <c r="AD93" s="73"/>
      <c r="AI93" s="73"/>
      <c r="AL93" s="80">
        <f>AL92/AL1*10^5</f>
        <v>56.675379644222211</v>
      </c>
      <c r="AN93" s="73"/>
      <c r="AS93" s="73"/>
      <c r="AW93" s="73"/>
      <c r="BB93" s="73"/>
      <c r="BG93" s="73"/>
      <c r="BK93" s="73"/>
      <c r="BM93" s="73"/>
      <c r="BO93" s="73"/>
      <c r="BP93" s="291"/>
      <c r="BT93" s="73"/>
      <c r="BU93" s="291"/>
      <c r="BV93" s="21"/>
      <c r="BY93" s="73"/>
      <c r="BZ93" s="73"/>
      <c r="CG93" s="73"/>
    </row>
    <row r="94" spans="1:86" x14ac:dyDescent="0.35">
      <c r="E94" s="73"/>
      <c r="I94" s="73"/>
      <c r="J94" s="30"/>
      <c r="M94" s="73"/>
      <c r="Q94" s="73"/>
      <c r="R94" s="30"/>
      <c r="U94" s="73"/>
      <c r="V94" s="30"/>
      <c r="Y94" s="73"/>
      <c r="Z94" s="30"/>
      <c r="AA94" s="28"/>
      <c r="AB94" s="73"/>
      <c r="AC94" s="30"/>
      <c r="AD94" s="73"/>
      <c r="AE94" s="30"/>
      <c r="AI94" s="73"/>
      <c r="AJ94" s="30"/>
      <c r="AN94" s="73"/>
      <c r="AO94" s="30"/>
      <c r="AS94" s="73"/>
      <c r="AT94" s="30"/>
      <c r="AW94" s="73"/>
      <c r="AX94" s="30"/>
      <c r="AY94" s="30"/>
      <c r="BB94" s="73"/>
      <c r="BC94" s="30"/>
      <c r="BD94" s="30"/>
      <c r="BG94" s="73"/>
      <c r="BH94" s="30"/>
      <c r="BK94" s="73"/>
      <c r="BL94" s="30"/>
      <c r="BM94" s="73"/>
      <c r="BN94" s="30"/>
      <c r="BO94" s="73"/>
      <c r="BP94" s="73"/>
      <c r="BT94" s="73"/>
      <c r="BU94" s="73"/>
      <c r="BV94" s="52"/>
      <c r="BX94" s="30"/>
      <c r="BY94" s="73"/>
      <c r="BZ94" s="73"/>
      <c r="CA94" s="30"/>
      <c r="CG94" s="73"/>
      <c r="CH94" s="30"/>
    </row>
    <row r="95" spans="1:86" x14ac:dyDescent="0.35">
      <c r="C95" s="17"/>
      <c r="E95" s="61"/>
      <c r="I95" s="81"/>
      <c r="M95" s="81"/>
      <c r="Q95" s="81"/>
      <c r="U95" s="61"/>
      <c r="Y95" s="81"/>
      <c r="AA95" s="28"/>
      <c r="AD95" s="61"/>
      <c r="AI95" s="61"/>
      <c r="AN95" s="81"/>
      <c r="AS95" s="61"/>
      <c r="AW95" s="61"/>
      <c r="BB95" s="31"/>
      <c r="BG95" s="61"/>
      <c r="BK95" s="61"/>
      <c r="BO95" s="81"/>
      <c r="BT95" s="61"/>
      <c r="BV95" s="21"/>
      <c r="BY95" s="61"/>
      <c r="CG95" s="61"/>
    </row>
    <row r="96" spans="1:86" x14ac:dyDescent="0.35">
      <c r="E96" s="61"/>
      <c r="I96" s="81"/>
      <c r="M96" s="81"/>
      <c r="Q96" s="81"/>
      <c r="U96" s="61"/>
      <c r="Y96" s="81"/>
      <c r="AA96" s="28"/>
      <c r="AD96" s="61"/>
      <c r="AI96" s="61"/>
      <c r="AN96" s="81"/>
      <c r="AS96" s="61"/>
      <c r="AW96" s="61"/>
      <c r="BB96" s="31"/>
      <c r="BG96" s="61"/>
      <c r="BK96" s="61"/>
      <c r="BO96" s="81"/>
      <c r="BT96" s="61"/>
      <c r="BV96" s="21"/>
      <c r="BY96" s="61"/>
      <c r="CG96" s="61"/>
    </row>
    <row r="97" spans="2:85" x14ac:dyDescent="0.35">
      <c r="E97" s="61"/>
      <c r="I97" s="81"/>
      <c r="M97" s="81"/>
      <c r="Q97" s="81"/>
      <c r="U97" s="61"/>
      <c r="Y97" s="81"/>
      <c r="AA97" s="28"/>
      <c r="AD97" s="61"/>
      <c r="AI97" s="61"/>
      <c r="AN97" s="81"/>
      <c r="AS97" s="61"/>
      <c r="AW97" s="61"/>
      <c r="BB97" s="31"/>
      <c r="BG97" s="61"/>
      <c r="BK97" s="61"/>
      <c r="BO97" s="81"/>
      <c r="BT97" s="61"/>
      <c r="BV97" s="21"/>
      <c r="BY97" s="61"/>
      <c r="CG97" s="61"/>
    </row>
    <row r="98" spans="2:85" x14ac:dyDescent="0.35">
      <c r="E98" s="61"/>
      <c r="I98" s="81"/>
      <c r="M98" s="81"/>
      <c r="Q98" s="81"/>
      <c r="U98" s="61"/>
      <c r="Y98" s="81"/>
      <c r="AA98" s="28"/>
      <c r="AD98" s="61"/>
      <c r="AI98" s="61"/>
      <c r="AN98" s="81"/>
      <c r="AS98" s="61"/>
      <c r="AW98" s="61"/>
      <c r="BB98" s="31"/>
      <c r="BG98" s="61"/>
      <c r="BK98" s="61"/>
      <c r="BO98" s="81"/>
      <c r="BT98" s="61"/>
      <c r="BV98" s="21"/>
      <c r="BY98" s="61"/>
      <c r="CG98" s="61"/>
    </row>
    <row r="99" spans="2:85" x14ac:dyDescent="0.35">
      <c r="AA99" s="28"/>
      <c r="BV99" s="21"/>
    </row>
    <row r="100" spans="2:85" ht="18.5" x14ac:dyDescent="0.45">
      <c r="AA100" s="28"/>
      <c r="AP100" s="32"/>
      <c r="BV100" s="21"/>
    </row>
    <row r="101" spans="2:85" x14ac:dyDescent="0.35">
      <c r="AA101" s="28"/>
      <c r="BQ101" s="33"/>
      <c r="BV101" s="21"/>
    </row>
    <row r="102" spans="2:85" x14ac:dyDescent="0.35">
      <c r="AA102" s="28"/>
      <c r="BV102" s="21"/>
    </row>
    <row r="103" spans="2:85" ht="15.5" x14ac:dyDescent="0.35">
      <c r="B103" s="333" t="s">
        <v>637</v>
      </c>
      <c r="C103" s="334"/>
      <c r="E103" s="335" t="s">
        <v>585</v>
      </c>
      <c r="I103" s="335" t="s">
        <v>586</v>
      </c>
      <c r="Q103" s="335" t="str">
        <f>+'Stock sheet'!A25</f>
        <v>HPBL4</v>
      </c>
      <c r="AA103" s="28"/>
      <c r="AI103" s="117" t="s">
        <v>593</v>
      </c>
      <c r="AN103" s="117" t="s">
        <v>534</v>
      </c>
      <c r="AS103" s="117" t="s">
        <v>587</v>
      </c>
      <c r="AW103" s="117" t="s">
        <v>589</v>
      </c>
      <c r="BG103" s="117" t="s">
        <v>590</v>
      </c>
      <c r="BK103" s="117" t="s">
        <v>591</v>
      </c>
      <c r="BO103" s="117" t="s">
        <v>592</v>
      </c>
      <c r="BV103" s="21"/>
      <c r="BY103" s="117" t="s">
        <v>610</v>
      </c>
    </row>
    <row r="104" spans="2:85" x14ac:dyDescent="0.35">
      <c r="B104" s="118" t="s">
        <v>462</v>
      </c>
      <c r="C104" s="119"/>
      <c r="AA104" s="28"/>
      <c r="BV104" s="21"/>
    </row>
    <row r="105" spans="2:85" x14ac:dyDescent="0.35">
      <c r="B105" s="275" t="s">
        <v>465</v>
      </c>
      <c r="C105" s="120"/>
      <c r="E105" s="60">
        <f>('Stock sheet'!B23)</f>
        <v>1183.6307590923002</v>
      </c>
      <c r="I105" s="80">
        <f>('Stock sheet'!B24)</f>
        <v>777.07440417999999</v>
      </c>
      <c r="Q105" s="80">
        <f>'Stock sheet'!B25</f>
        <v>311.59770216782988</v>
      </c>
      <c r="AA105" s="28"/>
      <c r="AI105" s="60">
        <f>+'Stock sheet'!B34</f>
        <v>21.170826430172962</v>
      </c>
      <c r="AN105" s="18">
        <f>'Stock sheet'!B33</f>
        <v>78.787351563410851</v>
      </c>
      <c r="AS105" s="60">
        <f>'Stock sheet'!B26</f>
        <v>784.09106046199997</v>
      </c>
      <c r="AW105" s="60">
        <f>'Stock sheet'!B28</f>
        <v>238.54651416477458</v>
      </c>
      <c r="BG105" s="60">
        <f>'Stock sheet'!B29</f>
        <v>168.89589000000001</v>
      </c>
      <c r="BK105" s="60">
        <f>'Stock sheet'!B30</f>
        <v>26.899460000000001</v>
      </c>
      <c r="BO105" s="80">
        <f>'Stock sheet'!B31</f>
        <v>22.118539999999999</v>
      </c>
      <c r="BV105" s="21"/>
    </row>
    <row r="106" spans="2:85" x14ac:dyDescent="0.35">
      <c r="B106" s="275" t="s">
        <v>467</v>
      </c>
      <c r="C106" s="120"/>
      <c r="E106" s="60">
        <f>('Stock sheet'!B39)</f>
        <v>7.8284832999999976</v>
      </c>
      <c r="Q106" s="80">
        <f>'Stock sheet'!B41</f>
        <v>12.59</v>
      </c>
      <c r="AA106" s="28"/>
      <c r="AI106" s="60">
        <f>+'Stock sheet'!B50</f>
        <v>17.46414</v>
      </c>
      <c r="AN106" s="18">
        <f>'Stock sheet'!B49</f>
        <v>13.2410292</v>
      </c>
      <c r="AS106" s="60">
        <f>'Stock sheet'!B42</f>
        <v>0</v>
      </c>
      <c r="BG106" s="60">
        <f>'Stock sheet'!B45</f>
        <v>0</v>
      </c>
      <c r="BO106" s="80">
        <f>'Stock sheet'!B47</f>
        <v>0</v>
      </c>
    </row>
    <row r="107" spans="2:85" ht="5.5" customHeight="1" x14ac:dyDescent="0.35">
      <c r="B107" s="275"/>
      <c r="C107" s="120"/>
      <c r="AA107" s="28"/>
      <c r="BW107" s="337"/>
    </row>
    <row r="108" spans="2:85" x14ac:dyDescent="0.35">
      <c r="B108" s="275" t="s">
        <v>425</v>
      </c>
      <c r="C108" s="120"/>
      <c r="E108" s="59">
        <f>SUMIF('05.conso TB'!A:A,'May-26'!B108,'05.conso TB'!R:R)/10^5</f>
        <v>5159.7461912999997</v>
      </c>
      <c r="I108" s="74">
        <f>SUMIF('05.conso TB'!A:A,'May-26'!B108,'05.conso TB'!S:S)/10^5</f>
        <v>1575.6702992000003</v>
      </c>
      <c r="Q108" s="76">
        <f>SUMIF('05.conso TB'!A:A,'May-26'!B108,'05.conso TB'!U:U)/10^5</f>
        <v>1520.1646001000001</v>
      </c>
      <c r="U108" s="75">
        <f>SUMIF('05.conso TB'!A:A,'May-26'!B108,'05.conso TB'!V:V)/10^5</f>
        <v>0</v>
      </c>
      <c r="Y108" s="76">
        <f>SUMIF('05.conso TB'!A:A,'May-26'!B108,'05.conso TB'!G:G)/10^5</f>
        <v>3819.5416998000001</v>
      </c>
      <c r="AA108" s="28"/>
      <c r="AI108" s="75">
        <f>SUMIF('05.conso TB'!A:A,'May-26'!B108,'05.conso TB'!Q:Q)/10^5</f>
        <v>139.98073980000001</v>
      </c>
      <c r="AN108" s="76">
        <f>SUMIF('05.conso TB'!A:A,'May-26'!B108,'05.conso TB'!W:W)/10^5</f>
        <v>1496.4959695999999</v>
      </c>
      <c r="AS108" s="183">
        <f>SUMIF('05.conso TB'!A:A,'May-26'!B108,'05.conso TB'!M:M)/10^5</f>
        <v>1769.6850400999999</v>
      </c>
      <c r="AW108" s="77">
        <f>SUMIF('05.conso TB'!A:A,'May-26'!B108,'05.conso TB'!P:P)/10^5</f>
        <v>1360.4117871999999</v>
      </c>
      <c r="BG108" s="77">
        <f>SUMIF('05.conso TB'!A:A,'May-26'!B108,'05.conso TB'!H:H)/10^5</f>
        <v>4572.7249747000005</v>
      </c>
      <c r="BK108" s="183">
        <f>SUMIF('05.conso TB'!A:A,'May-26'!B108,'05.conso TB'!I:I)/10^5</f>
        <v>2.9028744</v>
      </c>
      <c r="BO108" s="76">
        <f>SUMIF('05.conso TB'!A:A,'May-26'!B108,'05.conso TB'!J:J)/10^5</f>
        <v>0</v>
      </c>
      <c r="BW108" s="338"/>
      <c r="BY108" s="183">
        <f>SUMIF('05.conso TB'!A:A,'May-26'!B108,'05.conso TB'!L:L)/10^5</f>
        <v>2050.8490572000001</v>
      </c>
    </row>
    <row r="109" spans="2:85" x14ac:dyDescent="0.35">
      <c r="B109" s="275" t="s">
        <v>439</v>
      </c>
      <c r="C109" s="120"/>
      <c r="E109" s="59">
        <f>SUMIF('05.conso TB'!A:A,'May-26'!B109,'05.conso TB'!R:R)/10^5</f>
        <v>27.781294300000003</v>
      </c>
      <c r="I109" s="74">
        <f>SUMIF('05.conso TB'!A:A,'May-26'!B109,'05.conso TB'!S:S)/10^5</f>
        <v>11.077915000000001</v>
      </c>
      <c r="Q109" s="76">
        <f>SUMIF('05.conso TB'!A:A,'May-26'!B109,'05.conso TB'!U:U)/10^5</f>
        <v>24.210090000000001</v>
      </c>
      <c r="U109" s="75">
        <f>SUMIF('05.conso TB'!A:A,'May-26'!B109,'05.conso TB'!V:V)/10^5</f>
        <v>0</v>
      </c>
      <c r="Y109" s="76">
        <f>SUMIF('05.conso TB'!A:A,'May-26'!B109,'05.conso TB'!G:G)/10^5</f>
        <v>0</v>
      </c>
      <c r="AA109" s="28"/>
      <c r="AI109" s="75">
        <f>SUMIF('05.conso TB'!A:A,'May-26'!B109,'05.conso TB'!Q:Q)/10^5</f>
        <v>17.031478999999997</v>
      </c>
      <c r="AN109" s="76">
        <f>SUMIF('05.conso TB'!A:A,'May-26'!B109,'05.conso TB'!W:W)/10^5</f>
        <v>7.9225000000000003</v>
      </c>
      <c r="AS109" s="183">
        <f>SUMIF('05.conso TB'!A:A,'May-26'!B109,'05.conso TB'!M:M)/10^5</f>
        <v>27.988357000000001</v>
      </c>
      <c r="AW109" s="77">
        <f>SUMIF('05.conso TB'!A:A,'May-26'!B109,'05.conso TB'!P:P)/10^5</f>
        <v>-9.2100000000000001E-2</v>
      </c>
      <c r="BG109" s="77">
        <f>SUMIF('05.conso TB'!A:A,'May-26'!B109,'05.conso TB'!H:H)/10^5</f>
        <v>9.6676300000000008</v>
      </c>
      <c r="BK109" s="183">
        <f>SUMIF('05.conso TB'!A:A,'May-26'!B109,'05.conso TB'!I:I)/10^5</f>
        <v>-0.11</v>
      </c>
      <c r="BO109" s="76">
        <f>SUMIF('05.conso TB'!A:A,'May-26'!B109,'05.conso TB'!J:J)/10^5</f>
        <v>0</v>
      </c>
      <c r="BW109" s="338"/>
      <c r="BY109" s="183">
        <f>SUMIF('05.conso TB'!A:A,'May-26'!B109,'05.conso TB'!L:L)/10^5</f>
        <v>0</v>
      </c>
    </row>
    <row r="110" spans="2:85" x14ac:dyDescent="0.35">
      <c r="B110" s="275" t="s">
        <v>423</v>
      </c>
      <c r="C110" s="120"/>
      <c r="E110" s="59">
        <f>SUMIF('05.conso TB'!A:A,'May-26'!B110,'05.conso TB'!R:R)/10^5</f>
        <v>-29.667527100000001</v>
      </c>
      <c r="I110" s="74">
        <f>SUMIF('05.conso TB'!A:A,'May-26'!B110,'05.conso TB'!S:S)/10^5</f>
        <v>-50.708533199999991</v>
      </c>
      <c r="Q110" s="76">
        <f>SUMIF('05.conso TB'!A:A,'May-26'!B110,'05.conso TB'!U:U)/10^5</f>
        <v>1.1235298999999999</v>
      </c>
      <c r="U110" s="75">
        <f>SUMIF('05.conso TB'!A:A,'May-26'!B110,'05.conso TB'!V:V)/10^5</f>
        <v>0</v>
      </c>
      <c r="Y110" s="76">
        <f>SUMIF('05.conso TB'!A:A,'May-26'!B110,'05.conso TB'!G:G)/10^5</f>
        <v>0</v>
      </c>
      <c r="AA110" s="28"/>
      <c r="AI110" s="75">
        <f>SUMIF('05.conso TB'!A:A,'May-26'!B110,'05.conso TB'!Q:Q)/10^5</f>
        <v>4.7048088999999997</v>
      </c>
      <c r="AN110" s="76">
        <f>SUMIF('05.conso TB'!A:A,'May-26'!B110,'05.conso TB'!W:W)/10^5</f>
        <v>0.7588338</v>
      </c>
      <c r="AS110" s="183">
        <f>SUMIF('05.conso TB'!A:A,'May-26'!B110,'05.conso TB'!M:M)/10^5</f>
        <v>58.517562699999992</v>
      </c>
      <c r="AW110" s="77">
        <f>SUMIF('05.conso TB'!A:A,'May-26'!B110,'05.conso TB'!P:P)/10^5</f>
        <v>-2.7580700000000003E-2</v>
      </c>
      <c r="BG110" s="77">
        <f>SUMIF('05.conso TB'!A:A,'May-26'!B110,'05.conso TB'!H:H)/10^5</f>
        <v>46.250895800000002</v>
      </c>
      <c r="BK110" s="183">
        <f>SUMIF('05.conso TB'!A:A,'May-26'!B110,'05.conso TB'!I:I)/10^5</f>
        <v>7.6986399999999997E-2</v>
      </c>
      <c r="BO110" s="76">
        <f>SUMIF('05.conso TB'!A:A,'May-26'!B110,'05.conso TB'!J:J)/10^5</f>
        <v>0</v>
      </c>
      <c r="BW110" s="338"/>
      <c r="BY110" s="183">
        <f>SUMIF('05.conso TB'!A:A,'May-26'!B110,'05.conso TB'!L:L)/10^5</f>
        <v>0</v>
      </c>
    </row>
    <row r="111" spans="2:85" ht="7.5" customHeight="1" x14ac:dyDescent="0.35">
      <c r="B111" s="275"/>
      <c r="C111" s="120"/>
      <c r="AA111" s="28"/>
    </row>
    <row r="112" spans="2:85" s="313" customFormat="1" x14ac:dyDescent="0.35">
      <c r="B112" s="314" t="s">
        <v>471</v>
      </c>
      <c r="C112" s="315"/>
      <c r="D112" s="403"/>
      <c r="E112" s="317">
        <f>+'Stock sheet'!D23</f>
        <v>1978.2852427108503</v>
      </c>
      <c r="F112" s="403"/>
      <c r="G112" s="318"/>
      <c r="H112" s="316"/>
      <c r="I112" s="318">
        <f>+'Stock sheet'!D24</f>
        <v>861.26945022999973</v>
      </c>
      <c r="K112" s="318"/>
      <c r="L112" s="316"/>
      <c r="M112" s="318"/>
      <c r="O112" s="318"/>
      <c r="P112" s="316"/>
      <c r="Q112" s="349">
        <f>+'Stock sheet'!D25</f>
        <v>233.13946774466768</v>
      </c>
      <c r="S112" s="318"/>
      <c r="T112" s="316"/>
      <c r="U112" s="317"/>
      <c r="W112" s="318"/>
      <c r="X112" s="316"/>
      <c r="Y112" s="318"/>
      <c r="AA112" s="319"/>
      <c r="AB112" s="317"/>
      <c r="AD112" s="317"/>
      <c r="AG112" s="317"/>
      <c r="AH112" s="316"/>
      <c r="AI112" s="317">
        <f>+'Stock sheet'!D34</f>
        <v>25.641961935908707</v>
      </c>
      <c r="AL112" s="318"/>
      <c r="AM112" s="316"/>
      <c r="AN112" s="318">
        <f>+'Stock sheet'!D33</f>
        <v>209.31103522586577</v>
      </c>
      <c r="AQ112" s="317"/>
      <c r="AR112" s="316"/>
      <c r="AS112" s="317">
        <f>+'Stock sheet'!D26</f>
        <v>533.047663102</v>
      </c>
      <c r="AU112" s="317"/>
      <c r="AV112" s="316"/>
      <c r="AW112" s="317">
        <f>+'Stock sheet'!D28</f>
        <v>461.24977382682994</v>
      </c>
      <c r="AZ112" s="317"/>
      <c r="BA112" s="316"/>
      <c r="BE112" s="317"/>
      <c r="BF112" s="316"/>
      <c r="BG112" s="317">
        <f>+'Stock sheet'!D29</f>
        <v>1375.63696</v>
      </c>
      <c r="BI112" s="317"/>
      <c r="BJ112" s="316"/>
      <c r="BK112" s="350">
        <f>+'Stock sheet'!D30</f>
        <v>21.918970000000002</v>
      </c>
      <c r="BM112" s="317"/>
      <c r="BO112" s="318">
        <f>+'Stock sheet'!D31</f>
        <v>22.118539999999999</v>
      </c>
      <c r="BQ112" s="320"/>
      <c r="BR112" s="317"/>
      <c r="BS112" s="316"/>
      <c r="BT112" s="317"/>
      <c r="BW112" s="317"/>
      <c r="BY112" s="423">
        <v>0</v>
      </c>
      <c r="CB112" s="317"/>
      <c r="CC112" s="317"/>
      <c r="CE112" s="317"/>
      <c r="CF112" s="316"/>
      <c r="CG112" s="317"/>
    </row>
    <row r="113" spans="2:86" s="313" customFormat="1" x14ac:dyDescent="0.35">
      <c r="B113" s="321" t="s">
        <v>472</v>
      </c>
      <c r="C113" s="315"/>
      <c r="D113" s="403"/>
      <c r="E113" s="317">
        <f>+'Stock sheet'!D39</f>
        <v>7.9004310999999987</v>
      </c>
      <c r="F113" s="403"/>
      <c r="G113" s="318"/>
      <c r="H113" s="316"/>
      <c r="I113" s="318">
        <f>+'Stock sheet'!D40</f>
        <v>0</v>
      </c>
      <c r="K113" s="318"/>
      <c r="L113" s="316"/>
      <c r="M113" s="318"/>
      <c r="O113" s="318"/>
      <c r="P113" s="316"/>
      <c r="Q113" s="349">
        <f>+'Stock sheet'!D41</f>
        <v>10.49</v>
      </c>
      <c r="S113" s="318"/>
      <c r="T113" s="316"/>
      <c r="U113" s="317"/>
      <c r="W113" s="318"/>
      <c r="X113" s="316"/>
      <c r="Y113" s="318"/>
      <c r="AA113" s="319"/>
      <c r="AB113" s="317"/>
      <c r="AD113" s="317"/>
      <c r="AG113" s="317"/>
      <c r="AH113" s="316"/>
      <c r="AI113" s="317">
        <f>+'Stock sheet'!D50</f>
        <v>20.15605</v>
      </c>
      <c r="AL113" s="318"/>
      <c r="AM113" s="316"/>
      <c r="AN113" s="318">
        <f>+'Stock sheet'!D49</f>
        <v>10.169866499999999</v>
      </c>
      <c r="AQ113" s="317"/>
      <c r="AR113" s="316"/>
      <c r="AS113" s="317">
        <f>+'Stock sheet'!D42</f>
        <v>0</v>
      </c>
      <c r="AU113" s="317"/>
      <c r="AV113" s="316"/>
      <c r="AW113" s="317">
        <f>+'Stock sheet'!D44</f>
        <v>0</v>
      </c>
      <c r="AZ113" s="317"/>
      <c r="BA113" s="316"/>
      <c r="BE113" s="317"/>
      <c r="BF113" s="316"/>
      <c r="BG113" s="317">
        <f>+'Stock sheet'!D45</f>
        <v>0</v>
      </c>
      <c r="BI113" s="317"/>
      <c r="BJ113" s="316"/>
      <c r="BK113" s="317">
        <f>+'Stock sheet'!D46</f>
        <v>0</v>
      </c>
      <c r="BM113" s="317"/>
      <c r="BO113" s="318">
        <f>+'Stock sheet'!D47</f>
        <v>0</v>
      </c>
      <c r="BQ113" s="320"/>
      <c r="BR113" s="317"/>
      <c r="BS113" s="316"/>
      <c r="BT113" s="317"/>
      <c r="BW113" s="317"/>
      <c r="BY113" s="317"/>
      <c r="CB113" s="317"/>
      <c r="CC113" s="317"/>
      <c r="CE113" s="317"/>
      <c r="CF113" s="316"/>
      <c r="CG113" s="317"/>
    </row>
    <row r="114" spans="2:86" s="40" customFormat="1" x14ac:dyDescent="0.35">
      <c r="B114" s="121" t="s">
        <v>473</v>
      </c>
      <c r="C114" s="122">
        <f>SUM(C105:C110)-SUM(C112:C113)</f>
        <v>0</v>
      </c>
      <c r="D114" s="404"/>
      <c r="E114" s="62">
        <f t="shared" ref="E114:AJ114" si="267">E105+E106+SUM(E108:E110)-E112-E113</f>
        <v>4363.1335270814498</v>
      </c>
      <c r="F114" s="404">
        <f t="shared" si="267"/>
        <v>0</v>
      </c>
      <c r="G114" s="82">
        <f t="shared" si="267"/>
        <v>0</v>
      </c>
      <c r="H114" s="39">
        <f t="shared" si="267"/>
        <v>0</v>
      </c>
      <c r="I114" s="82">
        <f t="shared" si="267"/>
        <v>1451.8446349500009</v>
      </c>
      <c r="J114" s="39">
        <f t="shared" si="267"/>
        <v>0</v>
      </c>
      <c r="K114" s="82">
        <f t="shared" si="267"/>
        <v>0</v>
      </c>
      <c r="L114" s="39">
        <f t="shared" si="267"/>
        <v>0</v>
      </c>
      <c r="M114" s="82">
        <f t="shared" si="267"/>
        <v>0</v>
      </c>
      <c r="N114" s="39">
        <f t="shared" si="267"/>
        <v>0</v>
      </c>
      <c r="O114" s="82">
        <f t="shared" si="267"/>
        <v>0</v>
      </c>
      <c r="P114" s="39">
        <f t="shared" si="267"/>
        <v>0</v>
      </c>
      <c r="Q114" s="82">
        <f t="shared" si="267"/>
        <v>1626.0564544231624</v>
      </c>
      <c r="R114" s="39">
        <f t="shared" si="267"/>
        <v>0</v>
      </c>
      <c r="S114" s="82">
        <f t="shared" si="267"/>
        <v>0</v>
      </c>
      <c r="T114" s="39">
        <f t="shared" si="267"/>
        <v>0</v>
      </c>
      <c r="U114" s="62">
        <f t="shared" si="267"/>
        <v>0</v>
      </c>
      <c r="V114" s="39">
        <f t="shared" si="267"/>
        <v>0</v>
      </c>
      <c r="W114" s="82">
        <f t="shared" si="267"/>
        <v>0</v>
      </c>
      <c r="X114" s="39">
        <f t="shared" si="267"/>
        <v>0</v>
      </c>
      <c r="Y114" s="82">
        <f t="shared" si="267"/>
        <v>3819.5416998000001</v>
      </c>
      <c r="Z114" s="39">
        <f t="shared" si="267"/>
        <v>0</v>
      </c>
      <c r="AA114" s="39">
        <f t="shared" si="267"/>
        <v>0</v>
      </c>
      <c r="AB114" s="62">
        <f t="shared" si="267"/>
        <v>0</v>
      </c>
      <c r="AC114" s="39">
        <f t="shared" si="267"/>
        <v>0</v>
      </c>
      <c r="AD114" s="62">
        <f t="shared" si="267"/>
        <v>0</v>
      </c>
      <c r="AE114" s="39">
        <f t="shared" si="267"/>
        <v>0</v>
      </c>
      <c r="AF114" s="39">
        <f t="shared" si="267"/>
        <v>0</v>
      </c>
      <c r="AG114" s="62">
        <f t="shared" si="267"/>
        <v>0</v>
      </c>
      <c r="AH114" s="39">
        <f t="shared" si="267"/>
        <v>0</v>
      </c>
      <c r="AI114" s="62">
        <f t="shared" si="267"/>
        <v>154.55398219426425</v>
      </c>
      <c r="AJ114" s="39">
        <f t="shared" si="267"/>
        <v>0</v>
      </c>
      <c r="AK114" s="39">
        <f t="shared" ref="AK114:BP114" si="268">AK105+AK106+SUM(AK108:AK110)-AK112-AK113</f>
        <v>0</v>
      </c>
      <c r="AL114" s="82">
        <f t="shared" si="268"/>
        <v>0</v>
      </c>
      <c r="AM114" s="39">
        <f t="shared" si="268"/>
        <v>0</v>
      </c>
      <c r="AN114" s="82">
        <f t="shared" si="268"/>
        <v>1377.7247824375452</v>
      </c>
      <c r="AO114" s="39">
        <f t="shared" si="268"/>
        <v>0</v>
      </c>
      <c r="AP114" s="549">
        <f t="shared" si="268"/>
        <v>0</v>
      </c>
      <c r="AQ114" s="62">
        <f t="shared" si="268"/>
        <v>0</v>
      </c>
      <c r="AR114" s="39">
        <f t="shared" si="268"/>
        <v>0</v>
      </c>
      <c r="AS114" s="62">
        <f t="shared" si="268"/>
        <v>2107.2343571599999</v>
      </c>
      <c r="AT114" s="39">
        <f t="shared" si="268"/>
        <v>0</v>
      </c>
      <c r="AU114" s="62">
        <f t="shared" si="268"/>
        <v>0</v>
      </c>
      <c r="AV114" s="39">
        <f t="shared" si="268"/>
        <v>0</v>
      </c>
      <c r="AW114" s="62">
        <f t="shared" si="268"/>
        <v>1137.5888468379444</v>
      </c>
      <c r="AX114" s="39">
        <f t="shared" si="268"/>
        <v>0</v>
      </c>
      <c r="AY114" s="39">
        <f t="shared" si="268"/>
        <v>0</v>
      </c>
      <c r="AZ114" s="62">
        <f t="shared" si="268"/>
        <v>0</v>
      </c>
      <c r="BA114" s="39">
        <f t="shared" si="268"/>
        <v>0</v>
      </c>
      <c r="BB114" s="39">
        <f t="shared" si="268"/>
        <v>0</v>
      </c>
      <c r="BC114" s="39">
        <f t="shared" si="268"/>
        <v>0</v>
      </c>
      <c r="BD114" s="39">
        <f t="shared" si="268"/>
        <v>0</v>
      </c>
      <c r="BE114" s="62">
        <f t="shared" si="268"/>
        <v>0</v>
      </c>
      <c r="BF114" s="39">
        <f t="shared" si="268"/>
        <v>0</v>
      </c>
      <c r="BG114" s="62">
        <f t="shared" si="268"/>
        <v>3421.9024305000003</v>
      </c>
      <c r="BH114" s="39">
        <f t="shared" si="268"/>
        <v>0</v>
      </c>
      <c r="BI114" s="62">
        <f t="shared" si="268"/>
        <v>0</v>
      </c>
      <c r="BJ114" s="39">
        <f t="shared" si="268"/>
        <v>0</v>
      </c>
      <c r="BK114" s="62">
        <f t="shared" si="268"/>
        <v>7.8503508000000011</v>
      </c>
      <c r="BL114" s="39">
        <f t="shared" si="268"/>
        <v>0</v>
      </c>
      <c r="BM114" s="62">
        <f t="shared" si="268"/>
        <v>0</v>
      </c>
      <c r="BN114" s="39">
        <f t="shared" si="268"/>
        <v>0</v>
      </c>
      <c r="BO114" s="82">
        <f t="shared" si="268"/>
        <v>0</v>
      </c>
      <c r="BP114" s="39">
        <f t="shared" si="268"/>
        <v>0</v>
      </c>
      <c r="BQ114" s="39">
        <f t="shared" ref="BQ114:BU114" si="269">BQ105+BQ106+SUM(BQ108:BQ110)-BQ112-BQ113</f>
        <v>0</v>
      </c>
      <c r="BR114" s="62">
        <f t="shared" si="269"/>
        <v>0</v>
      </c>
      <c r="BS114" s="39">
        <f t="shared" si="269"/>
        <v>0</v>
      </c>
      <c r="BT114" s="62">
        <f t="shared" si="269"/>
        <v>0</v>
      </c>
      <c r="BU114" s="39">
        <f t="shared" si="269"/>
        <v>0</v>
      </c>
      <c r="BV114" s="39"/>
      <c r="BW114" s="62">
        <f t="shared" ref="BW114:CH114" si="270">BW105+BW106+SUM(BW108:BW110)-BW112-BW113</f>
        <v>0</v>
      </c>
      <c r="BX114" s="39">
        <f t="shared" si="270"/>
        <v>0</v>
      </c>
      <c r="BY114" s="62">
        <f t="shared" si="270"/>
        <v>2050.8490572000001</v>
      </c>
      <c r="BZ114" s="39">
        <f t="shared" si="270"/>
        <v>0</v>
      </c>
      <c r="CA114" s="39">
        <f t="shared" si="270"/>
        <v>0</v>
      </c>
      <c r="CB114" s="62">
        <f t="shared" si="270"/>
        <v>0</v>
      </c>
      <c r="CC114" s="62">
        <f t="shared" si="270"/>
        <v>0</v>
      </c>
      <c r="CD114" s="39"/>
      <c r="CE114" s="62">
        <f t="shared" si="270"/>
        <v>0</v>
      </c>
      <c r="CF114" s="39">
        <f t="shared" si="270"/>
        <v>0</v>
      </c>
      <c r="CG114" s="62">
        <f t="shared" si="270"/>
        <v>0</v>
      </c>
      <c r="CH114" s="39">
        <f t="shared" si="270"/>
        <v>0</v>
      </c>
    </row>
    <row r="115" spans="2:86" s="40" customFormat="1" x14ac:dyDescent="0.35">
      <c r="B115" s="311"/>
      <c r="C115" s="312"/>
      <c r="D115" s="404"/>
      <c r="E115" s="62"/>
      <c r="F115" s="404"/>
      <c r="G115" s="82"/>
      <c r="H115" s="39"/>
      <c r="I115" s="82"/>
      <c r="J115" s="39"/>
      <c r="K115" s="82"/>
      <c r="L115" s="39"/>
      <c r="M115" s="82"/>
      <c r="N115" s="39"/>
      <c r="O115" s="82"/>
      <c r="P115" s="39"/>
      <c r="Q115" s="82"/>
      <c r="R115" s="39"/>
      <c r="S115" s="82"/>
      <c r="T115" s="39"/>
      <c r="U115" s="62"/>
      <c r="V115" s="39"/>
      <c r="W115" s="82"/>
      <c r="X115" s="39"/>
      <c r="Y115" s="82"/>
      <c r="Z115" s="39"/>
      <c r="AA115" s="39"/>
      <c r="AB115" s="62"/>
      <c r="AC115" s="39"/>
      <c r="AD115" s="62"/>
      <c r="AE115" s="39"/>
      <c r="AF115" s="39"/>
      <c r="AG115" s="62"/>
      <c r="AH115" s="39"/>
      <c r="AI115" s="62"/>
      <c r="AJ115" s="39"/>
      <c r="AK115" s="39"/>
      <c r="AL115" s="82"/>
      <c r="AM115" s="39"/>
      <c r="AN115" s="82"/>
      <c r="AO115" s="39"/>
      <c r="AP115" s="549"/>
      <c r="AQ115" s="62"/>
      <c r="AR115" s="39"/>
      <c r="AS115" s="62"/>
      <c r="AT115" s="39"/>
      <c r="AU115" s="62"/>
      <c r="AV115" s="39"/>
      <c r="AW115" s="62"/>
      <c r="AX115" s="39"/>
      <c r="AY115" s="39"/>
      <c r="AZ115" s="62"/>
      <c r="BA115" s="39"/>
      <c r="BB115" s="39"/>
      <c r="BC115" s="39"/>
      <c r="BD115" s="39"/>
      <c r="BE115" s="62"/>
      <c r="BF115" s="39"/>
      <c r="BG115" s="62"/>
      <c r="BH115" s="39"/>
      <c r="BI115" s="62"/>
      <c r="BJ115" s="39"/>
      <c r="BK115" s="62"/>
      <c r="BL115" s="39"/>
      <c r="BM115" s="62"/>
      <c r="BN115" s="39"/>
      <c r="BO115" s="82"/>
      <c r="BP115" s="39"/>
      <c r="BQ115" s="39"/>
      <c r="BR115" s="62"/>
      <c r="BS115" s="39"/>
      <c r="BT115" s="62"/>
      <c r="BU115" s="39"/>
      <c r="BV115" s="39"/>
      <c r="BW115" s="62"/>
      <c r="BX115" s="39"/>
      <c r="BY115" s="62"/>
      <c r="BZ115" s="39"/>
      <c r="CA115" s="39"/>
      <c r="CB115" s="62"/>
      <c r="CC115" s="62"/>
      <c r="CD115" s="39"/>
      <c r="CE115" s="62"/>
      <c r="CF115" s="39"/>
      <c r="CG115" s="62"/>
      <c r="CH115" s="39"/>
    </row>
    <row r="116" spans="2:86" x14ac:dyDescent="0.35">
      <c r="B116" s="123" t="s">
        <v>475</v>
      </c>
      <c r="C116" s="124"/>
      <c r="AA116" s="28"/>
    </row>
    <row r="117" spans="2:86" x14ac:dyDescent="0.35">
      <c r="B117" s="275" t="s">
        <v>477</v>
      </c>
      <c r="C117" s="120"/>
      <c r="AA117" s="28"/>
    </row>
    <row r="118" spans="2:86" ht="8.5" customHeight="1" x14ac:dyDescent="0.35">
      <c r="B118" s="275"/>
      <c r="C118" s="120"/>
      <c r="AA118" s="28"/>
    </row>
    <row r="119" spans="2:86" x14ac:dyDescent="0.35">
      <c r="B119" s="275" t="s">
        <v>424</v>
      </c>
      <c r="C119" s="120"/>
      <c r="E119" s="59">
        <f>SUMIF('05.conso TB'!A:A,'May-26'!B119,'05.conso TB'!R:R)/10^5</f>
        <v>250.39250000000001</v>
      </c>
      <c r="I119" s="74">
        <f>SUMIF('05.conso TB'!A:A,'May-26'!B119,'05.conso TB'!S:S)/10^5</f>
        <v>0.32596000000000003</v>
      </c>
      <c r="Q119" s="76">
        <f>SUMIF('05.conso TB'!A:A,'May-26'!B119,'05.conso TB'!U:U)/10^5</f>
        <v>15.4331672</v>
      </c>
      <c r="U119" s="75">
        <f>SUMIF('05.conso TB'!A:A,'May-26'!B119,'05.conso TB'!V:V)/10^5</f>
        <v>48.769940499999997</v>
      </c>
      <c r="Y119" s="76">
        <f>SUMIF('05.conso TB'!A:A,'May-26'!B119,'05.conso TB'!G:G)/10^5</f>
        <v>0</v>
      </c>
      <c r="AA119" s="28"/>
      <c r="AI119" s="75">
        <f>SUMIF('05.conso TB'!A:A,'May-26'!B119,'05.conso TB'!Q:Q)/10^5</f>
        <v>0</v>
      </c>
      <c r="AN119" s="76">
        <f>SUMIF('05.conso TB'!A:A,'May-26'!B119,'05.conso TB'!W:W)/10^5</f>
        <v>546.42793470000004</v>
      </c>
      <c r="AS119" s="183">
        <f>SUMIF('05.conso TB'!A:A,'May-26'!B119,'05.conso TB'!M:M)/10^5</f>
        <v>0</v>
      </c>
      <c r="AW119" s="77">
        <f>SUMIF('05.conso TB'!A:A,'May-26'!B119,'05.conso TB'!P:P)/10^5</f>
        <v>0</v>
      </c>
      <c r="BG119" s="77">
        <f>SUMIF('05.conso TB'!A:A,'May-26'!B119,'05.conso TB'!H:H)/10^5</f>
        <v>575.32657180000001</v>
      </c>
      <c r="BK119" s="183">
        <f>SUMIF('05.conso TB'!A:A,'May-26'!B119,'05.conso TB'!I:I)/10^5</f>
        <v>0</v>
      </c>
      <c r="BO119" s="76">
        <f>SUMIF('05.conso TB'!A:A,'May-26'!B119,'05.conso TB'!J:J)/10^5</f>
        <v>0</v>
      </c>
      <c r="BY119" s="183">
        <f>SUMIF('05.conso TB'!A:A,'May-26'!B119,'05.conso TB'!L:L)/10^5</f>
        <v>0</v>
      </c>
    </row>
    <row r="120" spans="2:86" x14ac:dyDescent="0.35">
      <c r="B120" s="275" t="s">
        <v>480</v>
      </c>
      <c r="C120" s="120"/>
      <c r="E120" s="59">
        <f>SUMIF('05.conso TB'!A:A,'May-26'!B120,'05.conso TB'!R:R)/10^5</f>
        <v>0</v>
      </c>
      <c r="I120" s="59">
        <f>SUMIF('05.conso TB'!E:E,'May-26'!F120,'05.conso TB'!V:V)/10^5</f>
        <v>0</v>
      </c>
      <c r="Q120" s="76">
        <f>SUMIF('05.conso TB'!A:A,'May-26'!B120,'05.conso TB'!U:U)/10^5</f>
        <v>0</v>
      </c>
      <c r="U120" s="75">
        <f>SUMIF('05.conso TB'!A:A,'May-26'!B120,'05.conso TB'!V:V)/10^5</f>
        <v>0</v>
      </c>
      <c r="Y120" s="76">
        <f>SUMIF('05.conso TB'!A:A,'May-26'!B120,'05.conso TB'!G:G)/10^5</f>
        <v>0</v>
      </c>
      <c r="AA120" s="34"/>
      <c r="AI120" s="75">
        <f>SUMIF('05.conso TB'!A:A,'May-26'!B120,'05.conso TB'!Q:Q)/10^5</f>
        <v>0</v>
      </c>
      <c r="AN120" s="76">
        <f>SUMIF('05.conso TB'!A:A,'May-26'!B120,'05.conso TB'!W:W)/10^5</f>
        <v>0</v>
      </c>
      <c r="AS120" s="183">
        <f>SUMIF('05.conso TB'!A:A,'May-26'!B120,'05.conso TB'!M:M)/10^5</f>
        <v>0</v>
      </c>
      <c r="AW120" s="77">
        <f>SUMIF('05.conso TB'!A:A,'May-26'!B120,'05.conso TB'!P:P)/10^5</f>
        <v>0</v>
      </c>
      <c r="BG120" s="77">
        <f>SUMIF('05.conso TB'!A:A,'May-26'!B120,'05.conso TB'!H:H)/10^5</f>
        <v>0</v>
      </c>
      <c r="BK120" s="183">
        <f>SUMIF('05.conso TB'!A:A,'May-26'!B120,'05.conso TB'!I:I)/10^5</f>
        <v>0</v>
      </c>
      <c r="BO120" s="76">
        <f>SUMIF('05.conso TB'!A:A,'May-26'!B120,'05.conso TB'!J:J)/10^5</f>
        <v>0</v>
      </c>
      <c r="BY120" s="183">
        <f>SUMIF('05.conso TB'!A:A,'May-26'!B120,'05.conso TB'!L:L)/10^5</f>
        <v>0</v>
      </c>
    </row>
    <row r="121" spans="2:86" ht="7.5" customHeight="1" x14ac:dyDescent="0.35">
      <c r="B121" s="275"/>
      <c r="C121" s="120"/>
      <c r="AA121" s="34"/>
      <c r="AN121" s="76">
        <f>SUMIF('05.conso TB'!A:A,'May-26'!B121,'05.conso TB'!W:W)/10^5</f>
        <v>0</v>
      </c>
      <c r="AR121" s="35"/>
      <c r="AV121" s="35"/>
      <c r="BA121" s="35"/>
      <c r="BF121" s="35"/>
      <c r="BJ121" s="35"/>
      <c r="BS121" s="35"/>
      <c r="CF121" s="35"/>
    </row>
    <row r="122" spans="2:86" x14ac:dyDescent="0.35">
      <c r="B122" s="275" t="s">
        <v>483</v>
      </c>
      <c r="C122" s="120"/>
      <c r="AA122" s="34"/>
      <c r="AR122" s="35"/>
      <c r="AV122" s="35"/>
      <c r="BA122" s="35"/>
      <c r="BF122" s="35"/>
      <c r="BJ122" s="35"/>
      <c r="BS122" s="35"/>
      <c r="CF122" s="35"/>
    </row>
    <row r="123" spans="2:86" s="313" customFormat="1" x14ac:dyDescent="0.35">
      <c r="B123" s="321" t="s">
        <v>484</v>
      </c>
      <c r="C123" s="315"/>
      <c r="D123" s="403"/>
      <c r="E123" s="317"/>
      <c r="F123" s="403"/>
      <c r="G123" s="318"/>
      <c r="H123" s="316"/>
      <c r="I123" s="318"/>
      <c r="K123" s="318"/>
      <c r="L123" s="316"/>
      <c r="M123" s="318"/>
      <c r="O123" s="318"/>
      <c r="P123" s="316"/>
      <c r="Q123" s="349"/>
      <c r="S123" s="318"/>
      <c r="T123" s="316"/>
      <c r="U123" s="317"/>
      <c r="W123" s="318"/>
      <c r="X123" s="316"/>
      <c r="Y123" s="318"/>
      <c r="AA123" s="322"/>
      <c r="AB123" s="317"/>
      <c r="AD123" s="317"/>
      <c r="AG123" s="317"/>
      <c r="AH123" s="316"/>
      <c r="AI123" s="317"/>
      <c r="AL123" s="318"/>
      <c r="AM123" s="316"/>
      <c r="AN123" s="318"/>
      <c r="AQ123" s="317"/>
      <c r="AR123" s="323"/>
      <c r="AS123" s="317"/>
      <c r="AU123" s="317"/>
      <c r="AV123" s="323"/>
      <c r="AW123" s="317"/>
      <c r="AZ123" s="317"/>
      <c r="BA123" s="323"/>
      <c r="BE123" s="317"/>
      <c r="BF123" s="323"/>
      <c r="BG123" s="317"/>
      <c r="BI123" s="317"/>
      <c r="BJ123" s="323"/>
      <c r="BK123" s="317"/>
      <c r="BM123" s="317"/>
      <c r="BO123" s="318"/>
      <c r="BQ123" s="320"/>
      <c r="BR123" s="317"/>
      <c r="BS123" s="323"/>
      <c r="BT123" s="317"/>
      <c r="BW123" s="317"/>
      <c r="BY123" s="317"/>
      <c r="CB123" s="317"/>
      <c r="CC123" s="317"/>
      <c r="CE123" s="317"/>
      <c r="CF123" s="323"/>
      <c r="CG123" s="317"/>
    </row>
    <row r="124" spans="2:86" x14ac:dyDescent="0.35">
      <c r="B124" s="121" t="s">
        <v>485</v>
      </c>
      <c r="C124" s="122">
        <f>SUM(C117:C120)-C123</f>
        <v>0</v>
      </c>
      <c r="D124" s="405"/>
      <c r="E124" s="62">
        <f t="shared" ref="E124:AJ124" si="271">E117+SUM(E119:E120)-E123</f>
        <v>250.39250000000001</v>
      </c>
      <c r="F124" s="404">
        <f t="shared" si="271"/>
        <v>0</v>
      </c>
      <c r="G124" s="82">
        <f t="shared" si="271"/>
        <v>0</v>
      </c>
      <c r="H124" s="39">
        <f t="shared" si="271"/>
        <v>0</v>
      </c>
      <c r="I124" s="82">
        <f t="shared" si="271"/>
        <v>0.32596000000000003</v>
      </c>
      <c r="J124" s="39">
        <f t="shared" si="271"/>
        <v>0</v>
      </c>
      <c r="K124" s="82">
        <f t="shared" si="271"/>
        <v>0</v>
      </c>
      <c r="L124" s="39">
        <f t="shared" si="271"/>
        <v>0</v>
      </c>
      <c r="M124" s="82">
        <f t="shared" si="271"/>
        <v>0</v>
      </c>
      <c r="N124" s="39">
        <f t="shared" si="271"/>
        <v>0</v>
      </c>
      <c r="O124" s="82">
        <f t="shared" si="271"/>
        <v>0</v>
      </c>
      <c r="P124" s="39">
        <f t="shared" si="271"/>
        <v>0</v>
      </c>
      <c r="Q124" s="82">
        <f t="shared" si="271"/>
        <v>15.4331672</v>
      </c>
      <c r="R124" s="39">
        <f t="shared" si="271"/>
        <v>0</v>
      </c>
      <c r="S124" s="82">
        <f t="shared" si="271"/>
        <v>0</v>
      </c>
      <c r="T124" s="39">
        <f t="shared" si="271"/>
        <v>0</v>
      </c>
      <c r="U124" s="62">
        <f t="shared" si="271"/>
        <v>48.769940499999997</v>
      </c>
      <c r="V124" s="39">
        <f t="shared" si="271"/>
        <v>0</v>
      </c>
      <c r="W124" s="82">
        <f t="shared" si="271"/>
        <v>0</v>
      </c>
      <c r="X124" s="39">
        <f t="shared" si="271"/>
        <v>0</v>
      </c>
      <c r="Y124" s="82">
        <f t="shared" si="271"/>
        <v>0</v>
      </c>
      <c r="Z124" s="39">
        <f t="shared" si="271"/>
        <v>0</v>
      </c>
      <c r="AA124" s="39">
        <f t="shared" si="271"/>
        <v>0</v>
      </c>
      <c r="AB124" s="62">
        <f t="shared" si="271"/>
        <v>0</v>
      </c>
      <c r="AC124" s="39">
        <f t="shared" si="271"/>
        <v>0</v>
      </c>
      <c r="AD124" s="62">
        <f t="shared" si="271"/>
        <v>0</v>
      </c>
      <c r="AE124" s="39">
        <f t="shared" si="271"/>
        <v>0</v>
      </c>
      <c r="AF124" s="39">
        <f t="shared" si="271"/>
        <v>0</v>
      </c>
      <c r="AG124" s="62">
        <f t="shared" si="271"/>
        <v>0</v>
      </c>
      <c r="AH124" s="39">
        <f t="shared" si="271"/>
        <v>0</v>
      </c>
      <c r="AI124" s="62">
        <f t="shared" si="271"/>
        <v>0</v>
      </c>
      <c r="AJ124" s="39">
        <f t="shared" si="271"/>
        <v>0</v>
      </c>
      <c r="AK124" s="39">
        <f t="shared" ref="AK124:BP124" si="272">AK117+SUM(AK119:AK120)-AK123</f>
        <v>0</v>
      </c>
      <c r="AL124" s="82">
        <f t="shared" si="272"/>
        <v>0</v>
      </c>
      <c r="AM124" s="39">
        <f t="shared" si="272"/>
        <v>0</v>
      </c>
      <c r="AN124" s="82">
        <f t="shared" si="272"/>
        <v>546.42793470000004</v>
      </c>
      <c r="AO124" s="39">
        <f t="shared" si="272"/>
        <v>0</v>
      </c>
      <c r="AP124" s="549">
        <f t="shared" si="272"/>
        <v>0</v>
      </c>
      <c r="AQ124" s="62">
        <f t="shared" si="272"/>
        <v>0</v>
      </c>
      <c r="AR124" s="39">
        <f t="shared" si="272"/>
        <v>0</v>
      </c>
      <c r="AS124" s="62">
        <f t="shared" si="272"/>
        <v>0</v>
      </c>
      <c r="AT124" s="39">
        <f t="shared" si="272"/>
        <v>0</v>
      </c>
      <c r="AU124" s="62">
        <f t="shared" si="272"/>
        <v>0</v>
      </c>
      <c r="AV124" s="39">
        <f t="shared" si="272"/>
        <v>0</v>
      </c>
      <c r="AW124" s="62">
        <f t="shared" si="272"/>
        <v>0</v>
      </c>
      <c r="AX124" s="39">
        <f t="shared" si="272"/>
        <v>0</v>
      </c>
      <c r="AY124" s="39">
        <f t="shared" si="272"/>
        <v>0</v>
      </c>
      <c r="AZ124" s="62">
        <f t="shared" si="272"/>
        <v>0</v>
      </c>
      <c r="BA124" s="39">
        <f t="shared" si="272"/>
        <v>0</v>
      </c>
      <c r="BB124" s="39">
        <f t="shared" si="272"/>
        <v>0</v>
      </c>
      <c r="BC124" s="39">
        <f t="shared" si="272"/>
        <v>0</v>
      </c>
      <c r="BD124" s="39">
        <f t="shared" si="272"/>
        <v>0</v>
      </c>
      <c r="BE124" s="62">
        <f t="shared" si="272"/>
        <v>0</v>
      </c>
      <c r="BF124" s="39">
        <f t="shared" si="272"/>
        <v>0</v>
      </c>
      <c r="BG124" s="62">
        <f t="shared" si="272"/>
        <v>575.32657180000001</v>
      </c>
      <c r="BH124" s="39">
        <f t="shared" si="272"/>
        <v>0</v>
      </c>
      <c r="BI124" s="62">
        <f t="shared" si="272"/>
        <v>0</v>
      </c>
      <c r="BJ124" s="39">
        <f t="shared" si="272"/>
        <v>0</v>
      </c>
      <c r="BK124" s="62">
        <f t="shared" si="272"/>
        <v>0</v>
      </c>
      <c r="BL124" s="39">
        <f t="shared" si="272"/>
        <v>0</v>
      </c>
      <c r="BM124" s="62">
        <f t="shared" si="272"/>
        <v>0</v>
      </c>
      <c r="BN124" s="39">
        <f t="shared" si="272"/>
        <v>0</v>
      </c>
      <c r="BO124" s="82">
        <f t="shared" si="272"/>
        <v>0</v>
      </c>
      <c r="BP124" s="39">
        <f t="shared" si="272"/>
        <v>0</v>
      </c>
      <c r="BQ124" s="39">
        <f t="shared" ref="BQ124:BU124" si="273">BQ117+SUM(BQ119:BQ120)-BQ123</f>
        <v>0</v>
      </c>
      <c r="BR124" s="62">
        <f t="shared" si="273"/>
        <v>0</v>
      </c>
      <c r="BS124" s="39">
        <f t="shared" si="273"/>
        <v>0</v>
      </c>
      <c r="BT124" s="62">
        <f t="shared" si="273"/>
        <v>0</v>
      </c>
      <c r="BU124" s="39">
        <f t="shared" si="273"/>
        <v>0</v>
      </c>
      <c r="BV124" s="39"/>
      <c r="BW124" s="62">
        <f t="shared" ref="BW124:CH124" si="274">BW117+SUM(BW119:BW120)-BW123</f>
        <v>0</v>
      </c>
      <c r="BX124" s="39">
        <f t="shared" si="274"/>
        <v>0</v>
      </c>
      <c r="BY124" s="62">
        <f t="shared" si="274"/>
        <v>0</v>
      </c>
      <c r="BZ124" s="39">
        <f t="shared" si="274"/>
        <v>0</v>
      </c>
      <c r="CA124" s="39">
        <f t="shared" si="274"/>
        <v>0</v>
      </c>
      <c r="CB124" s="62">
        <f t="shared" si="274"/>
        <v>0</v>
      </c>
      <c r="CC124" s="62">
        <f t="shared" si="274"/>
        <v>0</v>
      </c>
      <c r="CD124" s="39"/>
      <c r="CE124" s="62">
        <f t="shared" si="274"/>
        <v>0</v>
      </c>
      <c r="CF124" s="39">
        <f t="shared" si="274"/>
        <v>0</v>
      </c>
      <c r="CG124" s="62">
        <f t="shared" si="274"/>
        <v>0</v>
      </c>
      <c r="CH124" s="39">
        <f t="shared" si="274"/>
        <v>0</v>
      </c>
    </row>
    <row r="125" spans="2:86" x14ac:dyDescent="0.35">
      <c r="B125" s="125"/>
      <c r="C125" s="124"/>
      <c r="AA125" s="34"/>
    </row>
    <row r="126" spans="2:86" x14ac:dyDescent="0.35">
      <c r="B126" s="118" t="s">
        <v>478</v>
      </c>
      <c r="C126" s="120"/>
      <c r="AA126" s="34"/>
    </row>
    <row r="127" spans="2:86" x14ac:dyDescent="0.35">
      <c r="B127" s="275" t="s">
        <v>488</v>
      </c>
      <c r="C127" s="120"/>
      <c r="E127" s="60">
        <f>('Stock sheet'!B55)</f>
        <v>45.182087899999999</v>
      </c>
      <c r="AA127" s="34"/>
      <c r="AI127" s="60">
        <f>'Stock sheet'!B66</f>
        <v>54.616949999999925</v>
      </c>
      <c r="AN127" s="18">
        <f>'Stock sheet'!B65</f>
        <v>126.9510674416145</v>
      </c>
      <c r="BG127" s="60">
        <f>+'Stock sheet'!B61</f>
        <v>424.60086000000001</v>
      </c>
      <c r="BK127" s="60">
        <f>'Stock sheet'!B62</f>
        <v>7.6285100000000003</v>
      </c>
      <c r="BO127" s="80">
        <f>'Stock sheet'!B63</f>
        <v>0</v>
      </c>
    </row>
    <row r="128" spans="2:86" x14ac:dyDescent="0.35">
      <c r="B128" s="275" t="s">
        <v>489</v>
      </c>
      <c r="C128" s="120"/>
      <c r="E128" s="60">
        <f>('Stock sheet'!B70)</f>
        <v>822.78659270199955</v>
      </c>
      <c r="I128" s="80">
        <f>('Stock sheet'!B71)</f>
        <v>1483.2756530999993</v>
      </c>
      <c r="Q128" s="80">
        <f>'Stock sheet'!B72</f>
        <v>382.8430171955128</v>
      </c>
      <c r="AA128" s="34"/>
      <c r="AI128" s="60">
        <f>'Stock sheet'!B81</f>
        <v>35.190206000000096</v>
      </c>
      <c r="AN128" s="18">
        <f>'Stock sheet'!B80</f>
        <v>286.24972517618829</v>
      </c>
      <c r="AS128" s="60">
        <f>'Stock sheet'!B73</f>
        <v>2064.4699999999998</v>
      </c>
      <c r="AW128" s="60">
        <f>'Stock sheet'!B75</f>
        <v>448.86324069778243</v>
      </c>
      <c r="BG128" s="60">
        <f>'Stock sheet'!B76</f>
        <v>69.965829999999997</v>
      </c>
      <c r="BK128" s="60">
        <f>'Stock sheet'!B77</f>
        <v>7.5147199999999996</v>
      </c>
      <c r="BO128" s="80">
        <f>'Stock sheet'!B78</f>
        <v>0</v>
      </c>
    </row>
    <row r="129" spans="1:86" ht="8.5" customHeight="1" x14ac:dyDescent="0.35">
      <c r="B129" s="275"/>
      <c r="C129" s="120"/>
      <c r="E129" s="60">
        <v>0</v>
      </c>
      <c r="I129" s="80">
        <v>0</v>
      </c>
      <c r="AA129" s="34"/>
    </row>
    <row r="130" spans="1:86" s="313" customFormat="1" x14ac:dyDescent="0.35">
      <c r="B130" s="314" t="s">
        <v>491</v>
      </c>
      <c r="C130" s="315"/>
      <c r="D130" s="403"/>
      <c r="E130" s="317">
        <f>+'Stock sheet'!D55</f>
        <v>72.624571000000017</v>
      </c>
      <c r="F130" s="403"/>
      <c r="G130" s="318"/>
      <c r="H130" s="316"/>
      <c r="I130" s="318">
        <f>+'Stock sheet'!D56</f>
        <v>0</v>
      </c>
      <c r="K130" s="318"/>
      <c r="L130" s="316"/>
      <c r="M130" s="318"/>
      <c r="O130" s="318"/>
      <c r="P130" s="316"/>
      <c r="Q130" s="349">
        <f>+'Stock sheet'!D57</f>
        <v>0</v>
      </c>
      <c r="S130" s="318"/>
      <c r="T130" s="316"/>
      <c r="U130" s="317"/>
      <c r="W130" s="318"/>
      <c r="X130" s="316"/>
      <c r="Y130" s="318"/>
      <c r="AA130" s="322"/>
      <c r="AB130" s="317"/>
      <c r="AD130" s="317"/>
      <c r="AG130" s="317"/>
      <c r="AH130" s="316"/>
      <c r="AI130" s="317">
        <f>+'Stock sheet'!D66</f>
        <v>32.399917498800342</v>
      </c>
      <c r="AL130" s="318"/>
      <c r="AM130" s="316"/>
      <c r="AN130" s="318">
        <f>+'Stock sheet'!D65</f>
        <v>150.87580605854399</v>
      </c>
      <c r="AQ130" s="317"/>
      <c r="AR130" s="316"/>
      <c r="AS130" s="317">
        <f>+'Stock sheet'!D58</f>
        <v>0</v>
      </c>
      <c r="AU130" s="317"/>
      <c r="AV130" s="316"/>
      <c r="AW130" s="317">
        <f>+'Stock sheet'!D60</f>
        <v>0</v>
      </c>
      <c r="AZ130" s="317"/>
      <c r="BA130" s="316"/>
      <c r="BE130" s="317"/>
      <c r="BF130" s="316"/>
      <c r="BG130" s="317">
        <f>+'Stock sheet'!D61</f>
        <v>409.09111999999999</v>
      </c>
      <c r="BI130" s="317"/>
      <c r="BJ130" s="316"/>
      <c r="BK130" s="350">
        <f>+'Stock sheet'!D62</f>
        <v>3.12616</v>
      </c>
      <c r="BM130" s="317"/>
      <c r="BO130" s="318">
        <f>+'Stock sheet'!D63</f>
        <v>0</v>
      </c>
      <c r="BQ130" s="320"/>
      <c r="BR130" s="317"/>
      <c r="BS130" s="316"/>
      <c r="BT130" s="317"/>
      <c r="BW130" s="317"/>
      <c r="BY130" s="317"/>
      <c r="CB130" s="317"/>
      <c r="CC130" s="317"/>
      <c r="CE130" s="317"/>
      <c r="CF130" s="316"/>
      <c r="CG130" s="317"/>
    </row>
    <row r="131" spans="1:86" s="313" customFormat="1" x14ac:dyDescent="0.35">
      <c r="B131" s="321" t="s">
        <v>493</v>
      </c>
      <c r="C131" s="315"/>
      <c r="D131" s="403"/>
      <c r="E131" s="317">
        <f>+'Stock sheet'!D70</f>
        <v>894.488661009</v>
      </c>
      <c r="F131" s="403"/>
      <c r="G131" s="318"/>
      <c r="H131" s="316"/>
      <c r="I131" s="318">
        <f>+'Stock sheet'!D71</f>
        <v>1485.8989681999999</v>
      </c>
      <c r="K131" s="318"/>
      <c r="L131" s="316"/>
      <c r="M131" s="318"/>
      <c r="O131" s="318"/>
      <c r="P131" s="316"/>
      <c r="Q131" s="349">
        <f>+'Stock sheet'!D72</f>
        <v>532.42933479999999</v>
      </c>
      <c r="S131" s="318"/>
      <c r="T131" s="316"/>
      <c r="U131" s="317"/>
      <c r="W131" s="318"/>
      <c r="X131" s="316"/>
      <c r="Y131" s="318"/>
      <c r="AA131" s="322"/>
      <c r="AB131" s="317"/>
      <c r="AD131" s="317"/>
      <c r="AG131" s="317"/>
      <c r="AH131" s="316"/>
      <c r="AI131" s="317">
        <f>+'Stock sheet'!D81</f>
        <v>9.1519999999999992</v>
      </c>
      <c r="AL131" s="318"/>
      <c r="AM131" s="316"/>
      <c r="AN131" s="318">
        <f>+'Stock sheet'!D80</f>
        <v>357.33717781490259</v>
      </c>
      <c r="AQ131" s="317"/>
      <c r="AR131" s="316"/>
      <c r="AS131" s="317">
        <f>+'Stock sheet'!D73</f>
        <v>3062.0339433099998</v>
      </c>
      <c r="AU131" s="317"/>
      <c r="AV131" s="316"/>
      <c r="AW131" s="317">
        <f>+'Stock sheet'!D75</f>
        <v>663.21799884706797</v>
      </c>
      <c r="AZ131" s="317"/>
      <c r="BA131" s="316"/>
      <c r="BE131" s="317"/>
      <c r="BF131" s="316"/>
      <c r="BG131" s="317">
        <f>+'Stock sheet'!D76</f>
        <v>59.015250000000002</v>
      </c>
      <c r="BI131" s="317"/>
      <c r="BJ131" s="316"/>
      <c r="BK131" s="350">
        <f>+'Stock sheet'!D77</f>
        <v>4.40604</v>
      </c>
      <c r="BM131" s="317"/>
      <c r="BO131" s="318">
        <f>+'Stock sheet'!D78</f>
        <v>0</v>
      </c>
      <c r="BQ131" s="320"/>
      <c r="BR131" s="317"/>
      <c r="BS131" s="316"/>
      <c r="BT131" s="317"/>
      <c r="BW131" s="317"/>
      <c r="BY131" s="317"/>
      <c r="CB131" s="317"/>
      <c r="CC131" s="317"/>
      <c r="CE131" s="317"/>
      <c r="CF131" s="316"/>
      <c r="CG131" s="317"/>
    </row>
    <row r="132" spans="1:86" x14ac:dyDescent="0.35">
      <c r="B132" s="121" t="s">
        <v>494</v>
      </c>
      <c r="C132" s="122">
        <f>SUM(C127:C128)-SUM(C130:C131)</f>
        <v>0</v>
      </c>
      <c r="D132" s="404"/>
      <c r="E132" s="62">
        <f t="shared" ref="E132:BP132" si="275">E127+E128-E130-E131</f>
        <v>-99.144551407000563</v>
      </c>
      <c r="F132" s="404">
        <f t="shared" si="275"/>
        <v>0</v>
      </c>
      <c r="G132" s="82">
        <f t="shared" si="275"/>
        <v>0</v>
      </c>
      <c r="H132" s="39">
        <f t="shared" si="275"/>
        <v>0</v>
      </c>
      <c r="I132" s="82">
        <f t="shared" si="275"/>
        <v>-2.6233151000005819</v>
      </c>
      <c r="J132" s="39">
        <f t="shared" si="275"/>
        <v>0</v>
      </c>
      <c r="K132" s="82">
        <f t="shared" si="275"/>
        <v>0</v>
      </c>
      <c r="L132" s="39">
        <f t="shared" si="275"/>
        <v>0</v>
      </c>
      <c r="M132" s="82">
        <f t="shared" si="275"/>
        <v>0</v>
      </c>
      <c r="N132" s="39">
        <f t="shared" si="275"/>
        <v>0</v>
      </c>
      <c r="O132" s="82">
        <f t="shared" si="275"/>
        <v>0</v>
      </c>
      <c r="P132" s="39">
        <f t="shared" si="275"/>
        <v>0</v>
      </c>
      <c r="Q132" s="82">
        <f t="shared" si="275"/>
        <v>-149.58631760448719</v>
      </c>
      <c r="R132" s="39">
        <f t="shared" si="275"/>
        <v>0</v>
      </c>
      <c r="S132" s="82">
        <f t="shared" si="275"/>
        <v>0</v>
      </c>
      <c r="T132" s="39">
        <f t="shared" si="275"/>
        <v>0</v>
      </c>
      <c r="U132" s="62">
        <f t="shared" si="275"/>
        <v>0</v>
      </c>
      <c r="V132" s="39">
        <f t="shared" si="275"/>
        <v>0</v>
      </c>
      <c r="W132" s="82">
        <f t="shared" si="275"/>
        <v>0</v>
      </c>
      <c r="X132" s="39">
        <f t="shared" si="275"/>
        <v>0</v>
      </c>
      <c r="Y132" s="82">
        <f t="shared" si="275"/>
        <v>0</v>
      </c>
      <c r="Z132" s="39">
        <f t="shared" si="275"/>
        <v>0</v>
      </c>
      <c r="AA132" s="39">
        <f t="shared" si="275"/>
        <v>0</v>
      </c>
      <c r="AB132" s="62">
        <f t="shared" si="275"/>
        <v>0</v>
      </c>
      <c r="AC132" s="39">
        <f t="shared" si="275"/>
        <v>0</v>
      </c>
      <c r="AD132" s="62">
        <f t="shared" si="275"/>
        <v>0</v>
      </c>
      <c r="AE132" s="39">
        <f t="shared" si="275"/>
        <v>0</v>
      </c>
      <c r="AF132" s="39">
        <f t="shared" si="275"/>
        <v>0</v>
      </c>
      <c r="AG132" s="62">
        <f t="shared" si="275"/>
        <v>0</v>
      </c>
      <c r="AH132" s="39">
        <f t="shared" si="275"/>
        <v>0</v>
      </c>
      <c r="AI132" s="39">
        <f t="shared" si="275"/>
        <v>48.255238501199678</v>
      </c>
      <c r="AJ132" s="39">
        <f t="shared" si="275"/>
        <v>0</v>
      </c>
      <c r="AK132" s="39">
        <f t="shared" si="275"/>
        <v>0</v>
      </c>
      <c r="AL132" s="82">
        <f t="shared" si="275"/>
        <v>0</v>
      </c>
      <c r="AM132" s="39">
        <f t="shared" si="275"/>
        <v>0</v>
      </c>
      <c r="AN132" s="82">
        <f t="shared" si="275"/>
        <v>-95.012191255643756</v>
      </c>
      <c r="AO132" s="39">
        <f t="shared" si="275"/>
        <v>0</v>
      </c>
      <c r="AP132" s="549">
        <f t="shared" si="275"/>
        <v>0</v>
      </c>
      <c r="AQ132" s="62">
        <f t="shared" si="275"/>
        <v>0</v>
      </c>
      <c r="AR132" s="39">
        <f t="shared" si="275"/>
        <v>0</v>
      </c>
      <c r="AS132" s="62">
        <f t="shared" si="275"/>
        <v>-997.56394331000001</v>
      </c>
      <c r="AT132" s="39">
        <f t="shared" si="275"/>
        <v>0</v>
      </c>
      <c r="AU132" s="62">
        <f t="shared" si="275"/>
        <v>0</v>
      </c>
      <c r="AV132" s="39">
        <f t="shared" si="275"/>
        <v>0</v>
      </c>
      <c r="AW132" s="62">
        <f t="shared" si="275"/>
        <v>-214.35475814928554</v>
      </c>
      <c r="AX132" s="39">
        <f t="shared" si="275"/>
        <v>0</v>
      </c>
      <c r="AY132" s="39">
        <f t="shared" si="275"/>
        <v>0</v>
      </c>
      <c r="AZ132" s="62">
        <f t="shared" si="275"/>
        <v>0</v>
      </c>
      <c r="BA132" s="39">
        <f t="shared" si="275"/>
        <v>0</v>
      </c>
      <c r="BB132" s="39">
        <f t="shared" si="275"/>
        <v>0</v>
      </c>
      <c r="BC132" s="39">
        <f t="shared" si="275"/>
        <v>0</v>
      </c>
      <c r="BD132" s="39">
        <f t="shared" si="275"/>
        <v>0</v>
      </c>
      <c r="BE132" s="62">
        <f t="shared" si="275"/>
        <v>0</v>
      </c>
      <c r="BF132" s="39">
        <f t="shared" si="275"/>
        <v>0</v>
      </c>
      <c r="BG132" s="62">
        <f t="shared" si="275"/>
        <v>26.460320000000003</v>
      </c>
      <c r="BH132" s="39">
        <f t="shared" si="275"/>
        <v>0</v>
      </c>
      <c r="BI132" s="62">
        <f t="shared" si="275"/>
        <v>0</v>
      </c>
      <c r="BJ132" s="39">
        <f t="shared" si="275"/>
        <v>0</v>
      </c>
      <c r="BK132" s="62">
        <f t="shared" si="275"/>
        <v>7.6110299999999986</v>
      </c>
      <c r="BL132" s="39">
        <f t="shared" si="275"/>
        <v>0</v>
      </c>
      <c r="BM132" s="62">
        <f t="shared" si="275"/>
        <v>0</v>
      </c>
      <c r="BN132" s="39">
        <f t="shared" si="275"/>
        <v>0</v>
      </c>
      <c r="BO132" s="82">
        <f t="shared" si="275"/>
        <v>0</v>
      </c>
      <c r="BP132" s="39">
        <f t="shared" si="275"/>
        <v>0</v>
      </c>
      <c r="BQ132" s="39">
        <f t="shared" ref="BQ132:BU132" si="276">BQ127+BQ128-BQ130-BQ131</f>
        <v>0</v>
      </c>
      <c r="BR132" s="62">
        <f t="shared" si="276"/>
        <v>0</v>
      </c>
      <c r="BS132" s="39">
        <f t="shared" si="276"/>
        <v>0</v>
      </c>
      <c r="BT132" s="62">
        <f t="shared" si="276"/>
        <v>0</v>
      </c>
      <c r="BU132" s="39">
        <f t="shared" si="276"/>
        <v>0</v>
      </c>
      <c r="BV132" s="39"/>
      <c r="BW132" s="62">
        <f t="shared" ref="BW132:CH132" si="277">BW127+BW128-BW130-BW131</f>
        <v>0</v>
      </c>
      <c r="BX132" s="39">
        <f t="shared" si="277"/>
        <v>0</v>
      </c>
      <c r="BY132" s="62">
        <f t="shared" si="277"/>
        <v>0</v>
      </c>
      <c r="BZ132" s="39">
        <f t="shared" si="277"/>
        <v>0</v>
      </c>
      <c r="CA132" s="39">
        <f t="shared" si="277"/>
        <v>0</v>
      </c>
      <c r="CB132" s="62">
        <f t="shared" si="277"/>
        <v>0</v>
      </c>
      <c r="CC132" s="62">
        <f t="shared" si="277"/>
        <v>0</v>
      </c>
      <c r="CD132" s="39"/>
      <c r="CE132" s="62">
        <f t="shared" si="277"/>
        <v>0</v>
      </c>
      <c r="CF132" s="39">
        <f t="shared" si="277"/>
        <v>0</v>
      </c>
      <c r="CG132" s="62">
        <f t="shared" si="277"/>
        <v>0</v>
      </c>
      <c r="CH132" s="39">
        <f t="shared" si="277"/>
        <v>0</v>
      </c>
    </row>
    <row r="133" spans="1:86" x14ac:dyDescent="0.35">
      <c r="B133" s="125"/>
      <c r="C133" s="126"/>
      <c r="AA133" s="34"/>
    </row>
    <row r="134" spans="1:86" x14ac:dyDescent="0.35">
      <c r="B134" s="118" t="s">
        <v>479</v>
      </c>
      <c r="C134" s="126"/>
      <c r="AA134" s="34"/>
    </row>
    <row r="135" spans="1:86" x14ac:dyDescent="0.35">
      <c r="B135" s="275" t="s">
        <v>495</v>
      </c>
      <c r="C135" s="120"/>
      <c r="E135" s="60">
        <f>('Stock sheet'!B85)</f>
        <v>122.37933364999962</v>
      </c>
      <c r="I135" s="80">
        <f>('Stock sheet'!B86)</f>
        <v>120.16717750000002</v>
      </c>
      <c r="Q135" s="80">
        <f>'Stock sheet'!B87</f>
        <v>46.18</v>
      </c>
      <c r="AA135" s="34"/>
      <c r="AI135" s="60">
        <f>'Stock sheet'!B96</f>
        <v>130.79</v>
      </c>
      <c r="AN135" s="80">
        <f>'Stock sheet'!B95</f>
        <v>84.51</v>
      </c>
      <c r="AS135" s="60">
        <f>'Stock sheet'!B88</f>
        <v>128.98280019999999</v>
      </c>
      <c r="BG135" s="60">
        <f>'Stock sheet'!B91</f>
        <v>84.486270000000005</v>
      </c>
      <c r="BK135" s="60">
        <f>'Stock sheet'!B92</f>
        <v>19.112570000000002</v>
      </c>
      <c r="BO135" s="80">
        <f>'Stock sheet'!B93</f>
        <v>0</v>
      </c>
    </row>
    <row r="136" spans="1:86" s="29" customFormat="1" ht="5.5" customHeight="1" x14ac:dyDescent="0.35">
      <c r="A136" s="17"/>
      <c r="B136" s="275"/>
      <c r="C136" s="120"/>
      <c r="D136" s="27"/>
      <c r="E136" s="60"/>
      <c r="F136" s="27"/>
      <c r="G136" s="80"/>
      <c r="H136" s="18"/>
      <c r="I136" s="80"/>
      <c r="J136" s="17"/>
      <c r="K136" s="80"/>
      <c r="L136" s="18"/>
      <c r="M136" s="80"/>
      <c r="N136" s="17"/>
      <c r="O136" s="80"/>
      <c r="P136" s="18"/>
      <c r="Q136" s="80"/>
      <c r="R136" s="17"/>
      <c r="S136" s="80"/>
      <c r="T136" s="18"/>
      <c r="U136" s="60"/>
      <c r="V136" s="17"/>
      <c r="W136" s="80"/>
      <c r="X136" s="18"/>
      <c r="Y136" s="80"/>
      <c r="Z136" s="17"/>
      <c r="AA136" s="34"/>
      <c r="AB136" s="60"/>
      <c r="AC136" s="17"/>
      <c r="AD136" s="60"/>
      <c r="AE136" s="17"/>
      <c r="AF136" s="17"/>
      <c r="AG136" s="60"/>
      <c r="AH136" s="18"/>
      <c r="AI136" s="60"/>
      <c r="AJ136" s="17"/>
      <c r="AK136" s="17"/>
      <c r="AL136" s="80"/>
      <c r="AM136" s="18"/>
      <c r="AN136" s="80"/>
      <c r="AO136" s="17"/>
      <c r="AP136" s="17"/>
      <c r="AQ136" s="60"/>
      <c r="AR136" s="18"/>
      <c r="AS136" s="60"/>
      <c r="AT136" s="17"/>
      <c r="AU136" s="60"/>
      <c r="AV136" s="18"/>
      <c r="AW136" s="60"/>
      <c r="AX136" s="17"/>
      <c r="AY136" s="17"/>
      <c r="AZ136" s="60"/>
      <c r="BA136" s="18"/>
      <c r="BB136" s="17"/>
      <c r="BC136" s="17"/>
      <c r="BD136" s="17"/>
      <c r="BE136" s="60"/>
      <c r="BF136" s="18"/>
      <c r="BG136" s="60"/>
      <c r="BH136" s="17"/>
      <c r="BI136" s="60"/>
      <c r="BJ136" s="18"/>
      <c r="BK136" s="60"/>
      <c r="BL136" s="17"/>
      <c r="BM136" s="60"/>
      <c r="BN136" s="17"/>
      <c r="BO136" s="80"/>
      <c r="BP136" s="17"/>
      <c r="BQ136" s="20"/>
      <c r="BR136" s="60"/>
      <c r="BS136" s="18"/>
      <c r="BT136" s="60"/>
      <c r="BU136" s="17"/>
      <c r="BV136" s="17"/>
      <c r="BW136" s="60"/>
      <c r="BX136" s="17"/>
      <c r="BY136" s="60"/>
      <c r="BZ136" s="17"/>
      <c r="CA136" s="17"/>
      <c r="CB136" s="60"/>
      <c r="CC136" s="60"/>
      <c r="CD136" s="17"/>
      <c r="CE136" s="60"/>
      <c r="CF136" s="18"/>
      <c r="CG136" s="60"/>
      <c r="CH136" s="17"/>
    </row>
    <row r="137" spans="1:86" s="29" customFormat="1" x14ac:dyDescent="0.35">
      <c r="A137" s="17"/>
      <c r="B137" s="275" t="s">
        <v>421</v>
      </c>
      <c r="C137" s="120"/>
      <c r="D137" s="27"/>
      <c r="E137" s="59">
        <f>SUMIF('05.conso TB'!A:A,'May-26'!B137,'05.conso TB'!R:R)/10^5</f>
        <v>79.495752899999999</v>
      </c>
      <c r="F137" s="27"/>
      <c r="G137" s="80"/>
      <c r="H137" s="18"/>
      <c r="I137" s="74">
        <f>SUMIF('05.conso TB'!A:A,'May-26'!B137,'05.conso TB'!S:S)/10^5</f>
        <v>43.825700900000001</v>
      </c>
      <c r="J137" s="17"/>
      <c r="K137" s="80"/>
      <c r="L137" s="18"/>
      <c r="M137" s="80"/>
      <c r="N137" s="17"/>
      <c r="O137" s="80"/>
      <c r="P137" s="18"/>
      <c r="Q137" s="76">
        <f>SUMIF('05.conso TB'!A:A,'May-26'!B137,'05.conso TB'!U:U)/10^5</f>
        <v>33.3805725</v>
      </c>
      <c r="R137" s="17"/>
      <c r="S137" s="80"/>
      <c r="T137" s="18"/>
      <c r="U137" s="75">
        <f>SUMIF('05.conso TB'!A:A,'May-26'!B137,'05.conso TB'!V:V)/10^5</f>
        <v>0</v>
      </c>
      <c r="V137" s="17"/>
      <c r="W137" s="80"/>
      <c r="X137" s="18"/>
      <c r="Y137" s="76">
        <f>SUMIF('05.conso TB'!A:A,'May-26'!B137,'05.conso TB'!G:G)/10^5</f>
        <v>0</v>
      </c>
      <c r="Z137" s="17"/>
      <c r="AA137" s="34"/>
      <c r="AB137" s="60"/>
      <c r="AC137" s="17"/>
      <c r="AD137" s="60"/>
      <c r="AE137" s="17"/>
      <c r="AF137" s="17"/>
      <c r="AG137" s="60"/>
      <c r="AH137" s="18"/>
      <c r="AI137" s="75">
        <f>SUMIF('05.conso TB'!A:A,'May-26'!B137,'05.conso TB'!Q:Q)/10^5</f>
        <v>75.903143299999996</v>
      </c>
      <c r="AJ137" s="17"/>
      <c r="AK137" s="17"/>
      <c r="AL137" s="80"/>
      <c r="AM137" s="18"/>
      <c r="AN137" s="76">
        <f>SUMIF('05.conso TB'!A:A,'May-26'!B137,'05.conso TB'!W:W)/10^5</f>
        <v>34.492296199999998</v>
      </c>
      <c r="AO137" s="17"/>
      <c r="AP137" s="17"/>
      <c r="AQ137" s="60"/>
      <c r="AR137" s="18"/>
      <c r="AS137" s="183">
        <f>SUMIF('05.conso TB'!A:A,'May-26'!B137,'05.conso TB'!M:M)/10^5</f>
        <v>70.026708500000012</v>
      </c>
      <c r="AT137" s="17"/>
      <c r="AU137" s="60"/>
      <c r="AV137" s="18"/>
      <c r="AW137" s="77">
        <f>SUMIF('05.conso TB'!A:A,'May-26'!B137,'05.conso TB'!P:P)/10^5</f>
        <v>0</v>
      </c>
      <c r="AX137" s="17"/>
      <c r="AY137" s="17"/>
      <c r="AZ137" s="60"/>
      <c r="BA137" s="18"/>
      <c r="BB137" s="17"/>
      <c r="BC137" s="17"/>
      <c r="BD137" s="17"/>
      <c r="BE137" s="60"/>
      <c r="BF137" s="18"/>
      <c r="BG137" s="77">
        <f>SUMIF('05.conso TB'!A:A,'May-26'!B137,'05.conso TB'!H:H)/10^5</f>
        <v>24.740516299999999</v>
      </c>
      <c r="BH137" s="17"/>
      <c r="BI137" s="60"/>
      <c r="BJ137" s="18"/>
      <c r="BK137" s="183">
        <f>SUMIF('05.conso TB'!A:A,'May-26'!B137,'05.conso TB'!I:I)/10^5</f>
        <v>0.40953440000000002</v>
      </c>
      <c r="BL137" s="17"/>
      <c r="BM137" s="60"/>
      <c r="BN137" s="17"/>
      <c r="BO137" s="76">
        <f>SUMIF('05.conso TB'!A:A,'May-26'!B137,'05.conso TB'!J:J)/10^5</f>
        <v>0</v>
      </c>
      <c r="BP137" s="17"/>
      <c r="BQ137" s="20"/>
      <c r="BR137" s="60"/>
      <c r="BS137" s="18"/>
      <c r="BT137" s="60"/>
      <c r="BU137" s="17"/>
      <c r="BV137" s="17"/>
      <c r="BW137" s="60"/>
      <c r="BX137" s="17"/>
      <c r="BY137" s="183">
        <f>SUMIF('05.conso TB'!A:A,'May-26'!B137,'05.conso TB'!L:L)/10^5</f>
        <v>0</v>
      </c>
      <c r="BZ137" s="17"/>
      <c r="CA137" s="17"/>
      <c r="CB137" s="60"/>
      <c r="CC137" s="60"/>
      <c r="CD137" s="17"/>
      <c r="CE137" s="60"/>
      <c r="CF137" s="18"/>
      <c r="CG137" s="60"/>
      <c r="CH137" s="17"/>
    </row>
    <row r="138" spans="1:86" s="29" customFormat="1" ht="8" customHeight="1" x14ac:dyDescent="0.35">
      <c r="A138" s="17"/>
      <c r="B138" s="275"/>
      <c r="C138" s="120"/>
      <c r="D138" s="27"/>
      <c r="E138" s="60"/>
      <c r="F138" s="27"/>
      <c r="G138" s="80"/>
      <c r="H138" s="18"/>
      <c r="I138" s="80"/>
      <c r="J138" s="17"/>
      <c r="K138" s="80"/>
      <c r="L138" s="18"/>
      <c r="M138" s="80"/>
      <c r="N138" s="17"/>
      <c r="O138" s="80"/>
      <c r="P138" s="18"/>
      <c r="Q138" s="80"/>
      <c r="R138" s="17"/>
      <c r="S138" s="80"/>
      <c r="T138" s="18"/>
      <c r="U138" s="60"/>
      <c r="V138" s="17"/>
      <c r="W138" s="80"/>
      <c r="X138" s="18"/>
      <c r="Y138" s="80"/>
      <c r="Z138" s="17"/>
      <c r="AA138" s="34"/>
      <c r="AB138" s="60"/>
      <c r="AC138" s="17"/>
      <c r="AD138" s="60"/>
      <c r="AE138" s="17"/>
      <c r="AF138" s="17"/>
      <c r="AG138" s="60"/>
      <c r="AH138" s="18"/>
      <c r="AI138" s="60"/>
      <c r="AJ138" s="17"/>
      <c r="AK138" s="17"/>
      <c r="AL138" s="80"/>
      <c r="AM138" s="18"/>
      <c r="AN138" s="80"/>
      <c r="AO138" s="17"/>
      <c r="AP138" s="17"/>
      <c r="AQ138" s="60"/>
      <c r="AR138" s="18"/>
      <c r="AS138" s="60"/>
      <c r="AT138" s="17"/>
      <c r="AU138" s="60"/>
      <c r="AV138" s="18"/>
      <c r="AW138" s="60"/>
      <c r="AX138" s="17"/>
      <c r="AY138" s="17"/>
      <c r="AZ138" s="60"/>
      <c r="BA138" s="18"/>
      <c r="BB138" s="17"/>
      <c r="BC138" s="17"/>
      <c r="BD138" s="17"/>
      <c r="BE138" s="60"/>
      <c r="BF138" s="18"/>
      <c r="BG138" s="60"/>
      <c r="BH138" s="17"/>
      <c r="BI138" s="60"/>
      <c r="BJ138" s="18"/>
      <c r="BK138" s="60"/>
      <c r="BL138" s="17"/>
      <c r="BM138" s="60"/>
      <c r="BN138" s="17"/>
      <c r="BO138" s="80"/>
      <c r="BP138" s="17"/>
      <c r="BQ138" s="20"/>
      <c r="BR138" s="60"/>
      <c r="BS138" s="18"/>
      <c r="BT138" s="60"/>
      <c r="BU138" s="17"/>
      <c r="BV138" s="17"/>
      <c r="BW138" s="60"/>
      <c r="BX138" s="17"/>
      <c r="BY138" s="60"/>
      <c r="BZ138" s="17"/>
      <c r="CA138" s="17"/>
      <c r="CB138" s="60"/>
      <c r="CC138" s="60"/>
      <c r="CD138" s="17"/>
      <c r="CE138" s="60"/>
      <c r="CF138" s="18"/>
      <c r="CG138" s="60"/>
      <c r="CH138" s="17"/>
    </row>
    <row r="139" spans="1:86" s="324" customFormat="1" x14ac:dyDescent="0.35">
      <c r="A139" s="313"/>
      <c r="B139" s="321" t="s">
        <v>498</v>
      </c>
      <c r="C139" s="315"/>
      <c r="D139" s="417"/>
      <c r="E139" s="418">
        <f>+'Stock sheet'!D85</f>
        <v>131.36228639999948</v>
      </c>
      <c r="F139" s="417"/>
      <c r="G139" s="418"/>
      <c r="H139" s="316"/>
      <c r="I139" s="418">
        <f>+'Stock sheet'!D86</f>
        <v>119.49344939999999</v>
      </c>
      <c r="J139" s="316"/>
      <c r="K139" s="418"/>
      <c r="L139" s="316"/>
      <c r="M139" s="418"/>
      <c r="N139" s="316"/>
      <c r="O139" s="418"/>
      <c r="P139" s="316"/>
      <c r="Q139" s="419">
        <f>+'Stock sheet'!D87</f>
        <v>54.81</v>
      </c>
      <c r="R139" s="316"/>
      <c r="S139" s="418"/>
      <c r="T139" s="316"/>
      <c r="U139" s="418"/>
      <c r="V139" s="316"/>
      <c r="W139" s="418"/>
      <c r="X139" s="316"/>
      <c r="Y139" s="418"/>
      <c r="Z139" s="316"/>
      <c r="AA139" s="420"/>
      <c r="AB139" s="418"/>
      <c r="AC139" s="316"/>
      <c r="AD139" s="418"/>
      <c r="AE139" s="316"/>
      <c r="AF139" s="316"/>
      <c r="AG139" s="418"/>
      <c r="AH139" s="316"/>
      <c r="AI139" s="418">
        <f>+'Stock sheet'!D96</f>
        <v>151.97676000000001</v>
      </c>
      <c r="AJ139" s="316"/>
      <c r="AK139" s="316"/>
      <c r="AL139" s="418"/>
      <c r="AM139" s="316"/>
      <c r="AN139" s="418">
        <f>+'Stock sheet'!D95</f>
        <v>89.832260300000016</v>
      </c>
      <c r="AO139" s="316"/>
      <c r="AP139" s="316"/>
      <c r="AQ139" s="418"/>
      <c r="AR139" s="316"/>
      <c r="AS139" s="418">
        <f>+'Stock sheet'!D88</f>
        <v>171.7489003</v>
      </c>
      <c r="AT139" s="316"/>
      <c r="AU139" s="418"/>
      <c r="AV139" s="316"/>
      <c r="AW139" s="418">
        <f>+'Stock sheet'!D90</f>
        <v>0</v>
      </c>
      <c r="AX139" s="316"/>
      <c r="AY139" s="316"/>
      <c r="AZ139" s="317"/>
      <c r="BA139" s="316"/>
      <c r="BB139" s="316"/>
      <c r="BC139" s="316"/>
      <c r="BD139" s="316"/>
      <c r="BE139" s="418"/>
      <c r="BF139" s="316"/>
      <c r="BG139" s="421">
        <f>+'Stock sheet'!D91</f>
        <v>100.12426000000001</v>
      </c>
      <c r="BH139" s="316"/>
      <c r="BI139" s="418"/>
      <c r="BJ139" s="316"/>
      <c r="BK139" s="419">
        <f>+'Stock sheet'!D92</f>
        <v>20.018078899999999</v>
      </c>
      <c r="BL139" s="316"/>
      <c r="BM139" s="418"/>
      <c r="BN139" s="316"/>
      <c r="BO139" s="418">
        <f>'Stock sheet'!N93</f>
        <v>0</v>
      </c>
      <c r="BP139" s="316"/>
      <c r="BQ139" s="422"/>
      <c r="BR139" s="317"/>
      <c r="BS139" s="316"/>
      <c r="BT139" s="317"/>
      <c r="BU139" s="316"/>
      <c r="BV139" s="316"/>
      <c r="BW139" s="418"/>
      <c r="BX139" s="316"/>
      <c r="BY139" s="418"/>
      <c r="BZ139" s="316"/>
      <c r="CA139" s="316"/>
      <c r="CB139" s="317"/>
      <c r="CC139" s="317"/>
      <c r="CD139" s="313"/>
      <c r="CE139" s="317"/>
      <c r="CF139" s="316"/>
      <c r="CG139" s="317"/>
      <c r="CH139" s="313"/>
    </row>
    <row r="140" spans="1:86" s="29" customFormat="1" x14ac:dyDescent="0.35">
      <c r="A140" s="17"/>
      <c r="B140" s="121" t="s">
        <v>535</v>
      </c>
      <c r="C140" s="122">
        <f>C135+C137-C139</f>
        <v>0</v>
      </c>
      <c r="D140" s="404"/>
      <c r="E140" s="62">
        <f t="shared" ref="E140:BP140" si="278">E135+E137-E139</f>
        <v>70.512800150000146</v>
      </c>
      <c r="F140" s="404">
        <f t="shared" si="278"/>
        <v>0</v>
      </c>
      <c r="G140" s="82">
        <f t="shared" si="278"/>
        <v>0</v>
      </c>
      <c r="H140" s="39">
        <f t="shared" si="278"/>
        <v>0</v>
      </c>
      <c r="I140" s="82">
        <f t="shared" si="278"/>
        <v>44.499429000000035</v>
      </c>
      <c r="J140" s="39">
        <f t="shared" si="278"/>
        <v>0</v>
      </c>
      <c r="K140" s="82">
        <f t="shared" si="278"/>
        <v>0</v>
      </c>
      <c r="L140" s="39">
        <f t="shared" si="278"/>
        <v>0</v>
      </c>
      <c r="M140" s="82">
        <f t="shared" si="278"/>
        <v>0</v>
      </c>
      <c r="N140" s="39">
        <f t="shared" si="278"/>
        <v>0</v>
      </c>
      <c r="O140" s="82">
        <f t="shared" si="278"/>
        <v>0</v>
      </c>
      <c r="P140" s="39">
        <f t="shared" si="278"/>
        <v>0</v>
      </c>
      <c r="Q140" s="82">
        <f t="shared" si="278"/>
        <v>24.750572500000004</v>
      </c>
      <c r="R140" s="39">
        <f t="shared" si="278"/>
        <v>0</v>
      </c>
      <c r="S140" s="82">
        <f t="shared" si="278"/>
        <v>0</v>
      </c>
      <c r="T140" s="39">
        <f t="shared" si="278"/>
        <v>0</v>
      </c>
      <c r="U140" s="62">
        <f t="shared" si="278"/>
        <v>0</v>
      </c>
      <c r="V140" s="39">
        <f t="shared" si="278"/>
        <v>0</v>
      </c>
      <c r="W140" s="82">
        <f t="shared" si="278"/>
        <v>0</v>
      </c>
      <c r="X140" s="39">
        <f t="shared" si="278"/>
        <v>0</v>
      </c>
      <c r="Y140" s="82">
        <f t="shared" si="278"/>
        <v>0</v>
      </c>
      <c r="Z140" s="39">
        <f t="shared" si="278"/>
        <v>0</v>
      </c>
      <c r="AA140" s="39">
        <f t="shared" si="278"/>
        <v>0</v>
      </c>
      <c r="AB140" s="62">
        <f t="shared" si="278"/>
        <v>0</v>
      </c>
      <c r="AC140" s="39">
        <f t="shared" si="278"/>
        <v>0</v>
      </c>
      <c r="AD140" s="62">
        <f t="shared" si="278"/>
        <v>0</v>
      </c>
      <c r="AE140" s="39">
        <f t="shared" si="278"/>
        <v>0</v>
      </c>
      <c r="AF140" s="39">
        <f t="shared" si="278"/>
        <v>0</v>
      </c>
      <c r="AG140" s="62">
        <f t="shared" si="278"/>
        <v>0</v>
      </c>
      <c r="AH140" s="39">
        <f t="shared" si="278"/>
        <v>0</v>
      </c>
      <c r="AI140" s="62">
        <f t="shared" si="278"/>
        <v>54.716383299999961</v>
      </c>
      <c r="AJ140" s="39">
        <f t="shared" si="278"/>
        <v>0</v>
      </c>
      <c r="AK140" s="39">
        <f t="shared" si="278"/>
        <v>0</v>
      </c>
      <c r="AL140" s="82">
        <f t="shared" si="278"/>
        <v>0</v>
      </c>
      <c r="AM140" s="39">
        <f t="shared" si="278"/>
        <v>0</v>
      </c>
      <c r="AN140" s="82">
        <f t="shared" si="278"/>
        <v>29.170035899999988</v>
      </c>
      <c r="AO140" s="39">
        <f t="shared" si="278"/>
        <v>0</v>
      </c>
      <c r="AP140" s="549">
        <f t="shared" si="278"/>
        <v>0</v>
      </c>
      <c r="AQ140" s="62">
        <f t="shared" si="278"/>
        <v>0</v>
      </c>
      <c r="AR140" s="39">
        <f t="shared" si="278"/>
        <v>0</v>
      </c>
      <c r="AS140" s="62">
        <f t="shared" si="278"/>
        <v>27.260608399999995</v>
      </c>
      <c r="AT140" s="39">
        <f t="shared" si="278"/>
        <v>0</v>
      </c>
      <c r="AU140" s="62">
        <f t="shared" si="278"/>
        <v>0</v>
      </c>
      <c r="AV140" s="39">
        <f t="shared" si="278"/>
        <v>0</v>
      </c>
      <c r="AW140" s="62">
        <f t="shared" si="278"/>
        <v>0</v>
      </c>
      <c r="AX140" s="39">
        <f t="shared" si="278"/>
        <v>0</v>
      </c>
      <c r="AY140" s="39">
        <f t="shared" si="278"/>
        <v>0</v>
      </c>
      <c r="AZ140" s="62">
        <f t="shared" si="278"/>
        <v>0</v>
      </c>
      <c r="BA140" s="39">
        <f t="shared" si="278"/>
        <v>0</v>
      </c>
      <c r="BB140" s="39">
        <f t="shared" si="278"/>
        <v>0</v>
      </c>
      <c r="BC140" s="39">
        <f t="shared" si="278"/>
        <v>0</v>
      </c>
      <c r="BD140" s="39">
        <f t="shared" si="278"/>
        <v>0</v>
      </c>
      <c r="BE140" s="62">
        <f t="shared" si="278"/>
        <v>0</v>
      </c>
      <c r="BF140" s="39">
        <f t="shared" si="278"/>
        <v>0</v>
      </c>
      <c r="BG140" s="62">
        <f t="shared" si="278"/>
        <v>9.1025262999999939</v>
      </c>
      <c r="BH140" s="39">
        <f t="shared" si="278"/>
        <v>0</v>
      </c>
      <c r="BI140" s="62">
        <f t="shared" si="278"/>
        <v>0</v>
      </c>
      <c r="BJ140" s="39">
        <f t="shared" si="278"/>
        <v>0</v>
      </c>
      <c r="BK140" s="62">
        <f t="shared" si="278"/>
        <v>-0.4959744999999991</v>
      </c>
      <c r="BL140" s="39">
        <f t="shared" si="278"/>
        <v>0</v>
      </c>
      <c r="BM140" s="62">
        <f t="shared" si="278"/>
        <v>0</v>
      </c>
      <c r="BN140" s="39">
        <f t="shared" si="278"/>
        <v>0</v>
      </c>
      <c r="BO140" s="82">
        <f t="shared" si="278"/>
        <v>0</v>
      </c>
      <c r="BP140" s="39">
        <f t="shared" si="278"/>
        <v>0</v>
      </c>
      <c r="BQ140" s="39">
        <f t="shared" ref="BQ140:BU140" si="279">BQ135+BQ137-BQ139</f>
        <v>0</v>
      </c>
      <c r="BR140" s="62">
        <f t="shared" si="279"/>
        <v>0</v>
      </c>
      <c r="BS140" s="39">
        <f t="shared" si="279"/>
        <v>0</v>
      </c>
      <c r="BT140" s="62">
        <f t="shared" si="279"/>
        <v>0</v>
      </c>
      <c r="BU140" s="39">
        <f t="shared" si="279"/>
        <v>0</v>
      </c>
      <c r="BV140" s="39"/>
      <c r="BW140" s="62">
        <f t="shared" ref="BW140:CH140" si="280">BW135+BW137-BW139</f>
        <v>0</v>
      </c>
      <c r="BX140" s="39">
        <f t="shared" si="280"/>
        <v>0</v>
      </c>
      <c r="BY140" s="62">
        <f t="shared" si="280"/>
        <v>0</v>
      </c>
      <c r="BZ140" s="39">
        <f t="shared" si="280"/>
        <v>0</v>
      </c>
      <c r="CA140" s="39">
        <f t="shared" si="280"/>
        <v>0</v>
      </c>
      <c r="CB140" s="62">
        <f t="shared" si="280"/>
        <v>0</v>
      </c>
      <c r="CC140" s="62">
        <f t="shared" si="280"/>
        <v>0</v>
      </c>
      <c r="CD140" s="39"/>
      <c r="CE140" s="62">
        <f t="shared" si="280"/>
        <v>0</v>
      </c>
      <c r="CF140" s="39">
        <f t="shared" si="280"/>
        <v>0</v>
      </c>
      <c r="CG140" s="62">
        <f t="shared" si="280"/>
        <v>0</v>
      </c>
      <c r="CH140" s="39">
        <f t="shared" si="280"/>
        <v>0</v>
      </c>
    </row>
    <row r="141" spans="1:86" s="29" customFormat="1" x14ac:dyDescent="0.35">
      <c r="A141" s="17"/>
      <c r="B141" s="26"/>
      <c r="C141" s="60"/>
      <c r="D141" s="27"/>
      <c r="E141" s="60"/>
      <c r="F141" s="27"/>
      <c r="G141" s="80"/>
      <c r="H141" s="18"/>
      <c r="I141" s="80"/>
      <c r="J141" s="17"/>
      <c r="K141" s="80"/>
      <c r="L141" s="18"/>
      <c r="M141" s="80"/>
      <c r="N141" s="17"/>
      <c r="O141" s="80"/>
      <c r="P141" s="18"/>
      <c r="Q141" s="80"/>
      <c r="R141" s="17"/>
      <c r="S141" s="80"/>
      <c r="T141" s="18"/>
      <c r="U141" s="60"/>
      <c r="V141" s="17"/>
      <c r="W141" s="80"/>
      <c r="X141" s="18"/>
      <c r="Y141" s="80"/>
      <c r="Z141" s="17"/>
      <c r="AA141" s="34"/>
      <c r="AB141" s="60"/>
      <c r="AC141" s="17"/>
      <c r="AD141" s="60"/>
      <c r="AE141" s="17"/>
      <c r="AF141" s="17"/>
      <c r="AG141" s="60"/>
      <c r="AH141" s="18"/>
      <c r="AI141" s="60"/>
      <c r="AJ141" s="17"/>
      <c r="AK141" s="17"/>
      <c r="AL141" s="80"/>
      <c r="AM141" s="18"/>
      <c r="AN141" s="80"/>
      <c r="AO141" s="17"/>
      <c r="AP141" s="17"/>
      <c r="AQ141" s="60"/>
      <c r="AR141" s="18"/>
      <c r="AS141" s="60"/>
      <c r="AT141" s="17"/>
      <c r="AU141" s="60"/>
      <c r="AV141" s="18"/>
      <c r="AW141" s="60"/>
      <c r="AX141" s="17"/>
      <c r="AY141" s="17"/>
      <c r="AZ141" s="60"/>
      <c r="BA141" s="18"/>
      <c r="BB141" s="17"/>
      <c r="BC141" s="17"/>
      <c r="BD141" s="17"/>
      <c r="BE141" s="60"/>
      <c r="BF141" s="18"/>
      <c r="BG141" s="60"/>
      <c r="BH141" s="17"/>
      <c r="BI141" s="60"/>
      <c r="BJ141" s="18"/>
      <c r="BK141" s="60"/>
      <c r="BL141" s="17"/>
      <c r="BM141" s="60"/>
      <c r="BN141" s="17"/>
      <c r="BO141" s="80"/>
      <c r="BP141" s="17"/>
      <c r="BQ141" s="20"/>
      <c r="BR141" s="60"/>
      <c r="BS141" s="18"/>
      <c r="BT141" s="60"/>
      <c r="BU141" s="17"/>
      <c r="BV141" s="17"/>
      <c r="BW141" s="60"/>
      <c r="BX141" s="17"/>
      <c r="BY141" s="60"/>
      <c r="BZ141" s="17"/>
      <c r="CA141" s="17"/>
      <c r="CB141" s="60"/>
      <c r="CC141" s="60"/>
      <c r="CD141" s="17"/>
      <c r="CE141" s="60"/>
      <c r="CF141" s="18"/>
      <c r="CG141" s="60"/>
      <c r="CH141" s="17"/>
    </row>
    <row r="142" spans="1:86" s="29" customFormat="1" x14ac:dyDescent="0.35">
      <c r="A142" s="17"/>
      <c r="B142" s="26"/>
      <c r="C142" s="60"/>
      <c r="D142" s="27"/>
      <c r="E142" s="60"/>
      <c r="F142" s="27"/>
      <c r="G142" s="80"/>
      <c r="H142" s="18"/>
      <c r="I142" s="80"/>
      <c r="J142" s="17"/>
      <c r="K142" s="80"/>
      <c r="L142" s="18"/>
      <c r="M142" s="80"/>
      <c r="N142" s="17"/>
      <c r="O142" s="80"/>
      <c r="P142" s="18"/>
      <c r="Q142" s="80"/>
      <c r="R142" s="17"/>
      <c r="S142" s="80"/>
      <c r="T142" s="18"/>
      <c r="U142" s="60"/>
      <c r="V142" s="17"/>
      <c r="W142" s="80"/>
      <c r="X142" s="18"/>
      <c r="Y142" s="80"/>
      <c r="Z142" s="17"/>
      <c r="AA142" s="34"/>
      <c r="AB142" s="60"/>
      <c r="AC142" s="17"/>
      <c r="AD142" s="60"/>
      <c r="AE142" s="17"/>
      <c r="AF142" s="17"/>
      <c r="AG142" s="60"/>
      <c r="AH142" s="18"/>
      <c r="AI142" s="60"/>
      <c r="AJ142" s="17"/>
      <c r="AK142" s="17"/>
      <c r="AL142" s="80"/>
      <c r="AM142" s="18"/>
      <c r="AN142" s="80"/>
      <c r="AO142" s="17"/>
      <c r="AP142" s="17"/>
      <c r="AQ142" s="60"/>
      <c r="AR142" s="18"/>
      <c r="AS142" s="60"/>
      <c r="AT142" s="17"/>
      <c r="AU142" s="60"/>
      <c r="AV142" s="18"/>
      <c r="AW142" s="60"/>
      <c r="AX142" s="17"/>
      <c r="AY142" s="17"/>
      <c r="AZ142" s="60"/>
      <c r="BA142" s="18"/>
      <c r="BB142" s="17"/>
      <c r="BC142" s="17"/>
      <c r="BD142" s="17"/>
      <c r="BE142" s="60"/>
      <c r="BF142" s="18"/>
      <c r="BG142" s="60"/>
      <c r="BH142" s="17"/>
      <c r="BI142" s="60"/>
      <c r="BJ142" s="18"/>
      <c r="BK142" s="60"/>
      <c r="BL142" s="17"/>
      <c r="BM142" s="60"/>
      <c r="BN142" s="17"/>
      <c r="BO142" s="80"/>
      <c r="BP142" s="17"/>
      <c r="BQ142" s="20"/>
      <c r="BR142" s="60"/>
      <c r="BS142" s="18"/>
      <c r="BT142" s="60"/>
      <c r="BU142" s="17"/>
      <c r="BV142" s="17"/>
      <c r="BW142" s="60"/>
      <c r="BX142" s="17"/>
      <c r="BY142" s="60"/>
      <c r="BZ142" s="17"/>
      <c r="CA142" s="17"/>
      <c r="CB142" s="60"/>
      <c r="CC142" s="60"/>
      <c r="CD142" s="17"/>
      <c r="CE142" s="60"/>
      <c r="CF142" s="18"/>
      <c r="CG142" s="60"/>
      <c r="CH142" s="17"/>
    </row>
    <row r="143" spans="1:86" s="29" customFormat="1" x14ac:dyDescent="0.35">
      <c r="A143" s="17"/>
      <c r="B143" s="17" t="s">
        <v>625</v>
      </c>
      <c r="C143" s="60"/>
      <c r="D143" s="27"/>
      <c r="E143" s="60">
        <f>E105+E106+E117+E127+E128+E135</f>
        <v>2181.8072566442993</v>
      </c>
      <c r="F143" s="27"/>
      <c r="G143" s="80"/>
      <c r="H143" s="18"/>
      <c r="I143" s="60">
        <f>I105+I106+I117+I127+I128+I135</f>
        <v>2380.5172347799994</v>
      </c>
      <c r="J143" s="17"/>
      <c r="K143" s="80"/>
      <c r="L143" s="60">
        <f>L105+L106+L117+L127+L128+L135</f>
        <v>0</v>
      </c>
      <c r="M143" s="80"/>
      <c r="N143" s="17"/>
      <c r="O143" s="80"/>
      <c r="P143" s="18"/>
      <c r="Q143" s="60">
        <f>Q105+Q106+Q117+Q127+Q128+Q135</f>
        <v>753.2107193633426</v>
      </c>
      <c r="R143" s="17"/>
      <c r="S143" s="80"/>
      <c r="T143" s="18"/>
      <c r="U143" s="60">
        <f>U105+U106+U117+U127+U128+U135</f>
        <v>0</v>
      </c>
      <c r="V143" s="17"/>
      <c r="W143" s="80"/>
      <c r="X143" s="18"/>
      <c r="Y143" s="60">
        <f>Y105+Y106+Y117+Y127+Y128+Y135</f>
        <v>0</v>
      </c>
      <c r="Z143" s="17"/>
      <c r="AA143" s="34"/>
      <c r="AB143" s="60"/>
      <c r="AC143" s="17"/>
      <c r="AD143" s="60"/>
      <c r="AE143" s="17"/>
      <c r="AF143" s="17"/>
      <c r="AG143" s="60"/>
      <c r="AH143" s="18"/>
      <c r="AI143" s="60">
        <f>AI105+AI106+AI117+AI127+AI128+AI135</f>
        <v>259.23212243017298</v>
      </c>
      <c r="AJ143" s="17"/>
      <c r="AK143" s="17"/>
      <c r="AL143" s="80"/>
      <c r="AM143" s="18"/>
      <c r="AN143" s="60">
        <f>AN105+AN106+AN117+AN127+AN128+AN135</f>
        <v>589.73917338121362</v>
      </c>
      <c r="AO143" s="17"/>
      <c r="AP143" s="17"/>
      <c r="AQ143" s="60"/>
      <c r="AR143" s="18"/>
      <c r="AS143" s="60">
        <f>AS105+AS106+AS117+AS127+AS128+AS135</f>
        <v>2977.5438606619996</v>
      </c>
      <c r="AT143" s="17"/>
      <c r="AU143" s="60"/>
      <c r="AV143" s="18"/>
      <c r="AW143" s="60">
        <f>AW105+AW106+AW117+AW127+AW128+AW135</f>
        <v>687.40975486255707</v>
      </c>
      <c r="AX143" s="17"/>
      <c r="AY143" s="17"/>
      <c r="AZ143" s="60"/>
      <c r="BA143" s="18"/>
      <c r="BB143" s="17"/>
      <c r="BC143" s="17"/>
      <c r="BD143" s="17"/>
      <c r="BE143" s="60"/>
      <c r="BF143" s="18"/>
      <c r="BG143" s="60">
        <f>BG105+BG106+BG117+BG127+BG128+BG135</f>
        <v>747.94884999999999</v>
      </c>
      <c r="BH143" s="17"/>
      <c r="BI143" s="60"/>
      <c r="BJ143" s="18"/>
      <c r="BK143" s="60">
        <f>BK105+BK106+BK117+BK127+BK128+BK135</f>
        <v>61.155259999999998</v>
      </c>
      <c r="BL143" s="17"/>
      <c r="BM143" s="60"/>
      <c r="BN143" s="17"/>
      <c r="BO143" s="60">
        <f>BO105+BO106+BO117+BO127+BO128+BO135</f>
        <v>22.118539999999999</v>
      </c>
      <c r="BP143" s="17"/>
      <c r="BQ143" s="20"/>
      <c r="BR143" s="60"/>
      <c r="BS143" s="18"/>
      <c r="BT143" s="60"/>
      <c r="BU143" s="17"/>
      <c r="BV143" s="17"/>
      <c r="BW143" s="60"/>
      <c r="BX143" s="17"/>
      <c r="BY143" s="60"/>
      <c r="BZ143" s="17"/>
      <c r="CA143" s="17"/>
      <c r="CB143" s="60"/>
      <c r="CC143" s="60"/>
      <c r="CD143" s="17"/>
      <c r="CE143" s="60"/>
      <c r="CF143" s="18"/>
      <c r="CG143" s="60"/>
      <c r="CH143" s="17"/>
    </row>
    <row r="144" spans="1:86" s="29" customFormat="1" x14ac:dyDescent="0.35">
      <c r="A144" s="17"/>
      <c r="B144" s="17" t="s">
        <v>626</v>
      </c>
      <c r="C144" s="60"/>
      <c r="D144" s="27"/>
      <c r="E144" s="348">
        <f>E112+E113+E123+E130+E131+E139</f>
        <v>3084.6611922198495</v>
      </c>
      <c r="F144" s="27"/>
      <c r="G144" s="80"/>
      <c r="H144" s="18"/>
      <c r="I144" s="348">
        <f>I112+I113+I123+I130+I131+I139</f>
        <v>2466.6618678299997</v>
      </c>
      <c r="J144" s="17"/>
      <c r="K144" s="80"/>
      <c r="L144" s="60">
        <f>L112+L113+L123+L130+L131+L139</f>
        <v>0</v>
      </c>
      <c r="M144" s="80"/>
      <c r="N144" s="17"/>
      <c r="O144" s="80"/>
      <c r="P144" s="18"/>
      <c r="Q144" s="60">
        <f>Q112+Q113+Q123+Q130+Q131+Q139</f>
        <v>830.86880254466769</v>
      </c>
      <c r="R144" s="17"/>
      <c r="S144" s="80"/>
      <c r="T144" s="18"/>
      <c r="U144" s="60">
        <f>U112+U113+U123+U130+U131+U139</f>
        <v>0</v>
      </c>
      <c r="V144" s="17"/>
      <c r="W144" s="80"/>
      <c r="X144" s="18"/>
      <c r="Y144" s="60">
        <f>Y112+Y113+Y123+Y130+Y131+Y139</f>
        <v>0</v>
      </c>
      <c r="Z144" s="17"/>
      <c r="AA144" s="34"/>
      <c r="AB144" s="60"/>
      <c r="AC144" s="17"/>
      <c r="AD144" s="60"/>
      <c r="AE144" s="17"/>
      <c r="AF144" s="17"/>
      <c r="AG144" s="60"/>
      <c r="AH144" s="18"/>
      <c r="AI144" s="348">
        <f>AI112+AI113+AI123+AI130+AI131+AI139</f>
        <v>239.32668943470907</v>
      </c>
      <c r="AJ144" s="17"/>
      <c r="AK144" s="17"/>
      <c r="AL144" s="80"/>
      <c r="AM144" s="18"/>
      <c r="AN144" s="348">
        <f>AN112+AN113+AN123+AN130+AN131+AN139</f>
        <v>817.52614589931238</v>
      </c>
      <c r="AO144" s="60"/>
      <c r="AP144" s="60"/>
      <c r="AQ144" s="60"/>
      <c r="AR144" s="18"/>
      <c r="AS144" s="348">
        <f>AS112+AS113+AS123+AS130+AS131+AS139</f>
        <v>3766.830506712</v>
      </c>
      <c r="AT144" s="17"/>
      <c r="AU144" s="60"/>
      <c r="AV144" s="18"/>
      <c r="AW144" s="348">
        <f>AW112+AW113+AW123+AW130+AW131+AW139</f>
        <v>1124.4677726738978</v>
      </c>
      <c r="AX144" s="17"/>
      <c r="AY144" s="17"/>
      <c r="AZ144" s="60"/>
      <c r="BA144" s="18"/>
      <c r="BB144" s="17"/>
      <c r="BC144" s="17"/>
      <c r="BD144" s="17"/>
      <c r="BE144" s="60"/>
      <c r="BF144" s="18"/>
      <c r="BG144" s="348">
        <f>BG112+BG113+BG123+BG130+BG131+BG139</f>
        <v>1943.8675900000001</v>
      </c>
      <c r="BH144" s="17"/>
      <c r="BI144" s="60"/>
      <c r="BJ144" s="18"/>
      <c r="BK144" s="348">
        <f>BK112+BK113+BK123+BK130+BK131+BK139</f>
        <v>49.469248899999997</v>
      </c>
      <c r="BL144" s="17"/>
      <c r="BM144" s="60"/>
      <c r="BN144" s="17"/>
      <c r="BO144" s="348">
        <f>BO112+BO113+BO123+BO130+BO131+BO139</f>
        <v>22.118539999999999</v>
      </c>
      <c r="BP144" s="17"/>
      <c r="BQ144" s="20"/>
      <c r="BR144" s="60"/>
      <c r="BS144" s="18"/>
      <c r="BT144" s="60"/>
      <c r="BU144" s="17"/>
      <c r="BV144" s="17"/>
      <c r="BW144" s="60"/>
      <c r="BX144" s="17"/>
      <c r="BY144" s="60">
        <f>BY105+BY106+BY117+BY127+BY128+BY135</f>
        <v>0</v>
      </c>
      <c r="BZ144" s="17"/>
      <c r="CA144" s="17">
        <f>SUM(E144:BZ144)</f>
        <v>14345.798356214436</v>
      </c>
      <c r="CB144" s="60"/>
      <c r="CC144" s="60"/>
      <c r="CD144" s="17"/>
      <c r="CE144" s="60"/>
      <c r="CF144" s="18"/>
      <c r="CG144" s="60"/>
      <c r="CH144" s="17"/>
    </row>
    <row r="145" spans="1:86" s="328" customFormat="1" x14ac:dyDescent="0.35">
      <c r="A145" s="26"/>
      <c r="B145" s="26"/>
      <c r="C145" s="61"/>
      <c r="D145" s="406"/>
      <c r="E145" s="61">
        <f>E143-E144</f>
        <v>-902.85393557555017</v>
      </c>
      <c r="F145" s="406"/>
      <c r="G145" s="81"/>
      <c r="H145" s="325"/>
      <c r="I145" s="61">
        <f>I143-I144</f>
        <v>-86.144633050000266</v>
      </c>
      <c r="J145" s="26"/>
      <c r="K145" s="81"/>
      <c r="L145" s="61">
        <f>L143-L144</f>
        <v>0</v>
      </c>
      <c r="M145" s="81"/>
      <c r="N145" s="26"/>
      <c r="O145" s="81"/>
      <c r="P145" s="325"/>
      <c r="Q145" s="61">
        <f>Q143-Q144</f>
        <v>-77.658083181325082</v>
      </c>
      <c r="R145" s="26"/>
      <c r="S145" s="81"/>
      <c r="T145" s="325"/>
      <c r="U145" s="61">
        <f>U143-U144</f>
        <v>0</v>
      </c>
      <c r="V145" s="26"/>
      <c r="W145" s="81"/>
      <c r="X145" s="325"/>
      <c r="Y145" s="61">
        <f>Y143-Y144</f>
        <v>0</v>
      </c>
      <c r="Z145" s="26"/>
      <c r="AA145" s="326"/>
      <c r="AB145" s="61"/>
      <c r="AC145" s="26"/>
      <c r="AD145" s="61"/>
      <c r="AE145" s="26"/>
      <c r="AF145" s="26"/>
      <c r="AG145" s="61"/>
      <c r="AH145" s="325"/>
      <c r="AI145" s="61">
        <f>AI143-AI144</f>
        <v>19.905432995463912</v>
      </c>
      <c r="AJ145" s="26"/>
      <c r="AK145" s="26"/>
      <c r="AL145" s="81"/>
      <c r="AM145" s="325"/>
      <c r="AN145" s="61">
        <f>AN143-AN144</f>
        <v>-227.78697251809876</v>
      </c>
      <c r="AO145" s="61"/>
      <c r="AP145" s="17"/>
      <c r="AQ145" s="61"/>
      <c r="AR145" s="325"/>
      <c r="AS145" s="61">
        <f>AS143-AS144</f>
        <v>-789.2866460500004</v>
      </c>
      <c r="AT145" s="26"/>
      <c r="AU145" s="61"/>
      <c r="AV145" s="325"/>
      <c r="AW145" s="61">
        <f>BG143-AW144</f>
        <v>-376.5189226738978</v>
      </c>
      <c r="AX145" s="26"/>
      <c r="AY145" s="26"/>
      <c r="AZ145" s="61"/>
      <c r="BA145" s="325"/>
      <c r="BB145" s="26"/>
      <c r="BC145" s="26"/>
      <c r="BD145" s="26"/>
      <c r="BE145" s="61"/>
      <c r="BF145" s="325"/>
      <c r="BG145" s="61" t="e">
        <f>#REF!-BG144</f>
        <v>#REF!</v>
      </c>
      <c r="BH145" s="26"/>
      <c r="BI145" s="61"/>
      <c r="BJ145" s="325"/>
      <c r="BK145" s="61">
        <f>BK139+BK130+BK131+BK112</f>
        <v>49.469248899999997</v>
      </c>
      <c r="BL145" s="26"/>
      <c r="BM145" s="61"/>
      <c r="BN145" s="26"/>
      <c r="BO145" s="61">
        <f>BO143-BO144</f>
        <v>0</v>
      </c>
      <c r="BP145" s="26"/>
      <c r="BQ145" s="327"/>
      <c r="BR145" s="61"/>
      <c r="BS145" s="325"/>
      <c r="BT145" s="61"/>
      <c r="BU145" s="26"/>
      <c r="BV145" s="26"/>
      <c r="BW145" s="61"/>
      <c r="BX145" s="26"/>
      <c r="BY145" s="61">
        <f>BY139+BY130+BY131+BY112</f>
        <v>0</v>
      </c>
      <c r="BZ145" s="26" t="s">
        <v>650</v>
      </c>
      <c r="CA145" s="26">
        <f>'Stock sheet'!D18</f>
        <v>14390.571916214434</v>
      </c>
      <c r="CB145" s="61"/>
      <c r="CC145" s="61"/>
      <c r="CD145" s="26"/>
      <c r="CE145" s="61"/>
      <c r="CF145" s="325"/>
      <c r="CG145" s="61"/>
      <c r="CH145" s="26"/>
    </row>
    <row r="146" spans="1:86" s="29" customFormat="1" x14ac:dyDescent="0.35">
      <c r="A146" s="17"/>
      <c r="B146" s="26"/>
      <c r="C146" s="60"/>
      <c r="D146" s="27"/>
      <c r="E146" s="60"/>
      <c r="F146" s="27"/>
      <c r="G146" s="80"/>
      <c r="H146" s="18"/>
      <c r="I146" s="80"/>
      <c r="J146" s="17"/>
      <c r="K146" s="80"/>
      <c r="L146" s="18"/>
      <c r="M146" s="80"/>
      <c r="N146" s="17"/>
      <c r="O146" s="80"/>
      <c r="P146" s="18"/>
      <c r="Q146" s="80"/>
      <c r="R146" s="17"/>
      <c r="S146" s="80"/>
      <c r="T146" s="18"/>
      <c r="U146" s="60"/>
      <c r="V146" s="17"/>
      <c r="W146" s="80"/>
      <c r="X146" s="18"/>
      <c r="Y146" s="80"/>
      <c r="Z146" s="17"/>
      <c r="AA146" s="34"/>
      <c r="AB146" s="60"/>
      <c r="AC146" s="17"/>
      <c r="AD146" s="60"/>
      <c r="AE146" s="17"/>
      <c r="AF146" s="17"/>
      <c r="AG146" s="60"/>
      <c r="AH146" s="18"/>
      <c r="AI146" s="60"/>
      <c r="AJ146" s="17"/>
      <c r="AK146" s="17"/>
      <c r="AL146" s="80"/>
      <c r="AM146" s="18"/>
      <c r="AN146" s="60"/>
      <c r="AO146" s="60"/>
      <c r="AP146" s="17"/>
      <c r="AQ146" s="60"/>
      <c r="AR146" s="18"/>
      <c r="AS146" s="60"/>
      <c r="AT146" s="17"/>
      <c r="AU146" s="60"/>
      <c r="AV146" s="18"/>
      <c r="AW146" s="60"/>
      <c r="AX146" s="17"/>
      <c r="AY146" s="17"/>
      <c r="AZ146" s="60"/>
      <c r="BA146" s="18"/>
      <c r="BB146" s="17"/>
      <c r="BC146" s="17"/>
      <c r="BD146" s="17"/>
      <c r="BE146" s="60"/>
      <c r="BF146" s="18"/>
      <c r="BG146" s="60"/>
      <c r="BH146" s="17"/>
      <c r="BI146" s="60"/>
      <c r="BJ146" s="18"/>
      <c r="BK146" s="60"/>
      <c r="BL146" s="17"/>
      <c r="BM146" s="60"/>
      <c r="BN146" s="17"/>
      <c r="BO146" s="80"/>
      <c r="BP146" s="17"/>
      <c r="BQ146" s="20"/>
      <c r="BR146" s="60"/>
      <c r="BS146" s="18"/>
      <c r="BT146" s="60"/>
      <c r="BU146" s="17"/>
      <c r="BV146" s="17"/>
      <c r="BW146" s="60"/>
      <c r="BX146" s="17"/>
      <c r="BY146" s="60"/>
      <c r="BZ146" s="17"/>
      <c r="CA146" s="17">
        <f>CA144-CA145</f>
        <v>-44.773559999997815</v>
      </c>
      <c r="CB146" s="60"/>
      <c r="CC146" s="60"/>
      <c r="CD146" s="17"/>
      <c r="CE146" s="60"/>
      <c r="CF146" s="18"/>
      <c r="CG146" s="60"/>
      <c r="CH146" s="17"/>
    </row>
    <row r="147" spans="1:86" s="29" customFormat="1" x14ac:dyDescent="0.35">
      <c r="A147" s="17"/>
      <c r="B147" s="26"/>
      <c r="C147" s="60"/>
      <c r="D147" s="27"/>
      <c r="E147" s="60"/>
      <c r="F147" s="27"/>
      <c r="G147" s="80"/>
      <c r="H147" s="18"/>
      <c r="I147" s="80"/>
      <c r="J147" s="17"/>
      <c r="K147" s="80"/>
      <c r="L147" s="18"/>
      <c r="M147" s="80"/>
      <c r="N147" s="17"/>
      <c r="O147" s="80"/>
      <c r="P147" s="18"/>
      <c r="Q147" s="80"/>
      <c r="R147" s="17"/>
      <c r="S147" s="80"/>
      <c r="T147" s="18"/>
      <c r="U147" s="60"/>
      <c r="V147" s="17"/>
      <c r="W147" s="80"/>
      <c r="X147" s="18"/>
      <c r="Y147" s="80"/>
      <c r="Z147" s="17"/>
      <c r="AA147" s="34"/>
      <c r="AB147" s="60"/>
      <c r="AC147" s="17"/>
      <c r="AD147" s="60"/>
      <c r="AE147" s="17"/>
      <c r="AF147" s="17"/>
      <c r="AG147" s="60"/>
      <c r="AH147" s="18"/>
      <c r="AI147" s="60"/>
      <c r="AJ147" s="17"/>
      <c r="AK147" s="17"/>
      <c r="AL147" s="80"/>
      <c r="AM147" s="18"/>
      <c r="AN147" s="80"/>
      <c r="AO147" s="17"/>
      <c r="AP147" s="17"/>
      <c r="AQ147" s="60"/>
      <c r="AR147" s="18"/>
      <c r="AT147" s="17"/>
      <c r="AU147" s="60"/>
      <c r="AV147" s="18"/>
      <c r="AX147" s="17"/>
      <c r="AY147" s="17"/>
      <c r="AZ147" s="60"/>
      <c r="BA147" s="18"/>
      <c r="BB147" s="17"/>
      <c r="BC147" s="17"/>
      <c r="BD147" s="17"/>
      <c r="BE147" s="60"/>
      <c r="BF147" s="18"/>
      <c r="BL147" s="17"/>
      <c r="BM147" s="60"/>
      <c r="BN147" s="17"/>
      <c r="BP147" s="17"/>
      <c r="BQ147" s="20"/>
      <c r="BR147" s="60"/>
      <c r="BS147" s="18"/>
      <c r="BT147" s="60"/>
      <c r="BU147" s="17"/>
      <c r="BV147" s="17"/>
      <c r="BW147" s="60"/>
      <c r="BX147" s="17"/>
      <c r="BY147" s="60"/>
      <c r="BZ147" s="17"/>
      <c r="CA147" s="17" t="s">
        <v>765</v>
      </c>
      <c r="CB147" s="60"/>
      <c r="CC147" s="60"/>
      <c r="CD147" s="17"/>
      <c r="CE147" s="60"/>
      <c r="CF147" s="18"/>
      <c r="CG147" s="60"/>
      <c r="CH147" s="17"/>
    </row>
    <row r="148" spans="1:86" s="357" customFormat="1" x14ac:dyDescent="0.35">
      <c r="A148" s="353"/>
      <c r="B148" s="351"/>
      <c r="C148" s="352" t="s">
        <v>650</v>
      </c>
      <c r="D148" s="407"/>
      <c r="E148" s="352">
        <f>E143-'Stock sheet'!B6</f>
        <v>0</v>
      </c>
      <c r="F148" s="407"/>
      <c r="G148" s="354"/>
      <c r="H148" s="353"/>
      <c r="I148" s="354">
        <f>I143-'Stock sheet'!B7</f>
        <v>0</v>
      </c>
      <c r="J148" s="351"/>
      <c r="K148" s="354"/>
      <c r="L148" s="353"/>
      <c r="M148" s="354"/>
      <c r="N148" s="351"/>
      <c r="O148" s="354"/>
      <c r="P148" s="353"/>
      <c r="Q148" s="354">
        <f>Q143-'Stock sheet'!B8</f>
        <v>0</v>
      </c>
      <c r="R148" s="351"/>
      <c r="S148" s="354"/>
      <c r="T148" s="353"/>
      <c r="U148" s="352"/>
      <c r="V148" s="351"/>
      <c r="W148" s="354"/>
      <c r="X148" s="353"/>
      <c r="Y148" s="354"/>
      <c r="Z148" s="351"/>
      <c r="AA148" s="355"/>
      <c r="AB148" s="352"/>
      <c r="AC148" s="351"/>
      <c r="AD148" s="352"/>
      <c r="AE148" s="351"/>
      <c r="AF148" s="351"/>
      <c r="AG148" s="352"/>
      <c r="AH148" s="353"/>
      <c r="AI148" s="352">
        <f>AI143-'Stock sheet'!B17</f>
        <v>0</v>
      </c>
      <c r="AJ148" s="351"/>
      <c r="AK148" s="351"/>
      <c r="AL148" s="354"/>
      <c r="AM148" s="353"/>
      <c r="AN148" s="351">
        <f>AN143-'Stock sheet'!B16</f>
        <v>0</v>
      </c>
      <c r="AO148" s="351"/>
      <c r="AP148" s="313"/>
      <c r="AQ148" s="352"/>
      <c r="AR148" s="353"/>
      <c r="AS148" s="60">
        <f>AS143-'Stock sheet'!B9</f>
        <v>0</v>
      </c>
      <c r="AT148" s="351"/>
      <c r="AU148" s="352"/>
      <c r="AV148" s="353"/>
      <c r="AW148" s="60">
        <f>AW143-'Stock sheet'!B11</f>
        <v>0</v>
      </c>
      <c r="AX148" s="351"/>
      <c r="AY148" s="351"/>
      <c r="AZ148" s="352"/>
      <c r="BA148" s="353"/>
      <c r="BB148" s="351"/>
      <c r="BC148" s="351"/>
      <c r="BD148" s="351"/>
      <c r="BE148" s="352"/>
      <c r="BF148" s="353"/>
      <c r="BG148" s="60">
        <f>BG143-'Stock sheet'!B12</f>
        <v>0</v>
      </c>
      <c r="BH148" s="17"/>
      <c r="BI148" s="60"/>
      <c r="BJ148" s="18"/>
      <c r="BK148" s="60">
        <f>'Stock sheet'!B13-'May-26'!BK143</f>
        <v>0</v>
      </c>
      <c r="BL148" s="351"/>
      <c r="BM148" s="352"/>
      <c r="BN148" s="351"/>
      <c r="BO148" s="80">
        <f>'Stock sheet'!B14-'May-26'!BO143</f>
        <v>0</v>
      </c>
      <c r="BP148" s="351"/>
      <c r="BQ148" s="356"/>
      <c r="BR148" s="352"/>
      <c r="BS148" s="353"/>
      <c r="BT148" s="352"/>
      <c r="BU148" s="351"/>
      <c r="BV148" s="351"/>
      <c r="BW148" s="352"/>
      <c r="BX148" s="351"/>
      <c r="BY148" s="352"/>
      <c r="BZ148" s="351"/>
      <c r="CA148" s="351"/>
      <c r="CB148" s="352"/>
      <c r="CC148" s="352"/>
      <c r="CD148" s="351"/>
      <c r="CE148" s="352"/>
      <c r="CF148" s="353"/>
      <c r="CG148" s="352"/>
      <c r="CH148" s="351"/>
    </row>
    <row r="149" spans="1:86" s="357" customFormat="1" x14ac:dyDescent="0.35">
      <c r="A149" s="351"/>
      <c r="B149" s="351"/>
      <c r="C149" s="352" t="s">
        <v>650</v>
      </c>
      <c r="D149" s="407"/>
      <c r="E149" s="352">
        <f>E144-'Stock sheet'!D6</f>
        <v>0</v>
      </c>
      <c r="F149" s="407"/>
      <c r="G149" s="354"/>
      <c r="H149" s="353"/>
      <c r="I149" s="354">
        <f>I144-'Stock sheet'!D7</f>
        <v>0</v>
      </c>
      <c r="J149" s="351"/>
      <c r="K149" s="354"/>
      <c r="L149" s="353"/>
      <c r="M149" s="354"/>
      <c r="N149" s="351"/>
      <c r="O149" s="354"/>
      <c r="P149" s="353"/>
      <c r="Q149" s="354">
        <f>Q144-'Stock sheet'!D8</f>
        <v>0</v>
      </c>
      <c r="R149" s="351"/>
      <c r="S149" s="354"/>
      <c r="T149" s="353"/>
      <c r="U149" s="352"/>
      <c r="V149" s="351"/>
      <c r="W149" s="354"/>
      <c r="X149" s="353"/>
      <c r="Y149" s="354"/>
      <c r="Z149" s="351"/>
      <c r="AA149" s="355"/>
      <c r="AB149" s="352"/>
      <c r="AC149" s="351"/>
      <c r="AD149" s="352"/>
      <c r="AE149" s="351"/>
      <c r="AF149" s="351"/>
      <c r="AG149" s="352"/>
      <c r="AH149" s="353"/>
      <c r="AI149" s="352">
        <f>AI144-'Stock sheet'!D17</f>
        <v>0</v>
      </c>
      <c r="AJ149" s="351"/>
      <c r="AK149" s="351"/>
      <c r="AL149" s="354"/>
      <c r="AM149" s="353"/>
      <c r="AN149" s="354">
        <f>AN144-'Stock sheet'!D16</f>
        <v>0</v>
      </c>
      <c r="AO149" s="351"/>
      <c r="AP149" s="313"/>
      <c r="AQ149" s="352"/>
      <c r="AR149" s="353"/>
      <c r="AS149" s="352">
        <f>AS144-'Stock sheet'!D9</f>
        <v>0</v>
      </c>
      <c r="AT149" s="351"/>
      <c r="AU149" s="352"/>
      <c r="AV149" s="353"/>
      <c r="AW149" s="352">
        <f>AW144-'Stock sheet'!D11</f>
        <v>0</v>
      </c>
      <c r="AX149" s="351"/>
      <c r="AY149" s="351"/>
      <c r="AZ149" s="352"/>
      <c r="BA149" s="353"/>
      <c r="BB149" s="351"/>
      <c r="BC149" s="351"/>
      <c r="BD149" s="351"/>
      <c r="BE149" s="352"/>
      <c r="BF149" s="353"/>
      <c r="BG149" s="352">
        <f>BG144-'Stock sheet'!D12</f>
        <v>0</v>
      </c>
      <c r="BH149" s="351"/>
      <c r="BI149" s="352"/>
      <c r="BJ149" s="353"/>
      <c r="BK149" s="352">
        <f>BK144-'Stock sheet'!D13</f>
        <v>0</v>
      </c>
      <c r="BL149" s="351"/>
      <c r="BM149" s="352"/>
      <c r="BN149" s="351"/>
      <c r="BO149" s="354">
        <f>BO144-'Stock sheet'!D14</f>
        <v>0</v>
      </c>
      <c r="BP149" s="351"/>
      <c r="BQ149" s="356"/>
      <c r="BR149" s="352"/>
      <c r="BS149" s="353"/>
      <c r="BT149" s="352"/>
      <c r="BU149" s="351"/>
      <c r="BV149" s="351"/>
      <c r="BW149" s="352"/>
      <c r="BX149" s="351"/>
      <c r="BY149" s="352"/>
      <c r="BZ149" s="351"/>
      <c r="CA149" s="351"/>
      <c r="CB149" s="352"/>
      <c r="CC149" s="352"/>
      <c r="CD149" s="351"/>
      <c r="CE149" s="352"/>
      <c r="CF149" s="353"/>
      <c r="CG149" s="352"/>
      <c r="CH149" s="351"/>
    </row>
    <row r="150" spans="1:86" s="29" customFormat="1" x14ac:dyDescent="0.35">
      <c r="A150" s="17"/>
      <c r="B150" s="26"/>
      <c r="C150" s="60"/>
      <c r="D150" s="27"/>
      <c r="E150" s="60"/>
      <c r="F150" s="27"/>
      <c r="G150" s="80"/>
      <c r="H150" s="18"/>
      <c r="I150" s="80"/>
      <c r="J150" s="17"/>
      <c r="K150" s="80"/>
      <c r="L150" s="18"/>
      <c r="M150" s="80"/>
      <c r="N150" s="17"/>
      <c r="O150" s="80"/>
      <c r="P150" s="18"/>
      <c r="Q150" s="80"/>
      <c r="R150" s="17"/>
      <c r="S150" s="80"/>
      <c r="T150" s="18"/>
      <c r="U150" s="60"/>
      <c r="V150" s="17"/>
      <c r="W150" s="80"/>
      <c r="X150" s="18"/>
      <c r="Y150" s="80"/>
      <c r="Z150" s="17"/>
      <c r="AA150" s="34"/>
      <c r="AB150" s="60"/>
      <c r="AC150" s="17"/>
      <c r="AD150" s="60"/>
      <c r="AE150" s="17"/>
      <c r="AF150" s="17"/>
      <c r="AG150" s="60"/>
      <c r="AH150" s="18"/>
      <c r="AI150" s="60"/>
      <c r="AJ150" s="17"/>
      <c r="AK150" s="17"/>
      <c r="AL150" s="80"/>
      <c r="AM150" s="18"/>
      <c r="AN150" s="80"/>
      <c r="AO150" s="17"/>
      <c r="AP150" s="17"/>
      <c r="AQ150" s="60"/>
      <c r="AR150" s="18"/>
      <c r="AS150" s="60"/>
      <c r="AT150" s="17"/>
      <c r="AU150" s="60"/>
      <c r="AV150" s="18"/>
      <c r="AW150" s="60"/>
      <c r="AX150" s="17"/>
      <c r="AY150" s="17"/>
      <c r="AZ150" s="60"/>
      <c r="BA150" s="18"/>
      <c r="BB150" s="17"/>
      <c r="BC150" s="17"/>
      <c r="BD150" s="17"/>
      <c r="BE150" s="60"/>
      <c r="BF150" s="18"/>
      <c r="BG150" s="60"/>
      <c r="BH150" s="17"/>
      <c r="BI150" s="60"/>
      <c r="BJ150" s="18"/>
      <c r="BK150" s="60"/>
      <c r="BL150" s="17"/>
      <c r="BM150" s="60"/>
      <c r="BN150" s="17"/>
      <c r="BO150" s="80"/>
      <c r="BP150" s="17"/>
      <c r="BQ150" s="20"/>
      <c r="BR150" s="60"/>
      <c r="BS150" s="18"/>
      <c r="BT150" s="60"/>
      <c r="BU150" s="17"/>
      <c r="BV150" s="17"/>
      <c r="BW150" s="60"/>
      <c r="BX150" s="17"/>
      <c r="BY150" s="60"/>
      <c r="BZ150" s="17"/>
      <c r="CA150" s="17"/>
      <c r="CB150" s="60"/>
      <c r="CC150" s="60"/>
      <c r="CD150" s="17"/>
      <c r="CE150" s="60"/>
      <c r="CF150" s="18"/>
      <c r="CG150" s="60"/>
      <c r="CH150" s="17"/>
    </row>
    <row r="151" spans="1:86" s="29" customFormat="1" x14ac:dyDescent="0.35">
      <c r="A151" s="17"/>
      <c r="B151" s="26"/>
      <c r="C151" s="60"/>
      <c r="D151" s="27"/>
      <c r="E151" s="60"/>
      <c r="F151" s="27"/>
      <c r="G151" s="80"/>
      <c r="H151" s="18"/>
      <c r="I151" s="80"/>
      <c r="J151" s="17"/>
      <c r="K151" s="80"/>
      <c r="L151" s="18"/>
      <c r="M151" s="80"/>
      <c r="N151" s="17"/>
      <c r="O151" s="80"/>
      <c r="P151" s="18"/>
      <c r="Q151" s="80"/>
      <c r="R151" s="17"/>
      <c r="S151" s="80"/>
      <c r="T151" s="18"/>
      <c r="U151" s="60"/>
      <c r="V151" s="17"/>
      <c r="W151" s="80"/>
      <c r="X151" s="18"/>
      <c r="Y151" s="80"/>
      <c r="Z151" s="17"/>
      <c r="AA151" s="34"/>
      <c r="AB151" s="60"/>
      <c r="AC151" s="17"/>
      <c r="AD151" s="60"/>
      <c r="AE151" s="17"/>
      <c r="AF151" s="17"/>
      <c r="AG151" s="60"/>
      <c r="AH151" s="18"/>
      <c r="AI151" s="60"/>
      <c r="AJ151" s="17"/>
      <c r="AK151" s="17"/>
      <c r="AL151" s="80"/>
      <c r="AM151" s="18"/>
      <c r="AN151" s="80"/>
      <c r="AO151" s="17"/>
      <c r="AP151" s="17"/>
      <c r="AQ151" s="60"/>
      <c r="AR151" s="18"/>
      <c r="AS151" s="60"/>
      <c r="AT151" s="17"/>
      <c r="AU151" s="60"/>
      <c r="AV151" s="18"/>
      <c r="AW151" s="60"/>
      <c r="AX151" s="17"/>
      <c r="AY151" s="17"/>
      <c r="AZ151" s="60"/>
      <c r="BA151" s="18"/>
      <c r="BB151" s="17"/>
      <c r="BC151" s="17"/>
      <c r="BD151" s="17"/>
      <c r="BE151" s="60"/>
      <c r="BF151" s="18"/>
      <c r="BG151" s="60"/>
      <c r="BH151" s="17"/>
      <c r="BI151" s="60"/>
      <c r="BJ151" s="18"/>
      <c r="BK151" s="60"/>
      <c r="BL151" s="17"/>
      <c r="BM151" s="60"/>
      <c r="BN151" s="17"/>
      <c r="BO151" s="80"/>
      <c r="BP151" s="17"/>
      <c r="BQ151" s="20"/>
      <c r="BR151" s="60"/>
      <c r="BS151" s="18"/>
      <c r="BT151" s="60"/>
      <c r="BU151" s="17"/>
      <c r="BV151" s="17"/>
      <c r="BW151" s="60"/>
      <c r="BX151" s="17"/>
      <c r="BY151" s="60"/>
      <c r="BZ151" s="17"/>
      <c r="CA151" s="17"/>
      <c r="CB151" s="60"/>
      <c r="CC151" s="60"/>
      <c r="CD151" s="17"/>
      <c r="CE151" s="60"/>
      <c r="CF151" s="18"/>
      <c r="CG151" s="60"/>
      <c r="CH151" s="17"/>
    </row>
    <row r="152" spans="1:86" s="29" customFormat="1" x14ac:dyDescent="0.35">
      <c r="A152" s="17"/>
      <c r="B152" s="26"/>
      <c r="C152" s="60"/>
      <c r="D152" s="27"/>
      <c r="E152" s="60"/>
      <c r="F152" s="27"/>
      <c r="G152" s="80"/>
      <c r="H152" s="18"/>
      <c r="I152" s="80"/>
      <c r="J152" s="17"/>
      <c r="K152" s="80"/>
      <c r="L152" s="18"/>
      <c r="M152" s="80"/>
      <c r="N152" s="17"/>
      <c r="O152" s="80"/>
      <c r="P152" s="18"/>
      <c r="Q152" s="80"/>
      <c r="R152" s="17"/>
      <c r="S152" s="80"/>
      <c r="T152" s="18"/>
      <c r="U152" s="60"/>
      <c r="V152" s="17"/>
      <c r="W152" s="80"/>
      <c r="X152" s="18"/>
      <c r="Y152" s="80"/>
      <c r="Z152" s="17"/>
      <c r="AA152" s="34"/>
      <c r="AB152" s="60"/>
      <c r="AC152" s="17"/>
      <c r="AD152" s="60"/>
      <c r="AE152" s="17"/>
      <c r="AF152" s="17"/>
      <c r="AG152" s="60"/>
      <c r="AH152" s="18"/>
      <c r="AI152" s="60"/>
      <c r="AJ152" s="17"/>
      <c r="AK152" s="17"/>
      <c r="AL152" s="80"/>
      <c r="AM152" s="18"/>
      <c r="AN152" s="80"/>
      <c r="AO152" s="17"/>
      <c r="AP152" s="17"/>
      <c r="AQ152" s="60"/>
      <c r="AR152" s="18"/>
      <c r="AS152" s="60"/>
      <c r="AT152" s="17"/>
      <c r="AU152" s="60"/>
      <c r="AV152" s="18"/>
      <c r="AW152" s="60"/>
      <c r="AX152" s="17"/>
      <c r="AY152" s="17"/>
      <c r="AZ152" s="60"/>
      <c r="BA152" s="18"/>
      <c r="BB152" s="17"/>
      <c r="BC152" s="17"/>
      <c r="BD152" s="17"/>
      <c r="BE152" s="60"/>
      <c r="BF152" s="18"/>
      <c r="BG152" s="60"/>
      <c r="BH152" s="17"/>
      <c r="BI152" s="60"/>
      <c r="BJ152" s="18"/>
      <c r="BK152" s="60"/>
      <c r="BL152" s="17"/>
      <c r="BM152" s="60"/>
      <c r="BN152" s="17"/>
      <c r="BO152" s="80"/>
      <c r="BP152" s="17"/>
      <c r="BQ152" s="20"/>
      <c r="BR152" s="60"/>
      <c r="BS152" s="18"/>
      <c r="BT152" s="60"/>
      <c r="BU152" s="17"/>
      <c r="BV152" s="17"/>
      <c r="BW152" s="60"/>
      <c r="BX152" s="17"/>
      <c r="BY152" s="60"/>
      <c r="BZ152" s="17"/>
      <c r="CA152" s="17"/>
      <c r="CB152" s="60"/>
      <c r="CC152" s="60"/>
      <c r="CD152" s="17"/>
      <c r="CE152" s="60"/>
      <c r="CF152" s="18"/>
      <c r="CG152" s="60"/>
      <c r="CH152" s="17"/>
    </row>
    <row r="153" spans="1:86" s="29" customFormat="1" x14ac:dyDescent="0.35">
      <c r="A153" s="17"/>
      <c r="B153" s="26"/>
      <c r="C153" s="60"/>
      <c r="D153" s="27"/>
      <c r="E153" s="60"/>
      <c r="F153" s="27"/>
      <c r="G153" s="80"/>
      <c r="H153" s="18"/>
      <c r="I153" s="80"/>
      <c r="J153" s="17"/>
      <c r="K153" s="80"/>
      <c r="L153" s="18"/>
      <c r="M153" s="80"/>
      <c r="N153" s="17"/>
      <c r="O153" s="80"/>
      <c r="P153" s="18"/>
      <c r="Q153" s="80"/>
      <c r="R153" s="17"/>
      <c r="S153" s="80"/>
      <c r="T153" s="18"/>
      <c r="U153" s="60"/>
      <c r="V153" s="17"/>
      <c r="W153" s="80"/>
      <c r="X153" s="18"/>
      <c r="Y153" s="80"/>
      <c r="Z153" s="17"/>
      <c r="AA153" s="34"/>
      <c r="AB153" s="60"/>
      <c r="AC153" s="17"/>
      <c r="AD153" s="60"/>
      <c r="AE153" s="17"/>
      <c r="AF153" s="17"/>
      <c r="AG153" s="60"/>
      <c r="AH153" s="18"/>
      <c r="AI153" s="60"/>
      <c r="AJ153" s="17"/>
      <c r="AK153" s="17"/>
      <c r="AL153" s="80"/>
      <c r="AM153" s="18"/>
      <c r="AN153" s="80"/>
      <c r="AO153" s="17"/>
      <c r="AP153" s="17"/>
      <c r="AQ153" s="60"/>
      <c r="AR153" s="18"/>
      <c r="AS153" s="60"/>
      <c r="AT153" s="17"/>
      <c r="AU153" s="60"/>
      <c r="AV153" s="18"/>
      <c r="AW153" s="60"/>
      <c r="AX153" s="17"/>
      <c r="AY153" s="17"/>
      <c r="AZ153" s="60"/>
      <c r="BA153" s="18"/>
      <c r="BB153" s="17"/>
      <c r="BC153" s="17"/>
      <c r="BD153" s="17"/>
      <c r="BE153" s="60"/>
      <c r="BF153" s="18"/>
      <c r="BG153" s="60"/>
      <c r="BH153" s="17"/>
      <c r="BI153" s="60"/>
      <c r="BJ153" s="18"/>
      <c r="BK153" s="60"/>
      <c r="BL153" s="17"/>
      <c r="BM153" s="60"/>
      <c r="BN153" s="17"/>
      <c r="BO153" s="80"/>
      <c r="BP153" s="17"/>
      <c r="BQ153" s="20"/>
      <c r="BR153" s="60"/>
      <c r="BS153" s="18"/>
      <c r="BT153" s="60"/>
      <c r="BU153" s="17"/>
      <c r="BV153" s="17"/>
      <c r="BW153" s="60"/>
      <c r="BX153" s="17"/>
      <c r="BY153" s="60"/>
      <c r="BZ153" s="17"/>
      <c r="CA153" s="17"/>
      <c r="CB153" s="60"/>
      <c r="CC153" s="60"/>
      <c r="CD153" s="17"/>
      <c r="CE153" s="60"/>
      <c r="CF153" s="18"/>
      <c r="CG153" s="60"/>
      <c r="CH153" s="17"/>
    </row>
    <row r="154" spans="1:86" s="29" customFormat="1" x14ac:dyDescent="0.35">
      <c r="A154" s="17"/>
      <c r="B154" s="26"/>
      <c r="C154" s="60"/>
      <c r="D154" s="27"/>
      <c r="E154" s="60"/>
      <c r="F154" s="27"/>
      <c r="G154" s="80"/>
      <c r="H154" s="18"/>
      <c r="I154" s="80"/>
      <c r="J154" s="17"/>
      <c r="K154" s="80"/>
      <c r="L154" s="18"/>
      <c r="M154" s="80"/>
      <c r="N154" s="17"/>
      <c r="O154" s="80"/>
      <c r="P154" s="18"/>
      <c r="Q154" s="80"/>
      <c r="R154" s="17"/>
      <c r="S154" s="80"/>
      <c r="T154" s="18"/>
      <c r="U154" s="60"/>
      <c r="V154" s="17"/>
      <c r="W154" s="80"/>
      <c r="X154" s="18"/>
      <c r="Y154" s="80"/>
      <c r="Z154" s="17"/>
      <c r="AA154" s="34"/>
      <c r="AB154" s="60"/>
      <c r="AC154" s="17"/>
      <c r="AD154" s="60"/>
      <c r="AE154" s="17"/>
      <c r="AF154" s="17"/>
      <c r="AG154" s="60"/>
      <c r="AH154" s="18"/>
      <c r="AI154" s="60"/>
      <c r="AJ154" s="17"/>
      <c r="AK154" s="17"/>
      <c r="AL154" s="80"/>
      <c r="AM154" s="18"/>
      <c r="AN154" s="80"/>
      <c r="AO154" s="17"/>
      <c r="AP154" s="17"/>
      <c r="AQ154" s="60"/>
      <c r="AR154" s="18"/>
      <c r="AS154" s="60"/>
      <c r="AT154" s="17"/>
      <c r="AU154" s="60"/>
      <c r="AV154" s="18"/>
      <c r="AW154" s="60"/>
      <c r="AX154" s="17"/>
      <c r="AY154" s="17"/>
      <c r="AZ154" s="60"/>
      <c r="BA154" s="18"/>
      <c r="BB154" s="17"/>
      <c r="BC154" s="17"/>
      <c r="BD154" s="17"/>
      <c r="BE154" s="60"/>
      <c r="BF154" s="18"/>
      <c r="BG154" s="60"/>
      <c r="BH154" s="17"/>
      <c r="BI154" s="60"/>
      <c r="BJ154" s="18"/>
      <c r="BK154" s="60"/>
      <c r="BL154" s="17"/>
      <c r="BM154" s="60"/>
      <c r="BN154" s="17"/>
      <c r="BO154" s="80"/>
      <c r="BP154" s="17"/>
      <c r="BQ154" s="20"/>
      <c r="BR154" s="60"/>
      <c r="BS154" s="18"/>
      <c r="BT154" s="60"/>
      <c r="BU154" s="17"/>
      <c r="BV154" s="17"/>
      <c r="BW154" s="60"/>
      <c r="BX154" s="17"/>
      <c r="BY154" s="60"/>
      <c r="BZ154" s="17"/>
      <c r="CA154" s="17"/>
      <c r="CB154" s="60"/>
      <c r="CC154" s="60"/>
      <c r="CD154" s="17"/>
      <c r="CE154" s="60"/>
      <c r="CF154" s="18"/>
      <c r="CG154" s="60"/>
      <c r="CH154" s="17"/>
    </row>
    <row r="155" spans="1:86" s="29" customFormat="1" x14ac:dyDescent="0.35">
      <c r="A155" s="17"/>
      <c r="B155" s="26"/>
      <c r="C155" s="60"/>
      <c r="D155" s="27"/>
      <c r="E155" s="60"/>
      <c r="F155" s="27"/>
      <c r="G155" s="80"/>
      <c r="H155" s="18"/>
      <c r="I155" s="80"/>
      <c r="J155" s="17"/>
      <c r="K155" s="80"/>
      <c r="L155" s="18"/>
      <c r="M155" s="80"/>
      <c r="N155" s="17"/>
      <c r="O155" s="80"/>
      <c r="P155" s="18"/>
      <c r="Q155" s="80"/>
      <c r="R155" s="17"/>
      <c r="S155" s="80"/>
      <c r="T155" s="18"/>
      <c r="U155" s="60"/>
      <c r="V155" s="17"/>
      <c r="W155" s="80"/>
      <c r="X155" s="18"/>
      <c r="Y155" s="80"/>
      <c r="Z155" s="17"/>
      <c r="AA155" s="34"/>
      <c r="AB155" s="60"/>
      <c r="AC155" s="17"/>
      <c r="AD155" s="60"/>
      <c r="AE155" s="17"/>
      <c r="AF155" s="17"/>
      <c r="AG155" s="60"/>
      <c r="AH155" s="18"/>
      <c r="AI155" s="60"/>
      <c r="AJ155" s="17"/>
      <c r="AK155" s="17"/>
      <c r="AL155" s="80"/>
      <c r="AM155" s="18"/>
      <c r="AN155" s="80"/>
      <c r="AO155" s="17"/>
      <c r="AP155" s="17"/>
      <c r="AQ155" s="60"/>
      <c r="AR155" s="18"/>
      <c r="AS155" s="60"/>
      <c r="AT155" s="17"/>
      <c r="AU155" s="60"/>
      <c r="AV155" s="18"/>
      <c r="AW155" s="60"/>
      <c r="AX155" s="17"/>
      <c r="AY155" s="17"/>
      <c r="AZ155" s="60"/>
      <c r="BA155" s="18"/>
      <c r="BB155" s="17"/>
      <c r="BC155" s="17"/>
      <c r="BD155" s="17"/>
      <c r="BE155" s="60"/>
      <c r="BF155" s="18"/>
      <c r="BG155" s="60"/>
      <c r="BH155" s="17"/>
      <c r="BI155" s="60"/>
      <c r="BJ155" s="18"/>
      <c r="BK155" s="60"/>
      <c r="BL155" s="17"/>
      <c r="BM155" s="60"/>
      <c r="BN155" s="17"/>
      <c r="BO155" s="80"/>
      <c r="BP155" s="17"/>
      <c r="BQ155" s="20"/>
      <c r="BR155" s="60"/>
      <c r="BS155" s="18"/>
      <c r="BT155" s="60"/>
      <c r="BU155" s="17"/>
      <c r="BV155" s="17"/>
      <c r="BW155" s="60"/>
      <c r="BX155" s="17"/>
      <c r="BY155" s="60"/>
      <c r="BZ155" s="17"/>
      <c r="CA155" s="17"/>
      <c r="CB155" s="60"/>
      <c r="CC155" s="60"/>
      <c r="CD155" s="17"/>
      <c r="CE155" s="60"/>
      <c r="CF155" s="18"/>
      <c r="CG155" s="60"/>
      <c r="CH155" s="17"/>
    </row>
    <row r="156" spans="1:86" s="29" customFormat="1" x14ac:dyDescent="0.35">
      <c r="A156" s="17"/>
      <c r="B156" s="26"/>
      <c r="C156" s="60"/>
      <c r="D156" s="27"/>
      <c r="E156" s="60"/>
      <c r="F156" s="27"/>
      <c r="G156" s="80"/>
      <c r="H156" s="18"/>
      <c r="I156" s="80"/>
      <c r="J156" s="17"/>
      <c r="K156" s="80"/>
      <c r="L156" s="18"/>
      <c r="M156" s="80"/>
      <c r="N156" s="17"/>
      <c r="O156" s="80"/>
      <c r="P156" s="18"/>
      <c r="Q156" s="80"/>
      <c r="R156" s="17"/>
      <c r="S156" s="80"/>
      <c r="T156" s="18"/>
      <c r="U156" s="60"/>
      <c r="V156" s="17"/>
      <c r="W156" s="80"/>
      <c r="X156" s="18"/>
      <c r="Y156" s="80"/>
      <c r="Z156" s="17"/>
      <c r="AA156" s="34"/>
      <c r="AB156" s="60"/>
      <c r="AC156" s="17"/>
      <c r="AD156" s="60"/>
      <c r="AE156" s="17"/>
      <c r="AF156" s="17"/>
      <c r="AG156" s="60"/>
      <c r="AH156" s="18"/>
      <c r="AI156" s="60"/>
      <c r="AJ156" s="17"/>
      <c r="AK156" s="17"/>
      <c r="AL156" s="80"/>
      <c r="AM156" s="18"/>
      <c r="AN156" s="80"/>
      <c r="AO156" s="17"/>
      <c r="AP156" s="17"/>
      <c r="AQ156" s="60"/>
      <c r="AR156" s="18"/>
      <c r="AS156" s="60"/>
      <c r="AT156" s="17"/>
      <c r="AU156" s="60"/>
      <c r="AV156" s="18"/>
      <c r="AW156" s="60"/>
      <c r="AX156" s="17"/>
      <c r="AY156" s="17"/>
      <c r="AZ156" s="60"/>
      <c r="BA156" s="18"/>
      <c r="BB156" s="17"/>
      <c r="BC156" s="17"/>
      <c r="BD156" s="17"/>
      <c r="BE156" s="60"/>
      <c r="BF156" s="18"/>
      <c r="BG156" s="60"/>
      <c r="BH156" s="17"/>
      <c r="BI156" s="60"/>
      <c r="BJ156" s="18"/>
      <c r="BK156" s="60"/>
      <c r="BL156" s="17"/>
      <c r="BM156" s="60"/>
      <c r="BN156" s="17"/>
      <c r="BO156" s="80"/>
      <c r="BP156" s="17"/>
      <c r="BQ156" s="20"/>
      <c r="BR156" s="60"/>
      <c r="BS156" s="18"/>
      <c r="BT156" s="60"/>
      <c r="BU156" s="17"/>
      <c r="BV156" s="17"/>
      <c r="BW156" s="60"/>
      <c r="BX156" s="17"/>
      <c r="BY156" s="60"/>
      <c r="BZ156" s="17"/>
      <c r="CA156" s="17"/>
      <c r="CB156" s="60"/>
      <c r="CC156" s="60"/>
      <c r="CD156" s="17"/>
      <c r="CE156" s="60"/>
      <c r="CF156" s="18"/>
      <c r="CG156" s="60"/>
      <c r="CH156" s="17"/>
    </row>
    <row r="157" spans="1:86" s="29" customFormat="1" x14ac:dyDescent="0.35">
      <c r="A157" s="17"/>
      <c r="B157" s="26"/>
      <c r="C157" s="60"/>
      <c r="D157" s="27"/>
      <c r="E157" s="60"/>
      <c r="F157" s="27"/>
      <c r="G157" s="80"/>
      <c r="H157" s="18"/>
      <c r="I157" s="80"/>
      <c r="J157" s="17"/>
      <c r="K157" s="80"/>
      <c r="L157" s="18"/>
      <c r="M157" s="80"/>
      <c r="N157" s="17"/>
      <c r="O157" s="80"/>
      <c r="P157" s="18"/>
      <c r="Q157" s="80"/>
      <c r="R157" s="17"/>
      <c r="S157" s="80"/>
      <c r="T157" s="18"/>
      <c r="U157" s="60"/>
      <c r="V157" s="17"/>
      <c r="W157" s="80"/>
      <c r="X157" s="18"/>
      <c r="Y157" s="80"/>
      <c r="Z157" s="17"/>
      <c r="AA157" s="34"/>
      <c r="AB157" s="60"/>
      <c r="AC157" s="17"/>
      <c r="AD157" s="60"/>
      <c r="AE157" s="17"/>
      <c r="AF157" s="17"/>
      <c r="AG157" s="60"/>
      <c r="AH157" s="18"/>
      <c r="AI157" s="60"/>
      <c r="AJ157" s="17"/>
      <c r="AK157" s="17"/>
      <c r="AL157" s="80"/>
      <c r="AM157" s="18"/>
      <c r="AN157" s="80"/>
      <c r="AO157" s="17"/>
      <c r="AP157" s="17"/>
      <c r="AQ157" s="60"/>
      <c r="AR157" s="18"/>
      <c r="AS157" s="60"/>
      <c r="AT157" s="17"/>
      <c r="AU157" s="60"/>
      <c r="AV157" s="18"/>
      <c r="AW157" s="60"/>
      <c r="AX157" s="17"/>
      <c r="AY157" s="17"/>
      <c r="AZ157" s="60"/>
      <c r="BA157" s="18"/>
      <c r="BB157" s="17"/>
      <c r="BC157" s="17"/>
      <c r="BD157" s="17"/>
      <c r="BE157" s="60"/>
      <c r="BF157" s="18"/>
      <c r="BG157" s="60"/>
      <c r="BH157" s="17"/>
      <c r="BI157" s="60"/>
      <c r="BJ157" s="18"/>
      <c r="BK157" s="60"/>
      <c r="BL157" s="17"/>
      <c r="BM157" s="60"/>
      <c r="BN157" s="17"/>
      <c r="BO157" s="80"/>
      <c r="BP157" s="17"/>
      <c r="BQ157" s="20"/>
      <c r="BR157" s="60"/>
      <c r="BS157" s="18"/>
      <c r="BT157" s="60"/>
      <c r="BU157" s="17"/>
      <c r="BV157" s="17"/>
      <c r="BW157" s="60"/>
      <c r="BX157" s="17"/>
      <c r="BY157" s="60"/>
      <c r="BZ157" s="17"/>
      <c r="CA157" s="17"/>
      <c r="CB157" s="60"/>
      <c r="CC157" s="60"/>
      <c r="CD157" s="17"/>
      <c r="CE157" s="60"/>
      <c r="CF157" s="18"/>
      <c r="CG157" s="60"/>
      <c r="CH157" s="17"/>
    </row>
    <row r="158" spans="1:86" s="29" customFormat="1" x14ac:dyDescent="0.35">
      <c r="A158" s="17"/>
      <c r="B158" s="26"/>
      <c r="C158" s="60"/>
      <c r="D158" s="27"/>
      <c r="E158" s="60"/>
      <c r="F158" s="27"/>
      <c r="G158" s="80"/>
      <c r="H158" s="18"/>
      <c r="I158" s="80"/>
      <c r="J158" s="17"/>
      <c r="K158" s="80"/>
      <c r="L158" s="18"/>
      <c r="M158" s="80"/>
      <c r="N158" s="17"/>
      <c r="O158" s="80"/>
      <c r="P158" s="18"/>
      <c r="Q158" s="80"/>
      <c r="R158" s="17"/>
      <c r="S158" s="80"/>
      <c r="T158" s="18"/>
      <c r="U158" s="60"/>
      <c r="V158" s="17"/>
      <c r="W158" s="80"/>
      <c r="X158" s="18"/>
      <c r="Y158" s="80"/>
      <c r="Z158" s="17"/>
      <c r="AA158" s="34"/>
      <c r="AB158" s="60"/>
      <c r="AC158" s="17"/>
      <c r="AD158" s="60"/>
      <c r="AE158" s="17"/>
      <c r="AF158" s="17"/>
      <c r="AG158" s="60"/>
      <c r="AH158" s="18"/>
      <c r="AI158" s="60"/>
      <c r="AJ158" s="17"/>
      <c r="AK158" s="17"/>
      <c r="AL158" s="80"/>
      <c r="AM158" s="18"/>
      <c r="AN158" s="80"/>
      <c r="AO158" s="17"/>
      <c r="AP158" s="17"/>
      <c r="AQ158" s="60"/>
      <c r="AR158" s="18"/>
      <c r="AS158" s="60"/>
      <c r="AT158" s="17"/>
      <c r="AU158" s="60"/>
      <c r="AV158" s="18"/>
      <c r="AW158" s="60"/>
      <c r="AX158" s="17"/>
      <c r="AY158" s="17"/>
      <c r="AZ158" s="60"/>
      <c r="BA158" s="18"/>
      <c r="BB158" s="17"/>
      <c r="BC158" s="17"/>
      <c r="BD158" s="17"/>
      <c r="BE158" s="60"/>
      <c r="BF158" s="18"/>
      <c r="BG158" s="60"/>
      <c r="BH158" s="17"/>
      <c r="BI158" s="60"/>
      <c r="BJ158" s="18"/>
      <c r="BK158" s="60"/>
      <c r="BL158" s="17"/>
      <c r="BM158" s="60"/>
      <c r="BN158" s="17"/>
      <c r="BO158" s="80"/>
      <c r="BP158" s="17"/>
      <c r="BQ158" s="20"/>
      <c r="BR158" s="60"/>
      <c r="BS158" s="18"/>
      <c r="BT158" s="60"/>
      <c r="BU158" s="17"/>
      <c r="BV158" s="17"/>
      <c r="BW158" s="60"/>
      <c r="BX158" s="17"/>
      <c r="BY158" s="60"/>
      <c r="BZ158" s="17"/>
      <c r="CA158" s="17"/>
      <c r="CB158" s="60"/>
      <c r="CC158" s="60"/>
      <c r="CD158" s="17"/>
      <c r="CE158" s="60"/>
      <c r="CF158" s="18"/>
      <c r="CG158" s="60"/>
      <c r="CH158" s="17"/>
    </row>
    <row r="159" spans="1:86" s="29" customFormat="1" x14ac:dyDescent="0.35">
      <c r="A159" s="17"/>
      <c r="B159" s="26"/>
      <c r="C159" s="60"/>
      <c r="D159" s="27"/>
      <c r="E159" s="60"/>
      <c r="F159" s="27"/>
      <c r="G159" s="80"/>
      <c r="H159" s="18"/>
      <c r="I159" s="80"/>
      <c r="J159" s="17"/>
      <c r="K159" s="80"/>
      <c r="L159" s="18"/>
      <c r="M159" s="80"/>
      <c r="N159" s="17"/>
      <c r="O159" s="80"/>
      <c r="P159" s="18"/>
      <c r="Q159" s="80"/>
      <c r="R159" s="17"/>
      <c r="S159" s="80"/>
      <c r="T159" s="18"/>
      <c r="U159" s="60"/>
      <c r="V159" s="17"/>
      <c r="W159" s="80"/>
      <c r="X159" s="18"/>
      <c r="Y159" s="80"/>
      <c r="Z159" s="17"/>
      <c r="AA159" s="34"/>
      <c r="AB159" s="60"/>
      <c r="AC159" s="17"/>
      <c r="AD159" s="60"/>
      <c r="AE159" s="17"/>
      <c r="AF159" s="17"/>
      <c r="AG159" s="60"/>
      <c r="AH159" s="18"/>
      <c r="AI159" s="60"/>
      <c r="AJ159" s="17"/>
      <c r="AK159" s="17"/>
      <c r="AL159" s="80"/>
      <c r="AM159" s="18"/>
      <c r="AN159" s="80"/>
      <c r="AO159" s="17"/>
      <c r="AP159" s="17"/>
      <c r="AQ159" s="60"/>
      <c r="AR159" s="18"/>
      <c r="AS159" s="60"/>
      <c r="AT159" s="17"/>
      <c r="AU159" s="60"/>
      <c r="AV159" s="18"/>
      <c r="AW159" s="60"/>
      <c r="AX159" s="17"/>
      <c r="AY159" s="17"/>
      <c r="AZ159" s="60"/>
      <c r="BA159" s="18"/>
      <c r="BB159" s="17"/>
      <c r="BC159" s="17"/>
      <c r="BD159" s="17"/>
      <c r="BE159" s="60"/>
      <c r="BF159" s="18"/>
      <c r="BG159" s="60"/>
      <c r="BH159" s="17"/>
      <c r="BI159" s="60"/>
      <c r="BJ159" s="18"/>
      <c r="BK159" s="60"/>
      <c r="BL159" s="17"/>
      <c r="BM159" s="60"/>
      <c r="BN159" s="17"/>
      <c r="BO159" s="80"/>
      <c r="BP159" s="17"/>
      <c r="BQ159" s="20"/>
      <c r="BR159" s="60"/>
      <c r="BS159" s="18"/>
      <c r="BT159" s="60"/>
      <c r="BU159" s="17"/>
      <c r="BV159" s="17"/>
      <c r="BW159" s="60"/>
      <c r="BX159" s="17"/>
      <c r="BY159" s="60"/>
      <c r="BZ159" s="17"/>
      <c r="CA159" s="17"/>
      <c r="CB159" s="60"/>
      <c r="CC159" s="60"/>
      <c r="CD159" s="17"/>
      <c r="CE159" s="60"/>
      <c r="CF159" s="18"/>
      <c r="CG159" s="60"/>
      <c r="CH159" s="17"/>
    </row>
    <row r="160" spans="1:86" s="29" customFormat="1" x14ac:dyDescent="0.35">
      <c r="A160" s="17"/>
      <c r="B160" s="26"/>
      <c r="C160" s="60"/>
      <c r="D160" s="27"/>
      <c r="E160" s="60"/>
      <c r="F160" s="27"/>
      <c r="G160" s="80"/>
      <c r="H160" s="18"/>
      <c r="I160" s="80"/>
      <c r="J160" s="17"/>
      <c r="K160" s="80"/>
      <c r="L160" s="18"/>
      <c r="M160" s="80"/>
      <c r="N160" s="17"/>
      <c r="O160" s="80"/>
      <c r="P160" s="18"/>
      <c r="Q160" s="80"/>
      <c r="R160" s="17"/>
      <c r="S160" s="80"/>
      <c r="T160" s="18"/>
      <c r="U160" s="60"/>
      <c r="V160" s="17"/>
      <c r="W160" s="80"/>
      <c r="X160" s="18"/>
      <c r="Y160" s="80"/>
      <c r="Z160" s="17"/>
      <c r="AA160" s="34"/>
      <c r="AB160" s="60"/>
      <c r="AC160" s="17"/>
      <c r="AD160" s="60"/>
      <c r="AE160" s="17"/>
      <c r="AF160" s="17"/>
      <c r="AG160" s="60"/>
      <c r="AH160" s="18"/>
      <c r="AI160" s="60"/>
      <c r="AJ160" s="17"/>
      <c r="AK160" s="17"/>
      <c r="AL160" s="80"/>
      <c r="AM160" s="18"/>
      <c r="AN160" s="80"/>
      <c r="AO160" s="17"/>
      <c r="AP160" s="17"/>
      <c r="AQ160" s="60"/>
      <c r="AR160" s="18"/>
      <c r="AS160" s="60"/>
      <c r="AT160" s="17"/>
      <c r="AU160" s="60"/>
      <c r="AV160" s="18"/>
      <c r="AW160" s="60"/>
      <c r="AX160" s="17"/>
      <c r="AY160" s="17"/>
      <c r="AZ160" s="60"/>
      <c r="BA160" s="18"/>
      <c r="BB160" s="17"/>
      <c r="BC160" s="17"/>
      <c r="BD160" s="17"/>
      <c r="BE160" s="60"/>
      <c r="BF160" s="18"/>
      <c r="BG160" s="60"/>
      <c r="BH160" s="17"/>
      <c r="BI160" s="60"/>
      <c r="BJ160" s="18"/>
      <c r="BK160" s="60"/>
      <c r="BL160" s="17"/>
      <c r="BM160" s="60"/>
      <c r="BN160" s="17"/>
      <c r="BO160" s="80"/>
      <c r="BP160" s="17"/>
      <c r="BQ160" s="20"/>
      <c r="BR160" s="60"/>
      <c r="BS160" s="18"/>
      <c r="BT160" s="60"/>
      <c r="BU160" s="17"/>
      <c r="BV160" s="17"/>
      <c r="BW160" s="60"/>
      <c r="BX160" s="17"/>
      <c r="BY160" s="60"/>
      <c r="BZ160" s="17"/>
      <c r="CA160" s="17"/>
      <c r="CB160" s="60"/>
      <c r="CC160" s="60"/>
      <c r="CD160" s="17"/>
      <c r="CE160" s="60"/>
      <c r="CF160" s="18"/>
      <c r="CG160" s="60"/>
      <c r="CH160" s="17"/>
    </row>
    <row r="161" spans="1:86" s="29" customFormat="1" x14ac:dyDescent="0.35">
      <c r="A161" s="17"/>
      <c r="B161" s="26"/>
      <c r="C161" s="60"/>
      <c r="D161" s="27"/>
      <c r="E161" s="60"/>
      <c r="F161" s="27"/>
      <c r="G161" s="80"/>
      <c r="H161" s="18"/>
      <c r="I161" s="80"/>
      <c r="J161" s="17"/>
      <c r="K161" s="80"/>
      <c r="L161" s="18"/>
      <c r="M161" s="80"/>
      <c r="N161" s="17"/>
      <c r="O161" s="80"/>
      <c r="P161" s="18"/>
      <c r="Q161" s="80"/>
      <c r="R161" s="17"/>
      <c r="S161" s="80"/>
      <c r="T161" s="18"/>
      <c r="U161" s="60"/>
      <c r="V161" s="17"/>
      <c r="W161" s="80"/>
      <c r="X161" s="18"/>
      <c r="Y161" s="80"/>
      <c r="Z161" s="17"/>
      <c r="AA161" s="34"/>
      <c r="AB161" s="60"/>
      <c r="AC161" s="17"/>
      <c r="AD161" s="60"/>
      <c r="AE161" s="17"/>
      <c r="AF161" s="17"/>
      <c r="AG161" s="60"/>
      <c r="AH161" s="18"/>
      <c r="AI161" s="60"/>
      <c r="AJ161" s="17"/>
      <c r="AK161" s="17"/>
      <c r="AL161" s="80"/>
      <c r="AM161" s="18"/>
      <c r="AN161" s="80"/>
      <c r="AO161" s="17"/>
      <c r="AP161" s="17"/>
      <c r="AQ161" s="60"/>
      <c r="AR161" s="18"/>
      <c r="AS161" s="60"/>
      <c r="AT161" s="17"/>
      <c r="AU161" s="60"/>
      <c r="AV161" s="18"/>
      <c r="AW161" s="60"/>
      <c r="AX161" s="17"/>
      <c r="AY161" s="17"/>
      <c r="AZ161" s="60"/>
      <c r="BA161" s="18"/>
      <c r="BB161" s="17"/>
      <c r="BC161" s="17"/>
      <c r="BD161" s="17"/>
      <c r="BE161" s="60"/>
      <c r="BF161" s="18"/>
      <c r="BG161" s="60"/>
      <c r="BH161" s="17"/>
      <c r="BI161" s="60"/>
      <c r="BJ161" s="18"/>
      <c r="BK161" s="60"/>
      <c r="BL161" s="17"/>
      <c r="BM161" s="60"/>
      <c r="BN161" s="17"/>
      <c r="BO161" s="80"/>
      <c r="BP161" s="17"/>
      <c r="BQ161" s="20"/>
      <c r="BR161" s="60"/>
      <c r="BS161" s="18"/>
      <c r="BT161" s="60"/>
      <c r="BU161" s="17"/>
      <c r="BV161" s="17"/>
      <c r="BW161" s="60"/>
      <c r="BX161" s="17"/>
      <c r="BY161" s="60"/>
      <c r="BZ161" s="17"/>
      <c r="CA161" s="17"/>
      <c r="CB161" s="60"/>
      <c r="CC161" s="60"/>
      <c r="CD161" s="17"/>
      <c r="CE161" s="60"/>
      <c r="CF161" s="18"/>
      <c r="CG161" s="60"/>
      <c r="CH161" s="17"/>
    </row>
    <row r="162" spans="1:86" s="29" customFormat="1" x14ac:dyDescent="0.35">
      <c r="A162" s="17"/>
      <c r="B162" s="26"/>
      <c r="C162" s="60"/>
      <c r="D162" s="27"/>
      <c r="E162" s="60"/>
      <c r="F162" s="27"/>
      <c r="G162" s="80"/>
      <c r="H162" s="18"/>
      <c r="I162" s="80"/>
      <c r="J162" s="17"/>
      <c r="K162" s="80"/>
      <c r="L162" s="18"/>
      <c r="M162" s="80"/>
      <c r="N162" s="17"/>
      <c r="O162" s="80"/>
      <c r="P162" s="18"/>
      <c r="Q162" s="80"/>
      <c r="R162" s="17"/>
      <c r="S162" s="80"/>
      <c r="T162" s="18"/>
      <c r="U162" s="60"/>
      <c r="V162" s="17"/>
      <c r="W162" s="80"/>
      <c r="X162" s="18"/>
      <c r="Y162" s="80"/>
      <c r="Z162" s="17"/>
      <c r="AA162" s="34"/>
      <c r="AB162" s="60"/>
      <c r="AC162" s="17"/>
      <c r="AD162" s="60"/>
      <c r="AE162" s="17"/>
      <c r="AF162" s="17"/>
      <c r="AG162" s="60"/>
      <c r="AH162" s="18"/>
      <c r="AI162" s="60"/>
      <c r="AJ162" s="17"/>
      <c r="AK162" s="17"/>
      <c r="AL162" s="80"/>
      <c r="AM162" s="18"/>
      <c r="AN162" s="80"/>
      <c r="AO162" s="17"/>
      <c r="AP162" s="17"/>
      <c r="AQ162" s="60"/>
      <c r="AR162" s="18"/>
      <c r="AS162" s="60"/>
      <c r="AT162" s="17"/>
      <c r="AU162" s="60"/>
      <c r="AV162" s="18"/>
      <c r="AW162" s="60"/>
      <c r="AX162" s="17"/>
      <c r="AY162" s="17"/>
      <c r="AZ162" s="60"/>
      <c r="BA162" s="18"/>
      <c r="BB162" s="17"/>
      <c r="BC162" s="17"/>
      <c r="BD162" s="17"/>
      <c r="BE162" s="60"/>
      <c r="BF162" s="18"/>
      <c r="BG162" s="60"/>
      <c r="BH162" s="17"/>
      <c r="BI162" s="60"/>
      <c r="BJ162" s="18"/>
      <c r="BK162" s="60"/>
      <c r="BL162" s="17"/>
      <c r="BM162" s="60"/>
      <c r="BN162" s="17"/>
      <c r="BO162" s="80"/>
      <c r="BP162" s="17"/>
      <c r="BQ162" s="20"/>
      <c r="BR162" s="60"/>
      <c r="BS162" s="18"/>
      <c r="BT162" s="60"/>
      <c r="BU162" s="17"/>
      <c r="BV162" s="17"/>
      <c r="BW162" s="60"/>
      <c r="BX162" s="17"/>
      <c r="BY162" s="60"/>
      <c r="BZ162" s="17"/>
      <c r="CA162" s="17"/>
      <c r="CB162" s="60"/>
      <c r="CC162" s="60"/>
      <c r="CD162" s="17"/>
      <c r="CE162" s="60"/>
      <c r="CF162" s="18"/>
      <c r="CG162" s="60"/>
      <c r="CH162" s="17"/>
    </row>
    <row r="163" spans="1:86" s="29" customFormat="1" x14ac:dyDescent="0.35">
      <c r="A163" s="17"/>
      <c r="B163" s="26"/>
      <c r="C163" s="60"/>
      <c r="D163" s="27"/>
      <c r="E163" s="60"/>
      <c r="F163" s="27"/>
      <c r="G163" s="80"/>
      <c r="H163" s="18"/>
      <c r="I163" s="80"/>
      <c r="J163" s="17"/>
      <c r="K163" s="80"/>
      <c r="L163" s="18"/>
      <c r="M163" s="80"/>
      <c r="N163" s="17"/>
      <c r="O163" s="80"/>
      <c r="P163" s="18"/>
      <c r="Q163" s="80"/>
      <c r="R163" s="17"/>
      <c r="S163" s="80"/>
      <c r="T163" s="18"/>
      <c r="U163" s="60"/>
      <c r="V163" s="17"/>
      <c r="W163" s="80"/>
      <c r="X163" s="18"/>
      <c r="Y163" s="80"/>
      <c r="Z163" s="17"/>
      <c r="AA163" s="34"/>
      <c r="AB163" s="60"/>
      <c r="AC163" s="17"/>
      <c r="AD163" s="60"/>
      <c r="AE163" s="17"/>
      <c r="AF163" s="17"/>
      <c r="AG163" s="60"/>
      <c r="AH163" s="18"/>
      <c r="AI163" s="60"/>
      <c r="AJ163" s="17"/>
      <c r="AK163" s="17"/>
      <c r="AL163" s="80"/>
      <c r="AM163" s="18"/>
      <c r="AN163" s="80"/>
      <c r="AO163" s="17"/>
      <c r="AP163" s="17"/>
      <c r="AQ163" s="60"/>
      <c r="AR163" s="18"/>
      <c r="AS163" s="60"/>
      <c r="AT163" s="17"/>
      <c r="AU163" s="60"/>
      <c r="AV163" s="18"/>
      <c r="AW163" s="60"/>
      <c r="AX163" s="17"/>
      <c r="AY163" s="17"/>
      <c r="AZ163" s="60"/>
      <c r="BA163" s="18"/>
      <c r="BB163" s="17"/>
      <c r="BC163" s="17"/>
      <c r="BD163" s="17"/>
      <c r="BE163" s="60"/>
      <c r="BF163" s="18"/>
      <c r="BG163" s="60"/>
      <c r="BH163" s="17"/>
      <c r="BI163" s="60"/>
      <c r="BJ163" s="18"/>
      <c r="BK163" s="60"/>
      <c r="BL163" s="17"/>
      <c r="BM163" s="60"/>
      <c r="BN163" s="17"/>
      <c r="BO163" s="80"/>
      <c r="BP163" s="17"/>
      <c r="BQ163" s="20"/>
      <c r="BR163" s="60"/>
      <c r="BS163" s="18"/>
      <c r="BT163" s="60"/>
      <c r="BU163" s="17"/>
      <c r="BV163" s="17"/>
      <c r="BW163" s="60"/>
      <c r="BX163" s="17"/>
      <c r="BY163" s="60"/>
      <c r="BZ163" s="17"/>
      <c r="CA163" s="17"/>
      <c r="CB163" s="60"/>
      <c r="CC163" s="60"/>
      <c r="CD163" s="17"/>
      <c r="CE163" s="60"/>
      <c r="CF163" s="18"/>
      <c r="CG163" s="60"/>
      <c r="CH163" s="17"/>
    </row>
    <row r="164" spans="1:86" s="29" customFormat="1" x14ac:dyDescent="0.35">
      <c r="A164" s="17"/>
      <c r="B164" s="26"/>
      <c r="C164" s="60"/>
      <c r="D164" s="27"/>
      <c r="E164" s="60"/>
      <c r="F164" s="27"/>
      <c r="G164" s="80"/>
      <c r="H164" s="18"/>
      <c r="I164" s="80"/>
      <c r="J164" s="17"/>
      <c r="K164" s="80"/>
      <c r="L164" s="18"/>
      <c r="M164" s="80"/>
      <c r="N164" s="17"/>
      <c r="O164" s="80"/>
      <c r="P164" s="18"/>
      <c r="Q164" s="80"/>
      <c r="R164" s="17"/>
      <c r="S164" s="80"/>
      <c r="T164" s="18"/>
      <c r="U164" s="60"/>
      <c r="V164" s="17"/>
      <c r="W164" s="80"/>
      <c r="X164" s="18"/>
      <c r="Y164" s="80"/>
      <c r="Z164" s="17"/>
      <c r="AA164" s="34"/>
      <c r="AB164" s="60"/>
      <c r="AC164" s="17"/>
      <c r="AD164" s="60"/>
      <c r="AE164" s="17"/>
      <c r="AF164" s="17"/>
      <c r="AG164" s="60"/>
      <c r="AH164" s="18"/>
      <c r="AI164" s="60"/>
      <c r="AJ164" s="17"/>
      <c r="AK164" s="17"/>
      <c r="AL164" s="80"/>
      <c r="AM164" s="18"/>
      <c r="AN164" s="80"/>
      <c r="AO164" s="17"/>
      <c r="AP164" s="17"/>
      <c r="AQ164" s="60"/>
      <c r="AR164" s="18"/>
      <c r="AS164" s="60"/>
      <c r="AT164" s="17"/>
      <c r="AU164" s="60"/>
      <c r="AV164" s="18"/>
      <c r="AW164" s="60"/>
      <c r="AX164" s="17"/>
      <c r="AY164" s="17"/>
      <c r="AZ164" s="60"/>
      <c r="BA164" s="18"/>
      <c r="BB164" s="17"/>
      <c r="BC164" s="17"/>
      <c r="BD164" s="17"/>
      <c r="BE164" s="60"/>
      <c r="BF164" s="18"/>
      <c r="BG164" s="60"/>
      <c r="BH164" s="17"/>
      <c r="BI164" s="60"/>
      <c r="BJ164" s="18"/>
      <c r="BK164" s="60"/>
      <c r="BL164" s="17"/>
      <c r="BM164" s="60"/>
      <c r="BN164" s="17"/>
      <c r="BO164" s="80"/>
      <c r="BP164" s="17"/>
      <c r="BQ164" s="20"/>
      <c r="BR164" s="60"/>
      <c r="BS164" s="18"/>
      <c r="BT164" s="60"/>
      <c r="BU164" s="17"/>
      <c r="BV164" s="17"/>
      <c r="BW164" s="60"/>
      <c r="BX164" s="17"/>
      <c r="BY164" s="60"/>
      <c r="BZ164" s="17"/>
      <c r="CA164" s="17"/>
      <c r="CB164" s="60"/>
      <c r="CC164" s="60"/>
      <c r="CD164" s="17"/>
      <c r="CE164" s="60"/>
      <c r="CF164" s="18"/>
      <c r="CG164" s="60"/>
      <c r="CH164" s="17"/>
    </row>
    <row r="165" spans="1:86" s="29" customFormat="1" x14ac:dyDescent="0.35">
      <c r="A165" s="17"/>
      <c r="B165" s="26"/>
      <c r="C165" s="60"/>
      <c r="D165" s="27"/>
      <c r="E165" s="60"/>
      <c r="F165" s="27"/>
      <c r="G165" s="80"/>
      <c r="H165" s="18"/>
      <c r="I165" s="80"/>
      <c r="J165" s="17"/>
      <c r="K165" s="80"/>
      <c r="L165" s="18"/>
      <c r="M165" s="80"/>
      <c r="N165" s="17"/>
      <c r="O165" s="80"/>
      <c r="P165" s="18"/>
      <c r="Q165" s="80"/>
      <c r="R165" s="17"/>
      <c r="S165" s="80"/>
      <c r="T165" s="18"/>
      <c r="U165" s="60"/>
      <c r="V165" s="17"/>
      <c r="W165" s="80"/>
      <c r="X165" s="18"/>
      <c r="Y165" s="80"/>
      <c r="Z165" s="17"/>
      <c r="AA165" s="34"/>
      <c r="AB165" s="60"/>
      <c r="AC165" s="17"/>
      <c r="AD165" s="60"/>
      <c r="AE165" s="17"/>
      <c r="AF165" s="17"/>
      <c r="AG165" s="60"/>
      <c r="AH165" s="18"/>
      <c r="AI165" s="60"/>
      <c r="AJ165" s="17"/>
      <c r="AK165" s="17"/>
      <c r="AL165" s="80"/>
      <c r="AM165" s="18"/>
      <c r="AN165" s="80"/>
      <c r="AO165" s="17"/>
      <c r="AP165" s="17"/>
      <c r="AQ165" s="60"/>
      <c r="AR165" s="18"/>
      <c r="AS165" s="60"/>
      <c r="AT165" s="17"/>
      <c r="AU165" s="60"/>
      <c r="AV165" s="18"/>
      <c r="AW165" s="60"/>
      <c r="AX165" s="17"/>
      <c r="AY165" s="17"/>
      <c r="AZ165" s="60"/>
      <c r="BA165" s="18"/>
      <c r="BB165" s="17"/>
      <c r="BC165" s="17"/>
      <c r="BD165" s="17"/>
      <c r="BE165" s="60"/>
      <c r="BF165" s="18"/>
      <c r="BG165" s="60"/>
      <c r="BH165" s="17"/>
      <c r="BI165" s="60"/>
      <c r="BJ165" s="18"/>
      <c r="BK165" s="60"/>
      <c r="BL165" s="17"/>
      <c r="BM165" s="60"/>
      <c r="BN165" s="17"/>
      <c r="BO165" s="80"/>
      <c r="BP165" s="17"/>
      <c r="BQ165" s="20"/>
      <c r="BR165" s="60"/>
      <c r="BS165" s="18"/>
      <c r="BT165" s="60"/>
      <c r="BU165" s="17"/>
      <c r="BV165" s="17"/>
      <c r="BW165" s="60"/>
      <c r="BX165" s="17"/>
      <c r="BY165" s="60"/>
      <c r="BZ165" s="17"/>
      <c r="CA165" s="17"/>
      <c r="CB165" s="60"/>
      <c r="CC165" s="60"/>
      <c r="CD165" s="17"/>
      <c r="CE165" s="60"/>
      <c r="CF165" s="18"/>
      <c r="CG165" s="60"/>
      <c r="CH165" s="17"/>
    </row>
    <row r="166" spans="1:86" s="29" customFormat="1" x14ac:dyDescent="0.35">
      <c r="A166" s="17"/>
      <c r="B166" s="26"/>
      <c r="C166" s="60"/>
      <c r="D166" s="27"/>
      <c r="E166" s="60"/>
      <c r="F166" s="27"/>
      <c r="G166" s="80"/>
      <c r="H166" s="18"/>
      <c r="I166" s="80"/>
      <c r="J166" s="17"/>
      <c r="K166" s="80"/>
      <c r="L166" s="18"/>
      <c r="M166" s="80"/>
      <c r="N166" s="17"/>
      <c r="O166" s="80"/>
      <c r="P166" s="18"/>
      <c r="Q166" s="80"/>
      <c r="R166" s="17"/>
      <c r="S166" s="80"/>
      <c r="T166" s="18"/>
      <c r="U166" s="60"/>
      <c r="V166" s="17"/>
      <c r="W166" s="80"/>
      <c r="X166" s="18"/>
      <c r="Y166" s="80"/>
      <c r="Z166" s="17"/>
      <c r="AA166" s="34"/>
      <c r="AB166" s="60"/>
      <c r="AC166" s="17"/>
      <c r="AD166" s="60"/>
      <c r="AE166" s="17"/>
      <c r="AF166" s="17"/>
      <c r="AG166" s="60"/>
      <c r="AH166" s="18"/>
      <c r="AI166" s="60"/>
      <c r="AJ166" s="17"/>
      <c r="AK166" s="17"/>
      <c r="AL166" s="80"/>
      <c r="AM166" s="18"/>
      <c r="AN166" s="80"/>
      <c r="AO166" s="17"/>
      <c r="AP166" s="17"/>
      <c r="AQ166" s="60"/>
      <c r="AR166" s="18"/>
      <c r="AS166" s="60"/>
      <c r="AT166" s="17"/>
      <c r="AU166" s="60"/>
      <c r="AV166" s="18"/>
      <c r="AW166" s="60"/>
      <c r="AX166" s="17"/>
      <c r="AY166" s="17"/>
      <c r="AZ166" s="60"/>
      <c r="BA166" s="18"/>
      <c r="BB166" s="17"/>
      <c r="BC166" s="17"/>
      <c r="BD166" s="17"/>
      <c r="BE166" s="60"/>
      <c r="BF166" s="18"/>
      <c r="BG166" s="60"/>
      <c r="BH166" s="17"/>
      <c r="BI166" s="60"/>
      <c r="BJ166" s="18"/>
      <c r="BK166" s="60"/>
      <c r="BL166" s="17"/>
      <c r="BM166" s="60"/>
      <c r="BN166" s="17"/>
      <c r="BO166" s="80"/>
      <c r="BP166" s="17"/>
      <c r="BQ166" s="20"/>
      <c r="BR166" s="60"/>
      <c r="BS166" s="18"/>
      <c r="BT166" s="60"/>
      <c r="BU166" s="17"/>
      <c r="BV166" s="17"/>
      <c r="BW166" s="60"/>
      <c r="BX166" s="17"/>
      <c r="BY166" s="60"/>
      <c r="BZ166" s="17"/>
      <c r="CA166" s="17"/>
      <c r="CB166" s="60"/>
      <c r="CC166" s="60"/>
      <c r="CD166" s="17"/>
      <c r="CE166" s="60"/>
      <c r="CF166" s="18"/>
      <c r="CG166" s="60"/>
      <c r="CH166" s="17"/>
    </row>
    <row r="167" spans="1:86" s="29" customFormat="1" x14ac:dyDescent="0.35">
      <c r="A167" s="17"/>
      <c r="B167" s="26"/>
      <c r="C167" s="60"/>
      <c r="D167" s="27"/>
      <c r="E167" s="60"/>
      <c r="F167" s="27"/>
      <c r="G167" s="80"/>
      <c r="H167" s="18"/>
      <c r="I167" s="80"/>
      <c r="J167" s="17"/>
      <c r="K167" s="80"/>
      <c r="L167" s="18"/>
      <c r="M167" s="80"/>
      <c r="N167" s="17"/>
      <c r="O167" s="80"/>
      <c r="P167" s="18"/>
      <c r="Q167" s="80"/>
      <c r="R167" s="17"/>
      <c r="S167" s="80"/>
      <c r="T167" s="18"/>
      <c r="U167" s="60"/>
      <c r="V167" s="17"/>
      <c r="W167" s="80"/>
      <c r="X167" s="18"/>
      <c r="Y167" s="80"/>
      <c r="Z167" s="17"/>
      <c r="AA167" s="34"/>
      <c r="AB167" s="60"/>
      <c r="AC167" s="17"/>
      <c r="AD167" s="60"/>
      <c r="AE167" s="17"/>
      <c r="AF167" s="17"/>
      <c r="AG167" s="60"/>
      <c r="AH167" s="18"/>
      <c r="AI167" s="60"/>
      <c r="AJ167" s="17"/>
      <c r="AK167" s="17"/>
      <c r="AL167" s="80"/>
      <c r="AM167" s="18"/>
      <c r="AN167" s="80"/>
      <c r="AO167" s="17"/>
      <c r="AP167" s="17"/>
      <c r="AQ167" s="60"/>
      <c r="AR167" s="18"/>
      <c r="AS167" s="60"/>
      <c r="AT167" s="17"/>
      <c r="AU167" s="60"/>
      <c r="AV167" s="18"/>
      <c r="AW167" s="60"/>
      <c r="AX167" s="17"/>
      <c r="AY167" s="17"/>
      <c r="AZ167" s="60"/>
      <c r="BA167" s="18"/>
      <c r="BB167" s="17"/>
      <c r="BC167" s="17"/>
      <c r="BD167" s="17"/>
      <c r="BE167" s="60"/>
      <c r="BF167" s="18"/>
      <c r="BG167" s="60"/>
      <c r="BH167" s="17"/>
      <c r="BI167" s="60"/>
      <c r="BJ167" s="18"/>
      <c r="BK167" s="60"/>
      <c r="BL167" s="17"/>
      <c r="BM167" s="60"/>
      <c r="BN167" s="17"/>
      <c r="BO167" s="80"/>
      <c r="BP167" s="17"/>
      <c r="BQ167" s="20"/>
      <c r="BR167" s="60"/>
      <c r="BS167" s="18"/>
      <c r="BT167" s="60"/>
      <c r="BU167" s="17"/>
      <c r="BV167" s="17"/>
      <c r="BW167" s="60"/>
      <c r="BX167" s="17"/>
      <c r="BY167" s="60"/>
      <c r="BZ167" s="17"/>
      <c r="CA167" s="17"/>
      <c r="CB167" s="60"/>
      <c r="CC167" s="60"/>
      <c r="CD167" s="17"/>
      <c r="CE167" s="60"/>
      <c r="CF167" s="18"/>
      <c r="CG167" s="60"/>
      <c r="CH167" s="17"/>
    </row>
    <row r="168" spans="1:86" s="29" customFormat="1" x14ac:dyDescent="0.35">
      <c r="A168" s="17"/>
      <c r="B168" s="26"/>
      <c r="C168" s="60"/>
      <c r="D168" s="27"/>
      <c r="E168" s="60"/>
      <c r="F168" s="27"/>
      <c r="G168" s="80"/>
      <c r="H168" s="18"/>
      <c r="I168" s="80"/>
      <c r="J168" s="17"/>
      <c r="K168" s="80"/>
      <c r="L168" s="18"/>
      <c r="M168" s="80"/>
      <c r="N168" s="17"/>
      <c r="O168" s="80"/>
      <c r="P168" s="18"/>
      <c r="Q168" s="80"/>
      <c r="R168" s="17"/>
      <c r="S168" s="80"/>
      <c r="T168" s="18"/>
      <c r="U168" s="60"/>
      <c r="V168" s="17"/>
      <c r="W168" s="80"/>
      <c r="X168" s="18"/>
      <c r="Y168" s="80"/>
      <c r="Z168" s="17"/>
      <c r="AA168" s="34"/>
      <c r="AB168" s="60"/>
      <c r="AC168" s="17"/>
      <c r="AD168" s="60"/>
      <c r="AE168" s="17"/>
      <c r="AF168" s="17"/>
      <c r="AG168" s="60"/>
      <c r="AH168" s="18"/>
      <c r="AI168" s="60"/>
      <c r="AJ168" s="17"/>
      <c r="AK168" s="17"/>
      <c r="AL168" s="80"/>
      <c r="AM168" s="18"/>
      <c r="AN168" s="80"/>
      <c r="AO168" s="17"/>
      <c r="AP168" s="17"/>
      <c r="AQ168" s="60"/>
      <c r="AR168" s="18"/>
      <c r="AS168" s="60"/>
      <c r="AT168" s="17"/>
      <c r="AU168" s="60"/>
      <c r="AV168" s="18"/>
      <c r="AW168" s="60"/>
      <c r="AX168" s="17"/>
      <c r="AY168" s="17"/>
      <c r="AZ168" s="60"/>
      <c r="BA168" s="18"/>
      <c r="BB168" s="17"/>
      <c r="BC168" s="17"/>
      <c r="BD168" s="17"/>
      <c r="BE168" s="60"/>
      <c r="BF168" s="18"/>
      <c r="BG168" s="60"/>
      <c r="BH168" s="17"/>
      <c r="BI168" s="60"/>
      <c r="BJ168" s="18"/>
      <c r="BK168" s="60"/>
      <c r="BL168" s="17"/>
      <c r="BM168" s="60"/>
      <c r="BN168" s="17"/>
      <c r="BO168" s="80"/>
      <c r="BP168" s="17"/>
      <c r="BQ168" s="20"/>
      <c r="BR168" s="60"/>
      <c r="BS168" s="18"/>
      <c r="BT168" s="60"/>
      <c r="BU168" s="17"/>
      <c r="BV168" s="17"/>
      <c r="BW168" s="60"/>
      <c r="BX168" s="17"/>
      <c r="BY168" s="60"/>
      <c r="BZ168" s="17"/>
      <c r="CA168" s="17"/>
      <c r="CB168" s="60"/>
      <c r="CC168" s="60"/>
      <c r="CD168" s="17"/>
      <c r="CE168" s="60"/>
      <c r="CF168" s="18"/>
      <c r="CG168" s="60"/>
      <c r="CH168" s="17"/>
    </row>
    <row r="169" spans="1:86" s="29" customFormat="1" x14ac:dyDescent="0.35">
      <c r="A169" s="17"/>
      <c r="B169" s="26"/>
      <c r="C169" s="60"/>
      <c r="D169" s="27"/>
      <c r="E169" s="60"/>
      <c r="F169" s="27"/>
      <c r="G169" s="80"/>
      <c r="H169" s="18"/>
      <c r="I169" s="80"/>
      <c r="J169" s="17"/>
      <c r="K169" s="80"/>
      <c r="L169" s="18"/>
      <c r="M169" s="80"/>
      <c r="N169" s="17"/>
      <c r="O169" s="80"/>
      <c r="P169" s="18"/>
      <c r="Q169" s="80"/>
      <c r="R169" s="17"/>
      <c r="S169" s="80"/>
      <c r="T169" s="18"/>
      <c r="U169" s="60"/>
      <c r="V169" s="17"/>
      <c r="W169" s="80"/>
      <c r="X169" s="18"/>
      <c r="Y169" s="80"/>
      <c r="Z169" s="17"/>
      <c r="AA169" s="34"/>
      <c r="AB169" s="60"/>
      <c r="AC169" s="17"/>
      <c r="AD169" s="60"/>
      <c r="AE169" s="17"/>
      <c r="AF169" s="17"/>
      <c r="AG169" s="60"/>
      <c r="AH169" s="18"/>
      <c r="AI169" s="60"/>
      <c r="AJ169" s="17"/>
      <c r="AK169" s="17"/>
      <c r="AL169" s="80"/>
      <c r="AM169" s="18"/>
      <c r="AN169" s="80"/>
      <c r="AO169" s="17"/>
      <c r="AP169" s="17"/>
      <c r="AQ169" s="60"/>
      <c r="AR169" s="18"/>
      <c r="AS169" s="60"/>
      <c r="AT169" s="17"/>
      <c r="AU169" s="60"/>
      <c r="AV169" s="18"/>
      <c r="AW169" s="60"/>
      <c r="AX169" s="17"/>
      <c r="AY169" s="17"/>
      <c r="AZ169" s="60"/>
      <c r="BA169" s="18"/>
      <c r="BB169" s="17"/>
      <c r="BC169" s="17"/>
      <c r="BD169" s="17"/>
      <c r="BE169" s="60"/>
      <c r="BF169" s="18"/>
      <c r="BG169" s="60"/>
      <c r="BH169" s="17"/>
      <c r="BI169" s="60"/>
      <c r="BJ169" s="18"/>
      <c r="BK169" s="60"/>
      <c r="BL169" s="17"/>
      <c r="BM169" s="60"/>
      <c r="BN169" s="17"/>
      <c r="BO169" s="80"/>
      <c r="BP169" s="17"/>
      <c r="BQ169" s="20"/>
      <c r="BR169" s="60"/>
      <c r="BS169" s="18"/>
      <c r="BT169" s="60"/>
      <c r="BU169" s="17"/>
      <c r="BV169" s="17"/>
      <c r="BW169" s="60"/>
      <c r="BX169" s="17"/>
      <c r="BY169" s="60"/>
      <c r="BZ169" s="17"/>
      <c r="CA169" s="17"/>
      <c r="CB169" s="60"/>
      <c r="CC169" s="60"/>
      <c r="CD169" s="17"/>
      <c r="CE169" s="60"/>
      <c r="CF169" s="18"/>
      <c r="CG169" s="60"/>
      <c r="CH169" s="17"/>
    </row>
    <row r="170" spans="1:86" s="29" customFormat="1" x14ac:dyDescent="0.35">
      <c r="A170" s="17"/>
      <c r="B170" s="26"/>
      <c r="C170" s="60"/>
      <c r="D170" s="27"/>
      <c r="E170" s="60"/>
      <c r="F170" s="27"/>
      <c r="G170" s="80"/>
      <c r="H170" s="18"/>
      <c r="I170" s="80"/>
      <c r="J170" s="17"/>
      <c r="K170" s="80"/>
      <c r="L170" s="18"/>
      <c r="M170" s="80"/>
      <c r="N170" s="17"/>
      <c r="O170" s="80"/>
      <c r="P170" s="18"/>
      <c r="Q170" s="80"/>
      <c r="R170" s="17"/>
      <c r="S170" s="80"/>
      <c r="T170" s="18"/>
      <c r="U170" s="60"/>
      <c r="V170" s="17"/>
      <c r="W170" s="80"/>
      <c r="X170" s="18"/>
      <c r="Y170" s="80"/>
      <c r="Z170" s="17"/>
      <c r="AA170" s="34"/>
      <c r="AB170" s="60"/>
      <c r="AC170" s="17"/>
      <c r="AD170" s="60"/>
      <c r="AE170" s="17"/>
      <c r="AF170" s="17"/>
      <c r="AG170" s="60"/>
      <c r="AH170" s="18"/>
      <c r="AI170" s="60"/>
      <c r="AJ170" s="17"/>
      <c r="AK170" s="17"/>
      <c r="AL170" s="80"/>
      <c r="AM170" s="18"/>
      <c r="AN170" s="80"/>
      <c r="AO170" s="17"/>
      <c r="AP170" s="17"/>
      <c r="AQ170" s="60"/>
      <c r="AR170" s="18"/>
      <c r="AS170" s="60"/>
      <c r="AT170" s="17"/>
      <c r="AU170" s="60"/>
      <c r="AV170" s="18"/>
      <c r="AW170" s="60"/>
      <c r="AX170" s="17"/>
      <c r="AY170" s="17"/>
      <c r="AZ170" s="60"/>
      <c r="BA170" s="18"/>
      <c r="BB170" s="17"/>
      <c r="BC170" s="17"/>
      <c r="BD170" s="17"/>
      <c r="BE170" s="60"/>
      <c r="BF170" s="18"/>
      <c r="BG170" s="60"/>
      <c r="BH170" s="17"/>
      <c r="BI170" s="60"/>
      <c r="BJ170" s="18"/>
      <c r="BK170" s="60"/>
      <c r="BL170" s="17"/>
      <c r="BM170" s="60"/>
      <c r="BN170" s="17"/>
      <c r="BO170" s="80"/>
      <c r="BP170" s="17"/>
      <c r="BQ170" s="20"/>
      <c r="BR170" s="60"/>
      <c r="BS170" s="18"/>
      <c r="BT170" s="60"/>
      <c r="BU170" s="17"/>
      <c r="BV170" s="17"/>
      <c r="BW170" s="60"/>
      <c r="BX170" s="17"/>
      <c r="BY170" s="60"/>
      <c r="BZ170" s="17"/>
      <c r="CA170" s="17"/>
      <c r="CB170" s="60"/>
      <c r="CC170" s="60"/>
      <c r="CD170" s="17"/>
      <c r="CE170" s="60"/>
      <c r="CF170" s="18"/>
      <c r="CG170" s="60"/>
      <c r="CH170" s="17"/>
    </row>
    <row r="171" spans="1:86" s="29" customFormat="1" x14ac:dyDescent="0.35">
      <c r="A171" s="17"/>
      <c r="B171" s="26"/>
      <c r="C171" s="60"/>
      <c r="D171" s="27"/>
      <c r="E171" s="60"/>
      <c r="F171" s="27"/>
      <c r="G171" s="80"/>
      <c r="H171" s="18"/>
      <c r="I171" s="80"/>
      <c r="J171" s="17"/>
      <c r="K171" s="80"/>
      <c r="L171" s="18"/>
      <c r="M171" s="80"/>
      <c r="N171" s="17"/>
      <c r="O171" s="80"/>
      <c r="P171" s="18"/>
      <c r="Q171" s="80"/>
      <c r="R171" s="17"/>
      <c r="S171" s="80"/>
      <c r="T171" s="18"/>
      <c r="U171" s="60"/>
      <c r="V171" s="17"/>
      <c r="W171" s="80"/>
      <c r="X171" s="18"/>
      <c r="Y171" s="80"/>
      <c r="Z171" s="17"/>
      <c r="AA171" s="34"/>
      <c r="AB171" s="60"/>
      <c r="AC171" s="17"/>
      <c r="AD171" s="60"/>
      <c r="AE171" s="17"/>
      <c r="AF171" s="17"/>
      <c r="AG171" s="60"/>
      <c r="AH171" s="18"/>
      <c r="AI171" s="60"/>
      <c r="AJ171" s="17"/>
      <c r="AK171" s="17"/>
      <c r="AL171" s="80"/>
      <c r="AM171" s="18"/>
      <c r="AN171" s="80"/>
      <c r="AO171" s="17"/>
      <c r="AP171" s="17"/>
      <c r="AQ171" s="60"/>
      <c r="AR171" s="18"/>
      <c r="AS171" s="60"/>
      <c r="AT171" s="17"/>
      <c r="AU171" s="60"/>
      <c r="AV171" s="18"/>
      <c r="AW171" s="60"/>
      <c r="AX171" s="17"/>
      <c r="AY171" s="17"/>
      <c r="AZ171" s="60"/>
      <c r="BA171" s="18"/>
      <c r="BB171" s="17"/>
      <c r="BC171" s="17"/>
      <c r="BD171" s="17"/>
      <c r="BE171" s="60"/>
      <c r="BF171" s="18"/>
      <c r="BG171" s="60"/>
      <c r="BH171" s="17"/>
      <c r="BI171" s="60"/>
      <c r="BJ171" s="18"/>
      <c r="BK171" s="60"/>
      <c r="BL171" s="17"/>
      <c r="BM171" s="60"/>
      <c r="BN171" s="17"/>
      <c r="BO171" s="80"/>
      <c r="BP171" s="17"/>
      <c r="BQ171" s="20"/>
      <c r="BR171" s="60"/>
      <c r="BS171" s="18"/>
      <c r="BT171" s="60"/>
      <c r="BU171" s="17"/>
      <c r="BV171" s="17"/>
      <c r="BW171" s="60"/>
      <c r="BX171" s="17"/>
      <c r="BY171" s="60"/>
      <c r="BZ171" s="17"/>
      <c r="CA171" s="17"/>
      <c r="CB171" s="60"/>
      <c r="CC171" s="60"/>
      <c r="CD171" s="17"/>
      <c r="CE171" s="60"/>
      <c r="CF171" s="18"/>
      <c r="CG171" s="60"/>
      <c r="CH171" s="17"/>
    </row>
    <row r="172" spans="1:86" s="29" customFormat="1" x14ac:dyDescent="0.35">
      <c r="A172" s="17"/>
      <c r="B172" s="26"/>
      <c r="C172" s="60"/>
      <c r="D172" s="27"/>
      <c r="E172" s="60"/>
      <c r="F172" s="27"/>
      <c r="G172" s="80"/>
      <c r="H172" s="18"/>
      <c r="I172" s="80"/>
      <c r="J172" s="17"/>
      <c r="K172" s="80"/>
      <c r="L172" s="18"/>
      <c r="M172" s="80"/>
      <c r="N172" s="17"/>
      <c r="O172" s="80"/>
      <c r="P172" s="18"/>
      <c r="Q172" s="80"/>
      <c r="R172" s="17"/>
      <c r="S172" s="80"/>
      <c r="T172" s="18"/>
      <c r="U172" s="60"/>
      <c r="V172" s="17"/>
      <c r="W172" s="80"/>
      <c r="X172" s="18"/>
      <c r="Y172" s="80"/>
      <c r="Z172" s="17"/>
      <c r="AA172" s="34"/>
      <c r="AB172" s="60"/>
      <c r="AC172" s="17"/>
      <c r="AD172" s="60"/>
      <c r="AE172" s="17"/>
      <c r="AF172" s="17"/>
      <c r="AG172" s="60"/>
      <c r="AH172" s="18"/>
      <c r="AI172" s="60"/>
      <c r="AJ172" s="17"/>
      <c r="AK172" s="17"/>
      <c r="AL172" s="80"/>
      <c r="AM172" s="18"/>
      <c r="AN172" s="80"/>
      <c r="AO172" s="17"/>
      <c r="AP172" s="17"/>
      <c r="AQ172" s="60"/>
      <c r="AR172" s="18"/>
      <c r="AS172" s="60"/>
      <c r="AT172" s="17"/>
      <c r="AU172" s="60"/>
      <c r="AV172" s="18"/>
      <c r="AW172" s="60"/>
      <c r="AX172" s="17"/>
      <c r="AY172" s="17"/>
      <c r="AZ172" s="60"/>
      <c r="BA172" s="18"/>
      <c r="BB172" s="17"/>
      <c r="BC172" s="17"/>
      <c r="BD172" s="17"/>
      <c r="BE172" s="60"/>
      <c r="BF172" s="18"/>
      <c r="BG172" s="60"/>
      <c r="BH172" s="17"/>
      <c r="BI172" s="60"/>
      <c r="BJ172" s="18"/>
      <c r="BK172" s="60"/>
      <c r="BL172" s="17"/>
      <c r="BM172" s="60"/>
      <c r="BN172" s="17"/>
      <c r="BO172" s="80"/>
      <c r="BP172" s="17"/>
      <c r="BQ172" s="20"/>
      <c r="BR172" s="60"/>
      <c r="BS172" s="18"/>
      <c r="BT172" s="60"/>
      <c r="BU172" s="17"/>
      <c r="BV172" s="17"/>
      <c r="BW172" s="60"/>
      <c r="BX172" s="17"/>
      <c r="BY172" s="60"/>
      <c r="BZ172" s="17"/>
      <c r="CA172" s="17"/>
      <c r="CB172" s="60"/>
      <c r="CC172" s="60"/>
      <c r="CD172" s="17"/>
      <c r="CE172" s="60"/>
      <c r="CF172" s="18"/>
      <c r="CG172" s="60"/>
      <c r="CH172" s="17"/>
    </row>
    <row r="173" spans="1:86" s="29" customFormat="1" x14ac:dyDescent="0.35">
      <c r="A173" s="17"/>
      <c r="B173" s="26"/>
      <c r="C173" s="60"/>
      <c r="D173" s="27"/>
      <c r="E173" s="60"/>
      <c r="F173" s="27"/>
      <c r="G173" s="80"/>
      <c r="H173" s="18"/>
      <c r="I173" s="80"/>
      <c r="J173" s="17"/>
      <c r="K173" s="80"/>
      <c r="L173" s="18"/>
      <c r="M173" s="80"/>
      <c r="N173" s="17"/>
      <c r="O173" s="80"/>
      <c r="P173" s="18"/>
      <c r="Q173" s="80"/>
      <c r="R173" s="17"/>
      <c r="S173" s="80"/>
      <c r="T173" s="18"/>
      <c r="U173" s="60"/>
      <c r="V173" s="17"/>
      <c r="W173" s="80"/>
      <c r="X173" s="18"/>
      <c r="Y173" s="80"/>
      <c r="Z173" s="17"/>
      <c r="AA173" s="34"/>
      <c r="AB173" s="60"/>
      <c r="AC173" s="17"/>
      <c r="AD173" s="60"/>
      <c r="AE173" s="17"/>
      <c r="AF173" s="17"/>
      <c r="AG173" s="60"/>
      <c r="AH173" s="18"/>
      <c r="AI173" s="60"/>
      <c r="AJ173" s="17"/>
      <c r="AK173" s="17"/>
      <c r="AL173" s="80"/>
      <c r="AM173" s="18"/>
      <c r="AN173" s="80"/>
      <c r="AO173" s="17"/>
      <c r="AP173" s="17"/>
      <c r="AQ173" s="60"/>
      <c r="AR173" s="18"/>
      <c r="AS173" s="60"/>
      <c r="AT173" s="17"/>
      <c r="AU173" s="60"/>
      <c r="AV173" s="18"/>
      <c r="AW173" s="60"/>
      <c r="AX173" s="17"/>
      <c r="AY173" s="17"/>
      <c r="AZ173" s="60"/>
      <c r="BA173" s="18"/>
      <c r="BB173" s="17"/>
      <c r="BC173" s="17"/>
      <c r="BD173" s="17"/>
      <c r="BE173" s="60"/>
      <c r="BF173" s="18"/>
      <c r="BG173" s="60"/>
      <c r="BH173" s="17"/>
      <c r="BI173" s="60"/>
      <c r="BJ173" s="18"/>
      <c r="BK173" s="60"/>
      <c r="BL173" s="17"/>
      <c r="BM173" s="60"/>
      <c r="BN173" s="17"/>
      <c r="BO173" s="80"/>
      <c r="BP173" s="17"/>
      <c r="BQ173" s="20"/>
      <c r="BR173" s="60"/>
      <c r="BS173" s="18"/>
      <c r="BT173" s="60"/>
      <c r="BU173" s="17"/>
      <c r="BV173" s="17"/>
      <c r="BW173" s="60"/>
      <c r="BX173" s="17"/>
      <c r="BY173" s="60"/>
      <c r="BZ173" s="17"/>
      <c r="CA173" s="17"/>
      <c r="CB173" s="60"/>
      <c r="CC173" s="60"/>
      <c r="CD173" s="17"/>
      <c r="CE173" s="60"/>
      <c r="CF173" s="18"/>
      <c r="CG173" s="60"/>
      <c r="CH173" s="17"/>
    </row>
    <row r="174" spans="1:86" s="29" customFormat="1" x14ac:dyDescent="0.35">
      <c r="A174" s="17"/>
      <c r="B174" s="26"/>
      <c r="C174" s="60"/>
      <c r="D174" s="27"/>
      <c r="E174" s="60"/>
      <c r="F174" s="27"/>
      <c r="G174" s="80"/>
      <c r="H174" s="18"/>
      <c r="I174" s="80"/>
      <c r="J174" s="17"/>
      <c r="K174" s="80"/>
      <c r="L174" s="18"/>
      <c r="M174" s="80"/>
      <c r="N174" s="17"/>
      <c r="O174" s="80"/>
      <c r="P174" s="18"/>
      <c r="Q174" s="80"/>
      <c r="R174" s="17"/>
      <c r="S174" s="80"/>
      <c r="T174" s="18"/>
      <c r="U174" s="60"/>
      <c r="V174" s="17"/>
      <c r="W174" s="80"/>
      <c r="X174" s="18"/>
      <c r="Y174" s="80"/>
      <c r="Z174" s="17"/>
      <c r="AA174" s="34"/>
      <c r="AB174" s="60"/>
      <c r="AC174" s="17"/>
      <c r="AD174" s="60"/>
      <c r="AE174" s="17"/>
      <c r="AF174" s="17"/>
      <c r="AG174" s="60"/>
      <c r="AH174" s="18"/>
      <c r="AI174" s="60"/>
      <c r="AJ174" s="17"/>
      <c r="AK174" s="17"/>
      <c r="AL174" s="80"/>
      <c r="AM174" s="18"/>
      <c r="AN174" s="80"/>
      <c r="AO174" s="17"/>
      <c r="AP174" s="17"/>
      <c r="AQ174" s="60"/>
      <c r="AR174" s="18"/>
      <c r="AS174" s="60"/>
      <c r="AT174" s="17"/>
      <c r="AU174" s="60"/>
      <c r="AV174" s="18"/>
      <c r="AW174" s="60"/>
      <c r="AX174" s="17"/>
      <c r="AY174" s="17"/>
      <c r="AZ174" s="60"/>
      <c r="BA174" s="18"/>
      <c r="BB174" s="17"/>
      <c r="BC174" s="17"/>
      <c r="BD174" s="17"/>
      <c r="BE174" s="60"/>
      <c r="BF174" s="18"/>
      <c r="BG174" s="60"/>
      <c r="BH174" s="17"/>
      <c r="BI174" s="60"/>
      <c r="BJ174" s="18"/>
      <c r="BK174" s="60"/>
      <c r="BL174" s="17"/>
      <c r="BM174" s="60"/>
      <c r="BN174" s="17"/>
      <c r="BO174" s="80"/>
      <c r="BP174" s="17"/>
      <c r="BQ174" s="20"/>
      <c r="BR174" s="60"/>
      <c r="BS174" s="18"/>
      <c r="BT174" s="60"/>
      <c r="BU174" s="17"/>
      <c r="BV174" s="17"/>
      <c r="BW174" s="60"/>
      <c r="BX174" s="17"/>
      <c r="BY174" s="60"/>
      <c r="BZ174" s="17"/>
      <c r="CA174" s="17"/>
      <c r="CB174" s="60"/>
      <c r="CC174" s="60"/>
      <c r="CD174" s="17"/>
      <c r="CE174" s="60"/>
      <c r="CF174" s="18"/>
      <c r="CG174" s="60"/>
      <c r="CH174" s="17"/>
    </row>
    <row r="175" spans="1:86" s="29" customFormat="1" x14ac:dyDescent="0.35">
      <c r="A175" s="17"/>
      <c r="B175" s="26"/>
      <c r="C175" s="60"/>
      <c r="D175" s="27"/>
      <c r="E175" s="60"/>
      <c r="F175" s="27"/>
      <c r="G175" s="80"/>
      <c r="H175" s="18"/>
      <c r="I175" s="80"/>
      <c r="J175" s="17"/>
      <c r="K175" s="80"/>
      <c r="L175" s="18"/>
      <c r="M175" s="80"/>
      <c r="N175" s="17"/>
      <c r="O175" s="80"/>
      <c r="P175" s="18"/>
      <c r="Q175" s="80"/>
      <c r="R175" s="17"/>
      <c r="S175" s="80"/>
      <c r="T175" s="18"/>
      <c r="U175" s="60"/>
      <c r="V175" s="17"/>
      <c r="W175" s="80"/>
      <c r="X175" s="18"/>
      <c r="Y175" s="80"/>
      <c r="Z175" s="17"/>
      <c r="AA175" s="34"/>
      <c r="AB175" s="60"/>
      <c r="AC175" s="17"/>
      <c r="AD175" s="60"/>
      <c r="AE175" s="17"/>
      <c r="AF175" s="17"/>
      <c r="AG175" s="60"/>
      <c r="AH175" s="18"/>
      <c r="AI175" s="60"/>
      <c r="AJ175" s="17"/>
      <c r="AK175" s="17"/>
      <c r="AL175" s="80"/>
      <c r="AM175" s="18"/>
      <c r="AN175" s="80"/>
      <c r="AO175" s="17"/>
      <c r="AP175" s="17"/>
      <c r="AQ175" s="60"/>
      <c r="AR175" s="18"/>
      <c r="AS175" s="60"/>
      <c r="AT175" s="17"/>
      <c r="AU175" s="60"/>
      <c r="AV175" s="18"/>
      <c r="AW175" s="60"/>
      <c r="AX175" s="17"/>
      <c r="AY175" s="17"/>
      <c r="AZ175" s="60"/>
      <c r="BA175" s="18"/>
      <c r="BB175" s="17"/>
      <c r="BC175" s="17"/>
      <c r="BD175" s="17"/>
      <c r="BE175" s="60"/>
      <c r="BF175" s="18"/>
      <c r="BG175" s="60"/>
      <c r="BH175" s="17"/>
      <c r="BI175" s="60"/>
      <c r="BJ175" s="18"/>
      <c r="BK175" s="60"/>
      <c r="BL175" s="17"/>
      <c r="BM175" s="60"/>
      <c r="BN175" s="17"/>
      <c r="BO175" s="80"/>
      <c r="BP175" s="17"/>
      <c r="BQ175" s="20"/>
      <c r="BR175" s="60"/>
      <c r="BS175" s="18"/>
      <c r="BT175" s="60"/>
      <c r="BU175" s="17"/>
      <c r="BV175" s="17"/>
      <c r="BW175" s="60"/>
      <c r="BX175" s="17"/>
      <c r="BY175" s="60"/>
      <c r="BZ175" s="17"/>
      <c r="CA175" s="17"/>
      <c r="CB175" s="60"/>
      <c r="CC175" s="60"/>
      <c r="CD175" s="17"/>
      <c r="CE175" s="60"/>
      <c r="CF175" s="18"/>
      <c r="CG175" s="60"/>
      <c r="CH175" s="17"/>
    </row>
    <row r="176" spans="1:86" s="29" customFormat="1" x14ac:dyDescent="0.35">
      <c r="A176" s="17"/>
      <c r="B176" s="26"/>
      <c r="C176" s="60"/>
      <c r="D176" s="27"/>
      <c r="E176" s="60"/>
      <c r="F176" s="27"/>
      <c r="G176" s="80"/>
      <c r="H176" s="18"/>
      <c r="I176" s="80"/>
      <c r="J176" s="17"/>
      <c r="K176" s="80"/>
      <c r="L176" s="18"/>
      <c r="M176" s="80"/>
      <c r="N176" s="17"/>
      <c r="O176" s="80"/>
      <c r="P176" s="18"/>
      <c r="Q176" s="80"/>
      <c r="R176" s="17"/>
      <c r="S176" s="80"/>
      <c r="T176" s="18"/>
      <c r="U176" s="60"/>
      <c r="V176" s="17"/>
      <c r="W176" s="80"/>
      <c r="X176" s="18"/>
      <c r="Y176" s="80"/>
      <c r="Z176" s="17"/>
      <c r="AA176" s="34"/>
      <c r="AB176" s="60"/>
      <c r="AC176" s="17"/>
      <c r="AD176" s="60"/>
      <c r="AE176" s="17"/>
      <c r="AF176" s="17"/>
      <c r="AG176" s="60"/>
      <c r="AH176" s="18"/>
      <c r="AI176" s="60"/>
      <c r="AJ176" s="17"/>
      <c r="AK176" s="17"/>
      <c r="AL176" s="80"/>
      <c r="AM176" s="18"/>
      <c r="AN176" s="80"/>
      <c r="AO176" s="17"/>
      <c r="AP176" s="17"/>
      <c r="AQ176" s="60"/>
      <c r="AR176" s="18"/>
      <c r="AS176" s="60"/>
      <c r="AT176" s="17"/>
      <c r="AU176" s="60"/>
      <c r="AV176" s="18"/>
      <c r="AW176" s="60"/>
      <c r="AX176" s="17"/>
      <c r="AY176" s="17"/>
      <c r="AZ176" s="60"/>
      <c r="BA176" s="18"/>
      <c r="BB176" s="17"/>
      <c r="BC176" s="17"/>
      <c r="BD176" s="17"/>
      <c r="BE176" s="60"/>
      <c r="BF176" s="18"/>
      <c r="BG176" s="60"/>
      <c r="BH176" s="17"/>
      <c r="BI176" s="60"/>
      <c r="BJ176" s="18"/>
      <c r="BK176" s="60"/>
      <c r="BL176" s="17"/>
      <c r="BM176" s="60"/>
      <c r="BN176" s="17"/>
      <c r="BO176" s="80"/>
      <c r="BP176" s="17"/>
      <c r="BQ176" s="20"/>
      <c r="BR176" s="60"/>
      <c r="BS176" s="18"/>
      <c r="BT176" s="60"/>
      <c r="BU176" s="17"/>
      <c r="BV176" s="17"/>
      <c r="BW176" s="60"/>
      <c r="BX176" s="17"/>
      <c r="BY176" s="60"/>
      <c r="BZ176" s="17"/>
      <c r="CA176" s="17"/>
      <c r="CB176" s="60"/>
      <c r="CC176" s="60"/>
      <c r="CD176" s="17"/>
      <c r="CE176" s="60"/>
      <c r="CF176" s="18"/>
      <c r="CG176" s="60"/>
      <c r="CH176" s="17"/>
    </row>
    <row r="177" spans="1:86" s="29" customFormat="1" x14ac:dyDescent="0.35">
      <c r="A177" s="17"/>
      <c r="B177" s="26"/>
      <c r="C177" s="60"/>
      <c r="D177" s="27"/>
      <c r="E177" s="60"/>
      <c r="F177" s="27"/>
      <c r="G177" s="80"/>
      <c r="H177" s="18"/>
      <c r="I177" s="80"/>
      <c r="J177" s="17"/>
      <c r="K177" s="80"/>
      <c r="L177" s="18"/>
      <c r="M177" s="80"/>
      <c r="N177" s="17"/>
      <c r="O177" s="80"/>
      <c r="P177" s="18"/>
      <c r="Q177" s="80"/>
      <c r="R177" s="17"/>
      <c r="S177" s="80"/>
      <c r="T177" s="18"/>
      <c r="U177" s="60"/>
      <c r="V177" s="17"/>
      <c r="W177" s="80"/>
      <c r="X177" s="18"/>
      <c r="Y177" s="80"/>
      <c r="Z177" s="17"/>
      <c r="AA177" s="34"/>
      <c r="AB177" s="60"/>
      <c r="AC177" s="17"/>
      <c r="AD177" s="60"/>
      <c r="AE177" s="17"/>
      <c r="AF177" s="17"/>
      <c r="AG177" s="60"/>
      <c r="AH177" s="18"/>
      <c r="AI177" s="60"/>
      <c r="AJ177" s="17"/>
      <c r="AK177" s="17"/>
      <c r="AL177" s="80"/>
      <c r="AM177" s="18"/>
      <c r="AN177" s="80"/>
      <c r="AO177" s="17"/>
      <c r="AP177" s="17"/>
      <c r="AQ177" s="60"/>
      <c r="AR177" s="18"/>
      <c r="AS177" s="60"/>
      <c r="AT177" s="17"/>
      <c r="AU177" s="60"/>
      <c r="AV177" s="18"/>
      <c r="AW177" s="60"/>
      <c r="AX177" s="17"/>
      <c r="AY177" s="17"/>
      <c r="AZ177" s="60"/>
      <c r="BA177" s="18"/>
      <c r="BB177" s="17"/>
      <c r="BC177" s="17"/>
      <c r="BD177" s="17"/>
      <c r="BE177" s="60"/>
      <c r="BF177" s="18"/>
      <c r="BG177" s="60"/>
      <c r="BH177" s="17"/>
      <c r="BI177" s="60"/>
      <c r="BJ177" s="18"/>
      <c r="BK177" s="60"/>
      <c r="BL177" s="17"/>
      <c r="BM177" s="60"/>
      <c r="BN177" s="17"/>
      <c r="BO177" s="80"/>
      <c r="BP177" s="17"/>
      <c r="BQ177" s="20"/>
      <c r="BR177" s="60"/>
      <c r="BS177" s="18"/>
      <c r="BT177" s="60"/>
      <c r="BU177" s="17"/>
      <c r="BV177" s="17"/>
      <c r="BW177" s="60"/>
      <c r="BX177" s="17"/>
      <c r="BY177" s="60"/>
      <c r="BZ177" s="17"/>
      <c r="CA177" s="17"/>
      <c r="CB177" s="60"/>
      <c r="CC177" s="60"/>
      <c r="CD177" s="17"/>
      <c r="CE177" s="60"/>
      <c r="CF177" s="18"/>
      <c r="CG177" s="60"/>
      <c r="CH177" s="17"/>
    </row>
    <row r="178" spans="1:86" s="29" customFormat="1" x14ac:dyDescent="0.35">
      <c r="A178" s="17"/>
      <c r="B178" s="26"/>
      <c r="C178" s="60"/>
      <c r="D178" s="27"/>
      <c r="E178" s="60"/>
      <c r="F178" s="27"/>
      <c r="G178" s="80"/>
      <c r="H178" s="18"/>
      <c r="I178" s="80"/>
      <c r="J178" s="17"/>
      <c r="K178" s="80"/>
      <c r="L178" s="18"/>
      <c r="M178" s="80"/>
      <c r="N178" s="17"/>
      <c r="O178" s="80"/>
      <c r="P178" s="18"/>
      <c r="Q178" s="80"/>
      <c r="R178" s="17"/>
      <c r="S178" s="80"/>
      <c r="T178" s="18"/>
      <c r="U178" s="60"/>
      <c r="V178" s="17"/>
      <c r="W178" s="80"/>
      <c r="X178" s="18"/>
      <c r="Y178" s="80"/>
      <c r="Z178" s="17"/>
      <c r="AA178" s="34"/>
      <c r="AB178" s="60"/>
      <c r="AC178" s="17"/>
      <c r="AD178" s="60"/>
      <c r="AE178" s="17"/>
      <c r="AF178" s="17"/>
      <c r="AG178" s="60"/>
      <c r="AH178" s="18"/>
      <c r="AI178" s="60"/>
      <c r="AJ178" s="17"/>
      <c r="AK178" s="17"/>
      <c r="AL178" s="80"/>
      <c r="AM178" s="18"/>
      <c r="AN178" s="80"/>
      <c r="AO178" s="17"/>
      <c r="AP178" s="17"/>
      <c r="AQ178" s="60"/>
      <c r="AR178" s="18"/>
      <c r="AS178" s="60"/>
      <c r="AT178" s="17"/>
      <c r="AU178" s="60"/>
      <c r="AV178" s="18"/>
      <c r="AW178" s="60"/>
      <c r="AX178" s="17"/>
      <c r="AY178" s="17"/>
      <c r="AZ178" s="60"/>
      <c r="BA178" s="18"/>
      <c r="BB178" s="17"/>
      <c r="BC178" s="17"/>
      <c r="BD178" s="17"/>
      <c r="BE178" s="60"/>
      <c r="BF178" s="18"/>
      <c r="BG178" s="60"/>
      <c r="BH178" s="17"/>
      <c r="BI178" s="60"/>
      <c r="BJ178" s="18"/>
      <c r="BK178" s="60"/>
      <c r="BL178" s="17"/>
      <c r="BM178" s="60"/>
      <c r="BN178" s="17"/>
      <c r="BO178" s="80"/>
      <c r="BP178" s="17"/>
      <c r="BQ178" s="20"/>
      <c r="BR178" s="60"/>
      <c r="BS178" s="18"/>
      <c r="BT178" s="60"/>
      <c r="BU178" s="17"/>
      <c r="BV178" s="17"/>
      <c r="BW178" s="60"/>
      <c r="BX178" s="17"/>
      <c r="BY178" s="60"/>
      <c r="BZ178" s="17"/>
      <c r="CA178" s="17"/>
      <c r="CB178" s="60"/>
      <c r="CC178" s="60"/>
      <c r="CD178" s="17"/>
      <c r="CE178" s="60"/>
      <c r="CF178" s="18"/>
      <c r="CG178" s="60"/>
      <c r="CH178" s="17"/>
    </row>
    <row r="179" spans="1:86" s="29" customFormat="1" x14ac:dyDescent="0.35">
      <c r="A179" s="17"/>
      <c r="B179" s="26"/>
      <c r="C179" s="60"/>
      <c r="D179" s="27"/>
      <c r="E179" s="60"/>
      <c r="F179" s="27"/>
      <c r="G179" s="80"/>
      <c r="H179" s="18"/>
      <c r="I179" s="80"/>
      <c r="J179" s="17"/>
      <c r="K179" s="80"/>
      <c r="L179" s="18"/>
      <c r="M179" s="80"/>
      <c r="N179" s="17"/>
      <c r="O179" s="80"/>
      <c r="P179" s="18"/>
      <c r="Q179" s="80"/>
      <c r="R179" s="17"/>
      <c r="S179" s="80"/>
      <c r="T179" s="18"/>
      <c r="U179" s="60"/>
      <c r="V179" s="17"/>
      <c r="W179" s="80"/>
      <c r="X179" s="18"/>
      <c r="Y179" s="80"/>
      <c r="Z179" s="17"/>
      <c r="AA179" s="34"/>
      <c r="AB179" s="60"/>
      <c r="AC179" s="17"/>
      <c r="AD179" s="60"/>
      <c r="AE179" s="17"/>
      <c r="AF179" s="17"/>
      <c r="AG179" s="60"/>
      <c r="AH179" s="18"/>
      <c r="AI179" s="60"/>
      <c r="AJ179" s="17"/>
      <c r="AK179" s="17"/>
      <c r="AL179" s="80"/>
      <c r="AM179" s="18"/>
      <c r="AN179" s="80"/>
      <c r="AO179" s="17"/>
      <c r="AP179" s="17"/>
      <c r="AQ179" s="60"/>
      <c r="AR179" s="18"/>
      <c r="AS179" s="60"/>
      <c r="AT179" s="17"/>
      <c r="AU179" s="60"/>
      <c r="AV179" s="18"/>
      <c r="AW179" s="60"/>
      <c r="AX179" s="17"/>
      <c r="AY179" s="17"/>
      <c r="AZ179" s="60"/>
      <c r="BA179" s="18"/>
      <c r="BB179" s="17"/>
      <c r="BC179" s="17"/>
      <c r="BD179" s="17"/>
      <c r="BE179" s="60"/>
      <c r="BF179" s="18"/>
      <c r="BG179" s="60"/>
      <c r="BH179" s="17"/>
      <c r="BI179" s="60"/>
      <c r="BJ179" s="18"/>
      <c r="BK179" s="60"/>
      <c r="BL179" s="17"/>
      <c r="BM179" s="60"/>
      <c r="BN179" s="17"/>
      <c r="BO179" s="80"/>
      <c r="BP179" s="17"/>
      <c r="BQ179" s="20"/>
      <c r="BR179" s="60"/>
      <c r="BS179" s="18"/>
      <c r="BT179" s="60"/>
      <c r="BU179" s="17"/>
      <c r="BV179" s="17"/>
      <c r="BW179" s="60"/>
      <c r="BX179" s="17"/>
      <c r="BY179" s="60"/>
      <c r="BZ179" s="17"/>
      <c r="CA179" s="17"/>
      <c r="CB179" s="60"/>
      <c r="CC179" s="60"/>
      <c r="CD179" s="17"/>
      <c r="CE179" s="60"/>
      <c r="CF179" s="18"/>
      <c r="CG179" s="60"/>
      <c r="CH179" s="17"/>
    </row>
    <row r="180" spans="1:86" s="29" customFormat="1" x14ac:dyDescent="0.35">
      <c r="A180" s="17"/>
      <c r="B180" s="26"/>
      <c r="C180" s="60"/>
      <c r="D180" s="27"/>
      <c r="E180" s="60"/>
      <c r="F180" s="27"/>
      <c r="G180" s="80"/>
      <c r="H180" s="18"/>
      <c r="I180" s="80"/>
      <c r="J180" s="17"/>
      <c r="K180" s="80"/>
      <c r="L180" s="18"/>
      <c r="M180" s="80"/>
      <c r="N180" s="17"/>
      <c r="O180" s="80"/>
      <c r="P180" s="18"/>
      <c r="Q180" s="80"/>
      <c r="R180" s="17"/>
      <c r="S180" s="80"/>
      <c r="T180" s="18"/>
      <c r="U180" s="60"/>
      <c r="V180" s="17"/>
      <c r="W180" s="80"/>
      <c r="X180" s="18"/>
      <c r="Y180" s="80"/>
      <c r="Z180" s="17"/>
      <c r="AA180" s="34"/>
      <c r="AB180" s="60"/>
      <c r="AC180" s="17"/>
      <c r="AD180" s="60"/>
      <c r="AE180" s="17"/>
      <c r="AF180" s="17"/>
      <c r="AG180" s="60"/>
      <c r="AH180" s="18"/>
      <c r="AI180" s="60"/>
      <c r="AJ180" s="17"/>
      <c r="AK180" s="17"/>
      <c r="AL180" s="80"/>
      <c r="AM180" s="18"/>
      <c r="AN180" s="80"/>
      <c r="AO180" s="17"/>
      <c r="AP180" s="17"/>
      <c r="AQ180" s="60"/>
      <c r="AR180" s="18"/>
      <c r="AS180" s="60"/>
      <c r="AT180" s="17"/>
      <c r="AU180" s="60"/>
      <c r="AV180" s="18"/>
      <c r="AW180" s="60"/>
      <c r="AX180" s="17"/>
      <c r="AY180" s="17"/>
      <c r="AZ180" s="60"/>
      <c r="BA180" s="18"/>
      <c r="BB180" s="17"/>
      <c r="BC180" s="17"/>
      <c r="BD180" s="17"/>
      <c r="BE180" s="60"/>
      <c r="BF180" s="18"/>
      <c r="BG180" s="60"/>
      <c r="BH180" s="17"/>
      <c r="BI180" s="60"/>
      <c r="BJ180" s="18"/>
      <c r="BK180" s="60"/>
      <c r="BL180" s="17"/>
      <c r="BM180" s="60"/>
      <c r="BN180" s="17"/>
      <c r="BO180" s="80"/>
      <c r="BP180" s="17"/>
      <c r="BQ180" s="20"/>
      <c r="BR180" s="60"/>
      <c r="BS180" s="18"/>
      <c r="BT180" s="60"/>
      <c r="BU180" s="17"/>
      <c r="BV180" s="17"/>
      <c r="BW180" s="60"/>
      <c r="BX180" s="17"/>
      <c r="BY180" s="60"/>
      <c r="BZ180" s="17"/>
      <c r="CA180" s="17"/>
      <c r="CB180" s="60"/>
      <c r="CC180" s="60"/>
      <c r="CD180" s="17"/>
      <c r="CE180" s="60"/>
      <c r="CF180" s="18"/>
      <c r="CG180" s="60"/>
      <c r="CH180" s="17"/>
    </row>
    <row r="181" spans="1:86" s="29" customFormat="1" x14ac:dyDescent="0.35">
      <c r="A181" s="17"/>
      <c r="B181" s="26"/>
      <c r="C181" s="60"/>
      <c r="D181" s="27"/>
      <c r="E181" s="60"/>
      <c r="F181" s="27"/>
      <c r="G181" s="80"/>
      <c r="H181" s="18"/>
      <c r="I181" s="80"/>
      <c r="J181" s="17"/>
      <c r="K181" s="80"/>
      <c r="L181" s="18"/>
      <c r="M181" s="80"/>
      <c r="N181" s="17"/>
      <c r="O181" s="80"/>
      <c r="P181" s="18"/>
      <c r="Q181" s="80"/>
      <c r="R181" s="17"/>
      <c r="S181" s="80"/>
      <c r="T181" s="18"/>
      <c r="U181" s="60"/>
      <c r="V181" s="17"/>
      <c r="W181" s="80"/>
      <c r="X181" s="18"/>
      <c r="Y181" s="80"/>
      <c r="Z181" s="17"/>
      <c r="AA181" s="34"/>
      <c r="AB181" s="60"/>
      <c r="AC181" s="17"/>
      <c r="AD181" s="60"/>
      <c r="AE181" s="17"/>
      <c r="AF181" s="17"/>
      <c r="AG181" s="60"/>
      <c r="AH181" s="18"/>
      <c r="AI181" s="60"/>
      <c r="AJ181" s="17"/>
      <c r="AK181" s="17"/>
      <c r="AL181" s="80"/>
      <c r="AM181" s="18"/>
      <c r="AN181" s="80"/>
      <c r="AO181" s="17"/>
      <c r="AP181" s="17"/>
      <c r="AQ181" s="60"/>
      <c r="AR181" s="18"/>
      <c r="AS181" s="60"/>
      <c r="AT181" s="17"/>
      <c r="AU181" s="60"/>
      <c r="AV181" s="18"/>
      <c r="AW181" s="60"/>
      <c r="AX181" s="17"/>
      <c r="AY181" s="17"/>
      <c r="AZ181" s="60"/>
      <c r="BA181" s="18"/>
      <c r="BB181" s="17"/>
      <c r="BC181" s="17"/>
      <c r="BD181" s="17"/>
      <c r="BE181" s="60"/>
      <c r="BF181" s="18"/>
      <c r="BG181" s="60"/>
      <c r="BH181" s="17"/>
      <c r="BI181" s="60"/>
      <c r="BJ181" s="18"/>
      <c r="BK181" s="60"/>
      <c r="BL181" s="17"/>
      <c r="BM181" s="60"/>
      <c r="BN181" s="17"/>
      <c r="BO181" s="80"/>
      <c r="BP181" s="17"/>
      <c r="BQ181" s="20"/>
      <c r="BR181" s="60"/>
      <c r="BS181" s="18"/>
      <c r="BT181" s="60"/>
      <c r="BU181" s="17"/>
      <c r="BV181" s="17"/>
      <c r="BW181" s="60"/>
      <c r="BX181" s="17"/>
      <c r="BY181" s="60"/>
      <c r="BZ181" s="17"/>
      <c r="CA181" s="17"/>
      <c r="CB181" s="60"/>
      <c r="CC181" s="60"/>
      <c r="CD181" s="17"/>
      <c r="CE181" s="60"/>
      <c r="CF181" s="18"/>
      <c r="CG181" s="60"/>
      <c r="CH181" s="17"/>
    </row>
    <row r="182" spans="1:86" s="29" customFormat="1" x14ac:dyDescent="0.35">
      <c r="A182" s="17"/>
      <c r="B182" s="26"/>
      <c r="C182" s="60"/>
      <c r="D182" s="27"/>
      <c r="E182" s="60"/>
      <c r="F182" s="27"/>
      <c r="G182" s="80"/>
      <c r="H182" s="18"/>
      <c r="I182" s="80"/>
      <c r="J182" s="17"/>
      <c r="K182" s="80"/>
      <c r="L182" s="18"/>
      <c r="M182" s="80"/>
      <c r="N182" s="17"/>
      <c r="O182" s="80"/>
      <c r="P182" s="18"/>
      <c r="Q182" s="80"/>
      <c r="R182" s="17"/>
      <c r="S182" s="80"/>
      <c r="T182" s="18"/>
      <c r="U182" s="60"/>
      <c r="V182" s="17"/>
      <c r="W182" s="80"/>
      <c r="X182" s="18"/>
      <c r="Y182" s="80"/>
      <c r="Z182" s="17"/>
      <c r="AA182" s="34"/>
      <c r="AB182" s="60"/>
      <c r="AC182" s="17"/>
      <c r="AD182" s="60"/>
      <c r="AE182" s="17"/>
      <c r="AF182" s="17"/>
      <c r="AG182" s="60"/>
      <c r="AH182" s="18"/>
      <c r="AI182" s="60"/>
      <c r="AJ182" s="17"/>
      <c r="AK182" s="17"/>
      <c r="AL182" s="80"/>
      <c r="AM182" s="18"/>
      <c r="AN182" s="80"/>
      <c r="AO182" s="17"/>
      <c r="AP182" s="17"/>
      <c r="AQ182" s="60"/>
      <c r="AR182" s="18"/>
      <c r="AS182" s="60"/>
      <c r="AT182" s="17"/>
      <c r="AU182" s="60"/>
      <c r="AV182" s="18"/>
      <c r="AW182" s="60"/>
      <c r="AX182" s="17"/>
      <c r="AY182" s="17"/>
      <c r="AZ182" s="60"/>
      <c r="BA182" s="18"/>
      <c r="BB182" s="17"/>
      <c r="BC182" s="17"/>
      <c r="BD182" s="17"/>
      <c r="BE182" s="60"/>
      <c r="BF182" s="18"/>
      <c r="BG182" s="60"/>
      <c r="BH182" s="17"/>
      <c r="BI182" s="60"/>
      <c r="BJ182" s="18"/>
      <c r="BK182" s="60"/>
      <c r="BL182" s="17"/>
      <c r="BM182" s="60"/>
      <c r="BN182" s="17"/>
      <c r="BO182" s="80"/>
      <c r="BP182" s="17"/>
      <c r="BQ182" s="20"/>
      <c r="BR182" s="60"/>
      <c r="BS182" s="18"/>
      <c r="BT182" s="60"/>
      <c r="BU182" s="17"/>
      <c r="BV182" s="17"/>
      <c r="BW182" s="60"/>
      <c r="BX182" s="17"/>
      <c r="BY182" s="60"/>
      <c r="BZ182" s="17"/>
      <c r="CA182" s="17"/>
      <c r="CB182" s="60"/>
      <c r="CC182" s="60"/>
      <c r="CD182" s="17"/>
      <c r="CE182" s="60"/>
      <c r="CF182" s="18"/>
      <c r="CG182" s="60"/>
      <c r="CH182" s="17"/>
    </row>
    <row r="183" spans="1:86" s="29" customFormat="1" x14ac:dyDescent="0.35">
      <c r="A183" s="17"/>
      <c r="B183" s="26"/>
      <c r="C183" s="60"/>
      <c r="D183" s="27"/>
      <c r="E183" s="60"/>
      <c r="F183" s="27"/>
      <c r="G183" s="80"/>
      <c r="H183" s="18"/>
      <c r="I183" s="80"/>
      <c r="J183" s="17"/>
      <c r="K183" s="80"/>
      <c r="L183" s="18"/>
      <c r="M183" s="80"/>
      <c r="N183" s="17"/>
      <c r="O183" s="80"/>
      <c r="P183" s="18"/>
      <c r="Q183" s="80"/>
      <c r="R183" s="17"/>
      <c r="S183" s="80"/>
      <c r="T183" s="18"/>
      <c r="U183" s="60"/>
      <c r="V183" s="17"/>
      <c r="W183" s="80"/>
      <c r="X183" s="18"/>
      <c r="Y183" s="80"/>
      <c r="Z183" s="17"/>
      <c r="AA183" s="34"/>
      <c r="AB183" s="60"/>
      <c r="AC183" s="17"/>
      <c r="AD183" s="60"/>
      <c r="AE183" s="17"/>
      <c r="AF183" s="17"/>
      <c r="AG183" s="60"/>
      <c r="AH183" s="18"/>
      <c r="AI183" s="60"/>
      <c r="AJ183" s="17"/>
      <c r="AK183" s="17"/>
      <c r="AL183" s="80"/>
      <c r="AM183" s="18"/>
      <c r="AN183" s="80"/>
      <c r="AO183" s="17"/>
      <c r="AP183" s="17"/>
      <c r="AQ183" s="60"/>
      <c r="AR183" s="18"/>
      <c r="AS183" s="60"/>
      <c r="AT183" s="17"/>
      <c r="AU183" s="60"/>
      <c r="AV183" s="18"/>
      <c r="AW183" s="60"/>
      <c r="AX183" s="17"/>
      <c r="AY183" s="17"/>
      <c r="AZ183" s="60"/>
      <c r="BA183" s="18"/>
      <c r="BB183" s="17"/>
      <c r="BC183" s="17"/>
      <c r="BD183" s="17"/>
      <c r="BE183" s="60"/>
      <c r="BF183" s="18"/>
      <c r="BG183" s="60"/>
      <c r="BH183" s="17"/>
      <c r="BI183" s="60"/>
      <c r="BJ183" s="18"/>
      <c r="BK183" s="60"/>
      <c r="BL183" s="17"/>
      <c r="BM183" s="60"/>
      <c r="BN183" s="17"/>
      <c r="BO183" s="80"/>
      <c r="BP183" s="17"/>
      <c r="BQ183" s="20"/>
      <c r="BR183" s="60"/>
      <c r="BS183" s="18"/>
      <c r="BT183" s="60"/>
      <c r="BU183" s="17"/>
      <c r="BV183" s="17"/>
      <c r="BW183" s="60"/>
      <c r="BX183" s="17"/>
      <c r="BY183" s="60"/>
      <c r="BZ183" s="17"/>
      <c r="CA183" s="17"/>
      <c r="CB183" s="60"/>
      <c r="CC183" s="60"/>
      <c r="CD183" s="17"/>
      <c r="CE183" s="60"/>
      <c r="CF183" s="18"/>
      <c r="CG183" s="60"/>
      <c r="CH183" s="17"/>
    </row>
    <row r="184" spans="1:86" s="29" customFormat="1" x14ac:dyDescent="0.35">
      <c r="A184" s="17"/>
      <c r="B184" s="26"/>
      <c r="C184" s="60"/>
      <c r="D184" s="27"/>
      <c r="E184" s="60"/>
      <c r="F184" s="27"/>
      <c r="G184" s="80"/>
      <c r="H184" s="18"/>
      <c r="I184" s="80"/>
      <c r="J184" s="17"/>
      <c r="K184" s="80"/>
      <c r="L184" s="18"/>
      <c r="M184" s="80"/>
      <c r="N184" s="17"/>
      <c r="O184" s="80"/>
      <c r="P184" s="18"/>
      <c r="Q184" s="80"/>
      <c r="R184" s="17"/>
      <c r="S184" s="80"/>
      <c r="T184" s="18"/>
      <c r="U184" s="60"/>
      <c r="V184" s="17"/>
      <c r="W184" s="80"/>
      <c r="X184" s="18"/>
      <c r="Y184" s="80"/>
      <c r="Z184" s="17"/>
      <c r="AA184" s="34"/>
      <c r="AB184" s="60"/>
      <c r="AC184" s="17"/>
      <c r="AD184" s="60"/>
      <c r="AE184" s="17"/>
      <c r="AF184" s="17"/>
      <c r="AG184" s="60"/>
      <c r="AH184" s="18"/>
      <c r="AI184" s="60"/>
      <c r="AJ184" s="17"/>
      <c r="AK184" s="17"/>
      <c r="AL184" s="80"/>
      <c r="AM184" s="18"/>
      <c r="AN184" s="80"/>
      <c r="AO184" s="17"/>
      <c r="AP184" s="17"/>
      <c r="AQ184" s="60"/>
      <c r="AR184" s="18"/>
      <c r="AS184" s="60"/>
      <c r="AT184" s="17"/>
      <c r="AU184" s="60"/>
      <c r="AV184" s="18"/>
      <c r="AW184" s="60"/>
      <c r="AX184" s="17"/>
      <c r="AY184" s="17"/>
      <c r="AZ184" s="60"/>
      <c r="BA184" s="18"/>
      <c r="BB184" s="17"/>
      <c r="BC184" s="17"/>
      <c r="BD184" s="17"/>
      <c r="BE184" s="60"/>
      <c r="BF184" s="18"/>
      <c r="BG184" s="60"/>
      <c r="BH184" s="17"/>
      <c r="BI184" s="60"/>
      <c r="BJ184" s="18"/>
      <c r="BK184" s="60"/>
      <c r="BL184" s="17"/>
      <c r="BM184" s="60"/>
      <c r="BN184" s="17"/>
      <c r="BO184" s="80"/>
      <c r="BP184" s="17"/>
      <c r="BQ184" s="20"/>
      <c r="BR184" s="60"/>
      <c r="BS184" s="18"/>
      <c r="BT184" s="60"/>
      <c r="BU184" s="17"/>
      <c r="BV184" s="17"/>
      <c r="BW184" s="60"/>
      <c r="BX184" s="17"/>
      <c r="BY184" s="60"/>
      <c r="BZ184" s="17"/>
      <c r="CA184" s="17"/>
      <c r="CB184" s="60"/>
      <c r="CC184" s="60"/>
      <c r="CD184" s="17"/>
      <c r="CE184" s="60"/>
      <c r="CF184" s="18"/>
      <c r="CG184" s="60"/>
      <c r="CH184" s="17"/>
    </row>
    <row r="185" spans="1:86" s="29" customFormat="1" x14ac:dyDescent="0.35">
      <c r="A185" s="17"/>
      <c r="B185" s="26"/>
      <c r="C185" s="60"/>
      <c r="D185" s="27"/>
      <c r="E185" s="60"/>
      <c r="F185" s="27"/>
      <c r="G185" s="80"/>
      <c r="H185" s="18"/>
      <c r="I185" s="80"/>
      <c r="J185" s="17"/>
      <c r="K185" s="80"/>
      <c r="L185" s="18"/>
      <c r="M185" s="80"/>
      <c r="N185" s="17"/>
      <c r="O185" s="80"/>
      <c r="P185" s="18"/>
      <c r="Q185" s="80"/>
      <c r="R185" s="17"/>
      <c r="S185" s="80"/>
      <c r="T185" s="18"/>
      <c r="U185" s="60"/>
      <c r="V185" s="17"/>
      <c r="W185" s="80"/>
      <c r="X185" s="18"/>
      <c r="Y185" s="80"/>
      <c r="Z185" s="17"/>
      <c r="AA185" s="34"/>
      <c r="AB185" s="60"/>
      <c r="AC185" s="17"/>
      <c r="AD185" s="60"/>
      <c r="AE185" s="17"/>
      <c r="AF185" s="17"/>
      <c r="AG185" s="60"/>
      <c r="AH185" s="18"/>
      <c r="AI185" s="60"/>
      <c r="AJ185" s="17"/>
      <c r="AK185" s="17"/>
      <c r="AL185" s="80"/>
      <c r="AM185" s="18"/>
      <c r="AN185" s="80"/>
      <c r="AO185" s="17"/>
      <c r="AP185" s="17"/>
      <c r="AQ185" s="60"/>
      <c r="AR185" s="18"/>
      <c r="AS185" s="60"/>
      <c r="AT185" s="17"/>
      <c r="AU185" s="60"/>
      <c r="AV185" s="18"/>
      <c r="AW185" s="60"/>
      <c r="AX185" s="17"/>
      <c r="AY185" s="17"/>
      <c r="AZ185" s="60"/>
      <c r="BA185" s="18"/>
      <c r="BB185" s="17"/>
      <c r="BC185" s="17"/>
      <c r="BD185" s="17"/>
      <c r="BE185" s="60"/>
      <c r="BF185" s="18"/>
      <c r="BG185" s="60"/>
      <c r="BH185" s="17"/>
      <c r="BI185" s="60"/>
      <c r="BJ185" s="18"/>
      <c r="BK185" s="60"/>
      <c r="BL185" s="17"/>
      <c r="BM185" s="60"/>
      <c r="BN185" s="17"/>
      <c r="BO185" s="80"/>
      <c r="BP185" s="17"/>
      <c r="BQ185" s="20"/>
      <c r="BR185" s="60"/>
      <c r="BS185" s="18"/>
      <c r="BT185" s="60"/>
      <c r="BU185" s="17"/>
      <c r="BV185" s="17"/>
      <c r="BW185" s="60"/>
      <c r="BX185" s="17"/>
      <c r="BY185" s="60"/>
      <c r="BZ185" s="17"/>
      <c r="CA185" s="17"/>
      <c r="CB185" s="60"/>
      <c r="CC185" s="60"/>
      <c r="CD185" s="17"/>
      <c r="CE185" s="60"/>
      <c r="CF185" s="18"/>
      <c r="CG185" s="60"/>
      <c r="CH185" s="17"/>
    </row>
    <row r="186" spans="1:86" s="29" customFormat="1" x14ac:dyDescent="0.35">
      <c r="A186" s="17"/>
      <c r="B186" s="26"/>
      <c r="C186" s="60"/>
      <c r="D186" s="27"/>
      <c r="E186" s="60"/>
      <c r="F186" s="27"/>
      <c r="G186" s="80"/>
      <c r="H186" s="18"/>
      <c r="I186" s="80"/>
      <c r="J186" s="17"/>
      <c r="K186" s="80"/>
      <c r="L186" s="18"/>
      <c r="M186" s="80"/>
      <c r="N186" s="17"/>
      <c r="O186" s="80"/>
      <c r="P186" s="18"/>
      <c r="Q186" s="80"/>
      <c r="R186" s="17"/>
      <c r="S186" s="80"/>
      <c r="T186" s="18"/>
      <c r="U186" s="60"/>
      <c r="V186" s="17"/>
      <c r="W186" s="80"/>
      <c r="X186" s="18"/>
      <c r="Y186" s="80"/>
      <c r="Z186" s="17"/>
      <c r="AA186" s="34"/>
      <c r="AB186" s="60"/>
      <c r="AC186" s="17"/>
      <c r="AD186" s="60"/>
      <c r="AE186" s="17"/>
      <c r="AF186" s="17"/>
      <c r="AG186" s="60"/>
      <c r="AH186" s="18"/>
      <c r="AI186" s="60"/>
      <c r="AJ186" s="17"/>
      <c r="AK186" s="17"/>
      <c r="AL186" s="80"/>
      <c r="AM186" s="18"/>
      <c r="AN186" s="80"/>
      <c r="AO186" s="17"/>
      <c r="AP186" s="17"/>
      <c r="AQ186" s="60"/>
      <c r="AR186" s="18"/>
      <c r="AS186" s="60"/>
      <c r="AT186" s="17"/>
      <c r="AU186" s="60"/>
      <c r="AV186" s="18"/>
      <c r="AW186" s="60"/>
      <c r="AX186" s="17"/>
      <c r="AY186" s="17"/>
      <c r="AZ186" s="60"/>
      <c r="BA186" s="18"/>
      <c r="BB186" s="17"/>
      <c r="BC186" s="17"/>
      <c r="BD186" s="17"/>
      <c r="BE186" s="60"/>
      <c r="BF186" s="18"/>
      <c r="BG186" s="60"/>
      <c r="BH186" s="17"/>
      <c r="BI186" s="60"/>
      <c r="BJ186" s="18"/>
      <c r="BK186" s="60"/>
      <c r="BL186" s="17"/>
      <c r="BM186" s="60"/>
      <c r="BN186" s="17"/>
      <c r="BO186" s="80"/>
      <c r="BP186" s="17"/>
      <c r="BQ186" s="20"/>
      <c r="BR186" s="60"/>
      <c r="BS186" s="18"/>
      <c r="BT186" s="60"/>
      <c r="BU186" s="17"/>
      <c r="BV186" s="17"/>
      <c r="BW186" s="60"/>
      <c r="BX186" s="17"/>
      <c r="BY186" s="60"/>
      <c r="BZ186" s="17"/>
      <c r="CA186" s="17"/>
      <c r="CB186" s="60"/>
      <c r="CC186" s="60"/>
      <c r="CD186" s="17"/>
      <c r="CE186" s="60"/>
      <c r="CF186" s="18"/>
      <c r="CG186" s="60"/>
      <c r="CH186" s="17"/>
    </row>
    <row r="187" spans="1:86" s="29" customFormat="1" x14ac:dyDescent="0.35">
      <c r="A187" s="17"/>
      <c r="B187" s="26"/>
      <c r="C187" s="60"/>
      <c r="D187" s="27"/>
      <c r="E187" s="60"/>
      <c r="F187" s="27"/>
      <c r="G187" s="80"/>
      <c r="H187" s="18"/>
      <c r="I187" s="80"/>
      <c r="J187" s="17"/>
      <c r="K187" s="80"/>
      <c r="L187" s="18"/>
      <c r="M187" s="80"/>
      <c r="N187" s="17"/>
      <c r="O187" s="80"/>
      <c r="P187" s="18"/>
      <c r="Q187" s="80"/>
      <c r="R187" s="17"/>
      <c r="S187" s="80"/>
      <c r="T187" s="18"/>
      <c r="U187" s="60"/>
      <c r="V187" s="17"/>
      <c r="W187" s="80"/>
      <c r="X187" s="18"/>
      <c r="Y187" s="80"/>
      <c r="Z187" s="17"/>
      <c r="AA187" s="34"/>
      <c r="AB187" s="60"/>
      <c r="AC187" s="17"/>
      <c r="AD187" s="60"/>
      <c r="AE187" s="17"/>
      <c r="AF187" s="17"/>
      <c r="AG187" s="60"/>
      <c r="AH187" s="18"/>
      <c r="AI187" s="60"/>
      <c r="AJ187" s="17"/>
      <c r="AK187" s="17"/>
      <c r="AL187" s="80"/>
      <c r="AM187" s="18"/>
      <c r="AN187" s="80"/>
      <c r="AO187" s="17"/>
      <c r="AP187" s="17"/>
      <c r="AQ187" s="60"/>
      <c r="AR187" s="18"/>
      <c r="AS187" s="60"/>
      <c r="AT187" s="17"/>
      <c r="AU187" s="60"/>
      <c r="AV187" s="18"/>
      <c r="AW187" s="60"/>
      <c r="AX187" s="17"/>
      <c r="AY187" s="17"/>
      <c r="AZ187" s="60"/>
      <c r="BA187" s="18"/>
      <c r="BB187" s="17"/>
      <c r="BC187" s="17"/>
      <c r="BD187" s="17"/>
      <c r="BE187" s="60"/>
      <c r="BF187" s="18"/>
      <c r="BG187" s="60"/>
      <c r="BH187" s="17"/>
      <c r="BI187" s="60"/>
      <c r="BJ187" s="18"/>
      <c r="BK187" s="60"/>
      <c r="BL187" s="17"/>
      <c r="BM187" s="60"/>
      <c r="BN187" s="17"/>
      <c r="BO187" s="80"/>
      <c r="BP187" s="17"/>
      <c r="BQ187" s="20"/>
      <c r="BR187" s="60"/>
      <c r="BS187" s="18"/>
      <c r="BT187" s="60"/>
      <c r="BU187" s="17"/>
      <c r="BV187" s="17"/>
      <c r="BW187" s="60"/>
      <c r="BX187" s="17"/>
      <c r="BY187" s="60"/>
      <c r="BZ187" s="17"/>
      <c r="CA187" s="17"/>
      <c r="CB187" s="60"/>
      <c r="CC187" s="60"/>
      <c r="CD187" s="17"/>
      <c r="CE187" s="60"/>
      <c r="CF187" s="18"/>
      <c r="CG187" s="60"/>
      <c r="CH187" s="17"/>
    </row>
    <row r="188" spans="1:86" s="29" customFormat="1" x14ac:dyDescent="0.35">
      <c r="A188" s="17"/>
      <c r="B188" s="26"/>
      <c r="C188" s="60"/>
      <c r="D188" s="27"/>
      <c r="E188" s="60"/>
      <c r="F188" s="27"/>
      <c r="G188" s="80"/>
      <c r="H188" s="18"/>
      <c r="I188" s="80"/>
      <c r="J188" s="17"/>
      <c r="K188" s="80"/>
      <c r="L188" s="18"/>
      <c r="M188" s="80"/>
      <c r="N188" s="17"/>
      <c r="O188" s="80"/>
      <c r="P188" s="18"/>
      <c r="Q188" s="80"/>
      <c r="R188" s="17"/>
      <c r="S188" s="80"/>
      <c r="T188" s="18"/>
      <c r="U188" s="60"/>
      <c r="V188" s="17"/>
      <c r="W188" s="80"/>
      <c r="X188" s="18"/>
      <c r="Y188" s="80"/>
      <c r="Z188" s="17"/>
      <c r="AA188" s="34"/>
      <c r="AB188" s="60"/>
      <c r="AC188" s="17"/>
      <c r="AD188" s="60"/>
      <c r="AE188" s="17"/>
      <c r="AF188" s="17"/>
      <c r="AG188" s="60"/>
      <c r="AH188" s="18"/>
      <c r="AI188" s="60"/>
      <c r="AJ188" s="17"/>
      <c r="AK188" s="17"/>
      <c r="AL188" s="80"/>
      <c r="AM188" s="18"/>
      <c r="AN188" s="80"/>
      <c r="AO188" s="17"/>
      <c r="AP188" s="17"/>
      <c r="AQ188" s="60"/>
      <c r="AR188" s="18"/>
      <c r="AS188" s="60"/>
      <c r="AT188" s="17"/>
      <c r="AU188" s="60"/>
      <c r="AV188" s="18"/>
      <c r="AW188" s="60"/>
      <c r="AX188" s="17"/>
      <c r="AY188" s="17"/>
      <c r="AZ188" s="60"/>
      <c r="BA188" s="18"/>
      <c r="BB188" s="17"/>
      <c r="BC188" s="17"/>
      <c r="BD188" s="17"/>
      <c r="BE188" s="60"/>
      <c r="BF188" s="18"/>
      <c r="BG188" s="60"/>
      <c r="BH188" s="17"/>
      <c r="BI188" s="60"/>
      <c r="BJ188" s="18"/>
      <c r="BK188" s="60"/>
      <c r="BL188" s="17"/>
      <c r="BM188" s="60"/>
      <c r="BN188" s="17"/>
      <c r="BO188" s="80"/>
      <c r="BP188" s="17"/>
      <c r="BQ188" s="20"/>
      <c r="BR188" s="60"/>
      <c r="BS188" s="18"/>
      <c r="BT188" s="60"/>
      <c r="BU188" s="17"/>
      <c r="BV188" s="17"/>
      <c r="BW188" s="60"/>
      <c r="BX188" s="17"/>
      <c r="BY188" s="60"/>
      <c r="BZ188" s="17"/>
      <c r="CA188" s="17"/>
      <c r="CB188" s="60"/>
      <c r="CC188" s="60"/>
      <c r="CD188" s="17"/>
      <c r="CE188" s="60"/>
      <c r="CF188" s="18"/>
      <c r="CG188" s="60"/>
      <c r="CH188" s="17"/>
    </row>
    <row r="189" spans="1:86" s="29" customFormat="1" x14ac:dyDescent="0.35">
      <c r="A189" s="17"/>
      <c r="B189" s="26"/>
      <c r="C189" s="60"/>
      <c r="D189" s="27"/>
      <c r="E189" s="60"/>
      <c r="F189" s="27"/>
      <c r="G189" s="80"/>
      <c r="H189" s="18"/>
      <c r="I189" s="80"/>
      <c r="J189" s="17"/>
      <c r="K189" s="80"/>
      <c r="L189" s="18"/>
      <c r="M189" s="80"/>
      <c r="N189" s="17"/>
      <c r="O189" s="80"/>
      <c r="P189" s="18"/>
      <c r="Q189" s="80"/>
      <c r="R189" s="17"/>
      <c r="S189" s="80"/>
      <c r="T189" s="18"/>
      <c r="U189" s="60"/>
      <c r="V189" s="17"/>
      <c r="W189" s="80"/>
      <c r="X189" s="18"/>
      <c r="Y189" s="80"/>
      <c r="Z189" s="17"/>
      <c r="AA189" s="34"/>
      <c r="AB189" s="60"/>
      <c r="AC189" s="17"/>
      <c r="AD189" s="60"/>
      <c r="AE189" s="17"/>
      <c r="AF189" s="17"/>
      <c r="AG189" s="60"/>
      <c r="AH189" s="18"/>
      <c r="AI189" s="60"/>
      <c r="AJ189" s="17"/>
      <c r="AK189" s="17"/>
      <c r="AL189" s="80"/>
      <c r="AM189" s="18"/>
      <c r="AN189" s="80"/>
      <c r="AO189" s="17"/>
      <c r="AP189" s="17"/>
      <c r="AQ189" s="60"/>
      <c r="AR189" s="18"/>
      <c r="AS189" s="60"/>
      <c r="AT189" s="17"/>
      <c r="AU189" s="60"/>
      <c r="AV189" s="18"/>
      <c r="AW189" s="60"/>
      <c r="AX189" s="17"/>
      <c r="AY189" s="17"/>
      <c r="AZ189" s="60"/>
      <c r="BA189" s="18"/>
      <c r="BB189" s="17"/>
      <c r="BC189" s="17"/>
      <c r="BD189" s="17"/>
      <c r="BE189" s="60"/>
      <c r="BF189" s="18"/>
      <c r="BG189" s="60"/>
      <c r="BH189" s="17"/>
      <c r="BI189" s="60"/>
      <c r="BJ189" s="18"/>
      <c r="BK189" s="60"/>
      <c r="BL189" s="17"/>
      <c r="BM189" s="60"/>
      <c r="BN189" s="17"/>
      <c r="BO189" s="80"/>
      <c r="BP189" s="17"/>
      <c r="BQ189" s="20"/>
      <c r="BR189" s="60"/>
      <c r="BS189" s="18"/>
      <c r="BT189" s="60"/>
      <c r="BU189" s="17"/>
      <c r="BV189" s="17"/>
      <c r="BW189" s="60"/>
      <c r="BX189" s="17"/>
      <c r="BY189" s="60"/>
      <c r="BZ189" s="17"/>
      <c r="CA189" s="17"/>
      <c r="CB189" s="60"/>
      <c r="CC189" s="60"/>
      <c r="CD189" s="17"/>
      <c r="CE189" s="60"/>
      <c r="CF189" s="18"/>
      <c r="CG189" s="60"/>
      <c r="CH189" s="17"/>
    </row>
    <row r="190" spans="1:86" s="29" customFormat="1" x14ac:dyDescent="0.35">
      <c r="A190" s="17"/>
      <c r="B190" s="26"/>
      <c r="C190" s="60"/>
      <c r="D190" s="27"/>
      <c r="E190" s="60"/>
      <c r="F190" s="27"/>
      <c r="G190" s="80"/>
      <c r="H190" s="18"/>
      <c r="I190" s="80"/>
      <c r="J190" s="17"/>
      <c r="K190" s="80"/>
      <c r="L190" s="18"/>
      <c r="M190" s="80"/>
      <c r="N190" s="17"/>
      <c r="O190" s="80"/>
      <c r="P190" s="18"/>
      <c r="Q190" s="80"/>
      <c r="R190" s="17"/>
      <c r="S190" s="80"/>
      <c r="T190" s="18"/>
      <c r="U190" s="60"/>
      <c r="V190" s="17"/>
      <c r="W190" s="80"/>
      <c r="X190" s="18"/>
      <c r="Y190" s="80"/>
      <c r="Z190" s="17"/>
      <c r="AA190" s="34"/>
      <c r="AB190" s="60"/>
      <c r="AC190" s="17"/>
      <c r="AD190" s="60"/>
      <c r="AE190" s="17"/>
      <c r="AF190" s="17"/>
      <c r="AG190" s="60"/>
      <c r="AH190" s="18"/>
      <c r="AI190" s="60"/>
      <c r="AJ190" s="17"/>
      <c r="AK190" s="17"/>
      <c r="AL190" s="80"/>
      <c r="AM190" s="18"/>
      <c r="AN190" s="80"/>
      <c r="AO190" s="17"/>
      <c r="AP190" s="17"/>
      <c r="AQ190" s="60"/>
      <c r="AR190" s="18"/>
      <c r="AS190" s="60"/>
      <c r="AT190" s="17"/>
      <c r="AU190" s="60"/>
      <c r="AV190" s="18"/>
      <c r="AW190" s="60"/>
      <c r="AX190" s="17"/>
      <c r="AY190" s="17"/>
      <c r="AZ190" s="60"/>
      <c r="BA190" s="18"/>
      <c r="BB190" s="17"/>
      <c r="BC190" s="17"/>
      <c r="BD190" s="17"/>
      <c r="BE190" s="60"/>
      <c r="BF190" s="18"/>
      <c r="BG190" s="60"/>
      <c r="BH190" s="17"/>
      <c r="BI190" s="60"/>
      <c r="BJ190" s="18"/>
      <c r="BK190" s="60"/>
      <c r="BL190" s="17"/>
      <c r="BM190" s="60"/>
      <c r="BN190" s="17"/>
      <c r="BO190" s="80"/>
      <c r="BP190" s="17"/>
      <c r="BQ190" s="20"/>
      <c r="BR190" s="60"/>
      <c r="BS190" s="18"/>
      <c r="BT190" s="60"/>
      <c r="BU190" s="17"/>
      <c r="BV190" s="17"/>
      <c r="BW190" s="60"/>
      <c r="BX190" s="17"/>
      <c r="BY190" s="60"/>
      <c r="BZ190" s="17"/>
      <c r="CA190" s="17"/>
      <c r="CB190" s="60"/>
      <c r="CC190" s="60"/>
      <c r="CD190" s="17"/>
      <c r="CE190" s="60"/>
      <c r="CF190" s="18"/>
      <c r="CG190" s="60"/>
      <c r="CH190" s="17"/>
    </row>
    <row r="191" spans="1:86" s="29" customFormat="1" x14ac:dyDescent="0.35">
      <c r="A191" s="17"/>
      <c r="B191" s="26"/>
      <c r="C191" s="60"/>
      <c r="D191" s="27"/>
      <c r="E191" s="60"/>
      <c r="F191" s="27"/>
      <c r="G191" s="80"/>
      <c r="H191" s="18"/>
      <c r="I191" s="80"/>
      <c r="J191" s="17"/>
      <c r="K191" s="80"/>
      <c r="L191" s="18"/>
      <c r="M191" s="80"/>
      <c r="N191" s="17"/>
      <c r="O191" s="80"/>
      <c r="P191" s="18"/>
      <c r="Q191" s="80"/>
      <c r="R191" s="17"/>
      <c r="S191" s="80"/>
      <c r="T191" s="18"/>
      <c r="U191" s="60"/>
      <c r="V191" s="17"/>
      <c r="W191" s="80"/>
      <c r="X191" s="18"/>
      <c r="Y191" s="80"/>
      <c r="Z191" s="17"/>
      <c r="AA191" s="34"/>
      <c r="AB191" s="60"/>
      <c r="AC191" s="17"/>
      <c r="AD191" s="60"/>
      <c r="AE191" s="17"/>
      <c r="AF191" s="17"/>
      <c r="AG191" s="60"/>
      <c r="AH191" s="18"/>
      <c r="AI191" s="60"/>
      <c r="AJ191" s="17"/>
      <c r="AK191" s="17"/>
      <c r="AL191" s="80"/>
      <c r="AM191" s="18"/>
      <c r="AN191" s="80"/>
      <c r="AO191" s="17"/>
      <c r="AP191" s="17"/>
      <c r="AQ191" s="60"/>
      <c r="AR191" s="18"/>
      <c r="AS191" s="60"/>
      <c r="AT191" s="17"/>
      <c r="AU191" s="60"/>
      <c r="AV191" s="18"/>
      <c r="AW191" s="60"/>
      <c r="AX191" s="17"/>
      <c r="AY191" s="17"/>
      <c r="AZ191" s="60"/>
      <c r="BA191" s="18"/>
      <c r="BB191" s="17"/>
      <c r="BC191" s="17"/>
      <c r="BD191" s="17"/>
      <c r="BE191" s="60"/>
      <c r="BF191" s="18"/>
      <c r="BG191" s="60"/>
      <c r="BH191" s="17"/>
      <c r="BI191" s="60"/>
      <c r="BJ191" s="18"/>
      <c r="BK191" s="60"/>
      <c r="BL191" s="17"/>
      <c r="BM191" s="60"/>
      <c r="BN191" s="17"/>
      <c r="BO191" s="80"/>
      <c r="BP191" s="17"/>
      <c r="BQ191" s="20"/>
      <c r="BR191" s="60"/>
      <c r="BS191" s="18"/>
      <c r="BT191" s="60"/>
      <c r="BU191" s="17"/>
      <c r="BV191" s="17"/>
      <c r="BW191" s="60"/>
      <c r="BX191" s="17"/>
      <c r="BY191" s="60"/>
      <c r="BZ191" s="17"/>
      <c r="CA191" s="17"/>
      <c r="CB191" s="60"/>
      <c r="CC191" s="60"/>
      <c r="CD191" s="17"/>
      <c r="CE191" s="60"/>
      <c r="CF191" s="18"/>
      <c r="CG191" s="60"/>
      <c r="CH191" s="17"/>
    </row>
    <row r="192" spans="1:86" s="29" customFormat="1" x14ac:dyDescent="0.35">
      <c r="A192" s="17"/>
      <c r="B192" s="26"/>
      <c r="C192" s="60"/>
      <c r="D192" s="27"/>
      <c r="E192" s="60"/>
      <c r="F192" s="27"/>
      <c r="G192" s="80"/>
      <c r="H192" s="18"/>
      <c r="I192" s="80"/>
      <c r="J192" s="17"/>
      <c r="K192" s="80"/>
      <c r="L192" s="18"/>
      <c r="M192" s="80"/>
      <c r="N192" s="17"/>
      <c r="O192" s="80"/>
      <c r="P192" s="18"/>
      <c r="Q192" s="80"/>
      <c r="R192" s="17"/>
      <c r="S192" s="80"/>
      <c r="T192" s="18"/>
      <c r="U192" s="60"/>
      <c r="V192" s="17"/>
      <c r="W192" s="80"/>
      <c r="X192" s="18"/>
      <c r="Y192" s="80"/>
      <c r="Z192" s="17"/>
      <c r="AA192" s="34"/>
      <c r="AB192" s="60"/>
      <c r="AC192" s="17"/>
      <c r="AD192" s="60"/>
      <c r="AE192" s="17"/>
      <c r="AF192" s="17"/>
      <c r="AG192" s="60"/>
      <c r="AH192" s="18"/>
      <c r="AI192" s="60"/>
      <c r="AJ192" s="17"/>
      <c r="AK192" s="17"/>
      <c r="AL192" s="80"/>
      <c r="AM192" s="18"/>
      <c r="AN192" s="80"/>
      <c r="AO192" s="17"/>
      <c r="AP192" s="17"/>
      <c r="AQ192" s="60"/>
      <c r="AR192" s="18"/>
      <c r="AS192" s="60"/>
      <c r="AT192" s="17"/>
      <c r="AU192" s="60"/>
      <c r="AV192" s="18"/>
      <c r="AW192" s="60"/>
      <c r="AX192" s="17"/>
      <c r="AY192" s="17"/>
      <c r="AZ192" s="60"/>
      <c r="BA192" s="18"/>
      <c r="BB192" s="17"/>
      <c r="BC192" s="17"/>
      <c r="BD192" s="17"/>
      <c r="BE192" s="60"/>
      <c r="BF192" s="18"/>
      <c r="BG192" s="60"/>
      <c r="BH192" s="17"/>
      <c r="BI192" s="60"/>
      <c r="BJ192" s="18"/>
      <c r="BK192" s="60"/>
      <c r="BL192" s="17"/>
      <c r="BM192" s="60"/>
      <c r="BN192" s="17"/>
      <c r="BO192" s="80"/>
      <c r="BP192" s="17"/>
      <c r="BQ192" s="20"/>
      <c r="BR192" s="60"/>
      <c r="BS192" s="18"/>
      <c r="BT192" s="60"/>
      <c r="BU192" s="17"/>
      <c r="BV192" s="17"/>
      <c r="BW192" s="60"/>
      <c r="BX192" s="17"/>
      <c r="BY192" s="60"/>
      <c r="BZ192" s="17"/>
      <c r="CA192" s="17"/>
      <c r="CB192" s="60"/>
      <c r="CC192" s="60"/>
      <c r="CD192" s="17"/>
      <c r="CE192" s="60"/>
      <c r="CF192" s="18"/>
      <c r="CG192" s="60"/>
      <c r="CH192" s="17"/>
    </row>
    <row r="193" spans="1:86" s="29" customFormat="1" x14ac:dyDescent="0.35">
      <c r="A193" s="17"/>
      <c r="B193" s="26"/>
      <c r="C193" s="60"/>
      <c r="D193" s="27"/>
      <c r="E193" s="60"/>
      <c r="F193" s="27"/>
      <c r="G193" s="80"/>
      <c r="H193" s="18"/>
      <c r="I193" s="80"/>
      <c r="J193" s="17"/>
      <c r="K193" s="80"/>
      <c r="L193" s="18"/>
      <c r="M193" s="80"/>
      <c r="N193" s="17"/>
      <c r="O193" s="80"/>
      <c r="P193" s="18"/>
      <c r="Q193" s="80"/>
      <c r="R193" s="17"/>
      <c r="S193" s="80"/>
      <c r="T193" s="18"/>
      <c r="U193" s="60"/>
      <c r="V193" s="17"/>
      <c r="W193" s="80"/>
      <c r="X193" s="18"/>
      <c r="Y193" s="80"/>
      <c r="Z193" s="17"/>
      <c r="AA193" s="34"/>
      <c r="AB193" s="60"/>
      <c r="AC193" s="17"/>
      <c r="AD193" s="60"/>
      <c r="AE193" s="17"/>
      <c r="AF193" s="17"/>
      <c r="AG193" s="60"/>
      <c r="AH193" s="18"/>
      <c r="AI193" s="60"/>
      <c r="AJ193" s="17"/>
      <c r="AK193" s="17"/>
      <c r="AL193" s="80"/>
      <c r="AM193" s="18"/>
      <c r="AN193" s="80"/>
      <c r="AO193" s="17"/>
      <c r="AP193" s="17"/>
      <c r="AQ193" s="60"/>
      <c r="AR193" s="18"/>
      <c r="AS193" s="60"/>
      <c r="AT193" s="17"/>
      <c r="AU193" s="60"/>
      <c r="AV193" s="18"/>
      <c r="AW193" s="60"/>
      <c r="AX193" s="17"/>
      <c r="AY193" s="17"/>
      <c r="AZ193" s="60"/>
      <c r="BA193" s="18"/>
      <c r="BB193" s="17"/>
      <c r="BC193" s="17"/>
      <c r="BD193" s="17"/>
      <c r="BE193" s="60"/>
      <c r="BF193" s="18"/>
      <c r="BG193" s="60"/>
      <c r="BH193" s="17"/>
      <c r="BI193" s="60"/>
      <c r="BJ193" s="18"/>
      <c r="BK193" s="60"/>
      <c r="BL193" s="17"/>
      <c r="BM193" s="60"/>
      <c r="BN193" s="17"/>
      <c r="BO193" s="80"/>
      <c r="BP193" s="17"/>
      <c r="BQ193" s="20"/>
      <c r="BR193" s="60"/>
      <c r="BS193" s="18"/>
      <c r="BT193" s="60"/>
      <c r="BU193" s="17"/>
      <c r="BV193" s="17"/>
      <c r="BW193" s="60"/>
      <c r="BX193" s="17"/>
      <c r="BY193" s="60"/>
      <c r="BZ193" s="17"/>
      <c r="CA193" s="17"/>
      <c r="CB193" s="60"/>
      <c r="CC193" s="60"/>
      <c r="CD193" s="17"/>
      <c r="CE193" s="60"/>
      <c r="CF193" s="18"/>
      <c r="CG193" s="60"/>
      <c r="CH193" s="17"/>
    </row>
    <row r="194" spans="1:86" s="29" customFormat="1" x14ac:dyDescent="0.35">
      <c r="A194" s="17"/>
      <c r="B194" s="26"/>
      <c r="C194" s="60"/>
      <c r="D194" s="27"/>
      <c r="E194" s="60"/>
      <c r="F194" s="27"/>
      <c r="G194" s="80"/>
      <c r="H194" s="18"/>
      <c r="I194" s="80"/>
      <c r="J194" s="17"/>
      <c r="K194" s="80"/>
      <c r="L194" s="18"/>
      <c r="M194" s="80"/>
      <c r="N194" s="17"/>
      <c r="O194" s="80"/>
      <c r="P194" s="18"/>
      <c r="Q194" s="80"/>
      <c r="R194" s="17"/>
      <c r="S194" s="80"/>
      <c r="T194" s="18"/>
      <c r="U194" s="60"/>
      <c r="V194" s="17"/>
      <c r="W194" s="80"/>
      <c r="X194" s="18"/>
      <c r="Y194" s="80"/>
      <c r="Z194" s="17"/>
      <c r="AA194" s="34"/>
      <c r="AB194" s="60"/>
      <c r="AC194" s="17"/>
      <c r="AD194" s="60"/>
      <c r="AE194" s="17"/>
      <c r="AF194" s="17"/>
      <c r="AG194" s="60"/>
      <c r="AH194" s="18"/>
      <c r="AI194" s="60"/>
      <c r="AJ194" s="17"/>
      <c r="AK194" s="17"/>
      <c r="AL194" s="80"/>
      <c r="AM194" s="18"/>
      <c r="AN194" s="80"/>
      <c r="AO194" s="17"/>
      <c r="AP194" s="17"/>
      <c r="AQ194" s="60"/>
      <c r="AR194" s="18"/>
      <c r="AS194" s="60"/>
      <c r="AT194" s="17"/>
      <c r="AU194" s="60"/>
      <c r="AV194" s="18"/>
      <c r="AW194" s="60"/>
      <c r="AX194" s="17"/>
      <c r="AY194" s="17"/>
      <c r="AZ194" s="60"/>
      <c r="BA194" s="18"/>
      <c r="BB194" s="17"/>
      <c r="BC194" s="17"/>
      <c r="BD194" s="17"/>
      <c r="BE194" s="60"/>
      <c r="BF194" s="18"/>
      <c r="BG194" s="60"/>
      <c r="BH194" s="17"/>
      <c r="BI194" s="60"/>
      <c r="BJ194" s="18"/>
      <c r="BK194" s="60"/>
      <c r="BL194" s="17"/>
      <c r="BM194" s="60"/>
      <c r="BN194" s="17"/>
      <c r="BO194" s="80"/>
      <c r="BP194" s="17"/>
      <c r="BQ194" s="20"/>
      <c r="BR194" s="60"/>
      <c r="BS194" s="18"/>
      <c r="BT194" s="60"/>
      <c r="BU194" s="17"/>
      <c r="BV194" s="17"/>
      <c r="BW194" s="60"/>
      <c r="BX194" s="17"/>
      <c r="BY194" s="60"/>
      <c r="BZ194" s="17"/>
      <c r="CA194" s="17"/>
      <c r="CB194" s="60"/>
      <c r="CC194" s="60"/>
      <c r="CD194" s="17"/>
      <c r="CE194" s="60"/>
      <c r="CF194" s="18"/>
      <c r="CG194" s="60"/>
      <c r="CH194" s="17"/>
    </row>
    <row r="195" spans="1:86" s="29" customFormat="1" x14ac:dyDescent="0.35">
      <c r="A195" s="17"/>
      <c r="B195" s="26"/>
      <c r="C195" s="60"/>
      <c r="D195" s="27"/>
      <c r="E195" s="60"/>
      <c r="F195" s="27"/>
      <c r="G195" s="80"/>
      <c r="H195" s="18"/>
      <c r="I195" s="80"/>
      <c r="J195" s="17"/>
      <c r="K195" s="80"/>
      <c r="L195" s="18"/>
      <c r="M195" s="80"/>
      <c r="N195" s="17"/>
      <c r="O195" s="80"/>
      <c r="P195" s="18"/>
      <c r="Q195" s="80"/>
      <c r="R195" s="17"/>
      <c r="S195" s="80"/>
      <c r="T195" s="18"/>
      <c r="U195" s="60"/>
      <c r="V195" s="17"/>
      <c r="W195" s="80"/>
      <c r="X195" s="18"/>
      <c r="Y195" s="80"/>
      <c r="Z195" s="17"/>
      <c r="AA195" s="34"/>
      <c r="AB195" s="60"/>
      <c r="AC195" s="17"/>
      <c r="AD195" s="60"/>
      <c r="AE195" s="17"/>
      <c r="AF195" s="17"/>
      <c r="AG195" s="60"/>
      <c r="AH195" s="18"/>
      <c r="AI195" s="60"/>
      <c r="AJ195" s="17"/>
      <c r="AK195" s="17"/>
      <c r="AL195" s="80"/>
      <c r="AM195" s="18"/>
      <c r="AN195" s="80"/>
      <c r="AO195" s="17"/>
      <c r="AP195" s="17"/>
      <c r="AQ195" s="60"/>
      <c r="AR195" s="18"/>
      <c r="AS195" s="60"/>
      <c r="AT195" s="17"/>
      <c r="AU195" s="60"/>
      <c r="AV195" s="18"/>
      <c r="AW195" s="60"/>
      <c r="AX195" s="17"/>
      <c r="AY195" s="17"/>
      <c r="AZ195" s="60"/>
      <c r="BA195" s="18"/>
      <c r="BB195" s="17"/>
      <c r="BC195" s="17"/>
      <c r="BD195" s="17"/>
      <c r="BE195" s="60"/>
      <c r="BF195" s="18"/>
      <c r="BG195" s="60"/>
      <c r="BH195" s="17"/>
      <c r="BI195" s="60"/>
      <c r="BJ195" s="18"/>
      <c r="BK195" s="60"/>
      <c r="BL195" s="17"/>
      <c r="BM195" s="60"/>
      <c r="BN195" s="17"/>
      <c r="BO195" s="80"/>
      <c r="BP195" s="17"/>
      <c r="BQ195" s="20"/>
      <c r="BR195" s="60"/>
      <c r="BS195" s="18"/>
      <c r="BT195" s="60"/>
      <c r="BU195" s="17"/>
      <c r="BV195" s="17"/>
      <c r="BW195" s="60"/>
      <c r="BX195" s="17"/>
      <c r="BY195" s="60"/>
      <c r="BZ195" s="17"/>
      <c r="CA195" s="17"/>
      <c r="CB195" s="60"/>
      <c r="CC195" s="60"/>
      <c r="CD195" s="17"/>
      <c r="CE195" s="60"/>
      <c r="CF195" s="18"/>
      <c r="CG195" s="60"/>
      <c r="CH195" s="17"/>
    </row>
    <row r="196" spans="1:86" s="29" customFormat="1" x14ac:dyDescent="0.35">
      <c r="A196" s="17"/>
      <c r="B196" s="26"/>
      <c r="C196" s="60"/>
      <c r="D196" s="27"/>
      <c r="E196" s="60"/>
      <c r="F196" s="27"/>
      <c r="G196" s="80"/>
      <c r="H196" s="18"/>
      <c r="I196" s="80"/>
      <c r="J196" s="17"/>
      <c r="K196" s="80"/>
      <c r="L196" s="18"/>
      <c r="M196" s="80"/>
      <c r="N196" s="17"/>
      <c r="O196" s="80"/>
      <c r="P196" s="18"/>
      <c r="Q196" s="80"/>
      <c r="R196" s="17"/>
      <c r="S196" s="80"/>
      <c r="T196" s="18"/>
      <c r="U196" s="60"/>
      <c r="V196" s="17"/>
      <c r="W196" s="80"/>
      <c r="X196" s="18"/>
      <c r="Y196" s="80"/>
      <c r="Z196" s="17"/>
      <c r="AA196" s="34"/>
      <c r="AB196" s="60"/>
      <c r="AC196" s="17"/>
      <c r="AD196" s="60"/>
      <c r="AE196" s="17"/>
      <c r="AF196" s="17"/>
      <c r="AG196" s="60"/>
      <c r="AH196" s="18"/>
      <c r="AI196" s="60"/>
      <c r="AJ196" s="17"/>
      <c r="AK196" s="17"/>
      <c r="AL196" s="80"/>
      <c r="AM196" s="18"/>
      <c r="AN196" s="80"/>
      <c r="AO196" s="17"/>
      <c r="AP196" s="17"/>
      <c r="AQ196" s="60"/>
      <c r="AR196" s="18"/>
      <c r="AS196" s="60"/>
      <c r="AT196" s="17"/>
      <c r="AU196" s="60"/>
      <c r="AV196" s="18"/>
      <c r="AW196" s="60"/>
      <c r="AX196" s="17"/>
      <c r="AY196" s="17"/>
      <c r="AZ196" s="60"/>
      <c r="BA196" s="18"/>
      <c r="BB196" s="17"/>
      <c r="BC196" s="17"/>
      <c r="BD196" s="17"/>
      <c r="BE196" s="60"/>
      <c r="BF196" s="18"/>
      <c r="BG196" s="60"/>
      <c r="BH196" s="17"/>
      <c r="BI196" s="60"/>
      <c r="BJ196" s="18"/>
      <c r="BK196" s="60"/>
      <c r="BL196" s="17"/>
      <c r="BM196" s="60"/>
      <c r="BN196" s="17"/>
      <c r="BO196" s="80"/>
      <c r="BP196" s="17"/>
      <c r="BQ196" s="20"/>
      <c r="BR196" s="60"/>
      <c r="BS196" s="18"/>
      <c r="BT196" s="60"/>
      <c r="BU196" s="17"/>
      <c r="BV196" s="17"/>
      <c r="BW196" s="60"/>
      <c r="BX196" s="17"/>
      <c r="BY196" s="60"/>
      <c r="BZ196" s="17"/>
      <c r="CA196" s="17"/>
      <c r="CB196" s="60"/>
      <c r="CC196" s="60"/>
      <c r="CD196" s="17"/>
      <c r="CE196" s="60"/>
      <c r="CF196" s="18"/>
      <c r="CG196" s="60"/>
      <c r="CH196" s="17"/>
    </row>
    <row r="197" spans="1:86" s="29" customFormat="1" x14ac:dyDescent="0.35">
      <c r="A197" s="17"/>
      <c r="B197" s="26"/>
      <c r="C197" s="60"/>
      <c r="D197" s="27"/>
      <c r="E197" s="60"/>
      <c r="F197" s="27"/>
      <c r="G197" s="80"/>
      <c r="H197" s="18"/>
      <c r="I197" s="80"/>
      <c r="J197" s="17"/>
      <c r="K197" s="80"/>
      <c r="L197" s="18"/>
      <c r="M197" s="80"/>
      <c r="N197" s="17"/>
      <c r="O197" s="80"/>
      <c r="P197" s="18"/>
      <c r="Q197" s="80"/>
      <c r="R197" s="17"/>
      <c r="S197" s="80"/>
      <c r="T197" s="18"/>
      <c r="U197" s="60"/>
      <c r="V197" s="17"/>
      <c r="W197" s="80"/>
      <c r="X197" s="18"/>
      <c r="Y197" s="80"/>
      <c r="Z197" s="17"/>
      <c r="AA197" s="34"/>
      <c r="AB197" s="60"/>
      <c r="AC197" s="17"/>
      <c r="AD197" s="60"/>
      <c r="AE197" s="17"/>
      <c r="AF197" s="17"/>
      <c r="AG197" s="60"/>
      <c r="AH197" s="18"/>
      <c r="AI197" s="60"/>
      <c r="AJ197" s="17"/>
      <c r="AK197" s="17"/>
      <c r="AL197" s="80"/>
      <c r="AM197" s="18"/>
      <c r="AN197" s="80"/>
      <c r="AO197" s="17"/>
      <c r="AP197" s="17"/>
      <c r="AQ197" s="60"/>
      <c r="AR197" s="18"/>
      <c r="AS197" s="60"/>
      <c r="AT197" s="17"/>
      <c r="AU197" s="60"/>
      <c r="AV197" s="18"/>
      <c r="AW197" s="60"/>
      <c r="AX197" s="17"/>
      <c r="AY197" s="17"/>
      <c r="AZ197" s="60"/>
      <c r="BA197" s="18"/>
      <c r="BB197" s="17"/>
      <c r="BC197" s="17"/>
      <c r="BD197" s="17"/>
      <c r="BE197" s="60"/>
      <c r="BF197" s="18"/>
      <c r="BG197" s="60"/>
      <c r="BH197" s="17"/>
      <c r="BI197" s="60"/>
      <c r="BJ197" s="18"/>
      <c r="BK197" s="60"/>
      <c r="BL197" s="17"/>
      <c r="BM197" s="60"/>
      <c r="BN197" s="17"/>
      <c r="BO197" s="80"/>
      <c r="BP197" s="17"/>
      <c r="BQ197" s="20"/>
      <c r="BR197" s="60"/>
      <c r="BS197" s="18"/>
      <c r="BT197" s="60"/>
      <c r="BU197" s="17"/>
      <c r="BV197" s="17"/>
      <c r="BW197" s="60"/>
      <c r="BX197" s="17"/>
      <c r="BY197" s="60"/>
      <c r="BZ197" s="17"/>
      <c r="CA197" s="17"/>
      <c r="CB197" s="60"/>
      <c r="CC197" s="60"/>
      <c r="CD197" s="17"/>
      <c r="CE197" s="60"/>
      <c r="CF197" s="18"/>
      <c r="CG197" s="60"/>
      <c r="CH197" s="17"/>
    </row>
    <row r="198" spans="1:86" s="29" customFormat="1" x14ac:dyDescent="0.35">
      <c r="A198" s="17"/>
      <c r="B198" s="26"/>
      <c r="C198" s="60"/>
      <c r="D198" s="27"/>
      <c r="E198" s="60"/>
      <c r="F198" s="27"/>
      <c r="G198" s="80"/>
      <c r="H198" s="18"/>
      <c r="I198" s="80"/>
      <c r="J198" s="17"/>
      <c r="K198" s="80"/>
      <c r="L198" s="18"/>
      <c r="M198" s="80"/>
      <c r="N198" s="17"/>
      <c r="O198" s="80"/>
      <c r="P198" s="18"/>
      <c r="Q198" s="80"/>
      <c r="R198" s="17"/>
      <c r="S198" s="80"/>
      <c r="T198" s="18"/>
      <c r="U198" s="60"/>
      <c r="V198" s="17"/>
      <c r="W198" s="80"/>
      <c r="X198" s="18"/>
      <c r="Y198" s="80"/>
      <c r="Z198" s="17"/>
      <c r="AA198" s="34"/>
      <c r="AB198" s="60"/>
      <c r="AC198" s="17"/>
      <c r="AD198" s="60"/>
      <c r="AE198" s="17"/>
      <c r="AF198" s="17"/>
      <c r="AG198" s="60"/>
      <c r="AH198" s="18"/>
      <c r="AI198" s="60"/>
      <c r="AJ198" s="17"/>
      <c r="AK198" s="17"/>
      <c r="AL198" s="80"/>
      <c r="AM198" s="18"/>
      <c r="AN198" s="80"/>
      <c r="AO198" s="17"/>
      <c r="AP198" s="17"/>
      <c r="AQ198" s="60"/>
      <c r="AR198" s="18"/>
      <c r="AS198" s="60"/>
      <c r="AT198" s="17"/>
      <c r="AU198" s="60"/>
      <c r="AV198" s="18"/>
      <c r="AW198" s="60"/>
      <c r="AX198" s="17"/>
      <c r="AY198" s="17"/>
      <c r="AZ198" s="60"/>
      <c r="BA198" s="18"/>
      <c r="BB198" s="17"/>
      <c r="BC198" s="17"/>
      <c r="BD198" s="17"/>
      <c r="BE198" s="60"/>
      <c r="BF198" s="18"/>
      <c r="BG198" s="60"/>
      <c r="BH198" s="17"/>
      <c r="BI198" s="60"/>
      <c r="BJ198" s="18"/>
      <c r="BK198" s="60"/>
      <c r="BL198" s="17"/>
      <c r="BM198" s="60"/>
      <c r="BN198" s="17"/>
      <c r="BO198" s="80"/>
      <c r="BP198" s="17"/>
      <c r="BQ198" s="20"/>
      <c r="BR198" s="60"/>
      <c r="BS198" s="18"/>
      <c r="BT198" s="60"/>
      <c r="BU198" s="17"/>
      <c r="BV198" s="17"/>
      <c r="BW198" s="60"/>
      <c r="BX198" s="17"/>
      <c r="BY198" s="60"/>
      <c r="BZ198" s="17"/>
      <c r="CA198" s="17"/>
      <c r="CB198" s="60"/>
      <c r="CC198" s="60"/>
      <c r="CD198" s="17"/>
      <c r="CE198" s="60"/>
      <c r="CF198" s="18"/>
      <c r="CG198" s="60"/>
      <c r="CH198" s="17"/>
    </row>
    <row r="199" spans="1:86" s="29" customFormat="1" x14ac:dyDescent="0.35">
      <c r="A199" s="17"/>
      <c r="B199" s="26"/>
      <c r="C199" s="60"/>
      <c r="D199" s="27"/>
      <c r="E199" s="60"/>
      <c r="F199" s="27"/>
      <c r="G199" s="80"/>
      <c r="H199" s="18"/>
      <c r="I199" s="80"/>
      <c r="J199" s="17"/>
      <c r="K199" s="80"/>
      <c r="L199" s="18"/>
      <c r="M199" s="80"/>
      <c r="N199" s="17"/>
      <c r="O199" s="80"/>
      <c r="P199" s="18"/>
      <c r="Q199" s="80"/>
      <c r="R199" s="17"/>
      <c r="S199" s="80"/>
      <c r="T199" s="18"/>
      <c r="U199" s="60"/>
      <c r="V199" s="17"/>
      <c r="W199" s="80"/>
      <c r="X199" s="18"/>
      <c r="Y199" s="80"/>
      <c r="Z199" s="17"/>
      <c r="AA199" s="34"/>
      <c r="AB199" s="60"/>
      <c r="AC199" s="17"/>
      <c r="AD199" s="60"/>
      <c r="AE199" s="17"/>
      <c r="AF199" s="17"/>
      <c r="AG199" s="60"/>
      <c r="AH199" s="18"/>
      <c r="AI199" s="60"/>
      <c r="AJ199" s="17"/>
      <c r="AK199" s="17"/>
      <c r="AL199" s="80"/>
      <c r="AM199" s="18"/>
      <c r="AN199" s="80"/>
      <c r="AO199" s="17"/>
      <c r="AP199" s="17"/>
      <c r="AQ199" s="60"/>
      <c r="AR199" s="18"/>
      <c r="AS199" s="60"/>
      <c r="AT199" s="17"/>
      <c r="AU199" s="60"/>
      <c r="AV199" s="18"/>
      <c r="AW199" s="60"/>
      <c r="AX199" s="17"/>
      <c r="AY199" s="17"/>
      <c r="AZ199" s="60"/>
      <c r="BA199" s="18"/>
      <c r="BB199" s="17"/>
      <c r="BC199" s="17"/>
      <c r="BD199" s="17"/>
      <c r="BE199" s="60"/>
      <c r="BF199" s="18"/>
      <c r="BG199" s="60"/>
      <c r="BH199" s="17"/>
      <c r="BI199" s="60"/>
      <c r="BJ199" s="18"/>
      <c r="BK199" s="60"/>
      <c r="BL199" s="17"/>
      <c r="BM199" s="60"/>
      <c r="BN199" s="17"/>
      <c r="BO199" s="80"/>
      <c r="BP199" s="17"/>
      <c r="BQ199" s="20"/>
      <c r="BR199" s="60"/>
      <c r="BS199" s="18"/>
      <c r="BT199" s="60"/>
      <c r="BU199" s="17"/>
      <c r="BV199" s="17"/>
      <c r="BW199" s="60"/>
      <c r="BX199" s="17"/>
      <c r="BY199" s="60"/>
      <c r="BZ199" s="17"/>
      <c r="CA199" s="17"/>
      <c r="CB199" s="60"/>
      <c r="CC199" s="60"/>
      <c r="CD199" s="17"/>
      <c r="CE199" s="60"/>
      <c r="CF199" s="18"/>
      <c r="CG199" s="60"/>
      <c r="CH199" s="17"/>
    </row>
    <row r="200" spans="1:86" s="29" customFormat="1" x14ac:dyDescent="0.35">
      <c r="A200" s="17"/>
      <c r="B200" s="26"/>
      <c r="C200" s="60"/>
      <c r="D200" s="27"/>
      <c r="E200" s="60"/>
      <c r="F200" s="27"/>
      <c r="G200" s="80"/>
      <c r="H200" s="18"/>
      <c r="I200" s="80"/>
      <c r="J200" s="17"/>
      <c r="K200" s="80"/>
      <c r="L200" s="18"/>
      <c r="M200" s="80"/>
      <c r="N200" s="17"/>
      <c r="O200" s="80"/>
      <c r="P200" s="18"/>
      <c r="Q200" s="80"/>
      <c r="R200" s="17"/>
      <c r="S200" s="80"/>
      <c r="T200" s="18"/>
      <c r="U200" s="60"/>
      <c r="V200" s="17"/>
      <c r="W200" s="80"/>
      <c r="X200" s="18"/>
      <c r="Y200" s="80"/>
      <c r="Z200" s="17"/>
      <c r="AA200" s="34"/>
      <c r="AB200" s="60"/>
      <c r="AC200" s="17"/>
      <c r="AD200" s="60"/>
      <c r="AE200" s="17"/>
      <c r="AF200" s="17"/>
      <c r="AG200" s="60"/>
      <c r="AH200" s="18"/>
      <c r="AI200" s="60"/>
      <c r="AJ200" s="17"/>
      <c r="AK200" s="17"/>
      <c r="AL200" s="80"/>
      <c r="AM200" s="18"/>
      <c r="AN200" s="80"/>
      <c r="AO200" s="17"/>
      <c r="AP200" s="17"/>
      <c r="AQ200" s="60"/>
      <c r="AR200" s="18"/>
      <c r="AS200" s="60"/>
      <c r="AT200" s="17"/>
      <c r="AU200" s="60"/>
      <c r="AV200" s="18"/>
      <c r="AW200" s="60"/>
      <c r="AX200" s="17"/>
      <c r="AY200" s="17"/>
      <c r="AZ200" s="60"/>
      <c r="BA200" s="18"/>
      <c r="BB200" s="17"/>
      <c r="BC200" s="17"/>
      <c r="BD200" s="17"/>
      <c r="BE200" s="60"/>
      <c r="BF200" s="18"/>
      <c r="BG200" s="60"/>
      <c r="BH200" s="17"/>
      <c r="BI200" s="60"/>
      <c r="BJ200" s="18"/>
      <c r="BK200" s="60"/>
      <c r="BL200" s="17"/>
      <c r="BM200" s="60"/>
      <c r="BN200" s="17"/>
      <c r="BO200" s="80"/>
      <c r="BP200" s="17"/>
      <c r="BQ200" s="20"/>
      <c r="BR200" s="60"/>
      <c r="BS200" s="18"/>
      <c r="BT200" s="60"/>
      <c r="BU200" s="17"/>
      <c r="BV200" s="17"/>
      <c r="BW200" s="60"/>
      <c r="BX200" s="17"/>
      <c r="BY200" s="60"/>
      <c r="BZ200" s="17"/>
      <c r="CA200" s="17"/>
      <c r="CB200" s="60"/>
      <c r="CC200" s="60"/>
      <c r="CD200" s="17"/>
      <c r="CE200" s="60"/>
      <c r="CF200" s="18"/>
      <c r="CG200" s="60"/>
      <c r="CH200" s="17"/>
    </row>
    <row r="201" spans="1:86" s="29" customFormat="1" x14ac:dyDescent="0.35">
      <c r="A201" s="17"/>
      <c r="B201" s="26"/>
      <c r="C201" s="60"/>
      <c r="D201" s="27"/>
      <c r="E201" s="60"/>
      <c r="F201" s="27"/>
      <c r="G201" s="80"/>
      <c r="H201" s="18"/>
      <c r="I201" s="80"/>
      <c r="J201" s="17"/>
      <c r="K201" s="80"/>
      <c r="L201" s="18"/>
      <c r="M201" s="80"/>
      <c r="N201" s="17"/>
      <c r="O201" s="80"/>
      <c r="P201" s="18"/>
      <c r="Q201" s="80"/>
      <c r="R201" s="17"/>
      <c r="S201" s="80"/>
      <c r="T201" s="18"/>
      <c r="U201" s="60"/>
      <c r="V201" s="17"/>
      <c r="W201" s="80"/>
      <c r="X201" s="18"/>
      <c r="Y201" s="80"/>
      <c r="Z201" s="17"/>
      <c r="AA201" s="34"/>
      <c r="AB201" s="60"/>
      <c r="AC201" s="17"/>
      <c r="AD201" s="60"/>
      <c r="AE201" s="17"/>
      <c r="AF201" s="17"/>
      <c r="AG201" s="60"/>
      <c r="AH201" s="18"/>
      <c r="AI201" s="60"/>
      <c r="AJ201" s="17"/>
      <c r="AK201" s="17"/>
      <c r="AL201" s="80"/>
      <c r="AM201" s="18"/>
      <c r="AN201" s="80"/>
      <c r="AO201" s="17"/>
      <c r="AP201" s="17"/>
      <c r="AQ201" s="60"/>
      <c r="AR201" s="18"/>
      <c r="AS201" s="60"/>
      <c r="AT201" s="17"/>
      <c r="AU201" s="60"/>
      <c r="AV201" s="18"/>
      <c r="AW201" s="60"/>
      <c r="AX201" s="17"/>
      <c r="AY201" s="17"/>
      <c r="AZ201" s="60"/>
      <c r="BA201" s="18"/>
      <c r="BB201" s="17"/>
      <c r="BC201" s="17"/>
      <c r="BD201" s="17"/>
      <c r="BE201" s="60"/>
      <c r="BF201" s="18"/>
      <c r="BG201" s="60"/>
      <c r="BH201" s="17"/>
      <c r="BI201" s="60"/>
      <c r="BJ201" s="18"/>
      <c r="BK201" s="60"/>
      <c r="BL201" s="17"/>
      <c r="BM201" s="60"/>
      <c r="BN201" s="17"/>
      <c r="BO201" s="80"/>
      <c r="BP201" s="17"/>
      <c r="BQ201" s="20"/>
      <c r="BR201" s="60"/>
      <c r="BS201" s="18"/>
      <c r="BT201" s="60"/>
      <c r="BU201" s="17"/>
      <c r="BV201" s="17"/>
      <c r="BW201" s="60"/>
      <c r="BX201" s="17"/>
      <c r="BY201" s="60"/>
      <c r="BZ201" s="17"/>
      <c r="CA201" s="17"/>
      <c r="CB201" s="60"/>
      <c r="CC201" s="60"/>
      <c r="CD201" s="17"/>
      <c r="CE201" s="60"/>
      <c r="CF201" s="18"/>
      <c r="CG201" s="60"/>
      <c r="CH201" s="17"/>
    </row>
    <row r="202" spans="1:86" s="29" customFormat="1" x14ac:dyDescent="0.35">
      <c r="A202" s="17"/>
      <c r="B202" s="26"/>
      <c r="C202" s="60"/>
      <c r="D202" s="27"/>
      <c r="E202" s="60"/>
      <c r="F202" s="27"/>
      <c r="G202" s="80"/>
      <c r="H202" s="18"/>
      <c r="I202" s="80"/>
      <c r="J202" s="17"/>
      <c r="K202" s="80"/>
      <c r="L202" s="18"/>
      <c r="M202" s="80"/>
      <c r="N202" s="17"/>
      <c r="O202" s="80"/>
      <c r="P202" s="18"/>
      <c r="Q202" s="80"/>
      <c r="R202" s="17"/>
      <c r="S202" s="80"/>
      <c r="T202" s="18"/>
      <c r="U202" s="60"/>
      <c r="V202" s="17"/>
      <c r="W202" s="80"/>
      <c r="X202" s="18"/>
      <c r="Y202" s="80"/>
      <c r="Z202" s="17"/>
      <c r="AA202" s="34"/>
      <c r="AB202" s="60"/>
      <c r="AC202" s="17"/>
      <c r="AD202" s="60"/>
      <c r="AE202" s="17"/>
      <c r="AF202" s="17"/>
      <c r="AG202" s="60"/>
      <c r="AH202" s="18"/>
      <c r="AI202" s="60"/>
      <c r="AJ202" s="17"/>
      <c r="AK202" s="17"/>
      <c r="AL202" s="80"/>
      <c r="AM202" s="18"/>
      <c r="AN202" s="80"/>
      <c r="AO202" s="17"/>
      <c r="AP202" s="17"/>
      <c r="AQ202" s="60"/>
      <c r="AR202" s="18"/>
      <c r="AS202" s="60"/>
      <c r="AT202" s="17"/>
      <c r="AU202" s="60"/>
      <c r="AV202" s="18"/>
      <c r="AW202" s="60"/>
      <c r="AX202" s="17"/>
      <c r="AY202" s="17"/>
      <c r="AZ202" s="60"/>
      <c r="BA202" s="18"/>
      <c r="BB202" s="17"/>
      <c r="BC202" s="17"/>
      <c r="BD202" s="17"/>
      <c r="BE202" s="60"/>
      <c r="BF202" s="18"/>
      <c r="BG202" s="60"/>
      <c r="BH202" s="17"/>
      <c r="BI202" s="60"/>
      <c r="BJ202" s="18"/>
      <c r="BK202" s="60"/>
      <c r="BL202" s="17"/>
      <c r="BM202" s="60"/>
      <c r="BN202" s="17"/>
      <c r="BO202" s="80"/>
      <c r="BP202" s="17"/>
      <c r="BQ202" s="20"/>
      <c r="BR202" s="60"/>
      <c r="BS202" s="18"/>
      <c r="BT202" s="60"/>
      <c r="BU202" s="17"/>
      <c r="BV202" s="17"/>
      <c r="BW202" s="60"/>
      <c r="BX202" s="17"/>
      <c r="BY202" s="60"/>
      <c r="BZ202" s="17"/>
      <c r="CA202" s="17"/>
      <c r="CB202" s="60"/>
      <c r="CC202" s="60"/>
      <c r="CD202" s="17"/>
      <c r="CE202" s="60"/>
      <c r="CF202" s="18"/>
      <c r="CG202" s="60"/>
      <c r="CH202" s="17"/>
    </row>
    <row r="203" spans="1:86" s="29" customFormat="1" x14ac:dyDescent="0.35">
      <c r="A203" s="17"/>
      <c r="B203" s="26"/>
      <c r="C203" s="60"/>
      <c r="D203" s="27"/>
      <c r="E203" s="60"/>
      <c r="F203" s="27"/>
      <c r="G203" s="80"/>
      <c r="H203" s="18"/>
      <c r="I203" s="80"/>
      <c r="J203" s="17"/>
      <c r="K203" s="80"/>
      <c r="L203" s="18"/>
      <c r="M203" s="80"/>
      <c r="N203" s="17"/>
      <c r="O203" s="80"/>
      <c r="P203" s="18"/>
      <c r="Q203" s="80"/>
      <c r="R203" s="17"/>
      <c r="S203" s="80"/>
      <c r="T203" s="18"/>
      <c r="U203" s="60"/>
      <c r="V203" s="17"/>
      <c r="W203" s="80"/>
      <c r="X203" s="18"/>
      <c r="Y203" s="80"/>
      <c r="Z203" s="17"/>
      <c r="AA203" s="34"/>
      <c r="AB203" s="60"/>
      <c r="AC203" s="17"/>
      <c r="AD203" s="60"/>
      <c r="AE203" s="17"/>
      <c r="AF203" s="17"/>
      <c r="AG203" s="60"/>
      <c r="AH203" s="18"/>
      <c r="AI203" s="60"/>
      <c r="AJ203" s="17"/>
      <c r="AK203" s="17"/>
      <c r="AL203" s="80"/>
      <c r="AM203" s="18"/>
      <c r="AN203" s="80"/>
      <c r="AO203" s="17"/>
      <c r="AP203" s="17"/>
      <c r="AQ203" s="60"/>
      <c r="AR203" s="18"/>
      <c r="AS203" s="60"/>
      <c r="AT203" s="17"/>
      <c r="AU203" s="60"/>
      <c r="AV203" s="18"/>
      <c r="AW203" s="60"/>
      <c r="AX203" s="17"/>
      <c r="AY203" s="17"/>
      <c r="AZ203" s="60"/>
      <c r="BA203" s="18"/>
      <c r="BB203" s="17"/>
      <c r="BC203" s="17"/>
      <c r="BD203" s="17"/>
      <c r="BE203" s="60"/>
      <c r="BF203" s="18"/>
      <c r="BG203" s="60"/>
      <c r="BH203" s="17"/>
      <c r="BI203" s="60"/>
      <c r="BJ203" s="18"/>
      <c r="BK203" s="60"/>
      <c r="BL203" s="17"/>
      <c r="BM203" s="60"/>
      <c r="BN203" s="17"/>
      <c r="BO203" s="80"/>
      <c r="BP203" s="17"/>
      <c r="BQ203" s="20"/>
      <c r="BR203" s="60"/>
      <c r="BS203" s="18"/>
      <c r="BT203" s="60"/>
      <c r="BU203" s="17"/>
      <c r="BV203" s="17"/>
      <c r="BW203" s="60"/>
      <c r="BX203" s="17"/>
      <c r="BY203" s="60"/>
      <c r="BZ203" s="17"/>
      <c r="CA203" s="17"/>
      <c r="CB203" s="60"/>
      <c r="CC203" s="60"/>
      <c r="CD203" s="17"/>
      <c r="CE203" s="60"/>
      <c r="CF203" s="18"/>
      <c r="CG203" s="60"/>
      <c r="CH203" s="17"/>
    </row>
    <row r="204" spans="1:86" s="29" customFormat="1" x14ac:dyDescent="0.35">
      <c r="A204" s="17"/>
      <c r="B204" s="26"/>
      <c r="C204" s="60"/>
      <c r="D204" s="27"/>
      <c r="E204" s="60"/>
      <c r="F204" s="27"/>
      <c r="G204" s="80"/>
      <c r="H204" s="18"/>
      <c r="I204" s="80"/>
      <c r="J204" s="17"/>
      <c r="K204" s="80"/>
      <c r="L204" s="18"/>
      <c r="M204" s="80"/>
      <c r="N204" s="17"/>
      <c r="O204" s="80"/>
      <c r="P204" s="18"/>
      <c r="Q204" s="80"/>
      <c r="R204" s="17"/>
      <c r="S204" s="80"/>
      <c r="T204" s="18"/>
      <c r="U204" s="60"/>
      <c r="V204" s="17"/>
      <c r="W204" s="80"/>
      <c r="X204" s="18"/>
      <c r="Y204" s="80"/>
      <c r="Z204" s="17"/>
      <c r="AA204" s="34"/>
      <c r="AB204" s="60"/>
      <c r="AC204" s="17"/>
      <c r="AD204" s="60"/>
      <c r="AE204" s="17"/>
      <c r="AF204" s="17"/>
      <c r="AG204" s="60"/>
      <c r="AH204" s="18"/>
      <c r="AI204" s="60"/>
      <c r="AJ204" s="17"/>
      <c r="AK204" s="17"/>
      <c r="AL204" s="80"/>
      <c r="AM204" s="18"/>
      <c r="AN204" s="80"/>
      <c r="AO204" s="17"/>
      <c r="AP204" s="17"/>
      <c r="AQ204" s="60"/>
      <c r="AR204" s="18"/>
      <c r="AS204" s="60"/>
      <c r="AT204" s="17"/>
      <c r="AU204" s="60"/>
      <c r="AV204" s="18"/>
      <c r="AW204" s="60"/>
      <c r="AX204" s="17"/>
      <c r="AY204" s="17"/>
      <c r="AZ204" s="60"/>
      <c r="BA204" s="18"/>
      <c r="BB204" s="17"/>
      <c r="BC204" s="17"/>
      <c r="BD204" s="17"/>
      <c r="BE204" s="60"/>
      <c r="BF204" s="18"/>
      <c r="BG204" s="60"/>
      <c r="BH204" s="17"/>
      <c r="BI204" s="60"/>
      <c r="BJ204" s="18"/>
      <c r="BK204" s="60"/>
      <c r="BL204" s="17"/>
      <c r="BM204" s="60"/>
      <c r="BN204" s="17"/>
      <c r="BO204" s="80"/>
      <c r="BP204" s="17"/>
      <c r="BQ204" s="20"/>
      <c r="BR204" s="60"/>
      <c r="BS204" s="18"/>
      <c r="BT204" s="60"/>
      <c r="BU204" s="17"/>
      <c r="BV204" s="17"/>
      <c r="BW204" s="60"/>
      <c r="BX204" s="17"/>
      <c r="BY204" s="60"/>
      <c r="BZ204" s="17"/>
      <c r="CA204" s="17"/>
      <c r="CB204" s="60"/>
      <c r="CC204" s="60"/>
      <c r="CD204" s="17"/>
      <c r="CE204" s="60"/>
      <c r="CF204" s="18"/>
      <c r="CG204" s="60"/>
      <c r="CH204" s="17"/>
    </row>
    <row r="205" spans="1:86" s="29" customFormat="1" x14ac:dyDescent="0.35">
      <c r="A205" s="17"/>
      <c r="B205" s="26"/>
      <c r="C205" s="60"/>
      <c r="D205" s="27"/>
      <c r="E205" s="60"/>
      <c r="F205" s="27"/>
      <c r="G205" s="80"/>
      <c r="H205" s="18"/>
      <c r="I205" s="80"/>
      <c r="J205" s="17"/>
      <c r="K205" s="80"/>
      <c r="L205" s="18"/>
      <c r="M205" s="80"/>
      <c r="N205" s="17"/>
      <c r="O205" s="80"/>
      <c r="P205" s="18"/>
      <c r="Q205" s="80"/>
      <c r="R205" s="17"/>
      <c r="S205" s="80"/>
      <c r="T205" s="18"/>
      <c r="U205" s="60"/>
      <c r="V205" s="17"/>
      <c r="W205" s="80"/>
      <c r="X205" s="18"/>
      <c r="Y205" s="80"/>
      <c r="Z205" s="17"/>
      <c r="AA205" s="34"/>
      <c r="AB205" s="60"/>
      <c r="AC205" s="17"/>
      <c r="AD205" s="60"/>
      <c r="AE205" s="17"/>
      <c r="AF205" s="17"/>
      <c r="AG205" s="60"/>
      <c r="AH205" s="18"/>
      <c r="AI205" s="60"/>
      <c r="AJ205" s="17"/>
      <c r="AK205" s="17"/>
      <c r="AL205" s="80"/>
      <c r="AM205" s="18"/>
      <c r="AN205" s="80"/>
      <c r="AO205" s="17"/>
      <c r="AP205" s="17"/>
      <c r="AQ205" s="60"/>
      <c r="AR205" s="18"/>
      <c r="AS205" s="60"/>
      <c r="AT205" s="17"/>
      <c r="AU205" s="60"/>
      <c r="AV205" s="18"/>
      <c r="AW205" s="60"/>
      <c r="AX205" s="17"/>
      <c r="AY205" s="17"/>
      <c r="AZ205" s="60"/>
      <c r="BA205" s="18"/>
      <c r="BB205" s="17"/>
      <c r="BC205" s="17"/>
      <c r="BD205" s="17"/>
      <c r="BE205" s="60"/>
      <c r="BF205" s="18"/>
      <c r="BG205" s="60"/>
      <c r="BH205" s="17"/>
      <c r="BI205" s="60"/>
      <c r="BJ205" s="18"/>
      <c r="BK205" s="60"/>
      <c r="BL205" s="17"/>
      <c r="BM205" s="60"/>
      <c r="BN205" s="17"/>
      <c r="BO205" s="80"/>
      <c r="BP205" s="17"/>
      <c r="BQ205" s="20"/>
      <c r="BR205" s="60"/>
      <c r="BS205" s="18"/>
      <c r="BT205" s="60"/>
      <c r="BU205" s="17"/>
      <c r="BV205" s="17"/>
      <c r="BW205" s="60"/>
      <c r="BX205" s="17"/>
      <c r="BY205" s="60"/>
      <c r="BZ205" s="17"/>
      <c r="CA205" s="17"/>
      <c r="CB205" s="60"/>
      <c r="CC205" s="60"/>
      <c r="CD205" s="17"/>
      <c r="CE205" s="60"/>
      <c r="CF205" s="18"/>
      <c r="CG205" s="60"/>
      <c r="CH205" s="17"/>
    </row>
  </sheetData>
  <conditionalFormatting sqref="B85">
    <cfRule type="duplicateValues" dxfId="16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7F26-D300-4DBC-81FA-9C04AF93FFBD}">
  <dimension ref="A1:XDE205"/>
  <sheetViews>
    <sheetView showGridLines="0" zoomScale="90" zoomScaleNormal="90" workbookViewId="0">
      <pane xSplit="2" ySplit="21" topLeftCell="AK46" activePane="bottomRight" state="frozen"/>
      <selection pane="topRight" activeCell="C1" sqref="C1"/>
      <selection pane="bottomLeft" activeCell="A22" sqref="A22"/>
      <selection pane="bottomRight" activeCell="AS55" sqref="AS55"/>
    </sheetView>
  </sheetViews>
  <sheetFormatPr defaultColWidth="9.1796875" defaultRowHeight="14.5" x14ac:dyDescent="0.35"/>
  <cols>
    <col min="1" max="1" width="3.81640625" style="17" bestFit="1" customWidth="1"/>
    <col min="2" max="2" width="39.54296875" style="26" customWidth="1"/>
    <col min="3" max="3" width="15.54296875" style="60" customWidth="1"/>
    <col min="4" max="4" width="10.6328125" style="27" customWidth="1"/>
    <col min="5" max="5" width="11.54296875" style="60" customWidth="1"/>
    <col min="6" max="6" width="10.6328125" style="27" customWidth="1"/>
    <col min="7" max="7" width="11.81640625" style="80" bestFit="1" customWidth="1"/>
    <col min="8" max="8" width="10.6328125" style="18" customWidth="1"/>
    <col min="9" max="9" width="12.08984375" style="80" customWidth="1"/>
    <col min="10" max="10" width="10.6328125" style="17" customWidth="1"/>
    <col min="11" max="11" width="14.08984375" style="80" bestFit="1" customWidth="1"/>
    <col min="12" max="12" width="10.6328125" style="18" customWidth="1"/>
    <col min="13" max="13" width="14.08984375" style="80" bestFit="1" customWidth="1"/>
    <col min="14" max="14" width="10.6328125" style="17" customWidth="1"/>
    <col min="15" max="15" width="11.81640625" style="80" bestFit="1" customWidth="1"/>
    <col min="16" max="16" width="10.6328125" style="18" customWidth="1"/>
    <col min="17" max="17" width="10.6328125" style="80" customWidth="1"/>
    <col min="18" max="18" width="10.6328125" style="17" customWidth="1"/>
    <col min="19" max="19" width="10.6328125" style="80" customWidth="1"/>
    <col min="20" max="20" width="10.6328125" style="18" customWidth="1"/>
    <col min="21" max="21" width="10.6328125" style="60" customWidth="1"/>
    <col min="22" max="22" width="10.6328125" style="17" customWidth="1"/>
    <col min="23" max="23" width="10.6328125" style="80" customWidth="1"/>
    <col min="24" max="24" width="10.6328125" style="18" customWidth="1"/>
    <col min="25" max="25" width="10.6328125" style="80" customWidth="1"/>
    <col min="26" max="26" width="10.6328125" style="17" customWidth="1"/>
    <col min="27" max="27" width="12.453125" style="29" customWidth="1"/>
    <col min="28" max="28" width="11.6328125" style="60" customWidth="1"/>
    <col min="29" max="29" width="10.6328125" style="17" customWidth="1"/>
    <col min="30" max="30" width="11.54296875" style="60" bestFit="1" customWidth="1"/>
    <col min="31" max="32" width="10.6328125" style="17" customWidth="1"/>
    <col min="33" max="33" width="10.6328125" style="60" customWidth="1"/>
    <col min="34" max="34" width="10.6328125" style="18" customWidth="1"/>
    <col min="35" max="35" width="10.6328125" style="60" customWidth="1"/>
    <col min="36" max="37" width="10.6328125" style="17" customWidth="1"/>
    <col min="38" max="38" width="15.81640625" style="80" customWidth="1"/>
    <col min="39" max="39" width="10.6328125" style="18" customWidth="1"/>
    <col min="40" max="40" width="11.90625" style="80" customWidth="1"/>
    <col min="41" max="42" width="10.6328125" style="17" customWidth="1"/>
    <col min="43" max="43" width="12" style="60" customWidth="1"/>
    <col min="44" max="44" width="10.6328125" style="18" customWidth="1"/>
    <col min="45" max="45" width="11.1796875" style="60" bestFit="1" customWidth="1"/>
    <col min="46" max="46" width="10.6328125" style="17" customWidth="1"/>
    <col min="47" max="47" width="10.6328125" style="60" customWidth="1"/>
    <col min="48" max="48" width="10.6328125" style="18" customWidth="1"/>
    <col min="49" max="49" width="10.6328125" style="60" customWidth="1"/>
    <col min="50" max="51" width="10.6328125" style="17" customWidth="1"/>
    <col min="52" max="52" width="10.6328125" style="60" customWidth="1"/>
    <col min="53" max="53" width="10.6328125" style="18" customWidth="1"/>
    <col min="54" max="56" width="10.6328125" style="17" customWidth="1"/>
    <col min="57" max="57" width="10.6328125" style="60" customWidth="1"/>
    <col min="58" max="58" width="10.6328125" style="18" customWidth="1"/>
    <col min="59" max="59" width="10.6328125" style="60" customWidth="1"/>
    <col min="60" max="60" width="10.6328125" style="17" customWidth="1"/>
    <col min="61" max="61" width="10.6328125" style="60" customWidth="1"/>
    <col min="62" max="62" width="10.6328125" style="18" customWidth="1"/>
    <col min="63" max="63" width="10.6328125" style="60" customWidth="1"/>
    <col min="64" max="64" width="10.6328125" style="17" customWidth="1"/>
    <col min="65" max="65" width="10.6328125" style="60" customWidth="1"/>
    <col min="66" max="66" width="10.6328125" style="17" customWidth="1"/>
    <col min="67" max="67" width="10.6328125" style="80" customWidth="1"/>
    <col min="68" max="68" width="10.6328125" style="17" customWidth="1"/>
    <col min="69" max="69" width="10.6328125" style="20" customWidth="1"/>
    <col min="70" max="70" width="10.6328125" style="60" customWidth="1"/>
    <col min="71" max="71" width="10.6328125" style="18" customWidth="1"/>
    <col min="72" max="72" width="10.6328125" style="60" customWidth="1"/>
    <col min="73" max="74" width="10.6328125" style="17" customWidth="1"/>
    <col min="75" max="75" width="10.6328125" style="60" customWidth="1"/>
    <col min="76" max="76" width="10.6328125" style="17" customWidth="1"/>
    <col min="77" max="77" width="10.6328125" style="60" customWidth="1"/>
    <col min="78" max="79" width="10.6328125" style="17" customWidth="1"/>
    <col min="80" max="80" width="10.6328125" style="60" customWidth="1"/>
    <col min="81" max="81" width="12.1796875" style="60" customWidth="1"/>
    <col min="82" max="82" width="10.6328125" style="17" customWidth="1"/>
    <col min="83" max="83" width="12" style="60" customWidth="1"/>
    <col min="84" max="84" width="10.6328125" style="18" customWidth="1"/>
    <col min="85" max="85" width="12.08984375" style="60" customWidth="1"/>
    <col min="86" max="86" width="10.6328125" style="17" customWidth="1"/>
    <col min="87" max="194" width="9.1796875" style="17"/>
    <col min="195" max="195" width="3.81640625" style="17" bestFit="1" customWidth="1"/>
    <col min="196" max="196" width="39.54296875" style="17" customWidth="1"/>
    <col min="197" max="197" width="16" style="17" customWidth="1"/>
    <col min="198" max="198" width="13" style="17" customWidth="1"/>
    <col min="199" max="199" width="16" style="17" customWidth="1"/>
    <col min="200" max="200" width="13" style="17" customWidth="1"/>
    <col min="201" max="201" width="14.1796875" style="17" customWidth="1"/>
    <col min="202" max="202" width="13" style="17" customWidth="1"/>
    <col min="203" max="203" width="14.90625" style="17" customWidth="1"/>
    <col min="204" max="204" width="13" style="17" customWidth="1"/>
    <col min="205" max="205" width="15.54296875" style="17" customWidth="1"/>
    <col min="206" max="206" width="13" style="17" customWidth="1"/>
    <col min="207" max="207" width="14.1796875" style="17" customWidth="1"/>
    <col min="208" max="208" width="13" style="17" customWidth="1"/>
    <col min="209" max="209" width="14.1796875" style="17" customWidth="1"/>
    <col min="210" max="210" width="13" style="17" customWidth="1"/>
    <col min="211" max="211" width="14.90625" style="17" customWidth="1"/>
    <col min="212" max="212" width="13" style="17" customWidth="1"/>
    <col min="213" max="213" width="15.54296875" style="17" customWidth="1"/>
    <col min="214" max="214" width="13" style="17" customWidth="1"/>
    <col min="215" max="215" width="14.1796875" style="17" customWidth="1"/>
    <col min="216" max="216" width="13" style="17" customWidth="1"/>
    <col min="217" max="217" width="15.54296875" style="17" customWidth="1"/>
    <col min="218" max="218" width="15.81640625" style="17" customWidth="1"/>
    <col min="219" max="219" width="14.1796875" style="17" customWidth="1"/>
    <col min="220" max="220" width="15.81640625" style="17" customWidth="1"/>
    <col min="221" max="221" width="15.54296875" style="17" customWidth="1"/>
    <col min="222" max="222" width="13" style="17" customWidth="1"/>
    <col min="223" max="223" width="14.1796875" style="17" customWidth="1"/>
    <col min="224" max="224" width="15.81640625" style="17" customWidth="1"/>
    <col min="225" max="225" width="16.453125" style="17" customWidth="1"/>
    <col min="226" max="226" width="15.54296875" style="17" customWidth="1"/>
    <col min="227" max="227" width="13" style="17" customWidth="1"/>
    <col min="228" max="228" width="16" style="17" customWidth="1"/>
    <col min="229" max="229" width="13" style="17" customWidth="1"/>
    <col min="230" max="230" width="11.08984375" style="17" customWidth="1"/>
    <col min="231" max="231" width="15.54296875" style="17" customWidth="1"/>
    <col min="232" max="232" width="13" style="17" customWidth="1"/>
    <col min="233" max="233" width="14.1796875" style="17" customWidth="1"/>
    <col min="234" max="234" width="15.81640625" style="17" customWidth="1"/>
    <col min="235" max="235" width="15.54296875" style="17" customWidth="1"/>
    <col min="236" max="236" width="13" style="17" customWidth="1"/>
    <col min="237" max="237" width="14.1796875" style="17" customWidth="1"/>
    <col min="238" max="238" width="15.81640625" style="17" customWidth="1"/>
    <col min="239" max="239" width="15.54296875" style="17" customWidth="1"/>
    <col min="240" max="240" width="13" style="17" customWidth="1"/>
    <col min="241" max="241" width="14.1796875" style="17" customWidth="1"/>
    <col min="242" max="242" width="15.81640625" style="17" customWidth="1"/>
    <col min="243" max="243" width="9.1796875" style="17"/>
    <col min="244" max="244" width="15.54296875" style="17" customWidth="1"/>
    <col min="245" max="245" width="13" style="17" customWidth="1"/>
    <col min="246" max="246" width="14.1796875" style="17" customWidth="1"/>
    <col min="247" max="247" width="15.81640625" style="17" customWidth="1"/>
    <col min="248" max="248" width="9.1796875" style="17"/>
    <col min="249" max="249" width="16" style="17" customWidth="1"/>
    <col min="250" max="250" width="13" style="17" customWidth="1"/>
    <col min="251" max="251" width="14.1796875" style="17" customWidth="1"/>
    <col min="252" max="252" width="13" style="17" customWidth="1"/>
    <col min="253" max="253" width="14.1796875" style="17" customWidth="1"/>
    <col min="254" max="254" width="13" style="17" customWidth="1"/>
    <col min="255" max="255" width="14.1796875" style="17" customWidth="1"/>
    <col min="256" max="256" width="13" style="17" customWidth="1"/>
    <col min="257" max="257" width="14.1796875" style="17" customWidth="1"/>
    <col min="258" max="258" width="13" style="17" customWidth="1"/>
    <col min="259" max="259" width="14.1796875" style="17" customWidth="1"/>
    <col min="260" max="261" width="13" style="17" customWidth="1"/>
    <col min="262" max="262" width="14.90625" style="17" bestFit="1" customWidth="1"/>
    <col min="263" max="263" width="13" style="17" customWidth="1"/>
    <col min="264" max="264" width="14.1796875" style="17" customWidth="1"/>
    <col min="265" max="265" width="13" style="17" customWidth="1"/>
    <col min="266" max="266" width="8.81640625" style="17" customWidth="1"/>
    <col min="267" max="267" width="14.1796875" style="17" customWidth="1"/>
    <col min="268" max="268" width="13" style="17" customWidth="1"/>
    <col min="269" max="269" width="14.1796875" style="17" customWidth="1"/>
    <col min="270" max="270" width="13" style="17" customWidth="1"/>
    <col min="271" max="271" width="14.1796875" style="17" customWidth="1"/>
    <col min="272" max="272" width="13" style="17" customWidth="1"/>
    <col min="273" max="273" width="14.1796875" style="17" customWidth="1"/>
    <col min="274" max="278" width="13" style="17" customWidth="1"/>
    <col min="279" max="279" width="16.81640625" style="17" customWidth="1"/>
    <col min="280" max="280" width="14.1796875" style="17" customWidth="1"/>
    <col min="281" max="281" width="13" style="17" customWidth="1"/>
    <col min="282" max="282" width="14.1796875" style="17" customWidth="1"/>
    <col min="283" max="284" width="13.36328125" style="17" customWidth="1"/>
    <col min="285" max="285" width="15.6328125" style="17" customWidth="1"/>
    <col min="286" max="286" width="14.36328125" style="17" customWidth="1"/>
    <col min="287" max="287" width="16" style="17" bestFit="1" customWidth="1"/>
    <col min="288" max="288" width="14.1796875" style="17" customWidth="1"/>
    <col min="289" max="289" width="13" style="17" customWidth="1"/>
    <col min="290" max="290" width="14.1796875" style="17" customWidth="1"/>
    <col min="291" max="291" width="13.36328125" style="17" customWidth="1"/>
    <col min="292" max="292" width="13.81640625" style="17" bestFit="1" customWidth="1"/>
    <col min="293" max="293" width="14.1796875" style="17" bestFit="1" customWidth="1"/>
    <col min="294" max="294" width="13.81640625" style="17" bestFit="1" customWidth="1"/>
    <col min="295" max="450" width="9.1796875" style="17"/>
    <col min="451" max="451" width="3.81640625" style="17" bestFit="1" customWidth="1"/>
    <col min="452" max="452" width="39.54296875" style="17" customWidth="1"/>
    <col min="453" max="453" width="16" style="17" customWidth="1"/>
    <col min="454" max="454" width="13" style="17" customWidth="1"/>
    <col min="455" max="455" width="16" style="17" customWidth="1"/>
    <col min="456" max="456" width="13" style="17" customWidth="1"/>
    <col min="457" max="457" width="14.1796875" style="17" customWidth="1"/>
    <col min="458" max="458" width="13" style="17" customWidth="1"/>
    <col min="459" max="459" width="14.90625" style="17" customWidth="1"/>
    <col min="460" max="460" width="13" style="17" customWidth="1"/>
    <col min="461" max="461" width="15.54296875" style="17" customWidth="1"/>
    <col min="462" max="462" width="13" style="17" customWidth="1"/>
    <col min="463" max="463" width="14.1796875" style="17" customWidth="1"/>
    <col min="464" max="464" width="13" style="17" customWidth="1"/>
    <col min="465" max="465" width="14.1796875" style="17" customWidth="1"/>
    <col min="466" max="466" width="13" style="17" customWidth="1"/>
    <col min="467" max="467" width="14.90625" style="17" customWidth="1"/>
    <col min="468" max="468" width="13" style="17" customWidth="1"/>
    <col min="469" max="469" width="15.54296875" style="17" customWidth="1"/>
    <col min="470" max="470" width="13" style="17" customWidth="1"/>
    <col min="471" max="471" width="14.1796875" style="17" customWidth="1"/>
    <col min="472" max="472" width="13" style="17" customWidth="1"/>
    <col min="473" max="473" width="15.54296875" style="17" customWidth="1"/>
    <col min="474" max="474" width="15.81640625" style="17" customWidth="1"/>
    <col min="475" max="475" width="14.1796875" style="17" customWidth="1"/>
    <col min="476" max="476" width="15.81640625" style="17" customWidth="1"/>
    <col min="477" max="477" width="15.54296875" style="17" customWidth="1"/>
    <col min="478" max="478" width="13" style="17" customWidth="1"/>
    <col min="479" max="479" width="14.1796875" style="17" customWidth="1"/>
    <col min="480" max="480" width="15.81640625" style="17" customWidth="1"/>
    <col min="481" max="481" width="16.453125" style="17" customWidth="1"/>
    <col min="482" max="482" width="15.54296875" style="17" customWidth="1"/>
    <col min="483" max="483" width="13" style="17" customWidth="1"/>
    <col min="484" max="484" width="16" style="17" customWidth="1"/>
    <col min="485" max="485" width="13" style="17" customWidth="1"/>
    <col min="486" max="486" width="11.08984375" style="17" customWidth="1"/>
    <col min="487" max="487" width="15.54296875" style="17" customWidth="1"/>
    <col min="488" max="488" width="13" style="17" customWidth="1"/>
    <col min="489" max="489" width="14.1796875" style="17" customWidth="1"/>
    <col min="490" max="490" width="15.81640625" style="17" customWidth="1"/>
    <col min="491" max="491" width="15.54296875" style="17" customWidth="1"/>
    <col min="492" max="492" width="13" style="17" customWidth="1"/>
    <col min="493" max="493" width="14.1796875" style="17" customWidth="1"/>
    <col min="494" max="494" width="15.81640625" style="17" customWidth="1"/>
    <col min="495" max="495" width="15.54296875" style="17" customWidth="1"/>
    <col min="496" max="496" width="13" style="17" customWidth="1"/>
    <col min="497" max="497" width="14.1796875" style="17" customWidth="1"/>
    <col min="498" max="498" width="15.81640625" style="17" customWidth="1"/>
    <col min="499" max="499" width="9.1796875" style="17"/>
    <col min="500" max="500" width="15.54296875" style="17" customWidth="1"/>
    <col min="501" max="501" width="13" style="17" customWidth="1"/>
    <col min="502" max="502" width="14.1796875" style="17" customWidth="1"/>
    <col min="503" max="503" width="15.81640625" style="17" customWidth="1"/>
    <col min="504" max="504" width="9.1796875" style="17"/>
    <col min="505" max="505" width="16" style="17" customWidth="1"/>
    <col min="506" max="506" width="13" style="17" customWidth="1"/>
    <col min="507" max="507" width="14.1796875" style="17" customWidth="1"/>
    <col min="508" max="508" width="13" style="17" customWidth="1"/>
    <col min="509" max="509" width="14.1796875" style="17" customWidth="1"/>
    <col min="510" max="510" width="13" style="17" customWidth="1"/>
    <col min="511" max="511" width="14.1796875" style="17" customWidth="1"/>
    <col min="512" max="512" width="13" style="17" customWidth="1"/>
    <col min="513" max="513" width="14.1796875" style="17" customWidth="1"/>
    <col min="514" max="514" width="13" style="17" customWidth="1"/>
    <col min="515" max="515" width="14.1796875" style="17" customWidth="1"/>
    <col min="516" max="517" width="13" style="17" customWidth="1"/>
    <col min="518" max="518" width="14.90625" style="17" bestFit="1" customWidth="1"/>
    <col min="519" max="519" width="13" style="17" customWidth="1"/>
    <col min="520" max="520" width="14.1796875" style="17" customWidth="1"/>
    <col min="521" max="521" width="13" style="17" customWidth="1"/>
    <col min="522" max="522" width="8.81640625" style="17" customWidth="1"/>
    <col min="523" max="523" width="14.1796875" style="17" customWidth="1"/>
    <col min="524" max="524" width="13" style="17" customWidth="1"/>
    <col min="525" max="525" width="14.1796875" style="17" customWidth="1"/>
    <col min="526" max="526" width="13" style="17" customWidth="1"/>
    <col min="527" max="527" width="14.1796875" style="17" customWidth="1"/>
    <col min="528" max="528" width="13" style="17" customWidth="1"/>
    <col min="529" max="529" width="14.1796875" style="17" customWidth="1"/>
    <col min="530" max="534" width="13" style="17" customWidth="1"/>
    <col min="535" max="535" width="16.81640625" style="17" customWidth="1"/>
    <col min="536" max="536" width="14.1796875" style="17" customWidth="1"/>
    <col min="537" max="537" width="13" style="17" customWidth="1"/>
    <col min="538" max="538" width="14.1796875" style="17" customWidth="1"/>
    <col min="539" max="540" width="13.36328125" style="17" customWidth="1"/>
    <col min="541" max="541" width="15.6328125" style="17" customWidth="1"/>
    <col min="542" max="542" width="14.36328125" style="17" customWidth="1"/>
    <col min="543" max="543" width="16" style="17" bestFit="1" customWidth="1"/>
    <col min="544" max="544" width="14.1796875" style="17" customWidth="1"/>
    <col min="545" max="545" width="13" style="17" customWidth="1"/>
    <col min="546" max="546" width="14.1796875" style="17" customWidth="1"/>
    <col min="547" max="547" width="13.36328125" style="17" customWidth="1"/>
    <col min="548" max="548" width="13.81640625" style="17" bestFit="1" customWidth="1"/>
    <col min="549" max="549" width="14.1796875" style="17" bestFit="1" customWidth="1"/>
    <col min="550" max="550" width="13.81640625" style="17" bestFit="1" customWidth="1"/>
    <col min="551" max="706" width="9.1796875" style="17"/>
    <col min="707" max="707" width="3.81640625" style="17" bestFit="1" customWidth="1"/>
    <col min="708" max="708" width="39.54296875" style="17" customWidth="1"/>
    <col min="709" max="709" width="16" style="17" customWidth="1"/>
    <col min="710" max="710" width="13" style="17" customWidth="1"/>
    <col min="711" max="711" width="16" style="17" customWidth="1"/>
    <col min="712" max="712" width="13" style="17" customWidth="1"/>
    <col min="713" max="713" width="14.1796875" style="17" customWidth="1"/>
    <col min="714" max="714" width="13" style="17" customWidth="1"/>
    <col min="715" max="715" width="14.90625" style="17" customWidth="1"/>
    <col min="716" max="716" width="13" style="17" customWidth="1"/>
    <col min="717" max="717" width="15.54296875" style="17" customWidth="1"/>
    <col min="718" max="718" width="13" style="17" customWidth="1"/>
    <col min="719" max="719" width="14.1796875" style="17" customWidth="1"/>
    <col min="720" max="720" width="13" style="17" customWidth="1"/>
    <col min="721" max="721" width="14.1796875" style="17" customWidth="1"/>
    <col min="722" max="722" width="13" style="17" customWidth="1"/>
    <col min="723" max="723" width="14.90625" style="17" customWidth="1"/>
    <col min="724" max="724" width="13" style="17" customWidth="1"/>
    <col min="725" max="725" width="15.54296875" style="17" customWidth="1"/>
    <col min="726" max="726" width="13" style="17" customWidth="1"/>
    <col min="727" max="727" width="14.1796875" style="17" customWidth="1"/>
    <col min="728" max="728" width="13" style="17" customWidth="1"/>
    <col min="729" max="729" width="15.54296875" style="17" customWidth="1"/>
    <col min="730" max="730" width="15.81640625" style="17" customWidth="1"/>
    <col min="731" max="731" width="14.1796875" style="17" customWidth="1"/>
    <col min="732" max="732" width="15.81640625" style="17" customWidth="1"/>
    <col min="733" max="733" width="15.54296875" style="17" customWidth="1"/>
    <col min="734" max="734" width="13" style="17" customWidth="1"/>
    <col min="735" max="735" width="14.1796875" style="17" customWidth="1"/>
    <col min="736" max="736" width="15.81640625" style="17" customWidth="1"/>
    <col min="737" max="737" width="16.453125" style="17" customWidth="1"/>
    <col min="738" max="738" width="15.54296875" style="17" customWidth="1"/>
    <col min="739" max="739" width="13" style="17" customWidth="1"/>
    <col min="740" max="740" width="16" style="17" customWidth="1"/>
    <col min="741" max="741" width="13" style="17" customWidth="1"/>
    <col min="742" max="742" width="11.08984375" style="17" customWidth="1"/>
    <col min="743" max="743" width="15.54296875" style="17" customWidth="1"/>
    <col min="744" max="744" width="13" style="17" customWidth="1"/>
    <col min="745" max="745" width="14.1796875" style="17" customWidth="1"/>
    <col min="746" max="746" width="15.81640625" style="17" customWidth="1"/>
    <col min="747" max="747" width="15.54296875" style="17" customWidth="1"/>
    <col min="748" max="748" width="13" style="17" customWidth="1"/>
    <col min="749" max="749" width="14.1796875" style="17" customWidth="1"/>
    <col min="750" max="750" width="15.81640625" style="17" customWidth="1"/>
    <col min="751" max="751" width="15.54296875" style="17" customWidth="1"/>
    <col min="752" max="752" width="13" style="17" customWidth="1"/>
    <col min="753" max="753" width="14.1796875" style="17" customWidth="1"/>
    <col min="754" max="754" width="15.81640625" style="17" customWidth="1"/>
    <col min="755" max="755" width="9.1796875" style="17"/>
    <col min="756" max="756" width="15.54296875" style="17" customWidth="1"/>
    <col min="757" max="757" width="13" style="17" customWidth="1"/>
    <col min="758" max="758" width="14.1796875" style="17" customWidth="1"/>
    <col min="759" max="759" width="15.81640625" style="17" customWidth="1"/>
    <col min="760" max="760" width="9.1796875" style="17"/>
    <col min="761" max="761" width="16" style="17" customWidth="1"/>
    <col min="762" max="762" width="13" style="17" customWidth="1"/>
    <col min="763" max="763" width="14.1796875" style="17" customWidth="1"/>
    <col min="764" max="764" width="13" style="17" customWidth="1"/>
    <col min="765" max="765" width="14.1796875" style="17" customWidth="1"/>
    <col min="766" max="766" width="13" style="17" customWidth="1"/>
    <col min="767" max="767" width="14.1796875" style="17" customWidth="1"/>
    <col min="768" max="768" width="13" style="17" customWidth="1"/>
    <col min="769" max="769" width="14.1796875" style="17" customWidth="1"/>
    <col min="770" max="770" width="13" style="17" customWidth="1"/>
    <col min="771" max="771" width="14.1796875" style="17" customWidth="1"/>
    <col min="772" max="773" width="13" style="17" customWidth="1"/>
    <col min="774" max="774" width="14.90625" style="17" bestFit="1" customWidth="1"/>
    <col min="775" max="775" width="13" style="17" customWidth="1"/>
    <col min="776" max="776" width="14.1796875" style="17" customWidth="1"/>
    <col min="777" max="777" width="13" style="17" customWidth="1"/>
    <col min="778" max="778" width="8.81640625" style="17" customWidth="1"/>
    <col min="779" max="779" width="14.1796875" style="17" customWidth="1"/>
    <col min="780" max="780" width="13" style="17" customWidth="1"/>
    <col min="781" max="781" width="14.1796875" style="17" customWidth="1"/>
    <col min="782" max="782" width="13" style="17" customWidth="1"/>
    <col min="783" max="783" width="14.1796875" style="17" customWidth="1"/>
    <col min="784" max="784" width="13" style="17" customWidth="1"/>
    <col min="785" max="785" width="14.1796875" style="17" customWidth="1"/>
    <col min="786" max="790" width="13" style="17" customWidth="1"/>
    <col min="791" max="791" width="16.81640625" style="17" customWidth="1"/>
    <col min="792" max="792" width="14.1796875" style="17" customWidth="1"/>
    <col min="793" max="793" width="13" style="17" customWidth="1"/>
    <col min="794" max="794" width="14.1796875" style="17" customWidth="1"/>
    <col min="795" max="796" width="13.36328125" style="17" customWidth="1"/>
    <col min="797" max="797" width="15.6328125" style="17" customWidth="1"/>
    <col min="798" max="798" width="14.36328125" style="17" customWidth="1"/>
    <col min="799" max="799" width="16" style="17" bestFit="1" customWidth="1"/>
    <col min="800" max="800" width="14.1796875" style="17" customWidth="1"/>
    <col min="801" max="801" width="13" style="17" customWidth="1"/>
    <col min="802" max="802" width="14.1796875" style="17" customWidth="1"/>
    <col min="803" max="803" width="13.36328125" style="17" customWidth="1"/>
    <col min="804" max="804" width="13.81640625" style="17" bestFit="1" customWidth="1"/>
    <col min="805" max="805" width="14.1796875" style="17" bestFit="1" customWidth="1"/>
    <col min="806" max="806" width="13.81640625" style="17" bestFit="1" customWidth="1"/>
    <col min="807" max="962" width="9.1796875" style="17"/>
    <col min="963" max="963" width="3.81640625" style="17" bestFit="1" customWidth="1"/>
    <col min="964" max="964" width="39.54296875" style="17" customWidth="1"/>
    <col min="965" max="965" width="16" style="17" customWidth="1"/>
    <col min="966" max="966" width="13" style="17" customWidth="1"/>
    <col min="967" max="967" width="16" style="17" customWidth="1"/>
    <col min="968" max="968" width="13" style="17" customWidth="1"/>
    <col min="969" max="969" width="14.1796875" style="17" customWidth="1"/>
    <col min="970" max="970" width="13" style="17" customWidth="1"/>
    <col min="971" max="971" width="14.90625" style="17" customWidth="1"/>
    <col min="972" max="972" width="13" style="17" customWidth="1"/>
    <col min="973" max="973" width="15.54296875" style="17" customWidth="1"/>
    <col min="974" max="974" width="13" style="17" customWidth="1"/>
    <col min="975" max="975" width="14.1796875" style="17" customWidth="1"/>
    <col min="976" max="976" width="13" style="17" customWidth="1"/>
    <col min="977" max="977" width="14.1796875" style="17" customWidth="1"/>
    <col min="978" max="978" width="13" style="17" customWidth="1"/>
    <col min="979" max="979" width="14.90625" style="17" customWidth="1"/>
    <col min="980" max="980" width="13" style="17" customWidth="1"/>
    <col min="981" max="981" width="15.54296875" style="17" customWidth="1"/>
    <col min="982" max="982" width="13" style="17" customWidth="1"/>
    <col min="983" max="983" width="14.1796875" style="17" customWidth="1"/>
    <col min="984" max="984" width="13" style="17" customWidth="1"/>
    <col min="985" max="985" width="15.54296875" style="17" customWidth="1"/>
    <col min="986" max="986" width="15.81640625" style="17" customWidth="1"/>
    <col min="987" max="987" width="14.1796875" style="17" customWidth="1"/>
    <col min="988" max="988" width="15.81640625" style="17" customWidth="1"/>
    <col min="989" max="989" width="15.54296875" style="17" customWidth="1"/>
    <col min="990" max="990" width="13" style="17" customWidth="1"/>
    <col min="991" max="991" width="14.1796875" style="17" customWidth="1"/>
    <col min="992" max="992" width="15.81640625" style="17" customWidth="1"/>
    <col min="993" max="993" width="16.453125" style="17" customWidth="1"/>
    <col min="994" max="994" width="15.54296875" style="17" customWidth="1"/>
    <col min="995" max="995" width="13" style="17" customWidth="1"/>
    <col min="996" max="996" width="16" style="17" customWidth="1"/>
    <col min="997" max="997" width="13" style="17" customWidth="1"/>
    <col min="998" max="998" width="11.08984375" style="17" customWidth="1"/>
    <col min="999" max="999" width="15.54296875" style="17" customWidth="1"/>
    <col min="1000" max="1000" width="13" style="17" customWidth="1"/>
    <col min="1001" max="1001" width="14.1796875" style="17" customWidth="1"/>
    <col min="1002" max="1002" width="15.81640625" style="17" customWidth="1"/>
    <col min="1003" max="1003" width="15.54296875" style="17" customWidth="1"/>
    <col min="1004" max="1004" width="13" style="17" customWidth="1"/>
    <col min="1005" max="1005" width="14.1796875" style="17" customWidth="1"/>
    <col min="1006" max="1006" width="15.81640625" style="17" customWidth="1"/>
    <col min="1007" max="1007" width="15.54296875" style="17" customWidth="1"/>
    <col min="1008" max="1008" width="13" style="17" customWidth="1"/>
    <col min="1009" max="1009" width="14.1796875" style="17" customWidth="1"/>
    <col min="1010" max="1010" width="15.81640625" style="17" customWidth="1"/>
    <col min="1011" max="1011" width="9.1796875" style="17"/>
    <col min="1012" max="1012" width="15.54296875" style="17" customWidth="1"/>
    <col min="1013" max="1013" width="13" style="17" customWidth="1"/>
    <col min="1014" max="1014" width="14.1796875" style="17" customWidth="1"/>
    <col min="1015" max="1015" width="15.81640625" style="17" customWidth="1"/>
    <col min="1016" max="1016" width="9.1796875" style="17"/>
    <col min="1017" max="1017" width="16" style="17" customWidth="1"/>
    <col min="1018" max="1018" width="13" style="17" customWidth="1"/>
    <col min="1019" max="1019" width="14.1796875" style="17" customWidth="1"/>
    <col min="1020" max="1020" width="13" style="17" customWidth="1"/>
    <col min="1021" max="1021" width="14.1796875" style="17" customWidth="1"/>
    <col min="1022" max="1022" width="13" style="17" customWidth="1"/>
    <col min="1023" max="1023" width="14.1796875" style="17" customWidth="1"/>
    <col min="1024" max="1024" width="13" style="17" customWidth="1"/>
    <col min="1025" max="1025" width="14.1796875" style="17" customWidth="1"/>
    <col min="1026" max="1026" width="13" style="17" customWidth="1"/>
    <col min="1027" max="1027" width="14.1796875" style="17" customWidth="1"/>
    <col min="1028" max="1029" width="13" style="17" customWidth="1"/>
    <col min="1030" max="1030" width="14.90625" style="17" bestFit="1" customWidth="1"/>
    <col min="1031" max="1031" width="13" style="17" customWidth="1"/>
    <col min="1032" max="1032" width="14.1796875" style="17" customWidth="1"/>
    <col min="1033" max="1033" width="13" style="17" customWidth="1"/>
    <col min="1034" max="1034" width="8.81640625" style="17" customWidth="1"/>
    <col min="1035" max="1035" width="14.1796875" style="17" customWidth="1"/>
    <col min="1036" max="1036" width="13" style="17" customWidth="1"/>
    <col min="1037" max="1037" width="14.1796875" style="17" customWidth="1"/>
    <col min="1038" max="1038" width="13" style="17" customWidth="1"/>
    <col min="1039" max="1039" width="14.1796875" style="17" customWidth="1"/>
    <col min="1040" max="1040" width="13" style="17" customWidth="1"/>
    <col min="1041" max="1041" width="14.1796875" style="17" customWidth="1"/>
    <col min="1042" max="1046" width="13" style="17" customWidth="1"/>
    <col min="1047" max="1047" width="16.81640625" style="17" customWidth="1"/>
    <col min="1048" max="1048" width="14.1796875" style="17" customWidth="1"/>
    <col min="1049" max="1049" width="13" style="17" customWidth="1"/>
    <col min="1050" max="1050" width="14.1796875" style="17" customWidth="1"/>
    <col min="1051" max="1052" width="13.36328125" style="17" customWidth="1"/>
    <col min="1053" max="1053" width="15.6328125" style="17" customWidth="1"/>
    <col min="1054" max="1054" width="14.36328125" style="17" customWidth="1"/>
    <col min="1055" max="1055" width="16" style="17" bestFit="1" customWidth="1"/>
    <col min="1056" max="1056" width="14.1796875" style="17" customWidth="1"/>
    <col min="1057" max="1057" width="13" style="17" customWidth="1"/>
    <col min="1058" max="1058" width="14.1796875" style="17" customWidth="1"/>
    <col min="1059" max="1059" width="13.36328125" style="17" customWidth="1"/>
    <col min="1060" max="1060" width="13.81640625" style="17" bestFit="1" customWidth="1"/>
    <col min="1061" max="1061" width="14.1796875" style="17" bestFit="1" customWidth="1"/>
    <col min="1062" max="1062" width="13.81640625" style="17" bestFit="1" customWidth="1"/>
    <col min="1063" max="1218" width="9.1796875" style="17"/>
    <col min="1219" max="1219" width="3.81640625" style="17" bestFit="1" customWidth="1"/>
    <col min="1220" max="1220" width="39.54296875" style="17" customWidth="1"/>
    <col min="1221" max="1221" width="16" style="17" customWidth="1"/>
    <col min="1222" max="1222" width="13" style="17" customWidth="1"/>
    <col min="1223" max="1223" width="16" style="17" customWidth="1"/>
    <col min="1224" max="1224" width="13" style="17" customWidth="1"/>
    <col min="1225" max="1225" width="14.1796875" style="17" customWidth="1"/>
    <col min="1226" max="1226" width="13" style="17" customWidth="1"/>
    <col min="1227" max="1227" width="14.90625" style="17" customWidth="1"/>
    <col min="1228" max="1228" width="13" style="17" customWidth="1"/>
    <col min="1229" max="1229" width="15.54296875" style="17" customWidth="1"/>
    <col min="1230" max="1230" width="13" style="17" customWidth="1"/>
    <col min="1231" max="1231" width="14.1796875" style="17" customWidth="1"/>
    <col min="1232" max="1232" width="13" style="17" customWidth="1"/>
    <col min="1233" max="1233" width="14.1796875" style="17" customWidth="1"/>
    <col min="1234" max="1234" width="13" style="17" customWidth="1"/>
    <col min="1235" max="1235" width="14.90625" style="17" customWidth="1"/>
    <col min="1236" max="1236" width="13" style="17" customWidth="1"/>
    <col min="1237" max="1237" width="15.54296875" style="17" customWidth="1"/>
    <col min="1238" max="1238" width="13" style="17" customWidth="1"/>
    <col min="1239" max="1239" width="14.1796875" style="17" customWidth="1"/>
    <col min="1240" max="1240" width="13" style="17" customWidth="1"/>
    <col min="1241" max="1241" width="15.54296875" style="17" customWidth="1"/>
    <col min="1242" max="1242" width="15.81640625" style="17" customWidth="1"/>
    <col min="1243" max="1243" width="14.1796875" style="17" customWidth="1"/>
    <col min="1244" max="1244" width="15.81640625" style="17" customWidth="1"/>
    <col min="1245" max="1245" width="15.54296875" style="17" customWidth="1"/>
    <col min="1246" max="1246" width="13" style="17" customWidth="1"/>
    <col min="1247" max="1247" width="14.1796875" style="17" customWidth="1"/>
    <col min="1248" max="1248" width="15.81640625" style="17" customWidth="1"/>
    <col min="1249" max="1249" width="16.453125" style="17" customWidth="1"/>
    <col min="1250" max="1250" width="15.54296875" style="17" customWidth="1"/>
    <col min="1251" max="1251" width="13" style="17" customWidth="1"/>
    <col min="1252" max="1252" width="16" style="17" customWidth="1"/>
    <col min="1253" max="1253" width="13" style="17" customWidth="1"/>
    <col min="1254" max="1254" width="11.08984375" style="17" customWidth="1"/>
    <col min="1255" max="1255" width="15.54296875" style="17" customWidth="1"/>
    <col min="1256" max="1256" width="13" style="17" customWidth="1"/>
    <col min="1257" max="1257" width="14.1796875" style="17" customWidth="1"/>
    <col min="1258" max="1258" width="15.81640625" style="17" customWidth="1"/>
    <col min="1259" max="1259" width="15.54296875" style="17" customWidth="1"/>
    <col min="1260" max="1260" width="13" style="17" customWidth="1"/>
    <col min="1261" max="1261" width="14.1796875" style="17" customWidth="1"/>
    <col min="1262" max="1262" width="15.81640625" style="17" customWidth="1"/>
    <col min="1263" max="1263" width="15.54296875" style="17" customWidth="1"/>
    <col min="1264" max="1264" width="13" style="17" customWidth="1"/>
    <col min="1265" max="1265" width="14.1796875" style="17" customWidth="1"/>
    <col min="1266" max="1266" width="15.81640625" style="17" customWidth="1"/>
    <col min="1267" max="1267" width="9.1796875" style="17"/>
    <col min="1268" max="1268" width="15.54296875" style="17" customWidth="1"/>
    <col min="1269" max="1269" width="13" style="17" customWidth="1"/>
    <col min="1270" max="1270" width="14.1796875" style="17" customWidth="1"/>
    <col min="1271" max="1271" width="15.81640625" style="17" customWidth="1"/>
    <col min="1272" max="1272" width="9.1796875" style="17"/>
    <col min="1273" max="1273" width="16" style="17" customWidth="1"/>
    <col min="1274" max="1274" width="13" style="17" customWidth="1"/>
    <col min="1275" max="1275" width="14.1796875" style="17" customWidth="1"/>
    <col min="1276" max="1276" width="13" style="17" customWidth="1"/>
    <col min="1277" max="1277" width="14.1796875" style="17" customWidth="1"/>
    <col min="1278" max="1278" width="13" style="17" customWidth="1"/>
    <col min="1279" max="1279" width="14.1796875" style="17" customWidth="1"/>
    <col min="1280" max="1280" width="13" style="17" customWidth="1"/>
    <col min="1281" max="1281" width="14.1796875" style="17" customWidth="1"/>
    <col min="1282" max="1282" width="13" style="17" customWidth="1"/>
    <col min="1283" max="1283" width="14.1796875" style="17" customWidth="1"/>
    <col min="1284" max="1285" width="13" style="17" customWidth="1"/>
    <col min="1286" max="1286" width="14.90625" style="17" bestFit="1" customWidth="1"/>
    <col min="1287" max="1287" width="13" style="17" customWidth="1"/>
    <col min="1288" max="1288" width="14.1796875" style="17" customWidth="1"/>
    <col min="1289" max="1289" width="13" style="17" customWidth="1"/>
    <col min="1290" max="1290" width="8.81640625" style="17" customWidth="1"/>
    <col min="1291" max="1291" width="14.1796875" style="17" customWidth="1"/>
    <col min="1292" max="1292" width="13" style="17" customWidth="1"/>
    <col min="1293" max="1293" width="14.1796875" style="17" customWidth="1"/>
    <col min="1294" max="1294" width="13" style="17" customWidth="1"/>
    <col min="1295" max="1295" width="14.1796875" style="17" customWidth="1"/>
    <col min="1296" max="1296" width="13" style="17" customWidth="1"/>
    <col min="1297" max="1297" width="14.1796875" style="17" customWidth="1"/>
    <col min="1298" max="1302" width="13" style="17" customWidth="1"/>
    <col min="1303" max="1303" width="16.81640625" style="17" customWidth="1"/>
    <col min="1304" max="1304" width="14.1796875" style="17" customWidth="1"/>
    <col min="1305" max="1305" width="13" style="17" customWidth="1"/>
    <col min="1306" max="1306" width="14.1796875" style="17" customWidth="1"/>
    <col min="1307" max="1308" width="13.36328125" style="17" customWidth="1"/>
    <col min="1309" max="1309" width="15.6328125" style="17" customWidth="1"/>
    <col min="1310" max="1310" width="14.36328125" style="17" customWidth="1"/>
    <col min="1311" max="1311" width="16" style="17" bestFit="1" customWidth="1"/>
    <col min="1312" max="1312" width="14.1796875" style="17" customWidth="1"/>
    <col min="1313" max="1313" width="13" style="17" customWidth="1"/>
    <col min="1314" max="1314" width="14.1796875" style="17" customWidth="1"/>
    <col min="1315" max="1315" width="13.36328125" style="17" customWidth="1"/>
    <col min="1316" max="1316" width="13.81640625" style="17" bestFit="1" customWidth="1"/>
    <col min="1317" max="1317" width="14.1796875" style="17" bestFit="1" customWidth="1"/>
    <col min="1318" max="1318" width="13.81640625" style="17" bestFit="1" customWidth="1"/>
    <col min="1319" max="1474" width="9.1796875" style="17"/>
    <col min="1475" max="1475" width="3.81640625" style="17" bestFit="1" customWidth="1"/>
    <col min="1476" max="1476" width="39.54296875" style="17" customWidth="1"/>
    <col min="1477" max="1477" width="16" style="17" customWidth="1"/>
    <col min="1478" max="1478" width="13" style="17" customWidth="1"/>
    <col min="1479" max="1479" width="16" style="17" customWidth="1"/>
    <col min="1480" max="1480" width="13" style="17" customWidth="1"/>
    <col min="1481" max="1481" width="14.1796875" style="17" customWidth="1"/>
    <col min="1482" max="1482" width="13" style="17" customWidth="1"/>
    <col min="1483" max="1483" width="14.90625" style="17" customWidth="1"/>
    <col min="1484" max="1484" width="13" style="17" customWidth="1"/>
    <col min="1485" max="1485" width="15.54296875" style="17" customWidth="1"/>
    <col min="1486" max="1486" width="13" style="17" customWidth="1"/>
    <col min="1487" max="1487" width="14.1796875" style="17" customWidth="1"/>
    <col min="1488" max="1488" width="13" style="17" customWidth="1"/>
    <col min="1489" max="1489" width="14.1796875" style="17" customWidth="1"/>
    <col min="1490" max="1490" width="13" style="17" customWidth="1"/>
    <col min="1491" max="1491" width="14.90625" style="17" customWidth="1"/>
    <col min="1492" max="1492" width="13" style="17" customWidth="1"/>
    <col min="1493" max="1493" width="15.54296875" style="17" customWidth="1"/>
    <col min="1494" max="1494" width="13" style="17" customWidth="1"/>
    <col min="1495" max="1495" width="14.1796875" style="17" customWidth="1"/>
    <col min="1496" max="1496" width="13" style="17" customWidth="1"/>
    <col min="1497" max="1497" width="15.54296875" style="17" customWidth="1"/>
    <col min="1498" max="1498" width="15.81640625" style="17" customWidth="1"/>
    <col min="1499" max="1499" width="14.1796875" style="17" customWidth="1"/>
    <col min="1500" max="1500" width="15.81640625" style="17" customWidth="1"/>
    <col min="1501" max="1501" width="15.54296875" style="17" customWidth="1"/>
    <col min="1502" max="1502" width="13" style="17" customWidth="1"/>
    <col min="1503" max="1503" width="14.1796875" style="17" customWidth="1"/>
    <col min="1504" max="1504" width="15.81640625" style="17" customWidth="1"/>
    <col min="1505" max="1505" width="16.453125" style="17" customWidth="1"/>
    <col min="1506" max="1506" width="15.54296875" style="17" customWidth="1"/>
    <col min="1507" max="1507" width="13" style="17" customWidth="1"/>
    <col min="1508" max="1508" width="16" style="17" customWidth="1"/>
    <col min="1509" max="1509" width="13" style="17" customWidth="1"/>
    <col min="1510" max="1510" width="11.08984375" style="17" customWidth="1"/>
    <col min="1511" max="1511" width="15.54296875" style="17" customWidth="1"/>
    <col min="1512" max="1512" width="13" style="17" customWidth="1"/>
    <col min="1513" max="1513" width="14.1796875" style="17" customWidth="1"/>
    <col min="1514" max="1514" width="15.81640625" style="17" customWidth="1"/>
    <col min="1515" max="1515" width="15.54296875" style="17" customWidth="1"/>
    <col min="1516" max="1516" width="13" style="17" customWidth="1"/>
    <col min="1517" max="1517" width="14.1796875" style="17" customWidth="1"/>
    <col min="1518" max="1518" width="15.81640625" style="17" customWidth="1"/>
    <col min="1519" max="1519" width="15.54296875" style="17" customWidth="1"/>
    <col min="1520" max="1520" width="13" style="17" customWidth="1"/>
    <col min="1521" max="1521" width="14.1796875" style="17" customWidth="1"/>
    <col min="1522" max="1522" width="15.81640625" style="17" customWidth="1"/>
    <col min="1523" max="1523" width="9.1796875" style="17"/>
    <col min="1524" max="1524" width="15.54296875" style="17" customWidth="1"/>
    <col min="1525" max="1525" width="13" style="17" customWidth="1"/>
    <col min="1526" max="1526" width="14.1796875" style="17" customWidth="1"/>
    <col min="1527" max="1527" width="15.81640625" style="17" customWidth="1"/>
    <col min="1528" max="1528" width="9.1796875" style="17"/>
    <col min="1529" max="1529" width="16" style="17" customWidth="1"/>
    <col min="1530" max="1530" width="13" style="17" customWidth="1"/>
    <col min="1531" max="1531" width="14.1796875" style="17" customWidth="1"/>
    <col min="1532" max="1532" width="13" style="17" customWidth="1"/>
    <col min="1533" max="1533" width="14.1796875" style="17" customWidth="1"/>
    <col min="1534" max="1534" width="13" style="17" customWidth="1"/>
    <col min="1535" max="1535" width="14.1796875" style="17" customWidth="1"/>
    <col min="1536" max="1536" width="13" style="17" customWidth="1"/>
    <col min="1537" max="1537" width="14.1796875" style="17" customWidth="1"/>
    <col min="1538" max="1538" width="13" style="17" customWidth="1"/>
    <col min="1539" max="1539" width="14.1796875" style="17" customWidth="1"/>
    <col min="1540" max="1541" width="13" style="17" customWidth="1"/>
    <col min="1542" max="1542" width="14.90625" style="17" bestFit="1" customWidth="1"/>
    <col min="1543" max="1543" width="13" style="17" customWidth="1"/>
    <col min="1544" max="1544" width="14.1796875" style="17" customWidth="1"/>
    <col min="1545" max="1545" width="13" style="17" customWidth="1"/>
    <col min="1546" max="1546" width="8.81640625" style="17" customWidth="1"/>
    <col min="1547" max="1547" width="14.1796875" style="17" customWidth="1"/>
    <col min="1548" max="1548" width="13" style="17" customWidth="1"/>
    <col min="1549" max="1549" width="14.1796875" style="17" customWidth="1"/>
    <col min="1550" max="1550" width="13" style="17" customWidth="1"/>
    <col min="1551" max="1551" width="14.1796875" style="17" customWidth="1"/>
    <col min="1552" max="1552" width="13" style="17" customWidth="1"/>
    <col min="1553" max="1553" width="14.1796875" style="17" customWidth="1"/>
    <col min="1554" max="1558" width="13" style="17" customWidth="1"/>
    <col min="1559" max="1559" width="16.81640625" style="17" customWidth="1"/>
    <col min="1560" max="1560" width="14.1796875" style="17" customWidth="1"/>
    <col min="1561" max="1561" width="13" style="17" customWidth="1"/>
    <col min="1562" max="1562" width="14.1796875" style="17" customWidth="1"/>
    <col min="1563" max="1564" width="13.36328125" style="17" customWidth="1"/>
    <col min="1565" max="1565" width="15.6328125" style="17" customWidth="1"/>
    <col min="1566" max="1566" width="14.36328125" style="17" customWidth="1"/>
    <col min="1567" max="1567" width="16" style="17" bestFit="1" customWidth="1"/>
    <col min="1568" max="1568" width="14.1796875" style="17" customWidth="1"/>
    <col min="1569" max="1569" width="13" style="17" customWidth="1"/>
    <col min="1570" max="1570" width="14.1796875" style="17" customWidth="1"/>
    <col min="1571" max="1571" width="13.36328125" style="17" customWidth="1"/>
    <col min="1572" max="1572" width="13.81640625" style="17" bestFit="1" customWidth="1"/>
    <col min="1573" max="1573" width="14.1796875" style="17" bestFit="1" customWidth="1"/>
    <col min="1574" max="1574" width="13.81640625" style="17" bestFit="1" customWidth="1"/>
    <col min="1575" max="1730" width="9.1796875" style="17"/>
    <col min="1731" max="1731" width="3.81640625" style="17" bestFit="1" customWidth="1"/>
    <col min="1732" max="1732" width="39.54296875" style="17" customWidth="1"/>
    <col min="1733" max="1733" width="16" style="17" customWidth="1"/>
    <col min="1734" max="1734" width="13" style="17" customWidth="1"/>
    <col min="1735" max="1735" width="16" style="17" customWidth="1"/>
    <col min="1736" max="1736" width="13" style="17" customWidth="1"/>
    <col min="1737" max="1737" width="14.1796875" style="17" customWidth="1"/>
    <col min="1738" max="1738" width="13" style="17" customWidth="1"/>
    <col min="1739" max="1739" width="14.90625" style="17" customWidth="1"/>
    <col min="1740" max="1740" width="13" style="17" customWidth="1"/>
    <col min="1741" max="1741" width="15.54296875" style="17" customWidth="1"/>
    <col min="1742" max="1742" width="13" style="17" customWidth="1"/>
    <col min="1743" max="1743" width="14.1796875" style="17" customWidth="1"/>
    <col min="1744" max="1744" width="13" style="17" customWidth="1"/>
    <col min="1745" max="1745" width="14.1796875" style="17" customWidth="1"/>
    <col min="1746" max="1746" width="13" style="17" customWidth="1"/>
    <col min="1747" max="1747" width="14.90625" style="17" customWidth="1"/>
    <col min="1748" max="1748" width="13" style="17" customWidth="1"/>
    <col min="1749" max="1749" width="15.54296875" style="17" customWidth="1"/>
    <col min="1750" max="1750" width="13" style="17" customWidth="1"/>
    <col min="1751" max="1751" width="14.1796875" style="17" customWidth="1"/>
    <col min="1752" max="1752" width="13" style="17" customWidth="1"/>
    <col min="1753" max="1753" width="15.54296875" style="17" customWidth="1"/>
    <col min="1754" max="1754" width="15.81640625" style="17" customWidth="1"/>
    <col min="1755" max="1755" width="14.1796875" style="17" customWidth="1"/>
    <col min="1756" max="1756" width="15.81640625" style="17" customWidth="1"/>
    <col min="1757" max="1757" width="15.54296875" style="17" customWidth="1"/>
    <col min="1758" max="1758" width="13" style="17" customWidth="1"/>
    <col min="1759" max="1759" width="14.1796875" style="17" customWidth="1"/>
    <col min="1760" max="1760" width="15.81640625" style="17" customWidth="1"/>
    <col min="1761" max="1761" width="16.453125" style="17" customWidth="1"/>
    <col min="1762" max="1762" width="15.54296875" style="17" customWidth="1"/>
    <col min="1763" max="1763" width="13" style="17" customWidth="1"/>
    <col min="1764" max="1764" width="16" style="17" customWidth="1"/>
    <col min="1765" max="1765" width="13" style="17" customWidth="1"/>
    <col min="1766" max="1766" width="11.08984375" style="17" customWidth="1"/>
    <col min="1767" max="1767" width="15.54296875" style="17" customWidth="1"/>
    <col min="1768" max="1768" width="13" style="17" customWidth="1"/>
    <col min="1769" max="1769" width="14.1796875" style="17" customWidth="1"/>
    <col min="1770" max="1770" width="15.81640625" style="17" customWidth="1"/>
    <col min="1771" max="1771" width="15.54296875" style="17" customWidth="1"/>
    <col min="1772" max="1772" width="13" style="17" customWidth="1"/>
    <col min="1773" max="1773" width="14.1796875" style="17" customWidth="1"/>
    <col min="1774" max="1774" width="15.81640625" style="17" customWidth="1"/>
    <col min="1775" max="1775" width="15.54296875" style="17" customWidth="1"/>
    <col min="1776" max="1776" width="13" style="17" customWidth="1"/>
    <col min="1777" max="1777" width="14.1796875" style="17" customWidth="1"/>
    <col min="1778" max="1778" width="15.81640625" style="17" customWidth="1"/>
    <col min="1779" max="1779" width="9.1796875" style="17"/>
    <col min="1780" max="1780" width="15.54296875" style="17" customWidth="1"/>
    <col min="1781" max="1781" width="13" style="17" customWidth="1"/>
    <col min="1782" max="1782" width="14.1796875" style="17" customWidth="1"/>
    <col min="1783" max="1783" width="15.81640625" style="17" customWidth="1"/>
    <col min="1784" max="1784" width="9.1796875" style="17"/>
    <col min="1785" max="1785" width="16" style="17" customWidth="1"/>
    <col min="1786" max="1786" width="13" style="17" customWidth="1"/>
    <col min="1787" max="1787" width="14.1796875" style="17" customWidth="1"/>
    <col min="1788" max="1788" width="13" style="17" customWidth="1"/>
    <col min="1789" max="1789" width="14.1796875" style="17" customWidth="1"/>
    <col min="1790" max="1790" width="13" style="17" customWidth="1"/>
    <col min="1791" max="1791" width="14.1796875" style="17" customWidth="1"/>
    <col min="1792" max="1792" width="13" style="17" customWidth="1"/>
    <col min="1793" max="1793" width="14.1796875" style="17" customWidth="1"/>
    <col min="1794" max="1794" width="13" style="17" customWidth="1"/>
    <col min="1795" max="1795" width="14.1796875" style="17" customWidth="1"/>
    <col min="1796" max="1797" width="13" style="17" customWidth="1"/>
    <col min="1798" max="1798" width="14.90625" style="17" bestFit="1" customWidth="1"/>
    <col min="1799" max="1799" width="13" style="17" customWidth="1"/>
    <col min="1800" max="1800" width="14.1796875" style="17" customWidth="1"/>
    <col min="1801" max="1801" width="13" style="17" customWidth="1"/>
    <col min="1802" max="1802" width="8.81640625" style="17" customWidth="1"/>
    <col min="1803" max="1803" width="14.1796875" style="17" customWidth="1"/>
    <col min="1804" max="1804" width="13" style="17" customWidth="1"/>
    <col min="1805" max="1805" width="14.1796875" style="17" customWidth="1"/>
    <col min="1806" max="1806" width="13" style="17" customWidth="1"/>
    <col min="1807" max="1807" width="14.1796875" style="17" customWidth="1"/>
    <col min="1808" max="1808" width="13" style="17" customWidth="1"/>
    <col min="1809" max="1809" width="14.1796875" style="17" customWidth="1"/>
    <col min="1810" max="1814" width="13" style="17" customWidth="1"/>
    <col min="1815" max="1815" width="16.81640625" style="17" customWidth="1"/>
    <col min="1816" max="1816" width="14.1796875" style="17" customWidth="1"/>
    <col min="1817" max="1817" width="13" style="17" customWidth="1"/>
    <col min="1818" max="1818" width="14.1796875" style="17" customWidth="1"/>
    <col min="1819" max="1820" width="13.36328125" style="17" customWidth="1"/>
    <col min="1821" max="1821" width="15.6328125" style="17" customWidth="1"/>
    <col min="1822" max="1822" width="14.36328125" style="17" customWidth="1"/>
    <col min="1823" max="1823" width="16" style="17" bestFit="1" customWidth="1"/>
    <col min="1824" max="1824" width="14.1796875" style="17" customWidth="1"/>
    <col min="1825" max="1825" width="13" style="17" customWidth="1"/>
    <col min="1826" max="1826" width="14.1796875" style="17" customWidth="1"/>
    <col min="1827" max="1827" width="13.36328125" style="17" customWidth="1"/>
    <col min="1828" max="1828" width="13.81640625" style="17" bestFit="1" customWidth="1"/>
    <col min="1829" max="1829" width="14.1796875" style="17" bestFit="1" customWidth="1"/>
    <col min="1830" max="1830" width="13.81640625" style="17" bestFit="1" customWidth="1"/>
    <col min="1831" max="1986" width="9.1796875" style="17"/>
    <col min="1987" max="1987" width="3.81640625" style="17" bestFit="1" customWidth="1"/>
    <col min="1988" max="1988" width="39.54296875" style="17" customWidth="1"/>
    <col min="1989" max="1989" width="16" style="17" customWidth="1"/>
    <col min="1990" max="1990" width="13" style="17" customWidth="1"/>
    <col min="1991" max="1991" width="16" style="17" customWidth="1"/>
    <col min="1992" max="1992" width="13" style="17" customWidth="1"/>
    <col min="1993" max="1993" width="14.1796875" style="17" customWidth="1"/>
    <col min="1994" max="1994" width="13" style="17" customWidth="1"/>
    <col min="1995" max="1995" width="14.90625" style="17" customWidth="1"/>
    <col min="1996" max="1996" width="13" style="17" customWidth="1"/>
    <col min="1997" max="1997" width="15.54296875" style="17" customWidth="1"/>
    <col min="1998" max="1998" width="13" style="17" customWidth="1"/>
    <col min="1999" max="1999" width="14.1796875" style="17" customWidth="1"/>
    <col min="2000" max="2000" width="13" style="17" customWidth="1"/>
    <col min="2001" max="2001" width="14.1796875" style="17" customWidth="1"/>
    <col min="2002" max="2002" width="13" style="17" customWidth="1"/>
    <col min="2003" max="2003" width="14.90625" style="17" customWidth="1"/>
    <col min="2004" max="2004" width="13" style="17" customWidth="1"/>
    <col min="2005" max="2005" width="15.54296875" style="17" customWidth="1"/>
    <col min="2006" max="2006" width="13" style="17" customWidth="1"/>
    <col min="2007" max="2007" width="14.1796875" style="17" customWidth="1"/>
    <col min="2008" max="2008" width="13" style="17" customWidth="1"/>
    <col min="2009" max="2009" width="15.54296875" style="17" customWidth="1"/>
    <col min="2010" max="2010" width="15.81640625" style="17" customWidth="1"/>
    <col min="2011" max="2011" width="14.1796875" style="17" customWidth="1"/>
    <col min="2012" max="2012" width="15.81640625" style="17" customWidth="1"/>
    <col min="2013" max="2013" width="15.54296875" style="17" customWidth="1"/>
    <col min="2014" max="2014" width="13" style="17" customWidth="1"/>
    <col min="2015" max="2015" width="14.1796875" style="17" customWidth="1"/>
    <col min="2016" max="2016" width="15.81640625" style="17" customWidth="1"/>
    <col min="2017" max="2017" width="16.453125" style="17" customWidth="1"/>
    <col min="2018" max="2018" width="15.54296875" style="17" customWidth="1"/>
    <col min="2019" max="2019" width="13" style="17" customWidth="1"/>
    <col min="2020" max="2020" width="16" style="17" customWidth="1"/>
    <col min="2021" max="2021" width="13" style="17" customWidth="1"/>
    <col min="2022" max="2022" width="11.08984375" style="17" customWidth="1"/>
    <col min="2023" max="2023" width="15.54296875" style="17" customWidth="1"/>
    <col min="2024" max="2024" width="13" style="17" customWidth="1"/>
    <col min="2025" max="2025" width="14.1796875" style="17" customWidth="1"/>
    <col min="2026" max="2026" width="15.81640625" style="17" customWidth="1"/>
    <col min="2027" max="2027" width="15.54296875" style="17" customWidth="1"/>
    <col min="2028" max="2028" width="13" style="17" customWidth="1"/>
    <col min="2029" max="2029" width="14.1796875" style="17" customWidth="1"/>
    <col min="2030" max="2030" width="15.81640625" style="17" customWidth="1"/>
    <col min="2031" max="2031" width="15.54296875" style="17" customWidth="1"/>
    <col min="2032" max="2032" width="13" style="17" customWidth="1"/>
    <col min="2033" max="2033" width="14.1796875" style="17" customWidth="1"/>
    <col min="2034" max="2034" width="15.81640625" style="17" customWidth="1"/>
    <col min="2035" max="2035" width="9.1796875" style="17"/>
    <col min="2036" max="2036" width="15.54296875" style="17" customWidth="1"/>
    <col min="2037" max="2037" width="13" style="17" customWidth="1"/>
    <col min="2038" max="2038" width="14.1796875" style="17" customWidth="1"/>
    <col min="2039" max="2039" width="15.81640625" style="17" customWidth="1"/>
    <col min="2040" max="2040" width="9.1796875" style="17"/>
    <col min="2041" max="2041" width="16" style="17" customWidth="1"/>
    <col min="2042" max="2042" width="13" style="17" customWidth="1"/>
    <col min="2043" max="2043" width="14.1796875" style="17" customWidth="1"/>
    <col min="2044" max="2044" width="13" style="17" customWidth="1"/>
    <col min="2045" max="2045" width="14.1796875" style="17" customWidth="1"/>
    <col min="2046" max="2046" width="13" style="17" customWidth="1"/>
    <col min="2047" max="2047" width="14.1796875" style="17" customWidth="1"/>
    <col min="2048" max="2048" width="13" style="17" customWidth="1"/>
    <col min="2049" max="2049" width="14.1796875" style="17" customWidth="1"/>
    <col min="2050" max="2050" width="13" style="17" customWidth="1"/>
    <col min="2051" max="2051" width="14.1796875" style="17" customWidth="1"/>
    <col min="2052" max="2053" width="13" style="17" customWidth="1"/>
    <col min="2054" max="2054" width="14.90625" style="17" bestFit="1" customWidth="1"/>
    <col min="2055" max="2055" width="13" style="17" customWidth="1"/>
    <col min="2056" max="2056" width="14.1796875" style="17" customWidth="1"/>
    <col min="2057" max="2057" width="13" style="17" customWidth="1"/>
    <col min="2058" max="2058" width="8.81640625" style="17" customWidth="1"/>
    <col min="2059" max="2059" width="14.1796875" style="17" customWidth="1"/>
    <col min="2060" max="2060" width="13" style="17" customWidth="1"/>
    <col min="2061" max="2061" width="14.1796875" style="17" customWidth="1"/>
    <col min="2062" max="2062" width="13" style="17" customWidth="1"/>
    <col min="2063" max="2063" width="14.1796875" style="17" customWidth="1"/>
    <col min="2064" max="2064" width="13" style="17" customWidth="1"/>
    <col min="2065" max="2065" width="14.1796875" style="17" customWidth="1"/>
    <col min="2066" max="2070" width="13" style="17" customWidth="1"/>
    <col min="2071" max="2071" width="16.81640625" style="17" customWidth="1"/>
    <col min="2072" max="2072" width="14.1796875" style="17" customWidth="1"/>
    <col min="2073" max="2073" width="13" style="17" customWidth="1"/>
    <col min="2074" max="2074" width="14.1796875" style="17" customWidth="1"/>
    <col min="2075" max="2076" width="13.36328125" style="17" customWidth="1"/>
    <col min="2077" max="2077" width="15.6328125" style="17" customWidth="1"/>
    <col min="2078" max="2078" width="14.36328125" style="17" customWidth="1"/>
    <col min="2079" max="2079" width="16" style="17" bestFit="1" customWidth="1"/>
    <col min="2080" max="2080" width="14.1796875" style="17" customWidth="1"/>
    <col min="2081" max="2081" width="13" style="17" customWidth="1"/>
    <col min="2082" max="2082" width="14.1796875" style="17" customWidth="1"/>
    <col min="2083" max="2083" width="13.36328125" style="17" customWidth="1"/>
    <col min="2084" max="2084" width="13.81640625" style="17" bestFit="1" customWidth="1"/>
    <col min="2085" max="2085" width="14.1796875" style="17" bestFit="1" customWidth="1"/>
    <col min="2086" max="2086" width="13.81640625" style="17" bestFit="1" customWidth="1"/>
    <col min="2087" max="2242" width="9.1796875" style="17"/>
    <col min="2243" max="2243" width="3.81640625" style="17" bestFit="1" customWidth="1"/>
    <col min="2244" max="2244" width="39.54296875" style="17" customWidth="1"/>
    <col min="2245" max="2245" width="16" style="17" customWidth="1"/>
    <col min="2246" max="2246" width="13" style="17" customWidth="1"/>
    <col min="2247" max="2247" width="16" style="17" customWidth="1"/>
    <col min="2248" max="2248" width="13" style="17" customWidth="1"/>
    <col min="2249" max="2249" width="14.1796875" style="17" customWidth="1"/>
    <col min="2250" max="2250" width="13" style="17" customWidth="1"/>
    <col min="2251" max="2251" width="14.90625" style="17" customWidth="1"/>
    <col min="2252" max="2252" width="13" style="17" customWidth="1"/>
    <col min="2253" max="2253" width="15.54296875" style="17" customWidth="1"/>
    <col min="2254" max="2254" width="13" style="17" customWidth="1"/>
    <col min="2255" max="2255" width="14.1796875" style="17" customWidth="1"/>
    <col min="2256" max="2256" width="13" style="17" customWidth="1"/>
    <col min="2257" max="2257" width="14.1796875" style="17" customWidth="1"/>
    <col min="2258" max="2258" width="13" style="17" customWidth="1"/>
    <col min="2259" max="2259" width="14.90625" style="17" customWidth="1"/>
    <col min="2260" max="2260" width="13" style="17" customWidth="1"/>
    <col min="2261" max="2261" width="15.54296875" style="17" customWidth="1"/>
    <col min="2262" max="2262" width="13" style="17" customWidth="1"/>
    <col min="2263" max="2263" width="14.1796875" style="17" customWidth="1"/>
    <col min="2264" max="2264" width="13" style="17" customWidth="1"/>
    <col min="2265" max="2265" width="15.54296875" style="17" customWidth="1"/>
    <col min="2266" max="2266" width="15.81640625" style="17" customWidth="1"/>
    <col min="2267" max="2267" width="14.1796875" style="17" customWidth="1"/>
    <col min="2268" max="2268" width="15.81640625" style="17" customWidth="1"/>
    <col min="2269" max="2269" width="15.54296875" style="17" customWidth="1"/>
    <col min="2270" max="2270" width="13" style="17" customWidth="1"/>
    <col min="2271" max="2271" width="14.1796875" style="17" customWidth="1"/>
    <col min="2272" max="2272" width="15.81640625" style="17" customWidth="1"/>
    <col min="2273" max="2273" width="16.453125" style="17" customWidth="1"/>
    <col min="2274" max="2274" width="15.54296875" style="17" customWidth="1"/>
    <col min="2275" max="2275" width="13" style="17" customWidth="1"/>
    <col min="2276" max="2276" width="16" style="17" customWidth="1"/>
    <col min="2277" max="2277" width="13" style="17" customWidth="1"/>
    <col min="2278" max="2278" width="11.08984375" style="17" customWidth="1"/>
    <col min="2279" max="2279" width="15.54296875" style="17" customWidth="1"/>
    <col min="2280" max="2280" width="13" style="17" customWidth="1"/>
    <col min="2281" max="2281" width="14.1796875" style="17" customWidth="1"/>
    <col min="2282" max="2282" width="15.81640625" style="17" customWidth="1"/>
    <col min="2283" max="2283" width="15.54296875" style="17" customWidth="1"/>
    <col min="2284" max="2284" width="13" style="17" customWidth="1"/>
    <col min="2285" max="2285" width="14.1796875" style="17" customWidth="1"/>
    <col min="2286" max="2286" width="15.81640625" style="17" customWidth="1"/>
    <col min="2287" max="2287" width="15.54296875" style="17" customWidth="1"/>
    <col min="2288" max="2288" width="13" style="17" customWidth="1"/>
    <col min="2289" max="2289" width="14.1796875" style="17" customWidth="1"/>
    <col min="2290" max="2290" width="15.81640625" style="17" customWidth="1"/>
    <col min="2291" max="2291" width="9.1796875" style="17"/>
    <col min="2292" max="2292" width="15.54296875" style="17" customWidth="1"/>
    <col min="2293" max="2293" width="13" style="17" customWidth="1"/>
    <col min="2294" max="2294" width="14.1796875" style="17" customWidth="1"/>
    <col min="2295" max="2295" width="15.81640625" style="17" customWidth="1"/>
    <col min="2296" max="2296" width="9.1796875" style="17"/>
    <col min="2297" max="2297" width="16" style="17" customWidth="1"/>
    <col min="2298" max="2298" width="13" style="17" customWidth="1"/>
    <col min="2299" max="2299" width="14.1796875" style="17" customWidth="1"/>
    <col min="2300" max="2300" width="13" style="17" customWidth="1"/>
    <col min="2301" max="2301" width="14.1796875" style="17" customWidth="1"/>
    <col min="2302" max="2302" width="13" style="17" customWidth="1"/>
    <col min="2303" max="2303" width="14.1796875" style="17" customWidth="1"/>
    <col min="2304" max="2304" width="13" style="17" customWidth="1"/>
    <col min="2305" max="2305" width="14.1796875" style="17" customWidth="1"/>
    <col min="2306" max="2306" width="13" style="17" customWidth="1"/>
    <col min="2307" max="2307" width="14.1796875" style="17" customWidth="1"/>
    <col min="2308" max="2309" width="13" style="17" customWidth="1"/>
    <col min="2310" max="2310" width="14.90625" style="17" bestFit="1" customWidth="1"/>
    <col min="2311" max="2311" width="13" style="17" customWidth="1"/>
    <col min="2312" max="2312" width="14.1796875" style="17" customWidth="1"/>
    <col min="2313" max="2313" width="13" style="17" customWidth="1"/>
    <col min="2314" max="2314" width="8.81640625" style="17" customWidth="1"/>
    <col min="2315" max="2315" width="14.1796875" style="17" customWidth="1"/>
    <col min="2316" max="2316" width="13" style="17" customWidth="1"/>
    <col min="2317" max="2317" width="14.1796875" style="17" customWidth="1"/>
    <col min="2318" max="2318" width="13" style="17" customWidth="1"/>
    <col min="2319" max="2319" width="14.1796875" style="17" customWidth="1"/>
    <col min="2320" max="2320" width="13" style="17" customWidth="1"/>
    <col min="2321" max="2321" width="14.1796875" style="17" customWidth="1"/>
    <col min="2322" max="2326" width="13" style="17" customWidth="1"/>
    <col min="2327" max="2327" width="16.81640625" style="17" customWidth="1"/>
    <col min="2328" max="2328" width="14.1796875" style="17" customWidth="1"/>
    <col min="2329" max="2329" width="13" style="17" customWidth="1"/>
    <col min="2330" max="2330" width="14.1796875" style="17" customWidth="1"/>
    <col min="2331" max="2332" width="13.36328125" style="17" customWidth="1"/>
    <col min="2333" max="2333" width="15.6328125" style="17" customWidth="1"/>
    <col min="2334" max="2334" width="14.36328125" style="17" customWidth="1"/>
    <col min="2335" max="2335" width="16" style="17" bestFit="1" customWidth="1"/>
    <col min="2336" max="2336" width="14.1796875" style="17" customWidth="1"/>
    <col min="2337" max="2337" width="13" style="17" customWidth="1"/>
    <col min="2338" max="2338" width="14.1796875" style="17" customWidth="1"/>
    <col min="2339" max="2339" width="13.36328125" style="17" customWidth="1"/>
    <col min="2340" max="2340" width="13.81640625" style="17" bestFit="1" customWidth="1"/>
    <col min="2341" max="2341" width="14.1796875" style="17" bestFit="1" customWidth="1"/>
    <col min="2342" max="2342" width="13.81640625" style="17" bestFit="1" customWidth="1"/>
    <col min="2343" max="2498" width="9.1796875" style="17"/>
    <col min="2499" max="2499" width="3.81640625" style="17" bestFit="1" customWidth="1"/>
    <col min="2500" max="2500" width="39.54296875" style="17" customWidth="1"/>
    <col min="2501" max="2501" width="16" style="17" customWidth="1"/>
    <col min="2502" max="2502" width="13" style="17" customWidth="1"/>
    <col min="2503" max="2503" width="16" style="17" customWidth="1"/>
    <col min="2504" max="2504" width="13" style="17" customWidth="1"/>
    <col min="2505" max="2505" width="14.1796875" style="17" customWidth="1"/>
    <col min="2506" max="2506" width="13" style="17" customWidth="1"/>
    <col min="2507" max="2507" width="14.90625" style="17" customWidth="1"/>
    <col min="2508" max="2508" width="13" style="17" customWidth="1"/>
    <col min="2509" max="2509" width="15.54296875" style="17" customWidth="1"/>
    <col min="2510" max="2510" width="13" style="17" customWidth="1"/>
    <col min="2511" max="2511" width="14.1796875" style="17" customWidth="1"/>
    <col min="2512" max="2512" width="13" style="17" customWidth="1"/>
    <col min="2513" max="2513" width="14.1796875" style="17" customWidth="1"/>
    <col min="2514" max="2514" width="13" style="17" customWidth="1"/>
    <col min="2515" max="2515" width="14.90625" style="17" customWidth="1"/>
    <col min="2516" max="2516" width="13" style="17" customWidth="1"/>
    <col min="2517" max="2517" width="15.54296875" style="17" customWidth="1"/>
    <col min="2518" max="2518" width="13" style="17" customWidth="1"/>
    <col min="2519" max="2519" width="14.1796875" style="17" customWidth="1"/>
    <col min="2520" max="2520" width="13" style="17" customWidth="1"/>
    <col min="2521" max="2521" width="15.54296875" style="17" customWidth="1"/>
    <col min="2522" max="2522" width="15.81640625" style="17" customWidth="1"/>
    <col min="2523" max="2523" width="14.1796875" style="17" customWidth="1"/>
    <col min="2524" max="2524" width="15.81640625" style="17" customWidth="1"/>
    <col min="2525" max="2525" width="15.54296875" style="17" customWidth="1"/>
    <col min="2526" max="2526" width="13" style="17" customWidth="1"/>
    <col min="2527" max="2527" width="14.1796875" style="17" customWidth="1"/>
    <col min="2528" max="2528" width="15.81640625" style="17" customWidth="1"/>
    <col min="2529" max="2529" width="16.453125" style="17" customWidth="1"/>
    <col min="2530" max="2530" width="15.54296875" style="17" customWidth="1"/>
    <col min="2531" max="2531" width="13" style="17" customWidth="1"/>
    <col min="2532" max="2532" width="16" style="17" customWidth="1"/>
    <col min="2533" max="2533" width="13" style="17" customWidth="1"/>
    <col min="2534" max="2534" width="11.08984375" style="17" customWidth="1"/>
    <col min="2535" max="2535" width="15.54296875" style="17" customWidth="1"/>
    <col min="2536" max="2536" width="13" style="17" customWidth="1"/>
    <col min="2537" max="2537" width="14.1796875" style="17" customWidth="1"/>
    <col min="2538" max="2538" width="15.81640625" style="17" customWidth="1"/>
    <col min="2539" max="2539" width="15.54296875" style="17" customWidth="1"/>
    <col min="2540" max="2540" width="13" style="17" customWidth="1"/>
    <col min="2541" max="2541" width="14.1796875" style="17" customWidth="1"/>
    <col min="2542" max="2542" width="15.81640625" style="17" customWidth="1"/>
    <col min="2543" max="2543" width="15.54296875" style="17" customWidth="1"/>
    <col min="2544" max="2544" width="13" style="17" customWidth="1"/>
    <col min="2545" max="2545" width="14.1796875" style="17" customWidth="1"/>
    <col min="2546" max="2546" width="15.81640625" style="17" customWidth="1"/>
    <col min="2547" max="2547" width="9.1796875" style="17"/>
    <col min="2548" max="2548" width="15.54296875" style="17" customWidth="1"/>
    <col min="2549" max="2549" width="13" style="17" customWidth="1"/>
    <col min="2550" max="2550" width="14.1796875" style="17" customWidth="1"/>
    <col min="2551" max="2551" width="15.81640625" style="17" customWidth="1"/>
    <col min="2552" max="2552" width="9.1796875" style="17"/>
    <col min="2553" max="2553" width="16" style="17" customWidth="1"/>
    <col min="2554" max="2554" width="13" style="17" customWidth="1"/>
    <col min="2555" max="2555" width="14.1796875" style="17" customWidth="1"/>
    <col min="2556" max="2556" width="13" style="17" customWidth="1"/>
    <col min="2557" max="2557" width="14.1796875" style="17" customWidth="1"/>
    <col min="2558" max="2558" width="13" style="17" customWidth="1"/>
    <col min="2559" max="2559" width="14.1796875" style="17" customWidth="1"/>
    <col min="2560" max="2560" width="13" style="17" customWidth="1"/>
    <col min="2561" max="2561" width="14.1796875" style="17" customWidth="1"/>
    <col min="2562" max="2562" width="13" style="17" customWidth="1"/>
    <col min="2563" max="2563" width="14.1796875" style="17" customWidth="1"/>
    <col min="2564" max="2565" width="13" style="17" customWidth="1"/>
    <col min="2566" max="2566" width="14.90625" style="17" bestFit="1" customWidth="1"/>
    <col min="2567" max="2567" width="13" style="17" customWidth="1"/>
    <col min="2568" max="2568" width="14.1796875" style="17" customWidth="1"/>
    <col min="2569" max="2569" width="13" style="17" customWidth="1"/>
    <col min="2570" max="2570" width="8.81640625" style="17" customWidth="1"/>
    <col min="2571" max="2571" width="14.1796875" style="17" customWidth="1"/>
    <col min="2572" max="2572" width="13" style="17" customWidth="1"/>
    <col min="2573" max="2573" width="14.1796875" style="17" customWidth="1"/>
    <col min="2574" max="2574" width="13" style="17" customWidth="1"/>
    <col min="2575" max="2575" width="14.1796875" style="17" customWidth="1"/>
    <col min="2576" max="2576" width="13" style="17" customWidth="1"/>
    <col min="2577" max="2577" width="14.1796875" style="17" customWidth="1"/>
    <col min="2578" max="2582" width="13" style="17" customWidth="1"/>
    <col min="2583" max="2583" width="16.81640625" style="17" customWidth="1"/>
    <col min="2584" max="2584" width="14.1796875" style="17" customWidth="1"/>
    <col min="2585" max="2585" width="13" style="17" customWidth="1"/>
    <col min="2586" max="2586" width="14.1796875" style="17" customWidth="1"/>
    <col min="2587" max="2588" width="13.36328125" style="17" customWidth="1"/>
    <col min="2589" max="2589" width="15.6328125" style="17" customWidth="1"/>
    <col min="2590" max="2590" width="14.36328125" style="17" customWidth="1"/>
    <col min="2591" max="2591" width="16" style="17" bestFit="1" customWidth="1"/>
    <col min="2592" max="2592" width="14.1796875" style="17" customWidth="1"/>
    <col min="2593" max="2593" width="13" style="17" customWidth="1"/>
    <col min="2594" max="2594" width="14.1796875" style="17" customWidth="1"/>
    <col min="2595" max="2595" width="13.36328125" style="17" customWidth="1"/>
    <col min="2596" max="2596" width="13.81640625" style="17" bestFit="1" customWidth="1"/>
    <col min="2597" max="2597" width="14.1796875" style="17" bestFit="1" customWidth="1"/>
    <col min="2598" max="2598" width="13.81640625" style="17" bestFit="1" customWidth="1"/>
    <col min="2599" max="2754" width="9.1796875" style="17"/>
    <col min="2755" max="2755" width="3.81640625" style="17" bestFit="1" customWidth="1"/>
    <col min="2756" max="2756" width="39.54296875" style="17" customWidth="1"/>
    <col min="2757" max="2757" width="16" style="17" customWidth="1"/>
    <col min="2758" max="2758" width="13" style="17" customWidth="1"/>
    <col min="2759" max="2759" width="16" style="17" customWidth="1"/>
    <col min="2760" max="2760" width="13" style="17" customWidth="1"/>
    <col min="2761" max="2761" width="14.1796875" style="17" customWidth="1"/>
    <col min="2762" max="2762" width="13" style="17" customWidth="1"/>
    <col min="2763" max="2763" width="14.90625" style="17" customWidth="1"/>
    <col min="2764" max="2764" width="13" style="17" customWidth="1"/>
    <col min="2765" max="2765" width="15.54296875" style="17" customWidth="1"/>
    <col min="2766" max="2766" width="13" style="17" customWidth="1"/>
    <col min="2767" max="2767" width="14.1796875" style="17" customWidth="1"/>
    <col min="2768" max="2768" width="13" style="17" customWidth="1"/>
    <col min="2769" max="2769" width="14.1796875" style="17" customWidth="1"/>
    <col min="2770" max="2770" width="13" style="17" customWidth="1"/>
    <col min="2771" max="2771" width="14.90625" style="17" customWidth="1"/>
    <col min="2772" max="2772" width="13" style="17" customWidth="1"/>
    <col min="2773" max="2773" width="15.54296875" style="17" customWidth="1"/>
    <col min="2774" max="2774" width="13" style="17" customWidth="1"/>
    <col min="2775" max="2775" width="14.1796875" style="17" customWidth="1"/>
    <col min="2776" max="2776" width="13" style="17" customWidth="1"/>
    <col min="2777" max="2777" width="15.54296875" style="17" customWidth="1"/>
    <col min="2778" max="2778" width="15.81640625" style="17" customWidth="1"/>
    <col min="2779" max="2779" width="14.1796875" style="17" customWidth="1"/>
    <col min="2780" max="2780" width="15.81640625" style="17" customWidth="1"/>
    <col min="2781" max="2781" width="15.54296875" style="17" customWidth="1"/>
    <col min="2782" max="2782" width="13" style="17" customWidth="1"/>
    <col min="2783" max="2783" width="14.1796875" style="17" customWidth="1"/>
    <col min="2784" max="2784" width="15.81640625" style="17" customWidth="1"/>
    <col min="2785" max="2785" width="16.453125" style="17" customWidth="1"/>
    <col min="2786" max="2786" width="15.54296875" style="17" customWidth="1"/>
    <col min="2787" max="2787" width="13" style="17" customWidth="1"/>
    <col min="2788" max="2788" width="16" style="17" customWidth="1"/>
    <col min="2789" max="2789" width="13" style="17" customWidth="1"/>
    <col min="2790" max="2790" width="11.08984375" style="17" customWidth="1"/>
    <col min="2791" max="2791" width="15.54296875" style="17" customWidth="1"/>
    <col min="2792" max="2792" width="13" style="17" customWidth="1"/>
    <col min="2793" max="2793" width="14.1796875" style="17" customWidth="1"/>
    <col min="2794" max="2794" width="15.81640625" style="17" customWidth="1"/>
    <col min="2795" max="2795" width="15.54296875" style="17" customWidth="1"/>
    <col min="2796" max="2796" width="13" style="17" customWidth="1"/>
    <col min="2797" max="2797" width="14.1796875" style="17" customWidth="1"/>
    <col min="2798" max="2798" width="15.81640625" style="17" customWidth="1"/>
    <col min="2799" max="2799" width="15.54296875" style="17" customWidth="1"/>
    <col min="2800" max="2800" width="13" style="17" customWidth="1"/>
    <col min="2801" max="2801" width="14.1796875" style="17" customWidth="1"/>
    <col min="2802" max="2802" width="15.81640625" style="17" customWidth="1"/>
    <col min="2803" max="2803" width="9.1796875" style="17"/>
    <col min="2804" max="2804" width="15.54296875" style="17" customWidth="1"/>
    <col min="2805" max="2805" width="13" style="17" customWidth="1"/>
    <col min="2806" max="2806" width="14.1796875" style="17" customWidth="1"/>
    <col min="2807" max="2807" width="15.81640625" style="17" customWidth="1"/>
    <col min="2808" max="2808" width="9.1796875" style="17"/>
    <col min="2809" max="2809" width="16" style="17" customWidth="1"/>
    <col min="2810" max="2810" width="13" style="17" customWidth="1"/>
    <col min="2811" max="2811" width="14.1796875" style="17" customWidth="1"/>
    <col min="2812" max="2812" width="13" style="17" customWidth="1"/>
    <col min="2813" max="2813" width="14.1796875" style="17" customWidth="1"/>
    <col min="2814" max="2814" width="13" style="17" customWidth="1"/>
    <col min="2815" max="2815" width="14.1796875" style="17" customWidth="1"/>
    <col min="2816" max="2816" width="13" style="17" customWidth="1"/>
    <col min="2817" max="2817" width="14.1796875" style="17" customWidth="1"/>
    <col min="2818" max="2818" width="13" style="17" customWidth="1"/>
    <col min="2819" max="2819" width="14.1796875" style="17" customWidth="1"/>
    <col min="2820" max="2821" width="13" style="17" customWidth="1"/>
    <col min="2822" max="2822" width="14.90625" style="17" bestFit="1" customWidth="1"/>
    <col min="2823" max="2823" width="13" style="17" customWidth="1"/>
    <col min="2824" max="2824" width="14.1796875" style="17" customWidth="1"/>
    <col min="2825" max="2825" width="13" style="17" customWidth="1"/>
    <col min="2826" max="2826" width="8.81640625" style="17" customWidth="1"/>
    <col min="2827" max="2827" width="14.1796875" style="17" customWidth="1"/>
    <col min="2828" max="2828" width="13" style="17" customWidth="1"/>
    <col min="2829" max="2829" width="14.1796875" style="17" customWidth="1"/>
    <col min="2830" max="2830" width="13" style="17" customWidth="1"/>
    <col min="2831" max="2831" width="14.1796875" style="17" customWidth="1"/>
    <col min="2832" max="2832" width="13" style="17" customWidth="1"/>
    <col min="2833" max="2833" width="14.1796875" style="17" customWidth="1"/>
    <col min="2834" max="2838" width="13" style="17" customWidth="1"/>
    <col min="2839" max="2839" width="16.81640625" style="17" customWidth="1"/>
    <col min="2840" max="2840" width="14.1796875" style="17" customWidth="1"/>
    <col min="2841" max="2841" width="13" style="17" customWidth="1"/>
    <col min="2842" max="2842" width="14.1796875" style="17" customWidth="1"/>
    <col min="2843" max="2844" width="13.36328125" style="17" customWidth="1"/>
    <col min="2845" max="2845" width="15.6328125" style="17" customWidth="1"/>
    <col min="2846" max="2846" width="14.36328125" style="17" customWidth="1"/>
    <col min="2847" max="2847" width="16" style="17" bestFit="1" customWidth="1"/>
    <col min="2848" max="2848" width="14.1796875" style="17" customWidth="1"/>
    <col min="2849" max="2849" width="13" style="17" customWidth="1"/>
    <col min="2850" max="2850" width="14.1796875" style="17" customWidth="1"/>
    <col min="2851" max="2851" width="13.36328125" style="17" customWidth="1"/>
    <col min="2852" max="2852" width="13.81640625" style="17" bestFit="1" customWidth="1"/>
    <col min="2853" max="2853" width="14.1796875" style="17" bestFit="1" customWidth="1"/>
    <col min="2854" max="2854" width="13.81640625" style="17" bestFit="1" customWidth="1"/>
    <col min="2855" max="3010" width="9.1796875" style="17"/>
    <col min="3011" max="3011" width="3.81640625" style="17" bestFit="1" customWidth="1"/>
    <col min="3012" max="3012" width="39.54296875" style="17" customWidth="1"/>
    <col min="3013" max="3013" width="16" style="17" customWidth="1"/>
    <col min="3014" max="3014" width="13" style="17" customWidth="1"/>
    <col min="3015" max="3015" width="16" style="17" customWidth="1"/>
    <col min="3016" max="3016" width="13" style="17" customWidth="1"/>
    <col min="3017" max="3017" width="14.1796875" style="17" customWidth="1"/>
    <col min="3018" max="3018" width="13" style="17" customWidth="1"/>
    <col min="3019" max="3019" width="14.90625" style="17" customWidth="1"/>
    <col min="3020" max="3020" width="13" style="17" customWidth="1"/>
    <col min="3021" max="3021" width="15.54296875" style="17" customWidth="1"/>
    <col min="3022" max="3022" width="13" style="17" customWidth="1"/>
    <col min="3023" max="3023" width="14.1796875" style="17" customWidth="1"/>
    <col min="3024" max="3024" width="13" style="17" customWidth="1"/>
    <col min="3025" max="3025" width="14.1796875" style="17" customWidth="1"/>
    <col min="3026" max="3026" width="13" style="17" customWidth="1"/>
    <col min="3027" max="3027" width="14.90625" style="17" customWidth="1"/>
    <col min="3028" max="3028" width="13" style="17" customWidth="1"/>
    <col min="3029" max="3029" width="15.54296875" style="17" customWidth="1"/>
    <col min="3030" max="3030" width="13" style="17" customWidth="1"/>
    <col min="3031" max="3031" width="14.1796875" style="17" customWidth="1"/>
    <col min="3032" max="3032" width="13" style="17" customWidth="1"/>
    <col min="3033" max="3033" width="15.54296875" style="17" customWidth="1"/>
    <col min="3034" max="3034" width="15.81640625" style="17" customWidth="1"/>
    <col min="3035" max="3035" width="14.1796875" style="17" customWidth="1"/>
    <col min="3036" max="3036" width="15.81640625" style="17" customWidth="1"/>
    <col min="3037" max="3037" width="15.54296875" style="17" customWidth="1"/>
    <col min="3038" max="3038" width="13" style="17" customWidth="1"/>
    <col min="3039" max="3039" width="14.1796875" style="17" customWidth="1"/>
    <col min="3040" max="3040" width="15.81640625" style="17" customWidth="1"/>
    <col min="3041" max="3041" width="16.453125" style="17" customWidth="1"/>
    <col min="3042" max="3042" width="15.54296875" style="17" customWidth="1"/>
    <col min="3043" max="3043" width="13" style="17" customWidth="1"/>
    <col min="3044" max="3044" width="16" style="17" customWidth="1"/>
    <col min="3045" max="3045" width="13" style="17" customWidth="1"/>
    <col min="3046" max="3046" width="11.08984375" style="17" customWidth="1"/>
    <col min="3047" max="3047" width="15.54296875" style="17" customWidth="1"/>
    <col min="3048" max="3048" width="13" style="17" customWidth="1"/>
    <col min="3049" max="3049" width="14.1796875" style="17" customWidth="1"/>
    <col min="3050" max="3050" width="15.81640625" style="17" customWidth="1"/>
    <col min="3051" max="3051" width="15.54296875" style="17" customWidth="1"/>
    <col min="3052" max="3052" width="13" style="17" customWidth="1"/>
    <col min="3053" max="3053" width="14.1796875" style="17" customWidth="1"/>
    <col min="3054" max="3054" width="15.81640625" style="17" customWidth="1"/>
    <col min="3055" max="3055" width="15.54296875" style="17" customWidth="1"/>
    <col min="3056" max="3056" width="13" style="17" customWidth="1"/>
    <col min="3057" max="3057" width="14.1796875" style="17" customWidth="1"/>
    <col min="3058" max="3058" width="15.81640625" style="17" customWidth="1"/>
    <col min="3059" max="3059" width="9.1796875" style="17"/>
    <col min="3060" max="3060" width="15.54296875" style="17" customWidth="1"/>
    <col min="3061" max="3061" width="13" style="17" customWidth="1"/>
    <col min="3062" max="3062" width="14.1796875" style="17" customWidth="1"/>
    <col min="3063" max="3063" width="15.81640625" style="17" customWidth="1"/>
    <col min="3064" max="3064" width="9.1796875" style="17"/>
    <col min="3065" max="3065" width="16" style="17" customWidth="1"/>
    <col min="3066" max="3066" width="13" style="17" customWidth="1"/>
    <col min="3067" max="3067" width="14.1796875" style="17" customWidth="1"/>
    <col min="3068" max="3068" width="13" style="17" customWidth="1"/>
    <col min="3069" max="3069" width="14.1796875" style="17" customWidth="1"/>
    <col min="3070" max="3070" width="13" style="17" customWidth="1"/>
    <col min="3071" max="3071" width="14.1796875" style="17" customWidth="1"/>
    <col min="3072" max="3072" width="13" style="17" customWidth="1"/>
    <col min="3073" max="3073" width="14.1796875" style="17" customWidth="1"/>
    <col min="3074" max="3074" width="13" style="17" customWidth="1"/>
    <col min="3075" max="3075" width="14.1796875" style="17" customWidth="1"/>
    <col min="3076" max="3077" width="13" style="17" customWidth="1"/>
    <col min="3078" max="3078" width="14.90625" style="17" bestFit="1" customWidth="1"/>
    <col min="3079" max="3079" width="13" style="17" customWidth="1"/>
    <col min="3080" max="3080" width="14.1796875" style="17" customWidth="1"/>
    <col min="3081" max="3081" width="13" style="17" customWidth="1"/>
    <col min="3082" max="3082" width="8.81640625" style="17" customWidth="1"/>
    <col min="3083" max="3083" width="14.1796875" style="17" customWidth="1"/>
    <col min="3084" max="3084" width="13" style="17" customWidth="1"/>
    <col min="3085" max="3085" width="14.1796875" style="17" customWidth="1"/>
    <col min="3086" max="3086" width="13" style="17" customWidth="1"/>
    <col min="3087" max="3087" width="14.1796875" style="17" customWidth="1"/>
    <col min="3088" max="3088" width="13" style="17" customWidth="1"/>
    <col min="3089" max="3089" width="14.1796875" style="17" customWidth="1"/>
    <col min="3090" max="3094" width="13" style="17" customWidth="1"/>
    <col min="3095" max="3095" width="16.81640625" style="17" customWidth="1"/>
    <col min="3096" max="3096" width="14.1796875" style="17" customWidth="1"/>
    <col min="3097" max="3097" width="13" style="17" customWidth="1"/>
    <col min="3098" max="3098" width="14.1796875" style="17" customWidth="1"/>
    <col min="3099" max="3100" width="13.36328125" style="17" customWidth="1"/>
    <col min="3101" max="3101" width="15.6328125" style="17" customWidth="1"/>
    <col min="3102" max="3102" width="14.36328125" style="17" customWidth="1"/>
    <col min="3103" max="3103" width="16" style="17" bestFit="1" customWidth="1"/>
    <col min="3104" max="3104" width="14.1796875" style="17" customWidth="1"/>
    <col min="3105" max="3105" width="13" style="17" customWidth="1"/>
    <col min="3106" max="3106" width="14.1796875" style="17" customWidth="1"/>
    <col min="3107" max="3107" width="13.36328125" style="17" customWidth="1"/>
    <col min="3108" max="3108" width="13.81640625" style="17" bestFit="1" customWidth="1"/>
    <col min="3109" max="3109" width="14.1796875" style="17" bestFit="1" customWidth="1"/>
    <col min="3110" max="3110" width="13.81640625" style="17" bestFit="1" customWidth="1"/>
    <col min="3111" max="3266" width="9.1796875" style="17"/>
    <col min="3267" max="3267" width="3.81640625" style="17" bestFit="1" customWidth="1"/>
    <col min="3268" max="3268" width="39.54296875" style="17" customWidth="1"/>
    <col min="3269" max="3269" width="16" style="17" customWidth="1"/>
    <col min="3270" max="3270" width="13" style="17" customWidth="1"/>
    <col min="3271" max="3271" width="16" style="17" customWidth="1"/>
    <col min="3272" max="3272" width="13" style="17" customWidth="1"/>
    <col min="3273" max="3273" width="14.1796875" style="17" customWidth="1"/>
    <col min="3274" max="3274" width="13" style="17" customWidth="1"/>
    <col min="3275" max="3275" width="14.90625" style="17" customWidth="1"/>
    <col min="3276" max="3276" width="13" style="17" customWidth="1"/>
    <col min="3277" max="3277" width="15.54296875" style="17" customWidth="1"/>
    <col min="3278" max="3278" width="13" style="17" customWidth="1"/>
    <col min="3279" max="3279" width="14.1796875" style="17" customWidth="1"/>
    <col min="3280" max="3280" width="13" style="17" customWidth="1"/>
    <col min="3281" max="3281" width="14.1796875" style="17" customWidth="1"/>
    <col min="3282" max="3282" width="13" style="17" customWidth="1"/>
    <col min="3283" max="3283" width="14.90625" style="17" customWidth="1"/>
    <col min="3284" max="3284" width="13" style="17" customWidth="1"/>
    <col min="3285" max="3285" width="15.54296875" style="17" customWidth="1"/>
    <col min="3286" max="3286" width="13" style="17" customWidth="1"/>
    <col min="3287" max="3287" width="14.1796875" style="17" customWidth="1"/>
    <col min="3288" max="3288" width="13" style="17" customWidth="1"/>
    <col min="3289" max="3289" width="15.54296875" style="17" customWidth="1"/>
    <col min="3290" max="3290" width="15.81640625" style="17" customWidth="1"/>
    <col min="3291" max="3291" width="14.1796875" style="17" customWidth="1"/>
    <col min="3292" max="3292" width="15.81640625" style="17" customWidth="1"/>
    <col min="3293" max="3293" width="15.54296875" style="17" customWidth="1"/>
    <col min="3294" max="3294" width="13" style="17" customWidth="1"/>
    <col min="3295" max="3295" width="14.1796875" style="17" customWidth="1"/>
    <col min="3296" max="3296" width="15.81640625" style="17" customWidth="1"/>
    <col min="3297" max="3297" width="16.453125" style="17" customWidth="1"/>
    <col min="3298" max="3298" width="15.54296875" style="17" customWidth="1"/>
    <col min="3299" max="3299" width="13" style="17" customWidth="1"/>
    <col min="3300" max="3300" width="16" style="17" customWidth="1"/>
    <col min="3301" max="3301" width="13" style="17" customWidth="1"/>
    <col min="3302" max="3302" width="11.08984375" style="17" customWidth="1"/>
    <col min="3303" max="3303" width="15.54296875" style="17" customWidth="1"/>
    <col min="3304" max="3304" width="13" style="17" customWidth="1"/>
    <col min="3305" max="3305" width="14.1796875" style="17" customWidth="1"/>
    <col min="3306" max="3306" width="15.81640625" style="17" customWidth="1"/>
    <col min="3307" max="3307" width="15.54296875" style="17" customWidth="1"/>
    <col min="3308" max="3308" width="13" style="17" customWidth="1"/>
    <col min="3309" max="3309" width="14.1796875" style="17" customWidth="1"/>
    <col min="3310" max="3310" width="15.81640625" style="17" customWidth="1"/>
    <col min="3311" max="3311" width="15.54296875" style="17" customWidth="1"/>
    <col min="3312" max="3312" width="13" style="17" customWidth="1"/>
    <col min="3313" max="3313" width="14.1796875" style="17" customWidth="1"/>
    <col min="3314" max="3314" width="15.81640625" style="17" customWidth="1"/>
    <col min="3315" max="3315" width="9.1796875" style="17"/>
    <col min="3316" max="3316" width="15.54296875" style="17" customWidth="1"/>
    <col min="3317" max="3317" width="13" style="17" customWidth="1"/>
    <col min="3318" max="3318" width="14.1796875" style="17" customWidth="1"/>
    <col min="3319" max="3319" width="15.81640625" style="17" customWidth="1"/>
    <col min="3320" max="3320" width="9.1796875" style="17"/>
    <col min="3321" max="3321" width="16" style="17" customWidth="1"/>
    <col min="3322" max="3322" width="13" style="17" customWidth="1"/>
    <col min="3323" max="3323" width="14.1796875" style="17" customWidth="1"/>
    <col min="3324" max="3324" width="13" style="17" customWidth="1"/>
    <col min="3325" max="3325" width="14.1796875" style="17" customWidth="1"/>
    <col min="3326" max="3326" width="13" style="17" customWidth="1"/>
    <col min="3327" max="3327" width="14.1796875" style="17" customWidth="1"/>
    <col min="3328" max="3328" width="13" style="17" customWidth="1"/>
    <col min="3329" max="3329" width="14.1796875" style="17" customWidth="1"/>
    <col min="3330" max="3330" width="13" style="17" customWidth="1"/>
    <col min="3331" max="3331" width="14.1796875" style="17" customWidth="1"/>
    <col min="3332" max="3333" width="13" style="17" customWidth="1"/>
    <col min="3334" max="3334" width="14.90625" style="17" bestFit="1" customWidth="1"/>
    <col min="3335" max="3335" width="13" style="17" customWidth="1"/>
    <col min="3336" max="3336" width="14.1796875" style="17" customWidth="1"/>
    <col min="3337" max="3337" width="13" style="17" customWidth="1"/>
    <col min="3338" max="3338" width="8.81640625" style="17" customWidth="1"/>
    <col min="3339" max="3339" width="14.1796875" style="17" customWidth="1"/>
    <col min="3340" max="3340" width="13" style="17" customWidth="1"/>
    <col min="3341" max="3341" width="14.1796875" style="17" customWidth="1"/>
    <col min="3342" max="3342" width="13" style="17" customWidth="1"/>
    <col min="3343" max="3343" width="14.1796875" style="17" customWidth="1"/>
    <col min="3344" max="3344" width="13" style="17" customWidth="1"/>
    <col min="3345" max="3345" width="14.1796875" style="17" customWidth="1"/>
    <col min="3346" max="3350" width="13" style="17" customWidth="1"/>
    <col min="3351" max="3351" width="16.81640625" style="17" customWidth="1"/>
    <col min="3352" max="3352" width="14.1796875" style="17" customWidth="1"/>
    <col min="3353" max="3353" width="13" style="17" customWidth="1"/>
    <col min="3354" max="3354" width="14.1796875" style="17" customWidth="1"/>
    <col min="3355" max="3356" width="13.36328125" style="17" customWidth="1"/>
    <col min="3357" max="3357" width="15.6328125" style="17" customWidth="1"/>
    <col min="3358" max="3358" width="14.36328125" style="17" customWidth="1"/>
    <col min="3359" max="3359" width="16" style="17" bestFit="1" customWidth="1"/>
    <col min="3360" max="3360" width="14.1796875" style="17" customWidth="1"/>
    <col min="3361" max="3361" width="13" style="17" customWidth="1"/>
    <col min="3362" max="3362" width="14.1796875" style="17" customWidth="1"/>
    <col min="3363" max="3363" width="13.36328125" style="17" customWidth="1"/>
    <col min="3364" max="3364" width="13.81640625" style="17" bestFit="1" customWidth="1"/>
    <col min="3365" max="3365" width="14.1796875" style="17" bestFit="1" customWidth="1"/>
    <col min="3366" max="3366" width="13.81640625" style="17" bestFit="1" customWidth="1"/>
    <col min="3367" max="3522" width="9.1796875" style="17"/>
    <col min="3523" max="3523" width="3.81640625" style="17" bestFit="1" customWidth="1"/>
    <col min="3524" max="3524" width="39.54296875" style="17" customWidth="1"/>
    <col min="3525" max="3525" width="16" style="17" customWidth="1"/>
    <col min="3526" max="3526" width="13" style="17" customWidth="1"/>
    <col min="3527" max="3527" width="16" style="17" customWidth="1"/>
    <col min="3528" max="3528" width="13" style="17" customWidth="1"/>
    <col min="3529" max="3529" width="14.1796875" style="17" customWidth="1"/>
    <col min="3530" max="3530" width="13" style="17" customWidth="1"/>
    <col min="3531" max="3531" width="14.90625" style="17" customWidth="1"/>
    <col min="3532" max="3532" width="13" style="17" customWidth="1"/>
    <col min="3533" max="3533" width="15.54296875" style="17" customWidth="1"/>
    <col min="3534" max="3534" width="13" style="17" customWidth="1"/>
    <col min="3535" max="3535" width="14.1796875" style="17" customWidth="1"/>
    <col min="3536" max="3536" width="13" style="17" customWidth="1"/>
    <col min="3537" max="3537" width="14.1796875" style="17" customWidth="1"/>
    <col min="3538" max="3538" width="13" style="17" customWidth="1"/>
    <col min="3539" max="3539" width="14.90625" style="17" customWidth="1"/>
    <col min="3540" max="3540" width="13" style="17" customWidth="1"/>
    <col min="3541" max="3541" width="15.54296875" style="17" customWidth="1"/>
    <col min="3542" max="3542" width="13" style="17" customWidth="1"/>
    <col min="3543" max="3543" width="14.1796875" style="17" customWidth="1"/>
    <col min="3544" max="3544" width="13" style="17" customWidth="1"/>
    <col min="3545" max="3545" width="15.54296875" style="17" customWidth="1"/>
    <col min="3546" max="3546" width="15.81640625" style="17" customWidth="1"/>
    <col min="3547" max="3547" width="14.1796875" style="17" customWidth="1"/>
    <col min="3548" max="3548" width="15.81640625" style="17" customWidth="1"/>
    <col min="3549" max="3549" width="15.54296875" style="17" customWidth="1"/>
    <col min="3550" max="3550" width="13" style="17" customWidth="1"/>
    <col min="3551" max="3551" width="14.1796875" style="17" customWidth="1"/>
    <col min="3552" max="3552" width="15.81640625" style="17" customWidth="1"/>
    <col min="3553" max="3553" width="16.453125" style="17" customWidth="1"/>
    <col min="3554" max="3554" width="15.54296875" style="17" customWidth="1"/>
    <col min="3555" max="3555" width="13" style="17" customWidth="1"/>
    <col min="3556" max="3556" width="16" style="17" customWidth="1"/>
    <col min="3557" max="3557" width="13" style="17" customWidth="1"/>
    <col min="3558" max="3558" width="11.08984375" style="17" customWidth="1"/>
    <col min="3559" max="3559" width="15.54296875" style="17" customWidth="1"/>
    <col min="3560" max="3560" width="13" style="17" customWidth="1"/>
    <col min="3561" max="3561" width="14.1796875" style="17" customWidth="1"/>
    <col min="3562" max="3562" width="15.81640625" style="17" customWidth="1"/>
    <col min="3563" max="3563" width="15.54296875" style="17" customWidth="1"/>
    <col min="3564" max="3564" width="13" style="17" customWidth="1"/>
    <col min="3565" max="3565" width="14.1796875" style="17" customWidth="1"/>
    <col min="3566" max="3566" width="15.81640625" style="17" customWidth="1"/>
    <col min="3567" max="3567" width="15.54296875" style="17" customWidth="1"/>
    <col min="3568" max="3568" width="13" style="17" customWidth="1"/>
    <col min="3569" max="3569" width="14.1796875" style="17" customWidth="1"/>
    <col min="3570" max="3570" width="15.81640625" style="17" customWidth="1"/>
    <col min="3571" max="3571" width="9.1796875" style="17"/>
    <col min="3572" max="3572" width="15.54296875" style="17" customWidth="1"/>
    <col min="3573" max="3573" width="13" style="17" customWidth="1"/>
    <col min="3574" max="3574" width="14.1796875" style="17" customWidth="1"/>
    <col min="3575" max="3575" width="15.81640625" style="17" customWidth="1"/>
    <col min="3576" max="3576" width="9.1796875" style="17"/>
    <col min="3577" max="3577" width="16" style="17" customWidth="1"/>
    <col min="3578" max="3578" width="13" style="17" customWidth="1"/>
    <col min="3579" max="3579" width="14.1796875" style="17" customWidth="1"/>
    <col min="3580" max="3580" width="13" style="17" customWidth="1"/>
    <col min="3581" max="3581" width="14.1796875" style="17" customWidth="1"/>
    <col min="3582" max="3582" width="13" style="17" customWidth="1"/>
    <col min="3583" max="3583" width="14.1796875" style="17" customWidth="1"/>
    <col min="3584" max="3584" width="13" style="17" customWidth="1"/>
    <col min="3585" max="3585" width="14.1796875" style="17" customWidth="1"/>
    <col min="3586" max="3586" width="13" style="17" customWidth="1"/>
    <col min="3587" max="3587" width="14.1796875" style="17" customWidth="1"/>
    <col min="3588" max="3589" width="13" style="17" customWidth="1"/>
    <col min="3590" max="3590" width="14.90625" style="17" bestFit="1" customWidth="1"/>
    <col min="3591" max="3591" width="13" style="17" customWidth="1"/>
    <col min="3592" max="3592" width="14.1796875" style="17" customWidth="1"/>
    <col min="3593" max="3593" width="13" style="17" customWidth="1"/>
    <col min="3594" max="3594" width="8.81640625" style="17" customWidth="1"/>
    <col min="3595" max="3595" width="14.1796875" style="17" customWidth="1"/>
    <col min="3596" max="3596" width="13" style="17" customWidth="1"/>
    <col min="3597" max="3597" width="14.1796875" style="17" customWidth="1"/>
    <col min="3598" max="3598" width="13" style="17" customWidth="1"/>
    <col min="3599" max="3599" width="14.1796875" style="17" customWidth="1"/>
    <col min="3600" max="3600" width="13" style="17" customWidth="1"/>
    <col min="3601" max="3601" width="14.1796875" style="17" customWidth="1"/>
    <col min="3602" max="3606" width="13" style="17" customWidth="1"/>
    <col min="3607" max="3607" width="16.81640625" style="17" customWidth="1"/>
    <col min="3608" max="3608" width="14.1796875" style="17" customWidth="1"/>
    <col min="3609" max="3609" width="13" style="17" customWidth="1"/>
    <col min="3610" max="3610" width="14.1796875" style="17" customWidth="1"/>
    <col min="3611" max="3612" width="13.36328125" style="17" customWidth="1"/>
    <col min="3613" max="3613" width="15.6328125" style="17" customWidth="1"/>
    <col min="3614" max="3614" width="14.36328125" style="17" customWidth="1"/>
    <col min="3615" max="3615" width="16" style="17" bestFit="1" customWidth="1"/>
    <col min="3616" max="3616" width="14.1796875" style="17" customWidth="1"/>
    <col min="3617" max="3617" width="13" style="17" customWidth="1"/>
    <col min="3618" max="3618" width="14.1796875" style="17" customWidth="1"/>
    <col min="3619" max="3619" width="13.36328125" style="17" customWidth="1"/>
    <col min="3620" max="3620" width="13.81640625" style="17" bestFit="1" customWidth="1"/>
    <col min="3621" max="3621" width="14.1796875" style="17" bestFit="1" customWidth="1"/>
    <col min="3622" max="3622" width="13.81640625" style="17" bestFit="1" customWidth="1"/>
    <col min="3623" max="3778" width="9.1796875" style="17"/>
    <col min="3779" max="3779" width="3.81640625" style="17" bestFit="1" customWidth="1"/>
    <col min="3780" max="3780" width="39.54296875" style="17" customWidth="1"/>
    <col min="3781" max="3781" width="16" style="17" customWidth="1"/>
    <col min="3782" max="3782" width="13" style="17" customWidth="1"/>
    <col min="3783" max="3783" width="16" style="17" customWidth="1"/>
    <col min="3784" max="3784" width="13" style="17" customWidth="1"/>
    <col min="3785" max="3785" width="14.1796875" style="17" customWidth="1"/>
    <col min="3786" max="3786" width="13" style="17" customWidth="1"/>
    <col min="3787" max="3787" width="14.90625" style="17" customWidth="1"/>
    <col min="3788" max="3788" width="13" style="17" customWidth="1"/>
    <col min="3789" max="3789" width="15.54296875" style="17" customWidth="1"/>
    <col min="3790" max="3790" width="13" style="17" customWidth="1"/>
    <col min="3791" max="3791" width="14.1796875" style="17" customWidth="1"/>
    <col min="3792" max="3792" width="13" style="17" customWidth="1"/>
    <col min="3793" max="3793" width="14.1796875" style="17" customWidth="1"/>
    <col min="3794" max="3794" width="13" style="17" customWidth="1"/>
    <col min="3795" max="3795" width="14.90625" style="17" customWidth="1"/>
    <col min="3796" max="3796" width="13" style="17" customWidth="1"/>
    <col min="3797" max="3797" width="15.54296875" style="17" customWidth="1"/>
    <col min="3798" max="3798" width="13" style="17" customWidth="1"/>
    <col min="3799" max="3799" width="14.1796875" style="17" customWidth="1"/>
    <col min="3800" max="3800" width="13" style="17" customWidth="1"/>
    <col min="3801" max="3801" width="15.54296875" style="17" customWidth="1"/>
    <col min="3802" max="3802" width="15.81640625" style="17" customWidth="1"/>
    <col min="3803" max="3803" width="14.1796875" style="17" customWidth="1"/>
    <col min="3804" max="3804" width="15.81640625" style="17" customWidth="1"/>
    <col min="3805" max="3805" width="15.54296875" style="17" customWidth="1"/>
    <col min="3806" max="3806" width="13" style="17" customWidth="1"/>
    <col min="3807" max="3807" width="14.1796875" style="17" customWidth="1"/>
    <col min="3808" max="3808" width="15.81640625" style="17" customWidth="1"/>
    <col min="3809" max="3809" width="16.453125" style="17" customWidth="1"/>
    <col min="3810" max="3810" width="15.54296875" style="17" customWidth="1"/>
    <col min="3811" max="3811" width="13" style="17" customWidth="1"/>
    <col min="3812" max="3812" width="16" style="17" customWidth="1"/>
    <col min="3813" max="3813" width="13" style="17" customWidth="1"/>
    <col min="3814" max="3814" width="11.08984375" style="17" customWidth="1"/>
    <col min="3815" max="3815" width="15.54296875" style="17" customWidth="1"/>
    <col min="3816" max="3816" width="13" style="17" customWidth="1"/>
    <col min="3817" max="3817" width="14.1796875" style="17" customWidth="1"/>
    <col min="3818" max="3818" width="15.81640625" style="17" customWidth="1"/>
    <col min="3819" max="3819" width="15.54296875" style="17" customWidth="1"/>
    <col min="3820" max="3820" width="13" style="17" customWidth="1"/>
    <col min="3821" max="3821" width="14.1796875" style="17" customWidth="1"/>
    <col min="3822" max="3822" width="15.81640625" style="17" customWidth="1"/>
    <col min="3823" max="3823" width="15.54296875" style="17" customWidth="1"/>
    <col min="3824" max="3824" width="13" style="17" customWidth="1"/>
    <col min="3825" max="3825" width="14.1796875" style="17" customWidth="1"/>
    <col min="3826" max="3826" width="15.81640625" style="17" customWidth="1"/>
    <col min="3827" max="3827" width="9.1796875" style="17"/>
    <col min="3828" max="3828" width="15.54296875" style="17" customWidth="1"/>
    <col min="3829" max="3829" width="13" style="17" customWidth="1"/>
    <col min="3830" max="3830" width="14.1796875" style="17" customWidth="1"/>
    <col min="3831" max="3831" width="15.81640625" style="17" customWidth="1"/>
    <col min="3832" max="3832" width="9.1796875" style="17"/>
    <col min="3833" max="3833" width="16" style="17" customWidth="1"/>
    <col min="3834" max="3834" width="13" style="17" customWidth="1"/>
    <col min="3835" max="3835" width="14.1796875" style="17" customWidth="1"/>
    <col min="3836" max="3836" width="13" style="17" customWidth="1"/>
    <col min="3837" max="3837" width="14.1796875" style="17" customWidth="1"/>
    <col min="3838" max="3838" width="13" style="17" customWidth="1"/>
    <col min="3839" max="3839" width="14.1796875" style="17" customWidth="1"/>
    <col min="3840" max="3840" width="13" style="17" customWidth="1"/>
    <col min="3841" max="3841" width="14.1796875" style="17" customWidth="1"/>
    <col min="3842" max="3842" width="13" style="17" customWidth="1"/>
    <col min="3843" max="3843" width="14.1796875" style="17" customWidth="1"/>
    <col min="3844" max="3845" width="13" style="17" customWidth="1"/>
    <col min="3846" max="3846" width="14.90625" style="17" bestFit="1" customWidth="1"/>
    <col min="3847" max="3847" width="13" style="17" customWidth="1"/>
    <col min="3848" max="3848" width="14.1796875" style="17" customWidth="1"/>
    <col min="3849" max="3849" width="13" style="17" customWidth="1"/>
    <col min="3850" max="3850" width="8.81640625" style="17" customWidth="1"/>
    <col min="3851" max="3851" width="14.1796875" style="17" customWidth="1"/>
    <col min="3852" max="3852" width="13" style="17" customWidth="1"/>
    <col min="3853" max="3853" width="14.1796875" style="17" customWidth="1"/>
    <col min="3854" max="3854" width="13" style="17" customWidth="1"/>
    <col min="3855" max="3855" width="14.1796875" style="17" customWidth="1"/>
    <col min="3856" max="3856" width="13" style="17" customWidth="1"/>
    <col min="3857" max="3857" width="14.1796875" style="17" customWidth="1"/>
    <col min="3858" max="3862" width="13" style="17" customWidth="1"/>
    <col min="3863" max="3863" width="16.81640625" style="17" customWidth="1"/>
    <col min="3864" max="3864" width="14.1796875" style="17" customWidth="1"/>
    <col min="3865" max="3865" width="13" style="17" customWidth="1"/>
    <col min="3866" max="3866" width="14.1796875" style="17" customWidth="1"/>
    <col min="3867" max="3868" width="13.36328125" style="17" customWidth="1"/>
    <col min="3869" max="3869" width="15.6328125" style="17" customWidth="1"/>
    <col min="3870" max="3870" width="14.36328125" style="17" customWidth="1"/>
    <col min="3871" max="3871" width="16" style="17" bestFit="1" customWidth="1"/>
    <col min="3872" max="3872" width="14.1796875" style="17" customWidth="1"/>
    <col min="3873" max="3873" width="13" style="17" customWidth="1"/>
    <col min="3874" max="3874" width="14.1796875" style="17" customWidth="1"/>
    <col min="3875" max="3875" width="13.36328125" style="17" customWidth="1"/>
    <col min="3876" max="3876" width="13.81640625" style="17" bestFit="1" customWidth="1"/>
    <col min="3877" max="3877" width="14.1796875" style="17" bestFit="1" customWidth="1"/>
    <col min="3878" max="3878" width="13.81640625" style="17" bestFit="1" customWidth="1"/>
    <col min="3879" max="4034" width="9.1796875" style="17"/>
    <col min="4035" max="4035" width="3.81640625" style="17" bestFit="1" customWidth="1"/>
    <col min="4036" max="4036" width="39.54296875" style="17" customWidth="1"/>
    <col min="4037" max="4037" width="16" style="17" customWidth="1"/>
    <col min="4038" max="4038" width="13" style="17" customWidth="1"/>
    <col min="4039" max="4039" width="16" style="17" customWidth="1"/>
    <col min="4040" max="4040" width="13" style="17" customWidth="1"/>
    <col min="4041" max="4041" width="14.1796875" style="17" customWidth="1"/>
    <col min="4042" max="4042" width="13" style="17" customWidth="1"/>
    <col min="4043" max="4043" width="14.90625" style="17" customWidth="1"/>
    <col min="4044" max="4044" width="13" style="17" customWidth="1"/>
    <col min="4045" max="4045" width="15.54296875" style="17" customWidth="1"/>
    <col min="4046" max="4046" width="13" style="17" customWidth="1"/>
    <col min="4047" max="4047" width="14.1796875" style="17" customWidth="1"/>
    <col min="4048" max="4048" width="13" style="17" customWidth="1"/>
    <col min="4049" max="4049" width="14.1796875" style="17" customWidth="1"/>
    <col min="4050" max="4050" width="13" style="17" customWidth="1"/>
    <col min="4051" max="4051" width="14.90625" style="17" customWidth="1"/>
    <col min="4052" max="4052" width="13" style="17" customWidth="1"/>
    <col min="4053" max="4053" width="15.54296875" style="17" customWidth="1"/>
    <col min="4054" max="4054" width="13" style="17" customWidth="1"/>
    <col min="4055" max="4055" width="14.1796875" style="17" customWidth="1"/>
    <col min="4056" max="4056" width="13" style="17" customWidth="1"/>
    <col min="4057" max="4057" width="15.54296875" style="17" customWidth="1"/>
    <col min="4058" max="4058" width="15.81640625" style="17" customWidth="1"/>
    <col min="4059" max="4059" width="14.1796875" style="17" customWidth="1"/>
    <col min="4060" max="4060" width="15.81640625" style="17" customWidth="1"/>
    <col min="4061" max="4061" width="15.54296875" style="17" customWidth="1"/>
    <col min="4062" max="4062" width="13" style="17" customWidth="1"/>
    <col min="4063" max="4063" width="14.1796875" style="17" customWidth="1"/>
    <col min="4064" max="4064" width="15.81640625" style="17" customWidth="1"/>
    <col min="4065" max="4065" width="16.453125" style="17" customWidth="1"/>
    <col min="4066" max="4066" width="15.54296875" style="17" customWidth="1"/>
    <col min="4067" max="4067" width="13" style="17" customWidth="1"/>
    <col min="4068" max="4068" width="16" style="17" customWidth="1"/>
    <col min="4069" max="4069" width="13" style="17" customWidth="1"/>
    <col min="4070" max="4070" width="11.08984375" style="17" customWidth="1"/>
    <col min="4071" max="4071" width="15.54296875" style="17" customWidth="1"/>
    <col min="4072" max="4072" width="13" style="17" customWidth="1"/>
    <col min="4073" max="4073" width="14.1796875" style="17" customWidth="1"/>
    <col min="4074" max="4074" width="15.81640625" style="17" customWidth="1"/>
    <col min="4075" max="4075" width="15.54296875" style="17" customWidth="1"/>
    <col min="4076" max="4076" width="13" style="17" customWidth="1"/>
    <col min="4077" max="4077" width="14.1796875" style="17" customWidth="1"/>
    <col min="4078" max="4078" width="15.81640625" style="17" customWidth="1"/>
    <col min="4079" max="4079" width="15.54296875" style="17" customWidth="1"/>
    <col min="4080" max="4080" width="13" style="17" customWidth="1"/>
    <col min="4081" max="4081" width="14.1796875" style="17" customWidth="1"/>
    <col min="4082" max="4082" width="15.81640625" style="17" customWidth="1"/>
    <col min="4083" max="4083" width="9.1796875" style="17"/>
    <col min="4084" max="4084" width="15.54296875" style="17" customWidth="1"/>
    <col min="4085" max="4085" width="13" style="17" customWidth="1"/>
    <col min="4086" max="4086" width="14.1796875" style="17" customWidth="1"/>
    <col min="4087" max="4087" width="15.81640625" style="17" customWidth="1"/>
    <col min="4088" max="4088" width="9.1796875" style="17"/>
    <col min="4089" max="4089" width="16" style="17" customWidth="1"/>
    <col min="4090" max="4090" width="13" style="17" customWidth="1"/>
    <col min="4091" max="4091" width="14.1796875" style="17" customWidth="1"/>
    <col min="4092" max="4092" width="13" style="17" customWidth="1"/>
    <col min="4093" max="4093" width="14.1796875" style="17" customWidth="1"/>
    <col min="4094" max="4094" width="13" style="17" customWidth="1"/>
    <col min="4095" max="4095" width="14.1796875" style="17" customWidth="1"/>
    <col min="4096" max="4096" width="13" style="17" customWidth="1"/>
    <col min="4097" max="4097" width="14.1796875" style="17" customWidth="1"/>
    <col min="4098" max="4098" width="13" style="17" customWidth="1"/>
    <col min="4099" max="4099" width="14.1796875" style="17" customWidth="1"/>
    <col min="4100" max="4101" width="13" style="17" customWidth="1"/>
    <col min="4102" max="4102" width="14.90625" style="17" bestFit="1" customWidth="1"/>
    <col min="4103" max="4103" width="13" style="17" customWidth="1"/>
    <col min="4104" max="4104" width="14.1796875" style="17" customWidth="1"/>
    <col min="4105" max="4105" width="13" style="17" customWidth="1"/>
    <col min="4106" max="4106" width="8.81640625" style="17" customWidth="1"/>
    <col min="4107" max="4107" width="14.1796875" style="17" customWidth="1"/>
    <col min="4108" max="4108" width="13" style="17" customWidth="1"/>
    <col min="4109" max="4109" width="14.1796875" style="17" customWidth="1"/>
    <col min="4110" max="4110" width="13" style="17" customWidth="1"/>
    <col min="4111" max="4111" width="14.1796875" style="17" customWidth="1"/>
    <col min="4112" max="4112" width="13" style="17" customWidth="1"/>
    <col min="4113" max="4113" width="14.1796875" style="17" customWidth="1"/>
    <col min="4114" max="4118" width="13" style="17" customWidth="1"/>
    <col min="4119" max="4119" width="16.81640625" style="17" customWidth="1"/>
    <col min="4120" max="4120" width="14.1796875" style="17" customWidth="1"/>
    <col min="4121" max="4121" width="13" style="17" customWidth="1"/>
    <col min="4122" max="4122" width="14.1796875" style="17" customWidth="1"/>
    <col min="4123" max="4124" width="13.36328125" style="17" customWidth="1"/>
    <col min="4125" max="4125" width="15.6328125" style="17" customWidth="1"/>
    <col min="4126" max="4126" width="14.36328125" style="17" customWidth="1"/>
    <col min="4127" max="4127" width="16" style="17" bestFit="1" customWidth="1"/>
    <col min="4128" max="4128" width="14.1796875" style="17" customWidth="1"/>
    <col min="4129" max="4129" width="13" style="17" customWidth="1"/>
    <col min="4130" max="4130" width="14.1796875" style="17" customWidth="1"/>
    <col min="4131" max="4131" width="13.36328125" style="17" customWidth="1"/>
    <col min="4132" max="4132" width="13.81640625" style="17" bestFit="1" customWidth="1"/>
    <col min="4133" max="4133" width="14.1796875" style="17" bestFit="1" customWidth="1"/>
    <col min="4134" max="4134" width="13.81640625" style="17" bestFit="1" customWidth="1"/>
    <col min="4135" max="4290" width="9.1796875" style="17"/>
    <col min="4291" max="4291" width="3.81640625" style="17" bestFit="1" customWidth="1"/>
    <col min="4292" max="4292" width="39.54296875" style="17" customWidth="1"/>
    <col min="4293" max="4293" width="16" style="17" customWidth="1"/>
    <col min="4294" max="4294" width="13" style="17" customWidth="1"/>
    <col min="4295" max="4295" width="16" style="17" customWidth="1"/>
    <col min="4296" max="4296" width="13" style="17" customWidth="1"/>
    <col min="4297" max="4297" width="14.1796875" style="17" customWidth="1"/>
    <col min="4298" max="4298" width="13" style="17" customWidth="1"/>
    <col min="4299" max="4299" width="14.90625" style="17" customWidth="1"/>
    <col min="4300" max="4300" width="13" style="17" customWidth="1"/>
    <col min="4301" max="4301" width="15.54296875" style="17" customWidth="1"/>
    <col min="4302" max="4302" width="13" style="17" customWidth="1"/>
    <col min="4303" max="4303" width="14.1796875" style="17" customWidth="1"/>
    <col min="4304" max="4304" width="13" style="17" customWidth="1"/>
    <col min="4305" max="4305" width="14.1796875" style="17" customWidth="1"/>
    <col min="4306" max="4306" width="13" style="17" customWidth="1"/>
    <col min="4307" max="4307" width="14.90625" style="17" customWidth="1"/>
    <col min="4308" max="4308" width="13" style="17" customWidth="1"/>
    <col min="4309" max="4309" width="15.54296875" style="17" customWidth="1"/>
    <col min="4310" max="4310" width="13" style="17" customWidth="1"/>
    <col min="4311" max="4311" width="14.1796875" style="17" customWidth="1"/>
    <col min="4312" max="4312" width="13" style="17" customWidth="1"/>
    <col min="4313" max="4313" width="15.54296875" style="17" customWidth="1"/>
    <col min="4314" max="4314" width="15.81640625" style="17" customWidth="1"/>
    <col min="4315" max="4315" width="14.1796875" style="17" customWidth="1"/>
    <col min="4316" max="4316" width="15.81640625" style="17" customWidth="1"/>
    <col min="4317" max="4317" width="15.54296875" style="17" customWidth="1"/>
    <col min="4318" max="4318" width="13" style="17" customWidth="1"/>
    <col min="4319" max="4319" width="14.1796875" style="17" customWidth="1"/>
    <col min="4320" max="4320" width="15.81640625" style="17" customWidth="1"/>
    <col min="4321" max="4321" width="16.453125" style="17" customWidth="1"/>
    <col min="4322" max="4322" width="15.54296875" style="17" customWidth="1"/>
    <col min="4323" max="4323" width="13" style="17" customWidth="1"/>
    <col min="4324" max="4324" width="16" style="17" customWidth="1"/>
    <col min="4325" max="4325" width="13" style="17" customWidth="1"/>
    <col min="4326" max="4326" width="11.08984375" style="17" customWidth="1"/>
    <col min="4327" max="4327" width="15.54296875" style="17" customWidth="1"/>
    <col min="4328" max="4328" width="13" style="17" customWidth="1"/>
    <col min="4329" max="4329" width="14.1796875" style="17" customWidth="1"/>
    <col min="4330" max="4330" width="15.81640625" style="17" customWidth="1"/>
    <col min="4331" max="4331" width="15.54296875" style="17" customWidth="1"/>
    <col min="4332" max="4332" width="13" style="17" customWidth="1"/>
    <col min="4333" max="4333" width="14.1796875" style="17" customWidth="1"/>
    <col min="4334" max="4334" width="15.81640625" style="17" customWidth="1"/>
    <col min="4335" max="4335" width="15.54296875" style="17" customWidth="1"/>
    <col min="4336" max="4336" width="13" style="17" customWidth="1"/>
    <col min="4337" max="4337" width="14.1796875" style="17" customWidth="1"/>
    <col min="4338" max="4338" width="15.81640625" style="17" customWidth="1"/>
    <col min="4339" max="4339" width="9.1796875" style="17"/>
    <col min="4340" max="4340" width="15.54296875" style="17" customWidth="1"/>
    <col min="4341" max="4341" width="13" style="17" customWidth="1"/>
    <col min="4342" max="4342" width="14.1796875" style="17" customWidth="1"/>
    <col min="4343" max="4343" width="15.81640625" style="17" customWidth="1"/>
    <col min="4344" max="4344" width="9.1796875" style="17"/>
    <col min="4345" max="4345" width="16" style="17" customWidth="1"/>
    <col min="4346" max="4346" width="13" style="17" customWidth="1"/>
    <col min="4347" max="4347" width="14.1796875" style="17" customWidth="1"/>
    <col min="4348" max="4348" width="13" style="17" customWidth="1"/>
    <col min="4349" max="4349" width="14.1796875" style="17" customWidth="1"/>
    <col min="4350" max="4350" width="13" style="17" customWidth="1"/>
    <col min="4351" max="4351" width="14.1796875" style="17" customWidth="1"/>
    <col min="4352" max="4352" width="13" style="17" customWidth="1"/>
    <col min="4353" max="4353" width="14.1796875" style="17" customWidth="1"/>
    <col min="4354" max="4354" width="13" style="17" customWidth="1"/>
    <col min="4355" max="4355" width="14.1796875" style="17" customWidth="1"/>
    <col min="4356" max="4357" width="13" style="17" customWidth="1"/>
    <col min="4358" max="4358" width="14.90625" style="17" bestFit="1" customWidth="1"/>
    <col min="4359" max="4359" width="13" style="17" customWidth="1"/>
    <col min="4360" max="4360" width="14.1796875" style="17" customWidth="1"/>
    <col min="4361" max="4361" width="13" style="17" customWidth="1"/>
    <col min="4362" max="4362" width="8.81640625" style="17" customWidth="1"/>
    <col min="4363" max="4363" width="14.1796875" style="17" customWidth="1"/>
    <col min="4364" max="4364" width="13" style="17" customWidth="1"/>
    <col min="4365" max="4365" width="14.1796875" style="17" customWidth="1"/>
    <col min="4366" max="4366" width="13" style="17" customWidth="1"/>
    <col min="4367" max="4367" width="14.1796875" style="17" customWidth="1"/>
    <col min="4368" max="4368" width="13" style="17" customWidth="1"/>
    <col min="4369" max="4369" width="14.1796875" style="17" customWidth="1"/>
    <col min="4370" max="4374" width="13" style="17" customWidth="1"/>
    <col min="4375" max="4375" width="16.81640625" style="17" customWidth="1"/>
    <col min="4376" max="4376" width="14.1796875" style="17" customWidth="1"/>
    <col min="4377" max="4377" width="13" style="17" customWidth="1"/>
    <col min="4378" max="4378" width="14.1796875" style="17" customWidth="1"/>
    <col min="4379" max="4380" width="13.36328125" style="17" customWidth="1"/>
    <col min="4381" max="4381" width="15.6328125" style="17" customWidth="1"/>
    <col min="4382" max="4382" width="14.36328125" style="17" customWidth="1"/>
    <col min="4383" max="4383" width="16" style="17" bestFit="1" customWidth="1"/>
    <col min="4384" max="4384" width="14.1796875" style="17" customWidth="1"/>
    <col min="4385" max="4385" width="13" style="17" customWidth="1"/>
    <col min="4386" max="4386" width="14.1796875" style="17" customWidth="1"/>
    <col min="4387" max="4387" width="13.36328125" style="17" customWidth="1"/>
    <col min="4388" max="4388" width="13.81640625" style="17" bestFit="1" customWidth="1"/>
    <col min="4389" max="4389" width="14.1796875" style="17" bestFit="1" customWidth="1"/>
    <col min="4390" max="4390" width="13.81640625" style="17" bestFit="1" customWidth="1"/>
    <col min="4391" max="4546" width="9.1796875" style="17"/>
    <col min="4547" max="4547" width="3.81640625" style="17" bestFit="1" customWidth="1"/>
    <col min="4548" max="4548" width="39.54296875" style="17" customWidth="1"/>
    <col min="4549" max="4549" width="16" style="17" customWidth="1"/>
    <col min="4550" max="4550" width="13" style="17" customWidth="1"/>
    <col min="4551" max="4551" width="16" style="17" customWidth="1"/>
    <col min="4552" max="4552" width="13" style="17" customWidth="1"/>
    <col min="4553" max="4553" width="14.1796875" style="17" customWidth="1"/>
    <col min="4554" max="4554" width="13" style="17" customWidth="1"/>
    <col min="4555" max="4555" width="14.90625" style="17" customWidth="1"/>
    <col min="4556" max="4556" width="13" style="17" customWidth="1"/>
    <col min="4557" max="4557" width="15.54296875" style="17" customWidth="1"/>
    <col min="4558" max="4558" width="13" style="17" customWidth="1"/>
    <col min="4559" max="4559" width="14.1796875" style="17" customWidth="1"/>
    <col min="4560" max="4560" width="13" style="17" customWidth="1"/>
    <col min="4561" max="4561" width="14.1796875" style="17" customWidth="1"/>
    <col min="4562" max="4562" width="13" style="17" customWidth="1"/>
    <col min="4563" max="4563" width="14.90625" style="17" customWidth="1"/>
    <col min="4564" max="4564" width="13" style="17" customWidth="1"/>
    <col min="4565" max="4565" width="15.54296875" style="17" customWidth="1"/>
    <col min="4566" max="4566" width="13" style="17" customWidth="1"/>
    <col min="4567" max="4567" width="14.1796875" style="17" customWidth="1"/>
    <col min="4568" max="4568" width="13" style="17" customWidth="1"/>
    <col min="4569" max="4569" width="15.54296875" style="17" customWidth="1"/>
    <col min="4570" max="4570" width="15.81640625" style="17" customWidth="1"/>
    <col min="4571" max="4571" width="14.1796875" style="17" customWidth="1"/>
    <col min="4572" max="4572" width="15.81640625" style="17" customWidth="1"/>
    <col min="4573" max="4573" width="15.54296875" style="17" customWidth="1"/>
    <col min="4574" max="4574" width="13" style="17" customWidth="1"/>
    <col min="4575" max="4575" width="14.1796875" style="17" customWidth="1"/>
    <col min="4576" max="4576" width="15.81640625" style="17" customWidth="1"/>
    <col min="4577" max="4577" width="16.453125" style="17" customWidth="1"/>
    <col min="4578" max="4578" width="15.54296875" style="17" customWidth="1"/>
    <col min="4579" max="4579" width="13" style="17" customWidth="1"/>
    <col min="4580" max="4580" width="16" style="17" customWidth="1"/>
    <col min="4581" max="4581" width="13" style="17" customWidth="1"/>
    <col min="4582" max="4582" width="11.08984375" style="17" customWidth="1"/>
    <col min="4583" max="4583" width="15.54296875" style="17" customWidth="1"/>
    <col min="4584" max="4584" width="13" style="17" customWidth="1"/>
    <col min="4585" max="4585" width="14.1796875" style="17" customWidth="1"/>
    <col min="4586" max="4586" width="15.81640625" style="17" customWidth="1"/>
    <col min="4587" max="4587" width="15.54296875" style="17" customWidth="1"/>
    <col min="4588" max="4588" width="13" style="17" customWidth="1"/>
    <col min="4589" max="4589" width="14.1796875" style="17" customWidth="1"/>
    <col min="4590" max="4590" width="15.81640625" style="17" customWidth="1"/>
    <col min="4591" max="4591" width="15.54296875" style="17" customWidth="1"/>
    <col min="4592" max="4592" width="13" style="17" customWidth="1"/>
    <col min="4593" max="4593" width="14.1796875" style="17" customWidth="1"/>
    <col min="4594" max="4594" width="15.81640625" style="17" customWidth="1"/>
    <col min="4595" max="4595" width="9.1796875" style="17"/>
    <col min="4596" max="4596" width="15.54296875" style="17" customWidth="1"/>
    <col min="4597" max="4597" width="13" style="17" customWidth="1"/>
    <col min="4598" max="4598" width="14.1796875" style="17" customWidth="1"/>
    <col min="4599" max="4599" width="15.81640625" style="17" customWidth="1"/>
    <col min="4600" max="4600" width="9.1796875" style="17"/>
    <col min="4601" max="4601" width="16" style="17" customWidth="1"/>
    <col min="4602" max="4602" width="13" style="17" customWidth="1"/>
    <col min="4603" max="4603" width="14.1796875" style="17" customWidth="1"/>
    <col min="4604" max="4604" width="13" style="17" customWidth="1"/>
    <col min="4605" max="4605" width="14.1796875" style="17" customWidth="1"/>
    <col min="4606" max="4606" width="13" style="17" customWidth="1"/>
    <col min="4607" max="4607" width="14.1796875" style="17" customWidth="1"/>
    <col min="4608" max="4608" width="13" style="17" customWidth="1"/>
    <col min="4609" max="4609" width="14.1796875" style="17" customWidth="1"/>
    <col min="4610" max="4610" width="13" style="17" customWidth="1"/>
    <col min="4611" max="4611" width="14.1796875" style="17" customWidth="1"/>
    <col min="4612" max="4613" width="13" style="17" customWidth="1"/>
    <col min="4614" max="4614" width="14.90625" style="17" bestFit="1" customWidth="1"/>
    <col min="4615" max="4615" width="13" style="17" customWidth="1"/>
    <col min="4616" max="4616" width="14.1796875" style="17" customWidth="1"/>
    <col min="4617" max="4617" width="13" style="17" customWidth="1"/>
    <col min="4618" max="4618" width="8.81640625" style="17" customWidth="1"/>
    <col min="4619" max="4619" width="14.1796875" style="17" customWidth="1"/>
    <col min="4620" max="4620" width="13" style="17" customWidth="1"/>
    <col min="4621" max="4621" width="14.1796875" style="17" customWidth="1"/>
    <col min="4622" max="4622" width="13" style="17" customWidth="1"/>
    <col min="4623" max="4623" width="14.1796875" style="17" customWidth="1"/>
    <col min="4624" max="4624" width="13" style="17" customWidth="1"/>
    <col min="4625" max="4625" width="14.1796875" style="17" customWidth="1"/>
    <col min="4626" max="4630" width="13" style="17" customWidth="1"/>
    <col min="4631" max="4631" width="16.81640625" style="17" customWidth="1"/>
    <col min="4632" max="4632" width="14.1796875" style="17" customWidth="1"/>
    <col min="4633" max="4633" width="13" style="17" customWidth="1"/>
    <col min="4634" max="4634" width="14.1796875" style="17" customWidth="1"/>
    <col min="4635" max="4636" width="13.36328125" style="17" customWidth="1"/>
    <col min="4637" max="4637" width="15.6328125" style="17" customWidth="1"/>
    <col min="4638" max="4638" width="14.36328125" style="17" customWidth="1"/>
    <col min="4639" max="4639" width="16" style="17" bestFit="1" customWidth="1"/>
    <col min="4640" max="4640" width="14.1796875" style="17" customWidth="1"/>
    <col min="4641" max="4641" width="13" style="17" customWidth="1"/>
    <col min="4642" max="4642" width="14.1796875" style="17" customWidth="1"/>
    <col min="4643" max="4643" width="13.36328125" style="17" customWidth="1"/>
    <col min="4644" max="4644" width="13.81640625" style="17" bestFit="1" customWidth="1"/>
    <col min="4645" max="4645" width="14.1796875" style="17" bestFit="1" customWidth="1"/>
    <col min="4646" max="4646" width="13.81640625" style="17" bestFit="1" customWidth="1"/>
    <col min="4647" max="4802" width="9.1796875" style="17"/>
    <col min="4803" max="4803" width="3.81640625" style="17" bestFit="1" customWidth="1"/>
    <col min="4804" max="4804" width="39.54296875" style="17" customWidth="1"/>
    <col min="4805" max="4805" width="16" style="17" customWidth="1"/>
    <col min="4806" max="4806" width="13" style="17" customWidth="1"/>
    <col min="4807" max="4807" width="16" style="17" customWidth="1"/>
    <col min="4808" max="4808" width="13" style="17" customWidth="1"/>
    <col min="4809" max="4809" width="14.1796875" style="17" customWidth="1"/>
    <col min="4810" max="4810" width="13" style="17" customWidth="1"/>
    <col min="4811" max="4811" width="14.90625" style="17" customWidth="1"/>
    <col min="4812" max="4812" width="13" style="17" customWidth="1"/>
    <col min="4813" max="4813" width="15.54296875" style="17" customWidth="1"/>
    <col min="4814" max="4814" width="13" style="17" customWidth="1"/>
    <col min="4815" max="4815" width="14.1796875" style="17" customWidth="1"/>
    <col min="4816" max="4816" width="13" style="17" customWidth="1"/>
    <col min="4817" max="4817" width="14.1796875" style="17" customWidth="1"/>
    <col min="4818" max="4818" width="13" style="17" customWidth="1"/>
    <col min="4819" max="4819" width="14.90625" style="17" customWidth="1"/>
    <col min="4820" max="4820" width="13" style="17" customWidth="1"/>
    <col min="4821" max="4821" width="15.54296875" style="17" customWidth="1"/>
    <col min="4822" max="4822" width="13" style="17" customWidth="1"/>
    <col min="4823" max="4823" width="14.1796875" style="17" customWidth="1"/>
    <col min="4824" max="4824" width="13" style="17" customWidth="1"/>
    <col min="4825" max="4825" width="15.54296875" style="17" customWidth="1"/>
    <col min="4826" max="4826" width="15.81640625" style="17" customWidth="1"/>
    <col min="4827" max="4827" width="14.1796875" style="17" customWidth="1"/>
    <col min="4828" max="4828" width="15.81640625" style="17" customWidth="1"/>
    <col min="4829" max="4829" width="15.54296875" style="17" customWidth="1"/>
    <col min="4830" max="4830" width="13" style="17" customWidth="1"/>
    <col min="4831" max="4831" width="14.1796875" style="17" customWidth="1"/>
    <col min="4832" max="4832" width="15.81640625" style="17" customWidth="1"/>
    <col min="4833" max="4833" width="16.453125" style="17" customWidth="1"/>
    <col min="4834" max="4834" width="15.54296875" style="17" customWidth="1"/>
    <col min="4835" max="4835" width="13" style="17" customWidth="1"/>
    <col min="4836" max="4836" width="16" style="17" customWidth="1"/>
    <col min="4837" max="4837" width="13" style="17" customWidth="1"/>
    <col min="4838" max="4838" width="11.08984375" style="17" customWidth="1"/>
    <col min="4839" max="4839" width="15.54296875" style="17" customWidth="1"/>
    <col min="4840" max="4840" width="13" style="17" customWidth="1"/>
    <col min="4841" max="4841" width="14.1796875" style="17" customWidth="1"/>
    <col min="4842" max="4842" width="15.81640625" style="17" customWidth="1"/>
    <col min="4843" max="4843" width="15.54296875" style="17" customWidth="1"/>
    <col min="4844" max="4844" width="13" style="17" customWidth="1"/>
    <col min="4845" max="4845" width="14.1796875" style="17" customWidth="1"/>
    <col min="4846" max="4846" width="15.81640625" style="17" customWidth="1"/>
    <col min="4847" max="4847" width="15.54296875" style="17" customWidth="1"/>
    <col min="4848" max="4848" width="13" style="17" customWidth="1"/>
    <col min="4849" max="4849" width="14.1796875" style="17" customWidth="1"/>
    <col min="4850" max="4850" width="15.81640625" style="17" customWidth="1"/>
    <col min="4851" max="4851" width="9.1796875" style="17"/>
    <col min="4852" max="4852" width="15.54296875" style="17" customWidth="1"/>
    <col min="4853" max="4853" width="13" style="17" customWidth="1"/>
    <col min="4854" max="4854" width="14.1796875" style="17" customWidth="1"/>
    <col min="4855" max="4855" width="15.81640625" style="17" customWidth="1"/>
    <col min="4856" max="4856" width="9.1796875" style="17"/>
    <col min="4857" max="4857" width="16" style="17" customWidth="1"/>
    <col min="4858" max="4858" width="13" style="17" customWidth="1"/>
    <col min="4859" max="4859" width="14.1796875" style="17" customWidth="1"/>
    <col min="4860" max="4860" width="13" style="17" customWidth="1"/>
    <col min="4861" max="4861" width="14.1796875" style="17" customWidth="1"/>
    <col min="4862" max="4862" width="13" style="17" customWidth="1"/>
    <col min="4863" max="4863" width="14.1796875" style="17" customWidth="1"/>
    <col min="4864" max="4864" width="13" style="17" customWidth="1"/>
    <col min="4865" max="4865" width="14.1796875" style="17" customWidth="1"/>
    <col min="4866" max="4866" width="13" style="17" customWidth="1"/>
    <col min="4867" max="4867" width="14.1796875" style="17" customWidth="1"/>
    <col min="4868" max="4869" width="13" style="17" customWidth="1"/>
    <col min="4870" max="4870" width="14.90625" style="17" bestFit="1" customWidth="1"/>
    <col min="4871" max="4871" width="13" style="17" customWidth="1"/>
    <col min="4872" max="4872" width="14.1796875" style="17" customWidth="1"/>
    <col min="4873" max="4873" width="13" style="17" customWidth="1"/>
    <col min="4874" max="4874" width="8.81640625" style="17" customWidth="1"/>
    <col min="4875" max="4875" width="14.1796875" style="17" customWidth="1"/>
    <col min="4876" max="4876" width="13" style="17" customWidth="1"/>
    <col min="4877" max="4877" width="14.1796875" style="17" customWidth="1"/>
    <col min="4878" max="4878" width="13" style="17" customWidth="1"/>
    <col min="4879" max="4879" width="14.1796875" style="17" customWidth="1"/>
    <col min="4880" max="4880" width="13" style="17" customWidth="1"/>
    <col min="4881" max="4881" width="14.1796875" style="17" customWidth="1"/>
    <col min="4882" max="4886" width="13" style="17" customWidth="1"/>
    <col min="4887" max="4887" width="16.81640625" style="17" customWidth="1"/>
    <col min="4888" max="4888" width="14.1796875" style="17" customWidth="1"/>
    <col min="4889" max="4889" width="13" style="17" customWidth="1"/>
    <col min="4890" max="4890" width="14.1796875" style="17" customWidth="1"/>
    <col min="4891" max="4892" width="13.36328125" style="17" customWidth="1"/>
    <col min="4893" max="4893" width="15.6328125" style="17" customWidth="1"/>
    <col min="4894" max="4894" width="14.36328125" style="17" customWidth="1"/>
    <col min="4895" max="4895" width="16" style="17" bestFit="1" customWidth="1"/>
    <col min="4896" max="4896" width="14.1796875" style="17" customWidth="1"/>
    <col min="4897" max="4897" width="13" style="17" customWidth="1"/>
    <col min="4898" max="4898" width="14.1796875" style="17" customWidth="1"/>
    <col min="4899" max="4899" width="13.36328125" style="17" customWidth="1"/>
    <col min="4900" max="4900" width="13.81640625" style="17" bestFit="1" customWidth="1"/>
    <col min="4901" max="4901" width="14.1796875" style="17" bestFit="1" customWidth="1"/>
    <col min="4902" max="4902" width="13.81640625" style="17" bestFit="1" customWidth="1"/>
    <col min="4903" max="5058" width="9.1796875" style="17"/>
    <col min="5059" max="5059" width="3.81640625" style="17" bestFit="1" customWidth="1"/>
    <col min="5060" max="5060" width="39.54296875" style="17" customWidth="1"/>
    <col min="5061" max="5061" width="16" style="17" customWidth="1"/>
    <col min="5062" max="5062" width="13" style="17" customWidth="1"/>
    <col min="5063" max="5063" width="16" style="17" customWidth="1"/>
    <col min="5064" max="5064" width="13" style="17" customWidth="1"/>
    <col min="5065" max="5065" width="14.1796875" style="17" customWidth="1"/>
    <col min="5066" max="5066" width="13" style="17" customWidth="1"/>
    <col min="5067" max="5067" width="14.90625" style="17" customWidth="1"/>
    <col min="5068" max="5068" width="13" style="17" customWidth="1"/>
    <col min="5069" max="5069" width="15.54296875" style="17" customWidth="1"/>
    <col min="5070" max="5070" width="13" style="17" customWidth="1"/>
    <col min="5071" max="5071" width="14.1796875" style="17" customWidth="1"/>
    <col min="5072" max="5072" width="13" style="17" customWidth="1"/>
    <col min="5073" max="5073" width="14.1796875" style="17" customWidth="1"/>
    <col min="5074" max="5074" width="13" style="17" customWidth="1"/>
    <col min="5075" max="5075" width="14.90625" style="17" customWidth="1"/>
    <col min="5076" max="5076" width="13" style="17" customWidth="1"/>
    <col min="5077" max="5077" width="15.54296875" style="17" customWidth="1"/>
    <col min="5078" max="5078" width="13" style="17" customWidth="1"/>
    <col min="5079" max="5079" width="14.1796875" style="17" customWidth="1"/>
    <col min="5080" max="5080" width="13" style="17" customWidth="1"/>
    <col min="5081" max="5081" width="15.54296875" style="17" customWidth="1"/>
    <col min="5082" max="5082" width="15.81640625" style="17" customWidth="1"/>
    <col min="5083" max="5083" width="14.1796875" style="17" customWidth="1"/>
    <col min="5084" max="5084" width="15.81640625" style="17" customWidth="1"/>
    <col min="5085" max="5085" width="15.54296875" style="17" customWidth="1"/>
    <col min="5086" max="5086" width="13" style="17" customWidth="1"/>
    <col min="5087" max="5087" width="14.1796875" style="17" customWidth="1"/>
    <col min="5088" max="5088" width="15.81640625" style="17" customWidth="1"/>
    <col min="5089" max="5089" width="16.453125" style="17" customWidth="1"/>
    <col min="5090" max="5090" width="15.54296875" style="17" customWidth="1"/>
    <col min="5091" max="5091" width="13" style="17" customWidth="1"/>
    <col min="5092" max="5092" width="16" style="17" customWidth="1"/>
    <col min="5093" max="5093" width="13" style="17" customWidth="1"/>
    <col min="5094" max="5094" width="11.08984375" style="17" customWidth="1"/>
    <col min="5095" max="5095" width="15.54296875" style="17" customWidth="1"/>
    <col min="5096" max="5096" width="13" style="17" customWidth="1"/>
    <col min="5097" max="5097" width="14.1796875" style="17" customWidth="1"/>
    <col min="5098" max="5098" width="15.81640625" style="17" customWidth="1"/>
    <col min="5099" max="5099" width="15.54296875" style="17" customWidth="1"/>
    <col min="5100" max="5100" width="13" style="17" customWidth="1"/>
    <col min="5101" max="5101" width="14.1796875" style="17" customWidth="1"/>
    <col min="5102" max="5102" width="15.81640625" style="17" customWidth="1"/>
    <col min="5103" max="5103" width="15.54296875" style="17" customWidth="1"/>
    <col min="5104" max="5104" width="13" style="17" customWidth="1"/>
    <col min="5105" max="5105" width="14.1796875" style="17" customWidth="1"/>
    <col min="5106" max="5106" width="15.81640625" style="17" customWidth="1"/>
    <col min="5107" max="5107" width="9.1796875" style="17"/>
    <col min="5108" max="5108" width="15.54296875" style="17" customWidth="1"/>
    <col min="5109" max="5109" width="13" style="17" customWidth="1"/>
    <col min="5110" max="5110" width="14.1796875" style="17" customWidth="1"/>
    <col min="5111" max="5111" width="15.81640625" style="17" customWidth="1"/>
    <col min="5112" max="5112" width="9.1796875" style="17"/>
    <col min="5113" max="5113" width="16" style="17" customWidth="1"/>
    <col min="5114" max="5114" width="13" style="17" customWidth="1"/>
    <col min="5115" max="5115" width="14.1796875" style="17" customWidth="1"/>
    <col min="5116" max="5116" width="13" style="17" customWidth="1"/>
    <col min="5117" max="5117" width="14.1796875" style="17" customWidth="1"/>
    <col min="5118" max="5118" width="13" style="17" customWidth="1"/>
    <col min="5119" max="5119" width="14.1796875" style="17" customWidth="1"/>
    <col min="5120" max="5120" width="13" style="17" customWidth="1"/>
    <col min="5121" max="5121" width="14.1796875" style="17" customWidth="1"/>
    <col min="5122" max="5122" width="13" style="17" customWidth="1"/>
    <col min="5123" max="5123" width="14.1796875" style="17" customWidth="1"/>
    <col min="5124" max="5125" width="13" style="17" customWidth="1"/>
    <col min="5126" max="5126" width="14.90625" style="17" bestFit="1" customWidth="1"/>
    <col min="5127" max="5127" width="13" style="17" customWidth="1"/>
    <col min="5128" max="5128" width="14.1796875" style="17" customWidth="1"/>
    <col min="5129" max="5129" width="13" style="17" customWidth="1"/>
    <col min="5130" max="5130" width="8.81640625" style="17" customWidth="1"/>
    <col min="5131" max="5131" width="14.1796875" style="17" customWidth="1"/>
    <col min="5132" max="5132" width="13" style="17" customWidth="1"/>
    <col min="5133" max="5133" width="14.1796875" style="17" customWidth="1"/>
    <col min="5134" max="5134" width="13" style="17" customWidth="1"/>
    <col min="5135" max="5135" width="14.1796875" style="17" customWidth="1"/>
    <col min="5136" max="5136" width="13" style="17" customWidth="1"/>
    <col min="5137" max="5137" width="14.1796875" style="17" customWidth="1"/>
    <col min="5138" max="5142" width="13" style="17" customWidth="1"/>
    <col min="5143" max="5143" width="16.81640625" style="17" customWidth="1"/>
    <col min="5144" max="5144" width="14.1796875" style="17" customWidth="1"/>
    <col min="5145" max="5145" width="13" style="17" customWidth="1"/>
    <col min="5146" max="5146" width="14.1796875" style="17" customWidth="1"/>
    <col min="5147" max="5148" width="13.36328125" style="17" customWidth="1"/>
    <col min="5149" max="5149" width="15.6328125" style="17" customWidth="1"/>
    <col min="5150" max="5150" width="14.36328125" style="17" customWidth="1"/>
    <col min="5151" max="5151" width="16" style="17" bestFit="1" customWidth="1"/>
    <col min="5152" max="5152" width="14.1796875" style="17" customWidth="1"/>
    <col min="5153" max="5153" width="13" style="17" customWidth="1"/>
    <col min="5154" max="5154" width="14.1796875" style="17" customWidth="1"/>
    <col min="5155" max="5155" width="13.36328125" style="17" customWidth="1"/>
    <col min="5156" max="5156" width="13.81640625" style="17" bestFit="1" customWidth="1"/>
    <col min="5157" max="5157" width="14.1796875" style="17" bestFit="1" customWidth="1"/>
    <col min="5158" max="5158" width="13.81640625" style="17" bestFit="1" customWidth="1"/>
    <col min="5159" max="5314" width="9.1796875" style="17"/>
    <col min="5315" max="5315" width="3.81640625" style="17" bestFit="1" customWidth="1"/>
    <col min="5316" max="5316" width="39.54296875" style="17" customWidth="1"/>
    <col min="5317" max="5317" width="16" style="17" customWidth="1"/>
    <col min="5318" max="5318" width="13" style="17" customWidth="1"/>
    <col min="5319" max="5319" width="16" style="17" customWidth="1"/>
    <col min="5320" max="5320" width="13" style="17" customWidth="1"/>
    <col min="5321" max="5321" width="14.1796875" style="17" customWidth="1"/>
    <col min="5322" max="5322" width="13" style="17" customWidth="1"/>
    <col min="5323" max="5323" width="14.90625" style="17" customWidth="1"/>
    <col min="5324" max="5324" width="13" style="17" customWidth="1"/>
    <col min="5325" max="5325" width="15.54296875" style="17" customWidth="1"/>
    <col min="5326" max="5326" width="13" style="17" customWidth="1"/>
    <col min="5327" max="5327" width="14.1796875" style="17" customWidth="1"/>
    <col min="5328" max="5328" width="13" style="17" customWidth="1"/>
    <col min="5329" max="5329" width="14.1796875" style="17" customWidth="1"/>
    <col min="5330" max="5330" width="13" style="17" customWidth="1"/>
    <col min="5331" max="5331" width="14.90625" style="17" customWidth="1"/>
    <col min="5332" max="5332" width="13" style="17" customWidth="1"/>
    <col min="5333" max="5333" width="15.54296875" style="17" customWidth="1"/>
    <col min="5334" max="5334" width="13" style="17" customWidth="1"/>
    <col min="5335" max="5335" width="14.1796875" style="17" customWidth="1"/>
    <col min="5336" max="5336" width="13" style="17" customWidth="1"/>
    <col min="5337" max="5337" width="15.54296875" style="17" customWidth="1"/>
    <col min="5338" max="5338" width="15.81640625" style="17" customWidth="1"/>
    <col min="5339" max="5339" width="14.1796875" style="17" customWidth="1"/>
    <col min="5340" max="5340" width="15.81640625" style="17" customWidth="1"/>
    <col min="5341" max="5341" width="15.54296875" style="17" customWidth="1"/>
    <col min="5342" max="5342" width="13" style="17" customWidth="1"/>
    <col min="5343" max="5343" width="14.1796875" style="17" customWidth="1"/>
    <col min="5344" max="5344" width="15.81640625" style="17" customWidth="1"/>
    <col min="5345" max="5345" width="16.453125" style="17" customWidth="1"/>
    <col min="5346" max="5346" width="15.54296875" style="17" customWidth="1"/>
    <col min="5347" max="5347" width="13" style="17" customWidth="1"/>
    <col min="5348" max="5348" width="16" style="17" customWidth="1"/>
    <col min="5349" max="5349" width="13" style="17" customWidth="1"/>
    <col min="5350" max="5350" width="11.08984375" style="17" customWidth="1"/>
    <col min="5351" max="5351" width="15.54296875" style="17" customWidth="1"/>
    <col min="5352" max="5352" width="13" style="17" customWidth="1"/>
    <col min="5353" max="5353" width="14.1796875" style="17" customWidth="1"/>
    <col min="5354" max="5354" width="15.81640625" style="17" customWidth="1"/>
    <col min="5355" max="5355" width="15.54296875" style="17" customWidth="1"/>
    <col min="5356" max="5356" width="13" style="17" customWidth="1"/>
    <col min="5357" max="5357" width="14.1796875" style="17" customWidth="1"/>
    <col min="5358" max="5358" width="15.81640625" style="17" customWidth="1"/>
    <col min="5359" max="5359" width="15.54296875" style="17" customWidth="1"/>
    <col min="5360" max="5360" width="13" style="17" customWidth="1"/>
    <col min="5361" max="5361" width="14.1796875" style="17" customWidth="1"/>
    <col min="5362" max="5362" width="15.81640625" style="17" customWidth="1"/>
    <col min="5363" max="5363" width="9.1796875" style="17"/>
    <col min="5364" max="5364" width="15.54296875" style="17" customWidth="1"/>
    <col min="5365" max="5365" width="13" style="17" customWidth="1"/>
    <col min="5366" max="5366" width="14.1796875" style="17" customWidth="1"/>
    <col min="5367" max="5367" width="15.81640625" style="17" customWidth="1"/>
    <col min="5368" max="5368" width="9.1796875" style="17"/>
    <col min="5369" max="5369" width="16" style="17" customWidth="1"/>
    <col min="5370" max="5370" width="13" style="17" customWidth="1"/>
    <col min="5371" max="5371" width="14.1796875" style="17" customWidth="1"/>
    <col min="5372" max="5372" width="13" style="17" customWidth="1"/>
    <col min="5373" max="5373" width="14.1796875" style="17" customWidth="1"/>
    <col min="5374" max="5374" width="13" style="17" customWidth="1"/>
    <col min="5375" max="5375" width="14.1796875" style="17" customWidth="1"/>
    <col min="5376" max="5376" width="13" style="17" customWidth="1"/>
    <col min="5377" max="5377" width="14.1796875" style="17" customWidth="1"/>
    <col min="5378" max="5378" width="13" style="17" customWidth="1"/>
    <col min="5379" max="5379" width="14.1796875" style="17" customWidth="1"/>
    <col min="5380" max="5381" width="13" style="17" customWidth="1"/>
    <col min="5382" max="5382" width="14.90625" style="17" bestFit="1" customWidth="1"/>
    <col min="5383" max="5383" width="13" style="17" customWidth="1"/>
    <col min="5384" max="5384" width="14.1796875" style="17" customWidth="1"/>
    <col min="5385" max="5385" width="13" style="17" customWidth="1"/>
    <col min="5386" max="5386" width="8.81640625" style="17" customWidth="1"/>
    <col min="5387" max="5387" width="14.1796875" style="17" customWidth="1"/>
    <col min="5388" max="5388" width="13" style="17" customWidth="1"/>
    <col min="5389" max="5389" width="14.1796875" style="17" customWidth="1"/>
    <col min="5390" max="5390" width="13" style="17" customWidth="1"/>
    <col min="5391" max="5391" width="14.1796875" style="17" customWidth="1"/>
    <col min="5392" max="5392" width="13" style="17" customWidth="1"/>
    <col min="5393" max="5393" width="14.1796875" style="17" customWidth="1"/>
    <col min="5394" max="5398" width="13" style="17" customWidth="1"/>
    <col min="5399" max="5399" width="16.81640625" style="17" customWidth="1"/>
    <col min="5400" max="5400" width="14.1796875" style="17" customWidth="1"/>
    <col min="5401" max="5401" width="13" style="17" customWidth="1"/>
    <col min="5402" max="5402" width="14.1796875" style="17" customWidth="1"/>
    <col min="5403" max="5404" width="13.36328125" style="17" customWidth="1"/>
    <col min="5405" max="5405" width="15.6328125" style="17" customWidth="1"/>
    <col min="5406" max="5406" width="14.36328125" style="17" customWidth="1"/>
    <col min="5407" max="5407" width="16" style="17" bestFit="1" customWidth="1"/>
    <col min="5408" max="5408" width="14.1796875" style="17" customWidth="1"/>
    <col min="5409" max="5409" width="13" style="17" customWidth="1"/>
    <col min="5410" max="5410" width="14.1796875" style="17" customWidth="1"/>
    <col min="5411" max="5411" width="13.36328125" style="17" customWidth="1"/>
    <col min="5412" max="5412" width="13.81640625" style="17" bestFit="1" customWidth="1"/>
    <col min="5413" max="5413" width="14.1796875" style="17" bestFit="1" customWidth="1"/>
    <col min="5414" max="5414" width="13.81640625" style="17" bestFit="1" customWidth="1"/>
    <col min="5415" max="5570" width="9.1796875" style="17"/>
    <col min="5571" max="5571" width="3.81640625" style="17" bestFit="1" customWidth="1"/>
    <col min="5572" max="5572" width="39.54296875" style="17" customWidth="1"/>
    <col min="5573" max="5573" width="16" style="17" customWidth="1"/>
    <col min="5574" max="5574" width="13" style="17" customWidth="1"/>
    <col min="5575" max="5575" width="16" style="17" customWidth="1"/>
    <col min="5576" max="5576" width="13" style="17" customWidth="1"/>
    <col min="5577" max="5577" width="14.1796875" style="17" customWidth="1"/>
    <col min="5578" max="5578" width="13" style="17" customWidth="1"/>
    <col min="5579" max="5579" width="14.90625" style="17" customWidth="1"/>
    <col min="5580" max="5580" width="13" style="17" customWidth="1"/>
    <col min="5581" max="5581" width="15.54296875" style="17" customWidth="1"/>
    <col min="5582" max="5582" width="13" style="17" customWidth="1"/>
    <col min="5583" max="5583" width="14.1796875" style="17" customWidth="1"/>
    <col min="5584" max="5584" width="13" style="17" customWidth="1"/>
    <col min="5585" max="5585" width="14.1796875" style="17" customWidth="1"/>
    <col min="5586" max="5586" width="13" style="17" customWidth="1"/>
    <col min="5587" max="5587" width="14.90625" style="17" customWidth="1"/>
    <col min="5588" max="5588" width="13" style="17" customWidth="1"/>
    <col min="5589" max="5589" width="15.54296875" style="17" customWidth="1"/>
    <col min="5590" max="5590" width="13" style="17" customWidth="1"/>
    <col min="5591" max="5591" width="14.1796875" style="17" customWidth="1"/>
    <col min="5592" max="5592" width="13" style="17" customWidth="1"/>
    <col min="5593" max="5593" width="15.54296875" style="17" customWidth="1"/>
    <col min="5594" max="5594" width="15.81640625" style="17" customWidth="1"/>
    <col min="5595" max="5595" width="14.1796875" style="17" customWidth="1"/>
    <col min="5596" max="5596" width="15.81640625" style="17" customWidth="1"/>
    <col min="5597" max="5597" width="15.54296875" style="17" customWidth="1"/>
    <col min="5598" max="5598" width="13" style="17" customWidth="1"/>
    <col min="5599" max="5599" width="14.1796875" style="17" customWidth="1"/>
    <col min="5600" max="5600" width="15.81640625" style="17" customWidth="1"/>
    <col min="5601" max="5601" width="16.453125" style="17" customWidth="1"/>
    <col min="5602" max="5602" width="15.54296875" style="17" customWidth="1"/>
    <col min="5603" max="5603" width="13" style="17" customWidth="1"/>
    <col min="5604" max="5604" width="16" style="17" customWidth="1"/>
    <col min="5605" max="5605" width="13" style="17" customWidth="1"/>
    <col min="5606" max="5606" width="11.08984375" style="17" customWidth="1"/>
    <col min="5607" max="5607" width="15.54296875" style="17" customWidth="1"/>
    <col min="5608" max="5608" width="13" style="17" customWidth="1"/>
    <col min="5609" max="5609" width="14.1796875" style="17" customWidth="1"/>
    <col min="5610" max="5610" width="15.81640625" style="17" customWidth="1"/>
    <col min="5611" max="5611" width="15.54296875" style="17" customWidth="1"/>
    <col min="5612" max="5612" width="13" style="17" customWidth="1"/>
    <col min="5613" max="5613" width="14.1796875" style="17" customWidth="1"/>
    <col min="5614" max="5614" width="15.81640625" style="17" customWidth="1"/>
    <col min="5615" max="5615" width="15.54296875" style="17" customWidth="1"/>
    <col min="5616" max="5616" width="13" style="17" customWidth="1"/>
    <col min="5617" max="5617" width="14.1796875" style="17" customWidth="1"/>
    <col min="5618" max="5618" width="15.81640625" style="17" customWidth="1"/>
    <col min="5619" max="5619" width="9.1796875" style="17"/>
    <col min="5620" max="5620" width="15.54296875" style="17" customWidth="1"/>
    <col min="5621" max="5621" width="13" style="17" customWidth="1"/>
    <col min="5622" max="5622" width="14.1796875" style="17" customWidth="1"/>
    <col min="5623" max="5623" width="15.81640625" style="17" customWidth="1"/>
    <col min="5624" max="5624" width="9.1796875" style="17"/>
    <col min="5625" max="5625" width="16" style="17" customWidth="1"/>
    <col min="5626" max="5626" width="13" style="17" customWidth="1"/>
    <col min="5627" max="5627" width="14.1796875" style="17" customWidth="1"/>
    <col min="5628" max="5628" width="13" style="17" customWidth="1"/>
    <col min="5629" max="5629" width="14.1796875" style="17" customWidth="1"/>
    <col min="5630" max="5630" width="13" style="17" customWidth="1"/>
    <col min="5631" max="5631" width="14.1796875" style="17" customWidth="1"/>
    <col min="5632" max="5632" width="13" style="17" customWidth="1"/>
    <col min="5633" max="5633" width="14.1796875" style="17" customWidth="1"/>
    <col min="5634" max="5634" width="13" style="17" customWidth="1"/>
    <col min="5635" max="5635" width="14.1796875" style="17" customWidth="1"/>
    <col min="5636" max="5637" width="13" style="17" customWidth="1"/>
    <col min="5638" max="5638" width="14.90625" style="17" bestFit="1" customWidth="1"/>
    <col min="5639" max="5639" width="13" style="17" customWidth="1"/>
    <col min="5640" max="5640" width="14.1796875" style="17" customWidth="1"/>
    <col min="5641" max="5641" width="13" style="17" customWidth="1"/>
    <col min="5642" max="5642" width="8.81640625" style="17" customWidth="1"/>
    <col min="5643" max="5643" width="14.1796875" style="17" customWidth="1"/>
    <col min="5644" max="5644" width="13" style="17" customWidth="1"/>
    <col min="5645" max="5645" width="14.1796875" style="17" customWidth="1"/>
    <col min="5646" max="5646" width="13" style="17" customWidth="1"/>
    <col min="5647" max="5647" width="14.1796875" style="17" customWidth="1"/>
    <col min="5648" max="5648" width="13" style="17" customWidth="1"/>
    <col min="5649" max="5649" width="14.1796875" style="17" customWidth="1"/>
    <col min="5650" max="5654" width="13" style="17" customWidth="1"/>
    <col min="5655" max="5655" width="16.81640625" style="17" customWidth="1"/>
    <col min="5656" max="5656" width="14.1796875" style="17" customWidth="1"/>
    <col min="5657" max="5657" width="13" style="17" customWidth="1"/>
    <col min="5658" max="5658" width="14.1796875" style="17" customWidth="1"/>
    <col min="5659" max="5660" width="13.36328125" style="17" customWidth="1"/>
    <col min="5661" max="5661" width="15.6328125" style="17" customWidth="1"/>
    <col min="5662" max="5662" width="14.36328125" style="17" customWidth="1"/>
    <col min="5663" max="5663" width="16" style="17" bestFit="1" customWidth="1"/>
    <col min="5664" max="5664" width="14.1796875" style="17" customWidth="1"/>
    <col min="5665" max="5665" width="13" style="17" customWidth="1"/>
    <col min="5666" max="5666" width="14.1796875" style="17" customWidth="1"/>
    <col min="5667" max="5667" width="13.36328125" style="17" customWidth="1"/>
    <col min="5668" max="5668" width="13.81640625" style="17" bestFit="1" customWidth="1"/>
    <col min="5669" max="5669" width="14.1796875" style="17" bestFit="1" customWidth="1"/>
    <col min="5670" max="5670" width="13.81640625" style="17" bestFit="1" customWidth="1"/>
    <col min="5671" max="5826" width="9.1796875" style="17"/>
    <col min="5827" max="5827" width="3.81640625" style="17" bestFit="1" customWidth="1"/>
    <col min="5828" max="5828" width="39.54296875" style="17" customWidth="1"/>
    <col min="5829" max="5829" width="16" style="17" customWidth="1"/>
    <col min="5830" max="5830" width="13" style="17" customWidth="1"/>
    <col min="5831" max="5831" width="16" style="17" customWidth="1"/>
    <col min="5832" max="5832" width="13" style="17" customWidth="1"/>
    <col min="5833" max="5833" width="14.1796875" style="17" customWidth="1"/>
    <col min="5834" max="5834" width="13" style="17" customWidth="1"/>
    <col min="5835" max="5835" width="14.90625" style="17" customWidth="1"/>
    <col min="5836" max="5836" width="13" style="17" customWidth="1"/>
    <col min="5837" max="5837" width="15.54296875" style="17" customWidth="1"/>
    <col min="5838" max="5838" width="13" style="17" customWidth="1"/>
    <col min="5839" max="5839" width="14.1796875" style="17" customWidth="1"/>
    <col min="5840" max="5840" width="13" style="17" customWidth="1"/>
    <col min="5841" max="5841" width="14.1796875" style="17" customWidth="1"/>
    <col min="5842" max="5842" width="13" style="17" customWidth="1"/>
    <col min="5843" max="5843" width="14.90625" style="17" customWidth="1"/>
    <col min="5844" max="5844" width="13" style="17" customWidth="1"/>
    <col min="5845" max="5845" width="15.54296875" style="17" customWidth="1"/>
    <col min="5846" max="5846" width="13" style="17" customWidth="1"/>
    <col min="5847" max="5847" width="14.1796875" style="17" customWidth="1"/>
    <col min="5848" max="5848" width="13" style="17" customWidth="1"/>
    <col min="5849" max="5849" width="15.54296875" style="17" customWidth="1"/>
    <col min="5850" max="5850" width="15.81640625" style="17" customWidth="1"/>
    <col min="5851" max="5851" width="14.1796875" style="17" customWidth="1"/>
    <col min="5852" max="5852" width="15.81640625" style="17" customWidth="1"/>
    <col min="5853" max="5853" width="15.54296875" style="17" customWidth="1"/>
    <col min="5854" max="5854" width="13" style="17" customWidth="1"/>
    <col min="5855" max="5855" width="14.1796875" style="17" customWidth="1"/>
    <col min="5856" max="5856" width="15.81640625" style="17" customWidth="1"/>
    <col min="5857" max="5857" width="16.453125" style="17" customWidth="1"/>
    <col min="5858" max="5858" width="15.54296875" style="17" customWidth="1"/>
    <col min="5859" max="5859" width="13" style="17" customWidth="1"/>
    <col min="5860" max="5860" width="16" style="17" customWidth="1"/>
    <col min="5861" max="5861" width="13" style="17" customWidth="1"/>
    <col min="5862" max="5862" width="11.08984375" style="17" customWidth="1"/>
    <col min="5863" max="5863" width="15.54296875" style="17" customWidth="1"/>
    <col min="5864" max="5864" width="13" style="17" customWidth="1"/>
    <col min="5865" max="5865" width="14.1796875" style="17" customWidth="1"/>
    <col min="5866" max="5866" width="15.81640625" style="17" customWidth="1"/>
    <col min="5867" max="5867" width="15.54296875" style="17" customWidth="1"/>
    <col min="5868" max="5868" width="13" style="17" customWidth="1"/>
    <col min="5869" max="5869" width="14.1796875" style="17" customWidth="1"/>
    <col min="5870" max="5870" width="15.81640625" style="17" customWidth="1"/>
    <col min="5871" max="5871" width="15.54296875" style="17" customWidth="1"/>
    <col min="5872" max="5872" width="13" style="17" customWidth="1"/>
    <col min="5873" max="5873" width="14.1796875" style="17" customWidth="1"/>
    <col min="5874" max="5874" width="15.81640625" style="17" customWidth="1"/>
    <col min="5875" max="5875" width="9.1796875" style="17"/>
    <col min="5876" max="5876" width="15.54296875" style="17" customWidth="1"/>
    <col min="5877" max="5877" width="13" style="17" customWidth="1"/>
    <col min="5878" max="5878" width="14.1796875" style="17" customWidth="1"/>
    <col min="5879" max="5879" width="15.81640625" style="17" customWidth="1"/>
    <col min="5880" max="5880" width="9.1796875" style="17"/>
    <col min="5881" max="5881" width="16" style="17" customWidth="1"/>
    <col min="5882" max="5882" width="13" style="17" customWidth="1"/>
    <col min="5883" max="5883" width="14.1796875" style="17" customWidth="1"/>
    <col min="5884" max="5884" width="13" style="17" customWidth="1"/>
    <col min="5885" max="5885" width="14.1796875" style="17" customWidth="1"/>
    <col min="5886" max="5886" width="13" style="17" customWidth="1"/>
    <col min="5887" max="5887" width="14.1796875" style="17" customWidth="1"/>
    <col min="5888" max="5888" width="13" style="17" customWidth="1"/>
    <col min="5889" max="5889" width="14.1796875" style="17" customWidth="1"/>
    <col min="5890" max="5890" width="13" style="17" customWidth="1"/>
    <col min="5891" max="5891" width="14.1796875" style="17" customWidth="1"/>
    <col min="5892" max="5893" width="13" style="17" customWidth="1"/>
    <col min="5894" max="5894" width="14.90625" style="17" bestFit="1" customWidth="1"/>
    <col min="5895" max="5895" width="13" style="17" customWidth="1"/>
    <col min="5896" max="5896" width="14.1796875" style="17" customWidth="1"/>
    <col min="5897" max="5897" width="13" style="17" customWidth="1"/>
    <col min="5898" max="5898" width="8.81640625" style="17" customWidth="1"/>
    <col min="5899" max="5899" width="14.1796875" style="17" customWidth="1"/>
    <col min="5900" max="5900" width="13" style="17" customWidth="1"/>
    <col min="5901" max="5901" width="14.1796875" style="17" customWidth="1"/>
    <col min="5902" max="5902" width="13" style="17" customWidth="1"/>
    <col min="5903" max="5903" width="14.1796875" style="17" customWidth="1"/>
    <col min="5904" max="5904" width="13" style="17" customWidth="1"/>
    <col min="5905" max="5905" width="14.1796875" style="17" customWidth="1"/>
    <col min="5906" max="5910" width="13" style="17" customWidth="1"/>
    <col min="5911" max="5911" width="16.81640625" style="17" customWidth="1"/>
    <col min="5912" max="5912" width="14.1796875" style="17" customWidth="1"/>
    <col min="5913" max="5913" width="13" style="17" customWidth="1"/>
    <col min="5914" max="5914" width="14.1796875" style="17" customWidth="1"/>
    <col min="5915" max="5916" width="13.36328125" style="17" customWidth="1"/>
    <col min="5917" max="5917" width="15.6328125" style="17" customWidth="1"/>
    <col min="5918" max="5918" width="14.36328125" style="17" customWidth="1"/>
    <col min="5919" max="5919" width="16" style="17" bestFit="1" customWidth="1"/>
    <col min="5920" max="5920" width="14.1796875" style="17" customWidth="1"/>
    <col min="5921" max="5921" width="13" style="17" customWidth="1"/>
    <col min="5922" max="5922" width="14.1796875" style="17" customWidth="1"/>
    <col min="5923" max="5923" width="13.36328125" style="17" customWidth="1"/>
    <col min="5924" max="5924" width="13.81640625" style="17" bestFit="1" customWidth="1"/>
    <col min="5925" max="5925" width="14.1796875" style="17" bestFit="1" customWidth="1"/>
    <col min="5926" max="5926" width="13.81640625" style="17" bestFit="1" customWidth="1"/>
    <col min="5927" max="6082" width="9.1796875" style="17"/>
    <col min="6083" max="6083" width="3.81640625" style="17" bestFit="1" customWidth="1"/>
    <col min="6084" max="6084" width="39.54296875" style="17" customWidth="1"/>
    <col min="6085" max="6085" width="16" style="17" customWidth="1"/>
    <col min="6086" max="6086" width="13" style="17" customWidth="1"/>
    <col min="6087" max="6087" width="16" style="17" customWidth="1"/>
    <col min="6088" max="6088" width="13" style="17" customWidth="1"/>
    <col min="6089" max="6089" width="14.1796875" style="17" customWidth="1"/>
    <col min="6090" max="6090" width="13" style="17" customWidth="1"/>
    <col min="6091" max="6091" width="14.90625" style="17" customWidth="1"/>
    <col min="6092" max="6092" width="13" style="17" customWidth="1"/>
    <col min="6093" max="6093" width="15.54296875" style="17" customWidth="1"/>
    <col min="6094" max="6094" width="13" style="17" customWidth="1"/>
    <col min="6095" max="6095" width="14.1796875" style="17" customWidth="1"/>
    <col min="6096" max="6096" width="13" style="17" customWidth="1"/>
    <col min="6097" max="6097" width="14.1796875" style="17" customWidth="1"/>
    <col min="6098" max="6098" width="13" style="17" customWidth="1"/>
    <col min="6099" max="6099" width="14.90625" style="17" customWidth="1"/>
    <col min="6100" max="6100" width="13" style="17" customWidth="1"/>
    <col min="6101" max="6101" width="15.54296875" style="17" customWidth="1"/>
    <col min="6102" max="6102" width="13" style="17" customWidth="1"/>
    <col min="6103" max="6103" width="14.1796875" style="17" customWidth="1"/>
    <col min="6104" max="6104" width="13" style="17" customWidth="1"/>
    <col min="6105" max="6105" width="15.54296875" style="17" customWidth="1"/>
    <col min="6106" max="6106" width="15.81640625" style="17" customWidth="1"/>
    <col min="6107" max="6107" width="14.1796875" style="17" customWidth="1"/>
    <col min="6108" max="6108" width="15.81640625" style="17" customWidth="1"/>
    <col min="6109" max="6109" width="15.54296875" style="17" customWidth="1"/>
    <col min="6110" max="6110" width="13" style="17" customWidth="1"/>
    <col min="6111" max="6111" width="14.1796875" style="17" customWidth="1"/>
    <col min="6112" max="6112" width="15.81640625" style="17" customWidth="1"/>
    <col min="6113" max="6113" width="16.453125" style="17" customWidth="1"/>
    <col min="6114" max="6114" width="15.54296875" style="17" customWidth="1"/>
    <col min="6115" max="6115" width="13" style="17" customWidth="1"/>
    <col min="6116" max="6116" width="16" style="17" customWidth="1"/>
    <col min="6117" max="6117" width="13" style="17" customWidth="1"/>
    <col min="6118" max="6118" width="11.08984375" style="17" customWidth="1"/>
    <col min="6119" max="6119" width="15.54296875" style="17" customWidth="1"/>
    <col min="6120" max="6120" width="13" style="17" customWidth="1"/>
    <col min="6121" max="6121" width="14.1796875" style="17" customWidth="1"/>
    <col min="6122" max="6122" width="15.81640625" style="17" customWidth="1"/>
    <col min="6123" max="6123" width="15.54296875" style="17" customWidth="1"/>
    <col min="6124" max="6124" width="13" style="17" customWidth="1"/>
    <col min="6125" max="6125" width="14.1796875" style="17" customWidth="1"/>
    <col min="6126" max="6126" width="15.81640625" style="17" customWidth="1"/>
    <col min="6127" max="6127" width="15.54296875" style="17" customWidth="1"/>
    <col min="6128" max="6128" width="13" style="17" customWidth="1"/>
    <col min="6129" max="6129" width="14.1796875" style="17" customWidth="1"/>
    <col min="6130" max="6130" width="15.81640625" style="17" customWidth="1"/>
    <col min="6131" max="6131" width="9.1796875" style="17"/>
    <col min="6132" max="6132" width="15.54296875" style="17" customWidth="1"/>
    <col min="6133" max="6133" width="13" style="17" customWidth="1"/>
    <col min="6134" max="6134" width="14.1796875" style="17" customWidth="1"/>
    <col min="6135" max="6135" width="15.81640625" style="17" customWidth="1"/>
    <col min="6136" max="6136" width="9.1796875" style="17"/>
    <col min="6137" max="6137" width="16" style="17" customWidth="1"/>
    <col min="6138" max="6138" width="13" style="17" customWidth="1"/>
    <col min="6139" max="6139" width="14.1796875" style="17" customWidth="1"/>
    <col min="6140" max="6140" width="13" style="17" customWidth="1"/>
    <col min="6141" max="6141" width="14.1796875" style="17" customWidth="1"/>
    <col min="6142" max="6142" width="13" style="17" customWidth="1"/>
    <col min="6143" max="6143" width="14.1796875" style="17" customWidth="1"/>
    <col min="6144" max="6144" width="13" style="17" customWidth="1"/>
    <col min="6145" max="6145" width="14.1796875" style="17" customWidth="1"/>
    <col min="6146" max="6146" width="13" style="17" customWidth="1"/>
    <col min="6147" max="6147" width="14.1796875" style="17" customWidth="1"/>
    <col min="6148" max="6149" width="13" style="17" customWidth="1"/>
    <col min="6150" max="6150" width="14.90625" style="17" bestFit="1" customWidth="1"/>
    <col min="6151" max="6151" width="13" style="17" customWidth="1"/>
    <col min="6152" max="6152" width="14.1796875" style="17" customWidth="1"/>
    <col min="6153" max="6153" width="13" style="17" customWidth="1"/>
    <col min="6154" max="6154" width="8.81640625" style="17" customWidth="1"/>
    <col min="6155" max="6155" width="14.1796875" style="17" customWidth="1"/>
    <col min="6156" max="6156" width="13" style="17" customWidth="1"/>
    <col min="6157" max="6157" width="14.1796875" style="17" customWidth="1"/>
    <col min="6158" max="6158" width="13" style="17" customWidth="1"/>
    <col min="6159" max="6159" width="14.1796875" style="17" customWidth="1"/>
    <col min="6160" max="6160" width="13" style="17" customWidth="1"/>
    <col min="6161" max="6161" width="14.1796875" style="17" customWidth="1"/>
    <col min="6162" max="6166" width="13" style="17" customWidth="1"/>
    <col min="6167" max="6167" width="16.81640625" style="17" customWidth="1"/>
    <col min="6168" max="6168" width="14.1796875" style="17" customWidth="1"/>
    <col min="6169" max="6169" width="13" style="17" customWidth="1"/>
    <col min="6170" max="6170" width="14.1796875" style="17" customWidth="1"/>
    <col min="6171" max="6172" width="13.36328125" style="17" customWidth="1"/>
    <col min="6173" max="6173" width="15.6328125" style="17" customWidth="1"/>
    <col min="6174" max="6174" width="14.36328125" style="17" customWidth="1"/>
    <col min="6175" max="6175" width="16" style="17" bestFit="1" customWidth="1"/>
    <col min="6176" max="6176" width="14.1796875" style="17" customWidth="1"/>
    <col min="6177" max="6177" width="13" style="17" customWidth="1"/>
    <col min="6178" max="6178" width="14.1796875" style="17" customWidth="1"/>
    <col min="6179" max="6179" width="13.36328125" style="17" customWidth="1"/>
    <col min="6180" max="6180" width="13.81640625" style="17" bestFit="1" customWidth="1"/>
    <col min="6181" max="6181" width="14.1796875" style="17" bestFit="1" customWidth="1"/>
    <col min="6182" max="6182" width="13.81640625" style="17" bestFit="1" customWidth="1"/>
    <col min="6183" max="6338" width="9.1796875" style="17"/>
    <col min="6339" max="6339" width="3.81640625" style="17" bestFit="1" customWidth="1"/>
    <col min="6340" max="6340" width="39.54296875" style="17" customWidth="1"/>
    <col min="6341" max="6341" width="16" style="17" customWidth="1"/>
    <col min="6342" max="6342" width="13" style="17" customWidth="1"/>
    <col min="6343" max="6343" width="16" style="17" customWidth="1"/>
    <col min="6344" max="6344" width="13" style="17" customWidth="1"/>
    <col min="6345" max="6345" width="14.1796875" style="17" customWidth="1"/>
    <col min="6346" max="6346" width="13" style="17" customWidth="1"/>
    <col min="6347" max="6347" width="14.90625" style="17" customWidth="1"/>
    <col min="6348" max="6348" width="13" style="17" customWidth="1"/>
    <col min="6349" max="6349" width="15.54296875" style="17" customWidth="1"/>
    <col min="6350" max="6350" width="13" style="17" customWidth="1"/>
    <col min="6351" max="6351" width="14.1796875" style="17" customWidth="1"/>
    <col min="6352" max="6352" width="13" style="17" customWidth="1"/>
    <col min="6353" max="6353" width="14.1796875" style="17" customWidth="1"/>
    <col min="6354" max="6354" width="13" style="17" customWidth="1"/>
    <col min="6355" max="6355" width="14.90625" style="17" customWidth="1"/>
    <col min="6356" max="6356" width="13" style="17" customWidth="1"/>
    <col min="6357" max="6357" width="15.54296875" style="17" customWidth="1"/>
    <col min="6358" max="6358" width="13" style="17" customWidth="1"/>
    <col min="6359" max="6359" width="14.1796875" style="17" customWidth="1"/>
    <col min="6360" max="6360" width="13" style="17" customWidth="1"/>
    <col min="6361" max="6361" width="15.54296875" style="17" customWidth="1"/>
    <col min="6362" max="6362" width="15.81640625" style="17" customWidth="1"/>
    <col min="6363" max="6363" width="14.1796875" style="17" customWidth="1"/>
    <col min="6364" max="6364" width="15.81640625" style="17" customWidth="1"/>
    <col min="6365" max="6365" width="15.54296875" style="17" customWidth="1"/>
    <col min="6366" max="6366" width="13" style="17" customWidth="1"/>
    <col min="6367" max="6367" width="14.1796875" style="17" customWidth="1"/>
    <col min="6368" max="6368" width="15.81640625" style="17" customWidth="1"/>
    <col min="6369" max="6369" width="16.453125" style="17" customWidth="1"/>
    <col min="6370" max="6370" width="15.54296875" style="17" customWidth="1"/>
    <col min="6371" max="6371" width="13" style="17" customWidth="1"/>
    <col min="6372" max="6372" width="16" style="17" customWidth="1"/>
    <col min="6373" max="6373" width="13" style="17" customWidth="1"/>
    <col min="6374" max="6374" width="11.08984375" style="17" customWidth="1"/>
    <col min="6375" max="6375" width="15.54296875" style="17" customWidth="1"/>
    <col min="6376" max="6376" width="13" style="17" customWidth="1"/>
    <col min="6377" max="6377" width="14.1796875" style="17" customWidth="1"/>
    <col min="6378" max="6378" width="15.81640625" style="17" customWidth="1"/>
    <col min="6379" max="6379" width="15.54296875" style="17" customWidth="1"/>
    <col min="6380" max="6380" width="13" style="17" customWidth="1"/>
    <col min="6381" max="6381" width="14.1796875" style="17" customWidth="1"/>
    <col min="6382" max="6382" width="15.81640625" style="17" customWidth="1"/>
    <col min="6383" max="6383" width="15.54296875" style="17" customWidth="1"/>
    <col min="6384" max="6384" width="13" style="17" customWidth="1"/>
    <col min="6385" max="6385" width="14.1796875" style="17" customWidth="1"/>
    <col min="6386" max="6386" width="15.81640625" style="17" customWidth="1"/>
    <col min="6387" max="6387" width="9.1796875" style="17"/>
    <col min="6388" max="6388" width="15.54296875" style="17" customWidth="1"/>
    <col min="6389" max="6389" width="13" style="17" customWidth="1"/>
    <col min="6390" max="6390" width="14.1796875" style="17" customWidth="1"/>
    <col min="6391" max="6391" width="15.81640625" style="17" customWidth="1"/>
    <col min="6392" max="6392" width="9.1796875" style="17"/>
    <col min="6393" max="6393" width="16" style="17" customWidth="1"/>
    <col min="6394" max="6394" width="13" style="17" customWidth="1"/>
    <col min="6395" max="6395" width="14.1796875" style="17" customWidth="1"/>
    <col min="6396" max="6396" width="13" style="17" customWidth="1"/>
    <col min="6397" max="6397" width="14.1796875" style="17" customWidth="1"/>
    <col min="6398" max="6398" width="13" style="17" customWidth="1"/>
    <col min="6399" max="6399" width="14.1796875" style="17" customWidth="1"/>
    <col min="6400" max="6400" width="13" style="17" customWidth="1"/>
    <col min="6401" max="6401" width="14.1796875" style="17" customWidth="1"/>
    <col min="6402" max="6402" width="13" style="17" customWidth="1"/>
    <col min="6403" max="6403" width="14.1796875" style="17" customWidth="1"/>
    <col min="6404" max="6405" width="13" style="17" customWidth="1"/>
    <col min="6406" max="6406" width="14.90625" style="17" bestFit="1" customWidth="1"/>
    <col min="6407" max="6407" width="13" style="17" customWidth="1"/>
    <col min="6408" max="6408" width="14.1796875" style="17" customWidth="1"/>
    <col min="6409" max="6409" width="13" style="17" customWidth="1"/>
    <col min="6410" max="6410" width="8.81640625" style="17" customWidth="1"/>
    <col min="6411" max="6411" width="14.1796875" style="17" customWidth="1"/>
    <col min="6412" max="6412" width="13" style="17" customWidth="1"/>
    <col min="6413" max="6413" width="14.1796875" style="17" customWidth="1"/>
    <col min="6414" max="6414" width="13" style="17" customWidth="1"/>
    <col min="6415" max="6415" width="14.1796875" style="17" customWidth="1"/>
    <col min="6416" max="6416" width="13" style="17" customWidth="1"/>
    <col min="6417" max="6417" width="14.1796875" style="17" customWidth="1"/>
    <col min="6418" max="6422" width="13" style="17" customWidth="1"/>
    <col min="6423" max="6423" width="16.81640625" style="17" customWidth="1"/>
    <col min="6424" max="6424" width="14.1796875" style="17" customWidth="1"/>
    <col min="6425" max="6425" width="13" style="17" customWidth="1"/>
    <col min="6426" max="6426" width="14.1796875" style="17" customWidth="1"/>
    <col min="6427" max="6428" width="13.36328125" style="17" customWidth="1"/>
    <col min="6429" max="6429" width="15.6328125" style="17" customWidth="1"/>
    <col min="6430" max="6430" width="14.36328125" style="17" customWidth="1"/>
    <col min="6431" max="6431" width="16" style="17" bestFit="1" customWidth="1"/>
    <col min="6432" max="6432" width="14.1796875" style="17" customWidth="1"/>
    <col min="6433" max="6433" width="13" style="17" customWidth="1"/>
    <col min="6434" max="6434" width="14.1796875" style="17" customWidth="1"/>
    <col min="6435" max="6435" width="13.36328125" style="17" customWidth="1"/>
    <col min="6436" max="6436" width="13.81640625" style="17" bestFit="1" customWidth="1"/>
    <col min="6437" max="6437" width="14.1796875" style="17" bestFit="1" customWidth="1"/>
    <col min="6438" max="6438" width="13.81640625" style="17" bestFit="1" customWidth="1"/>
    <col min="6439" max="6594" width="9.1796875" style="17"/>
    <col min="6595" max="6595" width="3.81640625" style="17" bestFit="1" customWidth="1"/>
    <col min="6596" max="6596" width="39.54296875" style="17" customWidth="1"/>
    <col min="6597" max="6597" width="16" style="17" customWidth="1"/>
    <col min="6598" max="6598" width="13" style="17" customWidth="1"/>
    <col min="6599" max="6599" width="16" style="17" customWidth="1"/>
    <col min="6600" max="6600" width="13" style="17" customWidth="1"/>
    <col min="6601" max="6601" width="14.1796875" style="17" customWidth="1"/>
    <col min="6602" max="6602" width="13" style="17" customWidth="1"/>
    <col min="6603" max="6603" width="14.90625" style="17" customWidth="1"/>
    <col min="6604" max="6604" width="13" style="17" customWidth="1"/>
    <col min="6605" max="6605" width="15.54296875" style="17" customWidth="1"/>
    <col min="6606" max="6606" width="13" style="17" customWidth="1"/>
    <col min="6607" max="6607" width="14.1796875" style="17" customWidth="1"/>
    <col min="6608" max="6608" width="13" style="17" customWidth="1"/>
    <col min="6609" max="6609" width="14.1796875" style="17" customWidth="1"/>
    <col min="6610" max="6610" width="13" style="17" customWidth="1"/>
    <col min="6611" max="6611" width="14.90625" style="17" customWidth="1"/>
    <col min="6612" max="6612" width="13" style="17" customWidth="1"/>
    <col min="6613" max="6613" width="15.54296875" style="17" customWidth="1"/>
    <col min="6614" max="6614" width="13" style="17" customWidth="1"/>
    <col min="6615" max="6615" width="14.1796875" style="17" customWidth="1"/>
    <col min="6616" max="6616" width="13" style="17" customWidth="1"/>
    <col min="6617" max="6617" width="15.54296875" style="17" customWidth="1"/>
    <col min="6618" max="6618" width="15.81640625" style="17" customWidth="1"/>
    <col min="6619" max="6619" width="14.1796875" style="17" customWidth="1"/>
    <col min="6620" max="6620" width="15.81640625" style="17" customWidth="1"/>
    <col min="6621" max="6621" width="15.54296875" style="17" customWidth="1"/>
    <col min="6622" max="6622" width="13" style="17" customWidth="1"/>
    <col min="6623" max="6623" width="14.1796875" style="17" customWidth="1"/>
    <col min="6624" max="6624" width="15.81640625" style="17" customWidth="1"/>
    <col min="6625" max="6625" width="16.453125" style="17" customWidth="1"/>
    <col min="6626" max="6626" width="15.54296875" style="17" customWidth="1"/>
    <col min="6627" max="6627" width="13" style="17" customWidth="1"/>
    <col min="6628" max="6628" width="16" style="17" customWidth="1"/>
    <col min="6629" max="6629" width="13" style="17" customWidth="1"/>
    <col min="6630" max="6630" width="11.08984375" style="17" customWidth="1"/>
    <col min="6631" max="6631" width="15.54296875" style="17" customWidth="1"/>
    <col min="6632" max="6632" width="13" style="17" customWidth="1"/>
    <col min="6633" max="6633" width="14.1796875" style="17" customWidth="1"/>
    <col min="6634" max="6634" width="15.81640625" style="17" customWidth="1"/>
    <col min="6635" max="6635" width="15.54296875" style="17" customWidth="1"/>
    <col min="6636" max="6636" width="13" style="17" customWidth="1"/>
    <col min="6637" max="6637" width="14.1796875" style="17" customWidth="1"/>
    <col min="6638" max="6638" width="15.81640625" style="17" customWidth="1"/>
    <col min="6639" max="6639" width="15.54296875" style="17" customWidth="1"/>
    <col min="6640" max="6640" width="13" style="17" customWidth="1"/>
    <col min="6641" max="6641" width="14.1796875" style="17" customWidth="1"/>
    <col min="6642" max="6642" width="15.81640625" style="17" customWidth="1"/>
    <col min="6643" max="6643" width="9.1796875" style="17"/>
    <col min="6644" max="6644" width="15.54296875" style="17" customWidth="1"/>
    <col min="6645" max="6645" width="13" style="17" customWidth="1"/>
    <col min="6646" max="6646" width="14.1796875" style="17" customWidth="1"/>
    <col min="6647" max="6647" width="15.81640625" style="17" customWidth="1"/>
    <col min="6648" max="6648" width="9.1796875" style="17"/>
    <col min="6649" max="6649" width="16" style="17" customWidth="1"/>
    <col min="6650" max="6650" width="13" style="17" customWidth="1"/>
    <col min="6651" max="6651" width="14.1796875" style="17" customWidth="1"/>
    <col min="6652" max="6652" width="13" style="17" customWidth="1"/>
    <col min="6653" max="6653" width="14.1796875" style="17" customWidth="1"/>
    <col min="6654" max="6654" width="13" style="17" customWidth="1"/>
    <col min="6655" max="6655" width="14.1796875" style="17" customWidth="1"/>
    <col min="6656" max="6656" width="13" style="17" customWidth="1"/>
    <col min="6657" max="6657" width="14.1796875" style="17" customWidth="1"/>
    <col min="6658" max="6658" width="13" style="17" customWidth="1"/>
    <col min="6659" max="6659" width="14.1796875" style="17" customWidth="1"/>
    <col min="6660" max="6661" width="13" style="17" customWidth="1"/>
    <col min="6662" max="6662" width="14.90625" style="17" bestFit="1" customWidth="1"/>
    <col min="6663" max="6663" width="13" style="17" customWidth="1"/>
    <col min="6664" max="6664" width="14.1796875" style="17" customWidth="1"/>
    <col min="6665" max="6665" width="13" style="17" customWidth="1"/>
    <col min="6666" max="6666" width="8.81640625" style="17" customWidth="1"/>
    <col min="6667" max="6667" width="14.1796875" style="17" customWidth="1"/>
    <col min="6668" max="6668" width="13" style="17" customWidth="1"/>
    <col min="6669" max="6669" width="14.1796875" style="17" customWidth="1"/>
    <col min="6670" max="6670" width="13" style="17" customWidth="1"/>
    <col min="6671" max="6671" width="14.1796875" style="17" customWidth="1"/>
    <col min="6672" max="6672" width="13" style="17" customWidth="1"/>
    <col min="6673" max="6673" width="14.1796875" style="17" customWidth="1"/>
    <col min="6674" max="6678" width="13" style="17" customWidth="1"/>
    <col min="6679" max="6679" width="16.81640625" style="17" customWidth="1"/>
    <col min="6680" max="6680" width="14.1796875" style="17" customWidth="1"/>
    <col min="6681" max="6681" width="13" style="17" customWidth="1"/>
    <col min="6682" max="6682" width="14.1796875" style="17" customWidth="1"/>
    <col min="6683" max="6684" width="13.36328125" style="17" customWidth="1"/>
    <col min="6685" max="6685" width="15.6328125" style="17" customWidth="1"/>
    <col min="6686" max="6686" width="14.36328125" style="17" customWidth="1"/>
    <col min="6687" max="6687" width="16" style="17" bestFit="1" customWidth="1"/>
    <col min="6688" max="6688" width="14.1796875" style="17" customWidth="1"/>
    <col min="6689" max="6689" width="13" style="17" customWidth="1"/>
    <col min="6690" max="6690" width="14.1796875" style="17" customWidth="1"/>
    <col min="6691" max="6691" width="13.36328125" style="17" customWidth="1"/>
    <col min="6692" max="6692" width="13.81640625" style="17" bestFit="1" customWidth="1"/>
    <col min="6693" max="6693" width="14.1796875" style="17" bestFit="1" customWidth="1"/>
    <col min="6694" max="6694" width="13.81640625" style="17" bestFit="1" customWidth="1"/>
    <col min="6695" max="6850" width="9.1796875" style="17"/>
    <col min="6851" max="6851" width="3.81640625" style="17" bestFit="1" customWidth="1"/>
    <col min="6852" max="6852" width="39.54296875" style="17" customWidth="1"/>
    <col min="6853" max="6853" width="16" style="17" customWidth="1"/>
    <col min="6854" max="6854" width="13" style="17" customWidth="1"/>
    <col min="6855" max="6855" width="16" style="17" customWidth="1"/>
    <col min="6856" max="6856" width="13" style="17" customWidth="1"/>
    <col min="6857" max="6857" width="14.1796875" style="17" customWidth="1"/>
    <col min="6858" max="6858" width="13" style="17" customWidth="1"/>
    <col min="6859" max="6859" width="14.90625" style="17" customWidth="1"/>
    <col min="6860" max="6860" width="13" style="17" customWidth="1"/>
    <col min="6861" max="6861" width="15.54296875" style="17" customWidth="1"/>
    <col min="6862" max="6862" width="13" style="17" customWidth="1"/>
    <col min="6863" max="6863" width="14.1796875" style="17" customWidth="1"/>
    <col min="6864" max="6864" width="13" style="17" customWidth="1"/>
    <col min="6865" max="6865" width="14.1796875" style="17" customWidth="1"/>
    <col min="6866" max="6866" width="13" style="17" customWidth="1"/>
    <col min="6867" max="6867" width="14.90625" style="17" customWidth="1"/>
    <col min="6868" max="6868" width="13" style="17" customWidth="1"/>
    <col min="6869" max="6869" width="15.54296875" style="17" customWidth="1"/>
    <col min="6870" max="6870" width="13" style="17" customWidth="1"/>
    <col min="6871" max="6871" width="14.1796875" style="17" customWidth="1"/>
    <col min="6872" max="6872" width="13" style="17" customWidth="1"/>
    <col min="6873" max="6873" width="15.54296875" style="17" customWidth="1"/>
    <col min="6874" max="6874" width="15.81640625" style="17" customWidth="1"/>
    <col min="6875" max="6875" width="14.1796875" style="17" customWidth="1"/>
    <col min="6876" max="6876" width="15.81640625" style="17" customWidth="1"/>
    <col min="6877" max="6877" width="15.54296875" style="17" customWidth="1"/>
    <col min="6878" max="6878" width="13" style="17" customWidth="1"/>
    <col min="6879" max="6879" width="14.1796875" style="17" customWidth="1"/>
    <col min="6880" max="6880" width="15.81640625" style="17" customWidth="1"/>
    <col min="6881" max="6881" width="16.453125" style="17" customWidth="1"/>
    <col min="6882" max="6882" width="15.54296875" style="17" customWidth="1"/>
    <col min="6883" max="6883" width="13" style="17" customWidth="1"/>
    <col min="6884" max="6884" width="16" style="17" customWidth="1"/>
    <col min="6885" max="6885" width="13" style="17" customWidth="1"/>
    <col min="6886" max="6886" width="11.08984375" style="17" customWidth="1"/>
    <col min="6887" max="6887" width="15.54296875" style="17" customWidth="1"/>
    <col min="6888" max="6888" width="13" style="17" customWidth="1"/>
    <col min="6889" max="6889" width="14.1796875" style="17" customWidth="1"/>
    <col min="6890" max="6890" width="15.81640625" style="17" customWidth="1"/>
    <col min="6891" max="6891" width="15.54296875" style="17" customWidth="1"/>
    <col min="6892" max="6892" width="13" style="17" customWidth="1"/>
    <col min="6893" max="6893" width="14.1796875" style="17" customWidth="1"/>
    <col min="6894" max="6894" width="15.81640625" style="17" customWidth="1"/>
    <col min="6895" max="6895" width="15.54296875" style="17" customWidth="1"/>
    <col min="6896" max="6896" width="13" style="17" customWidth="1"/>
    <col min="6897" max="6897" width="14.1796875" style="17" customWidth="1"/>
    <col min="6898" max="6898" width="15.81640625" style="17" customWidth="1"/>
    <col min="6899" max="6899" width="9.1796875" style="17"/>
    <col min="6900" max="6900" width="15.54296875" style="17" customWidth="1"/>
    <col min="6901" max="6901" width="13" style="17" customWidth="1"/>
    <col min="6902" max="6902" width="14.1796875" style="17" customWidth="1"/>
    <col min="6903" max="6903" width="15.81640625" style="17" customWidth="1"/>
    <col min="6904" max="6904" width="9.1796875" style="17"/>
    <col min="6905" max="6905" width="16" style="17" customWidth="1"/>
    <col min="6906" max="6906" width="13" style="17" customWidth="1"/>
    <col min="6907" max="6907" width="14.1796875" style="17" customWidth="1"/>
    <col min="6908" max="6908" width="13" style="17" customWidth="1"/>
    <col min="6909" max="6909" width="14.1796875" style="17" customWidth="1"/>
    <col min="6910" max="6910" width="13" style="17" customWidth="1"/>
    <col min="6911" max="6911" width="14.1796875" style="17" customWidth="1"/>
    <col min="6912" max="6912" width="13" style="17" customWidth="1"/>
    <col min="6913" max="6913" width="14.1796875" style="17" customWidth="1"/>
    <col min="6914" max="6914" width="13" style="17" customWidth="1"/>
    <col min="6915" max="6915" width="14.1796875" style="17" customWidth="1"/>
    <col min="6916" max="6917" width="13" style="17" customWidth="1"/>
    <col min="6918" max="6918" width="14.90625" style="17" bestFit="1" customWidth="1"/>
    <col min="6919" max="6919" width="13" style="17" customWidth="1"/>
    <col min="6920" max="6920" width="14.1796875" style="17" customWidth="1"/>
    <col min="6921" max="6921" width="13" style="17" customWidth="1"/>
    <col min="6922" max="6922" width="8.81640625" style="17" customWidth="1"/>
    <col min="6923" max="6923" width="14.1796875" style="17" customWidth="1"/>
    <col min="6924" max="6924" width="13" style="17" customWidth="1"/>
    <col min="6925" max="6925" width="14.1796875" style="17" customWidth="1"/>
    <col min="6926" max="6926" width="13" style="17" customWidth="1"/>
    <col min="6927" max="6927" width="14.1796875" style="17" customWidth="1"/>
    <col min="6928" max="6928" width="13" style="17" customWidth="1"/>
    <col min="6929" max="6929" width="14.1796875" style="17" customWidth="1"/>
    <col min="6930" max="6934" width="13" style="17" customWidth="1"/>
    <col min="6935" max="6935" width="16.81640625" style="17" customWidth="1"/>
    <col min="6936" max="6936" width="14.1796875" style="17" customWidth="1"/>
    <col min="6937" max="6937" width="13" style="17" customWidth="1"/>
    <col min="6938" max="6938" width="14.1796875" style="17" customWidth="1"/>
    <col min="6939" max="6940" width="13.36328125" style="17" customWidth="1"/>
    <col min="6941" max="6941" width="15.6328125" style="17" customWidth="1"/>
    <col min="6942" max="6942" width="14.36328125" style="17" customWidth="1"/>
    <col min="6943" max="6943" width="16" style="17" bestFit="1" customWidth="1"/>
    <col min="6944" max="6944" width="14.1796875" style="17" customWidth="1"/>
    <col min="6945" max="6945" width="13" style="17" customWidth="1"/>
    <col min="6946" max="6946" width="14.1796875" style="17" customWidth="1"/>
    <col min="6947" max="6947" width="13.36328125" style="17" customWidth="1"/>
    <col min="6948" max="6948" width="13.81640625" style="17" bestFit="1" customWidth="1"/>
    <col min="6949" max="6949" width="14.1796875" style="17" bestFit="1" customWidth="1"/>
    <col min="6950" max="6950" width="13.81640625" style="17" bestFit="1" customWidth="1"/>
    <col min="6951" max="7106" width="9.1796875" style="17"/>
    <col min="7107" max="7107" width="3.81640625" style="17" bestFit="1" customWidth="1"/>
    <col min="7108" max="7108" width="39.54296875" style="17" customWidth="1"/>
    <col min="7109" max="7109" width="16" style="17" customWidth="1"/>
    <col min="7110" max="7110" width="13" style="17" customWidth="1"/>
    <col min="7111" max="7111" width="16" style="17" customWidth="1"/>
    <col min="7112" max="7112" width="13" style="17" customWidth="1"/>
    <col min="7113" max="7113" width="14.1796875" style="17" customWidth="1"/>
    <col min="7114" max="7114" width="13" style="17" customWidth="1"/>
    <col min="7115" max="7115" width="14.90625" style="17" customWidth="1"/>
    <col min="7116" max="7116" width="13" style="17" customWidth="1"/>
    <col min="7117" max="7117" width="15.54296875" style="17" customWidth="1"/>
    <col min="7118" max="7118" width="13" style="17" customWidth="1"/>
    <col min="7119" max="7119" width="14.1796875" style="17" customWidth="1"/>
    <col min="7120" max="7120" width="13" style="17" customWidth="1"/>
    <col min="7121" max="7121" width="14.1796875" style="17" customWidth="1"/>
    <col min="7122" max="7122" width="13" style="17" customWidth="1"/>
    <col min="7123" max="7123" width="14.90625" style="17" customWidth="1"/>
    <col min="7124" max="7124" width="13" style="17" customWidth="1"/>
    <col min="7125" max="7125" width="15.54296875" style="17" customWidth="1"/>
    <col min="7126" max="7126" width="13" style="17" customWidth="1"/>
    <col min="7127" max="7127" width="14.1796875" style="17" customWidth="1"/>
    <col min="7128" max="7128" width="13" style="17" customWidth="1"/>
    <col min="7129" max="7129" width="15.54296875" style="17" customWidth="1"/>
    <col min="7130" max="7130" width="15.81640625" style="17" customWidth="1"/>
    <col min="7131" max="7131" width="14.1796875" style="17" customWidth="1"/>
    <col min="7132" max="7132" width="15.81640625" style="17" customWidth="1"/>
    <col min="7133" max="7133" width="15.54296875" style="17" customWidth="1"/>
    <col min="7134" max="7134" width="13" style="17" customWidth="1"/>
    <col min="7135" max="7135" width="14.1796875" style="17" customWidth="1"/>
    <col min="7136" max="7136" width="15.81640625" style="17" customWidth="1"/>
    <col min="7137" max="7137" width="16.453125" style="17" customWidth="1"/>
    <col min="7138" max="7138" width="15.54296875" style="17" customWidth="1"/>
    <col min="7139" max="7139" width="13" style="17" customWidth="1"/>
    <col min="7140" max="7140" width="16" style="17" customWidth="1"/>
    <col min="7141" max="7141" width="13" style="17" customWidth="1"/>
    <col min="7142" max="7142" width="11.08984375" style="17" customWidth="1"/>
    <col min="7143" max="7143" width="15.54296875" style="17" customWidth="1"/>
    <col min="7144" max="7144" width="13" style="17" customWidth="1"/>
    <col min="7145" max="7145" width="14.1796875" style="17" customWidth="1"/>
    <col min="7146" max="7146" width="15.81640625" style="17" customWidth="1"/>
    <col min="7147" max="7147" width="15.54296875" style="17" customWidth="1"/>
    <col min="7148" max="7148" width="13" style="17" customWidth="1"/>
    <col min="7149" max="7149" width="14.1796875" style="17" customWidth="1"/>
    <col min="7150" max="7150" width="15.81640625" style="17" customWidth="1"/>
    <col min="7151" max="7151" width="15.54296875" style="17" customWidth="1"/>
    <col min="7152" max="7152" width="13" style="17" customWidth="1"/>
    <col min="7153" max="7153" width="14.1796875" style="17" customWidth="1"/>
    <col min="7154" max="7154" width="15.81640625" style="17" customWidth="1"/>
    <col min="7155" max="7155" width="9.1796875" style="17"/>
    <col min="7156" max="7156" width="15.54296875" style="17" customWidth="1"/>
    <col min="7157" max="7157" width="13" style="17" customWidth="1"/>
    <col min="7158" max="7158" width="14.1796875" style="17" customWidth="1"/>
    <col min="7159" max="7159" width="15.81640625" style="17" customWidth="1"/>
    <col min="7160" max="7160" width="9.1796875" style="17"/>
    <col min="7161" max="7161" width="16" style="17" customWidth="1"/>
    <col min="7162" max="7162" width="13" style="17" customWidth="1"/>
    <col min="7163" max="7163" width="14.1796875" style="17" customWidth="1"/>
    <col min="7164" max="7164" width="13" style="17" customWidth="1"/>
    <col min="7165" max="7165" width="14.1796875" style="17" customWidth="1"/>
    <col min="7166" max="7166" width="13" style="17" customWidth="1"/>
    <col min="7167" max="7167" width="14.1796875" style="17" customWidth="1"/>
    <col min="7168" max="7168" width="13" style="17" customWidth="1"/>
    <col min="7169" max="7169" width="14.1796875" style="17" customWidth="1"/>
    <col min="7170" max="7170" width="13" style="17" customWidth="1"/>
    <col min="7171" max="7171" width="14.1796875" style="17" customWidth="1"/>
    <col min="7172" max="7173" width="13" style="17" customWidth="1"/>
    <col min="7174" max="7174" width="14.90625" style="17" bestFit="1" customWidth="1"/>
    <col min="7175" max="7175" width="13" style="17" customWidth="1"/>
    <col min="7176" max="7176" width="14.1796875" style="17" customWidth="1"/>
    <col min="7177" max="7177" width="13" style="17" customWidth="1"/>
    <col min="7178" max="7178" width="8.81640625" style="17" customWidth="1"/>
    <col min="7179" max="7179" width="14.1796875" style="17" customWidth="1"/>
    <col min="7180" max="7180" width="13" style="17" customWidth="1"/>
    <col min="7181" max="7181" width="14.1796875" style="17" customWidth="1"/>
    <col min="7182" max="7182" width="13" style="17" customWidth="1"/>
    <col min="7183" max="7183" width="14.1796875" style="17" customWidth="1"/>
    <col min="7184" max="7184" width="13" style="17" customWidth="1"/>
    <col min="7185" max="7185" width="14.1796875" style="17" customWidth="1"/>
    <col min="7186" max="7190" width="13" style="17" customWidth="1"/>
    <col min="7191" max="7191" width="16.81640625" style="17" customWidth="1"/>
    <col min="7192" max="7192" width="14.1796875" style="17" customWidth="1"/>
    <col min="7193" max="7193" width="13" style="17" customWidth="1"/>
    <col min="7194" max="7194" width="14.1796875" style="17" customWidth="1"/>
    <col min="7195" max="7196" width="13.36328125" style="17" customWidth="1"/>
    <col min="7197" max="7197" width="15.6328125" style="17" customWidth="1"/>
    <col min="7198" max="7198" width="14.36328125" style="17" customWidth="1"/>
    <col min="7199" max="7199" width="16" style="17" bestFit="1" customWidth="1"/>
    <col min="7200" max="7200" width="14.1796875" style="17" customWidth="1"/>
    <col min="7201" max="7201" width="13" style="17" customWidth="1"/>
    <col min="7202" max="7202" width="14.1796875" style="17" customWidth="1"/>
    <col min="7203" max="7203" width="13.36328125" style="17" customWidth="1"/>
    <col min="7204" max="7204" width="13.81640625" style="17" bestFit="1" customWidth="1"/>
    <col min="7205" max="7205" width="14.1796875" style="17" bestFit="1" customWidth="1"/>
    <col min="7206" max="7206" width="13.81640625" style="17" bestFit="1" customWidth="1"/>
    <col min="7207" max="7362" width="9.1796875" style="17"/>
    <col min="7363" max="7363" width="3.81640625" style="17" bestFit="1" customWidth="1"/>
    <col min="7364" max="7364" width="39.54296875" style="17" customWidth="1"/>
    <col min="7365" max="7365" width="16" style="17" customWidth="1"/>
    <col min="7366" max="7366" width="13" style="17" customWidth="1"/>
    <col min="7367" max="7367" width="16" style="17" customWidth="1"/>
    <col min="7368" max="7368" width="13" style="17" customWidth="1"/>
    <col min="7369" max="7369" width="14.1796875" style="17" customWidth="1"/>
    <col min="7370" max="7370" width="13" style="17" customWidth="1"/>
    <col min="7371" max="7371" width="14.90625" style="17" customWidth="1"/>
    <col min="7372" max="7372" width="13" style="17" customWidth="1"/>
    <col min="7373" max="7373" width="15.54296875" style="17" customWidth="1"/>
    <col min="7374" max="7374" width="13" style="17" customWidth="1"/>
    <col min="7375" max="7375" width="14.1796875" style="17" customWidth="1"/>
    <col min="7376" max="7376" width="13" style="17" customWidth="1"/>
    <col min="7377" max="7377" width="14.1796875" style="17" customWidth="1"/>
    <col min="7378" max="7378" width="13" style="17" customWidth="1"/>
    <col min="7379" max="7379" width="14.90625" style="17" customWidth="1"/>
    <col min="7380" max="7380" width="13" style="17" customWidth="1"/>
    <col min="7381" max="7381" width="15.54296875" style="17" customWidth="1"/>
    <col min="7382" max="7382" width="13" style="17" customWidth="1"/>
    <col min="7383" max="7383" width="14.1796875" style="17" customWidth="1"/>
    <col min="7384" max="7384" width="13" style="17" customWidth="1"/>
    <col min="7385" max="7385" width="15.54296875" style="17" customWidth="1"/>
    <col min="7386" max="7386" width="15.81640625" style="17" customWidth="1"/>
    <col min="7387" max="7387" width="14.1796875" style="17" customWidth="1"/>
    <col min="7388" max="7388" width="15.81640625" style="17" customWidth="1"/>
    <col min="7389" max="7389" width="15.54296875" style="17" customWidth="1"/>
    <col min="7390" max="7390" width="13" style="17" customWidth="1"/>
    <col min="7391" max="7391" width="14.1796875" style="17" customWidth="1"/>
    <col min="7392" max="7392" width="15.81640625" style="17" customWidth="1"/>
    <col min="7393" max="7393" width="16.453125" style="17" customWidth="1"/>
    <col min="7394" max="7394" width="15.54296875" style="17" customWidth="1"/>
    <col min="7395" max="7395" width="13" style="17" customWidth="1"/>
    <col min="7396" max="7396" width="16" style="17" customWidth="1"/>
    <col min="7397" max="7397" width="13" style="17" customWidth="1"/>
    <col min="7398" max="7398" width="11.08984375" style="17" customWidth="1"/>
    <col min="7399" max="7399" width="15.54296875" style="17" customWidth="1"/>
    <col min="7400" max="7400" width="13" style="17" customWidth="1"/>
    <col min="7401" max="7401" width="14.1796875" style="17" customWidth="1"/>
    <col min="7402" max="7402" width="15.81640625" style="17" customWidth="1"/>
    <col min="7403" max="7403" width="15.54296875" style="17" customWidth="1"/>
    <col min="7404" max="7404" width="13" style="17" customWidth="1"/>
    <col min="7405" max="7405" width="14.1796875" style="17" customWidth="1"/>
    <col min="7406" max="7406" width="15.81640625" style="17" customWidth="1"/>
    <col min="7407" max="7407" width="15.54296875" style="17" customWidth="1"/>
    <col min="7408" max="7408" width="13" style="17" customWidth="1"/>
    <col min="7409" max="7409" width="14.1796875" style="17" customWidth="1"/>
    <col min="7410" max="7410" width="15.81640625" style="17" customWidth="1"/>
    <col min="7411" max="7411" width="9.1796875" style="17"/>
    <col min="7412" max="7412" width="15.54296875" style="17" customWidth="1"/>
    <col min="7413" max="7413" width="13" style="17" customWidth="1"/>
    <col min="7414" max="7414" width="14.1796875" style="17" customWidth="1"/>
    <col min="7415" max="7415" width="15.81640625" style="17" customWidth="1"/>
    <col min="7416" max="7416" width="9.1796875" style="17"/>
    <col min="7417" max="7417" width="16" style="17" customWidth="1"/>
    <col min="7418" max="7418" width="13" style="17" customWidth="1"/>
    <col min="7419" max="7419" width="14.1796875" style="17" customWidth="1"/>
    <col min="7420" max="7420" width="13" style="17" customWidth="1"/>
    <col min="7421" max="7421" width="14.1796875" style="17" customWidth="1"/>
    <col min="7422" max="7422" width="13" style="17" customWidth="1"/>
    <col min="7423" max="7423" width="14.1796875" style="17" customWidth="1"/>
    <col min="7424" max="7424" width="13" style="17" customWidth="1"/>
    <col min="7425" max="7425" width="14.1796875" style="17" customWidth="1"/>
    <col min="7426" max="7426" width="13" style="17" customWidth="1"/>
    <col min="7427" max="7427" width="14.1796875" style="17" customWidth="1"/>
    <col min="7428" max="7429" width="13" style="17" customWidth="1"/>
    <col min="7430" max="7430" width="14.90625" style="17" bestFit="1" customWidth="1"/>
    <col min="7431" max="7431" width="13" style="17" customWidth="1"/>
    <col min="7432" max="7432" width="14.1796875" style="17" customWidth="1"/>
    <col min="7433" max="7433" width="13" style="17" customWidth="1"/>
    <col min="7434" max="7434" width="8.81640625" style="17" customWidth="1"/>
    <col min="7435" max="7435" width="14.1796875" style="17" customWidth="1"/>
    <col min="7436" max="7436" width="13" style="17" customWidth="1"/>
    <col min="7437" max="7437" width="14.1796875" style="17" customWidth="1"/>
    <col min="7438" max="7438" width="13" style="17" customWidth="1"/>
    <col min="7439" max="7439" width="14.1796875" style="17" customWidth="1"/>
    <col min="7440" max="7440" width="13" style="17" customWidth="1"/>
    <col min="7441" max="7441" width="14.1796875" style="17" customWidth="1"/>
    <col min="7442" max="7446" width="13" style="17" customWidth="1"/>
    <col min="7447" max="7447" width="16.81640625" style="17" customWidth="1"/>
    <col min="7448" max="7448" width="14.1796875" style="17" customWidth="1"/>
    <col min="7449" max="7449" width="13" style="17" customWidth="1"/>
    <col min="7450" max="7450" width="14.1796875" style="17" customWidth="1"/>
    <col min="7451" max="7452" width="13.36328125" style="17" customWidth="1"/>
    <col min="7453" max="7453" width="15.6328125" style="17" customWidth="1"/>
    <col min="7454" max="7454" width="14.36328125" style="17" customWidth="1"/>
    <col min="7455" max="7455" width="16" style="17" bestFit="1" customWidth="1"/>
    <col min="7456" max="7456" width="14.1796875" style="17" customWidth="1"/>
    <col min="7457" max="7457" width="13" style="17" customWidth="1"/>
    <col min="7458" max="7458" width="14.1796875" style="17" customWidth="1"/>
    <col min="7459" max="7459" width="13.36328125" style="17" customWidth="1"/>
    <col min="7460" max="7460" width="13.81640625" style="17" bestFit="1" customWidth="1"/>
    <col min="7461" max="7461" width="14.1796875" style="17" bestFit="1" customWidth="1"/>
    <col min="7462" max="7462" width="13.81640625" style="17" bestFit="1" customWidth="1"/>
    <col min="7463" max="7618" width="9.1796875" style="17"/>
    <col min="7619" max="7619" width="3.81640625" style="17" bestFit="1" customWidth="1"/>
    <col min="7620" max="7620" width="39.54296875" style="17" customWidth="1"/>
    <col min="7621" max="7621" width="16" style="17" customWidth="1"/>
    <col min="7622" max="7622" width="13" style="17" customWidth="1"/>
    <col min="7623" max="7623" width="16" style="17" customWidth="1"/>
    <col min="7624" max="7624" width="13" style="17" customWidth="1"/>
    <col min="7625" max="7625" width="14.1796875" style="17" customWidth="1"/>
    <col min="7626" max="7626" width="13" style="17" customWidth="1"/>
    <col min="7627" max="7627" width="14.90625" style="17" customWidth="1"/>
    <col min="7628" max="7628" width="13" style="17" customWidth="1"/>
    <col min="7629" max="7629" width="15.54296875" style="17" customWidth="1"/>
    <col min="7630" max="7630" width="13" style="17" customWidth="1"/>
    <col min="7631" max="7631" width="14.1796875" style="17" customWidth="1"/>
    <col min="7632" max="7632" width="13" style="17" customWidth="1"/>
    <col min="7633" max="7633" width="14.1796875" style="17" customWidth="1"/>
    <col min="7634" max="7634" width="13" style="17" customWidth="1"/>
    <col min="7635" max="7635" width="14.90625" style="17" customWidth="1"/>
    <col min="7636" max="7636" width="13" style="17" customWidth="1"/>
    <col min="7637" max="7637" width="15.54296875" style="17" customWidth="1"/>
    <col min="7638" max="7638" width="13" style="17" customWidth="1"/>
    <col min="7639" max="7639" width="14.1796875" style="17" customWidth="1"/>
    <col min="7640" max="7640" width="13" style="17" customWidth="1"/>
    <col min="7641" max="7641" width="15.54296875" style="17" customWidth="1"/>
    <col min="7642" max="7642" width="15.81640625" style="17" customWidth="1"/>
    <col min="7643" max="7643" width="14.1796875" style="17" customWidth="1"/>
    <col min="7644" max="7644" width="15.81640625" style="17" customWidth="1"/>
    <col min="7645" max="7645" width="15.54296875" style="17" customWidth="1"/>
    <col min="7646" max="7646" width="13" style="17" customWidth="1"/>
    <col min="7647" max="7647" width="14.1796875" style="17" customWidth="1"/>
    <col min="7648" max="7648" width="15.81640625" style="17" customWidth="1"/>
    <col min="7649" max="7649" width="16.453125" style="17" customWidth="1"/>
    <col min="7650" max="7650" width="15.54296875" style="17" customWidth="1"/>
    <col min="7651" max="7651" width="13" style="17" customWidth="1"/>
    <col min="7652" max="7652" width="16" style="17" customWidth="1"/>
    <col min="7653" max="7653" width="13" style="17" customWidth="1"/>
    <col min="7654" max="7654" width="11.08984375" style="17" customWidth="1"/>
    <col min="7655" max="7655" width="15.54296875" style="17" customWidth="1"/>
    <col min="7656" max="7656" width="13" style="17" customWidth="1"/>
    <col min="7657" max="7657" width="14.1796875" style="17" customWidth="1"/>
    <col min="7658" max="7658" width="15.81640625" style="17" customWidth="1"/>
    <col min="7659" max="7659" width="15.54296875" style="17" customWidth="1"/>
    <col min="7660" max="7660" width="13" style="17" customWidth="1"/>
    <col min="7661" max="7661" width="14.1796875" style="17" customWidth="1"/>
    <col min="7662" max="7662" width="15.81640625" style="17" customWidth="1"/>
    <col min="7663" max="7663" width="15.54296875" style="17" customWidth="1"/>
    <col min="7664" max="7664" width="13" style="17" customWidth="1"/>
    <col min="7665" max="7665" width="14.1796875" style="17" customWidth="1"/>
    <col min="7666" max="7666" width="15.81640625" style="17" customWidth="1"/>
    <col min="7667" max="7667" width="9.1796875" style="17"/>
    <col min="7668" max="7668" width="15.54296875" style="17" customWidth="1"/>
    <col min="7669" max="7669" width="13" style="17" customWidth="1"/>
    <col min="7670" max="7670" width="14.1796875" style="17" customWidth="1"/>
    <col min="7671" max="7671" width="15.81640625" style="17" customWidth="1"/>
    <col min="7672" max="7672" width="9.1796875" style="17"/>
    <col min="7673" max="7673" width="16" style="17" customWidth="1"/>
    <col min="7674" max="7674" width="13" style="17" customWidth="1"/>
    <col min="7675" max="7675" width="14.1796875" style="17" customWidth="1"/>
    <col min="7676" max="7676" width="13" style="17" customWidth="1"/>
    <col min="7677" max="7677" width="14.1796875" style="17" customWidth="1"/>
    <col min="7678" max="7678" width="13" style="17" customWidth="1"/>
    <col min="7679" max="7679" width="14.1796875" style="17" customWidth="1"/>
    <col min="7680" max="7680" width="13" style="17" customWidth="1"/>
    <col min="7681" max="7681" width="14.1796875" style="17" customWidth="1"/>
    <col min="7682" max="7682" width="13" style="17" customWidth="1"/>
    <col min="7683" max="7683" width="14.1796875" style="17" customWidth="1"/>
    <col min="7684" max="7685" width="13" style="17" customWidth="1"/>
    <col min="7686" max="7686" width="14.90625" style="17" bestFit="1" customWidth="1"/>
    <col min="7687" max="7687" width="13" style="17" customWidth="1"/>
    <col min="7688" max="7688" width="14.1796875" style="17" customWidth="1"/>
    <col min="7689" max="7689" width="13" style="17" customWidth="1"/>
    <col min="7690" max="7690" width="8.81640625" style="17" customWidth="1"/>
    <col min="7691" max="7691" width="14.1796875" style="17" customWidth="1"/>
    <col min="7692" max="7692" width="13" style="17" customWidth="1"/>
    <col min="7693" max="7693" width="14.1796875" style="17" customWidth="1"/>
    <col min="7694" max="7694" width="13" style="17" customWidth="1"/>
    <col min="7695" max="7695" width="14.1796875" style="17" customWidth="1"/>
    <col min="7696" max="7696" width="13" style="17" customWidth="1"/>
    <col min="7697" max="7697" width="14.1796875" style="17" customWidth="1"/>
    <col min="7698" max="7702" width="13" style="17" customWidth="1"/>
    <col min="7703" max="7703" width="16.81640625" style="17" customWidth="1"/>
    <col min="7704" max="7704" width="14.1796875" style="17" customWidth="1"/>
    <col min="7705" max="7705" width="13" style="17" customWidth="1"/>
    <col min="7706" max="7706" width="14.1796875" style="17" customWidth="1"/>
    <col min="7707" max="7708" width="13.36328125" style="17" customWidth="1"/>
    <col min="7709" max="7709" width="15.6328125" style="17" customWidth="1"/>
    <col min="7710" max="7710" width="14.36328125" style="17" customWidth="1"/>
    <col min="7711" max="7711" width="16" style="17" bestFit="1" customWidth="1"/>
    <col min="7712" max="7712" width="14.1796875" style="17" customWidth="1"/>
    <col min="7713" max="7713" width="13" style="17" customWidth="1"/>
    <col min="7714" max="7714" width="14.1796875" style="17" customWidth="1"/>
    <col min="7715" max="7715" width="13.36328125" style="17" customWidth="1"/>
    <col min="7716" max="7716" width="13.81640625" style="17" bestFit="1" customWidth="1"/>
    <col min="7717" max="7717" width="14.1796875" style="17" bestFit="1" customWidth="1"/>
    <col min="7718" max="7718" width="13.81640625" style="17" bestFit="1" customWidth="1"/>
    <col min="7719" max="7874" width="9.1796875" style="17"/>
    <col min="7875" max="7875" width="3.81640625" style="17" bestFit="1" customWidth="1"/>
    <col min="7876" max="7876" width="39.54296875" style="17" customWidth="1"/>
    <col min="7877" max="7877" width="16" style="17" customWidth="1"/>
    <col min="7878" max="7878" width="13" style="17" customWidth="1"/>
    <col min="7879" max="7879" width="16" style="17" customWidth="1"/>
    <col min="7880" max="7880" width="13" style="17" customWidth="1"/>
    <col min="7881" max="7881" width="14.1796875" style="17" customWidth="1"/>
    <col min="7882" max="7882" width="13" style="17" customWidth="1"/>
    <col min="7883" max="7883" width="14.90625" style="17" customWidth="1"/>
    <col min="7884" max="7884" width="13" style="17" customWidth="1"/>
    <col min="7885" max="7885" width="15.54296875" style="17" customWidth="1"/>
    <col min="7886" max="7886" width="13" style="17" customWidth="1"/>
    <col min="7887" max="7887" width="14.1796875" style="17" customWidth="1"/>
    <col min="7888" max="7888" width="13" style="17" customWidth="1"/>
    <col min="7889" max="7889" width="14.1796875" style="17" customWidth="1"/>
    <col min="7890" max="7890" width="13" style="17" customWidth="1"/>
    <col min="7891" max="7891" width="14.90625" style="17" customWidth="1"/>
    <col min="7892" max="7892" width="13" style="17" customWidth="1"/>
    <col min="7893" max="7893" width="15.54296875" style="17" customWidth="1"/>
    <col min="7894" max="7894" width="13" style="17" customWidth="1"/>
    <col min="7895" max="7895" width="14.1796875" style="17" customWidth="1"/>
    <col min="7896" max="7896" width="13" style="17" customWidth="1"/>
    <col min="7897" max="7897" width="15.54296875" style="17" customWidth="1"/>
    <col min="7898" max="7898" width="15.81640625" style="17" customWidth="1"/>
    <col min="7899" max="7899" width="14.1796875" style="17" customWidth="1"/>
    <col min="7900" max="7900" width="15.81640625" style="17" customWidth="1"/>
    <col min="7901" max="7901" width="15.54296875" style="17" customWidth="1"/>
    <col min="7902" max="7902" width="13" style="17" customWidth="1"/>
    <col min="7903" max="7903" width="14.1796875" style="17" customWidth="1"/>
    <col min="7904" max="7904" width="15.81640625" style="17" customWidth="1"/>
    <col min="7905" max="7905" width="16.453125" style="17" customWidth="1"/>
    <col min="7906" max="7906" width="15.54296875" style="17" customWidth="1"/>
    <col min="7907" max="7907" width="13" style="17" customWidth="1"/>
    <col min="7908" max="7908" width="16" style="17" customWidth="1"/>
    <col min="7909" max="7909" width="13" style="17" customWidth="1"/>
    <col min="7910" max="7910" width="11.08984375" style="17" customWidth="1"/>
    <col min="7911" max="7911" width="15.54296875" style="17" customWidth="1"/>
    <col min="7912" max="7912" width="13" style="17" customWidth="1"/>
    <col min="7913" max="7913" width="14.1796875" style="17" customWidth="1"/>
    <col min="7914" max="7914" width="15.81640625" style="17" customWidth="1"/>
    <col min="7915" max="7915" width="15.54296875" style="17" customWidth="1"/>
    <col min="7916" max="7916" width="13" style="17" customWidth="1"/>
    <col min="7917" max="7917" width="14.1796875" style="17" customWidth="1"/>
    <col min="7918" max="7918" width="15.81640625" style="17" customWidth="1"/>
    <col min="7919" max="7919" width="15.54296875" style="17" customWidth="1"/>
    <col min="7920" max="7920" width="13" style="17" customWidth="1"/>
    <col min="7921" max="7921" width="14.1796875" style="17" customWidth="1"/>
    <col min="7922" max="7922" width="15.81640625" style="17" customWidth="1"/>
    <col min="7923" max="7923" width="9.1796875" style="17"/>
    <col min="7924" max="7924" width="15.54296875" style="17" customWidth="1"/>
    <col min="7925" max="7925" width="13" style="17" customWidth="1"/>
    <col min="7926" max="7926" width="14.1796875" style="17" customWidth="1"/>
    <col min="7927" max="7927" width="15.81640625" style="17" customWidth="1"/>
    <col min="7928" max="7928" width="9.1796875" style="17"/>
    <col min="7929" max="7929" width="16" style="17" customWidth="1"/>
    <col min="7930" max="7930" width="13" style="17" customWidth="1"/>
    <col min="7931" max="7931" width="14.1796875" style="17" customWidth="1"/>
    <col min="7932" max="7932" width="13" style="17" customWidth="1"/>
    <col min="7933" max="7933" width="14.1796875" style="17" customWidth="1"/>
    <col min="7934" max="7934" width="13" style="17" customWidth="1"/>
    <col min="7935" max="7935" width="14.1796875" style="17" customWidth="1"/>
    <col min="7936" max="7936" width="13" style="17" customWidth="1"/>
    <col min="7937" max="7937" width="14.1796875" style="17" customWidth="1"/>
    <col min="7938" max="7938" width="13" style="17" customWidth="1"/>
    <col min="7939" max="7939" width="14.1796875" style="17" customWidth="1"/>
    <col min="7940" max="7941" width="13" style="17" customWidth="1"/>
    <col min="7942" max="7942" width="14.90625" style="17" bestFit="1" customWidth="1"/>
    <col min="7943" max="7943" width="13" style="17" customWidth="1"/>
    <col min="7944" max="7944" width="14.1796875" style="17" customWidth="1"/>
    <col min="7945" max="7945" width="13" style="17" customWidth="1"/>
    <col min="7946" max="7946" width="8.81640625" style="17" customWidth="1"/>
    <col min="7947" max="7947" width="14.1796875" style="17" customWidth="1"/>
    <col min="7948" max="7948" width="13" style="17" customWidth="1"/>
    <col min="7949" max="7949" width="14.1796875" style="17" customWidth="1"/>
    <col min="7950" max="7950" width="13" style="17" customWidth="1"/>
    <col min="7951" max="7951" width="14.1796875" style="17" customWidth="1"/>
    <col min="7952" max="7952" width="13" style="17" customWidth="1"/>
    <col min="7953" max="7953" width="14.1796875" style="17" customWidth="1"/>
    <col min="7954" max="7958" width="13" style="17" customWidth="1"/>
    <col min="7959" max="7959" width="16.81640625" style="17" customWidth="1"/>
    <col min="7960" max="7960" width="14.1796875" style="17" customWidth="1"/>
    <col min="7961" max="7961" width="13" style="17" customWidth="1"/>
    <col min="7962" max="7962" width="14.1796875" style="17" customWidth="1"/>
    <col min="7963" max="7964" width="13.36328125" style="17" customWidth="1"/>
    <col min="7965" max="7965" width="15.6328125" style="17" customWidth="1"/>
    <col min="7966" max="7966" width="14.36328125" style="17" customWidth="1"/>
    <col min="7967" max="7967" width="16" style="17" bestFit="1" customWidth="1"/>
    <col min="7968" max="7968" width="14.1796875" style="17" customWidth="1"/>
    <col min="7969" max="7969" width="13" style="17" customWidth="1"/>
    <col min="7970" max="7970" width="14.1796875" style="17" customWidth="1"/>
    <col min="7971" max="7971" width="13.36328125" style="17" customWidth="1"/>
    <col min="7972" max="7972" width="13.81640625" style="17" bestFit="1" customWidth="1"/>
    <col min="7973" max="7973" width="14.1796875" style="17" bestFit="1" customWidth="1"/>
    <col min="7974" max="7974" width="13.81640625" style="17" bestFit="1" customWidth="1"/>
    <col min="7975" max="8130" width="9.1796875" style="17"/>
    <col min="8131" max="8131" width="3.81640625" style="17" bestFit="1" customWidth="1"/>
    <col min="8132" max="8132" width="39.54296875" style="17" customWidth="1"/>
    <col min="8133" max="8133" width="16" style="17" customWidth="1"/>
    <col min="8134" max="8134" width="13" style="17" customWidth="1"/>
    <col min="8135" max="8135" width="16" style="17" customWidth="1"/>
    <col min="8136" max="8136" width="13" style="17" customWidth="1"/>
    <col min="8137" max="8137" width="14.1796875" style="17" customWidth="1"/>
    <col min="8138" max="8138" width="13" style="17" customWidth="1"/>
    <col min="8139" max="8139" width="14.90625" style="17" customWidth="1"/>
    <col min="8140" max="8140" width="13" style="17" customWidth="1"/>
    <col min="8141" max="8141" width="15.54296875" style="17" customWidth="1"/>
    <col min="8142" max="8142" width="13" style="17" customWidth="1"/>
    <col min="8143" max="8143" width="14.1796875" style="17" customWidth="1"/>
    <col min="8144" max="8144" width="13" style="17" customWidth="1"/>
    <col min="8145" max="8145" width="14.1796875" style="17" customWidth="1"/>
    <col min="8146" max="8146" width="13" style="17" customWidth="1"/>
    <col min="8147" max="8147" width="14.90625" style="17" customWidth="1"/>
    <col min="8148" max="8148" width="13" style="17" customWidth="1"/>
    <col min="8149" max="8149" width="15.54296875" style="17" customWidth="1"/>
    <col min="8150" max="8150" width="13" style="17" customWidth="1"/>
    <col min="8151" max="8151" width="14.1796875" style="17" customWidth="1"/>
    <col min="8152" max="8152" width="13" style="17" customWidth="1"/>
    <col min="8153" max="8153" width="15.54296875" style="17" customWidth="1"/>
    <col min="8154" max="8154" width="15.81640625" style="17" customWidth="1"/>
    <col min="8155" max="8155" width="14.1796875" style="17" customWidth="1"/>
    <col min="8156" max="8156" width="15.81640625" style="17" customWidth="1"/>
    <col min="8157" max="8157" width="15.54296875" style="17" customWidth="1"/>
    <col min="8158" max="8158" width="13" style="17" customWidth="1"/>
    <col min="8159" max="8159" width="14.1796875" style="17" customWidth="1"/>
    <col min="8160" max="8160" width="15.81640625" style="17" customWidth="1"/>
    <col min="8161" max="8161" width="16.453125" style="17" customWidth="1"/>
    <col min="8162" max="8162" width="15.54296875" style="17" customWidth="1"/>
    <col min="8163" max="8163" width="13" style="17" customWidth="1"/>
    <col min="8164" max="8164" width="16" style="17" customWidth="1"/>
    <col min="8165" max="8165" width="13" style="17" customWidth="1"/>
    <col min="8166" max="8166" width="11.08984375" style="17" customWidth="1"/>
    <col min="8167" max="8167" width="15.54296875" style="17" customWidth="1"/>
    <col min="8168" max="8168" width="13" style="17" customWidth="1"/>
    <col min="8169" max="8169" width="14.1796875" style="17" customWidth="1"/>
    <col min="8170" max="8170" width="15.81640625" style="17" customWidth="1"/>
    <col min="8171" max="8171" width="15.54296875" style="17" customWidth="1"/>
    <col min="8172" max="8172" width="13" style="17" customWidth="1"/>
    <col min="8173" max="8173" width="14.1796875" style="17" customWidth="1"/>
    <col min="8174" max="8174" width="15.81640625" style="17" customWidth="1"/>
    <col min="8175" max="8175" width="15.54296875" style="17" customWidth="1"/>
    <col min="8176" max="8176" width="13" style="17" customWidth="1"/>
    <col min="8177" max="8177" width="14.1796875" style="17" customWidth="1"/>
    <col min="8178" max="8178" width="15.81640625" style="17" customWidth="1"/>
    <col min="8179" max="8179" width="9.1796875" style="17"/>
    <col min="8180" max="8180" width="15.54296875" style="17" customWidth="1"/>
    <col min="8181" max="8181" width="13" style="17" customWidth="1"/>
    <col min="8182" max="8182" width="14.1796875" style="17" customWidth="1"/>
    <col min="8183" max="8183" width="15.81640625" style="17" customWidth="1"/>
    <col min="8184" max="8184" width="9.1796875" style="17"/>
    <col min="8185" max="8185" width="16" style="17" customWidth="1"/>
    <col min="8186" max="8186" width="13" style="17" customWidth="1"/>
    <col min="8187" max="8187" width="14.1796875" style="17" customWidth="1"/>
    <col min="8188" max="8188" width="13" style="17" customWidth="1"/>
    <col min="8189" max="8189" width="14.1796875" style="17" customWidth="1"/>
    <col min="8190" max="8190" width="13" style="17" customWidth="1"/>
    <col min="8191" max="8191" width="14.1796875" style="17" customWidth="1"/>
    <col min="8192" max="8192" width="13" style="17" customWidth="1"/>
    <col min="8193" max="8193" width="14.1796875" style="17" customWidth="1"/>
    <col min="8194" max="8194" width="13" style="17" customWidth="1"/>
    <col min="8195" max="8195" width="14.1796875" style="17" customWidth="1"/>
    <col min="8196" max="8197" width="13" style="17" customWidth="1"/>
    <col min="8198" max="8198" width="14.90625" style="17" bestFit="1" customWidth="1"/>
    <col min="8199" max="8199" width="13" style="17" customWidth="1"/>
    <col min="8200" max="8200" width="14.1796875" style="17" customWidth="1"/>
    <col min="8201" max="8201" width="13" style="17" customWidth="1"/>
    <col min="8202" max="8202" width="8.81640625" style="17" customWidth="1"/>
    <col min="8203" max="8203" width="14.1796875" style="17" customWidth="1"/>
    <col min="8204" max="8204" width="13" style="17" customWidth="1"/>
    <col min="8205" max="8205" width="14.1796875" style="17" customWidth="1"/>
    <col min="8206" max="8206" width="13" style="17" customWidth="1"/>
    <col min="8207" max="8207" width="14.1796875" style="17" customWidth="1"/>
    <col min="8208" max="8208" width="13" style="17" customWidth="1"/>
    <col min="8209" max="8209" width="14.1796875" style="17" customWidth="1"/>
    <col min="8210" max="8214" width="13" style="17" customWidth="1"/>
    <col min="8215" max="8215" width="16.81640625" style="17" customWidth="1"/>
    <col min="8216" max="8216" width="14.1796875" style="17" customWidth="1"/>
    <col min="8217" max="8217" width="13" style="17" customWidth="1"/>
    <col min="8218" max="8218" width="14.1796875" style="17" customWidth="1"/>
    <col min="8219" max="8220" width="13.36328125" style="17" customWidth="1"/>
    <col min="8221" max="8221" width="15.6328125" style="17" customWidth="1"/>
    <col min="8222" max="8222" width="14.36328125" style="17" customWidth="1"/>
    <col min="8223" max="8223" width="16" style="17" bestFit="1" customWidth="1"/>
    <col min="8224" max="8224" width="14.1796875" style="17" customWidth="1"/>
    <col min="8225" max="8225" width="13" style="17" customWidth="1"/>
    <col min="8226" max="8226" width="14.1796875" style="17" customWidth="1"/>
    <col min="8227" max="8227" width="13.36328125" style="17" customWidth="1"/>
    <col min="8228" max="8228" width="13.81640625" style="17" bestFit="1" customWidth="1"/>
    <col min="8229" max="8229" width="14.1796875" style="17" bestFit="1" customWidth="1"/>
    <col min="8230" max="8230" width="13.81640625" style="17" bestFit="1" customWidth="1"/>
    <col min="8231" max="8386" width="9.1796875" style="17"/>
    <col min="8387" max="8387" width="3.81640625" style="17" bestFit="1" customWidth="1"/>
    <col min="8388" max="8388" width="39.54296875" style="17" customWidth="1"/>
    <col min="8389" max="8389" width="16" style="17" customWidth="1"/>
    <col min="8390" max="8390" width="13" style="17" customWidth="1"/>
    <col min="8391" max="8391" width="16" style="17" customWidth="1"/>
    <col min="8392" max="8392" width="13" style="17" customWidth="1"/>
    <col min="8393" max="8393" width="14.1796875" style="17" customWidth="1"/>
    <col min="8394" max="8394" width="13" style="17" customWidth="1"/>
    <col min="8395" max="8395" width="14.90625" style="17" customWidth="1"/>
    <col min="8396" max="8396" width="13" style="17" customWidth="1"/>
    <col min="8397" max="8397" width="15.54296875" style="17" customWidth="1"/>
    <col min="8398" max="8398" width="13" style="17" customWidth="1"/>
    <col min="8399" max="8399" width="14.1796875" style="17" customWidth="1"/>
    <col min="8400" max="8400" width="13" style="17" customWidth="1"/>
    <col min="8401" max="8401" width="14.1796875" style="17" customWidth="1"/>
    <col min="8402" max="8402" width="13" style="17" customWidth="1"/>
    <col min="8403" max="8403" width="14.90625" style="17" customWidth="1"/>
    <col min="8404" max="8404" width="13" style="17" customWidth="1"/>
    <col min="8405" max="8405" width="15.54296875" style="17" customWidth="1"/>
    <col min="8406" max="8406" width="13" style="17" customWidth="1"/>
    <col min="8407" max="8407" width="14.1796875" style="17" customWidth="1"/>
    <col min="8408" max="8408" width="13" style="17" customWidth="1"/>
    <col min="8409" max="8409" width="15.54296875" style="17" customWidth="1"/>
    <col min="8410" max="8410" width="15.81640625" style="17" customWidth="1"/>
    <col min="8411" max="8411" width="14.1796875" style="17" customWidth="1"/>
    <col min="8412" max="8412" width="15.81640625" style="17" customWidth="1"/>
    <col min="8413" max="8413" width="15.54296875" style="17" customWidth="1"/>
    <col min="8414" max="8414" width="13" style="17" customWidth="1"/>
    <col min="8415" max="8415" width="14.1796875" style="17" customWidth="1"/>
    <col min="8416" max="8416" width="15.81640625" style="17" customWidth="1"/>
    <col min="8417" max="8417" width="16.453125" style="17" customWidth="1"/>
    <col min="8418" max="8418" width="15.54296875" style="17" customWidth="1"/>
    <col min="8419" max="8419" width="13" style="17" customWidth="1"/>
    <col min="8420" max="8420" width="16" style="17" customWidth="1"/>
    <col min="8421" max="8421" width="13" style="17" customWidth="1"/>
    <col min="8422" max="8422" width="11.08984375" style="17" customWidth="1"/>
    <col min="8423" max="8423" width="15.54296875" style="17" customWidth="1"/>
    <col min="8424" max="8424" width="13" style="17" customWidth="1"/>
    <col min="8425" max="8425" width="14.1796875" style="17" customWidth="1"/>
    <col min="8426" max="8426" width="15.81640625" style="17" customWidth="1"/>
    <col min="8427" max="8427" width="15.54296875" style="17" customWidth="1"/>
    <col min="8428" max="8428" width="13" style="17" customWidth="1"/>
    <col min="8429" max="8429" width="14.1796875" style="17" customWidth="1"/>
    <col min="8430" max="8430" width="15.81640625" style="17" customWidth="1"/>
    <col min="8431" max="8431" width="15.54296875" style="17" customWidth="1"/>
    <col min="8432" max="8432" width="13" style="17" customWidth="1"/>
    <col min="8433" max="8433" width="14.1796875" style="17" customWidth="1"/>
    <col min="8434" max="8434" width="15.81640625" style="17" customWidth="1"/>
    <col min="8435" max="8435" width="9.1796875" style="17"/>
    <col min="8436" max="8436" width="15.54296875" style="17" customWidth="1"/>
    <col min="8437" max="8437" width="13" style="17" customWidth="1"/>
    <col min="8438" max="8438" width="14.1796875" style="17" customWidth="1"/>
    <col min="8439" max="8439" width="15.81640625" style="17" customWidth="1"/>
    <col min="8440" max="8440" width="9.1796875" style="17"/>
    <col min="8441" max="8441" width="16" style="17" customWidth="1"/>
    <col min="8442" max="8442" width="13" style="17" customWidth="1"/>
    <col min="8443" max="8443" width="14.1796875" style="17" customWidth="1"/>
    <col min="8444" max="8444" width="13" style="17" customWidth="1"/>
    <col min="8445" max="8445" width="14.1796875" style="17" customWidth="1"/>
    <col min="8446" max="8446" width="13" style="17" customWidth="1"/>
    <col min="8447" max="8447" width="14.1796875" style="17" customWidth="1"/>
    <col min="8448" max="8448" width="13" style="17" customWidth="1"/>
    <col min="8449" max="8449" width="14.1796875" style="17" customWidth="1"/>
    <col min="8450" max="8450" width="13" style="17" customWidth="1"/>
    <col min="8451" max="8451" width="14.1796875" style="17" customWidth="1"/>
    <col min="8452" max="8453" width="13" style="17" customWidth="1"/>
    <col min="8454" max="8454" width="14.90625" style="17" bestFit="1" customWidth="1"/>
    <col min="8455" max="8455" width="13" style="17" customWidth="1"/>
    <col min="8456" max="8456" width="14.1796875" style="17" customWidth="1"/>
    <col min="8457" max="8457" width="13" style="17" customWidth="1"/>
    <col min="8458" max="8458" width="8.81640625" style="17" customWidth="1"/>
    <col min="8459" max="8459" width="14.1796875" style="17" customWidth="1"/>
    <col min="8460" max="8460" width="13" style="17" customWidth="1"/>
    <col min="8461" max="8461" width="14.1796875" style="17" customWidth="1"/>
    <col min="8462" max="8462" width="13" style="17" customWidth="1"/>
    <col min="8463" max="8463" width="14.1796875" style="17" customWidth="1"/>
    <col min="8464" max="8464" width="13" style="17" customWidth="1"/>
    <col min="8465" max="8465" width="14.1796875" style="17" customWidth="1"/>
    <col min="8466" max="8470" width="13" style="17" customWidth="1"/>
    <col min="8471" max="8471" width="16.81640625" style="17" customWidth="1"/>
    <col min="8472" max="8472" width="14.1796875" style="17" customWidth="1"/>
    <col min="8473" max="8473" width="13" style="17" customWidth="1"/>
    <col min="8474" max="8474" width="14.1796875" style="17" customWidth="1"/>
    <col min="8475" max="8476" width="13.36328125" style="17" customWidth="1"/>
    <col min="8477" max="8477" width="15.6328125" style="17" customWidth="1"/>
    <col min="8478" max="8478" width="14.36328125" style="17" customWidth="1"/>
    <col min="8479" max="8479" width="16" style="17" bestFit="1" customWidth="1"/>
    <col min="8480" max="8480" width="14.1796875" style="17" customWidth="1"/>
    <col min="8481" max="8481" width="13" style="17" customWidth="1"/>
    <col min="8482" max="8482" width="14.1796875" style="17" customWidth="1"/>
    <col min="8483" max="8483" width="13.36328125" style="17" customWidth="1"/>
    <col min="8484" max="8484" width="13.81640625" style="17" bestFit="1" customWidth="1"/>
    <col min="8485" max="8485" width="14.1796875" style="17" bestFit="1" customWidth="1"/>
    <col min="8486" max="8486" width="13.81640625" style="17" bestFit="1" customWidth="1"/>
    <col min="8487" max="8642" width="9.1796875" style="17"/>
    <col min="8643" max="8643" width="3.81640625" style="17" bestFit="1" customWidth="1"/>
    <col min="8644" max="8644" width="39.54296875" style="17" customWidth="1"/>
    <col min="8645" max="8645" width="16" style="17" customWidth="1"/>
    <col min="8646" max="8646" width="13" style="17" customWidth="1"/>
    <col min="8647" max="8647" width="16" style="17" customWidth="1"/>
    <col min="8648" max="8648" width="13" style="17" customWidth="1"/>
    <col min="8649" max="8649" width="14.1796875" style="17" customWidth="1"/>
    <col min="8650" max="8650" width="13" style="17" customWidth="1"/>
    <col min="8651" max="8651" width="14.90625" style="17" customWidth="1"/>
    <col min="8652" max="8652" width="13" style="17" customWidth="1"/>
    <col min="8653" max="8653" width="15.54296875" style="17" customWidth="1"/>
    <col min="8654" max="8654" width="13" style="17" customWidth="1"/>
    <col min="8655" max="8655" width="14.1796875" style="17" customWidth="1"/>
    <col min="8656" max="8656" width="13" style="17" customWidth="1"/>
    <col min="8657" max="8657" width="14.1796875" style="17" customWidth="1"/>
    <col min="8658" max="8658" width="13" style="17" customWidth="1"/>
    <col min="8659" max="8659" width="14.90625" style="17" customWidth="1"/>
    <col min="8660" max="8660" width="13" style="17" customWidth="1"/>
    <col min="8661" max="8661" width="15.54296875" style="17" customWidth="1"/>
    <col min="8662" max="8662" width="13" style="17" customWidth="1"/>
    <col min="8663" max="8663" width="14.1796875" style="17" customWidth="1"/>
    <col min="8664" max="8664" width="13" style="17" customWidth="1"/>
    <col min="8665" max="8665" width="15.54296875" style="17" customWidth="1"/>
    <col min="8666" max="8666" width="15.81640625" style="17" customWidth="1"/>
    <col min="8667" max="8667" width="14.1796875" style="17" customWidth="1"/>
    <col min="8668" max="8668" width="15.81640625" style="17" customWidth="1"/>
    <col min="8669" max="8669" width="15.54296875" style="17" customWidth="1"/>
    <col min="8670" max="8670" width="13" style="17" customWidth="1"/>
    <col min="8671" max="8671" width="14.1796875" style="17" customWidth="1"/>
    <col min="8672" max="8672" width="15.81640625" style="17" customWidth="1"/>
    <col min="8673" max="8673" width="16.453125" style="17" customWidth="1"/>
    <col min="8674" max="8674" width="15.54296875" style="17" customWidth="1"/>
    <col min="8675" max="8675" width="13" style="17" customWidth="1"/>
    <col min="8676" max="8676" width="16" style="17" customWidth="1"/>
    <col min="8677" max="8677" width="13" style="17" customWidth="1"/>
    <col min="8678" max="8678" width="11.08984375" style="17" customWidth="1"/>
    <col min="8679" max="8679" width="15.54296875" style="17" customWidth="1"/>
    <col min="8680" max="8680" width="13" style="17" customWidth="1"/>
    <col min="8681" max="8681" width="14.1796875" style="17" customWidth="1"/>
    <col min="8682" max="8682" width="15.81640625" style="17" customWidth="1"/>
    <col min="8683" max="8683" width="15.54296875" style="17" customWidth="1"/>
    <col min="8684" max="8684" width="13" style="17" customWidth="1"/>
    <col min="8685" max="8685" width="14.1796875" style="17" customWidth="1"/>
    <col min="8686" max="8686" width="15.81640625" style="17" customWidth="1"/>
    <col min="8687" max="8687" width="15.54296875" style="17" customWidth="1"/>
    <col min="8688" max="8688" width="13" style="17" customWidth="1"/>
    <col min="8689" max="8689" width="14.1796875" style="17" customWidth="1"/>
    <col min="8690" max="8690" width="15.81640625" style="17" customWidth="1"/>
    <col min="8691" max="8691" width="9.1796875" style="17"/>
    <col min="8692" max="8692" width="15.54296875" style="17" customWidth="1"/>
    <col min="8693" max="8693" width="13" style="17" customWidth="1"/>
    <col min="8694" max="8694" width="14.1796875" style="17" customWidth="1"/>
    <col min="8695" max="8695" width="15.81640625" style="17" customWidth="1"/>
    <col min="8696" max="8696" width="9.1796875" style="17"/>
    <col min="8697" max="8697" width="16" style="17" customWidth="1"/>
    <col min="8698" max="8698" width="13" style="17" customWidth="1"/>
    <col min="8699" max="8699" width="14.1796875" style="17" customWidth="1"/>
    <col min="8700" max="8700" width="13" style="17" customWidth="1"/>
    <col min="8701" max="8701" width="14.1796875" style="17" customWidth="1"/>
    <col min="8702" max="8702" width="13" style="17" customWidth="1"/>
    <col min="8703" max="8703" width="14.1796875" style="17" customWidth="1"/>
    <col min="8704" max="8704" width="13" style="17" customWidth="1"/>
    <col min="8705" max="8705" width="14.1796875" style="17" customWidth="1"/>
    <col min="8706" max="8706" width="13" style="17" customWidth="1"/>
    <col min="8707" max="8707" width="14.1796875" style="17" customWidth="1"/>
    <col min="8708" max="8709" width="13" style="17" customWidth="1"/>
    <col min="8710" max="8710" width="14.90625" style="17" bestFit="1" customWidth="1"/>
    <col min="8711" max="8711" width="13" style="17" customWidth="1"/>
    <col min="8712" max="8712" width="14.1796875" style="17" customWidth="1"/>
    <col min="8713" max="8713" width="13" style="17" customWidth="1"/>
    <col min="8714" max="8714" width="8.81640625" style="17" customWidth="1"/>
    <col min="8715" max="8715" width="14.1796875" style="17" customWidth="1"/>
    <col min="8716" max="8716" width="13" style="17" customWidth="1"/>
    <col min="8717" max="8717" width="14.1796875" style="17" customWidth="1"/>
    <col min="8718" max="8718" width="13" style="17" customWidth="1"/>
    <col min="8719" max="8719" width="14.1796875" style="17" customWidth="1"/>
    <col min="8720" max="8720" width="13" style="17" customWidth="1"/>
    <col min="8721" max="8721" width="14.1796875" style="17" customWidth="1"/>
    <col min="8722" max="8726" width="13" style="17" customWidth="1"/>
    <col min="8727" max="8727" width="16.81640625" style="17" customWidth="1"/>
    <col min="8728" max="8728" width="14.1796875" style="17" customWidth="1"/>
    <col min="8729" max="8729" width="13" style="17" customWidth="1"/>
    <col min="8730" max="8730" width="14.1796875" style="17" customWidth="1"/>
    <col min="8731" max="8732" width="13.36328125" style="17" customWidth="1"/>
    <col min="8733" max="8733" width="15.6328125" style="17" customWidth="1"/>
    <col min="8734" max="8734" width="14.36328125" style="17" customWidth="1"/>
    <col min="8735" max="8735" width="16" style="17" bestFit="1" customWidth="1"/>
    <col min="8736" max="8736" width="14.1796875" style="17" customWidth="1"/>
    <col min="8737" max="8737" width="13" style="17" customWidth="1"/>
    <col min="8738" max="8738" width="14.1796875" style="17" customWidth="1"/>
    <col min="8739" max="8739" width="13.36328125" style="17" customWidth="1"/>
    <col min="8740" max="8740" width="13.81640625" style="17" bestFit="1" customWidth="1"/>
    <col min="8741" max="8741" width="14.1796875" style="17" bestFit="1" customWidth="1"/>
    <col min="8742" max="8742" width="13.81640625" style="17" bestFit="1" customWidth="1"/>
    <col min="8743" max="8898" width="9.1796875" style="17"/>
    <col min="8899" max="8899" width="3.81640625" style="17" bestFit="1" customWidth="1"/>
    <col min="8900" max="8900" width="39.54296875" style="17" customWidth="1"/>
    <col min="8901" max="8901" width="16" style="17" customWidth="1"/>
    <col min="8902" max="8902" width="13" style="17" customWidth="1"/>
    <col min="8903" max="8903" width="16" style="17" customWidth="1"/>
    <col min="8904" max="8904" width="13" style="17" customWidth="1"/>
    <col min="8905" max="8905" width="14.1796875" style="17" customWidth="1"/>
    <col min="8906" max="8906" width="13" style="17" customWidth="1"/>
    <col min="8907" max="8907" width="14.90625" style="17" customWidth="1"/>
    <col min="8908" max="8908" width="13" style="17" customWidth="1"/>
    <col min="8909" max="8909" width="15.54296875" style="17" customWidth="1"/>
    <col min="8910" max="8910" width="13" style="17" customWidth="1"/>
    <col min="8911" max="8911" width="14.1796875" style="17" customWidth="1"/>
    <col min="8912" max="8912" width="13" style="17" customWidth="1"/>
    <col min="8913" max="8913" width="14.1796875" style="17" customWidth="1"/>
    <col min="8914" max="8914" width="13" style="17" customWidth="1"/>
    <col min="8915" max="8915" width="14.90625" style="17" customWidth="1"/>
    <col min="8916" max="8916" width="13" style="17" customWidth="1"/>
    <col min="8917" max="8917" width="15.54296875" style="17" customWidth="1"/>
    <col min="8918" max="8918" width="13" style="17" customWidth="1"/>
    <col min="8919" max="8919" width="14.1796875" style="17" customWidth="1"/>
    <col min="8920" max="8920" width="13" style="17" customWidth="1"/>
    <col min="8921" max="8921" width="15.54296875" style="17" customWidth="1"/>
    <col min="8922" max="8922" width="15.81640625" style="17" customWidth="1"/>
    <col min="8923" max="8923" width="14.1796875" style="17" customWidth="1"/>
    <col min="8924" max="8924" width="15.81640625" style="17" customWidth="1"/>
    <col min="8925" max="8925" width="15.54296875" style="17" customWidth="1"/>
    <col min="8926" max="8926" width="13" style="17" customWidth="1"/>
    <col min="8927" max="8927" width="14.1796875" style="17" customWidth="1"/>
    <col min="8928" max="8928" width="15.81640625" style="17" customWidth="1"/>
    <col min="8929" max="8929" width="16.453125" style="17" customWidth="1"/>
    <col min="8930" max="8930" width="15.54296875" style="17" customWidth="1"/>
    <col min="8931" max="8931" width="13" style="17" customWidth="1"/>
    <col min="8932" max="8932" width="16" style="17" customWidth="1"/>
    <col min="8933" max="8933" width="13" style="17" customWidth="1"/>
    <col min="8934" max="8934" width="11.08984375" style="17" customWidth="1"/>
    <col min="8935" max="8935" width="15.54296875" style="17" customWidth="1"/>
    <col min="8936" max="8936" width="13" style="17" customWidth="1"/>
    <col min="8937" max="8937" width="14.1796875" style="17" customWidth="1"/>
    <col min="8938" max="8938" width="15.81640625" style="17" customWidth="1"/>
    <col min="8939" max="8939" width="15.54296875" style="17" customWidth="1"/>
    <col min="8940" max="8940" width="13" style="17" customWidth="1"/>
    <col min="8941" max="8941" width="14.1796875" style="17" customWidth="1"/>
    <col min="8942" max="8942" width="15.81640625" style="17" customWidth="1"/>
    <col min="8943" max="8943" width="15.54296875" style="17" customWidth="1"/>
    <col min="8944" max="8944" width="13" style="17" customWidth="1"/>
    <col min="8945" max="8945" width="14.1796875" style="17" customWidth="1"/>
    <col min="8946" max="8946" width="15.81640625" style="17" customWidth="1"/>
    <col min="8947" max="8947" width="9.1796875" style="17"/>
    <col min="8948" max="8948" width="15.54296875" style="17" customWidth="1"/>
    <col min="8949" max="8949" width="13" style="17" customWidth="1"/>
    <col min="8950" max="8950" width="14.1796875" style="17" customWidth="1"/>
    <col min="8951" max="8951" width="15.81640625" style="17" customWidth="1"/>
    <col min="8952" max="8952" width="9.1796875" style="17"/>
    <col min="8953" max="8953" width="16" style="17" customWidth="1"/>
    <col min="8954" max="8954" width="13" style="17" customWidth="1"/>
    <col min="8955" max="8955" width="14.1796875" style="17" customWidth="1"/>
    <col min="8956" max="8956" width="13" style="17" customWidth="1"/>
    <col min="8957" max="8957" width="14.1796875" style="17" customWidth="1"/>
    <col min="8958" max="8958" width="13" style="17" customWidth="1"/>
    <col min="8959" max="8959" width="14.1796875" style="17" customWidth="1"/>
    <col min="8960" max="8960" width="13" style="17" customWidth="1"/>
    <col min="8961" max="8961" width="14.1796875" style="17" customWidth="1"/>
    <col min="8962" max="8962" width="13" style="17" customWidth="1"/>
    <col min="8963" max="8963" width="14.1796875" style="17" customWidth="1"/>
    <col min="8964" max="8965" width="13" style="17" customWidth="1"/>
    <col min="8966" max="8966" width="14.90625" style="17" bestFit="1" customWidth="1"/>
    <col min="8967" max="8967" width="13" style="17" customWidth="1"/>
    <col min="8968" max="8968" width="14.1796875" style="17" customWidth="1"/>
    <col min="8969" max="8969" width="13" style="17" customWidth="1"/>
    <col min="8970" max="8970" width="8.81640625" style="17" customWidth="1"/>
    <col min="8971" max="8971" width="14.1796875" style="17" customWidth="1"/>
    <col min="8972" max="8972" width="13" style="17" customWidth="1"/>
    <col min="8973" max="8973" width="14.1796875" style="17" customWidth="1"/>
    <col min="8974" max="8974" width="13" style="17" customWidth="1"/>
    <col min="8975" max="8975" width="14.1796875" style="17" customWidth="1"/>
    <col min="8976" max="8976" width="13" style="17" customWidth="1"/>
    <col min="8977" max="8977" width="14.1796875" style="17" customWidth="1"/>
    <col min="8978" max="8982" width="13" style="17" customWidth="1"/>
    <col min="8983" max="8983" width="16.81640625" style="17" customWidth="1"/>
    <col min="8984" max="8984" width="14.1796875" style="17" customWidth="1"/>
    <col min="8985" max="8985" width="13" style="17" customWidth="1"/>
    <col min="8986" max="8986" width="14.1796875" style="17" customWidth="1"/>
    <col min="8987" max="8988" width="13.36328125" style="17" customWidth="1"/>
    <col min="8989" max="8989" width="15.6328125" style="17" customWidth="1"/>
    <col min="8990" max="8990" width="14.36328125" style="17" customWidth="1"/>
    <col min="8991" max="8991" width="16" style="17" bestFit="1" customWidth="1"/>
    <col min="8992" max="8992" width="14.1796875" style="17" customWidth="1"/>
    <col min="8993" max="8993" width="13" style="17" customWidth="1"/>
    <col min="8994" max="8994" width="14.1796875" style="17" customWidth="1"/>
    <col min="8995" max="8995" width="13.36328125" style="17" customWidth="1"/>
    <col min="8996" max="8996" width="13.81640625" style="17" bestFit="1" customWidth="1"/>
    <col min="8997" max="8997" width="14.1796875" style="17" bestFit="1" customWidth="1"/>
    <col min="8998" max="8998" width="13.81640625" style="17" bestFit="1" customWidth="1"/>
    <col min="8999" max="9154" width="9.1796875" style="17"/>
    <col min="9155" max="9155" width="3.81640625" style="17" bestFit="1" customWidth="1"/>
    <col min="9156" max="9156" width="39.54296875" style="17" customWidth="1"/>
    <col min="9157" max="9157" width="16" style="17" customWidth="1"/>
    <col min="9158" max="9158" width="13" style="17" customWidth="1"/>
    <col min="9159" max="9159" width="16" style="17" customWidth="1"/>
    <col min="9160" max="9160" width="13" style="17" customWidth="1"/>
    <col min="9161" max="9161" width="14.1796875" style="17" customWidth="1"/>
    <col min="9162" max="9162" width="13" style="17" customWidth="1"/>
    <col min="9163" max="9163" width="14.90625" style="17" customWidth="1"/>
    <col min="9164" max="9164" width="13" style="17" customWidth="1"/>
    <col min="9165" max="9165" width="15.54296875" style="17" customWidth="1"/>
    <col min="9166" max="9166" width="13" style="17" customWidth="1"/>
    <col min="9167" max="9167" width="14.1796875" style="17" customWidth="1"/>
    <col min="9168" max="9168" width="13" style="17" customWidth="1"/>
    <col min="9169" max="9169" width="14.1796875" style="17" customWidth="1"/>
    <col min="9170" max="9170" width="13" style="17" customWidth="1"/>
    <col min="9171" max="9171" width="14.90625" style="17" customWidth="1"/>
    <col min="9172" max="9172" width="13" style="17" customWidth="1"/>
    <col min="9173" max="9173" width="15.54296875" style="17" customWidth="1"/>
    <col min="9174" max="9174" width="13" style="17" customWidth="1"/>
    <col min="9175" max="9175" width="14.1796875" style="17" customWidth="1"/>
    <col min="9176" max="9176" width="13" style="17" customWidth="1"/>
    <col min="9177" max="9177" width="15.54296875" style="17" customWidth="1"/>
    <col min="9178" max="9178" width="15.81640625" style="17" customWidth="1"/>
    <col min="9179" max="9179" width="14.1796875" style="17" customWidth="1"/>
    <col min="9180" max="9180" width="15.81640625" style="17" customWidth="1"/>
    <col min="9181" max="9181" width="15.54296875" style="17" customWidth="1"/>
    <col min="9182" max="9182" width="13" style="17" customWidth="1"/>
    <col min="9183" max="9183" width="14.1796875" style="17" customWidth="1"/>
    <col min="9184" max="9184" width="15.81640625" style="17" customWidth="1"/>
    <col min="9185" max="9185" width="16.453125" style="17" customWidth="1"/>
    <col min="9186" max="9186" width="15.54296875" style="17" customWidth="1"/>
    <col min="9187" max="9187" width="13" style="17" customWidth="1"/>
    <col min="9188" max="9188" width="16" style="17" customWidth="1"/>
    <col min="9189" max="9189" width="13" style="17" customWidth="1"/>
    <col min="9190" max="9190" width="11.08984375" style="17" customWidth="1"/>
    <col min="9191" max="9191" width="15.54296875" style="17" customWidth="1"/>
    <col min="9192" max="9192" width="13" style="17" customWidth="1"/>
    <col min="9193" max="9193" width="14.1796875" style="17" customWidth="1"/>
    <col min="9194" max="9194" width="15.81640625" style="17" customWidth="1"/>
    <col min="9195" max="9195" width="15.54296875" style="17" customWidth="1"/>
    <col min="9196" max="9196" width="13" style="17" customWidth="1"/>
    <col min="9197" max="9197" width="14.1796875" style="17" customWidth="1"/>
    <col min="9198" max="9198" width="15.81640625" style="17" customWidth="1"/>
    <col min="9199" max="9199" width="15.54296875" style="17" customWidth="1"/>
    <col min="9200" max="9200" width="13" style="17" customWidth="1"/>
    <col min="9201" max="9201" width="14.1796875" style="17" customWidth="1"/>
    <col min="9202" max="9202" width="15.81640625" style="17" customWidth="1"/>
    <col min="9203" max="9203" width="9.1796875" style="17"/>
    <col min="9204" max="9204" width="15.54296875" style="17" customWidth="1"/>
    <col min="9205" max="9205" width="13" style="17" customWidth="1"/>
    <col min="9206" max="9206" width="14.1796875" style="17" customWidth="1"/>
    <col min="9207" max="9207" width="15.81640625" style="17" customWidth="1"/>
    <col min="9208" max="9208" width="9.1796875" style="17"/>
    <col min="9209" max="9209" width="16" style="17" customWidth="1"/>
    <col min="9210" max="9210" width="13" style="17" customWidth="1"/>
    <col min="9211" max="9211" width="14.1796875" style="17" customWidth="1"/>
    <col min="9212" max="9212" width="13" style="17" customWidth="1"/>
    <col min="9213" max="9213" width="14.1796875" style="17" customWidth="1"/>
    <col min="9214" max="9214" width="13" style="17" customWidth="1"/>
    <col min="9215" max="9215" width="14.1796875" style="17" customWidth="1"/>
    <col min="9216" max="9216" width="13" style="17" customWidth="1"/>
    <col min="9217" max="9217" width="14.1796875" style="17" customWidth="1"/>
    <col min="9218" max="9218" width="13" style="17" customWidth="1"/>
    <col min="9219" max="9219" width="14.1796875" style="17" customWidth="1"/>
    <col min="9220" max="9221" width="13" style="17" customWidth="1"/>
    <col min="9222" max="9222" width="14.90625" style="17" bestFit="1" customWidth="1"/>
    <col min="9223" max="9223" width="13" style="17" customWidth="1"/>
    <col min="9224" max="9224" width="14.1796875" style="17" customWidth="1"/>
    <col min="9225" max="9225" width="13" style="17" customWidth="1"/>
    <col min="9226" max="9226" width="8.81640625" style="17" customWidth="1"/>
    <col min="9227" max="9227" width="14.1796875" style="17" customWidth="1"/>
    <col min="9228" max="9228" width="13" style="17" customWidth="1"/>
    <col min="9229" max="9229" width="14.1796875" style="17" customWidth="1"/>
    <col min="9230" max="9230" width="13" style="17" customWidth="1"/>
    <col min="9231" max="9231" width="14.1796875" style="17" customWidth="1"/>
    <col min="9232" max="9232" width="13" style="17" customWidth="1"/>
    <col min="9233" max="9233" width="14.1796875" style="17" customWidth="1"/>
    <col min="9234" max="9238" width="13" style="17" customWidth="1"/>
    <col min="9239" max="9239" width="16.81640625" style="17" customWidth="1"/>
    <col min="9240" max="9240" width="14.1796875" style="17" customWidth="1"/>
    <col min="9241" max="9241" width="13" style="17" customWidth="1"/>
    <col min="9242" max="9242" width="14.1796875" style="17" customWidth="1"/>
    <col min="9243" max="9244" width="13.36328125" style="17" customWidth="1"/>
    <col min="9245" max="9245" width="15.6328125" style="17" customWidth="1"/>
    <col min="9246" max="9246" width="14.36328125" style="17" customWidth="1"/>
    <col min="9247" max="9247" width="16" style="17" bestFit="1" customWidth="1"/>
    <col min="9248" max="9248" width="14.1796875" style="17" customWidth="1"/>
    <col min="9249" max="9249" width="13" style="17" customWidth="1"/>
    <col min="9250" max="9250" width="14.1796875" style="17" customWidth="1"/>
    <col min="9251" max="9251" width="13.36328125" style="17" customWidth="1"/>
    <col min="9252" max="9252" width="13.81640625" style="17" bestFit="1" customWidth="1"/>
    <col min="9253" max="9253" width="14.1796875" style="17" bestFit="1" customWidth="1"/>
    <col min="9254" max="9254" width="13.81640625" style="17" bestFit="1" customWidth="1"/>
    <col min="9255" max="9410" width="9.1796875" style="17"/>
    <col min="9411" max="9411" width="3.81640625" style="17" bestFit="1" customWidth="1"/>
    <col min="9412" max="9412" width="39.54296875" style="17" customWidth="1"/>
    <col min="9413" max="9413" width="16" style="17" customWidth="1"/>
    <col min="9414" max="9414" width="13" style="17" customWidth="1"/>
    <col min="9415" max="9415" width="16" style="17" customWidth="1"/>
    <col min="9416" max="9416" width="13" style="17" customWidth="1"/>
    <col min="9417" max="9417" width="14.1796875" style="17" customWidth="1"/>
    <col min="9418" max="9418" width="13" style="17" customWidth="1"/>
    <col min="9419" max="9419" width="14.90625" style="17" customWidth="1"/>
    <col min="9420" max="9420" width="13" style="17" customWidth="1"/>
    <col min="9421" max="9421" width="15.54296875" style="17" customWidth="1"/>
    <col min="9422" max="9422" width="13" style="17" customWidth="1"/>
    <col min="9423" max="9423" width="14.1796875" style="17" customWidth="1"/>
    <col min="9424" max="9424" width="13" style="17" customWidth="1"/>
    <col min="9425" max="9425" width="14.1796875" style="17" customWidth="1"/>
    <col min="9426" max="9426" width="13" style="17" customWidth="1"/>
    <col min="9427" max="9427" width="14.90625" style="17" customWidth="1"/>
    <col min="9428" max="9428" width="13" style="17" customWidth="1"/>
    <col min="9429" max="9429" width="15.54296875" style="17" customWidth="1"/>
    <col min="9430" max="9430" width="13" style="17" customWidth="1"/>
    <col min="9431" max="9431" width="14.1796875" style="17" customWidth="1"/>
    <col min="9432" max="9432" width="13" style="17" customWidth="1"/>
    <col min="9433" max="9433" width="15.54296875" style="17" customWidth="1"/>
    <col min="9434" max="9434" width="15.81640625" style="17" customWidth="1"/>
    <col min="9435" max="9435" width="14.1796875" style="17" customWidth="1"/>
    <col min="9436" max="9436" width="15.81640625" style="17" customWidth="1"/>
    <col min="9437" max="9437" width="15.54296875" style="17" customWidth="1"/>
    <col min="9438" max="9438" width="13" style="17" customWidth="1"/>
    <col min="9439" max="9439" width="14.1796875" style="17" customWidth="1"/>
    <col min="9440" max="9440" width="15.81640625" style="17" customWidth="1"/>
    <col min="9441" max="9441" width="16.453125" style="17" customWidth="1"/>
    <col min="9442" max="9442" width="15.54296875" style="17" customWidth="1"/>
    <col min="9443" max="9443" width="13" style="17" customWidth="1"/>
    <col min="9444" max="9444" width="16" style="17" customWidth="1"/>
    <col min="9445" max="9445" width="13" style="17" customWidth="1"/>
    <col min="9446" max="9446" width="11.08984375" style="17" customWidth="1"/>
    <col min="9447" max="9447" width="15.54296875" style="17" customWidth="1"/>
    <col min="9448" max="9448" width="13" style="17" customWidth="1"/>
    <col min="9449" max="9449" width="14.1796875" style="17" customWidth="1"/>
    <col min="9450" max="9450" width="15.81640625" style="17" customWidth="1"/>
    <col min="9451" max="9451" width="15.54296875" style="17" customWidth="1"/>
    <col min="9452" max="9452" width="13" style="17" customWidth="1"/>
    <col min="9453" max="9453" width="14.1796875" style="17" customWidth="1"/>
    <col min="9454" max="9454" width="15.81640625" style="17" customWidth="1"/>
    <col min="9455" max="9455" width="15.54296875" style="17" customWidth="1"/>
    <col min="9456" max="9456" width="13" style="17" customWidth="1"/>
    <col min="9457" max="9457" width="14.1796875" style="17" customWidth="1"/>
    <col min="9458" max="9458" width="15.81640625" style="17" customWidth="1"/>
    <col min="9459" max="9459" width="9.1796875" style="17"/>
    <col min="9460" max="9460" width="15.54296875" style="17" customWidth="1"/>
    <col min="9461" max="9461" width="13" style="17" customWidth="1"/>
    <col min="9462" max="9462" width="14.1796875" style="17" customWidth="1"/>
    <col min="9463" max="9463" width="15.81640625" style="17" customWidth="1"/>
    <col min="9464" max="9464" width="9.1796875" style="17"/>
    <col min="9465" max="9465" width="16" style="17" customWidth="1"/>
    <col min="9466" max="9466" width="13" style="17" customWidth="1"/>
    <col min="9467" max="9467" width="14.1796875" style="17" customWidth="1"/>
    <col min="9468" max="9468" width="13" style="17" customWidth="1"/>
    <col min="9469" max="9469" width="14.1796875" style="17" customWidth="1"/>
    <col min="9470" max="9470" width="13" style="17" customWidth="1"/>
    <col min="9471" max="9471" width="14.1796875" style="17" customWidth="1"/>
    <col min="9472" max="9472" width="13" style="17" customWidth="1"/>
    <col min="9473" max="9473" width="14.1796875" style="17" customWidth="1"/>
    <col min="9474" max="9474" width="13" style="17" customWidth="1"/>
    <col min="9475" max="9475" width="14.1796875" style="17" customWidth="1"/>
    <col min="9476" max="9477" width="13" style="17" customWidth="1"/>
    <col min="9478" max="9478" width="14.90625" style="17" bestFit="1" customWidth="1"/>
    <col min="9479" max="9479" width="13" style="17" customWidth="1"/>
    <col min="9480" max="9480" width="14.1796875" style="17" customWidth="1"/>
    <col min="9481" max="9481" width="13" style="17" customWidth="1"/>
    <col min="9482" max="9482" width="8.81640625" style="17" customWidth="1"/>
    <col min="9483" max="9483" width="14.1796875" style="17" customWidth="1"/>
    <col min="9484" max="9484" width="13" style="17" customWidth="1"/>
    <col min="9485" max="9485" width="14.1796875" style="17" customWidth="1"/>
    <col min="9486" max="9486" width="13" style="17" customWidth="1"/>
    <col min="9487" max="9487" width="14.1796875" style="17" customWidth="1"/>
    <col min="9488" max="9488" width="13" style="17" customWidth="1"/>
    <col min="9489" max="9489" width="14.1796875" style="17" customWidth="1"/>
    <col min="9490" max="9494" width="13" style="17" customWidth="1"/>
    <col min="9495" max="9495" width="16.81640625" style="17" customWidth="1"/>
    <col min="9496" max="9496" width="14.1796875" style="17" customWidth="1"/>
    <col min="9497" max="9497" width="13" style="17" customWidth="1"/>
    <col min="9498" max="9498" width="14.1796875" style="17" customWidth="1"/>
    <col min="9499" max="9500" width="13.36328125" style="17" customWidth="1"/>
    <col min="9501" max="9501" width="15.6328125" style="17" customWidth="1"/>
    <col min="9502" max="9502" width="14.36328125" style="17" customWidth="1"/>
    <col min="9503" max="9503" width="16" style="17" bestFit="1" customWidth="1"/>
    <col min="9504" max="9504" width="14.1796875" style="17" customWidth="1"/>
    <col min="9505" max="9505" width="13" style="17" customWidth="1"/>
    <col min="9506" max="9506" width="14.1796875" style="17" customWidth="1"/>
    <col min="9507" max="9507" width="13.36328125" style="17" customWidth="1"/>
    <col min="9508" max="9508" width="13.81640625" style="17" bestFit="1" customWidth="1"/>
    <col min="9509" max="9509" width="14.1796875" style="17" bestFit="1" customWidth="1"/>
    <col min="9510" max="9510" width="13.81640625" style="17" bestFit="1" customWidth="1"/>
    <col min="9511" max="9666" width="9.1796875" style="17"/>
    <col min="9667" max="9667" width="3.81640625" style="17" bestFit="1" customWidth="1"/>
    <col min="9668" max="9668" width="39.54296875" style="17" customWidth="1"/>
    <col min="9669" max="9669" width="16" style="17" customWidth="1"/>
    <col min="9670" max="9670" width="13" style="17" customWidth="1"/>
    <col min="9671" max="9671" width="16" style="17" customWidth="1"/>
    <col min="9672" max="9672" width="13" style="17" customWidth="1"/>
    <col min="9673" max="9673" width="14.1796875" style="17" customWidth="1"/>
    <col min="9674" max="9674" width="13" style="17" customWidth="1"/>
    <col min="9675" max="9675" width="14.90625" style="17" customWidth="1"/>
    <col min="9676" max="9676" width="13" style="17" customWidth="1"/>
    <col min="9677" max="9677" width="15.54296875" style="17" customWidth="1"/>
    <col min="9678" max="9678" width="13" style="17" customWidth="1"/>
    <col min="9679" max="9679" width="14.1796875" style="17" customWidth="1"/>
    <col min="9680" max="9680" width="13" style="17" customWidth="1"/>
    <col min="9681" max="9681" width="14.1796875" style="17" customWidth="1"/>
    <col min="9682" max="9682" width="13" style="17" customWidth="1"/>
    <col min="9683" max="9683" width="14.90625" style="17" customWidth="1"/>
    <col min="9684" max="9684" width="13" style="17" customWidth="1"/>
    <col min="9685" max="9685" width="15.54296875" style="17" customWidth="1"/>
    <col min="9686" max="9686" width="13" style="17" customWidth="1"/>
    <col min="9687" max="9687" width="14.1796875" style="17" customWidth="1"/>
    <col min="9688" max="9688" width="13" style="17" customWidth="1"/>
    <col min="9689" max="9689" width="15.54296875" style="17" customWidth="1"/>
    <col min="9690" max="9690" width="15.81640625" style="17" customWidth="1"/>
    <col min="9691" max="9691" width="14.1796875" style="17" customWidth="1"/>
    <col min="9692" max="9692" width="15.81640625" style="17" customWidth="1"/>
    <col min="9693" max="9693" width="15.54296875" style="17" customWidth="1"/>
    <col min="9694" max="9694" width="13" style="17" customWidth="1"/>
    <col min="9695" max="9695" width="14.1796875" style="17" customWidth="1"/>
    <col min="9696" max="9696" width="15.81640625" style="17" customWidth="1"/>
    <col min="9697" max="9697" width="16.453125" style="17" customWidth="1"/>
    <col min="9698" max="9698" width="15.54296875" style="17" customWidth="1"/>
    <col min="9699" max="9699" width="13" style="17" customWidth="1"/>
    <col min="9700" max="9700" width="16" style="17" customWidth="1"/>
    <col min="9701" max="9701" width="13" style="17" customWidth="1"/>
    <col min="9702" max="9702" width="11.08984375" style="17" customWidth="1"/>
    <col min="9703" max="9703" width="15.54296875" style="17" customWidth="1"/>
    <col min="9704" max="9704" width="13" style="17" customWidth="1"/>
    <col min="9705" max="9705" width="14.1796875" style="17" customWidth="1"/>
    <col min="9706" max="9706" width="15.81640625" style="17" customWidth="1"/>
    <col min="9707" max="9707" width="15.54296875" style="17" customWidth="1"/>
    <col min="9708" max="9708" width="13" style="17" customWidth="1"/>
    <col min="9709" max="9709" width="14.1796875" style="17" customWidth="1"/>
    <col min="9710" max="9710" width="15.81640625" style="17" customWidth="1"/>
    <col min="9711" max="9711" width="15.54296875" style="17" customWidth="1"/>
    <col min="9712" max="9712" width="13" style="17" customWidth="1"/>
    <col min="9713" max="9713" width="14.1796875" style="17" customWidth="1"/>
    <col min="9714" max="9714" width="15.81640625" style="17" customWidth="1"/>
    <col min="9715" max="9715" width="9.1796875" style="17"/>
    <col min="9716" max="9716" width="15.54296875" style="17" customWidth="1"/>
    <col min="9717" max="9717" width="13" style="17" customWidth="1"/>
    <col min="9718" max="9718" width="14.1796875" style="17" customWidth="1"/>
    <col min="9719" max="9719" width="15.81640625" style="17" customWidth="1"/>
    <col min="9720" max="9720" width="9.1796875" style="17"/>
    <col min="9721" max="9721" width="16" style="17" customWidth="1"/>
    <col min="9722" max="9722" width="13" style="17" customWidth="1"/>
    <col min="9723" max="9723" width="14.1796875" style="17" customWidth="1"/>
    <col min="9724" max="9724" width="13" style="17" customWidth="1"/>
    <col min="9725" max="9725" width="14.1796875" style="17" customWidth="1"/>
    <col min="9726" max="9726" width="13" style="17" customWidth="1"/>
    <col min="9727" max="9727" width="14.1796875" style="17" customWidth="1"/>
    <col min="9728" max="9728" width="13" style="17" customWidth="1"/>
    <col min="9729" max="9729" width="14.1796875" style="17" customWidth="1"/>
    <col min="9730" max="9730" width="13" style="17" customWidth="1"/>
    <col min="9731" max="9731" width="14.1796875" style="17" customWidth="1"/>
    <col min="9732" max="9733" width="13" style="17" customWidth="1"/>
    <col min="9734" max="9734" width="14.90625" style="17" bestFit="1" customWidth="1"/>
    <col min="9735" max="9735" width="13" style="17" customWidth="1"/>
    <col min="9736" max="9736" width="14.1796875" style="17" customWidth="1"/>
    <col min="9737" max="9737" width="13" style="17" customWidth="1"/>
    <col min="9738" max="9738" width="8.81640625" style="17" customWidth="1"/>
    <col min="9739" max="9739" width="14.1796875" style="17" customWidth="1"/>
    <col min="9740" max="9740" width="13" style="17" customWidth="1"/>
    <col min="9741" max="9741" width="14.1796875" style="17" customWidth="1"/>
    <col min="9742" max="9742" width="13" style="17" customWidth="1"/>
    <col min="9743" max="9743" width="14.1796875" style="17" customWidth="1"/>
    <col min="9744" max="9744" width="13" style="17" customWidth="1"/>
    <col min="9745" max="9745" width="14.1796875" style="17" customWidth="1"/>
    <col min="9746" max="9750" width="13" style="17" customWidth="1"/>
    <col min="9751" max="9751" width="16.81640625" style="17" customWidth="1"/>
    <col min="9752" max="9752" width="14.1796875" style="17" customWidth="1"/>
    <col min="9753" max="9753" width="13" style="17" customWidth="1"/>
    <col min="9754" max="9754" width="14.1796875" style="17" customWidth="1"/>
    <col min="9755" max="9756" width="13.36328125" style="17" customWidth="1"/>
    <col min="9757" max="9757" width="15.6328125" style="17" customWidth="1"/>
    <col min="9758" max="9758" width="14.36328125" style="17" customWidth="1"/>
    <col min="9759" max="9759" width="16" style="17" bestFit="1" customWidth="1"/>
    <col min="9760" max="9760" width="14.1796875" style="17" customWidth="1"/>
    <col min="9761" max="9761" width="13" style="17" customWidth="1"/>
    <col min="9762" max="9762" width="14.1796875" style="17" customWidth="1"/>
    <col min="9763" max="9763" width="13.36328125" style="17" customWidth="1"/>
    <col min="9764" max="9764" width="13.81640625" style="17" bestFit="1" customWidth="1"/>
    <col min="9765" max="9765" width="14.1796875" style="17" bestFit="1" customWidth="1"/>
    <col min="9766" max="9766" width="13.81640625" style="17" bestFit="1" customWidth="1"/>
    <col min="9767" max="9922" width="9.1796875" style="17"/>
    <col min="9923" max="9923" width="3.81640625" style="17" bestFit="1" customWidth="1"/>
    <col min="9924" max="9924" width="39.54296875" style="17" customWidth="1"/>
    <col min="9925" max="9925" width="16" style="17" customWidth="1"/>
    <col min="9926" max="9926" width="13" style="17" customWidth="1"/>
    <col min="9927" max="9927" width="16" style="17" customWidth="1"/>
    <col min="9928" max="9928" width="13" style="17" customWidth="1"/>
    <col min="9929" max="9929" width="14.1796875" style="17" customWidth="1"/>
    <col min="9930" max="9930" width="13" style="17" customWidth="1"/>
    <col min="9931" max="9931" width="14.90625" style="17" customWidth="1"/>
    <col min="9932" max="9932" width="13" style="17" customWidth="1"/>
    <col min="9933" max="9933" width="15.54296875" style="17" customWidth="1"/>
    <col min="9934" max="9934" width="13" style="17" customWidth="1"/>
    <col min="9935" max="9935" width="14.1796875" style="17" customWidth="1"/>
    <col min="9936" max="9936" width="13" style="17" customWidth="1"/>
    <col min="9937" max="9937" width="14.1796875" style="17" customWidth="1"/>
    <col min="9938" max="9938" width="13" style="17" customWidth="1"/>
    <col min="9939" max="9939" width="14.90625" style="17" customWidth="1"/>
    <col min="9940" max="9940" width="13" style="17" customWidth="1"/>
    <col min="9941" max="9941" width="15.54296875" style="17" customWidth="1"/>
    <col min="9942" max="9942" width="13" style="17" customWidth="1"/>
    <col min="9943" max="9943" width="14.1796875" style="17" customWidth="1"/>
    <col min="9944" max="9944" width="13" style="17" customWidth="1"/>
    <col min="9945" max="9945" width="15.54296875" style="17" customWidth="1"/>
    <col min="9946" max="9946" width="15.81640625" style="17" customWidth="1"/>
    <col min="9947" max="9947" width="14.1796875" style="17" customWidth="1"/>
    <col min="9948" max="9948" width="15.81640625" style="17" customWidth="1"/>
    <col min="9949" max="9949" width="15.54296875" style="17" customWidth="1"/>
    <col min="9950" max="9950" width="13" style="17" customWidth="1"/>
    <col min="9951" max="9951" width="14.1796875" style="17" customWidth="1"/>
    <col min="9952" max="9952" width="15.81640625" style="17" customWidth="1"/>
    <col min="9953" max="9953" width="16.453125" style="17" customWidth="1"/>
    <col min="9954" max="9954" width="15.54296875" style="17" customWidth="1"/>
    <col min="9955" max="9955" width="13" style="17" customWidth="1"/>
    <col min="9956" max="9956" width="16" style="17" customWidth="1"/>
    <col min="9957" max="9957" width="13" style="17" customWidth="1"/>
    <col min="9958" max="9958" width="11.08984375" style="17" customWidth="1"/>
    <col min="9959" max="9959" width="15.54296875" style="17" customWidth="1"/>
    <col min="9960" max="9960" width="13" style="17" customWidth="1"/>
    <col min="9961" max="9961" width="14.1796875" style="17" customWidth="1"/>
    <col min="9962" max="9962" width="15.81640625" style="17" customWidth="1"/>
    <col min="9963" max="9963" width="15.54296875" style="17" customWidth="1"/>
    <col min="9964" max="9964" width="13" style="17" customWidth="1"/>
    <col min="9965" max="9965" width="14.1796875" style="17" customWidth="1"/>
    <col min="9966" max="9966" width="15.81640625" style="17" customWidth="1"/>
    <col min="9967" max="9967" width="15.54296875" style="17" customWidth="1"/>
    <col min="9968" max="9968" width="13" style="17" customWidth="1"/>
    <col min="9969" max="9969" width="14.1796875" style="17" customWidth="1"/>
    <col min="9970" max="9970" width="15.81640625" style="17" customWidth="1"/>
    <col min="9971" max="9971" width="9.1796875" style="17"/>
    <col min="9972" max="9972" width="15.54296875" style="17" customWidth="1"/>
    <col min="9973" max="9973" width="13" style="17" customWidth="1"/>
    <col min="9974" max="9974" width="14.1796875" style="17" customWidth="1"/>
    <col min="9975" max="9975" width="15.81640625" style="17" customWidth="1"/>
    <col min="9976" max="9976" width="9.1796875" style="17"/>
    <col min="9977" max="9977" width="16" style="17" customWidth="1"/>
    <col min="9978" max="9978" width="13" style="17" customWidth="1"/>
    <col min="9979" max="9979" width="14.1796875" style="17" customWidth="1"/>
    <col min="9980" max="9980" width="13" style="17" customWidth="1"/>
    <col min="9981" max="9981" width="14.1796875" style="17" customWidth="1"/>
    <col min="9982" max="9982" width="13" style="17" customWidth="1"/>
    <col min="9983" max="9983" width="14.1796875" style="17" customWidth="1"/>
    <col min="9984" max="9984" width="13" style="17" customWidth="1"/>
    <col min="9985" max="9985" width="14.1796875" style="17" customWidth="1"/>
    <col min="9986" max="9986" width="13" style="17" customWidth="1"/>
    <col min="9987" max="9987" width="14.1796875" style="17" customWidth="1"/>
    <col min="9988" max="9989" width="13" style="17" customWidth="1"/>
    <col min="9990" max="9990" width="14.90625" style="17" bestFit="1" customWidth="1"/>
    <col min="9991" max="9991" width="13" style="17" customWidth="1"/>
    <col min="9992" max="9992" width="14.1796875" style="17" customWidth="1"/>
    <col min="9993" max="9993" width="13" style="17" customWidth="1"/>
    <col min="9994" max="9994" width="8.81640625" style="17" customWidth="1"/>
    <col min="9995" max="9995" width="14.1796875" style="17" customWidth="1"/>
    <col min="9996" max="9996" width="13" style="17" customWidth="1"/>
    <col min="9997" max="9997" width="14.1796875" style="17" customWidth="1"/>
    <col min="9998" max="9998" width="13" style="17" customWidth="1"/>
    <col min="9999" max="9999" width="14.1796875" style="17" customWidth="1"/>
    <col min="10000" max="10000" width="13" style="17" customWidth="1"/>
    <col min="10001" max="10001" width="14.1796875" style="17" customWidth="1"/>
    <col min="10002" max="10006" width="13" style="17" customWidth="1"/>
    <col min="10007" max="10007" width="16.81640625" style="17" customWidth="1"/>
    <col min="10008" max="10008" width="14.1796875" style="17" customWidth="1"/>
    <col min="10009" max="10009" width="13" style="17" customWidth="1"/>
    <col min="10010" max="10010" width="14.1796875" style="17" customWidth="1"/>
    <col min="10011" max="10012" width="13.36328125" style="17" customWidth="1"/>
    <col min="10013" max="10013" width="15.6328125" style="17" customWidth="1"/>
    <col min="10014" max="10014" width="14.36328125" style="17" customWidth="1"/>
    <col min="10015" max="10015" width="16" style="17" bestFit="1" customWidth="1"/>
    <col min="10016" max="10016" width="14.1796875" style="17" customWidth="1"/>
    <col min="10017" max="10017" width="13" style="17" customWidth="1"/>
    <col min="10018" max="10018" width="14.1796875" style="17" customWidth="1"/>
    <col min="10019" max="10019" width="13.36328125" style="17" customWidth="1"/>
    <col min="10020" max="10020" width="13.81640625" style="17" bestFit="1" customWidth="1"/>
    <col min="10021" max="10021" width="14.1796875" style="17" bestFit="1" customWidth="1"/>
    <col min="10022" max="10022" width="13.81640625" style="17" bestFit="1" customWidth="1"/>
    <col min="10023" max="10178" width="9.1796875" style="17"/>
    <col min="10179" max="10179" width="3.81640625" style="17" bestFit="1" customWidth="1"/>
    <col min="10180" max="10180" width="39.54296875" style="17" customWidth="1"/>
    <col min="10181" max="10181" width="16" style="17" customWidth="1"/>
    <col min="10182" max="10182" width="13" style="17" customWidth="1"/>
    <col min="10183" max="10183" width="16" style="17" customWidth="1"/>
    <col min="10184" max="10184" width="13" style="17" customWidth="1"/>
    <col min="10185" max="10185" width="14.1796875" style="17" customWidth="1"/>
    <col min="10186" max="10186" width="13" style="17" customWidth="1"/>
    <col min="10187" max="10187" width="14.90625" style="17" customWidth="1"/>
    <col min="10188" max="10188" width="13" style="17" customWidth="1"/>
    <col min="10189" max="10189" width="15.54296875" style="17" customWidth="1"/>
    <col min="10190" max="10190" width="13" style="17" customWidth="1"/>
    <col min="10191" max="10191" width="14.1796875" style="17" customWidth="1"/>
    <col min="10192" max="10192" width="13" style="17" customWidth="1"/>
    <col min="10193" max="10193" width="14.1796875" style="17" customWidth="1"/>
    <col min="10194" max="10194" width="13" style="17" customWidth="1"/>
    <col min="10195" max="10195" width="14.90625" style="17" customWidth="1"/>
    <col min="10196" max="10196" width="13" style="17" customWidth="1"/>
    <col min="10197" max="10197" width="15.54296875" style="17" customWidth="1"/>
    <col min="10198" max="10198" width="13" style="17" customWidth="1"/>
    <col min="10199" max="10199" width="14.1796875" style="17" customWidth="1"/>
    <col min="10200" max="10200" width="13" style="17" customWidth="1"/>
    <col min="10201" max="10201" width="15.54296875" style="17" customWidth="1"/>
    <col min="10202" max="10202" width="15.81640625" style="17" customWidth="1"/>
    <col min="10203" max="10203" width="14.1796875" style="17" customWidth="1"/>
    <col min="10204" max="10204" width="15.81640625" style="17" customWidth="1"/>
    <col min="10205" max="10205" width="15.54296875" style="17" customWidth="1"/>
    <col min="10206" max="10206" width="13" style="17" customWidth="1"/>
    <col min="10207" max="10207" width="14.1796875" style="17" customWidth="1"/>
    <col min="10208" max="10208" width="15.81640625" style="17" customWidth="1"/>
    <col min="10209" max="10209" width="16.453125" style="17" customWidth="1"/>
    <col min="10210" max="10210" width="15.54296875" style="17" customWidth="1"/>
    <col min="10211" max="10211" width="13" style="17" customWidth="1"/>
    <col min="10212" max="10212" width="16" style="17" customWidth="1"/>
    <col min="10213" max="10213" width="13" style="17" customWidth="1"/>
    <col min="10214" max="10214" width="11.08984375" style="17" customWidth="1"/>
    <col min="10215" max="10215" width="15.54296875" style="17" customWidth="1"/>
    <col min="10216" max="10216" width="13" style="17" customWidth="1"/>
    <col min="10217" max="10217" width="14.1796875" style="17" customWidth="1"/>
    <col min="10218" max="10218" width="15.81640625" style="17" customWidth="1"/>
    <col min="10219" max="10219" width="15.54296875" style="17" customWidth="1"/>
    <col min="10220" max="10220" width="13" style="17" customWidth="1"/>
    <col min="10221" max="10221" width="14.1796875" style="17" customWidth="1"/>
    <col min="10222" max="10222" width="15.81640625" style="17" customWidth="1"/>
    <col min="10223" max="10223" width="15.54296875" style="17" customWidth="1"/>
    <col min="10224" max="10224" width="13" style="17" customWidth="1"/>
    <col min="10225" max="10225" width="14.1796875" style="17" customWidth="1"/>
    <col min="10226" max="10226" width="15.81640625" style="17" customWidth="1"/>
    <col min="10227" max="10227" width="9.1796875" style="17"/>
    <col min="10228" max="10228" width="15.54296875" style="17" customWidth="1"/>
    <col min="10229" max="10229" width="13" style="17" customWidth="1"/>
    <col min="10230" max="10230" width="14.1796875" style="17" customWidth="1"/>
    <col min="10231" max="10231" width="15.81640625" style="17" customWidth="1"/>
    <col min="10232" max="10232" width="9.1796875" style="17"/>
    <col min="10233" max="10233" width="16" style="17" customWidth="1"/>
    <col min="10234" max="10234" width="13" style="17" customWidth="1"/>
    <col min="10235" max="10235" width="14.1796875" style="17" customWidth="1"/>
    <col min="10236" max="10236" width="13" style="17" customWidth="1"/>
    <col min="10237" max="10237" width="14.1796875" style="17" customWidth="1"/>
    <col min="10238" max="10238" width="13" style="17" customWidth="1"/>
    <col min="10239" max="10239" width="14.1796875" style="17" customWidth="1"/>
    <col min="10240" max="10240" width="13" style="17" customWidth="1"/>
    <col min="10241" max="10241" width="14.1796875" style="17" customWidth="1"/>
    <col min="10242" max="10242" width="13" style="17" customWidth="1"/>
    <col min="10243" max="10243" width="14.1796875" style="17" customWidth="1"/>
    <col min="10244" max="10245" width="13" style="17" customWidth="1"/>
    <col min="10246" max="10246" width="14.90625" style="17" bestFit="1" customWidth="1"/>
    <col min="10247" max="10247" width="13" style="17" customWidth="1"/>
    <col min="10248" max="10248" width="14.1796875" style="17" customWidth="1"/>
    <col min="10249" max="10249" width="13" style="17" customWidth="1"/>
    <col min="10250" max="10250" width="8.81640625" style="17" customWidth="1"/>
    <col min="10251" max="10251" width="14.1796875" style="17" customWidth="1"/>
    <col min="10252" max="10252" width="13" style="17" customWidth="1"/>
    <col min="10253" max="10253" width="14.1796875" style="17" customWidth="1"/>
    <col min="10254" max="10254" width="13" style="17" customWidth="1"/>
    <col min="10255" max="10255" width="14.1796875" style="17" customWidth="1"/>
    <col min="10256" max="10256" width="13" style="17" customWidth="1"/>
    <col min="10257" max="10257" width="14.1796875" style="17" customWidth="1"/>
    <col min="10258" max="10262" width="13" style="17" customWidth="1"/>
    <col min="10263" max="10263" width="16.81640625" style="17" customWidth="1"/>
    <col min="10264" max="10264" width="14.1796875" style="17" customWidth="1"/>
    <col min="10265" max="10265" width="13" style="17" customWidth="1"/>
    <col min="10266" max="10266" width="14.1796875" style="17" customWidth="1"/>
    <col min="10267" max="10268" width="13.36328125" style="17" customWidth="1"/>
    <col min="10269" max="10269" width="15.6328125" style="17" customWidth="1"/>
    <col min="10270" max="10270" width="14.36328125" style="17" customWidth="1"/>
    <col min="10271" max="10271" width="16" style="17" bestFit="1" customWidth="1"/>
    <col min="10272" max="10272" width="14.1796875" style="17" customWidth="1"/>
    <col min="10273" max="10273" width="13" style="17" customWidth="1"/>
    <col min="10274" max="10274" width="14.1796875" style="17" customWidth="1"/>
    <col min="10275" max="10275" width="13.36328125" style="17" customWidth="1"/>
    <col min="10276" max="10276" width="13.81640625" style="17" bestFit="1" customWidth="1"/>
    <col min="10277" max="10277" width="14.1796875" style="17" bestFit="1" customWidth="1"/>
    <col min="10278" max="10278" width="13.81640625" style="17" bestFit="1" customWidth="1"/>
    <col min="10279" max="10434" width="9.1796875" style="17"/>
    <col min="10435" max="10435" width="3.81640625" style="17" bestFit="1" customWidth="1"/>
    <col min="10436" max="10436" width="39.54296875" style="17" customWidth="1"/>
    <col min="10437" max="10437" width="16" style="17" customWidth="1"/>
    <col min="10438" max="10438" width="13" style="17" customWidth="1"/>
    <col min="10439" max="10439" width="16" style="17" customWidth="1"/>
    <col min="10440" max="10440" width="13" style="17" customWidth="1"/>
    <col min="10441" max="10441" width="14.1796875" style="17" customWidth="1"/>
    <col min="10442" max="10442" width="13" style="17" customWidth="1"/>
    <col min="10443" max="10443" width="14.90625" style="17" customWidth="1"/>
    <col min="10444" max="10444" width="13" style="17" customWidth="1"/>
    <col min="10445" max="10445" width="15.54296875" style="17" customWidth="1"/>
    <col min="10446" max="10446" width="13" style="17" customWidth="1"/>
    <col min="10447" max="10447" width="14.1796875" style="17" customWidth="1"/>
    <col min="10448" max="10448" width="13" style="17" customWidth="1"/>
    <col min="10449" max="10449" width="14.1796875" style="17" customWidth="1"/>
    <col min="10450" max="10450" width="13" style="17" customWidth="1"/>
    <col min="10451" max="10451" width="14.90625" style="17" customWidth="1"/>
    <col min="10452" max="10452" width="13" style="17" customWidth="1"/>
    <col min="10453" max="10453" width="15.54296875" style="17" customWidth="1"/>
    <col min="10454" max="10454" width="13" style="17" customWidth="1"/>
    <col min="10455" max="10455" width="14.1796875" style="17" customWidth="1"/>
    <col min="10456" max="10456" width="13" style="17" customWidth="1"/>
    <col min="10457" max="10457" width="15.54296875" style="17" customWidth="1"/>
    <col min="10458" max="10458" width="15.81640625" style="17" customWidth="1"/>
    <col min="10459" max="10459" width="14.1796875" style="17" customWidth="1"/>
    <col min="10460" max="10460" width="15.81640625" style="17" customWidth="1"/>
    <col min="10461" max="10461" width="15.54296875" style="17" customWidth="1"/>
    <col min="10462" max="10462" width="13" style="17" customWidth="1"/>
    <col min="10463" max="10463" width="14.1796875" style="17" customWidth="1"/>
    <col min="10464" max="10464" width="15.81640625" style="17" customWidth="1"/>
    <col min="10465" max="10465" width="16.453125" style="17" customWidth="1"/>
    <col min="10466" max="10466" width="15.54296875" style="17" customWidth="1"/>
    <col min="10467" max="10467" width="13" style="17" customWidth="1"/>
    <col min="10468" max="10468" width="16" style="17" customWidth="1"/>
    <col min="10469" max="10469" width="13" style="17" customWidth="1"/>
    <col min="10470" max="10470" width="11.08984375" style="17" customWidth="1"/>
    <col min="10471" max="10471" width="15.54296875" style="17" customWidth="1"/>
    <col min="10472" max="10472" width="13" style="17" customWidth="1"/>
    <col min="10473" max="10473" width="14.1796875" style="17" customWidth="1"/>
    <col min="10474" max="10474" width="15.81640625" style="17" customWidth="1"/>
    <col min="10475" max="10475" width="15.54296875" style="17" customWidth="1"/>
    <col min="10476" max="10476" width="13" style="17" customWidth="1"/>
    <col min="10477" max="10477" width="14.1796875" style="17" customWidth="1"/>
    <col min="10478" max="10478" width="15.81640625" style="17" customWidth="1"/>
    <col min="10479" max="10479" width="15.54296875" style="17" customWidth="1"/>
    <col min="10480" max="10480" width="13" style="17" customWidth="1"/>
    <col min="10481" max="10481" width="14.1796875" style="17" customWidth="1"/>
    <col min="10482" max="10482" width="15.81640625" style="17" customWidth="1"/>
    <col min="10483" max="10483" width="9.1796875" style="17"/>
    <col min="10484" max="10484" width="15.54296875" style="17" customWidth="1"/>
    <col min="10485" max="10485" width="13" style="17" customWidth="1"/>
    <col min="10486" max="10486" width="14.1796875" style="17" customWidth="1"/>
    <col min="10487" max="10487" width="15.81640625" style="17" customWidth="1"/>
    <col min="10488" max="10488" width="9.1796875" style="17"/>
    <col min="10489" max="10489" width="16" style="17" customWidth="1"/>
    <col min="10490" max="10490" width="13" style="17" customWidth="1"/>
    <col min="10491" max="10491" width="14.1796875" style="17" customWidth="1"/>
    <col min="10492" max="10492" width="13" style="17" customWidth="1"/>
    <col min="10493" max="10493" width="14.1796875" style="17" customWidth="1"/>
    <col min="10494" max="10494" width="13" style="17" customWidth="1"/>
    <col min="10495" max="10495" width="14.1796875" style="17" customWidth="1"/>
    <col min="10496" max="10496" width="13" style="17" customWidth="1"/>
    <col min="10497" max="10497" width="14.1796875" style="17" customWidth="1"/>
    <col min="10498" max="10498" width="13" style="17" customWidth="1"/>
    <col min="10499" max="10499" width="14.1796875" style="17" customWidth="1"/>
    <col min="10500" max="10501" width="13" style="17" customWidth="1"/>
    <col min="10502" max="10502" width="14.90625" style="17" bestFit="1" customWidth="1"/>
    <col min="10503" max="10503" width="13" style="17" customWidth="1"/>
    <col min="10504" max="10504" width="14.1796875" style="17" customWidth="1"/>
    <col min="10505" max="10505" width="13" style="17" customWidth="1"/>
    <col min="10506" max="10506" width="8.81640625" style="17" customWidth="1"/>
    <col min="10507" max="10507" width="14.1796875" style="17" customWidth="1"/>
    <col min="10508" max="10508" width="13" style="17" customWidth="1"/>
    <col min="10509" max="10509" width="14.1796875" style="17" customWidth="1"/>
    <col min="10510" max="10510" width="13" style="17" customWidth="1"/>
    <col min="10511" max="10511" width="14.1796875" style="17" customWidth="1"/>
    <col min="10512" max="10512" width="13" style="17" customWidth="1"/>
    <col min="10513" max="10513" width="14.1796875" style="17" customWidth="1"/>
    <col min="10514" max="10518" width="13" style="17" customWidth="1"/>
    <col min="10519" max="10519" width="16.81640625" style="17" customWidth="1"/>
    <col min="10520" max="10520" width="14.1796875" style="17" customWidth="1"/>
    <col min="10521" max="10521" width="13" style="17" customWidth="1"/>
    <col min="10522" max="10522" width="14.1796875" style="17" customWidth="1"/>
    <col min="10523" max="10524" width="13.36328125" style="17" customWidth="1"/>
    <col min="10525" max="10525" width="15.6328125" style="17" customWidth="1"/>
    <col min="10526" max="10526" width="14.36328125" style="17" customWidth="1"/>
    <col min="10527" max="10527" width="16" style="17" bestFit="1" customWidth="1"/>
    <col min="10528" max="10528" width="14.1796875" style="17" customWidth="1"/>
    <col min="10529" max="10529" width="13" style="17" customWidth="1"/>
    <col min="10530" max="10530" width="14.1796875" style="17" customWidth="1"/>
    <col min="10531" max="10531" width="13.36328125" style="17" customWidth="1"/>
    <col min="10532" max="10532" width="13.81640625" style="17" bestFit="1" customWidth="1"/>
    <col min="10533" max="10533" width="14.1796875" style="17" bestFit="1" customWidth="1"/>
    <col min="10534" max="10534" width="13.81640625" style="17" bestFit="1" customWidth="1"/>
    <col min="10535" max="10690" width="9.1796875" style="17"/>
    <col min="10691" max="10691" width="3.81640625" style="17" bestFit="1" customWidth="1"/>
    <col min="10692" max="10692" width="39.54296875" style="17" customWidth="1"/>
    <col min="10693" max="10693" width="16" style="17" customWidth="1"/>
    <col min="10694" max="10694" width="13" style="17" customWidth="1"/>
    <col min="10695" max="10695" width="16" style="17" customWidth="1"/>
    <col min="10696" max="10696" width="13" style="17" customWidth="1"/>
    <col min="10697" max="10697" width="14.1796875" style="17" customWidth="1"/>
    <col min="10698" max="10698" width="13" style="17" customWidth="1"/>
    <col min="10699" max="10699" width="14.90625" style="17" customWidth="1"/>
    <col min="10700" max="10700" width="13" style="17" customWidth="1"/>
    <col min="10701" max="10701" width="15.54296875" style="17" customWidth="1"/>
    <col min="10702" max="10702" width="13" style="17" customWidth="1"/>
    <col min="10703" max="10703" width="14.1796875" style="17" customWidth="1"/>
    <col min="10704" max="10704" width="13" style="17" customWidth="1"/>
    <col min="10705" max="10705" width="14.1796875" style="17" customWidth="1"/>
    <col min="10706" max="10706" width="13" style="17" customWidth="1"/>
    <col min="10707" max="10707" width="14.90625" style="17" customWidth="1"/>
    <col min="10708" max="10708" width="13" style="17" customWidth="1"/>
    <col min="10709" max="10709" width="15.54296875" style="17" customWidth="1"/>
    <col min="10710" max="10710" width="13" style="17" customWidth="1"/>
    <col min="10711" max="10711" width="14.1796875" style="17" customWidth="1"/>
    <col min="10712" max="10712" width="13" style="17" customWidth="1"/>
    <col min="10713" max="10713" width="15.54296875" style="17" customWidth="1"/>
    <col min="10714" max="10714" width="15.81640625" style="17" customWidth="1"/>
    <col min="10715" max="10715" width="14.1796875" style="17" customWidth="1"/>
    <col min="10716" max="10716" width="15.81640625" style="17" customWidth="1"/>
    <col min="10717" max="10717" width="15.54296875" style="17" customWidth="1"/>
    <col min="10718" max="10718" width="13" style="17" customWidth="1"/>
    <col min="10719" max="10719" width="14.1796875" style="17" customWidth="1"/>
    <col min="10720" max="10720" width="15.81640625" style="17" customWidth="1"/>
    <col min="10721" max="10721" width="16.453125" style="17" customWidth="1"/>
    <col min="10722" max="10722" width="15.54296875" style="17" customWidth="1"/>
    <col min="10723" max="10723" width="13" style="17" customWidth="1"/>
    <col min="10724" max="10724" width="16" style="17" customWidth="1"/>
    <col min="10725" max="10725" width="13" style="17" customWidth="1"/>
    <col min="10726" max="10726" width="11.08984375" style="17" customWidth="1"/>
    <col min="10727" max="10727" width="15.54296875" style="17" customWidth="1"/>
    <col min="10728" max="10728" width="13" style="17" customWidth="1"/>
    <col min="10729" max="10729" width="14.1796875" style="17" customWidth="1"/>
    <col min="10730" max="10730" width="15.81640625" style="17" customWidth="1"/>
    <col min="10731" max="10731" width="15.54296875" style="17" customWidth="1"/>
    <col min="10732" max="10732" width="13" style="17" customWidth="1"/>
    <col min="10733" max="10733" width="14.1796875" style="17" customWidth="1"/>
    <col min="10734" max="10734" width="15.81640625" style="17" customWidth="1"/>
    <col min="10735" max="10735" width="15.54296875" style="17" customWidth="1"/>
    <col min="10736" max="10736" width="13" style="17" customWidth="1"/>
    <col min="10737" max="10737" width="14.1796875" style="17" customWidth="1"/>
    <col min="10738" max="10738" width="15.81640625" style="17" customWidth="1"/>
    <col min="10739" max="10739" width="9.1796875" style="17"/>
    <col min="10740" max="10740" width="15.54296875" style="17" customWidth="1"/>
    <col min="10741" max="10741" width="13" style="17" customWidth="1"/>
    <col min="10742" max="10742" width="14.1796875" style="17" customWidth="1"/>
    <col min="10743" max="10743" width="15.81640625" style="17" customWidth="1"/>
    <col min="10744" max="10744" width="9.1796875" style="17"/>
    <col min="10745" max="10745" width="16" style="17" customWidth="1"/>
    <col min="10746" max="10746" width="13" style="17" customWidth="1"/>
    <col min="10747" max="10747" width="14.1796875" style="17" customWidth="1"/>
    <col min="10748" max="10748" width="13" style="17" customWidth="1"/>
    <col min="10749" max="10749" width="14.1796875" style="17" customWidth="1"/>
    <col min="10750" max="10750" width="13" style="17" customWidth="1"/>
    <col min="10751" max="10751" width="14.1796875" style="17" customWidth="1"/>
    <col min="10752" max="10752" width="13" style="17" customWidth="1"/>
    <col min="10753" max="10753" width="14.1796875" style="17" customWidth="1"/>
    <col min="10754" max="10754" width="13" style="17" customWidth="1"/>
    <col min="10755" max="10755" width="14.1796875" style="17" customWidth="1"/>
    <col min="10756" max="10757" width="13" style="17" customWidth="1"/>
    <col min="10758" max="10758" width="14.90625" style="17" bestFit="1" customWidth="1"/>
    <col min="10759" max="10759" width="13" style="17" customWidth="1"/>
    <col min="10760" max="10760" width="14.1796875" style="17" customWidth="1"/>
    <col min="10761" max="10761" width="13" style="17" customWidth="1"/>
    <col min="10762" max="10762" width="8.81640625" style="17" customWidth="1"/>
    <col min="10763" max="10763" width="14.1796875" style="17" customWidth="1"/>
    <col min="10764" max="10764" width="13" style="17" customWidth="1"/>
    <col min="10765" max="10765" width="14.1796875" style="17" customWidth="1"/>
    <col min="10766" max="10766" width="13" style="17" customWidth="1"/>
    <col min="10767" max="10767" width="14.1796875" style="17" customWidth="1"/>
    <col min="10768" max="10768" width="13" style="17" customWidth="1"/>
    <col min="10769" max="10769" width="14.1796875" style="17" customWidth="1"/>
    <col min="10770" max="10774" width="13" style="17" customWidth="1"/>
    <col min="10775" max="10775" width="16.81640625" style="17" customWidth="1"/>
    <col min="10776" max="10776" width="14.1796875" style="17" customWidth="1"/>
    <col min="10777" max="10777" width="13" style="17" customWidth="1"/>
    <col min="10778" max="10778" width="14.1796875" style="17" customWidth="1"/>
    <col min="10779" max="10780" width="13.36328125" style="17" customWidth="1"/>
    <col min="10781" max="10781" width="15.6328125" style="17" customWidth="1"/>
    <col min="10782" max="10782" width="14.36328125" style="17" customWidth="1"/>
    <col min="10783" max="10783" width="16" style="17" bestFit="1" customWidth="1"/>
    <col min="10784" max="10784" width="14.1796875" style="17" customWidth="1"/>
    <col min="10785" max="10785" width="13" style="17" customWidth="1"/>
    <col min="10786" max="10786" width="14.1796875" style="17" customWidth="1"/>
    <col min="10787" max="10787" width="13.36328125" style="17" customWidth="1"/>
    <col min="10788" max="10788" width="13.81640625" style="17" bestFit="1" customWidth="1"/>
    <col min="10789" max="10789" width="14.1796875" style="17" bestFit="1" customWidth="1"/>
    <col min="10790" max="10790" width="13.81640625" style="17" bestFit="1" customWidth="1"/>
    <col min="10791" max="10946" width="9.1796875" style="17"/>
    <col min="10947" max="10947" width="3.81640625" style="17" bestFit="1" customWidth="1"/>
    <col min="10948" max="10948" width="39.54296875" style="17" customWidth="1"/>
    <col min="10949" max="10949" width="16" style="17" customWidth="1"/>
    <col min="10950" max="10950" width="13" style="17" customWidth="1"/>
    <col min="10951" max="10951" width="16" style="17" customWidth="1"/>
    <col min="10952" max="10952" width="13" style="17" customWidth="1"/>
    <col min="10953" max="10953" width="14.1796875" style="17" customWidth="1"/>
    <col min="10954" max="10954" width="13" style="17" customWidth="1"/>
    <col min="10955" max="10955" width="14.90625" style="17" customWidth="1"/>
    <col min="10956" max="10956" width="13" style="17" customWidth="1"/>
    <col min="10957" max="10957" width="15.54296875" style="17" customWidth="1"/>
    <col min="10958" max="10958" width="13" style="17" customWidth="1"/>
    <col min="10959" max="10959" width="14.1796875" style="17" customWidth="1"/>
    <col min="10960" max="10960" width="13" style="17" customWidth="1"/>
    <col min="10961" max="10961" width="14.1796875" style="17" customWidth="1"/>
    <col min="10962" max="10962" width="13" style="17" customWidth="1"/>
    <col min="10963" max="10963" width="14.90625" style="17" customWidth="1"/>
    <col min="10964" max="10964" width="13" style="17" customWidth="1"/>
    <col min="10965" max="10965" width="15.54296875" style="17" customWidth="1"/>
    <col min="10966" max="10966" width="13" style="17" customWidth="1"/>
    <col min="10967" max="10967" width="14.1796875" style="17" customWidth="1"/>
    <col min="10968" max="10968" width="13" style="17" customWidth="1"/>
    <col min="10969" max="10969" width="15.54296875" style="17" customWidth="1"/>
    <col min="10970" max="10970" width="15.81640625" style="17" customWidth="1"/>
    <col min="10971" max="10971" width="14.1796875" style="17" customWidth="1"/>
    <col min="10972" max="10972" width="15.81640625" style="17" customWidth="1"/>
    <col min="10973" max="10973" width="15.54296875" style="17" customWidth="1"/>
    <col min="10974" max="10974" width="13" style="17" customWidth="1"/>
    <col min="10975" max="10975" width="14.1796875" style="17" customWidth="1"/>
    <col min="10976" max="10976" width="15.81640625" style="17" customWidth="1"/>
    <col min="10977" max="10977" width="16.453125" style="17" customWidth="1"/>
    <col min="10978" max="10978" width="15.54296875" style="17" customWidth="1"/>
    <col min="10979" max="10979" width="13" style="17" customWidth="1"/>
    <col min="10980" max="10980" width="16" style="17" customWidth="1"/>
    <col min="10981" max="10981" width="13" style="17" customWidth="1"/>
    <col min="10982" max="10982" width="11.08984375" style="17" customWidth="1"/>
    <col min="10983" max="10983" width="15.54296875" style="17" customWidth="1"/>
    <col min="10984" max="10984" width="13" style="17" customWidth="1"/>
    <col min="10985" max="10985" width="14.1796875" style="17" customWidth="1"/>
    <col min="10986" max="10986" width="15.81640625" style="17" customWidth="1"/>
    <col min="10987" max="10987" width="15.54296875" style="17" customWidth="1"/>
    <col min="10988" max="10988" width="13" style="17" customWidth="1"/>
    <col min="10989" max="10989" width="14.1796875" style="17" customWidth="1"/>
    <col min="10990" max="10990" width="15.81640625" style="17" customWidth="1"/>
    <col min="10991" max="10991" width="15.54296875" style="17" customWidth="1"/>
    <col min="10992" max="10992" width="13" style="17" customWidth="1"/>
    <col min="10993" max="10993" width="14.1796875" style="17" customWidth="1"/>
    <col min="10994" max="10994" width="15.81640625" style="17" customWidth="1"/>
    <col min="10995" max="10995" width="9.1796875" style="17"/>
    <col min="10996" max="10996" width="15.54296875" style="17" customWidth="1"/>
    <col min="10997" max="10997" width="13" style="17" customWidth="1"/>
    <col min="10998" max="10998" width="14.1796875" style="17" customWidth="1"/>
    <col min="10999" max="10999" width="15.81640625" style="17" customWidth="1"/>
    <col min="11000" max="11000" width="9.1796875" style="17"/>
    <col min="11001" max="11001" width="16" style="17" customWidth="1"/>
    <col min="11002" max="11002" width="13" style="17" customWidth="1"/>
    <col min="11003" max="11003" width="14.1796875" style="17" customWidth="1"/>
    <col min="11004" max="11004" width="13" style="17" customWidth="1"/>
    <col min="11005" max="11005" width="14.1796875" style="17" customWidth="1"/>
    <col min="11006" max="11006" width="13" style="17" customWidth="1"/>
    <col min="11007" max="11007" width="14.1796875" style="17" customWidth="1"/>
    <col min="11008" max="11008" width="13" style="17" customWidth="1"/>
    <col min="11009" max="11009" width="14.1796875" style="17" customWidth="1"/>
    <col min="11010" max="11010" width="13" style="17" customWidth="1"/>
    <col min="11011" max="11011" width="14.1796875" style="17" customWidth="1"/>
    <col min="11012" max="11013" width="13" style="17" customWidth="1"/>
    <col min="11014" max="11014" width="14.90625" style="17" bestFit="1" customWidth="1"/>
    <col min="11015" max="11015" width="13" style="17" customWidth="1"/>
    <col min="11016" max="11016" width="14.1796875" style="17" customWidth="1"/>
    <col min="11017" max="11017" width="13" style="17" customWidth="1"/>
    <col min="11018" max="11018" width="8.81640625" style="17" customWidth="1"/>
    <col min="11019" max="11019" width="14.1796875" style="17" customWidth="1"/>
    <col min="11020" max="11020" width="13" style="17" customWidth="1"/>
    <col min="11021" max="11021" width="14.1796875" style="17" customWidth="1"/>
    <col min="11022" max="11022" width="13" style="17" customWidth="1"/>
    <col min="11023" max="11023" width="14.1796875" style="17" customWidth="1"/>
    <col min="11024" max="11024" width="13" style="17" customWidth="1"/>
    <col min="11025" max="11025" width="14.1796875" style="17" customWidth="1"/>
    <col min="11026" max="11030" width="13" style="17" customWidth="1"/>
    <col min="11031" max="11031" width="16.81640625" style="17" customWidth="1"/>
    <col min="11032" max="11032" width="14.1796875" style="17" customWidth="1"/>
    <col min="11033" max="11033" width="13" style="17" customWidth="1"/>
    <col min="11034" max="11034" width="14.1796875" style="17" customWidth="1"/>
    <col min="11035" max="11036" width="13.36328125" style="17" customWidth="1"/>
    <col min="11037" max="11037" width="15.6328125" style="17" customWidth="1"/>
    <col min="11038" max="11038" width="14.36328125" style="17" customWidth="1"/>
    <col min="11039" max="11039" width="16" style="17" bestFit="1" customWidth="1"/>
    <col min="11040" max="11040" width="14.1796875" style="17" customWidth="1"/>
    <col min="11041" max="11041" width="13" style="17" customWidth="1"/>
    <col min="11042" max="11042" width="14.1796875" style="17" customWidth="1"/>
    <col min="11043" max="11043" width="13.36328125" style="17" customWidth="1"/>
    <col min="11044" max="11044" width="13.81640625" style="17" bestFit="1" customWidth="1"/>
    <col min="11045" max="11045" width="14.1796875" style="17" bestFit="1" customWidth="1"/>
    <col min="11046" max="11046" width="13.81640625" style="17" bestFit="1" customWidth="1"/>
    <col min="11047" max="11202" width="9.1796875" style="17"/>
    <col min="11203" max="11203" width="3.81640625" style="17" bestFit="1" customWidth="1"/>
    <col min="11204" max="11204" width="39.54296875" style="17" customWidth="1"/>
    <col min="11205" max="11205" width="16" style="17" customWidth="1"/>
    <col min="11206" max="11206" width="13" style="17" customWidth="1"/>
    <col min="11207" max="11207" width="16" style="17" customWidth="1"/>
    <col min="11208" max="11208" width="13" style="17" customWidth="1"/>
    <col min="11209" max="11209" width="14.1796875" style="17" customWidth="1"/>
    <col min="11210" max="11210" width="13" style="17" customWidth="1"/>
    <col min="11211" max="11211" width="14.90625" style="17" customWidth="1"/>
    <col min="11212" max="11212" width="13" style="17" customWidth="1"/>
    <col min="11213" max="11213" width="15.54296875" style="17" customWidth="1"/>
    <col min="11214" max="11214" width="13" style="17" customWidth="1"/>
    <col min="11215" max="11215" width="14.1796875" style="17" customWidth="1"/>
    <col min="11216" max="11216" width="13" style="17" customWidth="1"/>
    <col min="11217" max="11217" width="14.1796875" style="17" customWidth="1"/>
    <col min="11218" max="11218" width="13" style="17" customWidth="1"/>
    <col min="11219" max="11219" width="14.90625" style="17" customWidth="1"/>
    <col min="11220" max="11220" width="13" style="17" customWidth="1"/>
    <col min="11221" max="11221" width="15.54296875" style="17" customWidth="1"/>
    <col min="11222" max="11222" width="13" style="17" customWidth="1"/>
    <col min="11223" max="11223" width="14.1796875" style="17" customWidth="1"/>
    <col min="11224" max="11224" width="13" style="17" customWidth="1"/>
    <col min="11225" max="11225" width="15.54296875" style="17" customWidth="1"/>
    <col min="11226" max="11226" width="15.81640625" style="17" customWidth="1"/>
    <col min="11227" max="11227" width="14.1796875" style="17" customWidth="1"/>
    <col min="11228" max="11228" width="15.81640625" style="17" customWidth="1"/>
    <col min="11229" max="11229" width="15.54296875" style="17" customWidth="1"/>
    <col min="11230" max="11230" width="13" style="17" customWidth="1"/>
    <col min="11231" max="11231" width="14.1796875" style="17" customWidth="1"/>
    <col min="11232" max="11232" width="15.81640625" style="17" customWidth="1"/>
    <col min="11233" max="11233" width="16.453125" style="17" customWidth="1"/>
    <col min="11234" max="11234" width="15.54296875" style="17" customWidth="1"/>
    <col min="11235" max="11235" width="13" style="17" customWidth="1"/>
    <col min="11236" max="11236" width="16" style="17" customWidth="1"/>
    <col min="11237" max="11237" width="13" style="17" customWidth="1"/>
    <col min="11238" max="11238" width="11.08984375" style="17" customWidth="1"/>
    <col min="11239" max="11239" width="15.54296875" style="17" customWidth="1"/>
    <col min="11240" max="11240" width="13" style="17" customWidth="1"/>
    <col min="11241" max="11241" width="14.1796875" style="17" customWidth="1"/>
    <col min="11242" max="11242" width="15.81640625" style="17" customWidth="1"/>
    <col min="11243" max="11243" width="15.54296875" style="17" customWidth="1"/>
    <col min="11244" max="11244" width="13" style="17" customWidth="1"/>
    <col min="11245" max="11245" width="14.1796875" style="17" customWidth="1"/>
    <col min="11246" max="11246" width="15.81640625" style="17" customWidth="1"/>
    <col min="11247" max="11247" width="15.54296875" style="17" customWidth="1"/>
    <col min="11248" max="11248" width="13" style="17" customWidth="1"/>
    <col min="11249" max="11249" width="14.1796875" style="17" customWidth="1"/>
    <col min="11250" max="11250" width="15.81640625" style="17" customWidth="1"/>
    <col min="11251" max="11251" width="9.1796875" style="17"/>
    <col min="11252" max="11252" width="15.54296875" style="17" customWidth="1"/>
    <col min="11253" max="11253" width="13" style="17" customWidth="1"/>
    <col min="11254" max="11254" width="14.1796875" style="17" customWidth="1"/>
    <col min="11255" max="11255" width="15.81640625" style="17" customWidth="1"/>
    <col min="11256" max="11256" width="9.1796875" style="17"/>
    <col min="11257" max="11257" width="16" style="17" customWidth="1"/>
    <col min="11258" max="11258" width="13" style="17" customWidth="1"/>
    <col min="11259" max="11259" width="14.1796875" style="17" customWidth="1"/>
    <col min="11260" max="11260" width="13" style="17" customWidth="1"/>
    <col min="11261" max="11261" width="14.1796875" style="17" customWidth="1"/>
    <col min="11262" max="11262" width="13" style="17" customWidth="1"/>
    <col min="11263" max="11263" width="14.1796875" style="17" customWidth="1"/>
    <col min="11264" max="11264" width="13" style="17" customWidth="1"/>
    <col min="11265" max="11265" width="14.1796875" style="17" customWidth="1"/>
    <col min="11266" max="11266" width="13" style="17" customWidth="1"/>
    <col min="11267" max="11267" width="14.1796875" style="17" customWidth="1"/>
    <col min="11268" max="11269" width="13" style="17" customWidth="1"/>
    <col min="11270" max="11270" width="14.90625" style="17" bestFit="1" customWidth="1"/>
    <col min="11271" max="11271" width="13" style="17" customWidth="1"/>
    <col min="11272" max="11272" width="14.1796875" style="17" customWidth="1"/>
    <col min="11273" max="11273" width="13" style="17" customWidth="1"/>
    <col min="11274" max="11274" width="8.81640625" style="17" customWidth="1"/>
    <col min="11275" max="11275" width="14.1796875" style="17" customWidth="1"/>
    <col min="11276" max="11276" width="13" style="17" customWidth="1"/>
    <col min="11277" max="11277" width="14.1796875" style="17" customWidth="1"/>
    <col min="11278" max="11278" width="13" style="17" customWidth="1"/>
    <col min="11279" max="11279" width="14.1796875" style="17" customWidth="1"/>
    <col min="11280" max="11280" width="13" style="17" customWidth="1"/>
    <col min="11281" max="11281" width="14.1796875" style="17" customWidth="1"/>
    <col min="11282" max="11286" width="13" style="17" customWidth="1"/>
    <col min="11287" max="11287" width="16.81640625" style="17" customWidth="1"/>
    <col min="11288" max="11288" width="14.1796875" style="17" customWidth="1"/>
    <col min="11289" max="11289" width="13" style="17" customWidth="1"/>
    <col min="11290" max="11290" width="14.1796875" style="17" customWidth="1"/>
    <col min="11291" max="11292" width="13.36328125" style="17" customWidth="1"/>
    <col min="11293" max="11293" width="15.6328125" style="17" customWidth="1"/>
    <col min="11294" max="11294" width="14.36328125" style="17" customWidth="1"/>
    <col min="11295" max="11295" width="16" style="17" bestFit="1" customWidth="1"/>
    <col min="11296" max="11296" width="14.1796875" style="17" customWidth="1"/>
    <col min="11297" max="11297" width="13" style="17" customWidth="1"/>
    <col min="11298" max="11298" width="14.1796875" style="17" customWidth="1"/>
    <col min="11299" max="11299" width="13.36328125" style="17" customWidth="1"/>
    <col min="11300" max="11300" width="13.81640625" style="17" bestFit="1" customWidth="1"/>
    <col min="11301" max="11301" width="14.1796875" style="17" bestFit="1" customWidth="1"/>
    <col min="11302" max="11302" width="13.81640625" style="17" bestFit="1" customWidth="1"/>
    <col min="11303" max="11458" width="9.1796875" style="17"/>
    <col min="11459" max="11459" width="3.81640625" style="17" bestFit="1" customWidth="1"/>
    <col min="11460" max="11460" width="39.54296875" style="17" customWidth="1"/>
    <col min="11461" max="11461" width="16" style="17" customWidth="1"/>
    <col min="11462" max="11462" width="13" style="17" customWidth="1"/>
    <col min="11463" max="11463" width="16" style="17" customWidth="1"/>
    <col min="11464" max="11464" width="13" style="17" customWidth="1"/>
    <col min="11465" max="11465" width="14.1796875" style="17" customWidth="1"/>
    <col min="11466" max="11466" width="13" style="17" customWidth="1"/>
    <col min="11467" max="11467" width="14.90625" style="17" customWidth="1"/>
    <col min="11468" max="11468" width="13" style="17" customWidth="1"/>
    <col min="11469" max="11469" width="15.54296875" style="17" customWidth="1"/>
    <col min="11470" max="11470" width="13" style="17" customWidth="1"/>
    <col min="11471" max="11471" width="14.1796875" style="17" customWidth="1"/>
    <col min="11472" max="11472" width="13" style="17" customWidth="1"/>
    <col min="11473" max="11473" width="14.1796875" style="17" customWidth="1"/>
    <col min="11474" max="11474" width="13" style="17" customWidth="1"/>
    <col min="11475" max="11475" width="14.90625" style="17" customWidth="1"/>
    <col min="11476" max="11476" width="13" style="17" customWidth="1"/>
    <col min="11477" max="11477" width="15.54296875" style="17" customWidth="1"/>
    <col min="11478" max="11478" width="13" style="17" customWidth="1"/>
    <col min="11479" max="11479" width="14.1796875" style="17" customWidth="1"/>
    <col min="11480" max="11480" width="13" style="17" customWidth="1"/>
    <col min="11481" max="11481" width="15.54296875" style="17" customWidth="1"/>
    <col min="11482" max="11482" width="15.81640625" style="17" customWidth="1"/>
    <col min="11483" max="11483" width="14.1796875" style="17" customWidth="1"/>
    <col min="11484" max="11484" width="15.81640625" style="17" customWidth="1"/>
    <col min="11485" max="11485" width="15.54296875" style="17" customWidth="1"/>
    <col min="11486" max="11486" width="13" style="17" customWidth="1"/>
    <col min="11487" max="11487" width="14.1796875" style="17" customWidth="1"/>
    <col min="11488" max="11488" width="15.81640625" style="17" customWidth="1"/>
    <col min="11489" max="11489" width="16.453125" style="17" customWidth="1"/>
    <col min="11490" max="11490" width="15.54296875" style="17" customWidth="1"/>
    <col min="11491" max="11491" width="13" style="17" customWidth="1"/>
    <col min="11492" max="11492" width="16" style="17" customWidth="1"/>
    <col min="11493" max="11493" width="13" style="17" customWidth="1"/>
    <col min="11494" max="11494" width="11.08984375" style="17" customWidth="1"/>
    <col min="11495" max="11495" width="15.54296875" style="17" customWidth="1"/>
    <col min="11496" max="11496" width="13" style="17" customWidth="1"/>
    <col min="11497" max="11497" width="14.1796875" style="17" customWidth="1"/>
    <col min="11498" max="11498" width="15.81640625" style="17" customWidth="1"/>
    <col min="11499" max="11499" width="15.54296875" style="17" customWidth="1"/>
    <col min="11500" max="11500" width="13" style="17" customWidth="1"/>
    <col min="11501" max="11501" width="14.1796875" style="17" customWidth="1"/>
    <col min="11502" max="11502" width="15.81640625" style="17" customWidth="1"/>
    <col min="11503" max="11503" width="15.54296875" style="17" customWidth="1"/>
    <col min="11504" max="11504" width="13" style="17" customWidth="1"/>
    <col min="11505" max="11505" width="14.1796875" style="17" customWidth="1"/>
    <col min="11506" max="11506" width="15.81640625" style="17" customWidth="1"/>
    <col min="11507" max="11507" width="9.1796875" style="17"/>
    <col min="11508" max="11508" width="15.54296875" style="17" customWidth="1"/>
    <col min="11509" max="11509" width="13" style="17" customWidth="1"/>
    <col min="11510" max="11510" width="14.1796875" style="17" customWidth="1"/>
    <col min="11511" max="11511" width="15.81640625" style="17" customWidth="1"/>
    <col min="11512" max="11512" width="9.1796875" style="17"/>
    <col min="11513" max="11513" width="16" style="17" customWidth="1"/>
    <col min="11514" max="11514" width="13" style="17" customWidth="1"/>
    <col min="11515" max="11515" width="14.1796875" style="17" customWidth="1"/>
    <col min="11516" max="11516" width="13" style="17" customWidth="1"/>
    <col min="11517" max="11517" width="14.1796875" style="17" customWidth="1"/>
    <col min="11518" max="11518" width="13" style="17" customWidth="1"/>
    <col min="11519" max="11519" width="14.1796875" style="17" customWidth="1"/>
    <col min="11520" max="11520" width="13" style="17" customWidth="1"/>
    <col min="11521" max="11521" width="14.1796875" style="17" customWidth="1"/>
    <col min="11522" max="11522" width="13" style="17" customWidth="1"/>
    <col min="11523" max="11523" width="14.1796875" style="17" customWidth="1"/>
    <col min="11524" max="11525" width="13" style="17" customWidth="1"/>
    <col min="11526" max="11526" width="14.90625" style="17" bestFit="1" customWidth="1"/>
    <col min="11527" max="11527" width="13" style="17" customWidth="1"/>
    <col min="11528" max="11528" width="14.1796875" style="17" customWidth="1"/>
    <col min="11529" max="11529" width="13" style="17" customWidth="1"/>
    <col min="11530" max="11530" width="8.81640625" style="17" customWidth="1"/>
    <col min="11531" max="11531" width="14.1796875" style="17" customWidth="1"/>
    <col min="11532" max="11532" width="13" style="17" customWidth="1"/>
    <col min="11533" max="11533" width="14.1796875" style="17" customWidth="1"/>
    <col min="11534" max="11534" width="13" style="17" customWidth="1"/>
    <col min="11535" max="11535" width="14.1796875" style="17" customWidth="1"/>
    <col min="11536" max="11536" width="13" style="17" customWidth="1"/>
    <col min="11537" max="11537" width="14.1796875" style="17" customWidth="1"/>
    <col min="11538" max="11542" width="13" style="17" customWidth="1"/>
    <col min="11543" max="11543" width="16.81640625" style="17" customWidth="1"/>
    <col min="11544" max="11544" width="14.1796875" style="17" customWidth="1"/>
    <col min="11545" max="11545" width="13" style="17" customWidth="1"/>
    <col min="11546" max="11546" width="14.1796875" style="17" customWidth="1"/>
    <col min="11547" max="11548" width="13.36328125" style="17" customWidth="1"/>
    <col min="11549" max="11549" width="15.6328125" style="17" customWidth="1"/>
    <col min="11550" max="11550" width="14.36328125" style="17" customWidth="1"/>
    <col min="11551" max="11551" width="16" style="17" bestFit="1" customWidth="1"/>
    <col min="11552" max="11552" width="14.1796875" style="17" customWidth="1"/>
    <col min="11553" max="11553" width="13" style="17" customWidth="1"/>
    <col min="11554" max="11554" width="14.1796875" style="17" customWidth="1"/>
    <col min="11555" max="11555" width="13.36328125" style="17" customWidth="1"/>
    <col min="11556" max="11556" width="13.81640625" style="17" bestFit="1" customWidth="1"/>
    <col min="11557" max="11557" width="14.1796875" style="17" bestFit="1" customWidth="1"/>
    <col min="11558" max="11558" width="13.81640625" style="17" bestFit="1" customWidth="1"/>
    <col min="11559" max="11714" width="9.1796875" style="17"/>
    <col min="11715" max="11715" width="3.81640625" style="17" bestFit="1" customWidth="1"/>
    <col min="11716" max="11716" width="39.54296875" style="17" customWidth="1"/>
    <col min="11717" max="11717" width="16" style="17" customWidth="1"/>
    <col min="11718" max="11718" width="13" style="17" customWidth="1"/>
    <col min="11719" max="11719" width="16" style="17" customWidth="1"/>
    <col min="11720" max="11720" width="13" style="17" customWidth="1"/>
    <col min="11721" max="11721" width="14.1796875" style="17" customWidth="1"/>
    <col min="11722" max="11722" width="13" style="17" customWidth="1"/>
    <col min="11723" max="11723" width="14.90625" style="17" customWidth="1"/>
    <col min="11724" max="11724" width="13" style="17" customWidth="1"/>
    <col min="11725" max="11725" width="15.54296875" style="17" customWidth="1"/>
    <col min="11726" max="11726" width="13" style="17" customWidth="1"/>
    <col min="11727" max="11727" width="14.1796875" style="17" customWidth="1"/>
    <col min="11728" max="11728" width="13" style="17" customWidth="1"/>
    <col min="11729" max="11729" width="14.1796875" style="17" customWidth="1"/>
    <col min="11730" max="11730" width="13" style="17" customWidth="1"/>
    <col min="11731" max="11731" width="14.90625" style="17" customWidth="1"/>
    <col min="11732" max="11732" width="13" style="17" customWidth="1"/>
    <col min="11733" max="11733" width="15.54296875" style="17" customWidth="1"/>
    <col min="11734" max="11734" width="13" style="17" customWidth="1"/>
    <col min="11735" max="11735" width="14.1796875" style="17" customWidth="1"/>
    <col min="11736" max="11736" width="13" style="17" customWidth="1"/>
    <col min="11737" max="11737" width="15.54296875" style="17" customWidth="1"/>
    <col min="11738" max="11738" width="15.81640625" style="17" customWidth="1"/>
    <col min="11739" max="11739" width="14.1796875" style="17" customWidth="1"/>
    <col min="11740" max="11740" width="15.81640625" style="17" customWidth="1"/>
    <col min="11741" max="11741" width="15.54296875" style="17" customWidth="1"/>
    <col min="11742" max="11742" width="13" style="17" customWidth="1"/>
    <col min="11743" max="11743" width="14.1796875" style="17" customWidth="1"/>
    <col min="11744" max="11744" width="15.81640625" style="17" customWidth="1"/>
    <col min="11745" max="11745" width="16.453125" style="17" customWidth="1"/>
    <col min="11746" max="11746" width="15.54296875" style="17" customWidth="1"/>
    <col min="11747" max="11747" width="13" style="17" customWidth="1"/>
    <col min="11748" max="11748" width="16" style="17" customWidth="1"/>
    <col min="11749" max="11749" width="13" style="17" customWidth="1"/>
    <col min="11750" max="11750" width="11.08984375" style="17" customWidth="1"/>
    <col min="11751" max="11751" width="15.54296875" style="17" customWidth="1"/>
    <col min="11752" max="11752" width="13" style="17" customWidth="1"/>
    <col min="11753" max="11753" width="14.1796875" style="17" customWidth="1"/>
    <col min="11754" max="11754" width="15.81640625" style="17" customWidth="1"/>
    <col min="11755" max="11755" width="15.54296875" style="17" customWidth="1"/>
    <col min="11756" max="11756" width="13" style="17" customWidth="1"/>
    <col min="11757" max="11757" width="14.1796875" style="17" customWidth="1"/>
    <col min="11758" max="11758" width="15.81640625" style="17" customWidth="1"/>
    <col min="11759" max="11759" width="15.54296875" style="17" customWidth="1"/>
    <col min="11760" max="11760" width="13" style="17" customWidth="1"/>
    <col min="11761" max="11761" width="14.1796875" style="17" customWidth="1"/>
    <col min="11762" max="11762" width="15.81640625" style="17" customWidth="1"/>
    <col min="11763" max="11763" width="9.1796875" style="17"/>
    <col min="11764" max="11764" width="15.54296875" style="17" customWidth="1"/>
    <col min="11765" max="11765" width="13" style="17" customWidth="1"/>
    <col min="11766" max="11766" width="14.1796875" style="17" customWidth="1"/>
    <col min="11767" max="11767" width="15.81640625" style="17" customWidth="1"/>
    <col min="11768" max="11768" width="9.1796875" style="17"/>
    <col min="11769" max="11769" width="16" style="17" customWidth="1"/>
    <col min="11770" max="11770" width="13" style="17" customWidth="1"/>
    <col min="11771" max="11771" width="14.1796875" style="17" customWidth="1"/>
    <col min="11772" max="11772" width="13" style="17" customWidth="1"/>
    <col min="11773" max="11773" width="14.1796875" style="17" customWidth="1"/>
    <col min="11774" max="11774" width="13" style="17" customWidth="1"/>
    <col min="11775" max="11775" width="14.1796875" style="17" customWidth="1"/>
    <col min="11776" max="11776" width="13" style="17" customWidth="1"/>
    <col min="11777" max="11777" width="14.1796875" style="17" customWidth="1"/>
    <col min="11778" max="11778" width="13" style="17" customWidth="1"/>
    <col min="11779" max="11779" width="14.1796875" style="17" customWidth="1"/>
    <col min="11780" max="11781" width="13" style="17" customWidth="1"/>
    <col min="11782" max="11782" width="14.90625" style="17" bestFit="1" customWidth="1"/>
    <col min="11783" max="11783" width="13" style="17" customWidth="1"/>
    <col min="11784" max="11784" width="14.1796875" style="17" customWidth="1"/>
    <col min="11785" max="11785" width="13" style="17" customWidth="1"/>
    <col min="11786" max="11786" width="8.81640625" style="17" customWidth="1"/>
    <col min="11787" max="11787" width="14.1796875" style="17" customWidth="1"/>
    <col min="11788" max="11788" width="13" style="17" customWidth="1"/>
    <col min="11789" max="11789" width="14.1796875" style="17" customWidth="1"/>
    <col min="11790" max="11790" width="13" style="17" customWidth="1"/>
    <col min="11791" max="11791" width="14.1796875" style="17" customWidth="1"/>
    <col min="11792" max="11792" width="13" style="17" customWidth="1"/>
    <col min="11793" max="11793" width="14.1796875" style="17" customWidth="1"/>
    <col min="11794" max="11798" width="13" style="17" customWidth="1"/>
    <col min="11799" max="11799" width="16.81640625" style="17" customWidth="1"/>
    <col min="11800" max="11800" width="14.1796875" style="17" customWidth="1"/>
    <col min="11801" max="11801" width="13" style="17" customWidth="1"/>
    <col min="11802" max="11802" width="14.1796875" style="17" customWidth="1"/>
    <col min="11803" max="11804" width="13.36328125" style="17" customWidth="1"/>
    <col min="11805" max="11805" width="15.6328125" style="17" customWidth="1"/>
    <col min="11806" max="11806" width="14.36328125" style="17" customWidth="1"/>
    <col min="11807" max="11807" width="16" style="17" bestFit="1" customWidth="1"/>
    <col min="11808" max="11808" width="14.1796875" style="17" customWidth="1"/>
    <col min="11809" max="11809" width="13" style="17" customWidth="1"/>
    <col min="11810" max="11810" width="14.1796875" style="17" customWidth="1"/>
    <col min="11811" max="11811" width="13.36328125" style="17" customWidth="1"/>
    <col min="11812" max="11812" width="13.81640625" style="17" bestFit="1" customWidth="1"/>
    <col min="11813" max="11813" width="14.1796875" style="17" bestFit="1" customWidth="1"/>
    <col min="11814" max="11814" width="13.81640625" style="17" bestFit="1" customWidth="1"/>
    <col min="11815" max="11970" width="9.1796875" style="17"/>
    <col min="11971" max="11971" width="3.81640625" style="17" bestFit="1" customWidth="1"/>
    <col min="11972" max="11972" width="39.54296875" style="17" customWidth="1"/>
    <col min="11973" max="11973" width="16" style="17" customWidth="1"/>
    <col min="11974" max="11974" width="13" style="17" customWidth="1"/>
    <col min="11975" max="11975" width="16" style="17" customWidth="1"/>
    <col min="11976" max="11976" width="13" style="17" customWidth="1"/>
    <col min="11977" max="11977" width="14.1796875" style="17" customWidth="1"/>
    <col min="11978" max="11978" width="13" style="17" customWidth="1"/>
    <col min="11979" max="11979" width="14.90625" style="17" customWidth="1"/>
    <col min="11980" max="11980" width="13" style="17" customWidth="1"/>
    <col min="11981" max="11981" width="15.54296875" style="17" customWidth="1"/>
    <col min="11982" max="11982" width="13" style="17" customWidth="1"/>
    <col min="11983" max="11983" width="14.1796875" style="17" customWidth="1"/>
    <col min="11984" max="11984" width="13" style="17" customWidth="1"/>
    <col min="11985" max="11985" width="14.1796875" style="17" customWidth="1"/>
    <col min="11986" max="11986" width="13" style="17" customWidth="1"/>
    <col min="11987" max="11987" width="14.90625" style="17" customWidth="1"/>
    <col min="11988" max="11988" width="13" style="17" customWidth="1"/>
    <col min="11989" max="11989" width="15.54296875" style="17" customWidth="1"/>
    <col min="11990" max="11990" width="13" style="17" customWidth="1"/>
    <col min="11991" max="11991" width="14.1796875" style="17" customWidth="1"/>
    <col min="11992" max="11992" width="13" style="17" customWidth="1"/>
    <col min="11993" max="11993" width="15.54296875" style="17" customWidth="1"/>
    <col min="11994" max="11994" width="15.81640625" style="17" customWidth="1"/>
    <col min="11995" max="11995" width="14.1796875" style="17" customWidth="1"/>
    <col min="11996" max="11996" width="15.81640625" style="17" customWidth="1"/>
    <col min="11997" max="11997" width="15.54296875" style="17" customWidth="1"/>
    <col min="11998" max="11998" width="13" style="17" customWidth="1"/>
    <col min="11999" max="11999" width="14.1796875" style="17" customWidth="1"/>
    <col min="12000" max="12000" width="15.81640625" style="17" customWidth="1"/>
    <col min="12001" max="12001" width="16.453125" style="17" customWidth="1"/>
    <col min="12002" max="12002" width="15.54296875" style="17" customWidth="1"/>
    <col min="12003" max="12003" width="13" style="17" customWidth="1"/>
    <col min="12004" max="12004" width="16" style="17" customWidth="1"/>
    <col min="12005" max="12005" width="13" style="17" customWidth="1"/>
    <col min="12006" max="12006" width="11.08984375" style="17" customWidth="1"/>
    <col min="12007" max="12007" width="15.54296875" style="17" customWidth="1"/>
    <col min="12008" max="12008" width="13" style="17" customWidth="1"/>
    <col min="12009" max="12009" width="14.1796875" style="17" customWidth="1"/>
    <col min="12010" max="12010" width="15.81640625" style="17" customWidth="1"/>
    <col min="12011" max="12011" width="15.54296875" style="17" customWidth="1"/>
    <col min="12012" max="12012" width="13" style="17" customWidth="1"/>
    <col min="12013" max="12013" width="14.1796875" style="17" customWidth="1"/>
    <col min="12014" max="12014" width="15.81640625" style="17" customWidth="1"/>
    <col min="12015" max="12015" width="15.54296875" style="17" customWidth="1"/>
    <col min="12016" max="12016" width="13" style="17" customWidth="1"/>
    <col min="12017" max="12017" width="14.1796875" style="17" customWidth="1"/>
    <col min="12018" max="12018" width="15.81640625" style="17" customWidth="1"/>
    <col min="12019" max="12019" width="9.1796875" style="17"/>
    <col min="12020" max="12020" width="15.54296875" style="17" customWidth="1"/>
    <col min="12021" max="12021" width="13" style="17" customWidth="1"/>
    <col min="12022" max="12022" width="14.1796875" style="17" customWidth="1"/>
    <col min="12023" max="12023" width="15.81640625" style="17" customWidth="1"/>
    <col min="12024" max="12024" width="9.1796875" style="17"/>
    <col min="12025" max="12025" width="16" style="17" customWidth="1"/>
    <col min="12026" max="12026" width="13" style="17" customWidth="1"/>
    <col min="12027" max="12027" width="14.1796875" style="17" customWidth="1"/>
    <col min="12028" max="12028" width="13" style="17" customWidth="1"/>
    <col min="12029" max="12029" width="14.1796875" style="17" customWidth="1"/>
    <col min="12030" max="12030" width="13" style="17" customWidth="1"/>
    <col min="12031" max="12031" width="14.1796875" style="17" customWidth="1"/>
    <col min="12032" max="12032" width="13" style="17" customWidth="1"/>
    <col min="12033" max="12033" width="14.1796875" style="17" customWidth="1"/>
    <col min="12034" max="12034" width="13" style="17" customWidth="1"/>
    <col min="12035" max="12035" width="14.1796875" style="17" customWidth="1"/>
    <col min="12036" max="12037" width="13" style="17" customWidth="1"/>
    <col min="12038" max="12038" width="14.90625" style="17" bestFit="1" customWidth="1"/>
    <col min="12039" max="12039" width="13" style="17" customWidth="1"/>
    <col min="12040" max="12040" width="14.1796875" style="17" customWidth="1"/>
    <col min="12041" max="12041" width="13" style="17" customWidth="1"/>
    <col min="12042" max="12042" width="8.81640625" style="17" customWidth="1"/>
    <col min="12043" max="12043" width="14.1796875" style="17" customWidth="1"/>
    <col min="12044" max="12044" width="13" style="17" customWidth="1"/>
    <col min="12045" max="12045" width="14.1796875" style="17" customWidth="1"/>
    <col min="12046" max="12046" width="13" style="17" customWidth="1"/>
    <col min="12047" max="12047" width="14.1796875" style="17" customWidth="1"/>
    <col min="12048" max="12048" width="13" style="17" customWidth="1"/>
    <col min="12049" max="12049" width="14.1796875" style="17" customWidth="1"/>
    <col min="12050" max="12054" width="13" style="17" customWidth="1"/>
    <col min="12055" max="12055" width="16.81640625" style="17" customWidth="1"/>
    <col min="12056" max="12056" width="14.1796875" style="17" customWidth="1"/>
    <col min="12057" max="12057" width="13" style="17" customWidth="1"/>
    <col min="12058" max="12058" width="14.1796875" style="17" customWidth="1"/>
    <col min="12059" max="12060" width="13.36328125" style="17" customWidth="1"/>
    <col min="12061" max="12061" width="15.6328125" style="17" customWidth="1"/>
    <col min="12062" max="12062" width="14.36328125" style="17" customWidth="1"/>
    <col min="12063" max="12063" width="16" style="17" bestFit="1" customWidth="1"/>
    <col min="12064" max="12064" width="14.1796875" style="17" customWidth="1"/>
    <col min="12065" max="12065" width="13" style="17" customWidth="1"/>
    <col min="12066" max="12066" width="14.1796875" style="17" customWidth="1"/>
    <col min="12067" max="12067" width="13.36328125" style="17" customWidth="1"/>
    <col min="12068" max="12068" width="13.81640625" style="17" bestFit="1" customWidth="1"/>
    <col min="12069" max="12069" width="14.1796875" style="17" bestFit="1" customWidth="1"/>
    <col min="12070" max="12070" width="13.81640625" style="17" bestFit="1" customWidth="1"/>
    <col min="12071" max="12226" width="9.1796875" style="17"/>
    <col min="12227" max="12227" width="3.81640625" style="17" bestFit="1" customWidth="1"/>
    <col min="12228" max="12228" width="39.54296875" style="17" customWidth="1"/>
    <col min="12229" max="12229" width="16" style="17" customWidth="1"/>
    <col min="12230" max="12230" width="13" style="17" customWidth="1"/>
    <col min="12231" max="12231" width="16" style="17" customWidth="1"/>
    <col min="12232" max="12232" width="13" style="17" customWidth="1"/>
    <col min="12233" max="12233" width="14.1796875" style="17" customWidth="1"/>
    <col min="12234" max="12234" width="13" style="17" customWidth="1"/>
    <col min="12235" max="12235" width="14.90625" style="17" customWidth="1"/>
    <col min="12236" max="12236" width="13" style="17" customWidth="1"/>
    <col min="12237" max="12237" width="15.54296875" style="17" customWidth="1"/>
    <col min="12238" max="12238" width="13" style="17" customWidth="1"/>
    <col min="12239" max="12239" width="14.1796875" style="17" customWidth="1"/>
    <col min="12240" max="12240" width="13" style="17" customWidth="1"/>
    <col min="12241" max="12241" width="14.1796875" style="17" customWidth="1"/>
    <col min="12242" max="12242" width="13" style="17" customWidth="1"/>
    <col min="12243" max="12243" width="14.90625" style="17" customWidth="1"/>
    <col min="12244" max="12244" width="13" style="17" customWidth="1"/>
    <col min="12245" max="12245" width="15.54296875" style="17" customWidth="1"/>
    <col min="12246" max="12246" width="13" style="17" customWidth="1"/>
    <col min="12247" max="12247" width="14.1796875" style="17" customWidth="1"/>
    <col min="12248" max="12248" width="13" style="17" customWidth="1"/>
    <col min="12249" max="12249" width="15.54296875" style="17" customWidth="1"/>
    <col min="12250" max="12250" width="15.81640625" style="17" customWidth="1"/>
    <col min="12251" max="12251" width="14.1796875" style="17" customWidth="1"/>
    <col min="12252" max="12252" width="15.81640625" style="17" customWidth="1"/>
    <col min="12253" max="12253" width="15.54296875" style="17" customWidth="1"/>
    <col min="12254" max="12254" width="13" style="17" customWidth="1"/>
    <col min="12255" max="12255" width="14.1796875" style="17" customWidth="1"/>
    <col min="12256" max="12256" width="15.81640625" style="17" customWidth="1"/>
    <col min="12257" max="12257" width="16.453125" style="17" customWidth="1"/>
    <col min="12258" max="12258" width="15.54296875" style="17" customWidth="1"/>
    <col min="12259" max="12259" width="13" style="17" customWidth="1"/>
    <col min="12260" max="12260" width="16" style="17" customWidth="1"/>
    <col min="12261" max="12261" width="13" style="17" customWidth="1"/>
    <col min="12262" max="12262" width="11.08984375" style="17" customWidth="1"/>
    <col min="12263" max="12263" width="15.54296875" style="17" customWidth="1"/>
    <col min="12264" max="12264" width="13" style="17" customWidth="1"/>
    <col min="12265" max="12265" width="14.1796875" style="17" customWidth="1"/>
    <col min="12266" max="12266" width="15.81640625" style="17" customWidth="1"/>
    <col min="12267" max="12267" width="15.54296875" style="17" customWidth="1"/>
    <col min="12268" max="12268" width="13" style="17" customWidth="1"/>
    <col min="12269" max="12269" width="14.1796875" style="17" customWidth="1"/>
    <col min="12270" max="12270" width="15.81640625" style="17" customWidth="1"/>
    <col min="12271" max="12271" width="15.54296875" style="17" customWidth="1"/>
    <col min="12272" max="12272" width="13" style="17" customWidth="1"/>
    <col min="12273" max="12273" width="14.1796875" style="17" customWidth="1"/>
    <col min="12274" max="12274" width="15.81640625" style="17" customWidth="1"/>
    <col min="12275" max="12275" width="9.1796875" style="17"/>
    <col min="12276" max="12276" width="15.54296875" style="17" customWidth="1"/>
    <col min="12277" max="12277" width="13" style="17" customWidth="1"/>
    <col min="12278" max="12278" width="14.1796875" style="17" customWidth="1"/>
    <col min="12279" max="12279" width="15.81640625" style="17" customWidth="1"/>
    <col min="12280" max="12280" width="9.1796875" style="17"/>
    <col min="12281" max="12281" width="16" style="17" customWidth="1"/>
    <col min="12282" max="12282" width="13" style="17" customWidth="1"/>
    <col min="12283" max="12283" width="14.1796875" style="17" customWidth="1"/>
    <col min="12284" max="12284" width="13" style="17" customWidth="1"/>
    <col min="12285" max="12285" width="14.1796875" style="17" customWidth="1"/>
    <col min="12286" max="12286" width="13" style="17" customWidth="1"/>
    <col min="12287" max="12287" width="14.1796875" style="17" customWidth="1"/>
    <col min="12288" max="12288" width="13" style="17" customWidth="1"/>
    <col min="12289" max="12289" width="14.1796875" style="17" customWidth="1"/>
    <col min="12290" max="12290" width="13" style="17" customWidth="1"/>
    <col min="12291" max="12291" width="14.1796875" style="17" customWidth="1"/>
    <col min="12292" max="12293" width="13" style="17" customWidth="1"/>
    <col min="12294" max="12294" width="14.90625" style="17" bestFit="1" customWidth="1"/>
    <col min="12295" max="12295" width="13" style="17" customWidth="1"/>
    <col min="12296" max="12296" width="14.1796875" style="17" customWidth="1"/>
    <col min="12297" max="12297" width="13" style="17" customWidth="1"/>
    <col min="12298" max="12298" width="8.81640625" style="17" customWidth="1"/>
    <col min="12299" max="12299" width="14.1796875" style="17" customWidth="1"/>
    <col min="12300" max="12300" width="13" style="17" customWidth="1"/>
    <col min="12301" max="12301" width="14.1796875" style="17" customWidth="1"/>
    <col min="12302" max="12302" width="13" style="17" customWidth="1"/>
    <col min="12303" max="12303" width="14.1796875" style="17" customWidth="1"/>
    <col min="12304" max="12304" width="13" style="17" customWidth="1"/>
    <col min="12305" max="12305" width="14.1796875" style="17" customWidth="1"/>
    <col min="12306" max="12310" width="13" style="17" customWidth="1"/>
    <col min="12311" max="12311" width="16.81640625" style="17" customWidth="1"/>
    <col min="12312" max="12312" width="14.1796875" style="17" customWidth="1"/>
    <col min="12313" max="12313" width="13" style="17" customWidth="1"/>
    <col min="12314" max="12314" width="14.1796875" style="17" customWidth="1"/>
    <col min="12315" max="12316" width="13.36328125" style="17" customWidth="1"/>
    <col min="12317" max="12317" width="15.6328125" style="17" customWidth="1"/>
    <col min="12318" max="12318" width="14.36328125" style="17" customWidth="1"/>
    <col min="12319" max="12319" width="16" style="17" bestFit="1" customWidth="1"/>
    <col min="12320" max="12320" width="14.1796875" style="17" customWidth="1"/>
    <col min="12321" max="12321" width="13" style="17" customWidth="1"/>
    <col min="12322" max="12322" width="14.1796875" style="17" customWidth="1"/>
    <col min="12323" max="12323" width="13.36328125" style="17" customWidth="1"/>
    <col min="12324" max="12324" width="13.81640625" style="17" bestFit="1" customWidth="1"/>
    <col min="12325" max="12325" width="14.1796875" style="17" bestFit="1" customWidth="1"/>
    <col min="12326" max="12326" width="13.81640625" style="17" bestFit="1" customWidth="1"/>
    <col min="12327" max="12482" width="9.1796875" style="17"/>
    <col min="12483" max="12483" width="3.81640625" style="17" bestFit="1" customWidth="1"/>
    <col min="12484" max="12484" width="39.54296875" style="17" customWidth="1"/>
    <col min="12485" max="12485" width="16" style="17" customWidth="1"/>
    <col min="12486" max="12486" width="13" style="17" customWidth="1"/>
    <col min="12487" max="12487" width="16" style="17" customWidth="1"/>
    <col min="12488" max="12488" width="13" style="17" customWidth="1"/>
    <col min="12489" max="12489" width="14.1796875" style="17" customWidth="1"/>
    <col min="12490" max="12490" width="13" style="17" customWidth="1"/>
    <col min="12491" max="12491" width="14.90625" style="17" customWidth="1"/>
    <col min="12492" max="12492" width="13" style="17" customWidth="1"/>
    <col min="12493" max="12493" width="15.54296875" style="17" customWidth="1"/>
    <col min="12494" max="12494" width="13" style="17" customWidth="1"/>
    <col min="12495" max="12495" width="14.1796875" style="17" customWidth="1"/>
    <col min="12496" max="12496" width="13" style="17" customWidth="1"/>
    <col min="12497" max="12497" width="14.1796875" style="17" customWidth="1"/>
    <col min="12498" max="12498" width="13" style="17" customWidth="1"/>
    <col min="12499" max="12499" width="14.90625" style="17" customWidth="1"/>
    <col min="12500" max="12500" width="13" style="17" customWidth="1"/>
    <col min="12501" max="12501" width="15.54296875" style="17" customWidth="1"/>
    <col min="12502" max="12502" width="13" style="17" customWidth="1"/>
    <col min="12503" max="12503" width="14.1796875" style="17" customWidth="1"/>
    <col min="12504" max="12504" width="13" style="17" customWidth="1"/>
    <col min="12505" max="12505" width="15.54296875" style="17" customWidth="1"/>
    <col min="12506" max="12506" width="15.81640625" style="17" customWidth="1"/>
    <col min="12507" max="12507" width="14.1796875" style="17" customWidth="1"/>
    <col min="12508" max="12508" width="15.81640625" style="17" customWidth="1"/>
    <col min="12509" max="12509" width="15.54296875" style="17" customWidth="1"/>
    <col min="12510" max="12510" width="13" style="17" customWidth="1"/>
    <col min="12511" max="12511" width="14.1796875" style="17" customWidth="1"/>
    <col min="12512" max="12512" width="15.81640625" style="17" customWidth="1"/>
    <col min="12513" max="12513" width="16.453125" style="17" customWidth="1"/>
    <col min="12514" max="12514" width="15.54296875" style="17" customWidth="1"/>
    <col min="12515" max="12515" width="13" style="17" customWidth="1"/>
    <col min="12516" max="12516" width="16" style="17" customWidth="1"/>
    <col min="12517" max="12517" width="13" style="17" customWidth="1"/>
    <col min="12518" max="12518" width="11.08984375" style="17" customWidth="1"/>
    <col min="12519" max="12519" width="15.54296875" style="17" customWidth="1"/>
    <col min="12520" max="12520" width="13" style="17" customWidth="1"/>
    <col min="12521" max="12521" width="14.1796875" style="17" customWidth="1"/>
    <col min="12522" max="12522" width="15.81640625" style="17" customWidth="1"/>
    <col min="12523" max="12523" width="15.54296875" style="17" customWidth="1"/>
    <col min="12524" max="12524" width="13" style="17" customWidth="1"/>
    <col min="12525" max="12525" width="14.1796875" style="17" customWidth="1"/>
    <col min="12526" max="12526" width="15.81640625" style="17" customWidth="1"/>
    <col min="12527" max="12527" width="15.54296875" style="17" customWidth="1"/>
    <col min="12528" max="12528" width="13" style="17" customWidth="1"/>
    <col min="12529" max="12529" width="14.1796875" style="17" customWidth="1"/>
    <col min="12530" max="12530" width="15.81640625" style="17" customWidth="1"/>
    <col min="12531" max="12531" width="9.1796875" style="17"/>
    <col min="12532" max="12532" width="15.54296875" style="17" customWidth="1"/>
    <col min="12533" max="12533" width="13" style="17" customWidth="1"/>
    <col min="12534" max="12534" width="14.1796875" style="17" customWidth="1"/>
    <col min="12535" max="12535" width="15.81640625" style="17" customWidth="1"/>
    <col min="12536" max="12536" width="9.1796875" style="17"/>
    <col min="12537" max="12537" width="16" style="17" customWidth="1"/>
    <col min="12538" max="12538" width="13" style="17" customWidth="1"/>
    <col min="12539" max="12539" width="14.1796875" style="17" customWidth="1"/>
    <col min="12540" max="12540" width="13" style="17" customWidth="1"/>
    <col min="12541" max="12541" width="14.1796875" style="17" customWidth="1"/>
    <col min="12542" max="12542" width="13" style="17" customWidth="1"/>
    <col min="12543" max="12543" width="14.1796875" style="17" customWidth="1"/>
    <col min="12544" max="12544" width="13" style="17" customWidth="1"/>
    <col min="12545" max="12545" width="14.1796875" style="17" customWidth="1"/>
    <col min="12546" max="12546" width="13" style="17" customWidth="1"/>
    <col min="12547" max="12547" width="14.1796875" style="17" customWidth="1"/>
    <col min="12548" max="12549" width="13" style="17" customWidth="1"/>
    <col min="12550" max="12550" width="14.90625" style="17" bestFit="1" customWidth="1"/>
    <col min="12551" max="12551" width="13" style="17" customWidth="1"/>
    <col min="12552" max="12552" width="14.1796875" style="17" customWidth="1"/>
    <col min="12553" max="12553" width="13" style="17" customWidth="1"/>
    <col min="12554" max="12554" width="8.81640625" style="17" customWidth="1"/>
    <col min="12555" max="12555" width="14.1796875" style="17" customWidth="1"/>
    <col min="12556" max="12556" width="13" style="17" customWidth="1"/>
    <col min="12557" max="12557" width="14.1796875" style="17" customWidth="1"/>
    <col min="12558" max="12558" width="13" style="17" customWidth="1"/>
    <col min="12559" max="12559" width="14.1796875" style="17" customWidth="1"/>
    <col min="12560" max="12560" width="13" style="17" customWidth="1"/>
    <col min="12561" max="12561" width="14.1796875" style="17" customWidth="1"/>
    <col min="12562" max="12566" width="13" style="17" customWidth="1"/>
    <col min="12567" max="12567" width="16.81640625" style="17" customWidth="1"/>
    <col min="12568" max="12568" width="14.1796875" style="17" customWidth="1"/>
    <col min="12569" max="12569" width="13" style="17" customWidth="1"/>
    <col min="12570" max="12570" width="14.1796875" style="17" customWidth="1"/>
    <col min="12571" max="12572" width="13.36328125" style="17" customWidth="1"/>
    <col min="12573" max="12573" width="15.6328125" style="17" customWidth="1"/>
    <col min="12574" max="12574" width="14.36328125" style="17" customWidth="1"/>
    <col min="12575" max="12575" width="16" style="17" bestFit="1" customWidth="1"/>
    <col min="12576" max="12576" width="14.1796875" style="17" customWidth="1"/>
    <col min="12577" max="12577" width="13" style="17" customWidth="1"/>
    <col min="12578" max="12578" width="14.1796875" style="17" customWidth="1"/>
    <col min="12579" max="12579" width="13.36328125" style="17" customWidth="1"/>
    <col min="12580" max="12580" width="13.81640625" style="17" bestFit="1" customWidth="1"/>
    <col min="12581" max="12581" width="14.1796875" style="17" bestFit="1" customWidth="1"/>
    <col min="12582" max="12582" width="13.81640625" style="17" bestFit="1" customWidth="1"/>
    <col min="12583" max="12738" width="9.1796875" style="17"/>
    <col min="12739" max="12739" width="3.81640625" style="17" bestFit="1" customWidth="1"/>
    <col min="12740" max="12740" width="39.54296875" style="17" customWidth="1"/>
    <col min="12741" max="12741" width="16" style="17" customWidth="1"/>
    <col min="12742" max="12742" width="13" style="17" customWidth="1"/>
    <col min="12743" max="12743" width="16" style="17" customWidth="1"/>
    <col min="12744" max="12744" width="13" style="17" customWidth="1"/>
    <col min="12745" max="12745" width="14.1796875" style="17" customWidth="1"/>
    <col min="12746" max="12746" width="13" style="17" customWidth="1"/>
    <col min="12747" max="12747" width="14.90625" style="17" customWidth="1"/>
    <col min="12748" max="12748" width="13" style="17" customWidth="1"/>
    <col min="12749" max="12749" width="15.54296875" style="17" customWidth="1"/>
    <col min="12750" max="12750" width="13" style="17" customWidth="1"/>
    <col min="12751" max="12751" width="14.1796875" style="17" customWidth="1"/>
    <col min="12752" max="12752" width="13" style="17" customWidth="1"/>
    <col min="12753" max="12753" width="14.1796875" style="17" customWidth="1"/>
    <col min="12754" max="12754" width="13" style="17" customWidth="1"/>
    <col min="12755" max="12755" width="14.90625" style="17" customWidth="1"/>
    <col min="12756" max="12756" width="13" style="17" customWidth="1"/>
    <col min="12757" max="12757" width="15.54296875" style="17" customWidth="1"/>
    <col min="12758" max="12758" width="13" style="17" customWidth="1"/>
    <col min="12759" max="12759" width="14.1796875" style="17" customWidth="1"/>
    <col min="12760" max="12760" width="13" style="17" customWidth="1"/>
    <col min="12761" max="12761" width="15.54296875" style="17" customWidth="1"/>
    <col min="12762" max="12762" width="15.81640625" style="17" customWidth="1"/>
    <col min="12763" max="12763" width="14.1796875" style="17" customWidth="1"/>
    <col min="12764" max="12764" width="15.81640625" style="17" customWidth="1"/>
    <col min="12765" max="12765" width="15.54296875" style="17" customWidth="1"/>
    <col min="12766" max="12766" width="13" style="17" customWidth="1"/>
    <col min="12767" max="12767" width="14.1796875" style="17" customWidth="1"/>
    <col min="12768" max="12768" width="15.81640625" style="17" customWidth="1"/>
    <col min="12769" max="12769" width="16.453125" style="17" customWidth="1"/>
    <col min="12770" max="12770" width="15.54296875" style="17" customWidth="1"/>
    <col min="12771" max="12771" width="13" style="17" customWidth="1"/>
    <col min="12772" max="12772" width="16" style="17" customWidth="1"/>
    <col min="12773" max="12773" width="13" style="17" customWidth="1"/>
    <col min="12774" max="12774" width="11.08984375" style="17" customWidth="1"/>
    <col min="12775" max="12775" width="15.54296875" style="17" customWidth="1"/>
    <col min="12776" max="12776" width="13" style="17" customWidth="1"/>
    <col min="12777" max="12777" width="14.1796875" style="17" customWidth="1"/>
    <col min="12778" max="12778" width="15.81640625" style="17" customWidth="1"/>
    <col min="12779" max="12779" width="15.54296875" style="17" customWidth="1"/>
    <col min="12780" max="12780" width="13" style="17" customWidth="1"/>
    <col min="12781" max="12781" width="14.1796875" style="17" customWidth="1"/>
    <col min="12782" max="12782" width="15.81640625" style="17" customWidth="1"/>
    <col min="12783" max="12783" width="15.54296875" style="17" customWidth="1"/>
    <col min="12784" max="12784" width="13" style="17" customWidth="1"/>
    <col min="12785" max="12785" width="14.1796875" style="17" customWidth="1"/>
    <col min="12786" max="12786" width="15.81640625" style="17" customWidth="1"/>
    <col min="12787" max="12787" width="9.1796875" style="17"/>
    <col min="12788" max="12788" width="15.54296875" style="17" customWidth="1"/>
    <col min="12789" max="12789" width="13" style="17" customWidth="1"/>
    <col min="12790" max="12790" width="14.1796875" style="17" customWidth="1"/>
    <col min="12791" max="12791" width="15.81640625" style="17" customWidth="1"/>
    <col min="12792" max="12792" width="9.1796875" style="17"/>
    <col min="12793" max="12793" width="16" style="17" customWidth="1"/>
    <col min="12794" max="12794" width="13" style="17" customWidth="1"/>
    <col min="12795" max="12795" width="14.1796875" style="17" customWidth="1"/>
    <col min="12796" max="12796" width="13" style="17" customWidth="1"/>
    <col min="12797" max="12797" width="14.1796875" style="17" customWidth="1"/>
    <col min="12798" max="12798" width="13" style="17" customWidth="1"/>
    <col min="12799" max="12799" width="14.1796875" style="17" customWidth="1"/>
    <col min="12800" max="12800" width="13" style="17" customWidth="1"/>
    <col min="12801" max="12801" width="14.1796875" style="17" customWidth="1"/>
    <col min="12802" max="12802" width="13" style="17" customWidth="1"/>
    <col min="12803" max="12803" width="14.1796875" style="17" customWidth="1"/>
    <col min="12804" max="12805" width="13" style="17" customWidth="1"/>
    <col min="12806" max="12806" width="14.90625" style="17" bestFit="1" customWidth="1"/>
    <col min="12807" max="12807" width="13" style="17" customWidth="1"/>
    <col min="12808" max="12808" width="14.1796875" style="17" customWidth="1"/>
    <col min="12809" max="12809" width="13" style="17" customWidth="1"/>
    <col min="12810" max="12810" width="8.81640625" style="17" customWidth="1"/>
    <col min="12811" max="12811" width="14.1796875" style="17" customWidth="1"/>
    <col min="12812" max="12812" width="13" style="17" customWidth="1"/>
    <col min="12813" max="12813" width="14.1796875" style="17" customWidth="1"/>
    <col min="12814" max="12814" width="13" style="17" customWidth="1"/>
    <col min="12815" max="12815" width="14.1796875" style="17" customWidth="1"/>
    <col min="12816" max="12816" width="13" style="17" customWidth="1"/>
    <col min="12817" max="12817" width="14.1796875" style="17" customWidth="1"/>
    <col min="12818" max="12822" width="13" style="17" customWidth="1"/>
    <col min="12823" max="12823" width="16.81640625" style="17" customWidth="1"/>
    <col min="12824" max="12824" width="14.1796875" style="17" customWidth="1"/>
    <col min="12825" max="12825" width="13" style="17" customWidth="1"/>
    <col min="12826" max="12826" width="14.1796875" style="17" customWidth="1"/>
    <col min="12827" max="12828" width="13.36328125" style="17" customWidth="1"/>
    <col min="12829" max="12829" width="15.6328125" style="17" customWidth="1"/>
    <col min="12830" max="12830" width="14.36328125" style="17" customWidth="1"/>
    <col min="12831" max="12831" width="16" style="17" bestFit="1" customWidth="1"/>
    <col min="12832" max="12832" width="14.1796875" style="17" customWidth="1"/>
    <col min="12833" max="12833" width="13" style="17" customWidth="1"/>
    <col min="12834" max="12834" width="14.1796875" style="17" customWidth="1"/>
    <col min="12835" max="12835" width="13.36328125" style="17" customWidth="1"/>
    <col min="12836" max="12836" width="13.81640625" style="17" bestFit="1" customWidth="1"/>
    <col min="12837" max="12837" width="14.1796875" style="17" bestFit="1" customWidth="1"/>
    <col min="12838" max="12838" width="13.81640625" style="17" bestFit="1" customWidth="1"/>
    <col min="12839" max="12994" width="9.1796875" style="17"/>
    <col min="12995" max="12995" width="3.81640625" style="17" bestFit="1" customWidth="1"/>
    <col min="12996" max="12996" width="39.54296875" style="17" customWidth="1"/>
    <col min="12997" max="12997" width="16" style="17" customWidth="1"/>
    <col min="12998" max="12998" width="13" style="17" customWidth="1"/>
    <col min="12999" max="12999" width="16" style="17" customWidth="1"/>
    <col min="13000" max="13000" width="13" style="17" customWidth="1"/>
    <col min="13001" max="13001" width="14.1796875" style="17" customWidth="1"/>
    <col min="13002" max="13002" width="13" style="17" customWidth="1"/>
    <col min="13003" max="13003" width="14.90625" style="17" customWidth="1"/>
    <col min="13004" max="13004" width="13" style="17" customWidth="1"/>
    <col min="13005" max="13005" width="15.54296875" style="17" customWidth="1"/>
    <col min="13006" max="13006" width="13" style="17" customWidth="1"/>
    <col min="13007" max="13007" width="14.1796875" style="17" customWidth="1"/>
    <col min="13008" max="13008" width="13" style="17" customWidth="1"/>
    <col min="13009" max="13009" width="14.1796875" style="17" customWidth="1"/>
    <col min="13010" max="13010" width="13" style="17" customWidth="1"/>
    <col min="13011" max="13011" width="14.90625" style="17" customWidth="1"/>
    <col min="13012" max="13012" width="13" style="17" customWidth="1"/>
    <col min="13013" max="13013" width="15.54296875" style="17" customWidth="1"/>
    <col min="13014" max="13014" width="13" style="17" customWidth="1"/>
    <col min="13015" max="13015" width="14.1796875" style="17" customWidth="1"/>
    <col min="13016" max="13016" width="13" style="17" customWidth="1"/>
    <col min="13017" max="13017" width="15.54296875" style="17" customWidth="1"/>
    <col min="13018" max="13018" width="15.81640625" style="17" customWidth="1"/>
    <col min="13019" max="13019" width="14.1796875" style="17" customWidth="1"/>
    <col min="13020" max="13020" width="15.81640625" style="17" customWidth="1"/>
    <col min="13021" max="13021" width="15.54296875" style="17" customWidth="1"/>
    <col min="13022" max="13022" width="13" style="17" customWidth="1"/>
    <col min="13023" max="13023" width="14.1796875" style="17" customWidth="1"/>
    <col min="13024" max="13024" width="15.81640625" style="17" customWidth="1"/>
    <col min="13025" max="13025" width="16.453125" style="17" customWidth="1"/>
    <col min="13026" max="13026" width="15.54296875" style="17" customWidth="1"/>
    <col min="13027" max="13027" width="13" style="17" customWidth="1"/>
    <col min="13028" max="13028" width="16" style="17" customWidth="1"/>
    <col min="13029" max="13029" width="13" style="17" customWidth="1"/>
    <col min="13030" max="13030" width="11.08984375" style="17" customWidth="1"/>
    <col min="13031" max="13031" width="15.54296875" style="17" customWidth="1"/>
    <col min="13032" max="13032" width="13" style="17" customWidth="1"/>
    <col min="13033" max="13033" width="14.1796875" style="17" customWidth="1"/>
    <col min="13034" max="13034" width="15.81640625" style="17" customWidth="1"/>
    <col min="13035" max="13035" width="15.54296875" style="17" customWidth="1"/>
    <col min="13036" max="13036" width="13" style="17" customWidth="1"/>
    <col min="13037" max="13037" width="14.1796875" style="17" customWidth="1"/>
    <col min="13038" max="13038" width="15.81640625" style="17" customWidth="1"/>
    <col min="13039" max="13039" width="15.54296875" style="17" customWidth="1"/>
    <col min="13040" max="13040" width="13" style="17" customWidth="1"/>
    <col min="13041" max="13041" width="14.1796875" style="17" customWidth="1"/>
    <col min="13042" max="13042" width="15.81640625" style="17" customWidth="1"/>
    <col min="13043" max="13043" width="9.1796875" style="17"/>
    <col min="13044" max="13044" width="15.54296875" style="17" customWidth="1"/>
    <col min="13045" max="13045" width="13" style="17" customWidth="1"/>
    <col min="13046" max="13046" width="14.1796875" style="17" customWidth="1"/>
    <col min="13047" max="13047" width="15.81640625" style="17" customWidth="1"/>
    <col min="13048" max="13048" width="9.1796875" style="17"/>
    <col min="13049" max="13049" width="16" style="17" customWidth="1"/>
    <col min="13050" max="13050" width="13" style="17" customWidth="1"/>
    <col min="13051" max="13051" width="14.1796875" style="17" customWidth="1"/>
    <col min="13052" max="13052" width="13" style="17" customWidth="1"/>
    <col min="13053" max="13053" width="14.1796875" style="17" customWidth="1"/>
    <col min="13054" max="13054" width="13" style="17" customWidth="1"/>
    <col min="13055" max="13055" width="14.1796875" style="17" customWidth="1"/>
    <col min="13056" max="13056" width="13" style="17" customWidth="1"/>
    <col min="13057" max="13057" width="14.1796875" style="17" customWidth="1"/>
    <col min="13058" max="13058" width="13" style="17" customWidth="1"/>
    <col min="13059" max="13059" width="14.1796875" style="17" customWidth="1"/>
    <col min="13060" max="13061" width="13" style="17" customWidth="1"/>
    <col min="13062" max="13062" width="14.90625" style="17" bestFit="1" customWidth="1"/>
    <col min="13063" max="13063" width="13" style="17" customWidth="1"/>
    <col min="13064" max="13064" width="14.1796875" style="17" customWidth="1"/>
    <col min="13065" max="13065" width="13" style="17" customWidth="1"/>
    <col min="13066" max="13066" width="8.81640625" style="17" customWidth="1"/>
    <col min="13067" max="13067" width="14.1796875" style="17" customWidth="1"/>
    <col min="13068" max="13068" width="13" style="17" customWidth="1"/>
    <col min="13069" max="13069" width="14.1796875" style="17" customWidth="1"/>
    <col min="13070" max="13070" width="13" style="17" customWidth="1"/>
    <col min="13071" max="13071" width="14.1796875" style="17" customWidth="1"/>
    <col min="13072" max="13072" width="13" style="17" customWidth="1"/>
    <col min="13073" max="13073" width="14.1796875" style="17" customWidth="1"/>
    <col min="13074" max="13078" width="13" style="17" customWidth="1"/>
    <col min="13079" max="13079" width="16.81640625" style="17" customWidth="1"/>
    <col min="13080" max="13080" width="14.1796875" style="17" customWidth="1"/>
    <col min="13081" max="13081" width="13" style="17" customWidth="1"/>
    <col min="13082" max="13082" width="14.1796875" style="17" customWidth="1"/>
    <col min="13083" max="13084" width="13.36328125" style="17" customWidth="1"/>
    <col min="13085" max="13085" width="15.6328125" style="17" customWidth="1"/>
    <col min="13086" max="13086" width="14.36328125" style="17" customWidth="1"/>
    <col min="13087" max="13087" width="16" style="17" bestFit="1" customWidth="1"/>
    <col min="13088" max="13088" width="14.1796875" style="17" customWidth="1"/>
    <col min="13089" max="13089" width="13" style="17" customWidth="1"/>
    <col min="13090" max="13090" width="14.1796875" style="17" customWidth="1"/>
    <col min="13091" max="13091" width="13.36328125" style="17" customWidth="1"/>
    <col min="13092" max="13092" width="13.81640625" style="17" bestFit="1" customWidth="1"/>
    <col min="13093" max="13093" width="14.1796875" style="17" bestFit="1" customWidth="1"/>
    <col min="13094" max="13094" width="13.81640625" style="17" bestFit="1" customWidth="1"/>
    <col min="13095" max="13250" width="9.1796875" style="17"/>
    <col min="13251" max="13251" width="3.81640625" style="17" bestFit="1" customWidth="1"/>
    <col min="13252" max="13252" width="39.54296875" style="17" customWidth="1"/>
    <col min="13253" max="13253" width="16" style="17" customWidth="1"/>
    <col min="13254" max="13254" width="13" style="17" customWidth="1"/>
    <col min="13255" max="13255" width="16" style="17" customWidth="1"/>
    <col min="13256" max="13256" width="13" style="17" customWidth="1"/>
    <col min="13257" max="13257" width="14.1796875" style="17" customWidth="1"/>
    <col min="13258" max="13258" width="13" style="17" customWidth="1"/>
    <col min="13259" max="13259" width="14.90625" style="17" customWidth="1"/>
    <col min="13260" max="13260" width="13" style="17" customWidth="1"/>
    <col min="13261" max="13261" width="15.54296875" style="17" customWidth="1"/>
    <col min="13262" max="13262" width="13" style="17" customWidth="1"/>
    <col min="13263" max="13263" width="14.1796875" style="17" customWidth="1"/>
    <col min="13264" max="13264" width="13" style="17" customWidth="1"/>
    <col min="13265" max="13265" width="14.1796875" style="17" customWidth="1"/>
    <col min="13266" max="13266" width="13" style="17" customWidth="1"/>
    <col min="13267" max="13267" width="14.90625" style="17" customWidth="1"/>
    <col min="13268" max="13268" width="13" style="17" customWidth="1"/>
    <col min="13269" max="13269" width="15.54296875" style="17" customWidth="1"/>
    <col min="13270" max="13270" width="13" style="17" customWidth="1"/>
    <col min="13271" max="13271" width="14.1796875" style="17" customWidth="1"/>
    <col min="13272" max="13272" width="13" style="17" customWidth="1"/>
    <col min="13273" max="13273" width="15.54296875" style="17" customWidth="1"/>
    <col min="13274" max="13274" width="15.81640625" style="17" customWidth="1"/>
    <col min="13275" max="13275" width="14.1796875" style="17" customWidth="1"/>
    <col min="13276" max="13276" width="15.81640625" style="17" customWidth="1"/>
    <col min="13277" max="13277" width="15.54296875" style="17" customWidth="1"/>
    <col min="13278" max="13278" width="13" style="17" customWidth="1"/>
    <col min="13279" max="13279" width="14.1796875" style="17" customWidth="1"/>
    <col min="13280" max="13280" width="15.81640625" style="17" customWidth="1"/>
    <col min="13281" max="13281" width="16.453125" style="17" customWidth="1"/>
    <col min="13282" max="13282" width="15.54296875" style="17" customWidth="1"/>
    <col min="13283" max="13283" width="13" style="17" customWidth="1"/>
    <col min="13284" max="13284" width="16" style="17" customWidth="1"/>
    <col min="13285" max="13285" width="13" style="17" customWidth="1"/>
    <col min="13286" max="13286" width="11.08984375" style="17" customWidth="1"/>
    <col min="13287" max="13287" width="15.54296875" style="17" customWidth="1"/>
    <col min="13288" max="13288" width="13" style="17" customWidth="1"/>
    <col min="13289" max="13289" width="14.1796875" style="17" customWidth="1"/>
    <col min="13290" max="13290" width="15.81640625" style="17" customWidth="1"/>
    <col min="13291" max="13291" width="15.54296875" style="17" customWidth="1"/>
    <col min="13292" max="13292" width="13" style="17" customWidth="1"/>
    <col min="13293" max="13293" width="14.1796875" style="17" customWidth="1"/>
    <col min="13294" max="13294" width="15.81640625" style="17" customWidth="1"/>
    <col min="13295" max="13295" width="15.54296875" style="17" customWidth="1"/>
    <col min="13296" max="13296" width="13" style="17" customWidth="1"/>
    <col min="13297" max="13297" width="14.1796875" style="17" customWidth="1"/>
    <col min="13298" max="13298" width="15.81640625" style="17" customWidth="1"/>
    <col min="13299" max="13299" width="9.1796875" style="17"/>
    <col min="13300" max="13300" width="15.54296875" style="17" customWidth="1"/>
    <col min="13301" max="13301" width="13" style="17" customWidth="1"/>
    <col min="13302" max="13302" width="14.1796875" style="17" customWidth="1"/>
    <col min="13303" max="13303" width="15.81640625" style="17" customWidth="1"/>
    <col min="13304" max="13304" width="9.1796875" style="17"/>
    <col min="13305" max="13305" width="16" style="17" customWidth="1"/>
    <col min="13306" max="13306" width="13" style="17" customWidth="1"/>
    <col min="13307" max="13307" width="14.1796875" style="17" customWidth="1"/>
    <col min="13308" max="13308" width="13" style="17" customWidth="1"/>
    <col min="13309" max="13309" width="14.1796875" style="17" customWidth="1"/>
    <col min="13310" max="13310" width="13" style="17" customWidth="1"/>
    <col min="13311" max="13311" width="14.1796875" style="17" customWidth="1"/>
    <col min="13312" max="13312" width="13" style="17" customWidth="1"/>
    <col min="13313" max="13313" width="14.1796875" style="17" customWidth="1"/>
    <col min="13314" max="13314" width="13" style="17" customWidth="1"/>
    <col min="13315" max="13315" width="14.1796875" style="17" customWidth="1"/>
    <col min="13316" max="13317" width="13" style="17" customWidth="1"/>
    <col min="13318" max="13318" width="14.90625" style="17" bestFit="1" customWidth="1"/>
    <col min="13319" max="13319" width="13" style="17" customWidth="1"/>
    <col min="13320" max="13320" width="14.1796875" style="17" customWidth="1"/>
    <col min="13321" max="13321" width="13" style="17" customWidth="1"/>
    <col min="13322" max="13322" width="8.81640625" style="17" customWidth="1"/>
    <col min="13323" max="13323" width="14.1796875" style="17" customWidth="1"/>
    <col min="13324" max="13324" width="13" style="17" customWidth="1"/>
    <col min="13325" max="13325" width="14.1796875" style="17" customWidth="1"/>
    <col min="13326" max="13326" width="13" style="17" customWidth="1"/>
    <col min="13327" max="13327" width="14.1796875" style="17" customWidth="1"/>
    <col min="13328" max="13328" width="13" style="17" customWidth="1"/>
    <col min="13329" max="13329" width="14.1796875" style="17" customWidth="1"/>
    <col min="13330" max="13334" width="13" style="17" customWidth="1"/>
    <col min="13335" max="13335" width="16.81640625" style="17" customWidth="1"/>
    <col min="13336" max="13336" width="14.1796875" style="17" customWidth="1"/>
    <col min="13337" max="13337" width="13" style="17" customWidth="1"/>
    <col min="13338" max="13338" width="14.1796875" style="17" customWidth="1"/>
    <col min="13339" max="13340" width="13.36328125" style="17" customWidth="1"/>
    <col min="13341" max="13341" width="15.6328125" style="17" customWidth="1"/>
    <col min="13342" max="13342" width="14.36328125" style="17" customWidth="1"/>
    <col min="13343" max="13343" width="16" style="17" bestFit="1" customWidth="1"/>
    <col min="13344" max="13344" width="14.1796875" style="17" customWidth="1"/>
    <col min="13345" max="13345" width="13" style="17" customWidth="1"/>
    <col min="13346" max="13346" width="14.1796875" style="17" customWidth="1"/>
    <col min="13347" max="13347" width="13.36328125" style="17" customWidth="1"/>
    <col min="13348" max="13348" width="13.81640625" style="17" bestFit="1" customWidth="1"/>
    <col min="13349" max="13349" width="14.1796875" style="17" bestFit="1" customWidth="1"/>
    <col min="13350" max="13350" width="13.81640625" style="17" bestFit="1" customWidth="1"/>
    <col min="13351" max="13506" width="9.1796875" style="17"/>
    <col min="13507" max="13507" width="3.81640625" style="17" bestFit="1" customWidth="1"/>
    <col min="13508" max="13508" width="39.54296875" style="17" customWidth="1"/>
    <col min="13509" max="13509" width="16" style="17" customWidth="1"/>
    <col min="13510" max="13510" width="13" style="17" customWidth="1"/>
    <col min="13511" max="13511" width="16" style="17" customWidth="1"/>
    <col min="13512" max="13512" width="13" style="17" customWidth="1"/>
    <col min="13513" max="13513" width="14.1796875" style="17" customWidth="1"/>
    <col min="13514" max="13514" width="13" style="17" customWidth="1"/>
    <col min="13515" max="13515" width="14.90625" style="17" customWidth="1"/>
    <col min="13516" max="13516" width="13" style="17" customWidth="1"/>
    <col min="13517" max="13517" width="15.54296875" style="17" customWidth="1"/>
    <col min="13518" max="13518" width="13" style="17" customWidth="1"/>
    <col min="13519" max="13519" width="14.1796875" style="17" customWidth="1"/>
    <col min="13520" max="13520" width="13" style="17" customWidth="1"/>
    <col min="13521" max="13521" width="14.1796875" style="17" customWidth="1"/>
    <col min="13522" max="13522" width="13" style="17" customWidth="1"/>
    <col min="13523" max="13523" width="14.90625" style="17" customWidth="1"/>
    <col min="13524" max="13524" width="13" style="17" customWidth="1"/>
    <col min="13525" max="13525" width="15.54296875" style="17" customWidth="1"/>
    <col min="13526" max="13526" width="13" style="17" customWidth="1"/>
    <col min="13527" max="13527" width="14.1796875" style="17" customWidth="1"/>
    <col min="13528" max="13528" width="13" style="17" customWidth="1"/>
    <col min="13529" max="13529" width="15.54296875" style="17" customWidth="1"/>
    <col min="13530" max="13530" width="15.81640625" style="17" customWidth="1"/>
    <col min="13531" max="13531" width="14.1796875" style="17" customWidth="1"/>
    <col min="13532" max="13532" width="15.81640625" style="17" customWidth="1"/>
    <col min="13533" max="13533" width="15.54296875" style="17" customWidth="1"/>
    <col min="13534" max="13534" width="13" style="17" customWidth="1"/>
    <col min="13535" max="13535" width="14.1796875" style="17" customWidth="1"/>
    <col min="13536" max="13536" width="15.81640625" style="17" customWidth="1"/>
    <col min="13537" max="13537" width="16.453125" style="17" customWidth="1"/>
    <col min="13538" max="13538" width="15.54296875" style="17" customWidth="1"/>
    <col min="13539" max="13539" width="13" style="17" customWidth="1"/>
    <col min="13540" max="13540" width="16" style="17" customWidth="1"/>
    <col min="13541" max="13541" width="13" style="17" customWidth="1"/>
    <col min="13542" max="13542" width="11.08984375" style="17" customWidth="1"/>
    <col min="13543" max="13543" width="15.54296875" style="17" customWidth="1"/>
    <col min="13544" max="13544" width="13" style="17" customWidth="1"/>
    <col min="13545" max="13545" width="14.1796875" style="17" customWidth="1"/>
    <col min="13546" max="13546" width="15.81640625" style="17" customWidth="1"/>
    <col min="13547" max="13547" width="15.54296875" style="17" customWidth="1"/>
    <col min="13548" max="13548" width="13" style="17" customWidth="1"/>
    <col min="13549" max="13549" width="14.1796875" style="17" customWidth="1"/>
    <col min="13550" max="13550" width="15.81640625" style="17" customWidth="1"/>
    <col min="13551" max="13551" width="15.54296875" style="17" customWidth="1"/>
    <col min="13552" max="13552" width="13" style="17" customWidth="1"/>
    <col min="13553" max="13553" width="14.1796875" style="17" customWidth="1"/>
    <col min="13554" max="13554" width="15.81640625" style="17" customWidth="1"/>
    <col min="13555" max="13555" width="9.1796875" style="17"/>
    <col min="13556" max="13556" width="15.54296875" style="17" customWidth="1"/>
    <col min="13557" max="13557" width="13" style="17" customWidth="1"/>
    <col min="13558" max="13558" width="14.1796875" style="17" customWidth="1"/>
    <col min="13559" max="13559" width="15.81640625" style="17" customWidth="1"/>
    <col min="13560" max="13560" width="9.1796875" style="17"/>
    <col min="13561" max="13561" width="16" style="17" customWidth="1"/>
    <col min="13562" max="13562" width="13" style="17" customWidth="1"/>
    <col min="13563" max="13563" width="14.1796875" style="17" customWidth="1"/>
    <col min="13564" max="13564" width="13" style="17" customWidth="1"/>
    <col min="13565" max="13565" width="14.1796875" style="17" customWidth="1"/>
    <col min="13566" max="13566" width="13" style="17" customWidth="1"/>
    <col min="13567" max="13567" width="14.1796875" style="17" customWidth="1"/>
    <col min="13568" max="13568" width="13" style="17" customWidth="1"/>
    <col min="13569" max="13569" width="14.1796875" style="17" customWidth="1"/>
    <col min="13570" max="13570" width="13" style="17" customWidth="1"/>
    <col min="13571" max="13571" width="14.1796875" style="17" customWidth="1"/>
    <col min="13572" max="13573" width="13" style="17" customWidth="1"/>
    <col min="13574" max="13574" width="14.90625" style="17" bestFit="1" customWidth="1"/>
    <col min="13575" max="13575" width="13" style="17" customWidth="1"/>
    <col min="13576" max="13576" width="14.1796875" style="17" customWidth="1"/>
    <col min="13577" max="13577" width="13" style="17" customWidth="1"/>
    <col min="13578" max="13578" width="8.81640625" style="17" customWidth="1"/>
    <col min="13579" max="13579" width="14.1796875" style="17" customWidth="1"/>
    <col min="13580" max="13580" width="13" style="17" customWidth="1"/>
    <col min="13581" max="13581" width="14.1796875" style="17" customWidth="1"/>
    <col min="13582" max="13582" width="13" style="17" customWidth="1"/>
    <col min="13583" max="13583" width="14.1796875" style="17" customWidth="1"/>
    <col min="13584" max="13584" width="13" style="17" customWidth="1"/>
    <col min="13585" max="13585" width="14.1796875" style="17" customWidth="1"/>
    <col min="13586" max="13590" width="13" style="17" customWidth="1"/>
    <col min="13591" max="13591" width="16.81640625" style="17" customWidth="1"/>
    <col min="13592" max="13592" width="14.1796875" style="17" customWidth="1"/>
    <col min="13593" max="13593" width="13" style="17" customWidth="1"/>
    <col min="13594" max="13594" width="14.1796875" style="17" customWidth="1"/>
    <col min="13595" max="13596" width="13.36328125" style="17" customWidth="1"/>
    <col min="13597" max="13597" width="15.6328125" style="17" customWidth="1"/>
    <col min="13598" max="13598" width="14.36328125" style="17" customWidth="1"/>
    <col min="13599" max="13599" width="16" style="17" bestFit="1" customWidth="1"/>
    <col min="13600" max="13600" width="14.1796875" style="17" customWidth="1"/>
    <col min="13601" max="13601" width="13" style="17" customWidth="1"/>
    <col min="13602" max="13602" width="14.1796875" style="17" customWidth="1"/>
    <col min="13603" max="13603" width="13.36328125" style="17" customWidth="1"/>
    <col min="13604" max="13604" width="13.81640625" style="17" bestFit="1" customWidth="1"/>
    <col min="13605" max="13605" width="14.1796875" style="17" bestFit="1" customWidth="1"/>
    <col min="13606" max="13606" width="13.81640625" style="17" bestFit="1" customWidth="1"/>
    <col min="13607" max="13762" width="9.1796875" style="17"/>
    <col min="13763" max="13763" width="3.81640625" style="17" bestFit="1" customWidth="1"/>
    <col min="13764" max="13764" width="39.54296875" style="17" customWidth="1"/>
    <col min="13765" max="13765" width="16" style="17" customWidth="1"/>
    <col min="13766" max="13766" width="13" style="17" customWidth="1"/>
    <col min="13767" max="13767" width="16" style="17" customWidth="1"/>
    <col min="13768" max="13768" width="13" style="17" customWidth="1"/>
    <col min="13769" max="13769" width="14.1796875" style="17" customWidth="1"/>
    <col min="13770" max="13770" width="13" style="17" customWidth="1"/>
    <col min="13771" max="13771" width="14.90625" style="17" customWidth="1"/>
    <col min="13772" max="13772" width="13" style="17" customWidth="1"/>
    <col min="13773" max="13773" width="15.54296875" style="17" customWidth="1"/>
    <col min="13774" max="13774" width="13" style="17" customWidth="1"/>
    <col min="13775" max="13775" width="14.1796875" style="17" customWidth="1"/>
    <col min="13776" max="13776" width="13" style="17" customWidth="1"/>
    <col min="13777" max="13777" width="14.1796875" style="17" customWidth="1"/>
    <col min="13778" max="13778" width="13" style="17" customWidth="1"/>
    <col min="13779" max="13779" width="14.90625" style="17" customWidth="1"/>
    <col min="13780" max="13780" width="13" style="17" customWidth="1"/>
    <col min="13781" max="13781" width="15.54296875" style="17" customWidth="1"/>
    <col min="13782" max="13782" width="13" style="17" customWidth="1"/>
    <col min="13783" max="13783" width="14.1796875" style="17" customWidth="1"/>
    <col min="13784" max="13784" width="13" style="17" customWidth="1"/>
    <col min="13785" max="13785" width="15.54296875" style="17" customWidth="1"/>
    <col min="13786" max="13786" width="15.81640625" style="17" customWidth="1"/>
    <col min="13787" max="13787" width="14.1796875" style="17" customWidth="1"/>
    <col min="13788" max="13788" width="15.81640625" style="17" customWidth="1"/>
    <col min="13789" max="13789" width="15.54296875" style="17" customWidth="1"/>
    <col min="13790" max="13790" width="13" style="17" customWidth="1"/>
    <col min="13791" max="13791" width="14.1796875" style="17" customWidth="1"/>
    <col min="13792" max="13792" width="15.81640625" style="17" customWidth="1"/>
    <col min="13793" max="13793" width="16.453125" style="17" customWidth="1"/>
    <col min="13794" max="13794" width="15.54296875" style="17" customWidth="1"/>
    <col min="13795" max="13795" width="13" style="17" customWidth="1"/>
    <col min="13796" max="13796" width="16" style="17" customWidth="1"/>
    <col min="13797" max="13797" width="13" style="17" customWidth="1"/>
    <col min="13798" max="13798" width="11.08984375" style="17" customWidth="1"/>
    <col min="13799" max="13799" width="15.54296875" style="17" customWidth="1"/>
    <col min="13800" max="13800" width="13" style="17" customWidth="1"/>
    <col min="13801" max="13801" width="14.1796875" style="17" customWidth="1"/>
    <col min="13802" max="13802" width="15.81640625" style="17" customWidth="1"/>
    <col min="13803" max="13803" width="15.54296875" style="17" customWidth="1"/>
    <col min="13804" max="13804" width="13" style="17" customWidth="1"/>
    <col min="13805" max="13805" width="14.1796875" style="17" customWidth="1"/>
    <col min="13806" max="13806" width="15.81640625" style="17" customWidth="1"/>
    <col min="13807" max="13807" width="15.54296875" style="17" customWidth="1"/>
    <col min="13808" max="13808" width="13" style="17" customWidth="1"/>
    <col min="13809" max="13809" width="14.1796875" style="17" customWidth="1"/>
    <col min="13810" max="13810" width="15.81640625" style="17" customWidth="1"/>
    <col min="13811" max="13811" width="9.1796875" style="17"/>
    <col min="13812" max="13812" width="15.54296875" style="17" customWidth="1"/>
    <col min="13813" max="13813" width="13" style="17" customWidth="1"/>
    <col min="13814" max="13814" width="14.1796875" style="17" customWidth="1"/>
    <col min="13815" max="13815" width="15.81640625" style="17" customWidth="1"/>
    <col min="13816" max="13816" width="9.1796875" style="17"/>
    <col min="13817" max="13817" width="16" style="17" customWidth="1"/>
    <col min="13818" max="13818" width="13" style="17" customWidth="1"/>
    <col min="13819" max="13819" width="14.1796875" style="17" customWidth="1"/>
    <col min="13820" max="13820" width="13" style="17" customWidth="1"/>
    <col min="13821" max="13821" width="14.1796875" style="17" customWidth="1"/>
    <col min="13822" max="13822" width="13" style="17" customWidth="1"/>
    <col min="13823" max="13823" width="14.1796875" style="17" customWidth="1"/>
    <col min="13824" max="13824" width="13" style="17" customWidth="1"/>
    <col min="13825" max="13825" width="14.1796875" style="17" customWidth="1"/>
    <col min="13826" max="13826" width="13" style="17" customWidth="1"/>
    <col min="13827" max="13827" width="14.1796875" style="17" customWidth="1"/>
    <col min="13828" max="13829" width="13" style="17" customWidth="1"/>
    <col min="13830" max="13830" width="14.90625" style="17" bestFit="1" customWidth="1"/>
    <col min="13831" max="13831" width="13" style="17" customWidth="1"/>
    <col min="13832" max="13832" width="14.1796875" style="17" customWidth="1"/>
    <col min="13833" max="13833" width="13" style="17" customWidth="1"/>
    <col min="13834" max="13834" width="8.81640625" style="17" customWidth="1"/>
    <col min="13835" max="13835" width="14.1796875" style="17" customWidth="1"/>
    <col min="13836" max="13836" width="13" style="17" customWidth="1"/>
    <col min="13837" max="13837" width="14.1796875" style="17" customWidth="1"/>
    <col min="13838" max="13838" width="13" style="17" customWidth="1"/>
    <col min="13839" max="13839" width="14.1796875" style="17" customWidth="1"/>
    <col min="13840" max="13840" width="13" style="17" customWidth="1"/>
    <col min="13841" max="13841" width="14.1796875" style="17" customWidth="1"/>
    <col min="13842" max="13846" width="13" style="17" customWidth="1"/>
    <col min="13847" max="13847" width="16.81640625" style="17" customWidth="1"/>
    <col min="13848" max="13848" width="14.1796875" style="17" customWidth="1"/>
    <col min="13849" max="13849" width="13" style="17" customWidth="1"/>
    <col min="13850" max="13850" width="14.1796875" style="17" customWidth="1"/>
    <col min="13851" max="13852" width="13.36328125" style="17" customWidth="1"/>
    <col min="13853" max="13853" width="15.6328125" style="17" customWidth="1"/>
    <col min="13854" max="13854" width="14.36328125" style="17" customWidth="1"/>
    <col min="13855" max="13855" width="16" style="17" bestFit="1" customWidth="1"/>
    <col min="13856" max="13856" width="14.1796875" style="17" customWidth="1"/>
    <col min="13857" max="13857" width="13" style="17" customWidth="1"/>
    <col min="13858" max="13858" width="14.1796875" style="17" customWidth="1"/>
    <col min="13859" max="13859" width="13.36328125" style="17" customWidth="1"/>
    <col min="13860" max="13860" width="13.81640625" style="17" bestFit="1" customWidth="1"/>
    <col min="13861" max="13861" width="14.1796875" style="17" bestFit="1" customWidth="1"/>
    <col min="13862" max="13862" width="13.81640625" style="17" bestFit="1" customWidth="1"/>
    <col min="13863" max="14018" width="9.1796875" style="17"/>
    <col min="14019" max="14019" width="3.81640625" style="17" bestFit="1" customWidth="1"/>
    <col min="14020" max="14020" width="39.54296875" style="17" customWidth="1"/>
    <col min="14021" max="14021" width="16" style="17" customWidth="1"/>
    <col min="14022" max="14022" width="13" style="17" customWidth="1"/>
    <col min="14023" max="14023" width="16" style="17" customWidth="1"/>
    <col min="14024" max="14024" width="13" style="17" customWidth="1"/>
    <col min="14025" max="14025" width="14.1796875" style="17" customWidth="1"/>
    <col min="14026" max="14026" width="13" style="17" customWidth="1"/>
    <col min="14027" max="14027" width="14.90625" style="17" customWidth="1"/>
    <col min="14028" max="14028" width="13" style="17" customWidth="1"/>
    <col min="14029" max="14029" width="15.54296875" style="17" customWidth="1"/>
    <col min="14030" max="14030" width="13" style="17" customWidth="1"/>
    <col min="14031" max="14031" width="14.1796875" style="17" customWidth="1"/>
    <col min="14032" max="14032" width="13" style="17" customWidth="1"/>
    <col min="14033" max="14033" width="14.1796875" style="17" customWidth="1"/>
    <col min="14034" max="14034" width="13" style="17" customWidth="1"/>
    <col min="14035" max="14035" width="14.90625" style="17" customWidth="1"/>
    <col min="14036" max="14036" width="13" style="17" customWidth="1"/>
    <col min="14037" max="14037" width="15.54296875" style="17" customWidth="1"/>
    <col min="14038" max="14038" width="13" style="17" customWidth="1"/>
    <col min="14039" max="14039" width="14.1796875" style="17" customWidth="1"/>
    <col min="14040" max="14040" width="13" style="17" customWidth="1"/>
    <col min="14041" max="14041" width="15.54296875" style="17" customWidth="1"/>
    <col min="14042" max="14042" width="15.81640625" style="17" customWidth="1"/>
    <col min="14043" max="14043" width="14.1796875" style="17" customWidth="1"/>
    <col min="14044" max="14044" width="15.81640625" style="17" customWidth="1"/>
    <col min="14045" max="14045" width="15.54296875" style="17" customWidth="1"/>
    <col min="14046" max="14046" width="13" style="17" customWidth="1"/>
    <col min="14047" max="14047" width="14.1796875" style="17" customWidth="1"/>
    <col min="14048" max="14048" width="15.81640625" style="17" customWidth="1"/>
    <col min="14049" max="14049" width="16.453125" style="17" customWidth="1"/>
    <col min="14050" max="14050" width="15.54296875" style="17" customWidth="1"/>
    <col min="14051" max="14051" width="13" style="17" customWidth="1"/>
    <col min="14052" max="14052" width="16" style="17" customWidth="1"/>
    <col min="14053" max="14053" width="13" style="17" customWidth="1"/>
    <col min="14054" max="14054" width="11.08984375" style="17" customWidth="1"/>
    <col min="14055" max="14055" width="15.54296875" style="17" customWidth="1"/>
    <col min="14056" max="14056" width="13" style="17" customWidth="1"/>
    <col min="14057" max="14057" width="14.1796875" style="17" customWidth="1"/>
    <col min="14058" max="14058" width="15.81640625" style="17" customWidth="1"/>
    <col min="14059" max="14059" width="15.54296875" style="17" customWidth="1"/>
    <col min="14060" max="14060" width="13" style="17" customWidth="1"/>
    <col min="14061" max="14061" width="14.1796875" style="17" customWidth="1"/>
    <col min="14062" max="14062" width="15.81640625" style="17" customWidth="1"/>
    <col min="14063" max="14063" width="15.54296875" style="17" customWidth="1"/>
    <col min="14064" max="14064" width="13" style="17" customWidth="1"/>
    <col min="14065" max="14065" width="14.1796875" style="17" customWidth="1"/>
    <col min="14066" max="14066" width="15.81640625" style="17" customWidth="1"/>
    <col min="14067" max="14067" width="9.1796875" style="17"/>
    <col min="14068" max="14068" width="15.54296875" style="17" customWidth="1"/>
    <col min="14069" max="14069" width="13" style="17" customWidth="1"/>
    <col min="14070" max="14070" width="14.1796875" style="17" customWidth="1"/>
    <col min="14071" max="14071" width="15.81640625" style="17" customWidth="1"/>
    <col min="14072" max="14072" width="9.1796875" style="17"/>
    <col min="14073" max="14073" width="16" style="17" customWidth="1"/>
    <col min="14074" max="14074" width="13" style="17" customWidth="1"/>
    <col min="14075" max="14075" width="14.1796875" style="17" customWidth="1"/>
    <col min="14076" max="14076" width="13" style="17" customWidth="1"/>
    <col min="14077" max="14077" width="14.1796875" style="17" customWidth="1"/>
    <col min="14078" max="14078" width="13" style="17" customWidth="1"/>
    <col min="14079" max="14079" width="14.1796875" style="17" customWidth="1"/>
    <col min="14080" max="14080" width="13" style="17" customWidth="1"/>
    <col min="14081" max="14081" width="14.1796875" style="17" customWidth="1"/>
    <col min="14082" max="14082" width="13" style="17" customWidth="1"/>
    <col min="14083" max="14083" width="14.1796875" style="17" customWidth="1"/>
    <col min="14084" max="14085" width="13" style="17" customWidth="1"/>
    <col min="14086" max="14086" width="14.90625" style="17" bestFit="1" customWidth="1"/>
    <col min="14087" max="14087" width="13" style="17" customWidth="1"/>
    <col min="14088" max="14088" width="14.1796875" style="17" customWidth="1"/>
    <col min="14089" max="14089" width="13" style="17" customWidth="1"/>
    <col min="14090" max="14090" width="8.81640625" style="17" customWidth="1"/>
    <col min="14091" max="14091" width="14.1796875" style="17" customWidth="1"/>
    <col min="14092" max="14092" width="13" style="17" customWidth="1"/>
    <col min="14093" max="14093" width="14.1796875" style="17" customWidth="1"/>
    <col min="14094" max="14094" width="13" style="17" customWidth="1"/>
    <col min="14095" max="14095" width="14.1796875" style="17" customWidth="1"/>
    <col min="14096" max="14096" width="13" style="17" customWidth="1"/>
    <col min="14097" max="14097" width="14.1796875" style="17" customWidth="1"/>
    <col min="14098" max="14102" width="13" style="17" customWidth="1"/>
    <col min="14103" max="14103" width="16.81640625" style="17" customWidth="1"/>
    <col min="14104" max="14104" width="14.1796875" style="17" customWidth="1"/>
    <col min="14105" max="14105" width="13" style="17" customWidth="1"/>
    <col min="14106" max="14106" width="14.1796875" style="17" customWidth="1"/>
    <col min="14107" max="14108" width="13.36328125" style="17" customWidth="1"/>
    <col min="14109" max="14109" width="15.6328125" style="17" customWidth="1"/>
    <col min="14110" max="14110" width="14.36328125" style="17" customWidth="1"/>
    <col min="14111" max="14111" width="16" style="17" bestFit="1" customWidth="1"/>
    <col min="14112" max="14112" width="14.1796875" style="17" customWidth="1"/>
    <col min="14113" max="14113" width="13" style="17" customWidth="1"/>
    <col min="14114" max="14114" width="14.1796875" style="17" customWidth="1"/>
    <col min="14115" max="14115" width="13.36328125" style="17" customWidth="1"/>
    <col min="14116" max="14116" width="13.81640625" style="17" bestFit="1" customWidth="1"/>
    <col min="14117" max="14117" width="14.1796875" style="17" bestFit="1" customWidth="1"/>
    <col min="14118" max="14118" width="13.81640625" style="17" bestFit="1" customWidth="1"/>
    <col min="14119" max="14274" width="9.1796875" style="17"/>
    <col min="14275" max="14275" width="3.81640625" style="17" bestFit="1" customWidth="1"/>
    <col min="14276" max="14276" width="39.54296875" style="17" customWidth="1"/>
    <col min="14277" max="14277" width="16" style="17" customWidth="1"/>
    <col min="14278" max="14278" width="13" style="17" customWidth="1"/>
    <col min="14279" max="14279" width="16" style="17" customWidth="1"/>
    <col min="14280" max="14280" width="13" style="17" customWidth="1"/>
    <col min="14281" max="14281" width="14.1796875" style="17" customWidth="1"/>
    <col min="14282" max="14282" width="13" style="17" customWidth="1"/>
    <col min="14283" max="14283" width="14.90625" style="17" customWidth="1"/>
    <col min="14284" max="14284" width="13" style="17" customWidth="1"/>
    <col min="14285" max="14285" width="15.54296875" style="17" customWidth="1"/>
    <col min="14286" max="14286" width="13" style="17" customWidth="1"/>
    <col min="14287" max="14287" width="14.1796875" style="17" customWidth="1"/>
    <col min="14288" max="14288" width="13" style="17" customWidth="1"/>
    <col min="14289" max="14289" width="14.1796875" style="17" customWidth="1"/>
    <col min="14290" max="14290" width="13" style="17" customWidth="1"/>
    <col min="14291" max="14291" width="14.90625" style="17" customWidth="1"/>
    <col min="14292" max="14292" width="13" style="17" customWidth="1"/>
    <col min="14293" max="14293" width="15.54296875" style="17" customWidth="1"/>
    <col min="14294" max="14294" width="13" style="17" customWidth="1"/>
    <col min="14295" max="14295" width="14.1796875" style="17" customWidth="1"/>
    <col min="14296" max="14296" width="13" style="17" customWidth="1"/>
    <col min="14297" max="14297" width="15.54296875" style="17" customWidth="1"/>
    <col min="14298" max="14298" width="15.81640625" style="17" customWidth="1"/>
    <col min="14299" max="14299" width="14.1796875" style="17" customWidth="1"/>
    <col min="14300" max="14300" width="15.81640625" style="17" customWidth="1"/>
    <col min="14301" max="14301" width="15.54296875" style="17" customWidth="1"/>
    <col min="14302" max="14302" width="13" style="17" customWidth="1"/>
    <col min="14303" max="14303" width="14.1796875" style="17" customWidth="1"/>
    <col min="14304" max="14304" width="15.81640625" style="17" customWidth="1"/>
    <col min="14305" max="14305" width="16.453125" style="17" customWidth="1"/>
    <col min="14306" max="14306" width="15.54296875" style="17" customWidth="1"/>
    <col min="14307" max="14307" width="13" style="17" customWidth="1"/>
    <col min="14308" max="14308" width="16" style="17" customWidth="1"/>
    <col min="14309" max="14309" width="13" style="17" customWidth="1"/>
    <col min="14310" max="14310" width="11.08984375" style="17" customWidth="1"/>
    <col min="14311" max="14311" width="15.54296875" style="17" customWidth="1"/>
    <col min="14312" max="14312" width="13" style="17" customWidth="1"/>
    <col min="14313" max="14313" width="14.1796875" style="17" customWidth="1"/>
    <col min="14314" max="14314" width="15.81640625" style="17" customWidth="1"/>
    <col min="14315" max="14315" width="15.54296875" style="17" customWidth="1"/>
    <col min="14316" max="14316" width="13" style="17" customWidth="1"/>
    <col min="14317" max="14317" width="14.1796875" style="17" customWidth="1"/>
    <col min="14318" max="14318" width="15.81640625" style="17" customWidth="1"/>
    <col min="14319" max="14319" width="15.54296875" style="17" customWidth="1"/>
    <col min="14320" max="14320" width="13" style="17" customWidth="1"/>
    <col min="14321" max="14321" width="14.1796875" style="17" customWidth="1"/>
    <col min="14322" max="14322" width="15.81640625" style="17" customWidth="1"/>
    <col min="14323" max="14323" width="9.1796875" style="17"/>
    <col min="14324" max="14324" width="15.54296875" style="17" customWidth="1"/>
    <col min="14325" max="14325" width="13" style="17" customWidth="1"/>
    <col min="14326" max="14326" width="14.1796875" style="17" customWidth="1"/>
    <col min="14327" max="14327" width="15.81640625" style="17" customWidth="1"/>
    <col min="14328" max="14328" width="9.1796875" style="17"/>
    <col min="14329" max="14329" width="16" style="17" customWidth="1"/>
    <col min="14330" max="14330" width="13" style="17" customWidth="1"/>
    <col min="14331" max="14331" width="14.1796875" style="17" customWidth="1"/>
    <col min="14332" max="14332" width="13" style="17" customWidth="1"/>
    <col min="14333" max="14333" width="14.1796875" style="17" customWidth="1"/>
    <col min="14334" max="14334" width="13" style="17" customWidth="1"/>
    <col min="14335" max="14335" width="14.1796875" style="17" customWidth="1"/>
    <col min="14336" max="14336" width="13" style="17" customWidth="1"/>
    <col min="14337" max="14337" width="14.1796875" style="17" customWidth="1"/>
    <col min="14338" max="14338" width="13" style="17" customWidth="1"/>
    <col min="14339" max="14339" width="14.1796875" style="17" customWidth="1"/>
    <col min="14340" max="14341" width="13" style="17" customWidth="1"/>
    <col min="14342" max="14342" width="14.90625" style="17" bestFit="1" customWidth="1"/>
    <col min="14343" max="14343" width="13" style="17" customWidth="1"/>
    <col min="14344" max="14344" width="14.1796875" style="17" customWidth="1"/>
    <col min="14345" max="14345" width="13" style="17" customWidth="1"/>
    <col min="14346" max="14346" width="8.81640625" style="17" customWidth="1"/>
    <col min="14347" max="14347" width="14.1796875" style="17" customWidth="1"/>
    <col min="14348" max="14348" width="13" style="17" customWidth="1"/>
    <col min="14349" max="14349" width="14.1796875" style="17" customWidth="1"/>
    <col min="14350" max="14350" width="13" style="17" customWidth="1"/>
    <col min="14351" max="14351" width="14.1796875" style="17" customWidth="1"/>
    <col min="14352" max="14352" width="13" style="17" customWidth="1"/>
    <col min="14353" max="14353" width="14.1796875" style="17" customWidth="1"/>
    <col min="14354" max="14358" width="13" style="17" customWidth="1"/>
    <col min="14359" max="14359" width="16.81640625" style="17" customWidth="1"/>
    <col min="14360" max="14360" width="14.1796875" style="17" customWidth="1"/>
    <col min="14361" max="14361" width="13" style="17" customWidth="1"/>
    <col min="14362" max="14362" width="14.1796875" style="17" customWidth="1"/>
    <col min="14363" max="14364" width="13.36328125" style="17" customWidth="1"/>
    <col min="14365" max="14365" width="15.6328125" style="17" customWidth="1"/>
    <col min="14366" max="14366" width="14.36328125" style="17" customWidth="1"/>
    <col min="14367" max="14367" width="16" style="17" bestFit="1" customWidth="1"/>
    <col min="14368" max="14368" width="14.1796875" style="17" customWidth="1"/>
    <col min="14369" max="14369" width="13" style="17" customWidth="1"/>
    <col min="14370" max="14370" width="14.1796875" style="17" customWidth="1"/>
    <col min="14371" max="14371" width="13.36328125" style="17" customWidth="1"/>
    <col min="14372" max="14372" width="13.81640625" style="17" bestFit="1" customWidth="1"/>
    <col min="14373" max="14373" width="14.1796875" style="17" bestFit="1" customWidth="1"/>
    <col min="14374" max="14374" width="13.81640625" style="17" bestFit="1" customWidth="1"/>
    <col min="14375" max="14530" width="9.1796875" style="17"/>
    <col min="14531" max="14531" width="3.81640625" style="17" bestFit="1" customWidth="1"/>
    <col min="14532" max="14532" width="39.54296875" style="17" customWidth="1"/>
    <col min="14533" max="14533" width="16" style="17" customWidth="1"/>
    <col min="14534" max="14534" width="13" style="17" customWidth="1"/>
    <col min="14535" max="14535" width="16" style="17" customWidth="1"/>
    <col min="14536" max="14536" width="13" style="17" customWidth="1"/>
    <col min="14537" max="14537" width="14.1796875" style="17" customWidth="1"/>
    <col min="14538" max="14538" width="13" style="17" customWidth="1"/>
    <col min="14539" max="14539" width="14.90625" style="17" customWidth="1"/>
    <col min="14540" max="14540" width="13" style="17" customWidth="1"/>
    <col min="14541" max="14541" width="15.54296875" style="17" customWidth="1"/>
    <col min="14542" max="14542" width="13" style="17" customWidth="1"/>
    <col min="14543" max="14543" width="14.1796875" style="17" customWidth="1"/>
    <col min="14544" max="14544" width="13" style="17" customWidth="1"/>
    <col min="14545" max="14545" width="14.1796875" style="17" customWidth="1"/>
    <col min="14546" max="14546" width="13" style="17" customWidth="1"/>
    <col min="14547" max="14547" width="14.90625" style="17" customWidth="1"/>
    <col min="14548" max="14548" width="13" style="17" customWidth="1"/>
    <col min="14549" max="14549" width="15.54296875" style="17" customWidth="1"/>
    <col min="14550" max="14550" width="13" style="17" customWidth="1"/>
    <col min="14551" max="14551" width="14.1796875" style="17" customWidth="1"/>
    <col min="14552" max="14552" width="13" style="17" customWidth="1"/>
    <col min="14553" max="14553" width="15.54296875" style="17" customWidth="1"/>
    <col min="14554" max="14554" width="15.81640625" style="17" customWidth="1"/>
    <col min="14555" max="14555" width="14.1796875" style="17" customWidth="1"/>
    <col min="14556" max="14556" width="15.81640625" style="17" customWidth="1"/>
    <col min="14557" max="14557" width="15.54296875" style="17" customWidth="1"/>
    <col min="14558" max="14558" width="13" style="17" customWidth="1"/>
    <col min="14559" max="14559" width="14.1796875" style="17" customWidth="1"/>
    <col min="14560" max="14560" width="15.81640625" style="17" customWidth="1"/>
    <col min="14561" max="14561" width="16.453125" style="17" customWidth="1"/>
    <col min="14562" max="14562" width="15.54296875" style="17" customWidth="1"/>
    <col min="14563" max="14563" width="13" style="17" customWidth="1"/>
    <col min="14564" max="14564" width="16" style="17" customWidth="1"/>
    <col min="14565" max="14565" width="13" style="17" customWidth="1"/>
    <col min="14566" max="14566" width="11.08984375" style="17" customWidth="1"/>
    <col min="14567" max="14567" width="15.54296875" style="17" customWidth="1"/>
    <col min="14568" max="14568" width="13" style="17" customWidth="1"/>
    <col min="14569" max="14569" width="14.1796875" style="17" customWidth="1"/>
    <col min="14570" max="14570" width="15.81640625" style="17" customWidth="1"/>
    <col min="14571" max="14571" width="15.54296875" style="17" customWidth="1"/>
    <col min="14572" max="14572" width="13" style="17" customWidth="1"/>
    <col min="14573" max="14573" width="14.1796875" style="17" customWidth="1"/>
    <col min="14574" max="14574" width="15.81640625" style="17" customWidth="1"/>
    <col min="14575" max="14575" width="15.54296875" style="17" customWidth="1"/>
    <col min="14576" max="14576" width="13" style="17" customWidth="1"/>
    <col min="14577" max="14577" width="14.1796875" style="17" customWidth="1"/>
    <col min="14578" max="14578" width="15.81640625" style="17" customWidth="1"/>
    <col min="14579" max="14579" width="9.1796875" style="17"/>
    <col min="14580" max="14580" width="15.54296875" style="17" customWidth="1"/>
    <col min="14581" max="14581" width="13" style="17" customWidth="1"/>
    <col min="14582" max="14582" width="14.1796875" style="17" customWidth="1"/>
    <col min="14583" max="14583" width="15.81640625" style="17" customWidth="1"/>
    <col min="14584" max="14584" width="9.1796875" style="17"/>
    <col min="14585" max="14585" width="16" style="17" customWidth="1"/>
    <col min="14586" max="14586" width="13" style="17" customWidth="1"/>
    <col min="14587" max="14587" width="14.1796875" style="17" customWidth="1"/>
    <col min="14588" max="14588" width="13" style="17" customWidth="1"/>
    <col min="14589" max="14589" width="14.1796875" style="17" customWidth="1"/>
    <col min="14590" max="14590" width="13" style="17" customWidth="1"/>
    <col min="14591" max="14591" width="14.1796875" style="17" customWidth="1"/>
    <col min="14592" max="14592" width="13" style="17" customWidth="1"/>
    <col min="14593" max="14593" width="14.1796875" style="17" customWidth="1"/>
    <col min="14594" max="14594" width="13" style="17" customWidth="1"/>
    <col min="14595" max="14595" width="14.1796875" style="17" customWidth="1"/>
    <col min="14596" max="14597" width="13" style="17" customWidth="1"/>
    <col min="14598" max="14598" width="14.90625" style="17" bestFit="1" customWidth="1"/>
    <col min="14599" max="14599" width="13" style="17" customWidth="1"/>
    <col min="14600" max="14600" width="14.1796875" style="17" customWidth="1"/>
    <col min="14601" max="14601" width="13" style="17" customWidth="1"/>
    <col min="14602" max="14602" width="8.81640625" style="17" customWidth="1"/>
    <col min="14603" max="14603" width="14.1796875" style="17" customWidth="1"/>
    <col min="14604" max="14604" width="13" style="17" customWidth="1"/>
    <col min="14605" max="14605" width="14.1796875" style="17" customWidth="1"/>
    <col min="14606" max="14606" width="13" style="17" customWidth="1"/>
    <col min="14607" max="14607" width="14.1796875" style="17" customWidth="1"/>
    <col min="14608" max="14608" width="13" style="17" customWidth="1"/>
    <col min="14609" max="14609" width="14.1796875" style="17" customWidth="1"/>
    <col min="14610" max="14614" width="13" style="17" customWidth="1"/>
    <col min="14615" max="14615" width="16.81640625" style="17" customWidth="1"/>
    <col min="14616" max="14616" width="14.1796875" style="17" customWidth="1"/>
    <col min="14617" max="14617" width="13" style="17" customWidth="1"/>
    <col min="14618" max="14618" width="14.1796875" style="17" customWidth="1"/>
    <col min="14619" max="14620" width="13.36328125" style="17" customWidth="1"/>
    <col min="14621" max="14621" width="15.6328125" style="17" customWidth="1"/>
    <col min="14622" max="14622" width="14.36328125" style="17" customWidth="1"/>
    <col min="14623" max="14623" width="16" style="17" bestFit="1" customWidth="1"/>
    <col min="14624" max="14624" width="14.1796875" style="17" customWidth="1"/>
    <col min="14625" max="14625" width="13" style="17" customWidth="1"/>
    <col min="14626" max="14626" width="14.1796875" style="17" customWidth="1"/>
    <col min="14627" max="14627" width="13.36328125" style="17" customWidth="1"/>
    <col min="14628" max="14628" width="13.81640625" style="17" bestFit="1" customWidth="1"/>
    <col min="14629" max="14629" width="14.1796875" style="17" bestFit="1" customWidth="1"/>
    <col min="14630" max="14630" width="13.81640625" style="17" bestFit="1" customWidth="1"/>
    <col min="14631" max="14786" width="9.1796875" style="17"/>
    <col min="14787" max="14787" width="3.81640625" style="17" bestFit="1" customWidth="1"/>
    <col min="14788" max="14788" width="39.54296875" style="17" customWidth="1"/>
    <col min="14789" max="14789" width="16" style="17" customWidth="1"/>
    <col min="14790" max="14790" width="13" style="17" customWidth="1"/>
    <col min="14791" max="14791" width="16" style="17" customWidth="1"/>
    <col min="14792" max="14792" width="13" style="17" customWidth="1"/>
    <col min="14793" max="14793" width="14.1796875" style="17" customWidth="1"/>
    <col min="14794" max="14794" width="13" style="17" customWidth="1"/>
    <col min="14795" max="14795" width="14.90625" style="17" customWidth="1"/>
    <col min="14796" max="14796" width="13" style="17" customWidth="1"/>
    <col min="14797" max="14797" width="15.54296875" style="17" customWidth="1"/>
    <col min="14798" max="14798" width="13" style="17" customWidth="1"/>
    <col min="14799" max="14799" width="14.1796875" style="17" customWidth="1"/>
    <col min="14800" max="14800" width="13" style="17" customWidth="1"/>
    <col min="14801" max="14801" width="14.1796875" style="17" customWidth="1"/>
    <col min="14802" max="14802" width="13" style="17" customWidth="1"/>
    <col min="14803" max="14803" width="14.90625" style="17" customWidth="1"/>
    <col min="14804" max="14804" width="13" style="17" customWidth="1"/>
    <col min="14805" max="14805" width="15.54296875" style="17" customWidth="1"/>
    <col min="14806" max="14806" width="13" style="17" customWidth="1"/>
    <col min="14807" max="14807" width="14.1796875" style="17" customWidth="1"/>
    <col min="14808" max="14808" width="13" style="17" customWidth="1"/>
    <col min="14809" max="14809" width="15.54296875" style="17" customWidth="1"/>
    <col min="14810" max="14810" width="15.81640625" style="17" customWidth="1"/>
    <col min="14811" max="14811" width="14.1796875" style="17" customWidth="1"/>
    <col min="14812" max="14812" width="15.81640625" style="17" customWidth="1"/>
    <col min="14813" max="14813" width="15.54296875" style="17" customWidth="1"/>
    <col min="14814" max="14814" width="13" style="17" customWidth="1"/>
    <col min="14815" max="14815" width="14.1796875" style="17" customWidth="1"/>
    <col min="14816" max="14816" width="15.81640625" style="17" customWidth="1"/>
    <col min="14817" max="14817" width="16.453125" style="17" customWidth="1"/>
    <col min="14818" max="14818" width="15.54296875" style="17" customWidth="1"/>
    <col min="14819" max="14819" width="13" style="17" customWidth="1"/>
    <col min="14820" max="14820" width="16" style="17" customWidth="1"/>
    <col min="14821" max="14821" width="13" style="17" customWidth="1"/>
    <col min="14822" max="14822" width="11.08984375" style="17" customWidth="1"/>
    <col min="14823" max="14823" width="15.54296875" style="17" customWidth="1"/>
    <col min="14824" max="14824" width="13" style="17" customWidth="1"/>
    <col min="14825" max="14825" width="14.1796875" style="17" customWidth="1"/>
    <col min="14826" max="14826" width="15.81640625" style="17" customWidth="1"/>
    <col min="14827" max="14827" width="15.54296875" style="17" customWidth="1"/>
    <col min="14828" max="14828" width="13" style="17" customWidth="1"/>
    <col min="14829" max="14829" width="14.1796875" style="17" customWidth="1"/>
    <col min="14830" max="14830" width="15.81640625" style="17" customWidth="1"/>
    <col min="14831" max="14831" width="15.54296875" style="17" customWidth="1"/>
    <col min="14832" max="14832" width="13" style="17" customWidth="1"/>
    <col min="14833" max="14833" width="14.1796875" style="17" customWidth="1"/>
    <col min="14834" max="14834" width="15.81640625" style="17" customWidth="1"/>
    <col min="14835" max="14835" width="9.1796875" style="17"/>
    <col min="14836" max="14836" width="15.54296875" style="17" customWidth="1"/>
    <col min="14837" max="14837" width="13" style="17" customWidth="1"/>
    <col min="14838" max="14838" width="14.1796875" style="17" customWidth="1"/>
    <col min="14839" max="14839" width="15.81640625" style="17" customWidth="1"/>
    <col min="14840" max="14840" width="9.1796875" style="17"/>
    <col min="14841" max="14841" width="16" style="17" customWidth="1"/>
    <col min="14842" max="14842" width="13" style="17" customWidth="1"/>
    <col min="14843" max="14843" width="14.1796875" style="17" customWidth="1"/>
    <col min="14844" max="14844" width="13" style="17" customWidth="1"/>
    <col min="14845" max="14845" width="14.1796875" style="17" customWidth="1"/>
    <col min="14846" max="14846" width="13" style="17" customWidth="1"/>
    <col min="14847" max="14847" width="14.1796875" style="17" customWidth="1"/>
    <col min="14848" max="14848" width="13" style="17" customWidth="1"/>
    <col min="14849" max="14849" width="14.1796875" style="17" customWidth="1"/>
    <col min="14850" max="14850" width="13" style="17" customWidth="1"/>
    <col min="14851" max="14851" width="14.1796875" style="17" customWidth="1"/>
    <col min="14852" max="14853" width="13" style="17" customWidth="1"/>
    <col min="14854" max="14854" width="14.90625" style="17" bestFit="1" customWidth="1"/>
    <col min="14855" max="14855" width="13" style="17" customWidth="1"/>
    <col min="14856" max="14856" width="14.1796875" style="17" customWidth="1"/>
    <col min="14857" max="14857" width="13" style="17" customWidth="1"/>
    <col min="14858" max="14858" width="8.81640625" style="17" customWidth="1"/>
    <col min="14859" max="14859" width="14.1796875" style="17" customWidth="1"/>
    <col min="14860" max="14860" width="13" style="17" customWidth="1"/>
    <col min="14861" max="14861" width="14.1796875" style="17" customWidth="1"/>
    <col min="14862" max="14862" width="13" style="17" customWidth="1"/>
    <col min="14863" max="14863" width="14.1796875" style="17" customWidth="1"/>
    <col min="14864" max="14864" width="13" style="17" customWidth="1"/>
    <col min="14865" max="14865" width="14.1796875" style="17" customWidth="1"/>
    <col min="14866" max="14870" width="13" style="17" customWidth="1"/>
    <col min="14871" max="14871" width="16.81640625" style="17" customWidth="1"/>
    <col min="14872" max="14872" width="14.1796875" style="17" customWidth="1"/>
    <col min="14873" max="14873" width="13" style="17" customWidth="1"/>
    <col min="14874" max="14874" width="14.1796875" style="17" customWidth="1"/>
    <col min="14875" max="14876" width="13.36328125" style="17" customWidth="1"/>
    <col min="14877" max="14877" width="15.6328125" style="17" customWidth="1"/>
    <col min="14878" max="14878" width="14.36328125" style="17" customWidth="1"/>
    <col min="14879" max="14879" width="16" style="17" bestFit="1" customWidth="1"/>
    <col min="14880" max="14880" width="14.1796875" style="17" customWidth="1"/>
    <col min="14881" max="14881" width="13" style="17" customWidth="1"/>
    <col min="14882" max="14882" width="14.1796875" style="17" customWidth="1"/>
    <col min="14883" max="14883" width="13.36328125" style="17" customWidth="1"/>
    <col min="14884" max="14884" width="13.81640625" style="17" bestFit="1" customWidth="1"/>
    <col min="14885" max="14885" width="14.1796875" style="17" bestFit="1" customWidth="1"/>
    <col min="14886" max="14886" width="13.81640625" style="17" bestFit="1" customWidth="1"/>
    <col min="14887" max="15042" width="9.1796875" style="17"/>
    <col min="15043" max="15043" width="3.81640625" style="17" bestFit="1" customWidth="1"/>
    <col min="15044" max="15044" width="39.54296875" style="17" customWidth="1"/>
    <col min="15045" max="15045" width="16" style="17" customWidth="1"/>
    <col min="15046" max="15046" width="13" style="17" customWidth="1"/>
    <col min="15047" max="15047" width="16" style="17" customWidth="1"/>
    <col min="15048" max="15048" width="13" style="17" customWidth="1"/>
    <col min="15049" max="15049" width="14.1796875" style="17" customWidth="1"/>
    <col min="15050" max="15050" width="13" style="17" customWidth="1"/>
    <col min="15051" max="15051" width="14.90625" style="17" customWidth="1"/>
    <col min="15052" max="15052" width="13" style="17" customWidth="1"/>
    <col min="15053" max="15053" width="15.54296875" style="17" customWidth="1"/>
    <col min="15054" max="15054" width="13" style="17" customWidth="1"/>
    <col min="15055" max="15055" width="14.1796875" style="17" customWidth="1"/>
    <col min="15056" max="15056" width="13" style="17" customWidth="1"/>
    <col min="15057" max="15057" width="14.1796875" style="17" customWidth="1"/>
    <col min="15058" max="15058" width="13" style="17" customWidth="1"/>
    <col min="15059" max="15059" width="14.90625" style="17" customWidth="1"/>
    <col min="15060" max="15060" width="13" style="17" customWidth="1"/>
    <col min="15061" max="15061" width="15.54296875" style="17" customWidth="1"/>
    <col min="15062" max="15062" width="13" style="17" customWidth="1"/>
    <col min="15063" max="15063" width="14.1796875" style="17" customWidth="1"/>
    <col min="15064" max="15064" width="13" style="17" customWidth="1"/>
    <col min="15065" max="15065" width="15.54296875" style="17" customWidth="1"/>
    <col min="15066" max="15066" width="15.81640625" style="17" customWidth="1"/>
    <col min="15067" max="15067" width="14.1796875" style="17" customWidth="1"/>
    <col min="15068" max="15068" width="15.81640625" style="17" customWidth="1"/>
    <col min="15069" max="15069" width="15.54296875" style="17" customWidth="1"/>
    <col min="15070" max="15070" width="13" style="17" customWidth="1"/>
    <col min="15071" max="15071" width="14.1796875" style="17" customWidth="1"/>
    <col min="15072" max="15072" width="15.81640625" style="17" customWidth="1"/>
    <col min="15073" max="15073" width="16.453125" style="17" customWidth="1"/>
    <col min="15074" max="15074" width="15.54296875" style="17" customWidth="1"/>
    <col min="15075" max="15075" width="13" style="17" customWidth="1"/>
    <col min="15076" max="15076" width="16" style="17" customWidth="1"/>
    <col min="15077" max="15077" width="13" style="17" customWidth="1"/>
    <col min="15078" max="15078" width="11.08984375" style="17" customWidth="1"/>
    <col min="15079" max="15079" width="15.54296875" style="17" customWidth="1"/>
    <col min="15080" max="15080" width="13" style="17" customWidth="1"/>
    <col min="15081" max="15081" width="14.1796875" style="17" customWidth="1"/>
    <col min="15082" max="15082" width="15.81640625" style="17" customWidth="1"/>
    <col min="15083" max="15083" width="15.54296875" style="17" customWidth="1"/>
    <col min="15084" max="15084" width="13" style="17" customWidth="1"/>
    <col min="15085" max="15085" width="14.1796875" style="17" customWidth="1"/>
    <col min="15086" max="15086" width="15.81640625" style="17" customWidth="1"/>
    <col min="15087" max="15087" width="15.54296875" style="17" customWidth="1"/>
    <col min="15088" max="15088" width="13" style="17" customWidth="1"/>
    <col min="15089" max="15089" width="14.1796875" style="17" customWidth="1"/>
    <col min="15090" max="15090" width="15.81640625" style="17" customWidth="1"/>
    <col min="15091" max="15091" width="9.1796875" style="17"/>
    <col min="15092" max="15092" width="15.54296875" style="17" customWidth="1"/>
    <col min="15093" max="15093" width="13" style="17" customWidth="1"/>
    <col min="15094" max="15094" width="14.1796875" style="17" customWidth="1"/>
    <col min="15095" max="15095" width="15.81640625" style="17" customWidth="1"/>
    <col min="15096" max="15096" width="9.1796875" style="17"/>
    <col min="15097" max="15097" width="16" style="17" customWidth="1"/>
    <col min="15098" max="15098" width="13" style="17" customWidth="1"/>
    <col min="15099" max="15099" width="14.1796875" style="17" customWidth="1"/>
    <col min="15100" max="15100" width="13" style="17" customWidth="1"/>
    <col min="15101" max="15101" width="14.1796875" style="17" customWidth="1"/>
    <col min="15102" max="15102" width="13" style="17" customWidth="1"/>
    <col min="15103" max="15103" width="14.1796875" style="17" customWidth="1"/>
    <col min="15104" max="15104" width="13" style="17" customWidth="1"/>
    <col min="15105" max="15105" width="14.1796875" style="17" customWidth="1"/>
    <col min="15106" max="15106" width="13" style="17" customWidth="1"/>
    <col min="15107" max="15107" width="14.1796875" style="17" customWidth="1"/>
    <col min="15108" max="15109" width="13" style="17" customWidth="1"/>
    <col min="15110" max="15110" width="14.90625" style="17" bestFit="1" customWidth="1"/>
    <col min="15111" max="15111" width="13" style="17" customWidth="1"/>
    <col min="15112" max="15112" width="14.1796875" style="17" customWidth="1"/>
    <col min="15113" max="15113" width="13" style="17" customWidth="1"/>
    <col min="15114" max="15114" width="8.81640625" style="17" customWidth="1"/>
    <col min="15115" max="15115" width="14.1796875" style="17" customWidth="1"/>
    <col min="15116" max="15116" width="13" style="17" customWidth="1"/>
    <col min="15117" max="15117" width="14.1796875" style="17" customWidth="1"/>
    <col min="15118" max="15118" width="13" style="17" customWidth="1"/>
    <col min="15119" max="15119" width="14.1796875" style="17" customWidth="1"/>
    <col min="15120" max="15120" width="13" style="17" customWidth="1"/>
    <col min="15121" max="15121" width="14.1796875" style="17" customWidth="1"/>
    <col min="15122" max="15126" width="13" style="17" customWidth="1"/>
    <col min="15127" max="15127" width="16.81640625" style="17" customWidth="1"/>
    <col min="15128" max="15128" width="14.1796875" style="17" customWidth="1"/>
    <col min="15129" max="15129" width="13" style="17" customWidth="1"/>
    <col min="15130" max="15130" width="14.1796875" style="17" customWidth="1"/>
    <col min="15131" max="15132" width="13.36328125" style="17" customWidth="1"/>
    <col min="15133" max="15133" width="15.6328125" style="17" customWidth="1"/>
    <col min="15134" max="15134" width="14.36328125" style="17" customWidth="1"/>
    <col min="15135" max="15135" width="16" style="17" bestFit="1" customWidth="1"/>
    <col min="15136" max="15136" width="14.1796875" style="17" customWidth="1"/>
    <col min="15137" max="15137" width="13" style="17" customWidth="1"/>
    <col min="15138" max="15138" width="14.1796875" style="17" customWidth="1"/>
    <col min="15139" max="15139" width="13.36328125" style="17" customWidth="1"/>
    <col min="15140" max="15140" width="13.81640625" style="17" bestFit="1" customWidth="1"/>
    <col min="15141" max="15141" width="14.1796875" style="17" bestFit="1" customWidth="1"/>
    <col min="15142" max="15142" width="13.81640625" style="17" bestFit="1" customWidth="1"/>
    <col min="15143" max="15298" width="9.1796875" style="17"/>
    <col min="15299" max="15299" width="3.81640625" style="17" bestFit="1" customWidth="1"/>
    <col min="15300" max="15300" width="39.54296875" style="17" customWidth="1"/>
    <col min="15301" max="15301" width="16" style="17" customWidth="1"/>
    <col min="15302" max="15302" width="13" style="17" customWidth="1"/>
    <col min="15303" max="15303" width="16" style="17" customWidth="1"/>
    <col min="15304" max="15304" width="13" style="17" customWidth="1"/>
    <col min="15305" max="15305" width="14.1796875" style="17" customWidth="1"/>
    <col min="15306" max="15306" width="13" style="17" customWidth="1"/>
    <col min="15307" max="15307" width="14.90625" style="17" customWidth="1"/>
    <col min="15308" max="15308" width="13" style="17" customWidth="1"/>
    <col min="15309" max="15309" width="15.54296875" style="17" customWidth="1"/>
    <col min="15310" max="15310" width="13" style="17" customWidth="1"/>
    <col min="15311" max="15311" width="14.1796875" style="17" customWidth="1"/>
    <col min="15312" max="15312" width="13" style="17" customWidth="1"/>
    <col min="15313" max="15313" width="14.1796875" style="17" customWidth="1"/>
    <col min="15314" max="15314" width="13" style="17" customWidth="1"/>
    <col min="15315" max="15315" width="14.90625" style="17" customWidth="1"/>
    <col min="15316" max="15316" width="13" style="17" customWidth="1"/>
    <col min="15317" max="15317" width="15.54296875" style="17" customWidth="1"/>
    <col min="15318" max="15318" width="13" style="17" customWidth="1"/>
    <col min="15319" max="15319" width="14.1796875" style="17" customWidth="1"/>
    <col min="15320" max="15320" width="13" style="17" customWidth="1"/>
    <col min="15321" max="15321" width="15.54296875" style="17" customWidth="1"/>
    <col min="15322" max="15322" width="15.81640625" style="17" customWidth="1"/>
    <col min="15323" max="15323" width="14.1796875" style="17" customWidth="1"/>
    <col min="15324" max="15324" width="15.81640625" style="17" customWidth="1"/>
    <col min="15325" max="15325" width="15.54296875" style="17" customWidth="1"/>
    <col min="15326" max="15326" width="13" style="17" customWidth="1"/>
    <col min="15327" max="15327" width="14.1796875" style="17" customWidth="1"/>
    <col min="15328" max="15328" width="15.81640625" style="17" customWidth="1"/>
    <col min="15329" max="15329" width="16.453125" style="17" customWidth="1"/>
    <col min="15330" max="15330" width="15.54296875" style="17" customWidth="1"/>
    <col min="15331" max="15331" width="13" style="17" customWidth="1"/>
    <col min="15332" max="15332" width="16" style="17" customWidth="1"/>
    <col min="15333" max="15333" width="13" style="17" customWidth="1"/>
    <col min="15334" max="15334" width="11.08984375" style="17" customWidth="1"/>
    <col min="15335" max="15335" width="15.54296875" style="17" customWidth="1"/>
    <col min="15336" max="15336" width="13" style="17" customWidth="1"/>
    <col min="15337" max="15337" width="14.1796875" style="17" customWidth="1"/>
    <col min="15338" max="15338" width="15.81640625" style="17" customWidth="1"/>
    <col min="15339" max="15339" width="15.54296875" style="17" customWidth="1"/>
    <col min="15340" max="15340" width="13" style="17" customWidth="1"/>
    <col min="15341" max="15341" width="14.1796875" style="17" customWidth="1"/>
    <col min="15342" max="15342" width="15.81640625" style="17" customWidth="1"/>
    <col min="15343" max="15343" width="15.54296875" style="17" customWidth="1"/>
    <col min="15344" max="15344" width="13" style="17" customWidth="1"/>
    <col min="15345" max="15345" width="14.1796875" style="17" customWidth="1"/>
    <col min="15346" max="15346" width="15.81640625" style="17" customWidth="1"/>
    <col min="15347" max="15347" width="9.1796875" style="17"/>
    <col min="15348" max="15348" width="15.54296875" style="17" customWidth="1"/>
    <col min="15349" max="15349" width="13" style="17" customWidth="1"/>
    <col min="15350" max="15350" width="14.1796875" style="17" customWidth="1"/>
    <col min="15351" max="15351" width="15.81640625" style="17" customWidth="1"/>
    <col min="15352" max="15352" width="9.1796875" style="17"/>
    <col min="15353" max="15353" width="16" style="17" customWidth="1"/>
    <col min="15354" max="15354" width="13" style="17" customWidth="1"/>
    <col min="15355" max="15355" width="14.1796875" style="17" customWidth="1"/>
    <col min="15356" max="15356" width="13" style="17" customWidth="1"/>
    <col min="15357" max="15357" width="14.1796875" style="17" customWidth="1"/>
    <col min="15358" max="15358" width="13" style="17" customWidth="1"/>
    <col min="15359" max="15359" width="14.1796875" style="17" customWidth="1"/>
    <col min="15360" max="15360" width="13" style="17" customWidth="1"/>
    <col min="15361" max="15361" width="14.1796875" style="17" customWidth="1"/>
    <col min="15362" max="15362" width="13" style="17" customWidth="1"/>
    <col min="15363" max="15363" width="14.1796875" style="17" customWidth="1"/>
    <col min="15364" max="15365" width="13" style="17" customWidth="1"/>
    <col min="15366" max="15366" width="14.90625" style="17" bestFit="1" customWidth="1"/>
    <col min="15367" max="15367" width="13" style="17" customWidth="1"/>
    <col min="15368" max="15368" width="14.1796875" style="17" customWidth="1"/>
    <col min="15369" max="15369" width="13" style="17" customWidth="1"/>
    <col min="15370" max="15370" width="8.81640625" style="17" customWidth="1"/>
    <col min="15371" max="15371" width="14.1796875" style="17" customWidth="1"/>
    <col min="15372" max="15372" width="13" style="17" customWidth="1"/>
    <col min="15373" max="15373" width="14.1796875" style="17" customWidth="1"/>
    <col min="15374" max="15374" width="13" style="17" customWidth="1"/>
    <col min="15375" max="15375" width="14.1796875" style="17" customWidth="1"/>
    <col min="15376" max="15376" width="13" style="17" customWidth="1"/>
    <col min="15377" max="15377" width="14.1796875" style="17" customWidth="1"/>
    <col min="15378" max="15382" width="13" style="17" customWidth="1"/>
    <col min="15383" max="15383" width="16.81640625" style="17" customWidth="1"/>
    <col min="15384" max="15384" width="14.1796875" style="17" customWidth="1"/>
    <col min="15385" max="15385" width="13" style="17" customWidth="1"/>
    <col min="15386" max="15386" width="14.1796875" style="17" customWidth="1"/>
    <col min="15387" max="15388" width="13.36328125" style="17" customWidth="1"/>
    <col min="15389" max="15389" width="15.6328125" style="17" customWidth="1"/>
    <col min="15390" max="15390" width="14.36328125" style="17" customWidth="1"/>
    <col min="15391" max="15391" width="16" style="17" bestFit="1" customWidth="1"/>
    <col min="15392" max="15392" width="14.1796875" style="17" customWidth="1"/>
    <col min="15393" max="15393" width="13" style="17" customWidth="1"/>
    <col min="15394" max="15394" width="14.1796875" style="17" customWidth="1"/>
    <col min="15395" max="15395" width="13.36328125" style="17" customWidth="1"/>
    <col min="15396" max="15396" width="13.81640625" style="17" bestFit="1" customWidth="1"/>
    <col min="15397" max="15397" width="14.1796875" style="17" bestFit="1" customWidth="1"/>
    <col min="15398" max="15398" width="13.81640625" style="17" bestFit="1" customWidth="1"/>
    <col min="15399" max="15554" width="9.1796875" style="17"/>
    <col min="15555" max="15555" width="3.81640625" style="17" bestFit="1" customWidth="1"/>
    <col min="15556" max="15556" width="39.54296875" style="17" customWidth="1"/>
    <col min="15557" max="15557" width="16" style="17" customWidth="1"/>
    <col min="15558" max="15558" width="13" style="17" customWidth="1"/>
    <col min="15559" max="15559" width="16" style="17" customWidth="1"/>
    <col min="15560" max="15560" width="13" style="17" customWidth="1"/>
    <col min="15561" max="15561" width="14.1796875" style="17" customWidth="1"/>
    <col min="15562" max="15562" width="13" style="17" customWidth="1"/>
    <col min="15563" max="15563" width="14.90625" style="17" customWidth="1"/>
    <col min="15564" max="15564" width="13" style="17" customWidth="1"/>
    <col min="15565" max="15565" width="15.54296875" style="17" customWidth="1"/>
    <col min="15566" max="15566" width="13" style="17" customWidth="1"/>
    <col min="15567" max="15567" width="14.1796875" style="17" customWidth="1"/>
    <col min="15568" max="15568" width="13" style="17" customWidth="1"/>
    <col min="15569" max="15569" width="14.1796875" style="17" customWidth="1"/>
    <col min="15570" max="15570" width="13" style="17" customWidth="1"/>
    <col min="15571" max="15571" width="14.90625" style="17" customWidth="1"/>
    <col min="15572" max="15572" width="13" style="17" customWidth="1"/>
    <col min="15573" max="15573" width="15.54296875" style="17" customWidth="1"/>
    <col min="15574" max="15574" width="13" style="17" customWidth="1"/>
    <col min="15575" max="15575" width="14.1796875" style="17" customWidth="1"/>
    <col min="15576" max="15576" width="13" style="17" customWidth="1"/>
    <col min="15577" max="15577" width="15.54296875" style="17" customWidth="1"/>
    <col min="15578" max="15578" width="15.81640625" style="17" customWidth="1"/>
    <col min="15579" max="15579" width="14.1796875" style="17" customWidth="1"/>
    <col min="15580" max="15580" width="15.81640625" style="17" customWidth="1"/>
    <col min="15581" max="15581" width="15.54296875" style="17" customWidth="1"/>
    <col min="15582" max="15582" width="13" style="17" customWidth="1"/>
    <col min="15583" max="15583" width="14.1796875" style="17" customWidth="1"/>
    <col min="15584" max="15584" width="15.81640625" style="17" customWidth="1"/>
    <col min="15585" max="15585" width="16.453125" style="17" customWidth="1"/>
    <col min="15586" max="15586" width="15.54296875" style="17" customWidth="1"/>
    <col min="15587" max="15587" width="13" style="17" customWidth="1"/>
    <col min="15588" max="15588" width="16" style="17" customWidth="1"/>
    <col min="15589" max="15589" width="13" style="17" customWidth="1"/>
    <col min="15590" max="15590" width="11.08984375" style="17" customWidth="1"/>
    <col min="15591" max="15591" width="15.54296875" style="17" customWidth="1"/>
    <col min="15592" max="15592" width="13" style="17" customWidth="1"/>
    <col min="15593" max="15593" width="14.1796875" style="17" customWidth="1"/>
    <col min="15594" max="15594" width="15.81640625" style="17" customWidth="1"/>
    <col min="15595" max="15595" width="15.54296875" style="17" customWidth="1"/>
    <col min="15596" max="15596" width="13" style="17" customWidth="1"/>
    <col min="15597" max="15597" width="14.1796875" style="17" customWidth="1"/>
    <col min="15598" max="15598" width="15.81640625" style="17" customWidth="1"/>
    <col min="15599" max="15599" width="15.54296875" style="17" customWidth="1"/>
    <col min="15600" max="15600" width="13" style="17" customWidth="1"/>
    <col min="15601" max="15601" width="14.1796875" style="17" customWidth="1"/>
    <col min="15602" max="15602" width="15.81640625" style="17" customWidth="1"/>
    <col min="15603" max="15603" width="9.1796875" style="17"/>
    <col min="15604" max="15604" width="15.54296875" style="17" customWidth="1"/>
    <col min="15605" max="15605" width="13" style="17" customWidth="1"/>
    <col min="15606" max="15606" width="14.1796875" style="17" customWidth="1"/>
    <col min="15607" max="15607" width="15.81640625" style="17" customWidth="1"/>
    <col min="15608" max="15608" width="9.1796875" style="17"/>
    <col min="15609" max="15609" width="16" style="17" customWidth="1"/>
    <col min="15610" max="15610" width="13" style="17" customWidth="1"/>
    <col min="15611" max="15611" width="14.1796875" style="17" customWidth="1"/>
    <col min="15612" max="15612" width="13" style="17" customWidth="1"/>
    <col min="15613" max="15613" width="14.1796875" style="17" customWidth="1"/>
    <col min="15614" max="15614" width="13" style="17" customWidth="1"/>
    <col min="15615" max="15615" width="14.1796875" style="17" customWidth="1"/>
    <col min="15616" max="15616" width="13" style="17" customWidth="1"/>
    <col min="15617" max="15617" width="14.1796875" style="17" customWidth="1"/>
    <col min="15618" max="15618" width="13" style="17" customWidth="1"/>
    <col min="15619" max="15619" width="14.1796875" style="17" customWidth="1"/>
    <col min="15620" max="15621" width="13" style="17" customWidth="1"/>
    <col min="15622" max="15622" width="14.90625" style="17" bestFit="1" customWidth="1"/>
    <col min="15623" max="15623" width="13" style="17" customWidth="1"/>
    <col min="15624" max="15624" width="14.1796875" style="17" customWidth="1"/>
    <col min="15625" max="15625" width="13" style="17" customWidth="1"/>
    <col min="15626" max="15626" width="8.81640625" style="17" customWidth="1"/>
    <col min="15627" max="15627" width="14.1796875" style="17" customWidth="1"/>
    <col min="15628" max="15628" width="13" style="17" customWidth="1"/>
    <col min="15629" max="15629" width="14.1796875" style="17" customWidth="1"/>
    <col min="15630" max="15630" width="13" style="17" customWidth="1"/>
    <col min="15631" max="15631" width="14.1796875" style="17" customWidth="1"/>
    <col min="15632" max="15632" width="13" style="17" customWidth="1"/>
    <col min="15633" max="15633" width="14.1796875" style="17" customWidth="1"/>
    <col min="15634" max="15638" width="13" style="17" customWidth="1"/>
    <col min="15639" max="15639" width="16.81640625" style="17" customWidth="1"/>
    <col min="15640" max="15640" width="14.1796875" style="17" customWidth="1"/>
    <col min="15641" max="15641" width="13" style="17" customWidth="1"/>
    <col min="15642" max="15642" width="14.1796875" style="17" customWidth="1"/>
    <col min="15643" max="15644" width="13.36328125" style="17" customWidth="1"/>
    <col min="15645" max="15645" width="15.6328125" style="17" customWidth="1"/>
    <col min="15646" max="15646" width="14.36328125" style="17" customWidth="1"/>
    <col min="15647" max="15647" width="16" style="17" bestFit="1" customWidth="1"/>
    <col min="15648" max="15648" width="14.1796875" style="17" customWidth="1"/>
    <col min="15649" max="15649" width="13" style="17" customWidth="1"/>
    <col min="15650" max="15650" width="14.1796875" style="17" customWidth="1"/>
    <col min="15651" max="15651" width="13.36328125" style="17" customWidth="1"/>
    <col min="15652" max="15652" width="13.81640625" style="17" bestFit="1" customWidth="1"/>
    <col min="15653" max="15653" width="14.1796875" style="17" bestFit="1" customWidth="1"/>
    <col min="15654" max="15654" width="13.81640625" style="17" bestFit="1" customWidth="1"/>
    <col min="15655" max="15810" width="9.1796875" style="17"/>
    <col min="15811" max="15811" width="3.81640625" style="17" bestFit="1" customWidth="1"/>
    <col min="15812" max="15812" width="39.54296875" style="17" customWidth="1"/>
    <col min="15813" max="15813" width="16" style="17" customWidth="1"/>
    <col min="15814" max="15814" width="13" style="17" customWidth="1"/>
    <col min="15815" max="15815" width="16" style="17" customWidth="1"/>
    <col min="15816" max="15816" width="13" style="17" customWidth="1"/>
    <col min="15817" max="15817" width="14.1796875" style="17" customWidth="1"/>
    <col min="15818" max="15818" width="13" style="17" customWidth="1"/>
    <col min="15819" max="15819" width="14.90625" style="17" customWidth="1"/>
    <col min="15820" max="15820" width="13" style="17" customWidth="1"/>
    <col min="15821" max="15821" width="15.54296875" style="17" customWidth="1"/>
    <col min="15822" max="15822" width="13" style="17" customWidth="1"/>
    <col min="15823" max="15823" width="14.1796875" style="17" customWidth="1"/>
    <col min="15824" max="15824" width="13" style="17" customWidth="1"/>
    <col min="15825" max="15825" width="14.1796875" style="17" customWidth="1"/>
    <col min="15826" max="15826" width="13" style="17" customWidth="1"/>
    <col min="15827" max="15827" width="14.90625" style="17" customWidth="1"/>
    <col min="15828" max="15828" width="13" style="17" customWidth="1"/>
    <col min="15829" max="15829" width="15.54296875" style="17" customWidth="1"/>
    <col min="15830" max="15830" width="13" style="17" customWidth="1"/>
    <col min="15831" max="15831" width="14.1796875" style="17" customWidth="1"/>
    <col min="15832" max="15832" width="13" style="17" customWidth="1"/>
    <col min="15833" max="15833" width="15.54296875" style="17" customWidth="1"/>
    <col min="15834" max="15834" width="15.81640625" style="17" customWidth="1"/>
    <col min="15835" max="15835" width="14.1796875" style="17" customWidth="1"/>
    <col min="15836" max="15836" width="15.81640625" style="17" customWidth="1"/>
    <col min="15837" max="15837" width="15.54296875" style="17" customWidth="1"/>
    <col min="15838" max="15838" width="13" style="17" customWidth="1"/>
    <col min="15839" max="15839" width="14.1796875" style="17" customWidth="1"/>
    <col min="15840" max="15840" width="15.81640625" style="17" customWidth="1"/>
    <col min="15841" max="15841" width="16.453125" style="17" customWidth="1"/>
    <col min="15842" max="15842" width="15.54296875" style="17" customWidth="1"/>
    <col min="15843" max="15843" width="13" style="17" customWidth="1"/>
    <col min="15844" max="15844" width="16" style="17" customWidth="1"/>
    <col min="15845" max="15845" width="13" style="17" customWidth="1"/>
    <col min="15846" max="15846" width="11.08984375" style="17" customWidth="1"/>
    <col min="15847" max="15847" width="15.54296875" style="17" customWidth="1"/>
    <col min="15848" max="15848" width="13" style="17" customWidth="1"/>
    <col min="15849" max="15849" width="14.1796875" style="17" customWidth="1"/>
    <col min="15850" max="15850" width="15.81640625" style="17" customWidth="1"/>
    <col min="15851" max="15851" width="15.54296875" style="17" customWidth="1"/>
    <col min="15852" max="15852" width="13" style="17" customWidth="1"/>
    <col min="15853" max="15853" width="14.1796875" style="17" customWidth="1"/>
    <col min="15854" max="15854" width="15.81640625" style="17" customWidth="1"/>
    <col min="15855" max="15855" width="15.54296875" style="17" customWidth="1"/>
    <col min="15856" max="15856" width="13" style="17" customWidth="1"/>
    <col min="15857" max="15857" width="14.1796875" style="17" customWidth="1"/>
    <col min="15858" max="15858" width="15.81640625" style="17" customWidth="1"/>
    <col min="15859" max="15859" width="9.1796875" style="17"/>
    <col min="15860" max="15860" width="15.54296875" style="17" customWidth="1"/>
    <col min="15861" max="15861" width="13" style="17" customWidth="1"/>
    <col min="15862" max="15862" width="14.1796875" style="17" customWidth="1"/>
    <col min="15863" max="15863" width="15.81640625" style="17" customWidth="1"/>
    <col min="15864" max="15864" width="9.1796875" style="17"/>
    <col min="15865" max="15865" width="16" style="17" customWidth="1"/>
    <col min="15866" max="15866" width="13" style="17" customWidth="1"/>
    <col min="15867" max="15867" width="14.1796875" style="17" customWidth="1"/>
    <col min="15868" max="15868" width="13" style="17" customWidth="1"/>
    <col min="15869" max="15869" width="14.1796875" style="17" customWidth="1"/>
    <col min="15870" max="15870" width="13" style="17" customWidth="1"/>
    <col min="15871" max="15871" width="14.1796875" style="17" customWidth="1"/>
    <col min="15872" max="15872" width="13" style="17" customWidth="1"/>
    <col min="15873" max="15873" width="14.1796875" style="17" customWidth="1"/>
    <col min="15874" max="15874" width="13" style="17" customWidth="1"/>
    <col min="15875" max="15875" width="14.1796875" style="17" customWidth="1"/>
    <col min="15876" max="15877" width="13" style="17" customWidth="1"/>
    <col min="15878" max="15878" width="14.90625" style="17" bestFit="1" customWidth="1"/>
    <col min="15879" max="15879" width="13" style="17" customWidth="1"/>
    <col min="15880" max="15880" width="14.1796875" style="17" customWidth="1"/>
    <col min="15881" max="15881" width="13" style="17" customWidth="1"/>
    <col min="15882" max="15882" width="8.81640625" style="17" customWidth="1"/>
    <col min="15883" max="15883" width="14.1796875" style="17" customWidth="1"/>
    <col min="15884" max="15884" width="13" style="17" customWidth="1"/>
    <col min="15885" max="15885" width="14.1796875" style="17" customWidth="1"/>
    <col min="15886" max="15886" width="13" style="17" customWidth="1"/>
    <col min="15887" max="15887" width="14.1796875" style="17" customWidth="1"/>
    <col min="15888" max="15888" width="13" style="17" customWidth="1"/>
    <col min="15889" max="15889" width="14.1796875" style="17" customWidth="1"/>
    <col min="15890" max="15894" width="13" style="17" customWidth="1"/>
    <col min="15895" max="15895" width="16.81640625" style="17" customWidth="1"/>
    <col min="15896" max="15896" width="14.1796875" style="17" customWidth="1"/>
    <col min="15897" max="15897" width="13" style="17" customWidth="1"/>
    <col min="15898" max="15898" width="14.1796875" style="17" customWidth="1"/>
    <col min="15899" max="15900" width="13.36328125" style="17" customWidth="1"/>
    <col min="15901" max="15901" width="15.6328125" style="17" customWidth="1"/>
    <col min="15902" max="15902" width="14.36328125" style="17" customWidth="1"/>
    <col min="15903" max="15903" width="16" style="17" bestFit="1" customWidth="1"/>
    <col min="15904" max="15904" width="14.1796875" style="17" customWidth="1"/>
    <col min="15905" max="15905" width="13" style="17" customWidth="1"/>
    <col min="15906" max="15906" width="14.1796875" style="17" customWidth="1"/>
    <col min="15907" max="15907" width="13.36328125" style="17" customWidth="1"/>
    <col min="15908" max="15908" width="13.81640625" style="17" bestFit="1" customWidth="1"/>
    <col min="15909" max="15909" width="14.1796875" style="17" bestFit="1" customWidth="1"/>
    <col min="15910" max="15910" width="13.81640625" style="17" bestFit="1" customWidth="1"/>
    <col min="15911" max="16066" width="9.1796875" style="17"/>
    <col min="16067" max="16067" width="3.81640625" style="17" bestFit="1" customWidth="1"/>
    <col min="16068" max="16068" width="39.54296875" style="17" customWidth="1"/>
    <col min="16069" max="16069" width="16" style="17" customWidth="1"/>
    <col min="16070" max="16070" width="13" style="17" customWidth="1"/>
    <col min="16071" max="16071" width="16" style="17" customWidth="1"/>
    <col min="16072" max="16072" width="13" style="17" customWidth="1"/>
    <col min="16073" max="16073" width="14.1796875" style="17" customWidth="1"/>
    <col min="16074" max="16074" width="13" style="17" customWidth="1"/>
    <col min="16075" max="16075" width="14.90625" style="17" customWidth="1"/>
    <col min="16076" max="16076" width="13" style="17" customWidth="1"/>
    <col min="16077" max="16077" width="15.54296875" style="17" customWidth="1"/>
    <col min="16078" max="16078" width="13" style="17" customWidth="1"/>
    <col min="16079" max="16079" width="14.1796875" style="17" customWidth="1"/>
    <col min="16080" max="16080" width="13" style="17" customWidth="1"/>
    <col min="16081" max="16081" width="14.1796875" style="17" customWidth="1"/>
    <col min="16082" max="16082" width="13" style="17" customWidth="1"/>
    <col min="16083" max="16083" width="14.90625" style="17" customWidth="1"/>
    <col min="16084" max="16084" width="13" style="17" customWidth="1"/>
    <col min="16085" max="16085" width="15.54296875" style="17" customWidth="1"/>
    <col min="16086" max="16086" width="13" style="17" customWidth="1"/>
    <col min="16087" max="16087" width="14.1796875" style="17" customWidth="1"/>
    <col min="16088" max="16088" width="13" style="17" customWidth="1"/>
    <col min="16089" max="16089" width="15.54296875" style="17" customWidth="1"/>
    <col min="16090" max="16090" width="15.81640625" style="17" customWidth="1"/>
    <col min="16091" max="16091" width="14.1796875" style="17" customWidth="1"/>
    <col min="16092" max="16092" width="15.81640625" style="17" customWidth="1"/>
    <col min="16093" max="16093" width="15.54296875" style="17" customWidth="1"/>
    <col min="16094" max="16094" width="13" style="17" customWidth="1"/>
    <col min="16095" max="16095" width="14.1796875" style="17" customWidth="1"/>
    <col min="16096" max="16096" width="15.81640625" style="17" customWidth="1"/>
    <col min="16097" max="16097" width="16.453125" style="17" customWidth="1"/>
    <col min="16098" max="16098" width="15.54296875" style="17" customWidth="1"/>
    <col min="16099" max="16099" width="13" style="17" customWidth="1"/>
    <col min="16100" max="16100" width="16" style="17" customWidth="1"/>
    <col min="16101" max="16101" width="13" style="17" customWidth="1"/>
    <col min="16102" max="16102" width="11.08984375" style="17" customWidth="1"/>
    <col min="16103" max="16103" width="15.54296875" style="17" customWidth="1"/>
    <col min="16104" max="16104" width="13" style="17" customWidth="1"/>
    <col min="16105" max="16105" width="14.1796875" style="17" customWidth="1"/>
    <col min="16106" max="16106" width="15.81640625" style="17" customWidth="1"/>
    <col min="16107" max="16107" width="15.54296875" style="17" customWidth="1"/>
    <col min="16108" max="16108" width="13" style="17" customWidth="1"/>
    <col min="16109" max="16109" width="14.1796875" style="17" customWidth="1"/>
    <col min="16110" max="16110" width="15.81640625" style="17" customWidth="1"/>
    <col min="16111" max="16111" width="15.54296875" style="17" customWidth="1"/>
    <col min="16112" max="16112" width="13" style="17" customWidth="1"/>
    <col min="16113" max="16113" width="14.1796875" style="17" customWidth="1"/>
    <col min="16114" max="16114" width="15.81640625" style="17" customWidth="1"/>
    <col min="16115" max="16115" width="9.1796875" style="17"/>
    <col min="16116" max="16116" width="15.54296875" style="17" customWidth="1"/>
    <col min="16117" max="16117" width="13" style="17" customWidth="1"/>
    <col min="16118" max="16118" width="14.1796875" style="17" customWidth="1"/>
    <col min="16119" max="16119" width="15.81640625" style="17" customWidth="1"/>
    <col min="16120" max="16120" width="9.1796875" style="17"/>
    <col min="16121" max="16121" width="16" style="17" customWidth="1"/>
    <col min="16122" max="16122" width="13" style="17" customWidth="1"/>
    <col min="16123" max="16123" width="14.1796875" style="17" customWidth="1"/>
    <col min="16124" max="16124" width="13" style="17" customWidth="1"/>
    <col min="16125" max="16125" width="14.1796875" style="17" customWidth="1"/>
    <col min="16126" max="16126" width="13" style="17" customWidth="1"/>
    <col min="16127" max="16127" width="14.1796875" style="17" customWidth="1"/>
    <col min="16128" max="16128" width="13" style="17" customWidth="1"/>
    <col min="16129" max="16129" width="14.1796875" style="17" customWidth="1"/>
    <col min="16130" max="16130" width="13" style="17" customWidth="1"/>
    <col min="16131" max="16131" width="14.1796875" style="17" customWidth="1"/>
    <col min="16132" max="16133" width="13" style="17" customWidth="1"/>
    <col min="16134" max="16134" width="14.90625" style="17" bestFit="1" customWidth="1"/>
    <col min="16135" max="16135" width="13" style="17" customWidth="1"/>
    <col min="16136" max="16136" width="14.1796875" style="17" customWidth="1"/>
    <col min="16137" max="16137" width="13" style="17" customWidth="1"/>
    <col min="16138" max="16138" width="8.81640625" style="17" customWidth="1"/>
    <col min="16139" max="16139" width="14.1796875" style="17" customWidth="1"/>
    <col min="16140" max="16140" width="13" style="17" customWidth="1"/>
    <col min="16141" max="16141" width="14.1796875" style="17" customWidth="1"/>
    <col min="16142" max="16142" width="13" style="17" customWidth="1"/>
    <col min="16143" max="16143" width="14.1796875" style="17" customWidth="1"/>
    <col min="16144" max="16144" width="13" style="17" customWidth="1"/>
    <col min="16145" max="16145" width="14.1796875" style="17" customWidth="1"/>
    <col min="16146" max="16150" width="13" style="17" customWidth="1"/>
    <col min="16151" max="16151" width="16.81640625" style="17" customWidth="1"/>
    <col min="16152" max="16152" width="14.1796875" style="17" customWidth="1"/>
    <col min="16153" max="16153" width="13" style="17" customWidth="1"/>
    <col min="16154" max="16154" width="14.1796875" style="17" customWidth="1"/>
    <col min="16155" max="16156" width="13.36328125" style="17" customWidth="1"/>
    <col min="16157" max="16157" width="15.6328125" style="17" customWidth="1"/>
    <col min="16158" max="16158" width="14.36328125" style="17" customWidth="1"/>
    <col min="16159" max="16159" width="16" style="17" bestFit="1" customWidth="1"/>
    <col min="16160" max="16160" width="14.1796875" style="17" customWidth="1"/>
    <col min="16161" max="16161" width="13" style="17" customWidth="1"/>
    <col min="16162" max="16162" width="14.1796875" style="17" customWidth="1"/>
    <col min="16163" max="16163" width="13.36328125" style="17" customWidth="1"/>
    <col min="16164" max="16164" width="13.81640625" style="17" bestFit="1" customWidth="1"/>
    <col min="16165" max="16165" width="14.1796875" style="17" bestFit="1" customWidth="1"/>
    <col min="16166" max="16166" width="13.81640625" style="17" bestFit="1" customWidth="1"/>
    <col min="16167" max="16384" width="9.1796875" style="17"/>
  </cols>
  <sheetData>
    <row r="1" spans="2:85" ht="18.5" x14ac:dyDescent="0.45">
      <c r="B1" s="36" t="s">
        <v>584</v>
      </c>
      <c r="D1" s="394" t="s">
        <v>746</v>
      </c>
      <c r="G1" s="510"/>
      <c r="K1" s="510"/>
      <c r="O1" s="527">
        <f>157219+185345</f>
        <v>342564</v>
      </c>
      <c r="AG1" s="510">
        <v>367529</v>
      </c>
      <c r="AL1" s="510">
        <v>441624</v>
      </c>
      <c r="AQ1" s="510">
        <v>597025</v>
      </c>
      <c r="CE1" s="510">
        <f>SUM(G1:BZ1)</f>
        <v>1748742</v>
      </c>
    </row>
    <row r="2" spans="2:85" ht="15" thickBot="1" x14ac:dyDescent="0.4"/>
    <row r="3" spans="2:85" ht="40" hidden="1" thickBot="1" x14ac:dyDescent="0.4">
      <c r="B3" s="330" t="s">
        <v>627</v>
      </c>
      <c r="C3" s="380" t="s">
        <v>665</v>
      </c>
      <c r="D3" s="395" t="s">
        <v>666</v>
      </c>
      <c r="E3" s="380" t="s">
        <v>667</v>
      </c>
      <c r="G3" s="380" t="s">
        <v>665</v>
      </c>
      <c r="H3" s="380" t="s">
        <v>669</v>
      </c>
      <c r="I3" s="380" t="s">
        <v>667</v>
      </c>
      <c r="O3" s="380" t="s">
        <v>665</v>
      </c>
      <c r="P3" s="380" t="s">
        <v>669</v>
      </c>
      <c r="Q3" s="380" t="s">
        <v>667</v>
      </c>
      <c r="AG3" s="380" t="s">
        <v>665</v>
      </c>
      <c r="AH3" s="380" t="s">
        <v>669</v>
      </c>
      <c r="AI3" s="380" t="s">
        <v>667</v>
      </c>
      <c r="AL3" s="380" t="s">
        <v>665</v>
      </c>
      <c r="AM3" s="380" t="s">
        <v>669</v>
      </c>
      <c r="AN3" s="380" t="s">
        <v>667</v>
      </c>
      <c r="AQ3" s="380" t="s">
        <v>665</v>
      </c>
      <c r="AR3" s="380" t="s">
        <v>669</v>
      </c>
      <c r="AS3" s="380" t="s">
        <v>667</v>
      </c>
      <c r="AU3" s="380" t="s">
        <v>665</v>
      </c>
      <c r="AV3" s="380" t="s">
        <v>669</v>
      </c>
      <c r="AW3" s="380" t="s">
        <v>667</v>
      </c>
      <c r="BE3" s="380" t="s">
        <v>665</v>
      </c>
      <c r="BF3" s="380" t="s">
        <v>669</v>
      </c>
      <c r="BG3" s="380" t="s">
        <v>667</v>
      </c>
      <c r="BM3" s="380" t="s">
        <v>665</v>
      </c>
      <c r="BN3" s="380" t="s">
        <v>669</v>
      </c>
      <c r="BO3" s="380" t="s">
        <v>667</v>
      </c>
    </row>
    <row r="4" spans="2:85" ht="15" hidden="1" thickBot="1" x14ac:dyDescent="0.4">
      <c r="B4" s="330" t="s">
        <v>628</v>
      </c>
      <c r="C4" s="381"/>
      <c r="D4" s="396"/>
      <c r="E4" s="381"/>
      <c r="G4" s="381"/>
      <c r="H4" s="382"/>
      <c r="I4" s="381"/>
      <c r="O4" s="381"/>
      <c r="P4" s="382"/>
      <c r="Q4" s="381"/>
      <c r="AG4" s="381"/>
      <c r="AH4" s="382"/>
      <c r="AI4" s="381"/>
      <c r="AL4" s="381"/>
      <c r="AM4" s="382"/>
      <c r="AN4" s="381"/>
      <c r="AQ4" s="381"/>
      <c r="AR4" s="382"/>
      <c r="AS4" s="381"/>
      <c r="AU4" s="381"/>
      <c r="AV4" s="382"/>
      <c r="AW4" s="381"/>
      <c r="BE4" s="381"/>
      <c r="BF4" s="382"/>
      <c r="BG4" s="381"/>
      <c r="BM4" s="381"/>
      <c r="BN4" s="382"/>
      <c r="BO4" s="381"/>
    </row>
    <row r="5" spans="2:85" ht="15" hidden="1" thickBot="1" x14ac:dyDescent="0.4">
      <c r="B5" s="330"/>
      <c r="C5" s="381"/>
      <c r="D5" s="396"/>
      <c r="E5" s="381"/>
      <c r="G5" s="381"/>
      <c r="H5" s="383"/>
      <c r="I5" s="381"/>
      <c r="O5" s="381"/>
      <c r="P5" s="383"/>
      <c r="Q5" s="381"/>
      <c r="AG5" s="381"/>
      <c r="AH5" s="383"/>
      <c r="AI5" s="381"/>
      <c r="AL5" s="381"/>
      <c r="AM5" s="383"/>
      <c r="AN5" s="381"/>
      <c r="AQ5" s="381"/>
      <c r="AR5" s="383"/>
      <c r="AS5" s="381"/>
      <c r="AU5" s="381"/>
      <c r="AV5" s="383"/>
      <c r="AW5" s="381"/>
      <c r="BE5" s="381"/>
      <c r="BF5" s="383"/>
      <c r="BG5" s="381"/>
      <c r="BM5" s="381"/>
      <c r="BN5" s="383"/>
      <c r="BO5" s="381"/>
    </row>
    <row r="6" spans="2:85" ht="15" hidden="1" thickBot="1" x14ac:dyDescent="0.4">
      <c r="B6" s="330" t="s">
        <v>629</v>
      </c>
      <c r="C6" s="381"/>
      <c r="D6" s="396"/>
      <c r="E6" s="381"/>
      <c r="G6" s="381"/>
      <c r="H6" s="383"/>
      <c r="I6" s="381"/>
      <c r="O6" s="381"/>
      <c r="P6" s="383"/>
      <c r="Q6" s="381"/>
      <c r="AG6" s="381"/>
      <c r="AH6" s="383"/>
      <c r="AI6" s="381"/>
      <c r="AL6" s="381"/>
      <c r="AM6" s="383"/>
      <c r="AN6" s="381"/>
      <c r="AQ6" s="381"/>
      <c r="AR6" s="383"/>
      <c r="AS6" s="381"/>
      <c r="AU6" s="381"/>
      <c r="AV6" s="383"/>
      <c r="AW6" s="381"/>
      <c r="BE6" s="381"/>
      <c r="BF6" s="383"/>
      <c r="BG6" s="381"/>
      <c r="BM6" s="381"/>
      <c r="BN6" s="383"/>
      <c r="BO6" s="381"/>
    </row>
    <row r="7" spans="2:85" ht="15" hidden="1" thickBot="1" x14ac:dyDescent="0.4">
      <c r="B7" s="331" t="s">
        <v>630</v>
      </c>
      <c r="C7" s="381">
        <v>0</v>
      </c>
      <c r="D7" s="396"/>
      <c r="E7" s="381"/>
      <c r="G7" s="381">
        <v>0</v>
      </c>
      <c r="H7" s="383"/>
      <c r="I7" s="381">
        <v>0</v>
      </c>
      <c r="O7" s="381">
        <v>0</v>
      </c>
      <c r="P7" s="383"/>
      <c r="Q7" s="381">
        <v>0</v>
      </c>
      <c r="AG7" s="381">
        <v>0</v>
      </c>
      <c r="AH7" s="383"/>
      <c r="AI7" s="381"/>
      <c r="AJ7" s="18"/>
      <c r="AL7" s="381">
        <v>0</v>
      </c>
      <c r="AM7" s="383"/>
      <c r="AN7" s="381">
        <v>0</v>
      </c>
      <c r="AQ7" s="381">
        <v>0</v>
      </c>
      <c r="AR7" s="383"/>
      <c r="AS7" s="381">
        <v>0</v>
      </c>
      <c r="AU7" s="381">
        <v>0</v>
      </c>
      <c r="AV7" s="383"/>
      <c r="AW7" s="381"/>
      <c r="BE7" s="381">
        <v>0</v>
      </c>
      <c r="BF7" s="383"/>
      <c r="BG7" s="381">
        <v>0</v>
      </c>
      <c r="BM7" s="381">
        <v>0</v>
      </c>
      <c r="BN7" s="383">
        <v>0</v>
      </c>
      <c r="BO7" s="381">
        <v>0</v>
      </c>
      <c r="CE7" s="61">
        <f t="shared" ref="CE7:CE16" si="0">SUM(C7:CD7)</f>
        <v>0</v>
      </c>
      <c r="CF7" s="325">
        <v>165.52</v>
      </c>
    </row>
    <row r="8" spans="2:85" ht="15" hidden="1" thickBot="1" x14ac:dyDescent="0.4">
      <c r="B8" s="331" t="s">
        <v>631</v>
      </c>
      <c r="C8" s="381"/>
      <c r="D8" s="396"/>
      <c r="E8" s="381"/>
      <c r="G8" s="381"/>
      <c r="H8" s="383"/>
      <c r="I8" s="381"/>
      <c r="O8" s="381"/>
      <c r="P8" s="383"/>
      <c r="Q8" s="381"/>
      <c r="AG8" s="381"/>
      <c r="AH8" s="383"/>
      <c r="AI8" s="381"/>
      <c r="AJ8" s="18"/>
      <c r="AL8" s="381"/>
      <c r="AM8" s="383"/>
      <c r="AN8" s="381"/>
      <c r="AQ8" s="381"/>
      <c r="AR8" s="383"/>
      <c r="AS8" s="381"/>
      <c r="AU8" s="381"/>
      <c r="AV8" s="383"/>
      <c r="AW8" s="381"/>
      <c r="BE8" s="381"/>
      <c r="BF8" s="383"/>
      <c r="BG8" s="381"/>
      <c r="BM8" s="381">
        <v>0</v>
      </c>
      <c r="BN8" s="383"/>
      <c r="BO8" s="381"/>
      <c r="CE8" s="60">
        <f t="shared" si="0"/>
        <v>0</v>
      </c>
    </row>
    <row r="9" spans="2:85" s="389" customFormat="1" ht="17.5" hidden="1" thickBot="1" x14ac:dyDescent="0.45">
      <c r="B9" s="385"/>
      <c r="C9" s="386">
        <f>(C8*0.4)+C7</f>
        <v>0</v>
      </c>
      <c r="D9" s="397"/>
      <c r="E9" s="386"/>
      <c r="F9" s="408"/>
      <c r="G9" s="386">
        <f>(G8*0.4)+G7</f>
        <v>0</v>
      </c>
      <c r="H9" s="387"/>
      <c r="I9" s="386"/>
      <c r="K9" s="390"/>
      <c r="L9" s="391"/>
      <c r="M9" s="390"/>
      <c r="O9" s="386">
        <f>(O8*0.4)+O7</f>
        <v>0</v>
      </c>
      <c r="P9" s="387"/>
      <c r="Q9" s="386"/>
      <c r="S9" s="390"/>
      <c r="T9" s="391"/>
      <c r="U9" s="388"/>
      <c r="W9" s="390"/>
      <c r="X9" s="391"/>
      <c r="Y9" s="390"/>
      <c r="AA9" s="392"/>
      <c r="AB9" s="388"/>
      <c r="AD9" s="388"/>
      <c r="AG9" s="386">
        <f>(AG8*0.4)+AG7</f>
        <v>0</v>
      </c>
      <c r="AH9" s="387"/>
      <c r="AI9" s="386"/>
      <c r="AJ9" s="391"/>
      <c r="AL9" s="386">
        <f>(AL8*0.4)+AL7</f>
        <v>0</v>
      </c>
      <c r="AM9" s="387"/>
      <c r="AN9" s="386"/>
      <c r="AP9" s="503"/>
      <c r="AQ9" s="386">
        <f>(AQ8*0.4)+AQ7</f>
        <v>0</v>
      </c>
      <c r="AR9" s="387"/>
      <c r="AS9" s="386"/>
      <c r="AU9" s="386">
        <v>0</v>
      </c>
      <c r="AV9" s="387"/>
      <c r="AW9" s="386"/>
      <c r="AZ9" s="388"/>
      <c r="BA9" s="391"/>
      <c r="BE9" s="386">
        <v>0</v>
      </c>
      <c r="BF9" s="387"/>
      <c r="BG9" s="386"/>
      <c r="BI9" s="388"/>
      <c r="BJ9" s="391"/>
      <c r="BK9" s="388"/>
      <c r="BM9" s="386">
        <f>(BM8*0.4)+BM7</f>
        <v>0</v>
      </c>
      <c r="BN9" s="387"/>
      <c r="BO9" s="386"/>
      <c r="BQ9" s="393"/>
      <c r="BR9" s="388"/>
      <c r="BS9" s="391"/>
      <c r="BT9" s="388"/>
      <c r="BW9" s="388"/>
      <c r="BY9" s="388"/>
      <c r="CB9" s="388"/>
      <c r="CC9" s="388"/>
      <c r="CE9" s="388">
        <f t="shared" si="0"/>
        <v>0</v>
      </c>
      <c r="CF9" s="391"/>
      <c r="CG9" s="388"/>
    </row>
    <row r="10" spans="2:85" ht="15" hidden="1" thickBot="1" x14ac:dyDescent="0.4">
      <c r="B10" s="330" t="s">
        <v>632</v>
      </c>
      <c r="C10" s="381"/>
      <c r="D10" s="396"/>
      <c r="E10" s="381"/>
      <c r="G10" s="381"/>
      <c r="H10" s="383"/>
      <c r="I10" s="381"/>
      <c r="O10" s="381"/>
      <c r="P10" s="383"/>
      <c r="Q10" s="381"/>
      <c r="AG10" s="381"/>
      <c r="AH10" s="383"/>
      <c r="AI10" s="381"/>
      <c r="AJ10" s="18"/>
      <c r="AL10" s="381"/>
      <c r="AM10" s="383"/>
      <c r="AN10" s="381"/>
      <c r="AQ10" s="381"/>
      <c r="AR10" s="383"/>
      <c r="AS10" s="381"/>
      <c r="AU10" s="381"/>
      <c r="AV10" s="383"/>
      <c r="AW10" s="381"/>
      <c r="BE10" s="381"/>
      <c r="BF10" s="383"/>
      <c r="BG10" s="381"/>
      <c r="BM10" s="381"/>
      <c r="BN10" s="383"/>
      <c r="BO10" s="381"/>
      <c r="CE10" s="60">
        <f t="shared" si="0"/>
        <v>0</v>
      </c>
    </row>
    <row r="11" spans="2:85" ht="15" hidden="1" thickBot="1" x14ac:dyDescent="0.4">
      <c r="B11" s="332" t="s">
        <v>630</v>
      </c>
      <c r="C11" s="381"/>
      <c r="D11" s="396"/>
      <c r="E11" s="381"/>
      <c r="G11" s="381"/>
      <c r="H11" s="383"/>
      <c r="I11" s="381"/>
      <c r="O11" s="381"/>
      <c r="P11" s="383"/>
      <c r="Q11" s="381"/>
      <c r="AG11" s="381"/>
      <c r="AH11" s="383"/>
      <c r="AI11" s="381"/>
      <c r="AJ11" s="18"/>
      <c r="AL11" s="381"/>
      <c r="AM11" s="383"/>
      <c r="AN11" s="381"/>
      <c r="AQ11" s="381"/>
      <c r="AR11" s="383"/>
      <c r="AS11" s="381"/>
      <c r="AU11" s="381"/>
      <c r="AV11" s="383"/>
      <c r="AW11" s="381"/>
      <c r="BE11" s="381"/>
      <c r="BF11" s="383"/>
      <c r="BG11" s="381"/>
      <c r="BM11" s="381"/>
      <c r="BN11" s="383"/>
      <c r="BO11" s="381"/>
      <c r="CE11" s="60">
        <f t="shared" si="0"/>
        <v>0</v>
      </c>
    </row>
    <row r="12" spans="2:85" ht="15" hidden="1" thickBot="1" x14ac:dyDescent="0.4">
      <c r="B12" s="332" t="s">
        <v>633</v>
      </c>
      <c r="C12" s="381"/>
      <c r="D12" s="396"/>
      <c r="E12" s="383"/>
      <c r="G12" s="381"/>
      <c r="H12" s="383"/>
      <c r="I12" s="381"/>
      <c r="O12" s="381"/>
      <c r="P12" s="383"/>
      <c r="Q12" s="381"/>
      <c r="AG12" s="381"/>
      <c r="AH12" s="383"/>
      <c r="AI12" s="381"/>
      <c r="AJ12" s="18"/>
      <c r="AL12" s="381"/>
      <c r="AM12" s="383"/>
      <c r="AN12" s="381"/>
      <c r="AQ12" s="381"/>
      <c r="AR12" s="383"/>
      <c r="AS12" s="381"/>
      <c r="AU12" s="381"/>
      <c r="AV12" s="383"/>
      <c r="AW12" s="381"/>
      <c r="BE12" s="381"/>
      <c r="BF12" s="383"/>
      <c r="BG12" s="381"/>
      <c r="BM12" s="381"/>
      <c r="BN12" s="383"/>
      <c r="BO12" s="381"/>
      <c r="CE12" s="60">
        <f t="shared" si="0"/>
        <v>0</v>
      </c>
    </row>
    <row r="13" spans="2:85" ht="15" hidden="1" thickBot="1" x14ac:dyDescent="0.4">
      <c r="B13" s="332"/>
      <c r="C13" s="381"/>
      <c r="D13" s="396"/>
      <c r="E13" s="381"/>
      <c r="G13" s="381"/>
      <c r="H13" s="383"/>
      <c r="I13" s="381"/>
      <c r="O13" s="381"/>
      <c r="P13" s="383"/>
      <c r="Q13" s="381"/>
      <c r="AG13" s="381"/>
      <c r="AH13" s="383"/>
      <c r="AI13" s="381"/>
      <c r="AJ13" s="18"/>
      <c r="AL13" s="381"/>
      <c r="AM13" s="383"/>
      <c r="AN13" s="381"/>
      <c r="AQ13" s="381"/>
      <c r="AR13" s="383"/>
      <c r="AS13" s="381"/>
      <c r="AU13" s="381"/>
      <c r="AV13" s="383"/>
      <c r="AW13" s="381"/>
      <c r="BE13" s="381"/>
      <c r="BF13" s="383"/>
      <c r="BG13" s="381"/>
      <c r="BM13" s="381"/>
      <c r="BN13" s="383"/>
      <c r="BO13" s="381"/>
      <c r="CE13" s="60">
        <f t="shared" si="0"/>
        <v>0</v>
      </c>
    </row>
    <row r="14" spans="2:85" ht="15" hidden="1" thickBot="1" x14ac:dyDescent="0.4">
      <c r="B14" s="332" t="s">
        <v>634</v>
      </c>
      <c r="C14" s="381"/>
      <c r="D14" s="396"/>
      <c r="E14" s="381"/>
      <c r="G14" s="381"/>
      <c r="H14" s="383"/>
      <c r="I14" s="381"/>
      <c r="O14" s="381"/>
      <c r="P14" s="383"/>
      <c r="Q14" s="381"/>
      <c r="AG14" s="381"/>
      <c r="AH14" s="383"/>
      <c r="AI14" s="381"/>
      <c r="AJ14" s="18"/>
      <c r="AL14" s="381"/>
      <c r="AM14" s="383"/>
      <c r="AN14" s="381"/>
      <c r="AQ14" s="381"/>
      <c r="AR14" s="383"/>
      <c r="AS14" s="381"/>
      <c r="AU14" s="381"/>
      <c r="AV14" s="383"/>
      <c r="AW14" s="381"/>
      <c r="BE14" s="381"/>
      <c r="BF14" s="383"/>
      <c r="BG14" s="381"/>
      <c r="BM14" s="381"/>
      <c r="BN14" s="383"/>
      <c r="BO14" s="381"/>
      <c r="CE14" s="60">
        <f t="shared" si="0"/>
        <v>0</v>
      </c>
    </row>
    <row r="15" spans="2:85" ht="15" hidden="1" thickBot="1" x14ac:dyDescent="0.4">
      <c r="B15" s="332" t="s">
        <v>633</v>
      </c>
      <c r="C15" s="384"/>
      <c r="D15" s="396"/>
      <c r="E15" s="381"/>
      <c r="G15" s="384"/>
      <c r="H15" s="383"/>
      <c r="I15" s="381"/>
      <c r="O15" s="384"/>
      <c r="P15" s="383"/>
      <c r="Q15" s="381"/>
      <c r="AG15" s="384"/>
      <c r="AH15" s="383"/>
      <c r="AI15" s="381"/>
      <c r="AJ15" s="18"/>
      <c r="AL15" s="384"/>
      <c r="AM15" s="383"/>
      <c r="AN15" s="381"/>
      <c r="AQ15" s="384"/>
      <c r="AR15" s="383"/>
      <c r="AS15" s="381"/>
      <c r="AU15" s="384"/>
      <c r="AV15" s="383"/>
      <c r="AW15" s="381"/>
      <c r="BE15" s="384"/>
      <c r="BF15" s="383"/>
      <c r="BG15" s="381"/>
      <c r="BM15" s="384"/>
      <c r="BN15" s="383"/>
      <c r="BO15" s="381"/>
      <c r="CE15" s="60">
        <f t="shared" si="0"/>
        <v>0</v>
      </c>
    </row>
    <row r="16" spans="2:85" ht="15" hidden="1" thickBot="1" x14ac:dyDescent="0.4">
      <c r="B16" s="332" t="s">
        <v>635</v>
      </c>
      <c r="C16" s="381"/>
      <c r="D16" s="396"/>
      <c r="E16" s="381"/>
      <c r="G16" s="381"/>
      <c r="H16" s="383"/>
      <c r="I16" s="381"/>
      <c r="O16" s="381"/>
      <c r="P16" s="383"/>
      <c r="Q16" s="381"/>
      <c r="AG16" s="381"/>
      <c r="AH16" s="383"/>
      <c r="AI16" s="381"/>
      <c r="AJ16" s="18"/>
      <c r="AL16" s="381"/>
      <c r="AM16" s="383"/>
      <c r="AN16" s="381"/>
      <c r="AQ16" s="381"/>
      <c r="AR16" s="383"/>
      <c r="AS16" s="381"/>
      <c r="AU16" s="381"/>
      <c r="AV16" s="383"/>
      <c r="AW16" s="381"/>
      <c r="BE16" s="381"/>
      <c r="BF16" s="383"/>
      <c r="BG16" s="381"/>
      <c r="BM16" s="381"/>
      <c r="BN16" s="383"/>
      <c r="BO16" s="381"/>
      <c r="CE16" s="60">
        <f t="shared" si="0"/>
        <v>0</v>
      </c>
    </row>
    <row r="17" spans="1:86" ht="16" hidden="1" thickBot="1" x14ac:dyDescent="0.4">
      <c r="B17" s="367" t="s">
        <v>668</v>
      </c>
      <c r="C17" s="368" t="e">
        <f>#REF!-#REF!+#REF!</f>
        <v>#REF!</v>
      </c>
      <c r="D17" s="398"/>
      <c r="E17" s="366"/>
      <c r="F17" s="285"/>
      <c r="G17" s="369" t="e">
        <f>#REF!-#REF!+#REF!</f>
        <v>#REF!</v>
      </c>
      <c r="H17" s="370"/>
      <c r="I17" s="369"/>
      <c r="J17" s="286"/>
      <c r="K17" s="369"/>
      <c r="L17" s="370"/>
      <c r="M17" s="369"/>
      <c r="N17" s="286"/>
      <c r="O17" s="369" t="e">
        <f>#REF!-#REF!+#REF!</f>
        <v>#REF!</v>
      </c>
      <c r="P17" s="370"/>
      <c r="Q17" s="369"/>
      <c r="R17" s="286"/>
      <c r="S17" s="369"/>
      <c r="T17" s="370"/>
      <c r="U17" s="366"/>
      <c r="V17" s="286"/>
      <c r="W17" s="369"/>
      <c r="X17" s="370"/>
      <c r="Y17" s="369"/>
      <c r="Z17" s="286"/>
      <c r="AA17" s="371"/>
      <c r="AB17" s="366"/>
      <c r="AC17" s="286"/>
      <c r="AD17" s="366"/>
      <c r="AE17" s="286"/>
      <c r="AF17" s="286"/>
      <c r="AG17" s="366" t="e">
        <f>#REF!-#REF!+#REF!</f>
        <v>#REF!</v>
      </c>
      <c r="AH17" s="370"/>
      <c r="AI17" s="366"/>
      <c r="AJ17" s="286"/>
      <c r="AK17" s="286"/>
      <c r="AL17" s="369" t="e">
        <f>#REF!-#REF!+#REF!</f>
        <v>#REF!</v>
      </c>
      <c r="AM17" s="370"/>
      <c r="AN17" s="369"/>
      <c r="AO17" s="286"/>
      <c r="AP17" s="23"/>
      <c r="AQ17" s="366" t="e">
        <f>#REF!-#REF!+#REF!</f>
        <v>#REF!</v>
      </c>
      <c r="AR17" s="370"/>
      <c r="AS17" s="372"/>
      <c r="AT17" s="286"/>
      <c r="AU17" s="366" t="e">
        <f>#REF!-#REF!+#REF!</f>
        <v>#REF!</v>
      </c>
      <c r="AV17" s="370"/>
      <c r="AW17" s="366"/>
      <c r="AX17" s="286"/>
      <c r="AY17" s="286"/>
      <c r="AZ17" s="366"/>
      <c r="BA17" s="370"/>
      <c r="BB17" s="286"/>
      <c r="BC17" s="286"/>
      <c r="BD17" s="286"/>
      <c r="BE17" s="366"/>
      <c r="BF17" s="370"/>
      <c r="BG17" s="366"/>
      <c r="BH17" s="286"/>
      <c r="BI17" s="366"/>
      <c r="BJ17" s="370"/>
      <c r="BK17" s="366"/>
      <c r="BL17" s="286"/>
      <c r="BM17" s="366" t="e">
        <f>#REF!-#REF!+#REF!</f>
        <v>#REF!</v>
      </c>
      <c r="BN17" s="286"/>
      <c r="BO17" s="369"/>
      <c r="BP17" s="286"/>
      <c r="BQ17" s="373"/>
      <c r="BR17" s="366"/>
      <c r="BS17" s="370"/>
      <c r="BT17" s="366"/>
      <c r="BU17" s="286"/>
      <c r="BV17" s="286"/>
      <c r="BW17" s="366"/>
      <c r="BX17" s="286"/>
      <c r="BY17" s="366"/>
      <c r="BZ17" s="286"/>
      <c r="CA17" s="286"/>
      <c r="CB17" s="366"/>
      <c r="CC17" s="366"/>
      <c r="CD17" s="286"/>
      <c r="CE17" s="366" t="e">
        <f>+#REF!-#REF!+#REF!</f>
        <v>#REF!</v>
      </c>
    </row>
    <row r="18" spans="1:86" ht="15" hidden="1" thickBot="1" x14ac:dyDescent="0.4"/>
    <row r="19" spans="1:86" s="284" customFormat="1" ht="47.5" customHeight="1" x14ac:dyDescent="0.35">
      <c r="A19" s="232"/>
      <c r="B19" s="219" t="s">
        <v>454</v>
      </c>
      <c r="C19" s="220" t="s">
        <v>746</v>
      </c>
      <c r="D19" s="399" t="s">
        <v>503</v>
      </c>
      <c r="E19" s="222" t="s">
        <v>504</v>
      </c>
      <c r="F19" s="409" t="s">
        <v>503</v>
      </c>
      <c r="G19" s="224" t="str">
        <f>C19</f>
        <v>Apr-26</v>
      </c>
      <c r="H19" s="225" t="s">
        <v>503</v>
      </c>
      <c r="I19" s="226" t="s">
        <v>504</v>
      </c>
      <c r="J19" s="227" t="s">
        <v>503</v>
      </c>
      <c r="K19" s="228" t="str">
        <f>C19</f>
        <v>Apr-26</v>
      </c>
      <c r="L19" s="225" t="s">
        <v>503</v>
      </c>
      <c r="M19" s="226" t="s">
        <v>504</v>
      </c>
      <c r="N19" s="227" t="s">
        <v>503</v>
      </c>
      <c r="O19" s="228" t="str">
        <f>C19</f>
        <v>Apr-26</v>
      </c>
      <c r="P19" s="225" t="s">
        <v>503</v>
      </c>
      <c r="Q19" s="226" t="s">
        <v>504</v>
      </c>
      <c r="R19" s="227" t="s">
        <v>503</v>
      </c>
      <c r="S19" s="228" t="str">
        <f>K19</f>
        <v>Apr-26</v>
      </c>
      <c r="T19" s="225" t="s">
        <v>505</v>
      </c>
      <c r="U19" s="229" t="s">
        <v>504</v>
      </c>
      <c r="V19" s="230" t="s">
        <v>503</v>
      </c>
      <c r="W19" s="228" t="str">
        <f>O19</f>
        <v>Apr-26</v>
      </c>
      <c r="X19" s="225" t="s">
        <v>503</v>
      </c>
      <c r="Y19" s="226" t="s">
        <v>504</v>
      </c>
      <c r="Z19" s="227" t="s">
        <v>503</v>
      </c>
      <c r="AA19" s="231" t="s">
        <v>506</v>
      </c>
      <c r="AB19" s="220" t="str">
        <f>C19</f>
        <v>Apr-26</v>
      </c>
      <c r="AC19" s="221" t="s">
        <v>503</v>
      </c>
      <c r="AD19" s="222" t="s">
        <v>504</v>
      </c>
      <c r="AE19" s="223" t="s">
        <v>503</v>
      </c>
      <c r="AF19" s="232"/>
      <c r="AG19" s="233" t="str">
        <f>AB19</f>
        <v>Apr-26</v>
      </c>
      <c r="AH19" s="225" t="s">
        <v>503</v>
      </c>
      <c r="AI19" s="229" t="s">
        <v>504</v>
      </c>
      <c r="AJ19" s="227" t="s">
        <v>503</v>
      </c>
      <c r="AK19" s="232"/>
      <c r="AL19" s="234" t="str">
        <f>AG19</f>
        <v>Apr-26</v>
      </c>
      <c r="AM19" s="225" t="s">
        <v>503</v>
      </c>
      <c r="AN19" s="226" t="s">
        <v>504</v>
      </c>
      <c r="AO19" s="227" t="s">
        <v>503</v>
      </c>
      <c r="AP19" s="232"/>
      <c r="AQ19" s="233" t="str">
        <f>AL19</f>
        <v>Apr-26</v>
      </c>
      <c r="AR19" s="225" t="s">
        <v>503</v>
      </c>
      <c r="AS19" s="229" t="s">
        <v>504</v>
      </c>
      <c r="AT19" s="227" t="s">
        <v>503</v>
      </c>
      <c r="AU19" s="233" t="str">
        <f>AQ19</f>
        <v>Apr-26</v>
      </c>
      <c r="AV19" s="225" t="s">
        <v>503</v>
      </c>
      <c r="AW19" s="229" t="s">
        <v>504</v>
      </c>
      <c r="AX19" s="227" t="s">
        <v>503</v>
      </c>
      <c r="AY19" s="235" t="s">
        <v>506</v>
      </c>
      <c r="AZ19" s="233" t="str">
        <f>AU19</f>
        <v>Apr-26</v>
      </c>
      <c r="BA19" s="225" t="s">
        <v>503</v>
      </c>
      <c r="BB19" s="236" t="s">
        <v>504</v>
      </c>
      <c r="BC19" s="227" t="s">
        <v>503</v>
      </c>
      <c r="BD19" s="232"/>
      <c r="BE19" s="233" t="str">
        <f>AZ19</f>
        <v>Apr-26</v>
      </c>
      <c r="BF19" s="225" t="s">
        <v>503</v>
      </c>
      <c r="BG19" s="229" t="s">
        <v>504</v>
      </c>
      <c r="BH19" s="227" t="s">
        <v>503</v>
      </c>
      <c r="BI19" s="233" t="str">
        <f>BE19</f>
        <v>Apr-26</v>
      </c>
      <c r="BJ19" s="225" t="s">
        <v>503</v>
      </c>
      <c r="BK19" s="229" t="s">
        <v>504</v>
      </c>
      <c r="BL19" s="227" t="s">
        <v>503</v>
      </c>
      <c r="BM19" s="233" t="str">
        <f>BE19</f>
        <v>Apr-26</v>
      </c>
      <c r="BN19" s="225" t="s">
        <v>503</v>
      </c>
      <c r="BO19" s="226" t="s">
        <v>504</v>
      </c>
      <c r="BP19" s="227" t="s">
        <v>503</v>
      </c>
      <c r="BQ19" s="237" t="s">
        <v>507</v>
      </c>
      <c r="BR19" s="233" t="str">
        <f>BM19</f>
        <v>Apr-26</v>
      </c>
      <c r="BS19" s="225" t="s">
        <v>503</v>
      </c>
      <c r="BT19" s="229" t="s">
        <v>504</v>
      </c>
      <c r="BU19" s="227" t="s">
        <v>503</v>
      </c>
      <c r="BV19" s="238"/>
      <c r="BW19" s="233" t="str">
        <f>BN19</f>
        <v>% To Sales</v>
      </c>
      <c r="BX19" s="225" t="s">
        <v>503</v>
      </c>
      <c r="BY19" s="229" t="s">
        <v>504</v>
      </c>
      <c r="BZ19" s="227" t="s">
        <v>503</v>
      </c>
      <c r="CA19" s="238"/>
      <c r="CB19" s="513" t="s">
        <v>508</v>
      </c>
      <c r="CC19" s="514" t="s">
        <v>509</v>
      </c>
      <c r="CD19" s="232"/>
      <c r="CE19" s="233" t="str">
        <f>BR19</f>
        <v>Apr-26</v>
      </c>
      <c r="CF19" s="225" t="s">
        <v>503</v>
      </c>
      <c r="CG19" s="229" t="s">
        <v>504</v>
      </c>
      <c r="CH19" s="227" t="s">
        <v>503</v>
      </c>
    </row>
    <row r="20" spans="1:86" s="284" customFormat="1" ht="24" customHeight="1" thickBot="1" x14ac:dyDescent="0.4">
      <c r="A20" s="232"/>
      <c r="B20" s="239"/>
      <c r="C20" s="240"/>
      <c r="D20" s="400"/>
      <c r="E20" s="241"/>
      <c r="F20" s="410"/>
      <c r="G20" s="242"/>
      <c r="H20" s="243"/>
      <c r="I20" s="244"/>
      <c r="J20" s="245"/>
      <c r="K20" s="246"/>
      <c r="L20" s="243"/>
      <c r="M20" s="244"/>
      <c r="N20" s="245"/>
      <c r="O20" s="246"/>
      <c r="P20" s="243"/>
      <c r="Q20" s="244"/>
      <c r="R20" s="245"/>
      <c r="S20" s="246"/>
      <c r="T20" s="243"/>
      <c r="U20" s="247"/>
      <c r="V20" s="248"/>
      <c r="W20" s="246"/>
      <c r="X20" s="243"/>
      <c r="Y20" s="244"/>
      <c r="Z20" s="245"/>
      <c r="AA20" s="249"/>
      <c r="AB20" s="276"/>
      <c r="AC20" s="250"/>
      <c r="AD20" s="278"/>
      <c r="AE20" s="251"/>
      <c r="AF20" s="232"/>
      <c r="AG20" s="252"/>
      <c r="AH20" s="243"/>
      <c r="AI20" s="247"/>
      <c r="AJ20" s="245"/>
      <c r="AK20" s="232"/>
      <c r="AL20" s="253"/>
      <c r="AM20" s="243"/>
      <c r="AN20" s="244"/>
      <c r="AO20" s="245"/>
      <c r="AP20" s="232"/>
      <c r="AQ20" s="252"/>
      <c r="AR20" s="243"/>
      <c r="AS20" s="247"/>
      <c r="AT20" s="245"/>
      <c r="AU20" s="252"/>
      <c r="AV20" s="243"/>
      <c r="AW20" s="247"/>
      <c r="AX20" s="245"/>
      <c r="AY20" s="254"/>
      <c r="AZ20" s="252"/>
      <c r="BA20" s="243"/>
      <c r="BB20" s="255"/>
      <c r="BC20" s="245"/>
      <c r="BD20" s="232"/>
      <c r="BE20" s="252"/>
      <c r="BF20" s="243"/>
      <c r="BG20" s="247"/>
      <c r="BH20" s="245"/>
      <c r="BI20" s="252"/>
      <c r="BJ20" s="243"/>
      <c r="BK20" s="247"/>
      <c r="BL20" s="245"/>
      <c r="BM20" s="252"/>
      <c r="BN20" s="243"/>
      <c r="BO20" s="244"/>
      <c r="BP20" s="245"/>
      <c r="BQ20" s="256"/>
      <c r="BR20" s="252"/>
      <c r="BS20" s="243"/>
      <c r="BT20" s="247"/>
      <c r="BU20" s="245"/>
      <c r="BV20" s="238"/>
      <c r="BW20" s="252"/>
      <c r="BX20" s="243"/>
      <c r="BY20" s="247"/>
      <c r="BZ20" s="245"/>
      <c r="CA20" s="238"/>
      <c r="CB20" s="515"/>
      <c r="CC20" s="516"/>
      <c r="CD20" s="232"/>
      <c r="CE20" s="252"/>
      <c r="CF20" s="243"/>
      <c r="CG20" s="247"/>
      <c r="CH20" s="245"/>
    </row>
    <row r="21" spans="1:86" s="284" customFormat="1" ht="20" thickBot="1" x14ac:dyDescent="0.5">
      <c r="A21" s="232"/>
      <c r="B21" s="257"/>
      <c r="C21" s="258" t="s">
        <v>510</v>
      </c>
      <c r="D21" s="401"/>
      <c r="E21" s="260"/>
      <c r="F21" s="411"/>
      <c r="G21" s="262" t="s">
        <v>511</v>
      </c>
      <c r="H21" s="259"/>
      <c r="I21" s="262"/>
      <c r="J21" s="261"/>
      <c r="K21" s="263" t="s">
        <v>512</v>
      </c>
      <c r="L21" s="259"/>
      <c r="M21" s="262"/>
      <c r="N21" s="261"/>
      <c r="O21" s="263" t="s">
        <v>748</v>
      </c>
      <c r="P21" s="259"/>
      <c r="Q21" s="262"/>
      <c r="R21" s="261"/>
      <c r="S21" s="263" t="s">
        <v>514</v>
      </c>
      <c r="T21" s="259"/>
      <c r="U21" s="260"/>
      <c r="V21" s="261"/>
      <c r="W21" s="263" t="s">
        <v>452</v>
      </c>
      <c r="X21" s="259"/>
      <c r="Y21" s="262"/>
      <c r="Z21" s="261"/>
      <c r="AA21" s="264"/>
      <c r="AB21" s="277" t="s">
        <v>515</v>
      </c>
      <c r="AC21" s="265"/>
      <c r="AD21" s="279"/>
      <c r="AE21" s="266"/>
      <c r="AF21" s="232"/>
      <c r="AG21" s="268" t="s">
        <v>516</v>
      </c>
      <c r="AH21" s="259"/>
      <c r="AI21" s="260"/>
      <c r="AJ21" s="261"/>
      <c r="AK21" s="232"/>
      <c r="AL21" s="267" t="s">
        <v>517</v>
      </c>
      <c r="AM21" s="259"/>
      <c r="AN21" s="262"/>
      <c r="AO21" s="261"/>
      <c r="AP21" s="232"/>
      <c r="AQ21" s="268" t="s">
        <v>518</v>
      </c>
      <c r="AR21" s="259"/>
      <c r="AS21" s="260"/>
      <c r="AT21" s="261"/>
      <c r="AU21" s="268" t="s">
        <v>519</v>
      </c>
      <c r="AV21" s="259"/>
      <c r="AW21" s="260"/>
      <c r="AX21" s="261"/>
      <c r="AY21" s="269"/>
      <c r="AZ21" s="268" t="s">
        <v>520</v>
      </c>
      <c r="BA21" s="259"/>
      <c r="BB21" s="259"/>
      <c r="BC21" s="261"/>
      <c r="BD21" s="270"/>
      <c r="BE21" s="268" t="s">
        <v>521</v>
      </c>
      <c r="BF21" s="259"/>
      <c r="BG21" s="260"/>
      <c r="BH21" s="261"/>
      <c r="BI21" s="271" t="s">
        <v>522</v>
      </c>
      <c r="BJ21" s="259"/>
      <c r="BK21" s="260"/>
      <c r="BL21" s="272"/>
      <c r="BM21" s="268" t="s">
        <v>523</v>
      </c>
      <c r="BN21" s="259"/>
      <c r="BO21" s="262"/>
      <c r="BP21" s="261"/>
      <c r="BQ21" s="256"/>
      <c r="BR21" s="268" t="s">
        <v>524</v>
      </c>
      <c r="BS21" s="259"/>
      <c r="BT21" s="260"/>
      <c r="BU21" s="261"/>
      <c r="BV21" s="270"/>
      <c r="BW21" s="268" t="s">
        <v>749</v>
      </c>
      <c r="BX21" s="259"/>
      <c r="BY21" s="260"/>
      <c r="BZ21" s="261"/>
      <c r="CA21" s="270"/>
      <c r="CB21" s="517"/>
      <c r="CC21" s="518"/>
      <c r="CD21" s="232"/>
      <c r="CE21" s="258" t="s">
        <v>525</v>
      </c>
      <c r="CF21" s="259"/>
      <c r="CG21" s="260"/>
      <c r="CH21" s="261"/>
    </row>
    <row r="22" spans="1:86" x14ac:dyDescent="0.35">
      <c r="B22" s="86" t="s">
        <v>455</v>
      </c>
      <c r="C22" s="129"/>
      <c r="D22" s="402"/>
      <c r="E22" s="131"/>
      <c r="F22" s="412"/>
      <c r="G22" s="133"/>
      <c r="H22" s="130"/>
      <c r="I22" s="134"/>
      <c r="J22" s="135"/>
      <c r="K22" s="136"/>
      <c r="L22" s="130"/>
      <c r="M22" s="134"/>
      <c r="N22" s="135"/>
      <c r="O22" s="136"/>
      <c r="P22" s="130"/>
      <c r="Q22" s="134"/>
      <c r="R22" s="135"/>
      <c r="S22" s="136"/>
      <c r="T22" s="130"/>
      <c r="U22" s="131"/>
      <c r="V22" s="135"/>
      <c r="W22" s="136"/>
      <c r="X22" s="130"/>
      <c r="Y22" s="134"/>
      <c r="Z22" s="132"/>
      <c r="AA22" s="137"/>
      <c r="AB22" s="129"/>
      <c r="AC22" s="138"/>
      <c r="AD22" s="131"/>
      <c r="AE22" s="132"/>
      <c r="AF22" s="139"/>
      <c r="AG22" s="129"/>
      <c r="AH22" s="130"/>
      <c r="AI22" s="131"/>
      <c r="AJ22" s="132"/>
      <c r="AK22" s="139"/>
      <c r="AL22" s="136"/>
      <c r="AM22" s="130"/>
      <c r="AN22" s="134"/>
      <c r="AO22" s="132"/>
      <c r="AP22" s="139"/>
      <c r="AQ22" s="209"/>
      <c r="AR22" s="140"/>
      <c r="AS22" s="145"/>
      <c r="AT22" s="141"/>
      <c r="AU22" s="129"/>
      <c r="AV22" s="130"/>
      <c r="AW22" s="131"/>
      <c r="AX22" s="132"/>
      <c r="AY22" s="142"/>
      <c r="AZ22" s="129"/>
      <c r="BA22" s="130"/>
      <c r="BB22" s="143"/>
      <c r="BC22" s="132"/>
      <c r="BD22" s="144"/>
      <c r="BE22" s="209"/>
      <c r="BF22" s="140"/>
      <c r="BG22" s="145"/>
      <c r="BH22" s="141"/>
      <c r="BI22" s="211"/>
      <c r="BJ22" s="130"/>
      <c r="BK22" s="131"/>
      <c r="BL22" s="132"/>
      <c r="BM22" s="209"/>
      <c r="BN22" s="140"/>
      <c r="BO22" s="146"/>
      <c r="BP22" s="141"/>
      <c r="BQ22" s="147"/>
      <c r="BR22" s="129"/>
      <c r="BS22" s="130"/>
      <c r="BT22" s="131"/>
      <c r="BU22" s="132"/>
      <c r="BV22" s="144"/>
      <c r="BW22" s="209"/>
      <c r="BX22" s="140"/>
      <c r="BY22" s="145"/>
      <c r="BZ22" s="141"/>
      <c r="CA22" s="144"/>
      <c r="CB22" s="209"/>
      <c r="CC22" s="519"/>
      <c r="CD22" s="139"/>
      <c r="CE22" s="129"/>
      <c r="CF22" s="130"/>
      <c r="CG22" s="131"/>
      <c r="CH22" s="132"/>
    </row>
    <row r="23" spans="1:86" s="194" customFormat="1" ht="15.5" x14ac:dyDescent="0.35">
      <c r="B23" s="197" t="s">
        <v>429</v>
      </c>
      <c r="C23" s="180">
        <f>E23</f>
        <v>2897.2841933</v>
      </c>
      <c r="D23" s="182">
        <f>C23/$C$46*100%</f>
        <v>0.86820146609942939</v>
      </c>
      <c r="E23" s="181">
        <f>-SUMIF('04.conso TB'!A:A,'Apr-26'!B23,'04.conso TB'!R:R)/10^5</f>
        <v>2897.2841933</v>
      </c>
      <c r="F23" s="182">
        <f>E23/$E$46*100%</f>
        <v>0.86820146609942939</v>
      </c>
      <c r="G23" s="180">
        <f>I23</f>
        <v>1013.9401289</v>
      </c>
      <c r="H23" s="182">
        <f>G23/$G$46*100%</f>
        <v>0.85829129169839613</v>
      </c>
      <c r="I23" s="181">
        <f>-SUMIF('04.conso TB'!A:A,'Apr-26'!B23,'04.conso TB'!S:S)/10^5</f>
        <v>1013.9401289</v>
      </c>
      <c r="J23" s="182">
        <f>I23/$I$46*100%</f>
        <v>0.85829129169839613</v>
      </c>
      <c r="K23" s="180">
        <f>M23</f>
        <v>0</v>
      </c>
      <c r="L23" s="182">
        <f>K23/$C$46*100%</f>
        <v>0</v>
      </c>
      <c r="M23" s="181">
        <f>-SUMIF('04.conso TB'!A:A,'Apr-26'!B23,'04.conso TB'!T:T)/10^5</f>
        <v>0</v>
      </c>
      <c r="N23" s="182">
        <f>M23/$C$46*100%</f>
        <v>0</v>
      </c>
      <c r="O23" s="180">
        <f>Q23</f>
        <v>922.03332340000009</v>
      </c>
      <c r="P23" s="182">
        <f>O23/$O$46*100%</f>
        <v>0.9842472255693685</v>
      </c>
      <c r="Q23" s="181">
        <f>-SUMIF('04.conso TB'!A:A,'Apr-26'!B23,'04.conso TB'!U:U)/10^5</f>
        <v>922.03332340000009</v>
      </c>
      <c r="R23" s="182">
        <f>Q23/$Q$46*100%</f>
        <v>0.9842472255693685</v>
      </c>
      <c r="S23" s="180">
        <f>U23</f>
        <v>0</v>
      </c>
      <c r="T23" s="182">
        <f>S23/$S$46*100%</f>
        <v>0</v>
      </c>
      <c r="U23" s="183">
        <f>SUMIF('04.conso TB'!A:A,'Apr-26'!B23,'04.conso TB'!V:V)</f>
        <v>0</v>
      </c>
      <c r="V23" s="182">
        <f>U23/$U$46*100%</f>
        <v>0</v>
      </c>
      <c r="W23" s="180">
        <f>Y23</f>
        <v>0</v>
      </c>
      <c r="X23" s="182">
        <f>W23/$W$46*100%</f>
        <v>0</v>
      </c>
      <c r="Y23" s="181">
        <f>-SUMIF('04.conso TB'!A:A,'Apr-26'!B23,'04.conso TB'!G:G)/10^5</f>
        <v>0</v>
      </c>
      <c r="Z23" s="182">
        <f>Y23/$Y$46*100%</f>
        <v>0</v>
      </c>
      <c r="AA23" s="343">
        <v>126.37645289999999</v>
      </c>
      <c r="AB23" s="180">
        <f>AD23</f>
        <v>4706.8811926999997</v>
      </c>
      <c r="AC23" s="182">
        <f>AB23/$AB$46*100%</f>
        <v>0.89970744962299909</v>
      </c>
      <c r="AD23" s="187">
        <f>E23+I23+M23+Q23+U23+Y23-AA23</f>
        <v>4706.8811926999997</v>
      </c>
      <c r="AE23" s="182">
        <f>AD23/$AD$46*100%</f>
        <v>0.89970744962299909</v>
      </c>
      <c r="AF23" s="186"/>
      <c r="AG23" s="180">
        <f>AI23</f>
        <v>88.787957399999996</v>
      </c>
      <c r="AH23" s="182">
        <f>AG23/$AG$46*100%</f>
        <v>0.23964769566074162</v>
      </c>
      <c r="AI23" s="183">
        <f>-SUMIF('04.conso TB'!A:A,'Apr-26'!B23,'04.conso TB'!Q:Q)/10^5</f>
        <v>88.787957399999996</v>
      </c>
      <c r="AJ23" s="184">
        <f>AI23/$AI$46*100%</f>
        <v>0.23964769566074162</v>
      </c>
      <c r="AK23" s="437"/>
      <c r="AL23" s="180">
        <f>AN23</f>
        <v>824.2853331</v>
      </c>
      <c r="AM23" s="182">
        <f>AL23/$AL$46*100%</f>
        <v>0.72425792435961278</v>
      </c>
      <c r="AN23" s="181">
        <f>-SUMIF('04.conso TB'!A:A,'Apr-26'!B23,'04.conso TB'!W:W)/10^5</f>
        <v>824.2853331</v>
      </c>
      <c r="AO23" s="184">
        <f>AN23/$AN$46*100%</f>
        <v>0.72425792435961278</v>
      </c>
      <c r="AP23" s="545"/>
      <c r="AQ23" s="180">
        <f>AS23</f>
        <v>1790.6315574</v>
      </c>
      <c r="AR23" s="182">
        <f>AQ23/$AQ$46*100%</f>
        <v>0.97757236047355367</v>
      </c>
      <c r="AS23" s="183">
        <f>-SUMIF('04.conso TB'!A:A,'Apr-26'!B23,'04.conso TB'!M:M)/10^5</f>
        <v>1790.6315574</v>
      </c>
      <c r="AT23" s="184">
        <f>AS23/$AS$46*100%</f>
        <v>0.97757236047355367</v>
      </c>
      <c r="AU23" s="180">
        <f>AW23</f>
        <v>-2.3037364</v>
      </c>
      <c r="AV23" s="182">
        <f>AU23/$AU$46*100%</f>
        <v>-2.7075575100283687E-3</v>
      </c>
      <c r="AW23" s="183">
        <f>-SUMIF('04.conso TB'!A:A,'Apr-26'!B23,'04.conso TB'!P:P)/10^5</f>
        <v>-2.3037364</v>
      </c>
      <c r="AX23" s="184">
        <f>AW23/$AW$46*100%</f>
        <v>-2.7075575100283687E-3</v>
      </c>
      <c r="AY23" s="512">
        <v>0</v>
      </c>
      <c r="AZ23" s="180">
        <f>BB23</f>
        <v>1788.3278210000001</v>
      </c>
      <c r="BA23" s="182">
        <f>AZ23/$AZ$46*100%</f>
        <v>0.66664804979460113</v>
      </c>
      <c r="BB23" s="190">
        <f>AS23+AW23</f>
        <v>1788.3278210000001</v>
      </c>
      <c r="BC23" s="184">
        <f>BB23/$BB$46*100%</f>
        <v>0.66664804979460113</v>
      </c>
      <c r="BD23" s="191"/>
      <c r="BE23" s="180">
        <f>BG23</f>
        <v>1437.5568483000002</v>
      </c>
      <c r="BF23" s="182">
        <f>BE23/$BE$46*100%</f>
        <v>0.75493352306499761</v>
      </c>
      <c r="BG23" s="183">
        <f>-SUMIF('04.conso TB'!A:A,'Apr-26'!B23,'04.conso TB'!H:H)/10^5</f>
        <v>1437.5568483000002</v>
      </c>
      <c r="BH23" s="184">
        <f>BG23/$BG$46*100%</f>
        <v>0.75493352306499761</v>
      </c>
      <c r="BI23" s="180">
        <f>BK23</f>
        <v>19.380621999999999</v>
      </c>
      <c r="BJ23" s="182">
        <f>BI23/$BI$46*100%</f>
        <v>1.0000006965725561</v>
      </c>
      <c r="BK23" s="183">
        <f>-SUMIF('04.conso TB'!A:A,'Apr-26'!B23,'04.conso TB'!I:I)/10^5</f>
        <v>19.380621999999999</v>
      </c>
      <c r="BL23" s="184">
        <f>BK23/$BK$46*100%</f>
        <v>1.0000006965725561</v>
      </c>
      <c r="BM23" s="180">
        <f>BO23</f>
        <v>0</v>
      </c>
      <c r="BN23" s="182">
        <f>BM23/$C$46*100%</f>
        <v>0</v>
      </c>
      <c r="BO23" s="181">
        <f>-SUMIF('04.conso TB'!A:A,'Apr-26'!B23,'04.conso TB'!J:J)/10^5</f>
        <v>0</v>
      </c>
      <c r="BP23" s="182">
        <f>BO23/$C$46*100%</f>
        <v>0</v>
      </c>
      <c r="BQ23" s="344">
        <v>0</v>
      </c>
      <c r="BR23" s="180">
        <f>BT23</f>
        <v>1456.9374703000001</v>
      </c>
      <c r="BS23" s="182">
        <f>BR23/$BR$46*100%</f>
        <v>0.79041754727553859</v>
      </c>
      <c r="BT23" s="183">
        <f>BG23+BK23+BO23-BQ23</f>
        <v>1456.9374703000001</v>
      </c>
      <c r="BU23" s="182">
        <f>BT23/$BT$46*100%</f>
        <v>0.79041754727553848</v>
      </c>
      <c r="BV23" s="191"/>
      <c r="BW23" s="180">
        <f>BY23</f>
        <v>-4.4348000000000001</v>
      </c>
      <c r="BX23" s="182">
        <f>BW23/$BW$46*100%</f>
        <v>-2.5959459490606045E-3</v>
      </c>
      <c r="BY23" s="183">
        <f>-SUMIF('04.conso TB'!A:A,'Apr-26'!B23,'04.conso TB'!L:L)/10^5</f>
        <v>-4.4348000000000001</v>
      </c>
      <c r="BZ23" s="182">
        <f>BY23/$BY$46*100%</f>
        <v>-2.5959459490606045E-3</v>
      </c>
      <c r="CA23" s="191"/>
      <c r="CB23" s="180">
        <f>+CC23</f>
        <v>4465.8768397348795</v>
      </c>
      <c r="CC23" s="346">
        <v>4465.8768397348795</v>
      </c>
      <c r="CD23" s="193"/>
      <c r="CE23" s="187">
        <f>AB23+AG23+AL23+AZ23+BR23+BW23-CB23</f>
        <v>4394.908134765119</v>
      </c>
      <c r="CF23" s="182">
        <f>CE23/$CE$46*100%</f>
        <v>0.82095266458350624</v>
      </c>
      <c r="CG23" s="187">
        <f>AD23+AI23+AN23+BB23+BT23+BY23-CC23</f>
        <v>4394.908134765119</v>
      </c>
      <c r="CH23" s="182">
        <f>CG23/$CG$46*100%</f>
        <v>0.82095266458350624</v>
      </c>
    </row>
    <row r="24" spans="1:86" s="194" customFormat="1" ht="15.5" x14ac:dyDescent="0.35">
      <c r="B24" s="197" t="s">
        <v>430</v>
      </c>
      <c r="C24" s="180">
        <f>E24</f>
        <v>396.78275400000001</v>
      </c>
      <c r="D24" s="182">
        <f>C24/$C$46*100%</f>
        <v>0.11890009600797875</v>
      </c>
      <c r="E24" s="181">
        <f>-SUMIF('04.conso TB'!A:A,'Apr-26'!B24,'04.conso TB'!R:R)/10^5</f>
        <v>396.78275400000001</v>
      </c>
      <c r="F24" s="182">
        <f t="shared" ref="F24:F82" si="1">E24/$E$46*100%</f>
        <v>0.11890009600797875</v>
      </c>
      <c r="G24" s="180">
        <f>I24</f>
        <v>119.8932968</v>
      </c>
      <c r="H24" s="182">
        <f t="shared" ref="H24:H82" si="2">G24/$G$46*100%</f>
        <v>0.10148860829493814</v>
      </c>
      <c r="I24" s="181">
        <f>-SUMIF('04.conso TB'!A:A,'Apr-26'!B24,'04.conso TB'!S:S)/10^5</f>
        <v>119.8932968</v>
      </c>
      <c r="J24" s="182">
        <f t="shared" ref="J24:J82" si="3">I24/$I$46*100%</f>
        <v>0.10148860829493814</v>
      </c>
      <c r="K24" s="180">
        <f>M24</f>
        <v>0</v>
      </c>
      <c r="L24" s="182">
        <f>K24/$C$46*100%</f>
        <v>0</v>
      </c>
      <c r="M24" s="181">
        <f>-SUMIF('04.conso TB'!A:A,'Apr-26'!B24,'04.conso TB'!T:T)</f>
        <v>0</v>
      </c>
      <c r="N24" s="182">
        <f>M24/$C$46*100%</f>
        <v>0</v>
      </c>
      <c r="O24" s="180">
        <f>Q24</f>
        <v>14.757057099999999</v>
      </c>
      <c r="P24" s="182">
        <f t="shared" ref="P24:P82" si="4">O24/$O$46*100%</f>
        <v>1.5752784785135834E-2</v>
      </c>
      <c r="Q24" s="181">
        <f>-SUMIF('04.conso TB'!A:A,'Apr-26'!B24,'04.conso TB'!U:U)/10^5</f>
        <v>14.757057099999999</v>
      </c>
      <c r="R24" s="182">
        <f t="shared" ref="R24:R82" si="5">Q24/$Q$46*100%</f>
        <v>1.5752784785135834E-2</v>
      </c>
      <c r="S24" s="180">
        <f>U24</f>
        <v>48.765062400000005</v>
      </c>
      <c r="T24" s="182">
        <f t="shared" ref="T24:T82" si="6">S24/$S$46*100%</f>
        <v>0.99997978511615382</v>
      </c>
      <c r="U24" s="183">
        <f>-SUMIF('04.conso TB'!A:A,'Apr-26'!B24,'04.conso TB'!V:V)/10^5</f>
        <v>48.765062400000005</v>
      </c>
      <c r="V24" s="182">
        <f t="shared" ref="V24:V82" si="7">U24/$U$46*100%</f>
        <v>0.99997978511615382</v>
      </c>
      <c r="W24" s="180">
        <f>Y24</f>
        <v>74.016000000000005</v>
      </c>
      <c r="X24" s="182">
        <f t="shared" ref="X24:X82" si="8">W24/$W$46*100%</f>
        <v>0.99395690958298866</v>
      </c>
      <c r="Y24" s="181">
        <f>-SUMIF('04.conso TB'!A:A,'Apr-26'!B24,'04.conso TB'!G:G)/10^5</f>
        <v>74.016000000000005</v>
      </c>
      <c r="Z24" s="182">
        <f t="shared" ref="Z24:Z82" si="9">Y24/$Y$46*100%</f>
        <v>0.99395690958298866</v>
      </c>
      <c r="AA24" s="343">
        <v>261.85452050000004</v>
      </c>
      <c r="AB24" s="180">
        <f>AD24</f>
        <v>392.35964979999994</v>
      </c>
      <c r="AC24" s="182">
        <f t="shared" ref="AC24:AC82" si="10">AB24/$AB$46*100%</f>
        <v>7.4998472535066293E-2</v>
      </c>
      <c r="AD24" s="187">
        <f>E24+I24+M24+Q24+U24+Y24-AA24</f>
        <v>392.35964979999994</v>
      </c>
      <c r="AE24" s="182">
        <f t="shared" ref="AE24:AE82" si="11">AD24/$AD$46*100%</f>
        <v>7.4998472535066293E-2</v>
      </c>
      <c r="AF24" s="186"/>
      <c r="AG24" s="180">
        <f>AI24</f>
        <v>0</v>
      </c>
      <c r="AH24" s="182">
        <f t="shared" ref="AH24:AH82" si="12">AG24/$AG$46*100%</f>
        <v>0</v>
      </c>
      <c r="AI24" s="183">
        <f>-SUMIF('04.conso TB'!A:A,'Apr-26'!B24,'04.conso TB'!Q:Q)/10^5</f>
        <v>0</v>
      </c>
      <c r="AJ24" s="184">
        <f>AI24/$AI$46*100%</f>
        <v>0</v>
      </c>
      <c r="AK24" s="437"/>
      <c r="AL24" s="180">
        <f>AN24</f>
        <v>129.08241809999998</v>
      </c>
      <c r="AM24" s="182">
        <f t="shared" ref="AM24:AM82" si="13">AL24/$AL$46*100%</f>
        <v>0.11341820659701569</v>
      </c>
      <c r="AN24" s="181">
        <f>-SUMIF('04.conso TB'!A:A,'Apr-26'!B24,'04.conso TB'!W:W)/10^5</f>
        <v>129.08241809999998</v>
      </c>
      <c r="AO24" s="184">
        <f>AN24/$AN$46*100%</f>
        <v>0.11341820659701569</v>
      </c>
      <c r="AP24" s="545"/>
      <c r="AQ24" s="180">
        <f>AS24</f>
        <v>41.081073500000002</v>
      </c>
      <c r="AR24" s="182">
        <f t="shared" ref="AR24:AR82" si="14">AQ24/$AQ$46*100%</f>
        <v>2.2427685821920024E-2</v>
      </c>
      <c r="AS24" s="183">
        <f>-SUMIF('04.conso TB'!A:A,'Apr-26'!B24,'04.conso TB'!M:M)/10^5</f>
        <v>41.081073500000002</v>
      </c>
      <c r="AT24" s="184">
        <f>AS24/$AS$46*100%</f>
        <v>2.2427685821920024E-2</v>
      </c>
      <c r="AU24" s="180">
        <f>AW24</f>
        <v>853.15782309999997</v>
      </c>
      <c r="AV24" s="182">
        <f>AU24/$C$46*100%</f>
        <v>0.25565765158368792</v>
      </c>
      <c r="AW24" s="183">
        <f>-SUMIF('04.conso TB'!A:A,'Apr-26'!B24,'04.conso TB'!P:P)/10^5</f>
        <v>853.15782309999997</v>
      </c>
      <c r="AX24" s="184">
        <f>AW24/$AW$46*100%</f>
        <v>1.0027075455220742</v>
      </c>
      <c r="AY24" s="189"/>
      <c r="AZ24" s="180">
        <f>BB24</f>
        <v>894.23889659999998</v>
      </c>
      <c r="BA24" s="182">
        <f t="shared" ref="BA24:BA82" si="15">AZ24/$AZ$46*100%</f>
        <v>0.33335197801458682</v>
      </c>
      <c r="BB24" s="190">
        <f>AS24+AW24</f>
        <v>894.23889659999998</v>
      </c>
      <c r="BC24" s="184">
        <f>BB24/$BB$46*100%</f>
        <v>0.33335197801458682</v>
      </c>
      <c r="BD24" s="191"/>
      <c r="BE24" s="180">
        <f>BG24</f>
        <v>420.39977490000001</v>
      </c>
      <c r="BF24" s="182">
        <f t="shared" ref="BF24:BF82" si="16">BE24/$BE$46*100%</f>
        <v>0.22077310092905419</v>
      </c>
      <c r="BG24" s="183">
        <f>-SUMIF('04.conso TB'!A:A,'Apr-26'!B24,'04.conso TB'!H:H)/10^5</f>
        <v>420.39977490000001</v>
      </c>
      <c r="BH24" s="184">
        <f>BG24/$BG$46*100%</f>
        <v>0.22077310092905419</v>
      </c>
      <c r="BI24" s="180">
        <f>BK24</f>
        <v>0</v>
      </c>
      <c r="BJ24" s="182">
        <f t="shared" ref="BJ24:BJ82" si="17">BI24/$BI$46*100%</f>
        <v>0</v>
      </c>
      <c r="BK24" s="183">
        <f>-SUMIF('04.conso TB'!A:A,'Apr-26'!B24,'04.conso TB'!I:I)/10^5</f>
        <v>0</v>
      </c>
      <c r="BL24" s="184">
        <f>BK24/$BK$46*100%</f>
        <v>0</v>
      </c>
      <c r="BM24" s="180">
        <f>BO24</f>
        <v>0</v>
      </c>
      <c r="BN24" s="182">
        <f>BM24/$C$46*100%</f>
        <v>0</v>
      </c>
      <c r="BO24" s="181">
        <f>-SUMIF('04.conso TB'!A:A,'Apr-26'!B24,'04.conso TB'!J:J)/10^5</f>
        <v>0</v>
      </c>
      <c r="BP24" s="182">
        <f>BO24/$C$46*100%</f>
        <v>0</v>
      </c>
      <c r="BQ24" s="344">
        <v>80.422835599999999</v>
      </c>
      <c r="BR24" s="180">
        <f>BT24</f>
        <v>339.97693930000003</v>
      </c>
      <c r="BS24" s="182">
        <f t="shared" ref="BS24:BS82" si="18">BR24/$BR$46*100%</f>
        <v>0.1844442496467727</v>
      </c>
      <c r="BT24" s="183">
        <f t="shared" ref="BT24:BT87" si="19">BG24+BK24+BO24-BQ24</f>
        <v>339.97693930000003</v>
      </c>
      <c r="BU24" s="182">
        <f t="shared" ref="BU24:BU82" si="20">BT24/$BT$46*100%</f>
        <v>0.18444424964677267</v>
      </c>
      <c r="BV24" s="191"/>
      <c r="BW24" s="180">
        <f>BY24</f>
        <v>1710.8806165000001</v>
      </c>
      <c r="BX24" s="182">
        <f t="shared" ref="BX24:BX82" si="21">BW24/$BW$46*100%</f>
        <v>1.0014777680457936</v>
      </c>
      <c r="BY24" s="183">
        <f>-SUMIF('04.conso TB'!A:A,'Apr-26'!B24,'04.conso TB'!L:L)/10^5</f>
        <v>1710.8806165000001</v>
      </c>
      <c r="BZ24" s="182">
        <f t="shared" ref="BZ24:BZ82" si="22">BY24/$BY$46*100%</f>
        <v>1.0014777680457936</v>
      </c>
      <c r="CA24" s="191"/>
      <c r="CB24" s="180">
        <f>+CC24</f>
        <v>2628.0633403599995</v>
      </c>
      <c r="CC24" s="346">
        <v>2628.0633403599995</v>
      </c>
      <c r="CD24" s="193"/>
      <c r="CE24" s="187">
        <f>AB24+AG24+AL24+AZ24+BR24+BW24-CB24</f>
        <v>838.47517994000054</v>
      </c>
      <c r="CF24" s="182">
        <f t="shared" ref="CF24:CF82" si="23">CE24/$CE$46*100%</f>
        <v>0.15662407769432621</v>
      </c>
      <c r="CG24" s="187">
        <f>AD24+AI24+AN24+BB24+BT24+BY24-CC24</f>
        <v>838.47517994000054</v>
      </c>
      <c r="CH24" s="182">
        <f t="shared" ref="CH24:CH82" si="24">CG24/$CG$46*100%</f>
        <v>0.15662407769432621</v>
      </c>
    </row>
    <row r="25" spans="1:86" ht="15.5" x14ac:dyDescent="0.35">
      <c r="A25" s="218"/>
      <c r="B25" s="280" t="s">
        <v>456</v>
      </c>
      <c r="C25" s="148">
        <f t="shared" ref="C25:I25" si="25">SUM(C23:C24)</f>
        <v>3294.0669472999998</v>
      </c>
      <c r="D25" s="151">
        <f t="shared" si="25"/>
        <v>0.98710156210740818</v>
      </c>
      <c r="E25" s="149">
        <f t="shared" si="25"/>
        <v>3294.0669472999998</v>
      </c>
      <c r="F25" s="182">
        <f t="shared" si="1"/>
        <v>0.98710156210740818</v>
      </c>
      <c r="G25" s="148">
        <f t="shared" ref="G25" si="26">SUM(G23:G24)</f>
        <v>1133.8334256999999</v>
      </c>
      <c r="H25" s="182">
        <f t="shared" si="2"/>
        <v>0.95977989999333413</v>
      </c>
      <c r="I25" s="149">
        <f t="shared" si="25"/>
        <v>1133.8334256999999</v>
      </c>
      <c r="J25" s="182">
        <f t="shared" si="3"/>
        <v>0.95977989999333413</v>
      </c>
      <c r="K25" s="148">
        <f t="shared" ref="K25" si="27">SUM(K23:K24)</f>
        <v>0</v>
      </c>
      <c r="L25" s="151">
        <f t="shared" ref="L25" si="28">SUM(L23:L24)</f>
        <v>0</v>
      </c>
      <c r="M25" s="149">
        <f t="shared" ref="M25:AD25" si="29">SUM(M23:M24)</f>
        <v>0</v>
      </c>
      <c r="N25" s="151">
        <f t="shared" ref="N25" si="30">SUM(N23:N24)</f>
        <v>0</v>
      </c>
      <c r="O25" s="148">
        <f t="shared" ref="O25" si="31">SUM(O23:O24)</f>
        <v>936.79038050000008</v>
      </c>
      <c r="P25" s="182">
        <f t="shared" si="4"/>
        <v>1.0000000103545044</v>
      </c>
      <c r="Q25" s="149">
        <f t="shared" si="29"/>
        <v>936.79038050000008</v>
      </c>
      <c r="R25" s="182">
        <f t="shared" si="5"/>
        <v>1.0000000103545044</v>
      </c>
      <c r="S25" s="148">
        <f t="shared" ref="S25" si="32">SUM(S23:S24)</f>
        <v>48.765062400000005</v>
      </c>
      <c r="T25" s="182">
        <f t="shared" si="6"/>
        <v>0.99997978511615382</v>
      </c>
      <c r="U25" s="152">
        <f t="shared" si="29"/>
        <v>48.765062400000005</v>
      </c>
      <c r="V25" s="182">
        <f t="shared" si="7"/>
        <v>0.99997978511615382</v>
      </c>
      <c r="W25" s="148">
        <f t="shared" ref="W25" si="33">SUM(W23:W24)</f>
        <v>74.016000000000005</v>
      </c>
      <c r="X25" s="182">
        <f t="shared" si="8"/>
        <v>0.99395690958298866</v>
      </c>
      <c r="Y25" s="149">
        <f t="shared" si="29"/>
        <v>74.016000000000005</v>
      </c>
      <c r="Z25" s="182">
        <f t="shared" si="9"/>
        <v>0.99395690958298866</v>
      </c>
      <c r="AA25" s="379">
        <f t="shared" si="29"/>
        <v>388.23097340000004</v>
      </c>
      <c r="AB25" s="148">
        <f t="shared" ref="AB25" si="34">SUM(AB23:AB24)</f>
        <v>5099.2408424999994</v>
      </c>
      <c r="AC25" s="182">
        <f t="shared" si="10"/>
        <v>0.9747059221580654</v>
      </c>
      <c r="AD25" s="152">
        <f t="shared" si="29"/>
        <v>5099.2408424999994</v>
      </c>
      <c r="AE25" s="182">
        <f t="shared" si="11"/>
        <v>0.9747059221580654</v>
      </c>
      <c r="AF25" s="511"/>
      <c r="AG25" s="148">
        <f t="shared" ref="AG25" si="35">SUM(AG23:AG24)</f>
        <v>88.787957399999996</v>
      </c>
      <c r="AH25" s="182">
        <f t="shared" si="12"/>
        <v>0.23964769566074162</v>
      </c>
      <c r="AI25" s="152">
        <f t="shared" ref="AI25:AJ25" si="36">SUM(AI23:AI24)</f>
        <v>88.787957399999996</v>
      </c>
      <c r="AJ25" s="153">
        <f t="shared" si="36"/>
        <v>0.23964769566074162</v>
      </c>
      <c r="AK25" s="155"/>
      <c r="AL25" s="148">
        <f t="shared" ref="AL25" si="37">SUM(AL23:AL24)</f>
        <v>953.36775119999993</v>
      </c>
      <c r="AM25" s="182">
        <f t="shared" si="13"/>
        <v>0.83767613095662852</v>
      </c>
      <c r="AN25" s="149">
        <f>SUM(AN23:AN24)</f>
        <v>953.36775119999993</v>
      </c>
      <c r="AO25" s="153">
        <f>SUM(AO23:AO24)</f>
        <v>0.83767613095662852</v>
      </c>
      <c r="AP25" s="546"/>
      <c r="AQ25" s="148">
        <f t="shared" ref="AQ25" si="38">SUM(AQ23:AQ24)</f>
        <v>1831.7126309</v>
      </c>
      <c r="AR25" s="182">
        <f t="shared" si="14"/>
        <v>1.0000000462954737</v>
      </c>
      <c r="AS25" s="152">
        <f t="shared" ref="AS25:AZ25" si="39">SUM(AS23:AS24)</f>
        <v>1831.7126309</v>
      </c>
      <c r="AT25" s="153">
        <f t="shared" si="39"/>
        <v>1.0000000462954737</v>
      </c>
      <c r="AU25" s="148">
        <f t="shared" si="39"/>
        <v>850.85408669999993</v>
      </c>
      <c r="AV25" s="151">
        <f t="shared" ref="AV25" si="40">SUM(AV23:AV24)</f>
        <v>0.25295009407365954</v>
      </c>
      <c r="AW25" s="152">
        <f t="shared" si="39"/>
        <v>850.85408669999993</v>
      </c>
      <c r="AX25" s="153">
        <f t="shared" si="39"/>
        <v>0.99999998801204582</v>
      </c>
      <c r="AY25" s="157">
        <f t="shared" si="39"/>
        <v>0</v>
      </c>
      <c r="AZ25" s="148">
        <f t="shared" si="39"/>
        <v>2682.5667176000002</v>
      </c>
      <c r="BA25" s="182">
        <f t="shared" si="15"/>
        <v>1.0000000278091881</v>
      </c>
      <c r="BB25" s="157">
        <f>SUM(BB23:BB24)</f>
        <v>2682.5667176000002</v>
      </c>
      <c r="BC25" s="153">
        <f>SUM(BC23:BC24)</f>
        <v>1.0000000278091878</v>
      </c>
      <c r="BD25" s="161"/>
      <c r="BE25" s="148">
        <f t="shared" ref="BE25" si="41">SUM(BE23:BE24)</f>
        <v>1857.9566232000002</v>
      </c>
      <c r="BF25" s="182">
        <f t="shared" si="16"/>
        <v>0.97570662399405184</v>
      </c>
      <c r="BG25" s="152">
        <f t="shared" ref="BG25:BQ25" si="42">SUM(BG23:BG24)</f>
        <v>1857.9566232000002</v>
      </c>
      <c r="BH25" s="153">
        <f t="shared" si="42"/>
        <v>0.97570662399405184</v>
      </c>
      <c r="BI25" s="148">
        <f t="shared" ref="BI25" si="43">SUM(BI23:BI24)</f>
        <v>19.380621999999999</v>
      </c>
      <c r="BJ25" s="182">
        <f t="shared" si="17"/>
        <v>1.0000006965725561</v>
      </c>
      <c r="BK25" s="152">
        <f t="shared" si="42"/>
        <v>19.380621999999999</v>
      </c>
      <c r="BL25" s="153">
        <f t="shared" si="42"/>
        <v>1.0000006965725561</v>
      </c>
      <c r="BM25" s="148">
        <f t="shared" ref="BM25" si="44">SUM(BM23:BM24)</f>
        <v>0</v>
      </c>
      <c r="BN25" s="151">
        <f t="shared" ref="BN25" si="45">SUM(BN23:BN24)</f>
        <v>0</v>
      </c>
      <c r="BO25" s="149">
        <f t="shared" si="42"/>
        <v>0</v>
      </c>
      <c r="BP25" s="151">
        <f t="shared" ref="BP25" si="46">SUM(BP23:BP24)</f>
        <v>0</v>
      </c>
      <c r="BQ25" s="345">
        <f t="shared" si="42"/>
        <v>80.422835599999999</v>
      </c>
      <c r="BR25" s="148">
        <f t="shared" ref="BR25" si="47">SUM(BR23:BR24)</f>
        <v>1796.9144096</v>
      </c>
      <c r="BS25" s="182">
        <f t="shared" si="18"/>
        <v>0.97486179692231123</v>
      </c>
      <c r="BT25" s="183">
        <f t="shared" si="19"/>
        <v>1796.9144096</v>
      </c>
      <c r="BU25" s="182">
        <f t="shared" si="20"/>
        <v>0.97486179692231112</v>
      </c>
      <c r="BV25" s="159"/>
      <c r="BW25" s="148">
        <f t="shared" ref="BW25" si="48">SUM(BW23:BW24)</f>
        <v>1706.4458165000001</v>
      </c>
      <c r="BX25" s="182">
        <f t="shared" si="21"/>
        <v>0.99888182209673293</v>
      </c>
      <c r="BY25" s="152">
        <f t="shared" ref="BY25" si="49">SUM(BY23:BY24)</f>
        <v>1706.4458165000001</v>
      </c>
      <c r="BZ25" s="182">
        <f t="shared" si="22"/>
        <v>0.99888182209673293</v>
      </c>
      <c r="CA25" s="159"/>
      <c r="CB25" s="148">
        <f t="shared" ref="CB25" si="50">SUM(CB23:CB24)</f>
        <v>7093.940180094879</v>
      </c>
      <c r="CC25" s="361">
        <f>SUM(CC23:CC24)</f>
        <v>7093.940180094879</v>
      </c>
      <c r="CD25" s="528"/>
      <c r="CE25" s="156">
        <f>SUM(CE23:CE24)</f>
        <v>5233.3833147051191</v>
      </c>
      <c r="CF25" s="182">
        <f t="shared" si="23"/>
        <v>0.97757674227783231</v>
      </c>
      <c r="CG25" s="152">
        <f>SUM(CG23:CG24)</f>
        <v>5233.3833147051191</v>
      </c>
      <c r="CH25" s="182">
        <f t="shared" si="24"/>
        <v>0.97757674227783231</v>
      </c>
    </row>
    <row r="26" spans="1:86" x14ac:dyDescent="0.35">
      <c r="B26" s="86" t="s">
        <v>457</v>
      </c>
      <c r="C26" s="148"/>
      <c r="D26" s="151"/>
      <c r="E26" s="149"/>
      <c r="F26" s="182">
        <f t="shared" si="1"/>
        <v>0</v>
      </c>
      <c r="G26" s="148"/>
      <c r="H26" s="182">
        <f t="shared" si="2"/>
        <v>0</v>
      </c>
      <c r="I26" s="149"/>
      <c r="J26" s="182">
        <f t="shared" si="3"/>
        <v>0</v>
      </c>
      <c r="K26" s="148"/>
      <c r="L26" s="151"/>
      <c r="M26" s="149"/>
      <c r="N26" s="151"/>
      <c r="O26" s="148"/>
      <c r="P26" s="182">
        <f t="shared" si="4"/>
        <v>0</v>
      </c>
      <c r="Q26" s="149"/>
      <c r="R26" s="182">
        <f t="shared" si="5"/>
        <v>0</v>
      </c>
      <c r="S26" s="148"/>
      <c r="T26" s="182">
        <f t="shared" si="6"/>
        <v>0</v>
      </c>
      <c r="U26" s="152"/>
      <c r="V26" s="182">
        <f t="shared" si="7"/>
        <v>0</v>
      </c>
      <c r="W26" s="148"/>
      <c r="X26" s="182">
        <f t="shared" si="8"/>
        <v>0</v>
      </c>
      <c r="Y26" s="149"/>
      <c r="Z26" s="182">
        <f t="shared" si="9"/>
        <v>0</v>
      </c>
      <c r="AA26" s="154"/>
      <c r="AB26" s="148"/>
      <c r="AC26" s="182">
        <f t="shared" si="10"/>
        <v>0</v>
      </c>
      <c r="AD26" s="152"/>
      <c r="AE26" s="182">
        <f t="shared" si="11"/>
        <v>0</v>
      </c>
      <c r="AF26" s="155"/>
      <c r="AG26" s="148"/>
      <c r="AH26" s="182">
        <f t="shared" si="12"/>
        <v>0</v>
      </c>
      <c r="AI26" s="152"/>
      <c r="AJ26" s="162"/>
      <c r="AK26" s="155"/>
      <c r="AL26" s="148"/>
      <c r="AM26" s="182">
        <f t="shared" si="13"/>
        <v>0</v>
      </c>
      <c r="AN26" s="149"/>
      <c r="AO26" s="162"/>
      <c r="AP26" s="139"/>
      <c r="AQ26" s="148"/>
      <c r="AR26" s="182">
        <f t="shared" si="14"/>
        <v>0</v>
      </c>
      <c r="AS26" s="152"/>
      <c r="AT26" s="162"/>
      <c r="AU26" s="148"/>
      <c r="AV26" s="151"/>
      <c r="AW26" s="152"/>
      <c r="AX26" s="162"/>
      <c r="AY26" s="158"/>
      <c r="AZ26" s="148"/>
      <c r="BA26" s="182">
        <f t="shared" si="15"/>
        <v>0</v>
      </c>
      <c r="BB26" s="157"/>
      <c r="BC26" s="162"/>
      <c r="BD26" s="161"/>
      <c r="BE26" s="148"/>
      <c r="BF26" s="182">
        <f t="shared" si="16"/>
        <v>0</v>
      </c>
      <c r="BG26" s="152"/>
      <c r="BH26" s="162"/>
      <c r="BI26" s="148"/>
      <c r="BJ26" s="182">
        <f t="shared" si="17"/>
        <v>0</v>
      </c>
      <c r="BK26" s="152"/>
      <c r="BL26" s="162"/>
      <c r="BM26" s="148"/>
      <c r="BN26" s="151"/>
      <c r="BO26" s="149"/>
      <c r="BP26" s="151"/>
      <c r="BQ26" s="160"/>
      <c r="BR26" s="148"/>
      <c r="BS26" s="182">
        <f t="shared" si="18"/>
        <v>0</v>
      </c>
      <c r="BT26" s="183">
        <f t="shared" si="19"/>
        <v>0</v>
      </c>
      <c r="BU26" s="182">
        <f t="shared" si="20"/>
        <v>0</v>
      </c>
      <c r="BV26" s="161"/>
      <c r="BW26" s="148"/>
      <c r="BX26" s="182">
        <f t="shared" si="21"/>
        <v>0</v>
      </c>
      <c r="BY26" s="152"/>
      <c r="BZ26" s="182">
        <f t="shared" si="22"/>
        <v>0</v>
      </c>
      <c r="CA26" s="159"/>
      <c r="CB26" s="148"/>
      <c r="CC26" s="361"/>
      <c r="CD26" s="155"/>
      <c r="CE26" s="156"/>
      <c r="CF26" s="182">
        <f t="shared" si="23"/>
        <v>0</v>
      </c>
      <c r="CG26" s="152"/>
      <c r="CH26" s="182">
        <f t="shared" si="24"/>
        <v>0</v>
      </c>
    </row>
    <row r="27" spans="1:86" s="194" customFormat="1" ht="15.5" x14ac:dyDescent="0.35">
      <c r="B27" s="197" t="s">
        <v>449</v>
      </c>
      <c r="C27" s="180">
        <f t="shared" ref="C27:C28" si="51">E27</f>
        <v>33.935091</v>
      </c>
      <c r="D27" s="182">
        <f>C27/$C$46*100%</f>
        <v>1.0169004416808639E-2</v>
      </c>
      <c r="E27" s="181">
        <f>-SUMIF('04.conso TB'!A:A,'Apr-26'!B27,'04.conso TB'!R:R)/10^5</f>
        <v>33.935091</v>
      </c>
      <c r="F27" s="182">
        <f t="shared" si="1"/>
        <v>1.0169004416808639E-2</v>
      </c>
      <c r="G27" s="180">
        <f t="shared" ref="G27:G28" si="52">I27</f>
        <v>38.2653453</v>
      </c>
      <c r="H27" s="182">
        <f t="shared" si="2"/>
        <v>3.239127410851423E-2</v>
      </c>
      <c r="I27" s="181">
        <f>-SUMIF('04.conso TB'!A:A,'Apr-26'!B27,'04.conso TB'!S:S)/10^5</f>
        <v>38.2653453</v>
      </c>
      <c r="J27" s="182">
        <f t="shared" si="3"/>
        <v>3.239127410851423E-2</v>
      </c>
      <c r="K27" s="180">
        <f t="shared" ref="K27:K28" si="53">M27</f>
        <v>0</v>
      </c>
      <c r="L27" s="182">
        <f>K27/$C$46*100%</f>
        <v>0</v>
      </c>
      <c r="M27" s="181">
        <f>-SUMIF('04.conso TB'!A:A,'Apr-26'!B27,'04.conso TB'!T:T)</f>
        <v>0</v>
      </c>
      <c r="N27" s="182">
        <f>M27/$C$46*100%</f>
        <v>0</v>
      </c>
      <c r="O27" s="180">
        <f t="shared" ref="O27:O28" si="54">Q27</f>
        <v>0</v>
      </c>
      <c r="P27" s="182">
        <f t="shared" si="4"/>
        <v>0</v>
      </c>
      <c r="Q27" s="181">
        <f>-SUMIF('04.conso TB'!A:A,'Apr-26'!B27,'04.conso TB'!U:U)/10^5</f>
        <v>0</v>
      </c>
      <c r="R27" s="182">
        <f t="shared" si="5"/>
        <v>0</v>
      </c>
      <c r="S27" s="180">
        <f t="shared" ref="S27:S28" si="55">U27</f>
        <v>0</v>
      </c>
      <c r="T27" s="182">
        <f t="shared" si="6"/>
        <v>0</v>
      </c>
      <c r="U27" s="183">
        <f>-SUMIF('04.conso TB'!A:A,'Apr-26'!B27,'04.conso TB'!V:V)/10^5</f>
        <v>0</v>
      </c>
      <c r="V27" s="182">
        <f t="shared" si="7"/>
        <v>0</v>
      </c>
      <c r="W27" s="180">
        <f t="shared" ref="W27:W28" si="56">Y27</f>
        <v>0</v>
      </c>
      <c r="X27" s="182">
        <f t="shared" si="8"/>
        <v>0</v>
      </c>
      <c r="Y27" s="181">
        <f>-SUMIF('04.conso TB'!A:A,'Apr-26'!B27,'04.conso TB'!G:G)/10^5</f>
        <v>0</v>
      </c>
      <c r="Z27" s="182">
        <f t="shared" si="9"/>
        <v>0</v>
      </c>
      <c r="AA27" s="185"/>
      <c r="AB27" s="180">
        <f t="shared" ref="AB27:AB28" si="57">AD27</f>
        <v>72.200436300000007</v>
      </c>
      <c r="AC27" s="182">
        <f t="shared" si="10"/>
        <v>1.3800915669145739E-2</v>
      </c>
      <c r="AD27" s="187">
        <f>E27+I27+M27+Q27+U27+Y27</f>
        <v>72.200436300000007</v>
      </c>
      <c r="AE27" s="182">
        <f t="shared" si="11"/>
        <v>1.3800915669145739E-2</v>
      </c>
      <c r="AF27" s="186"/>
      <c r="AG27" s="180">
        <f t="shared" ref="AG27:AG28" si="58">AI27</f>
        <v>281.705717650861</v>
      </c>
      <c r="AH27" s="182">
        <f t="shared" si="12"/>
        <v>0.76035228274644762</v>
      </c>
      <c r="AI27" s="183">
        <f>-SUMIF('04.conso TB'!A:A,'Apr-26'!B27,'04.conso TB'!Q:Q)/10^5</f>
        <v>281.705717650861</v>
      </c>
      <c r="AJ27" s="184">
        <f>AI27/$AI$46*100%</f>
        <v>0.76035228274644762</v>
      </c>
      <c r="AK27" s="437"/>
      <c r="AL27" s="180">
        <f t="shared" ref="AL27:AL28" si="59">AN27</f>
        <v>183.57225079999998</v>
      </c>
      <c r="AM27" s="182">
        <f t="shared" si="13"/>
        <v>0.16129567274285189</v>
      </c>
      <c r="AN27" s="181">
        <f>-SUMIF('04.conso TB'!A:A,'Apr-26'!B27,'04.conso TB'!W:W)/10^5</f>
        <v>183.57225079999998</v>
      </c>
      <c r="AO27" s="184">
        <f>AN27/$AN$46*100%</f>
        <v>0.16129567274285189</v>
      </c>
      <c r="AP27" s="545"/>
      <c r="AQ27" s="180">
        <f t="shared" ref="AQ27:AQ28" si="60">AS27</f>
        <v>0</v>
      </c>
      <c r="AR27" s="182">
        <f t="shared" si="14"/>
        <v>0</v>
      </c>
      <c r="AS27" s="183">
        <f>-SUMIF('04.conso TB'!A:A,'Apr-26'!B27,'04.conso TB'!M:M)/10^5</f>
        <v>0</v>
      </c>
      <c r="AT27" s="184">
        <f>AS27/$AS$46*100%</f>
        <v>0</v>
      </c>
      <c r="AU27" s="180">
        <f t="shared" ref="AU27:AU28" si="61">AW27</f>
        <v>0</v>
      </c>
      <c r="AV27" s="182">
        <f>AU27/$C$46*100%</f>
        <v>0</v>
      </c>
      <c r="AW27" s="183">
        <f>-SUMIF('04.conso TB'!A:A,'Apr-26'!B27,'04.conso TB'!P:P)/10^5</f>
        <v>0</v>
      </c>
      <c r="AX27" s="184">
        <f>AW27/$AW$46*100%</f>
        <v>0</v>
      </c>
      <c r="AY27" s="195"/>
      <c r="AZ27" s="180">
        <f t="shared" ref="AZ27:AZ28" si="62">BB27</f>
        <v>0</v>
      </c>
      <c r="BA27" s="182">
        <f t="shared" si="15"/>
        <v>0</v>
      </c>
      <c r="BB27" s="190">
        <f>AS27+AW27</f>
        <v>0</v>
      </c>
      <c r="BC27" s="184">
        <f>BB27/$BB$46*100%</f>
        <v>0</v>
      </c>
      <c r="BD27" s="196"/>
      <c r="BE27" s="180">
        <f t="shared" ref="BE27:BE28" si="63">BG27</f>
        <v>45.809244000000007</v>
      </c>
      <c r="BF27" s="182">
        <f t="shared" si="16"/>
        <v>2.4056741827469686E-2</v>
      </c>
      <c r="BG27" s="183">
        <f>-SUMIF('04.conso TB'!A:A,'Apr-26'!B27,'04.conso TB'!H:H)/10^5</f>
        <v>45.809244000000007</v>
      </c>
      <c r="BH27" s="184">
        <f>BG27/$BG$46*100%</f>
        <v>2.4056741827469686E-2</v>
      </c>
      <c r="BI27" s="180">
        <f t="shared" ref="BI27:BI28" si="64">BK27</f>
        <v>0</v>
      </c>
      <c r="BJ27" s="182">
        <f t="shared" si="17"/>
        <v>0</v>
      </c>
      <c r="BK27" s="183">
        <f>-SUMIF('04.conso TB'!A:A,'Apr-26'!B27,'04.conso TB'!I:I)/10^5</f>
        <v>0</v>
      </c>
      <c r="BL27" s="184">
        <f>BK27/$BK$46*100%</f>
        <v>0</v>
      </c>
      <c r="BM27" s="180">
        <f t="shared" ref="BM27:BM28" si="65">BO27</f>
        <v>0</v>
      </c>
      <c r="BN27" s="182">
        <f>BM27/$C$46*100%</f>
        <v>0</v>
      </c>
      <c r="BO27" s="181">
        <f>-SUMIF('04.conso TB'!A:A,'Apr-26'!B27,'04.conso TB'!J:J)/10^5</f>
        <v>0</v>
      </c>
      <c r="BP27" s="182">
        <f>BO27/$C$46*100%</f>
        <v>0</v>
      </c>
      <c r="BQ27" s="192">
        <v>0</v>
      </c>
      <c r="BR27" s="180">
        <f t="shared" ref="BR27:BR28" si="66">BT27</f>
        <v>45.809244000000007</v>
      </c>
      <c r="BS27" s="182">
        <f t="shared" si="18"/>
        <v>2.4852425737647451E-2</v>
      </c>
      <c r="BT27" s="183">
        <f t="shared" si="19"/>
        <v>45.809244000000007</v>
      </c>
      <c r="BU27" s="182">
        <f t="shared" si="20"/>
        <v>2.4852425737647448E-2</v>
      </c>
      <c r="BV27" s="191"/>
      <c r="BW27" s="180">
        <f t="shared" ref="BW27:BW28" si="67">BY27</f>
        <v>0</v>
      </c>
      <c r="BX27" s="182">
        <f t="shared" si="21"/>
        <v>0</v>
      </c>
      <c r="BY27" s="183">
        <f>-SUMIF('04.conso TB'!A:A,'Apr-26'!B27,'04.conso TB'!L:L)/10^5</f>
        <v>0</v>
      </c>
      <c r="BZ27" s="182">
        <f t="shared" si="22"/>
        <v>0</v>
      </c>
      <c r="CA27" s="191"/>
      <c r="CB27" s="180">
        <f>+CC27</f>
        <v>526.9808357579999</v>
      </c>
      <c r="CC27" s="346">
        <v>526.9808357579999</v>
      </c>
      <c r="CD27" s="193"/>
      <c r="CE27" s="444">
        <f>AB27+AG27+AL27+AZ27+BR27+BW27-CB27</f>
        <v>56.306812992861182</v>
      </c>
      <c r="CF27" s="182">
        <f t="shared" si="23"/>
        <v>1.0517905435847075E-2</v>
      </c>
      <c r="CG27" s="444">
        <f>AD27+AI27+AN27+BB27+BT27+BY27-CC27</f>
        <v>56.306812992861182</v>
      </c>
      <c r="CH27" s="182">
        <f t="shared" si="24"/>
        <v>1.0517905435847075E-2</v>
      </c>
    </row>
    <row r="28" spans="1:86" s="194" customFormat="1" x14ac:dyDescent="0.35">
      <c r="B28" s="197" t="s">
        <v>458</v>
      </c>
      <c r="C28" s="180">
        <f t="shared" si="51"/>
        <v>33.935091</v>
      </c>
      <c r="D28" s="182">
        <f t="shared" ref="D28:AD28" si="68">SUM(D27)</f>
        <v>1.0169004416808639E-2</v>
      </c>
      <c r="E28" s="181">
        <f t="shared" si="68"/>
        <v>33.935091</v>
      </c>
      <c r="F28" s="182">
        <f t="shared" si="1"/>
        <v>1.0169004416808639E-2</v>
      </c>
      <c r="G28" s="180">
        <f t="shared" si="52"/>
        <v>38.2653453</v>
      </c>
      <c r="H28" s="182">
        <f t="shared" si="2"/>
        <v>3.239127410851423E-2</v>
      </c>
      <c r="I28" s="181">
        <f t="shared" si="68"/>
        <v>38.2653453</v>
      </c>
      <c r="J28" s="182">
        <f t="shared" si="3"/>
        <v>3.239127410851423E-2</v>
      </c>
      <c r="K28" s="180">
        <f t="shared" si="53"/>
        <v>0</v>
      </c>
      <c r="L28" s="182">
        <f t="shared" ref="L28" si="69">SUM(L27)</f>
        <v>0</v>
      </c>
      <c r="M28" s="181">
        <f t="shared" si="68"/>
        <v>0</v>
      </c>
      <c r="N28" s="182">
        <f t="shared" ref="N28" si="70">SUM(N27)</f>
        <v>0</v>
      </c>
      <c r="O28" s="180">
        <f t="shared" si="54"/>
        <v>0</v>
      </c>
      <c r="P28" s="182">
        <f t="shared" si="4"/>
        <v>0</v>
      </c>
      <c r="Q28" s="181">
        <f>Q27</f>
        <v>0</v>
      </c>
      <c r="R28" s="182">
        <f t="shared" si="5"/>
        <v>0</v>
      </c>
      <c r="S28" s="180">
        <f t="shared" si="55"/>
        <v>0</v>
      </c>
      <c r="T28" s="182">
        <f t="shared" si="6"/>
        <v>0</v>
      </c>
      <c r="U28" s="183">
        <f>-SUMIF('04.conso TB'!A:A,'Apr-26'!B28,'04.conso TB'!V:V)/10^5</f>
        <v>0</v>
      </c>
      <c r="V28" s="182">
        <f t="shared" si="7"/>
        <v>0</v>
      </c>
      <c r="W28" s="180">
        <f t="shared" si="56"/>
        <v>0</v>
      </c>
      <c r="X28" s="182">
        <f t="shared" si="8"/>
        <v>0</v>
      </c>
      <c r="Y28" s="181">
        <f>-SUMIF('04.conso TB'!A:A,'Apr-26'!B28,'04.conso TB'!G:G)/10^5</f>
        <v>0</v>
      </c>
      <c r="Z28" s="182">
        <f t="shared" si="9"/>
        <v>0</v>
      </c>
      <c r="AA28" s="198">
        <f t="shared" si="68"/>
        <v>0</v>
      </c>
      <c r="AB28" s="180">
        <f t="shared" si="57"/>
        <v>72.200436300000007</v>
      </c>
      <c r="AC28" s="182">
        <f t="shared" si="10"/>
        <v>1.3800915669145739E-2</v>
      </c>
      <c r="AD28" s="183">
        <f t="shared" si="68"/>
        <v>72.200436300000007</v>
      </c>
      <c r="AE28" s="182">
        <f t="shared" si="11"/>
        <v>1.3800915669145739E-2</v>
      </c>
      <c r="AF28" s="511"/>
      <c r="AG28" s="180">
        <f t="shared" si="58"/>
        <v>281.705717650861</v>
      </c>
      <c r="AH28" s="182">
        <f t="shared" si="12"/>
        <v>0.76035228274644762</v>
      </c>
      <c r="AI28" s="187">
        <f t="shared" ref="AI28:AJ28" si="71">SUM(AI27)</f>
        <v>281.705717650861</v>
      </c>
      <c r="AJ28" s="184">
        <f t="shared" si="71"/>
        <v>0.76035228274644762</v>
      </c>
      <c r="AK28" s="186"/>
      <c r="AL28" s="180">
        <f t="shared" si="59"/>
        <v>183.57225079999998</v>
      </c>
      <c r="AM28" s="182">
        <f t="shared" si="13"/>
        <v>0.16129567274285189</v>
      </c>
      <c r="AN28" s="181">
        <f>AN27</f>
        <v>183.57225079999998</v>
      </c>
      <c r="AO28" s="184">
        <f>SUM(AO27)</f>
        <v>0.16129567274285189</v>
      </c>
      <c r="AP28" s="546">
        <f>AQ28/$AQ$1*10^5</f>
        <v>0</v>
      </c>
      <c r="AQ28" s="180">
        <f t="shared" si="60"/>
        <v>0</v>
      </c>
      <c r="AR28" s="182">
        <f t="shared" si="14"/>
        <v>0</v>
      </c>
      <c r="AS28" s="183">
        <f t="shared" ref="AS28:AX28" si="72">SUM(AS27)</f>
        <v>0</v>
      </c>
      <c r="AT28" s="184">
        <f t="shared" si="72"/>
        <v>0</v>
      </c>
      <c r="AU28" s="180">
        <f t="shared" si="61"/>
        <v>0</v>
      </c>
      <c r="AV28" s="182">
        <f t="shared" ref="AV28" si="73">SUM(AV27)</f>
        <v>0</v>
      </c>
      <c r="AW28" s="183">
        <f t="shared" si="72"/>
        <v>0</v>
      </c>
      <c r="AX28" s="184">
        <f t="shared" si="72"/>
        <v>0</v>
      </c>
      <c r="AY28" s="195"/>
      <c r="AZ28" s="180">
        <f t="shared" si="62"/>
        <v>0</v>
      </c>
      <c r="BA28" s="182">
        <f t="shared" si="15"/>
        <v>0</v>
      </c>
      <c r="BB28" s="188">
        <f>SUM(BB27)</f>
        <v>0</v>
      </c>
      <c r="BC28" s="184">
        <f>SUM(BC27)</f>
        <v>0</v>
      </c>
      <c r="BD28" s="196"/>
      <c r="BE28" s="180">
        <f t="shared" si="63"/>
        <v>45.809244000000007</v>
      </c>
      <c r="BF28" s="182">
        <f t="shared" si="16"/>
        <v>2.4056741827469686E-2</v>
      </c>
      <c r="BG28" s="183">
        <f t="shared" ref="BG28:BP28" si="74">SUM(BG27)</f>
        <v>45.809244000000007</v>
      </c>
      <c r="BH28" s="184">
        <f t="shared" si="74"/>
        <v>2.4056741827469686E-2</v>
      </c>
      <c r="BI28" s="180">
        <f t="shared" si="64"/>
        <v>0</v>
      </c>
      <c r="BJ28" s="182">
        <f t="shared" si="17"/>
        <v>0</v>
      </c>
      <c r="BK28" s="183">
        <f t="shared" si="74"/>
        <v>0</v>
      </c>
      <c r="BL28" s="184">
        <f t="shared" si="74"/>
        <v>0</v>
      </c>
      <c r="BM28" s="180">
        <f t="shared" si="65"/>
        <v>0</v>
      </c>
      <c r="BN28" s="182">
        <f t="shared" ref="BN28" si="75">SUM(BN27)</f>
        <v>0</v>
      </c>
      <c r="BO28" s="181">
        <f t="shared" si="74"/>
        <v>0</v>
      </c>
      <c r="BP28" s="182">
        <f t="shared" si="74"/>
        <v>0</v>
      </c>
      <c r="BQ28" s="192">
        <f>BQ27</f>
        <v>0</v>
      </c>
      <c r="BR28" s="180">
        <f t="shared" si="66"/>
        <v>45.809244000000007</v>
      </c>
      <c r="BS28" s="182">
        <f t="shared" si="18"/>
        <v>2.4852425737647451E-2</v>
      </c>
      <c r="BT28" s="183">
        <f t="shared" si="19"/>
        <v>45.809244000000007</v>
      </c>
      <c r="BU28" s="182">
        <f t="shared" si="20"/>
        <v>2.4852425737647448E-2</v>
      </c>
      <c r="BV28" s="191"/>
      <c r="BW28" s="180">
        <f t="shared" si="67"/>
        <v>0</v>
      </c>
      <c r="BX28" s="182">
        <f t="shared" si="21"/>
        <v>0</v>
      </c>
      <c r="BY28" s="183">
        <f t="shared" ref="BY28" si="76">SUM(BY27)</f>
        <v>0</v>
      </c>
      <c r="BZ28" s="182">
        <f t="shared" si="22"/>
        <v>0</v>
      </c>
      <c r="CA28" s="191"/>
      <c r="CB28" s="346">
        <f>SUM(CB27)</f>
        <v>526.9808357579999</v>
      </c>
      <c r="CC28" s="346">
        <f>SUM(CC27)</f>
        <v>526.9808357579999</v>
      </c>
      <c r="CD28" s="186"/>
      <c r="CE28" s="187">
        <f>SUM(CE27)</f>
        <v>56.306812992861182</v>
      </c>
      <c r="CF28" s="182">
        <f t="shared" si="23"/>
        <v>1.0517905435847075E-2</v>
      </c>
      <c r="CG28" s="183">
        <f>SUM(CG27)</f>
        <v>56.306812992861182</v>
      </c>
      <c r="CH28" s="182">
        <f t="shared" si="24"/>
        <v>1.0517905435847075E-2</v>
      </c>
    </row>
    <row r="29" spans="1:86" s="194" customFormat="1" x14ac:dyDescent="0.35">
      <c r="B29" s="199" t="s">
        <v>459</v>
      </c>
      <c r="C29" s="180"/>
      <c r="D29" s="182"/>
      <c r="E29" s="181"/>
      <c r="F29" s="182">
        <f t="shared" si="1"/>
        <v>0</v>
      </c>
      <c r="G29" s="180"/>
      <c r="H29" s="182">
        <f t="shared" si="2"/>
        <v>0</v>
      </c>
      <c r="I29" s="181"/>
      <c r="J29" s="182">
        <f t="shared" si="3"/>
        <v>0</v>
      </c>
      <c r="K29" s="180"/>
      <c r="L29" s="182"/>
      <c r="M29" s="181"/>
      <c r="N29" s="182"/>
      <c r="O29" s="180"/>
      <c r="P29" s="182">
        <f t="shared" si="4"/>
        <v>0</v>
      </c>
      <c r="Q29" s="181">
        <f>-SUMIF('04.conso TB'!A:A,'Apr-26'!B29,'04.conso TB'!U:U)/10^5</f>
        <v>0</v>
      </c>
      <c r="R29" s="182">
        <f t="shared" si="5"/>
        <v>0</v>
      </c>
      <c r="S29" s="180"/>
      <c r="T29" s="182">
        <f t="shared" si="6"/>
        <v>0</v>
      </c>
      <c r="U29" s="183">
        <f>-SUMIF('04.conso TB'!A:A,'Apr-26'!B29,'04.conso TB'!V:V)/10^5</f>
        <v>0</v>
      </c>
      <c r="V29" s="182">
        <f t="shared" si="7"/>
        <v>0</v>
      </c>
      <c r="W29" s="180"/>
      <c r="X29" s="182">
        <f t="shared" si="8"/>
        <v>0</v>
      </c>
      <c r="Y29" s="181">
        <f>-SUMIF('04.conso TB'!A:A,'Apr-26'!B29,'04.conso TB'!G:G)/10^5</f>
        <v>0</v>
      </c>
      <c r="Z29" s="182">
        <f t="shared" si="9"/>
        <v>0</v>
      </c>
      <c r="AA29" s="185"/>
      <c r="AB29" s="180"/>
      <c r="AC29" s="182">
        <f t="shared" si="10"/>
        <v>0</v>
      </c>
      <c r="AD29" s="183"/>
      <c r="AE29" s="182">
        <f t="shared" si="11"/>
        <v>0</v>
      </c>
      <c r="AF29" s="186"/>
      <c r="AG29" s="180"/>
      <c r="AH29" s="182">
        <f t="shared" si="12"/>
        <v>0</v>
      </c>
      <c r="AI29" s="183">
        <f>-SUMIF('04.conso TB'!A:A,'Apr-26'!B29,'04.conso TB'!Q:Q)/10^5</f>
        <v>0</v>
      </c>
      <c r="AJ29" s="203"/>
      <c r="AK29" s="186"/>
      <c r="AL29" s="180"/>
      <c r="AM29" s="182">
        <f t="shared" si="13"/>
        <v>0</v>
      </c>
      <c r="AN29" s="181">
        <f>-SUMIF('04.conso TB'!A:A,'Apr-26'!B29,'04.conso TB'!W:W)/10^5</f>
        <v>0</v>
      </c>
      <c r="AO29" s="203"/>
      <c r="AP29" s="545"/>
      <c r="AQ29" s="180"/>
      <c r="AR29" s="182">
        <f t="shared" si="14"/>
        <v>0</v>
      </c>
      <c r="AS29" s="183"/>
      <c r="AT29" s="203"/>
      <c r="AU29" s="180"/>
      <c r="AV29" s="182"/>
      <c r="AW29" s="183"/>
      <c r="AX29" s="203"/>
      <c r="AY29" s="189"/>
      <c r="AZ29" s="180"/>
      <c r="BA29" s="182">
        <f t="shared" si="15"/>
        <v>0</v>
      </c>
      <c r="BB29" s="188"/>
      <c r="BC29" s="203"/>
      <c r="BD29" s="196"/>
      <c r="BE29" s="180"/>
      <c r="BF29" s="182">
        <f t="shared" si="16"/>
        <v>0</v>
      </c>
      <c r="BG29" s="183"/>
      <c r="BH29" s="203"/>
      <c r="BI29" s="180"/>
      <c r="BJ29" s="182">
        <f t="shared" si="17"/>
        <v>0</v>
      </c>
      <c r="BK29" s="183"/>
      <c r="BL29" s="203"/>
      <c r="BM29" s="180"/>
      <c r="BN29" s="182"/>
      <c r="BO29" s="181"/>
      <c r="BP29" s="182"/>
      <c r="BQ29" s="192"/>
      <c r="BR29" s="180"/>
      <c r="BS29" s="182">
        <f t="shared" si="18"/>
        <v>0</v>
      </c>
      <c r="BT29" s="183">
        <f t="shared" si="19"/>
        <v>0</v>
      </c>
      <c r="BU29" s="182">
        <f t="shared" si="20"/>
        <v>0</v>
      </c>
      <c r="BV29" s="196"/>
      <c r="BW29" s="180"/>
      <c r="BX29" s="182">
        <f t="shared" si="21"/>
        <v>0</v>
      </c>
      <c r="BY29" s="183"/>
      <c r="BZ29" s="182">
        <f t="shared" si="22"/>
        <v>0</v>
      </c>
      <c r="CA29" s="191"/>
      <c r="CB29" s="180"/>
      <c r="CC29" s="346"/>
      <c r="CD29" s="186"/>
      <c r="CE29" s="187"/>
      <c r="CF29" s="182">
        <f t="shared" si="23"/>
        <v>0</v>
      </c>
      <c r="CG29" s="183"/>
      <c r="CH29" s="182">
        <f t="shared" si="24"/>
        <v>0</v>
      </c>
    </row>
    <row r="30" spans="1:86" s="194" customFormat="1" x14ac:dyDescent="0.35">
      <c r="B30" s="197" t="s">
        <v>460</v>
      </c>
      <c r="C30" s="180">
        <f t="shared" ref="C30:C32" si="77">E30</f>
        <v>0</v>
      </c>
      <c r="D30" s="182">
        <f>C30/$C$46*100%</f>
        <v>0</v>
      </c>
      <c r="E30" s="181">
        <f>-SUMIF('04.conso TB'!A:A,'Apr-26'!B30,'04.conso TB'!R:R)/10^5</f>
        <v>0</v>
      </c>
      <c r="F30" s="182">
        <f t="shared" si="1"/>
        <v>0</v>
      </c>
      <c r="G30" s="180">
        <f t="shared" ref="G30:G32" si="78">I30</f>
        <v>0</v>
      </c>
      <c r="H30" s="182">
        <f t="shared" si="2"/>
        <v>0</v>
      </c>
      <c r="I30" s="181">
        <f>-SUMIF('04.conso TB'!A:A,'Apr-26'!B30,'04.conso TB'!S:S)/10^5</f>
        <v>0</v>
      </c>
      <c r="J30" s="182">
        <f t="shared" si="3"/>
        <v>0</v>
      </c>
      <c r="K30" s="180">
        <f t="shared" ref="K30:K32" si="79">M30</f>
        <v>0</v>
      </c>
      <c r="L30" s="182">
        <f>K30/$C$46*100%</f>
        <v>0</v>
      </c>
      <c r="M30" s="181">
        <f>-SUMIF('04.conso TB'!A:A,'Apr-26'!B30,'04.conso TB'!T:T)</f>
        <v>0</v>
      </c>
      <c r="N30" s="182">
        <f>M30/$C$46*100%</f>
        <v>0</v>
      </c>
      <c r="O30" s="180">
        <f t="shared" ref="O30:O32" si="80">Q30</f>
        <v>0</v>
      </c>
      <c r="P30" s="182">
        <f t="shared" si="4"/>
        <v>0</v>
      </c>
      <c r="Q30" s="181">
        <f>-SUMIF('04.conso TB'!A:A,'Apr-26'!B30,'04.conso TB'!U:U)/10^5</f>
        <v>0</v>
      </c>
      <c r="R30" s="182">
        <f t="shared" si="5"/>
        <v>0</v>
      </c>
      <c r="S30" s="180">
        <f t="shared" ref="S30:S32" si="81">U30</f>
        <v>0</v>
      </c>
      <c r="T30" s="182">
        <f t="shared" si="6"/>
        <v>0</v>
      </c>
      <c r="U30" s="183">
        <f>-SUMIF('04.conso TB'!A:A,'Apr-26'!B30,'04.conso TB'!V:V)/10^5</f>
        <v>0</v>
      </c>
      <c r="V30" s="182">
        <f t="shared" si="7"/>
        <v>0</v>
      </c>
      <c r="W30" s="180">
        <f t="shared" ref="W30:W32" si="82">Y30</f>
        <v>0</v>
      </c>
      <c r="X30" s="182">
        <f t="shared" si="8"/>
        <v>0</v>
      </c>
      <c r="Y30" s="181">
        <f>-SUMIF('04.conso TB'!A:A,'Apr-26'!B30,'04.conso TB'!G:G)/10^5</f>
        <v>0</v>
      </c>
      <c r="Z30" s="182">
        <f t="shared" si="9"/>
        <v>0</v>
      </c>
      <c r="AA30" s="185"/>
      <c r="AB30" s="180">
        <f t="shared" ref="AB30:AB32" si="83">AD30</f>
        <v>0</v>
      </c>
      <c r="AC30" s="182">
        <f t="shared" si="10"/>
        <v>0</v>
      </c>
      <c r="AD30" s="187">
        <f>E30+I30+M30+Q30+U30+Y30</f>
        <v>0</v>
      </c>
      <c r="AE30" s="182">
        <f t="shared" si="11"/>
        <v>0</v>
      </c>
      <c r="AF30" s="186"/>
      <c r="AG30" s="180">
        <f t="shared" ref="AG30:AG32" si="84">AI30</f>
        <v>0</v>
      </c>
      <c r="AH30" s="182">
        <f t="shared" si="12"/>
        <v>0</v>
      </c>
      <c r="AI30" s="183">
        <f>-SUMIF('04.conso TB'!A:A,'Apr-26'!B30,'04.conso TB'!Q:Q)/10^5</f>
        <v>0</v>
      </c>
      <c r="AJ30" s="184">
        <f>AI30/$AI$46*100%</f>
        <v>0</v>
      </c>
      <c r="AK30" s="186"/>
      <c r="AL30" s="180">
        <f t="shared" ref="AL30:AL32" si="85">AN30</f>
        <v>0</v>
      </c>
      <c r="AM30" s="182">
        <f t="shared" si="13"/>
        <v>0</v>
      </c>
      <c r="AN30" s="181">
        <f>-SUMIF('04.conso TB'!A:A,'Apr-26'!B30,'04.conso TB'!W:W)/10^5</f>
        <v>0</v>
      </c>
      <c r="AO30" s="184">
        <f>AN30/$AN$46*100%</f>
        <v>0</v>
      </c>
      <c r="AP30" s="545"/>
      <c r="AQ30" s="180">
        <f t="shared" ref="AQ30:AQ32" si="86">AS30</f>
        <v>0</v>
      </c>
      <c r="AR30" s="182">
        <f t="shared" si="14"/>
        <v>0</v>
      </c>
      <c r="AS30" s="183">
        <f>-SUMIF('04.conso TB'!A:A,'Apr-26'!B30,'04.conso TB'!M:M)/10^5</f>
        <v>0</v>
      </c>
      <c r="AT30" s="184">
        <f>AS30/$AS$46*100%</f>
        <v>0</v>
      </c>
      <c r="AU30" s="180">
        <f t="shared" ref="AU30:AU32" si="87">AW30</f>
        <v>0</v>
      </c>
      <c r="AV30" s="182">
        <f>AU30/$C$46*100%</f>
        <v>0</v>
      </c>
      <c r="AW30" s="183">
        <f>-SUMIF('04.conso TB'!A:A,'Apr-26'!B30,'04.conso TB'!P:P)/10^5</f>
        <v>0</v>
      </c>
      <c r="AX30" s="184">
        <f>AW30/$AW$46*100%</f>
        <v>0</v>
      </c>
      <c r="AY30" s="195"/>
      <c r="AZ30" s="180">
        <f t="shared" ref="AZ30:AZ32" si="88">BB30</f>
        <v>0</v>
      </c>
      <c r="BA30" s="182">
        <f t="shared" si="15"/>
        <v>0</v>
      </c>
      <c r="BB30" s="190">
        <f t="shared" ref="BB30:BB32" si="89">AS30+AW30</f>
        <v>0</v>
      </c>
      <c r="BC30" s="184">
        <f>BB30/$BB$46*100%</f>
        <v>0</v>
      </c>
      <c r="BD30" s="191"/>
      <c r="BE30" s="180">
        <f t="shared" ref="BE30:BE32" si="90">BG30</f>
        <v>0.21065</v>
      </c>
      <c r="BF30" s="182">
        <f t="shared" si="16"/>
        <v>1.1062292724054754E-4</v>
      </c>
      <c r="BG30" s="183">
        <f>-SUMIF('04.conso TB'!A:A,'Apr-26'!B30,'04.conso TB'!H:H)/10^5</f>
        <v>0.21065</v>
      </c>
      <c r="BH30" s="184">
        <f>BG30/$BG$46*100%</f>
        <v>1.1062292724054754E-4</v>
      </c>
      <c r="BI30" s="180">
        <f t="shared" ref="BI30:BI32" si="91">BK30</f>
        <v>0</v>
      </c>
      <c r="BJ30" s="182">
        <f t="shared" si="17"/>
        <v>0</v>
      </c>
      <c r="BK30" s="183">
        <f>-SUMIF('04.conso TB'!A:A,'Apr-26'!B30,'04.conso TB'!I:I)/10^5</f>
        <v>0</v>
      </c>
      <c r="BL30" s="184">
        <f>BK30/$BK$46*100%</f>
        <v>0</v>
      </c>
      <c r="BM30" s="180">
        <f t="shared" ref="BM30:BM32" si="92">BO30</f>
        <v>0</v>
      </c>
      <c r="BN30" s="182">
        <f>BM30/$C$46*100%</f>
        <v>0</v>
      </c>
      <c r="BO30" s="181">
        <f>-SUMIF('04.conso TB'!A:A,'Apr-26'!B30,'04.conso TB'!J:J)/10^5</f>
        <v>0</v>
      </c>
      <c r="BP30" s="182">
        <f>BO30/$C$46*100%</f>
        <v>0</v>
      </c>
      <c r="BQ30" s="192"/>
      <c r="BR30" s="180">
        <f t="shared" ref="BR30:BR32" si="93">BT30</f>
        <v>0.21065</v>
      </c>
      <c r="BS30" s="182">
        <f t="shared" si="18"/>
        <v>1.1428181354914817E-4</v>
      </c>
      <c r="BT30" s="183">
        <f t="shared" si="19"/>
        <v>0.21065</v>
      </c>
      <c r="BU30" s="182">
        <f t="shared" si="20"/>
        <v>1.1428181354914816E-4</v>
      </c>
      <c r="BV30" s="191"/>
      <c r="BW30" s="180">
        <f t="shared" ref="BW30:BW32" si="94">BY30</f>
        <v>0</v>
      </c>
      <c r="BX30" s="182">
        <f t="shared" si="21"/>
        <v>0</v>
      </c>
      <c r="BY30" s="183">
        <f>-SUMIF('04.conso TB'!A:A,'Apr-26'!B30,'04.conso TB'!L:L)/10^5</f>
        <v>0</v>
      </c>
      <c r="BZ30" s="182">
        <f t="shared" si="22"/>
        <v>0</v>
      </c>
      <c r="CA30" s="191"/>
      <c r="CB30" s="180">
        <f t="shared" ref="CB30:CB32" si="95">CD30</f>
        <v>0</v>
      </c>
      <c r="CC30" s="346"/>
      <c r="CD30" s="186"/>
      <c r="CE30" s="187">
        <f>AB30+AG30+AL30+AZ30+BR30+BW30</f>
        <v>0.21065</v>
      </c>
      <c r="CF30" s="182">
        <f t="shared" si="23"/>
        <v>3.9348644725143461E-5</v>
      </c>
      <c r="CG30" s="187">
        <f>AD30+AI30+AN30+BB30+BT30+BY30</f>
        <v>0.21065</v>
      </c>
      <c r="CH30" s="182">
        <f t="shared" si="24"/>
        <v>3.9348644725143461E-5</v>
      </c>
    </row>
    <row r="31" spans="1:86" s="194" customFormat="1" x14ac:dyDescent="0.35">
      <c r="B31" s="197" t="s">
        <v>461</v>
      </c>
      <c r="C31" s="180">
        <f t="shared" si="77"/>
        <v>0</v>
      </c>
      <c r="D31" s="182">
        <f>C31/$C$46*100%</f>
        <v>0</v>
      </c>
      <c r="E31" s="181">
        <f>-SUMIF('04.conso TB'!A:A,'Apr-26'!B31,'04.conso TB'!R:R)</f>
        <v>0</v>
      </c>
      <c r="F31" s="182">
        <f t="shared" si="1"/>
        <v>0</v>
      </c>
      <c r="G31" s="180">
        <f t="shared" si="78"/>
        <v>0</v>
      </c>
      <c r="H31" s="182">
        <f t="shared" si="2"/>
        <v>0</v>
      </c>
      <c r="I31" s="181">
        <f>-SUMIF('04.conso TB'!A:A,'Apr-26'!B31,'04.conso TB'!S:S)/10^5</f>
        <v>0</v>
      </c>
      <c r="J31" s="182">
        <f t="shared" si="3"/>
        <v>0</v>
      </c>
      <c r="K31" s="180">
        <f t="shared" si="79"/>
        <v>19.0470918</v>
      </c>
      <c r="L31" s="182">
        <f>K31/$C$46*100%</f>
        <v>5.7076599747900962E-3</v>
      </c>
      <c r="M31" s="181">
        <f>-SUMIF('04.conso TB'!A:A,'Apr-26'!B31,'04.conso TB'!T:T)/10^5</f>
        <v>19.0470918</v>
      </c>
      <c r="N31" s="182">
        <f>M31/$C$46*100%</f>
        <v>5.7076599747900962E-3</v>
      </c>
      <c r="O31" s="180">
        <f t="shared" si="80"/>
        <v>0</v>
      </c>
      <c r="P31" s="182">
        <f t="shared" si="4"/>
        <v>0</v>
      </c>
      <c r="Q31" s="181">
        <f>-SUMIF('04.conso TB'!A:A,'Apr-26'!B31,'04.conso TB'!U:U)/10^5</f>
        <v>0</v>
      </c>
      <c r="R31" s="182">
        <f t="shared" si="5"/>
        <v>0</v>
      </c>
      <c r="S31" s="180">
        <f t="shared" si="81"/>
        <v>0</v>
      </c>
      <c r="T31" s="182">
        <f t="shared" si="6"/>
        <v>0</v>
      </c>
      <c r="U31" s="183">
        <f>-SUMIF('04.conso TB'!A:A,'Apr-26'!B31,'04.conso TB'!V:V)/10^5</f>
        <v>0</v>
      </c>
      <c r="V31" s="182">
        <f t="shared" si="7"/>
        <v>0</v>
      </c>
      <c r="W31" s="180">
        <f t="shared" si="82"/>
        <v>0</v>
      </c>
      <c r="X31" s="182">
        <f t="shared" si="8"/>
        <v>0</v>
      </c>
      <c r="Y31" s="181">
        <f>-SUMIF('04.conso TB'!A:A,'Apr-26'!B31,'04.conso TB'!G:G)/10^5</f>
        <v>0</v>
      </c>
      <c r="Z31" s="182">
        <f t="shared" si="9"/>
        <v>0</v>
      </c>
      <c r="AA31" s="185"/>
      <c r="AB31" s="180">
        <f t="shared" si="83"/>
        <v>19.0470918</v>
      </c>
      <c r="AC31" s="182">
        <f t="shared" si="10"/>
        <v>3.6407994348127966E-3</v>
      </c>
      <c r="AD31" s="187">
        <f>E31+I31+M31+Q31+U31+Y31</f>
        <v>19.0470918</v>
      </c>
      <c r="AE31" s="182">
        <f t="shared" si="11"/>
        <v>3.6407994348127966E-3</v>
      </c>
      <c r="AF31" s="186"/>
      <c r="AG31" s="180">
        <f t="shared" si="84"/>
        <v>0</v>
      </c>
      <c r="AH31" s="182">
        <f t="shared" si="12"/>
        <v>0</v>
      </c>
      <c r="AI31" s="183">
        <f>-SUMIF('04.conso TB'!A:A,'Apr-26'!B31,'04.conso TB'!Q:Q)/10^5</f>
        <v>0</v>
      </c>
      <c r="AJ31" s="184">
        <f>AI31/$AI$46*100%</f>
        <v>0</v>
      </c>
      <c r="AK31" s="186"/>
      <c r="AL31" s="180">
        <f t="shared" si="85"/>
        <v>0</v>
      </c>
      <c r="AM31" s="182">
        <f t="shared" si="13"/>
        <v>0</v>
      </c>
      <c r="AN31" s="181">
        <f>-SUMIF('04.conso TB'!A:A,'Apr-26'!B31,'04.conso TB'!W:W)/10^5</f>
        <v>0</v>
      </c>
      <c r="AO31" s="184">
        <f>AN31/$AN$46*100%</f>
        <v>0</v>
      </c>
      <c r="AP31" s="545"/>
      <c r="AQ31" s="180">
        <f t="shared" si="86"/>
        <v>0</v>
      </c>
      <c r="AR31" s="182">
        <f t="shared" si="14"/>
        <v>0</v>
      </c>
      <c r="AS31" s="183">
        <f>-SUMIF('04.conso TB'!A:A,'Apr-26'!B31,'04.conso TB'!M:M)/10^5</f>
        <v>0</v>
      </c>
      <c r="AT31" s="184">
        <f>AS31/$AS$46*100%</f>
        <v>0</v>
      </c>
      <c r="AU31" s="180">
        <f t="shared" si="87"/>
        <v>0</v>
      </c>
      <c r="AV31" s="182">
        <f>AU31/$C$46*100%</f>
        <v>0</v>
      </c>
      <c r="AW31" s="183">
        <f>-SUMIF('04.conso TB'!A:A,'Apr-26'!B31,'04.conso TB'!P:P)/10^5</f>
        <v>0</v>
      </c>
      <c r="AX31" s="184">
        <f>AW31/$AW$46*100%</f>
        <v>0</v>
      </c>
      <c r="AY31" s="195"/>
      <c r="AZ31" s="180">
        <f t="shared" si="88"/>
        <v>0</v>
      </c>
      <c r="BA31" s="182">
        <f t="shared" si="15"/>
        <v>0</v>
      </c>
      <c r="BB31" s="190">
        <f t="shared" si="89"/>
        <v>0</v>
      </c>
      <c r="BC31" s="184">
        <f>BB31/$BB$46*100%</f>
        <v>0</v>
      </c>
      <c r="BD31" s="191"/>
      <c r="BE31" s="180">
        <f t="shared" si="90"/>
        <v>0</v>
      </c>
      <c r="BF31" s="182">
        <f t="shared" si="16"/>
        <v>0</v>
      </c>
      <c r="BG31" s="183">
        <f>-SUMIF('04.conso TB'!A:A,'Apr-26'!B31,'04.conso TB'!H:H)/10^5</f>
        <v>0</v>
      </c>
      <c r="BH31" s="184">
        <f>BG31/$BG$46*100%</f>
        <v>0</v>
      </c>
      <c r="BI31" s="180">
        <f t="shared" si="91"/>
        <v>0</v>
      </c>
      <c r="BJ31" s="182">
        <f t="shared" si="17"/>
        <v>0</v>
      </c>
      <c r="BK31" s="183">
        <f>-SUMIF('04.conso TB'!A:A,'Apr-26'!B31,'04.conso TB'!I:I)/10^5</f>
        <v>0</v>
      </c>
      <c r="BL31" s="184">
        <f>BK31/$BK$46*100%</f>
        <v>0</v>
      </c>
      <c r="BM31" s="180">
        <f t="shared" si="92"/>
        <v>0</v>
      </c>
      <c r="BN31" s="182">
        <f>BM31/$C$46*100%</f>
        <v>0</v>
      </c>
      <c r="BO31" s="181">
        <f>-SUMIF('04.conso TB'!A:A,'Apr-26'!B31,'04.conso TB'!J:J)/10^5</f>
        <v>0</v>
      </c>
      <c r="BP31" s="182">
        <f>BO31/$C$46*100%</f>
        <v>0</v>
      </c>
      <c r="BQ31" s="192"/>
      <c r="BR31" s="180">
        <f t="shared" si="93"/>
        <v>0</v>
      </c>
      <c r="BS31" s="182">
        <f t="shared" si="18"/>
        <v>0</v>
      </c>
      <c r="BT31" s="183">
        <f t="shared" si="19"/>
        <v>0</v>
      </c>
      <c r="BU31" s="182">
        <f t="shared" si="20"/>
        <v>0</v>
      </c>
      <c r="BV31" s="191"/>
      <c r="BW31" s="180">
        <f t="shared" si="94"/>
        <v>0</v>
      </c>
      <c r="BX31" s="182">
        <f t="shared" si="21"/>
        <v>0</v>
      </c>
      <c r="BY31" s="183">
        <f>-SUMIF('04.conso TB'!A:A,'Apr-26'!B31,'04.conso TB'!L:L)/10^5</f>
        <v>0</v>
      </c>
      <c r="BZ31" s="182">
        <f t="shared" si="22"/>
        <v>0</v>
      </c>
      <c r="CA31" s="191"/>
      <c r="CB31" s="180">
        <f t="shared" si="95"/>
        <v>0</v>
      </c>
      <c r="CC31" s="346"/>
      <c r="CD31" s="186"/>
      <c r="CE31" s="187">
        <f>AB31+AG31+AL31+AZ31+BR31+BW31</f>
        <v>19.0470918</v>
      </c>
      <c r="CF31" s="182">
        <f t="shared" si="23"/>
        <v>3.5579266474502413E-3</v>
      </c>
      <c r="CG31" s="187">
        <f>AD31+AI31+AN31+BB31+BT31+BY31</f>
        <v>19.0470918</v>
      </c>
      <c r="CH31" s="182">
        <f t="shared" si="24"/>
        <v>3.5579266474502413E-3</v>
      </c>
    </row>
    <row r="32" spans="1:86" s="194" customFormat="1" x14ac:dyDescent="0.35">
      <c r="B32" s="197" t="s">
        <v>463</v>
      </c>
      <c r="C32" s="180">
        <f t="shared" si="77"/>
        <v>0</v>
      </c>
      <c r="D32" s="182">
        <f>C32/$C$46*100%</f>
        <v>0</v>
      </c>
      <c r="E32" s="181">
        <f>-SUMIF('04.conso TB'!A:A,'Apr-26'!B32,'04.conso TB'!R:R)</f>
        <v>0</v>
      </c>
      <c r="F32" s="182">
        <f t="shared" si="1"/>
        <v>0</v>
      </c>
      <c r="G32" s="180">
        <f t="shared" si="78"/>
        <v>0</v>
      </c>
      <c r="H32" s="182">
        <f t="shared" si="2"/>
        <v>0</v>
      </c>
      <c r="I32" s="181">
        <f>-SUMIF('04.conso TB'!A:A,'Apr-26'!B32,'04.conso TB'!S:S)/10^5</f>
        <v>0</v>
      </c>
      <c r="J32" s="182">
        <f t="shared" si="3"/>
        <v>0</v>
      </c>
      <c r="K32" s="180">
        <f t="shared" si="79"/>
        <v>0</v>
      </c>
      <c r="L32" s="182">
        <f>K32/$C$46*100%</f>
        <v>0</v>
      </c>
      <c r="M32" s="181">
        <f>-SUMIF('04.conso TB'!A:A,'Apr-26'!B32,'04.conso TB'!T:T)</f>
        <v>0</v>
      </c>
      <c r="N32" s="182">
        <f>M32/$C$46*100%</f>
        <v>0</v>
      </c>
      <c r="O32" s="180">
        <f t="shared" si="80"/>
        <v>0</v>
      </c>
      <c r="P32" s="182">
        <f t="shared" si="4"/>
        <v>0</v>
      </c>
      <c r="Q32" s="181">
        <f>-SUMIF('04.conso TB'!A:A,'Apr-26'!B32,'04.conso TB'!U:U)/10^5</f>
        <v>0</v>
      </c>
      <c r="R32" s="182">
        <f t="shared" si="5"/>
        <v>0</v>
      </c>
      <c r="S32" s="180">
        <f t="shared" si="81"/>
        <v>0</v>
      </c>
      <c r="T32" s="182">
        <f t="shared" si="6"/>
        <v>0</v>
      </c>
      <c r="U32" s="183">
        <f>-SUMIF('04.conso TB'!A:A,'Apr-26'!B32,'04.conso TB'!V:V)/10^5</f>
        <v>0</v>
      </c>
      <c r="V32" s="182">
        <f t="shared" si="7"/>
        <v>0</v>
      </c>
      <c r="W32" s="180">
        <f t="shared" si="82"/>
        <v>0</v>
      </c>
      <c r="X32" s="182">
        <f t="shared" si="8"/>
        <v>0</v>
      </c>
      <c r="Y32" s="181">
        <f>-SUMIF('04.conso TB'!A:A,'Apr-26'!B32,'04.conso TB'!G:G)/10^5</f>
        <v>0</v>
      </c>
      <c r="Z32" s="182">
        <f t="shared" si="9"/>
        <v>0</v>
      </c>
      <c r="AA32" s="185"/>
      <c r="AB32" s="180">
        <f t="shared" si="83"/>
        <v>0</v>
      </c>
      <c r="AC32" s="182">
        <f t="shared" si="10"/>
        <v>0</v>
      </c>
      <c r="AD32" s="187">
        <f>E32+I32+M32+Q32+U32+Y32</f>
        <v>0</v>
      </c>
      <c r="AE32" s="182">
        <f t="shared" si="11"/>
        <v>0</v>
      </c>
      <c r="AF32" s="186"/>
      <c r="AG32" s="180">
        <f t="shared" si="84"/>
        <v>0</v>
      </c>
      <c r="AH32" s="182">
        <f t="shared" si="12"/>
        <v>0</v>
      </c>
      <c r="AI32" s="183">
        <f>-SUMIF('04.conso TB'!A:A,'Apr-26'!B32,'04.conso TB'!Q:Q)/10^5</f>
        <v>0</v>
      </c>
      <c r="AJ32" s="184">
        <f>AI32/$AI$46*100%</f>
        <v>0</v>
      </c>
      <c r="AK32" s="186"/>
      <c r="AL32" s="180">
        <f t="shared" si="85"/>
        <v>0</v>
      </c>
      <c r="AM32" s="182">
        <f t="shared" si="13"/>
        <v>0</v>
      </c>
      <c r="AN32" s="181">
        <f>-SUMIF('04.conso TB'!A:A,'Apr-26'!B32,'04.conso TB'!W:W)/10^5</f>
        <v>0</v>
      </c>
      <c r="AO32" s="184">
        <f>AN32/$AN$46*100%</f>
        <v>0</v>
      </c>
      <c r="AP32" s="545"/>
      <c r="AQ32" s="180">
        <f t="shared" si="86"/>
        <v>0</v>
      </c>
      <c r="AR32" s="182">
        <f t="shared" si="14"/>
        <v>0</v>
      </c>
      <c r="AS32" s="183">
        <f>-SUMIF('04.conso TB'!A:A,'Apr-26'!B32,'04.conso TB'!M:M)/10^5</f>
        <v>0</v>
      </c>
      <c r="AT32" s="184">
        <f>AS32/$AS$46*100%</f>
        <v>0</v>
      </c>
      <c r="AU32" s="180">
        <f t="shared" si="87"/>
        <v>0</v>
      </c>
      <c r="AV32" s="182">
        <f>AU32/$C$46*100%</f>
        <v>0</v>
      </c>
      <c r="AW32" s="183">
        <f>-SUMIF('04.conso TB'!A:A,'Apr-26'!B32,'04.conso TB'!P:P)/10^5</f>
        <v>0</v>
      </c>
      <c r="AX32" s="184">
        <f>AW32/$AW$46*100%</f>
        <v>0</v>
      </c>
      <c r="AY32" s="195"/>
      <c r="AZ32" s="180">
        <f t="shared" si="88"/>
        <v>0</v>
      </c>
      <c r="BA32" s="182">
        <f t="shared" si="15"/>
        <v>0</v>
      </c>
      <c r="BB32" s="190">
        <f t="shared" si="89"/>
        <v>0</v>
      </c>
      <c r="BC32" s="184">
        <f>BB32/$BB$46*100%</f>
        <v>0</v>
      </c>
      <c r="BD32" s="191"/>
      <c r="BE32" s="180">
        <f t="shared" si="90"/>
        <v>0</v>
      </c>
      <c r="BF32" s="182">
        <f t="shared" si="16"/>
        <v>0</v>
      </c>
      <c r="BG32" s="183">
        <f>-SUMIF('04.conso TB'!A:A,'Apr-26'!B32,'04.conso TB'!H:H)/10^5</f>
        <v>0</v>
      </c>
      <c r="BH32" s="184">
        <f>BG32/$BG$46*100%</f>
        <v>0</v>
      </c>
      <c r="BI32" s="180">
        <f t="shared" si="91"/>
        <v>0</v>
      </c>
      <c r="BJ32" s="182">
        <f t="shared" si="17"/>
        <v>0</v>
      </c>
      <c r="BK32" s="183">
        <f>-SUMIF('04.conso TB'!A:A,'Apr-26'!B32,'04.conso TB'!I:I)/10^5</f>
        <v>0</v>
      </c>
      <c r="BL32" s="184">
        <f>BK32/$BK$46*100%</f>
        <v>0</v>
      </c>
      <c r="BM32" s="180">
        <f t="shared" si="92"/>
        <v>0</v>
      </c>
      <c r="BN32" s="182">
        <f>BM32/$C$46*100%</f>
        <v>0</v>
      </c>
      <c r="BO32" s="181">
        <f>-SUMIF('04.conso TB'!A:A,'Apr-26'!B32,'04.conso TB'!J:J)/10^5</f>
        <v>0</v>
      </c>
      <c r="BP32" s="182">
        <f>BO32/$C$46*100%</f>
        <v>0</v>
      </c>
      <c r="BQ32" s="192"/>
      <c r="BR32" s="180">
        <f t="shared" si="93"/>
        <v>0</v>
      </c>
      <c r="BS32" s="182">
        <f t="shared" si="18"/>
        <v>0</v>
      </c>
      <c r="BT32" s="183">
        <f t="shared" si="19"/>
        <v>0</v>
      </c>
      <c r="BU32" s="182">
        <f t="shared" si="20"/>
        <v>0</v>
      </c>
      <c r="BV32" s="191"/>
      <c r="BW32" s="180">
        <f t="shared" si="94"/>
        <v>0</v>
      </c>
      <c r="BX32" s="182">
        <f t="shared" si="21"/>
        <v>0</v>
      </c>
      <c r="BY32" s="183">
        <f>-SUMIF('04.conso TB'!A:A,'Apr-26'!B32,'04.conso TB'!L:L)/10^5</f>
        <v>0</v>
      </c>
      <c r="BZ32" s="182">
        <f t="shared" si="22"/>
        <v>0</v>
      </c>
      <c r="CA32" s="191"/>
      <c r="CB32" s="180">
        <f t="shared" si="95"/>
        <v>0</v>
      </c>
      <c r="CC32" s="346"/>
      <c r="CD32" s="186"/>
      <c r="CE32" s="187">
        <f>AB32+AG32+AL32+AZ32+BR32+BW32</f>
        <v>0</v>
      </c>
      <c r="CF32" s="182">
        <f t="shared" si="23"/>
        <v>0</v>
      </c>
      <c r="CG32" s="187">
        <f>AD32+AI32+AN32+BB32+BT32+BY32</f>
        <v>0</v>
      </c>
      <c r="CH32" s="182">
        <f t="shared" si="24"/>
        <v>0</v>
      </c>
    </row>
    <row r="33" spans="1:86" ht="15.5" x14ac:dyDescent="0.35">
      <c r="A33" s="218"/>
      <c r="B33" s="280" t="s">
        <v>464</v>
      </c>
      <c r="C33" s="148">
        <f t="shared" ref="C33:AD33" si="96">SUM(C30:C32)</f>
        <v>0</v>
      </c>
      <c r="D33" s="151">
        <f t="shared" si="96"/>
        <v>0</v>
      </c>
      <c r="E33" s="149">
        <f t="shared" si="96"/>
        <v>0</v>
      </c>
      <c r="F33" s="182">
        <f t="shared" si="1"/>
        <v>0</v>
      </c>
      <c r="G33" s="148">
        <f t="shared" ref="G33" si="97">SUM(G30:G32)</f>
        <v>0</v>
      </c>
      <c r="H33" s="182">
        <f t="shared" si="2"/>
        <v>0</v>
      </c>
      <c r="I33" s="149">
        <f>-SUMIF('04.conso TB'!A:A,'Apr-26'!B33,'04.conso TB'!S:S)/10^5</f>
        <v>0</v>
      </c>
      <c r="J33" s="182">
        <f t="shared" si="3"/>
        <v>0</v>
      </c>
      <c r="K33" s="148">
        <f t="shared" ref="K33" si="98">SUM(K30:K32)</f>
        <v>19.0470918</v>
      </c>
      <c r="L33" s="151">
        <f t="shared" ref="L33" si="99">SUM(L30:L32)</f>
        <v>5.7076599747900962E-3</v>
      </c>
      <c r="M33" s="149">
        <f t="shared" si="96"/>
        <v>19.0470918</v>
      </c>
      <c r="N33" s="151">
        <f t="shared" ref="N33" si="100">SUM(N30:N32)</f>
        <v>5.7076599747900962E-3</v>
      </c>
      <c r="O33" s="148">
        <f t="shared" ref="O33" si="101">SUM(O30:O32)</f>
        <v>0</v>
      </c>
      <c r="P33" s="182">
        <f t="shared" si="4"/>
        <v>0</v>
      </c>
      <c r="Q33" s="149">
        <f t="shared" si="96"/>
        <v>0</v>
      </c>
      <c r="R33" s="182">
        <f t="shared" si="5"/>
        <v>0</v>
      </c>
      <c r="S33" s="148">
        <f t="shared" ref="S33" si="102">SUM(S30:S32)</f>
        <v>0</v>
      </c>
      <c r="T33" s="182">
        <f t="shared" si="6"/>
        <v>0</v>
      </c>
      <c r="U33" s="152">
        <f t="shared" si="96"/>
        <v>0</v>
      </c>
      <c r="V33" s="182">
        <f t="shared" si="7"/>
        <v>0</v>
      </c>
      <c r="W33" s="148">
        <f t="shared" ref="W33" si="103">SUM(W30:W32)</f>
        <v>0</v>
      </c>
      <c r="X33" s="182">
        <f t="shared" si="8"/>
        <v>0</v>
      </c>
      <c r="Y33" s="149">
        <f t="shared" si="96"/>
        <v>0</v>
      </c>
      <c r="Z33" s="182">
        <f t="shared" si="9"/>
        <v>0</v>
      </c>
      <c r="AA33" s="154">
        <f t="shared" si="96"/>
        <v>0</v>
      </c>
      <c r="AB33" s="148">
        <f t="shared" si="96"/>
        <v>19.0470918</v>
      </c>
      <c r="AC33" s="182">
        <f t="shared" si="10"/>
        <v>3.6407994348127966E-3</v>
      </c>
      <c r="AD33" s="152">
        <f t="shared" si="96"/>
        <v>19.0470918</v>
      </c>
      <c r="AE33" s="182">
        <f t="shared" si="11"/>
        <v>3.6407994348127966E-3</v>
      </c>
      <c r="AF33" s="155"/>
      <c r="AG33" s="148">
        <f t="shared" ref="AG33" si="104">SUM(AG30:AG32)</f>
        <v>0</v>
      </c>
      <c r="AH33" s="182">
        <f t="shared" si="12"/>
        <v>0</v>
      </c>
      <c r="AI33" s="152">
        <f t="shared" ref="AI33:AJ33" si="105">SUM(AI30:AI32)</f>
        <v>0</v>
      </c>
      <c r="AJ33" s="153">
        <f t="shared" si="105"/>
        <v>0</v>
      </c>
      <c r="AK33" s="155"/>
      <c r="AL33" s="148">
        <f t="shared" ref="AL33" si="106">SUM(AL30:AL32)</f>
        <v>0</v>
      </c>
      <c r="AM33" s="182">
        <f t="shared" si="13"/>
        <v>0</v>
      </c>
      <c r="AN33" s="149">
        <f>SUM(AN30:AN32)</f>
        <v>0</v>
      </c>
      <c r="AO33" s="153">
        <f>SUM(AO30:AO32)</f>
        <v>0</v>
      </c>
      <c r="AP33" s="546">
        <f>AQ33/$AQ$1*10^5</f>
        <v>0</v>
      </c>
      <c r="AQ33" s="148">
        <f t="shared" ref="AQ33" si="107">SUM(AQ30:AQ32)</f>
        <v>0</v>
      </c>
      <c r="AR33" s="182">
        <f t="shared" si="14"/>
        <v>0</v>
      </c>
      <c r="AS33" s="152">
        <f t="shared" ref="AS33:AX33" si="108">SUM(AS30:AS32)</f>
        <v>0</v>
      </c>
      <c r="AT33" s="153">
        <f t="shared" si="108"/>
        <v>0</v>
      </c>
      <c r="AU33" s="148">
        <f t="shared" ref="AU33" si="109">SUM(AU30:AU32)</f>
        <v>0</v>
      </c>
      <c r="AV33" s="151">
        <f t="shared" ref="AV33" si="110">SUM(AV30:AV32)</f>
        <v>0</v>
      </c>
      <c r="AW33" s="152">
        <f t="shared" si="108"/>
        <v>0</v>
      </c>
      <c r="AX33" s="153">
        <f t="shared" si="108"/>
        <v>0</v>
      </c>
      <c r="AY33" s="163"/>
      <c r="AZ33" s="148">
        <f t="shared" ref="AZ33" si="111">SUM(AZ30:AZ32)</f>
        <v>0</v>
      </c>
      <c r="BA33" s="182">
        <f t="shared" si="15"/>
        <v>0</v>
      </c>
      <c r="BB33" s="157">
        <f>SUM(BB30:BB32)</f>
        <v>0</v>
      </c>
      <c r="BC33" s="153">
        <f>SUM(BC30:BC32)</f>
        <v>0</v>
      </c>
      <c r="BD33" s="159"/>
      <c r="BE33" s="148">
        <f t="shared" ref="BE33" si="112">SUM(BE30:BE32)</f>
        <v>0.21065</v>
      </c>
      <c r="BF33" s="182">
        <f t="shared" si="16"/>
        <v>1.1062292724054754E-4</v>
      </c>
      <c r="BG33" s="152">
        <f>SUM(BG30:BG32)</f>
        <v>0.21065</v>
      </c>
      <c r="BH33" s="153">
        <f t="shared" ref="BH33:BO33" si="113">SUM(BH30:BH32)</f>
        <v>1.1062292724054754E-4</v>
      </c>
      <c r="BI33" s="148">
        <f t="shared" ref="BI33" si="114">SUM(BI30:BI32)</f>
        <v>0</v>
      </c>
      <c r="BJ33" s="182">
        <f t="shared" si="17"/>
        <v>0</v>
      </c>
      <c r="BK33" s="152">
        <f t="shared" si="113"/>
        <v>0</v>
      </c>
      <c r="BL33" s="153">
        <f t="shared" si="113"/>
        <v>0</v>
      </c>
      <c r="BM33" s="148">
        <f t="shared" ref="BM33" si="115">SUM(BM30:BM32)</f>
        <v>0</v>
      </c>
      <c r="BN33" s="151">
        <f t="shared" ref="BN33" si="116">SUM(BN30:BN32)</f>
        <v>0</v>
      </c>
      <c r="BO33" s="149">
        <f t="shared" si="113"/>
        <v>0</v>
      </c>
      <c r="BP33" s="151">
        <f t="shared" ref="BP33" si="117">SUM(BP30:BP32)</f>
        <v>0</v>
      </c>
      <c r="BQ33" s="160"/>
      <c r="BR33" s="148">
        <f t="shared" ref="BR33" si="118">SUM(BR30:BR32)</f>
        <v>0.21065</v>
      </c>
      <c r="BS33" s="182">
        <f t="shared" si="18"/>
        <v>1.1428181354914817E-4</v>
      </c>
      <c r="BT33" s="183">
        <f t="shared" si="19"/>
        <v>0.21065</v>
      </c>
      <c r="BU33" s="182">
        <f t="shared" si="20"/>
        <v>1.1428181354914816E-4</v>
      </c>
      <c r="BV33" s="159"/>
      <c r="BW33" s="148">
        <f t="shared" ref="BW33" si="119">SUM(BW30:BW32)</f>
        <v>0</v>
      </c>
      <c r="BX33" s="182">
        <f t="shared" si="21"/>
        <v>0</v>
      </c>
      <c r="BY33" s="152">
        <f t="shared" ref="BY33" si="120">SUM(BY30:BY32)</f>
        <v>0</v>
      </c>
      <c r="BZ33" s="182">
        <f t="shared" si="22"/>
        <v>0</v>
      </c>
      <c r="CA33" s="159"/>
      <c r="CB33" s="148">
        <f t="shared" ref="CB33" si="121">SUM(CB30:CB32)</f>
        <v>0</v>
      </c>
      <c r="CC33" s="361"/>
      <c r="CD33" s="528"/>
      <c r="CE33" s="156">
        <f>SUM(CE30:CE32)</f>
        <v>19.257741800000002</v>
      </c>
      <c r="CF33" s="182">
        <f t="shared" si="23"/>
        <v>3.5972752921753846E-3</v>
      </c>
      <c r="CG33" s="152">
        <f>SUM(CG30:CG32)</f>
        <v>19.257741800000002</v>
      </c>
      <c r="CH33" s="182">
        <f t="shared" si="24"/>
        <v>3.5972752921753846E-3</v>
      </c>
    </row>
    <row r="34" spans="1:86" x14ac:dyDescent="0.35">
      <c r="B34" s="86" t="s">
        <v>466</v>
      </c>
      <c r="C34" s="148"/>
      <c r="D34" s="151"/>
      <c r="E34" s="149"/>
      <c r="F34" s="182">
        <f t="shared" si="1"/>
        <v>0</v>
      </c>
      <c r="G34" s="148"/>
      <c r="H34" s="182">
        <f t="shared" si="2"/>
        <v>0</v>
      </c>
      <c r="I34" s="149">
        <f>-SUMIF('04.conso TB'!A:A,'Apr-26'!B34,'04.conso TB'!S:S)/10^5</f>
        <v>0</v>
      </c>
      <c r="J34" s="182">
        <f t="shared" si="3"/>
        <v>0</v>
      </c>
      <c r="K34" s="148"/>
      <c r="L34" s="151"/>
      <c r="M34" s="149"/>
      <c r="N34" s="151"/>
      <c r="O34" s="148"/>
      <c r="P34" s="182">
        <f t="shared" si="4"/>
        <v>0</v>
      </c>
      <c r="Q34" s="149"/>
      <c r="R34" s="182">
        <f t="shared" si="5"/>
        <v>0</v>
      </c>
      <c r="S34" s="148"/>
      <c r="T34" s="182">
        <f t="shared" si="6"/>
        <v>0</v>
      </c>
      <c r="U34" s="152"/>
      <c r="V34" s="182">
        <f t="shared" si="7"/>
        <v>0</v>
      </c>
      <c r="W34" s="148"/>
      <c r="X34" s="182">
        <f t="shared" si="8"/>
        <v>0</v>
      </c>
      <c r="Y34" s="149"/>
      <c r="Z34" s="182">
        <f t="shared" si="9"/>
        <v>0</v>
      </c>
      <c r="AA34" s="154"/>
      <c r="AB34" s="148"/>
      <c r="AC34" s="182">
        <f t="shared" si="10"/>
        <v>0</v>
      </c>
      <c r="AD34" s="152"/>
      <c r="AE34" s="182">
        <f t="shared" si="11"/>
        <v>0</v>
      </c>
      <c r="AF34" s="155"/>
      <c r="AG34" s="148"/>
      <c r="AH34" s="182">
        <f t="shared" si="12"/>
        <v>0</v>
      </c>
      <c r="AI34" s="152"/>
      <c r="AJ34" s="162"/>
      <c r="AK34" s="155"/>
      <c r="AL34" s="148"/>
      <c r="AM34" s="182">
        <f t="shared" si="13"/>
        <v>0</v>
      </c>
      <c r="AN34" s="149"/>
      <c r="AO34" s="162"/>
      <c r="AP34" s="139"/>
      <c r="AQ34" s="148"/>
      <c r="AR34" s="182">
        <f t="shared" si="14"/>
        <v>0</v>
      </c>
      <c r="AS34" s="152"/>
      <c r="AT34" s="162"/>
      <c r="AU34" s="148"/>
      <c r="AV34" s="151"/>
      <c r="AW34" s="152"/>
      <c r="AX34" s="162"/>
      <c r="AY34" s="158"/>
      <c r="AZ34" s="148"/>
      <c r="BA34" s="182">
        <f t="shared" si="15"/>
        <v>0</v>
      </c>
      <c r="BB34" s="157"/>
      <c r="BC34" s="162"/>
      <c r="BD34" s="159"/>
      <c r="BE34" s="148"/>
      <c r="BF34" s="182">
        <f t="shared" si="16"/>
        <v>0</v>
      </c>
      <c r="BG34" s="152"/>
      <c r="BH34" s="162"/>
      <c r="BI34" s="148"/>
      <c r="BJ34" s="182">
        <f t="shared" si="17"/>
        <v>0</v>
      </c>
      <c r="BK34" s="152"/>
      <c r="BL34" s="162"/>
      <c r="BM34" s="148"/>
      <c r="BN34" s="151"/>
      <c r="BO34" s="149"/>
      <c r="BP34" s="151"/>
      <c r="BQ34" s="160"/>
      <c r="BR34" s="148"/>
      <c r="BS34" s="182">
        <f t="shared" si="18"/>
        <v>0</v>
      </c>
      <c r="BT34" s="183">
        <f t="shared" si="19"/>
        <v>0</v>
      </c>
      <c r="BU34" s="182">
        <f t="shared" si="20"/>
        <v>0</v>
      </c>
      <c r="BV34" s="161"/>
      <c r="BW34" s="148"/>
      <c r="BX34" s="182">
        <f t="shared" si="21"/>
        <v>0</v>
      </c>
      <c r="BY34" s="152"/>
      <c r="BZ34" s="182">
        <f t="shared" si="22"/>
        <v>0</v>
      </c>
      <c r="CA34" s="159"/>
      <c r="CB34" s="148"/>
      <c r="CC34" s="361"/>
      <c r="CD34" s="155"/>
      <c r="CE34" s="156"/>
      <c r="CF34" s="182">
        <f t="shared" si="23"/>
        <v>0</v>
      </c>
      <c r="CG34" s="152"/>
      <c r="CH34" s="182">
        <f t="shared" si="24"/>
        <v>0</v>
      </c>
    </row>
    <row r="35" spans="1:86" s="194" customFormat="1" x14ac:dyDescent="0.35">
      <c r="B35" s="273" t="s">
        <v>451</v>
      </c>
      <c r="C35" s="180">
        <f t="shared" ref="C35:C44" si="122">E35</f>
        <v>6.0029700000000004</v>
      </c>
      <c r="D35" s="182">
        <f t="shared" ref="D35:D44" si="123">C35/$C$46*100%</f>
        <v>1.7988526520812853E-3</v>
      </c>
      <c r="E35" s="181">
        <f>-SUMIF('04.conso TB'!A:A,'Apr-26'!B35,'04.conso TB'!R:R)/10^5</f>
        <v>6.0029700000000004</v>
      </c>
      <c r="F35" s="182">
        <f t="shared" si="1"/>
        <v>1.7988526520812853E-3</v>
      </c>
      <c r="G35" s="180">
        <f t="shared" ref="G35:G44" si="124">I35</f>
        <v>9.2485499999999998</v>
      </c>
      <c r="H35" s="182">
        <f t="shared" si="2"/>
        <v>7.8288152323637665E-3</v>
      </c>
      <c r="I35" s="181">
        <f>-SUMIF('04.conso TB'!A:A,'Apr-26'!B35,'04.conso TB'!S:S)/10^5</f>
        <v>9.2485499999999998</v>
      </c>
      <c r="J35" s="182">
        <f t="shared" si="3"/>
        <v>7.8288152323637665E-3</v>
      </c>
      <c r="K35" s="180">
        <f t="shared" ref="K35:K44" si="125">M35</f>
        <v>0</v>
      </c>
      <c r="L35" s="182">
        <f t="shared" ref="L35:L44" si="126">K35/$C$46*100%</f>
        <v>0</v>
      </c>
      <c r="M35" s="181">
        <f>-SUMIF('04.conso TB'!A:A,'Apr-26'!B35,'04.conso TB'!T:T)/10^5</f>
        <v>0</v>
      </c>
      <c r="N35" s="182">
        <f t="shared" ref="N35:N44" si="127">M35/$C$46*100%</f>
        <v>0</v>
      </c>
      <c r="O35" s="180">
        <f t="shared" ref="O35:O44" si="128">Q35</f>
        <v>0</v>
      </c>
      <c r="P35" s="182">
        <f t="shared" si="4"/>
        <v>0</v>
      </c>
      <c r="Q35" s="181">
        <f>-SUMIF('04.conso TB'!A:A,'Apr-26'!B35,'04.conso TB'!U:U)/10^5</f>
        <v>0</v>
      </c>
      <c r="R35" s="182">
        <f t="shared" si="5"/>
        <v>0</v>
      </c>
      <c r="S35" s="180">
        <f t="shared" ref="S35:S44" si="129">U35</f>
        <v>0</v>
      </c>
      <c r="T35" s="182">
        <f t="shared" si="6"/>
        <v>0</v>
      </c>
      <c r="U35" s="183">
        <f>-SUMIF('04.conso TB'!A:A,'Apr-26'!B35,'04.conso TB'!V:V)/10^5</f>
        <v>0</v>
      </c>
      <c r="V35" s="182">
        <f t="shared" si="7"/>
        <v>0</v>
      </c>
      <c r="W35" s="180">
        <f t="shared" ref="W35:W44" si="130">Y35</f>
        <v>0</v>
      </c>
      <c r="X35" s="182">
        <f t="shared" si="8"/>
        <v>0</v>
      </c>
      <c r="Y35" s="181">
        <f>-SUMIF('04.conso TB'!A:A,'Apr-26'!B35,'04.conso TB'!G:G)/10^5</f>
        <v>0</v>
      </c>
      <c r="Z35" s="182">
        <f t="shared" si="9"/>
        <v>0</v>
      </c>
      <c r="AA35" s="185"/>
      <c r="AB35" s="180">
        <f t="shared" ref="AB35:AB44" si="131">AD35</f>
        <v>15.251519999999999</v>
      </c>
      <c r="AC35" s="182">
        <f t="shared" si="10"/>
        <v>2.9152862798737631E-3</v>
      </c>
      <c r="AD35" s="187">
        <f t="shared" ref="AD35:AD45" si="132">E35+I35+M35+Q35+U35+Y35</f>
        <v>15.251519999999999</v>
      </c>
      <c r="AE35" s="182">
        <f t="shared" si="11"/>
        <v>2.9152862798737631E-3</v>
      </c>
      <c r="AF35" s="186"/>
      <c r="AG35" s="180">
        <f t="shared" ref="AG35:AG44" si="133">AI35</f>
        <v>0</v>
      </c>
      <c r="AH35" s="182">
        <f t="shared" si="12"/>
        <v>0</v>
      </c>
      <c r="AI35" s="183">
        <f>-SUMIF('04.conso TB'!A:A,'Apr-26'!B35,'04.conso TB'!Q:Q)/10^5</f>
        <v>0</v>
      </c>
      <c r="AJ35" s="184">
        <f t="shared" ref="AJ35:AJ44" si="134">AI35/$AI$46*100%</f>
        <v>0</v>
      </c>
      <c r="AK35" s="186"/>
      <c r="AL35" s="180">
        <f t="shared" ref="AL35:AL44" si="135">AN35</f>
        <v>0</v>
      </c>
      <c r="AM35" s="182">
        <f t="shared" si="13"/>
        <v>0</v>
      </c>
      <c r="AN35" s="181">
        <f>-SUMIF('04.conso TB'!A:A,'Apr-26'!B35,'04.conso TB'!W:W)/10^5</f>
        <v>0</v>
      </c>
      <c r="AO35" s="184">
        <f t="shared" ref="AO35:AO44" si="136">AN35/$AN$46*100%</f>
        <v>0</v>
      </c>
      <c r="AP35" s="545"/>
      <c r="AQ35" s="180">
        <f t="shared" ref="AQ35:AQ44" si="137">AS35</f>
        <v>0</v>
      </c>
      <c r="AR35" s="182">
        <f t="shared" si="14"/>
        <v>0</v>
      </c>
      <c r="AS35" s="183">
        <f>-SUMIF('04.conso TB'!A:A,'Apr-26'!B35,'04.conso TB'!M:M)/10^5</f>
        <v>0</v>
      </c>
      <c r="AT35" s="184">
        <f t="shared" ref="AT35:AT44" si="138">AS35/$AS$46*100%</f>
        <v>0</v>
      </c>
      <c r="AU35" s="180">
        <f t="shared" ref="AU35:AU44" si="139">AW35</f>
        <v>0</v>
      </c>
      <c r="AV35" s="182">
        <f t="shared" ref="AV35:AV44" si="140">AU35/$C$46*100%</f>
        <v>0</v>
      </c>
      <c r="AW35" s="183">
        <f>-SUMIF('04.conso TB'!A:A,'Apr-26'!B35,'04.conso TB'!P:P)/10^5</f>
        <v>0</v>
      </c>
      <c r="AX35" s="184">
        <f t="shared" ref="AX35:AX44" si="141">AW35/$AW$46*100%</f>
        <v>0</v>
      </c>
      <c r="AY35" s="195"/>
      <c r="AZ35" s="180">
        <f t="shared" ref="AZ35:AZ44" si="142">BB35</f>
        <v>0</v>
      </c>
      <c r="BA35" s="182">
        <f t="shared" si="15"/>
        <v>0</v>
      </c>
      <c r="BB35" s="190">
        <f t="shared" ref="BB35:BB44" si="143">AS35+AW35</f>
        <v>0</v>
      </c>
      <c r="BC35" s="184">
        <f t="shared" ref="BC35:BC44" si="144">BB35/$BB$46*100%</f>
        <v>0</v>
      </c>
      <c r="BD35" s="191"/>
      <c r="BE35" s="180">
        <f t="shared" ref="BE35:BE44" si="145">BG35</f>
        <v>0</v>
      </c>
      <c r="BF35" s="182">
        <f t="shared" si="16"/>
        <v>0</v>
      </c>
      <c r="BG35" s="183">
        <f>-SUMIF('04.conso TB'!A:A,'Apr-26'!B35,'04.conso TB'!H:H)/10^5</f>
        <v>0</v>
      </c>
      <c r="BH35" s="184">
        <f t="shared" ref="BH35:BH44" si="146">BG35/$BG$46*100%</f>
        <v>0</v>
      </c>
      <c r="BI35" s="180">
        <f t="shared" ref="BI35:BI44" si="147">BK35</f>
        <v>0</v>
      </c>
      <c r="BJ35" s="182">
        <f t="shared" si="17"/>
        <v>0</v>
      </c>
      <c r="BK35" s="183">
        <f>-SUMIF('04.conso TB'!A:A,'Apr-26'!B35,'04.conso TB'!I:I)/10^5</f>
        <v>0</v>
      </c>
      <c r="BL35" s="184">
        <f t="shared" ref="BL35:BL44" si="148">BK35/$BK$46*100%</f>
        <v>0</v>
      </c>
      <c r="BM35" s="180">
        <f t="shared" ref="BM35:BM44" si="149">BO35</f>
        <v>0</v>
      </c>
      <c r="BN35" s="182">
        <f t="shared" ref="BN35:BN44" si="150">BM35/$C$46*100%</f>
        <v>0</v>
      </c>
      <c r="BO35" s="181">
        <f>-SUMIF('04.conso TB'!A:A,'Apr-26'!B35,'04.conso TB'!J:J)/10^5</f>
        <v>0</v>
      </c>
      <c r="BP35" s="182">
        <f t="shared" ref="BP35:BP44" si="151">BO35/$C$46*100%</f>
        <v>0</v>
      </c>
      <c r="BQ35" s="192"/>
      <c r="BR35" s="180">
        <f t="shared" ref="BR35:BR44" si="152">BT35</f>
        <v>0</v>
      </c>
      <c r="BS35" s="182">
        <f t="shared" si="18"/>
        <v>0</v>
      </c>
      <c r="BT35" s="183">
        <f t="shared" si="19"/>
        <v>0</v>
      </c>
      <c r="BU35" s="182">
        <f t="shared" si="20"/>
        <v>0</v>
      </c>
      <c r="BV35" s="191"/>
      <c r="BW35" s="180">
        <f t="shared" ref="BW35:BW44" si="153">BY35</f>
        <v>0</v>
      </c>
      <c r="BX35" s="182">
        <f t="shared" si="21"/>
        <v>0</v>
      </c>
      <c r="BY35" s="183">
        <f>-SUMIF('04.conso TB'!A:A,'Apr-26'!B35,'04.conso TB'!L:L)/10^5</f>
        <v>0</v>
      </c>
      <c r="BZ35" s="182">
        <f t="shared" si="22"/>
        <v>0</v>
      </c>
      <c r="CA35" s="191"/>
      <c r="CB35" s="180">
        <f t="shared" ref="CB35:CB44" si="154">CD35</f>
        <v>0</v>
      </c>
      <c r="CC35" s="346"/>
      <c r="CD35" s="186"/>
      <c r="CE35" s="187">
        <f t="shared" ref="CE35:CE45" si="155">AB35+AG35+AL35+AZ35+BR35+BW35</f>
        <v>15.251519999999999</v>
      </c>
      <c r="CF35" s="182">
        <f t="shared" si="23"/>
        <v>2.8489278044074055E-3</v>
      </c>
      <c r="CG35" s="187">
        <f t="shared" ref="CG35:CG45" si="156">AD35+AI35+AN35+BB35+BT35+BY35</f>
        <v>15.251519999999999</v>
      </c>
      <c r="CH35" s="182">
        <f t="shared" si="24"/>
        <v>2.8489278044074055E-3</v>
      </c>
    </row>
    <row r="36" spans="1:86" s="194" customFormat="1" x14ac:dyDescent="0.35">
      <c r="B36" s="197" t="s">
        <v>468</v>
      </c>
      <c r="C36" s="180">
        <f t="shared" si="122"/>
        <v>0</v>
      </c>
      <c r="D36" s="182">
        <f t="shared" si="123"/>
        <v>0</v>
      </c>
      <c r="E36" s="181">
        <f>-SUMIF('04.conso TB'!A:A,'Apr-26'!B36,'04.conso TB'!R:R)/10^5</f>
        <v>0</v>
      </c>
      <c r="F36" s="182">
        <f t="shared" si="1"/>
        <v>0</v>
      </c>
      <c r="G36" s="180">
        <f t="shared" si="124"/>
        <v>0</v>
      </c>
      <c r="H36" s="182">
        <f t="shared" si="2"/>
        <v>0</v>
      </c>
      <c r="I36" s="181">
        <f>-SUMIF('04.conso TB'!A:A,'Apr-26'!B36,'04.conso TB'!S:S)/10^5</f>
        <v>0</v>
      </c>
      <c r="J36" s="182">
        <f t="shared" si="3"/>
        <v>0</v>
      </c>
      <c r="K36" s="180">
        <f t="shared" si="125"/>
        <v>0</v>
      </c>
      <c r="L36" s="182">
        <f t="shared" si="126"/>
        <v>0</v>
      </c>
      <c r="M36" s="181">
        <f>-SUMIF('04.conso TB'!A:A,'Apr-26'!B36,'04.conso TB'!T:T)/10^5</f>
        <v>0</v>
      </c>
      <c r="N36" s="182">
        <f t="shared" si="127"/>
        <v>0</v>
      </c>
      <c r="O36" s="180">
        <f t="shared" si="128"/>
        <v>0</v>
      </c>
      <c r="P36" s="182">
        <f t="shared" si="4"/>
        <v>0</v>
      </c>
      <c r="Q36" s="181">
        <f>-SUMIF('04.conso TB'!A:A,'Apr-26'!B36,'04.conso TB'!U:U)/10^5</f>
        <v>0</v>
      </c>
      <c r="R36" s="182">
        <f t="shared" si="5"/>
        <v>0</v>
      </c>
      <c r="S36" s="180">
        <f t="shared" si="129"/>
        <v>0</v>
      </c>
      <c r="T36" s="182">
        <f t="shared" si="6"/>
        <v>0</v>
      </c>
      <c r="U36" s="183">
        <f>-SUMIF('04.conso TB'!A:A,'Apr-26'!B36,'04.conso TB'!V:V)/10^5</f>
        <v>0</v>
      </c>
      <c r="V36" s="182">
        <f t="shared" si="7"/>
        <v>0</v>
      </c>
      <c r="W36" s="180">
        <f t="shared" si="130"/>
        <v>0</v>
      </c>
      <c r="X36" s="182">
        <f t="shared" si="8"/>
        <v>0</v>
      </c>
      <c r="Y36" s="181">
        <f>-SUMIF('04.conso TB'!A:A,'Apr-26'!B36,'04.conso TB'!G:G)/10^5</f>
        <v>0</v>
      </c>
      <c r="Z36" s="182">
        <f t="shared" si="9"/>
        <v>0</v>
      </c>
      <c r="AA36" s="185"/>
      <c r="AB36" s="180">
        <f t="shared" si="131"/>
        <v>0</v>
      </c>
      <c r="AC36" s="182">
        <f t="shared" si="10"/>
        <v>0</v>
      </c>
      <c r="AD36" s="187">
        <f t="shared" si="132"/>
        <v>0</v>
      </c>
      <c r="AE36" s="182">
        <f t="shared" si="11"/>
        <v>0</v>
      </c>
      <c r="AF36" s="186"/>
      <c r="AG36" s="180">
        <f t="shared" si="133"/>
        <v>0</v>
      </c>
      <c r="AH36" s="182">
        <f t="shared" si="12"/>
        <v>0</v>
      </c>
      <c r="AI36" s="183">
        <f>-SUMIF('04.conso TB'!A:A,'Apr-26'!B36,'04.conso TB'!Q:Q)/10^5</f>
        <v>0</v>
      </c>
      <c r="AJ36" s="184">
        <f t="shared" si="134"/>
        <v>0</v>
      </c>
      <c r="AK36" s="186"/>
      <c r="AL36" s="180">
        <f t="shared" si="135"/>
        <v>0</v>
      </c>
      <c r="AM36" s="182">
        <f t="shared" si="13"/>
        <v>0</v>
      </c>
      <c r="AN36" s="181">
        <f>-SUMIF('04.conso TB'!A:A,'Apr-26'!B36,'04.conso TB'!W:W)/10^5</f>
        <v>0</v>
      </c>
      <c r="AO36" s="184">
        <f t="shared" si="136"/>
        <v>0</v>
      </c>
      <c r="AP36" s="545"/>
      <c r="AQ36" s="180">
        <f t="shared" si="137"/>
        <v>0</v>
      </c>
      <c r="AR36" s="182">
        <f t="shared" si="14"/>
        <v>0</v>
      </c>
      <c r="AS36" s="183">
        <f>-SUMIF('04.conso TB'!A:A,'Apr-26'!B36,'04.conso TB'!M:M)/10^5</f>
        <v>0</v>
      </c>
      <c r="AT36" s="184">
        <f t="shared" si="138"/>
        <v>0</v>
      </c>
      <c r="AU36" s="180">
        <f t="shared" si="139"/>
        <v>0</v>
      </c>
      <c r="AV36" s="182">
        <f t="shared" si="140"/>
        <v>0</v>
      </c>
      <c r="AW36" s="183">
        <f>-SUMIF('04.conso TB'!A:A,'Apr-26'!B36,'04.conso TB'!P:P)/10^5</f>
        <v>0</v>
      </c>
      <c r="AX36" s="184">
        <f t="shared" si="141"/>
        <v>0</v>
      </c>
      <c r="AY36" s="195"/>
      <c r="AZ36" s="180">
        <f t="shared" si="142"/>
        <v>0</v>
      </c>
      <c r="BA36" s="182">
        <f t="shared" si="15"/>
        <v>0</v>
      </c>
      <c r="BB36" s="190">
        <f t="shared" si="143"/>
        <v>0</v>
      </c>
      <c r="BC36" s="184">
        <f t="shared" si="144"/>
        <v>0</v>
      </c>
      <c r="BD36" s="191"/>
      <c r="BE36" s="180">
        <f t="shared" si="145"/>
        <v>0</v>
      </c>
      <c r="BF36" s="182">
        <f t="shared" si="16"/>
        <v>0</v>
      </c>
      <c r="BG36" s="183">
        <f>-SUMIF('04.conso TB'!A:A,'Apr-26'!B36,'04.conso TB'!H:H)/10^5</f>
        <v>0</v>
      </c>
      <c r="BH36" s="184">
        <f t="shared" si="146"/>
        <v>0</v>
      </c>
      <c r="BI36" s="180">
        <f t="shared" si="147"/>
        <v>0</v>
      </c>
      <c r="BJ36" s="182">
        <f t="shared" si="17"/>
        <v>0</v>
      </c>
      <c r="BK36" s="183">
        <f>-SUMIF('04.conso TB'!A:A,'Apr-26'!B36,'04.conso TB'!I:I)/10^5</f>
        <v>0</v>
      </c>
      <c r="BL36" s="184">
        <f t="shared" si="148"/>
        <v>0</v>
      </c>
      <c r="BM36" s="180">
        <f t="shared" si="149"/>
        <v>0</v>
      </c>
      <c r="BN36" s="182">
        <f t="shared" si="150"/>
        <v>0</v>
      </c>
      <c r="BO36" s="181">
        <f>-SUMIF('04.conso TB'!A:A,'Apr-26'!B36,'04.conso TB'!J:J)/10^5</f>
        <v>0</v>
      </c>
      <c r="BP36" s="182">
        <f t="shared" si="151"/>
        <v>0</v>
      </c>
      <c r="BQ36" s="192"/>
      <c r="BR36" s="180">
        <f t="shared" si="152"/>
        <v>0</v>
      </c>
      <c r="BS36" s="182">
        <f t="shared" si="18"/>
        <v>0</v>
      </c>
      <c r="BT36" s="183">
        <f t="shared" si="19"/>
        <v>0</v>
      </c>
      <c r="BU36" s="182">
        <f t="shared" si="20"/>
        <v>0</v>
      </c>
      <c r="BV36" s="191"/>
      <c r="BW36" s="180">
        <f t="shared" si="153"/>
        <v>0</v>
      </c>
      <c r="BX36" s="182">
        <f t="shared" si="21"/>
        <v>0</v>
      </c>
      <c r="BY36" s="183">
        <f>-SUMIF('04.conso TB'!A:A,'Apr-26'!B36,'04.conso TB'!L:L)/10^5</f>
        <v>0</v>
      </c>
      <c r="BZ36" s="182">
        <f t="shared" si="22"/>
        <v>0</v>
      </c>
      <c r="CA36" s="191"/>
      <c r="CB36" s="180">
        <f t="shared" si="154"/>
        <v>0</v>
      </c>
      <c r="CC36" s="346"/>
      <c r="CD36" s="186"/>
      <c r="CE36" s="187">
        <f t="shared" si="155"/>
        <v>0</v>
      </c>
      <c r="CF36" s="182">
        <f t="shared" si="23"/>
        <v>0</v>
      </c>
      <c r="CG36" s="187">
        <f t="shared" si="156"/>
        <v>0</v>
      </c>
      <c r="CH36" s="182">
        <f t="shared" si="24"/>
        <v>0</v>
      </c>
    </row>
    <row r="37" spans="1:86" s="194" customFormat="1" x14ac:dyDescent="0.35">
      <c r="B37" s="197" t="s">
        <v>469</v>
      </c>
      <c r="C37" s="180">
        <f t="shared" si="122"/>
        <v>0.77078999999999998</v>
      </c>
      <c r="D37" s="182">
        <f t="shared" si="123"/>
        <v>2.3097527318939354E-4</v>
      </c>
      <c r="E37" s="181">
        <f>-SUMIF('04.conso TB'!A:A,'Apr-26'!B37,'04.conso TB'!R:R)/10^5</f>
        <v>0.77078999999999998</v>
      </c>
      <c r="F37" s="182">
        <f t="shared" si="1"/>
        <v>2.3097527318939354E-4</v>
      </c>
      <c r="G37" s="180">
        <f t="shared" si="124"/>
        <v>0</v>
      </c>
      <c r="H37" s="182">
        <f t="shared" si="2"/>
        <v>0</v>
      </c>
      <c r="I37" s="181">
        <f>-SUMIF('04.conso TB'!A:A,'Apr-26'!B37,'04.conso TB'!S:S)/10^5</f>
        <v>0</v>
      </c>
      <c r="J37" s="182">
        <f t="shared" si="3"/>
        <v>0</v>
      </c>
      <c r="K37" s="180">
        <f t="shared" si="125"/>
        <v>0</v>
      </c>
      <c r="L37" s="182">
        <f t="shared" si="126"/>
        <v>0</v>
      </c>
      <c r="M37" s="181">
        <f>-SUMIF('04.conso TB'!A:A,'Apr-26'!B37,'04.conso TB'!T:T)/10^5</f>
        <v>0</v>
      </c>
      <c r="N37" s="182">
        <f t="shared" si="127"/>
        <v>0</v>
      </c>
      <c r="O37" s="180">
        <f t="shared" si="128"/>
        <v>0</v>
      </c>
      <c r="P37" s="182">
        <f t="shared" si="4"/>
        <v>0</v>
      </c>
      <c r="Q37" s="181">
        <f>-SUMIF('04.conso TB'!A:A,'Apr-26'!B37,'04.conso TB'!U:U)/10^5</f>
        <v>0</v>
      </c>
      <c r="R37" s="182">
        <f t="shared" si="5"/>
        <v>0</v>
      </c>
      <c r="S37" s="180">
        <f t="shared" si="129"/>
        <v>0</v>
      </c>
      <c r="T37" s="182">
        <f t="shared" si="6"/>
        <v>0</v>
      </c>
      <c r="U37" s="183">
        <f>-SUMIF('04.conso TB'!A:A,'Apr-26'!B37,'04.conso TB'!V:V)/10^5</f>
        <v>0</v>
      </c>
      <c r="V37" s="182">
        <f t="shared" si="7"/>
        <v>0</v>
      </c>
      <c r="W37" s="180">
        <f t="shared" si="130"/>
        <v>0</v>
      </c>
      <c r="X37" s="182">
        <f t="shared" si="8"/>
        <v>0</v>
      </c>
      <c r="Y37" s="181">
        <f>-SUMIF('04.conso TB'!A:A,'Apr-26'!B37,'04.conso TB'!G:G)/10^5</f>
        <v>0</v>
      </c>
      <c r="Z37" s="182">
        <f t="shared" si="9"/>
        <v>0</v>
      </c>
      <c r="AA37" s="185"/>
      <c r="AB37" s="180">
        <f t="shared" si="131"/>
        <v>0.77078999999999998</v>
      </c>
      <c r="AC37" s="182">
        <f t="shared" si="10"/>
        <v>1.4733439759865888E-4</v>
      </c>
      <c r="AD37" s="187">
        <f t="shared" si="132"/>
        <v>0.77078999999999998</v>
      </c>
      <c r="AE37" s="182">
        <f t="shared" si="11"/>
        <v>1.4733439759865888E-4</v>
      </c>
      <c r="AF37" s="186"/>
      <c r="AG37" s="180">
        <f t="shared" si="133"/>
        <v>0</v>
      </c>
      <c r="AH37" s="182">
        <f t="shared" si="12"/>
        <v>0</v>
      </c>
      <c r="AI37" s="183">
        <f>-SUMIF('04.conso TB'!A:A,'Apr-26'!B37,'04.conso TB'!Q:Q)/10^5</f>
        <v>0</v>
      </c>
      <c r="AJ37" s="184">
        <f t="shared" si="134"/>
        <v>0</v>
      </c>
      <c r="AK37" s="186"/>
      <c r="AL37" s="180">
        <f t="shared" si="135"/>
        <v>1.17025</v>
      </c>
      <c r="AM37" s="182">
        <f t="shared" si="13"/>
        <v>1.0282396179418772E-3</v>
      </c>
      <c r="AN37" s="181">
        <f>-SUMIF('04.conso TB'!A:A,'Apr-26'!B37,'04.conso TB'!W:W)/10^5</f>
        <v>1.17025</v>
      </c>
      <c r="AO37" s="184">
        <f t="shared" si="136"/>
        <v>1.0282396179418772E-3</v>
      </c>
      <c r="AP37" s="545"/>
      <c r="AQ37" s="180">
        <f t="shared" si="137"/>
        <v>0</v>
      </c>
      <c r="AR37" s="182">
        <f t="shared" si="14"/>
        <v>0</v>
      </c>
      <c r="AS37" s="183">
        <f>-SUMIF('04.conso TB'!A:A,'Apr-26'!B37,'04.conso TB'!M:M)/10^5</f>
        <v>0</v>
      </c>
      <c r="AT37" s="184">
        <f t="shared" si="138"/>
        <v>0</v>
      </c>
      <c r="AU37" s="180">
        <f t="shared" si="139"/>
        <v>0</v>
      </c>
      <c r="AV37" s="182">
        <f t="shared" si="140"/>
        <v>0</v>
      </c>
      <c r="AW37" s="183">
        <f>-SUMIF('04.conso TB'!A:A,'Apr-26'!B37,'04.conso TB'!P:P)/10^5</f>
        <v>0</v>
      </c>
      <c r="AX37" s="184">
        <f t="shared" si="141"/>
        <v>0</v>
      </c>
      <c r="AY37" s="195"/>
      <c r="AZ37" s="180">
        <f t="shared" si="142"/>
        <v>0</v>
      </c>
      <c r="BA37" s="182">
        <f t="shared" si="15"/>
        <v>0</v>
      </c>
      <c r="BB37" s="190">
        <f t="shared" si="143"/>
        <v>0</v>
      </c>
      <c r="BC37" s="184">
        <f t="shared" si="144"/>
        <v>0</v>
      </c>
      <c r="BD37" s="191"/>
      <c r="BE37" s="180">
        <f t="shared" si="145"/>
        <v>0</v>
      </c>
      <c r="BF37" s="182">
        <f t="shared" si="16"/>
        <v>0</v>
      </c>
      <c r="BG37" s="183">
        <f>-SUMIF('04.conso TB'!A:A,'Apr-26'!B37,'04.conso TB'!H:H)/10^5</f>
        <v>0</v>
      </c>
      <c r="BH37" s="184">
        <f t="shared" si="146"/>
        <v>0</v>
      </c>
      <c r="BI37" s="180">
        <f t="shared" si="147"/>
        <v>0</v>
      </c>
      <c r="BJ37" s="182">
        <f t="shared" si="17"/>
        <v>0</v>
      </c>
      <c r="BK37" s="183">
        <f>-SUMIF('04.conso TB'!A:A,'Apr-26'!B37,'04.conso TB'!I:I)/10^5</f>
        <v>0</v>
      </c>
      <c r="BL37" s="184">
        <f t="shared" si="148"/>
        <v>0</v>
      </c>
      <c r="BM37" s="180">
        <f t="shared" si="149"/>
        <v>0</v>
      </c>
      <c r="BN37" s="182">
        <f t="shared" si="150"/>
        <v>0</v>
      </c>
      <c r="BO37" s="181">
        <f>-SUMIF('04.conso TB'!A:A,'Apr-26'!B37,'04.conso TB'!J:J)/10^5</f>
        <v>0</v>
      </c>
      <c r="BP37" s="182">
        <f t="shared" si="151"/>
        <v>0</v>
      </c>
      <c r="BQ37" s="192"/>
      <c r="BR37" s="180">
        <f t="shared" si="152"/>
        <v>0</v>
      </c>
      <c r="BS37" s="182">
        <f t="shared" si="18"/>
        <v>0</v>
      </c>
      <c r="BT37" s="183">
        <f t="shared" si="19"/>
        <v>0</v>
      </c>
      <c r="BU37" s="182">
        <f t="shared" si="20"/>
        <v>0</v>
      </c>
      <c r="BV37" s="191"/>
      <c r="BW37" s="180">
        <f t="shared" si="153"/>
        <v>0</v>
      </c>
      <c r="BX37" s="182">
        <f t="shared" si="21"/>
        <v>0</v>
      </c>
      <c r="BY37" s="183">
        <f>-SUMIF('04.conso TB'!A:A,'Apr-26'!B37,'04.conso TB'!L:L)/10^5</f>
        <v>0</v>
      </c>
      <c r="BZ37" s="182">
        <f t="shared" si="22"/>
        <v>0</v>
      </c>
      <c r="CA37" s="191"/>
      <c r="CB37" s="180">
        <f t="shared" si="154"/>
        <v>0</v>
      </c>
      <c r="CC37" s="346"/>
      <c r="CD37" s="186"/>
      <c r="CE37" s="187">
        <f t="shared" si="155"/>
        <v>1.9410400000000001</v>
      </c>
      <c r="CF37" s="182">
        <f t="shared" si="23"/>
        <v>3.6257912820931624E-4</v>
      </c>
      <c r="CG37" s="187">
        <f t="shared" si="156"/>
        <v>1.9410400000000001</v>
      </c>
      <c r="CH37" s="182">
        <f t="shared" si="24"/>
        <v>3.6257912820931624E-4</v>
      </c>
    </row>
    <row r="38" spans="1:86" s="194" customFormat="1" x14ac:dyDescent="0.35">
      <c r="B38" s="197" t="s">
        <v>433</v>
      </c>
      <c r="C38" s="180">
        <f t="shared" si="122"/>
        <v>0</v>
      </c>
      <c r="D38" s="182">
        <f t="shared" si="123"/>
        <v>0</v>
      </c>
      <c r="E38" s="181">
        <f>-SUMIF('04.conso TB'!A:A,'Apr-26'!B38,'04.conso TB'!R:R)/10^5</f>
        <v>0</v>
      </c>
      <c r="F38" s="182">
        <f t="shared" si="1"/>
        <v>0</v>
      </c>
      <c r="G38" s="180">
        <f t="shared" si="124"/>
        <v>0</v>
      </c>
      <c r="H38" s="182">
        <f t="shared" si="2"/>
        <v>0</v>
      </c>
      <c r="I38" s="181">
        <f>-SUMIF('04.conso TB'!A:A,'Apr-26'!B38,'04.conso TB'!S:S)/10^5</f>
        <v>0</v>
      </c>
      <c r="J38" s="182">
        <f t="shared" si="3"/>
        <v>0</v>
      </c>
      <c r="K38" s="180">
        <f t="shared" si="125"/>
        <v>0</v>
      </c>
      <c r="L38" s="182">
        <f t="shared" si="126"/>
        <v>0</v>
      </c>
      <c r="M38" s="181">
        <f>-SUMIF('04.conso TB'!A:A,'Apr-26'!B38,'04.conso TB'!T:T)/10^5</f>
        <v>0</v>
      </c>
      <c r="N38" s="182">
        <f t="shared" si="127"/>
        <v>0</v>
      </c>
      <c r="O38" s="180">
        <f t="shared" si="128"/>
        <v>0</v>
      </c>
      <c r="P38" s="182">
        <f t="shared" si="4"/>
        <v>0</v>
      </c>
      <c r="Q38" s="181">
        <f>-SUMIF('04.conso TB'!A:A,'Apr-26'!B38,'04.conso TB'!U:U)/10^5</f>
        <v>0</v>
      </c>
      <c r="R38" s="182">
        <f t="shared" si="5"/>
        <v>0</v>
      </c>
      <c r="S38" s="180">
        <f t="shared" si="129"/>
        <v>0</v>
      </c>
      <c r="T38" s="182">
        <f t="shared" si="6"/>
        <v>0</v>
      </c>
      <c r="U38" s="183">
        <f>-SUMIF('04.conso TB'!A:A,'Apr-26'!B38,'04.conso TB'!V:V)/10^5</f>
        <v>0</v>
      </c>
      <c r="V38" s="182">
        <f t="shared" si="7"/>
        <v>0</v>
      </c>
      <c r="W38" s="180">
        <f t="shared" si="130"/>
        <v>0</v>
      </c>
      <c r="X38" s="182">
        <f t="shared" si="8"/>
        <v>0</v>
      </c>
      <c r="Y38" s="181">
        <f>-SUMIF('04.conso TB'!A:A,'Apr-26'!B38,'04.conso TB'!G:G)/10^5</f>
        <v>0</v>
      </c>
      <c r="Z38" s="182">
        <f t="shared" si="9"/>
        <v>0</v>
      </c>
      <c r="AA38" s="185"/>
      <c r="AB38" s="180">
        <f t="shared" si="131"/>
        <v>0</v>
      </c>
      <c r="AC38" s="182">
        <f t="shared" si="10"/>
        <v>0</v>
      </c>
      <c r="AD38" s="187">
        <f t="shared" si="132"/>
        <v>0</v>
      </c>
      <c r="AE38" s="182">
        <f t="shared" si="11"/>
        <v>0</v>
      </c>
      <c r="AF38" s="186"/>
      <c r="AG38" s="180">
        <f t="shared" si="133"/>
        <v>0</v>
      </c>
      <c r="AH38" s="182">
        <f t="shared" si="12"/>
        <v>0</v>
      </c>
      <c r="AI38" s="183">
        <f>-SUMIF('04.conso TB'!A:A,'Apr-26'!B38,'04.conso TB'!Q:Q)/10^5</f>
        <v>0</v>
      </c>
      <c r="AJ38" s="184">
        <f t="shared" si="134"/>
        <v>0</v>
      </c>
      <c r="AK38" s="186"/>
      <c r="AL38" s="180">
        <f t="shared" si="135"/>
        <v>0</v>
      </c>
      <c r="AM38" s="182">
        <f t="shared" si="13"/>
        <v>0</v>
      </c>
      <c r="AN38" s="181">
        <f>-SUMIF('04.conso TB'!A:A,'Apr-26'!B38,'04.conso TB'!W:W)/10^5</f>
        <v>0</v>
      </c>
      <c r="AO38" s="184">
        <f t="shared" si="136"/>
        <v>0</v>
      </c>
      <c r="AP38" s="545"/>
      <c r="AQ38" s="180">
        <f t="shared" si="137"/>
        <v>0</v>
      </c>
      <c r="AR38" s="182">
        <f t="shared" si="14"/>
        <v>0</v>
      </c>
      <c r="AS38" s="183">
        <f>-SUMIF('04.conso TB'!A:A,'Apr-26'!B38,'04.conso TB'!M:M)/10^5</f>
        <v>0</v>
      </c>
      <c r="AT38" s="184">
        <f t="shared" si="138"/>
        <v>0</v>
      </c>
      <c r="AU38" s="180">
        <f t="shared" si="139"/>
        <v>0</v>
      </c>
      <c r="AV38" s="182">
        <f t="shared" si="140"/>
        <v>0</v>
      </c>
      <c r="AW38" s="183">
        <f>-SUMIF('04.conso TB'!A:A,'Apr-26'!B38,'04.conso TB'!P:P)/10^5</f>
        <v>0</v>
      </c>
      <c r="AX38" s="184">
        <f t="shared" si="141"/>
        <v>0</v>
      </c>
      <c r="AY38" s="195"/>
      <c r="AZ38" s="180">
        <f t="shared" si="142"/>
        <v>0</v>
      </c>
      <c r="BA38" s="182">
        <f t="shared" si="15"/>
        <v>0</v>
      </c>
      <c r="BB38" s="190">
        <f t="shared" si="143"/>
        <v>0</v>
      </c>
      <c r="BC38" s="184">
        <f t="shared" si="144"/>
        <v>0</v>
      </c>
      <c r="BD38" s="191"/>
      <c r="BE38" s="180">
        <f t="shared" si="145"/>
        <v>0</v>
      </c>
      <c r="BF38" s="182">
        <f t="shared" si="16"/>
        <v>0</v>
      </c>
      <c r="BG38" s="183">
        <f>-SUMIF('04.conso TB'!A:A,'Apr-26'!B38,'04.conso TB'!H:H)/10^5</f>
        <v>0</v>
      </c>
      <c r="BH38" s="184">
        <f t="shared" si="146"/>
        <v>0</v>
      </c>
      <c r="BI38" s="180">
        <f t="shared" si="147"/>
        <v>0</v>
      </c>
      <c r="BJ38" s="182">
        <f t="shared" si="17"/>
        <v>0</v>
      </c>
      <c r="BK38" s="183">
        <f>-SUMIF('04.conso TB'!A:A,'Apr-26'!B38,'04.conso TB'!I:I)/10^5</f>
        <v>0</v>
      </c>
      <c r="BL38" s="184">
        <f t="shared" si="148"/>
        <v>0</v>
      </c>
      <c r="BM38" s="180">
        <f t="shared" si="149"/>
        <v>0</v>
      </c>
      <c r="BN38" s="182">
        <f t="shared" si="150"/>
        <v>0</v>
      </c>
      <c r="BO38" s="181">
        <f>-SUMIF('04.conso TB'!A:A,'Apr-26'!B38,'04.conso TB'!J:J)/10^5</f>
        <v>0</v>
      </c>
      <c r="BP38" s="182">
        <f t="shared" si="151"/>
        <v>0</v>
      </c>
      <c r="BQ38" s="192"/>
      <c r="BR38" s="180">
        <f t="shared" si="152"/>
        <v>0</v>
      </c>
      <c r="BS38" s="182">
        <f t="shared" si="18"/>
        <v>0</v>
      </c>
      <c r="BT38" s="183">
        <f t="shared" si="19"/>
        <v>0</v>
      </c>
      <c r="BU38" s="182">
        <f t="shared" si="20"/>
        <v>0</v>
      </c>
      <c r="BV38" s="191"/>
      <c r="BW38" s="180">
        <f t="shared" si="153"/>
        <v>0</v>
      </c>
      <c r="BX38" s="182">
        <f t="shared" si="21"/>
        <v>0</v>
      </c>
      <c r="BY38" s="183">
        <f>-SUMIF('04.conso TB'!A:A,'Apr-26'!B38,'04.conso TB'!L:L)/10^5</f>
        <v>0</v>
      </c>
      <c r="BZ38" s="182">
        <f t="shared" si="22"/>
        <v>0</v>
      </c>
      <c r="CA38" s="191"/>
      <c r="CB38" s="180">
        <f t="shared" si="154"/>
        <v>0</v>
      </c>
      <c r="CC38" s="346"/>
      <c r="CD38" s="186"/>
      <c r="CE38" s="187">
        <f t="shared" si="155"/>
        <v>0</v>
      </c>
      <c r="CF38" s="182">
        <f t="shared" si="23"/>
        <v>0</v>
      </c>
      <c r="CG38" s="187">
        <f t="shared" si="156"/>
        <v>0</v>
      </c>
      <c r="CH38" s="182">
        <f t="shared" si="24"/>
        <v>0</v>
      </c>
    </row>
    <row r="39" spans="1:86" s="194" customFormat="1" x14ac:dyDescent="0.35">
      <c r="B39" s="197" t="s">
        <v>403</v>
      </c>
      <c r="C39" s="180">
        <f t="shared" si="122"/>
        <v>2.3401299999999998</v>
      </c>
      <c r="D39" s="182">
        <f t="shared" si="123"/>
        <v>7.0124439347772475E-4</v>
      </c>
      <c r="E39" s="181">
        <f>-SUMIF('04.conso TB'!A:A,'Apr-26'!B39,'04.conso TB'!R:R)/10^5</f>
        <v>2.3401299999999998</v>
      </c>
      <c r="F39" s="182">
        <f t="shared" si="1"/>
        <v>7.0124439347772475E-4</v>
      </c>
      <c r="G39" s="180">
        <f t="shared" si="124"/>
        <v>0</v>
      </c>
      <c r="H39" s="182">
        <f t="shared" si="2"/>
        <v>0</v>
      </c>
      <c r="I39" s="181">
        <f>-SUMIF('04.conso TB'!A:A,'Apr-26'!B39,'04.conso TB'!S:S)/10^5</f>
        <v>0</v>
      </c>
      <c r="J39" s="182">
        <f t="shared" si="3"/>
        <v>0</v>
      </c>
      <c r="K39" s="180">
        <f t="shared" si="125"/>
        <v>0</v>
      </c>
      <c r="L39" s="182">
        <f t="shared" si="126"/>
        <v>0</v>
      </c>
      <c r="M39" s="181">
        <f>-SUMIF('04.conso TB'!A:A,'Apr-26'!B39,'04.conso TB'!T:T)/10^5</f>
        <v>0</v>
      </c>
      <c r="N39" s="182">
        <f t="shared" si="127"/>
        <v>0</v>
      </c>
      <c r="O39" s="180">
        <f t="shared" si="128"/>
        <v>0</v>
      </c>
      <c r="P39" s="182">
        <f t="shared" si="4"/>
        <v>0</v>
      </c>
      <c r="Q39" s="181">
        <f>-SUMIF('04.conso TB'!A:A,'Apr-26'!B39,'04.conso TB'!U:U)/10^5</f>
        <v>0</v>
      </c>
      <c r="R39" s="182">
        <f t="shared" si="5"/>
        <v>0</v>
      </c>
      <c r="S39" s="180">
        <f t="shared" si="129"/>
        <v>0</v>
      </c>
      <c r="T39" s="182">
        <f t="shared" si="6"/>
        <v>0</v>
      </c>
      <c r="U39" s="183">
        <f>-SUMIF('04.conso TB'!A:A,'Apr-26'!B39,'04.conso TB'!V:V)/10^5</f>
        <v>0</v>
      </c>
      <c r="V39" s="182">
        <f t="shared" si="7"/>
        <v>0</v>
      </c>
      <c r="W39" s="180">
        <f t="shared" si="130"/>
        <v>0.45</v>
      </c>
      <c r="X39" s="182">
        <f t="shared" si="8"/>
        <v>6.043025958067781E-3</v>
      </c>
      <c r="Y39" s="181">
        <f>-SUMIF('04.conso TB'!A:A,'Apr-26'!B39,'04.conso TB'!G:G)/10^5</f>
        <v>0.45</v>
      </c>
      <c r="Z39" s="182">
        <f t="shared" si="9"/>
        <v>6.043025958067781E-3</v>
      </c>
      <c r="AA39" s="185"/>
      <c r="AB39" s="180">
        <f t="shared" si="131"/>
        <v>2.79013</v>
      </c>
      <c r="AC39" s="182">
        <f t="shared" si="10"/>
        <v>5.3332570839261808E-4</v>
      </c>
      <c r="AD39" s="187">
        <f t="shared" si="132"/>
        <v>2.79013</v>
      </c>
      <c r="AE39" s="182">
        <f t="shared" si="11"/>
        <v>5.3332570839261808E-4</v>
      </c>
      <c r="AF39" s="186"/>
      <c r="AG39" s="180">
        <f t="shared" si="133"/>
        <v>0</v>
      </c>
      <c r="AH39" s="182">
        <f t="shared" si="12"/>
        <v>0</v>
      </c>
      <c r="AI39" s="183">
        <f>-SUMIF('04.conso TB'!A:A,'Apr-26'!B39,'04.conso TB'!Q:Q)/10^5</f>
        <v>0</v>
      </c>
      <c r="AJ39" s="184">
        <f t="shared" si="134"/>
        <v>0</v>
      </c>
      <c r="AK39" s="186"/>
      <c r="AL39" s="180">
        <f t="shared" si="135"/>
        <v>0</v>
      </c>
      <c r="AM39" s="182">
        <f t="shared" si="13"/>
        <v>0</v>
      </c>
      <c r="AN39" s="181">
        <f>-SUMIF('04.conso TB'!A:A,'Apr-26'!B39,'04.conso TB'!W:W)/10^5</f>
        <v>0</v>
      </c>
      <c r="AO39" s="184">
        <f t="shared" si="136"/>
        <v>0</v>
      </c>
      <c r="AP39" s="545"/>
      <c r="AQ39" s="180">
        <f t="shared" si="137"/>
        <v>0</v>
      </c>
      <c r="AR39" s="182">
        <f t="shared" si="14"/>
        <v>0</v>
      </c>
      <c r="AS39" s="183">
        <f>-SUMIF('04.conso TB'!A:A,'Apr-26'!B39,'04.conso TB'!M:M)/10^5</f>
        <v>0</v>
      </c>
      <c r="AT39" s="184">
        <f t="shared" si="138"/>
        <v>0</v>
      </c>
      <c r="AU39" s="180">
        <f t="shared" si="139"/>
        <v>0</v>
      </c>
      <c r="AV39" s="182">
        <f t="shared" si="140"/>
        <v>0</v>
      </c>
      <c r="AW39" s="183">
        <f>-SUMIF('04.conso TB'!A:A,'Apr-26'!B39,'04.conso TB'!P:P)/10^5</f>
        <v>0</v>
      </c>
      <c r="AX39" s="184">
        <f t="shared" si="141"/>
        <v>0</v>
      </c>
      <c r="AY39" s="195"/>
      <c r="AZ39" s="180">
        <f t="shared" si="142"/>
        <v>0</v>
      </c>
      <c r="BA39" s="182">
        <f t="shared" si="15"/>
        <v>0</v>
      </c>
      <c r="BB39" s="190">
        <f t="shared" si="143"/>
        <v>0</v>
      </c>
      <c r="BC39" s="184">
        <f t="shared" si="144"/>
        <v>0</v>
      </c>
      <c r="BD39" s="191"/>
      <c r="BE39" s="180">
        <f t="shared" si="145"/>
        <v>0.24</v>
      </c>
      <c r="BF39" s="182">
        <f t="shared" si="16"/>
        <v>1.260360908508493E-4</v>
      </c>
      <c r="BG39" s="183">
        <f>-SUMIF('04.conso TB'!A:A,'Apr-26'!B39,'04.conso TB'!H:H)/10^5</f>
        <v>0.24</v>
      </c>
      <c r="BH39" s="184">
        <f t="shared" si="146"/>
        <v>1.260360908508493E-4</v>
      </c>
      <c r="BI39" s="180">
        <f t="shared" si="147"/>
        <v>0</v>
      </c>
      <c r="BJ39" s="182">
        <f t="shared" si="17"/>
        <v>0</v>
      </c>
      <c r="BK39" s="183">
        <f>-SUMIF('04.conso TB'!A:A,'Apr-26'!B39,'04.conso TB'!I:I)/10^5</f>
        <v>0</v>
      </c>
      <c r="BL39" s="184">
        <f t="shared" si="148"/>
        <v>0</v>
      </c>
      <c r="BM39" s="180">
        <f t="shared" si="149"/>
        <v>0</v>
      </c>
      <c r="BN39" s="182">
        <f t="shared" si="150"/>
        <v>0</v>
      </c>
      <c r="BO39" s="181">
        <f>-SUMIF('04.conso TB'!A:A,'Apr-26'!B39,'04.conso TB'!J:J)/10^5</f>
        <v>0</v>
      </c>
      <c r="BP39" s="182">
        <f t="shared" si="151"/>
        <v>0</v>
      </c>
      <c r="BQ39" s="192"/>
      <c r="BR39" s="180">
        <f t="shared" si="152"/>
        <v>0.24</v>
      </c>
      <c r="BS39" s="182">
        <f t="shared" si="18"/>
        <v>1.3020477214239524E-4</v>
      </c>
      <c r="BT39" s="183">
        <f t="shared" si="19"/>
        <v>0.24</v>
      </c>
      <c r="BU39" s="182">
        <f t="shared" si="20"/>
        <v>1.3020477214239524E-4</v>
      </c>
      <c r="BV39" s="191"/>
      <c r="BW39" s="180">
        <f t="shared" si="153"/>
        <v>0</v>
      </c>
      <c r="BX39" s="182">
        <f t="shared" si="21"/>
        <v>0</v>
      </c>
      <c r="BY39" s="183">
        <f>-SUMIF('04.conso TB'!A:A,'Apr-26'!B39,'04.conso TB'!L:L)/10^5</f>
        <v>0</v>
      </c>
      <c r="BZ39" s="182">
        <f t="shared" si="22"/>
        <v>0</v>
      </c>
      <c r="CA39" s="191"/>
      <c r="CB39" s="180">
        <f>+CC39</f>
        <v>2.69</v>
      </c>
      <c r="CC39" s="346">
        <v>2.69</v>
      </c>
      <c r="CD39" s="186"/>
      <c r="CE39" s="187">
        <f t="shared" si="155"/>
        <v>3.0301299999999998</v>
      </c>
      <c r="CF39" s="182">
        <f t="shared" si="23"/>
        <v>5.6601713192973627E-4</v>
      </c>
      <c r="CG39" s="187">
        <f t="shared" si="156"/>
        <v>3.0301299999999998</v>
      </c>
      <c r="CH39" s="182">
        <f t="shared" si="24"/>
        <v>5.6601713192973627E-4</v>
      </c>
    </row>
    <row r="40" spans="1:86" s="194" customFormat="1" x14ac:dyDescent="0.35">
      <c r="B40" s="274" t="s">
        <v>555</v>
      </c>
      <c r="C40" s="180">
        <f t="shared" si="122"/>
        <v>0</v>
      </c>
      <c r="D40" s="182">
        <f t="shared" si="123"/>
        <v>0</v>
      </c>
      <c r="E40" s="181">
        <f>-SUMIF('04.conso TB'!A:A,'Apr-26'!B40,'04.conso TB'!R:R)/10^5</f>
        <v>0</v>
      </c>
      <c r="F40" s="182">
        <f t="shared" si="1"/>
        <v>0</v>
      </c>
      <c r="G40" s="180">
        <f t="shared" si="124"/>
        <v>0</v>
      </c>
      <c r="H40" s="182">
        <f t="shared" si="2"/>
        <v>0</v>
      </c>
      <c r="I40" s="181">
        <f>-SUMIF('04.conso TB'!A:A,'Apr-26'!B40,'04.conso TB'!S:S)/10^5</f>
        <v>0</v>
      </c>
      <c r="J40" s="182">
        <f t="shared" si="3"/>
        <v>0</v>
      </c>
      <c r="K40" s="180">
        <f t="shared" si="125"/>
        <v>22.272210000000001</v>
      </c>
      <c r="L40" s="182">
        <f t="shared" si="126"/>
        <v>6.6741003247078236E-3</v>
      </c>
      <c r="M40" s="181">
        <f>-SUMIF('04.conso TB'!A:A,'Apr-26'!B40,'04.conso TB'!T:T)/10^5</f>
        <v>22.272210000000001</v>
      </c>
      <c r="N40" s="182">
        <f t="shared" si="127"/>
        <v>6.6741003247078236E-3</v>
      </c>
      <c r="O40" s="180">
        <f t="shared" si="128"/>
        <v>0</v>
      </c>
      <c r="P40" s="182">
        <f t="shared" si="4"/>
        <v>0</v>
      </c>
      <c r="Q40" s="181">
        <f>-SUMIF('04.conso TB'!A:A,'Apr-26'!B40,'04.conso TB'!U:U)/10^5</f>
        <v>0</v>
      </c>
      <c r="R40" s="182">
        <f t="shared" si="5"/>
        <v>0</v>
      </c>
      <c r="S40" s="180">
        <f t="shared" si="129"/>
        <v>0</v>
      </c>
      <c r="T40" s="182">
        <f t="shared" si="6"/>
        <v>0</v>
      </c>
      <c r="U40" s="183">
        <f>-SUMIF('04.conso TB'!A:A,'Apr-26'!B40,'04.conso TB'!V:V)/10^5</f>
        <v>0</v>
      </c>
      <c r="V40" s="182">
        <f t="shared" si="7"/>
        <v>0</v>
      </c>
      <c r="W40" s="180">
        <f t="shared" si="130"/>
        <v>0</v>
      </c>
      <c r="X40" s="182">
        <f t="shared" si="8"/>
        <v>0</v>
      </c>
      <c r="Y40" s="181">
        <f>-SUMIF('04.conso TB'!A:A,'Apr-26'!B40,'04.conso TB'!G:G)/10^5</f>
        <v>0</v>
      </c>
      <c r="Z40" s="182">
        <f t="shared" si="9"/>
        <v>0</v>
      </c>
      <c r="AA40" s="185"/>
      <c r="AB40" s="180">
        <f t="shared" si="131"/>
        <v>22.272210000000001</v>
      </c>
      <c r="AC40" s="182">
        <f t="shared" si="10"/>
        <v>4.2572719463677871E-3</v>
      </c>
      <c r="AD40" s="187">
        <f t="shared" si="132"/>
        <v>22.272210000000001</v>
      </c>
      <c r="AE40" s="182">
        <f t="shared" si="11"/>
        <v>4.2572719463677871E-3</v>
      </c>
      <c r="AF40" s="186"/>
      <c r="AG40" s="180">
        <f t="shared" si="133"/>
        <v>0</v>
      </c>
      <c r="AH40" s="182">
        <f t="shared" si="12"/>
        <v>0</v>
      </c>
      <c r="AI40" s="183">
        <f>-SUMIF('04.conso TB'!A:A,'Apr-26'!B40,'04.conso TB'!Q:Q)/10^5</f>
        <v>0</v>
      </c>
      <c r="AJ40" s="184">
        <f t="shared" si="134"/>
        <v>0</v>
      </c>
      <c r="AK40" s="186"/>
      <c r="AL40" s="180">
        <f t="shared" si="135"/>
        <v>0</v>
      </c>
      <c r="AM40" s="182">
        <f t="shared" si="13"/>
        <v>0</v>
      </c>
      <c r="AN40" s="181">
        <f>-SUMIF('04.conso TB'!A:A,'Apr-26'!B40,'04.conso TB'!W:W)/10^5</f>
        <v>0</v>
      </c>
      <c r="AO40" s="184">
        <f t="shared" si="136"/>
        <v>0</v>
      </c>
      <c r="AP40" s="545"/>
      <c r="AQ40" s="180">
        <f t="shared" si="137"/>
        <v>0</v>
      </c>
      <c r="AR40" s="182">
        <f t="shared" si="14"/>
        <v>0</v>
      </c>
      <c r="AS40" s="183">
        <f>-SUMIF('04.conso TB'!A:A,'Apr-26'!B40,'04.conso TB'!M:M)/10^5</f>
        <v>0</v>
      </c>
      <c r="AT40" s="184">
        <f t="shared" si="138"/>
        <v>0</v>
      </c>
      <c r="AU40" s="180">
        <f t="shared" si="139"/>
        <v>0</v>
      </c>
      <c r="AV40" s="182">
        <f t="shared" si="140"/>
        <v>0</v>
      </c>
      <c r="AW40" s="183">
        <f>-SUMIF('04.conso TB'!A:A,'Apr-26'!B40,'04.conso TB'!P:P)/10^5</f>
        <v>0</v>
      </c>
      <c r="AX40" s="184">
        <f t="shared" si="141"/>
        <v>0</v>
      </c>
      <c r="AY40" s="195"/>
      <c r="AZ40" s="180">
        <f t="shared" si="142"/>
        <v>0</v>
      </c>
      <c r="BA40" s="182">
        <f t="shared" si="15"/>
        <v>0</v>
      </c>
      <c r="BB40" s="190">
        <f t="shared" si="143"/>
        <v>0</v>
      </c>
      <c r="BC40" s="184">
        <f t="shared" si="144"/>
        <v>0</v>
      </c>
      <c r="BD40" s="191"/>
      <c r="BE40" s="180">
        <f t="shared" si="145"/>
        <v>0</v>
      </c>
      <c r="BF40" s="182">
        <f t="shared" si="16"/>
        <v>0</v>
      </c>
      <c r="BG40" s="183">
        <f>-SUMIF('04.conso TB'!A:A,'Apr-26'!B40,'04.conso TB'!H:H)/10^5</f>
        <v>0</v>
      </c>
      <c r="BH40" s="184">
        <f t="shared" si="146"/>
        <v>0</v>
      </c>
      <c r="BI40" s="180">
        <f t="shared" si="147"/>
        <v>0</v>
      </c>
      <c r="BJ40" s="182">
        <f t="shared" si="17"/>
        <v>0</v>
      </c>
      <c r="BK40" s="183">
        <f>-SUMIF('04.conso TB'!A:A,'Apr-26'!B40,'04.conso TB'!I:I)/10^5</f>
        <v>0</v>
      </c>
      <c r="BL40" s="184">
        <f t="shared" si="148"/>
        <v>0</v>
      </c>
      <c r="BM40" s="180">
        <f t="shared" si="149"/>
        <v>0</v>
      </c>
      <c r="BN40" s="182">
        <f t="shared" si="150"/>
        <v>0</v>
      </c>
      <c r="BO40" s="181">
        <f>-SUMIF('04.conso TB'!A:A,'Apr-26'!B40,'04.conso TB'!J:J)/10^5</f>
        <v>0</v>
      </c>
      <c r="BP40" s="182">
        <f t="shared" si="151"/>
        <v>0</v>
      </c>
      <c r="BQ40" s="192"/>
      <c r="BR40" s="180">
        <f t="shared" si="152"/>
        <v>0</v>
      </c>
      <c r="BS40" s="182">
        <f t="shared" si="18"/>
        <v>0</v>
      </c>
      <c r="BT40" s="183">
        <f t="shared" si="19"/>
        <v>0</v>
      </c>
      <c r="BU40" s="182">
        <f t="shared" si="20"/>
        <v>0</v>
      </c>
      <c r="BV40" s="191"/>
      <c r="BW40" s="180">
        <f t="shared" si="153"/>
        <v>1.9102699999999999</v>
      </c>
      <c r="BX40" s="182">
        <f t="shared" si="21"/>
        <v>1.1181919518607379E-3</v>
      </c>
      <c r="BY40" s="183">
        <f>-SUMIF('04.conso TB'!A:A,'Apr-26'!B40,'04.conso TB'!L:L)/10^5</f>
        <v>1.9102699999999999</v>
      </c>
      <c r="BZ40" s="182">
        <f t="shared" si="22"/>
        <v>1.1181919518607379E-3</v>
      </c>
      <c r="CA40" s="191"/>
      <c r="CB40" s="180">
        <f t="shared" si="154"/>
        <v>0</v>
      </c>
      <c r="CC40" s="346"/>
      <c r="CD40" s="186"/>
      <c r="CE40" s="187">
        <f t="shared" si="155"/>
        <v>24.182480000000002</v>
      </c>
      <c r="CF40" s="182">
        <f t="shared" si="23"/>
        <v>4.5171982629617245E-3</v>
      </c>
      <c r="CG40" s="187">
        <f t="shared" si="156"/>
        <v>24.182480000000002</v>
      </c>
      <c r="CH40" s="182">
        <f t="shared" si="24"/>
        <v>4.5171982629617245E-3</v>
      </c>
    </row>
    <row r="41" spans="1:86" s="194" customFormat="1" x14ac:dyDescent="0.35">
      <c r="B41" s="197" t="s">
        <v>432</v>
      </c>
      <c r="C41" s="180">
        <f t="shared" si="122"/>
        <v>0</v>
      </c>
      <c r="D41" s="182">
        <f t="shared" si="123"/>
        <v>0</v>
      </c>
      <c r="E41" s="181">
        <f>-SUMIF('04.conso TB'!A:A,'Apr-26'!B41,'04.conso TB'!R:R)/10^5</f>
        <v>0</v>
      </c>
      <c r="F41" s="182">
        <f t="shared" si="1"/>
        <v>0</v>
      </c>
      <c r="G41" s="180">
        <f t="shared" si="124"/>
        <v>0</v>
      </c>
      <c r="H41" s="182">
        <f t="shared" si="2"/>
        <v>0</v>
      </c>
      <c r="I41" s="181">
        <f>-SUMIF('04.conso TB'!A:A,'Apr-26'!B41,'04.conso TB'!S:S)/10^5</f>
        <v>0</v>
      </c>
      <c r="J41" s="182">
        <f t="shared" si="3"/>
        <v>0</v>
      </c>
      <c r="K41" s="180">
        <f t="shared" si="125"/>
        <v>0</v>
      </c>
      <c r="L41" s="182">
        <f t="shared" si="126"/>
        <v>0</v>
      </c>
      <c r="M41" s="181">
        <f>-SUMIF('04.conso TB'!A:A,'Apr-26'!B41,'04.conso TB'!T:T)/10^5</f>
        <v>0</v>
      </c>
      <c r="N41" s="182">
        <f t="shared" si="127"/>
        <v>0</v>
      </c>
      <c r="O41" s="180">
        <f t="shared" si="128"/>
        <v>0</v>
      </c>
      <c r="P41" s="182">
        <f t="shared" si="4"/>
        <v>0</v>
      </c>
      <c r="Q41" s="181">
        <f>-SUMIF('04.conso TB'!A:A,'Apr-26'!B41,'04.conso TB'!U:U)/10^5</f>
        <v>0</v>
      </c>
      <c r="R41" s="182">
        <f t="shared" si="5"/>
        <v>0</v>
      </c>
      <c r="S41" s="180">
        <f t="shared" si="129"/>
        <v>0</v>
      </c>
      <c r="T41" s="182">
        <f t="shared" si="6"/>
        <v>0</v>
      </c>
      <c r="U41" s="183">
        <f>-SUMIF('04.conso TB'!A:A,'Apr-26'!B41,'04.conso TB'!V:V)/10^5</f>
        <v>0</v>
      </c>
      <c r="V41" s="182">
        <f t="shared" si="7"/>
        <v>0</v>
      </c>
      <c r="W41" s="180">
        <f t="shared" si="130"/>
        <v>0</v>
      </c>
      <c r="X41" s="182">
        <f t="shared" si="8"/>
        <v>0</v>
      </c>
      <c r="Y41" s="181">
        <f>-SUMIF('04.conso TB'!A:A,'Apr-26'!B41,'04.conso TB'!G:G)/10^5</f>
        <v>0</v>
      </c>
      <c r="Z41" s="182">
        <f t="shared" si="9"/>
        <v>0</v>
      </c>
      <c r="AA41" s="185"/>
      <c r="AB41" s="180">
        <f t="shared" si="131"/>
        <v>0</v>
      </c>
      <c r="AC41" s="182">
        <f t="shared" si="10"/>
        <v>0</v>
      </c>
      <c r="AD41" s="187">
        <f t="shared" si="132"/>
        <v>0</v>
      </c>
      <c r="AE41" s="182">
        <f t="shared" si="11"/>
        <v>0</v>
      </c>
      <c r="AF41" s="186"/>
      <c r="AG41" s="180">
        <f t="shared" si="133"/>
        <v>0</v>
      </c>
      <c r="AH41" s="182">
        <f t="shared" si="12"/>
        <v>0</v>
      </c>
      <c r="AI41" s="183">
        <f>-SUMIF('04.conso TB'!A:A,'Apr-26'!B41,'04.conso TB'!Q:Q)/10^5</f>
        <v>0</v>
      </c>
      <c r="AJ41" s="184">
        <f t="shared" si="134"/>
        <v>0</v>
      </c>
      <c r="AK41" s="186"/>
      <c r="AL41" s="180">
        <f t="shared" si="135"/>
        <v>0</v>
      </c>
      <c r="AM41" s="182">
        <f t="shared" si="13"/>
        <v>0</v>
      </c>
      <c r="AN41" s="181">
        <f>-SUMIF('04.conso TB'!A:A,'Apr-26'!B41,'04.conso TB'!W:W)/10^5</f>
        <v>0</v>
      </c>
      <c r="AO41" s="184">
        <f t="shared" si="136"/>
        <v>0</v>
      </c>
      <c r="AP41" s="545"/>
      <c r="AQ41" s="180">
        <f t="shared" si="137"/>
        <v>0</v>
      </c>
      <c r="AR41" s="182">
        <f t="shared" si="14"/>
        <v>0</v>
      </c>
      <c r="AS41" s="183">
        <f>-SUMIF('04.conso TB'!A:A,'Apr-26'!B41,'04.conso TB'!M:M)/10^5</f>
        <v>0</v>
      </c>
      <c r="AT41" s="184">
        <f t="shared" si="138"/>
        <v>0</v>
      </c>
      <c r="AU41" s="180">
        <f t="shared" si="139"/>
        <v>0</v>
      </c>
      <c r="AV41" s="182">
        <f t="shared" si="140"/>
        <v>0</v>
      </c>
      <c r="AW41" s="183">
        <f>-SUMIF('04.conso TB'!A:A,'Apr-26'!B41,'04.conso TB'!P:P)/10^5</f>
        <v>0</v>
      </c>
      <c r="AX41" s="184">
        <f t="shared" si="141"/>
        <v>0</v>
      </c>
      <c r="AY41" s="195"/>
      <c r="AZ41" s="180">
        <f t="shared" si="142"/>
        <v>0</v>
      </c>
      <c r="BA41" s="182">
        <f t="shared" si="15"/>
        <v>0</v>
      </c>
      <c r="BB41" s="190">
        <f t="shared" si="143"/>
        <v>0</v>
      </c>
      <c r="BC41" s="184">
        <f t="shared" si="144"/>
        <v>0</v>
      </c>
      <c r="BD41" s="191"/>
      <c r="BE41" s="180">
        <f t="shared" si="145"/>
        <v>0</v>
      </c>
      <c r="BF41" s="182">
        <f t="shared" si="16"/>
        <v>0</v>
      </c>
      <c r="BG41" s="183">
        <f>-SUMIF('04.conso TB'!A:A,'Apr-26'!B41,'04.conso TB'!H:H)/10^5</f>
        <v>0</v>
      </c>
      <c r="BH41" s="184">
        <f t="shared" si="146"/>
        <v>0</v>
      </c>
      <c r="BI41" s="180">
        <f t="shared" si="147"/>
        <v>0</v>
      </c>
      <c r="BJ41" s="182">
        <f t="shared" si="17"/>
        <v>0</v>
      </c>
      <c r="BK41" s="183">
        <f>-SUMIF('04.conso TB'!A:A,'Apr-26'!B41,'04.conso TB'!I:I)/10^5</f>
        <v>0</v>
      </c>
      <c r="BL41" s="184">
        <f t="shared" si="148"/>
        <v>0</v>
      </c>
      <c r="BM41" s="180">
        <f t="shared" si="149"/>
        <v>0</v>
      </c>
      <c r="BN41" s="182">
        <f t="shared" si="150"/>
        <v>0</v>
      </c>
      <c r="BO41" s="181">
        <f>-SUMIF('04.conso TB'!A:A,'Apr-26'!B41,'04.conso TB'!J:J)/10^5</f>
        <v>0</v>
      </c>
      <c r="BP41" s="182">
        <f t="shared" si="151"/>
        <v>0</v>
      </c>
      <c r="BQ41" s="192"/>
      <c r="BR41" s="180">
        <f t="shared" si="152"/>
        <v>0</v>
      </c>
      <c r="BS41" s="182">
        <f t="shared" si="18"/>
        <v>0</v>
      </c>
      <c r="BT41" s="183">
        <f t="shared" si="19"/>
        <v>0</v>
      </c>
      <c r="BU41" s="182">
        <f t="shared" si="20"/>
        <v>0</v>
      </c>
      <c r="BV41" s="191"/>
      <c r="BW41" s="180">
        <f t="shared" si="153"/>
        <v>0</v>
      </c>
      <c r="BX41" s="182">
        <f t="shared" si="21"/>
        <v>0</v>
      </c>
      <c r="BY41" s="183">
        <f>-SUMIF('04.conso TB'!A:A,'Apr-26'!B41,'04.conso TB'!L:L)/10^5</f>
        <v>0</v>
      </c>
      <c r="BZ41" s="182">
        <f t="shared" si="22"/>
        <v>0</v>
      </c>
      <c r="CA41" s="191"/>
      <c r="CB41" s="180">
        <f t="shared" si="154"/>
        <v>0</v>
      </c>
      <c r="CC41" s="346"/>
      <c r="CD41" s="186"/>
      <c r="CE41" s="187">
        <f t="shared" si="155"/>
        <v>0</v>
      </c>
      <c r="CF41" s="182">
        <f t="shared" si="23"/>
        <v>0</v>
      </c>
      <c r="CG41" s="187">
        <f t="shared" si="156"/>
        <v>0</v>
      </c>
      <c r="CH41" s="182">
        <f t="shared" si="24"/>
        <v>0</v>
      </c>
    </row>
    <row r="42" spans="1:86" s="194" customFormat="1" x14ac:dyDescent="0.35">
      <c r="B42" s="197" t="s">
        <v>470</v>
      </c>
      <c r="C42" s="180">
        <f t="shared" si="122"/>
        <v>0</v>
      </c>
      <c r="D42" s="182">
        <f t="shared" si="123"/>
        <v>0</v>
      </c>
      <c r="E42" s="181">
        <f>-SUMIF('04.conso TB'!A:A,'Apr-26'!B42,'04.conso TB'!R:R)/10^5</f>
        <v>0</v>
      </c>
      <c r="F42" s="182">
        <f t="shared" si="1"/>
        <v>0</v>
      </c>
      <c r="G42" s="180">
        <f t="shared" si="124"/>
        <v>0</v>
      </c>
      <c r="H42" s="182">
        <f t="shared" si="2"/>
        <v>0</v>
      </c>
      <c r="I42" s="181">
        <f>-SUMIF('04.conso TB'!A:A,'Apr-26'!B42,'04.conso TB'!S:S)/10^5</f>
        <v>0</v>
      </c>
      <c r="J42" s="182">
        <f t="shared" si="3"/>
        <v>0</v>
      </c>
      <c r="K42" s="180">
        <f t="shared" si="125"/>
        <v>0</v>
      </c>
      <c r="L42" s="182">
        <f t="shared" si="126"/>
        <v>0</v>
      </c>
      <c r="M42" s="181">
        <f>-SUMIF('04.conso TB'!A:A,'Apr-26'!B42,'04.conso TB'!T:T)/10^5</f>
        <v>0</v>
      </c>
      <c r="N42" s="182">
        <f t="shared" si="127"/>
        <v>0</v>
      </c>
      <c r="O42" s="180">
        <f t="shared" si="128"/>
        <v>0</v>
      </c>
      <c r="P42" s="182">
        <f t="shared" si="4"/>
        <v>0</v>
      </c>
      <c r="Q42" s="181">
        <f>-SUMIF('04.conso TB'!A:A,'Apr-26'!B42,'04.conso TB'!U:U)/10^5</f>
        <v>0</v>
      </c>
      <c r="R42" s="182">
        <f t="shared" si="5"/>
        <v>0</v>
      </c>
      <c r="S42" s="180">
        <f t="shared" si="129"/>
        <v>0</v>
      </c>
      <c r="T42" s="182">
        <f t="shared" si="6"/>
        <v>0</v>
      </c>
      <c r="U42" s="183">
        <f>-SUMIF('04.conso TB'!A:A,'Apr-26'!B42,'04.conso TB'!V:V)/10^5</f>
        <v>0</v>
      </c>
      <c r="V42" s="182">
        <f t="shared" si="7"/>
        <v>0</v>
      </c>
      <c r="W42" s="180">
        <f t="shared" si="130"/>
        <v>0</v>
      </c>
      <c r="X42" s="182">
        <f t="shared" si="8"/>
        <v>0</v>
      </c>
      <c r="Y42" s="181">
        <f>-SUMIF('04.conso TB'!A:A,'Apr-26'!B42,'04.conso TB'!G:G)/10^5</f>
        <v>0</v>
      </c>
      <c r="Z42" s="182">
        <f t="shared" si="9"/>
        <v>0</v>
      </c>
      <c r="AA42" s="185"/>
      <c r="AB42" s="180">
        <f t="shared" si="131"/>
        <v>0</v>
      </c>
      <c r="AC42" s="182">
        <f t="shared" si="10"/>
        <v>0</v>
      </c>
      <c r="AD42" s="187">
        <f t="shared" si="132"/>
        <v>0</v>
      </c>
      <c r="AE42" s="182">
        <f t="shared" si="11"/>
        <v>0</v>
      </c>
      <c r="AF42" s="186"/>
      <c r="AG42" s="180">
        <f t="shared" si="133"/>
        <v>0</v>
      </c>
      <c r="AH42" s="182">
        <f t="shared" si="12"/>
        <v>0</v>
      </c>
      <c r="AI42" s="183">
        <f>-SUMIF('04.conso TB'!A:A,'Apr-26'!B42,'04.conso TB'!Q:Q)/10^5</f>
        <v>0</v>
      </c>
      <c r="AJ42" s="184">
        <f t="shared" si="134"/>
        <v>0</v>
      </c>
      <c r="AK42" s="186"/>
      <c r="AL42" s="180">
        <f t="shared" si="135"/>
        <v>0</v>
      </c>
      <c r="AM42" s="182">
        <f t="shared" si="13"/>
        <v>0</v>
      </c>
      <c r="AN42" s="181">
        <f>-SUMIF('04.conso TB'!A:A,'Apr-26'!B42,'04.conso TB'!W:W)/10^5</f>
        <v>0</v>
      </c>
      <c r="AO42" s="184">
        <f t="shared" si="136"/>
        <v>0</v>
      </c>
      <c r="AP42" s="545"/>
      <c r="AQ42" s="180">
        <f t="shared" si="137"/>
        <v>0</v>
      </c>
      <c r="AR42" s="182">
        <f t="shared" si="14"/>
        <v>0</v>
      </c>
      <c r="AS42" s="183">
        <f>-SUMIF('04.conso TB'!A:A,'Apr-26'!B42,'04.conso TB'!M:M)/10^5</f>
        <v>0</v>
      </c>
      <c r="AT42" s="184">
        <f t="shared" si="138"/>
        <v>0</v>
      </c>
      <c r="AU42" s="180">
        <f t="shared" si="139"/>
        <v>0</v>
      </c>
      <c r="AV42" s="182">
        <f t="shared" si="140"/>
        <v>0</v>
      </c>
      <c r="AW42" s="183">
        <f>-SUMIF('04.conso TB'!A:A,'Apr-26'!B42,'04.conso TB'!P:P)/10^5</f>
        <v>0</v>
      </c>
      <c r="AX42" s="184">
        <f t="shared" si="141"/>
        <v>0</v>
      </c>
      <c r="AY42" s="195"/>
      <c r="AZ42" s="180">
        <f t="shared" si="142"/>
        <v>0</v>
      </c>
      <c r="BA42" s="182">
        <f t="shared" si="15"/>
        <v>0</v>
      </c>
      <c r="BB42" s="190">
        <f t="shared" si="143"/>
        <v>0</v>
      </c>
      <c r="BC42" s="184">
        <f t="shared" si="144"/>
        <v>0</v>
      </c>
      <c r="BD42" s="191"/>
      <c r="BE42" s="180">
        <f t="shared" si="145"/>
        <v>0</v>
      </c>
      <c r="BF42" s="182">
        <f t="shared" si="16"/>
        <v>0</v>
      </c>
      <c r="BG42" s="183">
        <f>-SUMIF('04.conso TB'!A:A,'Apr-26'!B42,'04.conso TB'!H:H)/10^5</f>
        <v>0</v>
      </c>
      <c r="BH42" s="184">
        <f t="shared" si="146"/>
        <v>0</v>
      </c>
      <c r="BI42" s="180">
        <f t="shared" si="147"/>
        <v>0</v>
      </c>
      <c r="BJ42" s="182">
        <f t="shared" si="17"/>
        <v>0</v>
      </c>
      <c r="BK42" s="183">
        <f>-SUMIF('04.conso TB'!A:A,'Apr-26'!B42,'04.conso TB'!I:I)/10^5</f>
        <v>0</v>
      </c>
      <c r="BL42" s="184">
        <f t="shared" si="148"/>
        <v>0</v>
      </c>
      <c r="BM42" s="180">
        <f t="shared" si="149"/>
        <v>0</v>
      </c>
      <c r="BN42" s="182">
        <f t="shared" si="150"/>
        <v>0</v>
      </c>
      <c r="BO42" s="181">
        <f>-SUMIF('04.conso TB'!A:A,'Apr-26'!B42,'04.conso TB'!J:J)/10^5</f>
        <v>0</v>
      </c>
      <c r="BP42" s="182">
        <f t="shared" si="151"/>
        <v>0</v>
      </c>
      <c r="BQ42" s="192"/>
      <c r="BR42" s="180">
        <f t="shared" si="152"/>
        <v>0</v>
      </c>
      <c r="BS42" s="182">
        <f t="shared" si="18"/>
        <v>0</v>
      </c>
      <c r="BT42" s="183">
        <f t="shared" si="19"/>
        <v>0</v>
      </c>
      <c r="BU42" s="182">
        <f t="shared" si="20"/>
        <v>0</v>
      </c>
      <c r="BV42" s="191"/>
      <c r="BW42" s="180">
        <f t="shared" si="153"/>
        <v>0</v>
      </c>
      <c r="BX42" s="182">
        <f t="shared" si="21"/>
        <v>0</v>
      </c>
      <c r="BY42" s="183">
        <f>-SUMIF('04.conso TB'!A:A,'Apr-26'!B42,'04.conso TB'!L:L)/10^5</f>
        <v>0</v>
      </c>
      <c r="BZ42" s="182">
        <f t="shared" si="22"/>
        <v>0</v>
      </c>
      <c r="CA42" s="191"/>
      <c r="CB42" s="180">
        <f t="shared" si="154"/>
        <v>0</v>
      </c>
      <c r="CC42" s="346"/>
      <c r="CD42" s="186"/>
      <c r="CE42" s="187">
        <f t="shared" si="155"/>
        <v>0</v>
      </c>
      <c r="CF42" s="182">
        <f t="shared" si="23"/>
        <v>0</v>
      </c>
      <c r="CG42" s="187">
        <f t="shared" si="156"/>
        <v>0</v>
      </c>
      <c r="CH42" s="182">
        <f t="shared" si="24"/>
        <v>0</v>
      </c>
    </row>
    <row r="43" spans="1:86" s="194" customFormat="1" x14ac:dyDescent="0.35">
      <c r="B43" s="197" t="s">
        <v>445</v>
      </c>
      <c r="C43" s="180">
        <f t="shared" si="122"/>
        <v>-5.4179999999999992E-3</v>
      </c>
      <c r="D43" s="182">
        <f t="shared" si="123"/>
        <v>-1.623560282489568E-6</v>
      </c>
      <c r="E43" s="181">
        <f>-SUMIF('04.conso TB'!A:A,'Apr-26'!B43,'04.conso TB'!R:R)/10^5</f>
        <v>-5.4179999999999992E-3</v>
      </c>
      <c r="F43" s="182">
        <f t="shared" si="1"/>
        <v>-1.623560282489568E-6</v>
      </c>
      <c r="G43" s="180">
        <f t="shared" si="124"/>
        <v>0</v>
      </c>
      <c r="H43" s="182">
        <f t="shared" si="2"/>
        <v>0</v>
      </c>
      <c r="I43" s="181">
        <f>-SUMIF('04.conso TB'!A:A,'Apr-26'!B43,'04.conso TB'!S:S)/10^5</f>
        <v>0</v>
      </c>
      <c r="J43" s="182">
        <f t="shared" si="3"/>
        <v>0</v>
      </c>
      <c r="K43" s="180">
        <f t="shared" si="125"/>
        <v>0</v>
      </c>
      <c r="L43" s="182">
        <f t="shared" si="126"/>
        <v>0</v>
      </c>
      <c r="M43" s="181">
        <f>-SUMIF('04.conso TB'!A:A,'Apr-26'!B43,'04.conso TB'!T:T)/10^5</f>
        <v>0</v>
      </c>
      <c r="N43" s="182">
        <f t="shared" si="127"/>
        <v>0</v>
      </c>
      <c r="O43" s="180">
        <f t="shared" si="128"/>
        <v>0</v>
      </c>
      <c r="P43" s="182">
        <f t="shared" si="4"/>
        <v>0</v>
      </c>
      <c r="Q43" s="181">
        <f>-SUMIF('04.conso TB'!A:A,'Apr-26'!B43,'04.conso TB'!U:U)/10^5</f>
        <v>0</v>
      </c>
      <c r="R43" s="182">
        <f t="shared" si="5"/>
        <v>0</v>
      </c>
      <c r="S43" s="180">
        <f t="shared" si="129"/>
        <v>0</v>
      </c>
      <c r="T43" s="182">
        <f t="shared" si="6"/>
        <v>0</v>
      </c>
      <c r="U43" s="183">
        <f>-SUMIF('04.conso TB'!A:A,'Apr-26'!B43,'04.conso TB'!V:V)/10^5</f>
        <v>0</v>
      </c>
      <c r="V43" s="182">
        <f t="shared" si="7"/>
        <v>0</v>
      </c>
      <c r="W43" s="180">
        <f t="shared" si="130"/>
        <v>0</v>
      </c>
      <c r="X43" s="182">
        <f t="shared" si="8"/>
        <v>0</v>
      </c>
      <c r="Y43" s="181">
        <f>-SUMIF('04.conso TB'!A:A,'Apr-26'!B43,'04.conso TB'!G:G)/10^5</f>
        <v>0</v>
      </c>
      <c r="Z43" s="182">
        <f t="shared" si="9"/>
        <v>0</v>
      </c>
      <c r="AA43" s="185"/>
      <c r="AB43" s="180">
        <f t="shared" si="131"/>
        <v>-5.4179999999999992E-3</v>
      </c>
      <c r="AC43" s="182">
        <f t="shared" si="10"/>
        <v>-1.035635862153808E-6</v>
      </c>
      <c r="AD43" s="187">
        <f t="shared" si="132"/>
        <v>-5.4179999999999992E-3</v>
      </c>
      <c r="AE43" s="182">
        <f t="shared" si="11"/>
        <v>-1.035635862153808E-6</v>
      </c>
      <c r="AF43" s="186"/>
      <c r="AG43" s="180">
        <f t="shared" si="133"/>
        <v>0</v>
      </c>
      <c r="AH43" s="182">
        <f t="shared" si="12"/>
        <v>0</v>
      </c>
      <c r="AI43" s="183">
        <f>-SUMIF('04.conso TB'!A:A,'Apr-26'!B43,'04.conso TB'!Q:Q)/10^5</f>
        <v>0</v>
      </c>
      <c r="AJ43" s="184">
        <f t="shared" si="134"/>
        <v>0</v>
      </c>
      <c r="AK43" s="186"/>
      <c r="AL43" s="180">
        <f t="shared" si="135"/>
        <v>0</v>
      </c>
      <c r="AM43" s="182">
        <f t="shared" si="13"/>
        <v>0</v>
      </c>
      <c r="AN43" s="181">
        <f>-SUMIF('04.conso TB'!A:A,'Apr-26'!B43,'04.conso TB'!W:W)/10^5</f>
        <v>0</v>
      </c>
      <c r="AO43" s="184">
        <f t="shared" si="136"/>
        <v>0</v>
      </c>
      <c r="AP43" s="545"/>
      <c r="AQ43" s="180">
        <f t="shared" si="137"/>
        <v>0</v>
      </c>
      <c r="AR43" s="182">
        <f t="shared" si="14"/>
        <v>0</v>
      </c>
      <c r="AS43" s="183">
        <f>-SUMIF('04.conso TB'!A:A,'Apr-26'!B43,'04.conso TB'!M:M)/10^5</f>
        <v>0</v>
      </c>
      <c r="AT43" s="184">
        <f t="shared" si="138"/>
        <v>0</v>
      </c>
      <c r="AU43" s="180">
        <f t="shared" si="139"/>
        <v>0</v>
      </c>
      <c r="AV43" s="182">
        <f t="shared" si="140"/>
        <v>0</v>
      </c>
      <c r="AW43" s="183">
        <f>-SUMIF('04.conso TB'!A:A,'Apr-26'!B43,'04.conso TB'!P:P)/10^5</f>
        <v>0</v>
      </c>
      <c r="AX43" s="184">
        <f t="shared" si="141"/>
        <v>0</v>
      </c>
      <c r="AY43" s="195"/>
      <c r="AZ43" s="180">
        <f t="shared" si="142"/>
        <v>0</v>
      </c>
      <c r="BA43" s="182">
        <f t="shared" si="15"/>
        <v>0</v>
      </c>
      <c r="BB43" s="190">
        <f t="shared" si="143"/>
        <v>0</v>
      </c>
      <c r="BC43" s="184">
        <f t="shared" si="144"/>
        <v>0</v>
      </c>
      <c r="BD43" s="191"/>
      <c r="BE43" s="180">
        <f t="shared" si="145"/>
        <v>0</v>
      </c>
      <c r="BF43" s="182">
        <f t="shared" si="16"/>
        <v>0</v>
      </c>
      <c r="BG43" s="183">
        <f>-SUMIF('04.conso TB'!A:A,'Apr-26'!B43,'04.conso TB'!H:H)/10^5</f>
        <v>0</v>
      </c>
      <c r="BH43" s="184">
        <f t="shared" si="146"/>
        <v>0</v>
      </c>
      <c r="BI43" s="180">
        <f t="shared" si="147"/>
        <v>0</v>
      </c>
      <c r="BJ43" s="182">
        <f t="shared" si="17"/>
        <v>0</v>
      </c>
      <c r="BK43" s="183">
        <f>-SUMIF('04.conso TB'!A:A,'Apr-26'!B43,'04.conso TB'!I:I)/10^5</f>
        <v>0</v>
      </c>
      <c r="BL43" s="184">
        <f t="shared" si="148"/>
        <v>0</v>
      </c>
      <c r="BM43" s="180">
        <f t="shared" si="149"/>
        <v>7.6170000000000002E-2</v>
      </c>
      <c r="BN43" s="182">
        <f t="shared" si="150"/>
        <v>2.2825135975863865E-5</v>
      </c>
      <c r="BO43" s="181">
        <f>-SUMIF('04.conso TB'!A:A,'Apr-26'!B43,'04.conso TB'!J:J)/10^5</f>
        <v>7.6170000000000002E-2</v>
      </c>
      <c r="BP43" s="182">
        <f t="shared" si="151"/>
        <v>2.2825135975863865E-5</v>
      </c>
      <c r="BQ43" s="192"/>
      <c r="BR43" s="180">
        <f t="shared" si="152"/>
        <v>7.6170000000000002E-2</v>
      </c>
      <c r="BS43" s="182">
        <f t="shared" si="18"/>
        <v>4.1323739558692692E-5</v>
      </c>
      <c r="BT43" s="183">
        <f t="shared" si="19"/>
        <v>7.6170000000000002E-2</v>
      </c>
      <c r="BU43" s="182">
        <f t="shared" si="20"/>
        <v>4.1323739558692692E-5</v>
      </c>
      <c r="BV43" s="191"/>
      <c r="BW43" s="180">
        <f t="shared" si="153"/>
        <v>0</v>
      </c>
      <c r="BX43" s="182">
        <f t="shared" si="21"/>
        <v>0</v>
      </c>
      <c r="BY43" s="183">
        <f>-SUMIF('04.conso TB'!A:A,'Apr-26'!B43,'04.conso TB'!L:L)/10^5</f>
        <v>0</v>
      </c>
      <c r="BZ43" s="182">
        <f t="shared" si="22"/>
        <v>0</v>
      </c>
      <c r="CA43" s="191"/>
      <c r="CB43" s="180">
        <f t="shared" si="154"/>
        <v>0</v>
      </c>
      <c r="CC43" s="346"/>
      <c r="CD43" s="186"/>
      <c r="CE43" s="187">
        <f t="shared" si="155"/>
        <v>7.0752000000000009E-2</v>
      </c>
      <c r="CF43" s="182">
        <f t="shared" si="23"/>
        <v>1.3216213204810589E-5</v>
      </c>
      <c r="CG43" s="187">
        <f t="shared" si="156"/>
        <v>7.0752000000000009E-2</v>
      </c>
      <c r="CH43" s="182">
        <f t="shared" si="24"/>
        <v>1.3216213204810589E-5</v>
      </c>
    </row>
    <row r="44" spans="1:86" s="194" customFormat="1" x14ac:dyDescent="0.35">
      <c r="B44" s="197" t="s">
        <v>442</v>
      </c>
      <c r="C44" s="180">
        <f t="shared" si="122"/>
        <v>-5.1E-5</v>
      </c>
      <c r="D44" s="182">
        <f t="shared" si="123"/>
        <v>-1.52826826147966E-8</v>
      </c>
      <c r="E44" s="181">
        <f>-SUMIF('04.conso TB'!A:A,'Apr-26'!B44,'04.conso TB'!R:R)/10^5</f>
        <v>-5.1E-5</v>
      </c>
      <c r="F44" s="182">
        <f t="shared" si="1"/>
        <v>-1.52826826147966E-8</v>
      </c>
      <c r="G44" s="180">
        <f t="shared" si="124"/>
        <v>1.26E-5</v>
      </c>
      <c r="H44" s="182">
        <f t="shared" si="2"/>
        <v>1.0665787818391365E-8</v>
      </c>
      <c r="I44" s="181">
        <f>-SUMIF('04.conso TB'!A:A,'Apr-26'!B44,'04.conso TB'!S:S)/10^5</f>
        <v>1.26E-5</v>
      </c>
      <c r="J44" s="182">
        <f t="shared" si="3"/>
        <v>1.0665787818391365E-8</v>
      </c>
      <c r="K44" s="180">
        <f t="shared" si="125"/>
        <v>-5.9999999999999997E-7</v>
      </c>
      <c r="L44" s="182">
        <f t="shared" si="126"/>
        <v>-1.7979626605643059E-10</v>
      </c>
      <c r="M44" s="181">
        <f>-SUMIF('04.conso TB'!A:A,'Apr-26'!B44,'04.conso TB'!T:T)/10^5</f>
        <v>-5.9999999999999997E-7</v>
      </c>
      <c r="N44" s="182">
        <f t="shared" si="127"/>
        <v>-1.7979626605643059E-10</v>
      </c>
      <c r="O44" s="180">
        <f t="shared" si="128"/>
        <v>-9.7000000000000003E-6</v>
      </c>
      <c r="P44" s="182">
        <f t="shared" si="4"/>
        <v>-1.035450438257216E-8</v>
      </c>
      <c r="Q44" s="181">
        <f>-SUMIF('04.conso TB'!A:A,'Apr-26'!B44,'04.conso TB'!U:U)/10^5</f>
        <v>-9.7000000000000003E-6</v>
      </c>
      <c r="R44" s="182">
        <f t="shared" si="5"/>
        <v>-1.035450438257216E-8</v>
      </c>
      <c r="S44" s="180">
        <f t="shared" si="129"/>
        <v>9.858E-4</v>
      </c>
      <c r="T44" s="182">
        <f t="shared" si="6"/>
        <v>2.0214883846175583E-5</v>
      </c>
      <c r="U44" s="183">
        <f>-SUMIF('04.conso TB'!A:A,'Apr-26'!B44,'04.conso TB'!V:V)/10^5</f>
        <v>9.858E-4</v>
      </c>
      <c r="V44" s="182">
        <f t="shared" si="7"/>
        <v>2.0214883846175583E-5</v>
      </c>
      <c r="W44" s="180">
        <f t="shared" si="130"/>
        <v>4.7999999999999998E-6</v>
      </c>
      <c r="X44" s="182">
        <f t="shared" si="8"/>
        <v>6.4458943552722985E-8</v>
      </c>
      <c r="Y44" s="181">
        <f>-SUMIF('04.conso TB'!A:A,'Apr-26'!B44,'04.conso TB'!G:G)/10^5</f>
        <v>4.7999999999999998E-6</v>
      </c>
      <c r="Z44" s="182">
        <f t="shared" si="9"/>
        <v>6.4458943552722985E-8</v>
      </c>
      <c r="AA44" s="185"/>
      <c r="AB44" s="180">
        <f t="shared" si="131"/>
        <v>9.4189999999999996E-4</v>
      </c>
      <c r="AC44" s="182">
        <f t="shared" si="10"/>
        <v>1.8004160549329493E-7</v>
      </c>
      <c r="AD44" s="187">
        <f t="shared" si="132"/>
        <v>9.4189999999999996E-4</v>
      </c>
      <c r="AE44" s="182">
        <f t="shared" si="11"/>
        <v>1.8004160549329493E-7</v>
      </c>
      <c r="AF44" s="186"/>
      <c r="AG44" s="180">
        <f t="shared" si="133"/>
        <v>7.9999999999999996E-6</v>
      </c>
      <c r="AH44" s="182">
        <f t="shared" si="12"/>
        <v>2.1592810798077139E-8</v>
      </c>
      <c r="AI44" s="183">
        <f>-SUMIF('04.conso TB'!A:A,'Apr-26'!B44,'04.conso TB'!Q:Q)/10^5</f>
        <v>7.9999999999999996E-6</v>
      </c>
      <c r="AJ44" s="184">
        <f t="shared" si="134"/>
        <v>2.1592810798077139E-8</v>
      </c>
      <c r="AK44" s="186"/>
      <c r="AL44" s="180">
        <f t="shared" si="135"/>
        <v>-4.9299999999999999E-5</v>
      </c>
      <c r="AM44" s="182">
        <f t="shared" si="13"/>
        <v>-4.3317422058991278E-8</v>
      </c>
      <c r="AN44" s="181">
        <f>-SUMIF('04.conso TB'!A:A,'Apr-26'!B44,'04.conso TB'!W:W)/10^5</f>
        <v>-4.9299999999999999E-5</v>
      </c>
      <c r="AO44" s="184">
        <f t="shared" si="136"/>
        <v>-4.3317422058991278E-8</v>
      </c>
      <c r="AP44" s="545"/>
      <c r="AQ44" s="180">
        <f t="shared" si="137"/>
        <v>-8.4800000000000001E-5</v>
      </c>
      <c r="AR44" s="182">
        <f t="shared" si="14"/>
        <v>-4.6295473697853055E-8</v>
      </c>
      <c r="AS44" s="183">
        <f>-SUMIF('04.conso TB'!A:A,'Apr-26'!B44,'04.conso TB'!M:M)/10^5</f>
        <v>-8.4800000000000001E-5</v>
      </c>
      <c r="AT44" s="184">
        <f t="shared" si="138"/>
        <v>-4.6295473697853055E-8</v>
      </c>
      <c r="AU44" s="180">
        <f t="shared" si="139"/>
        <v>1.0200000000000001E-5</v>
      </c>
      <c r="AV44" s="182">
        <f t="shared" si="140"/>
        <v>3.0565365229593202E-9</v>
      </c>
      <c r="AW44" s="183">
        <f>-SUMIF('04.conso TB'!A:A,'Apr-26'!B44,'04.conso TB'!P:P)/10^5</f>
        <v>1.0200000000000001E-5</v>
      </c>
      <c r="AX44" s="184">
        <f t="shared" si="141"/>
        <v>1.1987954265205585E-8</v>
      </c>
      <c r="AY44" s="195"/>
      <c r="AZ44" s="180">
        <f t="shared" si="142"/>
        <v>-7.4599999999999997E-5</v>
      </c>
      <c r="BA44" s="182">
        <f t="shared" si="15"/>
        <v>-2.7809187963573733E-8</v>
      </c>
      <c r="BB44" s="190">
        <f t="shared" si="143"/>
        <v>-7.4599999999999997E-5</v>
      </c>
      <c r="BC44" s="184">
        <f t="shared" si="144"/>
        <v>-2.7809187963573733E-8</v>
      </c>
      <c r="BD44" s="191"/>
      <c r="BE44" s="180">
        <f t="shared" si="145"/>
        <v>-4.7300000000000005E-5</v>
      </c>
      <c r="BF44" s="182">
        <f t="shared" si="16"/>
        <v>-2.4839612905188222E-8</v>
      </c>
      <c r="BG44" s="183">
        <f>-SUMIF('04.conso TB'!A:A,'Apr-26'!B44,'04.conso TB'!H:H)/10^5</f>
        <v>-4.7300000000000005E-5</v>
      </c>
      <c r="BH44" s="184">
        <f t="shared" si="146"/>
        <v>-2.4839612905188222E-8</v>
      </c>
      <c r="BI44" s="180">
        <f t="shared" si="147"/>
        <v>-1.3500000000000001E-5</v>
      </c>
      <c r="BJ44" s="182">
        <f t="shared" si="17"/>
        <v>-6.965725560164947E-7</v>
      </c>
      <c r="BK44" s="183">
        <f>-SUMIF('04.conso TB'!A:A,'Apr-26'!B44,'04.conso TB'!I:I)/10^5</f>
        <v>-1.3500000000000001E-5</v>
      </c>
      <c r="BL44" s="184">
        <f t="shared" si="148"/>
        <v>-6.965725560164947E-7</v>
      </c>
      <c r="BM44" s="180">
        <f t="shared" si="149"/>
        <v>0</v>
      </c>
      <c r="BN44" s="182">
        <f t="shared" si="150"/>
        <v>0</v>
      </c>
      <c r="BO44" s="181">
        <f>-SUMIF('04.conso TB'!A:A,'Apr-26'!B44,'04.conso TB'!J:J)/10^5</f>
        <v>0</v>
      </c>
      <c r="BP44" s="182">
        <f t="shared" si="151"/>
        <v>0</v>
      </c>
      <c r="BQ44" s="192"/>
      <c r="BR44" s="180">
        <f t="shared" si="152"/>
        <v>-6.0800000000000007E-5</v>
      </c>
      <c r="BS44" s="182">
        <f t="shared" si="18"/>
        <v>-3.2985208942740134E-8</v>
      </c>
      <c r="BT44" s="183">
        <f t="shared" si="19"/>
        <v>-6.0800000000000007E-5</v>
      </c>
      <c r="BU44" s="182">
        <f t="shared" si="20"/>
        <v>-3.2985208942740134E-8</v>
      </c>
      <c r="BV44" s="191"/>
      <c r="BW44" s="180">
        <f t="shared" si="153"/>
        <v>-2.4000000000000001E-5</v>
      </c>
      <c r="BX44" s="182">
        <f t="shared" si="21"/>
        <v>-1.4048593572980633E-8</v>
      </c>
      <c r="BY44" s="183">
        <f>-SUMIF('04.conso TB'!A:A,'Apr-26'!B44,'04.conso TB'!L:L)/10^5</f>
        <v>-2.4000000000000001E-5</v>
      </c>
      <c r="BZ44" s="182">
        <f t="shared" si="22"/>
        <v>-1.4048593572980633E-8</v>
      </c>
      <c r="CA44" s="191"/>
      <c r="CB44" s="180">
        <f t="shared" si="154"/>
        <v>0</v>
      </c>
      <c r="CC44" s="346"/>
      <c r="CD44" s="186"/>
      <c r="CE44" s="187">
        <f t="shared" si="155"/>
        <v>7.4120000000000002E-4</v>
      </c>
      <c r="CF44" s="182">
        <f t="shared" si="23"/>
        <v>1.3845343209245826E-7</v>
      </c>
      <c r="CG44" s="187">
        <f t="shared" si="156"/>
        <v>7.4120000000000002E-4</v>
      </c>
      <c r="CH44" s="182">
        <f t="shared" si="24"/>
        <v>1.3845343209245826E-7</v>
      </c>
    </row>
    <row r="45" spans="1:86" s="296" customFormat="1" x14ac:dyDescent="0.35">
      <c r="B45" s="297" t="s">
        <v>474</v>
      </c>
      <c r="C45" s="298">
        <f t="shared" ref="C45:AB45" si="157">SUM(C35:C44)</f>
        <v>9.1084209999999999</v>
      </c>
      <c r="D45" s="301">
        <f t="shared" si="157"/>
        <v>2.7294334757832993E-3</v>
      </c>
      <c r="E45" s="300">
        <f t="shared" si="157"/>
        <v>9.1084209999999999</v>
      </c>
      <c r="F45" s="182">
        <f t="shared" si="1"/>
        <v>2.7294334757832993E-3</v>
      </c>
      <c r="G45" s="298">
        <f t="shared" ref="G45" si="158">SUM(G35:G44)</f>
        <v>9.2485625999999996</v>
      </c>
      <c r="H45" s="182">
        <f t="shared" si="2"/>
        <v>7.8288258981515854E-3</v>
      </c>
      <c r="I45" s="300">
        <f t="shared" si="157"/>
        <v>9.2485625999999996</v>
      </c>
      <c r="J45" s="182">
        <f t="shared" si="3"/>
        <v>7.8288258981515854E-3</v>
      </c>
      <c r="K45" s="298">
        <f t="shared" ref="K45" si="159">SUM(K35:K44)</f>
        <v>22.272209400000001</v>
      </c>
      <c r="L45" s="301">
        <f t="shared" ref="L45" si="160">SUM(L35:L44)</f>
        <v>6.6741001449115572E-3</v>
      </c>
      <c r="M45" s="300">
        <f t="shared" si="157"/>
        <v>22.272209400000001</v>
      </c>
      <c r="N45" s="301">
        <f t="shared" ref="N45" si="161">SUM(N35:N44)</f>
        <v>6.6741001449115572E-3</v>
      </c>
      <c r="O45" s="298">
        <f t="shared" ref="O45" si="162">SUM(O35:O44)</f>
        <v>-9.7000000000000003E-6</v>
      </c>
      <c r="P45" s="182">
        <f t="shared" si="4"/>
        <v>-1.035450438257216E-8</v>
      </c>
      <c r="Q45" s="300">
        <f t="shared" si="157"/>
        <v>-9.7000000000000003E-6</v>
      </c>
      <c r="R45" s="182">
        <f t="shared" si="5"/>
        <v>-1.035450438257216E-8</v>
      </c>
      <c r="S45" s="298">
        <f t="shared" ref="S45" si="163">SUM(S35:S44)</f>
        <v>9.858E-4</v>
      </c>
      <c r="T45" s="182">
        <f t="shared" si="6"/>
        <v>2.0214883846175583E-5</v>
      </c>
      <c r="U45" s="302">
        <f t="shared" si="157"/>
        <v>9.858E-4</v>
      </c>
      <c r="V45" s="182">
        <f t="shared" si="7"/>
        <v>2.0214883846175583E-5</v>
      </c>
      <c r="W45" s="298">
        <f t="shared" ref="W45" si="164">SUM(W35:W44)</f>
        <v>0.45000480000000004</v>
      </c>
      <c r="X45" s="182">
        <f t="shared" si="8"/>
        <v>6.0430904170113335E-3</v>
      </c>
      <c r="Y45" s="300">
        <f t="shared" si="157"/>
        <v>0.45000480000000004</v>
      </c>
      <c r="Z45" s="182">
        <f t="shared" si="9"/>
        <v>6.0430904170113335E-3</v>
      </c>
      <c r="AA45" s="304">
        <f t="shared" si="157"/>
        <v>0</v>
      </c>
      <c r="AB45" s="298">
        <f t="shared" si="157"/>
        <v>41.080173900000005</v>
      </c>
      <c r="AC45" s="182">
        <f t="shared" si="10"/>
        <v>7.8523627379761679E-3</v>
      </c>
      <c r="AD45" s="305">
        <f t="shared" si="132"/>
        <v>41.080173900000005</v>
      </c>
      <c r="AE45" s="182">
        <f t="shared" si="11"/>
        <v>7.8523627379761679E-3</v>
      </c>
      <c r="AF45" s="306"/>
      <c r="AG45" s="298">
        <f t="shared" ref="AG45" si="165">SUM(AG35:AG44)</f>
        <v>7.9999999999999996E-6</v>
      </c>
      <c r="AH45" s="182">
        <f t="shared" si="12"/>
        <v>2.1592810798077139E-8</v>
      </c>
      <c r="AI45" s="302">
        <f t="shared" ref="AI45:AJ45" si="166">SUM(AI35:AI44)</f>
        <v>7.9999999999999996E-6</v>
      </c>
      <c r="AJ45" s="303">
        <f t="shared" si="166"/>
        <v>2.1592810798077139E-8</v>
      </c>
      <c r="AK45" s="306"/>
      <c r="AL45" s="298">
        <f t="shared" ref="AL45" si="167">SUM(AL35:AL44)</f>
        <v>1.1702007000000001</v>
      </c>
      <c r="AM45" s="182">
        <f t="shared" si="13"/>
        <v>1.0281963005198181E-3</v>
      </c>
      <c r="AN45" s="300">
        <f>SUM(AN35:AN44)</f>
        <v>1.1702007000000001</v>
      </c>
      <c r="AO45" s="303">
        <f>SUM(AO35:AO44)</f>
        <v>1.0281963005198181E-3</v>
      </c>
      <c r="AP45" s="547"/>
      <c r="AQ45" s="298">
        <f t="shared" ref="AQ45" si="168">SUM(AQ35:AQ44)</f>
        <v>-8.4800000000000001E-5</v>
      </c>
      <c r="AR45" s="182">
        <f t="shared" si="14"/>
        <v>-4.6295473697853055E-8</v>
      </c>
      <c r="AS45" s="302">
        <f t="shared" ref="AS45:AX45" si="169">SUM(AS35:AS44)</f>
        <v>-8.4800000000000001E-5</v>
      </c>
      <c r="AT45" s="303">
        <f t="shared" si="169"/>
        <v>-4.6295473697853055E-8</v>
      </c>
      <c r="AU45" s="298">
        <f t="shared" ref="AU45" si="170">SUM(AU35:AU44)</f>
        <v>1.0200000000000001E-5</v>
      </c>
      <c r="AV45" s="301">
        <f t="shared" ref="AV45" si="171">SUM(AV35:AV44)</f>
        <v>3.0565365229593202E-9</v>
      </c>
      <c r="AW45" s="299">
        <f t="shared" si="169"/>
        <v>1.0200000000000001E-5</v>
      </c>
      <c r="AX45" s="303">
        <f t="shared" si="169"/>
        <v>1.1987954265205585E-8</v>
      </c>
      <c r="AY45" s="307"/>
      <c r="AZ45" s="298">
        <f t="shared" ref="AZ45" si="172">SUM(AZ35:AZ44)</f>
        <v>-7.4599999999999997E-5</v>
      </c>
      <c r="BA45" s="182">
        <f t="shared" si="15"/>
        <v>-2.7809187963573733E-8</v>
      </c>
      <c r="BB45" s="307">
        <f>SUM(BB35:BB44)</f>
        <v>-7.4599999999999997E-5</v>
      </c>
      <c r="BC45" s="303">
        <f>SUM(BC35:BC44)</f>
        <v>-2.7809187963573733E-8</v>
      </c>
      <c r="BD45" s="308"/>
      <c r="BE45" s="298">
        <f t="shared" ref="BE45" si="173">SUM(BE35:BE44)</f>
        <v>0.23995269999999999</v>
      </c>
      <c r="BF45" s="182">
        <f t="shared" si="16"/>
        <v>1.2601125123794411E-4</v>
      </c>
      <c r="BG45" s="302">
        <f t="shared" ref="BG45:BO45" si="174">SUM(BG35:BG44)</f>
        <v>0.23995269999999999</v>
      </c>
      <c r="BH45" s="303">
        <f t="shared" si="174"/>
        <v>1.2601125123794411E-4</v>
      </c>
      <c r="BI45" s="298">
        <f t="shared" ref="BI45" si="175">SUM(BI35:BI44)</f>
        <v>-1.3500000000000001E-5</v>
      </c>
      <c r="BJ45" s="182">
        <f t="shared" si="17"/>
        <v>-6.965725560164947E-7</v>
      </c>
      <c r="BK45" s="302">
        <f t="shared" si="174"/>
        <v>-1.3500000000000001E-5</v>
      </c>
      <c r="BL45" s="303">
        <f t="shared" si="174"/>
        <v>-6.965725560164947E-7</v>
      </c>
      <c r="BM45" s="298">
        <f t="shared" ref="BM45" si="176">SUM(BM35:BM44)</f>
        <v>7.6170000000000002E-2</v>
      </c>
      <c r="BN45" s="301">
        <f t="shared" ref="BN45" si="177">SUM(BN35:BN44)</f>
        <v>2.2825135975863865E-5</v>
      </c>
      <c r="BO45" s="300">
        <f t="shared" si="174"/>
        <v>7.6170000000000002E-2</v>
      </c>
      <c r="BP45" s="301">
        <f t="shared" ref="BP45" si="178">SUM(BP35:BP44)</f>
        <v>2.2825135975863865E-5</v>
      </c>
      <c r="BQ45" s="309"/>
      <c r="BR45" s="298">
        <f t="shared" ref="BR45" si="179">SUM(BR35:BR44)</f>
        <v>0.31610919999999998</v>
      </c>
      <c r="BS45" s="182">
        <f t="shared" si="18"/>
        <v>1.7149552649214521E-4</v>
      </c>
      <c r="BT45" s="183">
        <f t="shared" si="19"/>
        <v>0.31610919999999998</v>
      </c>
      <c r="BU45" s="182">
        <f t="shared" si="20"/>
        <v>1.7149552649214518E-4</v>
      </c>
      <c r="BV45" s="308"/>
      <c r="BW45" s="298">
        <f t="shared" ref="BW45" si="180">SUM(BW35:BW44)</f>
        <v>1.9102459999999999</v>
      </c>
      <c r="BX45" s="182">
        <f t="shared" si="21"/>
        <v>1.118177903267165E-3</v>
      </c>
      <c r="BY45" s="302">
        <f t="shared" ref="BY45:CC45" si="181">SUM(BY35:BY44)</f>
        <v>1.9102459999999999</v>
      </c>
      <c r="BZ45" s="182">
        <f t="shared" si="22"/>
        <v>1.118177903267165E-3</v>
      </c>
      <c r="CA45" s="308"/>
      <c r="CB45" s="298">
        <f t="shared" ref="CB45" si="182">SUM(CB35:CB44)</f>
        <v>2.69</v>
      </c>
      <c r="CC45" s="305">
        <f t="shared" si="181"/>
        <v>2.69</v>
      </c>
      <c r="CD45" s="306"/>
      <c r="CE45" s="305">
        <f t="shared" si="155"/>
        <v>44.476663200000011</v>
      </c>
      <c r="CF45" s="182">
        <f t="shared" si="23"/>
        <v>8.3080769941450885E-3</v>
      </c>
      <c r="CG45" s="305">
        <f t="shared" si="156"/>
        <v>44.476663200000011</v>
      </c>
      <c r="CH45" s="182">
        <f t="shared" si="24"/>
        <v>8.3080769941450885E-3</v>
      </c>
    </row>
    <row r="46" spans="1:86" s="23" customFormat="1" ht="16" thickBot="1" x14ac:dyDescent="0.4">
      <c r="A46" s="281"/>
      <c r="B46" s="282" t="s">
        <v>476</v>
      </c>
      <c r="C46" s="165">
        <f>C25+C28+C33+C45</f>
        <v>3337.1104592999995</v>
      </c>
      <c r="D46" s="167">
        <f>D25+D28+D33+D45</f>
        <v>1.0000000000000002</v>
      </c>
      <c r="E46" s="166">
        <f>E25+E28+E33+E45</f>
        <v>3337.1104592999995</v>
      </c>
      <c r="F46" s="182">
        <f t="shared" si="1"/>
        <v>1</v>
      </c>
      <c r="G46" s="165">
        <f>G25+G28+G33+G45</f>
        <v>1181.3473336</v>
      </c>
      <c r="H46" s="182">
        <f t="shared" si="2"/>
        <v>1</v>
      </c>
      <c r="I46" s="166">
        <f t="shared" ref="I46:AA46" si="183">I25+I28+I33+I45</f>
        <v>1181.3473336</v>
      </c>
      <c r="J46" s="182">
        <f t="shared" si="3"/>
        <v>1</v>
      </c>
      <c r="K46" s="165">
        <f>K25+K28+K33+K45</f>
        <v>41.319301199999998</v>
      </c>
      <c r="L46" s="167">
        <f>L25+L28+L33+L45</f>
        <v>1.2381760119701653E-2</v>
      </c>
      <c r="M46" s="166">
        <f t="shared" si="183"/>
        <v>41.319301199999998</v>
      </c>
      <c r="N46" s="167">
        <f>N25+N28+N33+N45</f>
        <v>1.2381760119701653E-2</v>
      </c>
      <c r="O46" s="165">
        <f>O25+O28+O33+O45</f>
        <v>936.79037080000012</v>
      </c>
      <c r="P46" s="182">
        <f t="shared" si="4"/>
        <v>1</v>
      </c>
      <c r="Q46" s="166">
        <f t="shared" si="183"/>
        <v>936.79037080000012</v>
      </c>
      <c r="R46" s="182">
        <f t="shared" si="5"/>
        <v>1</v>
      </c>
      <c r="S46" s="165">
        <f>S25+S28+S33+S45</f>
        <v>48.766048200000007</v>
      </c>
      <c r="T46" s="182">
        <f t="shared" si="6"/>
        <v>1</v>
      </c>
      <c r="U46" s="168">
        <f t="shared" si="183"/>
        <v>48.766048200000007</v>
      </c>
      <c r="V46" s="182">
        <f t="shared" si="7"/>
        <v>1</v>
      </c>
      <c r="W46" s="165">
        <f>W25+W28+W33+W45</f>
        <v>74.466004800000007</v>
      </c>
      <c r="X46" s="182">
        <f t="shared" si="8"/>
        <v>1</v>
      </c>
      <c r="Y46" s="166">
        <f t="shared" si="183"/>
        <v>74.466004800000007</v>
      </c>
      <c r="Z46" s="182">
        <f t="shared" si="9"/>
        <v>1</v>
      </c>
      <c r="AA46" s="170">
        <f t="shared" si="183"/>
        <v>388.23097340000004</v>
      </c>
      <c r="AB46" s="165">
        <f>AB25+AB28+AB33+AB45</f>
        <v>5231.568544499999</v>
      </c>
      <c r="AC46" s="182">
        <f t="shared" si="10"/>
        <v>1</v>
      </c>
      <c r="AD46" s="168">
        <f t="shared" ref="AD46" si="184">AD25+AD28+AD33+AD45</f>
        <v>5231.568544499999</v>
      </c>
      <c r="AE46" s="182">
        <f t="shared" si="11"/>
        <v>1</v>
      </c>
      <c r="AF46" s="511">
        <f>AG46/$AG$1*10^5</f>
        <v>100.80665282218844</v>
      </c>
      <c r="AG46" s="165">
        <f>AG25+AG28+AG33+AG45</f>
        <v>370.49368305086097</v>
      </c>
      <c r="AH46" s="182">
        <f t="shared" si="12"/>
        <v>1</v>
      </c>
      <c r="AI46" s="168">
        <f t="shared" ref="AI46:AJ46" si="185">AI25+AI28+AI33+AI45</f>
        <v>370.49368305086097</v>
      </c>
      <c r="AJ46" s="169">
        <f t="shared" si="185"/>
        <v>1</v>
      </c>
      <c r="AK46" s="437">
        <f>AL46/$AL$1*10^5</f>
        <v>257.71022469340426</v>
      </c>
      <c r="AL46" s="165">
        <f>AL25+AL28+AL33+AL45</f>
        <v>1138.1102026999997</v>
      </c>
      <c r="AM46" s="182">
        <f t="shared" si="13"/>
        <v>1</v>
      </c>
      <c r="AN46" s="166">
        <f>AN25+AN28+AN33+AN45</f>
        <v>1138.1102026999997</v>
      </c>
      <c r="AO46" s="169">
        <f>AO25+AO28+AO33+AO45</f>
        <v>1.0000000000000002</v>
      </c>
      <c r="AP46" s="546">
        <f>AQ46/$AQ$1*10^5</f>
        <v>306.80667410912446</v>
      </c>
      <c r="AQ46" s="165">
        <f>AQ25+AQ28+AQ33+AQ45</f>
        <v>1831.7125461000001</v>
      </c>
      <c r="AR46" s="182">
        <f t="shared" si="14"/>
        <v>1</v>
      </c>
      <c r="AS46" s="168">
        <f t="shared" ref="AS46:AX46" si="186">AS25+AS28+AS33+AS45</f>
        <v>1831.7125461000001</v>
      </c>
      <c r="AT46" s="169">
        <f t="shared" si="186"/>
        <v>1</v>
      </c>
      <c r="AU46" s="165">
        <f>AU25+AU28+AU33+AU45</f>
        <v>850.85409689999994</v>
      </c>
      <c r="AV46" s="167">
        <f>AV25+AV28+AV33+AV45</f>
        <v>0.25295009713019606</v>
      </c>
      <c r="AW46" s="168">
        <f t="shared" si="186"/>
        <v>850.85409689999994</v>
      </c>
      <c r="AX46" s="169">
        <f t="shared" si="186"/>
        <v>1</v>
      </c>
      <c r="AY46" s="172"/>
      <c r="AZ46" s="165">
        <f>AZ25+AZ28+AZ33+AZ45</f>
        <v>2682.5666430000001</v>
      </c>
      <c r="BA46" s="182">
        <f t="shared" si="15"/>
        <v>1</v>
      </c>
      <c r="BB46" s="172">
        <f>BB25+BB28+BB33+BB45</f>
        <v>2682.5666430000001</v>
      </c>
      <c r="BC46" s="169">
        <f>BC25+BC28+BC33+BC45</f>
        <v>0.99999999999999989</v>
      </c>
      <c r="BD46" s="173"/>
      <c r="BE46" s="165">
        <f>BE25+BE28+BE33+BE45</f>
        <v>1904.2164699000002</v>
      </c>
      <c r="BF46" s="182">
        <f t="shared" si="16"/>
        <v>1</v>
      </c>
      <c r="BG46" s="168">
        <f t="shared" ref="BG46:CC46" si="187">BG25+BG28+BG33+BG45</f>
        <v>1904.2164699000002</v>
      </c>
      <c r="BH46" s="169">
        <f t="shared" si="187"/>
        <v>0.99999999999999989</v>
      </c>
      <c r="BI46" s="165">
        <f>BI25+BI28+BI33+BI45</f>
        <v>19.380608499999997</v>
      </c>
      <c r="BJ46" s="182">
        <f t="shared" si="17"/>
        <v>1</v>
      </c>
      <c r="BK46" s="210">
        <f t="shared" si="187"/>
        <v>19.380608499999997</v>
      </c>
      <c r="BL46" s="174">
        <f t="shared" si="187"/>
        <v>1</v>
      </c>
      <c r="BM46" s="165">
        <f>BM25+BM28+BM33+BM45</f>
        <v>7.6170000000000002E-2</v>
      </c>
      <c r="BN46" s="167">
        <f>BN25+BN28+BN33+BN45</f>
        <v>2.2825135975863865E-5</v>
      </c>
      <c r="BO46" s="166">
        <f t="shared" si="187"/>
        <v>7.6170000000000002E-2</v>
      </c>
      <c r="BP46" s="167">
        <f>BP25+BP28+BP33+BP45</f>
        <v>2.2825135975863865E-5</v>
      </c>
      <c r="BQ46" s="175">
        <f t="shared" si="187"/>
        <v>80.422835599999999</v>
      </c>
      <c r="BR46" s="165">
        <f>BR25+BR28+BR33+BR45</f>
        <v>1843.2504128</v>
      </c>
      <c r="BS46" s="182">
        <f t="shared" si="18"/>
        <v>1</v>
      </c>
      <c r="BT46" s="183">
        <f t="shared" si="19"/>
        <v>1843.2504128000003</v>
      </c>
      <c r="BU46" s="182">
        <f t="shared" si="20"/>
        <v>1</v>
      </c>
      <c r="BV46" s="173"/>
      <c r="BW46" s="165">
        <f>BW25+BW28+BW33+BW45</f>
        <v>1708.3560625</v>
      </c>
      <c r="BX46" s="182">
        <f t="shared" si="21"/>
        <v>1</v>
      </c>
      <c r="BY46" s="168">
        <f t="shared" ref="BY46" si="188">BY25+BY28+BY33+BY45</f>
        <v>1708.3560625</v>
      </c>
      <c r="BZ46" s="182">
        <f t="shared" si="22"/>
        <v>1</v>
      </c>
      <c r="CA46" s="159"/>
      <c r="CB46" s="165">
        <f>CB25+CB28+CB33+CB45</f>
        <v>7623.6110158528782</v>
      </c>
      <c r="CC46" s="520">
        <f t="shared" si="187"/>
        <v>7623.6110158528782</v>
      </c>
      <c r="CD46" s="528"/>
      <c r="CE46" s="171">
        <f>CE25+CE28+CE33+CE45</f>
        <v>5353.4245326979808</v>
      </c>
      <c r="CF46" s="182">
        <f t="shared" si="23"/>
        <v>1</v>
      </c>
      <c r="CG46" s="168">
        <f>CG25+CG28+CG33+CG45</f>
        <v>5353.4245326979808</v>
      </c>
      <c r="CH46" s="182">
        <f t="shared" si="24"/>
        <v>1</v>
      </c>
    </row>
    <row r="47" spans="1:86" x14ac:dyDescent="0.35">
      <c r="B47" s="85"/>
      <c r="C47" s="136"/>
      <c r="D47" s="402"/>
      <c r="E47" s="134"/>
      <c r="F47" s="182">
        <f t="shared" si="1"/>
        <v>0</v>
      </c>
      <c r="G47" s="136"/>
      <c r="H47" s="182">
        <f t="shared" si="2"/>
        <v>0</v>
      </c>
      <c r="I47" s="134"/>
      <c r="J47" s="182">
        <f t="shared" si="3"/>
        <v>0</v>
      </c>
      <c r="K47" s="136"/>
      <c r="L47" s="402"/>
      <c r="M47" s="134"/>
      <c r="N47" s="402"/>
      <c r="O47" s="136"/>
      <c r="P47" s="182">
        <f t="shared" si="4"/>
        <v>0</v>
      </c>
      <c r="Q47" s="134"/>
      <c r="R47" s="182">
        <f t="shared" si="5"/>
        <v>0</v>
      </c>
      <c r="S47" s="136"/>
      <c r="T47" s="182">
        <f t="shared" si="6"/>
        <v>0</v>
      </c>
      <c r="U47" s="131"/>
      <c r="V47" s="182">
        <f t="shared" si="7"/>
        <v>0</v>
      </c>
      <c r="W47" s="136"/>
      <c r="X47" s="182">
        <f t="shared" si="8"/>
        <v>0</v>
      </c>
      <c r="Y47" s="134"/>
      <c r="Z47" s="182">
        <f t="shared" si="9"/>
        <v>0</v>
      </c>
      <c r="AA47" s="176"/>
      <c r="AB47" s="136"/>
      <c r="AC47" s="182">
        <f t="shared" si="10"/>
        <v>0</v>
      </c>
      <c r="AD47" s="131"/>
      <c r="AE47" s="182">
        <f t="shared" si="11"/>
        <v>0</v>
      </c>
      <c r="AF47" s="177"/>
      <c r="AG47" s="136"/>
      <c r="AH47" s="182">
        <f t="shared" si="12"/>
        <v>0</v>
      </c>
      <c r="AI47" s="131"/>
      <c r="AJ47" s="132"/>
      <c r="AK47" s="139"/>
      <c r="AL47" s="136"/>
      <c r="AM47" s="182">
        <f t="shared" si="13"/>
        <v>0</v>
      </c>
      <c r="AN47" s="134"/>
      <c r="AO47" s="132"/>
      <c r="AP47" s="139"/>
      <c r="AQ47" s="136"/>
      <c r="AR47" s="182">
        <f t="shared" si="14"/>
        <v>0</v>
      </c>
      <c r="AS47" s="131">
        <f>(AS46-AQ46)/11</f>
        <v>0</v>
      </c>
      <c r="AT47" s="132"/>
      <c r="AU47" s="136"/>
      <c r="AV47" s="402"/>
      <c r="AW47" s="131"/>
      <c r="AX47" s="132"/>
      <c r="AY47" s="142"/>
      <c r="AZ47" s="136"/>
      <c r="BA47" s="182">
        <f t="shared" si="15"/>
        <v>0</v>
      </c>
      <c r="BB47" s="143"/>
      <c r="BC47" s="132"/>
      <c r="BD47" s="178"/>
      <c r="BE47" s="136"/>
      <c r="BF47" s="182">
        <f t="shared" si="16"/>
        <v>0</v>
      </c>
      <c r="BG47" s="131"/>
      <c r="BH47" s="132"/>
      <c r="BI47" s="136"/>
      <c r="BJ47" s="182">
        <f t="shared" si="17"/>
        <v>0</v>
      </c>
      <c r="BK47" s="145"/>
      <c r="BL47" s="141"/>
      <c r="BM47" s="136"/>
      <c r="BN47" s="402"/>
      <c r="BO47" s="134"/>
      <c r="BP47" s="402"/>
      <c r="BQ47" s="147"/>
      <c r="BR47" s="136"/>
      <c r="BS47" s="182">
        <f t="shared" si="18"/>
        <v>0</v>
      </c>
      <c r="BT47" s="183">
        <f t="shared" si="19"/>
        <v>0</v>
      </c>
      <c r="BU47" s="182">
        <f t="shared" si="20"/>
        <v>0</v>
      </c>
      <c r="BV47" s="144"/>
      <c r="BW47" s="136"/>
      <c r="BX47" s="182">
        <f t="shared" si="21"/>
        <v>0</v>
      </c>
      <c r="BY47" s="131"/>
      <c r="BZ47" s="182">
        <f t="shared" si="22"/>
        <v>0</v>
      </c>
      <c r="CA47" s="178"/>
      <c r="CB47" s="136"/>
      <c r="CC47" s="521"/>
      <c r="CD47" s="139"/>
      <c r="CE47" s="129"/>
      <c r="CF47" s="182">
        <f t="shared" si="23"/>
        <v>0</v>
      </c>
      <c r="CG47" s="131"/>
      <c r="CH47" s="182">
        <f t="shared" si="24"/>
        <v>0</v>
      </c>
    </row>
    <row r="48" spans="1:86" x14ac:dyDescent="0.35">
      <c r="B48" s="86" t="s">
        <v>526</v>
      </c>
      <c r="C48" s="136"/>
      <c r="D48" s="402"/>
      <c r="E48" s="134"/>
      <c r="F48" s="182">
        <f t="shared" si="1"/>
        <v>0</v>
      </c>
      <c r="G48" s="136"/>
      <c r="H48" s="182">
        <f t="shared" si="2"/>
        <v>0</v>
      </c>
      <c r="I48" s="134"/>
      <c r="J48" s="182">
        <f t="shared" si="3"/>
        <v>0</v>
      </c>
      <c r="K48" s="136"/>
      <c r="L48" s="402"/>
      <c r="M48" s="134"/>
      <c r="N48" s="402"/>
      <c r="O48" s="136"/>
      <c r="P48" s="182">
        <f t="shared" si="4"/>
        <v>0</v>
      </c>
      <c r="Q48" s="134"/>
      <c r="R48" s="182">
        <f t="shared" si="5"/>
        <v>0</v>
      </c>
      <c r="S48" s="136"/>
      <c r="T48" s="182">
        <f t="shared" si="6"/>
        <v>0</v>
      </c>
      <c r="U48" s="131"/>
      <c r="V48" s="182">
        <f t="shared" si="7"/>
        <v>0</v>
      </c>
      <c r="W48" s="136"/>
      <c r="X48" s="182">
        <f t="shared" si="8"/>
        <v>0</v>
      </c>
      <c r="Y48" s="134"/>
      <c r="Z48" s="182">
        <f t="shared" si="9"/>
        <v>0</v>
      </c>
      <c r="AA48" s="176"/>
      <c r="AB48" s="136"/>
      <c r="AC48" s="182">
        <f t="shared" si="10"/>
        <v>0</v>
      </c>
      <c r="AD48" s="131"/>
      <c r="AE48" s="182">
        <f t="shared" si="11"/>
        <v>0</v>
      </c>
      <c r="AF48" s="139"/>
      <c r="AG48" s="136"/>
      <c r="AH48" s="182">
        <f t="shared" si="12"/>
        <v>0</v>
      </c>
      <c r="AI48" s="131"/>
      <c r="AJ48" s="132"/>
      <c r="AK48" s="139"/>
      <c r="AL48" s="136"/>
      <c r="AM48" s="182">
        <f t="shared" si="13"/>
        <v>0</v>
      </c>
      <c r="AN48" s="134"/>
      <c r="AO48" s="132"/>
      <c r="AP48" s="139"/>
      <c r="AQ48" s="136"/>
      <c r="AR48" s="182">
        <f t="shared" si="14"/>
        <v>0</v>
      </c>
      <c r="AS48" s="131"/>
      <c r="AT48" s="132"/>
      <c r="AU48" s="136"/>
      <c r="AV48" s="402"/>
      <c r="AW48" s="131"/>
      <c r="AX48" s="132"/>
      <c r="AY48" s="142"/>
      <c r="AZ48" s="136"/>
      <c r="BA48" s="182">
        <f t="shared" si="15"/>
        <v>0</v>
      </c>
      <c r="BB48" s="143"/>
      <c r="BC48" s="132"/>
      <c r="BD48" s="144"/>
      <c r="BE48" s="136"/>
      <c r="BF48" s="182">
        <f t="shared" si="16"/>
        <v>0</v>
      </c>
      <c r="BG48" s="131"/>
      <c r="BH48" s="132"/>
      <c r="BI48" s="136"/>
      <c r="BJ48" s="182">
        <f t="shared" si="17"/>
        <v>0</v>
      </c>
      <c r="BK48" s="131"/>
      <c r="BL48" s="132"/>
      <c r="BM48" s="136"/>
      <c r="BN48" s="402"/>
      <c r="BO48" s="134"/>
      <c r="BP48" s="402"/>
      <c r="BQ48" s="147"/>
      <c r="BR48" s="136"/>
      <c r="BS48" s="182">
        <f t="shared" si="18"/>
        <v>0</v>
      </c>
      <c r="BT48" s="183">
        <f t="shared" si="19"/>
        <v>0</v>
      </c>
      <c r="BU48" s="182">
        <f t="shared" si="20"/>
        <v>0</v>
      </c>
      <c r="BV48" s="144"/>
      <c r="BW48" s="136"/>
      <c r="BX48" s="182">
        <f t="shared" si="21"/>
        <v>0</v>
      </c>
      <c r="BY48" s="131"/>
      <c r="BZ48" s="182">
        <f t="shared" si="22"/>
        <v>0</v>
      </c>
      <c r="CA48" s="178"/>
      <c r="CB48" s="136"/>
      <c r="CC48" s="521"/>
      <c r="CD48" s="139"/>
      <c r="CE48" s="129"/>
      <c r="CF48" s="182">
        <f t="shared" si="23"/>
        <v>0</v>
      </c>
      <c r="CG48" s="131"/>
      <c r="CH48" s="182">
        <f t="shared" si="24"/>
        <v>0</v>
      </c>
    </row>
    <row r="49" spans="1:86" s="204" customFormat="1" x14ac:dyDescent="0.35">
      <c r="B49" s="197" t="s">
        <v>462</v>
      </c>
      <c r="C49" s="180">
        <f t="shared" ref="C49:C52" si="189">E49</f>
        <v>2112.2049885445003</v>
      </c>
      <c r="D49" s="182">
        <f>C49/$C$46*100%</f>
        <v>0.63294428347677822</v>
      </c>
      <c r="E49" s="181">
        <f>E114</f>
        <v>2112.2049885445003</v>
      </c>
      <c r="F49" s="182">
        <f t="shared" si="1"/>
        <v>0.63294428347677822</v>
      </c>
      <c r="G49" s="180">
        <f t="shared" ref="G49:G52" si="190">I49</f>
        <v>792.68902752999998</v>
      </c>
      <c r="H49" s="182">
        <f t="shared" si="2"/>
        <v>0.67100420425412466</v>
      </c>
      <c r="I49" s="181">
        <f>I114</f>
        <v>792.68902752999998</v>
      </c>
      <c r="J49" s="182">
        <f t="shared" si="3"/>
        <v>0.67100420425412466</v>
      </c>
      <c r="K49" s="180">
        <f t="shared" ref="K49:K52" si="191">M49</f>
        <v>0</v>
      </c>
      <c r="L49" s="182">
        <f>K49/$C$46*100%</f>
        <v>0</v>
      </c>
      <c r="M49" s="181">
        <f>SUMIF('04.conso TB'!A:A,'Apr-26'!B49,'04.conso TB'!T:T)</f>
        <v>0</v>
      </c>
      <c r="N49" s="182">
        <f>M49/$C$46*100%</f>
        <v>0</v>
      </c>
      <c r="O49" s="180">
        <f t="shared" ref="O49:O52" si="192">Q49</f>
        <v>817.61483430118653</v>
      </c>
      <c r="P49" s="182">
        <f t="shared" si="4"/>
        <v>0.87278313247707695</v>
      </c>
      <c r="Q49" s="181">
        <f>Q114</f>
        <v>817.61483430118653</v>
      </c>
      <c r="R49" s="182">
        <f t="shared" si="5"/>
        <v>0.87278313247707695</v>
      </c>
      <c r="S49" s="180">
        <f t="shared" ref="S49:S52" si="193">U49</f>
        <v>0</v>
      </c>
      <c r="T49" s="182">
        <f t="shared" si="6"/>
        <v>0</v>
      </c>
      <c r="U49" s="181">
        <f>U114</f>
        <v>0</v>
      </c>
      <c r="V49" s="182">
        <f t="shared" si="7"/>
        <v>0</v>
      </c>
      <c r="W49" s="180">
        <f t="shared" ref="W49:W52" si="194">Y49</f>
        <v>38.661603800000002</v>
      </c>
      <c r="X49" s="182">
        <f t="shared" si="8"/>
        <v>0.51918461187540432</v>
      </c>
      <c r="Y49" s="181">
        <f>Y114</f>
        <v>38.661603800000002</v>
      </c>
      <c r="Z49" s="182">
        <f t="shared" si="9"/>
        <v>0.51918461187540432</v>
      </c>
      <c r="AA49" s="185">
        <f>AA23</f>
        <v>126.37645289999999</v>
      </c>
      <c r="AB49" s="180">
        <f t="shared" ref="AB49:AB52" si="195">AD49</f>
        <v>3634.7940012756872</v>
      </c>
      <c r="AC49" s="182">
        <f t="shared" si="10"/>
        <v>0.69478091902226591</v>
      </c>
      <c r="AD49" s="187">
        <f>E49+I49+M49+Q49+U49+Y49-AA49</f>
        <v>3634.7940012756872</v>
      </c>
      <c r="AE49" s="182">
        <f t="shared" si="11"/>
        <v>0.69478091902226591</v>
      </c>
      <c r="AF49" s="186"/>
      <c r="AG49" s="180">
        <f t="shared" ref="AG49:AG52" si="196">AI49</f>
        <v>78.173026530173004</v>
      </c>
      <c r="AH49" s="182">
        <f t="shared" si="12"/>
        <v>0.2109969214223863</v>
      </c>
      <c r="AI49" s="183">
        <f>AI114</f>
        <v>78.173026530173004</v>
      </c>
      <c r="AJ49" s="184">
        <f>AI49/$AI$46*100%</f>
        <v>0.2109969214223863</v>
      </c>
      <c r="AK49" s="186"/>
      <c r="AL49" s="180">
        <f t="shared" ref="AL49:AL52" si="197">AN49</f>
        <v>791.66180275060992</v>
      </c>
      <c r="AM49" s="182">
        <f t="shared" si="13"/>
        <v>0.69559327459898723</v>
      </c>
      <c r="AN49" s="181">
        <f>AN114</f>
        <v>791.66180275060992</v>
      </c>
      <c r="AO49" s="184">
        <f>AN49/$AN$46*100%</f>
        <v>0.69559327459898723</v>
      </c>
      <c r="AP49" s="545"/>
      <c r="AQ49" s="180">
        <f t="shared" ref="AQ49:AQ52" si="198">AS49</f>
        <v>1241.7622261280003</v>
      </c>
      <c r="AR49" s="182">
        <f t="shared" si="14"/>
        <v>0.67792418017330536</v>
      </c>
      <c r="AS49" s="183">
        <f>AS114</f>
        <v>1241.7622261280003</v>
      </c>
      <c r="AT49" s="184">
        <f>AS49/$AS$46*100%</f>
        <v>0.67792418017330536</v>
      </c>
      <c r="AU49" s="180">
        <f t="shared" ref="AU49:AU52" si="199">AW49</f>
        <v>544.86417453333456</v>
      </c>
      <c r="AV49" s="182">
        <f>AU49/$C$46*100%</f>
        <v>0.16327424014835476</v>
      </c>
      <c r="AW49" s="183">
        <f>AW114</f>
        <v>544.86417453333456</v>
      </c>
      <c r="AX49" s="184">
        <f>AW49/$AW$46*100%</f>
        <v>0.6403732161818243</v>
      </c>
      <c r="AY49" s="189">
        <f>AY23</f>
        <v>0</v>
      </c>
      <c r="AZ49" s="180">
        <f t="shared" ref="AZ49:AZ52" si="200">BB49</f>
        <v>1786.6264006613349</v>
      </c>
      <c r="BA49" s="182">
        <f t="shared" si="15"/>
        <v>0.66601379888303291</v>
      </c>
      <c r="BB49" s="190">
        <f t="shared" ref="BB49:BB52" si="201">AS49+AW49</f>
        <v>1786.6264006613349</v>
      </c>
      <c r="BC49" s="184">
        <f>BB49/$BB$46*100%</f>
        <v>0.66601379888303291</v>
      </c>
      <c r="BD49" s="191"/>
      <c r="BE49" s="180">
        <f t="shared" ref="BE49:BE52" si="202">BG49</f>
        <v>1139.5646129000002</v>
      </c>
      <c r="BF49" s="182">
        <f t="shared" si="16"/>
        <v>0.59844278784115568</v>
      </c>
      <c r="BG49" s="183">
        <f>BG114</f>
        <v>1139.5646129000002</v>
      </c>
      <c r="BH49" s="184">
        <f>BG49/$BG$46*100%</f>
        <v>0.59844278784115568</v>
      </c>
      <c r="BI49" s="180">
        <f t="shared" ref="BI49:BI52" si="203">BK49</f>
        <v>3.5611134000000035</v>
      </c>
      <c r="BJ49" s="182">
        <f t="shared" si="17"/>
        <v>0.18374621209648831</v>
      </c>
      <c r="BK49" s="183">
        <f>BK114</f>
        <v>3.5611134000000035</v>
      </c>
      <c r="BL49" s="184">
        <f>BK49/$BK$46*100%</f>
        <v>0.18374621209648831</v>
      </c>
      <c r="BM49" s="180">
        <f t="shared" ref="BM49:BM52" si="204">BO49</f>
        <v>0</v>
      </c>
      <c r="BN49" s="182">
        <f>BM49/$C$46*100%</f>
        <v>0</v>
      </c>
      <c r="BO49" s="181">
        <f>BO114</f>
        <v>0</v>
      </c>
      <c r="BP49" s="182">
        <f>BO49/$C$46*100%</f>
        <v>0</v>
      </c>
      <c r="BQ49" s="344">
        <f>BQ23</f>
        <v>0</v>
      </c>
      <c r="BR49" s="180">
        <f t="shared" ref="BR49:BR52" si="205">BT49</f>
        <v>1143.1257263000002</v>
      </c>
      <c r="BS49" s="182">
        <f t="shared" si="18"/>
        <v>0.62016843634584007</v>
      </c>
      <c r="BT49" s="183">
        <f t="shared" si="19"/>
        <v>1143.1257263000002</v>
      </c>
      <c r="BU49" s="182">
        <f t="shared" si="20"/>
        <v>0.62016843634583996</v>
      </c>
      <c r="BV49" s="191"/>
      <c r="BW49" s="180">
        <f t="shared" ref="BW49:BW52" si="206">BY49</f>
        <v>1653.6819688999999</v>
      </c>
      <c r="BX49" s="182">
        <f t="shared" si="21"/>
        <v>0.96799607833510404</v>
      </c>
      <c r="BY49" s="183">
        <f>BY114</f>
        <v>1653.6819688999999</v>
      </c>
      <c r="BZ49" s="182">
        <f t="shared" si="22"/>
        <v>0.96799607833510404</v>
      </c>
      <c r="CA49" s="191"/>
      <c r="CB49" s="180">
        <f>+CC49</f>
        <v>7093.940180094879</v>
      </c>
      <c r="CC49" s="346">
        <f>CC25</f>
        <v>7093.940180094879</v>
      </c>
      <c r="CD49" s="186"/>
      <c r="CE49" s="187">
        <f>AB49+AG49+AL49+AZ49+BR49+BW49-CB49</f>
        <v>1994.122746322927</v>
      </c>
      <c r="CF49" s="182">
        <f t="shared" si="23"/>
        <v>0.37249478985705309</v>
      </c>
      <c r="CG49" s="187">
        <f>AD49+AI49+AN49+BB49+BT49+BY49-CC49</f>
        <v>1994.122746322927</v>
      </c>
      <c r="CH49" s="182">
        <f t="shared" si="24"/>
        <v>0.37249478985705309</v>
      </c>
    </row>
    <row r="50" spans="1:86" s="204" customFormat="1" x14ac:dyDescent="0.35">
      <c r="B50" s="197" t="s">
        <v>475</v>
      </c>
      <c r="C50" s="180">
        <f t="shared" si="189"/>
        <v>0.25</v>
      </c>
      <c r="D50" s="182">
        <f>C50/$C$46*100%</f>
        <v>7.4915110856846079E-5</v>
      </c>
      <c r="E50" s="181">
        <f>E124</f>
        <v>0.25</v>
      </c>
      <c r="F50" s="182">
        <f t="shared" si="1"/>
        <v>7.4915110856846079E-5</v>
      </c>
      <c r="G50" s="180">
        <f t="shared" si="190"/>
        <v>0.32596000000000003</v>
      </c>
      <c r="H50" s="182">
        <f t="shared" si="2"/>
        <v>2.7592223787959125E-4</v>
      </c>
      <c r="I50" s="181">
        <f>I124</f>
        <v>0.32596000000000003</v>
      </c>
      <c r="J50" s="182">
        <f t="shared" si="3"/>
        <v>2.7592223787959125E-4</v>
      </c>
      <c r="K50" s="180">
        <f t="shared" si="191"/>
        <v>0</v>
      </c>
      <c r="L50" s="182">
        <f>K50/$C$46*100%</f>
        <v>0</v>
      </c>
      <c r="M50" s="181">
        <f>SUMIF('04.conso TB'!A:A,'Apr-26'!B50,'04.conso TB'!T:T)</f>
        <v>0</v>
      </c>
      <c r="N50" s="182">
        <f>M50/$C$46*100%</f>
        <v>0</v>
      </c>
      <c r="O50" s="180">
        <f t="shared" si="192"/>
        <v>15.4331672</v>
      </c>
      <c r="P50" s="182">
        <f t="shared" si="4"/>
        <v>1.6474515196842156E-2</v>
      </c>
      <c r="Q50" s="181">
        <f>Q124</f>
        <v>15.4331672</v>
      </c>
      <c r="R50" s="182">
        <f t="shared" si="5"/>
        <v>1.6474515196842156E-2</v>
      </c>
      <c r="S50" s="180">
        <f t="shared" si="193"/>
        <v>48.769940499999997</v>
      </c>
      <c r="T50" s="182">
        <f t="shared" si="6"/>
        <v>1.0000798157764195</v>
      </c>
      <c r="U50" s="181">
        <f>U124</f>
        <v>48.769940499999997</v>
      </c>
      <c r="V50" s="182">
        <f t="shared" si="7"/>
        <v>1.0000798157764195</v>
      </c>
      <c r="W50" s="180">
        <f t="shared" si="194"/>
        <v>0</v>
      </c>
      <c r="X50" s="182">
        <f t="shared" si="8"/>
        <v>0</v>
      </c>
      <c r="Y50" s="181">
        <f>Y124</f>
        <v>0</v>
      </c>
      <c r="Z50" s="182">
        <f t="shared" si="9"/>
        <v>0</v>
      </c>
      <c r="AA50" s="185">
        <f>AA24</f>
        <v>261.85452050000004</v>
      </c>
      <c r="AB50" s="180">
        <f t="shared" si="195"/>
        <v>-197.07545280000005</v>
      </c>
      <c r="AC50" s="182">
        <f t="shared" si="10"/>
        <v>-3.7670433087833181E-2</v>
      </c>
      <c r="AD50" s="187">
        <f>E50+I50+M50+Q50+U50+Y50-AA50</f>
        <v>-197.07545280000005</v>
      </c>
      <c r="AE50" s="182">
        <f t="shared" si="11"/>
        <v>-3.7670433087833181E-2</v>
      </c>
      <c r="AF50" s="186"/>
      <c r="AG50" s="180">
        <f t="shared" si="196"/>
        <v>0</v>
      </c>
      <c r="AH50" s="182">
        <f t="shared" si="12"/>
        <v>0</v>
      </c>
      <c r="AI50" s="183">
        <f>AI124</f>
        <v>0</v>
      </c>
      <c r="AJ50" s="184">
        <f>AI50/$AI$46*100%</f>
        <v>0</v>
      </c>
      <c r="AK50" s="186"/>
      <c r="AL50" s="180">
        <f t="shared" si="197"/>
        <v>86.899665600000006</v>
      </c>
      <c r="AM50" s="182">
        <f t="shared" si="13"/>
        <v>7.6354350741996063E-2</v>
      </c>
      <c r="AN50" s="181">
        <f>AN124</f>
        <v>86.899665600000006</v>
      </c>
      <c r="AO50" s="184">
        <f>AN50/$AN$46*100%</f>
        <v>7.6354350741996063E-2</v>
      </c>
      <c r="AP50" s="545"/>
      <c r="AQ50" s="180">
        <f t="shared" si="198"/>
        <v>0</v>
      </c>
      <c r="AR50" s="182">
        <f t="shared" si="14"/>
        <v>0</v>
      </c>
      <c r="AS50" s="183">
        <f>AS124</f>
        <v>0</v>
      </c>
      <c r="AT50" s="184">
        <f>AS50/$AS$46*100%</f>
        <v>0</v>
      </c>
      <c r="AU50" s="180">
        <f t="shared" si="199"/>
        <v>0</v>
      </c>
      <c r="AV50" s="182">
        <f>AU50/$C$46*100%</f>
        <v>0</v>
      </c>
      <c r="AW50" s="183">
        <f>AW124</f>
        <v>0</v>
      </c>
      <c r="AX50" s="184">
        <f>AW50/$AW$46*100%</f>
        <v>0</v>
      </c>
      <c r="AY50" s="189">
        <f>AY24</f>
        <v>0</v>
      </c>
      <c r="AZ50" s="180">
        <f t="shared" si="200"/>
        <v>0</v>
      </c>
      <c r="BA50" s="182">
        <f t="shared" si="15"/>
        <v>0</v>
      </c>
      <c r="BB50" s="190">
        <f t="shared" si="201"/>
        <v>0</v>
      </c>
      <c r="BC50" s="184">
        <f>BB50/$BB$46*100%</f>
        <v>0</v>
      </c>
      <c r="BD50" s="191"/>
      <c r="BE50" s="180">
        <f t="shared" si="202"/>
        <v>416.00657999999999</v>
      </c>
      <c r="BF50" s="182">
        <f t="shared" si="16"/>
        <v>0.2184660129642963</v>
      </c>
      <c r="BG50" s="183">
        <f>BG124</f>
        <v>416.00657999999999</v>
      </c>
      <c r="BH50" s="184">
        <f>BG50/$BG$46*100%</f>
        <v>0.2184660129642963</v>
      </c>
      <c r="BI50" s="180">
        <f t="shared" si="203"/>
        <v>0</v>
      </c>
      <c r="BJ50" s="182">
        <f t="shared" si="17"/>
        <v>0</v>
      </c>
      <c r="BK50" s="183">
        <f>BK124</f>
        <v>0</v>
      </c>
      <c r="BL50" s="184">
        <f>BK50/$BK$46*100%</f>
        <v>0</v>
      </c>
      <c r="BM50" s="180">
        <f t="shared" si="204"/>
        <v>0</v>
      </c>
      <c r="BN50" s="182">
        <f>BM50/$C$46*100%</f>
        <v>0</v>
      </c>
      <c r="BO50" s="181">
        <f>BO124</f>
        <v>0</v>
      </c>
      <c r="BP50" s="182">
        <f>BO50/$C$46*100%</f>
        <v>0</v>
      </c>
      <c r="BQ50" s="344">
        <f>BQ24</f>
        <v>80.422835599999999</v>
      </c>
      <c r="BR50" s="180">
        <f t="shared" si="205"/>
        <v>335.5837444</v>
      </c>
      <c r="BS50" s="182">
        <f t="shared" si="18"/>
        <v>0.18206085405955755</v>
      </c>
      <c r="BT50" s="183">
        <f t="shared" si="19"/>
        <v>335.5837444</v>
      </c>
      <c r="BU50" s="182">
        <f t="shared" si="20"/>
        <v>0.18206085405955752</v>
      </c>
      <c r="BV50" s="191"/>
      <c r="BW50" s="180">
        <f t="shared" si="206"/>
        <v>0</v>
      </c>
      <c r="BX50" s="182">
        <f t="shared" si="21"/>
        <v>0</v>
      </c>
      <c r="BY50" s="183">
        <f>BY124</f>
        <v>0</v>
      </c>
      <c r="BZ50" s="182">
        <f t="shared" si="22"/>
        <v>0</v>
      </c>
      <c r="CA50" s="191"/>
      <c r="CB50" s="180">
        <f t="shared" ref="CB50:CB51" si="207">CD50</f>
        <v>0</v>
      </c>
      <c r="CC50" s="346"/>
      <c r="CD50" s="186"/>
      <c r="CE50" s="187">
        <f>AB50+AG50+AL50+AZ50+BR50+BW50</f>
        <v>225.40795719999994</v>
      </c>
      <c r="CF50" s="182">
        <f t="shared" si="23"/>
        <v>4.2105376815016096E-2</v>
      </c>
      <c r="CG50" s="187">
        <f>AD50+AI50+AN50+BB50+BT50+BY50</f>
        <v>225.40795719999994</v>
      </c>
      <c r="CH50" s="182">
        <f t="shared" si="24"/>
        <v>4.2105376815016096E-2</v>
      </c>
    </row>
    <row r="51" spans="1:86" s="204" customFormat="1" x14ac:dyDescent="0.35">
      <c r="B51" s="197" t="s">
        <v>478</v>
      </c>
      <c r="C51" s="180">
        <f t="shared" si="189"/>
        <v>66.68569229199943</v>
      </c>
      <c r="D51" s="182">
        <f>C51/$C$46*100%</f>
        <v>1.9983064122482654E-2</v>
      </c>
      <c r="E51" s="181">
        <f>E132</f>
        <v>66.68569229199943</v>
      </c>
      <c r="F51" s="182">
        <f t="shared" si="1"/>
        <v>1.9983064122482654E-2</v>
      </c>
      <c r="G51" s="180">
        <f t="shared" si="190"/>
        <v>-157.45983800000022</v>
      </c>
      <c r="H51" s="182">
        <f t="shared" si="2"/>
        <v>-0.13328835095446667</v>
      </c>
      <c r="I51" s="181">
        <f>I132</f>
        <v>-157.45983800000022</v>
      </c>
      <c r="J51" s="182">
        <f t="shared" si="3"/>
        <v>-0.13328835095446667</v>
      </c>
      <c r="K51" s="180">
        <f t="shared" si="191"/>
        <v>0</v>
      </c>
      <c r="L51" s="182">
        <f>K51/$C$46*100%</f>
        <v>0</v>
      </c>
      <c r="M51" s="181">
        <f>SUMIF('04.conso TB'!A:A,'Apr-26'!B51,'04.conso TB'!T:T)</f>
        <v>0</v>
      </c>
      <c r="N51" s="182">
        <f>M51/$C$46*100%</f>
        <v>0</v>
      </c>
      <c r="O51" s="180">
        <f t="shared" si="192"/>
        <v>-155.22723790448714</v>
      </c>
      <c r="P51" s="182">
        <f t="shared" si="4"/>
        <v>-0.16570114589449314</v>
      </c>
      <c r="Q51" s="181">
        <f>Q132</f>
        <v>-155.22723790448714</v>
      </c>
      <c r="R51" s="182">
        <f t="shared" si="5"/>
        <v>-0.16570114589449314</v>
      </c>
      <c r="S51" s="180">
        <f t="shared" si="193"/>
        <v>0</v>
      </c>
      <c r="T51" s="182">
        <f t="shared" si="6"/>
        <v>0</v>
      </c>
      <c r="U51" s="181">
        <f>U132</f>
        <v>0</v>
      </c>
      <c r="V51" s="182">
        <f t="shared" si="7"/>
        <v>0</v>
      </c>
      <c r="W51" s="180">
        <f t="shared" si="194"/>
        <v>0</v>
      </c>
      <c r="X51" s="182">
        <f t="shared" si="8"/>
        <v>0</v>
      </c>
      <c r="Y51" s="181">
        <f>Y132</f>
        <v>0</v>
      </c>
      <c r="Z51" s="182">
        <f t="shared" si="9"/>
        <v>0</v>
      </c>
      <c r="AA51" s="185"/>
      <c r="AB51" s="180">
        <f t="shared" si="195"/>
        <v>-246.00138361248793</v>
      </c>
      <c r="AC51" s="182">
        <f t="shared" si="10"/>
        <v>-4.7022490773080225E-2</v>
      </c>
      <c r="AD51" s="187">
        <f>E51+I51+M51+Q51+U51+Y51</f>
        <v>-246.00138361248793</v>
      </c>
      <c r="AE51" s="182">
        <f t="shared" si="11"/>
        <v>-4.7022490773080225E-2</v>
      </c>
      <c r="AF51" s="186"/>
      <c r="AG51" s="180">
        <f t="shared" si="196"/>
        <v>24.175281501199816</v>
      </c>
      <c r="AH51" s="182">
        <f t="shared" si="12"/>
        <v>6.5251534930707733E-2</v>
      </c>
      <c r="AI51" s="183">
        <f>AI132</f>
        <v>24.175281501199816</v>
      </c>
      <c r="AJ51" s="184">
        <f>AI51/$AI$46*100%</f>
        <v>6.5251534930707733E-2</v>
      </c>
      <c r="AK51" s="186"/>
      <c r="AL51" s="180">
        <f t="shared" si="197"/>
        <v>-97.262255952229225</v>
      </c>
      <c r="AM51" s="182">
        <f t="shared" si="13"/>
        <v>-8.5459435932907696E-2</v>
      </c>
      <c r="AN51" s="181">
        <f>AN132</f>
        <v>-97.262255952229225</v>
      </c>
      <c r="AO51" s="184">
        <f>AN51/$AN$46*100%</f>
        <v>-8.5459435932907696E-2</v>
      </c>
      <c r="AP51" s="545"/>
      <c r="AQ51" s="180">
        <f t="shared" si="198"/>
        <v>-498.66037675200005</v>
      </c>
      <c r="AR51" s="182">
        <f t="shared" si="14"/>
        <v>-0.27223724476513811</v>
      </c>
      <c r="AS51" s="183">
        <f>AS132</f>
        <v>-498.66037675200005</v>
      </c>
      <c r="AT51" s="184">
        <f>AS51/$AS$46*100%</f>
        <v>-0.27223724476513811</v>
      </c>
      <c r="AU51" s="180">
        <f t="shared" si="199"/>
        <v>-73.756384838914528</v>
      </c>
      <c r="AV51" s="182">
        <f>AU51/$C$46*100%</f>
        <v>-2.2101870986429933E-2</v>
      </c>
      <c r="AW51" s="183">
        <f>AW132</f>
        <v>-73.756384838914528</v>
      </c>
      <c r="AX51" s="184">
        <f>AW51/$AW$46*100%</f>
        <v>-8.6685114530961754E-2</v>
      </c>
      <c r="AY51" s="195"/>
      <c r="AZ51" s="180">
        <f t="shared" si="200"/>
        <v>-572.41676159091458</v>
      </c>
      <c r="BA51" s="182">
        <f t="shared" si="15"/>
        <v>-0.21338398547696941</v>
      </c>
      <c r="BB51" s="190">
        <f t="shared" si="201"/>
        <v>-572.41676159091458</v>
      </c>
      <c r="BC51" s="184">
        <f>BB51/$BB$46*100%</f>
        <v>-0.21338398547696941</v>
      </c>
      <c r="BD51" s="191"/>
      <c r="BE51" s="180">
        <f t="shared" si="202"/>
        <v>108.32282000000001</v>
      </c>
      <c r="BF51" s="182">
        <f t="shared" si="16"/>
        <v>5.6885769928084161E-2</v>
      </c>
      <c r="BG51" s="183">
        <f>BG132</f>
        <v>108.32282000000001</v>
      </c>
      <c r="BH51" s="184">
        <f>BG51/$BG$46*100%</f>
        <v>5.6885769928084161E-2</v>
      </c>
      <c r="BI51" s="180">
        <f t="shared" si="203"/>
        <v>9.8702099999999984</v>
      </c>
      <c r="BJ51" s="182">
        <f t="shared" si="17"/>
        <v>0.50928277097181962</v>
      </c>
      <c r="BK51" s="183">
        <f>BK132</f>
        <v>9.8702099999999984</v>
      </c>
      <c r="BL51" s="184">
        <f>BK51/$BK$46*100%</f>
        <v>0.50928277097181962</v>
      </c>
      <c r="BM51" s="180">
        <f t="shared" si="204"/>
        <v>0</v>
      </c>
      <c r="BN51" s="182">
        <f>BM51/$C$46*100%</f>
        <v>0</v>
      </c>
      <c r="BO51" s="181">
        <f>BO132</f>
        <v>0</v>
      </c>
      <c r="BP51" s="182">
        <f>BO51/$C$46*100%</f>
        <v>0</v>
      </c>
      <c r="BQ51" s="192"/>
      <c r="BR51" s="180">
        <f t="shared" si="205"/>
        <v>118.19303000000001</v>
      </c>
      <c r="BS51" s="182">
        <f t="shared" si="18"/>
        <v>6.4122068916538696E-2</v>
      </c>
      <c r="BT51" s="183">
        <f t="shared" si="19"/>
        <v>118.19303000000001</v>
      </c>
      <c r="BU51" s="182">
        <f t="shared" si="20"/>
        <v>6.4122068916538696E-2</v>
      </c>
      <c r="BV51" s="191"/>
      <c r="BW51" s="180">
        <f t="shared" si="206"/>
        <v>0</v>
      </c>
      <c r="BX51" s="182">
        <f t="shared" si="21"/>
        <v>0</v>
      </c>
      <c r="BY51" s="183">
        <f>BY132</f>
        <v>0</v>
      </c>
      <c r="BZ51" s="182">
        <f t="shared" si="22"/>
        <v>0</v>
      </c>
      <c r="CA51" s="191"/>
      <c r="CB51" s="180">
        <f t="shared" si="207"/>
        <v>0</v>
      </c>
      <c r="CC51" s="346"/>
      <c r="CD51" s="186"/>
      <c r="CE51" s="187">
        <f>AB51+AG51+AL51+AZ51+BR51+BW51</f>
        <v>-773.31208965443193</v>
      </c>
      <c r="CF51" s="182">
        <f t="shared" si="23"/>
        <v>-0.14445185225478532</v>
      </c>
      <c r="CG51" s="187">
        <f>AD51+AI51+AN51+BB51+BT51+BY51</f>
        <v>-773.31208965443193</v>
      </c>
      <c r="CH51" s="182">
        <f t="shared" si="24"/>
        <v>-0.14445185225478532</v>
      </c>
    </row>
    <row r="52" spans="1:86" s="204" customFormat="1" ht="15.5" x14ac:dyDescent="0.35">
      <c r="B52" s="197" t="s">
        <v>479</v>
      </c>
      <c r="C52" s="180">
        <f t="shared" si="189"/>
        <v>34.102317000000028</v>
      </c>
      <c r="D52" s="182">
        <f>C52/$C$46*100%</f>
        <v>1.0219115434121235E-2</v>
      </c>
      <c r="E52" s="181">
        <f>E140</f>
        <v>34.102317000000028</v>
      </c>
      <c r="F52" s="182">
        <f t="shared" si="1"/>
        <v>1.0219115434121235E-2</v>
      </c>
      <c r="G52" s="180">
        <f t="shared" si="190"/>
        <v>29.728941500000033</v>
      </c>
      <c r="H52" s="182">
        <f t="shared" si="2"/>
        <v>2.5165284293997611E-2</v>
      </c>
      <c r="I52" s="181">
        <f>I140</f>
        <v>29.728941500000033</v>
      </c>
      <c r="J52" s="182">
        <f t="shared" si="3"/>
        <v>2.5165284293997611E-2</v>
      </c>
      <c r="K52" s="180">
        <f t="shared" si="191"/>
        <v>0</v>
      </c>
      <c r="L52" s="182">
        <f>K52/$C$46*100%</f>
        <v>0</v>
      </c>
      <c r="M52" s="181">
        <f>SUMIF('04.conso TB'!A:A,'Apr-26'!B52,'04.conso TB'!T:T)</f>
        <v>0</v>
      </c>
      <c r="N52" s="182">
        <f>M52/$C$46*100%</f>
        <v>0</v>
      </c>
      <c r="O52" s="180">
        <f t="shared" si="192"/>
        <v>11.268596599999995</v>
      </c>
      <c r="P52" s="182">
        <f t="shared" si="4"/>
        <v>1.2028941534034814E-2</v>
      </c>
      <c r="Q52" s="181">
        <f>Q140</f>
        <v>11.268596599999995</v>
      </c>
      <c r="R52" s="182">
        <f t="shared" si="5"/>
        <v>1.2028941534034814E-2</v>
      </c>
      <c r="S52" s="180">
        <f t="shared" si="193"/>
        <v>0</v>
      </c>
      <c r="T52" s="182">
        <f t="shared" si="6"/>
        <v>0</v>
      </c>
      <c r="U52" s="181">
        <f>U140</f>
        <v>0</v>
      </c>
      <c r="V52" s="182">
        <f t="shared" si="7"/>
        <v>0</v>
      </c>
      <c r="W52" s="180">
        <f t="shared" si="194"/>
        <v>0</v>
      </c>
      <c r="X52" s="182">
        <f t="shared" si="8"/>
        <v>0</v>
      </c>
      <c r="Y52" s="181">
        <f>Y140</f>
        <v>0</v>
      </c>
      <c r="Z52" s="182">
        <f t="shared" si="9"/>
        <v>0</v>
      </c>
      <c r="AA52" s="185"/>
      <c r="AB52" s="180">
        <f t="shared" si="195"/>
        <v>75.099855100000056</v>
      </c>
      <c r="AC52" s="182">
        <f t="shared" si="10"/>
        <v>1.4355131632357812E-2</v>
      </c>
      <c r="AD52" s="187">
        <f>E52+I52+M52+Q52+U52+Y52</f>
        <v>75.099855100000056</v>
      </c>
      <c r="AE52" s="182">
        <f t="shared" si="11"/>
        <v>1.4355131632357812E-2</v>
      </c>
      <c r="AF52" s="511">
        <f>AG52/$AG$1*10^5</f>
        <v>7.243935553384901</v>
      </c>
      <c r="AG52" s="180">
        <f t="shared" si="196"/>
        <v>26.623563899999994</v>
      </c>
      <c r="AH52" s="182">
        <f t="shared" si="12"/>
        <v>7.1859697257902075E-2</v>
      </c>
      <c r="AI52" s="183">
        <f>AI140</f>
        <v>26.623563899999994</v>
      </c>
      <c r="AJ52" s="184">
        <f>AI52/$AI$46*100%</f>
        <v>7.1859697257902075E-2</v>
      </c>
      <c r="AK52" s="437">
        <f>AL52/$AL$1*10^5</f>
        <v>3.2659369735340582</v>
      </c>
      <c r="AL52" s="180">
        <f t="shared" si="197"/>
        <v>14.423161500000049</v>
      </c>
      <c r="AM52" s="182">
        <f t="shared" si="13"/>
        <v>1.2672904140375169E-2</v>
      </c>
      <c r="AN52" s="181">
        <f>AN140</f>
        <v>14.423161500000049</v>
      </c>
      <c r="AO52" s="184">
        <f>AN52/$AN$46*100%</f>
        <v>1.2672904140375169E-2</v>
      </c>
      <c r="AP52" s="546">
        <f t="shared" ref="AP52:AP53" si="208">AQ52/$AQ$1*10^5</f>
        <v>1.3887208575855261</v>
      </c>
      <c r="AQ52" s="180">
        <f t="shared" si="198"/>
        <v>8.2910106999999869</v>
      </c>
      <c r="AR52" s="182">
        <f t="shared" si="14"/>
        <v>4.5263710824347599E-3</v>
      </c>
      <c r="AS52" s="183">
        <f>AS140</f>
        <v>8.2910106999999869</v>
      </c>
      <c r="AT52" s="184">
        <f>AS52/$AS$46*100%</f>
        <v>4.5263710824347599E-3</v>
      </c>
      <c r="AU52" s="180">
        <f t="shared" si="199"/>
        <v>0</v>
      </c>
      <c r="AV52" s="182">
        <f>AU52/$C$46*100%</f>
        <v>0</v>
      </c>
      <c r="AW52" s="183">
        <f>AW140</f>
        <v>0</v>
      </c>
      <c r="AX52" s="184">
        <f>AW52/$AW$46*100%</f>
        <v>0</v>
      </c>
      <c r="AY52" s="195"/>
      <c r="AZ52" s="180">
        <f t="shared" si="200"/>
        <v>8.2910106999999869</v>
      </c>
      <c r="BA52" s="182">
        <f t="shared" si="15"/>
        <v>3.0907007367868724E-3</v>
      </c>
      <c r="BB52" s="190">
        <f t="shared" si="201"/>
        <v>8.2910106999999869</v>
      </c>
      <c r="BC52" s="184">
        <f>BB52/$BB$46*100%</f>
        <v>3.0907007367868724E-3</v>
      </c>
      <c r="BD52" s="191"/>
      <c r="BE52" s="180">
        <f t="shared" si="202"/>
        <v>-1.343511399999997</v>
      </c>
      <c r="BF52" s="182">
        <f t="shared" si="16"/>
        <v>-7.0554552028979738E-4</v>
      </c>
      <c r="BG52" s="183">
        <f>BG140</f>
        <v>-1.343511399999997</v>
      </c>
      <c r="BH52" s="184">
        <f>BG52/$BG$46*100%</f>
        <v>-7.0554552028979738E-4</v>
      </c>
      <c r="BI52" s="180">
        <f t="shared" si="203"/>
        <v>-0.14645999999999759</v>
      </c>
      <c r="BJ52" s="182">
        <f t="shared" si="17"/>
        <v>-7.557038263272157E-3</v>
      </c>
      <c r="BK52" s="183">
        <f>BK140</f>
        <v>-0.14645999999999759</v>
      </c>
      <c r="BL52" s="184">
        <f>BK52/$BK$46*100%</f>
        <v>-7.557038263272157E-3</v>
      </c>
      <c r="BM52" s="180">
        <f t="shared" si="204"/>
        <v>0</v>
      </c>
      <c r="BN52" s="182">
        <f>BM52/$C$46*100%</f>
        <v>0</v>
      </c>
      <c r="BO52" s="181">
        <f>BO140</f>
        <v>0</v>
      </c>
      <c r="BP52" s="182">
        <f>BO52/$C$46*100%</f>
        <v>0</v>
      </c>
      <c r="BQ52" s="192"/>
      <c r="BR52" s="180">
        <f t="shared" si="205"/>
        <v>-1.4899713999999946</v>
      </c>
      <c r="BS52" s="182">
        <f t="shared" si="18"/>
        <v>-8.083391109820206E-4</v>
      </c>
      <c r="BT52" s="183">
        <f t="shared" si="19"/>
        <v>-1.4899713999999946</v>
      </c>
      <c r="BU52" s="182">
        <f t="shared" si="20"/>
        <v>-8.083391109820206E-4</v>
      </c>
      <c r="BV52" s="191"/>
      <c r="BW52" s="180">
        <f t="shared" si="206"/>
        <v>0</v>
      </c>
      <c r="BX52" s="182">
        <f t="shared" si="21"/>
        <v>0</v>
      </c>
      <c r="BY52" s="183">
        <f>BY140</f>
        <v>0</v>
      </c>
      <c r="BZ52" s="182">
        <f t="shared" si="22"/>
        <v>0</v>
      </c>
      <c r="CA52" s="191"/>
      <c r="CB52" s="180">
        <v>0</v>
      </c>
      <c r="CC52" s="346"/>
      <c r="CD52" s="528"/>
      <c r="CE52" s="187">
        <f>AB52+AG52+AL52+AZ52+BR52+BW52</f>
        <v>122.9476198000001</v>
      </c>
      <c r="CF52" s="182">
        <f t="shared" si="23"/>
        <v>2.2966162883039248E-2</v>
      </c>
      <c r="CG52" s="187">
        <f>AD52+AI52+AN52+BB52+BT52+BY52</f>
        <v>122.9476198000001</v>
      </c>
      <c r="CH52" s="182">
        <f t="shared" si="24"/>
        <v>2.2966162883039248E-2</v>
      </c>
    </row>
    <row r="53" spans="1:86" ht="15.5" x14ac:dyDescent="0.35">
      <c r="A53" s="218"/>
      <c r="B53" s="280" t="s">
        <v>481</v>
      </c>
      <c r="C53" s="148">
        <f t="shared" ref="C53:AD53" si="209">SUM(C49:C52)</f>
        <v>2213.2429978364999</v>
      </c>
      <c r="D53" s="151">
        <f t="shared" si="209"/>
        <v>0.66322137814423898</v>
      </c>
      <c r="E53" s="149">
        <f t="shared" si="209"/>
        <v>2213.2429978364999</v>
      </c>
      <c r="F53" s="182">
        <f t="shared" si="1"/>
        <v>0.66322137814423898</v>
      </c>
      <c r="G53" s="148">
        <f t="shared" ref="G53" si="210">SUM(G49:G52)</f>
        <v>665.28409102999979</v>
      </c>
      <c r="H53" s="182">
        <f t="shared" si="2"/>
        <v>0.56315705983153519</v>
      </c>
      <c r="I53" s="149">
        <f t="shared" si="209"/>
        <v>665.28409102999979</v>
      </c>
      <c r="J53" s="182">
        <f t="shared" si="3"/>
        <v>0.56315705983153519</v>
      </c>
      <c r="K53" s="148">
        <f t="shared" ref="K53" si="211">SUM(K49:K52)</f>
        <v>0</v>
      </c>
      <c r="L53" s="151">
        <f t="shared" ref="L53" si="212">SUM(L49:L52)</f>
        <v>0</v>
      </c>
      <c r="M53" s="149">
        <f t="shared" si="209"/>
        <v>0</v>
      </c>
      <c r="N53" s="151">
        <f t="shared" ref="N53" si="213">SUM(N49:N52)</f>
        <v>0</v>
      </c>
      <c r="O53" s="148">
        <f t="shared" ref="O53" si="214">SUM(O49:O52)</f>
        <v>689.08936019669943</v>
      </c>
      <c r="P53" s="182">
        <f t="shared" si="4"/>
        <v>0.73558544331346087</v>
      </c>
      <c r="Q53" s="149">
        <f t="shared" si="209"/>
        <v>689.08936019669943</v>
      </c>
      <c r="R53" s="182">
        <f t="shared" si="5"/>
        <v>0.73558544331346087</v>
      </c>
      <c r="S53" s="148">
        <f t="shared" ref="S53" si="215">SUM(S49:S52)</f>
        <v>48.769940499999997</v>
      </c>
      <c r="T53" s="182">
        <f t="shared" si="6"/>
        <v>1.0000798157764195</v>
      </c>
      <c r="U53" s="152">
        <f t="shared" si="209"/>
        <v>48.769940499999997</v>
      </c>
      <c r="V53" s="182">
        <f t="shared" si="7"/>
        <v>1.0000798157764195</v>
      </c>
      <c r="W53" s="148">
        <f t="shared" ref="W53" si="216">SUM(W49:W52)</f>
        <v>38.661603800000002</v>
      </c>
      <c r="X53" s="182">
        <f t="shared" si="8"/>
        <v>0.51918461187540432</v>
      </c>
      <c r="Y53" s="149">
        <f t="shared" si="209"/>
        <v>38.661603800000002</v>
      </c>
      <c r="Z53" s="182">
        <f t="shared" si="9"/>
        <v>0.51918461187540432</v>
      </c>
      <c r="AA53" s="154">
        <f t="shared" si="209"/>
        <v>388.23097340000004</v>
      </c>
      <c r="AB53" s="148">
        <f t="shared" si="209"/>
        <v>3266.8170199631991</v>
      </c>
      <c r="AC53" s="182">
        <f t="shared" si="10"/>
        <v>0.62444312679371028</v>
      </c>
      <c r="AD53" s="152">
        <f t="shared" si="209"/>
        <v>3266.8170199631991</v>
      </c>
      <c r="AE53" s="182">
        <f t="shared" si="11"/>
        <v>0.62444312679371028</v>
      </c>
      <c r="AF53" s="511">
        <f>AG53/$AG$1*10^5</f>
        <v>35.091617785636728</v>
      </c>
      <c r="AG53" s="148">
        <f t="shared" ref="AG53" si="217">SUM(AG49:AG52)</f>
        <v>128.97187193137282</v>
      </c>
      <c r="AH53" s="182">
        <f t="shared" si="12"/>
        <v>0.34810815361099612</v>
      </c>
      <c r="AI53" s="152">
        <f t="shared" ref="AI53:AJ53" si="218">SUM(AI49:AI52)</f>
        <v>128.97187193137282</v>
      </c>
      <c r="AJ53" s="153">
        <f t="shared" si="218"/>
        <v>0.34810815361099612</v>
      </c>
      <c r="AK53" s="437">
        <f>AL53/$AL$1*10^5</f>
        <v>180.18096251525748</v>
      </c>
      <c r="AL53" s="148">
        <f t="shared" ref="AL53" si="219">SUM(AL49:AL52)</f>
        <v>795.72237389838074</v>
      </c>
      <c r="AM53" s="182">
        <f t="shared" si="13"/>
        <v>0.6991610935484508</v>
      </c>
      <c r="AN53" s="149">
        <f>SUM(AN49:AN52)</f>
        <v>795.72237389838074</v>
      </c>
      <c r="AO53" s="153">
        <f>SUM(AO49:AO52)</f>
        <v>0.69916109354845069</v>
      </c>
      <c r="AP53" s="546">
        <f t="shared" si="208"/>
        <v>125.85618023968848</v>
      </c>
      <c r="AQ53" s="148">
        <f t="shared" ref="AQ53" si="220">SUM(AQ49:AQ52)</f>
        <v>751.39286007600026</v>
      </c>
      <c r="AR53" s="182">
        <f t="shared" si="14"/>
        <v>0.410213306490602</v>
      </c>
      <c r="AS53" s="152">
        <f t="shared" ref="AS53:AY53" si="221">SUM(AS49:AS52)</f>
        <v>751.39286007600026</v>
      </c>
      <c r="AT53" s="153">
        <f t="shared" si="221"/>
        <v>0.410213306490602</v>
      </c>
      <c r="AU53" s="148">
        <f t="shared" ref="AU53" si="222">SUM(AU49:AU52)</f>
        <v>471.10778969442003</v>
      </c>
      <c r="AV53" s="151">
        <f t="shared" ref="AV53" si="223">SUM(AV49:AV52)</f>
        <v>0.14117236916192483</v>
      </c>
      <c r="AW53" s="152">
        <f t="shared" si="221"/>
        <v>471.10778969442003</v>
      </c>
      <c r="AX53" s="153">
        <f t="shared" si="221"/>
        <v>0.55368810165086257</v>
      </c>
      <c r="AY53" s="157">
        <f t="shared" si="221"/>
        <v>0</v>
      </c>
      <c r="AZ53" s="148">
        <f t="shared" ref="AZ53" si="224">SUM(AZ49:AZ52)</f>
        <v>1222.5006497704203</v>
      </c>
      <c r="BA53" s="182">
        <f t="shared" si="15"/>
        <v>0.45572051414285042</v>
      </c>
      <c r="BB53" s="157">
        <f>SUM(BB49:BB52)</f>
        <v>1222.5006497704203</v>
      </c>
      <c r="BC53" s="153">
        <f>SUM(BC49:BC52)</f>
        <v>0.45572051414285036</v>
      </c>
      <c r="BD53" s="178"/>
      <c r="BE53" s="148">
        <f t="shared" ref="BE53" si="225">SUM(BE49:BE52)</f>
        <v>1662.5505015000003</v>
      </c>
      <c r="BF53" s="182">
        <f t="shared" si="16"/>
        <v>0.87308902521324638</v>
      </c>
      <c r="BG53" s="152">
        <f t="shared" ref="BG53:CC53" si="226">SUM(BG49:BG52)</f>
        <v>1662.5505015000003</v>
      </c>
      <c r="BH53" s="153">
        <f t="shared" si="226"/>
        <v>0.87308902521324627</v>
      </c>
      <c r="BI53" s="148">
        <f t="shared" ref="BI53" si="227">SUM(BI49:BI52)</f>
        <v>13.284863400000004</v>
      </c>
      <c r="BJ53" s="182">
        <f t="shared" si="17"/>
        <v>0.6854719448050357</v>
      </c>
      <c r="BK53" s="152">
        <f t="shared" si="226"/>
        <v>13.284863400000004</v>
      </c>
      <c r="BL53" s="153">
        <f t="shared" si="226"/>
        <v>0.68547194480503582</v>
      </c>
      <c r="BM53" s="148">
        <f t="shared" ref="BM53" si="228">SUM(BM49:BM52)</f>
        <v>0</v>
      </c>
      <c r="BN53" s="151">
        <f t="shared" ref="BN53" si="229">SUM(BN49:BN52)</f>
        <v>0</v>
      </c>
      <c r="BO53" s="149">
        <f t="shared" si="226"/>
        <v>0</v>
      </c>
      <c r="BP53" s="151">
        <f t="shared" ref="BP53" si="230">SUM(BP49:BP52)</f>
        <v>0</v>
      </c>
      <c r="BQ53" s="164">
        <f t="shared" si="226"/>
        <v>80.422835599999999</v>
      </c>
      <c r="BR53" s="148">
        <f t="shared" ref="BR53" si="231">SUM(BR49:BR52)</f>
        <v>1595.4125293</v>
      </c>
      <c r="BS53" s="182">
        <f t="shared" si="18"/>
        <v>0.86554302021095408</v>
      </c>
      <c r="BT53" s="183">
        <f t="shared" si="19"/>
        <v>1595.4125293000002</v>
      </c>
      <c r="BU53" s="182">
        <f t="shared" si="20"/>
        <v>0.86554302021095408</v>
      </c>
      <c r="BV53" s="159"/>
      <c r="BW53" s="148">
        <f t="shared" ref="BW53" si="232">SUM(BW49:BW52)</f>
        <v>1653.6819688999999</v>
      </c>
      <c r="BX53" s="182">
        <f t="shared" si="21"/>
        <v>0.96799607833510404</v>
      </c>
      <c r="BY53" s="152">
        <f t="shared" ref="BY53" si="233">SUM(BY49:BY52)</f>
        <v>1653.6819688999999</v>
      </c>
      <c r="BZ53" s="182">
        <f t="shared" si="22"/>
        <v>0.96799607833510404</v>
      </c>
      <c r="CA53" s="178"/>
      <c r="CB53" s="148">
        <f t="shared" ref="CB53" si="234">SUM(CB49:CB52)</f>
        <v>7093.940180094879</v>
      </c>
      <c r="CC53" s="361">
        <f t="shared" si="226"/>
        <v>7093.940180094879</v>
      </c>
      <c r="CD53" s="528"/>
      <c r="CE53" s="156">
        <f>SUM(CE49:CE52)</f>
        <v>1569.1662336684954</v>
      </c>
      <c r="CF53" s="182">
        <f t="shared" si="23"/>
        <v>0.29311447730032314</v>
      </c>
      <c r="CG53" s="152">
        <f>SUM(CG49:CG52)</f>
        <v>1569.1662336684954</v>
      </c>
      <c r="CH53" s="182">
        <f t="shared" si="24"/>
        <v>0.29311447730032314</v>
      </c>
    </row>
    <row r="54" spans="1:86" x14ac:dyDescent="0.35">
      <c r="B54" s="86" t="s">
        <v>482</v>
      </c>
      <c r="C54" s="136"/>
      <c r="D54" s="402"/>
      <c r="E54" s="134"/>
      <c r="F54" s="182">
        <f t="shared" si="1"/>
        <v>0</v>
      </c>
      <c r="G54" s="136"/>
      <c r="H54" s="182">
        <f t="shared" si="2"/>
        <v>0</v>
      </c>
      <c r="I54" s="134"/>
      <c r="J54" s="182">
        <f t="shared" si="3"/>
        <v>0</v>
      </c>
      <c r="K54" s="136"/>
      <c r="L54" s="402"/>
      <c r="M54" s="134"/>
      <c r="N54" s="402"/>
      <c r="O54" s="136"/>
      <c r="P54" s="182">
        <f t="shared" si="4"/>
        <v>0</v>
      </c>
      <c r="Q54" s="134"/>
      <c r="R54" s="182">
        <f t="shared" si="5"/>
        <v>0</v>
      </c>
      <c r="S54" s="136"/>
      <c r="T54" s="182">
        <f t="shared" si="6"/>
        <v>0</v>
      </c>
      <c r="U54" s="131"/>
      <c r="V54" s="182">
        <f t="shared" si="7"/>
        <v>0</v>
      </c>
      <c r="W54" s="136"/>
      <c r="X54" s="182">
        <f t="shared" si="8"/>
        <v>0</v>
      </c>
      <c r="Y54" s="134"/>
      <c r="Z54" s="182">
        <f t="shared" si="9"/>
        <v>0</v>
      </c>
      <c r="AA54" s="176"/>
      <c r="AB54" s="136"/>
      <c r="AC54" s="182">
        <f t="shared" si="10"/>
        <v>0</v>
      </c>
      <c r="AD54" s="131"/>
      <c r="AE54" s="182">
        <f t="shared" si="11"/>
        <v>0</v>
      </c>
      <c r="AF54" s="139"/>
      <c r="AG54" s="136"/>
      <c r="AH54" s="182">
        <f t="shared" si="12"/>
        <v>0</v>
      </c>
      <c r="AI54" s="131"/>
      <c r="AJ54" s="132"/>
      <c r="AK54" s="139"/>
      <c r="AL54" s="136"/>
      <c r="AM54" s="182">
        <f t="shared" si="13"/>
        <v>0</v>
      </c>
      <c r="AN54" s="134"/>
      <c r="AO54" s="132"/>
      <c r="AP54" s="139"/>
      <c r="AQ54" s="136"/>
      <c r="AR54" s="182">
        <f t="shared" si="14"/>
        <v>0</v>
      </c>
      <c r="AS54" s="131"/>
      <c r="AT54" s="132"/>
      <c r="AU54" s="136"/>
      <c r="AV54" s="402"/>
      <c r="AW54" s="131"/>
      <c r="AX54" s="132"/>
      <c r="AY54" s="142"/>
      <c r="AZ54" s="136"/>
      <c r="BA54" s="182">
        <f t="shared" si="15"/>
        <v>0</v>
      </c>
      <c r="BB54" s="143"/>
      <c r="BC54" s="132"/>
      <c r="BD54" s="178"/>
      <c r="BE54" s="136"/>
      <c r="BF54" s="182">
        <f t="shared" si="16"/>
        <v>0</v>
      </c>
      <c r="BG54" s="131"/>
      <c r="BH54" s="132"/>
      <c r="BI54" s="136"/>
      <c r="BJ54" s="182">
        <f t="shared" si="17"/>
        <v>0</v>
      </c>
      <c r="BK54" s="131"/>
      <c r="BL54" s="132"/>
      <c r="BM54" s="136"/>
      <c r="BN54" s="402"/>
      <c r="BO54" s="134"/>
      <c r="BP54" s="402"/>
      <c r="BQ54" s="147"/>
      <c r="BR54" s="136"/>
      <c r="BS54" s="182">
        <f t="shared" si="18"/>
        <v>0</v>
      </c>
      <c r="BT54" s="183">
        <f t="shared" si="19"/>
        <v>0</v>
      </c>
      <c r="BU54" s="182">
        <f t="shared" si="20"/>
        <v>0</v>
      </c>
      <c r="BV54" s="144"/>
      <c r="BW54" s="136"/>
      <c r="BX54" s="182">
        <f t="shared" si="21"/>
        <v>0</v>
      </c>
      <c r="BY54" s="131"/>
      <c r="BZ54" s="182">
        <f t="shared" si="22"/>
        <v>0</v>
      </c>
      <c r="CA54" s="178"/>
      <c r="CB54" s="136"/>
      <c r="CC54" s="521"/>
      <c r="CD54" s="139"/>
      <c r="CE54" s="129"/>
      <c r="CF54" s="182">
        <f t="shared" si="23"/>
        <v>0</v>
      </c>
      <c r="CG54" s="131"/>
      <c r="CH54" s="182">
        <f t="shared" si="24"/>
        <v>0</v>
      </c>
    </row>
    <row r="55" spans="1:86" s="204" customFormat="1" x14ac:dyDescent="0.35">
      <c r="B55" s="197" t="s">
        <v>441</v>
      </c>
      <c r="C55" s="180">
        <f t="shared" ref="C55:C59" si="235">E55</f>
        <v>60.456209999999999</v>
      </c>
      <c r="D55" s="182">
        <f>C55/$C$46*100%</f>
        <v>1.8116334696539064E-2</v>
      </c>
      <c r="E55" s="181">
        <f>SUMIF('04.conso TB'!A:A,'Apr-26'!B55,'04.conso TB'!R:R)/10^5</f>
        <v>60.456209999999999</v>
      </c>
      <c r="F55" s="182">
        <f t="shared" si="1"/>
        <v>1.8116334696539064E-2</v>
      </c>
      <c r="G55" s="180">
        <f t="shared" ref="G55:G59" si="236">I55</f>
        <v>175.38120000000001</v>
      </c>
      <c r="H55" s="182">
        <f t="shared" si="2"/>
        <v>0.14845862432816348</v>
      </c>
      <c r="I55" s="181">
        <f>SUMIF('04.conso TB'!A:A,'Apr-26'!B55,'04.conso TB'!S:S)/10^5</f>
        <v>175.38120000000001</v>
      </c>
      <c r="J55" s="182">
        <f t="shared" si="3"/>
        <v>0.14845862432816348</v>
      </c>
      <c r="K55" s="180">
        <f t="shared" ref="K55:K59" si="237">M55</f>
        <v>2.4283800000000002</v>
      </c>
      <c r="L55" s="182">
        <f>K55/$C$46*100%</f>
        <v>7.2768942761019162E-4</v>
      </c>
      <c r="M55" s="181">
        <f>SUMIF('04.conso TB'!A:A,'Apr-26'!B55,'04.conso TB'!T:T)/10^5</f>
        <v>2.4283800000000002</v>
      </c>
      <c r="N55" s="182">
        <f>M55/$C$46*100%</f>
        <v>7.2768942761019162E-4</v>
      </c>
      <c r="O55" s="180">
        <f t="shared" ref="O55:O59" si="238">Q55</f>
        <v>10.977600000000001</v>
      </c>
      <c r="P55" s="182">
        <f t="shared" si="4"/>
        <v>1.1718310031971562E-2</v>
      </c>
      <c r="Q55" s="181">
        <f>SUMIF('04.conso TB'!A:A,'Apr-26'!B55,'04.conso TB'!U:U)/10^5</f>
        <v>10.977600000000001</v>
      </c>
      <c r="R55" s="182">
        <f t="shared" si="5"/>
        <v>1.1718310031971562E-2</v>
      </c>
      <c r="S55" s="180">
        <f t="shared" ref="S55:S59" si="239">U55</f>
        <v>25</v>
      </c>
      <c r="T55" s="182">
        <f t="shared" si="6"/>
        <v>0.51265175101885729</v>
      </c>
      <c r="U55" s="183">
        <f>SUMIF('04.conso TB'!A:A,'Apr-26'!B55,'04.conso TB'!V:V)/10^5</f>
        <v>25</v>
      </c>
      <c r="V55" s="182">
        <f t="shared" si="7"/>
        <v>0.51265175101885729</v>
      </c>
      <c r="W55" s="180">
        <f t="shared" ref="W55:W59" si="240">Y55</f>
        <v>0</v>
      </c>
      <c r="X55" s="182">
        <f t="shared" si="8"/>
        <v>0</v>
      </c>
      <c r="Y55" s="181">
        <f>SUMIF('04.conso TB'!A:A,'Apr-26'!B55,'04.conso TB'!G:G)/10^5</f>
        <v>0</v>
      </c>
      <c r="Z55" s="182">
        <f t="shared" si="9"/>
        <v>0</v>
      </c>
      <c r="AA55" s="185"/>
      <c r="AB55" s="180">
        <f t="shared" ref="AB55:AB59" si="241">AD55</f>
        <v>274.24338999999998</v>
      </c>
      <c r="AC55" s="182">
        <f t="shared" si="10"/>
        <v>5.2420872949913815E-2</v>
      </c>
      <c r="AD55" s="187">
        <f>E55+I55+M55+Q55+U55+Y55</f>
        <v>274.24338999999998</v>
      </c>
      <c r="AE55" s="182">
        <f t="shared" si="11"/>
        <v>5.2420872949913815E-2</v>
      </c>
      <c r="AF55" s="186"/>
      <c r="AG55" s="180">
        <f t="shared" ref="AG55:AG59" si="242">AI55</f>
        <v>44.01211</v>
      </c>
      <c r="AH55" s="182">
        <f t="shared" si="12"/>
        <v>0.11879314550676985</v>
      </c>
      <c r="AI55" s="183">
        <f>SUMIF('04.conso TB'!A:A,'Apr-26'!B55,'04.conso TB'!Q:Q)/10^5</f>
        <v>44.01211</v>
      </c>
      <c r="AJ55" s="184">
        <f>AI55/$AI$46*100%</f>
        <v>0.11879314550676985</v>
      </c>
      <c r="AK55" s="186"/>
      <c r="AL55" s="180">
        <f t="shared" ref="AL55:AL59" si="243">AN55</f>
        <v>28.414827400000004</v>
      </c>
      <c r="AM55" s="182">
        <f t="shared" si="13"/>
        <v>2.4966674872600202E-2</v>
      </c>
      <c r="AN55" s="181">
        <f>SUMIF('04.conso TB'!A:A,'Apr-26'!B55,'04.conso TB'!W:W)/10^5</f>
        <v>28.414827400000004</v>
      </c>
      <c r="AO55" s="184">
        <f>AN55/$AN$46*100%</f>
        <v>2.4966674872600202E-2</v>
      </c>
      <c r="AP55" s="545"/>
      <c r="AQ55" s="180">
        <f t="shared" ref="AQ55:AQ59" si="244">AS55</f>
        <v>153.99148</v>
      </c>
      <c r="AR55" s="182">
        <f t="shared" si="14"/>
        <v>8.4069675849451228E-2</v>
      </c>
      <c r="AS55" s="183">
        <f>SUMIF('04.conso TB'!A:A,'Apr-26'!B55,'04.conso TB'!M:M)/10^5</f>
        <v>153.99148</v>
      </c>
      <c r="AT55" s="184">
        <f>AS55/$AS$46*100%</f>
        <v>8.4069675849451228E-2</v>
      </c>
      <c r="AU55" s="180">
        <f t="shared" ref="AU55:AU59" si="245">AW55</f>
        <v>1.0370999999999999</v>
      </c>
      <c r="AV55" s="182">
        <f>AU55/$C$46*100%</f>
        <v>3.1077784587854026E-4</v>
      </c>
      <c r="AW55" s="183">
        <f>SUMIF('04.conso TB'!A:A,'Apr-26'!B55,'04.conso TB'!P:P)/10^5</f>
        <v>1.0370999999999999</v>
      </c>
      <c r="AX55" s="184">
        <f>AW55/$AW$46*100%</f>
        <v>1.2188928792592855E-3</v>
      </c>
      <c r="AY55" s="195"/>
      <c r="AZ55" s="180">
        <f t="shared" ref="AZ55:AZ59" si="246">BB55</f>
        <v>155.02858000000001</v>
      </c>
      <c r="BA55" s="182">
        <f t="shared" si="15"/>
        <v>5.7791138350481608E-2</v>
      </c>
      <c r="BB55" s="190">
        <f t="shared" ref="BB55:BB59" si="247">AS55+AW55</f>
        <v>155.02858000000001</v>
      </c>
      <c r="BC55" s="184">
        <f>BB55/$BB$46*100%</f>
        <v>5.7791138350481608E-2</v>
      </c>
      <c r="BD55" s="191"/>
      <c r="BE55" s="180">
        <f t="shared" ref="BE55:BE59" si="248">BG55</f>
        <v>60.373379999999997</v>
      </c>
      <c r="BF55" s="182">
        <f t="shared" si="16"/>
        <v>3.170510336105354E-2</v>
      </c>
      <c r="BG55" s="183">
        <f>SUMIF('04.conso TB'!A:A,'Apr-26'!B55,'04.conso TB'!H:H)/10^5</f>
        <v>60.373379999999997</v>
      </c>
      <c r="BH55" s="184">
        <f>BG55/$BG$46*100%</f>
        <v>3.170510336105354E-2</v>
      </c>
      <c r="BI55" s="180">
        <f t="shared" ref="BI55:BI59" si="249">BK55</f>
        <v>8.9986300000000004</v>
      </c>
      <c r="BJ55" s="182">
        <f t="shared" si="17"/>
        <v>0.46431101479605252</v>
      </c>
      <c r="BK55" s="183">
        <f>SUMIF('04.conso TB'!A:A,'Apr-26'!B55,'04.conso TB'!I:I)/10^5</f>
        <v>8.9986300000000004</v>
      </c>
      <c r="BL55" s="184">
        <f>BK55/$BK$46*100%</f>
        <v>0.46431101479605252</v>
      </c>
      <c r="BM55" s="180">
        <f t="shared" ref="BM55:BM59" si="250">BO55</f>
        <v>0</v>
      </c>
      <c r="BN55" s="182">
        <f>BM55/$C$46*100%</f>
        <v>0</v>
      </c>
      <c r="BO55" s="181">
        <f>SUMIF('04.conso TB'!A:A,'Apr-26'!B55,'04.conso TB'!J:J)/10^5</f>
        <v>0</v>
      </c>
      <c r="BP55" s="182">
        <f>BO55/$C$46*100%</f>
        <v>0</v>
      </c>
      <c r="BQ55" s="192"/>
      <c r="BR55" s="180">
        <f t="shared" ref="BR55:BR59" si="251">BT55</f>
        <v>69.372010000000003</v>
      </c>
      <c r="BS55" s="182">
        <f t="shared" si="18"/>
        <v>3.7635694812958191E-2</v>
      </c>
      <c r="BT55" s="183">
        <f t="shared" si="19"/>
        <v>69.372010000000003</v>
      </c>
      <c r="BU55" s="182">
        <f t="shared" si="20"/>
        <v>3.7635694812958184E-2</v>
      </c>
      <c r="BV55" s="191"/>
      <c r="BW55" s="180">
        <f t="shared" ref="BW55:BW59" si="252">BY55</f>
        <v>0.42670000000000002</v>
      </c>
      <c r="BX55" s="182">
        <f t="shared" si="21"/>
        <v>2.4977228656628485E-4</v>
      </c>
      <c r="BY55" s="183">
        <f>SUMIF('04.conso TB'!A:A,'Apr-26'!B55,'04.conso TB'!L:L)/10^5</f>
        <v>0.42670000000000002</v>
      </c>
      <c r="BZ55" s="182">
        <f t="shared" si="22"/>
        <v>2.4977228656628485E-4</v>
      </c>
      <c r="CA55" s="191"/>
      <c r="CB55" s="180">
        <f t="shared" ref="CB55:CB59" si="253">CD55</f>
        <v>0</v>
      </c>
      <c r="CC55" s="346"/>
      <c r="CD55" s="186"/>
      <c r="CE55" s="187">
        <f>AB55+AG55+AL55+AZ55+BR55+BW55</f>
        <v>571.49761739999997</v>
      </c>
      <c r="CF55" s="182">
        <f t="shared" si="23"/>
        <v>0.10675365159429653</v>
      </c>
      <c r="CG55" s="187">
        <f>AD55+AI55+AN55+BB55+BT55+BY55</f>
        <v>571.49761739999997</v>
      </c>
      <c r="CH55" s="182">
        <f t="shared" si="24"/>
        <v>0.10675365159429653</v>
      </c>
    </row>
    <row r="56" spans="1:86" s="204" customFormat="1" x14ac:dyDescent="0.35">
      <c r="B56" s="197" t="s">
        <v>426</v>
      </c>
      <c r="C56" s="180">
        <f t="shared" si="235"/>
        <v>1.81165</v>
      </c>
      <c r="D56" s="182">
        <f>C56/$C$46*100%</f>
        <v>5.428798423352208E-4</v>
      </c>
      <c r="E56" s="181">
        <f>SUMIF('04.conso TB'!A:A,'Apr-26'!B56,'04.conso TB'!R:R)/10^5</f>
        <v>1.81165</v>
      </c>
      <c r="F56" s="182">
        <f t="shared" si="1"/>
        <v>5.428798423352208E-4</v>
      </c>
      <c r="G56" s="180">
        <f t="shared" si="236"/>
        <v>3.3692700000000002</v>
      </c>
      <c r="H56" s="182">
        <f t="shared" si="2"/>
        <v>2.8520570573707521E-3</v>
      </c>
      <c r="I56" s="181">
        <f>SUMIF('04.conso TB'!A:A,'Apr-26'!B56,'04.conso TB'!S:S)/10^5</f>
        <v>3.3692700000000002</v>
      </c>
      <c r="J56" s="182">
        <f t="shared" si="3"/>
        <v>2.8520570573707521E-3</v>
      </c>
      <c r="K56" s="180">
        <f t="shared" si="237"/>
        <v>0</v>
      </c>
      <c r="L56" s="182">
        <f>K56/$C$46*100%</f>
        <v>0</v>
      </c>
      <c r="M56" s="181">
        <f>SUMIF('04.conso TB'!A:A,'Apr-26'!B56,'04.conso TB'!T:T)/10^5</f>
        <v>0</v>
      </c>
      <c r="N56" s="182">
        <f>M56/$C$46*100%</f>
        <v>0</v>
      </c>
      <c r="O56" s="180">
        <f t="shared" si="238"/>
        <v>0.35404999999999998</v>
      </c>
      <c r="P56" s="182">
        <f t="shared" si="4"/>
        <v>3.7793940996388379E-4</v>
      </c>
      <c r="Q56" s="181">
        <f>SUMIF('04.conso TB'!A:A,'Apr-26'!B56,'04.conso TB'!U:U)/10^5</f>
        <v>0.35404999999999998</v>
      </c>
      <c r="R56" s="182">
        <f t="shared" si="5"/>
        <v>3.7793940996388379E-4</v>
      </c>
      <c r="S56" s="180">
        <f t="shared" si="239"/>
        <v>0.13672000000000001</v>
      </c>
      <c r="T56" s="182">
        <f t="shared" si="6"/>
        <v>2.8035898959719273E-3</v>
      </c>
      <c r="U56" s="183">
        <f>SUMIF('04.conso TB'!A:A,'Apr-26'!B56,'04.conso TB'!V:V)/10^5</f>
        <v>0.13672000000000001</v>
      </c>
      <c r="V56" s="182">
        <f t="shared" si="7"/>
        <v>2.8035898959719273E-3</v>
      </c>
      <c r="W56" s="180">
        <f t="shared" si="240"/>
        <v>0</v>
      </c>
      <c r="X56" s="182">
        <f t="shared" si="8"/>
        <v>0</v>
      </c>
      <c r="Y56" s="181">
        <f>SUMIF('04.conso TB'!A:A,'Apr-26'!B56,'04.conso TB'!G:G)/10^5</f>
        <v>0</v>
      </c>
      <c r="Z56" s="182">
        <f t="shared" si="9"/>
        <v>0</v>
      </c>
      <c r="AA56" s="185"/>
      <c r="AB56" s="180">
        <f t="shared" si="241"/>
        <v>5.6716900000000008</v>
      </c>
      <c r="AC56" s="182">
        <f t="shared" si="10"/>
        <v>1.0841280108931585E-3</v>
      </c>
      <c r="AD56" s="187">
        <f>E56+I56+M56+Q56+U56+Y56</f>
        <v>5.6716900000000008</v>
      </c>
      <c r="AE56" s="182">
        <f t="shared" si="11"/>
        <v>1.0841280108931585E-3</v>
      </c>
      <c r="AF56" s="186"/>
      <c r="AG56" s="180">
        <f t="shared" si="242"/>
        <v>1.4036599999999999</v>
      </c>
      <c r="AH56" s="182">
        <f t="shared" si="12"/>
        <v>3.7886206006036193E-3</v>
      </c>
      <c r="AI56" s="183">
        <f>SUMIF('04.conso TB'!A:A,'Apr-26'!B56,'04.conso TB'!Q:Q)/10^5</f>
        <v>1.4036599999999999</v>
      </c>
      <c r="AJ56" s="184">
        <f>AI56/$AI$46*100%</f>
        <v>3.7886206006036193E-3</v>
      </c>
      <c r="AK56" s="186"/>
      <c r="AL56" s="180">
        <f t="shared" si="243"/>
        <v>0</v>
      </c>
      <c r="AM56" s="182">
        <f t="shared" si="13"/>
        <v>0</v>
      </c>
      <c r="AN56" s="181">
        <f>SUMIF('04.conso TB'!A:A,'Apr-26'!B56,'04.conso TB'!W:W)/10^5</f>
        <v>0</v>
      </c>
      <c r="AO56" s="184">
        <f>AN56/$AN$46*100%</f>
        <v>0</v>
      </c>
      <c r="AP56" s="545"/>
      <c r="AQ56" s="180">
        <f t="shared" si="244"/>
        <v>10.1379</v>
      </c>
      <c r="AR56" s="182">
        <f t="shared" si="14"/>
        <v>5.5346566368097228E-3</v>
      </c>
      <c r="AS56" s="183">
        <f>SUMIF('04.conso TB'!A:A,'Apr-26'!B56,'04.conso TB'!M:M)/10^5</f>
        <v>10.1379</v>
      </c>
      <c r="AT56" s="184">
        <f>AS56/$AS$46*100%</f>
        <v>5.5346566368097228E-3</v>
      </c>
      <c r="AU56" s="180">
        <f t="shared" si="245"/>
        <v>0</v>
      </c>
      <c r="AV56" s="182">
        <f>AU56/$C$46*100%</f>
        <v>0</v>
      </c>
      <c r="AW56" s="183">
        <f>SUMIF('04.conso TB'!A:A,'Apr-26'!B56,'04.conso TB'!P:P)/10^5</f>
        <v>0</v>
      </c>
      <c r="AX56" s="184">
        <f>AW56/$AW$46*100%</f>
        <v>0</v>
      </c>
      <c r="AY56" s="195"/>
      <c r="AZ56" s="180">
        <f t="shared" si="246"/>
        <v>10.1379</v>
      </c>
      <c r="BA56" s="182">
        <f t="shared" si="15"/>
        <v>3.7791791776932192E-3</v>
      </c>
      <c r="BB56" s="190">
        <f t="shared" si="247"/>
        <v>10.1379</v>
      </c>
      <c r="BC56" s="184">
        <f>BB56/$BB$46*100%</f>
        <v>3.7791791776932192E-3</v>
      </c>
      <c r="BD56" s="191"/>
      <c r="BE56" s="180">
        <f t="shared" si="248"/>
        <v>1.47885</v>
      </c>
      <c r="BF56" s="182">
        <f t="shared" si="16"/>
        <v>7.7661863731157718E-4</v>
      </c>
      <c r="BG56" s="183">
        <f>SUMIF('04.conso TB'!A:A,'Apr-26'!B56,'04.conso TB'!H:H)/10^5</f>
        <v>1.47885</v>
      </c>
      <c r="BH56" s="184">
        <f>BG56/$BG$46*100%</f>
        <v>7.7661863731157718E-4</v>
      </c>
      <c r="BI56" s="180">
        <f t="shared" si="249"/>
        <v>8.5000000000000006E-2</v>
      </c>
      <c r="BJ56" s="182">
        <f t="shared" si="17"/>
        <v>4.3858272045482994E-3</v>
      </c>
      <c r="BK56" s="183">
        <f>SUMIF('04.conso TB'!A:A,'Apr-26'!B56,'04.conso TB'!I:I)/10^5</f>
        <v>8.5000000000000006E-2</v>
      </c>
      <c r="BL56" s="184">
        <f>BK56/$BK$46*100%</f>
        <v>4.3858272045482994E-3</v>
      </c>
      <c r="BM56" s="180">
        <f t="shared" si="250"/>
        <v>0</v>
      </c>
      <c r="BN56" s="182">
        <f>BM56/$C$46*100%</f>
        <v>0</v>
      </c>
      <c r="BO56" s="181">
        <f>SUMIF('04.conso TB'!A:A,'Apr-26'!B56,'04.conso TB'!J:J)/10^5</f>
        <v>0</v>
      </c>
      <c r="BP56" s="182">
        <f>BO56/$C$46*100%</f>
        <v>0</v>
      </c>
      <c r="BQ56" s="192"/>
      <c r="BR56" s="180">
        <f t="shared" si="251"/>
        <v>1.56385</v>
      </c>
      <c r="BS56" s="182">
        <f t="shared" si="18"/>
        <v>8.4841972047868669E-4</v>
      </c>
      <c r="BT56" s="183">
        <f t="shared" si="19"/>
        <v>1.56385</v>
      </c>
      <c r="BU56" s="182">
        <f t="shared" si="20"/>
        <v>8.4841972047868658E-4</v>
      </c>
      <c r="BV56" s="191"/>
      <c r="BW56" s="180">
        <f t="shared" si="252"/>
        <v>0</v>
      </c>
      <c r="BX56" s="182">
        <f t="shared" si="21"/>
        <v>0</v>
      </c>
      <c r="BY56" s="183">
        <f>SUMIF('04.conso TB'!A:A,'Apr-26'!B56,'04.conso TB'!L:L)/10^5</f>
        <v>0</v>
      </c>
      <c r="BZ56" s="182">
        <f t="shared" si="22"/>
        <v>0</v>
      </c>
      <c r="CA56" s="191"/>
      <c r="CB56" s="180">
        <f t="shared" si="253"/>
        <v>0</v>
      </c>
      <c r="CC56" s="346"/>
      <c r="CD56" s="186"/>
      <c r="CE56" s="187">
        <f>AB56+AG56+AL56+AZ56+BR56+BW56</f>
        <v>18.777100000000001</v>
      </c>
      <c r="CF56" s="182">
        <f t="shared" si="23"/>
        <v>3.507493172886263E-3</v>
      </c>
      <c r="CG56" s="187">
        <f>AD56+AI56+AN56+BB56+BT56+BY56</f>
        <v>18.777100000000001</v>
      </c>
      <c r="CH56" s="182">
        <f t="shared" si="24"/>
        <v>3.507493172886263E-3</v>
      </c>
    </row>
    <row r="57" spans="1:86" s="204" customFormat="1" x14ac:dyDescent="0.35">
      <c r="B57" s="197" t="s">
        <v>444</v>
      </c>
      <c r="C57" s="180">
        <f t="shared" si="235"/>
        <v>0</v>
      </c>
      <c r="D57" s="182">
        <f>C57/$C$46*100%</f>
        <v>0</v>
      </c>
      <c r="E57" s="181">
        <f>SUMIF('04.conso TB'!A:A,'Apr-26'!B57,'04.conso TB'!R:R)/10^5</f>
        <v>0</v>
      </c>
      <c r="F57" s="182">
        <f t="shared" si="1"/>
        <v>0</v>
      </c>
      <c r="G57" s="180">
        <f t="shared" si="236"/>
        <v>0</v>
      </c>
      <c r="H57" s="182">
        <f t="shared" si="2"/>
        <v>0</v>
      </c>
      <c r="I57" s="181">
        <f>SUMIF('04.conso TB'!A:A,'Apr-26'!B57,'04.conso TB'!S:S)/10^5</f>
        <v>0</v>
      </c>
      <c r="J57" s="182">
        <f t="shared" si="3"/>
        <v>0</v>
      </c>
      <c r="K57" s="180">
        <f t="shared" si="237"/>
        <v>0</v>
      </c>
      <c r="L57" s="182">
        <f>K57/$C$46*100%</f>
        <v>0</v>
      </c>
      <c r="M57" s="181">
        <f>SUMIF('04.conso TB'!A:A,'Apr-26'!B57,'04.conso TB'!T:T)/10^5</f>
        <v>0</v>
      </c>
      <c r="N57" s="182">
        <f>M57/$C$46*100%</f>
        <v>0</v>
      </c>
      <c r="O57" s="180">
        <f t="shared" si="238"/>
        <v>0</v>
      </c>
      <c r="P57" s="182">
        <f t="shared" si="4"/>
        <v>0</v>
      </c>
      <c r="Q57" s="181">
        <f>SUMIF('04.conso TB'!A:A,'Apr-26'!B57,'04.conso TB'!U:U)/10^5</f>
        <v>0</v>
      </c>
      <c r="R57" s="182">
        <f t="shared" si="5"/>
        <v>0</v>
      </c>
      <c r="S57" s="180">
        <f t="shared" si="239"/>
        <v>0</v>
      </c>
      <c r="T57" s="182">
        <f t="shared" si="6"/>
        <v>0</v>
      </c>
      <c r="U57" s="183">
        <f>SUMIF('04.conso TB'!A:A,'Apr-26'!B57,'04.conso TB'!V:V)/10^5</f>
        <v>0</v>
      </c>
      <c r="V57" s="182">
        <f t="shared" si="7"/>
        <v>0</v>
      </c>
      <c r="W57" s="180">
        <f t="shared" si="240"/>
        <v>0</v>
      </c>
      <c r="X57" s="182">
        <f t="shared" si="8"/>
        <v>0</v>
      </c>
      <c r="Y57" s="181">
        <f>SUMIF('04.conso TB'!A:A,'Apr-26'!B57,'04.conso TB'!G:G)/10^5</f>
        <v>0</v>
      </c>
      <c r="Z57" s="182">
        <f t="shared" si="9"/>
        <v>0</v>
      </c>
      <c r="AA57" s="185"/>
      <c r="AB57" s="180">
        <f t="shared" si="241"/>
        <v>0</v>
      </c>
      <c r="AC57" s="182">
        <f t="shared" si="10"/>
        <v>0</v>
      </c>
      <c r="AD57" s="187">
        <f>E57+I57+M57+Q57+U57+Y57</f>
        <v>0</v>
      </c>
      <c r="AE57" s="182">
        <f t="shared" si="11"/>
        <v>0</v>
      </c>
      <c r="AF57" s="186"/>
      <c r="AG57" s="180">
        <f t="shared" si="242"/>
        <v>1.2997399999999999</v>
      </c>
      <c r="AH57" s="182">
        <f t="shared" si="12"/>
        <v>3.5081299883365975E-3</v>
      </c>
      <c r="AI57" s="183">
        <f>SUMIF('04.conso TB'!A:A,'Apr-26'!B57,'04.conso TB'!Q:Q)/10^5</f>
        <v>1.2997399999999999</v>
      </c>
      <c r="AJ57" s="184">
        <f>AI57/$AI$46*100%</f>
        <v>3.5081299883365975E-3</v>
      </c>
      <c r="AK57" s="186"/>
      <c r="AL57" s="180">
        <f t="shared" si="243"/>
        <v>0</v>
      </c>
      <c r="AM57" s="182">
        <f t="shared" si="13"/>
        <v>0</v>
      </c>
      <c r="AN57" s="181">
        <f>SUMIF('04.conso TB'!A:A,'Apr-26'!B57,'04.conso TB'!W:W)/10^5</f>
        <v>0</v>
      </c>
      <c r="AO57" s="184">
        <f>AN57/$AN$46*100%</f>
        <v>0</v>
      </c>
      <c r="AP57" s="545"/>
      <c r="AQ57" s="180">
        <f t="shared" si="244"/>
        <v>0</v>
      </c>
      <c r="AR57" s="182">
        <f t="shared" si="14"/>
        <v>0</v>
      </c>
      <c r="AS57" s="183">
        <f>SUMIF('04.conso TB'!A:A,'Apr-26'!B57,'04.conso TB'!M:M)/10^5</f>
        <v>0</v>
      </c>
      <c r="AT57" s="184">
        <f>AS57/$AS$46*100%</f>
        <v>0</v>
      </c>
      <c r="AU57" s="180">
        <f t="shared" si="245"/>
        <v>0</v>
      </c>
      <c r="AV57" s="182">
        <f>AU57/$C$46*100%</f>
        <v>0</v>
      </c>
      <c r="AW57" s="183">
        <f>SUMIF('04.conso TB'!A:A,'Apr-26'!B57,'04.conso TB'!P:P)/10^5</f>
        <v>0</v>
      </c>
      <c r="AX57" s="184">
        <f>AW57/$AW$46*100%</f>
        <v>0</v>
      </c>
      <c r="AY57" s="195"/>
      <c r="AZ57" s="180">
        <f t="shared" si="246"/>
        <v>0</v>
      </c>
      <c r="BA57" s="182">
        <f t="shared" si="15"/>
        <v>0</v>
      </c>
      <c r="BB57" s="190">
        <f t="shared" si="247"/>
        <v>0</v>
      </c>
      <c r="BC57" s="184">
        <f>BB57/$BB$46*100%</f>
        <v>0</v>
      </c>
      <c r="BD57" s="191"/>
      <c r="BE57" s="180">
        <f t="shared" si="248"/>
        <v>0</v>
      </c>
      <c r="BF57" s="182">
        <f t="shared" si="16"/>
        <v>0</v>
      </c>
      <c r="BG57" s="183">
        <f>SUMIF('04.conso TB'!A:A,'Apr-26'!B57,'04.conso TB'!H:H)/10^5</f>
        <v>0</v>
      </c>
      <c r="BH57" s="184">
        <f>BG57/$BG$46*100%</f>
        <v>0</v>
      </c>
      <c r="BI57" s="180">
        <f t="shared" si="249"/>
        <v>0</v>
      </c>
      <c r="BJ57" s="182">
        <f t="shared" si="17"/>
        <v>0</v>
      </c>
      <c r="BK57" s="183">
        <f>SUMIF('04.conso TB'!A:A,'Apr-26'!B57,'04.conso TB'!I:I)/10^5</f>
        <v>0</v>
      </c>
      <c r="BL57" s="184">
        <f>BK57/$BK$46*100%</f>
        <v>0</v>
      </c>
      <c r="BM57" s="180">
        <f t="shared" si="250"/>
        <v>0</v>
      </c>
      <c r="BN57" s="182">
        <f>BM57/$C$46*100%</f>
        <v>0</v>
      </c>
      <c r="BO57" s="181">
        <f>SUMIF('04.conso TB'!A:A,'Apr-26'!B57,'04.conso TB'!J:J)/10^5</f>
        <v>0</v>
      </c>
      <c r="BP57" s="182">
        <f>BO57/$C$46*100%</f>
        <v>0</v>
      </c>
      <c r="BQ57" s="192"/>
      <c r="BR57" s="180">
        <f t="shared" si="251"/>
        <v>0</v>
      </c>
      <c r="BS57" s="182">
        <f t="shared" si="18"/>
        <v>0</v>
      </c>
      <c r="BT57" s="183">
        <f t="shared" si="19"/>
        <v>0</v>
      </c>
      <c r="BU57" s="182">
        <f t="shared" si="20"/>
        <v>0</v>
      </c>
      <c r="BV57" s="191"/>
      <c r="BW57" s="180">
        <f t="shared" si="252"/>
        <v>0</v>
      </c>
      <c r="BX57" s="182">
        <f t="shared" si="21"/>
        <v>0</v>
      </c>
      <c r="BY57" s="183">
        <f>SUMIF('04.conso TB'!A:A,'Apr-26'!B57,'04.conso TB'!L:L)/10^5</f>
        <v>0</v>
      </c>
      <c r="BZ57" s="182">
        <f t="shared" si="22"/>
        <v>0</v>
      </c>
      <c r="CA57" s="191"/>
      <c r="CB57" s="180">
        <f t="shared" si="253"/>
        <v>0</v>
      </c>
      <c r="CC57" s="346"/>
      <c r="CD57" s="186"/>
      <c r="CE57" s="187">
        <f>AB57+AG57+AL57+AZ57+BR57+BW57</f>
        <v>1.2997399999999999</v>
      </c>
      <c r="CF57" s="182">
        <f t="shared" si="23"/>
        <v>2.4278664844556354E-4</v>
      </c>
      <c r="CG57" s="187">
        <f>AD57+AI57+AN57+BB57+BT57+BY57</f>
        <v>1.2997399999999999</v>
      </c>
      <c r="CH57" s="182">
        <f t="shared" si="24"/>
        <v>2.4278664844556354E-4</v>
      </c>
    </row>
    <row r="58" spans="1:86" s="204" customFormat="1" x14ac:dyDescent="0.35">
      <c r="B58" s="197" t="s">
        <v>427</v>
      </c>
      <c r="C58" s="180">
        <f t="shared" si="235"/>
        <v>3.6802999999999999</v>
      </c>
      <c r="D58" s="182">
        <f>C58/$C$46*100%</f>
        <v>1.1028403299458026E-3</v>
      </c>
      <c r="E58" s="181">
        <f>SUMIF('04.conso TB'!A:A,'Apr-26'!B58,'04.conso TB'!R:R)/10^5</f>
        <v>3.6802999999999999</v>
      </c>
      <c r="F58" s="182">
        <f t="shared" si="1"/>
        <v>1.1028403299458026E-3</v>
      </c>
      <c r="G58" s="180">
        <f t="shared" si="236"/>
        <v>2.1754600000000002</v>
      </c>
      <c r="H58" s="182">
        <f t="shared" si="2"/>
        <v>1.8415075212220382E-3</v>
      </c>
      <c r="I58" s="181">
        <f>SUMIF('04.conso TB'!A:A,'Apr-26'!B58,'04.conso TB'!S:S)/10^5</f>
        <v>2.1754600000000002</v>
      </c>
      <c r="J58" s="182">
        <f t="shared" si="3"/>
        <v>1.8415075212220382E-3</v>
      </c>
      <c r="K58" s="180">
        <f t="shared" si="237"/>
        <v>0</v>
      </c>
      <c r="L58" s="182">
        <f>K58/$C$46*100%</f>
        <v>0</v>
      </c>
      <c r="M58" s="181">
        <f>SUMIF('04.conso TB'!A:A,'Apr-26'!B58,'04.conso TB'!T:T)/10^5</f>
        <v>0</v>
      </c>
      <c r="N58" s="182">
        <f>M58/$C$46*100%</f>
        <v>0</v>
      </c>
      <c r="O58" s="180">
        <f t="shared" si="238"/>
        <v>0.46729999999999999</v>
      </c>
      <c r="P58" s="182">
        <f t="shared" si="4"/>
        <v>4.9883091731711031E-4</v>
      </c>
      <c r="Q58" s="181">
        <f>SUMIF('04.conso TB'!A:A,'Apr-26'!B58,'04.conso TB'!U:U)/10^5</f>
        <v>0.46729999999999999</v>
      </c>
      <c r="R58" s="182">
        <f t="shared" si="5"/>
        <v>4.9883091731711031E-4</v>
      </c>
      <c r="S58" s="180">
        <f t="shared" si="239"/>
        <v>0.17126</v>
      </c>
      <c r="T58" s="182">
        <f t="shared" si="6"/>
        <v>3.5118695551795802E-3</v>
      </c>
      <c r="U58" s="183">
        <f>SUMIF('04.conso TB'!A:A,'Apr-26'!B58,'04.conso TB'!V:V)/10^5</f>
        <v>0.17126</v>
      </c>
      <c r="V58" s="182">
        <f t="shared" si="7"/>
        <v>3.5118695551795802E-3</v>
      </c>
      <c r="W58" s="180">
        <f t="shared" si="240"/>
        <v>0.39118999999999998</v>
      </c>
      <c r="X58" s="182">
        <f t="shared" si="8"/>
        <v>5.2532696100811892E-3</v>
      </c>
      <c r="Y58" s="181">
        <f>SUMIF('04.conso TB'!A:A,'Apr-26'!B58,'04.conso TB'!G:G)/10^5</f>
        <v>0.39118999999999998</v>
      </c>
      <c r="Z58" s="182">
        <f t="shared" si="9"/>
        <v>5.2532696100811892E-3</v>
      </c>
      <c r="AA58" s="185"/>
      <c r="AB58" s="180">
        <f t="shared" si="241"/>
        <v>6.88551</v>
      </c>
      <c r="AC58" s="182">
        <f t="shared" si="10"/>
        <v>1.3161463797007509E-3</v>
      </c>
      <c r="AD58" s="187">
        <f>E58+I58+M58+Q58+U58+Y58</f>
        <v>6.88551</v>
      </c>
      <c r="AE58" s="182">
        <f t="shared" si="11"/>
        <v>1.3161463797007509E-3</v>
      </c>
      <c r="AF58" s="186"/>
      <c r="AG58" s="180">
        <f t="shared" si="242"/>
        <v>1.29379</v>
      </c>
      <c r="AH58" s="182">
        <f t="shared" si="12"/>
        <v>3.4920703353055276E-3</v>
      </c>
      <c r="AI58" s="183">
        <f>SUMIF('04.conso TB'!A:A,'Apr-26'!B58,'04.conso TB'!Q:Q)/10^5</f>
        <v>1.29379</v>
      </c>
      <c r="AJ58" s="184">
        <f>AI58/$AI$46*100%</f>
        <v>3.4920703353055276E-3</v>
      </c>
      <c r="AK58" s="186"/>
      <c r="AL58" s="180">
        <f t="shared" si="243"/>
        <v>0.38170999999999999</v>
      </c>
      <c r="AM58" s="182">
        <f t="shared" si="13"/>
        <v>3.3538931387702963E-4</v>
      </c>
      <c r="AN58" s="181">
        <f>SUMIF('04.conso TB'!A:A,'Apr-26'!B58,'04.conso TB'!W:W)/10^5</f>
        <v>0.38170999999999999</v>
      </c>
      <c r="AO58" s="184">
        <f>AN58/$AN$46*100%</f>
        <v>3.3538931387702963E-4</v>
      </c>
      <c r="AP58" s="545"/>
      <c r="AQ58" s="180">
        <f t="shared" si="244"/>
        <v>2.6310699999999998</v>
      </c>
      <c r="AR58" s="182">
        <f t="shared" si="14"/>
        <v>1.4363989620543658E-3</v>
      </c>
      <c r="AS58" s="183">
        <f>SUMIF('04.conso TB'!A:A,'Apr-26'!B58,'04.conso TB'!M:M)/10^5</f>
        <v>2.6310699999999998</v>
      </c>
      <c r="AT58" s="184">
        <f>AS58/$AS$46*100%</f>
        <v>1.4363989620543658E-3</v>
      </c>
      <c r="AU58" s="180">
        <f t="shared" si="245"/>
        <v>0</v>
      </c>
      <c r="AV58" s="182">
        <f>AU58/$C$46*100%</f>
        <v>0</v>
      </c>
      <c r="AW58" s="183">
        <f>SUMIF('04.conso TB'!A:A,'Apr-26'!B58,'04.conso TB'!P:P)/10^5</f>
        <v>0</v>
      </c>
      <c r="AX58" s="184">
        <f>AW58/$AW$46*100%</f>
        <v>0</v>
      </c>
      <c r="AY58" s="195"/>
      <c r="AZ58" s="180">
        <f t="shared" si="246"/>
        <v>2.6310699999999998</v>
      </c>
      <c r="BA58" s="182">
        <f t="shared" si="15"/>
        <v>9.8080321950831011E-4</v>
      </c>
      <c r="BB58" s="190">
        <f t="shared" si="247"/>
        <v>2.6310699999999998</v>
      </c>
      <c r="BC58" s="184">
        <f>BB58/$BB$46*100%</f>
        <v>9.8080321950831011E-4</v>
      </c>
      <c r="BD58" s="191"/>
      <c r="BE58" s="180">
        <f t="shared" si="248"/>
        <v>0.1103</v>
      </c>
      <c r="BF58" s="182">
        <f t="shared" si="16"/>
        <v>5.7924086753536161E-5</v>
      </c>
      <c r="BG58" s="183">
        <f>SUMIF('04.conso TB'!A:A,'Apr-26'!B58,'04.conso TB'!H:H)/10^5</f>
        <v>0.1103</v>
      </c>
      <c r="BH58" s="184">
        <f>BG58/$BG$46*100%</f>
        <v>5.7924086753536161E-5</v>
      </c>
      <c r="BI58" s="180">
        <f t="shared" si="249"/>
        <v>-4.8599999999999997E-2</v>
      </c>
      <c r="BJ58" s="182">
        <f t="shared" si="17"/>
        <v>-2.5076612016593806E-3</v>
      </c>
      <c r="BK58" s="183">
        <f>SUMIF('04.conso TB'!A:A,'Apr-26'!B58,'04.conso TB'!I:I)/10^5</f>
        <v>-4.8599999999999997E-2</v>
      </c>
      <c r="BL58" s="184">
        <f>BK58/$BK$46*100%</f>
        <v>-2.5076612016593806E-3</v>
      </c>
      <c r="BM58" s="180">
        <f t="shared" si="250"/>
        <v>0</v>
      </c>
      <c r="BN58" s="182">
        <f>BM58/$C$46*100%</f>
        <v>0</v>
      </c>
      <c r="BO58" s="181">
        <f>SUMIF('04.conso TB'!A:A,'Apr-26'!B58,'04.conso TB'!J:J)/10^5</f>
        <v>0</v>
      </c>
      <c r="BP58" s="182">
        <f>BO58/$C$46*100%</f>
        <v>0</v>
      </c>
      <c r="BQ58" s="192"/>
      <c r="BR58" s="180">
        <f t="shared" si="251"/>
        <v>6.1699999999999998E-2</v>
      </c>
      <c r="BS58" s="182">
        <f t="shared" si="18"/>
        <v>3.347347683827411E-5</v>
      </c>
      <c r="BT58" s="183">
        <f t="shared" si="19"/>
        <v>6.1699999999999998E-2</v>
      </c>
      <c r="BU58" s="182">
        <f t="shared" si="20"/>
        <v>3.347347683827411E-5</v>
      </c>
      <c r="BV58" s="191"/>
      <c r="BW58" s="180">
        <f t="shared" si="252"/>
        <v>0</v>
      </c>
      <c r="BX58" s="182">
        <f t="shared" si="21"/>
        <v>0</v>
      </c>
      <c r="BY58" s="183">
        <f>SUMIF('04.conso TB'!A:A,'Apr-26'!B58,'04.conso TB'!L:L)/10^5</f>
        <v>0</v>
      </c>
      <c r="BZ58" s="182">
        <f t="shared" si="22"/>
        <v>0</v>
      </c>
      <c r="CA58" s="191"/>
      <c r="CB58" s="180">
        <f t="shared" si="253"/>
        <v>0</v>
      </c>
      <c r="CC58" s="346"/>
      <c r="CD58" s="186"/>
      <c r="CE58" s="187">
        <f>AB58+AG58+AL58+AZ58+BR58+BW58</f>
        <v>11.253779999999999</v>
      </c>
      <c r="CF58" s="182">
        <f t="shared" si="23"/>
        <v>2.1021646856630664E-3</v>
      </c>
      <c r="CG58" s="187">
        <f>AD58+AI58+AN58+BB58+BT58+BY58</f>
        <v>11.253779999999999</v>
      </c>
      <c r="CH58" s="182">
        <f t="shared" si="24"/>
        <v>2.1021646856630664E-3</v>
      </c>
    </row>
    <row r="59" spans="1:86" s="204" customFormat="1" x14ac:dyDescent="0.35">
      <c r="B59" s="197" t="s">
        <v>434</v>
      </c>
      <c r="C59" s="180">
        <f t="shared" si="235"/>
        <v>62.862050000000004</v>
      </c>
      <c r="D59" s="182">
        <f>C59/$C$46*100%</f>
        <v>1.8837269777754406E-2</v>
      </c>
      <c r="E59" s="181">
        <f>SUMIF('04.conso TB'!A:A,'Apr-26'!B59,'04.conso TB'!R:R)/10^5</f>
        <v>62.862050000000004</v>
      </c>
      <c r="F59" s="182">
        <f t="shared" si="1"/>
        <v>1.8837269777754406E-2</v>
      </c>
      <c r="G59" s="180">
        <f t="shared" si="236"/>
        <v>1.48933</v>
      </c>
      <c r="H59" s="182">
        <f t="shared" si="2"/>
        <v>1.2607045850448265E-3</v>
      </c>
      <c r="I59" s="181">
        <f>SUMIF('04.conso TB'!A:A,'Apr-26'!B59,'04.conso TB'!S:S)/10^5</f>
        <v>1.48933</v>
      </c>
      <c r="J59" s="182">
        <f t="shared" si="3"/>
        <v>1.2607045850448265E-3</v>
      </c>
      <c r="K59" s="180">
        <f t="shared" si="237"/>
        <v>0</v>
      </c>
      <c r="L59" s="182">
        <f>K59/$C$46*100%</f>
        <v>0</v>
      </c>
      <c r="M59" s="181">
        <f>SUMIF('04.conso TB'!A:A,'Apr-26'!B59,'04.conso TB'!T:T)/10^5</f>
        <v>0</v>
      </c>
      <c r="N59" s="182">
        <f>M59/$C$46*100%</f>
        <v>0</v>
      </c>
      <c r="O59" s="180">
        <f t="shared" si="238"/>
        <v>72.062299999999993</v>
      </c>
      <c r="P59" s="182">
        <f t="shared" si="4"/>
        <v>7.6924680532807183E-2</v>
      </c>
      <c r="Q59" s="181">
        <f>SUMIF('04.conso TB'!A:A,'Apr-26'!B59,'04.conso TB'!U:U)/10^5</f>
        <v>72.062299999999993</v>
      </c>
      <c r="R59" s="182">
        <f t="shared" si="5"/>
        <v>7.6924680532807183E-2</v>
      </c>
      <c r="S59" s="180">
        <f t="shared" si="239"/>
        <v>0</v>
      </c>
      <c r="T59" s="182">
        <f t="shared" si="6"/>
        <v>0</v>
      </c>
      <c r="U59" s="183">
        <f>SUMIF('04.conso TB'!A:A,'Apr-26'!B59,'04.conso TB'!V:V)/10^5</f>
        <v>0</v>
      </c>
      <c r="V59" s="182">
        <f t="shared" si="7"/>
        <v>0</v>
      </c>
      <c r="W59" s="180">
        <f t="shared" si="240"/>
        <v>0</v>
      </c>
      <c r="X59" s="182">
        <f t="shared" si="8"/>
        <v>0</v>
      </c>
      <c r="Y59" s="181">
        <f>SUMIF('04.conso TB'!A:A,'Apr-26'!B59,'04.conso TB'!G:G)/10^5</f>
        <v>0</v>
      </c>
      <c r="Z59" s="182">
        <f t="shared" si="9"/>
        <v>0</v>
      </c>
      <c r="AA59" s="185"/>
      <c r="AB59" s="180">
        <f t="shared" si="241"/>
        <v>136.41368</v>
      </c>
      <c r="AC59" s="182">
        <f t="shared" si="10"/>
        <v>2.6075101346691346E-2</v>
      </c>
      <c r="AD59" s="187">
        <f>E59+I59+M59+Q59+U59+Y59</f>
        <v>136.41368</v>
      </c>
      <c r="AE59" s="182">
        <f t="shared" si="11"/>
        <v>2.6075101346691346E-2</v>
      </c>
      <c r="AF59" s="186"/>
      <c r="AG59" s="180">
        <f t="shared" si="242"/>
        <v>92.537909999999997</v>
      </c>
      <c r="AH59" s="182">
        <f t="shared" si="12"/>
        <v>0.24976919778493631</v>
      </c>
      <c r="AI59" s="183">
        <f>SUMIF('04.conso TB'!A:A,'Apr-26'!B59,'04.conso TB'!Q:Q)/10^5</f>
        <v>92.537909999999997</v>
      </c>
      <c r="AJ59" s="184">
        <f>AI59/$AI$46*100%</f>
        <v>0.24976919778493631</v>
      </c>
      <c r="AK59" s="186"/>
      <c r="AL59" s="180">
        <f t="shared" si="243"/>
        <v>76.607680000000002</v>
      </c>
      <c r="AM59" s="182">
        <f t="shared" si="13"/>
        <v>6.7311302383775765E-2</v>
      </c>
      <c r="AN59" s="181">
        <f>SUMIF('04.conso TB'!A:A,'Apr-26'!B59,'04.conso TB'!W:W)/10^5</f>
        <v>76.607680000000002</v>
      </c>
      <c r="AO59" s="184">
        <f>AN59/$AN$46*100%</f>
        <v>6.7311302383775765E-2</v>
      </c>
      <c r="AP59" s="545"/>
      <c r="AQ59" s="180">
        <f t="shared" si="244"/>
        <v>46.843899999999998</v>
      </c>
      <c r="AR59" s="182">
        <f t="shared" si="14"/>
        <v>2.5573827126826161E-2</v>
      </c>
      <c r="AS59" s="183">
        <f>SUMIF('04.conso TB'!A:A,'Apr-26'!B59,'04.conso TB'!M:M)/10^5</f>
        <v>46.843899999999998</v>
      </c>
      <c r="AT59" s="184">
        <f>AS59/$AS$46*100%</f>
        <v>2.5573827126826161E-2</v>
      </c>
      <c r="AU59" s="180">
        <f t="shared" si="245"/>
        <v>0</v>
      </c>
      <c r="AV59" s="182">
        <f>AU59/$C$46*100%</f>
        <v>0</v>
      </c>
      <c r="AW59" s="183">
        <f>SUMIF('04.conso TB'!A:A,'Apr-26'!B59,'04.conso TB'!P:P)/10^5</f>
        <v>0</v>
      </c>
      <c r="AX59" s="184">
        <f>AW59/$AW$46*100%</f>
        <v>0</v>
      </c>
      <c r="AY59" s="195"/>
      <c r="AZ59" s="180">
        <f t="shared" si="246"/>
        <v>46.843899999999998</v>
      </c>
      <c r="BA59" s="182">
        <f t="shared" si="15"/>
        <v>1.7462343432263425E-2</v>
      </c>
      <c r="BB59" s="190">
        <f t="shared" si="247"/>
        <v>46.843899999999998</v>
      </c>
      <c r="BC59" s="184">
        <f>BB59/$BB$46*100%</f>
        <v>1.7462343432263425E-2</v>
      </c>
      <c r="BD59" s="191"/>
      <c r="BE59" s="180">
        <f t="shared" si="248"/>
        <v>27.118459999999999</v>
      </c>
      <c r="BF59" s="182">
        <f t="shared" si="16"/>
        <v>1.4241269534563013E-2</v>
      </c>
      <c r="BG59" s="183">
        <f>SUMIF('04.conso TB'!A:A,'Apr-26'!B59,'04.conso TB'!H:H)/10^5</f>
        <v>27.118459999999999</v>
      </c>
      <c r="BH59" s="184">
        <f>BG59/$BG$46*100%</f>
        <v>1.4241269534563013E-2</v>
      </c>
      <c r="BI59" s="180">
        <f t="shared" si="249"/>
        <v>0.5454</v>
      </c>
      <c r="BJ59" s="182">
        <f t="shared" si="17"/>
        <v>2.8141531263066382E-2</v>
      </c>
      <c r="BK59" s="183">
        <f>SUMIF('04.conso TB'!A:A,'Apr-26'!B59,'04.conso TB'!I:I)/10^5</f>
        <v>0.5454</v>
      </c>
      <c r="BL59" s="184">
        <f>BK59/$BK$46*100%</f>
        <v>2.8141531263066382E-2</v>
      </c>
      <c r="BM59" s="180">
        <f t="shared" si="250"/>
        <v>0</v>
      </c>
      <c r="BN59" s="182">
        <f>BM59/$C$46*100%</f>
        <v>0</v>
      </c>
      <c r="BO59" s="181">
        <f>SUMIF('04.conso TB'!A:A,'Apr-26'!B59,'04.conso TB'!J:J)/10^5</f>
        <v>0</v>
      </c>
      <c r="BP59" s="182">
        <f>BO59/$C$46*100%</f>
        <v>0</v>
      </c>
      <c r="BQ59" s="192"/>
      <c r="BR59" s="180">
        <f t="shared" si="251"/>
        <v>27.66386</v>
      </c>
      <c r="BS59" s="182">
        <f t="shared" si="18"/>
        <v>1.5008194116163011E-2</v>
      </c>
      <c r="BT59" s="183">
        <f t="shared" si="19"/>
        <v>27.66386</v>
      </c>
      <c r="BU59" s="182">
        <f t="shared" si="20"/>
        <v>1.5008194116163009E-2</v>
      </c>
      <c r="BV59" s="191"/>
      <c r="BW59" s="180">
        <f t="shared" si="252"/>
        <v>0</v>
      </c>
      <c r="BX59" s="182">
        <f t="shared" si="21"/>
        <v>0</v>
      </c>
      <c r="BY59" s="183">
        <f>SUMIF('04.conso TB'!A:A,'Apr-26'!B59,'04.conso TB'!L:L)/10^5</f>
        <v>0</v>
      </c>
      <c r="BZ59" s="182">
        <f t="shared" si="22"/>
        <v>0</v>
      </c>
      <c r="CA59" s="191"/>
      <c r="CB59" s="180">
        <f t="shared" si="253"/>
        <v>0</v>
      </c>
      <c r="CC59" s="346"/>
      <c r="CD59" s="186"/>
      <c r="CE59" s="187">
        <f>AB59+AG59+AL59+AZ59+BR59+BW59</f>
        <v>380.06703000000005</v>
      </c>
      <c r="CF59" s="182">
        <f t="shared" si="23"/>
        <v>7.099512240783501E-2</v>
      </c>
      <c r="CG59" s="187">
        <f>AD59+AI59+AN59+BB59+BT59+BY59</f>
        <v>380.06703000000005</v>
      </c>
      <c r="CH59" s="182">
        <f t="shared" si="24"/>
        <v>7.099512240783501E-2</v>
      </c>
    </row>
    <row r="60" spans="1:86" ht="15.5" x14ac:dyDescent="0.35">
      <c r="A60" s="218"/>
      <c r="B60" s="280" t="s">
        <v>486</v>
      </c>
      <c r="C60" s="148">
        <f t="shared" ref="C60:AD60" si="254">SUM(C55:C59)</f>
        <v>128.81021000000001</v>
      </c>
      <c r="D60" s="151">
        <f t="shared" si="254"/>
        <v>3.8599324646574493E-2</v>
      </c>
      <c r="E60" s="149">
        <f t="shared" si="254"/>
        <v>128.81021000000001</v>
      </c>
      <c r="F60" s="182">
        <f t="shared" si="1"/>
        <v>3.85993246465745E-2</v>
      </c>
      <c r="G60" s="148">
        <f t="shared" ref="G60" si="255">SUM(G55:G59)</f>
        <v>182.41525999999999</v>
      </c>
      <c r="H60" s="182">
        <f t="shared" si="2"/>
        <v>0.15441289349180107</v>
      </c>
      <c r="I60" s="149">
        <f t="shared" si="254"/>
        <v>182.41525999999999</v>
      </c>
      <c r="J60" s="182">
        <f t="shared" si="3"/>
        <v>0.15441289349180107</v>
      </c>
      <c r="K60" s="148">
        <f t="shared" ref="K60" si="256">SUM(K55:K59)</f>
        <v>2.4283800000000002</v>
      </c>
      <c r="L60" s="151">
        <f t="shared" ref="L60" si="257">SUM(L55:L59)</f>
        <v>7.2768942761019162E-4</v>
      </c>
      <c r="M60" s="149">
        <f t="shared" si="254"/>
        <v>2.4283800000000002</v>
      </c>
      <c r="N60" s="151">
        <f t="shared" ref="N60" si="258">SUM(N55:N59)</f>
        <v>7.2768942761019162E-4</v>
      </c>
      <c r="O60" s="148">
        <f t="shared" ref="O60" si="259">SUM(O55:O59)</f>
        <v>83.861249999999998</v>
      </c>
      <c r="P60" s="182">
        <f t="shared" si="4"/>
        <v>8.9519760892059749E-2</v>
      </c>
      <c r="Q60" s="149">
        <f t="shared" si="254"/>
        <v>83.861249999999998</v>
      </c>
      <c r="R60" s="182">
        <f t="shared" si="5"/>
        <v>8.9519760892059749E-2</v>
      </c>
      <c r="S60" s="148">
        <f t="shared" ref="S60" si="260">SUM(S55:S59)</f>
        <v>25.307980000000001</v>
      </c>
      <c r="T60" s="182">
        <f t="shared" si="6"/>
        <v>0.51896721047000882</v>
      </c>
      <c r="U60" s="152">
        <f t="shared" si="254"/>
        <v>25.307980000000001</v>
      </c>
      <c r="V60" s="182">
        <f t="shared" si="7"/>
        <v>0.51896721047000882</v>
      </c>
      <c r="W60" s="148">
        <f t="shared" ref="W60" si="261">SUM(W55:W59)</f>
        <v>0.39118999999999998</v>
      </c>
      <c r="X60" s="182">
        <f t="shared" si="8"/>
        <v>5.2532696100811892E-3</v>
      </c>
      <c r="Y60" s="149">
        <f t="shared" si="254"/>
        <v>0.39118999999999998</v>
      </c>
      <c r="Z60" s="182">
        <f t="shared" si="9"/>
        <v>5.2532696100811892E-3</v>
      </c>
      <c r="AA60" s="154">
        <f t="shared" si="254"/>
        <v>0</v>
      </c>
      <c r="AB60" s="148">
        <f t="shared" si="254"/>
        <v>423.21427</v>
      </c>
      <c r="AC60" s="182">
        <f t="shared" si="10"/>
        <v>8.0896248687199065E-2</v>
      </c>
      <c r="AD60" s="152">
        <f t="shared" si="254"/>
        <v>423.21427</v>
      </c>
      <c r="AE60" s="182">
        <f t="shared" si="11"/>
        <v>8.0896248687199065E-2</v>
      </c>
      <c r="AF60" s="511">
        <f>AG60/$AG$1*10^5</f>
        <v>38.241121108810461</v>
      </c>
      <c r="AG60" s="148">
        <f t="shared" ref="AG60" si="262">SUM(AG55:AG59)</f>
        <v>140.54721000000001</v>
      </c>
      <c r="AH60" s="182">
        <f t="shared" si="12"/>
        <v>0.37935116421595194</v>
      </c>
      <c r="AI60" s="152">
        <f t="shared" ref="AI60:AJ60" si="263">SUM(AI55:AI59)</f>
        <v>140.54721000000001</v>
      </c>
      <c r="AJ60" s="153">
        <f t="shared" si="263"/>
        <v>0.37935116421595189</v>
      </c>
      <c r="AK60" s="437">
        <f>AL60/$AL$1*10^5</f>
        <v>23.867411508432514</v>
      </c>
      <c r="AL60" s="148">
        <f t="shared" ref="AL60" si="264">SUM(AL55:AL59)</f>
        <v>105.40421740000001</v>
      </c>
      <c r="AM60" s="182">
        <f t="shared" si="13"/>
        <v>9.2613366570252986E-2</v>
      </c>
      <c r="AN60" s="149">
        <f>SUM(AN55:AN59)</f>
        <v>105.40421740000001</v>
      </c>
      <c r="AO60" s="153">
        <f>SUM(AO55:AO59)</f>
        <v>9.2613366570253E-2</v>
      </c>
      <c r="AP60" s="546">
        <f>AQ60/$AQ$1*10^5</f>
        <v>35.778124869142829</v>
      </c>
      <c r="AQ60" s="148">
        <f t="shared" ref="AQ60" si="265">SUM(AQ55:AQ59)</f>
        <v>213.60434999999998</v>
      </c>
      <c r="AR60" s="182">
        <f t="shared" si="14"/>
        <v>0.11661455857514147</v>
      </c>
      <c r="AS60" s="152">
        <f t="shared" ref="AS60:AX60" si="266">SUM(AS55:AS59)</f>
        <v>213.60434999999998</v>
      </c>
      <c r="AT60" s="153">
        <f t="shared" si="266"/>
        <v>0.1166145585751415</v>
      </c>
      <c r="AU60" s="148">
        <f t="shared" ref="AU60" si="267">SUM(AU55:AU59)</f>
        <v>1.0370999999999999</v>
      </c>
      <c r="AV60" s="151">
        <f t="shared" ref="AV60" si="268">SUM(AV55:AV59)</f>
        <v>3.1077784587854026E-4</v>
      </c>
      <c r="AW60" s="152">
        <f t="shared" si="266"/>
        <v>1.0370999999999999</v>
      </c>
      <c r="AX60" s="153">
        <f t="shared" si="266"/>
        <v>1.2188928792592855E-3</v>
      </c>
      <c r="AY60" s="163"/>
      <c r="AZ60" s="148">
        <f t="shared" ref="AZ60" si="269">SUM(AZ55:AZ59)</f>
        <v>214.64144999999999</v>
      </c>
      <c r="BA60" s="182">
        <f t="shared" si="15"/>
        <v>8.001346417994655E-2</v>
      </c>
      <c r="BB60" s="157">
        <f>SUM(BB55:BB59)</f>
        <v>214.64144999999999</v>
      </c>
      <c r="BC60" s="153">
        <f>SUM(BC55:BC59)</f>
        <v>8.0013464179946564E-2</v>
      </c>
      <c r="BD60" s="178"/>
      <c r="BE60" s="148">
        <f t="shared" ref="BE60" si="270">SUM(BE55:BE59)</f>
        <v>89.08099</v>
      </c>
      <c r="BF60" s="182">
        <f t="shared" si="16"/>
        <v>4.6780915619681666E-2</v>
      </c>
      <c r="BG60" s="152">
        <f t="shared" ref="BG60:BO60" si="271">SUM(BG55:BG59)</f>
        <v>89.08099</v>
      </c>
      <c r="BH60" s="153">
        <f t="shared" si="271"/>
        <v>4.6780915619681666E-2</v>
      </c>
      <c r="BI60" s="148">
        <f t="shared" ref="BI60" si="272">SUM(BI55:BI59)</f>
        <v>9.5804300000000016</v>
      </c>
      <c r="BJ60" s="182">
        <f t="shared" si="17"/>
        <v>0.4943307120620079</v>
      </c>
      <c r="BK60" s="152">
        <f t="shared" si="271"/>
        <v>9.5804300000000016</v>
      </c>
      <c r="BL60" s="153">
        <f t="shared" si="271"/>
        <v>0.49433071206200779</v>
      </c>
      <c r="BM60" s="148">
        <f t="shared" ref="BM60" si="273">SUM(BM55:BM59)</f>
        <v>0</v>
      </c>
      <c r="BN60" s="151">
        <f t="shared" ref="BN60" si="274">SUM(BN55:BN59)</f>
        <v>0</v>
      </c>
      <c r="BO60" s="149">
        <f t="shared" si="271"/>
        <v>0</v>
      </c>
      <c r="BP60" s="151">
        <f t="shared" ref="BP60" si="275">SUM(BP55:BP59)</f>
        <v>0</v>
      </c>
      <c r="BQ60" s="164"/>
      <c r="BR60" s="148">
        <f t="shared" ref="BR60" si="276">SUM(BR55:BR59)</f>
        <v>98.661420000000007</v>
      </c>
      <c r="BS60" s="182">
        <f t="shared" si="18"/>
        <v>5.3525782126438159E-2</v>
      </c>
      <c r="BT60" s="183">
        <f t="shared" si="19"/>
        <v>98.661420000000007</v>
      </c>
      <c r="BU60" s="182">
        <f t="shared" si="20"/>
        <v>5.3525782126438153E-2</v>
      </c>
      <c r="BV60" s="159"/>
      <c r="BW60" s="148">
        <f t="shared" ref="BW60" si="277">SUM(BW55:BW59)</f>
        <v>0.42670000000000002</v>
      </c>
      <c r="BX60" s="182">
        <f t="shared" si="21"/>
        <v>2.4977228656628485E-4</v>
      </c>
      <c r="BY60" s="152">
        <f t="shared" ref="BY60" si="278">SUM(BY55:BY59)</f>
        <v>0.42670000000000002</v>
      </c>
      <c r="BZ60" s="182">
        <f t="shared" si="22"/>
        <v>2.4977228656628485E-4</v>
      </c>
      <c r="CA60" s="178"/>
      <c r="CB60" s="148">
        <f t="shared" ref="CB60" si="279">SUM(CB55:CB59)</f>
        <v>0</v>
      </c>
      <c r="CC60" s="361"/>
      <c r="CD60" s="528"/>
      <c r="CE60" s="156">
        <f>SUM(CE55:CE59)</f>
        <v>982.89526740000008</v>
      </c>
      <c r="CF60" s="182">
        <f t="shared" si="23"/>
        <v>0.18360121850912645</v>
      </c>
      <c r="CG60" s="152">
        <f>SUM(CG55:CG59)</f>
        <v>982.89526740000008</v>
      </c>
      <c r="CH60" s="182">
        <f t="shared" si="24"/>
        <v>0.18360121850912645</v>
      </c>
    </row>
    <row r="61" spans="1:86" x14ac:dyDescent="0.35">
      <c r="B61" s="86" t="s">
        <v>487</v>
      </c>
      <c r="C61" s="136"/>
      <c r="D61" s="402"/>
      <c r="E61" s="134"/>
      <c r="F61" s="182">
        <f t="shared" si="1"/>
        <v>0</v>
      </c>
      <c r="G61" s="136"/>
      <c r="H61" s="182">
        <f t="shared" si="2"/>
        <v>0</v>
      </c>
      <c r="I61" s="134"/>
      <c r="J61" s="182">
        <f t="shared" si="3"/>
        <v>0</v>
      </c>
      <c r="K61" s="136"/>
      <c r="L61" s="402"/>
      <c r="M61" s="134"/>
      <c r="N61" s="402"/>
      <c r="O61" s="136"/>
      <c r="P61" s="182">
        <f t="shared" si="4"/>
        <v>0</v>
      </c>
      <c r="Q61" s="134"/>
      <c r="R61" s="182">
        <f t="shared" si="5"/>
        <v>0</v>
      </c>
      <c r="S61" s="136"/>
      <c r="T61" s="182">
        <f t="shared" si="6"/>
        <v>0</v>
      </c>
      <c r="U61" s="131"/>
      <c r="V61" s="182">
        <f t="shared" si="7"/>
        <v>0</v>
      </c>
      <c r="W61" s="136"/>
      <c r="X61" s="182">
        <f t="shared" si="8"/>
        <v>0</v>
      </c>
      <c r="Y61" s="134"/>
      <c r="Z61" s="182">
        <f t="shared" si="9"/>
        <v>0</v>
      </c>
      <c r="AA61" s="176"/>
      <c r="AB61" s="136"/>
      <c r="AC61" s="182">
        <f t="shared" si="10"/>
        <v>0</v>
      </c>
      <c r="AD61" s="131"/>
      <c r="AE61" s="182">
        <f t="shared" si="11"/>
        <v>0</v>
      </c>
      <c r="AF61" s="139"/>
      <c r="AG61" s="136"/>
      <c r="AH61" s="182">
        <f t="shared" si="12"/>
        <v>0</v>
      </c>
      <c r="AI61" s="131"/>
      <c r="AJ61" s="132"/>
      <c r="AK61" s="139"/>
      <c r="AL61" s="136"/>
      <c r="AM61" s="182">
        <f t="shared" si="13"/>
        <v>0</v>
      </c>
      <c r="AN61" s="134"/>
      <c r="AO61" s="132"/>
      <c r="AP61" s="139"/>
      <c r="AQ61" s="136"/>
      <c r="AR61" s="182">
        <f t="shared" si="14"/>
        <v>0</v>
      </c>
      <c r="AS61" s="131"/>
      <c r="AT61" s="132"/>
      <c r="AU61" s="136"/>
      <c r="AV61" s="402"/>
      <c r="AW61" s="131"/>
      <c r="AX61" s="132"/>
      <c r="AY61" s="142"/>
      <c r="AZ61" s="136"/>
      <c r="BA61" s="182">
        <f t="shared" si="15"/>
        <v>0</v>
      </c>
      <c r="BB61" s="143"/>
      <c r="BC61" s="132"/>
      <c r="BD61" s="178"/>
      <c r="BE61" s="136"/>
      <c r="BF61" s="182">
        <f t="shared" si="16"/>
        <v>0</v>
      </c>
      <c r="BG61" s="131"/>
      <c r="BH61" s="132"/>
      <c r="BI61" s="136"/>
      <c r="BJ61" s="182">
        <f t="shared" si="17"/>
        <v>0</v>
      </c>
      <c r="BK61" s="131"/>
      <c r="BL61" s="132"/>
      <c r="BM61" s="136"/>
      <c r="BN61" s="402"/>
      <c r="BO61" s="134"/>
      <c r="BP61" s="402"/>
      <c r="BQ61" s="147"/>
      <c r="BR61" s="136"/>
      <c r="BS61" s="182">
        <f t="shared" si="18"/>
        <v>0</v>
      </c>
      <c r="BT61" s="183">
        <f t="shared" si="19"/>
        <v>0</v>
      </c>
      <c r="BU61" s="182">
        <f t="shared" si="20"/>
        <v>0</v>
      </c>
      <c r="BV61" s="144"/>
      <c r="BW61" s="136"/>
      <c r="BX61" s="182">
        <f t="shared" si="21"/>
        <v>0</v>
      </c>
      <c r="BY61" s="131"/>
      <c r="BZ61" s="182">
        <f t="shared" si="22"/>
        <v>0</v>
      </c>
      <c r="CA61" s="178"/>
      <c r="CB61" s="136"/>
      <c r="CC61" s="521"/>
      <c r="CD61" s="139"/>
      <c r="CE61" s="129"/>
      <c r="CF61" s="182">
        <f t="shared" si="23"/>
        <v>0</v>
      </c>
      <c r="CG61" s="131"/>
      <c r="CH61" s="182">
        <f t="shared" si="24"/>
        <v>0</v>
      </c>
    </row>
    <row r="62" spans="1:86" s="204" customFormat="1" ht="15.5" x14ac:dyDescent="0.35">
      <c r="B62" s="197" t="s">
        <v>435</v>
      </c>
      <c r="C62" s="180">
        <f t="shared" ref="C62:C64" si="280">E62</f>
        <v>112.96594449999999</v>
      </c>
      <c r="D62" s="182">
        <f>C62/$C$46*100%</f>
        <v>3.3851425021063281E-2</v>
      </c>
      <c r="E62" s="181">
        <f>SUMIF('04.conso TB'!A:A,'Apr-26'!B62,'04.conso TB'!R:R)/10^5</f>
        <v>112.96594449999999</v>
      </c>
      <c r="F62" s="182">
        <f t="shared" si="1"/>
        <v>3.3851425021063281E-2</v>
      </c>
      <c r="G62" s="180">
        <f t="shared" ref="G62:G64" si="281">I62</f>
        <v>45.611539999999998</v>
      </c>
      <c r="H62" s="182">
        <f t="shared" si="2"/>
        <v>3.8609762516672259E-2</v>
      </c>
      <c r="I62" s="181">
        <f>SUMIF('04.conso TB'!A:A,'Apr-26'!B62,'04.conso TB'!S:S)/10^5</f>
        <v>45.611539999999998</v>
      </c>
      <c r="J62" s="182">
        <f t="shared" si="3"/>
        <v>3.8609762516672259E-2</v>
      </c>
      <c r="K62" s="180">
        <f t="shared" ref="K62:K64" si="282">M62</f>
        <v>0</v>
      </c>
      <c r="L62" s="182">
        <f>K62/$C$46*100%</f>
        <v>0</v>
      </c>
      <c r="M62" s="181">
        <f>SUMIF('04.conso TB'!A:A,'Apr-26'!B62,'04.conso TB'!T:T)/10^5</f>
        <v>0</v>
      </c>
      <c r="N62" s="182">
        <f>M62/$C$46*100%</f>
        <v>0</v>
      </c>
      <c r="O62" s="180">
        <f t="shared" ref="O62:O64" si="283">Q62</f>
        <v>5.5410124999999999</v>
      </c>
      <c r="P62" s="182">
        <f t="shared" si="4"/>
        <v>5.9148905376430021E-3</v>
      </c>
      <c r="Q62" s="181">
        <f>SUMIF('04.conso TB'!A:A,'Apr-26'!B62,'04.conso TB'!U:U)/10^5</f>
        <v>5.5410124999999999</v>
      </c>
      <c r="R62" s="182">
        <f t="shared" si="5"/>
        <v>5.9148905376430021E-3</v>
      </c>
      <c r="S62" s="180">
        <f t="shared" ref="S62:S64" si="284">U62</f>
        <v>0</v>
      </c>
      <c r="T62" s="182">
        <f t="shared" si="6"/>
        <v>0</v>
      </c>
      <c r="U62" s="183">
        <f>SUMIF('04.conso TB'!A:A,'Apr-26'!B62,'04.conso TB'!V:V)/10^5</f>
        <v>0</v>
      </c>
      <c r="V62" s="182">
        <f t="shared" si="7"/>
        <v>0</v>
      </c>
      <c r="W62" s="180">
        <f t="shared" ref="W62:W64" si="285">Y62</f>
        <v>0.2258511</v>
      </c>
      <c r="X62" s="182">
        <f t="shared" si="8"/>
        <v>3.0329423554625824E-3</v>
      </c>
      <c r="Y62" s="181">
        <f>SUMIF('04.conso TB'!A:A,'Apr-26'!B62,'04.conso TB'!G:G)/10^5</f>
        <v>0.2258511</v>
      </c>
      <c r="Z62" s="182">
        <f t="shared" si="9"/>
        <v>3.0329423554625824E-3</v>
      </c>
      <c r="AA62" s="185"/>
      <c r="AB62" s="180">
        <f t="shared" ref="AB62:AB64" si="286">AD62</f>
        <v>164.34434809999999</v>
      </c>
      <c r="AC62" s="182">
        <f t="shared" si="10"/>
        <v>3.1413972062504444E-2</v>
      </c>
      <c r="AD62" s="187">
        <f>E62+I62+M62+Q62+U62+Y62</f>
        <v>164.34434809999999</v>
      </c>
      <c r="AE62" s="182">
        <f t="shared" si="11"/>
        <v>3.1413972062504444E-2</v>
      </c>
      <c r="AF62" s="511">
        <f>AG62/$AG$1*10^5</f>
        <v>5.5268101292687097</v>
      </c>
      <c r="AG62" s="180">
        <f t="shared" ref="AG62:AG64" si="287">AI62</f>
        <v>20.312629999999999</v>
      </c>
      <c r="AH62" s="182">
        <f t="shared" si="12"/>
        <v>5.48258470501682E-2</v>
      </c>
      <c r="AI62" s="183">
        <f>SUMIF('04.conso TB'!A:A,'Apr-26'!B62,'04.conso TB'!Q:Q)/10^5</f>
        <v>20.312629999999999</v>
      </c>
      <c r="AJ62" s="184">
        <f>AI62/$AI$46*100%</f>
        <v>5.48258470501682E-2</v>
      </c>
      <c r="AK62" s="437">
        <f>AL62/$AL$1*10^5</f>
        <v>8.8645587196348004</v>
      </c>
      <c r="AL62" s="180">
        <f t="shared" ref="AL62:AL64" si="288">AN62</f>
        <v>39.148018799999996</v>
      </c>
      <c r="AM62" s="182">
        <f t="shared" si="13"/>
        <v>3.4397388501682051E-2</v>
      </c>
      <c r="AN62" s="181">
        <f>SUMIF('04.conso TB'!A:A,'Apr-26'!B62,'04.conso TB'!W:W)/10^5</f>
        <v>39.148018799999996</v>
      </c>
      <c r="AO62" s="184">
        <f>AN62/$AN$46*100%</f>
        <v>3.4397388501682051E-2</v>
      </c>
      <c r="AP62" s="546">
        <f>AQ62/$AQ$1*10^5</f>
        <v>5.9904476361961398</v>
      </c>
      <c r="AQ62" s="180">
        <f t="shared" ref="AQ62:AQ64" si="289">AS62</f>
        <v>35.764470000000003</v>
      </c>
      <c r="AR62" s="182">
        <f t="shared" si="14"/>
        <v>1.9525154247672816E-2</v>
      </c>
      <c r="AS62" s="183">
        <f>SUMIF('04.conso TB'!A:A,'Apr-26'!B62,'04.conso TB'!M:M)/10^5</f>
        <v>35.764470000000003</v>
      </c>
      <c r="AT62" s="184">
        <f>AS62/$AS$46*100%</f>
        <v>1.9525154247672816E-2</v>
      </c>
      <c r="AU62" s="180">
        <f t="shared" ref="AU62:AU64" si="290">AW62</f>
        <v>1.498E-2</v>
      </c>
      <c r="AV62" s="182">
        <f>AU62/$C$46*100%</f>
        <v>4.4889134425422169E-6</v>
      </c>
      <c r="AW62" s="183">
        <f>SUMIF('04.conso TB'!A:A,'Apr-26'!B62,'04.conso TB'!P:P)/10^5</f>
        <v>1.498E-2</v>
      </c>
      <c r="AX62" s="184">
        <f>AW62/$AW$46*100%</f>
        <v>1.7605838714978397E-5</v>
      </c>
      <c r="AY62" s="195"/>
      <c r="AZ62" s="180">
        <f t="shared" ref="AZ62:AZ64" si="291">BB62</f>
        <v>35.779450000000004</v>
      </c>
      <c r="BA62" s="182">
        <f t="shared" si="15"/>
        <v>1.3337767430070889E-2</v>
      </c>
      <c r="BB62" s="190">
        <f t="shared" ref="BB62:BB64" si="292">AS62+AW62</f>
        <v>35.779450000000004</v>
      </c>
      <c r="BC62" s="184">
        <f>BB62/$BB$46*100%</f>
        <v>1.3337767430070889E-2</v>
      </c>
      <c r="BD62" s="191"/>
      <c r="BE62" s="180">
        <f t="shared" ref="BE62:BE64" si="293">BG62</f>
        <v>84.693575999999993</v>
      </c>
      <c r="BF62" s="182">
        <f t="shared" si="16"/>
        <v>4.4476863496747128E-2</v>
      </c>
      <c r="BG62" s="183">
        <f>SUMIF('04.conso TB'!A:A,'Apr-26'!B62,'04.conso TB'!H:H)/10^5</f>
        <v>84.693575999999993</v>
      </c>
      <c r="BH62" s="184">
        <f>BG62/$BG$46*100%</f>
        <v>4.4476863496747128E-2</v>
      </c>
      <c r="BI62" s="180">
        <f t="shared" ref="BI62:BI64" si="294">BK62</f>
        <v>0</v>
      </c>
      <c r="BJ62" s="182">
        <f t="shared" si="17"/>
        <v>0</v>
      </c>
      <c r="BK62" s="183">
        <f>SUMIF('04.conso TB'!A:A,'Apr-26'!B62,'04.conso TB'!I:I)/10^5</f>
        <v>0</v>
      </c>
      <c r="BL62" s="184">
        <f>BK62/$BK$46*100%</f>
        <v>0</v>
      </c>
      <c r="BM62" s="180">
        <f t="shared" ref="BM62:BM64" si="295">BO62</f>
        <v>0</v>
      </c>
      <c r="BN62" s="182">
        <f>BM62/$C$46*100%</f>
        <v>0</v>
      </c>
      <c r="BO62" s="181">
        <f>SUMIF('04.conso TB'!A:A,'Apr-26'!B62,'04.conso TB'!J:J)/10^5</f>
        <v>0</v>
      </c>
      <c r="BP62" s="182">
        <f>BO62/$C$46*100%</f>
        <v>0</v>
      </c>
      <c r="BQ62" s="192"/>
      <c r="BR62" s="180">
        <f t="shared" ref="BR62:BR64" si="296">BT62</f>
        <v>84.693575999999993</v>
      </c>
      <c r="BS62" s="182">
        <f t="shared" si="18"/>
        <v>4.5947949020852641E-2</v>
      </c>
      <c r="BT62" s="183">
        <f t="shared" si="19"/>
        <v>84.693575999999993</v>
      </c>
      <c r="BU62" s="182">
        <f t="shared" si="20"/>
        <v>4.5947949020852641E-2</v>
      </c>
      <c r="BV62" s="191"/>
      <c r="BW62" s="180">
        <f t="shared" ref="BW62:BW64" si="297">BY62</f>
        <v>0</v>
      </c>
      <c r="BX62" s="182">
        <f t="shared" si="21"/>
        <v>0</v>
      </c>
      <c r="BY62" s="183">
        <f>SUMIF('04.conso TB'!A:A,'Apr-26'!B62,'04.conso TB'!L:L)/10^5</f>
        <v>0</v>
      </c>
      <c r="BZ62" s="182">
        <f t="shared" si="22"/>
        <v>0</v>
      </c>
      <c r="CA62" s="191"/>
      <c r="CB62" s="180">
        <v>0</v>
      </c>
      <c r="CC62" s="346"/>
      <c r="CD62" s="528"/>
      <c r="CE62" s="187">
        <f>AB62+AG62+AL62+AZ62+BR62+BW62</f>
        <v>344.2780229</v>
      </c>
      <c r="CF62" s="182">
        <f t="shared" si="23"/>
        <v>6.4309867599178283E-2</v>
      </c>
      <c r="CG62" s="187">
        <f>AD62+AI62+AN62+BB62+BT62+BY62</f>
        <v>344.2780229</v>
      </c>
      <c r="CH62" s="182">
        <f t="shared" si="24"/>
        <v>6.4309867599178283E-2</v>
      </c>
    </row>
    <row r="63" spans="1:86" s="204" customFormat="1" x14ac:dyDescent="0.35">
      <c r="B63" s="197" t="s">
        <v>438</v>
      </c>
      <c r="C63" s="180">
        <f t="shared" si="280"/>
        <v>121.12096150000001</v>
      </c>
      <c r="D63" s="182">
        <f>C63/$C$46*100%</f>
        <v>3.6295161031441148E-2</v>
      </c>
      <c r="E63" s="181">
        <f>SUMIF('04.conso TB'!A:A,'Apr-26'!B63,'04.conso TB'!R:R)/10^5</f>
        <v>121.12096150000001</v>
      </c>
      <c r="F63" s="182">
        <f t="shared" si="1"/>
        <v>3.6295161031441148E-2</v>
      </c>
      <c r="G63" s="180">
        <f t="shared" si="281"/>
        <v>16.734855100000001</v>
      </c>
      <c r="H63" s="182">
        <f t="shared" si="2"/>
        <v>1.4165905846676556E-2</v>
      </c>
      <c r="I63" s="181">
        <f>SUMIF('04.conso TB'!A:A,'Apr-26'!B63,'04.conso TB'!S:S)/10^5</f>
        <v>16.734855100000001</v>
      </c>
      <c r="J63" s="182">
        <f t="shared" si="3"/>
        <v>1.4165905846676556E-2</v>
      </c>
      <c r="K63" s="180">
        <f t="shared" si="282"/>
        <v>0</v>
      </c>
      <c r="L63" s="182">
        <f>K63/$C$46*100%</f>
        <v>0</v>
      </c>
      <c r="M63" s="181">
        <f>SUMIF('04.conso TB'!A:A,'Apr-26'!B63,'04.conso TB'!T:T)/10^5</f>
        <v>0</v>
      </c>
      <c r="N63" s="182">
        <f>M63/$C$46*100%</f>
        <v>0</v>
      </c>
      <c r="O63" s="180">
        <f t="shared" si="283"/>
        <v>1.38506</v>
      </c>
      <c r="P63" s="182">
        <f t="shared" si="4"/>
        <v>1.4785164783634429E-3</v>
      </c>
      <c r="Q63" s="181">
        <f>SUMIF('04.conso TB'!A:A,'Apr-26'!B63,'04.conso TB'!U:U)/10^5</f>
        <v>1.38506</v>
      </c>
      <c r="R63" s="182">
        <f t="shared" si="5"/>
        <v>1.4785164783634429E-3</v>
      </c>
      <c r="S63" s="180">
        <f t="shared" si="284"/>
        <v>0</v>
      </c>
      <c r="T63" s="182">
        <f t="shared" si="6"/>
        <v>0</v>
      </c>
      <c r="U63" s="183">
        <f>SUMIF('04.conso TB'!A:A,'Apr-26'!B63,'04.conso TB'!V:V)/10^5</f>
        <v>0</v>
      </c>
      <c r="V63" s="182">
        <f t="shared" si="7"/>
        <v>0</v>
      </c>
      <c r="W63" s="180">
        <f t="shared" si="285"/>
        <v>0</v>
      </c>
      <c r="X63" s="182">
        <f t="shared" si="8"/>
        <v>0</v>
      </c>
      <c r="Y63" s="181">
        <f>SUMIF('04.conso TB'!A:A,'Apr-26'!B63,'04.conso TB'!G:G)/10^5</f>
        <v>0</v>
      </c>
      <c r="Z63" s="182">
        <f t="shared" si="9"/>
        <v>0</v>
      </c>
      <c r="AA63" s="185"/>
      <c r="AB63" s="180">
        <f t="shared" si="286"/>
        <v>139.24087660000001</v>
      </c>
      <c r="AC63" s="182">
        <f t="shared" si="10"/>
        <v>2.661551223416261E-2</v>
      </c>
      <c r="AD63" s="187">
        <f>E63+I63+M63+Q63+U63+Y63</f>
        <v>139.24087660000001</v>
      </c>
      <c r="AE63" s="182">
        <f t="shared" si="11"/>
        <v>2.661551223416261E-2</v>
      </c>
      <c r="AF63" s="186"/>
      <c r="AG63" s="180">
        <f t="shared" si="287"/>
        <v>0.90176420000000002</v>
      </c>
      <c r="AH63" s="182">
        <f t="shared" si="12"/>
        <v>2.4339529693849244E-3</v>
      </c>
      <c r="AI63" s="183">
        <f>SUMIF('04.conso TB'!A:A,'Apr-26'!B63,'04.conso TB'!Q:Q)/10^5</f>
        <v>0.90176420000000002</v>
      </c>
      <c r="AJ63" s="184">
        <f>AI63/$AI$46*100%</f>
        <v>2.4339529693849244E-3</v>
      </c>
      <c r="AK63" s="186"/>
      <c r="AL63" s="180">
        <f t="shared" si="288"/>
        <v>3.7877178999999996</v>
      </c>
      <c r="AM63" s="182">
        <f t="shared" si="13"/>
        <v>3.3280765702778112E-3</v>
      </c>
      <c r="AN63" s="181">
        <f>SUMIF('04.conso TB'!A:A,'Apr-26'!B63,'04.conso TB'!W:W)/10^5</f>
        <v>3.7877178999999996</v>
      </c>
      <c r="AO63" s="184">
        <f>AN63/$AN$46*100%</f>
        <v>3.3280765702778112E-3</v>
      </c>
      <c r="AP63" s="545"/>
      <c r="AQ63" s="180">
        <f t="shared" si="289"/>
        <v>159.8478503</v>
      </c>
      <c r="AR63" s="182">
        <f t="shared" si="14"/>
        <v>8.7266886193655691E-2</v>
      </c>
      <c r="AS63" s="183">
        <f>SUMIF('04.conso TB'!A:A,'Apr-26'!B63,'04.conso TB'!M:M)/10^5</f>
        <v>159.8478503</v>
      </c>
      <c r="AT63" s="184">
        <f>AS63/$AS$46*100%</f>
        <v>8.7266886193655691E-2</v>
      </c>
      <c r="AU63" s="180">
        <f t="shared" si="290"/>
        <v>262.49290999999999</v>
      </c>
      <c r="AV63" s="182">
        <f>AU63/$C$46*100%</f>
        <v>7.865874180714448E-2</v>
      </c>
      <c r="AW63" s="183">
        <f>SUMIF('04.conso TB'!A:A,'Apr-26'!B63,'04.conso TB'!P:P)/10^5</f>
        <v>262.49290999999999</v>
      </c>
      <c r="AX63" s="184">
        <f>AW63/$AW$46*100%</f>
        <v>0.30850519608046328</v>
      </c>
      <c r="AY63" s="195"/>
      <c r="AZ63" s="180">
        <f t="shared" si="291"/>
        <v>422.3407603</v>
      </c>
      <c r="BA63" s="182">
        <f t="shared" si="15"/>
        <v>0.15743905613755146</v>
      </c>
      <c r="BB63" s="190">
        <f t="shared" si="292"/>
        <v>422.3407603</v>
      </c>
      <c r="BC63" s="184">
        <f>BB63/$BB$46*100%</f>
        <v>0.15743905613755146</v>
      </c>
      <c r="BD63" s="191"/>
      <c r="BE63" s="180">
        <f t="shared" si="293"/>
        <v>24.717780000000001</v>
      </c>
      <c r="BF63" s="182">
        <f t="shared" si="16"/>
        <v>1.298055152379711E-2</v>
      </c>
      <c r="BG63" s="183">
        <f>SUMIF('04.conso TB'!A:A,'Apr-26'!B63,'04.conso TB'!H:H)/10^5</f>
        <v>24.717780000000001</v>
      </c>
      <c r="BH63" s="184">
        <f>BG63/$BG$46*100%</f>
        <v>1.298055152379711E-2</v>
      </c>
      <c r="BI63" s="180">
        <f t="shared" si="294"/>
        <v>0</v>
      </c>
      <c r="BJ63" s="182">
        <f t="shared" si="17"/>
        <v>0</v>
      </c>
      <c r="BK63" s="183">
        <f>SUMIF('04.conso TB'!A:A,'Apr-26'!B63,'04.conso TB'!I:I)/10^5</f>
        <v>0</v>
      </c>
      <c r="BL63" s="184">
        <f>BK63/$BK$46*100%</f>
        <v>0</v>
      </c>
      <c r="BM63" s="180">
        <f t="shared" si="295"/>
        <v>0</v>
      </c>
      <c r="BN63" s="182">
        <f>BM63/$C$46*100%</f>
        <v>0</v>
      </c>
      <c r="BO63" s="181">
        <f>SUMIF('04.conso TB'!A:A,'Apr-26'!B63,'04.conso TB'!J:J)/10^5</f>
        <v>0</v>
      </c>
      <c r="BP63" s="182">
        <f>BO63/$C$46*100%</f>
        <v>0</v>
      </c>
      <c r="BQ63" s="192">
        <f>BQ27</f>
        <v>0</v>
      </c>
      <c r="BR63" s="180">
        <f t="shared" si="296"/>
        <v>24.717780000000001</v>
      </c>
      <c r="BS63" s="182">
        <f t="shared" si="18"/>
        <v>1.3409887136524395E-2</v>
      </c>
      <c r="BT63" s="183">
        <f t="shared" si="19"/>
        <v>24.717780000000001</v>
      </c>
      <c r="BU63" s="182">
        <f t="shared" si="20"/>
        <v>1.3409887136524393E-2</v>
      </c>
      <c r="BV63" s="191"/>
      <c r="BW63" s="180">
        <f t="shared" si="297"/>
        <v>0</v>
      </c>
      <c r="BX63" s="182">
        <f t="shared" si="21"/>
        <v>0</v>
      </c>
      <c r="BY63" s="183">
        <f>SUMIF('04.conso TB'!A:A,'Apr-26'!B63,'04.conso TB'!L:L)/10^5</f>
        <v>0</v>
      </c>
      <c r="BZ63" s="182">
        <f t="shared" si="22"/>
        <v>0</v>
      </c>
      <c r="CA63" s="191"/>
      <c r="CB63" s="180">
        <f>+CC63</f>
        <v>526.9808357579999</v>
      </c>
      <c r="CC63" s="187">
        <f>+CC28</f>
        <v>526.9808357579999</v>
      </c>
      <c r="CD63" s="186"/>
      <c r="CE63" s="444">
        <f>AB63+AG63+AL63+AZ63+BR63+BW63-CB63</f>
        <v>64.008063242000048</v>
      </c>
      <c r="CF63" s="182">
        <f t="shared" si="23"/>
        <v>1.1956470638756109E-2</v>
      </c>
      <c r="CG63" s="444">
        <f>AD63+AI63+AN63+BB63+BT63+BY63-CC63</f>
        <v>64.008063242000048</v>
      </c>
      <c r="CH63" s="182">
        <f t="shared" si="24"/>
        <v>1.1956470638756109E-2</v>
      </c>
    </row>
    <row r="64" spans="1:86" s="204" customFormat="1" x14ac:dyDescent="0.35">
      <c r="B64" s="197" t="s">
        <v>422</v>
      </c>
      <c r="C64" s="180">
        <f t="shared" si="280"/>
        <v>8.8210578999999996</v>
      </c>
      <c r="D64" s="182">
        <f>C64/$C$46*100%</f>
        <v>2.6433221218126312E-3</v>
      </c>
      <c r="E64" s="181">
        <f>SUMIF('04.conso TB'!A:A,'Apr-26'!B64,'04.conso TB'!R:R)/10^5</f>
        <v>8.8210578999999996</v>
      </c>
      <c r="F64" s="182">
        <f t="shared" si="1"/>
        <v>2.6433221218126312E-3</v>
      </c>
      <c r="G64" s="180">
        <f t="shared" si="281"/>
        <v>9.6594104000000005</v>
      </c>
      <c r="H64" s="182">
        <f t="shared" si="2"/>
        <v>8.1766049029494345E-3</v>
      </c>
      <c r="I64" s="181">
        <f>SUMIF('04.conso TB'!A:A,'Apr-26'!B64,'04.conso TB'!S:S)/10^5</f>
        <v>9.6594104000000005</v>
      </c>
      <c r="J64" s="182">
        <f t="shared" si="3"/>
        <v>8.1766049029494345E-3</v>
      </c>
      <c r="K64" s="180">
        <f t="shared" si="282"/>
        <v>7.4969999999999995E-2</v>
      </c>
      <c r="L64" s="182">
        <f>K64/$C$46*100%</f>
        <v>2.2465543443751001E-5</v>
      </c>
      <c r="M64" s="181">
        <f>SUMIF('04.conso TB'!A:A,'Apr-26'!B64,'04.conso TB'!T:T)/10^5</f>
        <v>7.4969999999999995E-2</v>
      </c>
      <c r="N64" s="182">
        <f>M64/$C$46*100%</f>
        <v>2.2465543443751001E-5</v>
      </c>
      <c r="O64" s="180">
        <f t="shared" si="283"/>
        <v>5.1720699999999997</v>
      </c>
      <c r="P64" s="182">
        <f t="shared" si="4"/>
        <v>5.5210537610278342E-3</v>
      </c>
      <c r="Q64" s="181">
        <f>SUMIF('04.conso TB'!A:A,'Apr-26'!B64,'04.conso TB'!U:U)/10^5</f>
        <v>5.1720699999999997</v>
      </c>
      <c r="R64" s="182">
        <f t="shared" si="5"/>
        <v>5.5210537610278342E-3</v>
      </c>
      <c r="S64" s="180">
        <f t="shared" si="284"/>
        <v>0</v>
      </c>
      <c r="T64" s="182">
        <f t="shared" si="6"/>
        <v>0</v>
      </c>
      <c r="U64" s="183">
        <f>SUMIF('04.conso TB'!A:A,'Apr-26'!B64,'04.conso TB'!V:V)/10^5</f>
        <v>0</v>
      </c>
      <c r="V64" s="182">
        <f t="shared" si="7"/>
        <v>0</v>
      </c>
      <c r="W64" s="180">
        <f t="shared" si="285"/>
        <v>0</v>
      </c>
      <c r="X64" s="182">
        <f t="shared" si="8"/>
        <v>0</v>
      </c>
      <c r="Y64" s="181">
        <f>SUMIF('04.conso TB'!A:A,'Apr-26'!B64,'04.conso TB'!G:G)/10^5</f>
        <v>0</v>
      </c>
      <c r="Z64" s="182">
        <f t="shared" si="9"/>
        <v>0</v>
      </c>
      <c r="AA64" s="185"/>
      <c r="AB64" s="180">
        <f t="shared" si="286"/>
        <v>23.727508299999997</v>
      </c>
      <c r="AC64" s="182">
        <f t="shared" si="10"/>
        <v>4.5354482309029418E-3</v>
      </c>
      <c r="AD64" s="187">
        <f>E64+I64+M64+Q64+U64+Y64</f>
        <v>23.727508299999997</v>
      </c>
      <c r="AE64" s="182">
        <f t="shared" si="11"/>
        <v>4.5354482309029418E-3</v>
      </c>
      <c r="AF64" s="186"/>
      <c r="AG64" s="180">
        <f t="shared" si="287"/>
        <v>3.2729550000000001</v>
      </c>
      <c r="AH64" s="182">
        <f t="shared" si="12"/>
        <v>8.8340372582025699E-3</v>
      </c>
      <c r="AI64" s="183">
        <f>SUMIF('04.conso TB'!A:A,'Apr-26'!B64,'04.conso TB'!Q:Q)/10^5</f>
        <v>3.2729550000000001</v>
      </c>
      <c r="AJ64" s="184">
        <f>AI64/$AI$46*100%</f>
        <v>8.8340372582025699E-3</v>
      </c>
      <c r="AK64" s="186"/>
      <c r="AL64" s="180">
        <f t="shared" si="288"/>
        <v>0.87067309999999998</v>
      </c>
      <c r="AM64" s="182">
        <f t="shared" si="13"/>
        <v>7.6501651416045269E-4</v>
      </c>
      <c r="AN64" s="181">
        <f>SUMIF('04.conso TB'!A:A,'Apr-26'!B64,'04.conso TB'!W:W)/10^5</f>
        <v>0.87067309999999998</v>
      </c>
      <c r="AO64" s="184">
        <f>AN64/$AN$46*100%</f>
        <v>7.6501651416045269E-4</v>
      </c>
      <c r="AP64" s="545"/>
      <c r="AQ64" s="180">
        <f t="shared" si="289"/>
        <v>23.743724299999997</v>
      </c>
      <c r="AR64" s="182">
        <f t="shared" si="14"/>
        <v>1.2962582120515615E-2</v>
      </c>
      <c r="AS64" s="183">
        <f>SUMIF('04.conso TB'!A:A,'Apr-26'!B64,'04.conso TB'!M:M)/10^5</f>
        <v>23.743724299999997</v>
      </c>
      <c r="AT64" s="184">
        <f>AS64/$AS$46*100%</f>
        <v>1.2962582120515615E-2</v>
      </c>
      <c r="AU64" s="180">
        <f t="shared" si="290"/>
        <v>3.6379100000000002</v>
      </c>
      <c r="AV64" s="182">
        <f>AU64/$C$46*100%</f>
        <v>1.0901377237489158E-3</v>
      </c>
      <c r="AW64" s="183">
        <f>SUMIF('04.conso TB'!A:A,'Apr-26'!B64,'04.conso TB'!P:P)/10^5</f>
        <v>3.6379100000000002</v>
      </c>
      <c r="AX64" s="184">
        <f>AW64/$AW$46*100%</f>
        <v>4.2755979118562796E-3</v>
      </c>
      <c r="AY64" s="195"/>
      <c r="AZ64" s="180">
        <f t="shared" si="291"/>
        <v>27.381634299999998</v>
      </c>
      <c r="BA64" s="182">
        <f t="shared" si="15"/>
        <v>1.0207252211776645E-2</v>
      </c>
      <c r="BB64" s="190">
        <f t="shared" si="292"/>
        <v>27.381634299999998</v>
      </c>
      <c r="BC64" s="184">
        <f>BB64/$BB$46*100%</f>
        <v>1.0207252211776645E-2</v>
      </c>
      <c r="BD64" s="191"/>
      <c r="BE64" s="180">
        <f t="shared" si="293"/>
        <v>5.0333480000000002</v>
      </c>
      <c r="BF64" s="182">
        <f t="shared" si="16"/>
        <v>2.6432646075497529E-3</v>
      </c>
      <c r="BG64" s="183">
        <f>SUMIF('04.conso TB'!A:A,'Apr-26'!B64,'04.conso TB'!H:H)/10^5</f>
        <v>5.0333480000000002</v>
      </c>
      <c r="BH64" s="184">
        <f>BG64/$BG$46*100%</f>
        <v>2.6432646075497529E-3</v>
      </c>
      <c r="BI64" s="180">
        <f t="shared" si="294"/>
        <v>0.56599999999999995</v>
      </c>
      <c r="BJ64" s="182">
        <f t="shared" si="17"/>
        <v>2.9204449385580439E-2</v>
      </c>
      <c r="BK64" s="183">
        <f>SUMIF('04.conso TB'!A:A,'Apr-26'!B64,'04.conso TB'!I:I)/10^5</f>
        <v>0.56599999999999995</v>
      </c>
      <c r="BL64" s="184">
        <f>BK64/$BK$46*100%</f>
        <v>2.9204449385580439E-2</v>
      </c>
      <c r="BM64" s="180">
        <f t="shared" si="295"/>
        <v>0</v>
      </c>
      <c r="BN64" s="182">
        <f>BM64/$C$46*100%</f>
        <v>0</v>
      </c>
      <c r="BO64" s="181">
        <f>SUMIF('04.conso TB'!A:A,'Apr-26'!B64,'04.conso TB'!J:J)/10^5</f>
        <v>0</v>
      </c>
      <c r="BP64" s="182">
        <f>BO64/$C$46*100%</f>
        <v>0</v>
      </c>
      <c r="BQ64" s="192"/>
      <c r="BR64" s="180">
        <f t="shared" si="296"/>
        <v>5.599348</v>
      </c>
      <c r="BS64" s="182">
        <f t="shared" si="18"/>
        <v>3.0377576270249024E-3</v>
      </c>
      <c r="BT64" s="183">
        <f t="shared" si="19"/>
        <v>5.599348</v>
      </c>
      <c r="BU64" s="182">
        <f t="shared" si="20"/>
        <v>3.0377576270249019E-3</v>
      </c>
      <c r="BV64" s="191"/>
      <c r="BW64" s="180">
        <f t="shared" si="297"/>
        <v>0</v>
      </c>
      <c r="BX64" s="182">
        <f t="shared" si="21"/>
        <v>0</v>
      </c>
      <c r="BY64" s="183">
        <f>SUMIF('04.conso TB'!A:A,'Apr-26'!B64,'04.conso TB'!L:L)/10^5</f>
        <v>0</v>
      </c>
      <c r="BZ64" s="182">
        <f t="shared" si="22"/>
        <v>0</v>
      </c>
      <c r="CA64" s="191"/>
      <c r="CB64" s="180">
        <f t="shared" ref="CB64" si="298">CD64</f>
        <v>0</v>
      </c>
      <c r="CC64" s="346"/>
      <c r="CD64" s="186"/>
      <c r="CE64" s="187">
        <f>AB64+AG64+AL64+AZ64+BR64+BW64</f>
        <v>60.852118699999998</v>
      </c>
      <c r="CF64" s="182">
        <f t="shared" si="23"/>
        <v>1.1366951813427765E-2</v>
      </c>
      <c r="CG64" s="187">
        <f>AD64+AI64+AN64+BB64+BT64+BY64</f>
        <v>60.852118699999998</v>
      </c>
      <c r="CH64" s="182">
        <f t="shared" si="24"/>
        <v>1.1366951813427765E-2</v>
      </c>
    </row>
    <row r="65" spans="1:7168 7170:15360 15362:16333" ht="15.5" x14ac:dyDescent="0.35">
      <c r="B65" s="85" t="s">
        <v>490</v>
      </c>
      <c r="C65" s="148">
        <f t="shared" ref="C65:AB65" si="299">SUM(C62:C64)</f>
        <v>242.9079639</v>
      </c>
      <c r="D65" s="151">
        <f t="shared" si="299"/>
        <v>7.2789908174317061E-2</v>
      </c>
      <c r="E65" s="149">
        <f t="shared" si="299"/>
        <v>242.9079639</v>
      </c>
      <c r="F65" s="182">
        <f t="shared" si="1"/>
        <v>7.2789908174317061E-2</v>
      </c>
      <c r="G65" s="148">
        <f t="shared" ref="G65" si="300">SUM(G62:G64)</f>
        <v>72.005805499999994</v>
      </c>
      <c r="H65" s="182">
        <f t="shared" si="2"/>
        <v>6.0952273266298249E-2</v>
      </c>
      <c r="I65" s="149">
        <f t="shared" si="299"/>
        <v>72.005805499999994</v>
      </c>
      <c r="J65" s="182">
        <f t="shared" si="3"/>
        <v>6.0952273266298249E-2</v>
      </c>
      <c r="K65" s="148">
        <f t="shared" ref="K65" si="301">SUM(K62:K64)</f>
        <v>7.4969999999999995E-2</v>
      </c>
      <c r="L65" s="151">
        <f t="shared" ref="L65" si="302">SUM(L62:L64)</f>
        <v>2.2465543443751001E-5</v>
      </c>
      <c r="M65" s="150">
        <f t="shared" si="299"/>
        <v>7.4969999999999995E-2</v>
      </c>
      <c r="N65" s="151">
        <f t="shared" ref="N65" si="303">SUM(N62:N64)</f>
        <v>2.2465543443751001E-5</v>
      </c>
      <c r="O65" s="148">
        <f t="shared" ref="O65" si="304">SUM(O62:O64)</f>
        <v>12.0981425</v>
      </c>
      <c r="P65" s="182">
        <f t="shared" si="4"/>
        <v>1.2914460777034278E-2</v>
      </c>
      <c r="Q65" s="149">
        <f t="shared" si="299"/>
        <v>12.0981425</v>
      </c>
      <c r="R65" s="182">
        <f t="shared" si="5"/>
        <v>1.2914460777034278E-2</v>
      </c>
      <c r="S65" s="148">
        <f t="shared" ref="S65" si="305">SUM(S62:S64)</f>
        <v>0</v>
      </c>
      <c r="T65" s="182">
        <f t="shared" si="6"/>
        <v>0</v>
      </c>
      <c r="U65" s="152">
        <f t="shared" si="299"/>
        <v>0</v>
      </c>
      <c r="V65" s="182">
        <f t="shared" si="7"/>
        <v>0</v>
      </c>
      <c r="W65" s="148">
        <f t="shared" ref="W65" si="306">SUM(W62:W64)</f>
        <v>0.2258511</v>
      </c>
      <c r="X65" s="182">
        <f t="shared" si="8"/>
        <v>3.0329423554625824E-3</v>
      </c>
      <c r="Y65" s="149">
        <f t="shared" si="299"/>
        <v>0.2258511</v>
      </c>
      <c r="Z65" s="182">
        <f t="shared" si="9"/>
        <v>3.0329423554625824E-3</v>
      </c>
      <c r="AA65" s="176">
        <f t="shared" si="299"/>
        <v>0</v>
      </c>
      <c r="AB65" s="148">
        <f t="shared" si="299"/>
        <v>327.31273300000004</v>
      </c>
      <c r="AC65" s="182">
        <f t="shared" si="10"/>
        <v>6.2564932527570005E-2</v>
      </c>
      <c r="AD65" s="152">
        <f>SUM(AD62:AD64)</f>
        <v>327.31273300000004</v>
      </c>
      <c r="AE65" s="182">
        <f t="shared" si="11"/>
        <v>6.2564932527570005E-2</v>
      </c>
      <c r="AF65" s="511">
        <f>AG65/$AG$1*10^5</f>
        <v>6.6626985081449348</v>
      </c>
      <c r="AG65" s="148">
        <f t="shared" ref="AG65" si="307">SUM(AG62:AG64)</f>
        <v>24.487349199999997</v>
      </c>
      <c r="AH65" s="182">
        <f t="shared" si="12"/>
        <v>6.6093837277755696E-2</v>
      </c>
      <c r="AI65" s="152">
        <f t="shared" ref="AI65:AJ65" si="308">SUM(AI62:AI64)</f>
        <v>24.487349199999997</v>
      </c>
      <c r="AJ65" s="153">
        <f t="shared" si="308"/>
        <v>6.6093837277755696E-2</v>
      </c>
      <c r="AK65" s="437">
        <f>AL65/$AL$1*10^5</f>
        <v>9.919390658116404</v>
      </c>
      <c r="AL65" s="148">
        <f t="shared" ref="AL65" si="309">SUM(AL62:AL64)</f>
        <v>43.80640979999999</v>
      </c>
      <c r="AM65" s="182">
        <f t="shared" si="13"/>
        <v>3.8490481586120305E-2</v>
      </c>
      <c r="AN65" s="149">
        <f>SUM(AN62:AN64)</f>
        <v>43.80640979999999</v>
      </c>
      <c r="AO65" s="153">
        <f>SUM(AO62:AO64)</f>
        <v>3.8490481586120312E-2</v>
      </c>
      <c r="AP65" s="546">
        <f>AQ65/$AQ$1*10^5</f>
        <v>36.741517457392909</v>
      </c>
      <c r="AQ65" s="148">
        <f t="shared" ref="AQ65" si="310">SUM(AQ62:AQ64)</f>
        <v>219.35604460000002</v>
      </c>
      <c r="AR65" s="182">
        <f t="shared" si="14"/>
        <v>0.11975462256184413</v>
      </c>
      <c r="AS65" s="152">
        <f t="shared" ref="AS65:AX65" si="311">SUM(AS62:AS64)</f>
        <v>219.35604460000002</v>
      </c>
      <c r="AT65" s="153">
        <f t="shared" si="311"/>
        <v>0.11975462256184412</v>
      </c>
      <c r="AU65" s="148">
        <f t="shared" si="311"/>
        <v>266.14579999999995</v>
      </c>
      <c r="AV65" s="151">
        <f t="shared" ref="AV65" si="312">SUM(AV62:AV64)</f>
        <v>7.9753368444335934E-2</v>
      </c>
      <c r="AW65" s="152">
        <f t="shared" si="311"/>
        <v>266.14579999999995</v>
      </c>
      <c r="AX65" s="153">
        <f t="shared" si="311"/>
        <v>0.31279839983103452</v>
      </c>
      <c r="AY65" s="163"/>
      <c r="AZ65" s="148">
        <f t="shared" ref="AZ65" si="313">SUM(AZ62:AZ64)</f>
        <v>485.50184459999997</v>
      </c>
      <c r="BA65" s="182">
        <f t="shared" si="15"/>
        <v>0.18098407577939898</v>
      </c>
      <c r="BB65" s="157">
        <f>SUM(BB62:BB64)</f>
        <v>485.50184459999997</v>
      </c>
      <c r="BC65" s="153">
        <f>SUM(BC62:BC64)</f>
        <v>0.18098407577939901</v>
      </c>
      <c r="BD65" s="178"/>
      <c r="BE65" s="148">
        <f t="shared" ref="BE65" si="314">SUM(BE62:BE64)</f>
        <v>114.444704</v>
      </c>
      <c r="BF65" s="182">
        <f t="shared" si="16"/>
        <v>6.0100679628093991E-2</v>
      </c>
      <c r="BG65" s="152">
        <f t="shared" ref="BG65:BO65" si="315">SUM(BG62:BG64)</f>
        <v>114.444704</v>
      </c>
      <c r="BH65" s="153">
        <f t="shared" si="315"/>
        <v>6.0100679628093991E-2</v>
      </c>
      <c r="BI65" s="148">
        <f t="shared" ref="BI65" si="316">SUM(BI62:BI64)</f>
        <v>0.56599999999999995</v>
      </c>
      <c r="BJ65" s="182">
        <f t="shared" si="17"/>
        <v>2.9204449385580439E-2</v>
      </c>
      <c r="BK65" s="152">
        <f t="shared" si="315"/>
        <v>0.56599999999999995</v>
      </c>
      <c r="BL65" s="153">
        <f t="shared" si="315"/>
        <v>2.9204449385580439E-2</v>
      </c>
      <c r="BM65" s="148">
        <f t="shared" ref="BM65" si="317">SUM(BM62:BM64)</f>
        <v>0</v>
      </c>
      <c r="BN65" s="151">
        <f t="shared" ref="BN65" si="318">SUM(BN62:BN64)</f>
        <v>0</v>
      </c>
      <c r="BO65" s="149">
        <f t="shared" si="315"/>
        <v>0</v>
      </c>
      <c r="BP65" s="151">
        <f t="shared" ref="BP65" si="319">SUM(BP62:BP64)</f>
        <v>0</v>
      </c>
      <c r="BQ65" s="164">
        <f>BQ63</f>
        <v>0</v>
      </c>
      <c r="BR65" s="148">
        <f t="shared" ref="BR65" si="320">SUM(BR62:BR64)</f>
        <v>115.010704</v>
      </c>
      <c r="BS65" s="182">
        <f t="shared" si="18"/>
        <v>6.2395593784401945E-2</v>
      </c>
      <c r="BT65" s="183">
        <f t="shared" si="19"/>
        <v>115.010704</v>
      </c>
      <c r="BU65" s="182">
        <f t="shared" si="20"/>
        <v>6.2395593784401938E-2</v>
      </c>
      <c r="BV65" s="159"/>
      <c r="BW65" s="148">
        <f t="shared" ref="BW65" si="321">SUM(BW62:BW64)</f>
        <v>0</v>
      </c>
      <c r="BX65" s="182">
        <f t="shared" si="21"/>
        <v>0</v>
      </c>
      <c r="BY65" s="152">
        <f t="shared" ref="BY65" si="322">SUM(BY62:BY64)</f>
        <v>0</v>
      </c>
      <c r="BZ65" s="182">
        <f t="shared" si="22"/>
        <v>0</v>
      </c>
      <c r="CA65" s="178"/>
      <c r="CB65" s="148">
        <f t="shared" ref="CB65" si="323">SUM(CB62:CB64)</f>
        <v>526.9808357579999</v>
      </c>
      <c r="CC65" s="361">
        <f>SUM(CC62:CC64)</f>
        <v>526.9808357579999</v>
      </c>
      <c r="CD65" s="528"/>
      <c r="CE65" s="156">
        <f>SUM(CE62:CE64)</f>
        <v>469.13820484200005</v>
      </c>
      <c r="CF65" s="182">
        <f t="shared" si="23"/>
        <v>8.7633290051362153E-2</v>
      </c>
      <c r="CG65" s="152">
        <f>SUM(CG62:CG64)</f>
        <v>469.13820484200005</v>
      </c>
      <c r="CH65" s="182">
        <f t="shared" si="24"/>
        <v>8.7633290051362153E-2</v>
      </c>
    </row>
    <row r="66" spans="1:7168 7170:15360 15362:16333" x14ac:dyDescent="0.35">
      <c r="B66" s="86" t="s">
        <v>492</v>
      </c>
      <c r="C66" s="136"/>
      <c r="D66" s="402"/>
      <c r="E66" s="134"/>
      <c r="F66" s="182">
        <f t="shared" si="1"/>
        <v>0</v>
      </c>
      <c r="G66" s="136"/>
      <c r="H66" s="182">
        <f t="shared" si="2"/>
        <v>0</v>
      </c>
      <c r="I66" s="134">
        <f>SUMIF('04.conso TB'!A:A,'Apr-26'!B66,'04.conso TB'!S:S)/10^5</f>
        <v>0</v>
      </c>
      <c r="J66" s="182">
        <f t="shared" si="3"/>
        <v>0</v>
      </c>
      <c r="K66" s="136"/>
      <c r="L66" s="402"/>
      <c r="M66" s="134">
        <f>SUMIF('04.conso TB'!A:A,'Apr-26'!B66,'04.conso TB'!T:T)/10^5</f>
        <v>0</v>
      </c>
      <c r="N66" s="402"/>
      <c r="O66" s="136"/>
      <c r="P66" s="182">
        <f t="shared" si="4"/>
        <v>0</v>
      </c>
      <c r="Q66" s="134"/>
      <c r="R66" s="182">
        <f t="shared" si="5"/>
        <v>0</v>
      </c>
      <c r="S66" s="136"/>
      <c r="T66" s="182">
        <f t="shared" si="6"/>
        <v>0</v>
      </c>
      <c r="U66" s="131"/>
      <c r="V66" s="182">
        <f t="shared" si="7"/>
        <v>0</v>
      </c>
      <c r="W66" s="136"/>
      <c r="X66" s="182">
        <f t="shared" si="8"/>
        <v>0</v>
      </c>
      <c r="Y66" s="134"/>
      <c r="Z66" s="182">
        <f t="shared" si="9"/>
        <v>0</v>
      </c>
      <c r="AA66" s="176"/>
      <c r="AB66" s="136"/>
      <c r="AC66" s="182">
        <f t="shared" si="10"/>
        <v>0</v>
      </c>
      <c r="AD66" s="131"/>
      <c r="AE66" s="182">
        <f t="shared" si="11"/>
        <v>0</v>
      </c>
      <c r="AF66" s="139"/>
      <c r="AG66" s="136"/>
      <c r="AH66" s="182">
        <f t="shared" si="12"/>
        <v>0</v>
      </c>
      <c r="AI66" s="131"/>
      <c r="AJ66" s="132"/>
      <c r="AK66" s="139"/>
      <c r="AL66" s="136"/>
      <c r="AM66" s="182">
        <f t="shared" si="13"/>
        <v>0</v>
      </c>
      <c r="AN66" s="134"/>
      <c r="AO66" s="132"/>
      <c r="AP66" s="139"/>
      <c r="AQ66" s="136"/>
      <c r="AR66" s="182">
        <f t="shared" si="14"/>
        <v>0</v>
      </c>
      <c r="AS66" s="131"/>
      <c r="AT66" s="132"/>
      <c r="AU66" s="136"/>
      <c r="AV66" s="402"/>
      <c r="AW66" s="131"/>
      <c r="AX66" s="132"/>
      <c r="AY66" s="142"/>
      <c r="AZ66" s="136"/>
      <c r="BA66" s="182">
        <f t="shared" si="15"/>
        <v>0</v>
      </c>
      <c r="BB66" s="143"/>
      <c r="BC66" s="132"/>
      <c r="BD66" s="178"/>
      <c r="BE66" s="136"/>
      <c r="BF66" s="182">
        <f t="shared" si="16"/>
        <v>0</v>
      </c>
      <c r="BG66" s="131"/>
      <c r="BH66" s="132"/>
      <c r="BI66" s="136"/>
      <c r="BJ66" s="182">
        <f t="shared" si="17"/>
        <v>0</v>
      </c>
      <c r="BK66" s="131"/>
      <c r="BL66" s="132"/>
      <c r="BM66" s="136"/>
      <c r="BN66" s="402"/>
      <c r="BO66" s="134"/>
      <c r="BP66" s="402"/>
      <c r="BQ66" s="147"/>
      <c r="BR66" s="136"/>
      <c r="BS66" s="182">
        <f t="shared" si="18"/>
        <v>0</v>
      </c>
      <c r="BT66" s="183">
        <f t="shared" si="19"/>
        <v>0</v>
      </c>
      <c r="BU66" s="182">
        <f t="shared" si="20"/>
        <v>0</v>
      </c>
      <c r="BV66" s="144"/>
      <c r="BW66" s="136"/>
      <c r="BX66" s="182">
        <f t="shared" si="21"/>
        <v>0</v>
      </c>
      <c r="BY66" s="131"/>
      <c r="BZ66" s="182">
        <f t="shared" si="22"/>
        <v>0</v>
      </c>
      <c r="CA66" s="178"/>
      <c r="CB66" s="136"/>
      <c r="CC66" s="521"/>
      <c r="CD66" s="139"/>
      <c r="CE66" s="129"/>
      <c r="CF66" s="182">
        <f t="shared" si="23"/>
        <v>0</v>
      </c>
      <c r="CG66" s="131"/>
      <c r="CH66" s="182">
        <f t="shared" si="24"/>
        <v>0</v>
      </c>
    </row>
    <row r="67" spans="1:7168 7170:15360 15362:16333" s="204" customFormat="1" x14ac:dyDescent="0.35">
      <c r="B67" s="197" t="s">
        <v>448</v>
      </c>
      <c r="C67" s="180">
        <f t="shared" ref="C67:C71" si="324">E67</f>
        <v>0</v>
      </c>
      <c r="D67" s="182">
        <f>C67/$C$46*100%</f>
        <v>0</v>
      </c>
      <c r="E67" s="181">
        <f>SUMIF('04.conso TB'!A:A,'Apr-26'!B67,'04.conso TB'!R:R)/10^5</f>
        <v>0</v>
      </c>
      <c r="F67" s="182">
        <f t="shared" si="1"/>
        <v>0</v>
      </c>
      <c r="G67" s="180">
        <f t="shared" ref="G67:G71" si="325">I67</f>
        <v>0</v>
      </c>
      <c r="H67" s="182">
        <f t="shared" si="2"/>
        <v>0</v>
      </c>
      <c r="I67" s="181">
        <f>SUMIF('04.conso TB'!A:A,'Apr-26'!B67,'04.conso TB'!S:S)/10^5</f>
        <v>0</v>
      </c>
      <c r="J67" s="182">
        <f t="shared" si="3"/>
        <v>0</v>
      </c>
      <c r="K67" s="180">
        <f t="shared" ref="K67:K71" si="326">M67</f>
        <v>0</v>
      </c>
      <c r="L67" s="182">
        <f>K67/$C$46*100%</f>
        <v>0</v>
      </c>
      <c r="M67" s="181">
        <f>SUMIF('04.conso TB'!A:A,'Apr-26'!B67,'04.conso TB'!T:T)/10^5</f>
        <v>0</v>
      </c>
      <c r="N67" s="182">
        <f>M67/$C$46*100%</f>
        <v>0</v>
      </c>
      <c r="O67" s="180">
        <f t="shared" ref="O67:O71" si="327">Q67</f>
        <v>0</v>
      </c>
      <c r="P67" s="182">
        <f t="shared" si="4"/>
        <v>0</v>
      </c>
      <c r="Q67" s="181">
        <f>SUMIF('04.conso TB'!A:A,'Apr-26'!B67,'04.conso TB'!U:U)/10^5</f>
        <v>0</v>
      </c>
      <c r="R67" s="182">
        <f t="shared" si="5"/>
        <v>0</v>
      </c>
      <c r="S67" s="180">
        <f t="shared" ref="S67:S71" si="328">U67</f>
        <v>0.32427</v>
      </c>
      <c r="T67" s="182">
        <f t="shared" si="6"/>
        <v>6.6495033321153953E-3</v>
      </c>
      <c r="U67" s="183">
        <f>SUMIF('04.conso TB'!A:A,'Apr-26'!B67,'04.conso TB'!V:V)/10^5</f>
        <v>0.32427</v>
      </c>
      <c r="V67" s="182">
        <f t="shared" si="7"/>
        <v>6.6495033321153953E-3</v>
      </c>
      <c r="W67" s="180">
        <f t="shared" ref="W67:W71" si="329">Y67</f>
        <v>0.315</v>
      </c>
      <c r="X67" s="182">
        <f t="shared" si="8"/>
        <v>4.2301181706474464E-3</v>
      </c>
      <c r="Y67" s="181">
        <f>SUMIF('04.conso TB'!A:A,'Apr-26'!B67,'04.conso TB'!G:G)/10^5</f>
        <v>0.315</v>
      </c>
      <c r="Z67" s="182">
        <f t="shared" si="9"/>
        <v>4.2301181706474464E-3</v>
      </c>
      <c r="AA67" s="185"/>
      <c r="AB67" s="180">
        <f t="shared" ref="AB67:AB71" si="330">AD67</f>
        <v>0.63927</v>
      </c>
      <c r="AC67" s="182">
        <f t="shared" si="10"/>
        <v>1.2219470978203488E-4</v>
      </c>
      <c r="AD67" s="187">
        <f>E67+I67+M67+Q67+U67+Y67</f>
        <v>0.63927</v>
      </c>
      <c r="AE67" s="182">
        <f t="shared" si="11"/>
        <v>1.2219470978203488E-4</v>
      </c>
      <c r="AF67" s="186"/>
      <c r="AG67" s="180">
        <f t="shared" ref="AG67:AG71" si="331">AI67</f>
        <v>0</v>
      </c>
      <c r="AH67" s="182">
        <f t="shared" si="12"/>
        <v>0</v>
      </c>
      <c r="AI67" s="183">
        <f>SUMIF('04.conso TB'!A:A,'Apr-26'!B67,'04.conso TB'!Q:Q)/10^5</f>
        <v>0</v>
      </c>
      <c r="AJ67" s="184">
        <f>AI67/$AI$46*100%</f>
        <v>0</v>
      </c>
      <c r="AK67" s="186"/>
      <c r="AL67" s="180">
        <f t="shared" ref="AL67:AL71" si="332">AN67</f>
        <v>0</v>
      </c>
      <c r="AM67" s="182">
        <f t="shared" si="13"/>
        <v>0</v>
      </c>
      <c r="AN67" s="181">
        <f>SUMIF('04.conso TB'!A:A,'Apr-26'!B67,'04.conso TB'!W:W)/10^5</f>
        <v>0</v>
      </c>
      <c r="AO67" s="184">
        <f>AN67/$AN$46*100%</f>
        <v>0</v>
      </c>
      <c r="AP67" s="545"/>
      <c r="AQ67" s="180">
        <f t="shared" ref="AQ67:AQ71" si="333">AS67</f>
        <v>0.16073879999999999</v>
      </c>
      <c r="AR67" s="182">
        <f t="shared" si="14"/>
        <v>8.7753288769156385E-5</v>
      </c>
      <c r="AS67" s="183">
        <f>SUMIF('04.conso TB'!A:A,'Apr-26'!B67,'04.conso TB'!M:M)/10^5</f>
        <v>0.16073879999999999</v>
      </c>
      <c r="AT67" s="184">
        <f>AS67/$AS$46*100%</f>
        <v>8.7753288769156385E-5</v>
      </c>
      <c r="AU67" s="180">
        <f t="shared" ref="AU67:AU71" si="334">AW67</f>
        <v>0</v>
      </c>
      <c r="AV67" s="182">
        <f>AU67/$C$46*100%</f>
        <v>0</v>
      </c>
      <c r="AW67" s="183">
        <f>SUMIF('04.conso TB'!A:A,'Apr-26'!B67,'04.conso TB'!P:P)/10^5</f>
        <v>0</v>
      </c>
      <c r="AX67" s="184">
        <f>AW67/$AW$46*100%</f>
        <v>0</v>
      </c>
      <c r="AY67" s="195"/>
      <c r="AZ67" s="180">
        <f t="shared" ref="AZ67:AZ71" si="335">BB67</f>
        <v>0.16073879999999999</v>
      </c>
      <c r="BA67" s="182">
        <f t="shared" si="15"/>
        <v>5.9919778850392566E-5</v>
      </c>
      <c r="BB67" s="190">
        <f t="shared" ref="BB67:BB71" si="336">AS67+AW67</f>
        <v>0.16073879999999999</v>
      </c>
      <c r="BC67" s="184">
        <f>BB67/$BB$46*100%</f>
        <v>5.9919778850392566E-5</v>
      </c>
      <c r="BD67" s="191"/>
      <c r="BE67" s="180">
        <f t="shared" ref="BE67:BE71" si="337">BG67</f>
        <v>8.8151550000000007</v>
      </c>
      <c r="BF67" s="182">
        <f t="shared" si="16"/>
        <v>4.6292819851846611E-3</v>
      </c>
      <c r="BG67" s="183">
        <f>SUMIF('04.conso TB'!A:A,'Apr-26'!B67,'04.conso TB'!H:H)/10^5</f>
        <v>8.8151550000000007</v>
      </c>
      <c r="BH67" s="184">
        <f>BG67/$BG$46*100%</f>
        <v>4.6292819851846611E-3</v>
      </c>
      <c r="BI67" s="180">
        <f t="shared" ref="BI67:BI71" si="338">BK67</f>
        <v>0</v>
      </c>
      <c r="BJ67" s="182">
        <f t="shared" si="17"/>
        <v>0</v>
      </c>
      <c r="BK67" s="183">
        <f>SUMIF('04.conso TB'!A:A,'Apr-26'!B67,'04.conso TB'!I:I)/10^5</f>
        <v>0</v>
      </c>
      <c r="BL67" s="184">
        <f>BK67/$BK$46*100%</f>
        <v>0</v>
      </c>
      <c r="BM67" s="180">
        <f t="shared" ref="BM67:BM71" si="339">BO67</f>
        <v>0</v>
      </c>
      <c r="BN67" s="182">
        <f>BM67/$C$46*100%</f>
        <v>0</v>
      </c>
      <c r="BO67" s="181">
        <f>SUMIF('04.conso TB'!A:A,'Apr-26'!B67,'04.conso TB'!J:J)/10^5</f>
        <v>0</v>
      </c>
      <c r="BP67" s="182">
        <f>BO67/$C$46*100%</f>
        <v>0</v>
      </c>
      <c r="BQ67" s="192"/>
      <c r="BR67" s="180">
        <f t="shared" ref="BR67:BR71" si="340">BT67</f>
        <v>8.8151550000000007</v>
      </c>
      <c r="BS67" s="182">
        <f t="shared" si="18"/>
        <v>4.7823968673954016E-3</v>
      </c>
      <c r="BT67" s="183">
        <f t="shared" si="19"/>
        <v>8.8151550000000007</v>
      </c>
      <c r="BU67" s="182">
        <f t="shared" si="20"/>
        <v>4.7823968673954007E-3</v>
      </c>
      <c r="BV67" s="191"/>
      <c r="BW67" s="180">
        <f t="shared" ref="BW67:BW71" si="341">BY67</f>
        <v>0</v>
      </c>
      <c r="BX67" s="182">
        <f t="shared" si="21"/>
        <v>0</v>
      </c>
      <c r="BY67" s="183">
        <f>SUMIF('04.conso TB'!A:A,'Apr-26'!B67,'04.conso TB'!L:L)/10^5</f>
        <v>0</v>
      </c>
      <c r="BZ67" s="182">
        <f t="shared" si="22"/>
        <v>0</v>
      </c>
      <c r="CA67" s="191"/>
      <c r="CB67" s="180">
        <f t="shared" ref="CB67:CB71" si="342">CD67</f>
        <v>0</v>
      </c>
      <c r="CC67" s="346"/>
      <c r="CD67" s="186"/>
      <c r="CE67" s="187">
        <f>AB67+AG67+AL67+AZ67+BR67+BW67</f>
        <v>9.6151638000000013</v>
      </c>
      <c r="CF67" s="182">
        <f t="shared" si="23"/>
        <v>1.796077210255212E-3</v>
      </c>
      <c r="CG67" s="187">
        <f>AD67+AI67+AN67+BB67+BT67+BY67</f>
        <v>9.6151638000000013</v>
      </c>
      <c r="CH67" s="182">
        <f t="shared" si="24"/>
        <v>1.796077210255212E-3</v>
      </c>
    </row>
    <row r="68" spans="1:7168 7170:15360 15362:16333" s="204" customFormat="1" x14ac:dyDescent="0.35">
      <c r="B68" s="197" t="s">
        <v>443</v>
      </c>
      <c r="C68" s="180">
        <f t="shared" si="324"/>
        <v>1.3220000000000001E-2</v>
      </c>
      <c r="D68" s="182">
        <f>C68/$C$46*100%</f>
        <v>3.9615110621100209E-6</v>
      </c>
      <c r="E68" s="181">
        <f>SUMIF('04.conso TB'!A:A,'Apr-26'!B68,'04.conso TB'!R:R)/10^5</f>
        <v>1.3220000000000001E-2</v>
      </c>
      <c r="F68" s="182">
        <f t="shared" si="1"/>
        <v>3.9615110621100209E-6</v>
      </c>
      <c r="G68" s="180">
        <f t="shared" si="325"/>
        <v>0</v>
      </c>
      <c r="H68" s="182">
        <f t="shared" si="2"/>
        <v>0</v>
      </c>
      <c r="I68" s="181">
        <f>SUMIF('04.conso TB'!A:A,'Apr-26'!B68,'04.conso TB'!S:S)/10^5</f>
        <v>0</v>
      </c>
      <c r="J68" s="182">
        <f t="shared" si="3"/>
        <v>0</v>
      </c>
      <c r="K68" s="180">
        <f t="shared" si="326"/>
        <v>0</v>
      </c>
      <c r="L68" s="182">
        <f>K68/$C$46*100%</f>
        <v>0</v>
      </c>
      <c r="M68" s="181">
        <f>SUMIF('04.conso TB'!A:A,'Apr-26'!B68,'04.conso TB'!T:T)/10^5</f>
        <v>0</v>
      </c>
      <c r="N68" s="182">
        <f>M68/$C$46*100%</f>
        <v>0</v>
      </c>
      <c r="O68" s="180">
        <f t="shared" si="327"/>
        <v>0</v>
      </c>
      <c r="P68" s="182">
        <f t="shared" si="4"/>
        <v>0</v>
      </c>
      <c r="Q68" s="181">
        <f>SUMIF('04.conso TB'!A:A,'Apr-26'!B68,'04.conso TB'!U:U)/10^5</f>
        <v>0</v>
      </c>
      <c r="R68" s="182">
        <f t="shared" si="5"/>
        <v>0</v>
      </c>
      <c r="S68" s="180">
        <f t="shared" si="328"/>
        <v>9.4151927999999998</v>
      </c>
      <c r="T68" s="182">
        <f t="shared" si="6"/>
        <v>0.19306860300400552</v>
      </c>
      <c r="U68" s="183">
        <f>SUMIF('04.conso TB'!A:A,'Apr-26'!B68,'04.conso TB'!V:V)/10^5</f>
        <v>9.4151927999999998</v>
      </c>
      <c r="V68" s="182">
        <f t="shared" si="7"/>
        <v>0.19306860300400552</v>
      </c>
      <c r="W68" s="180">
        <f t="shared" si="329"/>
        <v>0.13850000000000001</v>
      </c>
      <c r="X68" s="182">
        <f t="shared" si="8"/>
        <v>1.8599091004275281E-3</v>
      </c>
      <c r="Y68" s="181">
        <f>SUMIF('04.conso TB'!A:A,'Apr-26'!B68,'04.conso TB'!G:G)/10^5</f>
        <v>0.13850000000000001</v>
      </c>
      <c r="Z68" s="182">
        <f t="shared" si="9"/>
        <v>1.8599091004275281E-3</v>
      </c>
      <c r="AA68" s="185"/>
      <c r="AB68" s="180">
        <f t="shared" si="330"/>
        <v>9.5669128000000008</v>
      </c>
      <c r="AC68" s="182">
        <f t="shared" si="10"/>
        <v>1.8286891815759143E-3</v>
      </c>
      <c r="AD68" s="187">
        <f>E68+I68+M68+Q68+U68+Y68</f>
        <v>9.5669128000000008</v>
      </c>
      <c r="AE68" s="182">
        <f t="shared" si="11"/>
        <v>1.8286891815759143E-3</v>
      </c>
      <c r="AF68" s="186"/>
      <c r="AG68" s="180">
        <f t="shared" si="331"/>
        <v>8.2500000000000004E-3</v>
      </c>
      <c r="AH68" s="182">
        <f t="shared" si="12"/>
        <v>2.226758613551705E-5</v>
      </c>
      <c r="AI68" s="183">
        <f>SUMIF('04.conso TB'!A:A,'Apr-26'!B68,'04.conso TB'!Q:Q)/10^5</f>
        <v>8.2500000000000004E-3</v>
      </c>
      <c r="AJ68" s="184">
        <f>AI68/$AI$46*100%</f>
        <v>2.226758613551705E-5</v>
      </c>
      <c r="AK68" s="186"/>
      <c r="AL68" s="180">
        <f t="shared" si="332"/>
        <v>0.86547779999999996</v>
      </c>
      <c r="AM68" s="182">
        <f t="shared" si="13"/>
        <v>7.604516662330069E-4</v>
      </c>
      <c r="AN68" s="181">
        <f>SUMIF('04.conso TB'!A:A,'Apr-26'!B68,'04.conso TB'!W:W)/10^5</f>
        <v>0.86547779999999996</v>
      </c>
      <c r="AO68" s="184">
        <f>AN68/$AN$46*100%</f>
        <v>7.604516662330069E-4</v>
      </c>
      <c r="AP68" s="545"/>
      <c r="AQ68" s="180">
        <f t="shared" si="333"/>
        <v>2.7504900000000001</v>
      </c>
      <c r="AR68" s="182">
        <f t="shared" si="14"/>
        <v>1.5015947812642436E-3</v>
      </c>
      <c r="AS68" s="183">
        <f>SUMIF('04.conso TB'!A:A,'Apr-26'!B68,'04.conso TB'!M:M)/10^5</f>
        <v>2.7504900000000001</v>
      </c>
      <c r="AT68" s="184">
        <f>AS68/$AS$46*100%</f>
        <v>1.5015947812642436E-3</v>
      </c>
      <c r="AU68" s="180">
        <f t="shared" si="334"/>
        <v>0</v>
      </c>
      <c r="AV68" s="182">
        <f>AU68/$C$46*100%</f>
        <v>0</v>
      </c>
      <c r="AW68" s="183">
        <f>SUMIF('04.conso TB'!A:A,'Apr-26'!B68,'04.conso TB'!P:P)/10^5</f>
        <v>0</v>
      </c>
      <c r="AX68" s="184">
        <f>AW68/$AW$46*100%</f>
        <v>0</v>
      </c>
      <c r="AY68" s="195"/>
      <c r="AZ68" s="180">
        <f t="shared" si="335"/>
        <v>2.7504900000000001</v>
      </c>
      <c r="BA68" s="182">
        <f t="shared" si="15"/>
        <v>1.0253202868891411E-3</v>
      </c>
      <c r="BB68" s="190">
        <f t="shared" si="336"/>
        <v>2.7504900000000001</v>
      </c>
      <c r="BC68" s="184">
        <f>BB68/$BB$46*100%</f>
        <v>1.0253202868891411E-3</v>
      </c>
      <c r="BD68" s="191"/>
      <c r="BE68" s="180">
        <f t="shared" si="337"/>
        <v>0.17188000000000001</v>
      </c>
      <c r="BF68" s="182">
        <f t="shared" si="16"/>
        <v>9.0262847064349921E-5</v>
      </c>
      <c r="BG68" s="183">
        <f>SUMIF('04.conso TB'!A:A,'Apr-26'!B68,'04.conso TB'!H:H)/10^5</f>
        <v>0.17188000000000001</v>
      </c>
      <c r="BH68" s="184">
        <f>BG68/$BG$46*100%</f>
        <v>9.0262847064349921E-5</v>
      </c>
      <c r="BI68" s="180">
        <f t="shared" si="338"/>
        <v>0.40242</v>
      </c>
      <c r="BJ68" s="182">
        <f t="shared" si="17"/>
        <v>2.076405392534502E-2</v>
      </c>
      <c r="BK68" s="183">
        <f>SUMIF('04.conso TB'!A:A,'Apr-26'!B68,'04.conso TB'!I:I)/10^5</f>
        <v>0.40242</v>
      </c>
      <c r="BL68" s="184">
        <f>BK68/$BK$46*100%</f>
        <v>2.076405392534502E-2</v>
      </c>
      <c r="BM68" s="180">
        <f t="shared" si="339"/>
        <v>0</v>
      </c>
      <c r="BN68" s="182">
        <f>BM68/$C$46*100%</f>
        <v>0</v>
      </c>
      <c r="BO68" s="181">
        <f>SUMIF('04.conso TB'!A:A,'Apr-26'!B68,'04.conso TB'!J:J)/10^5</f>
        <v>0</v>
      </c>
      <c r="BP68" s="182">
        <f>BO68/$C$46*100%</f>
        <v>0</v>
      </c>
      <c r="BQ68" s="192"/>
      <c r="BR68" s="180">
        <f t="shared" si="340"/>
        <v>0.57430000000000003</v>
      </c>
      <c r="BS68" s="182">
        <f t="shared" si="18"/>
        <v>3.1156916933907335E-4</v>
      </c>
      <c r="BT68" s="183">
        <f t="shared" si="19"/>
        <v>0.57430000000000003</v>
      </c>
      <c r="BU68" s="182">
        <f t="shared" si="20"/>
        <v>3.1156916933907329E-4</v>
      </c>
      <c r="BV68" s="191"/>
      <c r="BW68" s="180">
        <f t="shared" si="341"/>
        <v>0</v>
      </c>
      <c r="BX68" s="182">
        <f t="shared" si="21"/>
        <v>0</v>
      </c>
      <c r="BY68" s="183">
        <f>SUMIF('04.conso TB'!A:A,'Apr-26'!B68,'04.conso TB'!L:L)/10^5</f>
        <v>0</v>
      </c>
      <c r="BZ68" s="182">
        <f t="shared" si="22"/>
        <v>0</v>
      </c>
      <c r="CA68" s="191"/>
      <c r="CB68" s="180">
        <f t="shared" si="342"/>
        <v>0</v>
      </c>
      <c r="CC68" s="346"/>
      <c r="CD68" s="186"/>
      <c r="CE68" s="187">
        <f>AB68+AG68+AL68+AZ68+BR68+BW68</f>
        <v>13.765430600000002</v>
      </c>
      <c r="CF68" s="182">
        <f t="shared" si="23"/>
        <v>2.5713317738809325E-3</v>
      </c>
      <c r="CG68" s="187">
        <f>AD68+AI68+AN68+BB68+BT68+BY68</f>
        <v>13.765430600000002</v>
      </c>
      <c r="CH68" s="182">
        <f t="shared" si="24"/>
        <v>2.5713317738809325E-3</v>
      </c>
    </row>
    <row r="69" spans="1:7168 7170:15360 15362:16333" s="204" customFormat="1" x14ac:dyDescent="0.35">
      <c r="B69" s="197" t="s">
        <v>446</v>
      </c>
      <c r="C69" s="180">
        <f t="shared" si="324"/>
        <v>0</v>
      </c>
      <c r="D69" s="182">
        <f>C69/$C$46*100%</f>
        <v>0</v>
      </c>
      <c r="E69" s="181">
        <f>SUMIF('04.conso TB'!A:A,'Apr-26'!B69,'04.conso TB'!R:R)/10^5</f>
        <v>0</v>
      </c>
      <c r="F69" s="182">
        <f t="shared" si="1"/>
        <v>0</v>
      </c>
      <c r="G69" s="180">
        <f t="shared" si="325"/>
        <v>0</v>
      </c>
      <c r="H69" s="182">
        <f t="shared" si="2"/>
        <v>0</v>
      </c>
      <c r="I69" s="181">
        <f>SUMIF('04.conso TB'!A:A,'Apr-26'!B69,'04.conso TB'!S:S)/10^5</f>
        <v>0</v>
      </c>
      <c r="J69" s="182">
        <f t="shared" si="3"/>
        <v>0</v>
      </c>
      <c r="K69" s="180">
        <f t="shared" si="326"/>
        <v>0</v>
      </c>
      <c r="L69" s="182">
        <f>K69/$C$46*100%</f>
        <v>0</v>
      </c>
      <c r="M69" s="181">
        <f>SUMIF('04.conso TB'!A:A,'Apr-26'!B69,'04.conso TB'!T:T)/10^5</f>
        <v>0</v>
      </c>
      <c r="N69" s="182">
        <f>M69/$C$46*100%</f>
        <v>0</v>
      </c>
      <c r="O69" s="180">
        <f t="shared" si="327"/>
        <v>0</v>
      </c>
      <c r="P69" s="182">
        <f t="shared" si="4"/>
        <v>0</v>
      </c>
      <c r="Q69" s="181">
        <f>SUMIF('04.conso TB'!A:A,'Apr-26'!B69,'04.conso TB'!U:U)/10^5</f>
        <v>0</v>
      </c>
      <c r="R69" s="182">
        <f t="shared" si="5"/>
        <v>0</v>
      </c>
      <c r="S69" s="180">
        <f t="shared" si="328"/>
        <v>0</v>
      </c>
      <c r="T69" s="182">
        <f t="shared" si="6"/>
        <v>0</v>
      </c>
      <c r="U69" s="183">
        <f>SUMIF('04.conso TB'!A:A,'Apr-26'!B69,'04.conso TB'!V:V)/10^5</f>
        <v>0</v>
      </c>
      <c r="V69" s="182">
        <f t="shared" si="7"/>
        <v>0</v>
      </c>
      <c r="W69" s="180">
        <f t="shared" si="329"/>
        <v>0</v>
      </c>
      <c r="X69" s="182">
        <f t="shared" si="8"/>
        <v>0</v>
      </c>
      <c r="Y69" s="181">
        <f>SUMIF('04.conso TB'!A:A,'Apr-26'!B69,'04.conso TB'!G:G)/10^5</f>
        <v>0</v>
      </c>
      <c r="Z69" s="182">
        <f t="shared" si="9"/>
        <v>0</v>
      </c>
      <c r="AA69" s="185"/>
      <c r="AB69" s="180">
        <f t="shared" si="330"/>
        <v>0</v>
      </c>
      <c r="AC69" s="182">
        <f t="shared" si="10"/>
        <v>0</v>
      </c>
      <c r="AD69" s="187">
        <f>E69+I69+M69+Q69+U69+Y69</f>
        <v>0</v>
      </c>
      <c r="AE69" s="182">
        <f t="shared" si="11"/>
        <v>0</v>
      </c>
      <c r="AF69" s="186"/>
      <c r="AG69" s="180">
        <f t="shared" si="331"/>
        <v>0</v>
      </c>
      <c r="AH69" s="182">
        <f t="shared" si="12"/>
        <v>0</v>
      </c>
      <c r="AI69" s="183">
        <f>SUMIF('04.conso TB'!A:A,'Apr-26'!B69,'04.conso TB'!Q:Q)/10^5</f>
        <v>0</v>
      </c>
      <c r="AJ69" s="184">
        <f>AI69/$AI$46*100%</f>
        <v>0</v>
      </c>
      <c r="AK69" s="186"/>
      <c r="AL69" s="180">
        <f t="shared" si="332"/>
        <v>0</v>
      </c>
      <c r="AM69" s="182">
        <f t="shared" si="13"/>
        <v>0</v>
      </c>
      <c r="AN69" s="181">
        <f>SUMIF('04.conso TB'!A:A,'Apr-26'!B69,'04.conso TB'!W:W)/10^5</f>
        <v>0</v>
      </c>
      <c r="AO69" s="184">
        <f>AN69/$AN$46*100%</f>
        <v>0</v>
      </c>
      <c r="AP69" s="545"/>
      <c r="AQ69" s="180">
        <f t="shared" si="333"/>
        <v>0</v>
      </c>
      <c r="AR69" s="182">
        <f t="shared" si="14"/>
        <v>0</v>
      </c>
      <c r="AS69" s="183">
        <f>SUMIF('04.conso TB'!A:A,'Apr-26'!B69,'04.conso TB'!M:M)/10^5</f>
        <v>0</v>
      </c>
      <c r="AT69" s="184">
        <f>AS69/$AS$46*100%</f>
        <v>0</v>
      </c>
      <c r="AU69" s="180">
        <f t="shared" si="334"/>
        <v>0</v>
      </c>
      <c r="AV69" s="182">
        <f>AU69/$C$46*100%</f>
        <v>0</v>
      </c>
      <c r="AW69" s="183">
        <f>SUMIF('04.conso TB'!A:A,'Apr-26'!B69,'04.conso TB'!P:P)/10^5</f>
        <v>0</v>
      </c>
      <c r="AX69" s="184">
        <f>AW69/$AW$46*100%</f>
        <v>0</v>
      </c>
      <c r="AY69" s="195"/>
      <c r="AZ69" s="180">
        <f t="shared" si="335"/>
        <v>0</v>
      </c>
      <c r="BA69" s="182">
        <f t="shared" si="15"/>
        <v>0</v>
      </c>
      <c r="BB69" s="190">
        <f t="shared" si="336"/>
        <v>0</v>
      </c>
      <c r="BC69" s="184">
        <f>BB69/$BB$46*100%</f>
        <v>0</v>
      </c>
      <c r="BD69" s="191"/>
      <c r="BE69" s="180">
        <f t="shared" si="337"/>
        <v>0</v>
      </c>
      <c r="BF69" s="182">
        <f t="shared" si="16"/>
        <v>0</v>
      </c>
      <c r="BG69" s="183">
        <f>SUMIF('04.conso TB'!A:A,'Apr-26'!B69,'04.conso TB'!H:H)/10^5</f>
        <v>0</v>
      </c>
      <c r="BH69" s="184">
        <f>BG69/$BG$46*100%</f>
        <v>0</v>
      </c>
      <c r="BI69" s="180">
        <f t="shared" si="338"/>
        <v>0</v>
      </c>
      <c r="BJ69" s="182">
        <f t="shared" si="17"/>
        <v>0</v>
      </c>
      <c r="BK69" s="183">
        <f>SUMIF('04.conso TB'!A:A,'Apr-26'!B69,'04.conso TB'!I:I)/10^5</f>
        <v>0</v>
      </c>
      <c r="BL69" s="184">
        <f>BK69/$BK$46*100%</f>
        <v>0</v>
      </c>
      <c r="BM69" s="180">
        <f t="shared" si="339"/>
        <v>0</v>
      </c>
      <c r="BN69" s="182">
        <f>BM69/$C$46*100%</f>
        <v>0</v>
      </c>
      <c r="BO69" s="181">
        <f>SUMIF('04.conso TB'!A:A,'Apr-26'!B69,'04.conso TB'!J:J)/10^5</f>
        <v>0</v>
      </c>
      <c r="BP69" s="182">
        <f>BO69/$C$46*100%</f>
        <v>0</v>
      </c>
      <c r="BQ69" s="192"/>
      <c r="BR69" s="180">
        <f t="shared" si="340"/>
        <v>0</v>
      </c>
      <c r="BS69" s="182">
        <f t="shared" si="18"/>
        <v>0</v>
      </c>
      <c r="BT69" s="183">
        <f t="shared" si="19"/>
        <v>0</v>
      </c>
      <c r="BU69" s="182">
        <f t="shared" si="20"/>
        <v>0</v>
      </c>
      <c r="BV69" s="191"/>
      <c r="BW69" s="180">
        <f t="shared" si="341"/>
        <v>0</v>
      </c>
      <c r="BX69" s="182">
        <f t="shared" si="21"/>
        <v>0</v>
      </c>
      <c r="BY69" s="183">
        <f>SUMIF('04.conso TB'!A:A,'Apr-26'!B69,'04.conso TB'!L:L)/10^5</f>
        <v>0</v>
      </c>
      <c r="BZ69" s="182">
        <f t="shared" si="22"/>
        <v>0</v>
      </c>
      <c r="CA69" s="191"/>
      <c r="CB69" s="180">
        <f t="shared" si="342"/>
        <v>0</v>
      </c>
      <c r="CC69" s="346"/>
      <c r="CD69" s="186"/>
      <c r="CE69" s="187">
        <f>AB69+AG69+AL69+AZ69+BR69+BW69</f>
        <v>0</v>
      </c>
      <c r="CF69" s="182">
        <f t="shared" si="23"/>
        <v>0</v>
      </c>
      <c r="CG69" s="187">
        <f>AD69+AI69+AN69+BB69+BT69+BY69</f>
        <v>0</v>
      </c>
      <c r="CH69" s="182">
        <f t="shared" si="24"/>
        <v>0</v>
      </c>
    </row>
    <row r="70" spans="1:7168 7170:15360 15362:16333" s="204" customFormat="1" x14ac:dyDescent="0.35">
      <c r="B70" s="197" t="s">
        <v>440</v>
      </c>
      <c r="C70" s="180">
        <f t="shared" si="324"/>
        <v>1.41717</v>
      </c>
      <c r="D70" s="182">
        <f>C70/$C$46*100%</f>
        <v>4.2466979061198622E-4</v>
      </c>
      <c r="E70" s="181">
        <f>SUMIF('04.conso TB'!A:A,'Apr-26'!B70,'04.conso TB'!R:R)/10^5</f>
        <v>1.41717</v>
      </c>
      <c r="F70" s="182">
        <f t="shared" si="1"/>
        <v>4.2466979061198622E-4</v>
      </c>
      <c r="G70" s="180">
        <f t="shared" si="325"/>
        <v>2.5492384000000001</v>
      </c>
      <c r="H70" s="182">
        <f t="shared" si="2"/>
        <v>2.1579076089599599E-3</v>
      </c>
      <c r="I70" s="181">
        <f>SUMIF('04.conso TB'!A:A,'Apr-26'!B70,'04.conso TB'!S:S)/10^5</f>
        <v>2.5492384000000001</v>
      </c>
      <c r="J70" s="182">
        <f t="shared" si="3"/>
        <v>2.1579076089599599E-3</v>
      </c>
      <c r="K70" s="180">
        <f t="shared" si="326"/>
        <v>0.19206000000000001</v>
      </c>
      <c r="L70" s="182">
        <f>K70/$C$46*100%</f>
        <v>5.7552784764663437E-5</v>
      </c>
      <c r="M70" s="181">
        <f>SUMIF('04.conso TB'!A:A,'Apr-26'!B70,'04.conso TB'!T:T)/10^5</f>
        <v>0.19206000000000001</v>
      </c>
      <c r="N70" s="182">
        <f>M70/$C$46*100%</f>
        <v>5.7552784764663437E-5</v>
      </c>
      <c r="O70" s="180">
        <f t="shared" si="327"/>
        <v>1.9839</v>
      </c>
      <c r="P70" s="182">
        <f t="shared" si="4"/>
        <v>2.1177630149056604E-3</v>
      </c>
      <c r="Q70" s="181">
        <f>SUMIF('04.conso TB'!A:A,'Apr-26'!B70,'04.conso TB'!U:U)/10^5</f>
        <v>1.9839</v>
      </c>
      <c r="R70" s="182">
        <f t="shared" si="5"/>
        <v>2.1177630149056604E-3</v>
      </c>
      <c r="S70" s="180">
        <f t="shared" si="328"/>
        <v>1.1243099999999999</v>
      </c>
      <c r="T70" s="182">
        <f t="shared" si="6"/>
        <v>2.305517960752046E-2</v>
      </c>
      <c r="U70" s="183">
        <f>SUMIF('04.conso TB'!A:A,'Apr-26'!B70,'04.conso TB'!V:V)/10^5</f>
        <v>1.1243099999999999</v>
      </c>
      <c r="V70" s="182">
        <f t="shared" si="7"/>
        <v>2.305517960752046E-2</v>
      </c>
      <c r="W70" s="180">
        <f t="shared" si="329"/>
        <v>0.22267999999999999</v>
      </c>
      <c r="X70" s="182">
        <f t="shared" si="8"/>
        <v>2.9903578229834075E-3</v>
      </c>
      <c r="Y70" s="181">
        <f>SUMIF('04.conso TB'!A:A,'Apr-26'!B70,'04.conso TB'!G:G)/10^5</f>
        <v>0.22267999999999999</v>
      </c>
      <c r="Z70" s="182">
        <f t="shared" si="9"/>
        <v>2.9903578229834075E-3</v>
      </c>
      <c r="AA70" s="185"/>
      <c r="AB70" s="180">
        <f t="shared" si="330"/>
        <v>7.4893584000000004</v>
      </c>
      <c r="AC70" s="182">
        <f t="shared" si="10"/>
        <v>1.4315703476491077E-3</v>
      </c>
      <c r="AD70" s="187">
        <f>E70+I70+M70+Q70+U70+Y70</f>
        <v>7.4893584000000004</v>
      </c>
      <c r="AE70" s="182">
        <f t="shared" si="11"/>
        <v>1.4315703476491077E-3</v>
      </c>
      <c r="AF70" s="186"/>
      <c r="AG70" s="180">
        <f t="shared" si="331"/>
        <v>4.0580499999999997</v>
      </c>
      <c r="AH70" s="182">
        <f t="shared" si="12"/>
        <v>1.0953088232392116E-2</v>
      </c>
      <c r="AI70" s="183">
        <f>SUMIF('04.conso TB'!A:A,'Apr-26'!B70,'04.conso TB'!Q:Q)/10^5</f>
        <v>4.0580499999999997</v>
      </c>
      <c r="AJ70" s="184">
        <f>AI70/$AI$46*100%</f>
        <v>1.0953088232392116E-2</v>
      </c>
      <c r="AK70" s="186"/>
      <c r="AL70" s="180">
        <f t="shared" si="332"/>
        <v>0.35051680000000002</v>
      </c>
      <c r="AM70" s="182">
        <f t="shared" si="13"/>
        <v>3.0798142321231304E-4</v>
      </c>
      <c r="AN70" s="181">
        <f>SUMIF('04.conso TB'!A:A,'Apr-26'!B70,'04.conso TB'!W:W)/10^5</f>
        <v>0.35051680000000002</v>
      </c>
      <c r="AO70" s="184">
        <f>AN70/$AN$46*100%</f>
        <v>3.0798142321231304E-4</v>
      </c>
      <c r="AP70" s="545"/>
      <c r="AQ70" s="180">
        <f t="shared" si="333"/>
        <v>2.5831300000000001</v>
      </c>
      <c r="AR70" s="182">
        <f t="shared" si="14"/>
        <v>1.4102267331737638E-3</v>
      </c>
      <c r="AS70" s="183">
        <f>SUMIF('04.conso TB'!A:A,'Apr-26'!B70,'04.conso TB'!M:M)/10^5</f>
        <v>2.5831300000000001</v>
      </c>
      <c r="AT70" s="184">
        <f>AS70/$AS$46*100%</f>
        <v>1.4102267331737638E-3</v>
      </c>
      <c r="AU70" s="180">
        <f t="shared" si="334"/>
        <v>0</v>
      </c>
      <c r="AV70" s="182">
        <f>AU70/$C$46*100%</f>
        <v>0</v>
      </c>
      <c r="AW70" s="183">
        <f>SUMIF('04.conso TB'!A:A,'Apr-26'!B70,'04.conso TB'!P:P)/10^5</f>
        <v>0</v>
      </c>
      <c r="AX70" s="184">
        <f>AW70/$AW$46*100%</f>
        <v>0</v>
      </c>
      <c r="AY70" s="195"/>
      <c r="AZ70" s="180">
        <f t="shared" si="335"/>
        <v>2.5831300000000001</v>
      </c>
      <c r="BA70" s="182">
        <f t="shared" si="15"/>
        <v>9.6293227485718801E-4</v>
      </c>
      <c r="BB70" s="190">
        <f t="shared" si="336"/>
        <v>2.5831300000000001</v>
      </c>
      <c r="BC70" s="184">
        <f>BB70/$BB$46*100%</f>
        <v>9.6293227485718801E-4</v>
      </c>
      <c r="BD70" s="191"/>
      <c r="BE70" s="180">
        <f t="shared" si="337"/>
        <v>1.1800600000000001</v>
      </c>
      <c r="BF70" s="182">
        <f t="shared" si="16"/>
        <v>6.1970895570605527E-4</v>
      </c>
      <c r="BG70" s="183">
        <f>SUMIF('04.conso TB'!A:A,'Apr-26'!B70,'04.conso TB'!H:H)/10^5</f>
        <v>1.1800600000000001</v>
      </c>
      <c r="BH70" s="184">
        <f>BG70/$BG$46*100%</f>
        <v>6.1970895570605527E-4</v>
      </c>
      <c r="BI70" s="180">
        <f t="shared" si="338"/>
        <v>0.04</v>
      </c>
      <c r="BJ70" s="182">
        <f t="shared" si="17"/>
        <v>2.0639186844933176E-3</v>
      </c>
      <c r="BK70" s="183">
        <f>SUMIF('04.conso TB'!A:A,'Apr-26'!B70,'04.conso TB'!I:I)/10^5</f>
        <v>0.04</v>
      </c>
      <c r="BL70" s="184">
        <f>BK70/$BK$46*100%</f>
        <v>2.0639186844933176E-3</v>
      </c>
      <c r="BM70" s="180">
        <f t="shared" si="339"/>
        <v>0</v>
      </c>
      <c r="BN70" s="182">
        <f>BM70/$C$46*100%</f>
        <v>0</v>
      </c>
      <c r="BO70" s="181">
        <f>SUMIF('04.conso TB'!A:A,'Apr-26'!B70,'04.conso TB'!J:J)/10^5</f>
        <v>0</v>
      </c>
      <c r="BP70" s="182">
        <f>BO70/$C$46*100%</f>
        <v>0</v>
      </c>
      <c r="BQ70" s="192"/>
      <c r="BR70" s="180">
        <f t="shared" si="340"/>
        <v>1.2200600000000001</v>
      </c>
      <c r="BS70" s="182">
        <f t="shared" si="18"/>
        <v>6.6190680958354493E-4</v>
      </c>
      <c r="BT70" s="183">
        <f t="shared" si="19"/>
        <v>1.2200600000000001</v>
      </c>
      <c r="BU70" s="182">
        <f t="shared" si="20"/>
        <v>6.6190680958354482E-4</v>
      </c>
      <c r="BV70" s="191"/>
      <c r="BW70" s="180">
        <f t="shared" si="341"/>
        <v>0</v>
      </c>
      <c r="BX70" s="182">
        <f t="shared" si="21"/>
        <v>0</v>
      </c>
      <c r="BY70" s="183">
        <f>SUMIF('04.conso TB'!A:A,'Apr-26'!B70,'04.conso TB'!L:L)/10^5</f>
        <v>0</v>
      </c>
      <c r="BZ70" s="182">
        <f t="shared" si="22"/>
        <v>0</v>
      </c>
      <c r="CA70" s="191"/>
      <c r="CB70" s="180">
        <f t="shared" si="342"/>
        <v>0</v>
      </c>
      <c r="CC70" s="346"/>
      <c r="CD70" s="186"/>
      <c r="CE70" s="187">
        <f>AB70+AG70+AL70+AZ70+BR70+BW70</f>
        <v>15.7011152</v>
      </c>
      <c r="CF70" s="182">
        <f t="shared" si="23"/>
        <v>2.932910533080227E-3</v>
      </c>
      <c r="CG70" s="187">
        <f>AD70+AI70+AN70+BB70+BT70+BY70</f>
        <v>15.7011152</v>
      </c>
      <c r="CH70" s="182">
        <f t="shared" si="24"/>
        <v>2.932910533080227E-3</v>
      </c>
    </row>
    <row r="71" spans="1:7168 7170:15360 15362:16333" s="204" customFormat="1" x14ac:dyDescent="0.35">
      <c r="B71" s="197" t="s">
        <v>428</v>
      </c>
      <c r="C71" s="180">
        <f t="shared" si="324"/>
        <v>14.693316699999999</v>
      </c>
      <c r="D71" s="182">
        <f>C71/$C$46*100%</f>
        <v>4.4030057977409911E-3</v>
      </c>
      <c r="E71" s="181">
        <f>SUMIF('04.conso TB'!A:A,'Apr-26'!B71,'04.conso TB'!R:R)/10^5</f>
        <v>14.693316699999999</v>
      </c>
      <c r="F71" s="182">
        <f t="shared" si="1"/>
        <v>4.4030057977409911E-3</v>
      </c>
      <c r="G71" s="180">
        <f t="shared" si="325"/>
        <v>28.0616138</v>
      </c>
      <c r="H71" s="182">
        <f t="shared" si="2"/>
        <v>2.3753906240670083E-2</v>
      </c>
      <c r="I71" s="181">
        <f>SUMIF('04.conso TB'!A:A,'Apr-26'!B71,'04.conso TB'!S:S)/10^5</f>
        <v>28.0616138</v>
      </c>
      <c r="J71" s="182">
        <f t="shared" si="3"/>
        <v>2.3753906240670083E-2</v>
      </c>
      <c r="K71" s="180">
        <f t="shared" si="326"/>
        <v>0</v>
      </c>
      <c r="L71" s="182">
        <f>K71/$C$46*100%</f>
        <v>0</v>
      </c>
      <c r="M71" s="181">
        <f>SUMIF('04.conso TB'!A:A,'Apr-26'!B71,'04.conso TB'!T:T)/10^5</f>
        <v>0</v>
      </c>
      <c r="N71" s="182">
        <f>M71/$C$46*100%</f>
        <v>0</v>
      </c>
      <c r="O71" s="180">
        <f t="shared" si="327"/>
        <v>5.9780228000000006</v>
      </c>
      <c r="P71" s="182">
        <f t="shared" si="4"/>
        <v>6.3813879671872475E-3</v>
      </c>
      <c r="Q71" s="181">
        <f>SUMIF('04.conso TB'!A:A,'Apr-26'!B71,'04.conso TB'!U:U)/10^5</f>
        <v>5.9780228000000006</v>
      </c>
      <c r="R71" s="182">
        <f t="shared" si="5"/>
        <v>6.3813879671872475E-3</v>
      </c>
      <c r="S71" s="180">
        <f t="shared" si="328"/>
        <v>4.6695E-2</v>
      </c>
      <c r="T71" s="182">
        <f t="shared" si="6"/>
        <v>9.575309405530217E-4</v>
      </c>
      <c r="U71" s="183">
        <f>SUMIF('04.conso TB'!A:A,'Apr-26'!B71,'04.conso TB'!V:V)/10^5</f>
        <v>4.6695E-2</v>
      </c>
      <c r="V71" s="182">
        <f t="shared" si="7"/>
        <v>9.575309405530217E-4</v>
      </c>
      <c r="W71" s="180">
        <f t="shared" si="329"/>
        <v>0</v>
      </c>
      <c r="X71" s="182">
        <f t="shared" si="8"/>
        <v>0</v>
      </c>
      <c r="Y71" s="181">
        <f>SUMIF('04.conso TB'!A:A,'Apr-26'!B71,'04.conso TB'!G:G)/10^5</f>
        <v>0</v>
      </c>
      <c r="Z71" s="182">
        <f t="shared" si="9"/>
        <v>0</v>
      </c>
      <c r="AA71" s="185"/>
      <c r="AB71" s="180">
        <f t="shared" si="330"/>
        <v>48.779648299999998</v>
      </c>
      <c r="AC71" s="182">
        <f t="shared" si="10"/>
        <v>9.3240961835972767E-3</v>
      </c>
      <c r="AD71" s="187">
        <f>E71+I71+M71+Q71+U71+Y71</f>
        <v>48.779648299999998</v>
      </c>
      <c r="AE71" s="182">
        <f t="shared" si="11"/>
        <v>9.3240961835972767E-3</v>
      </c>
      <c r="AF71" s="186"/>
      <c r="AG71" s="180">
        <f t="shared" si="331"/>
        <v>2.5620599999999998</v>
      </c>
      <c r="AH71" s="182">
        <f t="shared" si="12"/>
        <v>6.9152596041651892E-3</v>
      </c>
      <c r="AI71" s="183">
        <f>SUMIF('04.conso TB'!A:A,'Apr-26'!B71,'04.conso TB'!Q:Q)/10^5</f>
        <v>2.5620599999999998</v>
      </c>
      <c r="AJ71" s="184">
        <f>AI71/$AI$46*100%</f>
        <v>6.9152596041651892E-3</v>
      </c>
      <c r="AK71" s="186"/>
      <c r="AL71" s="180">
        <f t="shared" si="332"/>
        <v>4.4592023999999997</v>
      </c>
      <c r="AM71" s="182">
        <f t="shared" si="13"/>
        <v>3.9180761137376638E-3</v>
      </c>
      <c r="AN71" s="181">
        <f>SUMIF('04.conso TB'!A:A,'Apr-26'!B71,'04.conso TB'!W:W)/10^5</f>
        <v>4.4592023999999997</v>
      </c>
      <c r="AO71" s="184">
        <f>AN71/$AN$46*100%</f>
        <v>3.9180761137376638E-3</v>
      </c>
      <c r="AP71" s="545"/>
      <c r="AQ71" s="180">
        <f t="shared" si="333"/>
        <v>35.4649602</v>
      </c>
      <c r="AR71" s="182">
        <f t="shared" si="14"/>
        <v>1.9361640709133317E-2</v>
      </c>
      <c r="AS71" s="183">
        <f>SUMIF('04.conso TB'!A:A,'Apr-26'!B71,'04.conso TB'!M:M)/10^5</f>
        <v>35.4649602</v>
      </c>
      <c r="AT71" s="184">
        <f>AS71/$AS$46*100%</f>
        <v>1.9361640709133317E-2</v>
      </c>
      <c r="AU71" s="180">
        <f t="shared" si="334"/>
        <v>5.5101049</v>
      </c>
      <c r="AV71" s="182">
        <f>AU71/$C$46*100%</f>
        <v>1.6511604776654031E-3</v>
      </c>
      <c r="AW71" s="183">
        <f>SUMIF('04.conso TB'!A:A,'Apr-26'!B71,'04.conso TB'!P:P)/10^5</f>
        <v>5.5101049</v>
      </c>
      <c r="AX71" s="184">
        <f>AW71/$AW$46*100%</f>
        <v>6.4759691703612935E-3</v>
      </c>
      <c r="AY71" s="195"/>
      <c r="AZ71" s="180">
        <f t="shared" si="335"/>
        <v>40.975065100000002</v>
      </c>
      <c r="BA71" s="182">
        <f t="shared" si="15"/>
        <v>1.5274574895248931E-2</v>
      </c>
      <c r="BB71" s="190">
        <f t="shared" si="336"/>
        <v>40.975065100000002</v>
      </c>
      <c r="BC71" s="184">
        <f>BB71/$BB$46*100%</f>
        <v>1.5274574895248931E-2</v>
      </c>
      <c r="BD71" s="191"/>
      <c r="BE71" s="180">
        <f t="shared" si="337"/>
        <v>0.68288520000000019</v>
      </c>
      <c r="BF71" s="182">
        <f t="shared" si="16"/>
        <v>3.5861742128291847E-4</v>
      </c>
      <c r="BG71" s="183">
        <f>SUMIF('04.conso TB'!A:A,'Apr-26'!B71,'04.conso TB'!H:H)/10^5</f>
        <v>0.68288520000000019</v>
      </c>
      <c r="BH71" s="184">
        <f>BG71/$BG$46*100%</f>
        <v>3.5861742128291847E-4</v>
      </c>
      <c r="BI71" s="180">
        <f t="shared" si="338"/>
        <v>0.23704559999999997</v>
      </c>
      <c r="BJ71" s="182">
        <f t="shared" si="17"/>
        <v>1.2231071072923226E-2</v>
      </c>
      <c r="BK71" s="183">
        <f>SUMIF('04.conso TB'!A:A,'Apr-26'!B71,'04.conso TB'!I:I)/10^5</f>
        <v>0.23704559999999997</v>
      </c>
      <c r="BL71" s="184">
        <f>BK71/$BK$46*100%</f>
        <v>1.2231071072923226E-2</v>
      </c>
      <c r="BM71" s="180">
        <f t="shared" si="339"/>
        <v>0</v>
      </c>
      <c r="BN71" s="182">
        <f>BM71/$C$46*100%</f>
        <v>0</v>
      </c>
      <c r="BO71" s="181">
        <f>SUMIF('04.conso TB'!A:A,'Apr-26'!B71,'04.conso TB'!J:J)/10^5</f>
        <v>0</v>
      </c>
      <c r="BP71" s="182">
        <f>BO71/$C$46*100%</f>
        <v>0</v>
      </c>
      <c r="BQ71" s="192"/>
      <c r="BR71" s="180">
        <f t="shared" si="340"/>
        <v>0.91993080000000016</v>
      </c>
      <c r="BS71" s="182">
        <f t="shared" si="18"/>
        <v>4.990807508365475E-4</v>
      </c>
      <c r="BT71" s="183">
        <f t="shared" si="19"/>
        <v>0.91993080000000016</v>
      </c>
      <c r="BU71" s="182">
        <f t="shared" si="20"/>
        <v>4.9908075083654739E-4</v>
      </c>
      <c r="BV71" s="191"/>
      <c r="BW71" s="180">
        <f t="shared" si="341"/>
        <v>0.88070000000000004</v>
      </c>
      <c r="BX71" s="182">
        <f t="shared" si="21"/>
        <v>5.1552484832183515E-4</v>
      </c>
      <c r="BY71" s="183">
        <f>SUMIF('04.conso TB'!A:A,'Apr-26'!B71,'04.conso TB'!L:L)/10^5</f>
        <v>0.88070000000000004</v>
      </c>
      <c r="BZ71" s="182">
        <f t="shared" si="22"/>
        <v>5.1552484832183515E-4</v>
      </c>
      <c r="CA71" s="191"/>
      <c r="CB71" s="180">
        <f t="shared" si="342"/>
        <v>0</v>
      </c>
      <c r="CC71" s="346"/>
      <c r="CD71" s="186"/>
      <c r="CE71" s="187">
        <f>AB71+AG71+AL71+AZ71+BR71+BW71</f>
        <v>98.576606600000005</v>
      </c>
      <c r="CF71" s="182">
        <f t="shared" si="23"/>
        <v>1.8413747312193838E-2</v>
      </c>
      <c r="CG71" s="187">
        <f>AD71+AI71+AN71+BB71+BT71+BY71</f>
        <v>98.576606600000005</v>
      </c>
      <c r="CH71" s="182">
        <f t="shared" si="24"/>
        <v>1.8413747312193838E-2</v>
      </c>
    </row>
    <row r="72" spans="1:7168 7170:15360 15362:16333" ht="15.5" x14ac:dyDescent="0.35">
      <c r="A72" s="218"/>
      <c r="B72" s="280" t="s">
        <v>496</v>
      </c>
      <c r="C72" s="148">
        <f t="shared" ref="C72:AD72" si="343">SUM(C67:C71)</f>
        <v>16.1237067</v>
      </c>
      <c r="D72" s="151">
        <f t="shared" si="343"/>
        <v>4.831637099415087E-3</v>
      </c>
      <c r="E72" s="149">
        <f t="shared" si="343"/>
        <v>16.1237067</v>
      </c>
      <c r="F72" s="182">
        <f t="shared" si="1"/>
        <v>4.831637099415087E-3</v>
      </c>
      <c r="G72" s="148">
        <f t="shared" ref="G72" si="344">SUM(G67:G71)</f>
        <v>30.6108522</v>
      </c>
      <c r="H72" s="182">
        <f t="shared" si="2"/>
        <v>2.5911813849630042E-2</v>
      </c>
      <c r="I72" s="149">
        <f t="shared" si="343"/>
        <v>30.6108522</v>
      </c>
      <c r="J72" s="182">
        <f t="shared" si="3"/>
        <v>2.5911813849630042E-2</v>
      </c>
      <c r="K72" s="148">
        <f t="shared" ref="K72" si="345">SUM(K67:K71)</f>
        <v>0.19206000000000001</v>
      </c>
      <c r="L72" s="151">
        <f t="shared" ref="L72" si="346">SUM(L67:L71)</f>
        <v>5.7552784764663437E-5</v>
      </c>
      <c r="M72" s="149">
        <f t="shared" si="343"/>
        <v>0.19206000000000001</v>
      </c>
      <c r="N72" s="151">
        <f t="shared" ref="N72" si="347">SUM(N67:N71)</f>
        <v>5.7552784764663437E-5</v>
      </c>
      <c r="O72" s="148">
        <f t="shared" ref="O72" si="348">SUM(O67:O71)</f>
        <v>7.9619228000000009</v>
      </c>
      <c r="P72" s="182">
        <f t="shared" si="4"/>
        <v>8.4991509820929092E-3</v>
      </c>
      <c r="Q72" s="149">
        <f t="shared" si="343"/>
        <v>7.9619228000000009</v>
      </c>
      <c r="R72" s="182">
        <f t="shared" si="5"/>
        <v>8.4991509820929092E-3</v>
      </c>
      <c r="S72" s="148">
        <f t="shared" ref="S72" si="349">SUM(S67:S71)</f>
        <v>10.910467799999999</v>
      </c>
      <c r="T72" s="182">
        <f t="shared" si="6"/>
        <v>0.22373081688419438</v>
      </c>
      <c r="U72" s="152">
        <f t="shared" si="343"/>
        <v>10.910467799999999</v>
      </c>
      <c r="V72" s="182">
        <f t="shared" si="7"/>
        <v>0.22373081688419438</v>
      </c>
      <c r="W72" s="148">
        <f t="shared" ref="W72" si="350">SUM(W67:W71)</f>
        <v>0.67618</v>
      </c>
      <c r="X72" s="182">
        <f t="shared" si="8"/>
        <v>9.0803850940583825E-3</v>
      </c>
      <c r="Y72" s="149">
        <f t="shared" si="343"/>
        <v>0.67618</v>
      </c>
      <c r="Z72" s="182">
        <f t="shared" si="9"/>
        <v>9.0803850940583825E-3</v>
      </c>
      <c r="AA72" s="176">
        <f t="shared" si="343"/>
        <v>0</v>
      </c>
      <c r="AB72" s="148">
        <f t="shared" si="343"/>
        <v>66.475189499999999</v>
      </c>
      <c r="AC72" s="182">
        <f t="shared" si="10"/>
        <v>1.2706550422604334E-2</v>
      </c>
      <c r="AD72" s="152">
        <f t="shared" si="343"/>
        <v>66.475189499999999</v>
      </c>
      <c r="AE72" s="182">
        <f t="shared" si="11"/>
        <v>1.2706550422604334E-2</v>
      </c>
      <c r="AF72" s="511">
        <f>AG72/$AG$1*10^5</f>
        <v>1.8034930576906858</v>
      </c>
      <c r="AG72" s="148">
        <f t="shared" ref="AG72" si="351">SUM(AG67:AG71)</f>
        <v>6.6283599999999998</v>
      </c>
      <c r="AH72" s="182">
        <f t="shared" si="12"/>
        <v>1.7890615422692824E-2</v>
      </c>
      <c r="AI72" s="152">
        <f t="shared" ref="AI72:AJ72" si="352">SUM(AI67:AI71)</f>
        <v>6.6283599999999998</v>
      </c>
      <c r="AJ72" s="153">
        <f t="shared" si="352"/>
        <v>1.789061542269282E-2</v>
      </c>
      <c r="AK72" s="437">
        <f>AL72/$AL$1*10^5</f>
        <v>1.2850744071880151</v>
      </c>
      <c r="AL72" s="148">
        <f t="shared" ref="AL72" si="353">SUM(AL67:AL71)</f>
        <v>5.6751969999999998</v>
      </c>
      <c r="AM72" s="182">
        <f t="shared" si="13"/>
        <v>4.9865092031829835E-3</v>
      </c>
      <c r="AN72" s="149">
        <f>SUM(AN67:AN71)</f>
        <v>5.6751969999999998</v>
      </c>
      <c r="AO72" s="153">
        <f>SUM(AO67:AO71)</f>
        <v>4.9865092031829835E-3</v>
      </c>
      <c r="AP72" s="546">
        <f>AQ72/$AQ$1*10^5</f>
        <v>6.8605701603785443</v>
      </c>
      <c r="AQ72" s="148">
        <f t="shared" ref="AQ72" si="354">SUM(AQ67:AQ71)</f>
        <v>40.959319000000001</v>
      </c>
      <c r="AR72" s="182">
        <f t="shared" si="14"/>
        <v>2.2361215512340483E-2</v>
      </c>
      <c r="AS72" s="152">
        <f t="shared" ref="AS72:AX72" si="355">SUM(AS67:AS71)</f>
        <v>40.959319000000001</v>
      </c>
      <c r="AT72" s="153">
        <f t="shared" si="355"/>
        <v>2.2361215512340479E-2</v>
      </c>
      <c r="AU72" s="148">
        <f t="shared" ref="AU72" si="356">SUM(AU67:AU71)</f>
        <v>5.5101049</v>
      </c>
      <c r="AV72" s="151">
        <f t="shared" ref="AV72" si="357">SUM(AV67:AV71)</f>
        <v>1.6511604776654031E-3</v>
      </c>
      <c r="AW72" s="152">
        <f t="shared" si="355"/>
        <v>5.5101049</v>
      </c>
      <c r="AX72" s="153">
        <f t="shared" si="355"/>
        <v>6.4759691703612935E-3</v>
      </c>
      <c r="AY72" s="163"/>
      <c r="AZ72" s="148">
        <f t="shared" ref="AZ72" si="358">SUM(AZ67:AZ71)</f>
        <v>46.469423900000002</v>
      </c>
      <c r="BA72" s="182">
        <f t="shared" si="15"/>
        <v>1.7322747235845651E-2</v>
      </c>
      <c r="BB72" s="157">
        <f>SUM(BB67:BB71)</f>
        <v>46.469423900000002</v>
      </c>
      <c r="BC72" s="153">
        <f>SUM(BC67:BC71)</f>
        <v>1.7322747235845651E-2</v>
      </c>
      <c r="BD72" s="178"/>
      <c r="BE72" s="148">
        <f t="shared" ref="BE72" si="359">SUM(BE67:BE71)</f>
        <v>10.849980199999999</v>
      </c>
      <c r="BF72" s="182">
        <f t="shared" si="16"/>
        <v>5.6978712092379839E-3</v>
      </c>
      <c r="BG72" s="152">
        <f t="shared" ref="BG72:BO72" si="360">SUM(BG67:BG71)</f>
        <v>10.849980199999999</v>
      </c>
      <c r="BH72" s="153">
        <f t="shared" si="360"/>
        <v>5.6978712092379848E-3</v>
      </c>
      <c r="BI72" s="148">
        <f t="shared" ref="BI72" si="361">SUM(BI67:BI71)</f>
        <v>0.67946559999999989</v>
      </c>
      <c r="BJ72" s="182">
        <f t="shared" si="17"/>
        <v>3.5059043682761561E-2</v>
      </c>
      <c r="BK72" s="152">
        <f t="shared" si="360"/>
        <v>0.67946559999999989</v>
      </c>
      <c r="BL72" s="153">
        <f t="shared" si="360"/>
        <v>3.5059043682761568E-2</v>
      </c>
      <c r="BM72" s="148">
        <f t="shared" ref="BM72" si="362">SUM(BM67:BM71)</f>
        <v>0</v>
      </c>
      <c r="BN72" s="151">
        <f t="shared" ref="BN72" si="363">SUM(BN67:BN71)</f>
        <v>0</v>
      </c>
      <c r="BO72" s="149">
        <f t="shared" si="360"/>
        <v>0</v>
      </c>
      <c r="BP72" s="151">
        <f t="shared" ref="BP72" si="364">SUM(BP67:BP71)</f>
        <v>0</v>
      </c>
      <c r="BQ72" s="164"/>
      <c r="BR72" s="148">
        <f t="shared" ref="BR72" si="365">SUM(BR67:BR71)</f>
        <v>11.529445800000001</v>
      </c>
      <c r="BS72" s="182">
        <f t="shared" si="18"/>
        <v>6.2549535971545668E-3</v>
      </c>
      <c r="BT72" s="183">
        <f t="shared" si="19"/>
        <v>11.5294458</v>
      </c>
      <c r="BU72" s="182">
        <f t="shared" si="20"/>
        <v>6.2549535971545651E-3</v>
      </c>
      <c r="BV72" s="159"/>
      <c r="BW72" s="148">
        <f t="shared" ref="BW72" si="366">SUM(BW67:BW71)</f>
        <v>0.88070000000000004</v>
      </c>
      <c r="BX72" s="182">
        <f t="shared" si="21"/>
        <v>5.1552484832183515E-4</v>
      </c>
      <c r="BY72" s="152">
        <f t="shared" ref="BY72" si="367">SUM(BY67:BY71)</f>
        <v>0.88070000000000004</v>
      </c>
      <c r="BZ72" s="182">
        <f t="shared" si="22"/>
        <v>5.1552484832183515E-4</v>
      </c>
      <c r="CA72" s="178"/>
      <c r="CB72" s="148">
        <f t="shared" ref="CB72" si="368">SUM(CB67:CB71)</f>
        <v>0</v>
      </c>
      <c r="CC72" s="361"/>
      <c r="CD72" s="528"/>
      <c r="CE72" s="156">
        <f>SUM(CE67:CE71)</f>
        <v>137.6583162</v>
      </c>
      <c r="CF72" s="182">
        <f t="shared" si="23"/>
        <v>2.5714066829410211E-2</v>
      </c>
      <c r="CG72" s="152">
        <f>SUM(CG67:CG71)</f>
        <v>137.6583162</v>
      </c>
      <c r="CH72" s="182">
        <f t="shared" si="24"/>
        <v>2.5714066829410211E-2</v>
      </c>
    </row>
    <row r="73" spans="1:7168 7170:15360 15362:16333" x14ac:dyDescent="0.35">
      <c r="B73" s="86" t="s">
        <v>497</v>
      </c>
      <c r="C73" s="136"/>
      <c r="D73" s="402"/>
      <c r="E73" s="134"/>
      <c r="F73" s="182">
        <f t="shared" si="1"/>
        <v>0</v>
      </c>
      <c r="G73" s="136"/>
      <c r="H73" s="182">
        <f t="shared" si="2"/>
        <v>0</v>
      </c>
      <c r="I73" s="134">
        <f>SUMIF('04.conso TB'!A:A,'Apr-26'!B73,'04.conso TB'!S:S)/10^5</f>
        <v>0</v>
      </c>
      <c r="J73" s="182">
        <f t="shared" si="3"/>
        <v>0</v>
      </c>
      <c r="K73" s="136"/>
      <c r="L73" s="402"/>
      <c r="M73" s="134"/>
      <c r="N73" s="402"/>
      <c r="O73" s="136"/>
      <c r="P73" s="182">
        <f t="shared" si="4"/>
        <v>0</v>
      </c>
      <c r="Q73" s="134"/>
      <c r="R73" s="182">
        <f t="shared" si="5"/>
        <v>0</v>
      </c>
      <c r="S73" s="136"/>
      <c r="T73" s="182">
        <f t="shared" si="6"/>
        <v>0</v>
      </c>
      <c r="U73" s="131"/>
      <c r="V73" s="182">
        <f t="shared" si="7"/>
        <v>0</v>
      </c>
      <c r="W73" s="136"/>
      <c r="X73" s="182">
        <f t="shared" si="8"/>
        <v>0</v>
      </c>
      <c r="Y73" s="134"/>
      <c r="Z73" s="182">
        <f t="shared" si="9"/>
        <v>0</v>
      </c>
      <c r="AA73" s="176"/>
      <c r="AB73" s="136"/>
      <c r="AC73" s="182">
        <f t="shared" si="10"/>
        <v>0</v>
      </c>
      <c r="AD73" s="131"/>
      <c r="AE73" s="182">
        <f t="shared" si="11"/>
        <v>0</v>
      </c>
      <c r="AF73" s="139"/>
      <c r="AG73" s="136"/>
      <c r="AH73" s="182">
        <f t="shared" si="12"/>
        <v>0</v>
      </c>
      <c r="AI73" s="131"/>
      <c r="AJ73" s="132"/>
      <c r="AK73" s="139"/>
      <c r="AL73" s="136"/>
      <c r="AM73" s="182">
        <f t="shared" si="13"/>
        <v>0</v>
      </c>
      <c r="AN73" s="134"/>
      <c r="AO73" s="132"/>
      <c r="AP73" s="139"/>
      <c r="AQ73" s="136"/>
      <c r="AR73" s="182">
        <f t="shared" si="14"/>
        <v>0</v>
      </c>
      <c r="AS73" s="131"/>
      <c r="AT73" s="132"/>
      <c r="AU73" s="136"/>
      <c r="AV73" s="402"/>
      <c r="AW73" s="131"/>
      <c r="AX73" s="132"/>
      <c r="AY73" s="142"/>
      <c r="AZ73" s="136"/>
      <c r="BA73" s="182">
        <f t="shared" si="15"/>
        <v>0</v>
      </c>
      <c r="BB73" s="143"/>
      <c r="BC73" s="132"/>
      <c r="BD73" s="178"/>
      <c r="BE73" s="136"/>
      <c r="BF73" s="182">
        <f t="shared" si="16"/>
        <v>0</v>
      </c>
      <c r="BG73" s="131"/>
      <c r="BH73" s="132"/>
      <c r="BI73" s="136"/>
      <c r="BJ73" s="182">
        <f t="shared" si="17"/>
        <v>0</v>
      </c>
      <c r="BK73" s="131"/>
      <c r="BL73" s="132"/>
      <c r="BM73" s="136"/>
      <c r="BN73" s="402"/>
      <c r="BO73" s="134"/>
      <c r="BP73" s="402"/>
      <c r="BQ73" s="147"/>
      <c r="BR73" s="136"/>
      <c r="BS73" s="182">
        <f t="shared" si="18"/>
        <v>0</v>
      </c>
      <c r="BT73" s="183">
        <f t="shared" si="19"/>
        <v>0</v>
      </c>
      <c r="BU73" s="182">
        <f t="shared" si="20"/>
        <v>0</v>
      </c>
      <c r="BV73" s="144"/>
      <c r="BW73" s="136"/>
      <c r="BX73" s="182">
        <f t="shared" si="21"/>
        <v>0</v>
      </c>
      <c r="BY73" s="131"/>
      <c r="BZ73" s="182">
        <f t="shared" si="22"/>
        <v>0</v>
      </c>
      <c r="CA73" s="178"/>
      <c r="CB73" s="136"/>
      <c r="CC73" s="521"/>
      <c r="CD73" s="139"/>
      <c r="CE73" s="129"/>
      <c r="CF73" s="182">
        <f t="shared" si="23"/>
        <v>0</v>
      </c>
      <c r="CG73" s="131"/>
      <c r="CH73" s="182">
        <f t="shared" si="24"/>
        <v>0</v>
      </c>
    </row>
    <row r="74" spans="1:7168 7170:15360 15362:16333" s="204" customFormat="1" x14ac:dyDescent="0.35">
      <c r="B74" s="197" t="s">
        <v>437</v>
      </c>
      <c r="C74" s="180">
        <f t="shared" ref="C74:C76" si="369">E74</f>
        <v>1.9836419000000001</v>
      </c>
      <c r="D74" s="182">
        <f t="shared" ref="D74:D76" si="370">C74/$C$46*100%</f>
        <v>5.9441901135513916E-4</v>
      </c>
      <c r="E74" s="181">
        <f>SUMIF('04.conso TB'!A:A,'Apr-26'!B74,'04.conso TB'!R:R)/10^5</f>
        <v>1.9836419000000001</v>
      </c>
      <c r="F74" s="182">
        <f t="shared" si="1"/>
        <v>5.9441901135513916E-4</v>
      </c>
      <c r="G74" s="180">
        <f t="shared" ref="G74:G76" si="371">I74</f>
        <v>-7.7491900000000002E-2</v>
      </c>
      <c r="H74" s="182">
        <f t="shared" si="2"/>
        <v>-6.559620341619063E-5</v>
      </c>
      <c r="I74" s="181">
        <f>SUMIF('04.conso TB'!A:A,'Apr-26'!B74,'04.conso TB'!S:S)/10^5</f>
        <v>-7.7491900000000002E-2</v>
      </c>
      <c r="J74" s="182">
        <f t="shared" si="3"/>
        <v>-6.559620341619063E-5</v>
      </c>
      <c r="K74" s="180">
        <f t="shared" ref="K74:K76" si="372">M74</f>
        <v>0</v>
      </c>
      <c r="L74" s="182">
        <f t="shared" ref="L74:L76" si="373">K74/$C$46*100%</f>
        <v>0</v>
      </c>
      <c r="M74" s="181">
        <f>SUMIF('04.conso TB'!A:A,'Apr-26'!B74,'04.conso TB'!T:T)/10^5</f>
        <v>0</v>
      </c>
      <c r="N74" s="182">
        <f t="shared" ref="N74:N76" si="374">M74/$C$46*100%</f>
        <v>0</v>
      </c>
      <c r="O74" s="180">
        <f t="shared" ref="O74:O76" si="375">Q74</f>
        <v>0</v>
      </c>
      <c r="P74" s="182">
        <f t="shared" si="4"/>
        <v>0</v>
      </c>
      <c r="Q74" s="181">
        <f>SUMIF('04.conso TB'!A:A,'Apr-26'!B74,'04.conso TB'!U:U)/10^5</f>
        <v>0</v>
      </c>
      <c r="R74" s="182">
        <f t="shared" si="5"/>
        <v>0</v>
      </c>
      <c r="S74" s="180">
        <f t="shared" ref="S74:S76" si="376">U74</f>
        <v>5.8999999999999999E-3</v>
      </c>
      <c r="T74" s="182">
        <f t="shared" si="6"/>
        <v>1.2098581324045033E-4</v>
      </c>
      <c r="U74" s="183">
        <f>SUMIF('04.conso TB'!A:A,'Apr-26'!B74,'04.conso TB'!V:V)/10^5</f>
        <v>5.8999999999999999E-3</v>
      </c>
      <c r="V74" s="182">
        <f t="shared" si="7"/>
        <v>1.2098581324045033E-4</v>
      </c>
      <c r="W74" s="180">
        <f t="shared" ref="W74:W76" si="377">Y74</f>
        <v>0</v>
      </c>
      <c r="X74" s="182">
        <f t="shared" si="8"/>
        <v>0</v>
      </c>
      <c r="Y74" s="181">
        <f>SUMIF('04.conso TB'!A:A,'Apr-26'!B74,'04.conso TB'!G:G)/10^5</f>
        <v>0</v>
      </c>
      <c r="Z74" s="182">
        <f t="shared" si="9"/>
        <v>0</v>
      </c>
      <c r="AA74" s="185"/>
      <c r="AB74" s="180">
        <f t="shared" ref="AB74:AB76" si="378">AD74</f>
        <v>1.91205</v>
      </c>
      <c r="AC74" s="182">
        <f t="shared" si="10"/>
        <v>3.6548312112055905E-4</v>
      </c>
      <c r="AD74" s="187">
        <f t="shared" ref="AD74:AD76" si="379">E74+I74+M74+Q74+U74+Y74</f>
        <v>1.91205</v>
      </c>
      <c r="AE74" s="182">
        <f t="shared" si="11"/>
        <v>3.6548312112055905E-4</v>
      </c>
      <c r="AF74" s="186"/>
      <c r="AG74" s="180">
        <f t="shared" ref="AG74:AG76" si="380">AI74</f>
        <v>4.6899999999999997E-2</v>
      </c>
      <c r="AH74" s="182">
        <f t="shared" si="12"/>
        <v>1.2658785330372721E-4</v>
      </c>
      <c r="AI74" s="183">
        <f>SUMIF('04.conso TB'!A:A,'Apr-26'!B74,'04.conso TB'!Q:Q)/10^5</f>
        <v>4.6899999999999997E-2</v>
      </c>
      <c r="AJ74" s="184">
        <f t="shared" ref="AJ74:AJ76" si="381">AI74/$AI$46*100%</f>
        <v>1.2658785330372721E-4</v>
      </c>
      <c r="AK74" s="186"/>
      <c r="AL74" s="180">
        <f t="shared" ref="AL74:AL76" si="382">AN74</f>
        <v>1.42167</v>
      </c>
      <c r="AM74" s="182">
        <f t="shared" si="13"/>
        <v>1.2491496839473859E-3</v>
      </c>
      <c r="AN74" s="181">
        <f>SUMIF('04.conso TB'!A:A,'Apr-26'!B74,'04.conso TB'!W:W)/10^5</f>
        <v>1.42167</v>
      </c>
      <c r="AO74" s="184">
        <f t="shared" ref="AO74:AO76" si="383">AN74/$AN$46*100%</f>
        <v>1.2491496839473859E-3</v>
      </c>
      <c r="AP74" s="545"/>
      <c r="AQ74" s="180">
        <f t="shared" ref="AQ74:AQ76" si="384">AS74</f>
        <v>3.6503371999999996</v>
      </c>
      <c r="AR74" s="182">
        <f t="shared" si="14"/>
        <v>1.992854832911492E-3</v>
      </c>
      <c r="AS74" s="183">
        <f>SUMIF('04.conso TB'!A:A,'Apr-26'!B74,'04.conso TB'!M:M)/10^5</f>
        <v>3.6503371999999996</v>
      </c>
      <c r="AT74" s="184">
        <f t="shared" ref="AT74:AT76" si="385">AS74/$AS$46*100%</f>
        <v>1.992854832911492E-3</v>
      </c>
      <c r="AU74" s="180">
        <f t="shared" ref="AU74:AU76" si="386">AW74</f>
        <v>0.42664000000000002</v>
      </c>
      <c r="AV74" s="182">
        <f t="shared" ref="AV74:AV76" si="387">AU74/$C$46*100%</f>
        <v>1.2784713158385926E-4</v>
      </c>
      <c r="AW74" s="183">
        <f>SUMIF('04.conso TB'!A:A,'Apr-26'!B74,'04.conso TB'!P:P)/10^5</f>
        <v>0.42664000000000002</v>
      </c>
      <c r="AX74" s="184">
        <f t="shared" ref="AX74:AX76" si="388">AW74/$AW$46*100%</f>
        <v>5.0142556938306967E-4</v>
      </c>
      <c r="AY74" s="195"/>
      <c r="AZ74" s="180">
        <f t="shared" ref="AZ74:AZ76" si="389">BB74</f>
        <v>4.0769772</v>
      </c>
      <c r="BA74" s="182">
        <f t="shared" si="15"/>
        <v>1.5198046283914819E-3</v>
      </c>
      <c r="BB74" s="190">
        <f t="shared" ref="BB74:BB76" si="390">AS74+AW74</f>
        <v>4.0769772</v>
      </c>
      <c r="BC74" s="184">
        <f t="shared" ref="BC74:BC76" si="391">BB74/$BB$46*100%</f>
        <v>1.5198046283914819E-3</v>
      </c>
      <c r="BD74" s="191"/>
      <c r="BE74" s="180">
        <f t="shared" ref="BE74:BE76" si="392">BG74</f>
        <v>-8.9292299999999991E-2</v>
      </c>
      <c r="BF74" s="182">
        <f t="shared" si="16"/>
        <v>-4.6891885146172045E-5</v>
      </c>
      <c r="BG74" s="183">
        <f>SUMIF('04.conso TB'!A:A,'Apr-26'!B74,'04.conso TB'!H:H)/10^5</f>
        <v>-8.9292299999999991E-2</v>
      </c>
      <c r="BH74" s="184">
        <f t="shared" ref="BH74:BH76" si="393">BG74/$BG$46*100%</f>
        <v>-4.6891885146172045E-5</v>
      </c>
      <c r="BI74" s="180">
        <f t="shared" ref="BI74:BI76" si="394">BK74</f>
        <v>0</v>
      </c>
      <c r="BJ74" s="182">
        <f t="shared" si="17"/>
        <v>0</v>
      </c>
      <c r="BK74" s="183">
        <f>SUMIF('04.conso TB'!A:A,'Apr-26'!B74,'04.conso TB'!I:I)/10^5</f>
        <v>0</v>
      </c>
      <c r="BL74" s="184">
        <f t="shared" ref="BL74:BL76" si="395">BK74/$BK$46*100%</f>
        <v>0</v>
      </c>
      <c r="BM74" s="180">
        <f t="shared" ref="BM74:BM76" si="396">BO74</f>
        <v>0</v>
      </c>
      <c r="BN74" s="182">
        <f t="shared" ref="BN74:BN76" si="397">BM74/$C$46*100%</f>
        <v>0</v>
      </c>
      <c r="BO74" s="181">
        <f>SUMIF('04.conso TB'!A:A,'Apr-26'!B74,'04.conso TB'!J:J)/10^5</f>
        <v>0</v>
      </c>
      <c r="BP74" s="182">
        <f t="shared" ref="BP74:BP76" si="398">BO74/$C$46*100%</f>
        <v>0</v>
      </c>
      <c r="BQ74" s="192"/>
      <c r="BR74" s="180">
        <f t="shared" ref="BR74:BR76" si="399">BT74</f>
        <v>-8.9292299999999991E-2</v>
      </c>
      <c r="BS74" s="182">
        <f t="shared" si="18"/>
        <v>-4.8442848231543328E-5</v>
      </c>
      <c r="BT74" s="183">
        <f t="shared" si="19"/>
        <v>-8.9292299999999991E-2</v>
      </c>
      <c r="BU74" s="182">
        <f t="shared" si="20"/>
        <v>-4.8442848231543322E-5</v>
      </c>
      <c r="BV74" s="191"/>
      <c r="BW74" s="180">
        <f t="shared" ref="BW74:BW76" si="400">BY74</f>
        <v>0</v>
      </c>
      <c r="BX74" s="182">
        <f t="shared" si="21"/>
        <v>0</v>
      </c>
      <c r="BY74" s="183">
        <f>SUMIF('04.conso TB'!A:A,'Apr-26'!B74,'04.conso TB'!L:L)/10^5</f>
        <v>0</v>
      </c>
      <c r="BZ74" s="182">
        <f t="shared" si="22"/>
        <v>0</v>
      </c>
      <c r="CA74" s="191"/>
      <c r="CB74" s="180">
        <f t="shared" ref="CB74:CB75" si="401">CD74</f>
        <v>0</v>
      </c>
      <c r="CC74" s="346"/>
      <c r="CD74" s="186"/>
      <c r="CE74" s="187">
        <f>AB74+AG74+AL74+AZ74+BR74</f>
        <v>7.3683049</v>
      </c>
      <c r="CF74" s="182">
        <f t="shared" si="23"/>
        <v>1.3763722370597376E-3</v>
      </c>
      <c r="CG74" s="187">
        <f>AD74+AI74+AN74+BB74+BT74+BY74</f>
        <v>7.3683049</v>
      </c>
      <c r="CH74" s="182">
        <f t="shared" si="24"/>
        <v>1.3763722370597376E-3</v>
      </c>
    </row>
    <row r="75" spans="1:7168 7170:15360 15362:16333" s="204" customFormat="1" x14ac:dyDescent="0.35">
      <c r="B75" s="197" t="s">
        <v>310</v>
      </c>
      <c r="C75" s="180">
        <f t="shared" si="369"/>
        <v>0</v>
      </c>
      <c r="D75" s="182">
        <f t="shared" si="370"/>
        <v>0</v>
      </c>
      <c r="E75" s="181">
        <f>SUMIF('04.conso TB'!A:A,'Apr-26'!B75,'04.conso TB'!R:R)/10^5</f>
        <v>0</v>
      </c>
      <c r="F75" s="182">
        <f t="shared" si="1"/>
        <v>0</v>
      </c>
      <c r="G75" s="180">
        <f t="shared" si="371"/>
        <v>0</v>
      </c>
      <c r="H75" s="182">
        <f t="shared" si="2"/>
        <v>0</v>
      </c>
      <c r="I75" s="181">
        <f>SUMIF('04.conso TB'!A:A,'Apr-26'!B75,'04.conso TB'!S:S)/10^5</f>
        <v>0</v>
      </c>
      <c r="J75" s="182">
        <f t="shared" si="3"/>
        <v>0</v>
      </c>
      <c r="K75" s="180">
        <f t="shared" si="372"/>
        <v>0</v>
      </c>
      <c r="L75" s="182">
        <f t="shared" si="373"/>
        <v>0</v>
      </c>
      <c r="M75" s="181">
        <f>SUMIF('04.conso TB'!A:A,'Apr-26'!B75,'04.conso TB'!T:T)/10^5</f>
        <v>0</v>
      </c>
      <c r="N75" s="182">
        <f t="shared" si="374"/>
        <v>0</v>
      </c>
      <c r="O75" s="180">
        <f t="shared" si="375"/>
        <v>0</v>
      </c>
      <c r="P75" s="182">
        <f t="shared" si="4"/>
        <v>0</v>
      </c>
      <c r="Q75" s="181">
        <f>SUMIF('04.conso TB'!A:A,'Apr-26'!B75,'04.conso TB'!U:U)/10^5</f>
        <v>0</v>
      </c>
      <c r="R75" s="182">
        <f t="shared" si="5"/>
        <v>0</v>
      </c>
      <c r="S75" s="180">
        <f t="shared" si="376"/>
        <v>0</v>
      </c>
      <c r="T75" s="182">
        <f t="shared" si="6"/>
        <v>0</v>
      </c>
      <c r="U75" s="183">
        <f>SUMIF('04.conso TB'!A:A,'Apr-26'!B75,'04.conso TB'!V:V)/10^5</f>
        <v>0</v>
      </c>
      <c r="V75" s="182">
        <f t="shared" si="7"/>
        <v>0</v>
      </c>
      <c r="W75" s="180">
        <f t="shared" si="377"/>
        <v>0</v>
      </c>
      <c r="X75" s="182">
        <f t="shared" si="8"/>
        <v>0</v>
      </c>
      <c r="Y75" s="181">
        <f>SUMIF('04.conso TB'!A:A,'Apr-26'!B75,'04.conso TB'!G:G)/10^5</f>
        <v>0</v>
      </c>
      <c r="Z75" s="182">
        <f t="shared" si="9"/>
        <v>0</v>
      </c>
      <c r="AA75" s="185"/>
      <c r="AB75" s="180">
        <f t="shared" si="378"/>
        <v>0</v>
      </c>
      <c r="AC75" s="182">
        <f t="shared" si="10"/>
        <v>0</v>
      </c>
      <c r="AD75" s="187">
        <f t="shared" si="379"/>
        <v>0</v>
      </c>
      <c r="AE75" s="182">
        <f t="shared" si="11"/>
        <v>0</v>
      </c>
      <c r="AF75" s="186"/>
      <c r="AG75" s="180">
        <f t="shared" si="380"/>
        <v>0</v>
      </c>
      <c r="AH75" s="182">
        <f t="shared" si="12"/>
        <v>0</v>
      </c>
      <c r="AI75" s="183">
        <f>SUMIF('04.conso TB'!A:A,'Apr-26'!B75,'04.conso TB'!Q:Q)/10^5</f>
        <v>0</v>
      </c>
      <c r="AJ75" s="184">
        <f t="shared" si="381"/>
        <v>0</v>
      </c>
      <c r="AK75" s="186"/>
      <c r="AL75" s="180">
        <f t="shared" si="382"/>
        <v>0</v>
      </c>
      <c r="AM75" s="182">
        <f t="shared" si="13"/>
        <v>0</v>
      </c>
      <c r="AN75" s="181">
        <f>SUMIF('04.conso TB'!A:A,'Apr-26'!B75,'04.conso TB'!W:W)/10^5</f>
        <v>0</v>
      </c>
      <c r="AO75" s="184">
        <f t="shared" si="383"/>
        <v>0</v>
      </c>
      <c r="AP75" s="545"/>
      <c r="AQ75" s="180">
        <f t="shared" si="384"/>
        <v>0</v>
      </c>
      <c r="AR75" s="182">
        <f t="shared" si="14"/>
        <v>0</v>
      </c>
      <c r="AS75" s="183">
        <f>SUMIF('04.conso TB'!A:A,'Apr-26'!B75,'04.conso TB'!M:M)/10^5</f>
        <v>0</v>
      </c>
      <c r="AT75" s="184">
        <f t="shared" si="385"/>
        <v>0</v>
      </c>
      <c r="AU75" s="180">
        <f t="shared" si="386"/>
        <v>0</v>
      </c>
      <c r="AV75" s="182">
        <f t="shared" si="387"/>
        <v>0</v>
      </c>
      <c r="AW75" s="183">
        <f>SUMIF('04.conso TB'!A:A,'Apr-26'!B75,'04.conso TB'!P:P)/10^5</f>
        <v>0</v>
      </c>
      <c r="AX75" s="184">
        <f t="shared" si="388"/>
        <v>0</v>
      </c>
      <c r="AY75" s="195"/>
      <c r="AZ75" s="180">
        <f t="shared" si="389"/>
        <v>0</v>
      </c>
      <c r="BA75" s="182">
        <f t="shared" si="15"/>
        <v>0</v>
      </c>
      <c r="BB75" s="190">
        <f t="shared" si="390"/>
        <v>0</v>
      </c>
      <c r="BC75" s="184">
        <f t="shared" si="391"/>
        <v>0</v>
      </c>
      <c r="BD75" s="191"/>
      <c r="BE75" s="180">
        <f t="shared" si="392"/>
        <v>0</v>
      </c>
      <c r="BF75" s="182">
        <f t="shared" si="16"/>
        <v>0</v>
      </c>
      <c r="BG75" s="183">
        <f>SUMIF('04.conso TB'!A:A,'Apr-26'!B75,'04.conso TB'!H:H)/10^5</f>
        <v>0</v>
      </c>
      <c r="BH75" s="184">
        <f t="shared" si="393"/>
        <v>0</v>
      </c>
      <c r="BI75" s="180">
        <f t="shared" si="394"/>
        <v>0</v>
      </c>
      <c r="BJ75" s="182">
        <f t="shared" si="17"/>
        <v>0</v>
      </c>
      <c r="BK75" s="183">
        <f>SUMIF('04.conso TB'!A:A,'Apr-26'!B75,'04.conso TB'!I:I)/10^5</f>
        <v>0</v>
      </c>
      <c r="BL75" s="184">
        <f t="shared" si="395"/>
        <v>0</v>
      </c>
      <c r="BM75" s="180">
        <f t="shared" si="396"/>
        <v>0</v>
      </c>
      <c r="BN75" s="182">
        <f t="shared" si="397"/>
        <v>0</v>
      </c>
      <c r="BO75" s="181">
        <f>SUMIF('04.conso TB'!A:A,'Apr-26'!B75,'04.conso TB'!J:J)/10^5</f>
        <v>0</v>
      </c>
      <c r="BP75" s="182">
        <f t="shared" si="398"/>
        <v>0</v>
      </c>
      <c r="BQ75" s="192"/>
      <c r="BR75" s="180">
        <f t="shared" si="399"/>
        <v>0</v>
      </c>
      <c r="BS75" s="182">
        <f t="shared" si="18"/>
        <v>0</v>
      </c>
      <c r="BT75" s="183">
        <f t="shared" si="19"/>
        <v>0</v>
      </c>
      <c r="BU75" s="182">
        <f t="shared" si="20"/>
        <v>0</v>
      </c>
      <c r="BV75" s="191"/>
      <c r="BW75" s="180">
        <f t="shared" si="400"/>
        <v>0</v>
      </c>
      <c r="BX75" s="182">
        <f t="shared" si="21"/>
        <v>0</v>
      </c>
      <c r="BY75" s="183">
        <f>SUMIF('04.conso TB'!A:A,'Apr-26'!B75,'04.conso TB'!L:L)/10^5</f>
        <v>0</v>
      </c>
      <c r="BZ75" s="182">
        <f t="shared" si="22"/>
        <v>0</v>
      </c>
      <c r="CA75" s="191"/>
      <c r="CB75" s="180">
        <f t="shared" si="401"/>
        <v>0</v>
      </c>
      <c r="CC75" s="346"/>
      <c r="CD75" s="186"/>
      <c r="CE75" s="187">
        <f>AB75+AG75+AL75+AZ75+BR75+BW75</f>
        <v>0</v>
      </c>
      <c r="CF75" s="182">
        <f t="shared" si="23"/>
        <v>0</v>
      </c>
      <c r="CG75" s="187">
        <f>AD75+AI75+AN75+BB75+BT75+BY75</f>
        <v>0</v>
      </c>
      <c r="CH75" s="182">
        <f t="shared" si="24"/>
        <v>0</v>
      </c>
    </row>
    <row r="76" spans="1:7168 7170:15360 15362:16333" s="204" customFormat="1" x14ac:dyDescent="0.35">
      <c r="B76" s="197" t="s">
        <v>431</v>
      </c>
      <c r="C76" s="180">
        <f t="shared" si="369"/>
        <v>22.937547699999996</v>
      </c>
      <c r="D76" s="182">
        <f t="shared" si="370"/>
        <v>6.8734757149187782E-3</v>
      </c>
      <c r="E76" s="181">
        <f>SUMIF('04.conso TB'!A:A,'Apr-26'!B76,'04.conso TB'!R:R)/10^5</f>
        <v>22.937547699999996</v>
      </c>
      <c r="F76" s="182">
        <f t="shared" si="1"/>
        <v>6.8734757149187782E-3</v>
      </c>
      <c r="G76" s="180">
        <f t="shared" si="371"/>
        <v>23.1243844</v>
      </c>
      <c r="H76" s="182">
        <f t="shared" si="2"/>
        <v>1.9574585511215818E-2</v>
      </c>
      <c r="I76" s="181">
        <f>SUMIF('04.conso TB'!A:A,'Apr-26'!B76,'04.conso TB'!S:S)/10^5</f>
        <v>23.1243844</v>
      </c>
      <c r="J76" s="182">
        <f t="shared" si="3"/>
        <v>1.9574585511215818E-2</v>
      </c>
      <c r="K76" s="180">
        <f t="shared" si="372"/>
        <v>1.3571122</v>
      </c>
      <c r="L76" s="182">
        <f t="shared" si="373"/>
        <v>4.0667284363271307E-4</v>
      </c>
      <c r="M76" s="181">
        <f>SUMIF('04.conso TB'!A:A,'Apr-26'!B76,'04.conso TB'!T:T)/10^5</f>
        <v>1.3571122</v>
      </c>
      <c r="N76" s="182">
        <f t="shared" si="374"/>
        <v>4.0667284363271307E-4</v>
      </c>
      <c r="O76" s="180">
        <f t="shared" si="375"/>
        <v>4.2728554999999995</v>
      </c>
      <c r="P76" s="182">
        <f t="shared" si="4"/>
        <v>4.5611650516337683E-3</v>
      </c>
      <c r="Q76" s="181">
        <f>SUMIF('04.conso TB'!A:A,'Apr-26'!B76,'04.conso TB'!U:U)/10^5</f>
        <v>4.2728554999999995</v>
      </c>
      <c r="R76" s="182">
        <f t="shared" si="5"/>
        <v>4.5611650516337683E-3</v>
      </c>
      <c r="S76" s="180">
        <f t="shared" si="376"/>
        <v>8.0940974000000008</v>
      </c>
      <c r="T76" s="182">
        <f t="shared" si="6"/>
        <v>0.16597812820108723</v>
      </c>
      <c r="U76" s="183">
        <f>SUMIF('04.conso TB'!A:A,'Apr-26'!B76,'04.conso TB'!V:V)/10^5</f>
        <v>8.0940974000000008</v>
      </c>
      <c r="V76" s="182">
        <f t="shared" si="7"/>
        <v>0.16597812820108723</v>
      </c>
      <c r="W76" s="180">
        <f t="shared" si="377"/>
        <v>1.23003</v>
      </c>
      <c r="X76" s="182">
        <f t="shared" si="8"/>
        <v>1.6518007153782471E-2</v>
      </c>
      <c r="Y76" s="181">
        <f>SUMIF('04.conso TB'!A:A,'Apr-26'!B76,'04.conso TB'!G:G)/10^5</f>
        <v>1.23003</v>
      </c>
      <c r="Z76" s="182">
        <f t="shared" si="9"/>
        <v>1.6518007153782471E-2</v>
      </c>
      <c r="AA76" s="185"/>
      <c r="AB76" s="180">
        <f t="shared" si="378"/>
        <v>61.016027199999996</v>
      </c>
      <c r="AC76" s="182">
        <f t="shared" si="10"/>
        <v>1.1663046499533446E-2</v>
      </c>
      <c r="AD76" s="187">
        <f t="shared" si="379"/>
        <v>61.016027199999996</v>
      </c>
      <c r="AE76" s="182">
        <f t="shared" si="11"/>
        <v>1.1663046499533446E-2</v>
      </c>
      <c r="AF76" s="186"/>
      <c r="AG76" s="180">
        <f t="shared" si="380"/>
        <v>12.15563</v>
      </c>
      <c r="AH76" s="182">
        <f t="shared" si="12"/>
        <v>3.2809277340178807E-2</v>
      </c>
      <c r="AI76" s="183">
        <f>SUMIF('04.conso TB'!A:A,'Apr-26'!B76,'04.conso TB'!Q:Q)/10^5</f>
        <v>12.15563</v>
      </c>
      <c r="AJ76" s="184">
        <f t="shared" si="381"/>
        <v>3.2809277340178807E-2</v>
      </c>
      <c r="AK76" s="186"/>
      <c r="AL76" s="180">
        <f t="shared" si="382"/>
        <v>10.471905099999999</v>
      </c>
      <c r="AM76" s="182">
        <f t="shared" si="13"/>
        <v>9.2011345431724789E-3</v>
      </c>
      <c r="AN76" s="181">
        <f>SUMIF('04.conso TB'!A:A,'Apr-26'!B76,'04.conso TB'!W:W)/10^5</f>
        <v>10.471905099999999</v>
      </c>
      <c r="AO76" s="184">
        <f t="shared" si="383"/>
        <v>9.2011345431724789E-3</v>
      </c>
      <c r="AP76" s="545"/>
      <c r="AQ76" s="180">
        <f t="shared" si="384"/>
        <v>52.919870600000003</v>
      </c>
      <c r="AR76" s="182">
        <f t="shared" si="14"/>
        <v>2.889092544169914E-2</v>
      </c>
      <c r="AS76" s="183">
        <f>SUMIF('04.conso TB'!A:A,'Apr-26'!B76,'04.conso TB'!M:M)/10^5</f>
        <v>52.919870600000003</v>
      </c>
      <c r="AT76" s="184">
        <f t="shared" si="385"/>
        <v>2.889092544169914E-2</v>
      </c>
      <c r="AU76" s="180">
        <f t="shared" si="386"/>
        <v>0.46256999999999998</v>
      </c>
      <c r="AV76" s="182">
        <f t="shared" si="387"/>
        <v>1.3861393131620517E-4</v>
      </c>
      <c r="AW76" s="183">
        <f>SUMIF('04.conso TB'!A:A,'Apr-26'!B76,'04.conso TB'!P:P)/10^5</f>
        <v>0.46256999999999998</v>
      </c>
      <c r="AX76" s="184">
        <f t="shared" si="388"/>
        <v>5.4365372592707318E-4</v>
      </c>
      <c r="AY76" s="195"/>
      <c r="AZ76" s="180">
        <f t="shared" si="389"/>
        <v>53.382440600000002</v>
      </c>
      <c r="BA76" s="182">
        <f t="shared" si="15"/>
        <v>1.9899763064339274E-2</v>
      </c>
      <c r="BB76" s="190">
        <f t="shared" si="390"/>
        <v>53.382440600000002</v>
      </c>
      <c r="BC76" s="184">
        <f t="shared" si="391"/>
        <v>1.9899763064339274E-2</v>
      </c>
      <c r="BD76" s="191"/>
      <c r="BE76" s="180">
        <f t="shared" si="392"/>
        <v>17.481703100000001</v>
      </c>
      <c r="BF76" s="182">
        <f t="shared" si="16"/>
        <v>9.1805230005798932E-3</v>
      </c>
      <c r="BG76" s="183">
        <f>SUMIF('04.conso TB'!A:A,'Apr-26'!B76,'04.conso TB'!H:H)/10^5</f>
        <v>17.481703100000001</v>
      </c>
      <c r="BH76" s="184">
        <f t="shared" si="393"/>
        <v>9.1805230005798932E-3</v>
      </c>
      <c r="BI76" s="180">
        <f t="shared" si="394"/>
        <v>1.448</v>
      </c>
      <c r="BJ76" s="182">
        <f t="shared" si="17"/>
        <v>7.4713856378658086E-2</v>
      </c>
      <c r="BK76" s="183">
        <f>SUMIF('04.conso TB'!A:A,'Apr-26'!B76,'04.conso TB'!I:I)/10^5</f>
        <v>1.448</v>
      </c>
      <c r="BL76" s="184">
        <f t="shared" si="395"/>
        <v>7.4713856378658086E-2</v>
      </c>
      <c r="BM76" s="180">
        <f t="shared" si="396"/>
        <v>0</v>
      </c>
      <c r="BN76" s="182">
        <f t="shared" si="397"/>
        <v>0</v>
      </c>
      <c r="BO76" s="181">
        <f>SUMIF('04.conso TB'!A:A,'Apr-26'!B76,'04.conso TB'!J:J)/10^5</f>
        <v>0</v>
      </c>
      <c r="BP76" s="182">
        <f t="shared" si="398"/>
        <v>0</v>
      </c>
      <c r="BQ76" s="192"/>
      <c r="BR76" s="180">
        <f t="shared" si="399"/>
        <v>18.929703100000001</v>
      </c>
      <c r="BS76" s="182">
        <f t="shared" si="18"/>
        <v>1.0269740328577888E-2</v>
      </c>
      <c r="BT76" s="183">
        <f t="shared" si="19"/>
        <v>18.929703100000001</v>
      </c>
      <c r="BU76" s="182">
        <f t="shared" si="20"/>
        <v>1.0269740328577887E-2</v>
      </c>
      <c r="BV76" s="191"/>
      <c r="BW76" s="180">
        <f t="shared" si="400"/>
        <v>0.66724000000000006</v>
      </c>
      <c r="BX76" s="182">
        <f t="shared" si="21"/>
        <v>3.9057431565148323E-4</v>
      </c>
      <c r="BY76" s="183">
        <f>SUMIF('04.conso TB'!A:A,'Apr-26'!B76,'04.conso TB'!L:L)/10^5</f>
        <v>0.66724000000000006</v>
      </c>
      <c r="BZ76" s="182">
        <f t="shared" si="22"/>
        <v>3.9057431565148323E-4</v>
      </c>
      <c r="CA76" s="191"/>
      <c r="CB76" s="180">
        <f>+CC76</f>
        <v>2.69</v>
      </c>
      <c r="CC76" s="187">
        <f>+CC39</f>
        <v>2.69</v>
      </c>
      <c r="CD76" s="186"/>
      <c r="CE76" s="187">
        <f>AB76+AG76+AL76+AZ76+BR76+BW76</f>
        <v>156.62294600000001</v>
      </c>
      <c r="CF76" s="182">
        <f t="shared" si="23"/>
        <v>2.9256589878753049E-2</v>
      </c>
      <c r="CG76" s="187">
        <f>AD76+AI76+AN76+BB76+BT76+BY76</f>
        <v>156.62294600000001</v>
      </c>
      <c r="CH76" s="182">
        <f t="shared" si="24"/>
        <v>2.9256589878753049E-2</v>
      </c>
    </row>
    <row r="77" spans="1:7168 7170:15360 15362:16333" s="204" customFormat="1" x14ac:dyDescent="0.35">
      <c r="B77" s="197" t="s">
        <v>436</v>
      </c>
      <c r="C77" s="180">
        <f>E77</f>
        <v>-23.271032799999997</v>
      </c>
      <c r="D77" s="182">
        <f>C77/$C$46*100%</f>
        <v>-6.9734080078612043E-3</v>
      </c>
      <c r="E77" s="181">
        <f>SUMIF('04.conso TB'!A:A,'Apr-26'!B77,'04.conso TB'!R:R)/10^5</f>
        <v>-23.271032799999997</v>
      </c>
      <c r="F77" s="182">
        <f>E77/$E$46*100%</f>
        <v>-6.9734080078612043E-3</v>
      </c>
      <c r="G77" s="180">
        <f>I77</f>
        <v>-28.172104399999998</v>
      </c>
      <c r="H77" s="182">
        <f>G77/$G$46*100%</f>
        <v>-2.3847435549838869E-2</v>
      </c>
      <c r="I77" s="181">
        <f>SUMIF('04.conso TB'!A:A,'Apr-26'!B77,'04.conso TB'!S:S)/10^5</f>
        <v>-28.172104399999998</v>
      </c>
      <c r="J77" s="182">
        <f>I77/$I$46*100%</f>
        <v>-2.3847435549838869E-2</v>
      </c>
      <c r="K77" s="180">
        <f>M77</f>
        <v>0</v>
      </c>
      <c r="L77" s="182">
        <f>K77/$C$46*100%</f>
        <v>0</v>
      </c>
      <c r="M77" s="181">
        <f>SUMIF('04.conso TB'!A:A,'Apr-26'!B77,'04.conso TB'!T:T)/10^5</f>
        <v>0</v>
      </c>
      <c r="N77" s="182">
        <f>M77/$C$46*100%</f>
        <v>0</v>
      </c>
      <c r="O77" s="180">
        <f>Q77</f>
        <v>-2.1501842</v>
      </c>
      <c r="P77" s="182">
        <f>O77/$O$46*100%</f>
        <v>-2.2952671878595271E-3</v>
      </c>
      <c r="Q77" s="181">
        <f>SUMIF('04.conso TB'!A:A,'Apr-26'!B77,'04.conso TB'!U:U)/10^5</f>
        <v>-2.1501842</v>
      </c>
      <c r="R77" s="182">
        <f>Q77/$Q$46*100%</f>
        <v>-2.2952671878595271E-3</v>
      </c>
      <c r="S77" s="180">
        <f>U77</f>
        <v>0</v>
      </c>
      <c r="T77" s="182">
        <f>S77/$S$46*100%</f>
        <v>0</v>
      </c>
      <c r="U77" s="183">
        <f>SUMIF('04.conso TB'!A:A,'Apr-26'!B77,'04.conso TB'!V:V)/10^5</f>
        <v>0</v>
      </c>
      <c r="V77" s="182">
        <f>U77/$U$46*100%</f>
        <v>0</v>
      </c>
      <c r="W77" s="180">
        <f>Y77</f>
        <v>-1.6552511999999999</v>
      </c>
      <c r="X77" s="182">
        <f>W77/$W$46*100%</f>
        <v>-2.2228279930495209E-2</v>
      </c>
      <c r="Y77" s="181">
        <f>SUMIF('04.conso TB'!A:A,'Apr-26'!B77,'04.conso TB'!G:G)/10^5</f>
        <v>-1.6552511999999999</v>
      </c>
      <c r="Z77" s="182">
        <f>Y77/$Y$46*100%</f>
        <v>-2.2228279930495209E-2</v>
      </c>
      <c r="AA77" s="185"/>
      <c r="AB77" s="180">
        <f>AD77</f>
        <v>-55.248572599999996</v>
      </c>
      <c r="AC77" s="182">
        <f>AB77/$AB$46*100%</f>
        <v>-1.056061334761319E-2</v>
      </c>
      <c r="AD77" s="187">
        <f>E77+I77+M77+Q77+U77+Y77</f>
        <v>-55.248572599999996</v>
      </c>
      <c r="AE77" s="182">
        <f>AD77/$AD$46*100%</f>
        <v>-1.056061334761319E-2</v>
      </c>
      <c r="AF77" s="186"/>
      <c r="AG77" s="180">
        <f>AI77</f>
        <v>0</v>
      </c>
      <c r="AH77" s="182">
        <f>AG77/$AG$46*100%</f>
        <v>0</v>
      </c>
      <c r="AI77" s="183">
        <f>SUMIF('04.conso TB'!A:A,'Apr-26'!B77,'04.conso TB'!Q:Q)/10^5</f>
        <v>0</v>
      </c>
      <c r="AJ77" s="184">
        <f>AI77/$AI$46*100%</f>
        <v>0</v>
      </c>
      <c r="AK77" s="186"/>
      <c r="AL77" s="180">
        <f>AN77</f>
        <v>0</v>
      </c>
      <c r="AM77" s="182">
        <f>AL77/$AL$46*100%</f>
        <v>0</v>
      </c>
      <c r="AN77" s="181">
        <f>SUMIF('04.conso TB'!A:A,'Apr-26'!B77,'04.conso TB'!W:W)/10^5</f>
        <v>0</v>
      </c>
      <c r="AO77" s="184">
        <f>AN77/$AN$46*100%</f>
        <v>0</v>
      </c>
      <c r="AP77" s="545"/>
      <c r="AQ77" s="180">
        <f>AS77</f>
        <v>-31.216210199999999</v>
      </c>
      <c r="AR77" s="182">
        <f>AQ77/$AQ$46*100%</f>
        <v>-1.7042090073829626E-2</v>
      </c>
      <c r="AS77" s="183">
        <f>SUMIF('04.conso TB'!A:A,'Apr-26'!B77,'04.conso TB'!M:M)/10^5</f>
        <v>-31.216210199999999</v>
      </c>
      <c r="AT77" s="184">
        <f>AS77/$AS$46*100%</f>
        <v>-1.7042090073829626E-2</v>
      </c>
      <c r="AU77" s="180">
        <f>AW77</f>
        <v>-19.912257599999997</v>
      </c>
      <c r="AV77" s="182">
        <f>AU77/$C$46*100%</f>
        <v>-5.9669159420563025E-3</v>
      </c>
      <c r="AW77" s="183">
        <f>SUMIF('04.conso TB'!A:A,'Apr-26'!B77,'04.conso TB'!P:P)/10^5</f>
        <v>-19.912257599999997</v>
      </c>
      <c r="AX77" s="184">
        <f>AW77/$AW$46*100%</f>
        <v>-2.3402669943705125E-2</v>
      </c>
      <c r="AY77" s="195"/>
      <c r="AZ77" s="180">
        <f>BB77</f>
        <v>-51.128467799999996</v>
      </c>
      <c r="BA77" s="182">
        <f>AZ77/$AZ$46*100%</f>
        <v>-1.9059533127878378E-2</v>
      </c>
      <c r="BB77" s="190">
        <f>AS77+AW77</f>
        <v>-51.128467799999996</v>
      </c>
      <c r="BC77" s="184">
        <f>BB77/$BB$46*100%</f>
        <v>-1.9059533127878378E-2</v>
      </c>
      <c r="BD77" s="191"/>
      <c r="BE77" s="180">
        <f>BG77</f>
        <v>-15.010654600000001</v>
      </c>
      <c r="BF77" s="182">
        <f>BE77/$BE$46*100%</f>
        <v>-7.8828509454013304E-3</v>
      </c>
      <c r="BG77" s="183">
        <f>SUMIF('04.conso TB'!A:A,'Apr-26'!B77,'04.conso TB'!H:H)/10^5</f>
        <v>-15.010654600000001</v>
      </c>
      <c r="BH77" s="184">
        <f>BG77/$BG$46*100%</f>
        <v>-7.8828509454013304E-3</v>
      </c>
      <c r="BI77" s="180">
        <f>BK77</f>
        <v>0</v>
      </c>
      <c r="BJ77" s="182">
        <f>BI77/$BI$46*100%</f>
        <v>0</v>
      </c>
      <c r="BK77" s="183">
        <f>SUMIF('04.conso TB'!A:A,'Apr-26'!B77,'04.conso TB'!I:I)/10^5</f>
        <v>0</v>
      </c>
      <c r="BL77" s="184">
        <f>BK77/$BK$46*100%</f>
        <v>0</v>
      </c>
      <c r="BM77" s="180">
        <f>BO77</f>
        <v>0</v>
      </c>
      <c r="BN77" s="182">
        <f>BM77/$C$46*100%</f>
        <v>0</v>
      </c>
      <c r="BO77" s="181">
        <f>SUMIF('04.conso TB'!A:A,'Apr-26'!B77,'04.conso TB'!J:J)/10^5</f>
        <v>0</v>
      </c>
      <c r="BP77" s="182">
        <f>BO77/$C$46*100%</f>
        <v>0</v>
      </c>
      <c r="BQ77" s="192"/>
      <c r="BR77" s="180">
        <f>BT77</f>
        <v>-15.010654600000001</v>
      </c>
      <c r="BS77" s="182">
        <f>BR77/$BR$46*100%</f>
        <v>-8.143578591254988E-3</v>
      </c>
      <c r="BT77" s="183">
        <f t="shared" si="19"/>
        <v>-15.010654600000001</v>
      </c>
      <c r="BU77" s="182">
        <f>BT77/$BT$46*100%</f>
        <v>-8.143578591254988E-3</v>
      </c>
      <c r="BV77" s="191"/>
      <c r="BW77" s="180">
        <f>BY77</f>
        <v>0</v>
      </c>
      <c r="BX77" s="182">
        <f>BW77/$BW$46*100%</f>
        <v>0</v>
      </c>
      <c r="BY77" s="183">
        <f>SUMIF('04.conso TB'!A:A,'Apr-26'!B77,'04.conso TB'!L:L)/10^5</f>
        <v>0</v>
      </c>
      <c r="BZ77" s="182">
        <f>BY77/$BY$46*100%</f>
        <v>0</v>
      </c>
      <c r="CA77" s="191"/>
      <c r="CB77" s="180">
        <f>CD77</f>
        <v>0</v>
      </c>
      <c r="CC77" s="346"/>
      <c r="CD77" s="186"/>
      <c r="CE77" s="187">
        <f>AB77+AG77+AL77+AZ77+BR77+BW77</f>
        <v>-121.38769499999999</v>
      </c>
      <c r="CF77" s="182">
        <f>CE77/$CE$46*100%</f>
        <v>-2.2674774671536068E-2</v>
      </c>
      <c r="CG77" s="187">
        <f>AD77+AI77+AN77+BB77+BT77+BY77</f>
        <v>-121.38769499999999</v>
      </c>
      <c r="CH77" s="182">
        <f>CG77/$CG$46*100%</f>
        <v>-2.2674774671536068E-2</v>
      </c>
    </row>
    <row r="78" spans="1:7168 7170:15360 15362:16333" s="445" customFormat="1" x14ac:dyDescent="0.35">
      <c r="B78" s="446" t="s">
        <v>499</v>
      </c>
      <c r="C78" s="447">
        <v>2.6156616000000001</v>
      </c>
      <c r="D78" s="448">
        <v>7.838103149119816E-4</v>
      </c>
      <c r="E78" s="449">
        <v>2.6156616000000001</v>
      </c>
      <c r="F78" s="182">
        <v>7.838103149119816E-4</v>
      </c>
      <c r="G78" s="447">
        <v>4.3594359999999996</v>
      </c>
      <c r="H78" s="182">
        <v>3.6902237606235536E-3</v>
      </c>
      <c r="I78" s="449">
        <v>4.3594359999999996</v>
      </c>
      <c r="J78" s="182">
        <v>3.6902237606235536E-3</v>
      </c>
      <c r="K78" s="447">
        <v>0</v>
      </c>
      <c r="L78" s="448">
        <v>0</v>
      </c>
      <c r="M78" s="449">
        <v>0</v>
      </c>
      <c r="N78" s="448">
        <v>0</v>
      </c>
      <c r="O78" s="447">
        <v>2.6156616000000001</v>
      </c>
      <c r="P78" s="182">
        <v>2.7921525258273929E-3</v>
      </c>
      <c r="Q78" s="449">
        <v>2.6156616000000001</v>
      </c>
      <c r="R78" s="182">
        <v>2.7921525258273929E-3</v>
      </c>
      <c r="S78" s="447">
        <v>0</v>
      </c>
      <c r="T78" s="182">
        <v>0</v>
      </c>
      <c r="U78" s="449">
        <v>0</v>
      </c>
      <c r="V78" s="182">
        <v>0</v>
      </c>
      <c r="W78" s="447">
        <v>0</v>
      </c>
      <c r="X78" s="182">
        <v>0</v>
      </c>
      <c r="Y78" s="453">
        <v>0</v>
      </c>
      <c r="Z78" s="182">
        <v>0</v>
      </c>
      <c r="AA78" s="450"/>
      <c r="AB78" s="447">
        <v>9.5907592000000008</v>
      </c>
      <c r="AC78" s="182">
        <v>1.8332473556296732E-3</v>
      </c>
      <c r="AD78" s="187">
        <v>9.5907592000000008</v>
      </c>
      <c r="AE78" s="182">
        <v>1.8332473556296732E-3</v>
      </c>
      <c r="AF78" s="450"/>
      <c r="AG78" s="447">
        <v>-18.7455748</v>
      </c>
      <c r="AH78" s="182">
        <v>-5.0596206244700341E-2</v>
      </c>
      <c r="AI78" s="464">
        <v>-18.7455748</v>
      </c>
      <c r="AJ78" s="449">
        <v>-5.0596206244700341E-2</v>
      </c>
      <c r="AK78" s="450"/>
      <c r="AL78" s="447">
        <v>4.3594359999999996</v>
      </c>
      <c r="AM78" s="182">
        <v>3.8304164128024477E-3</v>
      </c>
      <c r="AN78" s="464">
        <v>4.3594359999999996</v>
      </c>
      <c r="AO78" s="449">
        <v>3.8304164128024477E-3</v>
      </c>
      <c r="AP78" s="548"/>
      <c r="AQ78" s="180">
        <v>4.7953796000000004</v>
      </c>
      <c r="AR78" s="182">
        <v>2.6179760630073243E-3</v>
      </c>
      <c r="AS78" s="449">
        <v>4.7953796000000004</v>
      </c>
      <c r="AT78" s="450">
        <v>2.6179760630073243E-3</v>
      </c>
      <c r="AU78" s="447">
        <v>0</v>
      </c>
      <c r="AV78" s="448">
        <v>0</v>
      </c>
      <c r="AW78" s="455">
        <v>0</v>
      </c>
      <c r="AX78" s="449">
        <v>0</v>
      </c>
      <c r="AY78" s="450"/>
      <c r="AZ78" s="447">
        <v>4.7953796000000004</v>
      </c>
      <c r="BA78" s="182">
        <v>1.7876087487008986E-3</v>
      </c>
      <c r="BB78" s="465">
        <v>4.7953796000000004</v>
      </c>
      <c r="BC78" s="449">
        <v>1.7876087487008986E-3</v>
      </c>
      <c r="BD78" s="450"/>
      <c r="BE78" s="447">
        <v>0</v>
      </c>
      <c r="BF78" s="182">
        <v>0</v>
      </c>
      <c r="BG78" s="449">
        <v>0</v>
      </c>
      <c r="BH78" s="450">
        <v>0</v>
      </c>
      <c r="BI78" s="447">
        <v>0</v>
      </c>
      <c r="BJ78" s="182">
        <v>0</v>
      </c>
      <c r="BK78" s="449">
        <v>0</v>
      </c>
      <c r="BL78" s="450">
        <v>0</v>
      </c>
      <c r="BM78" s="447">
        <v>0</v>
      </c>
      <c r="BN78" s="448">
        <v>0</v>
      </c>
      <c r="BO78" s="457">
        <v>0</v>
      </c>
      <c r="BP78" s="448">
        <v>0</v>
      </c>
      <c r="BQ78" s="450"/>
      <c r="BR78" s="447">
        <v>0</v>
      </c>
      <c r="BS78" s="182">
        <v>0</v>
      </c>
      <c r="BT78" s="183">
        <v>0</v>
      </c>
      <c r="BU78" s="182">
        <v>0</v>
      </c>
      <c r="BV78" s="450"/>
      <c r="BW78" s="447">
        <v>0</v>
      </c>
      <c r="BX78" s="182">
        <v>0</v>
      </c>
      <c r="BY78" s="456">
        <v>0</v>
      </c>
      <c r="BZ78" s="182">
        <v>0</v>
      </c>
      <c r="CA78" s="458"/>
      <c r="CB78" s="447">
        <v>0</v>
      </c>
      <c r="CC78" s="454"/>
      <c r="CD78" s="450"/>
      <c r="CE78" s="454">
        <v>8.8817841970012523E-16</v>
      </c>
      <c r="CF78" s="182">
        <v>1.6590845995404505E-19</v>
      </c>
      <c r="CG78" s="449">
        <v>8.8817841970012523E-16</v>
      </c>
      <c r="CH78" s="182">
        <v>1.6590845995404505E-19</v>
      </c>
      <c r="CI78" s="456"/>
      <c r="CJ78" s="449"/>
      <c r="CK78" s="450"/>
      <c r="CL78" s="452"/>
      <c r="CM78" s="448"/>
      <c r="CN78" s="449"/>
      <c r="CO78" s="450"/>
      <c r="CP78" s="452"/>
      <c r="CQ78" s="448"/>
      <c r="CR78" s="449"/>
      <c r="CS78" s="450"/>
      <c r="CT78" s="447"/>
      <c r="CU78" s="448"/>
      <c r="CV78" s="457"/>
      <c r="CW78" s="460"/>
      <c r="CX78" s="450"/>
      <c r="CY78" s="461"/>
      <c r="CZ78" s="448"/>
      <c r="DA78" s="456"/>
      <c r="DB78" s="449"/>
      <c r="DC78" s="450"/>
      <c r="DD78" s="452"/>
      <c r="DE78" s="448"/>
      <c r="DF78" s="456"/>
      <c r="DG78" s="458"/>
      <c r="DH78" s="458"/>
      <c r="DJ78" s="454"/>
      <c r="DK78" s="450"/>
      <c r="DL78" s="454"/>
      <c r="DM78" s="448"/>
      <c r="DN78" s="449"/>
      <c r="DO78" s="450"/>
      <c r="DP78" s="447"/>
      <c r="DQ78" s="448"/>
      <c r="DR78" s="449"/>
      <c r="DS78" s="450"/>
      <c r="DT78" s="447"/>
      <c r="DU78" s="451"/>
      <c r="DV78" s="449"/>
      <c r="DW78" s="450"/>
      <c r="DX78" s="447"/>
      <c r="DY78" s="451"/>
      <c r="DZ78" s="449"/>
      <c r="EA78" s="450"/>
      <c r="EB78" s="447"/>
      <c r="EC78" s="451"/>
      <c r="ED78" s="449"/>
      <c r="EE78" s="450"/>
      <c r="EF78" s="452"/>
      <c r="EG78" s="451"/>
      <c r="EH78" s="449"/>
      <c r="EI78" s="450"/>
      <c r="EJ78" s="447"/>
      <c r="EK78" s="448"/>
      <c r="EL78" s="453"/>
      <c r="EM78" s="449"/>
      <c r="EN78" s="450"/>
      <c r="EO78" s="454"/>
      <c r="EP78" s="448"/>
      <c r="ER78" s="449"/>
      <c r="ES78" s="450"/>
      <c r="ET78" s="452"/>
      <c r="EU78" s="448"/>
      <c r="EW78" s="449"/>
      <c r="EX78" s="450"/>
      <c r="EY78" s="447"/>
      <c r="EZ78" s="448"/>
      <c r="FB78" s="449"/>
      <c r="FC78" s="450"/>
      <c r="FD78" s="452"/>
      <c r="FE78" s="448"/>
      <c r="FF78" s="449"/>
      <c r="FG78" s="450"/>
      <c r="FH78" s="452"/>
      <c r="FI78" s="448"/>
      <c r="FJ78" s="455"/>
      <c r="FK78" s="449"/>
      <c r="FL78" s="450"/>
      <c r="FM78" s="459"/>
      <c r="FN78" s="448"/>
      <c r="FO78" s="456"/>
      <c r="FP78" s="449"/>
      <c r="FQ78" s="450"/>
      <c r="FR78" s="452"/>
      <c r="FS78" s="448"/>
      <c r="FT78" s="449"/>
      <c r="FU78" s="450"/>
      <c r="FV78" s="452"/>
      <c r="FW78" s="448"/>
      <c r="FX78" s="449"/>
      <c r="FY78" s="450"/>
      <c r="FZ78" s="447"/>
      <c r="GA78" s="448"/>
      <c r="GB78" s="457"/>
      <c r="GC78" s="460"/>
      <c r="GD78" s="450"/>
      <c r="GE78" s="461"/>
      <c r="GF78" s="448"/>
      <c r="GG78" s="456"/>
      <c r="GH78" s="449"/>
      <c r="GI78" s="450"/>
      <c r="GJ78" s="452"/>
      <c r="GK78" s="448"/>
      <c r="GL78" s="456"/>
      <c r="GM78" s="458"/>
      <c r="GN78" s="458"/>
      <c r="GP78" s="454"/>
      <c r="GQ78" s="450"/>
      <c r="GR78" s="454"/>
      <c r="GS78" s="448"/>
      <c r="GT78" s="449"/>
      <c r="GU78" s="450"/>
      <c r="GV78" s="447"/>
      <c r="GW78" s="448"/>
      <c r="GX78" s="449"/>
      <c r="GY78" s="450"/>
      <c r="GZ78" s="447"/>
      <c r="HA78" s="451"/>
      <c r="HB78" s="449"/>
      <c r="HC78" s="450"/>
      <c r="HD78" s="447"/>
      <c r="HE78" s="451"/>
      <c r="HF78" s="449"/>
      <c r="HG78" s="450"/>
      <c r="HH78" s="447"/>
      <c r="HI78" s="451"/>
      <c r="HJ78" s="449"/>
      <c r="HK78" s="450"/>
      <c r="HL78" s="452"/>
      <c r="HM78" s="451"/>
      <c r="HN78" s="449"/>
      <c r="HO78" s="450"/>
      <c r="HP78" s="447"/>
      <c r="HQ78" s="448"/>
      <c r="HR78" s="453"/>
      <c r="HS78" s="449"/>
      <c r="HT78" s="450"/>
      <c r="HU78" s="454"/>
      <c r="HV78" s="448"/>
      <c r="HX78" s="449"/>
      <c r="HY78" s="450"/>
      <c r="HZ78" s="452"/>
      <c r="IA78" s="448"/>
      <c r="IC78" s="449"/>
      <c r="ID78" s="450"/>
      <c r="IE78" s="447"/>
      <c r="IF78" s="448"/>
      <c r="IH78" s="449"/>
      <c r="II78" s="450"/>
      <c r="IJ78" s="452"/>
      <c r="IK78" s="448"/>
      <c r="IL78" s="449"/>
      <c r="IM78" s="450"/>
      <c r="IN78" s="452"/>
      <c r="IO78" s="448"/>
      <c r="IP78" s="455"/>
      <c r="IQ78" s="449"/>
      <c r="IR78" s="450"/>
      <c r="IS78" s="459"/>
      <c r="IT78" s="448"/>
      <c r="IU78" s="456"/>
      <c r="IV78" s="449"/>
      <c r="IW78" s="450"/>
      <c r="IX78" s="452"/>
      <c r="IY78" s="448"/>
      <c r="IZ78" s="449"/>
      <c r="JA78" s="450"/>
      <c r="JB78" s="452"/>
      <c r="JC78" s="448"/>
      <c r="JD78" s="449"/>
      <c r="JE78" s="450"/>
      <c r="JF78" s="447"/>
      <c r="JG78" s="448"/>
      <c r="JH78" s="457"/>
      <c r="JI78" s="460"/>
      <c r="JJ78" s="450"/>
      <c r="JK78" s="461"/>
      <c r="JL78" s="448"/>
      <c r="JM78" s="456"/>
      <c r="JN78" s="449"/>
      <c r="JO78" s="450"/>
      <c r="JP78" s="452"/>
      <c r="JQ78" s="448"/>
      <c r="JR78" s="456"/>
      <c r="JS78" s="458"/>
      <c r="JT78" s="458"/>
      <c r="JV78" s="454"/>
      <c r="JW78" s="450"/>
      <c r="JX78" s="454"/>
      <c r="JY78" s="448"/>
      <c r="JZ78" s="449"/>
      <c r="KA78" s="450"/>
      <c r="KB78" s="447"/>
      <c r="KC78" s="448"/>
      <c r="KD78" s="449"/>
      <c r="KE78" s="450"/>
      <c r="KF78" s="447"/>
      <c r="KG78" s="451"/>
      <c r="KH78" s="449"/>
      <c r="KI78" s="450"/>
      <c r="KJ78" s="447"/>
      <c r="KK78" s="451"/>
      <c r="KL78" s="449"/>
      <c r="KM78" s="450"/>
      <c r="KN78" s="447"/>
      <c r="KO78" s="451"/>
      <c r="KP78" s="449"/>
      <c r="KQ78" s="450"/>
      <c r="KR78" s="452"/>
      <c r="KS78" s="451"/>
      <c r="KT78" s="449"/>
      <c r="KU78" s="450"/>
      <c r="KV78" s="447"/>
      <c r="KW78" s="448"/>
      <c r="KX78" s="453"/>
      <c r="KY78" s="449"/>
      <c r="KZ78" s="450"/>
      <c r="LA78" s="454"/>
      <c r="LB78" s="448"/>
      <c r="LD78" s="449"/>
      <c r="LE78" s="450"/>
      <c r="LF78" s="452"/>
      <c r="LG78" s="448"/>
      <c r="LI78" s="449"/>
      <c r="LJ78" s="450"/>
      <c r="LK78" s="447"/>
      <c r="LL78" s="448"/>
      <c r="LN78" s="449"/>
      <c r="LO78" s="450"/>
      <c r="LP78" s="452"/>
      <c r="LQ78" s="448"/>
      <c r="LR78" s="449"/>
      <c r="LS78" s="450"/>
      <c r="LT78" s="452"/>
      <c r="LU78" s="448"/>
      <c r="LV78" s="455"/>
      <c r="LW78" s="449"/>
      <c r="LX78" s="450"/>
      <c r="LY78" s="459"/>
      <c r="LZ78" s="448"/>
      <c r="MA78" s="456"/>
      <c r="MB78" s="449"/>
      <c r="MC78" s="450"/>
      <c r="MD78" s="452"/>
      <c r="ME78" s="448"/>
      <c r="MF78" s="449"/>
      <c r="MG78" s="450"/>
      <c r="MH78" s="452"/>
      <c r="MI78" s="448"/>
      <c r="MJ78" s="449"/>
      <c r="MK78" s="450"/>
      <c r="ML78" s="447"/>
      <c r="MM78" s="448"/>
      <c r="MN78" s="457"/>
      <c r="MO78" s="460"/>
      <c r="MP78" s="450"/>
      <c r="MQ78" s="461"/>
      <c r="MR78" s="448"/>
      <c r="MS78" s="456"/>
      <c r="MT78" s="449"/>
      <c r="MU78" s="450"/>
      <c r="MV78" s="452"/>
      <c r="MW78" s="448"/>
      <c r="MX78" s="456"/>
      <c r="MY78" s="458"/>
      <c r="MZ78" s="458"/>
      <c r="NB78" s="454"/>
      <c r="NC78" s="450"/>
      <c r="ND78" s="454"/>
      <c r="NE78" s="448"/>
      <c r="NF78" s="449"/>
      <c r="NG78" s="450"/>
      <c r="NH78" s="447"/>
      <c r="NI78" s="448"/>
      <c r="NJ78" s="449"/>
      <c r="NK78" s="450"/>
      <c r="NL78" s="447"/>
      <c r="NM78" s="451"/>
      <c r="NN78" s="449"/>
      <c r="NO78" s="450"/>
      <c r="NP78" s="447"/>
      <c r="NQ78" s="451"/>
      <c r="NR78" s="449"/>
      <c r="NS78" s="450"/>
      <c r="NT78" s="447"/>
      <c r="NU78" s="451"/>
      <c r="NV78" s="449"/>
      <c r="NW78" s="450"/>
      <c r="NX78" s="452"/>
      <c r="NY78" s="451"/>
      <c r="NZ78" s="449"/>
      <c r="OA78" s="450"/>
      <c r="OB78" s="447"/>
      <c r="OC78" s="448"/>
      <c r="OD78" s="453"/>
      <c r="OE78" s="449"/>
      <c r="OF78" s="450"/>
      <c r="OG78" s="454"/>
      <c r="OH78" s="448"/>
      <c r="OJ78" s="449"/>
      <c r="OK78" s="450"/>
      <c r="OL78" s="452"/>
      <c r="OM78" s="448"/>
      <c r="OO78" s="449"/>
      <c r="OP78" s="450"/>
      <c r="OQ78" s="447"/>
      <c r="OR78" s="448"/>
      <c r="OT78" s="449"/>
      <c r="OU78" s="450"/>
      <c r="OV78" s="452"/>
      <c r="OW78" s="448"/>
      <c r="OX78" s="449"/>
      <c r="OY78" s="450"/>
      <c r="OZ78" s="452"/>
      <c r="PA78" s="448"/>
      <c r="PB78" s="455"/>
      <c r="PC78" s="449"/>
      <c r="PD78" s="450"/>
      <c r="PE78" s="459"/>
      <c r="PF78" s="448"/>
      <c r="PG78" s="456"/>
      <c r="PH78" s="449"/>
      <c r="PI78" s="450"/>
      <c r="PJ78" s="452"/>
      <c r="PK78" s="448"/>
      <c r="PL78" s="449"/>
      <c r="PM78" s="450"/>
      <c r="PN78" s="452"/>
      <c r="PO78" s="448"/>
      <c r="PP78" s="449"/>
      <c r="PQ78" s="450"/>
      <c r="PR78" s="447"/>
      <c r="PS78" s="448"/>
      <c r="PT78" s="457"/>
      <c r="PU78" s="460"/>
      <c r="PV78" s="450"/>
      <c r="PW78" s="461"/>
      <c r="PX78" s="448"/>
      <c r="PY78" s="456"/>
      <c r="PZ78" s="449"/>
      <c r="QA78" s="450"/>
      <c r="QB78" s="452"/>
      <c r="QC78" s="448"/>
      <c r="QD78" s="456"/>
      <c r="QE78" s="458"/>
      <c r="QF78" s="458"/>
      <c r="QH78" s="454"/>
      <c r="QI78" s="450"/>
      <c r="QJ78" s="454"/>
      <c r="QK78" s="448"/>
      <c r="QL78" s="449"/>
      <c r="QM78" s="450"/>
      <c r="QN78" s="447"/>
      <c r="QO78" s="448"/>
      <c r="QP78" s="449"/>
      <c r="QQ78" s="450"/>
      <c r="QR78" s="447"/>
      <c r="QS78" s="451"/>
      <c r="QT78" s="449"/>
      <c r="QU78" s="450"/>
      <c r="QV78" s="447"/>
      <c r="QW78" s="451"/>
      <c r="QX78" s="449"/>
      <c r="QY78" s="450"/>
      <c r="QZ78" s="447"/>
      <c r="RA78" s="451"/>
      <c r="RB78" s="449"/>
      <c r="RC78" s="450"/>
      <c r="RD78" s="452"/>
      <c r="RE78" s="451"/>
      <c r="RF78" s="449"/>
      <c r="RG78" s="450"/>
      <c r="RH78" s="447"/>
      <c r="RI78" s="448"/>
      <c r="RJ78" s="453"/>
      <c r="RK78" s="449"/>
      <c r="RL78" s="450"/>
      <c r="RM78" s="454"/>
      <c r="RN78" s="448"/>
      <c r="RP78" s="449"/>
      <c r="RQ78" s="450"/>
      <c r="RR78" s="452"/>
      <c r="RS78" s="448"/>
      <c r="RU78" s="449"/>
      <c r="RV78" s="450"/>
      <c r="RW78" s="447"/>
      <c r="RX78" s="448"/>
      <c r="RZ78" s="449"/>
      <c r="SA78" s="450"/>
      <c r="SB78" s="452"/>
      <c r="SC78" s="448"/>
      <c r="SD78" s="449"/>
      <c r="SE78" s="450"/>
      <c r="SF78" s="452"/>
      <c r="SG78" s="448"/>
      <c r="SH78" s="455"/>
      <c r="SI78" s="449"/>
      <c r="SJ78" s="450"/>
      <c r="SK78" s="459"/>
      <c r="SL78" s="448"/>
      <c r="SM78" s="456"/>
      <c r="SN78" s="449"/>
      <c r="SO78" s="450"/>
      <c r="SP78" s="452"/>
      <c r="SQ78" s="448"/>
      <c r="SR78" s="449"/>
      <c r="SS78" s="450"/>
      <c r="ST78" s="452"/>
      <c r="SU78" s="448"/>
      <c r="SV78" s="449"/>
      <c r="SW78" s="450"/>
      <c r="SX78" s="447"/>
      <c r="SY78" s="448"/>
      <c r="SZ78" s="457"/>
      <c r="TA78" s="460"/>
      <c r="TB78" s="450"/>
      <c r="TC78" s="461"/>
      <c r="TD78" s="448"/>
      <c r="TE78" s="456"/>
      <c r="TF78" s="449"/>
      <c r="TG78" s="450"/>
      <c r="TH78" s="452"/>
      <c r="TI78" s="448"/>
      <c r="TJ78" s="456"/>
      <c r="TK78" s="458"/>
      <c r="TL78" s="458"/>
      <c r="TN78" s="454"/>
      <c r="TO78" s="450"/>
      <c r="TP78" s="454"/>
      <c r="TQ78" s="448"/>
      <c r="TR78" s="449"/>
      <c r="TS78" s="450"/>
      <c r="TT78" s="447"/>
      <c r="TU78" s="448"/>
      <c r="TV78" s="449"/>
      <c r="TW78" s="450"/>
      <c r="TX78" s="447"/>
      <c r="TY78" s="451"/>
      <c r="TZ78" s="449"/>
      <c r="UA78" s="450"/>
      <c r="UB78" s="447"/>
      <c r="UC78" s="451"/>
      <c r="UD78" s="449"/>
      <c r="UE78" s="450"/>
      <c r="UF78" s="447"/>
      <c r="UG78" s="451"/>
      <c r="UH78" s="449"/>
      <c r="UI78" s="450"/>
      <c r="UJ78" s="452"/>
      <c r="UK78" s="451"/>
      <c r="UL78" s="449"/>
      <c r="UM78" s="450"/>
      <c r="UN78" s="447"/>
      <c r="UO78" s="448"/>
      <c r="UP78" s="453"/>
      <c r="UQ78" s="449"/>
      <c r="UR78" s="450"/>
      <c r="US78" s="454"/>
      <c r="UT78" s="448"/>
      <c r="UV78" s="449"/>
      <c r="UW78" s="450"/>
      <c r="UX78" s="452"/>
      <c r="UY78" s="448"/>
      <c r="VA78" s="449"/>
      <c r="VB78" s="450"/>
      <c r="VC78" s="447"/>
      <c r="VD78" s="448"/>
      <c r="VF78" s="449"/>
      <c r="VG78" s="450"/>
      <c r="VH78" s="452"/>
      <c r="VI78" s="448"/>
      <c r="VJ78" s="449"/>
      <c r="VK78" s="450"/>
      <c r="VL78" s="452"/>
      <c r="VM78" s="448"/>
      <c r="VN78" s="455"/>
      <c r="VO78" s="449"/>
      <c r="VP78" s="450"/>
      <c r="VQ78" s="459"/>
      <c r="VR78" s="448"/>
      <c r="VS78" s="456"/>
      <c r="VT78" s="449"/>
      <c r="VU78" s="450"/>
      <c r="VV78" s="452"/>
      <c r="VW78" s="448"/>
      <c r="VX78" s="449"/>
      <c r="VY78" s="450"/>
      <c r="VZ78" s="452"/>
      <c r="WA78" s="448"/>
      <c r="WB78" s="449"/>
      <c r="WC78" s="450"/>
      <c r="WD78" s="447"/>
      <c r="WE78" s="448"/>
      <c r="WF78" s="457"/>
      <c r="WG78" s="460"/>
      <c r="WH78" s="450"/>
      <c r="WI78" s="461"/>
      <c r="WJ78" s="448"/>
      <c r="WK78" s="456"/>
      <c r="WL78" s="449"/>
      <c r="WM78" s="450"/>
      <c r="WN78" s="452"/>
      <c r="WO78" s="448"/>
      <c r="WP78" s="456"/>
      <c r="WQ78" s="458"/>
      <c r="WR78" s="458"/>
      <c r="WT78" s="454"/>
      <c r="WU78" s="450"/>
      <c r="WV78" s="454"/>
      <c r="WW78" s="448"/>
      <c r="WX78" s="449"/>
      <c r="WY78" s="450"/>
      <c r="WZ78" s="447"/>
      <c r="XA78" s="448"/>
      <c r="XB78" s="449"/>
      <c r="XC78" s="450"/>
      <c r="XD78" s="447"/>
      <c r="XE78" s="451"/>
      <c r="XF78" s="449"/>
      <c r="XG78" s="450"/>
      <c r="XH78" s="447"/>
      <c r="XI78" s="451"/>
      <c r="XJ78" s="449"/>
      <c r="XK78" s="450"/>
      <c r="XL78" s="447"/>
      <c r="XM78" s="451"/>
      <c r="XN78" s="449"/>
      <c r="XO78" s="450"/>
      <c r="XP78" s="452"/>
      <c r="XQ78" s="451"/>
      <c r="XR78" s="449"/>
      <c r="XS78" s="450"/>
      <c r="XT78" s="447"/>
      <c r="XU78" s="448"/>
      <c r="XV78" s="453"/>
      <c r="XW78" s="449"/>
      <c r="XX78" s="450"/>
      <c r="XY78" s="454"/>
      <c r="XZ78" s="448"/>
      <c r="YB78" s="449"/>
      <c r="YC78" s="450"/>
      <c r="YD78" s="452"/>
      <c r="YE78" s="448"/>
      <c r="YG78" s="449"/>
      <c r="YH78" s="450"/>
      <c r="YI78" s="447"/>
      <c r="YJ78" s="448"/>
      <c r="YL78" s="449"/>
      <c r="YM78" s="450"/>
      <c r="YN78" s="452"/>
      <c r="YO78" s="448"/>
      <c r="YP78" s="449"/>
      <c r="YQ78" s="450"/>
      <c r="YR78" s="452"/>
      <c r="YS78" s="448"/>
      <c r="YT78" s="455"/>
      <c r="YU78" s="449"/>
      <c r="YV78" s="450"/>
      <c r="YW78" s="459"/>
      <c r="YX78" s="448"/>
      <c r="YY78" s="456"/>
      <c r="YZ78" s="449"/>
      <c r="ZA78" s="450"/>
      <c r="ZB78" s="452"/>
      <c r="ZC78" s="448"/>
      <c r="ZD78" s="449"/>
      <c r="ZE78" s="450"/>
      <c r="ZF78" s="452"/>
      <c r="ZG78" s="448"/>
      <c r="ZH78" s="449"/>
      <c r="ZI78" s="450"/>
      <c r="ZJ78" s="447"/>
      <c r="ZK78" s="448"/>
      <c r="ZL78" s="457"/>
      <c r="ZM78" s="460"/>
      <c r="ZN78" s="450"/>
      <c r="ZO78" s="461"/>
      <c r="ZP78" s="448"/>
      <c r="ZQ78" s="456"/>
      <c r="ZR78" s="449"/>
      <c r="ZS78" s="450"/>
      <c r="ZT78" s="452"/>
      <c r="ZU78" s="448"/>
      <c r="ZV78" s="456"/>
      <c r="ZW78" s="458"/>
      <c r="ZX78" s="458"/>
      <c r="ZZ78" s="454"/>
      <c r="AAA78" s="450"/>
      <c r="AAB78" s="454"/>
      <c r="AAC78" s="448"/>
      <c r="AAD78" s="449"/>
      <c r="AAE78" s="450"/>
      <c r="AAF78" s="447"/>
      <c r="AAG78" s="448"/>
      <c r="AAH78" s="449"/>
      <c r="AAI78" s="450"/>
      <c r="AAJ78" s="447"/>
      <c r="AAK78" s="451"/>
      <c r="AAL78" s="449"/>
      <c r="AAM78" s="450"/>
      <c r="AAN78" s="447"/>
      <c r="AAO78" s="451"/>
      <c r="AAP78" s="449"/>
      <c r="AAQ78" s="450"/>
      <c r="AAR78" s="447"/>
      <c r="AAS78" s="451"/>
      <c r="AAT78" s="449"/>
      <c r="AAU78" s="450"/>
      <c r="AAV78" s="452"/>
      <c r="AAW78" s="451"/>
      <c r="AAX78" s="449"/>
      <c r="AAY78" s="450"/>
      <c r="AAZ78" s="447"/>
      <c r="ABA78" s="448"/>
      <c r="ABB78" s="453"/>
      <c r="ABC78" s="449"/>
      <c r="ABD78" s="450"/>
      <c r="ABE78" s="454"/>
      <c r="ABF78" s="448"/>
      <c r="ABH78" s="449"/>
      <c r="ABI78" s="450"/>
      <c r="ABJ78" s="452"/>
      <c r="ABK78" s="448"/>
      <c r="ABM78" s="449"/>
      <c r="ABN78" s="450"/>
      <c r="ABO78" s="447"/>
      <c r="ABP78" s="448"/>
      <c r="ABR78" s="449"/>
      <c r="ABS78" s="450"/>
      <c r="ABT78" s="452"/>
      <c r="ABU78" s="448"/>
      <c r="ABV78" s="449"/>
      <c r="ABW78" s="450"/>
      <c r="ABX78" s="452"/>
      <c r="ABY78" s="448"/>
      <c r="ABZ78" s="455"/>
      <c r="ACA78" s="449"/>
      <c r="ACB78" s="450"/>
      <c r="ACC78" s="459"/>
      <c r="ACD78" s="448"/>
      <c r="ACE78" s="456"/>
      <c r="ACF78" s="449"/>
      <c r="ACG78" s="450"/>
      <c r="ACH78" s="452"/>
      <c r="ACI78" s="448"/>
      <c r="ACJ78" s="449"/>
      <c r="ACK78" s="450"/>
      <c r="ACL78" s="452"/>
      <c r="ACM78" s="448"/>
      <c r="ACN78" s="449"/>
      <c r="ACO78" s="450"/>
      <c r="ACP78" s="447"/>
      <c r="ACQ78" s="448"/>
      <c r="ACR78" s="457"/>
      <c r="ACS78" s="460"/>
      <c r="ACT78" s="450"/>
      <c r="ACU78" s="461"/>
      <c r="ACV78" s="448"/>
      <c r="ACW78" s="456"/>
      <c r="ACX78" s="449"/>
      <c r="ACY78" s="450"/>
      <c r="ACZ78" s="452"/>
      <c r="ADA78" s="448"/>
      <c r="ADB78" s="456"/>
      <c r="ADC78" s="458"/>
      <c r="ADD78" s="458"/>
      <c r="ADF78" s="454"/>
      <c r="ADG78" s="450"/>
      <c r="ADH78" s="454"/>
      <c r="ADI78" s="448"/>
      <c r="ADJ78" s="449"/>
      <c r="ADK78" s="450"/>
      <c r="ADL78" s="447"/>
      <c r="ADM78" s="448"/>
      <c r="ADN78" s="449"/>
      <c r="ADO78" s="450"/>
      <c r="ADP78" s="447"/>
      <c r="ADQ78" s="451"/>
      <c r="ADR78" s="449"/>
      <c r="ADS78" s="450"/>
      <c r="ADT78" s="447"/>
      <c r="ADU78" s="451"/>
      <c r="ADV78" s="449"/>
      <c r="ADW78" s="450"/>
      <c r="ADX78" s="447"/>
      <c r="ADY78" s="451"/>
      <c r="ADZ78" s="449"/>
      <c r="AEA78" s="450"/>
      <c r="AEB78" s="452"/>
      <c r="AEC78" s="451"/>
      <c r="AED78" s="449"/>
      <c r="AEE78" s="450"/>
      <c r="AEF78" s="447"/>
      <c r="AEG78" s="448"/>
      <c r="AEH78" s="453"/>
      <c r="AEI78" s="449"/>
      <c r="AEJ78" s="450"/>
      <c r="AEK78" s="454"/>
      <c r="AEL78" s="448"/>
      <c r="AEN78" s="449"/>
      <c r="AEO78" s="450"/>
      <c r="AEP78" s="452"/>
      <c r="AEQ78" s="448"/>
      <c r="AES78" s="449"/>
      <c r="AET78" s="450"/>
      <c r="AEU78" s="447"/>
      <c r="AEV78" s="448"/>
      <c r="AEX78" s="449"/>
      <c r="AEY78" s="450"/>
      <c r="AEZ78" s="452"/>
      <c r="AFA78" s="448"/>
      <c r="AFB78" s="449"/>
      <c r="AFC78" s="450"/>
      <c r="AFD78" s="452"/>
      <c r="AFE78" s="448"/>
      <c r="AFF78" s="455"/>
      <c r="AFG78" s="449"/>
      <c r="AFH78" s="450"/>
      <c r="AFI78" s="459"/>
      <c r="AFJ78" s="448"/>
      <c r="AFK78" s="456"/>
      <c r="AFL78" s="449"/>
      <c r="AFM78" s="450"/>
      <c r="AFN78" s="452"/>
      <c r="AFO78" s="448"/>
      <c r="AFP78" s="449"/>
      <c r="AFQ78" s="450"/>
      <c r="AFR78" s="452"/>
      <c r="AFS78" s="448"/>
      <c r="AFT78" s="449"/>
      <c r="AFU78" s="450"/>
      <c r="AFV78" s="447"/>
      <c r="AFW78" s="448"/>
      <c r="AFX78" s="457"/>
      <c r="AFY78" s="460"/>
      <c r="AFZ78" s="450"/>
      <c r="AGA78" s="461"/>
      <c r="AGB78" s="448"/>
      <c r="AGC78" s="456"/>
      <c r="AGD78" s="449"/>
      <c r="AGE78" s="450"/>
      <c r="AGF78" s="452"/>
      <c r="AGG78" s="448"/>
      <c r="AGH78" s="456"/>
      <c r="AGI78" s="458"/>
      <c r="AGJ78" s="458"/>
      <c r="AGL78" s="454"/>
      <c r="AGM78" s="450"/>
      <c r="AGN78" s="454"/>
      <c r="AGO78" s="448"/>
      <c r="AGP78" s="449"/>
      <c r="AGQ78" s="450"/>
      <c r="AGR78" s="447"/>
      <c r="AGS78" s="448"/>
      <c r="AGT78" s="449"/>
      <c r="AGU78" s="450"/>
      <c r="AGV78" s="447"/>
      <c r="AGW78" s="451"/>
      <c r="AGX78" s="449"/>
      <c r="AGY78" s="450"/>
      <c r="AGZ78" s="447"/>
      <c r="AHA78" s="451"/>
      <c r="AHB78" s="449"/>
      <c r="AHC78" s="450"/>
      <c r="AHD78" s="447"/>
      <c r="AHE78" s="451"/>
      <c r="AHF78" s="449"/>
      <c r="AHG78" s="450"/>
      <c r="AHH78" s="452"/>
      <c r="AHI78" s="451"/>
      <c r="AHJ78" s="449"/>
      <c r="AHK78" s="450"/>
      <c r="AHL78" s="447"/>
      <c r="AHM78" s="448"/>
      <c r="AHN78" s="453"/>
      <c r="AHO78" s="449"/>
      <c r="AHP78" s="450"/>
      <c r="AHQ78" s="454"/>
      <c r="AHR78" s="448"/>
      <c r="AHT78" s="449"/>
      <c r="AHU78" s="450"/>
      <c r="AHV78" s="452"/>
      <c r="AHW78" s="448"/>
      <c r="AHY78" s="449"/>
      <c r="AHZ78" s="450"/>
      <c r="AIA78" s="447"/>
      <c r="AIB78" s="448"/>
      <c r="AID78" s="449"/>
      <c r="AIE78" s="450"/>
      <c r="AIF78" s="452"/>
      <c r="AIG78" s="448"/>
      <c r="AIH78" s="449"/>
      <c r="AII78" s="450"/>
      <c r="AIJ78" s="452"/>
      <c r="AIK78" s="448"/>
      <c r="AIL78" s="455"/>
      <c r="AIM78" s="449"/>
      <c r="AIN78" s="450"/>
      <c r="AIO78" s="459"/>
      <c r="AIP78" s="448"/>
      <c r="AIQ78" s="456"/>
      <c r="AIR78" s="449"/>
      <c r="AIS78" s="450"/>
      <c r="AIT78" s="452"/>
      <c r="AIU78" s="448"/>
      <c r="AIV78" s="449"/>
      <c r="AIW78" s="450"/>
      <c r="AIX78" s="452"/>
      <c r="AIY78" s="448"/>
      <c r="AIZ78" s="449"/>
      <c r="AJA78" s="450"/>
      <c r="AJB78" s="447"/>
      <c r="AJC78" s="448"/>
      <c r="AJD78" s="457"/>
      <c r="AJE78" s="460"/>
      <c r="AJF78" s="450"/>
      <c r="AJG78" s="461"/>
      <c r="AJH78" s="448"/>
      <c r="AJI78" s="456"/>
      <c r="AJJ78" s="449"/>
      <c r="AJK78" s="450"/>
      <c r="AJL78" s="452"/>
      <c r="AJM78" s="448"/>
      <c r="AJN78" s="456"/>
      <c r="AJO78" s="458"/>
      <c r="AJP78" s="458"/>
      <c r="AJR78" s="454"/>
      <c r="AJS78" s="450"/>
      <c r="AJT78" s="454"/>
      <c r="AJU78" s="448"/>
      <c r="AJV78" s="449"/>
      <c r="AJW78" s="450"/>
      <c r="AJX78" s="447"/>
      <c r="AJY78" s="448"/>
      <c r="AJZ78" s="449"/>
      <c r="AKA78" s="450"/>
      <c r="AKB78" s="447"/>
      <c r="AKC78" s="451"/>
      <c r="AKD78" s="449"/>
      <c r="AKE78" s="450"/>
      <c r="AKF78" s="447"/>
      <c r="AKG78" s="451"/>
      <c r="AKH78" s="449"/>
      <c r="AKI78" s="450"/>
      <c r="AKJ78" s="447"/>
      <c r="AKK78" s="451"/>
      <c r="AKL78" s="449"/>
      <c r="AKM78" s="450"/>
      <c r="AKN78" s="452"/>
      <c r="AKO78" s="451"/>
      <c r="AKP78" s="449"/>
      <c r="AKQ78" s="450"/>
      <c r="AKR78" s="447"/>
      <c r="AKS78" s="448"/>
      <c r="AKT78" s="453"/>
      <c r="AKU78" s="449"/>
      <c r="AKV78" s="450"/>
      <c r="AKW78" s="454"/>
      <c r="AKX78" s="448"/>
      <c r="AKZ78" s="449"/>
      <c r="ALA78" s="450"/>
      <c r="ALB78" s="452"/>
      <c r="ALC78" s="448"/>
      <c r="ALE78" s="449"/>
      <c r="ALF78" s="450"/>
      <c r="ALG78" s="447"/>
      <c r="ALH78" s="448"/>
      <c r="ALJ78" s="449"/>
      <c r="ALK78" s="450"/>
      <c r="ALL78" s="452"/>
      <c r="ALM78" s="448"/>
      <c r="ALN78" s="449"/>
      <c r="ALO78" s="450"/>
      <c r="ALP78" s="452"/>
      <c r="ALQ78" s="448"/>
      <c r="ALR78" s="455"/>
      <c r="ALS78" s="449"/>
      <c r="ALT78" s="450"/>
      <c r="ALU78" s="459"/>
      <c r="ALV78" s="448"/>
      <c r="ALW78" s="456"/>
      <c r="ALX78" s="449"/>
      <c r="ALY78" s="450"/>
      <c r="ALZ78" s="452"/>
      <c r="AMA78" s="448"/>
      <c r="AMB78" s="449"/>
      <c r="AMC78" s="450"/>
      <c r="AMD78" s="452"/>
      <c r="AME78" s="448"/>
      <c r="AMF78" s="449"/>
      <c r="AMG78" s="450"/>
      <c r="AMH78" s="447"/>
      <c r="AMI78" s="448"/>
      <c r="AMJ78" s="457"/>
      <c r="AMK78" s="460"/>
      <c r="AML78" s="450"/>
      <c r="AMM78" s="461"/>
      <c r="AMN78" s="448"/>
      <c r="AMO78" s="456"/>
      <c r="AMP78" s="449"/>
      <c r="AMQ78" s="450"/>
      <c r="AMR78" s="452"/>
      <c r="AMS78" s="448"/>
      <c r="AMT78" s="456"/>
      <c r="AMU78" s="458"/>
      <c r="AMV78" s="458"/>
      <c r="AMX78" s="454"/>
      <c r="AMY78" s="450"/>
      <c r="AMZ78" s="454"/>
      <c r="ANA78" s="448"/>
      <c r="ANB78" s="449"/>
      <c r="ANC78" s="450"/>
      <c r="AND78" s="447"/>
      <c r="ANE78" s="448"/>
      <c r="ANF78" s="449"/>
      <c r="ANG78" s="450"/>
      <c r="ANH78" s="447"/>
      <c r="ANI78" s="451"/>
      <c r="ANJ78" s="449"/>
      <c r="ANK78" s="450"/>
      <c r="ANL78" s="447"/>
      <c r="ANM78" s="451"/>
      <c r="ANN78" s="449"/>
      <c r="ANO78" s="450"/>
      <c r="ANP78" s="447"/>
      <c r="ANQ78" s="451"/>
      <c r="ANR78" s="449"/>
      <c r="ANS78" s="450"/>
      <c r="ANT78" s="452"/>
      <c r="ANU78" s="451"/>
      <c r="ANV78" s="449"/>
      <c r="ANW78" s="450"/>
      <c r="ANX78" s="447"/>
      <c r="ANY78" s="448"/>
      <c r="ANZ78" s="453"/>
      <c r="AOA78" s="449"/>
      <c r="AOB78" s="450"/>
      <c r="AOC78" s="454"/>
      <c r="AOD78" s="448"/>
      <c r="AOF78" s="449"/>
      <c r="AOG78" s="450"/>
      <c r="AOH78" s="452"/>
      <c r="AOI78" s="448"/>
      <c r="AOK78" s="449"/>
      <c r="AOL78" s="450"/>
      <c r="AOM78" s="447"/>
      <c r="AON78" s="448"/>
      <c r="AOP78" s="449"/>
      <c r="AOQ78" s="450"/>
      <c r="AOR78" s="452"/>
      <c r="AOS78" s="448"/>
      <c r="AOT78" s="449"/>
      <c r="AOU78" s="450"/>
      <c r="AOV78" s="452"/>
      <c r="AOW78" s="448"/>
      <c r="AOX78" s="455"/>
      <c r="AOY78" s="449"/>
      <c r="AOZ78" s="450"/>
      <c r="APA78" s="459"/>
      <c r="APB78" s="448"/>
      <c r="APC78" s="456"/>
      <c r="APD78" s="449"/>
      <c r="APE78" s="450"/>
      <c r="APF78" s="452"/>
      <c r="APG78" s="448"/>
      <c r="APH78" s="449"/>
      <c r="API78" s="450"/>
      <c r="APJ78" s="452"/>
      <c r="APK78" s="448"/>
      <c r="APL78" s="449"/>
      <c r="APM78" s="450"/>
      <c r="APN78" s="447"/>
      <c r="APO78" s="448"/>
      <c r="APP78" s="457"/>
      <c r="APQ78" s="460"/>
      <c r="APR78" s="450"/>
      <c r="APS78" s="461"/>
      <c r="APT78" s="448"/>
      <c r="APU78" s="456"/>
      <c r="APV78" s="449"/>
      <c r="APW78" s="450"/>
      <c r="APX78" s="452"/>
      <c r="APY78" s="448"/>
      <c r="APZ78" s="456"/>
      <c r="AQA78" s="458"/>
      <c r="AQB78" s="458"/>
      <c r="AQD78" s="454"/>
      <c r="AQE78" s="450"/>
      <c r="AQF78" s="454"/>
      <c r="AQG78" s="448"/>
      <c r="AQH78" s="449"/>
      <c r="AQI78" s="450"/>
      <c r="AQJ78" s="447"/>
      <c r="AQK78" s="448"/>
      <c r="AQL78" s="449"/>
      <c r="AQM78" s="450"/>
      <c r="AQN78" s="447"/>
      <c r="AQO78" s="451"/>
      <c r="AQP78" s="449"/>
      <c r="AQQ78" s="450"/>
      <c r="AQR78" s="447"/>
      <c r="AQS78" s="451"/>
      <c r="AQT78" s="449"/>
      <c r="AQU78" s="450"/>
      <c r="AQV78" s="447"/>
      <c r="AQW78" s="451"/>
      <c r="AQX78" s="449"/>
      <c r="AQY78" s="450"/>
      <c r="AQZ78" s="452"/>
      <c r="ARA78" s="451"/>
      <c r="ARB78" s="449"/>
      <c r="ARC78" s="450"/>
      <c r="ARD78" s="447"/>
      <c r="ARE78" s="448"/>
      <c r="ARF78" s="453"/>
      <c r="ARG78" s="449"/>
      <c r="ARH78" s="450"/>
      <c r="ARI78" s="454"/>
      <c r="ARJ78" s="448"/>
      <c r="ARL78" s="449"/>
      <c r="ARM78" s="450"/>
      <c r="ARN78" s="452"/>
      <c r="ARO78" s="448"/>
      <c r="ARQ78" s="449"/>
      <c r="ARR78" s="450"/>
      <c r="ARS78" s="447"/>
      <c r="ART78" s="448"/>
      <c r="ARV78" s="449"/>
      <c r="ARW78" s="450"/>
      <c r="ARX78" s="452"/>
      <c r="ARY78" s="448"/>
      <c r="ARZ78" s="449"/>
      <c r="ASA78" s="450"/>
      <c r="ASB78" s="452"/>
      <c r="ASC78" s="448"/>
      <c r="ASD78" s="455"/>
      <c r="ASE78" s="449"/>
      <c r="ASF78" s="450"/>
      <c r="ASG78" s="459"/>
      <c r="ASH78" s="448"/>
      <c r="ASI78" s="456"/>
      <c r="ASJ78" s="449"/>
      <c r="ASK78" s="450"/>
      <c r="ASL78" s="452"/>
      <c r="ASM78" s="448"/>
      <c r="ASN78" s="449"/>
      <c r="ASO78" s="450"/>
      <c r="ASP78" s="452"/>
      <c r="ASQ78" s="448"/>
      <c r="ASR78" s="449"/>
      <c r="ASS78" s="450"/>
      <c r="AST78" s="447"/>
      <c r="ASU78" s="448"/>
      <c r="ASV78" s="457"/>
      <c r="ASW78" s="460"/>
      <c r="ASX78" s="450"/>
      <c r="ASY78" s="461"/>
      <c r="ASZ78" s="448"/>
      <c r="ATA78" s="456"/>
      <c r="ATB78" s="449"/>
      <c r="ATC78" s="450"/>
      <c r="ATD78" s="452"/>
      <c r="ATE78" s="448"/>
      <c r="ATF78" s="456"/>
      <c r="ATG78" s="458"/>
      <c r="ATH78" s="458"/>
      <c r="ATJ78" s="454"/>
      <c r="ATK78" s="450"/>
      <c r="ATL78" s="454"/>
      <c r="ATM78" s="448"/>
      <c r="ATN78" s="449"/>
      <c r="ATO78" s="450"/>
      <c r="ATP78" s="447"/>
      <c r="ATQ78" s="448"/>
      <c r="ATR78" s="449"/>
      <c r="ATS78" s="450"/>
      <c r="ATT78" s="447"/>
      <c r="ATU78" s="451"/>
      <c r="ATV78" s="449"/>
      <c r="ATW78" s="450"/>
      <c r="ATX78" s="447"/>
      <c r="ATY78" s="451"/>
      <c r="ATZ78" s="449"/>
      <c r="AUA78" s="450"/>
      <c r="AUB78" s="447"/>
      <c r="AUC78" s="451"/>
      <c r="AUD78" s="449"/>
      <c r="AUE78" s="450"/>
      <c r="AUF78" s="452"/>
      <c r="AUG78" s="451"/>
      <c r="AUH78" s="449"/>
      <c r="AUI78" s="450"/>
      <c r="AUJ78" s="447"/>
      <c r="AUK78" s="448"/>
      <c r="AUL78" s="453"/>
      <c r="AUM78" s="449"/>
      <c r="AUN78" s="450"/>
      <c r="AUO78" s="454"/>
      <c r="AUP78" s="448"/>
      <c r="AUR78" s="449"/>
      <c r="AUS78" s="450"/>
      <c r="AUT78" s="452"/>
      <c r="AUU78" s="448"/>
      <c r="AUW78" s="449"/>
      <c r="AUX78" s="450"/>
      <c r="AUY78" s="447"/>
      <c r="AUZ78" s="448"/>
      <c r="AVB78" s="449"/>
      <c r="AVC78" s="450"/>
      <c r="AVD78" s="452"/>
      <c r="AVE78" s="448"/>
      <c r="AVF78" s="449"/>
      <c r="AVG78" s="450"/>
      <c r="AVH78" s="452"/>
      <c r="AVI78" s="448"/>
      <c r="AVJ78" s="455"/>
      <c r="AVK78" s="449"/>
      <c r="AVL78" s="450"/>
      <c r="AVM78" s="459"/>
      <c r="AVN78" s="448"/>
      <c r="AVO78" s="456"/>
      <c r="AVP78" s="449"/>
      <c r="AVQ78" s="450"/>
      <c r="AVR78" s="452"/>
      <c r="AVS78" s="448"/>
      <c r="AVT78" s="449"/>
      <c r="AVU78" s="450"/>
      <c r="AVV78" s="452"/>
      <c r="AVW78" s="448"/>
      <c r="AVX78" s="449"/>
      <c r="AVY78" s="450"/>
      <c r="AVZ78" s="447"/>
      <c r="AWA78" s="448"/>
      <c r="AWB78" s="457"/>
      <c r="AWC78" s="460"/>
      <c r="AWD78" s="450"/>
      <c r="AWE78" s="461"/>
      <c r="AWF78" s="448"/>
      <c r="AWG78" s="456"/>
      <c r="AWH78" s="449"/>
      <c r="AWI78" s="450"/>
      <c r="AWJ78" s="452"/>
      <c r="AWK78" s="448"/>
      <c r="AWL78" s="456"/>
      <c r="AWM78" s="458"/>
      <c r="AWN78" s="458"/>
      <c r="AWP78" s="454"/>
      <c r="AWQ78" s="450"/>
      <c r="AWR78" s="454"/>
      <c r="AWS78" s="448"/>
      <c r="AWT78" s="449"/>
      <c r="AWU78" s="450"/>
      <c r="AWV78" s="447"/>
      <c r="AWW78" s="448"/>
      <c r="AWX78" s="449"/>
      <c r="AWY78" s="450"/>
      <c r="AWZ78" s="447"/>
      <c r="AXA78" s="451"/>
      <c r="AXB78" s="449"/>
      <c r="AXC78" s="450"/>
      <c r="AXD78" s="447"/>
      <c r="AXE78" s="451"/>
      <c r="AXF78" s="449"/>
      <c r="AXG78" s="450"/>
      <c r="AXH78" s="447"/>
      <c r="AXI78" s="451"/>
      <c r="AXJ78" s="449"/>
      <c r="AXK78" s="450"/>
      <c r="AXL78" s="452"/>
      <c r="AXM78" s="451"/>
      <c r="AXN78" s="449"/>
      <c r="AXO78" s="450"/>
      <c r="AXP78" s="447"/>
      <c r="AXQ78" s="448"/>
      <c r="AXR78" s="453"/>
      <c r="AXS78" s="449"/>
      <c r="AXT78" s="450"/>
      <c r="AXU78" s="454"/>
      <c r="AXV78" s="448"/>
      <c r="AXX78" s="449"/>
      <c r="AXY78" s="450"/>
      <c r="AXZ78" s="452"/>
      <c r="AYA78" s="448"/>
      <c r="AYC78" s="449"/>
      <c r="AYD78" s="450"/>
      <c r="AYE78" s="447"/>
      <c r="AYF78" s="448"/>
      <c r="AYH78" s="449"/>
      <c r="AYI78" s="450"/>
      <c r="AYJ78" s="452"/>
      <c r="AYK78" s="448"/>
      <c r="AYL78" s="449"/>
      <c r="AYM78" s="450"/>
      <c r="AYN78" s="452"/>
      <c r="AYO78" s="448"/>
      <c r="AYP78" s="455"/>
      <c r="AYQ78" s="449"/>
      <c r="AYR78" s="450"/>
      <c r="AYS78" s="459"/>
      <c r="AYT78" s="448"/>
      <c r="AYU78" s="456"/>
      <c r="AYV78" s="449"/>
      <c r="AYW78" s="450"/>
      <c r="AYX78" s="452"/>
      <c r="AYY78" s="448"/>
      <c r="AYZ78" s="449"/>
      <c r="AZA78" s="450"/>
      <c r="AZB78" s="452"/>
      <c r="AZC78" s="448"/>
      <c r="AZD78" s="449"/>
      <c r="AZE78" s="450"/>
      <c r="AZF78" s="447"/>
      <c r="AZG78" s="448"/>
      <c r="AZH78" s="457"/>
      <c r="AZI78" s="460"/>
      <c r="AZJ78" s="450"/>
      <c r="AZK78" s="461"/>
      <c r="AZL78" s="448"/>
      <c r="AZM78" s="456"/>
      <c r="AZN78" s="449"/>
      <c r="AZO78" s="450"/>
      <c r="AZP78" s="452"/>
      <c r="AZQ78" s="448"/>
      <c r="AZR78" s="456"/>
      <c r="AZS78" s="458"/>
      <c r="AZT78" s="458"/>
      <c r="AZV78" s="454"/>
      <c r="AZW78" s="450"/>
      <c r="AZX78" s="454"/>
      <c r="AZY78" s="448"/>
      <c r="AZZ78" s="449"/>
      <c r="BAA78" s="450"/>
      <c r="BAB78" s="447"/>
      <c r="BAC78" s="448"/>
      <c r="BAD78" s="449"/>
      <c r="BAE78" s="450"/>
      <c r="BAF78" s="447"/>
      <c r="BAG78" s="451"/>
      <c r="BAH78" s="449"/>
      <c r="BAI78" s="450"/>
      <c r="BAJ78" s="447"/>
      <c r="BAK78" s="451"/>
      <c r="BAL78" s="449"/>
      <c r="BAM78" s="450"/>
      <c r="BAN78" s="447"/>
      <c r="BAO78" s="451"/>
      <c r="BAP78" s="449"/>
      <c r="BAQ78" s="450"/>
      <c r="BAR78" s="452"/>
      <c r="BAS78" s="451"/>
      <c r="BAT78" s="449"/>
      <c r="BAU78" s="450"/>
      <c r="BAV78" s="447"/>
      <c r="BAW78" s="448"/>
      <c r="BAX78" s="453"/>
      <c r="BAY78" s="449"/>
      <c r="BAZ78" s="450"/>
      <c r="BBA78" s="454"/>
      <c r="BBB78" s="448"/>
      <c r="BBD78" s="449"/>
      <c r="BBE78" s="450"/>
      <c r="BBF78" s="452"/>
      <c r="BBG78" s="448"/>
      <c r="BBI78" s="449"/>
      <c r="BBJ78" s="450"/>
      <c r="BBK78" s="447"/>
      <c r="BBL78" s="448"/>
      <c r="BBN78" s="449"/>
      <c r="BBO78" s="450"/>
      <c r="BBP78" s="452"/>
      <c r="BBQ78" s="448"/>
      <c r="BBR78" s="449"/>
      <c r="BBS78" s="450"/>
      <c r="BBT78" s="452"/>
      <c r="BBU78" s="448"/>
      <c r="BBV78" s="455"/>
      <c r="BBW78" s="449"/>
      <c r="BBX78" s="450"/>
      <c r="BBY78" s="459"/>
      <c r="BBZ78" s="448"/>
      <c r="BCA78" s="456"/>
      <c r="BCB78" s="449"/>
      <c r="BCC78" s="450"/>
      <c r="BCD78" s="452"/>
      <c r="BCE78" s="448"/>
      <c r="BCF78" s="449"/>
      <c r="BCG78" s="450"/>
      <c r="BCH78" s="452"/>
      <c r="BCI78" s="448"/>
      <c r="BCJ78" s="449"/>
      <c r="BCK78" s="450"/>
      <c r="BCL78" s="447"/>
      <c r="BCM78" s="448"/>
      <c r="BCN78" s="457"/>
      <c r="BCO78" s="460"/>
      <c r="BCP78" s="450"/>
      <c r="BCQ78" s="461"/>
      <c r="BCR78" s="448"/>
      <c r="BCS78" s="456"/>
      <c r="BCT78" s="449"/>
      <c r="BCU78" s="450"/>
      <c r="BCV78" s="452"/>
      <c r="BCW78" s="448"/>
      <c r="BCX78" s="456"/>
      <c r="BCY78" s="458"/>
      <c r="BCZ78" s="458"/>
      <c r="BDB78" s="454"/>
      <c r="BDC78" s="450"/>
      <c r="BDD78" s="454"/>
      <c r="BDE78" s="448"/>
      <c r="BDF78" s="449"/>
      <c r="BDG78" s="450"/>
      <c r="BDH78" s="447"/>
      <c r="BDI78" s="448"/>
      <c r="BDJ78" s="449"/>
      <c r="BDK78" s="450"/>
      <c r="BDL78" s="447"/>
      <c r="BDM78" s="451"/>
      <c r="BDN78" s="449"/>
      <c r="BDO78" s="450"/>
      <c r="BDP78" s="447"/>
      <c r="BDQ78" s="451"/>
      <c r="BDR78" s="449"/>
      <c r="BDS78" s="450"/>
      <c r="BDT78" s="447"/>
      <c r="BDU78" s="451"/>
      <c r="BDV78" s="449"/>
      <c r="BDW78" s="450"/>
      <c r="BDX78" s="452"/>
      <c r="BDY78" s="451"/>
      <c r="BDZ78" s="449"/>
      <c r="BEA78" s="450"/>
      <c r="BEB78" s="447"/>
      <c r="BEC78" s="448"/>
      <c r="BED78" s="453"/>
      <c r="BEE78" s="449"/>
      <c r="BEF78" s="450"/>
      <c r="BEG78" s="454"/>
      <c r="BEH78" s="448"/>
      <c r="BEJ78" s="449"/>
      <c r="BEK78" s="450"/>
      <c r="BEL78" s="452"/>
      <c r="BEM78" s="448"/>
      <c r="BEO78" s="449"/>
      <c r="BEP78" s="450"/>
      <c r="BEQ78" s="447"/>
      <c r="BER78" s="448"/>
      <c r="BET78" s="449"/>
      <c r="BEU78" s="450"/>
      <c r="BEV78" s="452"/>
      <c r="BEW78" s="448"/>
      <c r="BEX78" s="449"/>
      <c r="BEY78" s="450"/>
      <c r="BEZ78" s="452"/>
      <c r="BFA78" s="448"/>
      <c r="BFB78" s="455"/>
      <c r="BFC78" s="449"/>
      <c r="BFD78" s="450"/>
      <c r="BFE78" s="459"/>
      <c r="BFF78" s="448"/>
      <c r="BFG78" s="456"/>
      <c r="BFH78" s="449"/>
      <c r="BFI78" s="450"/>
      <c r="BFJ78" s="452"/>
      <c r="BFK78" s="448"/>
      <c r="BFL78" s="449"/>
      <c r="BFM78" s="450"/>
      <c r="BFN78" s="452"/>
      <c r="BFO78" s="448"/>
      <c r="BFP78" s="449"/>
      <c r="BFQ78" s="450"/>
      <c r="BFR78" s="447"/>
      <c r="BFS78" s="448"/>
      <c r="BFT78" s="457"/>
      <c r="BFU78" s="460"/>
      <c r="BFV78" s="450"/>
      <c r="BFW78" s="461"/>
      <c r="BFX78" s="448"/>
      <c r="BFY78" s="456"/>
      <c r="BFZ78" s="449"/>
      <c r="BGA78" s="450"/>
      <c r="BGB78" s="452"/>
      <c r="BGC78" s="448"/>
      <c r="BGD78" s="456"/>
      <c r="BGE78" s="458"/>
      <c r="BGF78" s="458"/>
      <c r="BGH78" s="454"/>
      <c r="BGI78" s="450"/>
      <c r="BGJ78" s="454"/>
      <c r="BGK78" s="448"/>
      <c r="BGL78" s="449"/>
      <c r="BGM78" s="450"/>
      <c r="BGN78" s="447"/>
      <c r="BGO78" s="448"/>
      <c r="BGP78" s="449"/>
      <c r="BGQ78" s="450"/>
      <c r="BGR78" s="447"/>
      <c r="BGS78" s="451"/>
      <c r="BGT78" s="449"/>
      <c r="BGU78" s="450"/>
      <c r="BGV78" s="447"/>
      <c r="BGW78" s="451"/>
      <c r="BGX78" s="449"/>
      <c r="BGY78" s="450"/>
      <c r="BGZ78" s="447"/>
      <c r="BHA78" s="451"/>
      <c r="BHB78" s="449"/>
      <c r="BHC78" s="450"/>
      <c r="BHD78" s="452"/>
      <c r="BHE78" s="451"/>
      <c r="BHF78" s="449"/>
      <c r="BHG78" s="450"/>
      <c r="BHH78" s="447"/>
      <c r="BHI78" s="448"/>
      <c r="BHJ78" s="453"/>
      <c r="BHK78" s="449"/>
      <c r="BHL78" s="450"/>
      <c r="BHM78" s="454"/>
      <c r="BHN78" s="448"/>
      <c r="BHP78" s="449"/>
      <c r="BHQ78" s="450"/>
      <c r="BHR78" s="452"/>
      <c r="BHS78" s="448"/>
      <c r="BHU78" s="449"/>
      <c r="BHV78" s="450"/>
      <c r="BHW78" s="447"/>
      <c r="BHX78" s="448"/>
      <c r="BHZ78" s="449"/>
      <c r="BIA78" s="450"/>
      <c r="BIB78" s="452"/>
      <c r="BIC78" s="448"/>
      <c r="BID78" s="449"/>
      <c r="BIE78" s="450"/>
      <c r="BIF78" s="452"/>
      <c r="BIG78" s="448"/>
      <c r="BIH78" s="455"/>
      <c r="BII78" s="449"/>
      <c r="BIJ78" s="450"/>
      <c r="BIK78" s="459"/>
      <c r="BIL78" s="448"/>
      <c r="BIM78" s="456"/>
      <c r="BIN78" s="449"/>
      <c r="BIO78" s="450"/>
      <c r="BIP78" s="452"/>
      <c r="BIQ78" s="448"/>
      <c r="BIR78" s="449"/>
      <c r="BIS78" s="450"/>
      <c r="BIT78" s="452"/>
      <c r="BIU78" s="448"/>
      <c r="BIV78" s="449"/>
      <c r="BIW78" s="450"/>
      <c r="BIX78" s="447"/>
      <c r="BIY78" s="448"/>
      <c r="BIZ78" s="457"/>
      <c r="BJA78" s="460"/>
      <c r="BJB78" s="450"/>
      <c r="BJC78" s="461"/>
      <c r="BJD78" s="448"/>
      <c r="BJE78" s="456"/>
      <c r="BJF78" s="449"/>
      <c r="BJG78" s="450"/>
      <c r="BJH78" s="452"/>
      <c r="BJI78" s="448"/>
      <c r="BJJ78" s="456"/>
      <c r="BJK78" s="458"/>
      <c r="BJL78" s="458"/>
      <c r="BJN78" s="454"/>
      <c r="BJO78" s="450"/>
      <c r="BJP78" s="454"/>
      <c r="BJQ78" s="448"/>
      <c r="BJR78" s="449"/>
      <c r="BJS78" s="450"/>
      <c r="BJT78" s="447"/>
      <c r="BJU78" s="448"/>
      <c r="BJV78" s="449"/>
      <c r="BJW78" s="450"/>
      <c r="BJX78" s="447"/>
      <c r="BJY78" s="451"/>
      <c r="BJZ78" s="449"/>
      <c r="BKA78" s="450"/>
      <c r="BKB78" s="447"/>
      <c r="BKC78" s="451"/>
      <c r="BKD78" s="449"/>
      <c r="BKE78" s="450"/>
      <c r="BKF78" s="447"/>
      <c r="BKG78" s="451"/>
      <c r="BKH78" s="449"/>
      <c r="BKI78" s="450"/>
      <c r="BKJ78" s="452"/>
      <c r="BKK78" s="451"/>
      <c r="BKL78" s="449"/>
      <c r="BKM78" s="450"/>
      <c r="BKN78" s="447"/>
      <c r="BKO78" s="448"/>
      <c r="BKP78" s="453"/>
      <c r="BKQ78" s="449"/>
      <c r="BKR78" s="450"/>
      <c r="BKS78" s="454"/>
      <c r="BKT78" s="448"/>
      <c r="BKV78" s="449"/>
      <c r="BKW78" s="450"/>
      <c r="BKX78" s="452"/>
      <c r="BKY78" s="448"/>
      <c r="BLA78" s="449"/>
      <c r="BLB78" s="450"/>
      <c r="BLC78" s="447"/>
      <c r="BLD78" s="448"/>
      <c r="BLF78" s="449"/>
      <c r="BLG78" s="450"/>
      <c r="BLH78" s="452"/>
      <c r="BLI78" s="448"/>
      <c r="BLJ78" s="449"/>
      <c r="BLK78" s="450"/>
      <c r="BLL78" s="452"/>
      <c r="BLM78" s="448"/>
      <c r="BLN78" s="455"/>
      <c r="BLO78" s="449"/>
      <c r="BLP78" s="450"/>
      <c r="BLQ78" s="459"/>
      <c r="BLR78" s="448"/>
      <c r="BLS78" s="456"/>
      <c r="BLT78" s="449"/>
      <c r="BLU78" s="450"/>
      <c r="BLV78" s="452"/>
      <c r="BLW78" s="448"/>
      <c r="BLX78" s="449"/>
      <c r="BLY78" s="450"/>
      <c r="BLZ78" s="452"/>
      <c r="BMA78" s="448"/>
      <c r="BMB78" s="449"/>
      <c r="BMC78" s="450"/>
      <c r="BMD78" s="447"/>
      <c r="BME78" s="448"/>
      <c r="BMF78" s="457"/>
      <c r="BMG78" s="460"/>
      <c r="BMH78" s="450"/>
      <c r="BMI78" s="461"/>
      <c r="BMJ78" s="448"/>
      <c r="BMK78" s="456"/>
      <c r="BML78" s="449"/>
      <c r="BMM78" s="450"/>
      <c r="BMN78" s="452"/>
      <c r="BMO78" s="448"/>
      <c r="BMP78" s="456"/>
      <c r="BMQ78" s="458"/>
      <c r="BMR78" s="458"/>
      <c r="BMT78" s="454"/>
      <c r="BMU78" s="450"/>
      <c r="BMV78" s="454"/>
      <c r="BMW78" s="448"/>
      <c r="BMX78" s="449"/>
      <c r="BMY78" s="450"/>
      <c r="BMZ78" s="447"/>
      <c r="BNA78" s="448"/>
      <c r="BNB78" s="449"/>
      <c r="BNC78" s="450"/>
      <c r="BND78" s="447"/>
      <c r="BNE78" s="451"/>
      <c r="BNF78" s="449"/>
      <c r="BNG78" s="450"/>
      <c r="BNH78" s="447"/>
      <c r="BNI78" s="451"/>
      <c r="BNJ78" s="449"/>
      <c r="BNK78" s="450"/>
      <c r="BNL78" s="447"/>
      <c r="BNM78" s="451"/>
      <c r="BNN78" s="449"/>
      <c r="BNO78" s="450"/>
      <c r="BNP78" s="452"/>
      <c r="BNQ78" s="451"/>
      <c r="BNR78" s="449"/>
      <c r="BNS78" s="450"/>
      <c r="BNT78" s="447"/>
      <c r="BNU78" s="448"/>
      <c r="BNV78" s="453"/>
      <c r="BNW78" s="449"/>
      <c r="BNX78" s="450"/>
      <c r="BNY78" s="454"/>
      <c r="BNZ78" s="448"/>
      <c r="BOB78" s="449"/>
      <c r="BOC78" s="450"/>
      <c r="BOD78" s="452"/>
      <c r="BOE78" s="448"/>
      <c r="BOG78" s="449"/>
      <c r="BOH78" s="450"/>
      <c r="BOI78" s="447"/>
      <c r="BOJ78" s="448"/>
      <c r="BOL78" s="449"/>
      <c r="BOM78" s="450"/>
      <c r="BON78" s="452"/>
      <c r="BOO78" s="448"/>
      <c r="BOP78" s="449"/>
      <c r="BOQ78" s="450"/>
      <c r="BOR78" s="452"/>
      <c r="BOS78" s="448"/>
      <c r="BOT78" s="455"/>
      <c r="BOU78" s="449"/>
      <c r="BOV78" s="450"/>
      <c r="BOW78" s="459"/>
      <c r="BOX78" s="448"/>
      <c r="BOY78" s="456"/>
      <c r="BOZ78" s="449"/>
      <c r="BPA78" s="450"/>
      <c r="BPB78" s="452"/>
      <c r="BPC78" s="448"/>
      <c r="BPD78" s="449"/>
      <c r="BPE78" s="450"/>
      <c r="BPF78" s="452"/>
      <c r="BPG78" s="448"/>
      <c r="BPH78" s="449"/>
      <c r="BPI78" s="450"/>
      <c r="BPJ78" s="447"/>
      <c r="BPK78" s="448"/>
      <c r="BPL78" s="457"/>
      <c r="BPM78" s="460"/>
      <c r="BPN78" s="450"/>
      <c r="BPO78" s="461"/>
      <c r="BPP78" s="448"/>
      <c r="BPQ78" s="456"/>
      <c r="BPR78" s="449"/>
      <c r="BPS78" s="450"/>
      <c r="BPT78" s="452"/>
      <c r="BPU78" s="448"/>
      <c r="BPV78" s="456"/>
      <c r="BPW78" s="458"/>
      <c r="BPX78" s="458"/>
      <c r="BPZ78" s="454"/>
      <c r="BQA78" s="450"/>
      <c r="BQB78" s="454"/>
      <c r="BQC78" s="448"/>
      <c r="BQD78" s="449"/>
      <c r="BQE78" s="450"/>
      <c r="BQF78" s="447"/>
      <c r="BQG78" s="448"/>
      <c r="BQH78" s="449"/>
      <c r="BQI78" s="450"/>
      <c r="BQJ78" s="447"/>
      <c r="BQK78" s="451"/>
      <c r="BQL78" s="449"/>
      <c r="BQM78" s="450"/>
      <c r="BQN78" s="447"/>
      <c r="BQO78" s="451"/>
      <c r="BQP78" s="449"/>
      <c r="BQQ78" s="450"/>
      <c r="BQR78" s="447"/>
      <c r="BQS78" s="451"/>
      <c r="BQT78" s="449"/>
      <c r="BQU78" s="450"/>
      <c r="BQV78" s="452"/>
      <c r="BQW78" s="451"/>
      <c r="BQX78" s="449"/>
      <c r="BQY78" s="450"/>
      <c r="BQZ78" s="447"/>
      <c r="BRA78" s="448"/>
      <c r="BRB78" s="453"/>
      <c r="BRC78" s="449"/>
      <c r="BRD78" s="450"/>
      <c r="BRE78" s="454"/>
      <c r="BRF78" s="448"/>
      <c r="BRH78" s="449"/>
      <c r="BRI78" s="450"/>
      <c r="BRJ78" s="452"/>
      <c r="BRK78" s="448"/>
      <c r="BRM78" s="449"/>
      <c r="BRN78" s="450"/>
      <c r="BRO78" s="447"/>
      <c r="BRP78" s="448"/>
      <c r="BRR78" s="449"/>
      <c r="BRS78" s="450"/>
      <c r="BRT78" s="452"/>
      <c r="BRU78" s="448"/>
      <c r="BRV78" s="449"/>
      <c r="BRW78" s="450"/>
      <c r="BRX78" s="452"/>
      <c r="BRY78" s="448"/>
      <c r="BRZ78" s="455"/>
      <c r="BSA78" s="449"/>
      <c r="BSB78" s="450"/>
      <c r="BSC78" s="459"/>
      <c r="BSD78" s="448"/>
      <c r="BSE78" s="456"/>
      <c r="BSF78" s="449"/>
      <c r="BSG78" s="450"/>
      <c r="BSH78" s="452"/>
      <c r="BSI78" s="448"/>
      <c r="BSJ78" s="449"/>
      <c r="BSK78" s="450"/>
      <c r="BSL78" s="452"/>
      <c r="BSM78" s="448"/>
      <c r="BSN78" s="449"/>
      <c r="BSO78" s="450"/>
      <c r="BSP78" s="447"/>
      <c r="BSQ78" s="448"/>
      <c r="BSR78" s="457"/>
      <c r="BSS78" s="460"/>
      <c r="BST78" s="450"/>
      <c r="BSU78" s="461"/>
      <c r="BSV78" s="448"/>
      <c r="BSW78" s="456"/>
      <c r="BSX78" s="449"/>
      <c r="BSY78" s="450"/>
      <c r="BSZ78" s="452"/>
      <c r="BTA78" s="448"/>
      <c r="BTB78" s="456"/>
      <c r="BTC78" s="458"/>
      <c r="BTD78" s="458"/>
      <c r="BTF78" s="454"/>
      <c r="BTG78" s="450"/>
      <c r="BTH78" s="454"/>
      <c r="BTI78" s="448"/>
      <c r="BTJ78" s="449"/>
      <c r="BTK78" s="450"/>
      <c r="BTL78" s="447"/>
      <c r="BTM78" s="448"/>
      <c r="BTN78" s="449"/>
      <c r="BTO78" s="450"/>
      <c r="BTP78" s="447"/>
      <c r="BTQ78" s="451"/>
      <c r="BTR78" s="449"/>
      <c r="BTS78" s="450"/>
      <c r="BTT78" s="447"/>
      <c r="BTU78" s="451"/>
      <c r="BTV78" s="449"/>
      <c r="BTW78" s="450"/>
      <c r="BTX78" s="447"/>
      <c r="BTY78" s="451"/>
      <c r="BTZ78" s="449"/>
      <c r="BUA78" s="450"/>
      <c r="BUB78" s="452"/>
      <c r="BUC78" s="451"/>
      <c r="BUD78" s="449"/>
      <c r="BUE78" s="450"/>
      <c r="BUF78" s="447"/>
      <c r="BUG78" s="448"/>
      <c r="BUH78" s="453"/>
      <c r="BUI78" s="449"/>
      <c r="BUJ78" s="450"/>
      <c r="BUK78" s="454"/>
      <c r="BUL78" s="448"/>
      <c r="BUN78" s="449"/>
      <c r="BUO78" s="450"/>
      <c r="BUP78" s="452"/>
      <c r="BUQ78" s="448"/>
      <c r="BUS78" s="449"/>
      <c r="BUT78" s="450"/>
      <c r="BUU78" s="447"/>
      <c r="BUV78" s="448"/>
      <c r="BUX78" s="449"/>
      <c r="BUY78" s="450"/>
      <c r="BUZ78" s="452"/>
      <c r="BVA78" s="448"/>
      <c r="BVB78" s="449"/>
      <c r="BVC78" s="450"/>
      <c r="BVD78" s="452"/>
      <c r="BVE78" s="448"/>
      <c r="BVF78" s="455"/>
      <c r="BVG78" s="449"/>
      <c r="BVH78" s="450"/>
      <c r="BVI78" s="459"/>
      <c r="BVJ78" s="448"/>
      <c r="BVK78" s="456"/>
      <c r="BVL78" s="449"/>
      <c r="BVM78" s="450"/>
      <c r="BVN78" s="452"/>
      <c r="BVO78" s="448"/>
      <c r="BVP78" s="449"/>
      <c r="BVQ78" s="450"/>
      <c r="BVR78" s="452"/>
      <c r="BVS78" s="448"/>
      <c r="BVT78" s="449"/>
      <c r="BVU78" s="450"/>
      <c r="BVV78" s="447"/>
      <c r="BVW78" s="448"/>
      <c r="BVX78" s="457"/>
      <c r="BVY78" s="460"/>
      <c r="BVZ78" s="450"/>
      <c r="BWA78" s="461"/>
      <c r="BWB78" s="448"/>
      <c r="BWC78" s="456"/>
      <c r="BWD78" s="449"/>
      <c r="BWE78" s="450"/>
      <c r="BWF78" s="452"/>
      <c r="BWG78" s="448"/>
      <c r="BWH78" s="456"/>
      <c r="BWI78" s="458"/>
      <c r="BWJ78" s="458"/>
      <c r="BWL78" s="454"/>
      <c r="BWM78" s="450"/>
      <c r="BWN78" s="454"/>
      <c r="BWO78" s="448"/>
      <c r="BWP78" s="449"/>
      <c r="BWQ78" s="450"/>
      <c r="BWR78" s="447"/>
      <c r="BWS78" s="448"/>
      <c r="BWT78" s="449"/>
      <c r="BWU78" s="450"/>
      <c r="BWV78" s="447"/>
      <c r="BWW78" s="451"/>
      <c r="BWX78" s="449"/>
      <c r="BWY78" s="450"/>
      <c r="BWZ78" s="447"/>
      <c r="BXA78" s="451"/>
      <c r="BXB78" s="449"/>
      <c r="BXC78" s="450"/>
      <c r="BXD78" s="447"/>
      <c r="BXE78" s="451"/>
      <c r="BXF78" s="449"/>
      <c r="BXG78" s="450"/>
      <c r="BXH78" s="452"/>
      <c r="BXI78" s="451"/>
      <c r="BXJ78" s="449"/>
      <c r="BXK78" s="450"/>
      <c r="BXL78" s="447"/>
      <c r="BXM78" s="448"/>
      <c r="BXN78" s="453"/>
      <c r="BXO78" s="449"/>
      <c r="BXP78" s="450"/>
      <c r="BXQ78" s="454"/>
      <c r="BXR78" s="448"/>
      <c r="BXT78" s="449"/>
      <c r="BXU78" s="450"/>
      <c r="BXV78" s="452"/>
      <c r="BXW78" s="448"/>
      <c r="BXY78" s="449"/>
      <c r="BXZ78" s="450"/>
      <c r="BYA78" s="447"/>
      <c r="BYB78" s="448"/>
      <c r="BYD78" s="449"/>
      <c r="BYE78" s="450"/>
      <c r="BYF78" s="452"/>
      <c r="BYG78" s="448"/>
      <c r="BYH78" s="449"/>
      <c r="BYI78" s="450"/>
      <c r="BYJ78" s="452"/>
      <c r="BYK78" s="448"/>
      <c r="BYL78" s="455"/>
      <c r="BYM78" s="449"/>
      <c r="BYN78" s="450"/>
      <c r="BYO78" s="459"/>
      <c r="BYP78" s="448"/>
      <c r="BYQ78" s="456"/>
      <c r="BYR78" s="449"/>
      <c r="BYS78" s="450"/>
      <c r="BYT78" s="452"/>
      <c r="BYU78" s="448"/>
      <c r="BYV78" s="449"/>
      <c r="BYW78" s="450"/>
      <c r="BYX78" s="452"/>
      <c r="BYY78" s="448"/>
      <c r="BYZ78" s="449"/>
      <c r="BZA78" s="450"/>
      <c r="BZB78" s="447"/>
      <c r="BZC78" s="448"/>
      <c r="BZD78" s="457"/>
      <c r="BZE78" s="460"/>
      <c r="BZF78" s="450"/>
      <c r="BZG78" s="461"/>
      <c r="BZH78" s="448"/>
      <c r="BZI78" s="456"/>
      <c r="BZJ78" s="449"/>
      <c r="BZK78" s="450"/>
      <c r="BZL78" s="452"/>
      <c r="BZM78" s="448"/>
      <c r="BZN78" s="456"/>
      <c r="BZO78" s="458"/>
      <c r="BZP78" s="458"/>
      <c r="BZR78" s="454"/>
      <c r="BZS78" s="450"/>
      <c r="BZT78" s="454"/>
      <c r="BZU78" s="448"/>
      <c r="BZV78" s="449"/>
      <c r="BZW78" s="450"/>
      <c r="BZX78" s="447"/>
      <c r="BZY78" s="448"/>
      <c r="BZZ78" s="449"/>
      <c r="CAA78" s="450"/>
      <c r="CAB78" s="447"/>
      <c r="CAC78" s="451"/>
      <c r="CAD78" s="449"/>
      <c r="CAE78" s="450"/>
      <c r="CAF78" s="447"/>
      <c r="CAG78" s="451"/>
      <c r="CAH78" s="449"/>
      <c r="CAI78" s="450"/>
      <c r="CAJ78" s="447"/>
      <c r="CAK78" s="451"/>
      <c r="CAL78" s="449"/>
      <c r="CAM78" s="450"/>
      <c r="CAN78" s="452"/>
      <c r="CAO78" s="451"/>
      <c r="CAP78" s="449"/>
      <c r="CAQ78" s="450"/>
      <c r="CAR78" s="447"/>
      <c r="CAS78" s="448"/>
      <c r="CAT78" s="453"/>
      <c r="CAU78" s="449"/>
      <c r="CAV78" s="450"/>
      <c r="CAW78" s="454"/>
      <c r="CAX78" s="448"/>
      <c r="CAZ78" s="449"/>
      <c r="CBA78" s="450"/>
      <c r="CBB78" s="452"/>
      <c r="CBC78" s="448"/>
      <c r="CBE78" s="449"/>
      <c r="CBF78" s="450"/>
      <c r="CBG78" s="447"/>
      <c r="CBH78" s="448"/>
      <c r="CBJ78" s="449"/>
      <c r="CBK78" s="450"/>
      <c r="CBL78" s="452"/>
      <c r="CBM78" s="448"/>
      <c r="CBN78" s="449"/>
      <c r="CBO78" s="450"/>
      <c r="CBP78" s="452"/>
      <c r="CBQ78" s="448"/>
      <c r="CBR78" s="455"/>
      <c r="CBS78" s="449"/>
      <c r="CBT78" s="450"/>
      <c r="CBU78" s="459"/>
      <c r="CBV78" s="448"/>
      <c r="CBW78" s="456"/>
      <c r="CBX78" s="449"/>
      <c r="CBY78" s="450"/>
      <c r="CBZ78" s="452"/>
      <c r="CCA78" s="448"/>
      <c r="CCB78" s="449"/>
      <c r="CCC78" s="450"/>
      <c r="CCD78" s="452"/>
      <c r="CCE78" s="448"/>
      <c r="CCF78" s="449"/>
      <c r="CCG78" s="450"/>
      <c r="CCH78" s="447"/>
      <c r="CCI78" s="448"/>
      <c r="CCJ78" s="457"/>
      <c r="CCK78" s="460"/>
      <c r="CCL78" s="450"/>
      <c r="CCM78" s="461"/>
      <c r="CCN78" s="448"/>
      <c r="CCO78" s="456"/>
      <c r="CCP78" s="449"/>
      <c r="CCQ78" s="450"/>
      <c r="CCR78" s="452"/>
      <c r="CCS78" s="448"/>
      <c r="CCT78" s="456"/>
      <c r="CCU78" s="458"/>
      <c r="CCV78" s="458"/>
      <c r="CCX78" s="454"/>
      <c r="CCY78" s="450"/>
      <c r="CCZ78" s="454"/>
      <c r="CDA78" s="448"/>
      <c r="CDB78" s="449"/>
      <c r="CDC78" s="450"/>
      <c r="CDD78" s="447"/>
      <c r="CDE78" s="448"/>
      <c r="CDF78" s="449"/>
      <c r="CDG78" s="450"/>
      <c r="CDH78" s="447"/>
      <c r="CDI78" s="451"/>
      <c r="CDJ78" s="449"/>
      <c r="CDK78" s="450"/>
      <c r="CDL78" s="447"/>
      <c r="CDM78" s="451"/>
      <c r="CDN78" s="449"/>
      <c r="CDO78" s="450"/>
      <c r="CDP78" s="447"/>
      <c r="CDQ78" s="451"/>
      <c r="CDR78" s="449"/>
      <c r="CDS78" s="450"/>
      <c r="CDT78" s="452"/>
      <c r="CDU78" s="451"/>
      <c r="CDV78" s="449"/>
      <c r="CDW78" s="450"/>
      <c r="CDX78" s="447"/>
      <c r="CDY78" s="448"/>
      <c r="CDZ78" s="453"/>
      <c r="CEA78" s="449"/>
      <c r="CEB78" s="450"/>
      <c r="CEC78" s="454"/>
      <c r="CED78" s="448"/>
      <c r="CEF78" s="449"/>
      <c r="CEG78" s="450"/>
      <c r="CEH78" s="452"/>
      <c r="CEI78" s="448"/>
      <c r="CEK78" s="449"/>
      <c r="CEL78" s="450"/>
      <c r="CEM78" s="447"/>
      <c r="CEN78" s="448"/>
      <c r="CEP78" s="449"/>
      <c r="CEQ78" s="450"/>
      <c r="CER78" s="452"/>
      <c r="CES78" s="448"/>
      <c r="CET78" s="449"/>
      <c r="CEU78" s="450"/>
      <c r="CEV78" s="452"/>
      <c r="CEW78" s="448"/>
      <c r="CEX78" s="455"/>
      <c r="CEY78" s="449"/>
      <c r="CEZ78" s="450"/>
      <c r="CFA78" s="459"/>
      <c r="CFB78" s="448"/>
      <c r="CFC78" s="456"/>
      <c r="CFD78" s="449"/>
      <c r="CFE78" s="450"/>
      <c r="CFF78" s="452"/>
      <c r="CFG78" s="448"/>
      <c r="CFH78" s="449"/>
      <c r="CFI78" s="450"/>
      <c r="CFJ78" s="452"/>
      <c r="CFK78" s="448"/>
      <c r="CFL78" s="449"/>
      <c r="CFM78" s="450"/>
      <c r="CFN78" s="447"/>
      <c r="CFO78" s="448"/>
      <c r="CFP78" s="457"/>
      <c r="CFQ78" s="460"/>
      <c r="CFR78" s="450"/>
      <c r="CFS78" s="461"/>
      <c r="CFT78" s="448"/>
      <c r="CFU78" s="456"/>
      <c r="CFV78" s="449"/>
      <c r="CFW78" s="450"/>
      <c r="CFX78" s="452"/>
      <c r="CFY78" s="448"/>
      <c r="CFZ78" s="456"/>
      <c r="CGA78" s="458"/>
      <c r="CGB78" s="458"/>
      <c r="CGD78" s="454"/>
      <c r="CGE78" s="450"/>
      <c r="CGF78" s="454"/>
      <c r="CGG78" s="448"/>
      <c r="CGH78" s="449"/>
      <c r="CGI78" s="450"/>
      <c r="CGJ78" s="447"/>
      <c r="CGK78" s="448"/>
      <c r="CGL78" s="449"/>
      <c r="CGM78" s="450"/>
      <c r="CGN78" s="447"/>
      <c r="CGO78" s="451"/>
      <c r="CGP78" s="449"/>
      <c r="CGQ78" s="450"/>
      <c r="CGR78" s="447"/>
      <c r="CGS78" s="451"/>
      <c r="CGT78" s="449"/>
      <c r="CGU78" s="450"/>
      <c r="CGV78" s="447"/>
      <c r="CGW78" s="451"/>
      <c r="CGX78" s="449"/>
      <c r="CGY78" s="450"/>
      <c r="CGZ78" s="452"/>
      <c r="CHA78" s="451"/>
      <c r="CHB78" s="449"/>
      <c r="CHC78" s="450"/>
      <c r="CHD78" s="447"/>
      <c r="CHE78" s="448"/>
      <c r="CHF78" s="453"/>
      <c r="CHG78" s="449"/>
      <c r="CHH78" s="450"/>
      <c r="CHI78" s="454"/>
      <c r="CHJ78" s="448"/>
      <c r="CHL78" s="449"/>
      <c r="CHM78" s="450"/>
      <c r="CHN78" s="452"/>
      <c r="CHO78" s="448"/>
      <c r="CHQ78" s="449"/>
      <c r="CHR78" s="450"/>
      <c r="CHS78" s="447"/>
      <c r="CHT78" s="448"/>
      <c r="CHV78" s="449"/>
      <c r="CHW78" s="450"/>
      <c r="CHX78" s="452"/>
      <c r="CHY78" s="448"/>
      <c r="CHZ78" s="449"/>
      <c r="CIA78" s="450"/>
      <c r="CIB78" s="452"/>
      <c r="CIC78" s="448"/>
      <c r="CID78" s="455"/>
      <c r="CIE78" s="449"/>
      <c r="CIF78" s="450"/>
      <c r="CIG78" s="459"/>
      <c r="CIH78" s="448"/>
      <c r="CII78" s="456"/>
      <c r="CIJ78" s="449"/>
      <c r="CIK78" s="450"/>
      <c r="CIL78" s="452"/>
      <c r="CIM78" s="448"/>
      <c r="CIN78" s="449"/>
      <c r="CIO78" s="450"/>
      <c r="CIP78" s="452"/>
      <c r="CIQ78" s="448"/>
      <c r="CIR78" s="449"/>
      <c r="CIS78" s="450"/>
      <c r="CIT78" s="447"/>
      <c r="CIU78" s="448"/>
      <c r="CIV78" s="457"/>
      <c r="CIW78" s="460"/>
      <c r="CIX78" s="450"/>
      <c r="CIY78" s="461"/>
      <c r="CIZ78" s="448"/>
      <c r="CJA78" s="456"/>
      <c r="CJB78" s="449"/>
      <c r="CJC78" s="450"/>
      <c r="CJD78" s="452"/>
      <c r="CJE78" s="448"/>
      <c r="CJF78" s="456"/>
      <c r="CJG78" s="458"/>
      <c r="CJH78" s="458"/>
      <c r="CJJ78" s="454"/>
      <c r="CJK78" s="450"/>
      <c r="CJL78" s="454"/>
      <c r="CJM78" s="448"/>
      <c r="CJN78" s="449"/>
      <c r="CJO78" s="450"/>
      <c r="CJP78" s="447"/>
      <c r="CJQ78" s="448"/>
      <c r="CJR78" s="449"/>
      <c r="CJS78" s="450"/>
      <c r="CJT78" s="447"/>
      <c r="CJU78" s="451"/>
      <c r="CJV78" s="449"/>
      <c r="CJW78" s="450"/>
      <c r="CJX78" s="447"/>
      <c r="CJY78" s="451"/>
      <c r="CJZ78" s="449"/>
      <c r="CKA78" s="450"/>
      <c r="CKB78" s="447"/>
      <c r="CKC78" s="451"/>
      <c r="CKD78" s="449"/>
      <c r="CKE78" s="450"/>
      <c r="CKF78" s="452"/>
      <c r="CKG78" s="451"/>
      <c r="CKH78" s="449"/>
      <c r="CKI78" s="450"/>
      <c r="CKJ78" s="447"/>
      <c r="CKK78" s="448"/>
      <c r="CKL78" s="453"/>
      <c r="CKM78" s="449"/>
      <c r="CKN78" s="450"/>
      <c r="CKO78" s="454"/>
      <c r="CKP78" s="448"/>
      <c r="CKR78" s="449"/>
      <c r="CKS78" s="450"/>
      <c r="CKT78" s="452"/>
      <c r="CKU78" s="448"/>
      <c r="CKW78" s="449"/>
      <c r="CKX78" s="450"/>
      <c r="CKY78" s="447"/>
      <c r="CKZ78" s="448"/>
      <c r="CLB78" s="449"/>
      <c r="CLC78" s="450"/>
      <c r="CLD78" s="452"/>
      <c r="CLE78" s="448"/>
      <c r="CLF78" s="449"/>
      <c r="CLG78" s="450"/>
      <c r="CLH78" s="452"/>
      <c r="CLI78" s="448"/>
      <c r="CLJ78" s="455"/>
      <c r="CLK78" s="449"/>
      <c r="CLL78" s="450"/>
      <c r="CLM78" s="459"/>
      <c r="CLN78" s="448"/>
      <c r="CLO78" s="456"/>
      <c r="CLP78" s="449"/>
      <c r="CLQ78" s="450"/>
      <c r="CLR78" s="452"/>
      <c r="CLS78" s="448"/>
      <c r="CLT78" s="449"/>
      <c r="CLU78" s="450"/>
      <c r="CLV78" s="452"/>
      <c r="CLW78" s="448"/>
      <c r="CLX78" s="449"/>
      <c r="CLY78" s="450"/>
      <c r="CLZ78" s="447"/>
      <c r="CMA78" s="448"/>
      <c r="CMB78" s="457"/>
      <c r="CMC78" s="460"/>
      <c r="CMD78" s="450"/>
      <c r="CME78" s="461"/>
      <c r="CMF78" s="448"/>
      <c r="CMG78" s="456"/>
      <c r="CMH78" s="449"/>
      <c r="CMI78" s="450"/>
      <c r="CMJ78" s="452"/>
      <c r="CMK78" s="448"/>
      <c r="CML78" s="456"/>
      <c r="CMM78" s="458"/>
      <c r="CMN78" s="458"/>
      <c r="CMP78" s="454"/>
      <c r="CMQ78" s="450"/>
      <c r="CMR78" s="454"/>
      <c r="CMS78" s="448"/>
      <c r="CMT78" s="449"/>
      <c r="CMU78" s="450"/>
      <c r="CMV78" s="447"/>
      <c r="CMW78" s="448"/>
      <c r="CMX78" s="449"/>
      <c r="CMY78" s="450"/>
      <c r="CMZ78" s="447"/>
      <c r="CNA78" s="451"/>
      <c r="CNB78" s="449"/>
      <c r="CNC78" s="450"/>
      <c r="CND78" s="447"/>
      <c r="CNE78" s="451"/>
      <c r="CNF78" s="449"/>
      <c r="CNG78" s="450"/>
      <c r="CNH78" s="447"/>
      <c r="CNI78" s="451"/>
      <c r="CNJ78" s="449"/>
      <c r="CNK78" s="450"/>
      <c r="CNL78" s="452"/>
      <c r="CNM78" s="451"/>
      <c r="CNN78" s="449"/>
      <c r="CNO78" s="450"/>
      <c r="CNP78" s="447"/>
      <c r="CNQ78" s="448"/>
      <c r="CNR78" s="453"/>
      <c r="CNS78" s="449"/>
      <c r="CNT78" s="450"/>
      <c r="CNU78" s="454"/>
      <c r="CNV78" s="448"/>
      <c r="CNX78" s="449"/>
      <c r="CNY78" s="450"/>
      <c r="CNZ78" s="452"/>
      <c r="COA78" s="448"/>
      <c r="COC78" s="449"/>
      <c r="COD78" s="450"/>
      <c r="COE78" s="447"/>
      <c r="COF78" s="448"/>
      <c r="COH78" s="449"/>
      <c r="COI78" s="450"/>
      <c r="COJ78" s="452"/>
      <c r="COK78" s="448"/>
      <c r="COL78" s="449"/>
      <c r="COM78" s="450"/>
      <c r="CON78" s="452"/>
      <c r="COO78" s="448"/>
      <c r="COP78" s="455"/>
      <c r="COQ78" s="449"/>
      <c r="COR78" s="450"/>
      <c r="COS78" s="459"/>
      <c r="COT78" s="448"/>
      <c r="COU78" s="456"/>
      <c r="COV78" s="449"/>
      <c r="COW78" s="450"/>
      <c r="COX78" s="452"/>
      <c r="COY78" s="448"/>
      <c r="COZ78" s="449"/>
      <c r="CPA78" s="450"/>
      <c r="CPB78" s="452"/>
      <c r="CPC78" s="448"/>
      <c r="CPD78" s="449"/>
      <c r="CPE78" s="450"/>
      <c r="CPF78" s="447"/>
      <c r="CPG78" s="448"/>
      <c r="CPH78" s="457"/>
      <c r="CPI78" s="460"/>
      <c r="CPJ78" s="450"/>
      <c r="CPK78" s="461"/>
      <c r="CPL78" s="448"/>
      <c r="CPM78" s="456"/>
      <c r="CPN78" s="449"/>
      <c r="CPO78" s="450"/>
      <c r="CPP78" s="452"/>
      <c r="CPQ78" s="448"/>
      <c r="CPR78" s="456"/>
      <c r="CPS78" s="458"/>
      <c r="CPT78" s="458"/>
      <c r="CPV78" s="454"/>
      <c r="CPW78" s="450"/>
      <c r="CPX78" s="454"/>
      <c r="CPY78" s="448"/>
      <c r="CPZ78" s="449"/>
      <c r="CQA78" s="450"/>
      <c r="CQB78" s="447"/>
      <c r="CQC78" s="448"/>
      <c r="CQD78" s="449"/>
      <c r="CQE78" s="450"/>
      <c r="CQF78" s="447"/>
      <c r="CQG78" s="451"/>
      <c r="CQH78" s="449"/>
      <c r="CQI78" s="450"/>
      <c r="CQJ78" s="447"/>
      <c r="CQK78" s="451"/>
      <c r="CQL78" s="449"/>
      <c r="CQM78" s="450"/>
      <c r="CQN78" s="447"/>
      <c r="CQO78" s="451"/>
      <c r="CQP78" s="449"/>
      <c r="CQQ78" s="450"/>
      <c r="CQR78" s="452"/>
      <c r="CQS78" s="451"/>
      <c r="CQT78" s="449"/>
      <c r="CQU78" s="450"/>
      <c r="CQV78" s="447"/>
      <c r="CQW78" s="448"/>
      <c r="CQX78" s="453"/>
      <c r="CQY78" s="449"/>
      <c r="CQZ78" s="450"/>
      <c r="CRA78" s="454"/>
      <c r="CRB78" s="448"/>
      <c r="CRD78" s="449"/>
      <c r="CRE78" s="450"/>
      <c r="CRF78" s="452"/>
      <c r="CRG78" s="448"/>
      <c r="CRI78" s="449"/>
      <c r="CRJ78" s="450"/>
      <c r="CRK78" s="447"/>
      <c r="CRL78" s="448"/>
      <c r="CRN78" s="449"/>
      <c r="CRO78" s="450"/>
      <c r="CRP78" s="452"/>
      <c r="CRQ78" s="448"/>
      <c r="CRR78" s="449"/>
      <c r="CRS78" s="450"/>
      <c r="CRT78" s="452"/>
      <c r="CRU78" s="448"/>
      <c r="CRV78" s="455"/>
      <c r="CRW78" s="449"/>
      <c r="CRX78" s="450"/>
      <c r="CRY78" s="459"/>
      <c r="CRZ78" s="448"/>
      <c r="CSA78" s="456"/>
      <c r="CSB78" s="449"/>
      <c r="CSC78" s="450"/>
      <c r="CSD78" s="452"/>
      <c r="CSE78" s="448"/>
      <c r="CSF78" s="449"/>
      <c r="CSG78" s="450"/>
      <c r="CSH78" s="452"/>
      <c r="CSI78" s="448"/>
      <c r="CSJ78" s="449"/>
      <c r="CSK78" s="450"/>
      <c r="CSL78" s="447"/>
      <c r="CSM78" s="448"/>
      <c r="CSN78" s="457"/>
      <c r="CSO78" s="460"/>
      <c r="CSP78" s="450"/>
      <c r="CSQ78" s="461"/>
      <c r="CSR78" s="448"/>
      <c r="CSS78" s="456"/>
      <c r="CST78" s="449"/>
      <c r="CSU78" s="450"/>
      <c r="CSV78" s="452"/>
      <c r="CSW78" s="448"/>
      <c r="CSX78" s="456"/>
      <c r="CSY78" s="458"/>
      <c r="CSZ78" s="458"/>
      <c r="CTB78" s="454"/>
      <c r="CTC78" s="450"/>
      <c r="CTD78" s="454"/>
      <c r="CTE78" s="448"/>
      <c r="CTF78" s="449"/>
      <c r="CTG78" s="450"/>
      <c r="CTH78" s="447"/>
      <c r="CTI78" s="448"/>
      <c r="CTJ78" s="449"/>
      <c r="CTK78" s="450"/>
      <c r="CTL78" s="447"/>
      <c r="CTM78" s="451"/>
      <c r="CTN78" s="449"/>
      <c r="CTO78" s="450"/>
      <c r="CTP78" s="447"/>
      <c r="CTQ78" s="451"/>
      <c r="CTR78" s="449"/>
      <c r="CTS78" s="450"/>
      <c r="CTT78" s="447"/>
      <c r="CTU78" s="451"/>
      <c r="CTV78" s="449"/>
      <c r="CTW78" s="450"/>
      <c r="CTX78" s="452"/>
      <c r="CTY78" s="451"/>
      <c r="CTZ78" s="449"/>
      <c r="CUA78" s="450"/>
      <c r="CUB78" s="447"/>
      <c r="CUC78" s="448"/>
      <c r="CUD78" s="453"/>
      <c r="CUE78" s="449"/>
      <c r="CUF78" s="450"/>
      <c r="CUG78" s="454"/>
      <c r="CUH78" s="448"/>
      <c r="CUJ78" s="449"/>
      <c r="CUK78" s="450"/>
      <c r="CUL78" s="452"/>
      <c r="CUM78" s="448"/>
      <c r="CUO78" s="449"/>
      <c r="CUP78" s="450"/>
      <c r="CUQ78" s="447"/>
      <c r="CUR78" s="448"/>
      <c r="CUT78" s="449"/>
      <c r="CUU78" s="450"/>
      <c r="CUV78" s="452"/>
      <c r="CUW78" s="448"/>
      <c r="CUX78" s="449"/>
      <c r="CUY78" s="450"/>
      <c r="CUZ78" s="452"/>
      <c r="CVA78" s="448"/>
      <c r="CVB78" s="455"/>
      <c r="CVC78" s="449"/>
      <c r="CVD78" s="450"/>
      <c r="CVE78" s="459"/>
      <c r="CVF78" s="448"/>
      <c r="CVG78" s="456"/>
      <c r="CVH78" s="449"/>
      <c r="CVI78" s="450"/>
      <c r="CVJ78" s="452"/>
      <c r="CVK78" s="448"/>
      <c r="CVL78" s="449"/>
      <c r="CVM78" s="450"/>
      <c r="CVN78" s="452"/>
      <c r="CVO78" s="448"/>
      <c r="CVP78" s="449"/>
      <c r="CVQ78" s="450"/>
      <c r="CVR78" s="447"/>
      <c r="CVS78" s="448"/>
      <c r="CVT78" s="457"/>
      <c r="CVU78" s="460"/>
      <c r="CVV78" s="450"/>
      <c r="CVW78" s="461"/>
      <c r="CVX78" s="448"/>
      <c r="CVY78" s="456"/>
      <c r="CVZ78" s="449"/>
      <c r="CWA78" s="450"/>
      <c r="CWB78" s="452"/>
      <c r="CWC78" s="448"/>
      <c r="CWD78" s="456"/>
      <c r="CWE78" s="458"/>
      <c r="CWF78" s="458"/>
      <c r="CWH78" s="454"/>
      <c r="CWI78" s="450"/>
      <c r="CWJ78" s="454"/>
      <c r="CWK78" s="448"/>
      <c r="CWL78" s="449"/>
      <c r="CWM78" s="450"/>
      <c r="CWN78" s="447"/>
      <c r="CWO78" s="448"/>
      <c r="CWP78" s="449"/>
      <c r="CWQ78" s="450"/>
      <c r="CWR78" s="447"/>
      <c r="CWS78" s="451"/>
      <c r="CWT78" s="449"/>
      <c r="CWU78" s="450"/>
      <c r="CWV78" s="447"/>
      <c r="CWW78" s="451"/>
      <c r="CWX78" s="449"/>
      <c r="CWY78" s="450"/>
      <c r="CWZ78" s="447"/>
      <c r="CXA78" s="451"/>
      <c r="CXB78" s="449"/>
      <c r="CXC78" s="450"/>
      <c r="CXD78" s="452"/>
      <c r="CXE78" s="451"/>
      <c r="CXF78" s="449"/>
      <c r="CXG78" s="450"/>
      <c r="CXH78" s="447"/>
      <c r="CXI78" s="448"/>
      <c r="CXJ78" s="453"/>
      <c r="CXK78" s="449"/>
      <c r="CXL78" s="450"/>
      <c r="CXM78" s="454"/>
      <c r="CXN78" s="448"/>
      <c r="CXP78" s="449"/>
      <c r="CXQ78" s="450"/>
      <c r="CXR78" s="452"/>
      <c r="CXS78" s="448"/>
      <c r="CXU78" s="449"/>
      <c r="CXV78" s="450"/>
      <c r="CXW78" s="447"/>
      <c r="CXX78" s="448"/>
      <c r="CXZ78" s="449"/>
      <c r="CYA78" s="450"/>
      <c r="CYB78" s="452"/>
      <c r="CYC78" s="448"/>
      <c r="CYD78" s="449"/>
      <c r="CYE78" s="450"/>
      <c r="CYF78" s="452"/>
      <c r="CYG78" s="448"/>
      <c r="CYH78" s="455"/>
      <c r="CYI78" s="449"/>
      <c r="CYJ78" s="450"/>
      <c r="CYK78" s="459"/>
      <c r="CYL78" s="448"/>
      <c r="CYM78" s="456"/>
      <c r="CYN78" s="449"/>
      <c r="CYO78" s="450"/>
      <c r="CYP78" s="452"/>
      <c r="CYQ78" s="448"/>
      <c r="CYR78" s="449"/>
      <c r="CYS78" s="450"/>
      <c r="CYT78" s="452"/>
      <c r="CYU78" s="448"/>
      <c r="CYV78" s="449"/>
      <c r="CYW78" s="450"/>
      <c r="CYX78" s="447"/>
      <c r="CYY78" s="448"/>
      <c r="CYZ78" s="457"/>
      <c r="CZA78" s="460"/>
      <c r="CZB78" s="450"/>
      <c r="CZC78" s="461"/>
      <c r="CZD78" s="448"/>
      <c r="CZE78" s="456"/>
      <c r="CZF78" s="449"/>
      <c r="CZG78" s="450"/>
      <c r="CZH78" s="452"/>
      <c r="CZI78" s="448"/>
      <c r="CZJ78" s="456"/>
      <c r="CZK78" s="458"/>
      <c r="CZL78" s="458"/>
      <c r="CZN78" s="454"/>
      <c r="CZO78" s="450"/>
      <c r="CZP78" s="454"/>
      <c r="CZQ78" s="448"/>
      <c r="CZR78" s="449"/>
      <c r="CZS78" s="450"/>
      <c r="CZT78" s="447"/>
      <c r="CZU78" s="448"/>
      <c r="CZV78" s="449"/>
      <c r="CZW78" s="450"/>
      <c r="CZX78" s="447"/>
      <c r="CZY78" s="451"/>
      <c r="CZZ78" s="449"/>
      <c r="DAA78" s="450"/>
      <c r="DAB78" s="447"/>
      <c r="DAC78" s="451"/>
      <c r="DAD78" s="449"/>
      <c r="DAE78" s="450"/>
      <c r="DAF78" s="447"/>
      <c r="DAG78" s="451"/>
      <c r="DAH78" s="449"/>
      <c r="DAI78" s="450"/>
      <c r="DAJ78" s="452"/>
      <c r="DAK78" s="451"/>
      <c r="DAL78" s="449"/>
      <c r="DAM78" s="450"/>
      <c r="DAN78" s="447"/>
      <c r="DAO78" s="448"/>
      <c r="DAP78" s="453"/>
      <c r="DAQ78" s="449"/>
      <c r="DAR78" s="450"/>
      <c r="DAS78" s="454"/>
      <c r="DAT78" s="448"/>
      <c r="DAV78" s="449"/>
      <c r="DAW78" s="450"/>
      <c r="DAX78" s="452"/>
      <c r="DAY78" s="448"/>
      <c r="DBA78" s="449"/>
      <c r="DBB78" s="450"/>
      <c r="DBC78" s="447"/>
      <c r="DBD78" s="448"/>
      <c r="DBF78" s="449"/>
      <c r="DBG78" s="450"/>
      <c r="DBH78" s="452"/>
      <c r="DBI78" s="448"/>
      <c r="DBJ78" s="449"/>
      <c r="DBK78" s="450"/>
      <c r="DBL78" s="452"/>
      <c r="DBM78" s="448"/>
      <c r="DBN78" s="455"/>
      <c r="DBO78" s="449"/>
      <c r="DBP78" s="450"/>
      <c r="DBQ78" s="459"/>
      <c r="DBR78" s="448"/>
      <c r="DBS78" s="456"/>
      <c r="DBT78" s="449"/>
      <c r="DBU78" s="450"/>
      <c r="DBV78" s="452"/>
      <c r="DBW78" s="448"/>
      <c r="DBX78" s="449"/>
      <c r="DBY78" s="450"/>
      <c r="DBZ78" s="452"/>
      <c r="DCA78" s="448"/>
      <c r="DCB78" s="449"/>
      <c r="DCC78" s="450"/>
      <c r="DCD78" s="447"/>
      <c r="DCE78" s="448"/>
      <c r="DCF78" s="457"/>
      <c r="DCG78" s="460"/>
      <c r="DCH78" s="450"/>
      <c r="DCI78" s="461"/>
      <c r="DCJ78" s="448"/>
      <c r="DCK78" s="456"/>
      <c r="DCL78" s="449"/>
      <c r="DCM78" s="450"/>
      <c r="DCN78" s="452"/>
      <c r="DCO78" s="448"/>
      <c r="DCP78" s="456"/>
      <c r="DCQ78" s="458"/>
      <c r="DCR78" s="458"/>
      <c r="DCT78" s="454"/>
      <c r="DCU78" s="450"/>
      <c r="DCV78" s="454"/>
      <c r="DCW78" s="448"/>
      <c r="DCX78" s="449"/>
      <c r="DCY78" s="450"/>
      <c r="DCZ78" s="447"/>
      <c r="DDA78" s="448"/>
      <c r="DDB78" s="449"/>
      <c r="DDC78" s="450"/>
      <c r="DDD78" s="447"/>
      <c r="DDE78" s="451"/>
      <c r="DDF78" s="449"/>
      <c r="DDG78" s="450"/>
      <c r="DDH78" s="447"/>
      <c r="DDI78" s="451"/>
      <c r="DDJ78" s="449"/>
      <c r="DDK78" s="450"/>
      <c r="DDL78" s="447"/>
      <c r="DDM78" s="451"/>
      <c r="DDN78" s="449"/>
      <c r="DDO78" s="450"/>
      <c r="DDP78" s="452"/>
      <c r="DDQ78" s="451"/>
      <c r="DDR78" s="449"/>
      <c r="DDS78" s="450"/>
      <c r="DDT78" s="447"/>
      <c r="DDU78" s="448"/>
      <c r="DDV78" s="453"/>
      <c r="DDW78" s="449"/>
      <c r="DDX78" s="450"/>
      <c r="DDY78" s="454"/>
      <c r="DDZ78" s="448"/>
      <c r="DEB78" s="449"/>
      <c r="DEC78" s="450"/>
      <c r="DED78" s="452"/>
      <c r="DEE78" s="448"/>
      <c r="DEG78" s="449"/>
      <c r="DEH78" s="450"/>
      <c r="DEI78" s="447"/>
      <c r="DEJ78" s="448"/>
      <c r="DEL78" s="449"/>
      <c r="DEM78" s="450"/>
      <c r="DEN78" s="452"/>
      <c r="DEO78" s="448"/>
      <c r="DEP78" s="449"/>
      <c r="DEQ78" s="450"/>
      <c r="DER78" s="452"/>
      <c r="DES78" s="448"/>
      <c r="DET78" s="455"/>
      <c r="DEU78" s="449"/>
      <c r="DEV78" s="450"/>
      <c r="DEW78" s="459"/>
      <c r="DEX78" s="448"/>
      <c r="DEY78" s="456"/>
      <c r="DEZ78" s="449"/>
      <c r="DFA78" s="450"/>
      <c r="DFB78" s="452"/>
      <c r="DFC78" s="448"/>
      <c r="DFD78" s="449"/>
      <c r="DFE78" s="450"/>
      <c r="DFF78" s="452"/>
      <c r="DFG78" s="448"/>
      <c r="DFH78" s="449"/>
      <c r="DFI78" s="450"/>
      <c r="DFJ78" s="447"/>
      <c r="DFK78" s="448"/>
      <c r="DFL78" s="457"/>
      <c r="DFM78" s="460"/>
      <c r="DFN78" s="450"/>
      <c r="DFO78" s="461"/>
      <c r="DFP78" s="448"/>
      <c r="DFQ78" s="456"/>
      <c r="DFR78" s="449"/>
      <c r="DFS78" s="450"/>
      <c r="DFT78" s="452"/>
      <c r="DFU78" s="448"/>
      <c r="DFV78" s="456"/>
      <c r="DFW78" s="458"/>
      <c r="DFX78" s="458"/>
      <c r="DFZ78" s="454"/>
      <c r="DGA78" s="450"/>
      <c r="DGB78" s="454"/>
      <c r="DGC78" s="448"/>
      <c r="DGD78" s="449"/>
      <c r="DGE78" s="450"/>
      <c r="DGF78" s="447"/>
      <c r="DGG78" s="448"/>
      <c r="DGH78" s="449"/>
      <c r="DGI78" s="450"/>
      <c r="DGJ78" s="447"/>
      <c r="DGK78" s="451"/>
      <c r="DGL78" s="449"/>
      <c r="DGM78" s="450"/>
      <c r="DGN78" s="447"/>
      <c r="DGO78" s="451"/>
      <c r="DGP78" s="449"/>
      <c r="DGQ78" s="450"/>
      <c r="DGR78" s="447"/>
      <c r="DGS78" s="451"/>
      <c r="DGT78" s="449"/>
      <c r="DGU78" s="450"/>
      <c r="DGV78" s="452"/>
      <c r="DGW78" s="451"/>
      <c r="DGX78" s="449"/>
      <c r="DGY78" s="450"/>
      <c r="DGZ78" s="447"/>
      <c r="DHA78" s="448"/>
      <c r="DHB78" s="453"/>
      <c r="DHC78" s="449"/>
      <c r="DHD78" s="450"/>
      <c r="DHE78" s="454"/>
      <c r="DHF78" s="448"/>
      <c r="DHH78" s="449"/>
      <c r="DHI78" s="450"/>
      <c r="DHJ78" s="452"/>
      <c r="DHK78" s="448"/>
      <c r="DHM78" s="449"/>
      <c r="DHN78" s="450"/>
      <c r="DHO78" s="447"/>
      <c r="DHP78" s="448"/>
      <c r="DHR78" s="449"/>
      <c r="DHS78" s="450"/>
      <c r="DHT78" s="452"/>
      <c r="DHU78" s="448"/>
      <c r="DHV78" s="449"/>
      <c r="DHW78" s="450"/>
      <c r="DHX78" s="452"/>
      <c r="DHY78" s="448"/>
      <c r="DHZ78" s="455"/>
      <c r="DIA78" s="449"/>
      <c r="DIB78" s="450"/>
      <c r="DIC78" s="459"/>
      <c r="DID78" s="448"/>
      <c r="DIE78" s="456"/>
      <c r="DIF78" s="449"/>
      <c r="DIG78" s="450"/>
      <c r="DIH78" s="452"/>
      <c r="DII78" s="448"/>
      <c r="DIJ78" s="449"/>
      <c r="DIK78" s="450"/>
      <c r="DIL78" s="452"/>
      <c r="DIM78" s="448"/>
      <c r="DIN78" s="449"/>
      <c r="DIO78" s="450"/>
      <c r="DIP78" s="447"/>
      <c r="DIQ78" s="448"/>
      <c r="DIR78" s="457"/>
      <c r="DIS78" s="460"/>
      <c r="DIT78" s="450"/>
      <c r="DIU78" s="461"/>
      <c r="DIV78" s="448"/>
      <c r="DIW78" s="456"/>
      <c r="DIX78" s="449"/>
      <c r="DIY78" s="450"/>
      <c r="DIZ78" s="452"/>
      <c r="DJA78" s="448"/>
      <c r="DJB78" s="456"/>
      <c r="DJC78" s="458"/>
      <c r="DJD78" s="458"/>
      <c r="DJF78" s="454"/>
      <c r="DJG78" s="450"/>
      <c r="DJH78" s="454"/>
      <c r="DJI78" s="448"/>
      <c r="DJJ78" s="449"/>
      <c r="DJK78" s="450"/>
      <c r="DJL78" s="447"/>
      <c r="DJM78" s="448"/>
      <c r="DJN78" s="449"/>
      <c r="DJO78" s="450"/>
      <c r="DJP78" s="447"/>
      <c r="DJQ78" s="451"/>
      <c r="DJR78" s="449"/>
      <c r="DJS78" s="450"/>
      <c r="DJT78" s="447"/>
      <c r="DJU78" s="451"/>
      <c r="DJV78" s="449"/>
      <c r="DJW78" s="450"/>
      <c r="DJX78" s="447"/>
      <c r="DJY78" s="451"/>
      <c r="DJZ78" s="449"/>
      <c r="DKA78" s="450"/>
      <c r="DKB78" s="452"/>
      <c r="DKC78" s="451"/>
      <c r="DKD78" s="449"/>
      <c r="DKE78" s="450"/>
      <c r="DKF78" s="447"/>
      <c r="DKG78" s="448"/>
      <c r="DKH78" s="453"/>
      <c r="DKI78" s="449"/>
      <c r="DKJ78" s="450"/>
      <c r="DKK78" s="454"/>
      <c r="DKL78" s="448"/>
      <c r="DKN78" s="449"/>
      <c r="DKO78" s="450"/>
      <c r="DKP78" s="452"/>
      <c r="DKQ78" s="448"/>
      <c r="DKS78" s="449"/>
      <c r="DKT78" s="450"/>
      <c r="DKU78" s="447"/>
      <c r="DKV78" s="448"/>
      <c r="DKX78" s="449"/>
      <c r="DKY78" s="450"/>
      <c r="DKZ78" s="452"/>
      <c r="DLA78" s="448"/>
      <c r="DLB78" s="449"/>
      <c r="DLC78" s="450"/>
      <c r="DLD78" s="452"/>
      <c r="DLE78" s="448"/>
      <c r="DLF78" s="455"/>
      <c r="DLG78" s="449"/>
      <c r="DLH78" s="450"/>
      <c r="DLI78" s="459"/>
      <c r="DLJ78" s="448"/>
      <c r="DLK78" s="456"/>
      <c r="DLL78" s="449"/>
      <c r="DLM78" s="450"/>
      <c r="DLN78" s="452"/>
      <c r="DLO78" s="448"/>
      <c r="DLP78" s="449"/>
      <c r="DLQ78" s="450"/>
      <c r="DLR78" s="452"/>
      <c r="DLS78" s="448"/>
      <c r="DLT78" s="449"/>
      <c r="DLU78" s="450"/>
      <c r="DLV78" s="447"/>
      <c r="DLW78" s="448"/>
      <c r="DLX78" s="457"/>
      <c r="DLY78" s="460"/>
      <c r="DLZ78" s="450"/>
      <c r="DMA78" s="461"/>
      <c r="DMB78" s="448"/>
      <c r="DMC78" s="456"/>
      <c r="DMD78" s="449"/>
      <c r="DME78" s="450"/>
      <c r="DMF78" s="452"/>
      <c r="DMG78" s="448"/>
      <c r="DMH78" s="456"/>
      <c r="DMI78" s="458"/>
      <c r="DMJ78" s="458"/>
      <c r="DML78" s="454"/>
      <c r="DMM78" s="450"/>
      <c r="DMN78" s="454"/>
      <c r="DMO78" s="448"/>
      <c r="DMP78" s="449"/>
      <c r="DMQ78" s="450"/>
      <c r="DMR78" s="447"/>
      <c r="DMS78" s="448"/>
      <c r="DMT78" s="449"/>
      <c r="DMU78" s="450"/>
      <c r="DMV78" s="447"/>
      <c r="DMW78" s="451"/>
      <c r="DMX78" s="449"/>
      <c r="DMY78" s="450"/>
      <c r="DMZ78" s="447"/>
      <c r="DNA78" s="451"/>
      <c r="DNB78" s="449"/>
      <c r="DNC78" s="450"/>
      <c r="DND78" s="447"/>
      <c r="DNE78" s="451"/>
      <c r="DNF78" s="449"/>
      <c r="DNG78" s="450"/>
      <c r="DNH78" s="452"/>
      <c r="DNI78" s="451"/>
      <c r="DNJ78" s="449"/>
      <c r="DNK78" s="450"/>
      <c r="DNL78" s="447"/>
      <c r="DNM78" s="448"/>
      <c r="DNN78" s="453"/>
      <c r="DNO78" s="449"/>
      <c r="DNP78" s="450"/>
      <c r="DNQ78" s="454"/>
      <c r="DNR78" s="448"/>
      <c r="DNT78" s="449"/>
      <c r="DNU78" s="450"/>
      <c r="DNV78" s="452"/>
      <c r="DNW78" s="448"/>
      <c r="DNY78" s="449"/>
      <c r="DNZ78" s="450"/>
      <c r="DOA78" s="447"/>
      <c r="DOB78" s="448"/>
      <c r="DOD78" s="449"/>
      <c r="DOE78" s="450"/>
      <c r="DOF78" s="452"/>
      <c r="DOG78" s="448"/>
      <c r="DOH78" s="449"/>
      <c r="DOI78" s="450"/>
      <c r="DOJ78" s="452"/>
      <c r="DOK78" s="448"/>
      <c r="DOL78" s="455"/>
      <c r="DOM78" s="449"/>
      <c r="DON78" s="450"/>
      <c r="DOO78" s="459"/>
      <c r="DOP78" s="448"/>
      <c r="DOQ78" s="456"/>
      <c r="DOR78" s="449"/>
      <c r="DOS78" s="450"/>
      <c r="DOT78" s="452"/>
      <c r="DOU78" s="448"/>
      <c r="DOV78" s="449"/>
      <c r="DOW78" s="450"/>
      <c r="DOX78" s="452"/>
      <c r="DOY78" s="448"/>
      <c r="DOZ78" s="449"/>
      <c r="DPA78" s="450"/>
      <c r="DPB78" s="447"/>
      <c r="DPC78" s="448"/>
      <c r="DPD78" s="457"/>
      <c r="DPE78" s="460"/>
      <c r="DPF78" s="450"/>
      <c r="DPG78" s="461"/>
      <c r="DPH78" s="448"/>
      <c r="DPI78" s="456"/>
      <c r="DPJ78" s="449"/>
      <c r="DPK78" s="450"/>
      <c r="DPL78" s="452"/>
      <c r="DPM78" s="448"/>
      <c r="DPN78" s="456"/>
      <c r="DPO78" s="458"/>
      <c r="DPP78" s="458"/>
      <c r="DPR78" s="454"/>
      <c r="DPS78" s="450"/>
      <c r="DPT78" s="454"/>
      <c r="DPU78" s="448"/>
      <c r="DPV78" s="449"/>
      <c r="DPW78" s="450"/>
      <c r="DPX78" s="447"/>
      <c r="DPY78" s="448"/>
      <c r="DPZ78" s="449"/>
      <c r="DQA78" s="450"/>
      <c r="DQB78" s="447"/>
      <c r="DQC78" s="451"/>
      <c r="DQD78" s="449"/>
      <c r="DQE78" s="450"/>
      <c r="DQF78" s="447"/>
      <c r="DQG78" s="451"/>
      <c r="DQH78" s="449"/>
      <c r="DQI78" s="450"/>
      <c r="DQJ78" s="447"/>
      <c r="DQK78" s="451"/>
      <c r="DQL78" s="449"/>
      <c r="DQM78" s="450"/>
      <c r="DQN78" s="452"/>
      <c r="DQO78" s="451"/>
      <c r="DQP78" s="449"/>
      <c r="DQQ78" s="450"/>
      <c r="DQR78" s="447"/>
      <c r="DQS78" s="448"/>
      <c r="DQT78" s="453"/>
      <c r="DQU78" s="449"/>
      <c r="DQV78" s="450"/>
      <c r="DQW78" s="454"/>
      <c r="DQX78" s="448"/>
      <c r="DQZ78" s="449"/>
      <c r="DRA78" s="450"/>
      <c r="DRB78" s="452"/>
      <c r="DRC78" s="448"/>
      <c r="DRE78" s="449"/>
      <c r="DRF78" s="450"/>
      <c r="DRG78" s="447"/>
      <c r="DRH78" s="448"/>
      <c r="DRJ78" s="449"/>
      <c r="DRK78" s="450"/>
      <c r="DRL78" s="452"/>
      <c r="DRM78" s="448"/>
      <c r="DRN78" s="449"/>
      <c r="DRO78" s="450"/>
      <c r="DRP78" s="452"/>
      <c r="DRQ78" s="448"/>
      <c r="DRR78" s="455"/>
      <c r="DRS78" s="449"/>
      <c r="DRT78" s="450"/>
      <c r="DRU78" s="459"/>
      <c r="DRV78" s="448"/>
      <c r="DRW78" s="456"/>
      <c r="DRX78" s="449"/>
      <c r="DRY78" s="450"/>
      <c r="DRZ78" s="452"/>
      <c r="DSA78" s="448"/>
      <c r="DSB78" s="449"/>
      <c r="DSC78" s="450"/>
      <c r="DSD78" s="452"/>
      <c r="DSE78" s="448"/>
      <c r="DSF78" s="449"/>
      <c r="DSG78" s="450"/>
      <c r="DSH78" s="447"/>
      <c r="DSI78" s="448"/>
      <c r="DSJ78" s="457"/>
      <c r="DSK78" s="460"/>
      <c r="DSL78" s="450"/>
      <c r="DSM78" s="461"/>
      <c r="DSN78" s="448"/>
      <c r="DSO78" s="456"/>
      <c r="DSP78" s="449"/>
      <c r="DSQ78" s="450"/>
      <c r="DSR78" s="452"/>
      <c r="DSS78" s="448"/>
      <c r="DST78" s="456"/>
      <c r="DSU78" s="458"/>
      <c r="DSV78" s="458"/>
      <c r="DSX78" s="454"/>
      <c r="DSY78" s="450"/>
      <c r="DSZ78" s="454"/>
      <c r="DTA78" s="448"/>
      <c r="DTB78" s="449"/>
      <c r="DTC78" s="450"/>
      <c r="DTD78" s="447"/>
      <c r="DTE78" s="448"/>
      <c r="DTF78" s="449"/>
      <c r="DTG78" s="450"/>
      <c r="DTH78" s="447"/>
      <c r="DTI78" s="451"/>
      <c r="DTJ78" s="449"/>
      <c r="DTK78" s="450"/>
      <c r="DTL78" s="447"/>
      <c r="DTM78" s="451"/>
      <c r="DTN78" s="449"/>
      <c r="DTO78" s="450"/>
      <c r="DTP78" s="447"/>
      <c r="DTQ78" s="451"/>
      <c r="DTR78" s="449"/>
      <c r="DTS78" s="450"/>
      <c r="DTT78" s="452"/>
      <c r="DTU78" s="451"/>
      <c r="DTV78" s="449"/>
      <c r="DTW78" s="450"/>
      <c r="DTX78" s="447"/>
      <c r="DTY78" s="448"/>
      <c r="DTZ78" s="453"/>
      <c r="DUA78" s="449"/>
      <c r="DUB78" s="450"/>
      <c r="DUC78" s="454"/>
      <c r="DUD78" s="448"/>
      <c r="DUF78" s="449"/>
      <c r="DUG78" s="450"/>
      <c r="DUH78" s="452"/>
      <c r="DUI78" s="448"/>
      <c r="DUK78" s="449"/>
      <c r="DUL78" s="450"/>
      <c r="DUM78" s="447"/>
      <c r="DUN78" s="448"/>
      <c r="DUP78" s="449"/>
      <c r="DUQ78" s="450"/>
      <c r="DUR78" s="452"/>
      <c r="DUS78" s="448"/>
      <c r="DUT78" s="449"/>
      <c r="DUU78" s="450"/>
      <c r="DUV78" s="452"/>
      <c r="DUW78" s="448"/>
      <c r="DUX78" s="455"/>
      <c r="DUY78" s="449"/>
      <c r="DUZ78" s="450"/>
      <c r="DVA78" s="459"/>
      <c r="DVB78" s="448"/>
      <c r="DVC78" s="456"/>
      <c r="DVD78" s="449"/>
      <c r="DVE78" s="450"/>
      <c r="DVF78" s="452"/>
      <c r="DVG78" s="448"/>
      <c r="DVH78" s="449"/>
      <c r="DVI78" s="450"/>
      <c r="DVJ78" s="452"/>
      <c r="DVK78" s="448"/>
      <c r="DVL78" s="449"/>
      <c r="DVM78" s="450"/>
      <c r="DVN78" s="447"/>
      <c r="DVO78" s="448"/>
      <c r="DVP78" s="457"/>
      <c r="DVQ78" s="460"/>
      <c r="DVR78" s="450"/>
      <c r="DVS78" s="461"/>
      <c r="DVT78" s="448"/>
      <c r="DVU78" s="456"/>
      <c r="DVV78" s="449"/>
      <c r="DVW78" s="450"/>
      <c r="DVX78" s="452"/>
      <c r="DVY78" s="448"/>
      <c r="DVZ78" s="456"/>
      <c r="DWA78" s="458"/>
      <c r="DWB78" s="458"/>
      <c r="DWD78" s="454"/>
      <c r="DWE78" s="450"/>
      <c r="DWF78" s="454"/>
      <c r="DWG78" s="448"/>
      <c r="DWH78" s="449"/>
      <c r="DWI78" s="450"/>
      <c r="DWJ78" s="447"/>
      <c r="DWK78" s="448"/>
      <c r="DWL78" s="449"/>
      <c r="DWM78" s="450"/>
      <c r="DWN78" s="447"/>
      <c r="DWO78" s="451"/>
      <c r="DWP78" s="449"/>
      <c r="DWQ78" s="450"/>
      <c r="DWR78" s="447"/>
      <c r="DWS78" s="451"/>
      <c r="DWT78" s="449"/>
      <c r="DWU78" s="450"/>
      <c r="DWV78" s="447"/>
      <c r="DWW78" s="451"/>
      <c r="DWX78" s="449"/>
      <c r="DWY78" s="450"/>
      <c r="DWZ78" s="452"/>
      <c r="DXA78" s="451"/>
      <c r="DXB78" s="449"/>
      <c r="DXC78" s="450"/>
      <c r="DXD78" s="447"/>
      <c r="DXE78" s="448"/>
      <c r="DXF78" s="453"/>
      <c r="DXG78" s="449"/>
      <c r="DXH78" s="450"/>
      <c r="DXI78" s="454"/>
      <c r="DXJ78" s="448"/>
      <c r="DXL78" s="449"/>
      <c r="DXM78" s="450"/>
      <c r="DXN78" s="452"/>
      <c r="DXO78" s="448"/>
      <c r="DXQ78" s="449"/>
      <c r="DXR78" s="450"/>
      <c r="DXS78" s="447"/>
      <c r="DXT78" s="448"/>
      <c r="DXV78" s="449"/>
      <c r="DXW78" s="450"/>
      <c r="DXX78" s="452"/>
      <c r="DXY78" s="448"/>
      <c r="DXZ78" s="449"/>
      <c r="DYA78" s="450"/>
      <c r="DYB78" s="452"/>
      <c r="DYC78" s="448"/>
      <c r="DYD78" s="455"/>
      <c r="DYE78" s="449"/>
      <c r="DYF78" s="450"/>
      <c r="DYG78" s="459"/>
      <c r="DYH78" s="448"/>
      <c r="DYI78" s="456"/>
      <c r="DYJ78" s="449"/>
      <c r="DYK78" s="450"/>
      <c r="DYL78" s="452"/>
      <c r="DYM78" s="448"/>
      <c r="DYN78" s="449"/>
      <c r="DYO78" s="450"/>
      <c r="DYP78" s="452"/>
      <c r="DYQ78" s="448"/>
      <c r="DYR78" s="449"/>
      <c r="DYS78" s="450"/>
      <c r="DYT78" s="447"/>
      <c r="DYU78" s="448"/>
      <c r="DYV78" s="457"/>
      <c r="DYW78" s="460"/>
      <c r="DYX78" s="450"/>
      <c r="DYY78" s="461"/>
      <c r="DYZ78" s="448"/>
      <c r="DZA78" s="456"/>
      <c r="DZB78" s="449"/>
      <c r="DZC78" s="450"/>
      <c r="DZD78" s="452"/>
      <c r="DZE78" s="448"/>
      <c r="DZF78" s="456"/>
      <c r="DZG78" s="458"/>
      <c r="DZH78" s="458"/>
      <c r="DZJ78" s="454"/>
      <c r="DZK78" s="450"/>
      <c r="DZL78" s="454"/>
      <c r="DZM78" s="448"/>
      <c r="DZN78" s="449"/>
      <c r="DZO78" s="450"/>
      <c r="DZP78" s="447"/>
      <c r="DZQ78" s="448"/>
      <c r="DZR78" s="449"/>
      <c r="DZS78" s="450"/>
      <c r="DZT78" s="447"/>
      <c r="DZU78" s="451"/>
      <c r="DZV78" s="449"/>
      <c r="DZW78" s="450"/>
      <c r="DZX78" s="447"/>
      <c r="DZY78" s="451"/>
      <c r="DZZ78" s="449"/>
      <c r="EAA78" s="450"/>
      <c r="EAB78" s="447"/>
      <c r="EAC78" s="451"/>
      <c r="EAD78" s="449"/>
      <c r="EAE78" s="450"/>
      <c r="EAF78" s="452"/>
      <c r="EAG78" s="451"/>
      <c r="EAH78" s="449"/>
      <c r="EAI78" s="450"/>
      <c r="EAJ78" s="447"/>
      <c r="EAK78" s="448"/>
      <c r="EAL78" s="453"/>
      <c r="EAM78" s="449"/>
      <c r="EAN78" s="450"/>
      <c r="EAO78" s="454"/>
      <c r="EAP78" s="448"/>
      <c r="EAR78" s="449"/>
      <c r="EAS78" s="450"/>
      <c r="EAT78" s="452"/>
      <c r="EAU78" s="448"/>
      <c r="EAW78" s="449"/>
      <c r="EAX78" s="450"/>
      <c r="EAY78" s="447"/>
      <c r="EAZ78" s="448"/>
      <c r="EBB78" s="449"/>
      <c r="EBC78" s="450"/>
      <c r="EBD78" s="452"/>
      <c r="EBE78" s="448"/>
      <c r="EBF78" s="449"/>
      <c r="EBG78" s="450"/>
      <c r="EBH78" s="452"/>
      <c r="EBI78" s="448"/>
      <c r="EBJ78" s="455"/>
      <c r="EBK78" s="449"/>
      <c r="EBL78" s="450"/>
      <c r="EBM78" s="459"/>
      <c r="EBN78" s="448"/>
      <c r="EBO78" s="456"/>
      <c r="EBP78" s="449"/>
      <c r="EBQ78" s="450"/>
      <c r="EBR78" s="452"/>
      <c r="EBS78" s="448"/>
      <c r="EBT78" s="449"/>
      <c r="EBU78" s="450"/>
      <c r="EBV78" s="452"/>
      <c r="EBW78" s="448"/>
      <c r="EBX78" s="449"/>
      <c r="EBY78" s="450"/>
      <c r="EBZ78" s="447"/>
      <c r="ECA78" s="448"/>
      <c r="ECB78" s="457"/>
      <c r="ECC78" s="460"/>
      <c r="ECD78" s="450"/>
      <c r="ECE78" s="461"/>
      <c r="ECF78" s="448"/>
      <c r="ECG78" s="456"/>
      <c r="ECH78" s="449"/>
      <c r="ECI78" s="450"/>
      <c r="ECJ78" s="452"/>
      <c r="ECK78" s="448"/>
      <c r="ECL78" s="456"/>
      <c r="ECM78" s="458"/>
      <c r="ECN78" s="458"/>
      <c r="ECP78" s="454"/>
      <c r="ECQ78" s="450"/>
      <c r="ECR78" s="454"/>
      <c r="ECS78" s="448"/>
      <c r="ECT78" s="449"/>
      <c r="ECU78" s="450"/>
      <c r="ECV78" s="447"/>
      <c r="ECW78" s="448"/>
      <c r="ECX78" s="449"/>
      <c r="ECY78" s="450"/>
      <c r="ECZ78" s="447"/>
      <c r="EDA78" s="451"/>
      <c r="EDB78" s="449"/>
      <c r="EDC78" s="450"/>
      <c r="EDD78" s="447"/>
      <c r="EDE78" s="451"/>
      <c r="EDF78" s="449"/>
      <c r="EDG78" s="450"/>
      <c r="EDH78" s="447"/>
      <c r="EDI78" s="451"/>
      <c r="EDJ78" s="449"/>
      <c r="EDK78" s="450"/>
      <c r="EDL78" s="452"/>
      <c r="EDM78" s="451"/>
      <c r="EDN78" s="449"/>
      <c r="EDO78" s="450"/>
      <c r="EDP78" s="447"/>
      <c r="EDQ78" s="448"/>
      <c r="EDR78" s="453"/>
      <c r="EDS78" s="449"/>
      <c r="EDT78" s="450"/>
      <c r="EDU78" s="454"/>
      <c r="EDV78" s="448"/>
      <c r="EDX78" s="449"/>
      <c r="EDY78" s="450"/>
      <c r="EDZ78" s="452"/>
      <c r="EEA78" s="448"/>
      <c r="EEC78" s="449"/>
      <c r="EED78" s="450"/>
      <c r="EEE78" s="447"/>
      <c r="EEF78" s="448"/>
      <c r="EEH78" s="449"/>
      <c r="EEI78" s="450"/>
      <c r="EEJ78" s="452"/>
      <c r="EEK78" s="448"/>
      <c r="EEL78" s="449"/>
      <c r="EEM78" s="450"/>
      <c r="EEN78" s="452"/>
      <c r="EEO78" s="448"/>
      <c r="EEP78" s="455"/>
      <c r="EEQ78" s="449"/>
      <c r="EER78" s="450"/>
      <c r="EES78" s="459"/>
      <c r="EET78" s="448"/>
      <c r="EEU78" s="456"/>
      <c r="EEV78" s="449"/>
      <c r="EEW78" s="450"/>
      <c r="EEX78" s="452"/>
      <c r="EEY78" s="448"/>
      <c r="EEZ78" s="449"/>
      <c r="EFA78" s="450"/>
      <c r="EFB78" s="452"/>
      <c r="EFC78" s="448"/>
      <c r="EFD78" s="449"/>
      <c r="EFE78" s="450"/>
      <c r="EFF78" s="447"/>
      <c r="EFG78" s="448"/>
      <c r="EFH78" s="457"/>
      <c r="EFI78" s="460"/>
      <c r="EFJ78" s="450"/>
      <c r="EFK78" s="461"/>
      <c r="EFL78" s="448"/>
      <c r="EFM78" s="456"/>
      <c r="EFN78" s="449"/>
      <c r="EFO78" s="450"/>
      <c r="EFP78" s="452"/>
      <c r="EFQ78" s="448"/>
      <c r="EFR78" s="456"/>
      <c r="EFS78" s="458"/>
      <c r="EFT78" s="458"/>
      <c r="EFV78" s="454"/>
      <c r="EFW78" s="450"/>
      <c r="EFX78" s="454"/>
      <c r="EFY78" s="448"/>
      <c r="EFZ78" s="449"/>
      <c r="EGA78" s="450"/>
      <c r="EGB78" s="447"/>
      <c r="EGC78" s="448"/>
      <c r="EGD78" s="449"/>
      <c r="EGE78" s="450"/>
      <c r="EGF78" s="447"/>
      <c r="EGG78" s="451"/>
      <c r="EGH78" s="449"/>
      <c r="EGI78" s="450"/>
      <c r="EGJ78" s="447"/>
      <c r="EGK78" s="451"/>
      <c r="EGL78" s="449"/>
      <c r="EGM78" s="450"/>
      <c r="EGN78" s="447"/>
      <c r="EGO78" s="451"/>
      <c r="EGP78" s="449"/>
      <c r="EGQ78" s="450"/>
      <c r="EGR78" s="452"/>
      <c r="EGS78" s="451"/>
      <c r="EGT78" s="449"/>
      <c r="EGU78" s="450"/>
      <c r="EGV78" s="447"/>
      <c r="EGW78" s="448"/>
      <c r="EGX78" s="453"/>
      <c r="EGY78" s="449"/>
      <c r="EGZ78" s="450"/>
      <c r="EHA78" s="454"/>
      <c r="EHB78" s="448"/>
      <c r="EHD78" s="449"/>
      <c r="EHE78" s="450"/>
      <c r="EHF78" s="452"/>
      <c r="EHG78" s="448"/>
      <c r="EHI78" s="449"/>
      <c r="EHJ78" s="450"/>
      <c r="EHK78" s="447"/>
      <c r="EHL78" s="448"/>
      <c r="EHN78" s="449"/>
      <c r="EHO78" s="450"/>
      <c r="EHP78" s="452"/>
      <c r="EHQ78" s="448"/>
      <c r="EHR78" s="449"/>
      <c r="EHS78" s="450"/>
      <c r="EHT78" s="452"/>
      <c r="EHU78" s="448"/>
      <c r="EHV78" s="455"/>
      <c r="EHW78" s="449"/>
      <c r="EHX78" s="450"/>
      <c r="EHY78" s="459"/>
      <c r="EHZ78" s="448"/>
      <c r="EIA78" s="456"/>
      <c r="EIB78" s="449"/>
      <c r="EIC78" s="450"/>
      <c r="EID78" s="452"/>
      <c r="EIE78" s="448"/>
      <c r="EIF78" s="449"/>
      <c r="EIG78" s="450"/>
      <c r="EIH78" s="452"/>
      <c r="EII78" s="448"/>
      <c r="EIJ78" s="449"/>
      <c r="EIK78" s="450"/>
      <c r="EIL78" s="447"/>
      <c r="EIM78" s="448"/>
      <c r="EIN78" s="457"/>
      <c r="EIO78" s="460"/>
      <c r="EIP78" s="450"/>
      <c r="EIQ78" s="461"/>
      <c r="EIR78" s="448"/>
      <c r="EIS78" s="456"/>
      <c r="EIT78" s="449"/>
      <c r="EIU78" s="450"/>
      <c r="EIV78" s="452"/>
      <c r="EIW78" s="448"/>
      <c r="EIX78" s="456"/>
      <c r="EIY78" s="458"/>
      <c r="EIZ78" s="458"/>
      <c r="EJB78" s="454"/>
      <c r="EJC78" s="450"/>
      <c r="EJD78" s="454"/>
      <c r="EJE78" s="448"/>
      <c r="EJF78" s="449"/>
      <c r="EJG78" s="450"/>
      <c r="EJH78" s="447"/>
      <c r="EJI78" s="448"/>
      <c r="EJJ78" s="449"/>
      <c r="EJK78" s="450"/>
      <c r="EJL78" s="447"/>
      <c r="EJM78" s="451"/>
      <c r="EJN78" s="449"/>
      <c r="EJO78" s="450"/>
      <c r="EJP78" s="447"/>
      <c r="EJQ78" s="451"/>
      <c r="EJR78" s="449"/>
      <c r="EJS78" s="450"/>
      <c r="EJT78" s="447"/>
      <c r="EJU78" s="451"/>
      <c r="EJV78" s="449"/>
      <c r="EJW78" s="450"/>
      <c r="EJX78" s="452"/>
      <c r="EJY78" s="451"/>
      <c r="EJZ78" s="449"/>
      <c r="EKA78" s="450"/>
      <c r="EKB78" s="447"/>
      <c r="EKC78" s="448"/>
      <c r="EKD78" s="453"/>
      <c r="EKE78" s="449"/>
      <c r="EKF78" s="450"/>
      <c r="EKG78" s="454"/>
      <c r="EKH78" s="448"/>
      <c r="EKJ78" s="449"/>
      <c r="EKK78" s="450"/>
      <c r="EKL78" s="452"/>
      <c r="EKM78" s="448"/>
      <c r="EKO78" s="449"/>
      <c r="EKP78" s="450"/>
      <c r="EKQ78" s="447"/>
      <c r="EKR78" s="448"/>
      <c r="EKT78" s="449"/>
      <c r="EKU78" s="450"/>
      <c r="EKV78" s="452"/>
      <c r="EKW78" s="448"/>
      <c r="EKX78" s="449"/>
      <c r="EKY78" s="450"/>
      <c r="EKZ78" s="452"/>
      <c r="ELA78" s="448"/>
      <c r="ELB78" s="455"/>
      <c r="ELC78" s="449"/>
      <c r="ELD78" s="450"/>
      <c r="ELE78" s="459"/>
      <c r="ELF78" s="448"/>
      <c r="ELG78" s="456"/>
      <c r="ELH78" s="449"/>
      <c r="ELI78" s="450"/>
      <c r="ELJ78" s="452"/>
      <c r="ELK78" s="448"/>
      <c r="ELL78" s="449"/>
      <c r="ELM78" s="450"/>
      <c r="ELN78" s="452"/>
      <c r="ELO78" s="448"/>
      <c r="ELP78" s="449"/>
      <c r="ELQ78" s="450"/>
      <c r="ELR78" s="447"/>
      <c r="ELS78" s="448"/>
      <c r="ELT78" s="457"/>
      <c r="ELU78" s="460"/>
      <c r="ELV78" s="450"/>
      <c r="ELW78" s="461"/>
      <c r="ELX78" s="448"/>
      <c r="ELY78" s="456"/>
      <c r="ELZ78" s="449"/>
      <c r="EMA78" s="450"/>
      <c r="EMB78" s="452"/>
      <c r="EMC78" s="448"/>
      <c r="EMD78" s="456"/>
      <c r="EME78" s="458"/>
      <c r="EMF78" s="458"/>
      <c r="EMH78" s="454"/>
      <c r="EMI78" s="450"/>
      <c r="EMJ78" s="454"/>
      <c r="EMK78" s="448"/>
      <c r="EML78" s="449"/>
      <c r="EMM78" s="450"/>
      <c r="EMN78" s="447"/>
      <c r="EMO78" s="448"/>
      <c r="EMP78" s="449"/>
      <c r="EMQ78" s="450"/>
      <c r="EMR78" s="447"/>
      <c r="EMS78" s="451"/>
      <c r="EMT78" s="449"/>
      <c r="EMU78" s="450"/>
      <c r="EMV78" s="447"/>
      <c r="EMW78" s="451"/>
      <c r="EMX78" s="449"/>
      <c r="EMY78" s="450"/>
      <c r="EMZ78" s="447"/>
      <c r="ENA78" s="451"/>
      <c r="ENB78" s="449"/>
      <c r="ENC78" s="450"/>
      <c r="END78" s="452"/>
      <c r="ENE78" s="451"/>
      <c r="ENF78" s="449"/>
      <c r="ENG78" s="450"/>
      <c r="ENH78" s="447"/>
      <c r="ENI78" s="448"/>
      <c r="ENJ78" s="453"/>
      <c r="ENK78" s="449"/>
      <c r="ENL78" s="450"/>
      <c r="ENM78" s="454"/>
      <c r="ENN78" s="448"/>
      <c r="ENP78" s="449"/>
      <c r="ENQ78" s="450"/>
      <c r="ENR78" s="452"/>
      <c r="ENS78" s="448"/>
      <c r="ENU78" s="449"/>
      <c r="ENV78" s="450"/>
      <c r="ENW78" s="447"/>
      <c r="ENX78" s="448"/>
      <c r="ENZ78" s="449"/>
      <c r="EOA78" s="450"/>
      <c r="EOB78" s="452"/>
      <c r="EOC78" s="448"/>
      <c r="EOD78" s="449"/>
      <c r="EOE78" s="450"/>
      <c r="EOF78" s="452"/>
      <c r="EOG78" s="448"/>
      <c r="EOH78" s="455"/>
      <c r="EOI78" s="449"/>
      <c r="EOJ78" s="450"/>
      <c r="EOK78" s="459"/>
      <c r="EOL78" s="448"/>
      <c r="EOM78" s="456"/>
      <c r="EON78" s="449"/>
      <c r="EOO78" s="450"/>
      <c r="EOP78" s="452"/>
      <c r="EOQ78" s="448"/>
      <c r="EOR78" s="449"/>
      <c r="EOS78" s="450"/>
      <c r="EOT78" s="452"/>
      <c r="EOU78" s="448"/>
      <c r="EOV78" s="449"/>
      <c r="EOW78" s="450"/>
      <c r="EOX78" s="447"/>
      <c r="EOY78" s="448"/>
      <c r="EOZ78" s="457"/>
      <c r="EPA78" s="460"/>
      <c r="EPB78" s="450"/>
      <c r="EPC78" s="461"/>
      <c r="EPD78" s="448"/>
      <c r="EPE78" s="456"/>
      <c r="EPF78" s="449"/>
      <c r="EPG78" s="450"/>
      <c r="EPH78" s="452"/>
      <c r="EPI78" s="448"/>
      <c r="EPJ78" s="456"/>
      <c r="EPK78" s="458"/>
      <c r="EPL78" s="458"/>
      <c r="EPN78" s="454"/>
      <c r="EPO78" s="450"/>
      <c r="EPP78" s="454"/>
      <c r="EPQ78" s="448"/>
      <c r="EPR78" s="449"/>
      <c r="EPS78" s="450"/>
      <c r="EPT78" s="447"/>
      <c r="EPU78" s="448"/>
      <c r="EPV78" s="449"/>
      <c r="EPW78" s="450"/>
      <c r="EPX78" s="447"/>
      <c r="EPY78" s="451"/>
      <c r="EPZ78" s="449"/>
      <c r="EQA78" s="450"/>
      <c r="EQB78" s="447"/>
      <c r="EQC78" s="451"/>
      <c r="EQD78" s="449"/>
      <c r="EQE78" s="450"/>
      <c r="EQF78" s="447"/>
      <c r="EQG78" s="451"/>
      <c r="EQH78" s="449"/>
      <c r="EQI78" s="450"/>
      <c r="EQJ78" s="452"/>
      <c r="EQK78" s="451"/>
      <c r="EQL78" s="449"/>
      <c r="EQM78" s="450"/>
      <c r="EQN78" s="447"/>
      <c r="EQO78" s="448"/>
      <c r="EQP78" s="453"/>
      <c r="EQQ78" s="449"/>
      <c r="EQR78" s="450"/>
      <c r="EQS78" s="454"/>
      <c r="EQT78" s="448"/>
      <c r="EQV78" s="449"/>
      <c r="EQW78" s="450"/>
      <c r="EQX78" s="452"/>
      <c r="EQY78" s="448"/>
      <c r="ERA78" s="449"/>
      <c r="ERB78" s="450"/>
      <c r="ERC78" s="447"/>
      <c r="ERD78" s="448"/>
      <c r="ERF78" s="449"/>
      <c r="ERG78" s="450"/>
      <c r="ERH78" s="452"/>
      <c r="ERI78" s="448"/>
      <c r="ERJ78" s="449"/>
      <c r="ERK78" s="450"/>
      <c r="ERL78" s="452"/>
      <c r="ERM78" s="448"/>
      <c r="ERN78" s="455"/>
      <c r="ERO78" s="449"/>
      <c r="ERP78" s="450"/>
      <c r="ERQ78" s="459"/>
      <c r="ERR78" s="448"/>
      <c r="ERS78" s="456"/>
      <c r="ERT78" s="449"/>
      <c r="ERU78" s="450"/>
      <c r="ERV78" s="452"/>
      <c r="ERW78" s="448"/>
      <c r="ERX78" s="449"/>
      <c r="ERY78" s="450"/>
      <c r="ERZ78" s="452"/>
      <c r="ESA78" s="448"/>
      <c r="ESB78" s="449"/>
      <c r="ESC78" s="450"/>
      <c r="ESD78" s="447"/>
      <c r="ESE78" s="448"/>
      <c r="ESF78" s="457"/>
      <c r="ESG78" s="460"/>
      <c r="ESH78" s="450"/>
      <c r="ESI78" s="461"/>
      <c r="ESJ78" s="448"/>
      <c r="ESK78" s="456"/>
      <c r="ESL78" s="449"/>
      <c r="ESM78" s="450"/>
      <c r="ESN78" s="452"/>
      <c r="ESO78" s="448"/>
      <c r="ESP78" s="456"/>
      <c r="ESQ78" s="458"/>
      <c r="ESR78" s="458"/>
      <c r="EST78" s="454"/>
      <c r="ESU78" s="450"/>
      <c r="ESV78" s="454"/>
      <c r="ESW78" s="448"/>
      <c r="ESX78" s="449"/>
      <c r="ESY78" s="450"/>
      <c r="ESZ78" s="447"/>
      <c r="ETA78" s="448"/>
      <c r="ETB78" s="449"/>
      <c r="ETC78" s="450"/>
      <c r="ETD78" s="447"/>
      <c r="ETE78" s="451"/>
      <c r="ETF78" s="449"/>
      <c r="ETG78" s="450"/>
      <c r="ETH78" s="447"/>
      <c r="ETI78" s="451"/>
      <c r="ETJ78" s="449"/>
      <c r="ETK78" s="450"/>
      <c r="ETL78" s="447"/>
      <c r="ETM78" s="451"/>
      <c r="ETN78" s="449"/>
      <c r="ETO78" s="450"/>
      <c r="ETP78" s="452"/>
      <c r="ETQ78" s="451"/>
      <c r="ETR78" s="449"/>
      <c r="ETS78" s="450"/>
      <c r="ETT78" s="447"/>
      <c r="ETU78" s="448"/>
      <c r="ETV78" s="453"/>
      <c r="ETW78" s="449"/>
      <c r="ETX78" s="450"/>
      <c r="ETY78" s="454"/>
      <c r="ETZ78" s="448"/>
      <c r="EUB78" s="449"/>
      <c r="EUC78" s="450"/>
      <c r="EUD78" s="452"/>
      <c r="EUE78" s="448"/>
      <c r="EUG78" s="449"/>
      <c r="EUH78" s="450"/>
      <c r="EUI78" s="447"/>
      <c r="EUJ78" s="448"/>
      <c r="EUL78" s="449"/>
      <c r="EUM78" s="450"/>
      <c r="EUN78" s="452"/>
      <c r="EUO78" s="448"/>
      <c r="EUP78" s="449"/>
      <c r="EUQ78" s="450"/>
      <c r="EUR78" s="452"/>
      <c r="EUS78" s="448"/>
      <c r="EUT78" s="455"/>
      <c r="EUU78" s="449"/>
      <c r="EUV78" s="450"/>
      <c r="EUW78" s="459"/>
      <c r="EUX78" s="448"/>
      <c r="EUY78" s="456"/>
      <c r="EUZ78" s="449"/>
      <c r="EVA78" s="450"/>
      <c r="EVB78" s="452"/>
      <c r="EVC78" s="448"/>
      <c r="EVD78" s="449"/>
      <c r="EVE78" s="450"/>
      <c r="EVF78" s="452"/>
      <c r="EVG78" s="448"/>
      <c r="EVH78" s="449"/>
      <c r="EVI78" s="450"/>
      <c r="EVJ78" s="447"/>
      <c r="EVK78" s="448"/>
      <c r="EVL78" s="457"/>
      <c r="EVM78" s="460"/>
      <c r="EVN78" s="450"/>
      <c r="EVO78" s="461"/>
      <c r="EVP78" s="448"/>
      <c r="EVQ78" s="456"/>
      <c r="EVR78" s="449"/>
      <c r="EVS78" s="450"/>
      <c r="EVT78" s="452"/>
      <c r="EVU78" s="448"/>
      <c r="EVV78" s="456"/>
      <c r="EVW78" s="458"/>
      <c r="EVX78" s="458"/>
      <c r="EVZ78" s="454"/>
      <c r="EWA78" s="450"/>
      <c r="EWB78" s="454"/>
      <c r="EWC78" s="448"/>
      <c r="EWD78" s="449"/>
      <c r="EWE78" s="450"/>
      <c r="EWF78" s="447"/>
      <c r="EWG78" s="448"/>
      <c r="EWH78" s="449"/>
      <c r="EWI78" s="450"/>
      <c r="EWJ78" s="447"/>
      <c r="EWK78" s="451"/>
      <c r="EWL78" s="449"/>
      <c r="EWM78" s="450"/>
      <c r="EWN78" s="447"/>
      <c r="EWO78" s="451"/>
      <c r="EWP78" s="449"/>
      <c r="EWQ78" s="450"/>
      <c r="EWR78" s="447"/>
      <c r="EWS78" s="451"/>
      <c r="EWT78" s="449"/>
      <c r="EWU78" s="450"/>
      <c r="EWV78" s="452"/>
      <c r="EWW78" s="451"/>
      <c r="EWX78" s="449"/>
      <c r="EWY78" s="450"/>
      <c r="EWZ78" s="447"/>
      <c r="EXA78" s="448"/>
      <c r="EXB78" s="453"/>
      <c r="EXC78" s="449"/>
      <c r="EXD78" s="450"/>
      <c r="EXE78" s="454"/>
      <c r="EXF78" s="448"/>
      <c r="EXH78" s="449"/>
      <c r="EXI78" s="450"/>
      <c r="EXJ78" s="452"/>
      <c r="EXK78" s="448"/>
      <c r="EXM78" s="449"/>
      <c r="EXN78" s="450"/>
      <c r="EXO78" s="447"/>
      <c r="EXP78" s="448"/>
      <c r="EXR78" s="449"/>
      <c r="EXS78" s="450"/>
      <c r="EXT78" s="452"/>
      <c r="EXU78" s="448"/>
      <c r="EXV78" s="449"/>
      <c r="EXW78" s="450"/>
      <c r="EXX78" s="452"/>
      <c r="EXY78" s="448"/>
      <c r="EXZ78" s="455"/>
      <c r="EYA78" s="449"/>
      <c r="EYB78" s="450"/>
      <c r="EYC78" s="459"/>
      <c r="EYD78" s="448"/>
      <c r="EYE78" s="456"/>
      <c r="EYF78" s="449"/>
      <c r="EYG78" s="450"/>
      <c r="EYH78" s="452"/>
      <c r="EYI78" s="448"/>
      <c r="EYJ78" s="449"/>
      <c r="EYK78" s="450"/>
      <c r="EYL78" s="452"/>
      <c r="EYM78" s="448"/>
      <c r="EYN78" s="449"/>
      <c r="EYO78" s="450"/>
      <c r="EYP78" s="447"/>
      <c r="EYQ78" s="448"/>
      <c r="EYR78" s="457"/>
      <c r="EYS78" s="460"/>
      <c r="EYT78" s="450"/>
      <c r="EYU78" s="461"/>
      <c r="EYV78" s="448"/>
      <c r="EYW78" s="456"/>
      <c r="EYX78" s="449"/>
      <c r="EYY78" s="450"/>
      <c r="EYZ78" s="452"/>
      <c r="EZA78" s="448"/>
      <c r="EZB78" s="456"/>
      <c r="EZC78" s="458"/>
      <c r="EZD78" s="458"/>
      <c r="EZF78" s="454"/>
      <c r="EZG78" s="450"/>
      <c r="EZH78" s="454"/>
      <c r="EZI78" s="448"/>
      <c r="EZJ78" s="449"/>
      <c r="EZK78" s="450"/>
      <c r="EZL78" s="447"/>
      <c r="EZM78" s="448"/>
      <c r="EZN78" s="449"/>
      <c r="EZO78" s="450"/>
      <c r="EZP78" s="447"/>
      <c r="EZQ78" s="451"/>
      <c r="EZR78" s="449"/>
      <c r="EZS78" s="450"/>
      <c r="EZT78" s="447"/>
      <c r="EZU78" s="451"/>
      <c r="EZV78" s="449"/>
      <c r="EZW78" s="450"/>
      <c r="EZX78" s="447"/>
      <c r="EZY78" s="451"/>
      <c r="EZZ78" s="449"/>
      <c r="FAA78" s="450"/>
      <c r="FAB78" s="452"/>
      <c r="FAC78" s="451"/>
      <c r="FAD78" s="449"/>
      <c r="FAE78" s="450"/>
      <c r="FAF78" s="447"/>
      <c r="FAG78" s="448"/>
      <c r="FAH78" s="453"/>
      <c r="FAI78" s="449"/>
      <c r="FAJ78" s="450"/>
      <c r="FAK78" s="454"/>
      <c r="FAL78" s="448"/>
      <c r="FAN78" s="449"/>
      <c r="FAO78" s="450"/>
      <c r="FAP78" s="452"/>
      <c r="FAQ78" s="448"/>
      <c r="FAS78" s="449"/>
      <c r="FAT78" s="450"/>
      <c r="FAU78" s="447"/>
      <c r="FAV78" s="448"/>
      <c r="FAX78" s="449"/>
      <c r="FAY78" s="450"/>
      <c r="FAZ78" s="452"/>
      <c r="FBA78" s="448"/>
      <c r="FBB78" s="449"/>
      <c r="FBC78" s="450"/>
      <c r="FBD78" s="452"/>
      <c r="FBE78" s="448"/>
      <c r="FBF78" s="455"/>
      <c r="FBG78" s="449"/>
      <c r="FBH78" s="450"/>
      <c r="FBI78" s="459"/>
      <c r="FBJ78" s="448"/>
      <c r="FBK78" s="456"/>
      <c r="FBL78" s="449"/>
      <c r="FBM78" s="450"/>
      <c r="FBN78" s="452"/>
      <c r="FBO78" s="448"/>
      <c r="FBP78" s="449"/>
      <c r="FBQ78" s="450"/>
      <c r="FBR78" s="452"/>
      <c r="FBS78" s="448"/>
      <c r="FBT78" s="449"/>
      <c r="FBU78" s="450"/>
      <c r="FBV78" s="447"/>
      <c r="FBW78" s="448"/>
      <c r="FBX78" s="457"/>
      <c r="FBY78" s="460"/>
      <c r="FBZ78" s="450"/>
      <c r="FCA78" s="461"/>
      <c r="FCB78" s="448"/>
      <c r="FCC78" s="456"/>
      <c r="FCD78" s="449"/>
      <c r="FCE78" s="450"/>
      <c r="FCF78" s="452"/>
      <c r="FCG78" s="448"/>
      <c r="FCH78" s="456"/>
      <c r="FCI78" s="458"/>
      <c r="FCJ78" s="458"/>
      <c r="FCL78" s="454"/>
      <c r="FCM78" s="450"/>
      <c r="FCN78" s="454"/>
      <c r="FCO78" s="448"/>
      <c r="FCP78" s="449"/>
      <c r="FCQ78" s="450"/>
      <c r="FCR78" s="447"/>
      <c r="FCS78" s="448"/>
      <c r="FCT78" s="449"/>
      <c r="FCU78" s="450"/>
      <c r="FCV78" s="447"/>
      <c r="FCW78" s="451"/>
      <c r="FCX78" s="449"/>
      <c r="FCY78" s="450"/>
      <c r="FCZ78" s="447"/>
      <c r="FDA78" s="451"/>
      <c r="FDB78" s="449"/>
      <c r="FDC78" s="450"/>
      <c r="FDD78" s="447"/>
      <c r="FDE78" s="451"/>
      <c r="FDF78" s="449"/>
      <c r="FDG78" s="450"/>
      <c r="FDH78" s="452"/>
      <c r="FDI78" s="451"/>
      <c r="FDJ78" s="449"/>
      <c r="FDK78" s="450"/>
      <c r="FDL78" s="447"/>
      <c r="FDM78" s="448"/>
      <c r="FDN78" s="453"/>
      <c r="FDO78" s="449"/>
      <c r="FDP78" s="450"/>
      <c r="FDQ78" s="454"/>
      <c r="FDR78" s="448"/>
      <c r="FDT78" s="449"/>
      <c r="FDU78" s="450"/>
      <c r="FDV78" s="452"/>
      <c r="FDW78" s="448"/>
      <c r="FDY78" s="449"/>
      <c r="FDZ78" s="450"/>
      <c r="FEA78" s="447"/>
      <c r="FEB78" s="448"/>
      <c r="FED78" s="449"/>
      <c r="FEE78" s="450"/>
      <c r="FEF78" s="452"/>
      <c r="FEG78" s="448"/>
      <c r="FEH78" s="449"/>
      <c r="FEI78" s="450"/>
      <c r="FEJ78" s="452"/>
      <c r="FEK78" s="448"/>
      <c r="FEL78" s="455"/>
      <c r="FEM78" s="449"/>
      <c r="FEN78" s="450"/>
      <c r="FEO78" s="459"/>
      <c r="FEP78" s="448"/>
      <c r="FEQ78" s="456"/>
      <c r="FER78" s="449"/>
      <c r="FES78" s="450"/>
      <c r="FET78" s="452"/>
      <c r="FEU78" s="448"/>
      <c r="FEV78" s="449"/>
      <c r="FEW78" s="450"/>
      <c r="FEX78" s="452"/>
      <c r="FEY78" s="448"/>
      <c r="FEZ78" s="449"/>
      <c r="FFA78" s="450"/>
      <c r="FFB78" s="447"/>
      <c r="FFC78" s="448"/>
      <c r="FFD78" s="457"/>
      <c r="FFE78" s="460"/>
      <c r="FFF78" s="450"/>
      <c r="FFG78" s="461"/>
      <c r="FFH78" s="448"/>
      <c r="FFI78" s="456"/>
      <c r="FFJ78" s="449"/>
      <c r="FFK78" s="450"/>
      <c r="FFL78" s="452"/>
      <c r="FFM78" s="448"/>
      <c r="FFN78" s="456"/>
      <c r="FFO78" s="458"/>
      <c r="FFP78" s="458"/>
      <c r="FFR78" s="454"/>
      <c r="FFS78" s="450"/>
      <c r="FFT78" s="454"/>
      <c r="FFU78" s="448"/>
      <c r="FFV78" s="449"/>
      <c r="FFW78" s="450"/>
      <c r="FFX78" s="447"/>
      <c r="FFY78" s="448"/>
      <c r="FFZ78" s="449"/>
      <c r="FGA78" s="450"/>
      <c r="FGB78" s="447"/>
      <c r="FGC78" s="451"/>
      <c r="FGD78" s="449"/>
      <c r="FGE78" s="450"/>
      <c r="FGF78" s="447"/>
      <c r="FGG78" s="451"/>
      <c r="FGH78" s="449"/>
      <c r="FGI78" s="450"/>
      <c r="FGJ78" s="447"/>
      <c r="FGK78" s="451"/>
      <c r="FGL78" s="449"/>
      <c r="FGM78" s="450"/>
      <c r="FGN78" s="452"/>
      <c r="FGO78" s="451"/>
      <c r="FGP78" s="449"/>
      <c r="FGQ78" s="450"/>
      <c r="FGR78" s="447"/>
      <c r="FGS78" s="448"/>
      <c r="FGT78" s="453"/>
      <c r="FGU78" s="449"/>
      <c r="FGV78" s="450"/>
      <c r="FGW78" s="454"/>
      <c r="FGX78" s="448"/>
      <c r="FGZ78" s="449"/>
      <c r="FHA78" s="450"/>
      <c r="FHB78" s="452"/>
      <c r="FHC78" s="448"/>
      <c r="FHE78" s="449"/>
      <c r="FHF78" s="450"/>
      <c r="FHG78" s="447"/>
      <c r="FHH78" s="448"/>
      <c r="FHJ78" s="449"/>
      <c r="FHK78" s="450"/>
      <c r="FHL78" s="452"/>
      <c r="FHM78" s="448"/>
      <c r="FHN78" s="449"/>
      <c r="FHO78" s="450"/>
      <c r="FHP78" s="452"/>
      <c r="FHQ78" s="448"/>
      <c r="FHR78" s="455"/>
      <c r="FHS78" s="449"/>
      <c r="FHT78" s="450"/>
      <c r="FHU78" s="459"/>
      <c r="FHV78" s="448"/>
      <c r="FHW78" s="456"/>
      <c r="FHX78" s="449"/>
      <c r="FHY78" s="450"/>
      <c r="FHZ78" s="452"/>
      <c r="FIA78" s="448"/>
      <c r="FIB78" s="449"/>
      <c r="FIC78" s="450"/>
      <c r="FID78" s="452"/>
      <c r="FIE78" s="448"/>
      <c r="FIF78" s="449"/>
      <c r="FIG78" s="450"/>
      <c r="FIH78" s="447"/>
      <c r="FII78" s="448"/>
      <c r="FIJ78" s="457"/>
      <c r="FIK78" s="460"/>
      <c r="FIL78" s="450"/>
      <c r="FIM78" s="461"/>
      <c r="FIN78" s="448"/>
      <c r="FIO78" s="456"/>
      <c r="FIP78" s="449"/>
      <c r="FIQ78" s="450"/>
      <c r="FIR78" s="452"/>
      <c r="FIS78" s="448"/>
      <c r="FIT78" s="456"/>
      <c r="FIU78" s="458"/>
      <c r="FIV78" s="458"/>
      <c r="FIX78" s="454"/>
      <c r="FIY78" s="450"/>
      <c r="FIZ78" s="454"/>
      <c r="FJA78" s="448"/>
      <c r="FJB78" s="449"/>
      <c r="FJC78" s="450"/>
      <c r="FJD78" s="447"/>
      <c r="FJE78" s="448"/>
      <c r="FJF78" s="449"/>
      <c r="FJG78" s="450"/>
      <c r="FJH78" s="447"/>
      <c r="FJI78" s="451"/>
      <c r="FJJ78" s="449"/>
      <c r="FJK78" s="450"/>
      <c r="FJL78" s="447"/>
      <c r="FJM78" s="451"/>
      <c r="FJN78" s="449"/>
      <c r="FJO78" s="450"/>
      <c r="FJP78" s="447"/>
      <c r="FJQ78" s="451"/>
      <c r="FJR78" s="449"/>
      <c r="FJS78" s="450"/>
      <c r="FJT78" s="452"/>
      <c r="FJU78" s="451"/>
      <c r="FJV78" s="449"/>
      <c r="FJW78" s="450"/>
      <c r="FJX78" s="447"/>
      <c r="FJY78" s="448"/>
      <c r="FJZ78" s="453"/>
      <c r="FKA78" s="449"/>
      <c r="FKB78" s="450"/>
      <c r="FKC78" s="454"/>
      <c r="FKD78" s="448"/>
      <c r="FKF78" s="449"/>
      <c r="FKG78" s="450"/>
      <c r="FKH78" s="452"/>
      <c r="FKI78" s="448"/>
      <c r="FKK78" s="449"/>
      <c r="FKL78" s="450"/>
      <c r="FKM78" s="447"/>
      <c r="FKN78" s="448"/>
      <c r="FKP78" s="449"/>
      <c r="FKQ78" s="450"/>
      <c r="FKR78" s="452"/>
      <c r="FKS78" s="448"/>
      <c r="FKT78" s="449"/>
      <c r="FKU78" s="450"/>
      <c r="FKV78" s="452"/>
      <c r="FKW78" s="448"/>
      <c r="FKX78" s="455"/>
      <c r="FKY78" s="449"/>
      <c r="FKZ78" s="450"/>
      <c r="FLA78" s="459"/>
      <c r="FLB78" s="448"/>
      <c r="FLC78" s="456"/>
      <c r="FLD78" s="449"/>
      <c r="FLE78" s="450"/>
      <c r="FLF78" s="452"/>
      <c r="FLG78" s="448"/>
      <c r="FLH78" s="449"/>
      <c r="FLI78" s="450"/>
      <c r="FLJ78" s="452"/>
      <c r="FLK78" s="448"/>
      <c r="FLL78" s="449"/>
      <c r="FLM78" s="450"/>
      <c r="FLN78" s="447"/>
      <c r="FLO78" s="448"/>
      <c r="FLP78" s="457"/>
      <c r="FLQ78" s="460"/>
      <c r="FLR78" s="450"/>
      <c r="FLS78" s="461"/>
      <c r="FLT78" s="448"/>
      <c r="FLU78" s="456"/>
      <c r="FLV78" s="449"/>
      <c r="FLW78" s="450"/>
      <c r="FLX78" s="452"/>
      <c r="FLY78" s="448"/>
      <c r="FLZ78" s="456"/>
      <c r="FMA78" s="458"/>
      <c r="FMB78" s="458"/>
      <c r="FMD78" s="454"/>
      <c r="FME78" s="450"/>
      <c r="FMF78" s="454"/>
      <c r="FMG78" s="448"/>
      <c r="FMH78" s="449"/>
      <c r="FMI78" s="450"/>
      <c r="FMJ78" s="447"/>
      <c r="FMK78" s="448"/>
      <c r="FML78" s="449"/>
      <c r="FMM78" s="450"/>
      <c r="FMN78" s="447"/>
      <c r="FMO78" s="451"/>
      <c r="FMP78" s="449"/>
      <c r="FMQ78" s="450"/>
      <c r="FMR78" s="447"/>
      <c r="FMS78" s="451"/>
      <c r="FMT78" s="449"/>
      <c r="FMU78" s="450"/>
      <c r="FMV78" s="447"/>
      <c r="FMW78" s="451"/>
      <c r="FMX78" s="449"/>
      <c r="FMY78" s="450"/>
      <c r="FMZ78" s="452"/>
      <c r="FNA78" s="451"/>
      <c r="FNB78" s="449"/>
      <c r="FNC78" s="450"/>
      <c r="FND78" s="447"/>
      <c r="FNE78" s="448"/>
      <c r="FNF78" s="453"/>
      <c r="FNG78" s="449"/>
      <c r="FNH78" s="450"/>
      <c r="FNI78" s="454"/>
      <c r="FNJ78" s="448"/>
      <c r="FNL78" s="449"/>
      <c r="FNM78" s="450"/>
      <c r="FNN78" s="452"/>
      <c r="FNO78" s="448"/>
      <c r="FNQ78" s="449"/>
      <c r="FNR78" s="450"/>
      <c r="FNS78" s="447"/>
      <c r="FNT78" s="448"/>
      <c r="FNV78" s="449"/>
      <c r="FNW78" s="450"/>
      <c r="FNX78" s="452"/>
      <c r="FNY78" s="448"/>
      <c r="FNZ78" s="449"/>
      <c r="FOA78" s="450"/>
      <c r="FOB78" s="452"/>
      <c r="FOC78" s="448"/>
      <c r="FOD78" s="455"/>
      <c r="FOE78" s="449"/>
      <c r="FOF78" s="450"/>
      <c r="FOG78" s="459"/>
      <c r="FOH78" s="448"/>
      <c r="FOI78" s="456"/>
      <c r="FOJ78" s="449"/>
      <c r="FOK78" s="450"/>
      <c r="FOL78" s="452"/>
      <c r="FOM78" s="448"/>
      <c r="FON78" s="449"/>
      <c r="FOO78" s="450"/>
      <c r="FOP78" s="452"/>
      <c r="FOQ78" s="448"/>
      <c r="FOR78" s="449"/>
      <c r="FOS78" s="450"/>
      <c r="FOT78" s="447"/>
      <c r="FOU78" s="448"/>
      <c r="FOV78" s="457"/>
      <c r="FOW78" s="460"/>
      <c r="FOX78" s="450"/>
      <c r="FOY78" s="461"/>
      <c r="FOZ78" s="448"/>
      <c r="FPA78" s="456"/>
      <c r="FPB78" s="449"/>
      <c r="FPC78" s="450"/>
      <c r="FPD78" s="452"/>
      <c r="FPE78" s="448"/>
      <c r="FPF78" s="456"/>
      <c r="FPG78" s="458"/>
      <c r="FPH78" s="458"/>
      <c r="FPJ78" s="454"/>
      <c r="FPK78" s="450"/>
      <c r="FPL78" s="454"/>
      <c r="FPM78" s="448"/>
      <c r="FPN78" s="449"/>
      <c r="FPO78" s="450"/>
      <c r="FPP78" s="447"/>
      <c r="FPQ78" s="448"/>
      <c r="FPR78" s="449"/>
      <c r="FPS78" s="450"/>
      <c r="FPT78" s="447"/>
      <c r="FPU78" s="451"/>
      <c r="FPV78" s="449"/>
      <c r="FPW78" s="450"/>
      <c r="FPX78" s="447"/>
      <c r="FPY78" s="451"/>
      <c r="FPZ78" s="449"/>
      <c r="FQA78" s="450"/>
      <c r="FQB78" s="447"/>
      <c r="FQC78" s="451"/>
      <c r="FQD78" s="449"/>
      <c r="FQE78" s="450"/>
      <c r="FQF78" s="452"/>
      <c r="FQG78" s="451"/>
      <c r="FQH78" s="449"/>
      <c r="FQI78" s="450"/>
      <c r="FQJ78" s="447"/>
      <c r="FQK78" s="448"/>
      <c r="FQL78" s="453"/>
      <c r="FQM78" s="449"/>
      <c r="FQN78" s="450"/>
      <c r="FQO78" s="454"/>
      <c r="FQP78" s="448"/>
      <c r="FQR78" s="449"/>
      <c r="FQS78" s="450"/>
      <c r="FQT78" s="452"/>
      <c r="FQU78" s="448"/>
      <c r="FQW78" s="449"/>
      <c r="FQX78" s="450"/>
      <c r="FQY78" s="447"/>
      <c r="FQZ78" s="448"/>
      <c r="FRB78" s="449"/>
      <c r="FRC78" s="450"/>
      <c r="FRD78" s="452"/>
      <c r="FRE78" s="448"/>
      <c r="FRF78" s="449"/>
      <c r="FRG78" s="450"/>
      <c r="FRH78" s="452"/>
      <c r="FRI78" s="448"/>
      <c r="FRJ78" s="455"/>
      <c r="FRK78" s="449"/>
      <c r="FRL78" s="450"/>
      <c r="FRM78" s="459"/>
      <c r="FRN78" s="448"/>
      <c r="FRO78" s="456"/>
      <c r="FRP78" s="449"/>
      <c r="FRQ78" s="450"/>
      <c r="FRR78" s="452"/>
      <c r="FRS78" s="448"/>
      <c r="FRT78" s="449"/>
      <c r="FRU78" s="450"/>
      <c r="FRV78" s="452"/>
      <c r="FRW78" s="448"/>
      <c r="FRX78" s="449"/>
      <c r="FRY78" s="450"/>
      <c r="FRZ78" s="447"/>
      <c r="FSA78" s="448"/>
      <c r="FSB78" s="457"/>
      <c r="FSC78" s="460"/>
      <c r="FSD78" s="450"/>
      <c r="FSE78" s="461"/>
      <c r="FSF78" s="448"/>
      <c r="FSG78" s="456"/>
      <c r="FSH78" s="449"/>
      <c r="FSI78" s="450"/>
      <c r="FSJ78" s="452"/>
      <c r="FSK78" s="448"/>
      <c r="FSL78" s="456"/>
      <c r="FSM78" s="458"/>
      <c r="FSN78" s="458"/>
      <c r="FSP78" s="454"/>
      <c r="FSQ78" s="450"/>
      <c r="FSR78" s="454"/>
      <c r="FSS78" s="448"/>
      <c r="FST78" s="449"/>
      <c r="FSU78" s="450"/>
      <c r="FSV78" s="447"/>
      <c r="FSW78" s="448"/>
      <c r="FSX78" s="449"/>
      <c r="FSY78" s="450"/>
      <c r="FSZ78" s="447"/>
      <c r="FTA78" s="451"/>
      <c r="FTB78" s="449"/>
      <c r="FTC78" s="450"/>
      <c r="FTD78" s="447"/>
      <c r="FTE78" s="451"/>
      <c r="FTF78" s="449"/>
      <c r="FTG78" s="450"/>
      <c r="FTH78" s="447"/>
      <c r="FTI78" s="451"/>
      <c r="FTJ78" s="449"/>
      <c r="FTK78" s="450"/>
      <c r="FTL78" s="452"/>
      <c r="FTM78" s="451"/>
      <c r="FTN78" s="449"/>
      <c r="FTO78" s="450"/>
      <c r="FTP78" s="447"/>
      <c r="FTQ78" s="448"/>
      <c r="FTR78" s="453"/>
      <c r="FTS78" s="449"/>
      <c r="FTT78" s="450"/>
      <c r="FTU78" s="454"/>
      <c r="FTV78" s="448"/>
      <c r="FTX78" s="449"/>
      <c r="FTY78" s="450"/>
      <c r="FTZ78" s="452"/>
      <c r="FUA78" s="448"/>
      <c r="FUC78" s="449"/>
      <c r="FUD78" s="450"/>
      <c r="FUE78" s="447"/>
      <c r="FUF78" s="448"/>
      <c r="FUH78" s="449"/>
      <c r="FUI78" s="450"/>
      <c r="FUJ78" s="452"/>
      <c r="FUK78" s="448"/>
      <c r="FUL78" s="449"/>
      <c r="FUM78" s="450"/>
      <c r="FUN78" s="452"/>
      <c r="FUO78" s="448"/>
      <c r="FUP78" s="455"/>
      <c r="FUQ78" s="449"/>
      <c r="FUR78" s="450"/>
      <c r="FUS78" s="459"/>
      <c r="FUT78" s="448"/>
      <c r="FUU78" s="456"/>
      <c r="FUV78" s="449"/>
      <c r="FUW78" s="450"/>
      <c r="FUX78" s="452"/>
      <c r="FUY78" s="448"/>
      <c r="FUZ78" s="449"/>
      <c r="FVA78" s="450"/>
      <c r="FVB78" s="452"/>
      <c r="FVC78" s="448"/>
      <c r="FVD78" s="449"/>
      <c r="FVE78" s="450"/>
      <c r="FVF78" s="447"/>
      <c r="FVG78" s="448"/>
      <c r="FVH78" s="457"/>
      <c r="FVI78" s="460"/>
      <c r="FVJ78" s="450"/>
      <c r="FVK78" s="461"/>
      <c r="FVL78" s="448"/>
      <c r="FVM78" s="456"/>
      <c r="FVN78" s="449"/>
      <c r="FVO78" s="450"/>
      <c r="FVP78" s="452"/>
      <c r="FVQ78" s="448"/>
      <c r="FVR78" s="456"/>
      <c r="FVS78" s="458"/>
      <c r="FVT78" s="458"/>
      <c r="FVV78" s="454"/>
      <c r="FVW78" s="450"/>
      <c r="FVX78" s="454"/>
      <c r="FVY78" s="448"/>
      <c r="FVZ78" s="449"/>
      <c r="FWA78" s="450"/>
      <c r="FWB78" s="447"/>
      <c r="FWC78" s="448"/>
      <c r="FWD78" s="449"/>
      <c r="FWE78" s="450"/>
      <c r="FWF78" s="447"/>
      <c r="FWG78" s="451"/>
      <c r="FWH78" s="449"/>
      <c r="FWI78" s="450"/>
      <c r="FWJ78" s="447"/>
      <c r="FWK78" s="451"/>
      <c r="FWL78" s="449"/>
      <c r="FWM78" s="450"/>
      <c r="FWN78" s="447"/>
      <c r="FWO78" s="451"/>
      <c r="FWP78" s="449"/>
      <c r="FWQ78" s="450"/>
      <c r="FWR78" s="452"/>
      <c r="FWS78" s="451"/>
      <c r="FWT78" s="449"/>
      <c r="FWU78" s="450"/>
      <c r="FWV78" s="447"/>
      <c r="FWW78" s="448"/>
      <c r="FWX78" s="453"/>
      <c r="FWY78" s="449"/>
      <c r="FWZ78" s="450"/>
      <c r="FXA78" s="454"/>
      <c r="FXB78" s="448"/>
      <c r="FXD78" s="449"/>
      <c r="FXE78" s="450"/>
      <c r="FXF78" s="452"/>
      <c r="FXG78" s="448"/>
      <c r="FXI78" s="449"/>
      <c r="FXJ78" s="450"/>
      <c r="FXK78" s="447"/>
      <c r="FXL78" s="448"/>
      <c r="FXN78" s="449"/>
      <c r="FXO78" s="450"/>
      <c r="FXP78" s="452"/>
      <c r="FXQ78" s="448"/>
      <c r="FXR78" s="449"/>
      <c r="FXS78" s="450"/>
      <c r="FXT78" s="452"/>
      <c r="FXU78" s="448"/>
      <c r="FXV78" s="455"/>
      <c r="FXW78" s="449"/>
      <c r="FXX78" s="450"/>
      <c r="FXY78" s="459"/>
      <c r="FXZ78" s="448"/>
      <c r="FYA78" s="456"/>
      <c r="FYB78" s="449"/>
      <c r="FYC78" s="450"/>
      <c r="FYD78" s="452"/>
      <c r="FYE78" s="448"/>
      <c r="FYF78" s="449"/>
      <c r="FYG78" s="450"/>
      <c r="FYH78" s="452"/>
      <c r="FYI78" s="448"/>
      <c r="FYJ78" s="449"/>
      <c r="FYK78" s="450"/>
      <c r="FYL78" s="447"/>
      <c r="FYM78" s="448"/>
      <c r="FYN78" s="457"/>
      <c r="FYO78" s="460"/>
      <c r="FYP78" s="450"/>
      <c r="FYQ78" s="461"/>
      <c r="FYR78" s="448"/>
      <c r="FYS78" s="456"/>
      <c r="FYT78" s="449"/>
      <c r="FYU78" s="450"/>
      <c r="FYV78" s="452"/>
      <c r="FYW78" s="448"/>
      <c r="FYX78" s="456"/>
      <c r="FYY78" s="458"/>
      <c r="FYZ78" s="458"/>
      <c r="FZB78" s="454"/>
      <c r="FZC78" s="450"/>
      <c r="FZD78" s="454"/>
      <c r="FZE78" s="448"/>
      <c r="FZF78" s="449"/>
      <c r="FZG78" s="450"/>
      <c r="FZH78" s="447"/>
      <c r="FZI78" s="448"/>
      <c r="FZJ78" s="449"/>
      <c r="FZK78" s="450"/>
      <c r="FZL78" s="447"/>
      <c r="FZM78" s="451"/>
      <c r="FZN78" s="449"/>
      <c r="FZO78" s="450"/>
      <c r="FZP78" s="447"/>
      <c r="FZQ78" s="451"/>
      <c r="FZR78" s="449"/>
      <c r="FZS78" s="450"/>
      <c r="FZT78" s="447"/>
      <c r="FZU78" s="451"/>
      <c r="FZV78" s="449"/>
      <c r="FZW78" s="450"/>
      <c r="FZX78" s="452"/>
      <c r="FZY78" s="451"/>
      <c r="FZZ78" s="449"/>
      <c r="GAA78" s="450"/>
      <c r="GAB78" s="447"/>
      <c r="GAC78" s="448"/>
      <c r="GAD78" s="453"/>
      <c r="GAE78" s="449"/>
      <c r="GAF78" s="450"/>
      <c r="GAG78" s="454"/>
      <c r="GAH78" s="448"/>
      <c r="GAJ78" s="449"/>
      <c r="GAK78" s="450"/>
      <c r="GAL78" s="452"/>
      <c r="GAM78" s="448"/>
      <c r="GAO78" s="449"/>
      <c r="GAP78" s="450"/>
      <c r="GAQ78" s="447"/>
      <c r="GAR78" s="448"/>
      <c r="GAT78" s="449"/>
      <c r="GAU78" s="450"/>
      <c r="GAV78" s="452"/>
      <c r="GAW78" s="448"/>
      <c r="GAX78" s="449"/>
      <c r="GAY78" s="450"/>
      <c r="GAZ78" s="452"/>
      <c r="GBA78" s="448"/>
      <c r="GBB78" s="455"/>
      <c r="GBC78" s="449"/>
      <c r="GBD78" s="450"/>
      <c r="GBE78" s="459"/>
      <c r="GBF78" s="448"/>
      <c r="GBG78" s="456"/>
      <c r="GBH78" s="449"/>
      <c r="GBI78" s="450"/>
      <c r="GBJ78" s="452"/>
      <c r="GBK78" s="448"/>
      <c r="GBL78" s="449"/>
      <c r="GBM78" s="450"/>
      <c r="GBN78" s="452"/>
      <c r="GBO78" s="448"/>
      <c r="GBP78" s="449"/>
      <c r="GBQ78" s="450"/>
      <c r="GBR78" s="447"/>
      <c r="GBS78" s="448"/>
      <c r="GBT78" s="457"/>
      <c r="GBU78" s="460"/>
      <c r="GBV78" s="450"/>
      <c r="GBW78" s="461"/>
      <c r="GBX78" s="448"/>
      <c r="GBY78" s="456"/>
      <c r="GBZ78" s="449"/>
      <c r="GCA78" s="450"/>
      <c r="GCB78" s="452"/>
      <c r="GCC78" s="448"/>
      <c r="GCD78" s="456"/>
      <c r="GCE78" s="458"/>
      <c r="GCF78" s="458"/>
      <c r="GCH78" s="454"/>
      <c r="GCI78" s="450"/>
      <c r="GCJ78" s="454"/>
      <c r="GCK78" s="448"/>
      <c r="GCL78" s="449"/>
      <c r="GCM78" s="450"/>
      <c r="GCN78" s="447"/>
      <c r="GCO78" s="448"/>
      <c r="GCP78" s="449"/>
      <c r="GCQ78" s="450"/>
      <c r="GCR78" s="447"/>
      <c r="GCS78" s="451"/>
      <c r="GCT78" s="449"/>
      <c r="GCU78" s="450"/>
      <c r="GCV78" s="447"/>
      <c r="GCW78" s="451"/>
      <c r="GCX78" s="449"/>
      <c r="GCY78" s="450"/>
      <c r="GCZ78" s="447"/>
      <c r="GDA78" s="451"/>
      <c r="GDB78" s="449"/>
      <c r="GDC78" s="450"/>
      <c r="GDD78" s="452"/>
      <c r="GDE78" s="451"/>
      <c r="GDF78" s="449"/>
      <c r="GDG78" s="450"/>
      <c r="GDH78" s="447"/>
      <c r="GDI78" s="448"/>
      <c r="GDJ78" s="453"/>
      <c r="GDK78" s="449"/>
      <c r="GDL78" s="450"/>
      <c r="GDM78" s="454"/>
      <c r="GDN78" s="448"/>
      <c r="GDP78" s="449"/>
      <c r="GDQ78" s="450"/>
      <c r="GDR78" s="452"/>
      <c r="GDS78" s="448"/>
      <c r="GDU78" s="449"/>
      <c r="GDV78" s="450"/>
      <c r="GDW78" s="447"/>
      <c r="GDX78" s="448"/>
      <c r="GDZ78" s="449"/>
      <c r="GEA78" s="450"/>
      <c r="GEB78" s="452"/>
      <c r="GEC78" s="448"/>
      <c r="GED78" s="449"/>
      <c r="GEE78" s="450"/>
      <c r="GEF78" s="452"/>
      <c r="GEG78" s="448"/>
      <c r="GEH78" s="455"/>
      <c r="GEI78" s="449"/>
      <c r="GEJ78" s="450"/>
      <c r="GEK78" s="459"/>
      <c r="GEL78" s="448"/>
      <c r="GEM78" s="456"/>
      <c r="GEN78" s="449"/>
      <c r="GEO78" s="450"/>
      <c r="GEP78" s="452"/>
      <c r="GEQ78" s="448"/>
      <c r="GER78" s="449"/>
      <c r="GES78" s="450"/>
      <c r="GET78" s="452"/>
      <c r="GEU78" s="448"/>
      <c r="GEV78" s="449"/>
      <c r="GEW78" s="450"/>
      <c r="GEX78" s="447"/>
      <c r="GEY78" s="448"/>
      <c r="GEZ78" s="457"/>
      <c r="GFA78" s="460"/>
      <c r="GFB78" s="450"/>
      <c r="GFC78" s="461"/>
      <c r="GFD78" s="448"/>
      <c r="GFE78" s="456"/>
      <c r="GFF78" s="449"/>
      <c r="GFG78" s="450"/>
      <c r="GFH78" s="452"/>
      <c r="GFI78" s="448"/>
      <c r="GFJ78" s="456"/>
      <c r="GFK78" s="458"/>
      <c r="GFL78" s="458"/>
      <c r="GFN78" s="454"/>
      <c r="GFO78" s="450"/>
      <c r="GFP78" s="454"/>
      <c r="GFQ78" s="448"/>
      <c r="GFR78" s="449"/>
      <c r="GFS78" s="450"/>
      <c r="GFT78" s="447"/>
      <c r="GFU78" s="448"/>
      <c r="GFV78" s="449"/>
      <c r="GFW78" s="450"/>
      <c r="GFX78" s="447"/>
      <c r="GFY78" s="451"/>
      <c r="GFZ78" s="449"/>
      <c r="GGA78" s="450"/>
      <c r="GGB78" s="447"/>
      <c r="GGC78" s="451"/>
      <c r="GGD78" s="449"/>
      <c r="GGE78" s="450"/>
      <c r="GGF78" s="447"/>
      <c r="GGG78" s="451"/>
      <c r="GGH78" s="449"/>
      <c r="GGI78" s="450"/>
      <c r="GGJ78" s="452"/>
      <c r="GGK78" s="451"/>
      <c r="GGL78" s="449"/>
      <c r="GGM78" s="450"/>
      <c r="GGN78" s="447"/>
      <c r="GGO78" s="448"/>
      <c r="GGP78" s="453"/>
      <c r="GGQ78" s="449"/>
      <c r="GGR78" s="450"/>
      <c r="GGS78" s="454"/>
      <c r="GGT78" s="448"/>
      <c r="GGV78" s="449"/>
      <c r="GGW78" s="450"/>
      <c r="GGX78" s="452"/>
      <c r="GGY78" s="448"/>
      <c r="GHA78" s="449"/>
      <c r="GHB78" s="450"/>
      <c r="GHC78" s="447"/>
      <c r="GHD78" s="448"/>
      <c r="GHF78" s="449"/>
      <c r="GHG78" s="450"/>
      <c r="GHH78" s="452"/>
      <c r="GHI78" s="448"/>
      <c r="GHJ78" s="449"/>
      <c r="GHK78" s="450"/>
      <c r="GHL78" s="452"/>
      <c r="GHM78" s="448"/>
      <c r="GHN78" s="455"/>
      <c r="GHO78" s="449"/>
      <c r="GHP78" s="450"/>
      <c r="GHQ78" s="459"/>
      <c r="GHR78" s="448"/>
      <c r="GHS78" s="456"/>
      <c r="GHT78" s="449"/>
      <c r="GHU78" s="450"/>
      <c r="GHV78" s="452"/>
      <c r="GHW78" s="448"/>
      <c r="GHX78" s="449"/>
      <c r="GHY78" s="450"/>
      <c r="GHZ78" s="452"/>
      <c r="GIA78" s="448"/>
      <c r="GIB78" s="449"/>
      <c r="GIC78" s="450"/>
      <c r="GID78" s="447"/>
      <c r="GIE78" s="448"/>
      <c r="GIF78" s="457"/>
      <c r="GIG78" s="460"/>
      <c r="GIH78" s="450"/>
      <c r="GII78" s="461"/>
      <c r="GIJ78" s="448"/>
      <c r="GIK78" s="456"/>
      <c r="GIL78" s="449"/>
      <c r="GIM78" s="450"/>
      <c r="GIN78" s="452"/>
      <c r="GIO78" s="448"/>
      <c r="GIP78" s="456"/>
      <c r="GIQ78" s="458"/>
      <c r="GIR78" s="458"/>
      <c r="GIT78" s="454"/>
      <c r="GIU78" s="450"/>
      <c r="GIV78" s="454"/>
      <c r="GIW78" s="448"/>
      <c r="GIX78" s="449"/>
      <c r="GIY78" s="450"/>
      <c r="GIZ78" s="447"/>
      <c r="GJA78" s="448"/>
      <c r="GJB78" s="449"/>
      <c r="GJC78" s="450"/>
      <c r="GJD78" s="447"/>
      <c r="GJE78" s="451"/>
      <c r="GJF78" s="449"/>
      <c r="GJG78" s="450"/>
      <c r="GJH78" s="447"/>
      <c r="GJI78" s="451"/>
      <c r="GJJ78" s="449"/>
      <c r="GJK78" s="450"/>
      <c r="GJL78" s="447"/>
      <c r="GJM78" s="451"/>
      <c r="GJN78" s="449"/>
      <c r="GJO78" s="450"/>
      <c r="GJP78" s="452"/>
      <c r="GJQ78" s="451"/>
      <c r="GJR78" s="449"/>
      <c r="GJS78" s="450"/>
      <c r="GJT78" s="447"/>
      <c r="GJU78" s="448"/>
      <c r="GJV78" s="453"/>
      <c r="GJW78" s="449"/>
      <c r="GJX78" s="450"/>
      <c r="GJY78" s="454"/>
      <c r="GJZ78" s="448"/>
      <c r="GKB78" s="449"/>
      <c r="GKC78" s="450"/>
      <c r="GKD78" s="452"/>
      <c r="GKE78" s="448"/>
      <c r="GKG78" s="449"/>
      <c r="GKH78" s="450"/>
      <c r="GKI78" s="447"/>
      <c r="GKJ78" s="448"/>
      <c r="GKL78" s="449"/>
      <c r="GKM78" s="450"/>
      <c r="GKN78" s="452"/>
      <c r="GKO78" s="448"/>
      <c r="GKP78" s="449"/>
      <c r="GKQ78" s="450"/>
      <c r="GKR78" s="452"/>
      <c r="GKS78" s="448"/>
      <c r="GKT78" s="455"/>
      <c r="GKU78" s="449"/>
      <c r="GKV78" s="450"/>
      <c r="GKW78" s="459"/>
      <c r="GKX78" s="448"/>
      <c r="GKY78" s="456"/>
      <c r="GKZ78" s="449"/>
      <c r="GLA78" s="450"/>
      <c r="GLB78" s="452"/>
      <c r="GLC78" s="448"/>
      <c r="GLD78" s="449"/>
      <c r="GLE78" s="450"/>
      <c r="GLF78" s="452"/>
      <c r="GLG78" s="448"/>
      <c r="GLH78" s="449"/>
      <c r="GLI78" s="450"/>
      <c r="GLJ78" s="447"/>
      <c r="GLK78" s="448"/>
      <c r="GLL78" s="457"/>
      <c r="GLM78" s="460"/>
      <c r="GLN78" s="450"/>
      <c r="GLO78" s="461"/>
      <c r="GLP78" s="448"/>
      <c r="GLQ78" s="456"/>
      <c r="GLR78" s="449"/>
      <c r="GLS78" s="450"/>
      <c r="GLT78" s="452"/>
      <c r="GLU78" s="448"/>
      <c r="GLV78" s="456"/>
      <c r="GLW78" s="458"/>
      <c r="GLX78" s="458"/>
      <c r="GLZ78" s="454"/>
      <c r="GMA78" s="450"/>
      <c r="GMB78" s="454"/>
      <c r="GMC78" s="448"/>
      <c r="GMD78" s="449"/>
      <c r="GME78" s="450"/>
      <c r="GMF78" s="447"/>
      <c r="GMG78" s="448"/>
      <c r="GMH78" s="449"/>
      <c r="GMI78" s="450"/>
      <c r="GMJ78" s="447"/>
      <c r="GMK78" s="451"/>
      <c r="GML78" s="449"/>
      <c r="GMM78" s="450"/>
      <c r="GMN78" s="447"/>
      <c r="GMO78" s="451"/>
      <c r="GMP78" s="449"/>
      <c r="GMQ78" s="450"/>
      <c r="GMR78" s="447"/>
      <c r="GMS78" s="451"/>
      <c r="GMT78" s="449"/>
      <c r="GMU78" s="450"/>
      <c r="GMV78" s="452"/>
      <c r="GMW78" s="451"/>
      <c r="GMX78" s="449"/>
      <c r="GMY78" s="450"/>
      <c r="GMZ78" s="447"/>
      <c r="GNA78" s="448"/>
      <c r="GNB78" s="453"/>
      <c r="GNC78" s="449"/>
      <c r="GND78" s="450"/>
      <c r="GNE78" s="454"/>
      <c r="GNF78" s="448"/>
      <c r="GNH78" s="449"/>
      <c r="GNI78" s="450"/>
      <c r="GNJ78" s="452"/>
      <c r="GNK78" s="448"/>
      <c r="GNM78" s="449"/>
      <c r="GNN78" s="450"/>
      <c r="GNO78" s="447"/>
      <c r="GNP78" s="448"/>
      <c r="GNR78" s="449"/>
      <c r="GNS78" s="450"/>
      <c r="GNT78" s="452"/>
      <c r="GNU78" s="448"/>
      <c r="GNV78" s="449"/>
      <c r="GNW78" s="450"/>
      <c r="GNX78" s="452"/>
      <c r="GNY78" s="448"/>
      <c r="GNZ78" s="455"/>
      <c r="GOA78" s="449"/>
      <c r="GOB78" s="450"/>
      <c r="GOC78" s="459"/>
      <c r="GOD78" s="448"/>
      <c r="GOE78" s="456"/>
      <c r="GOF78" s="449"/>
      <c r="GOG78" s="450"/>
      <c r="GOH78" s="452"/>
      <c r="GOI78" s="448"/>
      <c r="GOJ78" s="449"/>
      <c r="GOK78" s="450"/>
      <c r="GOL78" s="452"/>
      <c r="GOM78" s="448"/>
      <c r="GON78" s="449"/>
      <c r="GOO78" s="450"/>
      <c r="GOP78" s="447"/>
      <c r="GOQ78" s="448"/>
      <c r="GOR78" s="457"/>
      <c r="GOS78" s="460"/>
      <c r="GOT78" s="450"/>
      <c r="GOU78" s="461"/>
      <c r="GOV78" s="448"/>
      <c r="GOW78" s="456"/>
      <c r="GOX78" s="449"/>
      <c r="GOY78" s="450"/>
      <c r="GOZ78" s="452"/>
      <c r="GPA78" s="448"/>
      <c r="GPB78" s="456"/>
      <c r="GPC78" s="458"/>
      <c r="GPD78" s="458"/>
      <c r="GPF78" s="454"/>
      <c r="GPG78" s="450"/>
      <c r="GPH78" s="454"/>
      <c r="GPI78" s="448"/>
      <c r="GPJ78" s="449"/>
      <c r="GPK78" s="450"/>
      <c r="GPL78" s="447"/>
      <c r="GPM78" s="448"/>
      <c r="GPN78" s="449"/>
      <c r="GPO78" s="450"/>
      <c r="GPP78" s="447"/>
      <c r="GPQ78" s="451"/>
      <c r="GPR78" s="449"/>
      <c r="GPS78" s="450"/>
      <c r="GPT78" s="447"/>
      <c r="GPU78" s="451"/>
      <c r="GPV78" s="449"/>
      <c r="GPW78" s="450"/>
      <c r="GPX78" s="447"/>
      <c r="GPY78" s="451"/>
      <c r="GPZ78" s="449"/>
      <c r="GQA78" s="450"/>
      <c r="GQB78" s="452"/>
      <c r="GQC78" s="451"/>
      <c r="GQD78" s="449"/>
      <c r="GQE78" s="450"/>
      <c r="GQF78" s="447"/>
      <c r="GQG78" s="448"/>
      <c r="GQH78" s="453"/>
      <c r="GQI78" s="449"/>
      <c r="GQJ78" s="450"/>
      <c r="GQK78" s="454"/>
      <c r="GQL78" s="448"/>
      <c r="GQN78" s="449"/>
      <c r="GQO78" s="450"/>
      <c r="GQP78" s="452"/>
      <c r="GQQ78" s="448"/>
      <c r="GQS78" s="449"/>
      <c r="GQT78" s="450"/>
      <c r="GQU78" s="447"/>
      <c r="GQV78" s="448"/>
      <c r="GQX78" s="449"/>
      <c r="GQY78" s="450"/>
      <c r="GQZ78" s="452"/>
      <c r="GRA78" s="448"/>
      <c r="GRB78" s="449"/>
      <c r="GRC78" s="450"/>
      <c r="GRD78" s="452"/>
      <c r="GRE78" s="448"/>
      <c r="GRF78" s="455"/>
      <c r="GRG78" s="449"/>
      <c r="GRH78" s="450"/>
      <c r="GRI78" s="459"/>
      <c r="GRJ78" s="448"/>
      <c r="GRK78" s="456"/>
      <c r="GRL78" s="449"/>
      <c r="GRM78" s="450"/>
      <c r="GRN78" s="452"/>
      <c r="GRO78" s="448"/>
      <c r="GRP78" s="449"/>
      <c r="GRQ78" s="450"/>
      <c r="GRR78" s="452"/>
      <c r="GRS78" s="448"/>
      <c r="GRT78" s="449"/>
      <c r="GRU78" s="450"/>
      <c r="GRV78" s="447"/>
      <c r="GRW78" s="448"/>
      <c r="GRX78" s="457"/>
      <c r="GRY78" s="460"/>
      <c r="GRZ78" s="450"/>
      <c r="GSA78" s="461"/>
      <c r="GSB78" s="448"/>
      <c r="GSC78" s="456"/>
      <c r="GSD78" s="449"/>
      <c r="GSE78" s="450"/>
      <c r="GSF78" s="452"/>
      <c r="GSG78" s="448"/>
      <c r="GSH78" s="456"/>
      <c r="GSI78" s="458"/>
      <c r="GSJ78" s="458"/>
      <c r="GSL78" s="454"/>
      <c r="GSM78" s="450"/>
      <c r="GSN78" s="454"/>
      <c r="GSO78" s="448"/>
      <c r="GSP78" s="449"/>
      <c r="GSQ78" s="450"/>
      <c r="GSR78" s="447"/>
      <c r="GSS78" s="448"/>
      <c r="GST78" s="449"/>
      <c r="GSU78" s="450"/>
      <c r="GSV78" s="447"/>
      <c r="GSW78" s="451"/>
      <c r="GSX78" s="449"/>
      <c r="GSY78" s="450"/>
      <c r="GSZ78" s="447"/>
      <c r="GTA78" s="451"/>
      <c r="GTB78" s="449"/>
      <c r="GTC78" s="450"/>
      <c r="GTD78" s="447"/>
      <c r="GTE78" s="451"/>
      <c r="GTF78" s="449"/>
      <c r="GTG78" s="450"/>
      <c r="GTH78" s="452"/>
      <c r="GTI78" s="451"/>
      <c r="GTJ78" s="449"/>
      <c r="GTK78" s="450"/>
      <c r="GTL78" s="447"/>
      <c r="GTM78" s="448"/>
      <c r="GTN78" s="453"/>
      <c r="GTO78" s="449"/>
      <c r="GTP78" s="450"/>
      <c r="GTQ78" s="454"/>
      <c r="GTR78" s="448"/>
      <c r="GTT78" s="449"/>
      <c r="GTU78" s="450"/>
      <c r="GTV78" s="452"/>
      <c r="GTW78" s="448"/>
      <c r="GTY78" s="449"/>
      <c r="GTZ78" s="450"/>
      <c r="GUA78" s="447"/>
      <c r="GUB78" s="448"/>
      <c r="GUD78" s="449"/>
      <c r="GUE78" s="450"/>
      <c r="GUF78" s="452"/>
      <c r="GUG78" s="448"/>
      <c r="GUH78" s="449"/>
      <c r="GUI78" s="450"/>
      <c r="GUJ78" s="452"/>
      <c r="GUK78" s="448"/>
      <c r="GUL78" s="455"/>
      <c r="GUM78" s="449"/>
      <c r="GUN78" s="450"/>
      <c r="GUO78" s="459"/>
      <c r="GUP78" s="448"/>
      <c r="GUQ78" s="456"/>
      <c r="GUR78" s="449"/>
      <c r="GUS78" s="450"/>
      <c r="GUT78" s="452"/>
      <c r="GUU78" s="448"/>
      <c r="GUV78" s="449"/>
      <c r="GUW78" s="450"/>
      <c r="GUX78" s="452"/>
      <c r="GUY78" s="448"/>
      <c r="GUZ78" s="449"/>
      <c r="GVA78" s="450"/>
      <c r="GVB78" s="447"/>
      <c r="GVC78" s="448"/>
      <c r="GVD78" s="457"/>
      <c r="GVE78" s="460"/>
      <c r="GVF78" s="450"/>
      <c r="GVG78" s="461"/>
      <c r="GVH78" s="448"/>
      <c r="GVI78" s="456"/>
      <c r="GVJ78" s="449"/>
      <c r="GVK78" s="450"/>
      <c r="GVL78" s="452"/>
      <c r="GVM78" s="448"/>
      <c r="GVN78" s="456"/>
      <c r="GVO78" s="458"/>
      <c r="GVP78" s="458"/>
      <c r="GVR78" s="454"/>
      <c r="GVS78" s="450"/>
      <c r="GVT78" s="454"/>
      <c r="GVU78" s="448"/>
      <c r="GVV78" s="449"/>
      <c r="GVW78" s="450"/>
      <c r="GVX78" s="447"/>
      <c r="GVY78" s="448"/>
      <c r="GVZ78" s="449"/>
      <c r="GWA78" s="450"/>
      <c r="GWB78" s="447"/>
      <c r="GWC78" s="451"/>
      <c r="GWD78" s="449"/>
      <c r="GWE78" s="450"/>
      <c r="GWF78" s="447"/>
      <c r="GWG78" s="451"/>
      <c r="GWH78" s="449"/>
      <c r="GWI78" s="450"/>
      <c r="GWJ78" s="447"/>
      <c r="GWK78" s="451"/>
      <c r="GWL78" s="449"/>
      <c r="GWM78" s="450"/>
      <c r="GWN78" s="452"/>
      <c r="GWO78" s="451"/>
      <c r="GWP78" s="449"/>
      <c r="GWQ78" s="450"/>
      <c r="GWR78" s="447"/>
      <c r="GWS78" s="448"/>
      <c r="GWT78" s="453"/>
      <c r="GWU78" s="449"/>
      <c r="GWV78" s="450"/>
      <c r="GWW78" s="454"/>
      <c r="GWX78" s="448"/>
      <c r="GWZ78" s="449"/>
      <c r="GXA78" s="450"/>
      <c r="GXB78" s="452"/>
      <c r="GXC78" s="448"/>
      <c r="GXE78" s="449"/>
      <c r="GXF78" s="450"/>
      <c r="GXG78" s="447"/>
      <c r="GXH78" s="448"/>
      <c r="GXJ78" s="449"/>
      <c r="GXK78" s="450"/>
      <c r="GXL78" s="452"/>
      <c r="GXM78" s="448"/>
      <c r="GXN78" s="449"/>
      <c r="GXO78" s="450"/>
      <c r="GXP78" s="452"/>
      <c r="GXQ78" s="448"/>
      <c r="GXR78" s="455"/>
      <c r="GXS78" s="449"/>
      <c r="GXT78" s="450"/>
      <c r="GXU78" s="459"/>
      <c r="GXV78" s="448"/>
      <c r="GXW78" s="456"/>
      <c r="GXX78" s="449"/>
      <c r="GXY78" s="450"/>
      <c r="GXZ78" s="452"/>
      <c r="GYA78" s="448"/>
      <c r="GYB78" s="449"/>
      <c r="GYC78" s="450"/>
      <c r="GYD78" s="452"/>
      <c r="GYE78" s="448"/>
      <c r="GYF78" s="449"/>
      <c r="GYG78" s="450"/>
      <c r="GYH78" s="447"/>
      <c r="GYI78" s="448"/>
      <c r="GYJ78" s="457"/>
      <c r="GYK78" s="460"/>
      <c r="GYL78" s="450"/>
      <c r="GYM78" s="461"/>
      <c r="GYN78" s="448"/>
      <c r="GYO78" s="456"/>
      <c r="GYP78" s="449"/>
      <c r="GYQ78" s="450"/>
      <c r="GYR78" s="452"/>
      <c r="GYS78" s="448"/>
      <c r="GYT78" s="456"/>
      <c r="GYU78" s="458"/>
      <c r="GYV78" s="458"/>
      <c r="GYX78" s="454"/>
      <c r="GYY78" s="450"/>
      <c r="GYZ78" s="454"/>
      <c r="GZA78" s="448"/>
      <c r="GZB78" s="449"/>
      <c r="GZC78" s="450"/>
      <c r="GZD78" s="447"/>
      <c r="GZE78" s="448"/>
      <c r="GZF78" s="449"/>
      <c r="GZG78" s="450"/>
      <c r="GZH78" s="447"/>
      <c r="GZI78" s="451"/>
      <c r="GZJ78" s="449"/>
      <c r="GZK78" s="450"/>
      <c r="GZL78" s="447"/>
      <c r="GZM78" s="451"/>
      <c r="GZN78" s="449"/>
      <c r="GZO78" s="450"/>
      <c r="GZP78" s="447"/>
      <c r="GZQ78" s="451"/>
      <c r="GZR78" s="449"/>
      <c r="GZS78" s="450"/>
      <c r="GZT78" s="452"/>
      <c r="GZU78" s="451"/>
      <c r="GZV78" s="449"/>
      <c r="GZW78" s="450"/>
      <c r="GZX78" s="447"/>
      <c r="GZY78" s="448"/>
      <c r="GZZ78" s="453"/>
      <c r="HAA78" s="449"/>
      <c r="HAB78" s="450"/>
      <c r="HAC78" s="454"/>
      <c r="HAD78" s="448"/>
      <c r="HAF78" s="449"/>
      <c r="HAG78" s="450"/>
      <c r="HAH78" s="452"/>
      <c r="HAI78" s="448"/>
      <c r="HAK78" s="449"/>
      <c r="HAL78" s="450"/>
      <c r="HAM78" s="447"/>
      <c r="HAN78" s="448"/>
      <c r="HAP78" s="449"/>
      <c r="HAQ78" s="450"/>
      <c r="HAR78" s="452"/>
      <c r="HAS78" s="448"/>
      <c r="HAT78" s="449"/>
      <c r="HAU78" s="450"/>
      <c r="HAV78" s="452"/>
      <c r="HAW78" s="448"/>
      <c r="HAX78" s="455"/>
      <c r="HAY78" s="449"/>
      <c r="HAZ78" s="450"/>
      <c r="HBA78" s="459"/>
      <c r="HBB78" s="448"/>
      <c r="HBC78" s="456"/>
      <c r="HBD78" s="449"/>
      <c r="HBE78" s="450"/>
      <c r="HBF78" s="452"/>
      <c r="HBG78" s="448"/>
      <c r="HBH78" s="449"/>
      <c r="HBI78" s="450"/>
      <c r="HBJ78" s="452"/>
      <c r="HBK78" s="448"/>
      <c r="HBL78" s="449"/>
      <c r="HBM78" s="450"/>
      <c r="HBN78" s="447"/>
      <c r="HBO78" s="448"/>
      <c r="HBP78" s="457"/>
      <c r="HBQ78" s="460"/>
      <c r="HBR78" s="450"/>
      <c r="HBS78" s="461"/>
      <c r="HBT78" s="448"/>
      <c r="HBU78" s="456"/>
      <c r="HBV78" s="449"/>
      <c r="HBW78" s="450"/>
      <c r="HBX78" s="452"/>
      <c r="HBY78" s="448"/>
      <c r="HBZ78" s="456"/>
      <c r="HCA78" s="458"/>
      <c r="HCB78" s="458"/>
      <c r="HCD78" s="454"/>
      <c r="HCE78" s="450"/>
      <c r="HCF78" s="454"/>
      <c r="HCG78" s="448"/>
      <c r="HCH78" s="449"/>
      <c r="HCI78" s="450"/>
      <c r="HCJ78" s="447"/>
      <c r="HCK78" s="448"/>
      <c r="HCL78" s="449"/>
      <c r="HCM78" s="450"/>
      <c r="HCN78" s="447"/>
      <c r="HCO78" s="451"/>
      <c r="HCP78" s="449"/>
      <c r="HCQ78" s="450"/>
      <c r="HCR78" s="447"/>
      <c r="HCS78" s="451"/>
      <c r="HCT78" s="449"/>
      <c r="HCU78" s="450"/>
      <c r="HCV78" s="447"/>
      <c r="HCW78" s="451"/>
      <c r="HCX78" s="449"/>
      <c r="HCY78" s="450"/>
      <c r="HCZ78" s="452"/>
      <c r="HDA78" s="451"/>
      <c r="HDB78" s="449"/>
      <c r="HDC78" s="450"/>
      <c r="HDD78" s="447"/>
      <c r="HDE78" s="448"/>
      <c r="HDF78" s="453"/>
      <c r="HDG78" s="449"/>
      <c r="HDH78" s="450"/>
      <c r="HDI78" s="454"/>
      <c r="HDJ78" s="448"/>
      <c r="HDL78" s="449"/>
      <c r="HDM78" s="450"/>
      <c r="HDN78" s="452"/>
      <c r="HDO78" s="448"/>
      <c r="HDQ78" s="449"/>
      <c r="HDR78" s="450"/>
      <c r="HDS78" s="447"/>
      <c r="HDT78" s="448"/>
      <c r="HDV78" s="449"/>
      <c r="HDW78" s="450"/>
      <c r="HDX78" s="452"/>
      <c r="HDY78" s="448"/>
      <c r="HDZ78" s="449"/>
      <c r="HEA78" s="450"/>
      <c r="HEB78" s="452"/>
      <c r="HEC78" s="448"/>
      <c r="HED78" s="455"/>
      <c r="HEE78" s="449"/>
      <c r="HEF78" s="450"/>
      <c r="HEG78" s="459"/>
      <c r="HEH78" s="448"/>
      <c r="HEI78" s="456"/>
      <c r="HEJ78" s="449"/>
      <c r="HEK78" s="450"/>
      <c r="HEL78" s="452"/>
      <c r="HEM78" s="448"/>
      <c r="HEN78" s="449"/>
      <c r="HEO78" s="450"/>
      <c r="HEP78" s="452"/>
      <c r="HEQ78" s="448"/>
      <c r="HER78" s="449"/>
      <c r="HES78" s="450"/>
      <c r="HET78" s="447"/>
      <c r="HEU78" s="448"/>
      <c r="HEV78" s="457"/>
      <c r="HEW78" s="460"/>
      <c r="HEX78" s="450"/>
      <c r="HEY78" s="461"/>
      <c r="HEZ78" s="448"/>
      <c r="HFA78" s="456"/>
      <c r="HFB78" s="449"/>
      <c r="HFC78" s="450"/>
      <c r="HFD78" s="452"/>
      <c r="HFE78" s="448"/>
      <c r="HFF78" s="456"/>
      <c r="HFG78" s="458"/>
      <c r="HFH78" s="458"/>
      <c r="HFJ78" s="454"/>
      <c r="HFK78" s="450"/>
      <c r="HFL78" s="454"/>
      <c r="HFM78" s="448"/>
      <c r="HFN78" s="449"/>
      <c r="HFO78" s="450"/>
      <c r="HFP78" s="447"/>
      <c r="HFQ78" s="448"/>
      <c r="HFR78" s="449"/>
      <c r="HFS78" s="450"/>
      <c r="HFT78" s="447"/>
      <c r="HFU78" s="451"/>
      <c r="HFV78" s="449"/>
      <c r="HFW78" s="450"/>
      <c r="HFX78" s="447"/>
      <c r="HFY78" s="451"/>
      <c r="HFZ78" s="449"/>
      <c r="HGA78" s="450"/>
      <c r="HGB78" s="447"/>
      <c r="HGC78" s="451"/>
      <c r="HGD78" s="449"/>
      <c r="HGE78" s="450"/>
      <c r="HGF78" s="452"/>
      <c r="HGG78" s="451"/>
      <c r="HGH78" s="449"/>
      <c r="HGI78" s="450"/>
      <c r="HGJ78" s="447"/>
      <c r="HGK78" s="448"/>
      <c r="HGL78" s="453"/>
      <c r="HGM78" s="449"/>
      <c r="HGN78" s="450"/>
      <c r="HGO78" s="454"/>
      <c r="HGP78" s="448"/>
      <c r="HGR78" s="449"/>
      <c r="HGS78" s="450"/>
      <c r="HGT78" s="452"/>
      <c r="HGU78" s="448"/>
      <c r="HGW78" s="449"/>
      <c r="HGX78" s="450"/>
      <c r="HGY78" s="447"/>
      <c r="HGZ78" s="448"/>
      <c r="HHB78" s="449"/>
      <c r="HHC78" s="450"/>
      <c r="HHD78" s="452"/>
      <c r="HHE78" s="448"/>
      <c r="HHF78" s="449"/>
      <c r="HHG78" s="450"/>
      <c r="HHH78" s="452"/>
      <c r="HHI78" s="448"/>
      <c r="HHJ78" s="455"/>
      <c r="HHK78" s="449"/>
      <c r="HHL78" s="450"/>
      <c r="HHM78" s="459"/>
      <c r="HHN78" s="448"/>
      <c r="HHO78" s="456"/>
      <c r="HHP78" s="449"/>
      <c r="HHQ78" s="450"/>
      <c r="HHR78" s="452"/>
      <c r="HHS78" s="448"/>
      <c r="HHT78" s="449"/>
      <c r="HHU78" s="450"/>
      <c r="HHV78" s="452"/>
      <c r="HHW78" s="448"/>
      <c r="HHX78" s="449"/>
      <c r="HHY78" s="450"/>
      <c r="HHZ78" s="447"/>
      <c r="HIA78" s="448"/>
      <c r="HIB78" s="457"/>
      <c r="HIC78" s="460"/>
      <c r="HID78" s="450"/>
      <c r="HIE78" s="461"/>
      <c r="HIF78" s="448"/>
      <c r="HIG78" s="456"/>
      <c r="HIH78" s="449"/>
      <c r="HII78" s="450"/>
      <c r="HIJ78" s="452"/>
      <c r="HIK78" s="448"/>
      <c r="HIL78" s="456"/>
      <c r="HIM78" s="458"/>
      <c r="HIN78" s="458"/>
      <c r="HIP78" s="454"/>
      <c r="HIQ78" s="450"/>
      <c r="HIR78" s="454"/>
      <c r="HIS78" s="448"/>
      <c r="HIT78" s="449"/>
      <c r="HIU78" s="450"/>
      <c r="HIV78" s="447"/>
      <c r="HIW78" s="448"/>
      <c r="HIX78" s="449"/>
      <c r="HIY78" s="450"/>
      <c r="HIZ78" s="447"/>
      <c r="HJA78" s="451"/>
      <c r="HJB78" s="449"/>
      <c r="HJC78" s="450"/>
      <c r="HJD78" s="447"/>
      <c r="HJE78" s="451"/>
      <c r="HJF78" s="449"/>
      <c r="HJG78" s="450"/>
      <c r="HJH78" s="447"/>
      <c r="HJI78" s="451"/>
      <c r="HJJ78" s="449"/>
      <c r="HJK78" s="450"/>
      <c r="HJL78" s="452"/>
      <c r="HJM78" s="451"/>
      <c r="HJN78" s="449"/>
      <c r="HJO78" s="450"/>
      <c r="HJP78" s="447"/>
      <c r="HJQ78" s="448"/>
      <c r="HJR78" s="453"/>
      <c r="HJS78" s="449"/>
      <c r="HJT78" s="450"/>
      <c r="HJU78" s="454"/>
      <c r="HJV78" s="448"/>
      <c r="HJX78" s="449"/>
      <c r="HJY78" s="450"/>
      <c r="HJZ78" s="452"/>
      <c r="HKA78" s="448"/>
      <c r="HKC78" s="449"/>
      <c r="HKD78" s="450"/>
      <c r="HKE78" s="447"/>
      <c r="HKF78" s="448"/>
      <c r="HKH78" s="449"/>
      <c r="HKI78" s="450"/>
      <c r="HKJ78" s="452"/>
      <c r="HKK78" s="448"/>
      <c r="HKL78" s="449"/>
      <c r="HKM78" s="450"/>
      <c r="HKN78" s="452"/>
      <c r="HKO78" s="448"/>
      <c r="HKP78" s="455"/>
      <c r="HKQ78" s="449"/>
      <c r="HKR78" s="450"/>
      <c r="HKS78" s="459"/>
      <c r="HKT78" s="448"/>
      <c r="HKU78" s="456"/>
      <c r="HKV78" s="449"/>
      <c r="HKW78" s="450"/>
      <c r="HKX78" s="452"/>
      <c r="HKY78" s="448"/>
      <c r="HKZ78" s="449"/>
      <c r="HLA78" s="450"/>
      <c r="HLB78" s="452"/>
      <c r="HLC78" s="448"/>
      <c r="HLD78" s="449"/>
      <c r="HLE78" s="450"/>
      <c r="HLF78" s="447"/>
      <c r="HLG78" s="448"/>
      <c r="HLH78" s="457"/>
      <c r="HLI78" s="460"/>
      <c r="HLJ78" s="450"/>
      <c r="HLK78" s="461"/>
      <c r="HLL78" s="448"/>
      <c r="HLM78" s="456"/>
      <c r="HLN78" s="449"/>
      <c r="HLO78" s="450"/>
      <c r="HLP78" s="452"/>
      <c r="HLQ78" s="448"/>
      <c r="HLR78" s="456"/>
      <c r="HLS78" s="458"/>
      <c r="HLT78" s="458"/>
      <c r="HLV78" s="454"/>
      <c r="HLW78" s="450"/>
      <c r="HLX78" s="454"/>
      <c r="HLY78" s="448"/>
      <c r="HLZ78" s="449"/>
      <c r="HMA78" s="450"/>
      <c r="HMB78" s="447"/>
      <c r="HMC78" s="448"/>
      <c r="HMD78" s="449"/>
      <c r="HME78" s="450"/>
      <c r="HMF78" s="447"/>
      <c r="HMG78" s="451"/>
      <c r="HMH78" s="449"/>
      <c r="HMI78" s="450"/>
      <c r="HMJ78" s="447"/>
      <c r="HMK78" s="451"/>
      <c r="HML78" s="449"/>
      <c r="HMM78" s="450"/>
      <c r="HMN78" s="447"/>
      <c r="HMO78" s="451"/>
      <c r="HMP78" s="449"/>
      <c r="HMQ78" s="450"/>
      <c r="HMR78" s="452"/>
      <c r="HMS78" s="451"/>
      <c r="HMT78" s="449"/>
      <c r="HMU78" s="450"/>
      <c r="HMV78" s="447"/>
      <c r="HMW78" s="448"/>
      <c r="HMX78" s="453"/>
      <c r="HMY78" s="449"/>
      <c r="HMZ78" s="450"/>
      <c r="HNA78" s="454"/>
      <c r="HNB78" s="448"/>
      <c r="HND78" s="449"/>
      <c r="HNE78" s="450"/>
      <c r="HNF78" s="452"/>
      <c r="HNG78" s="448"/>
      <c r="HNI78" s="449"/>
      <c r="HNJ78" s="450"/>
      <c r="HNK78" s="447"/>
      <c r="HNL78" s="448"/>
      <c r="HNN78" s="449"/>
      <c r="HNO78" s="450"/>
      <c r="HNP78" s="452"/>
      <c r="HNQ78" s="448"/>
      <c r="HNR78" s="449"/>
      <c r="HNS78" s="450"/>
      <c r="HNT78" s="452"/>
      <c r="HNU78" s="448"/>
      <c r="HNV78" s="455"/>
      <c r="HNW78" s="449"/>
      <c r="HNX78" s="450"/>
      <c r="HNY78" s="459"/>
      <c r="HNZ78" s="448"/>
      <c r="HOA78" s="456"/>
      <c r="HOB78" s="449"/>
      <c r="HOC78" s="450"/>
      <c r="HOD78" s="452"/>
      <c r="HOE78" s="448"/>
      <c r="HOF78" s="449"/>
      <c r="HOG78" s="450"/>
      <c r="HOH78" s="452"/>
      <c r="HOI78" s="448"/>
      <c r="HOJ78" s="449"/>
      <c r="HOK78" s="450"/>
      <c r="HOL78" s="447"/>
      <c r="HOM78" s="448"/>
      <c r="HON78" s="457"/>
      <c r="HOO78" s="460"/>
      <c r="HOP78" s="450"/>
      <c r="HOQ78" s="461"/>
      <c r="HOR78" s="448"/>
      <c r="HOS78" s="456"/>
      <c r="HOT78" s="449"/>
      <c r="HOU78" s="450"/>
      <c r="HOV78" s="452"/>
      <c r="HOW78" s="448"/>
      <c r="HOX78" s="456"/>
      <c r="HOY78" s="458"/>
      <c r="HOZ78" s="458"/>
      <c r="HPB78" s="454"/>
      <c r="HPC78" s="450"/>
      <c r="HPD78" s="454"/>
      <c r="HPE78" s="448"/>
      <c r="HPF78" s="449"/>
      <c r="HPG78" s="450"/>
      <c r="HPH78" s="447"/>
      <c r="HPI78" s="448"/>
      <c r="HPJ78" s="449"/>
      <c r="HPK78" s="450"/>
      <c r="HPL78" s="447"/>
      <c r="HPM78" s="451"/>
      <c r="HPN78" s="449"/>
      <c r="HPO78" s="450"/>
      <c r="HPP78" s="447"/>
      <c r="HPQ78" s="451"/>
      <c r="HPR78" s="449"/>
      <c r="HPS78" s="450"/>
      <c r="HPT78" s="447"/>
      <c r="HPU78" s="451"/>
      <c r="HPV78" s="449"/>
      <c r="HPW78" s="450"/>
      <c r="HPX78" s="452"/>
      <c r="HPY78" s="451"/>
      <c r="HPZ78" s="449"/>
      <c r="HQA78" s="450"/>
      <c r="HQB78" s="447"/>
      <c r="HQC78" s="448"/>
      <c r="HQD78" s="453"/>
      <c r="HQE78" s="449"/>
      <c r="HQF78" s="450"/>
      <c r="HQG78" s="454"/>
      <c r="HQH78" s="448"/>
      <c r="HQJ78" s="449"/>
      <c r="HQK78" s="450"/>
      <c r="HQL78" s="452"/>
      <c r="HQM78" s="448"/>
      <c r="HQO78" s="449"/>
      <c r="HQP78" s="450"/>
      <c r="HQQ78" s="447"/>
      <c r="HQR78" s="448"/>
      <c r="HQT78" s="449"/>
      <c r="HQU78" s="450"/>
      <c r="HQV78" s="452"/>
      <c r="HQW78" s="448"/>
      <c r="HQX78" s="449"/>
      <c r="HQY78" s="450"/>
      <c r="HQZ78" s="452"/>
      <c r="HRA78" s="448"/>
      <c r="HRB78" s="455"/>
      <c r="HRC78" s="449"/>
      <c r="HRD78" s="450"/>
      <c r="HRE78" s="459"/>
      <c r="HRF78" s="448"/>
      <c r="HRG78" s="456"/>
      <c r="HRH78" s="449"/>
      <c r="HRI78" s="450"/>
      <c r="HRJ78" s="452"/>
      <c r="HRK78" s="448"/>
      <c r="HRL78" s="449"/>
      <c r="HRM78" s="450"/>
      <c r="HRN78" s="452"/>
      <c r="HRO78" s="448"/>
      <c r="HRP78" s="449"/>
      <c r="HRQ78" s="450"/>
      <c r="HRR78" s="447"/>
      <c r="HRS78" s="448"/>
      <c r="HRT78" s="457"/>
      <c r="HRU78" s="460"/>
      <c r="HRV78" s="450"/>
      <c r="HRW78" s="461"/>
      <c r="HRX78" s="448"/>
      <c r="HRY78" s="456"/>
      <c r="HRZ78" s="449"/>
      <c r="HSA78" s="450"/>
      <c r="HSB78" s="452"/>
      <c r="HSC78" s="448"/>
      <c r="HSD78" s="456"/>
      <c r="HSE78" s="458"/>
      <c r="HSF78" s="458"/>
      <c r="HSH78" s="454"/>
      <c r="HSI78" s="450"/>
      <c r="HSJ78" s="454"/>
      <c r="HSK78" s="448"/>
      <c r="HSL78" s="449"/>
      <c r="HSM78" s="450"/>
      <c r="HSN78" s="447"/>
      <c r="HSO78" s="448"/>
      <c r="HSP78" s="449"/>
      <c r="HSQ78" s="450"/>
      <c r="HSR78" s="447"/>
      <c r="HSS78" s="451"/>
      <c r="HST78" s="449"/>
      <c r="HSU78" s="450"/>
      <c r="HSV78" s="447"/>
      <c r="HSW78" s="451"/>
      <c r="HSX78" s="449"/>
      <c r="HSY78" s="450"/>
      <c r="HSZ78" s="447"/>
      <c r="HTA78" s="451"/>
      <c r="HTB78" s="449"/>
      <c r="HTC78" s="450"/>
      <c r="HTD78" s="452"/>
      <c r="HTE78" s="451"/>
      <c r="HTF78" s="449"/>
      <c r="HTG78" s="450"/>
      <c r="HTH78" s="447"/>
      <c r="HTI78" s="448"/>
      <c r="HTJ78" s="453"/>
      <c r="HTK78" s="449"/>
      <c r="HTL78" s="450"/>
      <c r="HTM78" s="454"/>
      <c r="HTN78" s="448"/>
      <c r="HTP78" s="449"/>
      <c r="HTQ78" s="450"/>
      <c r="HTR78" s="452"/>
      <c r="HTS78" s="448"/>
      <c r="HTU78" s="449"/>
      <c r="HTV78" s="450"/>
      <c r="HTW78" s="447"/>
      <c r="HTX78" s="448"/>
      <c r="HTZ78" s="449"/>
      <c r="HUA78" s="450"/>
      <c r="HUB78" s="452"/>
      <c r="HUC78" s="448"/>
      <c r="HUD78" s="449"/>
      <c r="HUE78" s="450"/>
      <c r="HUF78" s="452"/>
      <c r="HUG78" s="448"/>
      <c r="HUH78" s="455"/>
      <c r="HUI78" s="449"/>
      <c r="HUJ78" s="450"/>
      <c r="HUK78" s="459"/>
      <c r="HUL78" s="448"/>
      <c r="HUM78" s="456"/>
      <c r="HUN78" s="449"/>
      <c r="HUO78" s="450"/>
      <c r="HUP78" s="452"/>
      <c r="HUQ78" s="448"/>
      <c r="HUR78" s="449"/>
      <c r="HUS78" s="450"/>
      <c r="HUT78" s="452"/>
      <c r="HUU78" s="448"/>
      <c r="HUV78" s="449"/>
      <c r="HUW78" s="450"/>
      <c r="HUX78" s="447"/>
      <c r="HUY78" s="448"/>
      <c r="HUZ78" s="457"/>
      <c r="HVA78" s="460"/>
      <c r="HVB78" s="450"/>
      <c r="HVC78" s="461"/>
      <c r="HVD78" s="448"/>
      <c r="HVE78" s="456"/>
      <c r="HVF78" s="449"/>
      <c r="HVG78" s="450"/>
      <c r="HVH78" s="452"/>
      <c r="HVI78" s="448"/>
      <c r="HVJ78" s="456"/>
      <c r="HVK78" s="458"/>
      <c r="HVL78" s="458"/>
      <c r="HVN78" s="454"/>
      <c r="HVO78" s="450"/>
      <c r="HVP78" s="454"/>
      <c r="HVQ78" s="448"/>
      <c r="HVR78" s="449"/>
      <c r="HVS78" s="450"/>
      <c r="HVT78" s="447"/>
      <c r="HVU78" s="448"/>
      <c r="HVV78" s="449"/>
      <c r="HVW78" s="450"/>
      <c r="HVX78" s="447"/>
      <c r="HVY78" s="451"/>
      <c r="HVZ78" s="449"/>
      <c r="HWA78" s="450"/>
      <c r="HWB78" s="447"/>
      <c r="HWC78" s="451"/>
      <c r="HWD78" s="449"/>
      <c r="HWE78" s="450"/>
      <c r="HWF78" s="447"/>
      <c r="HWG78" s="451"/>
      <c r="HWH78" s="449"/>
      <c r="HWI78" s="450"/>
      <c r="HWJ78" s="452"/>
      <c r="HWK78" s="451"/>
      <c r="HWL78" s="449"/>
      <c r="HWM78" s="450"/>
      <c r="HWN78" s="447"/>
      <c r="HWO78" s="448"/>
      <c r="HWP78" s="453"/>
      <c r="HWQ78" s="449"/>
      <c r="HWR78" s="450"/>
      <c r="HWS78" s="454"/>
      <c r="HWT78" s="448"/>
      <c r="HWV78" s="449"/>
      <c r="HWW78" s="450"/>
      <c r="HWX78" s="452"/>
      <c r="HWY78" s="448"/>
      <c r="HXA78" s="449"/>
      <c r="HXB78" s="450"/>
      <c r="HXC78" s="447"/>
      <c r="HXD78" s="448"/>
      <c r="HXF78" s="449"/>
      <c r="HXG78" s="450"/>
      <c r="HXH78" s="452"/>
      <c r="HXI78" s="448"/>
      <c r="HXJ78" s="449"/>
      <c r="HXK78" s="450"/>
      <c r="HXL78" s="452"/>
      <c r="HXM78" s="448"/>
      <c r="HXN78" s="455"/>
      <c r="HXO78" s="449"/>
      <c r="HXP78" s="450"/>
      <c r="HXQ78" s="459"/>
      <c r="HXR78" s="448"/>
      <c r="HXS78" s="456"/>
      <c r="HXT78" s="449"/>
      <c r="HXU78" s="450"/>
      <c r="HXV78" s="452"/>
      <c r="HXW78" s="448"/>
      <c r="HXX78" s="449"/>
      <c r="HXY78" s="450"/>
      <c r="HXZ78" s="452"/>
      <c r="HYA78" s="448"/>
      <c r="HYB78" s="449"/>
      <c r="HYC78" s="450"/>
      <c r="HYD78" s="447"/>
      <c r="HYE78" s="448"/>
      <c r="HYF78" s="457"/>
      <c r="HYG78" s="460"/>
      <c r="HYH78" s="450"/>
      <c r="HYI78" s="461"/>
      <c r="HYJ78" s="448"/>
      <c r="HYK78" s="456"/>
      <c r="HYL78" s="449"/>
      <c r="HYM78" s="450"/>
      <c r="HYN78" s="452"/>
      <c r="HYO78" s="448"/>
      <c r="HYP78" s="456"/>
      <c r="HYQ78" s="458"/>
      <c r="HYR78" s="458"/>
      <c r="HYT78" s="454"/>
      <c r="HYU78" s="450"/>
      <c r="HYV78" s="454"/>
      <c r="HYW78" s="448"/>
      <c r="HYX78" s="449"/>
      <c r="HYY78" s="450"/>
      <c r="HYZ78" s="447"/>
      <c r="HZA78" s="448"/>
      <c r="HZB78" s="449"/>
      <c r="HZC78" s="450"/>
      <c r="HZD78" s="447"/>
      <c r="HZE78" s="451"/>
      <c r="HZF78" s="449"/>
      <c r="HZG78" s="450"/>
      <c r="HZH78" s="447"/>
      <c r="HZI78" s="451"/>
      <c r="HZJ78" s="449"/>
      <c r="HZK78" s="450"/>
      <c r="HZL78" s="447"/>
      <c r="HZM78" s="451"/>
      <c r="HZN78" s="449"/>
      <c r="HZO78" s="450"/>
      <c r="HZP78" s="452"/>
      <c r="HZQ78" s="451"/>
      <c r="HZR78" s="449"/>
      <c r="HZS78" s="450"/>
      <c r="HZT78" s="447"/>
      <c r="HZU78" s="448"/>
      <c r="HZV78" s="453"/>
      <c r="HZW78" s="449"/>
      <c r="HZX78" s="450"/>
      <c r="HZY78" s="454"/>
      <c r="HZZ78" s="448"/>
      <c r="IAB78" s="449"/>
      <c r="IAC78" s="450"/>
      <c r="IAD78" s="452"/>
      <c r="IAE78" s="448"/>
      <c r="IAG78" s="449"/>
      <c r="IAH78" s="450"/>
      <c r="IAI78" s="447"/>
      <c r="IAJ78" s="448"/>
      <c r="IAL78" s="449"/>
      <c r="IAM78" s="450"/>
      <c r="IAN78" s="452"/>
      <c r="IAO78" s="448"/>
      <c r="IAP78" s="449"/>
      <c r="IAQ78" s="450"/>
      <c r="IAR78" s="452"/>
      <c r="IAS78" s="448"/>
      <c r="IAT78" s="455"/>
      <c r="IAU78" s="449"/>
      <c r="IAV78" s="450"/>
      <c r="IAW78" s="459"/>
      <c r="IAX78" s="448"/>
      <c r="IAY78" s="456"/>
      <c r="IAZ78" s="449"/>
      <c r="IBA78" s="450"/>
      <c r="IBB78" s="452"/>
      <c r="IBC78" s="448"/>
      <c r="IBD78" s="449"/>
      <c r="IBE78" s="450"/>
      <c r="IBF78" s="452"/>
      <c r="IBG78" s="448"/>
      <c r="IBH78" s="449"/>
      <c r="IBI78" s="450"/>
      <c r="IBJ78" s="447"/>
      <c r="IBK78" s="448"/>
      <c r="IBL78" s="457"/>
      <c r="IBM78" s="460"/>
      <c r="IBN78" s="450"/>
      <c r="IBO78" s="461"/>
      <c r="IBP78" s="448"/>
      <c r="IBQ78" s="456"/>
      <c r="IBR78" s="449"/>
      <c r="IBS78" s="450"/>
      <c r="IBT78" s="452"/>
      <c r="IBU78" s="448"/>
      <c r="IBV78" s="456"/>
      <c r="IBW78" s="458"/>
      <c r="IBX78" s="458"/>
      <c r="IBZ78" s="454"/>
      <c r="ICA78" s="450"/>
      <c r="ICB78" s="454"/>
      <c r="ICC78" s="448"/>
      <c r="ICD78" s="449"/>
      <c r="ICE78" s="450"/>
      <c r="ICF78" s="447"/>
      <c r="ICG78" s="448"/>
      <c r="ICH78" s="449"/>
      <c r="ICI78" s="450"/>
      <c r="ICJ78" s="447"/>
      <c r="ICK78" s="451"/>
      <c r="ICL78" s="449"/>
      <c r="ICM78" s="450"/>
      <c r="ICN78" s="447"/>
      <c r="ICO78" s="451"/>
      <c r="ICP78" s="449"/>
      <c r="ICQ78" s="450"/>
      <c r="ICR78" s="447"/>
      <c r="ICS78" s="451"/>
      <c r="ICT78" s="449"/>
      <c r="ICU78" s="450"/>
      <c r="ICV78" s="452"/>
      <c r="ICW78" s="451"/>
      <c r="ICX78" s="449"/>
      <c r="ICY78" s="450"/>
      <c r="ICZ78" s="447"/>
      <c r="IDA78" s="448"/>
      <c r="IDB78" s="453"/>
      <c r="IDC78" s="449"/>
      <c r="IDD78" s="450"/>
      <c r="IDE78" s="454"/>
      <c r="IDF78" s="448"/>
      <c r="IDH78" s="449"/>
      <c r="IDI78" s="450"/>
      <c r="IDJ78" s="452"/>
      <c r="IDK78" s="448"/>
      <c r="IDM78" s="449"/>
      <c r="IDN78" s="450"/>
      <c r="IDO78" s="447"/>
      <c r="IDP78" s="448"/>
      <c r="IDR78" s="449"/>
      <c r="IDS78" s="450"/>
      <c r="IDT78" s="452"/>
      <c r="IDU78" s="448"/>
      <c r="IDV78" s="449"/>
      <c r="IDW78" s="450"/>
      <c r="IDX78" s="452"/>
      <c r="IDY78" s="448"/>
      <c r="IDZ78" s="455"/>
      <c r="IEA78" s="449"/>
      <c r="IEB78" s="450"/>
      <c r="IEC78" s="459"/>
      <c r="IED78" s="448"/>
      <c r="IEE78" s="456"/>
      <c r="IEF78" s="449"/>
      <c r="IEG78" s="450"/>
      <c r="IEH78" s="452"/>
      <c r="IEI78" s="448"/>
      <c r="IEJ78" s="449"/>
      <c r="IEK78" s="450"/>
      <c r="IEL78" s="452"/>
      <c r="IEM78" s="448"/>
      <c r="IEN78" s="449"/>
      <c r="IEO78" s="450"/>
      <c r="IEP78" s="447"/>
      <c r="IEQ78" s="448"/>
      <c r="IER78" s="457"/>
      <c r="IES78" s="460"/>
      <c r="IET78" s="450"/>
      <c r="IEU78" s="461"/>
      <c r="IEV78" s="448"/>
      <c r="IEW78" s="456"/>
      <c r="IEX78" s="449"/>
      <c r="IEY78" s="450"/>
      <c r="IEZ78" s="452"/>
      <c r="IFA78" s="448"/>
      <c r="IFB78" s="456"/>
      <c r="IFC78" s="458"/>
      <c r="IFD78" s="458"/>
      <c r="IFF78" s="454"/>
      <c r="IFG78" s="450"/>
      <c r="IFH78" s="454"/>
      <c r="IFI78" s="448"/>
      <c r="IFJ78" s="449"/>
      <c r="IFK78" s="450"/>
      <c r="IFL78" s="447"/>
      <c r="IFM78" s="448"/>
      <c r="IFN78" s="449"/>
      <c r="IFO78" s="450"/>
      <c r="IFP78" s="447"/>
      <c r="IFQ78" s="451"/>
      <c r="IFR78" s="449"/>
      <c r="IFS78" s="450"/>
      <c r="IFT78" s="447"/>
      <c r="IFU78" s="451"/>
      <c r="IFV78" s="449"/>
      <c r="IFW78" s="450"/>
      <c r="IFX78" s="447"/>
      <c r="IFY78" s="451"/>
      <c r="IFZ78" s="449"/>
      <c r="IGA78" s="450"/>
      <c r="IGB78" s="452"/>
      <c r="IGC78" s="451"/>
      <c r="IGD78" s="449"/>
      <c r="IGE78" s="450"/>
      <c r="IGF78" s="447"/>
      <c r="IGG78" s="448"/>
      <c r="IGH78" s="453"/>
      <c r="IGI78" s="449"/>
      <c r="IGJ78" s="450"/>
      <c r="IGK78" s="454"/>
      <c r="IGL78" s="448"/>
      <c r="IGN78" s="449"/>
      <c r="IGO78" s="450"/>
      <c r="IGP78" s="452"/>
      <c r="IGQ78" s="448"/>
      <c r="IGS78" s="449"/>
      <c r="IGT78" s="450"/>
      <c r="IGU78" s="447"/>
      <c r="IGV78" s="448"/>
      <c r="IGX78" s="449"/>
      <c r="IGY78" s="450"/>
      <c r="IGZ78" s="452"/>
      <c r="IHA78" s="448"/>
      <c r="IHB78" s="449"/>
      <c r="IHC78" s="450"/>
      <c r="IHD78" s="452"/>
      <c r="IHE78" s="448"/>
      <c r="IHF78" s="455"/>
      <c r="IHG78" s="449"/>
      <c r="IHH78" s="450"/>
      <c r="IHI78" s="459"/>
      <c r="IHJ78" s="448"/>
      <c r="IHK78" s="456"/>
      <c r="IHL78" s="449"/>
      <c r="IHM78" s="450"/>
      <c r="IHN78" s="452"/>
      <c r="IHO78" s="448"/>
      <c r="IHP78" s="449"/>
      <c r="IHQ78" s="450"/>
      <c r="IHR78" s="452"/>
      <c r="IHS78" s="448"/>
      <c r="IHT78" s="449"/>
      <c r="IHU78" s="450"/>
      <c r="IHV78" s="447"/>
      <c r="IHW78" s="448"/>
      <c r="IHX78" s="457"/>
      <c r="IHY78" s="460"/>
      <c r="IHZ78" s="450"/>
      <c r="IIA78" s="461"/>
      <c r="IIB78" s="448"/>
      <c r="IIC78" s="456"/>
      <c r="IID78" s="449"/>
      <c r="IIE78" s="450"/>
      <c r="IIF78" s="452"/>
      <c r="IIG78" s="448"/>
      <c r="IIH78" s="456"/>
      <c r="III78" s="458"/>
      <c r="IIJ78" s="458"/>
      <c r="IIL78" s="454"/>
      <c r="IIM78" s="450"/>
      <c r="IIN78" s="454"/>
      <c r="IIO78" s="448"/>
      <c r="IIP78" s="449"/>
      <c r="IIQ78" s="450"/>
      <c r="IIR78" s="447"/>
      <c r="IIS78" s="448"/>
      <c r="IIT78" s="449"/>
      <c r="IIU78" s="450"/>
      <c r="IIV78" s="447"/>
      <c r="IIW78" s="451"/>
      <c r="IIX78" s="449"/>
      <c r="IIY78" s="450"/>
      <c r="IIZ78" s="447"/>
      <c r="IJA78" s="451"/>
      <c r="IJB78" s="449"/>
      <c r="IJC78" s="450"/>
      <c r="IJD78" s="447"/>
      <c r="IJE78" s="451"/>
      <c r="IJF78" s="449"/>
      <c r="IJG78" s="450"/>
      <c r="IJH78" s="452"/>
      <c r="IJI78" s="451"/>
      <c r="IJJ78" s="449"/>
      <c r="IJK78" s="450"/>
      <c r="IJL78" s="447"/>
      <c r="IJM78" s="448"/>
      <c r="IJN78" s="453"/>
      <c r="IJO78" s="449"/>
      <c r="IJP78" s="450"/>
      <c r="IJQ78" s="454"/>
      <c r="IJR78" s="448"/>
      <c r="IJT78" s="449"/>
      <c r="IJU78" s="450"/>
      <c r="IJV78" s="452"/>
      <c r="IJW78" s="448"/>
      <c r="IJY78" s="449"/>
      <c r="IJZ78" s="450"/>
      <c r="IKA78" s="447"/>
      <c r="IKB78" s="448"/>
      <c r="IKD78" s="449"/>
      <c r="IKE78" s="450"/>
      <c r="IKF78" s="452"/>
      <c r="IKG78" s="448"/>
      <c r="IKH78" s="449"/>
      <c r="IKI78" s="450"/>
      <c r="IKJ78" s="452"/>
      <c r="IKK78" s="448"/>
      <c r="IKL78" s="455"/>
      <c r="IKM78" s="449"/>
      <c r="IKN78" s="450"/>
      <c r="IKO78" s="459"/>
      <c r="IKP78" s="448"/>
      <c r="IKQ78" s="456"/>
      <c r="IKR78" s="449"/>
      <c r="IKS78" s="450"/>
      <c r="IKT78" s="452"/>
      <c r="IKU78" s="448"/>
      <c r="IKV78" s="449"/>
      <c r="IKW78" s="450"/>
      <c r="IKX78" s="452"/>
      <c r="IKY78" s="448"/>
      <c r="IKZ78" s="449"/>
      <c r="ILA78" s="450"/>
      <c r="ILB78" s="447"/>
      <c r="ILC78" s="448"/>
      <c r="ILD78" s="457"/>
      <c r="ILE78" s="460"/>
      <c r="ILF78" s="450"/>
      <c r="ILG78" s="461"/>
      <c r="ILH78" s="448"/>
      <c r="ILI78" s="456"/>
      <c r="ILJ78" s="449"/>
      <c r="ILK78" s="450"/>
      <c r="ILL78" s="452"/>
      <c r="ILM78" s="448"/>
      <c r="ILN78" s="456"/>
      <c r="ILO78" s="458"/>
      <c r="ILP78" s="458"/>
      <c r="ILR78" s="454"/>
      <c r="ILS78" s="450"/>
      <c r="ILT78" s="454"/>
      <c r="ILU78" s="448"/>
      <c r="ILV78" s="449"/>
      <c r="ILW78" s="450"/>
      <c r="ILX78" s="447"/>
      <c r="ILY78" s="448"/>
      <c r="ILZ78" s="449"/>
      <c r="IMA78" s="450"/>
      <c r="IMB78" s="447"/>
      <c r="IMC78" s="451"/>
      <c r="IMD78" s="449"/>
      <c r="IME78" s="450"/>
      <c r="IMF78" s="447"/>
      <c r="IMG78" s="451"/>
      <c r="IMH78" s="449"/>
      <c r="IMI78" s="450"/>
      <c r="IMJ78" s="447"/>
      <c r="IMK78" s="451"/>
      <c r="IML78" s="449"/>
      <c r="IMM78" s="450"/>
      <c r="IMN78" s="452"/>
      <c r="IMO78" s="451"/>
      <c r="IMP78" s="449"/>
      <c r="IMQ78" s="450"/>
      <c r="IMR78" s="447"/>
      <c r="IMS78" s="448"/>
      <c r="IMT78" s="453"/>
      <c r="IMU78" s="449"/>
      <c r="IMV78" s="450"/>
      <c r="IMW78" s="454"/>
      <c r="IMX78" s="448"/>
      <c r="IMZ78" s="449"/>
      <c r="INA78" s="450"/>
      <c r="INB78" s="452"/>
      <c r="INC78" s="448"/>
      <c r="INE78" s="449"/>
      <c r="INF78" s="450"/>
      <c r="ING78" s="447"/>
      <c r="INH78" s="448"/>
      <c r="INJ78" s="449"/>
      <c r="INK78" s="450"/>
      <c r="INL78" s="452"/>
      <c r="INM78" s="448"/>
      <c r="INN78" s="449"/>
      <c r="INO78" s="450"/>
      <c r="INP78" s="452"/>
      <c r="INQ78" s="448"/>
      <c r="INR78" s="455"/>
      <c r="INS78" s="449"/>
      <c r="INT78" s="450"/>
      <c r="INU78" s="459"/>
      <c r="INV78" s="448"/>
      <c r="INW78" s="456"/>
      <c r="INX78" s="449"/>
      <c r="INY78" s="450"/>
      <c r="INZ78" s="452"/>
      <c r="IOA78" s="448"/>
      <c r="IOB78" s="449"/>
      <c r="IOC78" s="450"/>
      <c r="IOD78" s="452"/>
      <c r="IOE78" s="448"/>
      <c r="IOF78" s="449"/>
      <c r="IOG78" s="450"/>
      <c r="IOH78" s="447"/>
      <c r="IOI78" s="448"/>
      <c r="IOJ78" s="457"/>
      <c r="IOK78" s="460"/>
      <c r="IOL78" s="450"/>
      <c r="IOM78" s="461"/>
      <c r="ION78" s="448"/>
      <c r="IOO78" s="456"/>
      <c r="IOP78" s="449"/>
      <c r="IOQ78" s="450"/>
      <c r="IOR78" s="452"/>
      <c r="IOS78" s="448"/>
      <c r="IOT78" s="456"/>
      <c r="IOU78" s="458"/>
      <c r="IOV78" s="458"/>
      <c r="IOX78" s="454"/>
      <c r="IOY78" s="450"/>
      <c r="IOZ78" s="454"/>
      <c r="IPA78" s="448"/>
      <c r="IPB78" s="449"/>
      <c r="IPC78" s="450"/>
      <c r="IPD78" s="447"/>
      <c r="IPE78" s="448"/>
      <c r="IPF78" s="449"/>
      <c r="IPG78" s="450"/>
      <c r="IPH78" s="447"/>
      <c r="IPI78" s="451"/>
      <c r="IPJ78" s="449"/>
      <c r="IPK78" s="450"/>
      <c r="IPL78" s="447"/>
      <c r="IPM78" s="451"/>
      <c r="IPN78" s="449"/>
      <c r="IPO78" s="450"/>
      <c r="IPP78" s="447"/>
      <c r="IPQ78" s="451"/>
      <c r="IPR78" s="449"/>
      <c r="IPS78" s="450"/>
      <c r="IPT78" s="452"/>
      <c r="IPU78" s="451"/>
      <c r="IPV78" s="449"/>
      <c r="IPW78" s="450"/>
      <c r="IPX78" s="447"/>
      <c r="IPY78" s="448"/>
      <c r="IPZ78" s="453"/>
      <c r="IQA78" s="449"/>
      <c r="IQB78" s="450"/>
      <c r="IQC78" s="454"/>
      <c r="IQD78" s="448"/>
      <c r="IQF78" s="449"/>
      <c r="IQG78" s="450"/>
      <c r="IQH78" s="452"/>
      <c r="IQI78" s="448"/>
      <c r="IQK78" s="449"/>
      <c r="IQL78" s="450"/>
      <c r="IQM78" s="447"/>
      <c r="IQN78" s="448"/>
      <c r="IQP78" s="449"/>
      <c r="IQQ78" s="450"/>
      <c r="IQR78" s="452"/>
      <c r="IQS78" s="448"/>
      <c r="IQT78" s="449"/>
      <c r="IQU78" s="450"/>
      <c r="IQV78" s="452"/>
      <c r="IQW78" s="448"/>
      <c r="IQX78" s="455"/>
      <c r="IQY78" s="449"/>
      <c r="IQZ78" s="450"/>
      <c r="IRA78" s="459"/>
      <c r="IRB78" s="448"/>
      <c r="IRC78" s="456"/>
      <c r="IRD78" s="449"/>
      <c r="IRE78" s="450"/>
      <c r="IRF78" s="452"/>
      <c r="IRG78" s="448"/>
      <c r="IRH78" s="449"/>
      <c r="IRI78" s="450"/>
      <c r="IRJ78" s="452"/>
      <c r="IRK78" s="448"/>
      <c r="IRL78" s="449"/>
      <c r="IRM78" s="450"/>
      <c r="IRN78" s="447"/>
      <c r="IRO78" s="448"/>
      <c r="IRP78" s="457"/>
      <c r="IRQ78" s="460"/>
      <c r="IRR78" s="450"/>
      <c r="IRS78" s="461"/>
      <c r="IRT78" s="448"/>
      <c r="IRU78" s="456"/>
      <c r="IRV78" s="449"/>
      <c r="IRW78" s="450"/>
      <c r="IRX78" s="452"/>
      <c r="IRY78" s="448"/>
      <c r="IRZ78" s="456"/>
      <c r="ISA78" s="458"/>
      <c r="ISB78" s="458"/>
      <c r="ISD78" s="454"/>
      <c r="ISE78" s="450"/>
      <c r="ISF78" s="454"/>
      <c r="ISG78" s="448"/>
      <c r="ISH78" s="449"/>
      <c r="ISI78" s="450"/>
      <c r="ISJ78" s="447"/>
      <c r="ISK78" s="448"/>
      <c r="ISL78" s="449"/>
      <c r="ISM78" s="450"/>
      <c r="ISN78" s="447"/>
      <c r="ISO78" s="451"/>
      <c r="ISP78" s="449"/>
      <c r="ISQ78" s="450"/>
      <c r="ISR78" s="447"/>
      <c r="ISS78" s="451"/>
      <c r="IST78" s="449"/>
      <c r="ISU78" s="450"/>
      <c r="ISV78" s="447"/>
      <c r="ISW78" s="451"/>
      <c r="ISX78" s="449"/>
      <c r="ISY78" s="450"/>
      <c r="ISZ78" s="452"/>
      <c r="ITA78" s="451"/>
      <c r="ITB78" s="449"/>
      <c r="ITC78" s="450"/>
      <c r="ITD78" s="447"/>
      <c r="ITE78" s="448"/>
      <c r="ITF78" s="453"/>
      <c r="ITG78" s="449"/>
      <c r="ITH78" s="450"/>
      <c r="ITI78" s="454"/>
      <c r="ITJ78" s="448"/>
      <c r="ITL78" s="449"/>
      <c r="ITM78" s="450"/>
      <c r="ITN78" s="452"/>
      <c r="ITO78" s="448"/>
      <c r="ITQ78" s="449"/>
      <c r="ITR78" s="450"/>
      <c r="ITS78" s="447"/>
      <c r="ITT78" s="448"/>
      <c r="ITV78" s="449"/>
      <c r="ITW78" s="450"/>
      <c r="ITX78" s="452"/>
      <c r="ITY78" s="448"/>
      <c r="ITZ78" s="449"/>
      <c r="IUA78" s="450"/>
      <c r="IUB78" s="452"/>
      <c r="IUC78" s="448"/>
      <c r="IUD78" s="455"/>
      <c r="IUE78" s="449"/>
      <c r="IUF78" s="450"/>
      <c r="IUG78" s="459"/>
      <c r="IUH78" s="448"/>
      <c r="IUI78" s="456"/>
      <c r="IUJ78" s="449"/>
      <c r="IUK78" s="450"/>
      <c r="IUL78" s="452"/>
      <c r="IUM78" s="448"/>
      <c r="IUN78" s="449"/>
      <c r="IUO78" s="450"/>
      <c r="IUP78" s="452"/>
      <c r="IUQ78" s="448"/>
      <c r="IUR78" s="449"/>
      <c r="IUS78" s="450"/>
      <c r="IUT78" s="447"/>
      <c r="IUU78" s="448"/>
      <c r="IUV78" s="457"/>
      <c r="IUW78" s="460"/>
      <c r="IUX78" s="450"/>
      <c r="IUY78" s="461"/>
      <c r="IUZ78" s="448"/>
      <c r="IVA78" s="456"/>
      <c r="IVB78" s="449"/>
      <c r="IVC78" s="450"/>
      <c r="IVD78" s="452"/>
      <c r="IVE78" s="448"/>
      <c r="IVF78" s="456"/>
      <c r="IVG78" s="458"/>
      <c r="IVH78" s="458"/>
      <c r="IVJ78" s="454"/>
      <c r="IVK78" s="450"/>
      <c r="IVL78" s="454"/>
      <c r="IVM78" s="448"/>
      <c r="IVN78" s="449"/>
      <c r="IVO78" s="450"/>
      <c r="IVP78" s="447"/>
      <c r="IVQ78" s="448"/>
      <c r="IVR78" s="449"/>
      <c r="IVS78" s="450"/>
      <c r="IVT78" s="447"/>
      <c r="IVU78" s="451"/>
      <c r="IVV78" s="449"/>
      <c r="IVW78" s="450"/>
      <c r="IVX78" s="447"/>
      <c r="IVY78" s="451"/>
      <c r="IVZ78" s="449"/>
      <c r="IWA78" s="450"/>
      <c r="IWB78" s="447"/>
      <c r="IWC78" s="451"/>
      <c r="IWD78" s="449"/>
      <c r="IWE78" s="450"/>
      <c r="IWF78" s="452"/>
      <c r="IWG78" s="451"/>
      <c r="IWH78" s="449"/>
      <c r="IWI78" s="450"/>
      <c r="IWJ78" s="447"/>
      <c r="IWK78" s="448"/>
      <c r="IWL78" s="453"/>
      <c r="IWM78" s="449"/>
      <c r="IWN78" s="450"/>
      <c r="IWO78" s="454"/>
      <c r="IWP78" s="448"/>
      <c r="IWR78" s="449"/>
      <c r="IWS78" s="450"/>
      <c r="IWT78" s="452"/>
      <c r="IWU78" s="448"/>
      <c r="IWW78" s="449"/>
      <c r="IWX78" s="450"/>
      <c r="IWY78" s="447"/>
      <c r="IWZ78" s="448"/>
      <c r="IXB78" s="449"/>
      <c r="IXC78" s="450"/>
      <c r="IXD78" s="452"/>
      <c r="IXE78" s="448"/>
      <c r="IXF78" s="449"/>
      <c r="IXG78" s="450"/>
      <c r="IXH78" s="452"/>
      <c r="IXI78" s="448"/>
      <c r="IXJ78" s="455"/>
      <c r="IXK78" s="449"/>
      <c r="IXL78" s="450"/>
      <c r="IXM78" s="459"/>
      <c r="IXN78" s="448"/>
      <c r="IXO78" s="456"/>
      <c r="IXP78" s="449"/>
      <c r="IXQ78" s="450"/>
      <c r="IXR78" s="452"/>
      <c r="IXS78" s="448"/>
      <c r="IXT78" s="449"/>
      <c r="IXU78" s="450"/>
      <c r="IXV78" s="452"/>
      <c r="IXW78" s="448"/>
      <c r="IXX78" s="449"/>
      <c r="IXY78" s="450"/>
      <c r="IXZ78" s="447"/>
      <c r="IYA78" s="448"/>
      <c r="IYB78" s="457"/>
      <c r="IYC78" s="460"/>
      <c r="IYD78" s="450"/>
      <c r="IYE78" s="461"/>
      <c r="IYF78" s="448"/>
      <c r="IYG78" s="456"/>
      <c r="IYH78" s="449"/>
      <c r="IYI78" s="450"/>
      <c r="IYJ78" s="452"/>
      <c r="IYK78" s="448"/>
      <c r="IYL78" s="456"/>
      <c r="IYM78" s="458"/>
      <c r="IYN78" s="458"/>
      <c r="IYP78" s="454"/>
      <c r="IYQ78" s="450"/>
      <c r="IYR78" s="454"/>
      <c r="IYS78" s="448"/>
      <c r="IYT78" s="449"/>
      <c r="IYU78" s="450"/>
      <c r="IYV78" s="447"/>
      <c r="IYW78" s="448"/>
      <c r="IYX78" s="449"/>
      <c r="IYY78" s="450"/>
      <c r="IYZ78" s="447"/>
      <c r="IZA78" s="451"/>
      <c r="IZB78" s="449"/>
      <c r="IZC78" s="450"/>
      <c r="IZD78" s="447"/>
      <c r="IZE78" s="451"/>
      <c r="IZF78" s="449"/>
      <c r="IZG78" s="450"/>
      <c r="IZH78" s="447"/>
      <c r="IZI78" s="451"/>
      <c r="IZJ78" s="449"/>
      <c r="IZK78" s="450"/>
      <c r="IZL78" s="452"/>
      <c r="IZM78" s="451"/>
      <c r="IZN78" s="449"/>
      <c r="IZO78" s="450"/>
      <c r="IZP78" s="447"/>
      <c r="IZQ78" s="448"/>
      <c r="IZR78" s="453"/>
      <c r="IZS78" s="449"/>
      <c r="IZT78" s="450"/>
      <c r="IZU78" s="454"/>
      <c r="IZV78" s="448"/>
      <c r="IZX78" s="449"/>
      <c r="IZY78" s="450"/>
      <c r="IZZ78" s="452"/>
      <c r="JAA78" s="448"/>
      <c r="JAC78" s="449"/>
      <c r="JAD78" s="450"/>
      <c r="JAE78" s="447"/>
      <c r="JAF78" s="448"/>
      <c r="JAH78" s="449"/>
      <c r="JAI78" s="450"/>
      <c r="JAJ78" s="452"/>
      <c r="JAK78" s="448"/>
      <c r="JAL78" s="449"/>
      <c r="JAM78" s="450"/>
      <c r="JAN78" s="452"/>
      <c r="JAO78" s="448"/>
      <c r="JAP78" s="455"/>
      <c r="JAQ78" s="449"/>
      <c r="JAR78" s="450"/>
      <c r="JAS78" s="459"/>
      <c r="JAT78" s="448"/>
      <c r="JAU78" s="456"/>
      <c r="JAV78" s="449"/>
      <c r="JAW78" s="450"/>
      <c r="JAX78" s="452"/>
      <c r="JAY78" s="448"/>
      <c r="JAZ78" s="449"/>
      <c r="JBA78" s="450"/>
      <c r="JBB78" s="452"/>
      <c r="JBC78" s="448"/>
      <c r="JBD78" s="449"/>
      <c r="JBE78" s="450"/>
      <c r="JBF78" s="447"/>
      <c r="JBG78" s="448"/>
      <c r="JBH78" s="457"/>
      <c r="JBI78" s="460"/>
      <c r="JBJ78" s="450"/>
      <c r="JBK78" s="461"/>
      <c r="JBL78" s="448"/>
      <c r="JBM78" s="456"/>
      <c r="JBN78" s="449"/>
      <c r="JBO78" s="450"/>
      <c r="JBP78" s="452"/>
      <c r="JBQ78" s="448"/>
      <c r="JBR78" s="456"/>
      <c r="JBS78" s="458"/>
      <c r="JBT78" s="458"/>
      <c r="JBV78" s="454"/>
      <c r="JBW78" s="450"/>
      <c r="JBX78" s="454"/>
      <c r="JBY78" s="448"/>
      <c r="JBZ78" s="449"/>
      <c r="JCA78" s="450"/>
      <c r="JCB78" s="447"/>
      <c r="JCC78" s="448"/>
      <c r="JCD78" s="449"/>
      <c r="JCE78" s="450"/>
      <c r="JCF78" s="447"/>
      <c r="JCG78" s="451"/>
      <c r="JCH78" s="449"/>
      <c r="JCI78" s="450"/>
      <c r="JCJ78" s="447"/>
      <c r="JCK78" s="451"/>
      <c r="JCL78" s="449"/>
      <c r="JCM78" s="450"/>
      <c r="JCN78" s="447"/>
      <c r="JCO78" s="451"/>
      <c r="JCP78" s="449"/>
      <c r="JCQ78" s="450"/>
      <c r="JCR78" s="452"/>
      <c r="JCS78" s="451"/>
      <c r="JCT78" s="449"/>
      <c r="JCU78" s="450"/>
      <c r="JCV78" s="447"/>
      <c r="JCW78" s="448"/>
      <c r="JCX78" s="453"/>
      <c r="JCY78" s="449"/>
      <c r="JCZ78" s="450"/>
      <c r="JDA78" s="454"/>
      <c r="JDB78" s="448"/>
      <c r="JDD78" s="449"/>
      <c r="JDE78" s="450"/>
      <c r="JDF78" s="452"/>
      <c r="JDG78" s="448"/>
      <c r="JDI78" s="449"/>
      <c r="JDJ78" s="450"/>
      <c r="JDK78" s="447"/>
      <c r="JDL78" s="448"/>
      <c r="JDN78" s="449"/>
      <c r="JDO78" s="450"/>
      <c r="JDP78" s="452"/>
      <c r="JDQ78" s="448"/>
      <c r="JDR78" s="449"/>
      <c r="JDS78" s="450"/>
      <c r="JDT78" s="452"/>
      <c r="JDU78" s="448"/>
      <c r="JDV78" s="455"/>
      <c r="JDW78" s="449"/>
      <c r="JDX78" s="450"/>
      <c r="JDY78" s="459"/>
      <c r="JDZ78" s="448"/>
      <c r="JEA78" s="456"/>
      <c r="JEB78" s="449"/>
      <c r="JEC78" s="450"/>
      <c r="JED78" s="452"/>
      <c r="JEE78" s="448"/>
      <c r="JEF78" s="449"/>
      <c r="JEG78" s="450"/>
      <c r="JEH78" s="452"/>
      <c r="JEI78" s="448"/>
      <c r="JEJ78" s="449"/>
      <c r="JEK78" s="450"/>
      <c r="JEL78" s="447"/>
      <c r="JEM78" s="448"/>
      <c r="JEN78" s="457"/>
      <c r="JEO78" s="460"/>
      <c r="JEP78" s="450"/>
      <c r="JEQ78" s="461"/>
      <c r="JER78" s="448"/>
      <c r="JES78" s="456"/>
      <c r="JET78" s="449"/>
      <c r="JEU78" s="450"/>
      <c r="JEV78" s="452"/>
      <c r="JEW78" s="448"/>
      <c r="JEX78" s="456"/>
      <c r="JEY78" s="458"/>
      <c r="JEZ78" s="458"/>
      <c r="JFB78" s="454"/>
      <c r="JFC78" s="450"/>
      <c r="JFD78" s="454"/>
      <c r="JFE78" s="448"/>
      <c r="JFF78" s="449"/>
      <c r="JFG78" s="450"/>
      <c r="JFH78" s="447"/>
      <c r="JFI78" s="448"/>
      <c r="JFJ78" s="449"/>
      <c r="JFK78" s="450"/>
      <c r="JFL78" s="447"/>
      <c r="JFM78" s="451"/>
      <c r="JFN78" s="449"/>
      <c r="JFO78" s="450"/>
      <c r="JFP78" s="447"/>
      <c r="JFQ78" s="451"/>
      <c r="JFR78" s="449"/>
      <c r="JFS78" s="450"/>
      <c r="JFT78" s="447"/>
      <c r="JFU78" s="451"/>
      <c r="JFV78" s="449"/>
      <c r="JFW78" s="450"/>
      <c r="JFX78" s="452"/>
      <c r="JFY78" s="451"/>
      <c r="JFZ78" s="449"/>
      <c r="JGA78" s="450"/>
      <c r="JGB78" s="447"/>
      <c r="JGC78" s="448"/>
      <c r="JGD78" s="453"/>
      <c r="JGE78" s="449"/>
      <c r="JGF78" s="450"/>
      <c r="JGG78" s="454"/>
      <c r="JGH78" s="448"/>
      <c r="JGJ78" s="449"/>
      <c r="JGK78" s="450"/>
      <c r="JGL78" s="452"/>
      <c r="JGM78" s="448"/>
      <c r="JGO78" s="449"/>
      <c r="JGP78" s="450"/>
      <c r="JGQ78" s="447"/>
      <c r="JGR78" s="448"/>
      <c r="JGT78" s="449"/>
      <c r="JGU78" s="450"/>
      <c r="JGV78" s="452"/>
      <c r="JGW78" s="448"/>
      <c r="JGX78" s="449"/>
      <c r="JGY78" s="450"/>
      <c r="JGZ78" s="452"/>
      <c r="JHA78" s="448"/>
      <c r="JHB78" s="455"/>
      <c r="JHC78" s="449"/>
      <c r="JHD78" s="450"/>
      <c r="JHE78" s="459"/>
      <c r="JHF78" s="448"/>
      <c r="JHG78" s="456"/>
      <c r="JHH78" s="449"/>
      <c r="JHI78" s="450"/>
      <c r="JHJ78" s="452"/>
      <c r="JHK78" s="448"/>
      <c r="JHL78" s="449"/>
      <c r="JHM78" s="450"/>
      <c r="JHN78" s="452"/>
      <c r="JHO78" s="448"/>
      <c r="JHP78" s="449"/>
      <c r="JHQ78" s="450"/>
      <c r="JHR78" s="447"/>
      <c r="JHS78" s="448"/>
      <c r="JHT78" s="457"/>
      <c r="JHU78" s="460"/>
      <c r="JHV78" s="450"/>
      <c r="JHW78" s="461"/>
      <c r="JHX78" s="448"/>
      <c r="JHY78" s="456"/>
      <c r="JHZ78" s="449"/>
      <c r="JIA78" s="450"/>
      <c r="JIB78" s="452"/>
      <c r="JIC78" s="448"/>
      <c r="JID78" s="456"/>
      <c r="JIE78" s="458"/>
      <c r="JIF78" s="458"/>
      <c r="JIH78" s="454"/>
      <c r="JII78" s="450"/>
      <c r="JIJ78" s="454"/>
      <c r="JIK78" s="448"/>
      <c r="JIL78" s="449"/>
      <c r="JIM78" s="450"/>
      <c r="JIN78" s="447"/>
      <c r="JIO78" s="448"/>
      <c r="JIP78" s="449"/>
      <c r="JIQ78" s="450"/>
      <c r="JIR78" s="447"/>
      <c r="JIS78" s="451"/>
      <c r="JIT78" s="449"/>
      <c r="JIU78" s="450"/>
      <c r="JIV78" s="447"/>
      <c r="JIW78" s="451"/>
      <c r="JIX78" s="449"/>
      <c r="JIY78" s="450"/>
      <c r="JIZ78" s="447"/>
      <c r="JJA78" s="451"/>
      <c r="JJB78" s="449"/>
      <c r="JJC78" s="450"/>
      <c r="JJD78" s="452"/>
      <c r="JJE78" s="451"/>
      <c r="JJF78" s="449"/>
      <c r="JJG78" s="450"/>
      <c r="JJH78" s="447"/>
      <c r="JJI78" s="448"/>
      <c r="JJJ78" s="453"/>
      <c r="JJK78" s="449"/>
      <c r="JJL78" s="450"/>
      <c r="JJM78" s="454"/>
      <c r="JJN78" s="448"/>
      <c r="JJP78" s="449"/>
      <c r="JJQ78" s="450"/>
      <c r="JJR78" s="452"/>
      <c r="JJS78" s="448"/>
      <c r="JJU78" s="449"/>
      <c r="JJV78" s="450"/>
      <c r="JJW78" s="447"/>
      <c r="JJX78" s="448"/>
      <c r="JJZ78" s="449"/>
      <c r="JKA78" s="450"/>
      <c r="JKB78" s="452"/>
      <c r="JKC78" s="448"/>
      <c r="JKD78" s="449"/>
      <c r="JKE78" s="450"/>
      <c r="JKF78" s="452"/>
      <c r="JKG78" s="448"/>
      <c r="JKH78" s="455"/>
      <c r="JKI78" s="449"/>
      <c r="JKJ78" s="450"/>
      <c r="JKK78" s="459"/>
      <c r="JKL78" s="448"/>
      <c r="JKM78" s="456"/>
      <c r="JKN78" s="449"/>
      <c r="JKO78" s="450"/>
      <c r="JKP78" s="452"/>
      <c r="JKQ78" s="448"/>
      <c r="JKR78" s="449"/>
      <c r="JKS78" s="450"/>
      <c r="JKT78" s="452"/>
      <c r="JKU78" s="448"/>
      <c r="JKV78" s="449"/>
      <c r="JKW78" s="450"/>
      <c r="JKX78" s="447"/>
      <c r="JKY78" s="448"/>
      <c r="JKZ78" s="457"/>
      <c r="JLA78" s="460"/>
      <c r="JLB78" s="450"/>
      <c r="JLC78" s="461"/>
      <c r="JLD78" s="448"/>
      <c r="JLE78" s="456"/>
      <c r="JLF78" s="449"/>
      <c r="JLG78" s="450"/>
      <c r="JLH78" s="452"/>
      <c r="JLI78" s="448"/>
      <c r="JLJ78" s="456"/>
      <c r="JLK78" s="458"/>
      <c r="JLL78" s="458"/>
      <c r="JLN78" s="454"/>
      <c r="JLO78" s="450"/>
      <c r="JLP78" s="454"/>
      <c r="JLQ78" s="448"/>
      <c r="JLR78" s="449"/>
      <c r="JLS78" s="450"/>
      <c r="JLT78" s="447"/>
      <c r="JLU78" s="448"/>
      <c r="JLV78" s="449"/>
      <c r="JLW78" s="450"/>
      <c r="JLX78" s="447"/>
      <c r="JLY78" s="451"/>
      <c r="JLZ78" s="449"/>
      <c r="JMA78" s="450"/>
      <c r="JMB78" s="447"/>
      <c r="JMC78" s="451"/>
      <c r="JMD78" s="449"/>
      <c r="JME78" s="450"/>
      <c r="JMF78" s="447"/>
      <c r="JMG78" s="451"/>
      <c r="JMH78" s="449"/>
      <c r="JMI78" s="450"/>
      <c r="JMJ78" s="452"/>
      <c r="JMK78" s="451"/>
      <c r="JML78" s="449"/>
      <c r="JMM78" s="450"/>
      <c r="JMN78" s="447"/>
      <c r="JMO78" s="448"/>
      <c r="JMP78" s="453"/>
      <c r="JMQ78" s="449"/>
      <c r="JMR78" s="450"/>
      <c r="JMS78" s="454"/>
      <c r="JMT78" s="448"/>
      <c r="JMV78" s="449"/>
      <c r="JMW78" s="450"/>
      <c r="JMX78" s="452"/>
      <c r="JMY78" s="448"/>
      <c r="JNA78" s="449"/>
      <c r="JNB78" s="450"/>
      <c r="JNC78" s="447"/>
      <c r="JND78" s="448"/>
      <c r="JNF78" s="449"/>
      <c r="JNG78" s="450"/>
      <c r="JNH78" s="452"/>
      <c r="JNI78" s="448"/>
      <c r="JNJ78" s="449"/>
      <c r="JNK78" s="450"/>
      <c r="JNL78" s="452"/>
      <c r="JNM78" s="448"/>
      <c r="JNN78" s="455"/>
      <c r="JNO78" s="449"/>
      <c r="JNP78" s="450"/>
      <c r="JNQ78" s="459"/>
      <c r="JNR78" s="448"/>
      <c r="JNS78" s="456"/>
      <c r="JNT78" s="449"/>
      <c r="JNU78" s="450"/>
      <c r="JNV78" s="452"/>
      <c r="JNW78" s="448"/>
      <c r="JNX78" s="449"/>
      <c r="JNY78" s="450"/>
      <c r="JNZ78" s="452"/>
      <c r="JOA78" s="448"/>
      <c r="JOB78" s="449"/>
      <c r="JOC78" s="450"/>
      <c r="JOD78" s="447"/>
      <c r="JOE78" s="448"/>
      <c r="JOF78" s="457"/>
      <c r="JOG78" s="460"/>
      <c r="JOH78" s="450"/>
      <c r="JOI78" s="461"/>
      <c r="JOJ78" s="448"/>
      <c r="JOK78" s="456"/>
      <c r="JOL78" s="449"/>
      <c r="JOM78" s="450"/>
      <c r="JON78" s="452"/>
      <c r="JOO78" s="448"/>
      <c r="JOP78" s="456"/>
      <c r="JOQ78" s="458"/>
      <c r="JOR78" s="458"/>
      <c r="JOT78" s="454"/>
      <c r="JOU78" s="450"/>
      <c r="JOV78" s="454"/>
      <c r="JOW78" s="448"/>
      <c r="JOX78" s="449"/>
      <c r="JOY78" s="450"/>
      <c r="JOZ78" s="447"/>
      <c r="JPA78" s="448"/>
      <c r="JPB78" s="449"/>
      <c r="JPC78" s="450"/>
      <c r="JPD78" s="447"/>
      <c r="JPE78" s="451"/>
      <c r="JPF78" s="449"/>
      <c r="JPG78" s="450"/>
      <c r="JPH78" s="447"/>
      <c r="JPI78" s="451"/>
      <c r="JPJ78" s="449"/>
      <c r="JPK78" s="450"/>
      <c r="JPL78" s="447"/>
      <c r="JPM78" s="451"/>
      <c r="JPN78" s="449"/>
      <c r="JPO78" s="450"/>
      <c r="JPP78" s="452"/>
      <c r="JPQ78" s="451"/>
      <c r="JPR78" s="449"/>
      <c r="JPS78" s="450"/>
      <c r="JPT78" s="447"/>
      <c r="JPU78" s="448"/>
      <c r="JPV78" s="453"/>
      <c r="JPW78" s="449"/>
      <c r="JPX78" s="450"/>
      <c r="JPY78" s="454"/>
      <c r="JPZ78" s="448"/>
      <c r="JQB78" s="449"/>
      <c r="JQC78" s="450"/>
      <c r="JQD78" s="452"/>
      <c r="JQE78" s="448"/>
      <c r="JQG78" s="449"/>
      <c r="JQH78" s="450"/>
      <c r="JQI78" s="447"/>
      <c r="JQJ78" s="448"/>
      <c r="JQL78" s="449"/>
      <c r="JQM78" s="450"/>
      <c r="JQN78" s="452"/>
      <c r="JQO78" s="448"/>
      <c r="JQP78" s="449"/>
      <c r="JQQ78" s="450"/>
      <c r="JQR78" s="452"/>
      <c r="JQS78" s="448"/>
      <c r="JQT78" s="455"/>
      <c r="JQU78" s="449"/>
      <c r="JQV78" s="450"/>
      <c r="JQW78" s="459"/>
      <c r="JQX78" s="448"/>
      <c r="JQY78" s="456"/>
      <c r="JQZ78" s="449"/>
      <c r="JRA78" s="450"/>
      <c r="JRB78" s="452"/>
      <c r="JRC78" s="448"/>
      <c r="JRD78" s="449"/>
      <c r="JRE78" s="450"/>
      <c r="JRF78" s="452"/>
      <c r="JRG78" s="448"/>
      <c r="JRH78" s="449"/>
      <c r="JRI78" s="450"/>
      <c r="JRJ78" s="447"/>
      <c r="JRK78" s="448"/>
      <c r="JRL78" s="457"/>
      <c r="JRM78" s="460"/>
      <c r="JRN78" s="450"/>
      <c r="JRO78" s="461"/>
      <c r="JRP78" s="448"/>
      <c r="JRQ78" s="456"/>
      <c r="JRR78" s="449"/>
      <c r="JRS78" s="450"/>
      <c r="JRT78" s="452"/>
      <c r="JRU78" s="448"/>
      <c r="JRV78" s="456"/>
      <c r="JRW78" s="458"/>
      <c r="JRX78" s="458"/>
      <c r="JRZ78" s="454"/>
      <c r="JSA78" s="450"/>
      <c r="JSB78" s="454"/>
      <c r="JSC78" s="448"/>
      <c r="JSD78" s="449"/>
      <c r="JSE78" s="450"/>
      <c r="JSF78" s="447"/>
      <c r="JSG78" s="448"/>
      <c r="JSH78" s="449"/>
      <c r="JSI78" s="450"/>
      <c r="JSJ78" s="447"/>
      <c r="JSK78" s="451"/>
      <c r="JSL78" s="449"/>
      <c r="JSM78" s="450"/>
      <c r="JSN78" s="447"/>
      <c r="JSO78" s="451"/>
      <c r="JSP78" s="449"/>
      <c r="JSQ78" s="450"/>
      <c r="JSR78" s="447"/>
      <c r="JSS78" s="451"/>
      <c r="JST78" s="449"/>
      <c r="JSU78" s="450"/>
      <c r="JSV78" s="452"/>
      <c r="JSW78" s="451"/>
      <c r="JSX78" s="449"/>
      <c r="JSY78" s="450"/>
      <c r="JSZ78" s="447"/>
      <c r="JTA78" s="448"/>
      <c r="JTB78" s="453"/>
      <c r="JTC78" s="449"/>
      <c r="JTD78" s="450"/>
      <c r="JTE78" s="454"/>
      <c r="JTF78" s="448"/>
      <c r="JTH78" s="449"/>
      <c r="JTI78" s="450"/>
      <c r="JTJ78" s="452"/>
      <c r="JTK78" s="448"/>
      <c r="JTM78" s="449"/>
      <c r="JTN78" s="450"/>
      <c r="JTO78" s="447"/>
      <c r="JTP78" s="448"/>
      <c r="JTR78" s="449"/>
      <c r="JTS78" s="450"/>
      <c r="JTT78" s="452"/>
      <c r="JTU78" s="448"/>
      <c r="JTV78" s="449"/>
      <c r="JTW78" s="450"/>
      <c r="JTX78" s="452"/>
      <c r="JTY78" s="448"/>
      <c r="JTZ78" s="455"/>
      <c r="JUA78" s="449"/>
      <c r="JUB78" s="450"/>
      <c r="JUC78" s="459"/>
      <c r="JUD78" s="448"/>
      <c r="JUE78" s="456"/>
      <c r="JUF78" s="449"/>
      <c r="JUG78" s="450"/>
      <c r="JUH78" s="452"/>
      <c r="JUI78" s="448"/>
      <c r="JUJ78" s="449"/>
      <c r="JUK78" s="450"/>
      <c r="JUL78" s="452"/>
      <c r="JUM78" s="448"/>
      <c r="JUN78" s="449"/>
      <c r="JUO78" s="450"/>
      <c r="JUP78" s="447"/>
      <c r="JUQ78" s="448"/>
      <c r="JUR78" s="457"/>
      <c r="JUS78" s="460"/>
      <c r="JUT78" s="450"/>
      <c r="JUU78" s="461"/>
      <c r="JUV78" s="448"/>
      <c r="JUW78" s="456"/>
      <c r="JUX78" s="449"/>
      <c r="JUY78" s="450"/>
      <c r="JUZ78" s="452"/>
      <c r="JVA78" s="448"/>
      <c r="JVB78" s="456"/>
      <c r="JVC78" s="458"/>
      <c r="JVD78" s="458"/>
      <c r="JVF78" s="454"/>
      <c r="JVG78" s="450"/>
      <c r="JVH78" s="454"/>
      <c r="JVI78" s="448"/>
      <c r="JVJ78" s="449"/>
      <c r="JVK78" s="450"/>
      <c r="JVL78" s="447"/>
      <c r="JVM78" s="448"/>
      <c r="JVN78" s="449"/>
      <c r="JVO78" s="450"/>
      <c r="JVP78" s="447"/>
      <c r="JVQ78" s="451"/>
      <c r="JVR78" s="449"/>
      <c r="JVS78" s="450"/>
      <c r="JVT78" s="447"/>
      <c r="JVU78" s="451"/>
      <c r="JVV78" s="449"/>
      <c r="JVW78" s="450"/>
      <c r="JVX78" s="447"/>
      <c r="JVY78" s="451"/>
      <c r="JVZ78" s="449"/>
      <c r="JWA78" s="450"/>
      <c r="JWB78" s="452"/>
      <c r="JWC78" s="451"/>
      <c r="JWD78" s="449"/>
      <c r="JWE78" s="450"/>
      <c r="JWF78" s="447"/>
      <c r="JWG78" s="448"/>
      <c r="JWH78" s="453"/>
      <c r="JWI78" s="449"/>
      <c r="JWJ78" s="450"/>
      <c r="JWK78" s="454"/>
      <c r="JWL78" s="448"/>
      <c r="JWN78" s="449"/>
      <c r="JWO78" s="450"/>
      <c r="JWP78" s="452"/>
      <c r="JWQ78" s="448"/>
      <c r="JWS78" s="449"/>
      <c r="JWT78" s="450"/>
      <c r="JWU78" s="447"/>
      <c r="JWV78" s="448"/>
      <c r="JWX78" s="449"/>
      <c r="JWY78" s="450"/>
      <c r="JWZ78" s="452"/>
      <c r="JXA78" s="448"/>
      <c r="JXB78" s="449"/>
      <c r="JXC78" s="450"/>
      <c r="JXD78" s="452"/>
      <c r="JXE78" s="448"/>
      <c r="JXF78" s="455"/>
      <c r="JXG78" s="449"/>
      <c r="JXH78" s="450"/>
      <c r="JXI78" s="459"/>
      <c r="JXJ78" s="448"/>
      <c r="JXK78" s="456"/>
      <c r="JXL78" s="449"/>
      <c r="JXM78" s="450"/>
      <c r="JXN78" s="452"/>
      <c r="JXO78" s="448"/>
      <c r="JXP78" s="449"/>
      <c r="JXQ78" s="450"/>
      <c r="JXR78" s="452"/>
      <c r="JXS78" s="448"/>
      <c r="JXT78" s="449"/>
      <c r="JXU78" s="450"/>
      <c r="JXV78" s="447"/>
      <c r="JXW78" s="448"/>
      <c r="JXX78" s="457"/>
      <c r="JXY78" s="460"/>
      <c r="JXZ78" s="450"/>
      <c r="JYA78" s="461"/>
      <c r="JYB78" s="448"/>
      <c r="JYC78" s="456"/>
      <c r="JYD78" s="449"/>
      <c r="JYE78" s="450"/>
      <c r="JYF78" s="452"/>
      <c r="JYG78" s="448"/>
      <c r="JYH78" s="456"/>
      <c r="JYI78" s="458"/>
      <c r="JYJ78" s="458"/>
      <c r="JYL78" s="454"/>
      <c r="JYM78" s="450"/>
      <c r="JYN78" s="454"/>
      <c r="JYO78" s="448"/>
      <c r="JYP78" s="449"/>
      <c r="JYQ78" s="450"/>
      <c r="JYR78" s="447"/>
      <c r="JYS78" s="448"/>
      <c r="JYT78" s="449"/>
      <c r="JYU78" s="450"/>
      <c r="JYV78" s="447"/>
      <c r="JYW78" s="451"/>
      <c r="JYX78" s="449"/>
      <c r="JYY78" s="450"/>
      <c r="JYZ78" s="447"/>
      <c r="JZA78" s="451"/>
      <c r="JZB78" s="449"/>
      <c r="JZC78" s="450"/>
      <c r="JZD78" s="447"/>
      <c r="JZE78" s="451"/>
      <c r="JZF78" s="449"/>
      <c r="JZG78" s="450"/>
      <c r="JZH78" s="452"/>
      <c r="JZI78" s="451"/>
      <c r="JZJ78" s="449"/>
      <c r="JZK78" s="450"/>
      <c r="JZL78" s="447"/>
      <c r="JZM78" s="448"/>
      <c r="JZN78" s="453"/>
      <c r="JZO78" s="449"/>
      <c r="JZP78" s="450"/>
      <c r="JZQ78" s="454"/>
      <c r="JZR78" s="448"/>
      <c r="JZT78" s="449"/>
      <c r="JZU78" s="450"/>
      <c r="JZV78" s="452"/>
      <c r="JZW78" s="448"/>
      <c r="JZY78" s="449"/>
      <c r="JZZ78" s="450"/>
      <c r="KAA78" s="447"/>
      <c r="KAB78" s="448"/>
      <c r="KAD78" s="449"/>
      <c r="KAE78" s="450"/>
      <c r="KAF78" s="452"/>
      <c r="KAG78" s="448"/>
      <c r="KAH78" s="449"/>
      <c r="KAI78" s="450"/>
      <c r="KAJ78" s="452"/>
      <c r="KAK78" s="448"/>
      <c r="KAL78" s="455"/>
      <c r="KAM78" s="449"/>
      <c r="KAN78" s="450"/>
      <c r="KAO78" s="459"/>
      <c r="KAP78" s="448"/>
      <c r="KAQ78" s="456"/>
      <c r="KAR78" s="449"/>
      <c r="KAS78" s="450"/>
      <c r="KAT78" s="452"/>
      <c r="KAU78" s="448"/>
      <c r="KAV78" s="449"/>
      <c r="KAW78" s="450"/>
      <c r="KAX78" s="452"/>
      <c r="KAY78" s="448"/>
      <c r="KAZ78" s="449"/>
      <c r="KBA78" s="450"/>
      <c r="KBB78" s="447"/>
      <c r="KBC78" s="448"/>
      <c r="KBD78" s="457"/>
      <c r="KBE78" s="460"/>
      <c r="KBF78" s="450"/>
      <c r="KBG78" s="461"/>
      <c r="KBH78" s="448"/>
      <c r="KBI78" s="456"/>
      <c r="KBJ78" s="449"/>
      <c r="KBK78" s="450"/>
      <c r="KBL78" s="452"/>
      <c r="KBM78" s="448"/>
      <c r="KBN78" s="456"/>
      <c r="KBO78" s="458"/>
      <c r="KBP78" s="458"/>
      <c r="KBR78" s="454"/>
      <c r="KBS78" s="450"/>
      <c r="KBT78" s="454"/>
      <c r="KBU78" s="448"/>
      <c r="KBV78" s="449"/>
      <c r="KBW78" s="450"/>
      <c r="KBX78" s="447"/>
      <c r="KBY78" s="448"/>
      <c r="KBZ78" s="449"/>
      <c r="KCA78" s="450"/>
      <c r="KCB78" s="447"/>
      <c r="KCC78" s="451"/>
      <c r="KCD78" s="449"/>
      <c r="KCE78" s="450"/>
      <c r="KCF78" s="447"/>
      <c r="KCG78" s="451"/>
      <c r="KCH78" s="449"/>
      <c r="KCI78" s="450"/>
      <c r="KCJ78" s="447"/>
      <c r="KCK78" s="451"/>
      <c r="KCL78" s="449"/>
      <c r="KCM78" s="450"/>
      <c r="KCN78" s="452"/>
      <c r="KCO78" s="451"/>
      <c r="KCP78" s="449"/>
      <c r="KCQ78" s="450"/>
      <c r="KCR78" s="447"/>
      <c r="KCS78" s="448"/>
      <c r="KCT78" s="453"/>
      <c r="KCU78" s="449"/>
      <c r="KCV78" s="450"/>
      <c r="KCW78" s="454"/>
      <c r="KCX78" s="448"/>
      <c r="KCZ78" s="449"/>
      <c r="KDA78" s="450"/>
      <c r="KDB78" s="452"/>
      <c r="KDC78" s="448"/>
      <c r="KDE78" s="449"/>
      <c r="KDF78" s="450"/>
      <c r="KDG78" s="447"/>
      <c r="KDH78" s="448"/>
      <c r="KDJ78" s="449"/>
      <c r="KDK78" s="450"/>
      <c r="KDL78" s="452"/>
      <c r="KDM78" s="448"/>
      <c r="KDN78" s="449"/>
      <c r="KDO78" s="450"/>
      <c r="KDP78" s="452"/>
      <c r="KDQ78" s="448"/>
      <c r="KDR78" s="455"/>
      <c r="KDS78" s="449"/>
      <c r="KDT78" s="450"/>
      <c r="KDU78" s="459"/>
      <c r="KDV78" s="448"/>
      <c r="KDW78" s="456"/>
      <c r="KDX78" s="449"/>
      <c r="KDY78" s="450"/>
      <c r="KDZ78" s="452"/>
      <c r="KEA78" s="448"/>
      <c r="KEB78" s="449"/>
      <c r="KEC78" s="450"/>
      <c r="KED78" s="452"/>
      <c r="KEE78" s="448"/>
      <c r="KEF78" s="449"/>
      <c r="KEG78" s="450"/>
      <c r="KEH78" s="447"/>
      <c r="KEI78" s="448"/>
      <c r="KEJ78" s="457"/>
      <c r="KEK78" s="460"/>
      <c r="KEL78" s="450"/>
      <c r="KEM78" s="461"/>
      <c r="KEN78" s="448"/>
      <c r="KEO78" s="456"/>
      <c r="KEP78" s="449"/>
      <c r="KEQ78" s="450"/>
      <c r="KER78" s="452"/>
      <c r="KES78" s="448"/>
      <c r="KET78" s="456"/>
      <c r="KEU78" s="458"/>
      <c r="KEV78" s="458"/>
      <c r="KEX78" s="454"/>
      <c r="KEY78" s="450"/>
      <c r="KEZ78" s="454"/>
      <c r="KFA78" s="448"/>
      <c r="KFB78" s="449"/>
      <c r="KFC78" s="450"/>
      <c r="KFD78" s="447"/>
      <c r="KFE78" s="448"/>
      <c r="KFF78" s="449"/>
      <c r="KFG78" s="450"/>
      <c r="KFH78" s="447"/>
      <c r="KFI78" s="451"/>
      <c r="KFJ78" s="449"/>
      <c r="KFK78" s="450"/>
      <c r="KFL78" s="447"/>
      <c r="KFM78" s="451"/>
      <c r="KFN78" s="449"/>
      <c r="KFO78" s="450"/>
      <c r="KFP78" s="447"/>
      <c r="KFQ78" s="451"/>
      <c r="KFR78" s="449"/>
      <c r="KFS78" s="450"/>
      <c r="KFT78" s="452"/>
      <c r="KFU78" s="451"/>
      <c r="KFV78" s="449"/>
      <c r="KFW78" s="450"/>
      <c r="KFX78" s="447"/>
      <c r="KFY78" s="448"/>
      <c r="KFZ78" s="453"/>
      <c r="KGA78" s="449"/>
      <c r="KGB78" s="450"/>
      <c r="KGC78" s="454"/>
      <c r="KGD78" s="448"/>
      <c r="KGF78" s="449"/>
      <c r="KGG78" s="450"/>
      <c r="KGH78" s="452"/>
      <c r="KGI78" s="448"/>
      <c r="KGK78" s="449"/>
      <c r="KGL78" s="450"/>
      <c r="KGM78" s="447"/>
      <c r="KGN78" s="448"/>
      <c r="KGP78" s="449"/>
      <c r="KGQ78" s="450"/>
      <c r="KGR78" s="452"/>
      <c r="KGS78" s="448"/>
      <c r="KGT78" s="449"/>
      <c r="KGU78" s="450"/>
      <c r="KGV78" s="452"/>
      <c r="KGW78" s="448"/>
      <c r="KGX78" s="455"/>
      <c r="KGY78" s="449"/>
      <c r="KGZ78" s="450"/>
      <c r="KHA78" s="459"/>
      <c r="KHB78" s="448"/>
      <c r="KHC78" s="456"/>
      <c r="KHD78" s="449"/>
      <c r="KHE78" s="450"/>
      <c r="KHF78" s="452"/>
      <c r="KHG78" s="448"/>
      <c r="KHH78" s="449"/>
      <c r="KHI78" s="450"/>
      <c r="KHJ78" s="452"/>
      <c r="KHK78" s="448"/>
      <c r="KHL78" s="449"/>
      <c r="KHM78" s="450"/>
      <c r="KHN78" s="447"/>
      <c r="KHO78" s="448"/>
      <c r="KHP78" s="457"/>
      <c r="KHQ78" s="460"/>
      <c r="KHR78" s="450"/>
      <c r="KHS78" s="461"/>
      <c r="KHT78" s="448"/>
      <c r="KHU78" s="456"/>
      <c r="KHV78" s="449"/>
      <c r="KHW78" s="450"/>
      <c r="KHX78" s="452"/>
      <c r="KHY78" s="448"/>
      <c r="KHZ78" s="456"/>
      <c r="KIA78" s="458"/>
      <c r="KIB78" s="458"/>
      <c r="KID78" s="454"/>
      <c r="KIE78" s="450"/>
      <c r="KIF78" s="454"/>
      <c r="KIG78" s="448"/>
      <c r="KIH78" s="449"/>
      <c r="KII78" s="450"/>
      <c r="KIJ78" s="447"/>
      <c r="KIK78" s="448"/>
      <c r="KIL78" s="449"/>
      <c r="KIM78" s="450"/>
      <c r="KIN78" s="447"/>
      <c r="KIO78" s="451"/>
      <c r="KIP78" s="449"/>
      <c r="KIQ78" s="450"/>
      <c r="KIR78" s="447"/>
      <c r="KIS78" s="451"/>
      <c r="KIT78" s="449"/>
      <c r="KIU78" s="450"/>
      <c r="KIV78" s="447"/>
      <c r="KIW78" s="451"/>
      <c r="KIX78" s="449"/>
      <c r="KIY78" s="450"/>
      <c r="KIZ78" s="452"/>
      <c r="KJA78" s="451"/>
      <c r="KJB78" s="449"/>
      <c r="KJC78" s="450"/>
      <c r="KJD78" s="447"/>
      <c r="KJE78" s="448"/>
      <c r="KJF78" s="453"/>
      <c r="KJG78" s="449"/>
      <c r="KJH78" s="450"/>
      <c r="KJI78" s="454"/>
      <c r="KJJ78" s="448"/>
      <c r="KJL78" s="449"/>
      <c r="KJM78" s="450"/>
      <c r="KJN78" s="452"/>
      <c r="KJO78" s="448"/>
      <c r="KJQ78" s="449"/>
      <c r="KJR78" s="450"/>
      <c r="KJS78" s="447"/>
      <c r="KJT78" s="448"/>
      <c r="KJV78" s="449"/>
      <c r="KJW78" s="450"/>
      <c r="KJX78" s="452"/>
      <c r="KJY78" s="448"/>
      <c r="KJZ78" s="449"/>
      <c r="KKA78" s="450"/>
      <c r="KKB78" s="452"/>
      <c r="KKC78" s="448"/>
      <c r="KKD78" s="455"/>
      <c r="KKE78" s="449"/>
      <c r="KKF78" s="450"/>
      <c r="KKG78" s="459"/>
      <c r="KKH78" s="448"/>
      <c r="KKI78" s="456"/>
      <c r="KKJ78" s="449"/>
      <c r="KKK78" s="450"/>
      <c r="KKL78" s="452"/>
      <c r="KKM78" s="448"/>
      <c r="KKN78" s="449"/>
      <c r="KKO78" s="450"/>
      <c r="KKP78" s="452"/>
      <c r="KKQ78" s="448"/>
      <c r="KKR78" s="449"/>
      <c r="KKS78" s="450"/>
      <c r="KKT78" s="447"/>
      <c r="KKU78" s="448"/>
      <c r="KKV78" s="457"/>
      <c r="KKW78" s="460"/>
      <c r="KKX78" s="450"/>
      <c r="KKY78" s="461"/>
      <c r="KKZ78" s="448"/>
      <c r="KLA78" s="456"/>
      <c r="KLB78" s="449"/>
      <c r="KLC78" s="450"/>
      <c r="KLD78" s="452"/>
      <c r="KLE78" s="448"/>
      <c r="KLF78" s="456"/>
      <c r="KLG78" s="458"/>
      <c r="KLH78" s="458"/>
      <c r="KLJ78" s="454"/>
      <c r="KLK78" s="450"/>
      <c r="KLL78" s="454"/>
      <c r="KLM78" s="448"/>
      <c r="KLN78" s="449"/>
      <c r="KLO78" s="450"/>
      <c r="KLP78" s="447"/>
      <c r="KLQ78" s="448"/>
      <c r="KLR78" s="449"/>
      <c r="KLS78" s="450"/>
      <c r="KLT78" s="447"/>
      <c r="KLU78" s="451"/>
      <c r="KLV78" s="449"/>
      <c r="KLW78" s="450"/>
      <c r="KLX78" s="447"/>
      <c r="KLY78" s="451"/>
      <c r="KLZ78" s="449"/>
      <c r="KMA78" s="450"/>
      <c r="KMB78" s="447"/>
      <c r="KMC78" s="451"/>
      <c r="KMD78" s="449"/>
      <c r="KME78" s="450"/>
      <c r="KMF78" s="452"/>
      <c r="KMG78" s="451"/>
      <c r="KMH78" s="449"/>
      <c r="KMI78" s="450"/>
      <c r="KMJ78" s="447"/>
      <c r="KMK78" s="448"/>
      <c r="KML78" s="453"/>
      <c r="KMM78" s="449"/>
      <c r="KMN78" s="450"/>
      <c r="KMO78" s="454"/>
      <c r="KMP78" s="448"/>
      <c r="KMR78" s="449"/>
      <c r="KMS78" s="450"/>
      <c r="KMT78" s="452"/>
      <c r="KMU78" s="448"/>
      <c r="KMW78" s="449"/>
      <c r="KMX78" s="450"/>
      <c r="KMY78" s="447"/>
      <c r="KMZ78" s="448"/>
      <c r="KNB78" s="449"/>
      <c r="KNC78" s="450"/>
      <c r="KND78" s="452"/>
      <c r="KNE78" s="448"/>
      <c r="KNF78" s="449"/>
      <c r="KNG78" s="450"/>
      <c r="KNH78" s="452"/>
      <c r="KNI78" s="448"/>
      <c r="KNJ78" s="455"/>
      <c r="KNK78" s="449"/>
      <c r="KNL78" s="450"/>
      <c r="KNM78" s="459"/>
      <c r="KNN78" s="448"/>
      <c r="KNO78" s="456"/>
      <c r="KNP78" s="449"/>
      <c r="KNQ78" s="450"/>
      <c r="KNR78" s="452"/>
      <c r="KNS78" s="448"/>
      <c r="KNT78" s="449"/>
      <c r="KNU78" s="450"/>
      <c r="KNV78" s="452"/>
      <c r="KNW78" s="448"/>
      <c r="KNX78" s="449"/>
      <c r="KNY78" s="450"/>
      <c r="KNZ78" s="447"/>
      <c r="KOA78" s="448"/>
      <c r="KOB78" s="457"/>
      <c r="KOC78" s="460"/>
      <c r="KOD78" s="450"/>
      <c r="KOE78" s="461"/>
      <c r="KOF78" s="448"/>
      <c r="KOG78" s="456"/>
      <c r="KOH78" s="449"/>
      <c r="KOI78" s="450"/>
      <c r="KOJ78" s="452"/>
      <c r="KOK78" s="448"/>
      <c r="KOL78" s="456"/>
      <c r="KOM78" s="458"/>
      <c r="KON78" s="458"/>
      <c r="KOP78" s="454"/>
      <c r="KOQ78" s="450"/>
      <c r="KOR78" s="454"/>
      <c r="KOS78" s="448"/>
      <c r="KOT78" s="449"/>
      <c r="KOU78" s="450"/>
      <c r="KOV78" s="447"/>
      <c r="KOW78" s="448"/>
      <c r="KOX78" s="449"/>
      <c r="KOY78" s="450"/>
      <c r="KOZ78" s="447"/>
      <c r="KPA78" s="451"/>
      <c r="KPB78" s="449"/>
      <c r="KPC78" s="450"/>
      <c r="KPD78" s="447"/>
      <c r="KPE78" s="451"/>
      <c r="KPF78" s="449"/>
      <c r="KPG78" s="450"/>
      <c r="KPH78" s="447"/>
      <c r="KPI78" s="451"/>
      <c r="KPJ78" s="449"/>
      <c r="KPK78" s="450"/>
      <c r="KPL78" s="452"/>
      <c r="KPM78" s="451"/>
      <c r="KPN78" s="449"/>
      <c r="KPO78" s="450"/>
      <c r="KPP78" s="447"/>
      <c r="KPQ78" s="448"/>
      <c r="KPR78" s="453"/>
      <c r="KPS78" s="449"/>
      <c r="KPT78" s="450"/>
      <c r="KPU78" s="454"/>
      <c r="KPV78" s="448"/>
      <c r="KPX78" s="449"/>
      <c r="KPY78" s="450"/>
      <c r="KPZ78" s="452"/>
      <c r="KQA78" s="448"/>
      <c r="KQC78" s="449"/>
      <c r="KQD78" s="450"/>
      <c r="KQE78" s="447"/>
      <c r="KQF78" s="448"/>
      <c r="KQH78" s="449"/>
      <c r="KQI78" s="450"/>
      <c r="KQJ78" s="452"/>
      <c r="KQK78" s="448"/>
      <c r="KQL78" s="449"/>
      <c r="KQM78" s="450"/>
      <c r="KQN78" s="452"/>
      <c r="KQO78" s="448"/>
      <c r="KQP78" s="455"/>
      <c r="KQQ78" s="449"/>
      <c r="KQR78" s="450"/>
      <c r="KQS78" s="459"/>
      <c r="KQT78" s="448"/>
      <c r="KQU78" s="456"/>
      <c r="KQV78" s="449"/>
      <c r="KQW78" s="450"/>
      <c r="KQX78" s="452"/>
      <c r="KQY78" s="448"/>
      <c r="KQZ78" s="449"/>
      <c r="KRA78" s="450"/>
      <c r="KRB78" s="452"/>
      <c r="KRC78" s="448"/>
      <c r="KRD78" s="449"/>
      <c r="KRE78" s="450"/>
      <c r="KRF78" s="447"/>
      <c r="KRG78" s="448"/>
      <c r="KRH78" s="457"/>
      <c r="KRI78" s="460"/>
      <c r="KRJ78" s="450"/>
      <c r="KRK78" s="461"/>
      <c r="KRL78" s="448"/>
      <c r="KRM78" s="456"/>
      <c r="KRN78" s="449"/>
      <c r="KRO78" s="450"/>
      <c r="KRP78" s="452"/>
      <c r="KRQ78" s="448"/>
      <c r="KRR78" s="456"/>
      <c r="KRS78" s="458"/>
      <c r="KRT78" s="458"/>
      <c r="KRV78" s="454"/>
      <c r="KRW78" s="450"/>
      <c r="KRX78" s="454"/>
      <c r="KRY78" s="448"/>
      <c r="KRZ78" s="449"/>
      <c r="KSA78" s="450"/>
      <c r="KSB78" s="447"/>
      <c r="KSC78" s="448"/>
      <c r="KSD78" s="449"/>
      <c r="KSE78" s="450"/>
      <c r="KSF78" s="447"/>
      <c r="KSG78" s="451"/>
      <c r="KSH78" s="449"/>
      <c r="KSI78" s="450"/>
      <c r="KSJ78" s="447"/>
      <c r="KSK78" s="451"/>
      <c r="KSL78" s="449"/>
      <c r="KSM78" s="450"/>
      <c r="KSN78" s="447"/>
      <c r="KSO78" s="451"/>
      <c r="KSP78" s="449"/>
      <c r="KSQ78" s="450"/>
      <c r="KSR78" s="452"/>
      <c r="KSS78" s="451"/>
      <c r="KST78" s="449"/>
      <c r="KSU78" s="450"/>
      <c r="KSV78" s="447"/>
      <c r="KSW78" s="448"/>
      <c r="KSX78" s="453"/>
      <c r="KSY78" s="449"/>
      <c r="KSZ78" s="450"/>
      <c r="KTA78" s="454"/>
      <c r="KTB78" s="448"/>
      <c r="KTD78" s="449"/>
      <c r="KTE78" s="450"/>
      <c r="KTF78" s="452"/>
      <c r="KTG78" s="448"/>
      <c r="KTI78" s="449"/>
      <c r="KTJ78" s="450"/>
      <c r="KTK78" s="447"/>
      <c r="KTL78" s="448"/>
      <c r="KTN78" s="449"/>
      <c r="KTO78" s="450"/>
      <c r="KTP78" s="452"/>
      <c r="KTQ78" s="448"/>
      <c r="KTR78" s="449"/>
      <c r="KTS78" s="450"/>
      <c r="KTT78" s="452"/>
      <c r="KTU78" s="448"/>
      <c r="KTV78" s="455"/>
      <c r="KTW78" s="449"/>
      <c r="KTX78" s="450"/>
      <c r="KTY78" s="459"/>
      <c r="KTZ78" s="448"/>
      <c r="KUA78" s="456"/>
      <c r="KUB78" s="449"/>
      <c r="KUC78" s="450"/>
      <c r="KUD78" s="452"/>
      <c r="KUE78" s="448"/>
      <c r="KUF78" s="449"/>
      <c r="KUG78" s="450"/>
      <c r="KUH78" s="452"/>
      <c r="KUI78" s="448"/>
      <c r="KUJ78" s="449"/>
      <c r="KUK78" s="450"/>
      <c r="KUL78" s="447"/>
      <c r="KUM78" s="448"/>
      <c r="KUN78" s="457"/>
      <c r="KUO78" s="460"/>
      <c r="KUP78" s="450"/>
      <c r="KUQ78" s="461"/>
      <c r="KUR78" s="448"/>
      <c r="KUS78" s="456"/>
      <c r="KUT78" s="449"/>
      <c r="KUU78" s="450"/>
      <c r="KUV78" s="452"/>
      <c r="KUW78" s="448"/>
      <c r="KUX78" s="456"/>
      <c r="KUY78" s="458"/>
      <c r="KUZ78" s="458"/>
      <c r="KVB78" s="454"/>
      <c r="KVC78" s="450"/>
      <c r="KVD78" s="454"/>
      <c r="KVE78" s="448"/>
      <c r="KVF78" s="449"/>
      <c r="KVG78" s="450"/>
      <c r="KVH78" s="447"/>
      <c r="KVI78" s="448"/>
      <c r="KVJ78" s="449"/>
      <c r="KVK78" s="450"/>
      <c r="KVL78" s="447"/>
      <c r="KVM78" s="451"/>
      <c r="KVN78" s="449"/>
      <c r="KVO78" s="450"/>
      <c r="KVP78" s="447"/>
      <c r="KVQ78" s="451"/>
      <c r="KVR78" s="449"/>
      <c r="KVS78" s="450"/>
      <c r="KVT78" s="447"/>
      <c r="KVU78" s="451"/>
      <c r="KVV78" s="449"/>
      <c r="KVW78" s="450"/>
      <c r="KVX78" s="452"/>
      <c r="KVY78" s="451"/>
      <c r="KVZ78" s="449"/>
      <c r="KWA78" s="450"/>
      <c r="KWB78" s="447"/>
      <c r="KWC78" s="448"/>
      <c r="KWD78" s="453"/>
      <c r="KWE78" s="449"/>
      <c r="KWF78" s="450"/>
      <c r="KWG78" s="454"/>
      <c r="KWH78" s="448"/>
      <c r="KWJ78" s="449"/>
      <c r="KWK78" s="450"/>
      <c r="KWL78" s="452"/>
      <c r="KWM78" s="448"/>
      <c r="KWO78" s="449"/>
      <c r="KWP78" s="450"/>
      <c r="KWQ78" s="447"/>
      <c r="KWR78" s="448"/>
      <c r="KWT78" s="449"/>
      <c r="KWU78" s="450"/>
      <c r="KWV78" s="452"/>
      <c r="KWW78" s="448"/>
      <c r="KWX78" s="449"/>
      <c r="KWY78" s="450"/>
      <c r="KWZ78" s="452"/>
      <c r="KXA78" s="448"/>
      <c r="KXB78" s="455"/>
      <c r="KXC78" s="449"/>
      <c r="KXD78" s="450"/>
      <c r="KXE78" s="459"/>
      <c r="KXF78" s="448"/>
      <c r="KXG78" s="456"/>
      <c r="KXH78" s="449"/>
      <c r="KXI78" s="450"/>
      <c r="KXJ78" s="452"/>
      <c r="KXK78" s="448"/>
      <c r="KXL78" s="449"/>
      <c r="KXM78" s="450"/>
      <c r="KXN78" s="452"/>
      <c r="KXO78" s="448"/>
      <c r="KXP78" s="449"/>
      <c r="KXQ78" s="450"/>
      <c r="KXR78" s="447"/>
      <c r="KXS78" s="448"/>
      <c r="KXT78" s="457"/>
      <c r="KXU78" s="460"/>
      <c r="KXV78" s="450"/>
      <c r="KXW78" s="461"/>
      <c r="KXX78" s="448"/>
      <c r="KXY78" s="456"/>
      <c r="KXZ78" s="449"/>
      <c r="KYA78" s="450"/>
      <c r="KYB78" s="452"/>
      <c r="KYC78" s="448"/>
      <c r="KYD78" s="456"/>
      <c r="KYE78" s="458"/>
      <c r="KYF78" s="458"/>
      <c r="KYH78" s="454"/>
      <c r="KYI78" s="450"/>
      <c r="KYJ78" s="454"/>
      <c r="KYK78" s="448"/>
      <c r="KYL78" s="449"/>
      <c r="KYM78" s="450"/>
      <c r="KYN78" s="447"/>
      <c r="KYO78" s="448"/>
      <c r="KYP78" s="449"/>
      <c r="KYQ78" s="450"/>
      <c r="KYR78" s="447"/>
      <c r="KYS78" s="451"/>
      <c r="KYT78" s="449"/>
      <c r="KYU78" s="450"/>
      <c r="KYV78" s="447"/>
      <c r="KYW78" s="451"/>
      <c r="KYX78" s="449"/>
      <c r="KYY78" s="450"/>
      <c r="KYZ78" s="447"/>
      <c r="KZA78" s="451"/>
      <c r="KZB78" s="449"/>
      <c r="KZC78" s="450"/>
      <c r="KZD78" s="452"/>
      <c r="KZE78" s="451"/>
      <c r="KZF78" s="449"/>
      <c r="KZG78" s="450"/>
      <c r="KZH78" s="447"/>
      <c r="KZI78" s="448"/>
      <c r="KZJ78" s="453"/>
      <c r="KZK78" s="449"/>
      <c r="KZL78" s="450"/>
      <c r="KZM78" s="454"/>
      <c r="KZN78" s="448"/>
      <c r="KZP78" s="449"/>
      <c r="KZQ78" s="450"/>
      <c r="KZR78" s="452"/>
      <c r="KZS78" s="448"/>
      <c r="KZU78" s="449"/>
      <c r="KZV78" s="450"/>
      <c r="KZW78" s="447"/>
      <c r="KZX78" s="448"/>
      <c r="KZZ78" s="449"/>
      <c r="LAA78" s="450"/>
      <c r="LAB78" s="452"/>
      <c r="LAC78" s="448"/>
      <c r="LAD78" s="449"/>
      <c r="LAE78" s="450"/>
      <c r="LAF78" s="452"/>
      <c r="LAG78" s="448"/>
      <c r="LAH78" s="455"/>
      <c r="LAI78" s="449"/>
      <c r="LAJ78" s="450"/>
      <c r="LAK78" s="459"/>
      <c r="LAL78" s="448"/>
      <c r="LAM78" s="456"/>
      <c r="LAN78" s="449"/>
      <c r="LAO78" s="450"/>
      <c r="LAP78" s="452"/>
      <c r="LAQ78" s="448"/>
      <c r="LAR78" s="449"/>
      <c r="LAS78" s="450"/>
      <c r="LAT78" s="452"/>
      <c r="LAU78" s="448"/>
      <c r="LAV78" s="449"/>
      <c r="LAW78" s="450"/>
      <c r="LAX78" s="447"/>
      <c r="LAY78" s="448"/>
      <c r="LAZ78" s="457"/>
      <c r="LBA78" s="460"/>
      <c r="LBB78" s="450"/>
      <c r="LBC78" s="461"/>
      <c r="LBD78" s="448"/>
      <c r="LBE78" s="456"/>
      <c r="LBF78" s="449"/>
      <c r="LBG78" s="450"/>
      <c r="LBH78" s="452"/>
      <c r="LBI78" s="448"/>
      <c r="LBJ78" s="456"/>
      <c r="LBK78" s="458"/>
      <c r="LBL78" s="458"/>
      <c r="LBN78" s="454"/>
      <c r="LBO78" s="450"/>
      <c r="LBP78" s="454"/>
      <c r="LBQ78" s="448"/>
      <c r="LBR78" s="449"/>
      <c r="LBS78" s="450"/>
      <c r="LBT78" s="447"/>
      <c r="LBU78" s="448"/>
      <c r="LBV78" s="449"/>
      <c r="LBW78" s="450"/>
      <c r="LBX78" s="447"/>
      <c r="LBY78" s="451"/>
      <c r="LBZ78" s="449"/>
      <c r="LCA78" s="450"/>
      <c r="LCB78" s="447"/>
      <c r="LCC78" s="451"/>
      <c r="LCD78" s="449"/>
      <c r="LCE78" s="450"/>
      <c r="LCF78" s="447"/>
      <c r="LCG78" s="451"/>
      <c r="LCH78" s="449"/>
      <c r="LCI78" s="450"/>
      <c r="LCJ78" s="452"/>
      <c r="LCK78" s="451"/>
      <c r="LCL78" s="449"/>
      <c r="LCM78" s="450"/>
      <c r="LCN78" s="447"/>
      <c r="LCO78" s="448"/>
      <c r="LCP78" s="453"/>
      <c r="LCQ78" s="449"/>
      <c r="LCR78" s="450"/>
      <c r="LCS78" s="454"/>
      <c r="LCT78" s="448"/>
      <c r="LCV78" s="449"/>
      <c r="LCW78" s="450"/>
      <c r="LCX78" s="452"/>
      <c r="LCY78" s="448"/>
      <c r="LDA78" s="449"/>
      <c r="LDB78" s="450"/>
      <c r="LDC78" s="447"/>
      <c r="LDD78" s="448"/>
      <c r="LDF78" s="449"/>
      <c r="LDG78" s="450"/>
      <c r="LDH78" s="452"/>
      <c r="LDI78" s="448"/>
      <c r="LDJ78" s="449"/>
      <c r="LDK78" s="450"/>
      <c r="LDL78" s="452"/>
      <c r="LDM78" s="448"/>
      <c r="LDN78" s="455"/>
      <c r="LDO78" s="449"/>
      <c r="LDP78" s="450"/>
      <c r="LDQ78" s="459"/>
      <c r="LDR78" s="448"/>
      <c r="LDS78" s="456"/>
      <c r="LDT78" s="449"/>
      <c r="LDU78" s="450"/>
      <c r="LDV78" s="452"/>
      <c r="LDW78" s="448"/>
      <c r="LDX78" s="449"/>
      <c r="LDY78" s="450"/>
      <c r="LDZ78" s="452"/>
      <c r="LEA78" s="448"/>
      <c r="LEB78" s="449"/>
      <c r="LEC78" s="450"/>
      <c r="LED78" s="447"/>
      <c r="LEE78" s="448"/>
      <c r="LEF78" s="457"/>
      <c r="LEG78" s="460"/>
      <c r="LEH78" s="450"/>
      <c r="LEI78" s="461"/>
      <c r="LEJ78" s="448"/>
      <c r="LEK78" s="456"/>
      <c r="LEL78" s="449"/>
      <c r="LEM78" s="450"/>
      <c r="LEN78" s="452"/>
      <c r="LEO78" s="448"/>
      <c r="LEP78" s="456"/>
      <c r="LEQ78" s="458"/>
      <c r="LER78" s="458"/>
      <c r="LET78" s="454"/>
      <c r="LEU78" s="450"/>
      <c r="LEV78" s="454"/>
      <c r="LEW78" s="448"/>
      <c r="LEX78" s="449"/>
      <c r="LEY78" s="450"/>
      <c r="LEZ78" s="447"/>
      <c r="LFA78" s="448"/>
      <c r="LFB78" s="449"/>
      <c r="LFC78" s="450"/>
      <c r="LFD78" s="447"/>
      <c r="LFE78" s="451"/>
      <c r="LFF78" s="449"/>
      <c r="LFG78" s="450"/>
      <c r="LFH78" s="447"/>
      <c r="LFI78" s="451"/>
      <c r="LFJ78" s="449"/>
      <c r="LFK78" s="450"/>
      <c r="LFL78" s="447"/>
      <c r="LFM78" s="451"/>
      <c r="LFN78" s="449"/>
      <c r="LFO78" s="450"/>
      <c r="LFP78" s="452"/>
      <c r="LFQ78" s="451"/>
      <c r="LFR78" s="449"/>
      <c r="LFS78" s="450"/>
      <c r="LFT78" s="447"/>
      <c r="LFU78" s="448"/>
      <c r="LFV78" s="453"/>
      <c r="LFW78" s="449"/>
      <c r="LFX78" s="450"/>
      <c r="LFY78" s="454"/>
      <c r="LFZ78" s="448"/>
      <c r="LGB78" s="449"/>
      <c r="LGC78" s="450"/>
      <c r="LGD78" s="452"/>
      <c r="LGE78" s="448"/>
      <c r="LGG78" s="449"/>
      <c r="LGH78" s="450"/>
      <c r="LGI78" s="447"/>
      <c r="LGJ78" s="448"/>
      <c r="LGL78" s="449"/>
      <c r="LGM78" s="450"/>
      <c r="LGN78" s="452"/>
      <c r="LGO78" s="448"/>
      <c r="LGP78" s="449"/>
      <c r="LGQ78" s="450"/>
      <c r="LGR78" s="452"/>
      <c r="LGS78" s="448"/>
      <c r="LGT78" s="455"/>
      <c r="LGU78" s="449"/>
      <c r="LGV78" s="450"/>
      <c r="LGW78" s="459"/>
      <c r="LGX78" s="448"/>
      <c r="LGY78" s="456"/>
      <c r="LGZ78" s="449"/>
      <c r="LHA78" s="450"/>
      <c r="LHB78" s="452"/>
      <c r="LHC78" s="448"/>
      <c r="LHD78" s="449"/>
      <c r="LHE78" s="450"/>
      <c r="LHF78" s="452"/>
      <c r="LHG78" s="448"/>
      <c r="LHH78" s="449"/>
      <c r="LHI78" s="450"/>
      <c r="LHJ78" s="447"/>
      <c r="LHK78" s="448"/>
      <c r="LHL78" s="457"/>
      <c r="LHM78" s="460"/>
      <c r="LHN78" s="450"/>
      <c r="LHO78" s="461"/>
      <c r="LHP78" s="448"/>
      <c r="LHQ78" s="456"/>
      <c r="LHR78" s="449"/>
      <c r="LHS78" s="450"/>
      <c r="LHT78" s="452"/>
      <c r="LHU78" s="448"/>
      <c r="LHV78" s="456"/>
      <c r="LHW78" s="458"/>
      <c r="LHX78" s="458"/>
      <c r="LHZ78" s="454"/>
      <c r="LIA78" s="450"/>
      <c r="LIB78" s="454"/>
      <c r="LIC78" s="448"/>
      <c r="LID78" s="449"/>
      <c r="LIE78" s="450"/>
      <c r="LIF78" s="447"/>
      <c r="LIG78" s="448"/>
      <c r="LIH78" s="449"/>
      <c r="LII78" s="450"/>
      <c r="LIJ78" s="447"/>
      <c r="LIK78" s="451"/>
      <c r="LIL78" s="449"/>
      <c r="LIM78" s="450"/>
      <c r="LIN78" s="447"/>
      <c r="LIO78" s="451"/>
      <c r="LIP78" s="449"/>
      <c r="LIQ78" s="450"/>
      <c r="LIR78" s="447"/>
      <c r="LIS78" s="451"/>
      <c r="LIT78" s="449"/>
      <c r="LIU78" s="450"/>
      <c r="LIV78" s="452"/>
      <c r="LIW78" s="451"/>
      <c r="LIX78" s="449"/>
      <c r="LIY78" s="450"/>
      <c r="LIZ78" s="447"/>
      <c r="LJA78" s="448"/>
      <c r="LJB78" s="453"/>
      <c r="LJC78" s="449"/>
      <c r="LJD78" s="450"/>
      <c r="LJE78" s="454"/>
      <c r="LJF78" s="448"/>
      <c r="LJH78" s="449"/>
      <c r="LJI78" s="450"/>
      <c r="LJJ78" s="452"/>
      <c r="LJK78" s="448"/>
      <c r="LJM78" s="449"/>
      <c r="LJN78" s="450"/>
      <c r="LJO78" s="447"/>
      <c r="LJP78" s="448"/>
      <c r="LJR78" s="449"/>
      <c r="LJS78" s="450"/>
      <c r="LJT78" s="452"/>
      <c r="LJU78" s="448"/>
      <c r="LJV78" s="449"/>
      <c r="LJW78" s="450"/>
      <c r="LJX78" s="452"/>
      <c r="LJY78" s="448"/>
      <c r="LJZ78" s="455"/>
      <c r="LKA78" s="449"/>
      <c r="LKB78" s="450"/>
      <c r="LKC78" s="459"/>
      <c r="LKD78" s="448"/>
      <c r="LKE78" s="456"/>
      <c r="LKF78" s="449"/>
      <c r="LKG78" s="450"/>
      <c r="LKH78" s="452"/>
      <c r="LKI78" s="448"/>
      <c r="LKJ78" s="449"/>
      <c r="LKK78" s="450"/>
      <c r="LKL78" s="452"/>
      <c r="LKM78" s="448"/>
      <c r="LKN78" s="449"/>
      <c r="LKO78" s="450"/>
      <c r="LKP78" s="447"/>
      <c r="LKQ78" s="448"/>
      <c r="LKR78" s="457"/>
      <c r="LKS78" s="460"/>
      <c r="LKT78" s="450"/>
      <c r="LKU78" s="461"/>
      <c r="LKV78" s="448"/>
      <c r="LKW78" s="456"/>
      <c r="LKX78" s="449"/>
      <c r="LKY78" s="450"/>
      <c r="LKZ78" s="452"/>
      <c r="LLA78" s="448"/>
      <c r="LLB78" s="456"/>
      <c r="LLC78" s="458"/>
      <c r="LLD78" s="458"/>
      <c r="LLF78" s="454"/>
      <c r="LLG78" s="450"/>
      <c r="LLH78" s="454"/>
      <c r="LLI78" s="448"/>
      <c r="LLJ78" s="449"/>
      <c r="LLK78" s="450"/>
      <c r="LLL78" s="447"/>
      <c r="LLM78" s="448"/>
      <c r="LLN78" s="449"/>
      <c r="LLO78" s="450"/>
      <c r="LLP78" s="447"/>
      <c r="LLQ78" s="451"/>
      <c r="LLR78" s="449"/>
      <c r="LLS78" s="450"/>
      <c r="LLT78" s="447"/>
      <c r="LLU78" s="451"/>
      <c r="LLV78" s="449"/>
      <c r="LLW78" s="450"/>
      <c r="LLX78" s="447"/>
      <c r="LLY78" s="451"/>
      <c r="LLZ78" s="449"/>
      <c r="LMA78" s="450"/>
      <c r="LMB78" s="452"/>
      <c r="LMC78" s="451"/>
      <c r="LMD78" s="449"/>
      <c r="LME78" s="450"/>
      <c r="LMF78" s="447"/>
      <c r="LMG78" s="448"/>
      <c r="LMH78" s="453"/>
      <c r="LMI78" s="449"/>
      <c r="LMJ78" s="450"/>
      <c r="LMK78" s="454"/>
      <c r="LML78" s="448"/>
      <c r="LMN78" s="449"/>
      <c r="LMO78" s="450"/>
      <c r="LMP78" s="452"/>
      <c r="LMQ78" s="448"/>
      <c r="LMS78" s="449"/>
      <c r="LMT78" s="450"/>
      <c r="LMU78" s="447"/>
      <c r="LMV78" s="448"/>
      <c r="LMX78" s="449"/>
      <c r="LMY78" s="450"/>
      <c r="LMZ78" s="452"/>
      <c r="LNA78" s="448"/>
      <c r="LNB78" s="449"/>
      <c r="LNC78" s="450"/>
      <c r="LND78" s="452"/>
      <c r="LNE78" s="448"/>
      <c r="LNF78" s="455"/>
      <c r="LNG78" s="449"/>
      <c r="LNH78" s="450"/>
      <c r="LNI78" s="459"/>
      <c r="LNJ78" s="448"/>
      <c r="LNK78" s="456"/>
      <c r="LNL78" s="449"/>
      <c r="LNM78" s="450"/>
      <c r="LNN78" s="452"/>
      <c r="LNO78" s="448"/>
      <c r="LNP78" s="449"/>
      <c r="LNQ78" s="450"/>
      <c r="LNR78" s="452"/>
      <c r="LNS78" s="448"/>
      <c r="LNT78" s="449"/>
      <c r="LNU78" s="450"/>
      <c r="LNV78" s="447"/>
      <c r="LNW78" s="448"/>
      <c r="LNX78" s="457"/>
      <c r="LNY78" s="460"/>
      <c r="LNZ78" s="450"/>
      <c r="LOA78" s="461"/>
      <c r="LOB78" s="448"/>
      <c r="LOC78" s="456"/>
      <c r="LOD78" s="449"/>
      <c r="LOE78" s="450"/>
      <c r="LOF78" s="452"/>
      <c r="LOG78" s="448"/>
      <c r="LOH78" s="456"/>
      <c r="LOI78" s="458"/>
      <c r="LOJ78" s="458"/>
      <c r="LOL78" s="454"/>
      <c r="LOM78" s="450"/>
      <c r="LON78" s="454"/>
      <c r="LOO78" s="448"/>
      <c r="LOP78" s="449"/>
      <c r="LOQ78" s="450"/>
      <c r="LOR78" s="447"/>
      <c r="LOS78" s="448"/>
      <c r="LOT78" s="449"/>
      <c r="LOU78" s="450"/>
      <c r="LOV78" s="447"/>
      <c r="LOW78" s="451"/>
      <c r="LOX78" s="449"/>
      <c r="LOY78" s="450"/>
      <c r="LOZ78" s="447"/>
      <c r="LPA78" s="451"/>
      <c r="LPB78" s="449"/>
      <c r="LPC78" s="450"/>
      <c r="LPD78" s="447"/>
      <c r="LPE78" s="451"/>
      <c r="LPF78" s="449"/>
      <c r="LPG78" s="450"/>
      <c r="LPH78" s="452"/>
      <c r="LPI78" s="451"/>
      <c r="LPJ78" s="449"/>
      <c r="LPK78" s="450"/>
      <c r="LPL78" s="447"/>
      <c r="LPM78" s="448"/>
      <c r="LPN78" s="453"/>
      <c r="LPO78" s="449"/>
      <c r="LPP78" s="450"/>
      <c r="LPQ78" s="454"/>
      <c r="LPR78" s="448"/>
      <c r="LPT78" s="449"/>
      <c r="LPU78" s="450"/>
      <c r="LPV78" s="452"/>
      <c r="LPW78" s="448"/>
      <c r="LPY78" s="449"/>
      <c r="LPZ78" s="450"/>
      <c r="LQA78" s="447"/>
      <c r="LQB78" s="448"/>
      <c r="LQD78" s="449"/>
      <c r="LQE78" s="450"/>
      <c r="LQF78" s="452"/>
      <c r="LQG78" s="448"/>
      <c r="LQH78" s="449"/>
      <c r="LQI78" s="450"/>
      <c r="LQJ78" s="452"/>
      <c r="LQK78" s="448"/>
      <c r="LQL78" s="455"/>
      <c r="LQM78" s="449"/>
      <c r="LQN78" s="450"/>
      <c r="LQO78" s="459"/>
      <c r="LQP78" s="448"/>
      <c r="LQQ78" s="456"/>
      <c r="LQR78" s="449"/>
      <c r="LQS78" s="450"/>
      <c r="LQT78" s="452"/>
      <c r="LQU78" s="448"/>
      <c r="LQV78" s="449"/>
      <c r="LQW78" s="450"/>
      <c r="LQX78" s="452"/>
      <c r="LQY78" s="448"/>
      <c r="LQZ78" s="449"/>
      <c r="LRA78" s="450"/>
      <c r="LRB78" s="447"/>
      <c r="LRC78" s="448"/>
      <c r="LRD78" s="457"/>
      <c r="LRE78" s="460"/>
      <c r="LRF78" s="450"/>
      <c r="LRG78" s="461"/>
      <c r="LRH78" s="448"/>
      <c r="LRI78" s="456"/>
      <c r="LRJ78" s="449"/>
      <c r="LRK78" s="450"/>
      <c r="LRL78" s="452"/>
      <c r="LRM78" s="448"/>
      <c r="LRN78" s="456"/>
      <c r="LRO78" s="458"/>
      <c r="LRP78" s="458"/>
      <c r="LRR78" s="454"/>
      <c r="LRS78" s="450"/>
      <c r="LRT78" s="454"/>
      <c r="LRU78" s="448"/>
      <c r="LRV78" s="449"/>
      <c r="LRW78" s="450"/>
      <c r="LRX78" s="447"/>
      <c r="LRY78" s="448"/>
      <c r="LRZ78" s="449"/>
      <c r="LSA78" s="450"/>
      <c r="LSB78" s="447"/>
      <c r="LSC78" s="451"/>
      <c r="LSD78" s="449"/>
      <c r="LSE78" s="450"/>
      <c r="LSF78" s="447"/>
      <c r="LSG78" s="451"/>
      <c r="LSH78" s="449"/>
      <c r="LSI78" s="450"/>
      <c r="LSJ78" s="447"/>
      <c r="LSK78" s="451"/>
      <c r="LSL78" s="449"/>
      <c r="LSM78" s="450"/>
      <c r="LSN78" s="452"/>
      <c r="LSO78" s="451"/>
      <c r="LSP78" s="449"/>
      <c r="LSQ78" s="450"/>
      <c r="LSR78" s="447"/>
      <c r="LSS78" s="448"/>
      <c r="LST78" s="453"/>
      <c r="LSU78" s="449"/>
      <c r="LSV78" s="450"/>
      <c r="LSW78" s="454"/>
      <c r="LSX78" s="448"/>
      <c r="LSZ78" s="449"/>
      <c r="LTA78" s="450"/>
      <c r="LTB78" s="452"/>
      <c r="LTC78" s="448"/>
      <c r="LTE78" s="449"/>
      <c r="LTF78" s="450"/>
      <c r="LTG78" s="447"/>
      <c r="LTH78" s="448"/>
      <c r="LTJ78" s="449"/>
      <c r="LTK78" s="450"/>
      <c r="LTL78" s="452"/>
      <c r="LTM78" s="448"/>
      <c r="LTN78" s="449"/>
      <c r="LTO78" s="450"/>
      <c r="LTP78" s="452"/>
      <c r="LTQ78" s="448"/>
      <c r="LTR78" s="455"/>
      <c r="LTS78" s="449"/>
      <c r="LTT78" s="450"/>
      <c r="LTU78" s="459"/>
      <c r="LTV78" s="448"/>
      <c r="LTW78" s="456"/>
      <c r="LTX78" s="449"/>
      <c r="LTY78" s="450"/>
      <c r="LTZ78" s="452"/>
      <c r="LUA78" s="448"/>
      <c r="LUB78" s="449"/>
      <c r="LUC78" s="450"/>
      <c r="LUD78" s="452"/>
      <c r="LUE78" s="448"/>
      <c r="LUF78" s="449"/>
      <c r="LUG78" s="450"/>
      <c r="LUH78" s="447"/>
      <c r="LUI78" s="448"/>
      <c r="LUJ78" s="457"/>
      <c r="LUK78" s="460"/>
      <c r="LUL78" s="450"/>
      <c r="LUM78" s="461"/>
      <c r="LUN78" s="448"/>
      <c r="LUO78" s="456"/>
      <c r="LUP78" s="449"/>
      <c r="LUQ78" s="450"/>
      <c r="LUR78" s="452"/>
      <c r="LUS78" s="448"/>
      <c r="LUT78" s="456"/>
      <c r="LUU78" s="458"/>
      <c r="LUV78" s="458"/>
      <c r="LUX78" s="454"/>
      <c r="LUY78" s="450"/>
      <c r="LUZ78" s="454"/>
      <c r="LVA78" s="448"/>
      <c r="LVB78" s="449"/>
      <c r="LVC78" s="450"/>
      <c r="LVD78" s="447"/>
      <c r="LVE78" s="448"/>
      <c r="LVF78" s="449"/>
      <c r="LVG78" s="450"/>
      <c r="LVH78" s="447"/>
      <c r="LVI78" s="451"/>
      <c r="LVJ78" s="449"/>
      <c r="LVK78" s="450"/>
      <c r="LVL78" s="447"/>
      <c r="LVM78" s="451"/>
      <c r="LVN78" s="449"/>
      <c r="LVO78" s="450"/>
      <c r="LVP78" s="447"/>
      <c r="LVQ78" s="451"/>
      <c r="LVR78" s="449"/>
      <c r="LVS78" s="450"/>
      <c r="LVT78" s="452"/>
      <c r="LVU78" s="451"/>
      <c r="LVV78" s="449"/>
      <c r="LVW78" s="450"/>
      <c r="LVX78" s="447"/>
      <c r="LVY78" s="448"/>
      <c r="LVZ78" s="453"/>
      <c r="LWA78" s="449"/>
      <c r="LWB78" s="450"/>
      <c r="LWC78" s="454"/>
      <c r="LWD78" s="448"/>
      <c r="LWF78" s="449"/>
      <c r="LWG78" s="450"/>
      <c r="LWH78" s="452"/>
      <c r="LWI78" s="448"/>
      <c r="LWK78" s="449"/>
      <c r="LWL78" s="450"/>
      <c r="LWM78" s="447"/>
      <c r="LWN78" s="448"/>
      <c r="LWP78" s="449"/>
      <c r="LWQ78" s="450"/>
      <c r="LWR78" s="452"/>
      <c r="LWS78" s="448"/>
      <c r="LWT78" s="449"/>
      <c r="LWU78" s="450"/>
      <c r="LWV78" s="452"/>
      <c r="LWW78" s="448"/>
      <c r="LWX78" s="455"/>
      <c r="LWY78" s="449"/>
      <c r="LWZ78" s="450"/>
      <c r="LXA78" s="459"/>
      <c r="LXB78" s="448"/>
      <c r="LXC78" s="456"/>
      <c r="LXD78" s="449"/>
      <c r="LXE78" s="450"/>
      <c r="LXF78" s="452"/>
      <c r="LXG78" s="448"/>
      <c r="LXH78" s="449"/>
      <c r="LXI78" s="450"/>
      <c r="LXJ78" s="452"/>
      <c r="LXK78" s="448"/>
      <c r="LXL78" s="449"/>
      <c r="LXM78" s="450"/>
      <c r="LXN78" s="447"/>
      <c r="LXO78" s="448"/>
      <c r="LXP78" s="457"/>
      <c r="LXQ78" s="460"/>
      <c r="LXR78" s="450"/>
      <c r="LXS78" s="461"/>
      <c r="LXT78" s="448"/>
      <c r="LXU78" s="456"/>
      <c r="LXV78" s="449"/>
      <c r="LXW78" s="450"/>
      <c r="LXX78" s="452"/>
      <c r="LXY78" s="448"/>
      <c r="LXZ78" s="456"/>
      <c r="LYA78" s="458"/>
      <c r="LYB78" s="458"/>
      <c r="LYD78" s="454"/>
      <c r="LYE78" s="450"/>
      <c r="LYF78" s="454"/>
      <c r="LYG78" s="448"/>
      <c r="LYH78" s="449"/>
      <c r="LYI78" s="450"/>
      <c r="LYJ78" s="447"/>
      <c r="LYK78" s="448"/>
      <c r="LYL78" s="449"/>
      <c r="LYM78" s="450"/>
      <c r="LYN78" s="447"/>
      <c r="LYO78" s="451"/>
      <c r="LYP78" s="449"/>
      <c r="LYQ78" s="450"/>
      <c r="LYR78" s="447"/>
      <c r="LYS78" s="451"/>
      <c r="LYT78" s="449"/>
      <c r="LYU78" s="450"/>
      <c r="LYV78" s="447"/>
      <c r="LYW78" s="451"/>
      <c r="LYX78" s="449"/>
      <c r="LYY78" s="450"/>
      <c r="LYZ78" s="452"/>
      <c r="LZA78" s="451"/>
      <c r="LZB78" s="449"/>
      <c r="LZC78" s="450"/>
      <c r="LZD78" s="447"/>
      <c r="LZE78" s="448"/>
      <c r="LZF78" s="453"/>
      <c r="LZG78" s="449"/>
      <c r="LZH78" s="450"/>
      <c r="LZI78" s="454"/>
      <c r="LZJ78" s="448"/>
      <c r="LZL78" s="449"/>
      <c r="LZM78" s="450"/>
      <c r="LZN78" s="452"/>
      <c r="LZO78" s="448"/>
      <c r="LZQ78" s="449"/>
      <c r="LZR78" s="450"/>
      <c r="LZS78" s="447"/>
      <c r="LZT78" s="448"/>
      <c r="LZV78" s="449"/>
      <c r="LZW78" s="450"/>
      <c r="LZX78" s="452"/>
      <c r="LZY78" s="448"/>
      <c r="LZZ78" s="449"/>
      <c r="MAA78" s="450"/>
      <c r="MAB78" s="452"/>
      <c r="MAC78" s="448"/>
      <c r="MAD78" s="455"/>
      <c r="MAE78" s="449"/>
      <c r="MAF78" s="450"/>
      <c r="MAG78" s="459"/>
      <c r="MAH78" s="448"/>
      <c r="MAI78" s="456"/>
      <c r="MAJ78" s="449"/>
      <c r="MAK78" s="450"/>
      <c r="MAL78" s="452"/>
      <c r="MAM78" s="448"/>
      <c r="MAN78" s="449"/>
      <c r="MAO78" s="450"/>
      <c r="MAP78" s="452"/>
      <c r="MAQ78" s="448"/>
      <c r="MAR78" s="449"/>
      <c r="MAS78" s="450"/>
      <c r="MAT78" s="447"/>
      <c r="MAU78" s="448"/>
      <c r="MAV78" s="457"/>
      <c r="MAW78" s="460"/>
      <c r="MAX78" s="450"/>
      <c r="MAY78" s="461"/>
      <c r="MAZ78" s="448"/>
      <c r="MBA78" s="456"/>
      <c r="MBB78" s="449"/>
      <c r="MBC78" s="450"/>
      <c r="MBD78" s="452"/>
      <c r="MBE78" s="448"/>
      <c r="MBF78" s="456"/>
      <c r="MBG78" s="458"/>
      <c r="MBH78" s="458"/>
      <c r="MBJ78" s="454"/>
      <c r="MBK78" s="450"/>
      <c r="MBL78" s="454"/>
      <c r="MBM78" s="448"/>
      <c r="MBN78" s="449"/>
      <c r="MBO78" s="450"/>
      <c r="MBP78" s="447"/>
      <c r="MBQ78" s="448"/>
      <c r="MBR78" s="449"/>
      <c r="MBS78" s="450"/>
      <c r="MBT78" s="447"/>
      <c r="MBU78" s="451"/>
      <c r="MBV78" s="449"/>
      <c r="MBW78" s="450"/>
      <c r="MBX78" s="447"/>
      <c r="MBY78" s="451"/>
      <c r="MBZ78" s="449"/>
      <c r="MCA78" s="450"/>
      <c r="MCB78" s="447"/>
      <c r="MCC78" s="451"/>
      <c r="MCD78" s="449"/>
      <c r="MCE78" s="450"/>
      <c r="MCF78" s="452"/>
      <c r="MCG78" s="451"/>
      <c r="MCH78" s="449"/>
      <c r="MCI78" s="450"/>
      <c r="MCJ78" s="447"/>
      <c r="MCK78" s="448"/>
      <c r="MCL78" s="453"/>
      <c r="MCM78" s="449"/>
      <c r="MCN78" s="450"/>
      <c r="MCO78" s="454"/>
      <c r="MCP78" s="448"/>
      <c r="MCR78" s="449"/>
      <c r="MCS78" s="450"/>
      <c r="MCT78" s="452"/>
      <c r="MCU78" s="448"/>
      <c r="MCW78" s="449"/>
      <c r="MCX78" s="450"/>
      <c r="MCY78" s="447"/>
      <c r="MCZ78" s="448"/>
      <c r="MDB78" s="449"/>
      <c r="MDC78" s="450"/>
      <c r="MDD78" s="452"/>
      <c r="MDE78" s="448"/>
      <c r="MDF78" s="449"/>
      <c r="MDG78" s="450"/>
      <c r="MDH78" s="452"/>
      <c r="MDI78" s="448"/>
      <c r="MDJ78" s="455"/>
      <c r="MDK78" s="449"/>
      <c r="MDL78" s="450"/>
      <c r="MDM78" s="459"/>
      <c r="MDN78" s="448"/>
      <c r="MDO78" s="456"/>
      <c r="MDP78" s="449"/>
      <c r="MDQ78" s="450"/>
      <c r="MDR78" s="452"/>
      <c r="MDS78" s="448"/>
      <c r="MDT78" s="449"/>
      <c r="MDU78" s="450"/>
      <c r="MDV78" s="452"/>
      <c r="MDW78" s="448"/>
      <c r="MDX78" s="449"/>
      <c r="MDY78" s="450"/>
      <c r="MDZ78" s="447"/>
      <c r="MEA78" s="448"/>
      <c r="MEB78" s="457"/>
      <c r="MEC78" s="460"/>
      <c r="MED78" s="450"/>
      <c r="MEE78" s="461"/>
      <c r="MEF78" s="448"/>
      <c r="MEG78" s="456"/>
      <c r="MEH78" s="449"/>
      <c r="MEI78" s="450"/>
      <c r="MEJ78" s="452"/>
      <c r="MEK78" s="448"/>
      <c r="MEL78" s="456"/>
      <c r="MEM78" s="458"/>
      <c r="MEN78" s="458"/>
      <c r="MEP78" s="454"/>
      <c r="MEQ78" s="450"/>
      <c r="MER78" s="454"/>
      <c r="MES78" s="448"/>
      <c r="MET78" s="449"/>
      <c r="MEU78" s="450"/>
      <c r="MEV78" s="447"/>
      <c r="MEW78" s="448"/>
      <c r="MEX78" s="449"/>
      <c r="MEY78" s="450"/>
      <c r="MEZ78" s="447"/>
      <c r="MFA78" s="451"/>
      <c r="MFB78" s="449"/>
      <c r="MFC78" s="450"/>
      <c r="MFD78" s="447"/>
      <c r="MFE78" s="451"/>
      <c r="MFF78" s="449"/>
      <c r="MFG78" s="450"/>
      <c r="MFH78" s="447"/>
      <c r="MFI78" s="451"/>
      <c r="MFJ78" s="449"/>
      <c r="MFK78" s="450"/>
      <c r="MFL78" s="452"/>
      <c r="MFM78" s="451"/>
      <c r="MFN78" s="449"/>
      <c r="MFO78" s="450"/>
      <c r="MFP78" s="447"/>
      <c r="MFQ78" s="448"/>
      <c r="MFR78" s="453"/>
      <c r="MFS78" s="449"/>
      <c r="MFT78" s="450"/>
      <c r="MFU78" s="454"/>
      <c r="MFV78" s="448"/>
      <c r="MFX78" s="449"/>
      <c r="MFY78" s="450"/>
      <c r="MFZ78" s="452"/>
      <c r="MGA78" s="448"/>
      <c r="MGC78" s="449"/>
      <c r="MGD78" s="450"/>
      <c r="MGE78" s="447"/>
      <c r="MGF78" s="448"/>
      <c r="MGH78" s="449"/>
      <c r="MGI78" s="450"/>
      <c r="MGJ78" s="452"/>
      <c r="MGK78" s="448"/>
      <c r="MGL78" s="449"/>
      <c r="MGM78" s="450"/>
      <c r="MGN78" s="452"/>
      <c r="MGO78" s="448"/>
      <c r="MGP78" s="455"/>
      <c r="MGQ78" s="449"/>
      <c r="MGR78" s="450"/>
      <c r="MGS78" s="459"/>
      <c r="MGT78" s="448"/>
      <c r="MGU78" s="456"/>
      <c r="MGV78" s="449"/>
      <c r="MGW78" s="450"/>
      <c r="MGX78" s="452"/>
      <c r="MGY78" s="448"/>
      <c r="MGZ78" s="449"/>
      <c r="MHA78" s="450"/>
      <c r="MHB78" s="452"/>
      <c r="MHC78" s="448"/>
      <c r="MHD78" s="449"/>
      <c r="MHE78" s="450"/>
      <c r="MHF78" s="447"/>
      <c r="MHG78" s="448"/>
      <c r="MHH78" s="457"/>
      <c r="MHI78" s="460"/>
      <c r="MHJ78" s="450"/>
      <c r="MHK78" s="461"/>
      <c r="MHL78" s="448"/>
      <c r="MHM78" s="456"/>
      <c r="MHN78" s="449"/>
      <c r="MHO78" s="450"/>
      <c r="MHP78" s="452"/>
      <c r="MHQ78" s="448"/>
      <c r="MHR78" s="456"/>
      <c r="MHS78" s="458"/>
      <c r="MHT78" s="458"/>
      <c r="MHV78" s="454"/>
      <c r="MHW78" s="450"/>
      <c r="MHX78" s="454"/>
      <c r="MHY78" s="448"/>
      <c r="MHZ78" s="449"/>
      <c r="MIA78" s="450"/>
      <c r="MIB78" s="447"/>
      <c r="MIC78" s="448"/>
      <c r="MID78" s="449"/>
      <c r="MIE78" s="450"/>
      <c r="MIF78" s="447"/>
      <c r="MIG78" s="451"/>
      <c r="MIH78" s="449"/>
      <c r="MII78" s="450"/>
      <c r="MIJ78" s="447"/>
      <c r="MIK78" s="451"/>
      <c r="MIL78" s="449"/>
      <c r="MIM78" s="450"/>
      <c r="MIN78" s="447"/>
      <c r="MIO78" s="451"/>
      <c r="MIP78" s="449"/>
      <c r="MIQ78" s="450"/>
      <c r="MIR78" s="452"/>
      <c r="MIS78" s="451"/>
      <c r="MIT78" s="449"/>
      <c r="MIU78" s="450"/>
      <c r="MIV78" s="447"/>
      <c r="MIW78" s="448"/>
      <c r="MIX78" s="453"/>
      <c r="MIY78" s="449"/>
      <c r="MIZ78" s="450"/>
      <c r="MJA78" s="454"/>
      <c r="MJB78" s="448"/>
      <c r="MJD78" s="449"/>
      <c r="MJE78" s="450"/>
      <c r="MJF78" s="452"/>
      <c r="MJG78" s="448"/>
      <c r="MJI78" s="449"/>
      <c r="MJJ78" s="450"/>
      <c r="MJK78" s="447"/>
      <c r="MJL78" s="448"/>
      <c r="MJN78" s="449"/>
      <c r="MJO78" s="450"/>
      <c r="MJP78" s="452"/>
      <c r="MJQ78" s="448"/>
      <c r="MJR78" s="449"/>
      <c r="MJS78" s="450"/>
      <c r="MJT78" s="452"/>
      <c r="MJU78" s="448"/>
      <c r="MJV78" s="455"/>
      <c r="MJW78" s="449"/>
      <c r="MJX78" s="450"/>
      <c r="MJY78" s="459"/>
      <c r="MJZ78" s="448"/>
      <c r="MKA78" s="456"/>
      <c r="MKB78" s="449"/>
      <c r="MKC78" s="450"/>
      <c r="MKD78" s="452"/>
      <c r="MKE78" s="448"/>
      <c r="MKF78" s="449"/>
      <c r="MKG78" s="450"/>
      <c r="MKH78" s="452"/>
      <c r="MKI78" s="448"/>
      <c r="MKJ78" s="449"/>
      <c r="MKK78" s="450"/>
      <c r="MKL78" s="447"/>
      <c r="MKM78" s="448"/>
      <c r="MKN78" s="457"/>
      <c r="MKO78" s="460"/>
      <c r="MKP78" s="450"/>
      <c r="MKQ78" s="461"/>
      <c r="MKR78" s="448"/>
      <c r="MKS78" s="456"/>
      <c r="MKT78" s="449"/>
      <c r="MKU78" s="450"/>
      <c r="MKV78" s="452"/>
      <c r="MKW78" s="448"/>
      <c r="MKX78" s="456"/>
      <c r="MKY78" s="458"/>
      <c r="MKZ78" s="458"/>
      <c r="MLB78" s="454"/>
      <c r="MLC78" s="450"/>
      <c r="MLD78" s="454"/>
      <c r="MLE78" s="448"/>
      <c r="MLF78" s="449"/>
      <c r="MLG78" s="450"/>
      <c r="MLH78" s="447"/>
      <c r="MLI78" s="448"/>
      <c r="MLJ78" s="449"/>
      <c r="MLK78" s="450"/>
      <c r="MLL78" s="447"/>
      <c r="MLM78" s="451"/>
      <c r="MLN78" s="449"/>
      <c r="MLO78" s="450"/>
      <c r="MLP78" s="447"/>
      <c r="MLQ78" s="451"/>
      <c r="MLR78" s="449"/>
      <c r="MLS78" s="450"/>
      <c r="MLT78" s="447"/>
      <c r="MLU78" s="451"/>
      <c r="MLV78" s="449"/>
      <c r="MLW78" s="450"/>
      <c r="MLX78" s="452"/>
      <c r="MLY78" s="451"/>
      <c r="MLZ78" s="449"/>
      <c r="MMA78" s="450"/>
      <c r="MMB78" s="447"/>
      <c r="MMC78" s="448"/>
      <c r="MMD78" s="453"/>
      <c r="MME78" s="449"/>
      <c r="MMF78" s="450"/>
      <c r="MMG78" s="454"/>
      <c r="MMH78" s="448"/>
      <c r="MMJ78" s="449"/>
      <c r="MMK78" s="450"/>
      <c r="MML78" s="452"/>
      <c r="MMM78" s="448"/>
      <c r="MMO78" s="449"/>
      <c r="MMP78" s="450"/>
      <c r="MMQ78" s="447"/>
      <c r="MMR78" s="448"/>
      <c r="MMT78" s="449"/>
      <c r="MMU78" s="450"/>
      <c r="MMV78" s="452"/>
      <c r="MMW78" s="448"/>
      <c r="MMX78" s="449"/>
      <c r="MMY78" s="450"/>
      <c r="MMZ78" s="452"/>
      <c r="MNA78" s="448"/>
      <c r="MNB78" s="455"/>
      <c r="MNC78" s="449"/>
      <c r="MND78" s="450"/>
      <c r="MNE78" s="459"/>
      <c r="MNF78" s="448"/>
      <c r="MNG78" s="456"/>
      <c r="MNH78" s="449"/>
      <c r="MNI78" s="450"/>
      <c r="MNJ78" s="452"/>
      <c r="MNK78" s="448"/>
      <c r="MNL78" s="449"/>
      <c r="MNM78" s="450"/>
      <c r="MNN78" s="452"/>
      <c r="MNO78" s="448"/>
      <c r="MNP78" s="449"/>
      <c r="MNQ78" s="450"/>
      <c r="MNR78" s="447"/>
      <c r="MNS78" s="448"/>
      <c r="MNT78" s="457"/>
      <c r="MNU78" s="460"/>
      <c r="MNV78" s="450"/>
      <c r="MNW78" s="461"/>
      <c r="MNX78" s="448"/>
      <c r="MNY78" s="456"/>
      <c r="MNZ78" s="449"/>
      <c r="MOA78" s="450"/>
      <c r="MOB78" s="452"/>
      <c r="MOC78" s="448"/>
      <c r="MOD78" s="456"/>
      <c r="MOE78" s="458"/>
      <c r="MOF78" s="458"/>
      <c r="MOH78" s="454"/>
      <c r="MOI78" s="450"/>
      <c r="MOJ78" s="454"/>
      <c r="MOK78" s="448"/>
      <c r="MOL78" s="449"/>
      <c r="MOM78" s="450"/>
      <c r="MON78" s="447"/>
      <c r="MOO78" s="448"/>
      <c r="MOP78" s="449"/>
      <c r="MOQ78" s="450"/>
      <c r="MOR78" s="447"/>
      <c r="MOS78" s="451"/>
      <c r="MOT78" s="449"/>
      <c r="MOU78" s="450"/>
      <c r="MOV78" s="447"/>
      <c r="MOW78" s="451"/>
      <c r="MOX78" s="449"/>
      <c r="MOY78" s="450"/>
      <c r="MOZ78" s="447"/>
      <c r="MPA78" s="451"/>
      <c r="MPB78" s="449"/>
      <c r="MPC78" s="450"/>
      <c r="MPD78" s="452"/>
      <c r="MPE78" s="451"/>
      <c r="MPF78" s="449"/>
      <c r="MPG78" s="450"/>
      <c r="MPH78" s="447"/>
      <c r="MPI78" s="448"/>
      <c r="MPJ78" s="453"/>
      <c r="MPK78" s="449"/>
      <c r="MPL78" s="450"/>
      <c r="MPM78" s="454"/>
      <c r="MPN78" s="448"/>
      <c r="MPP78" s="449"/>
      <c r="MPQ78" s="450"/>
      <c r="MPR78" s="452"/>
      <c r="MPS78" s="448"/>
      <c r="MPU78" s="449"/>
      <c r="MPV78" s="450"/>
      <c r="MPW78" s="447"/>
      <c r="MPX78" s="448"/>
      <c r="MPZ78" s="449"/>
      <c r="MQA78" s="450"/>
      <c r="MQB78" s="452"/>
      <c r="MQC78" s="448"/>
      <c r="MQD78" s="449"/>
      <c r="MQE78" s="450"/>
      <c r="MQF78" s="452"/>
      <c r="MQG78" s="448"/>
      <c r="MQH78" s="455"/>
      <c r="MQI78" s="449"/>
      <c r="MQJ78" s="450"/>
      <c r="MQK78" s="459"/>
      <c r="MQL78" s="448"/>
      <c r="MQM78" s="456"/>
      <c r="MQN78" s="449"/>
      <c r="MQO78" s="450"/>
      <c r="MQP78" s="452"/>
      <c r="MQQ78" s="448"/>
      <c r="MQR78" s="449"/>
      <c r="MQS78" s="450"/>
      <c r="MQT78" s="452"/>
      <c r="MQU78" s="448"/>
      <c r="MQV78" s="449"/>
      <c r="MQW78" s="450"/>
      <c r="MQX78" s="447"/>
      <c r="MQY78" s="448"/>
      <c r="MQZ78" s="457"/>
      <c r="MRA78" s="460"/>
      <c r="MRB78" s="450"/>
      <c r="MRC78" s="461"/>
      <c r="MRD78" s="448"/>
      <c r="MRE78" s="456"/>
      <c r="MRF78" s="449"/>
      <c r="MRG78" s="450"/>
      <c r="MRH78" s="452"/>
      <c r="MRI78" s="448"/>
      <c r="MRJ78" s="456"/>
      <c r="MRK78" s="458"/>
      <c r="MRL78" s="458"/>
      <c r="MRN78" s="454"/>
      <c r="MRO78" s="450"/>
      <c r="MRP78" s="454"/>
      <c r="MRQ78" s="448"/>
      <c r="MRR78" s="449"/>
      <c r="MRS78" s="450"/>
      <c r="MRT78" s="447"/>
      <c r="MRU78" s="448"/>
      <c r="MRV78" s="449"/>
      <c r="MRW78" s="450"/>
      <c r="MRX78" s="447"/>
      <c r="MRY78" s="451"/>
      <c r="MRZ78" s="449"/>
      <c r="MSA78" s="450"/>
      <c r="MSB78" s="447"/>
      <c r="MSC78" s="451"/>
      <c r="MSD78" s="449"/>
      <c r="MSE78" s="450"/>
      <c r="MSF78" s="447"/>
      <c r="MSG78" s="451"/>
      <c r="MSH78" s="449"/>
      <c r="MSI78" s="450"/>
      <c r="MSJ78" s="452"/>
      <c r="MSK78" s="451"/>
      <c r="MSL78" s="449"/>
      <c r="MSM78" s="450"/>
      <c r="MSN78" s="447"/>
      <c r="MSO78" s="448"/>
      <c r="MSP78" s="453"/>
      <c r="MSQ78" s="449"/>
      <c r="MSR78" s="450"/>
      <c r="MSS78" s="454"/>
      <c r="MST78" s="448"/>
      <c r="MSV78" s="449"/>
      <c r="MSW78" s="450"/>
      <c r="MSX78" s="452"/>
      <c r="MSY78" s="448"/>
      <c r="MTA78" s="449"/>
      <c r="MTB78" s="450"/>
      <c r="MTC78" s="447"/>
      <c r="MTD78" s="448"/>
      <c r="MTF78" s="449"/>
      <c r="MTG78" s="450"/>
      <c r="MTH78" s="452"/>
      <c r="MTI78" s="448"/>
      <c r="MTJ78" s="449"/>
      <c r="MTK78" s="450"/>
      <c r="MTL78" s="452"/>
      <c r="MTM78" s="448"/>
      <c r="MTN78" s="455"/>
      <c r="MTO78" s="449"/>
      <c r="MTP78" s="450"/>
      <c r="MTQ78" s="459"/>
      <c r="MTR78" s="448"/>
      <c r="MTS78" s="456"/>
      <c r="MTT78" s="449"/>
      <c r="MTU78" s="450"/>
      <c r="MTV78" s="452"/>
      <c r="MTW78" s="448"/>
      <c r="MTX78" s="449"/>
      <c r="MTY78" s="450"/>
      <c r="MTZ78" s="452"/>
      <c r="MUA78" s="448"/>
      <c r="MUB78" s="449"/>
      <c r="MUC78" s="450"/>
      <c r="MUD78" s="447"/>
      <c r="MUE78" s="448"/>
      <c r="MUF78" s="457"/>
      <c r="MUG78" s="460"/>
      <c r="MUH78" s="450"/>
      <c r="MUI78" s="461"/>
      <c r="MUJ78" s="448"/>
      <c r="MUK78" s="456"/>
      <c r="MUL78" s="449"/>
      <c r="MUM78" s="450"/>
      <c r="MUN78" s="452"/>
      <c r="MUO78" s="448"/>
      <c r="MUP78" s="456"/>
      <c r="MUQ78" s="458"/>
      <c r="MUR78" s="458"/>
      <c r="MUT78" s="454"/>
      <c r="MUU78" s="450"/>
      <c r="MUV78" s="454"/>
      <c r="MUW78" s="448"/>
      <c r="MUX78" s="449"/>
      <c r="MUY78" s="450"/>
      <c r="MUZ78" s="447"/>
      <c r="MVA78" s="448"/>
      <c r="MVB78" s="449"/>
      <c r="MVC78" s="450"/>
      <c r="MVD78" s="447"/>
      <c r="MVE78" s="451"/>
      <c r="MVF78" s="449"/>
      <c r="MVG78" s="450"/>
      <c r="MVH78" s="447"/>
      <c r="MVI78" s="451"/>
      <c r="MVJ78" s="449"/>
      <c r="MVK78" s="450"/>
      <c r="MVL78" s="447"/>
      <c r="MVM78" s="451"/>
      <c r="MVN78" s="449"/>
      <c r="MVO78" s="450"/>
      <c r="MVP78" s="452"/>
      <c r="MVQ78" s="451"/>
      <c r="MVR78" s="449"/>
      <c r="MVS78" s="450"/>
      <c r="MVT78" s="447"/>
      <c r="MVU78" s="448"/>
      <c r="MVV78" s="453"/>
      <c r="MVW78" s="449"/>
      <c r="MVX78" s="450"/>
      <c r="MVY78" s="454"/>
      <c r="MVZ78" s="448"/>
      <c r="MWB78" s="449"/>
      <c r="MWC78" s="450"/>
      <c r="MWD78" s="452"/>
      <c r="MWE78" s="448"/>
      <c r="MWG78" s="449"/>
      <c r="MWH78" s="450"/>
      <c r="MWI78" s="447"/>
      <c r="MWJ78" s="448"/>
      <c r="MWL78" s="449"/>
      <c r="MWM78" s="450"/>
      <c r="MWN78" s="452"/>
      <c r="MWO78" s="448"/>
      <c r="MWP78" s="449"/>
      <c r="MWQ78" s="450"/>
      <c r="MWR78" s="452"/>
      <c r="MWS78" s="448"/>
      <c r="MWT78" s="455"/>
      <c r="MWU78" s="449"/>
      <c r="MWV78" s="450"/>
      <c r="MWW78" s="459"/>
      <c r="MWX78" s="448"/>
      <c r="MWY78" s="456"/>
      <c r="MWZ78" s="449"/>
      <c r="MXA78" s="450"/>
      <c r="MXB78" s="452"/>
      <c r="MXC78" s="448"/>
      <c r="MXD78" s="449"/>
      <c r="MXE78" s="450"/>
      <c r="MXF78" s="452"/>
      <c r="MXG78" s="448"/>
      <c r="MXH78" s="449"/>
      <c r="MXI78" s="450"/>
      <c r="MXJ78" s="447"/>
      <c r="MXK78" s="448"/>
      <c r="MXL78" s="457"/>
      <c r="MXM78" s="460"/>
      <c r="MXN78" s="450"/>
      <c r="MXO78" s="461"/>
      <c r="MXP78" s="448"/>
      <c r="MXQ78" s="456"/>
      <c r="MXR78" s="449"/>
      <c r="MXS78" s="450"/>
      <c r="MXT78" s="452"/>
      <c r="MXU78" s="448"/>
      <c r="MXV78" s="456"/>
      <c r="MXW78" s="458"/>
      <c r="MXX78" s="458"/>
      <c r="MXZ78" s="454"/>
      <c r="MYA78" s="450"/>
      <c r="MYB78" s="454"/>
      <c r="MYC78" s="448"/>
      <c r="MYD78" s="449"/>
      <c r="MYE78" s="450"/>
      <c r="MYF78" s="447"/>
      <c r="MYG78" s="448"/>
      <c r="MYH78" s="449"/>
      <c r="MYI78" s="450"/>
      <c r="MYJ78" s="447"/>
      <c r="MYK78" s="451"/>
      <c r="MYL78" s="449"/>
      <c r="MYM78" s="450"/>
      <c r="MYN78" s="447"/>
      <c r="MYO78" s="451"/>
      <c r="MYP78" s="449"/>
      <c r="MYQ78" s="450"/>
      <c r="MYR78" s="447"/>
      <c r="MYS78" s="451"/>
      <c r="MYT78" s="449"/>
      <c r="MYU78" s="450"/>
      <c r="MYV78" s="452"/>
      <c r="MYW78" s="451"/>
      <c r="MYX78" s="449"/>
      <c r="MYY78" s="450"/>
      <c r="MYZ78" s="447"/>
      <c r="MZA78" s="448"/>
      <c r="MZB78" s="453"/>
      <c r="MZC78" s="449"/>
      <c r="MZD78" s="450"/>
      <c r="MZE78" s="454"/>
      <c r="MZF78" s="448"/>
      <c r="MZH78" s="449"/>
      <c r="MZI78" s="450"/>
      <c r="MZJ78" s="452"/>
      <c r="MZK78" s="448"/>
      <c r="MZM78" s="449"/>
      <c r="MZN78" s="450"/>
      <c r="MZO78" s="447"/>
      <c r="MZP78" s="448"/>
      <c r="MZR78" s="449"/>
      <c r="MZS78" s="450"/>
      <c r="MZT78" s="452"/>
      <c r="MZU78" s="448"/>
      <c r="MZV78" s="449"/>
      <c r="MZW78" s="450"/>
      <c r="MZX78" s="452"/>
      <c r="MZY78" s="448"/>
      <c r="MZZ78" s="455"/>
      <c r="NAA78" s="449"/>
      <c r="NAB78" s="450"/>
      <c r="NAC78" s="459"/>
      <c r="NAD78" s="448"/>
      <c r="NAE78" s="456"/>
      <c r="NAF78" s="449"/>
      <c r="NAG78" s="450"/>
      <c r="NAH78" s="452"/>
      <c r="NAI78" s="448"/>
      <c r="NAJ78" s="449"/>
      <c r="NAK78" s="450"/>
      <c r="NAL78" s="452"/>
      <c r="NAM78" s="448"/>
      <c r="NAN78" s="449"/>
      <c r="NAO78" s="450"/>
      <c r="NAP78" s="447"/>
      <c r="NAQ78" s="448"/>
      <c r="NAR78" s="457"/>
      <c r="NAS78" s="460"/>
      <c r="NAT78" s="450"/>
      <c r="NAU78" s="461"/>
      <c r="NAV78" s="448"/>
      <c r="NAW78" s="456"/>
      <c r="NAX78" s="449"/>
      <c r="NAY78" s="450"/>
      <c r="NAZ78" s="452"/>
      <c r="NBA78" s="448"/>
      <c r="NBB78" s="456"/>
      <c r="NBC78" s="458"/>
      <c r="NBD78" s="458"/>
      <c r="NBF78" s="454"/>
      <c r="NBG78" s="450"/>
      <c r="NBH78" s="454"/>
      <c r="NBI78" s="448"/>
      <c r="NBJ78" s="449"/>
      <c r="NBK78" s="450"/>
      <c r="NBL78" s="447"/>
      <c r="NBM78" s="448"/>
      <c r="NBN78" s="449"/>
      <c r="NBO78" s="450"/>
      <c r="NBP78" s="447"/>
      <c r="NBQ78" s="451"/>
      <c r="NBR78" s="449"/>
      <c r="NBS78" s="450"/>
      <c r="NBT78" s="447"/>
      <c r="NBU78" s="451"/>
      <c r="NBV78" s="449"/>
      <c r="NBW78" s="450"/>
      <c r="NBX78" s="447"/>
      <c r="NBY78" s="451"/>
      <c r="NBZ78" s="449"/>
      <c r="NCA78" s="450"/>
      <c r="NCB78" s="452"/>
      <c r="NCC78" s="451"/>
      <c r="NCD78" s="449"/>
      <c r="NCE78" s="450"/>
      <c r="NCF78" s="447"/>
      <c r="NCG78" s="448"/>
      <c r="NCH78" s="453"/>
      <c r="NCI78" s="449"/>
      <c r="NCJ78" s="450"/>
      <c r="NCK78" s="454"/>
      <c r="NCL78" s="448"/>
      <c r="NCN78" s="449"/>
      <c r="NCO78" s="450"/>
      <c r="NCP78" s="452"/>
      <c r="NCQ78" s="448"/>
      <c r="NCS78" s="449"/>
      <c r="NCT78" s="450"/>
      <c r="NCU78" s="447"/>
      <c r="NCV78" s="448"/>
      <c r="NCX78" s="449"/>
      <c r="NCY78" s="450"/>
      <c r="NCZ78" s="452"/>
      <c r="NDA78" s="448"/>
      <c r="NDB78" s="449"/>
      <c r="NDC78" s="450"/>
      <c r="NDD78" s="452"/>
      <c r="NDE78" s="448"/>
      <c r="NDF78" s="455"/>
      <c r="NDG78" s="449"/>
      <c r="NDH78" s="450"/>
      <c r="NDI78" s="459"/>
      <c r="NDJ78" s="448"/>
      <c r="NDK78" s="456"/>
      <c r="NDL78" s="449"/>
      <c r="NDM78" s="450"/>
      <c r="NDN78" s="452"/>
      <c r="NDO78" s="448"/>
      <c r="NDP78" s="449"/>
      <c r="NDQ78" s="450"/>
      <c r="NDR78" s="452"/>
      <c r="NDS78" s="448"/>
      <c r="NDT78" s="449"/>
      <c r="NDU78" s="450"/>
      <c r="NDV78" s="447"/>
      <c r="NDW78" s="448"/>
      <c r="NDX78" s="457"/>
      <c r="NDY78" s="460"/>
      <c r="NDZ78" s="450"/>
      <c r="NEA78" s="461"/>
      <c r="NEB78" s="448"/>
      <c r="NEC78" s="456"/>
      <c r="NED78" s="449"/>
      <c r="NEE78" s="450"/>
      <c r="NEF78" s="452"/>
      <c r="NEG78" s="448"/>
      <c r="NEH78" s="456"/>
      <c r="NEI78" s="458"/>
      <c r="NEJ78" s="458"/>
      <c r="NEL78" s="454"/>
      <c r="NEM78" s="450"/>
      <c r="NEN78" s="454"/>
      <c r="NEO78" s="448"/>
      <c r="NEP78" s="449"/>
      <c r="NEQ78" s="450"/>
      <c r="NER78" s="447"/>
      <c r="NES78" s="448"/>
      <c r="NET78" s="449"/>
      <c r="NEU78" s="450"/>
      <c r="NEV78" s="447"/>
      <c r="NEW78" s="451"/>
      <c r="NEX78" s="449"/>
      <c r="NEY78" s="450"/>
      <c r="NEZ78" s="447"/>
      <c r="NFA78" s="451"/>
      <c r="NFB78" s="449"/>
      <c r="NFC78" s="450"/>
      <c r="NFD78" s="447"/>
      <c r="NFE78" s="451"/>
      <c r="NFF78" s="449"/>
      <c r="NFG78" s="450"/>
      <c r="NFH78" s="452"/>
      <c r="NFI78" s="451"/>
      <c r="NFJ78" s="449"/>
      <c r="NFK78" s="450"/>
      <c r="NFL78" s="447"/>
      <c r="NFM78" s="448"/>
      <c r="NFN78" s="453"/>
      <c r="NFO78" s="449"/>
      <c r="NFP78" s="450"/>
      <c r="NFQ78" s="454"/>
      <c r="NFR78" s="448"/>
      <c r="NFT78" s="449"/>
      <c r="NFU78" s="450"/>
      <c r="NFV78" s="452"/>
      <c r="NFW78" s="448"/>
      <c r="NFY78" s="449"/>
      <c r="NFZ78" s="450"/>
      <c r="NGA78" s="447"/>
      <c r="NGB78" s="448"/>
      <c r="NGD78" s="449"/>
      <c r="NGE78" s="450"/>
      <c r="NGF78" s="452"/>
      <c r="NGG78" s="448"/>
      <c r="NGH78" s="449"/>
      <c r="NGI78" s="450"/>
      <c r="NGJ78" s="452"/>
      <c r="NGK78" s="448"/>
      <c r="NGL78" s="455"/>
      <c r="NGM78" s="449"/>
      <c r="NGN78" s="450"/>
      <c r="NGO78" s="459"/>
      <c r="NGP78" s="448"/>
      <c r="NGQ78" s="456"/>
      <c r="NGR78" s="449"/>
      <c r="NGS78" s="450"/>
      <c r="NGT78" s="452"/>
      <c r="NGU78" s="448"/>
      <c r="NGV78" s="449"/>
      <c r="NGW78" s="450"/>
      <c r="NGX78" s="452"/>
      <c r="NGY78" s="448"/>
      <c r="NGZ78" s="449"/>
      <c r="NHA78" s="450"/>
      <c r="NHB78" s="447"/>
      <c r="NHC78" s="448"/>
      <c r="NHD78" s="457"/>
      <c r="NHE78" s="460"/>
      <c r="NHF78" s="450"/>
      <c r="NHG78" s="461"/>
      <c r="NHH78" s="448"/>
      <c r="NHI78" s="456"/>
      <c r="NHJ78" s="449"/>
      <c r="NHK78" s="450"/>
      <c r="NHL78" s="452"/>
      <c r="NHM78" s="448"/>
      <c r="NHN78" s="456"/>
      <c r="NHO78" s="458"/>
      <c r="NHP78" s="458"/>
      <c r="NHR78" s="454"/>
      <c r="NHS78" s="450"/>
      <c r="NHT78" s="454"/>
      <c r="NHU78" s="448"/>
      <c r="NHV78" s="449"/>
      <c r="NHW78" s="450"/>
      <c r="NHX78" s="447"/>
      <c r="NHY78" s="448"/>
      <c r="NHZ78" s="449"/>
      <c r="NIA78" s="450"/>
      <c r="NIB78" s="447"/>
      <c r="NIC78" s="451"/>
      <c r="NID78" s="449"/>
      <c r="NIE78" s="450"/>
      <c r="NIF78" s="447"/>
      <c r="NIG78" s="451"/>
      <c r="NIH78" s="449"/>
      <c r="NII78" s="450"/>
      <c r="NIJ78" s="447"/>
      <c r="NIK78" s="451"/>
      <c r="NIL78" s="449"/>
      <c r="NIM78" s="450"/>
      <c r="NIN78" s="452"/>
      <c r="NIO78" s="451"/>
      <c r="NIP78" s="449"/>
      <c r="NIQ78" s="450"/>
      <c r="NIR78" s="447"/>
      <c r="NIS78" s="448"/>
      <c r="NIT78" s="453"/>
      <c r="NIU78" s="449"/>
      <c r="NIV78" s="450"/>
      <c r="NIW78" s="454"/>
      <c r="NIX78" s="448"/>
      <c r="NIZ78" s="449"/>
      <c r="NJA78" s="450"/>
      <c r="NJB78" s="452"/>
      <c r="NJC78" s="448"/>
      <c r="NJE78" s="449"/>
      <c r="NJF78" s="450"/>
      <c r="NJG78" s="447"/>
      <c r="NJH78" s="448"/>
      <c r="NJJ78" s="449"/>
      <c r="NJK78" s="450"/>
      <c r="NJL78" s="452"/>
      <c r="NJM78" s="448"/>
      <c r="NJN78" s="449"/>
      <c r="NJO78" s="450"/>
      <c r="NJP78" s="452"/>
      <c r="NJQ78" s="448"/>
      <c r="NJR78" s="455"/>
      <c r="NJS78" s="449"/>
      <c r="NJT78" s="450"/>
      <c r="NJU78" s="459"/>
      <c r="NJV78" s="448"/>
      <c r="NJW78" s="456"/>
      <c r="NJX78" s="449"/>
      <c r="NJY78" s="450"/>
      <c r="NJZ78" s="452"/>
      <c r="NKA78" s="448"/>
      <c r="NKB78" s="449"/>
      <c r="NKC78" s="450"/>
      <c r="NKD78" s="452"/>
      <c r="NKE78" s="448"/>
      <c r="NKF78" s="449"/>
      <c r="NKG78" s="450"/>
      <c r="NKH78" s="447"/>
      <c r="NKI78" s="448"/>
      <c r="NKJ78" s="457"/>
      <c r="NKK78" s="460"/>
      <c r="NKL78" s="450"/>
      <c r="NKM78" s="461"/>
      <c r="NKN78" s="448"/>
      <c r="NKO78" s="456"/>
      <c r="NKP78" s="449"/>
      <c r="NKQ78" s="450"/>
      <c r="NKR78" s="452"/>
      <c r="NKS78" s="448"/>
      <c r="NKT78" s="456"/>
      <c r="NKU78" s="458"/>
      <c r="NKV78" s="458"/>
      <c r="NKX78" s="454"/>
      <c r="NKY78" s="450"/>
      <c r="NKZ78" s="454"/>
      <c r="NLA78" s="448"/>
      <c r="NLB78" s="449"/>
      <c r="NLC78" s="450"/>
      <c r="NLD78" s="447"/>
      <c r="NLE78" s="448"/>
      <c r="NLF78" s="449"/>
      <c r="NLG78" s="450"/>
      <c r="NLH78" s="447"/>
      <c r="NLI78" s="451"/>
      <c r="NLJ78" s="449"/>
      <c r="NLK78" s="450"/>
      <c r="NLL78" s="447"/>
      <c r="NLM78" s="451"/>
      <c r="NLN78" s="449"/>
      <c r="NLO78" s="450"/>
      <c r="NLP78" s="447"/>
      <c r="NLQ78" s="451"/>
      <c r="NLR78" s="449"/>
      <c r="NLS78" s="450"/>
      <c r="NLT78" s="452"/>
      <c r="NLU78" s="451"/>
      <c r="NLV78" s="449"/>
      <c r="NLW78" s="450"/>
      <c r="NLX78" s="447"/>
      <c r="NLY78" s="448"/>
      <c r="NLZ78" s="453"/>
      <c r="NMA78" s="449"/>
      <c r="NMB78" s="450"/>
      <c r="NMC78" s="454"/>
      <c r="NMD78" s="448"/>
      <c r="NMF78" s="449"/>
      <c r="NMG78" s="450"/>
      <c r="NMH78" s="452"/>
      <c r="NMI78" s="448"/>
      <c r="NMK78" s="449"/>
      <c r="NML78" s="450"/>
      <c r="NMM78" s="447"/>
      <c r="NMN78" s="448"/>
      <c r="NMP78" s="449"/>
      <c r="NMQ78" s="450"/>
      <c r="NMR78" s="452"/>
      <c r="NMS78" s="448"/>
      <c r="NMT78" s="449"/>
      <c r="NMU78" s="450"/>
      <c r="NMV78" s="452"/>
      <c r="NMW78" s="448"/>
      <c r="NMX78" s="455"/>
      <c r="NMY78" s="449"/>
      <c r="NMZ78" s="450"/>
      <c r="NNA78" s="459"/>
      <c r="NNB78" s="448"/>
      <c r="NNC78" s="456"/>
      <c r="NND78" s="449"/>
      <c r="NNE78" s="450"/>
      <c r="NNF78" s="452"/>
      <c r="NNG78" s="448"/>
      <c r="NNH78" s="449"/>
      <c r="NNI78" s="450"/>
      <c r="NNJ78" s="452"/>
      <c r="NNK78" s="448"/>
      <c r="NNL78" s="449"/>
      <c r="NNM78" s="450"/>
      <c r="NNN78" s="447"/>
      <c r="NNO78" s="448"/>
      <c r="NNP78" s="457"/>
      <c r="NNQ78" s="460"/>
      <c r="NNR78" s="450"/>
      <c r="NNS78" s="461"/>
      <c r="NNT78" s="448"/>
      <c r="NNU78" s="456"/>
      <c r="NNV78" s="449"/>
      <c r="NNW78" s="450"/>
      <c r="NNX78" s="452"/>
      <c r="NNY78" s="448"/>
      <c r="NNZ78" s="456"/>
      <c r="NOA78" s="458"/>
      <c r="NOB78" s="458"/>
      <c r="NOD78" s="454"/>
      <c r="NOE78" s="450"/>
      <c r="NOF78" s="454"/>
      <c r="NOG78" s="448"/>
      <c r="NOH78" s="449"/>
      <c r="NOI78" s="450"/>
      <c r="NOJ78" s="447"/>
      <c r="NOK78" s="448"/>
      <c r="NOL78" s="449"/>
      <c r="NOM78" s="450"/>
      <c r="NON78" s="447"/>
      <c r="NOO78" s="451"/>
      <c r="NOP78" s="449"/>
      <c r="NOQ78" s="450"/>
      <c r="NOR78" s="447"/>
      <c r="NOS78" s="451"/>
      <c r="NOT78" s="449"/>
      <c r="NOU78" s="450"/>
      <c r="NOV78" s="447"/>
      <c r="NOW78" s="451"/>
      <c r="NOX78" s="449"/>
      <c r="NOY78" s="450"/>
      <c r="NOZ78" s="452"/>
      <c r="NPA78" s="451"/>
      <c r="NPB78" s="449"/>
      <c r="NPC78" s="450"/>
      <c r="NPD78" s="447"/>
      <c r="NPE78" s="448"/>
      <c r="NPF78" s="453"/>
      <c r="NPG78" s="449"/>
      <c r="NPH78" s="450"/>
      <c r="NPI78" s="454"/>
      <c r="NPJ78" s="448"/>
      <c r="NPL78" s="449"/>
      <c r="NPM78" s="450"/>
      <c r="NPN78" s="452"/>
      <c r="NPO78" s="448"/>
      <c r="NPQ78" s="449"/>
      <c r="NPR78" s="450"/>
      <c r="NPS78" s="447"/>
      <c r="NPT78" s="448"/>
      <c r="NPV78" s="449"/>
      <c r="NPW78" s="450"/>
      <c r="NPX78" s="452"/>
      <c r="NPY78" s="448"/>
      <c r="NPZ78" s="449"/>
      <c r="NQA78" s="450"/>
      <c r="NQB78" s="452"/>
      <c r="NQC78" s="448"/>
      <c r="NQD78" s="455"/>
      <c r="NQE78" s="449"/>
      <c r="NQF78" s="450"/>
      <c r="NQG78" s="459"/>
      <c r="NQH78" s="448"/>
      <c r="NQI78" s="456"/>
      <c r="NQJ78" s="449"/>
      <c r="NQK78" s="450"/>
      <c r="NQL78" s="452"/>
      <c r="NQM78" s="448"/>
      <c r="NQN78" s="449"/>
      <c r="NQO78" s="450"/>
      <c r="NQP78" s="452"/>
      <c r="NQQ78" s="448"/>
      <c r="NQR78" s="449"/>
      <c r="NQS78" s="450"/>
      <c r="NQT78" s="447"/>
      <c r="NQU78" s="448"/>
      <c r="NQV78" s="457"/>
      <c r="NQW78" s="460"/>
      <c r="NQX78" s="450"/>
      <c r="NQY78" s="461"/>
      <c r="NQZ78" s="448"/>
      <c r="NRA78" s="456"/>
      <c r="NRB78" s="449"/>
      <c r="NRC78" s="450"/>
      <c r="NRD78" s="452"/>
      <c r="NRE78" s="448"/>
      <c r="NRF78" s="456"/>
      <c r="NRG78" s="458"/>
      <c r="NRH78" s="458"/>
      <c r="NRJ78" s="454"/>
      <c r="NRK78" s="450"/>
      <c r="NRL78" s="454"/>
      <c r="NRM78" s="448"/>
      <c r="NRN78" s="449"/>
      <c r="NRO78" s="450"/>
      <c r="NRP78" s="447"/>
      <c r="NRQ78" s="448"/>
      <c r="NRR78" s="449"/>
      <c r="NRS78" s="450"/>
      <c r="NRT78" s="447"/>
      <c r="NRU78" s="451"/>
      <c r="NRV78" s="449"/>
      <c r="NRW78" s="450"/>
      <c r="NRX78" s="447"/>
      <c r="NRY78" s="451"/>
      <c r="NRZ78" s="449"/>
      <c r="NSA78" s="450"/>
      <c r="NSB78" s="447"/>
      <c r="NSC78" s="451"/>
      <c r="NSD78" s="449"/>
      <c r="NSE78" s="450"/>
      <c r="NSF78" s="452"/>
      <c r="NSG78" s="451"/>
      <c r="NSH78" s="449"/>
      <c r="NSI78" s="450"/>
      <c r="NSJ78" s="447"/>
      <c r="NSK78" s="448"/>
      <c r="NSL78" s="453"/>
      <c r="NSM78" s="449"/>
      <c r="NSN78" s="450"/>
      <c r="NSO78" s="454"/>
      <c r="NSP78" s="448"/>
      <c r="NSR78" s="449"/>
      <c r="NSS78" s="450"/>
      <c r="NST78" s="452"/>
      <c r="NSU78" s="448"/>
      <c r="NSW78" s="449"/>
      <c r="NSX78" s="450"/>
      <c r="NSY78" s="447"/>
      <c r="NSZ78" s="448"/>
      <c r="NTB78" s="449"/>
      <c r="NTC78" s="450"/>
      <c r="NTD78" s="452"/>
      <c r="NTE78" s="448"/>
      <c r="NTF78" s="449"/>
      <c r="NTG78" s="450"/>
      <c r="NTH78" s="452"/>
      <c r="NTI78" s="448"/>
      <c r="NTJ78" s="455"/>
      <c r="NTK78" s="449"/>
      <c r="NTL78" s="450"/>
      <c r="NTM78" s="459"/>
      <c r="NTN78" s="448"/>
      <c r="NTO78" s="456"/>
      <c r="NTP78" s="449"/>
      <c r="NTQ78" s="450"/>
      <c r="NTR78" s="452"/>
      <c r="NTS78" s="448"/>
      <c r="NTT78" s="449"/>
      <c r="NTU78" s="450"/>
      <c r="NTV78" s="452"/>
      <c r="NTW78" s="448"/>
      <c r="NTX78" s="449"/>
      <c r="NTY78" s="450"/>
      <c r="NTZ78" s="447"/>
      <c r="NUA78" s="448"/>
      <c r="NUB78" s="457"/>
      <c r="NUC78" s="460"/>
      <c r="NUD78" s="450"/>
      <c r="NUE78" s="461"/>
      <c r="NUF78" s="448"/>
      <c r="NUG78" s="456"/>
      <c r="NUH78" s="449"/>
      <c r="NUI78" s="450"/>
      <c r="NUJ78" s="452"/>
      <c r="NUK78" s="448"/>
      <c r="NUL78" s="456"/>
      <c r="NUM78" s="458"/>
      <c r="NUN78" s="458"/>
      <c r="NUP78" s="454"/>
      <c r="NUQ78" s="450"/>
      <c r="NUR78" s="454"/>
      <c r="NUS78" s="448"/>
      <c r="NUT78" s="449"/>
      <c r="NUU78" s="450"/>
      <c r="NUV78" s="447"/>
      <c r="NUW78" s="448"/>
      <c r="NUX78" s="449"/>
      <c r="NUY78" s="450"/>
      <c r="NUZ78" s="447"/>
      <c r="NVA78" s="451"/>
      <c r="NVB78" s="449"/>
      <c r="NVC78" s="450"/>
      <c r="NVD78" s="447"/>
      <c r="NVE78" s="451"/>
      <c r="NVF78" s="449"/>
      <c r="NVG78" s="450"/>
      <c r="NVH78" s="447"/>
      <c r="NVI78" s="451"/>
      <c r="NVJ78" s="449"/>
      <c r="NVK78" s="450"/>
      <c r="NVL78" s="452"/>
      <c r="NVM78" s="451"/>
      <c r="NVN78" s="449"/>
      <c r="NVO78" s="450"/>
      <c r="NVP78" s="447"/>
      <c r="NVQ78" s="448"/>
      <c r="NVR78" s="453"/>
      <c r="NVS78" s="449"/>
      <c r="NVT78" s="450"/>
      <c r="NVU78" s="454"/>
      <c r="NVV78" s="448"/>
      <c r="NVX78" s="449"/>
      <c r="NVY78" s="450"/>
      <c r="NVZ78" s="452"/>
      <c r="NWA78" s="448"/>
      <c r="NWC78" s="449"/>
      <c r="NWD78" s="450"/>
      <c r="NWE78" s="447"/>
      <c r="NWF78" s="448"/>
      <c r="NWH78" s="449"/>
      <c r="NWI78" s="450"/>
      <c r="NWJ78" s="452"/>
      <c r="NWK78" s="448"/>
      <c r="NWL78" s="449"/>
      <c r="NWM78" s="450"/>
      <c r="NWN78" s="452"/>
      <c r="NWO78" s="448"/>
      <c r="NWP78" s="455"/>
      <c r="NWQ78" s="449"/>
      <c r="NWR78" s="450"/>
      <c r="NWS78" s="459"/>
      <c r="NWT78" s="448"/>
      <c r="NWU78" s="456"/>
      <c r="NWV78" s="449"/>
      <c r="NWW78" s="450"/>
      <c r="NWX78" s="452"/>
      <c r="NWY78" s="448"/>
      <c r="NWZ78" s="449"/>
      <c r="NXA78" s="450"/>
      <c r="NXB78" s="452"/>
      <c r="NXC78" s="448"/>
      <c r="NXD78" s="449"/>
      <c r="NXE78" s="450"/>
      <c r="NXF78" s="447"/>
      <c r="NXG78" s="448"/>
      <c r="NXH78" s="457"/>
      <c r="NXI78" s="460"/>
      <c r="NXJ78" s="450"/>
      <c r="NXK78" s="461"/>
      <c r="NXL78" s="448"/>
      <c r="NXM78" s="456"/>
      <c r="NXN78" s="449"/>
      <c r="NXO78" s="450"/>
      <c r="NXP78" s="452"/>
      <c r="NXQ78" s="448"/>
      <c r="NXR78" s="456"/>
      <c r="NXS78" s="458"/>
      <c r="NXT78" s="458"/>
      <c r="NXV78" s="454"/>
      <c r="NXW78" s="450"/>
      <c r="NXX78" s="454"/>
      <c r="NXY78" s="448"/>
      <c r="NXZ78" s="449"/>
      <c r="NYA78" s="450"/>
      <c r="NYB78" s="447"/>
      <c r="NYC78" s="448"/>
      <c r="NYD78" s="449"/>
      <c r="NYE78" s="450"/>
      <c r="NYF78" s="447"/>
      <c r="NYG78" s="451"/>
      <c r="NYH78" s="449"/>
      <c r="NYI78" s="450"/>
      <c r="NYJ78" s="447"/>
      <c r="NYK78" s="451"/>
      <c r="NYL78" s="449"/>
      <c r="NYM78" s="450"/>
      <c r="NYN78" s="447"/>
      <c r="NYO78" s="451"/>
      <c r="NYP78" s="449"/>
      <c r="NYQ78" s="450"/>
      <c r="NYR78" s="452"/>
      <c r="NYS78" s="451"/>
      <c r="NYT78" s="449"/>
      <c r="NYU78" s="450"/>
      <c r="NYV78" s="447"/>
      <c r="NYW78" s="448"/>
      <c r="NYX78" s="453"/>
      <c r="NYY78" s="449"/>
      <c r="NYZ78" s="450"/>
      <c r="NZA78" s="454"/>
      <c r="NZB78" s="448"/>
      <c r="NZD78" s="449"/>
      <c r="NZE78" s="450"/>
      <c r="NZF78" s="452"/>
      <c r="NZG78" s="448"/>
      <c r="NZI78" s="449"/>
      <c r="NZJ78" s="450"/>
      <c r="NZK78" s="447"/>
      <c r="NZL78" s="448"/>
      <c r="NZN78" s="449"/>
      <c r="NZO78" s="450"/>
      <c r="NZP78" s="452"/>
      <c r="NZQ78" s="448"/>
      <c r="NZR78" s="449"/>
      <c r="NZS78" s="450"/>
      <c r="NZT78" s="452"/>
      <c r="NZU78" s="448"/>
      <c r="NZV78" s="455"/>
      <c r="NZW78" s="449"/>
      <c r="NZX78" s="450"/>
      <c r="NZY78" s="459"/>
      <c r="NZZ78" s="448"/>
      <c r="OAA78" s="456"/>
      <c r="OAB78" s="449"/>
      <c r="OAC78" s="450"/>
      <c r="OAD78" s="452"/>
      <c r="OAE78" s="448"/>
      <c r="OAF78" s="449"/>
      <c r="OAG78" s="450"/>
      <c r="OAH78" s="452"/>
      <c r="OAI78" s="448"/>
      <c r="OAJ78" s="449"/>
      <c r="OAK78" s="450"/>
      <c r="OAL78" s="447"/>
      <c r="OAM78" s="448"/>
      <c r="OAN78" s="457"/>
      <c r="OAO78" s="460"/>
      <c r="OAP78" s="450"/>
      <c r="OAQ78" s="461"/>
      <c r="OAR78" s="448"/>
      <c r="OAS78" s="456"/>
      <c r="OAT78" s="449"/>
      <c r="OAU78" s="450"/>
      <c r="OAV78" s="452"/>
      <c r="OAW78" s="448"/>
      <c r="OAX78" s="456"/>
      <c r="OAY78" s="458"/>
      <c r="OAZ78" s="458"/>
      <c r="OBB78" s="454"/>
      <c r="OBC78" s="450"/>
      <c r="OBD78" s="454"/>
      <c r="OBE78" s="448"/>
      <c r="OBF78" s="449"/>
      <c r="OBG78" s="450"/>
      <c r="OBH78" s="447"/>
      <c r="OBI78" s="448"/>
      <c r="OBJ78" s="449"/>
      <c r="OBK78" s="450"/>
      <c r="OBL78" s="447"/>
      <c r="OBM78" s="451"/>
      <c r="OBN78" s="449"/>
      <c r="OBO78" s="450"/>
      <c r="OBP78" s="447"/>
      <c r="OBQ78" s="451"/>
      <c r="OBR78" s="449"/>
      <c r="OBS78" s="450"/>
      <c r="OBT78" s="447"/>
      <c r="OBU78" s="451"/>
      <c r="OBV78" s="449"/>
      <c r="OBW78" s="450"/>
      <c r="OBX78" s="452"/>
      <c r="OBY78" s="451"/>
      <c r="OBZ78" s="449"/>
      <c r="OCA78" s="450"/>
      <c r="OCB78" s="447"/>
      <c r="OCC78" s="448"/>
      <c r="OCD78" s="453"/>
      <c r="OCE78" s="449"/>
      <c r="OCF78" s="450"/>
      <c r="OCG78" s="454"/>
      <c r="OCH78" s="448"/>
      <c r="OCJ78" s="449"/>
      <c r="OCK78" s="450"/>
      <c r="OCL78" s="452"/>
      <c r="OCM78" s="448"/>
      <c r="OCO78" s="449"/>
      <c r="OCP78" s="450"/>
      <c r="OCQ78" s="447"/>
      <c r="OCR78" s="448"/>
      <c r="OCT78" s="449"/>
      <c r="OCU78" s="450"/>
      <c r="OCV78" s="452"/>
      <c r="OCW78" s="448"/>
      <c r="OCX78" s="449"/>
      <c r="OCY78" s="450"/>
      <c r="OCZ78" s="452"/>
      <c r="ODA78" s="448"/>
      <c r="ODB78" s="455"/>
      <c r="ODC78" s="449"/>
      <c r="ODD78" s="450"/>
      <c r="ODE78" s="459"/>
      <c r="ODF78" s="448"/>
      <c r="ODG78" s="456"/>
      <c r="ODH78" s="449"/>
      <c r="ODI78" s="450"/>
      <c r="ODJ78" s="452"/>
      <c r="ODK78" s="448"/>
      <c r="ODL78" s="449"/>
      <c r="ODM78" s="450"/>
      <c r="ODN78" s="452"/>
      <c r="ODO78" s="448"/>
      <c r="ODP78" s="449"/>
      <c r="ODQ78" s="450"/>
      <c r="ODR78" s="447"/>
      <c r="ODS78" s="448"/>
      <c r="ODT78" s="457"/>
      <c r="ODU78" s="460"/>
      <c r="ODV78" s="450"/>
      <c r="ODW78" s="461"/>
      <c r="ODX78" s="448"/>
      <c r="ODY78" s="456"/>
      <c r="ODZ78" s="449"/>
      <c r="OEA78" s="450"/>
      <c r="OEB78" s="452"/>
      <c r="OEC78" s="448"/>
      <c r="OED78" s="456"/>
      <c r="OEE78" s="458"/>
      <c r="OEF78" s="458"/>
      <c r="OEH78" s="454"/>
      <c r="OEI78" s="450"/>
      <c r="OEJ78" s="454"/>
      <c r="OEK78" s="448"/>
      <c r="OEL78" s="449"/>
      <c r="OEM78" s="450"/>
      <c r="OEN78" s="447"/>
      <c r="OEO78" s="448"/>
      <c r="OEP78" s="449"/>
      <c r="OEQ78" s="450"/>
      <c r="OER78" s="447"/>
      <c r="OES78" s="451"/>
      <c r="OET78" s="449"/>
      <c r="OEU78" s="450"/>
      <c r="OEV78" s="447"/>
      <c r="OEW78" s="451"/>
      <c r="OEX78" s="449"/>
      <c r="OEY78" s="450"/>
      <c r="OEZ78" s="447"/>
      <c r="OFA78" s="451"/>
      <c r="OFB78" s="449"/>
      <c r="OFC78" s="450"/>
      <c r="OFD78" s="452"/>
      <c r="OFE78" s="451"/>
      <c r="OFF78" s="449"/>
      <c r="OFG78" s="450"/>
      <c r="OFH78" s="447"/>
      <c r="OFI78" s="448"/>
      <c r="OFJ78" s="453"/>
      <c r="OFK78" s="449"/>
      <c r="OFL78" s="450"/>
      <c r="OFM78" s="454"/>
      <c r="OFN78" s="448"/>
      <c r="OFP78" s="449"/>
      <c r="OFQ78" s="450"/>
      <c r="OFR78" s="452"/>
      <c r="OFS78" s="448"/>
      <c r="OFU78" s="449"/>
      <c r="OFV78" s="450"/>
      <c r="OFW78" s="447"/>
      <c r="OFX78" s="448"/>
      <c r="OFZ78" s="449"/>
      <c r="OGA78" s="450"/>
      <c r="OGB78" s="452"/>
      <c r="OGC78" s="448"/>
      <c r="OGD78" s="449"/>
      <c r="OGE78" s="450"/>
      <c r="OGF78" s="452"/>
      <c r="OGG78" s="448"/>
      <c r="OGH78" s="455"/>
      <c r="OGI78" s="449"/>
      <c r="OGJ78" s="450"/>
      <c r="OGK78" s="459"/>
      <c r="OGL78" s="448"/>
      <c r="OGM78" s="456"/>
      <c r="OGN78" s="449"/>
      <c r="OGO78" s="450"/>
      <c r="OGP78" s="452"/>
      <c r="OGQ78" s="448"/>
      <c r="OGR78" s="449"/>
      <c r="OGS78" s="450"/>
      <c r="OGT78" s="452"/>
      <c r="OGU78" s="448"/>
      <c r="OGV78" s="449"/>
      <c r="OGW78" s="450"/>
      <c r="OGX78" s="447"/>
      <c r="OGY78" s="448"/>
      <c r="OGZ78" s="457"/>
      <c r="OHA78" s="460"/>
      <c r="OHB78" s="450"/>
      <c r="OHC78" s="461"/>
      <c r="OHD78" s="448"/>
      <c r="OHE78" s="456"/>
      <c r="OHF78" s="449"/>
      <c r="OHG78" s="450"/>
      <c r="OHH78" s="452"/>
      <c r="OHI78" s="448"/>
      <c r="OHJ78" s="456"/>
      <c r="OHK78" s="458"/>
      <c r="OHL78" s="458"/>
      <c r="OHN78" s="454"/>
      <c r="OHO78" s="450"/>
      <c r="OHP78" s="454"/>
      <c r="OHQ78" s="448"/>
      <c r="OHR78" s="449"/>
      <c r="OHS78" s="450"/>
      <c r="OHT78" s="447"/>
      <c r="OHU78" s="448"/>
      <c r="OHV78" s="449"/>
      <c r="OHW78" s="450"/>
      <c r="OHX78" s="447"/>
      <c r="OHY78" s="451"/>
      <c r="OHZ78" s="449"/>
      <c r="OIA78" s="450"/>
      <c r="OIB78" s="447"/>
      <c r="OIC78" s="451"/>
      <c r="OID78" s="449"/>
      <c r="OIE78" s="450"/>
      <c r="OIF78" s="447"/>
      <c r="OIG78" s="451"/>
      <c r="OIH78" s="449"/>
      <c r="OII78" s="450"/>
      <c r="OIJ78" s="452"/>
      <c r="OIK78" s="451"/>
      <c r="OIL78" s="449"/>
      <c r="OIM78" s="450"/>
      <c r="OIN78" s="447"/>
      <c r="OIO78" s="448"/>
      <c r="OIP78" s="453"/>
      <c r="OIQ78" s="449"/>
      <c r="OIR78" s="450"/>
      <c r="OIS78" s="454"/>
      <c r="OIT78" s="448"/>
      <c r="OIV78" s="449"/>
      <c r="OIW78" s="450"/>
      <c r="OIX78" s="452"/>
      <c r="OIY78" s="448"/>
      <c r="OJA78" s="449"/>
      <c r="OJB78" s="450"/>
      <c r="OJC78" s="447"/>
      <c r="OJD78" s="448"/>
      <c r="OJF78" s="449"/>
      <c r="OJG78" s="450"/>
      <c r="OJH78" s="452"/>
      <c r="OJI78" s="448"/>
      <c r="OJJ78" s="449"/>
      <c r="OJK78" s="450"/>
      <c r="OJL78" s="452"/>
      <c r="OJM78" s="448"/>
      <c r="OJN78" s="455"/>
      <c r="OJO78" s="449"/>
      <c r="OJP78" s="450"/>
      <c r="OJQ78" s="459"/>
      <c r="OJR78" s="448"/>
      <c r="OJS78" s="456"/>
      <c r="OJT78" s="449"/>
      <c r="OJU78" s="450"/>
      <c r="OJV78" s="452"/>
      <c r="OJW78" s="448"/>
      <c r="OJX78" s="449"/>
      <c r="OJY78" s="450"/>
      <c r="OJZ78" s="452"/>
      <c r="OKA78" s="448"/>
      <c r="OKB78" s="449"/>
      <c r="OKC78" s="450"/>
      <c r="OKD78" s="447"/>
      <c r="OKE78" s="448"/>
      <c r="OKF78" s="457"/>
      <c r="OKG78" s="460"/>
      <c r="OKH78" s="450"/>
      <c r="OKI78" s="461"/>
      <c r="OKJ78" s="448"/>
      <c r="OKK78" s="456"/>
      <c r="OKL78" s="449"/>
      <c r="OKM78" s="450"/>
      <c r="OKN78" s="452"/>
      <c r="OKO78" s="448"/>
      <c r="OKP78" s="456"/>
      <c r="OKQ78" s="458"/>
      <c r="OKR78" s="458"/>
      <c r="OKT78" s="454"/>
      <c r="OKU78" s="450"/>
      <c r="OKV78" s="454"/>
      <c r="OKW78" s="448"/>
      <c r="OKX78" s="449"/>
      <c r="OKY78" s="450"/>
      <c r="OKZ78" s="447"/>
      <c r="OLA78" s="448"/>
      <c r="OLB78" s="449"/>
      <c r="OLC78" s="450"/>
      <c r="OLD78" s="447"/>
      <c r="OLE78" s="451"/>
      <c r="OLF78" s="449"/>
      <c r="OLG78" s="450"/>
      <c r="OLH78" s="447"/>
      <c r="OLI78" s="451"/>
      <c r="OLJ78" s="449"/>
      <c r="OLK78" s="450"/>
      <c r="OLL78" s="447"/>
      <c r="OLM78" s="451"/>
      <c r="OLN78" s="449"/>
      <c r="OLO78" s="450"/>
      <c r="OLP78" s="452"/>
      <c r="OLQ78" s="451"/>
      <c r="OLR78" s="449"/>
      <c r="OLS78" s="450"/>
      <c r="OLT78" s="447"/>
      <c r="OLU78" s="448"/>
      <c r="OLV78" s="453"/>
      <c r="OLW78" s="449"/>
      <c r="OLX78" s="450"/>
      <c r="OLY78" s="454"/>
      <c r="OLZ78" s="448"/>
      <c r="OMB78" s="449"/>
      <c r="OMC78" s="450"/>
      <c r="OMD78" s="452"/>
      <c r="OME78" s="448"/>
      <c r="OMG78" s="449"/>
      <c r="OMH78" s="450"/>
      <c r="OMI78" s="447"/>
      <c r="OMJ78" s="448"/>
      <c r="OML78" s="449"/>
      <c r="OMM78" s="450"/>
      <c r="OMN78" s="452"/>
      <c r="OMO78" s="448"/>
      <c r="OMP78" s="449"/>
      <c r="OMQ78" s="450"/>
      <c r="OMR78" s="452"/>
      <c r="OMS78" s="448"/>
      <c r="OMT78" s="455"/>
      <c r="OMU78" s="449"/>
      <c r="OMV78" s="450"/>
      <c r="OMW78" s="459"/>
      <c r="OMX78" s="448"/>
      <c r="OMY78" s="456"/>
      <c r="OMZ78" s="449"/>
      <c r="ONA78" s="450"/>
      <c r="ONB78" s="452"/>
      <c r="ONC78" s="448"/>
      <c r="OND78" s="449"/>
      <c r="ONE78" s="450"/>
      <c r="ONF78" s="452"/>
      <c r="ONG78" s="448"/>
      <c r="ONH78" s="449"/>
      <c r="ONI78" s="450"/>
      <c r="ONJ78" s="447"/>
      <c r="ONK78" s="448"/>
      <c r="ONL78" s="457"/>
      <c r="ONM78" s="460"/>
      <c r="ONN78" s="450"/>
      <c r="ONO78" s="461"/>
      <c r="ONP78" s="448"/>
      <c r="ONQ78" s="456"/>
      <c r="ONR78" s="449"/>
      <c r="ONS78" s="450"/>
      <c r="ONT78" s="452"/>
      <c r="ONU78" s="448"/>
      <c r="ONV78" s="456"/>
      <c r="ONW78" s="458"/>
      <c r="ONX78" s="458"/>
      <c r="ONZ78" s="454"/>
      <c r="OOA78" s="450"/>
      <c r="OOB78" s="454"/>
      <c r="OOC78" s="448"/>
      <c r="OOD78" s="449"/>
      <c r="OOE78" s="450"/>
      <c r="OOF78" s="447"/>
      <c r="OOG78" s="448"/>
      <c r="OOH78" s="449"/>
      <c r="OOI78" s="450"/>
      <c r="OOJ78" s="447"/>
      <c r="OOK78" s="451"/>
      <c r="OOL78" s="449"/>
      <c r="OOM78" s="450"/>
      <c r="OON78" s="447"/>
      <c r="OOO78" s="451"/>
      <c r="OOP78" s="449"/>
      <c r="OOQ78" s="450"/>
      <c r="OOR78" s="447"/>
      <c r="OOS78" s="451"/>
      <c r="OOT78" s="449"/>
      <c r="OOU78" s="450"/>
      <c r="OOV78" s="452"/>
      <c r="OOW78" s="451"/>
      <c r="OOX78" s="449"/>
      <c r="OOY78" s="450"/>
      <c r="OOZ78" s="447"/>
      <c r="OPA78" s="448"/>
      <c r="OPB78" s="453"/>
      <c r="OPC78" s="449"/>
      <c r="OPD78" s="450"/>
      <c r="OPE78" s="454"/>
      <c r="OPF78" s="448"/>
      <c r="OPH78" s="449"/>
      <c r="OPI78" s="450"/>
      <c r="OPJ78" s="452"/>
      <c r="OPK78" s="448"/>
      <c r="OPM78" s="449"/>
      <c r="OPN78" s="450"/>
      <c r="OPO78" s="447"/>
      <c r="OPP78" s="448"/>
      <c r="OPR78" s="449"/>
      <c r="OPS78" s="450"/>
      <c r="OPT78" s="452"/>
      <c r="OPU78" s="448"/>
      <c r="OPV78" s="449"/>
      <c r="OPW78" s="450"/>
      <c r="OPX78" s="452"/>
      <c r="OPY78" s="448"/>
      <c r="OPZ78" s="455"/>
      <c r="OQA78" s="449"/>
      <c r="OQB78" s="450"/>
      <c r="OQC78" s="459"/>
      <c r="OQD78" s="448"/>
      <c r="OQE78" s="456"/>
      <c r="OQF78" s="449"/>
      <c r="OQG78" s="450"/>
      <c r="OQH78" s="452"/>
      <c r="OQI78" s="448"/>
      <c r="OQJ78" s="449"/>
      <c r="OQK78" s="450"/>
      <c r="OQL78" s="452"/>
      <c r="OQM78" s="448"/>
      <c r="OQN78" s="449"/>
      <c r="OQO78" s="450"/>
      <c r="OQP78" s="447"/>
      <c r="OQQ78" s="448"/>
      <c r="OQR78" s="457"/>
      <c r="OQS78" s="460"/>
      <c r="OQT78" s="450"/>
      <c r="OQU78" s="461"/>
      <c r="OQV78" s="448"/>
      <c r="OQW78" s="456"/>
      <c r="OQX78" s="449"/>
      <c r="OQY78" s="450"/>
      <c r="OQZ78" s="452"/>
      <c r="ORA78" s="448"/>
      <c r="ORB78" s="456"/>
      <c r="ORC78" s="458"/>
      <c r="ORD78" s="458"/>
      <c r="ORF78" s="454"/>
      <c r="ORG78" s="450"/>
      <c r="ORH78" s="454"/>
      <c r="ORI78" s="448"/>
      <c r="ORJ78" s="449"/>
      <c r="ORK78" s="450"/>
      <c r="ORL78" s="447"/>
      <c r="ORM78" s="448"/>
      <c r="ORN78" s="449"/>
      <c r="ORO78" s="450"/>
      <c r="ORP78" s="447"/>
      <c r="ORQ78" s="451"/>
      <c r="ORR78" s="449"/>
      <c r="ORS78" s="450"/>
      <c r="ORT78" s="447"/>
      <c r="ORU78" s="451"/>
      <c r="ORV78" s="449"/>
      <c r="ORW78" s="450"/>
      <c r="ORX78" s="447"/>
      <c r="ORY78" s="451"/>
      <c r="ORZ78" s="449"/>
      <c r="OSA78" s="450"/>
      <c r="OSB78" s="452"/>
      <c r="OSC78" s="451"/>
      <c r="OSD78" s="449"/>
      <c r="OSE78" s="450"/>
      <c r="OSF78" s="447"/>
      <c r="OSG78" s="448"/>
      <c r="OSH78" s="453"/>
      <c r="OSI78" s="449"/>
      <c r="OSJ78" s="450"/>
      <c r="OSK78" s="454"/>
      <c r="OSL78" s="448"/>
      <c r="OSN78" s="449"/>
      <c r="OSO78" s="450"/>
      <c r="OSP78" s="452"/>
      <c r="OSQ78" s="448"/>
      <c r="OSS78" s="449"/>
      <c r="OST78" s="450"/>
      <c r="OSU78" s="447"/>
      <c r="OSV78" s="448"/>
      <c r="OSX78" s="449"/>
      <c r="OSY78" s="450"/>
      <c r="OSZ78" s="452"/>
      <c r="OTA78" s="448"/>
      <c r="OTB78" s="449"/>
      <c r="OTC78" s="450"/>
      <c r="OTD78" s="452"/>
      <c r="OTE78" s="448"/>
      <c r="OTF78" s="455"/>
      <c r="OTG78" s="449"/>
      <c r="OTH78" s="450"/>
      <c r="OTI78" s="459"/>
      <c r="OTJ78" s="448"/>
      <c r="OTK78" s="456"/>
      <c r="OTL78" s="449"/>
      <c r="OTM78" s="450"/>
      <c r="OTN78" s="452"/>
      <c r="OTO78" s="448"/>
      <c r="OTP78" s="449"/>
      <c r="OTQ78" s="450"/>
      <c r="OTR78" s="452"/>
      <c r="OTS78" s="448"/>
      <c r="OTT78" s="449"/>
      <c r="OTU78" s="450"/>
      <c r="OTV78" s="447"/>
      <c r="OTW78" s="448"/>
      <c r="OTX78" s="457"/>
      <c r="OTY78" s="460"/>
      <c r="OTZ78" s="450"/>
      <c r="OUA78" s="461"/>
      <c r="OUB78" s="448"/>
      <c r="OUC78" s="456"/>
      <c r="OUD78" s="449"/>
      <c r="OUE78" s="450"/>
      <c r="OUF78" s="452"/>
      <c r="OUG78" s="448"/>
      <c r="OUH78" s="456"/>
      <c r="OUI78" s="458"/>
      <c r="OUJ78" s="458"/>
      <c r="OUL78" s="454"/>
      <c r="OUM78" s="450"/>
      <c r="OUN78" s="454"/>
      <c r="OUO78" s="448"/>
      <c r="OUP78" s="449"/>
      <c r="OUQ78" s="450"/>
      <c r="OUR78" s="447"/>
      <c r="OUS78" s="448"/>
      <c r="OUT78" s="449"/>
      <c r="OUU78" s="450"/>
      <c r="OUV78" s="447"/>
      <c r="OUW78" s="451"/>
      <c r="OUX78" s="449"/>
      <c r="OUY78" s="450"/>
      <c r="OUZ78" s="447"/>
      <c r="OVA78" s="451"/>
      <c r="OVB78" s="449"/>
      <c r="OVC78" s="450"/>
      <c r="OVD78" s="447"/>
      <c r="OVE78" s="451"/>
      <c r="OVF78" s="449"/>
      <c r="OVG78" s="450"/>
      <c r="OVH78" s="452"/>
      <c r="OVI78" s="451"/>
      <c r="OVJ78" s="449"/>
      <c r="OVK78" s="450"/>
      <c r="OVL78" s="447"/>
      <c r="OVM78" s="448"/>
      <c r="OVN78" s="453"/>
      <c r="OVO78" s="449"/>
      <c r="OVP78" s="450"/>
      <c r="OVQ78" s="454"/>
      <c r="OVR78" s="448"/>
      <c r="OVT78" s="449"/>
      <c r="OVU78" s="450"/>
      <c r="OVV78" s="452"/>
      <c r="OVW78" s="448"/>
      <c r="OVY78" s="449"/>
      <c r="OVZ78" s="450"/>
      <c r="OWA78" s="447"/>
      <c r="OWB78" s="448"/>
      <c r="OWD78" s="449"/>
      <c r="OWE78" s="450"/>
      <c r="OWF78" s="452"/>
      <c r="OWG78" s="448"/>
      <c r="OWH78" s="449"/>
      <c r="OWI78" s="450"/>
      <c r="OWJ78" s="452"/>
      <c r="OWK78" s="448"/>
      <c r="OWL78" s="455"/>
      <c r="OWM78" s="449"/>
      <c r="OWN78" s="450"/>
      <c r="OWO78" s="459"/>
      <c r="OWP78" s="448"/>
      <c r="OWQ78" s="456"/>
      <c r="OWR78" s="449"/>
      <c r="OWS78" s="450"/>
      <c r="OWT78" s="452"/>
      <c r="OWU78" s="448"/>
      <c r="OWV78" s="449"/>
      <c r="OWW78" s="450"/>
      <c r="OWX78" s="452"/>
      <c r="OWY78" s="448"/>
      <c r="OWZ78" s="449"/>
      <c r="OXA78" s="450"/>
      <c r="OXB78" s="447"/>
      <c r="OXC78" s="448"/>
      <c r="OXD78" s="457"/>
      <c r="OXE78" s="460"/>
      <c r="OXF78" s="450"/>
      <c r="OXG78" s="461"/>
      <c r="OXH78" s="448"/>
      <c r="OXI78" s="456"/>
      <c r="OXJ78" s="449"/>
      <c r="OXK78" s="450"/>
      <c r="OXL78" s="452"/>
      <c r="OXM78" s="448"/>
      <c r="OXN78" s="456"/>
      <c r="OXO78" s="458"/>
      <c r="OXP78" s="458"/>
      <c r="OXR78" s="454"/>
      <c r="OXS78" s="450"/>
      <c r="OXT78" s="454"/>
      <c r="OXU78" s="448"/>
      <c r="OXV78" s="449"/>
      <c r="OXW78" s="450"/>
      <c r="OXX78" s="447"/>
      <c r="OXY78" s="448"/>
      <c r="OXZ78" s="449"/>
      <c r="OYA78" s="450"/>
      <c r="OYB78" s="447"/>
      <c r="OYC78" s="451"/>
      <c r="OYD78" s="449"/>
      <c r="OYE78" s="450"/>
      <c r="OYF78" s="447"/>
      <c r="OYG78" s="451"/>
      <c r="OYH78" s="449"/>
      <c r="OYI78" s="450"/>
      <c r="OYJ78" s="447"/>
      <c r="OYK78" s="451"/>
      <c r="OYL78" s="449"/>
      <c r="OYM78" s="450"/>
      <c r="OYN78" s="452"/>
      <c r="OYO78" s="451"/>
      <c r="OYP78" s="449"/>
      <c r="OYQ78" s="450"/>
      <c r="OYR78" s="447"/>
      <c r="OYS78" s="448"/>
      <c r="OYT78" s="453"/>
      <c r="OYU78" s="449"/>
      <c r="OYV78" s="450"/>
      <c r="OYW78" s="454"/>
      <c r="OYX78" s="448"/>
      <c r="OYZ78" s="449"/>
      <c r="OZA78" s="450"/>
      <c r="OZB78" s="452"/>
      <c r="OZC78" s="448"/>
      <c r="OZE78" s="449"/>
      <c r="OZF78" s="450"/>
      <c r="OZG78" s="447"/>
      <c r="OZH78" s="448"/>
      <c r="OZJ78" s="449"/>
      <c r="OZK78" s="450"/>
      <c r="OZL78" s="452"/>
      <c r="OZM78" s="448"/>
      <c r="OZN78" s="449"/>
      <c r="OZO78" s="450"/>
      <c r="OZP78" s="452"/>
      <c r="OZQ78" s="448"/>
      <c r="OZR78" s="455"/>
      <c r="OZS78" s="449"/>
      <c r="OZT78" s="450"/>
      <c r="OZU78" s="459"/>
      <c r="OZV78" s="448"/>
      <c r="OZW78" s="456"/>
      <c r="OZX78" s="449"/>
      <c r="OZY78" s="450"/>
      <c r="OZZ78" s="452"/>
      <c r="PAA78" s="448"/>
      <c r="PAB78" s="449"/>
      <c r="PAC78" s="450"/>
      <c r="PAD78" s="452"/>
      <c r="PAE78" s="448"/>
      <c r="PAF78" s="449"/>
      <c r="PAG78" s="450"/>
      <c r="PAH78" s="447"/>
      <c r="PAI78" s="448"/>
      <c r="PAJ78" s="457"/>
      <c r="PAK78" s="460"/>
      <c r="PAL78" s="450"/>
      <c r="PAM78" s="461"/>
      <c r="PAN78" s="448"/>
      <c r="PAO78" s="456"/>
      <c r="PAP78" s="449"/>
      <c r="PAQ78" s="450"/>
      <c r="PAR78" s="452"/>
      <c r="PAS78" s="448"/>
      <c r="PAT78" s="456"/>
      <c r="PAU78" s="458"/>
      <c r="PAV78" s="458"/>
      <c r="PAX78" s="454"/>
      <c r="PAY78" s="450"/>
      <c r="PAZ78" s="454"/>
      <c r="PBA78" s="448"/>
      <c r="PBB78" s="449"/>
      <c r="PBC78" s="450"/>
      <c r="PBD78" s="447"/>
      <c r="PBE78" s="448"/>
      <c r="PBF78" s="449"/>
      <c r="PBG78" s="450"/>
      <c r="PBH78" s="447"/>
      <c r="PBI78" s="451"/>
      <c r="PBJ78" s="449"/>
      <c r="PBK78" s="450"/>
      <c r="PBL78" s="447"/>
      <c r="PBM78" s="451"/>
      <c r="PBN78" s="449"/>
      <c r="PBO78" s="450"/>
      <c r="PBP78" s="447"/>
      <c r="PBQ78" s="451"/>
      <c r="PBR78" s="449"/>
      <c r="PBS78" s="450"/>
      <c r="PBT78" s="452"/>
      <c r="PBU78" s="451"/>
      <c r="PBV78" s="449"/>
      <c r="PBW78" s="450"/>
      <c r="PBX78" s="447"/>
      <c r="PBY78" s="448"/>
      <c r="PBZ78" s="453"/>
      <c r="PCA78" s="449"/>
      <c r="PCB78" s="450"/>
      <c r="PCC78" s="454"/>
      <c r="PCD78" s="448"/>
      <c r="PCF78" s="449"/>
      <c r="PCG78" s="450"/>
      <c r="PCH78" s="452"/>
      <c r="PCI78" s="448"/>
      <c r="PCK78" s="449"/>
      <c r="PCL78" s="450"/>
      <c r="PCM78" s="447"/>
      <c r="PCN78" s="448"/>
      <c r="PCP78" s="449"/>
      <c r="PCQ78" s="450"/>
      <c r="PCR78" s="452"/>
      <c r="PCS78" s="448"/>
      <c r="PCT78" s="449"/>
      <c r="PCU78" s="450"/>
      <c r="PCV78" s="452"/>
      <c r="PCW78" s="448"/>
      <c r="PCX78" s="455"/>
      <c r="PCY78" s="449"/>
      <c r="PCZ78" s="450"/>
      <c r="PDA78" s="459"/>
      <c r="PDB78" s="448"/>
      <c r="PDC78" s="456"/>
      <c r="PDD78" s="449"/>
      <c r="PDE78" s="450"/>
      <c r="PDF78" s="452"/>
      <c r="PDG78" s="448"/>
      <c r="PDH78" s="449"/>
      <c r="PDI78" s="450"/>
      <c r="PDJ78" s="452"/>
      <c r="PDK78" s="448"/>
      <c r="PDL78" s="449"/>
      <c r="PDM78" s="450"/>
      <c r="PDN78" s="447"/>
      <c r="PDO78" s="448"/>
      <c r="PDP78" s="457"/>
      <c r="PDQ78" s="460"/>
      <c r="PDR78" s="450"/>
      <c r="PDS78" s="461"/>
      <c r="PDT78" s="448"/>
      <c r="PDU78" s="456"/>
      <c r="PDV78" s="449"/>
      <c r="PDW78" s="450"/>
      <c r="PDX78" s="452"/>
      <c r="PDY78" s="448"/>
      <c r="PDZ78" s="456"/>
      <c r="PEA78" s="458"/>
      <c r="PEB78" s="458"/>
      <c r="PED78" s="454"/>
      <c r="PEE78" s="450"/>
      <c r="PEF78" s="454"/>
      <c r="PEG78" s="448"/>
      <c r="PEH78" s="449"/>
      <c r="PEI78" s="450"/>
      <c r="PEJ78" s="447"/>
      <c r="PEK78" s="448"/>
      <c r="PEL78" s="449"/>
      <c r="PEM78" s="450"/>
      <c r="PEN78" s="447"/>
      <c r="PEO78" s="451"/>
      <c r="PEP78" s="449"/>
      <c r="PEQ78" s="450"/>
      <c r="PER78" s="447"/>
      <c r="PES78" s="451"/>
      <c r="PET78" s="449"/>
      <c r="PEU78" s="450"/>
      <c r="PEV78" s="447"/>
      <c r="PEW78" s="451"/>
      <c r="PEX78" s="449"/>
      <c r="PEY78" s="450"/>
      <c r="PEZ78" s="452"/>
      <c r="PFA78" s="451"/>
      <c r="PFB78" s="449"/>
      <c r="PFC78" s="450"/>
      <c r="PFD78" s="447"/>
      <c r="PFE78" s="448"/>
      <c r="PFF78" s="453"/>
      <c r="PFG78" s="449"/>
      <c r="PFH78" s="450"/>
      <c r="PFI78" s="454"/>
      <c r="PFJ78" s="448"/>
      <c r="PFL78" s="449"/>
      <c r="PFM78" s="450"/>
      <c r="PFN78" s="452"/>
      <c r="PFO78" s="448"/>
      <c r="PFQ78" s="449"/>
      <c r="PFR78" s="450"/>
      <c r="PFS78" s="447"/>
      <c r="PFT78" s="448"/>
      <c r="PFV78" s="449"/>
      <c r="PFW78" s="450"/>
      <c r="PFX78" s="452"/>
      <c r="PFY78" s="448"/>
      <c r="PFZ78" s="449"/>
      <c r="PGA78" s="450"/>
      <c r="PGB78" s="452"/>
      <c r="PGC78" s="448"/>
      <c r="PGD78" s="455"/>
      <c r="PGE78" s="449"/>
      <c r="PGF78" s="450"/>
      <c r="PGG78" s="459"/>
      <c r="PGH78" s="448"/>
      <c r="PGI78" s="456"/>
      <c r="PGJ78" s="449"/>
      <c r="PGK78" s="450"/>
      <c r="PGL78" s="452"/>
      <c r="PGM78" s="448"/>
      <c r="PGN78" s="449"/>
      <c r="PGO78" s="450"/>
      <c r="PGP78" s="452"/>
      <c r="PGQ78" s="448"/>
      <c r="PGR78" s="449"/>
      <c r="PGS78" s="450"/>
      <c r="PGT78" s="447"/>
      <c r="PGU78" s="448"/>
      <c r="PGV78" s="457"/>
      <c r="PGW78" s="460"/>
      <c r="PGX78" s="450"/>
      <c r="PGY78" s="461"/>
      <c r="PGZ78" s="448"/>
      <c r="PHA78" s="456"/>
      <c r="PHB78" s="449"/>
      <c r="PHC78" s="450"/>
      <c r="PHD78" s="452"/>
      <c r="PHE78" s="448"/>
      <c r="PHF78" s="456"/>
      <c r="PHG78" s="458"/>
      <c r="PHH78" s="458"/>
      <c r="PHJ78" s="454"/>
      <c r="PHK78" s="450"/>
      <c r="PHL78" s="454"/>
      <c r="PHM78" s="448"/>
      <c r="PHN78" s="449"/>
      <c r="PHO78" s="450"/>
      <c r="PHP78" s="447"/>
      <c r="PHQ78" s="448"/>
      <c r="PHR78" s="449"/>
      <c r="PHS78" s="450"/>
      <c r="PHT78" s="447"/>
      <c r="PHU78" s="451"/>
      <c r="PHV78" s="449"/>
      <c r="PHW78" s="450"/>
      <c r="PHX78" s="447"/>
      <c r="PHY78" s="451"/>
      <c r="PHZ78" s="449"/>
      <c r="PIA78" s="450"/>
      <c r="PIB78" s="447"/>
      <c r="PIC78" s="451"/>
      <c r="PID78" s="449"/>
      <c r="PIE78" s="450"/>
      <c r="PIF78" s="452"/>
      <c r="PIG78" s="451"/>
      <c r="PIH78" s="449"/>
      <c r="PII78" s="450"/>
      <c r="PIJ78" s="447"/>
      <c r="PIK78" s="448"/>
      <c r="PIL78" s="453"/>
      <c r="PIM78" s="449"/>
      <c r="PIN78" s="450"/>
      <c r="PIO78" s="454"/>
      <c r="PIP78" s="448"/>
      <c r="PIR78" s="449"/>
      <c r="PIS78" s="450"/>
      <c r="PIT78" s="452"/>
      <c r="PIU78" s="448"/>
      <c r="PIW78" s="449"/>
      <c r="PIX78" s="450"/>
      <c r="PIY78" s="447"/>
      <c r="PIZ78" s="448"/>
      <c r="PJB78" s="449"/>
      <c r="PJC78" s="450"/>
      <c r="PJD78" s="452"/>
      <c r="PJE78" s="448"/>
      <c r="PJF78" s="449"/>
      <c r="PJG78" s="450"/>
      <c r="PJH78" s="452"/>
      <c r="PJI78" s="448"/>
      <c r="PJJ78" s="455"/>
      <c r="PJK78" s="449"/>
      <c r="PJL78" s="450"/>
      <c r="PJM78" s="459"/>
      <c r="PJN78" s="448"/>
      <c r="PJO78" s="456"/>
      <c r="PJP78" s="449"/>
      <c r="PJQ78" s="450"/>
      <c r="PJR78" s="452"/>
      <c r="PJS78" s="448"/>
      <c r="PJT78" s="449"/>
      <c r="PJU78" s="450"/>
      <c r="PJV78" s="452"/>
      <c r="PJW78" s="448"/>
      <c r="PJX78" s="449"/>
      <c r="PJY78" s="450"/>
      <c r="PJZ78" s="447"/>
      <c r="PKA78" s="448"/>
      <c r="PKB78" s="457"/>
      <c r="PKC78" s="460"/>
      <c r="PKD78" s="450"/>
      <c r="PKE78" s="461"/>
      <c r="PKF78" s="448"/>
      <c r="PKG78" s="456"/>
      <c r="PKH78" s="449"/>
      <c r="PKI78" s="450"/>
      <c r="PKJ78" s="452"/>
      <c r="PKK78" s="448"/>
      <c r="PKL78" s="456"/>
      <c r="PKM78" s="458"/>
      <c r="PKN78" s="458"/>
      <c r="PKP78" s="454"/>
      <c r="PKQ78" s="450"/>
      <c r="PKR78" s="454"/>
      <c r="PKS78" s="448"/>
      <c r="PKT78" s="449"/>
      <c r="PKU78" s="450"/>
      <c r="PKV78" s="447"/>
      <c r="PKW78" s="448"/>
      <c r="PKX78" s="449"/>
      <c r="PKY78" s="450"/>
      <c r="PKZ78" s="447"/>
      <c r="PLA78" s="451"/>
      <c r="PLB78" s="449"/>
      <c r="PLC78" s="450"/>
      <c r="PLD78" s="447"/>
      <c r="PLE78" s="451"/>
      <c r="PLF78" s="449"/>
      <c r="PLG78" s="450"/>
      <c r="PLH78" s="447"/>
      <c r="PLI78" s="451"/>
      <c r="PLJ78" s="449"/>
      <c r="PLK78" s="450"/>
      <c r="PLL78" s="452"/>
      <c r="PLM78" s="451"/>
      <c r="PLN78" s="449"/>
      <c r="PLO78" s="450"/>
      <c r="PLP78" s="447"/>
      <c r="PLQ78" s="448"/>
      <c r="PLR78" s="453"/>
      <c r="PLS78" s="449"/>
      <c r="PLT78" s="450"/>
      <c r="PLU78" s="454"/>
      <c r="PLV78" s="448"/>
      <c r="PLX78" s="449"/>
      <c r="PLY78" s="450"/>
      <c r="PLZ78" s="452"/>
      <c r="PMA78" s="448"/>
      <c r="PMC78" s="449"/>
      <c r="PMD78" s="450"/>
      <c r="PME78" s="447"/>
      <c r="PMF78" s="448"/>
      <c r="PMH78" s="449"/>
      <c r="PMI78" s="450"/>
      <c r="PMJ78" s="452"/>
      <c r="PMK78" s="448"/>
      <c r="PML78" s="449"/>
      <c r="PMM78" s="450"/>
      <c r="PMN78" s="452"/>
      <c r="PMO78" s="448"/>
      <c r="PMP78" s="455"/>
      <c r="PMQ78" s="449"/>
      <c r="PMR78" s="450"/>
      <c r="PMS78" s="459"/>
      <c r="PMT78" s="448"/>
      <c r="PMU78" s="456"/>
      <c r="PMV78" s="449"/>
      <c r="PMW78" s="450"/>
      <c r="PMX78" s="452"/>
      <c r="PMY78" s="448"/>
      <c r="PMZ78" s="449"/>
      <c r="PNA78" s="450"/>
      <c r="PNB78" s="452"/>
      <c r="PNC78" s="448"/>
      <c r="PND78" s="449"/>
      <c r="PNE78" s="450"/>
      <c r="PNF78" s="447"/>
      <c r="PNG78" s="448"/>
      <c r="PNH78" s="457"/>
      <c r="PNI78" s="460"/>
      <c r="PNJ78" s="450"/>
      <c r="PNK78" s="461"/>
      <c r="PNL78" s="448"/>
      <c r="PNM78" s="456"/>
      <c r="PNN78" s="449"/>
      <c r="PNO78" s="450"/>
      <c r="PNP78" s="452"/>
      <c r="PNQ78" s="448"/>
      <c r="PNR78" s="456"/>
      <c r="PNS78" s="458"/>
      <c r="PNT78" s="458"/>
      <c r="PNV78" s="454"/>
      <c r="PNW78" s="450"/>
      <c r="PNX78" s="454"/>
      <c r="PNY78" s="448"/>
      <c r="PNZ78" s="449"/>
      <c r="POA78" s="450"/>
      <c r="POB78" s="447"/>
      <c r="POC78" s="448"/>
      <c r="POD78" s="449"/>
      <c r="POE78" s="450"/>
      <c r="POF78" s="447"/>
      <c r="POG78" s="451"/>
      <c r="POH78" s="449"/>
      <c r="POI78" s="450"/>
      <c r="POJ78" s="447"/>
      <c r="POK78" s="451"/>
      <c r="POL78" s="449"/>
      <c r="POM78" s="450"/>
      <c r="PON78" s="447"/>
      <c r="POO78" s="451"/>
      <c r="POP78" s="449"/>
      <c r="POQ78" s="450"/>
      <c r="POR78" s="452"/>
      <c r="POS78" s="451"/>
      <c r="POT78" s="449"/>
      <c r="POU78" s="450"/>
      <c r="POV78" s="447"/>
      <c r="POW78" s="448"/>
      <c r="POX78" s="453"/>
      <c r="POY78" s="449"/>
      <c r="POZ78" s="450"/>
      <c r="PPA78" s="454"/>
      <c r="PPB78" s="448"/>
      <c r="PPD78" s="449"/>
      <c r="PPE78" s="450"/>
      <c r="PPF78" s="452"/>
      <c r="PPG78" s="448"/>
      <c r="PPI78" s="449"/>
      <c r="PPJ78" s="450"/>
      <c r="PPK78" s="447"/>
      <c r="PPL78" s="448"/>
      <c r="PPN78" s="449"/>
      <c r="PPO78" s="450"/>
      <c r="PPP78" s="452"/>
      <c r="PPQ78" s="448"/>
      <c r="PPR78" s="449"/>
      <c r="PPS78" s="450"/>
      <c r="PPT78" s="452"/>
      <c r="PPU78" s="448"/>
      <c r="PPV78" s="455"/>
      <c r="PPW78" s="449"/>
      <c r="PPX78" s="450"/>
      <c r="PPY78" s="459"/>
      <c r="PPZ78" s="448"/>
      <c r="PQA78" s="456"/>
      <c r="PQB78" s="449"/>
      <c r="PQC78" s="450"/>
      <c r="PQD78" s="452"/>
      <c r="PQE78" s="448"/>
      <c r="PQF78" s="449"/>
      <c r="PQG78" s="450"/>
      <c r="PQH78" s="452"/>
      <c r="PQI78" s="448"/>
      <c r="PQJ78" s="449"/>
      <c r="PQK78" s="450"/>
      <c r="PQL78" s="447"/>
      <c r="PQM78" s="448"/>
      <c r="PQN78" s="457"/>
      <c r="PQO78" s="460"/>
      <c r="PQP78" s="450"/>
      <c r="PQQ78" s="461"/>
      <c r="PQR78" s="448"/>
      <c r="PQS78" s="456"/>
      <c r="PQT78" s="449"/>
      <c r="PQU78" s="450"/>
      <c r="PQV78" s="452"/>
      <c r="PQW78" s="448"/>
      <c r="PQX78" s="456"/>
      <c r="PQY78" s="458"/>
      <c r="PQZ78" s="458"/>
      <c r="PRB78" s="454"/>
      <c r="PRC78" s="450"/>
      <c r="PRD78" s="454"/>
      <c r="PRE78" s="448"/>
      <c r="PRF78" s="449"/>
      <c r="PRG78" s="450"/>
      <c r="PRH78" s="447"/>
      <c r="PRI78" s="448"/>
      <c r="PRJ78" s="449"/>
      <c r="PRK78" s="450"/>
      <c r="PRL78" s="447"/>
      <c r="PRM78" s="451"/>
      <c r="PRN78" s="449"/>
      <c r="PRO78" s="450"/>
      <c r="PRP78" s="447"/>
      <c r="PRQ78" s="451"/>
      <c r="PRR78" s="449"/>
      <c r="PRS78" s="450"/>
      <c r="PRT78" s="447"/>
      <c r="PRU78" s="451"/>
      <c r="PRV78" s="449"/>
      <c r="PRW78" s="450"/>
      <c r="PRX78" s="452"/>
      <c r="PRY78" s="451"/>
      <c r="PRZ78" s="449"/>
      <c r="PSA78" s="450"/>
      <c r="PSB78" s="447"/>
      <c r="PSC78" s="448"/>
      <c r="PSD78" s="453"/>
      <c r="PSE78" s="449"/>
      <c r="PSF78" s="450"/>
      <c r="PSG78" s="454"/>
      <c r="PSH78" s="448"/>
      <c r="PSJ78" s="449"/>
      <c r="PSK78" s="450"/>
      <c r="PSL78" s="452"/>
      <c r="PSM78" s="448"/>
      <c r="PSO78" s="449"/>
      <c r="PSP78" s="450"/>
      <c r="PSQ78" s="447"/>
      <c r="PSR78" s="448"/>
      <c r="PST78" s="449"/>
      <c r="PSU78" s="450"/>
      <c r="PSV78" s="452"/>
      <c r="PSW78" s="448"/>
      <c r="PSX78" s="449"/>
      <c r="PSY78" s="450"/>
      <c r="PSZ78" s="452"/>
      <c r="PTA78" s="448"/>
      <c r="PTB78" s="455"/>
      <c r="PTC78" s="449"/>
      <c r="PTD78" s="450"/>
      <c r="PTE78" s="459"/>
      <c r="PTF78" s="448"/>
      <c r="PTG78" s="456"/>
      <c r="PTH78" s="449"/>
      <c r="PTI78" s="450"/>
      <c r="PTJ78" s="452"/>
      <c r="PTK78" s="448"/>
      <c r="PTL78" s="449"/>
      <c r="PTM78" s="450"/>
      <c r="PTN78" s="452"/>
      <c r="PTO78" s="448"/>
      <c r="PTP78" s="449"/>
      <c r="PTQ78" s="450"/>
      <c r="PTR78" s="447"/>
      <c r="PTS78" s="448"/>
      <c r="PTT78" s="457"/>
      <c r="PTU78" s="460"/>
      <c r="PTV78" s="450"/>
      <c r="PTW78" s="461"/>
      <c r="PTX78" s="448"/>
      <c r="PTY78" s="456"/>
      <c r="PTZ78" s="449"/>
      <c r="PUA78" s="450"/>
      <c r="PUB78" s="452"/>
      <c r="PUC78" s="448"/>
      <c r="PUD78" s="456"/>
      <c r="PUE78" s="458"/>
      <c r="PUF78" s="458"/>
      <c r="PUH78" s="454"/>
      <c r="PUI78" s="450"/>
      <c r="PUJ78" s="454"/>
      <c r="PUK78" s="448"/>
      <c r="PUL78" s="449"/>
      <c r="PUM78" s="450"/>
      <c r="PUN78" s="447"/>
      <c r="PUO78" s="448"/>
      <c r="PUP78" s="449"/>
      <c r="PUQ78" s="450"/>
      <c r="PUR78" s="447"/>
      <c r="PUS78" s="451"/>
      <c r="PUT78" s="449"/>
      <c r="PUU78" s="450"/>
      <c r="PUV78" s="447"/>
      <c r="PUW78" s="451"/>
      <c r="PUX78" s="449"/>
      <c r="PUY78" s="450"/>
      <c r="PUZ78" s="447"/>
      <c r="PVA78" s="451"/>
      <c r="PVB78" s="449"/>
      <c r="PVC78" s="450"/>
      <c r="PVD78" s="452"/>
      <c r="PVE78" s="451"/>
      <c r="PVF78" s="449"/>
      <c r="PVG78" s="450"/>
      <c r="PVH78" s="447"/>
      <c r="PVI78" s="448"/>
      <c r="PVJ78" s="453"/>
      <c r="PVK78" s="449"/>
      <c r="PVL78" s="450"/>
      <c r="PVM78" s="454"/>
      <c r="PVN78" s="448"/>
      <c r="PVP78" s="449"/>
      <c r="PVQ78" s="450"/>
      <c r="PVR78" s="452"/>
      <c r="PVS78" s="448"/>
      <c r="PVU78" s="449"/>
      <c r="PVV78" s="450"/>
      <c r="PVW78" s="447"/>
      <c r="PVX78" s="448"/>
      <c r="PVZ78" s="449"/>
      <c r="PWA78" s="450"/>
      <c r="PWB78" s="452"/>
      <c r="PWC78" s="448"/>
      <c r="PWD78" s="449"/>
      <c r="PWE78" s="450"/>
      <c r="PWF78" s="452"/>
      <c r="PWG78" s="448"/>
      <c r="PWH78" s="455"/>
      <c r="PWI78" s="449"/>
      <c r="PWJ78" s="450"/>
      <c r="PWK78" s="459"/>
      <c r="PWL78" s="448"/>
      <c r="PWM78" s="456"/>
      <c r="PWN78" s="449"/>
      <c r="PWO78" s="450"/>
      <c r="PWP78" s="452"/>
      <c r="PWQ78" s="448"/>
      <c r="PWR78" s="449"/>
      <c r="PWS78" s="450"/>
      <c r="PWT78" s="452"/>
      <c r="PWU78" s="448"/>
      <c r="PWV78" s="449"/>
      <c r="PWW78" s="450"/>
      <c r="PWX78" s="447"/>
      <c r="PWY78" s="448"/>
      <c r="PWZ78" s="457"/>
      <c r="PXA78" s="460"/>
      <c r="PXB78" s="450"/>
      <c r="PXC78" s="461"/>
      <c r="PXD78" s="448"/>
      <c r="PXE78" s="456"/>
      <c r="PXF78" s="449"/>
      <c r="PXG78" s="450"/>
      <c r="PXH78" s="452"/>
      <c r="PXI78" s="448"/>
      <c r="PXJ78" s="456"/>
      <c r="PXK78" s="458"/>
      <c r="PXL78" s="458"/>
      <c r="PXN78" s="454"/>
      <c r="PXO78" s="450"/>
      <c r="PXP78" s="454"/>
      <c r="PXQ78" s="448"/>
      <c r="PXR78" s="449"/>
      <c r="PXS78" s="450"/>
      <c r="PXT78" s="447"/>
      <c r="PXU78" s="448"/>
      <c r="PXV78" s="449"/>
      <c r="PXW78" s="450"/>
      <c r="PXX78" s="447"/>
      <c r="PXY78" s="451"/>
      <c r="PXZ78" s="449"/>
      <c r="PYA78" s="450"/>
      <c r="PYB78" s="447"/>
      <c r="PYC78" s="451"/>
      <c r="PYD78" s="449"/>
      <c r="PYE78" s="450"/>
      <c r="PYF78" s="447"/>
      <c r="PYG78" s="451"/>
      <c r="PYH78" s="449"/>
      <c r="PYI78" s="450"/>
      <c r="PYJ78" s="452"/>
      <c r="PYK78" s="451"/>
      <c r="PYL78" s="449"/>
      <c r="PYM78" s="450"/>
      <c r="PYN78" s="447"/>
      <c r="PYO78" s="448"/>
      <c r="PYP78" s="453"/>
      <c r="PYQ78" s="449"/>
      <c r="PYR78" s="450"/>
      <c r="PYS78" s="454"/>
      <c r="PYT78" s="448"/>
      <c r="PYV78" s="449"/>
      <c r="PYW78" s="450"/>
      <c r="PYX78" s="452"/>
      <c r="PYY78" s="448"/>
      <c r="PZA78" s="449"/>
      <c r="PZB78" s="450"/>
      <c r="PZC78" s="447"/>
      <c r="PZD78" s="448"/>
      <c r="PZF78" s="449"/>
      <c r="PZG78" s="450"/>
      <c r="PZH78" s="452"/>
      <c r="PZI78" s="448"/>
      <c r="PZJ78" s="449"/>
      <c r="PZK78" s="450"/>
      <c r="PZL78" s="452"/>
      <c r="PZM78" s="448"/>
      <c r="PZN78" s="455"/>
      <c r="PZO78" s="449"/>
      <c r="PZP78" s="450"/>
      <c r="PZQ78" s="459"/>
      <c r="PZR78" s="448"/>
      <c r="PZS78" s="456"/>
      <c r="PZT78" s="449"/>
      <c r="PZU78" s="450"/>
      <c r="PZV78" s="452"/>
      <c r="PZW78" s="448"/>
      <c r="PZX78" s="449"/>
      <c r="PZY78" s="450"/>
      <c r="PZZ78" s="452"/>
      <c r="QAA78" s="448"/>
      <c r="QAB78" s="449"/>
      <c r="QAC78" s="450"/>
      <c r="QAD78" s="447"/>
      <c r="QAE78" s="448"/>
      <c r="QAF78" s="457"/>
      <c r="QAG78" s="460"/>
      <c r="QAH78" s="450"/>
      <c r="QAI78" s="461"/>
      <c r="QAJ78" s="448"/>
      <c r="QAK78" s="456"/>
      <c r="QAL78" s="449"/>
      <c r="QAM78" s="450"/>
      <c r="QAN78" s="452"/>
      <c r="QAO78" s="448"/>
      <c r="QAP78" s="456"/>
      <c r="QAQ78" s="458"/>
      <c r="QAR78" s="458"/>
      <c r="QAT78" s="454"/>
      <c r="QAU78" s="450"/>
      <c r="QAV78" s="454"/>
      <c r="QAW78" s="448"/>
      <c r="QAX78" s="449"/>
      <c r="QAY78" s="450"/>
      <c r="QAZ78" s="447"/>
      <c r="QBA78" s="448"/>
      <c r="QBB78" s="449"/>
      <c r="QBC78" s="450"/>
      <c r="QBD78" s="447"/>
      <c r="QBE78" s="451"/>
      <c r="QBF78" s="449"/>
      <c r="QBG78" s="450"/>
      <c r="QBH78" s="447"/>
      <c r="QBI78" s="451"/>
      <c r="QBJ78" s="449"/>
      <c r="QBK78" s="450"/>
      <c r="QBL78" s="447"/>
      <c r="QBM78" s="451"/>
      <c r="QBN78" s="449"/>
      <c r="QBO78" s="450"/>
      <c r="QBP78" s="452"/>
      <c r="QBQ78" s="451"/>
      <c r="QBR78" s="449"/>
      <c r="QBS78" s="450"/>
      <c r="QBT78" s="447"/>
      <c r="QBU78" s="448"/>
      <c r="QBV78" s="453"/>
      <c r="QBW78" s="449"/>
      <c r="QBX78" s="450"/>
      <c r="QBY78" s="454"/>
      <c r="QBZ78" s="448"/>
      <c r="QCB78" s="449"/>
      <c r="QCC78" s="450"/>
      <c r="QCD78" s="452"/>
      <c r="QCE78" s="448"/>
      <c r="QCG78" s="449"/>
      <c r="QCH78" s="450"/>
      <c r="QCI78" s="447"/>
      <c r="QCJ78" s="448"/>
      <c r="QCL78" s="449"/>
      <c r="QCM78" s="450"/>
      <c r="QCN78" s="452"/>
      <c r="QCO78" s="448"/>
      <c r="QCP78" s="449"/>
      <c r="QCQ78" s="450"/>
      <c r="QCR78" s="452"/>
      <c r="QCS78" s="448"/>
      <c r="QCT78" s="455"/>
      <c r="QCU78" s="449"/>
      <c r="QCV78" s="450"/>
      <c r="QCW78" s="459"/>
      <c r="QCX78" s="448"/>
      <c r="QCY78" s="456"/>
      <c r="QCZ78" s="449"/>
      <c r="QDA78" s="450"/>
      <c r="QDB78" s="452"/>
      <c r="QDC78" s="448"/>
      <c r="QDD78" s="449"/>
      <c r="QDE78" s="450"/>
      <c r="QDF78" s="452"/>
      <c r="QDG78" s="448"/>
      <c r="QDH78" s="449"/>
      <c r="QDI78" s="450"/>
      <c r="QDJ78" s="447"/>
      <c r="QDK78" s="448"/>
      <c r="QDL78" s="457"/>
      <c r="QDM78" s="460"/>
      <c r="QDN78" s="450"/>
      <c r="QDO78" s="461"/>
      <c r="QDP78" s="448"/>
      <c r="QDQ78" s="456"/>
      <c r="QDR78" s="449"/>
      <c r="QDS78" s="450"/>
      <c r="QDT78" s="452"/>
      <c r="QDU78" s="448"/>
      <c r="QDV78" s="456"/>
      <c r="QDW78" s="458"/>
      <c r="QDX78" s="458"/>
      <c r="QDZ78" s="454"/>
      <c r="QEA78" s="450"/>
      <c r="QEB78" s="454"/>
      <c r="QEC78" s="448"/>
      <c r="QED78" s="449"/>
      <c r="QEE78" s="450"/>
      <c r="QEF78" s="447"/>
      <c r="QEG78" s="448"/>
      <c r="QEH78" s="449"/>
      <c r="QEI78" s="450"/>
      <c r="QEJ78" s="447"/>
      <c r="QEK78" s="451"/>
      <c r="QEL78" s="449"/>
      <c r="QEM78" s="450"/>
      <c r="QEN78" s="447"/>
      <c r="QEO78" s="451"/>
      <c r="QEP78" s="449"/>
      <c r="QEQ78" s="450"/>
      <c r="QER78" s="447"/>
      <c r="QES78" s="451"/>
      <c r="QET78" s="449"/>
      <c r="QEU78" s="450"/>
      <c r="QEV78" s="452"/>
      <c r="QEW78" s="451"/>
      <c r="QEX78" s="449"/>
      <c r="QEY78" s="450"/>
      <c r="QEZ78" s="447"/>
      <c r="QFA78" s="448"/>
      <c r="QFB78" s="453"/>
      <c r="QFC78" s="449"/>
      <c r="QFD78" s="450"/>
      <c r="QFE78" s="454"/>
      <c r="QFF78" s="448"/>
      <c r="QFH78" s="449"/>
      <c r="QFI78" s="450"/>
      <c r="QFJ78" s="452"/>
      <c r="QFK78" s="448"/>
      <c r="QFM78" s="449"/>
      <c r="QFN78" s="450"/>
      <c r="QFO78" s="447"/>
      <c r="QFP78" s="448"/>
      <c r="QFR78" s="449"/>
      <c r="QFS78" s="450"/>
      <c r="QFT78" s="452"/>
      <c r="QFU78" s="448"/>
      <c r="QFV78" s="449"/>
      <c r="QFW78" s="450"/>
      <c r="QFX78" s="452"/>
      <c r="QFY78" s="448"/>
      <c r="QFZ78" s="455"/>
      <c r="QGA78" s="449"/>
      <c r="QGB78" s="450"/>
      <c r="QGC78" s="459"/>
      <c r="QGD78" s="448"/>
      <c r="QGE78" s="456"/>
      <c r="QGF78" s="449"/>
      <c r="QGG78" s="450"/>
      <c r="QGH78" s="452"/>
      <c r="QGI78" s="448"/>
      <c r="QGJ78" s="449"/>
      <c r="QGK78" s="450"/>
      <c r="QGL78" s="452"/>
      <c r="QGM78" s="448"/>
      <c r="QGN78" s="449"/>
      <c r="QGO78" s="450"/>
      <c r="QGP78" s="447"/>
      <c r="QGQ78" s="448"/>
      <c r="QGR78" s="457"/>
      <c r="QGS78" s="460"/>
      <c r="QGT78" s="450"/>
      <c r="QGU78" s="461"/>
      <c r="QGV78" s="448"/>
      <c r="QGW78" s="456"/>
      <c r="QGX78" s="449"/>
      <c r="QGY78" s="450"/>
      <c r="QGZ78" s="452"/>
      <c r="QHA78" s="448"/>
      <c r="QHB78" s="456"/>
      <c r="QHC78" s="458"/>
      <c r="QHD78" s="458"/>
      <c r="QHF78" s="454"/>
      <c r="QHG78" s="450"/>
      <c r="QHH78" s="454"/>
      <c r="QHI78" s="448"/>
      <c r="QHJ78" s="449"/>
      <c r="QHK78" s="450"/>
      <c r="QHL78" s="447"/>
      <c r="QHM78" s="448"/>
      <c r="QHN78" s="449"/>
      <c r="QHO78" s="450"/>
      <c r="QHP78" s="447"/>
      <c r="QHQ78" s="451"/>
      <c r="QHR78" s="449"/>
      <c r="QHS78" s="450"/>
      <c r="QHT78" s="447"/>
      <c r="QHU78" s="451"/>
      <c r="QHV78" s="449"/>
      <c r="QHW78" s="450"/>
      <c r="QHX78" s="447"/>
      <c r="QHY78" s="451"/>
      <c r="QHZ78" s="449"/>
      <c r="QIA78" s="450"/>
      <c r="QIB78" s="452"/>
      <c r="QIC78" s="451"/>
      <c r="QID78" s="449"/>
      <c r="QIE78" s="450"/>
      <c r="QIF78" s="447"/>
      <c r="QIG78" s="448"/>
      <c r="QIH78" s="453"/>
      <c r="QII78" s="449"/>
      <c r="QIJ78" s="450"/>
      <c r="QIK78" s="454"/>
      <c r="QIL78" s="448"/>
      <c r="QIN78" s="449"/>
      <c r="QIO78" s="450"/>
      <c r="QIP78" s="452"/>
      <c r="QIQ78" s="448"/>
      <c r="QIS78" s="449"/>
      <c r="QIT78" s="450"/>
      <c r="QIU78" s="447"/>
      <c r="QIV78" s="448"/>
      <c r="QIX78" s="449"/>
      <c r="QIY78" s="450"/>
      <c r="QIZ78" s="452"/>
      <c r="QJA78" s="448"/>
      <c r="QJB78" s="449"/>
      <c r="QJC78" s="450"/>
      <c r="QJD78" s="452"/>
      <c r="QJE78" s="448"/>
      <c r="QJF78" s="455"/>
      <c r="QJG78" s="449"/>
      <c r="QJH78" s="450"/>
      <c r="QJI78" s="459"/>
      <c r="QJJ78" s="448"/>
      <c r="QJK78" s="456"/>
      <c r="QJL78" s="449"/>
      <c r="QJM78" s="450"/>
      <c r="QJN78" s="452"/>
      <c r="QJO78" s="448"/>
      <c r="QJP78" s="449"/>
      <c r="QJQ78" s="450"/>
      <c r="QJR78" s="452"/>
      <c r="QJS78" s="448"/>
      <c r="QJT78" s="449"/>
      <c r="QJU78" s="450"/>
      <c r="QJV78" s="447"/>
      <c r="QJW78" s="448"/>
      <c r="QJX78" s="457"/>
      <c r="QJY78" s="460"/>
      <c r="QJZ78" s="450"/>
      <c r="QKA78" s="461"/>
      <c r="QKB78" s="448"/>
      <c r="QKC78" s="456"/>
      <c r="QKD78" s="449"/>
      <c r="QKE78" s="450"/>
      <c r="QKF78" s="452"/>
      <c r="QKG78" s="448"/>
      <c r="QKH78" s="456"/>
      <c r="QKI78" s="458"/>
      <c r="QKJ78" s="458"/>
      <c r="QKL78" s="454"/>
      <c r="QKM78" s="450"/>
      <c r="QKN78" s="454"/>
      <c r="QKO78" s="448"/>
      <c r="QKP78" s="449"/>
      <c r="QKQ78" s="450"/>
      <c r="QKR78" s="447"/>
      <c r="QKS78" s="448"/>
      <c r="QKT78" s="449"/>
      <c r="QKU78" s="450"/>
      <c r="QKV78" s="447"/>
      <c r="QKW78" s="451"/>
      <c r="QKX78" s="449"/>
      <c r="QKY78" s="450"/>
      <c r="QKZ78" s="447"/>
      <c r="QLA78" s="451"/>
      <c r="QLB78" s="449"/>
      <c r="QLC78" s="450"/>
      <c r="QLD78" s="447"/>
      <c r="QLE78" s="451"/>
      <c r="QLF78" s="449"/>
      <c r="QLG78" s="450"/>
      <c r="QLH78" s="452"/>
      <c r="QLI78" s="451"/>
      <c r="QLJ78" s="449"/>
      <c r="QLK78" s="450"/>
      <c r="QLL78" s="447"/>
      <c r="QLM78" s="448"/>
      <c r="QLN78" s="453"/>
      <c r="QLO78" s="449"/>
      <c r="QLP78" s="450"/>
      <c r="QLQ78" s="454"/>
      <c r="QLR78" s="448"/>
      <c r="QLT78" s="449"/>
      <c r="QLU78" s="450"/>
      <c r="QLV78" s="452"/>
      <c r="QLW78" s="448"/>
      <c r="QLY78" s="449"/>
      <c r="QLZ78" s="450"/>
      <c r="QMA78" s="447"/>
      <c r="QMB78" s="448"/>
      <c r="QMD78" s="449"/>
      <c r="QME78" s="450"/>
      <c r="QMF78" s="452"/>
      <c r="QMG78" s="448"/>
      <c r="QMH78" s="449"/>
      <c r="QMI78" s="450"/>
      <c r="QMJ78" s="452"/>
      <c r="QMK78" s="448"/>
      <c r="QML78" s="455"/>
      <c r="QMM78" s="449"/>
      <c r="QMN78" s="450"/>
      <c r="QMO78" s="459"/>
      <c r="QMP78" s="448"/>
      <c r="QMQ78" s="456"/>
      <c r="QMR78" s="449"/>
      <c r="QMS78" s="450"/>
      <c r="QMT78" s="452"/>
      <c r="QMU78" s="448"/>
      <c r="QMV78" s="449"/>
      <c r="QMW78" s="450"/>
      <c r="QMX78" s="452"/>
      <c r="QMY78" s="448"/>
      <c r="QMZ78" s="449"/>
      <c r="QNA78" s="450"/>
      <c r="QNB78" s="447"/>
      <c r="QNC78" s="448"/>
      <c r="QND78" s="457"/>
      <c r="QNE78" s="460"/>
      <c r="QNF78" s="450"/>
      <c r="QNG78" s="461"/>
      <c r="QNH78" s="448"/>
      <c r="QNI78" s="456"/>
      <c r="QNJ78" s="449"/>
      <c r="QNK78" s="450"/>
      <c r="QNL78" s="452"/>
      <c r="QNM78" s="448"/>
      <c r="QNN78" s="456"/>
      <c r="QNO78" s="458"/>
      <c r="QNP78" s="458"/>
      <c r="QNR78" s="454"/>
      <c r="QNS78" s="450"/>
      <c r="QNT78" s="454"/>
      <c r="QNU78" s="448"/>
      <c r="QNV78" s="449"/>
      <c r="QNW78" s="450"/>
      <c r="QNX78" s="447"/>
      <c r="QNY78" s="448"/>
      <c r="QNZ78" s="449"/>
      <c r="QOA78" s="450"/>
      <c r="QOB78" s="447"/>
      <c r="QOC78" s="451"/>
      <c r="QOD78" s="449"/>
      <c r="QOE78" s="450"/>
      <c r="QOF78" s="447"/>
      <c r="QOG78" s="451"/>
      <c r="QOH78" s="449"/>
      <c r="QOI78" s="450"/>
      <c r="QOJ78" s="447"/>
      <c r="QOK78" s="451"/>
      <c r="QOL78" s="449"/>
      <c r="QOM78" s="450"/>
      <c r="QON78" s="452"/>
      <c r="QOO78" s="451"/>
      <c r="QOP78" s="449"/>
      <c r="QOQ78" s="450"/>
      <c r="QOR78" s="447"/>
      <c r="QOS78" s="448"/>
      <c r="QOT78" s="453"/>
      <c r="QOU78" s="449"/>
      <c r="QOV78" s="450"/>
      <c r="QOW78" s="454"/>
      <c r="QOX78" s="448"/>
      <c r="QOZ78" s="449"/>
      <c r="QPA78" s="450"/>
      <c r="QPB78" s="452"/>
      <c r="QPC78" s="448"/>
      <c r="QPE78" s="449"/>
      <c r="QPF78" s="450"/>
      <c r="QPG78" s="447"/>
      <c r="QPH78" s="448"/>
      <c r="QPJ78" s="449"/>
      <c r="QPK78" s="450"/>
      <c r="QPL78" s="452"/>
      <c r="QPM78" s="448"/>
      <c r="QPN78" s="449"/>
      <c r="QPO78" s="450"/>
      <c r="QPP78" s="452"/>
      <c r="QPQ78" s="448"/>
      <c r="QPR78" s="455"/>
      <c r="QPS78" s="449"/>
      <c r="QPT78" s="450"/>
      <c r="QPU78" s="459"/>
      <c r="QPV78" s="448"/>
      <c r="QPW78" s="456"/>
      <c r="QPX78" s="449"/>
      <c r="QPY78" s="450"/>
      <c r="QPZ78" s="452"/>
      <c r="QQA78" s="448"/>
      <c r="QQB78" s="449"/>
      <c r="QQC78" s="450"/>
      <c r="QQD78" s="452"/>
      <c r="QQE78" s="448"/>
      <c r="QQF78" s="449"/>
      <c r="QQG78" s="450"/>
      <c r="QQH78" s="447"/>
      <c r="QQI78" s="448"/>
      <c r="QQJ78" s="457"/>
      <c r="QQK78" s="460"/>
      <c r="QQL78" s="450"/>
      <c r="QQM78" s="461"/>
      <c r="QQN78" s="448"/>
      <c r="QQO78" s="456"/>
      <c r="QQP78" s="449"/>
      <c r="QQQ78" s="450"/>
      <c r="QQR78" s="452"/>
      <c r="QQS78" s="448"/>
      <c r="QQT78" s="456"/>
      <c r="QQU78" s="458"/>
      <c r="QQV78" s="458"/>
      <c r="QQX78" s="454"/>
      <c r="QQY78" s="450"/>
      <c r="QQZ78" s="454"/>
      <c r="QRA78" s="448"/>
      <c r="QRB78" s="449"/>
      <c r="QRC78" s="450"/>
      <c r="QRD78" s="447"/>
      <c r="QRE78" s="448"/>
      <c r="QRF78" s="449"/>
      <c r="QRG78" s="450"/>
      <c r="QRH78" s="447"/>
      <c r="QRI78" s="451"/>
      <c r="QRJ78" s="449"/>
      <c r="QRK78" s="450"/>
      <c r="QRL78" s="447"/>
      <c r="QRM78" s="451"/>
      <c r="QRN78" s="449"/>
      <c r="QRO78" s="450"/>
      <c r="QRP78" s="447"/>
      <c r="QRQ78" s="451"/>
      <c r="QRR78" s="449"/>
      <c r="QRS78" s="450"/>
      <c r="QRT78" s="452"/>
      <c r="QRU78" s="451"/>
      <c r="QRV78" s="449"/>
      <c r="QRW78" s="450"/>
      <c r="QRX78" s="447"/>
      <c r="QRY78" s="448"/>
      <c r="QRZ78" s="453"/>
      <c r="QSA78" s="449"/>
      <c r="QSB78" s="450"/>
      <c r="QSC78" s="454"/>
      <c r="QSD78" s="448"/>
      <c r="QSF78" s="449"/>
      <c r="QSG78" s="450"/>
      <c r="QSH78" s="452"/>
      <c r="QSI78" s="448"/>
      <c r="QSK78" s="449"/>
      <c r="QSL78" s="450"/>
      <c r="QSM78" s="447"/>
      <c r="QSN78" s="448"/>
      <c r="QSP78" s="449"/>
      <c r="QSQ78" s="450"/>
      <c r="QSR78" s="452"/>
      <c r="QSS78" s="448"/>
      <c r="QST78" s="449"/>
      <c r="QSU78" s="450"/>
      <c r="QSV78" s="452"/>
      <c r="QSW78" s="448"/>
      <c r="QSX78" s="455"/>
      <c r="QSY78" s="449"/>
      <c r="QSZ78" s="450"/>
      <c r="QTA78" s="459"/>
      <c r="QTB78" s="448"/>
      <c r="QTC78" s="456"/>
      <c r="QTD78" s="449"/>
      <c r="QTE78" s="450"/>
      <c r="QTF78" s="452"/>
      <c r="QTG78" s="448"/>
      <c r="QTH78" s="449"/>
      <c r="QTI78" s="450"/>
      <c r="QTJ78" s="452"/>
      <c r="QTK78" s="448"/>
      <c r="QTL78" s="449"/>
      <c r="QTM78" s="450"/>
      <c r="QTN78" s="447"/>
      <c r="QTO78" s="448"/>
      <c r="QTP78" s="457"/>
      <c r="QTQ78" s="460"/>
      <c r="QTR78" s="450"/>
      <c r="QTS78" s="461"/>
      <c r="QTT78" s="448"/>
      <c r="QTU78" s="456"/>
      <c r="QTV78" s="449"/>
      <c r="QTW78" s="450"/>
      <c r="QTX78" s="452"/>
      <c r="QTY78" s="448"/>
      <c r="QTZ78" s="456"/>
      <c r="QUA78" s="458"/>
      <c r="QUB78" s="458"/>
      <c r="QUD78" s="454"/>
      <c r="QUE78" s="450"/>
      <c r="QUF78" s="454"/>
      <c r="QUG78" s="448"/>
      <c r="QUH78" s="449"/>
      <c r="QUI78" s="450"/>
      <c r="QUJ78" s="447"/>
      <c r="QUK78" s="448"/>
      <c r="QUL78" s="449"/>
      <c r="QUM78" s="450"/>
      <c r="QUN78" s="447"/>
      <c r="QUO78" s="451"/>
      <c r="QUP78" s="449"/>
      <c r="QUQ78" s="450"/>
      <c r="QUR78" s="447"/>
      <c r="QUS78" s="451"/>
      <c r="QUT78" s="449"/>
      <c r="QUU78" s="450"/>
      <c r="QUV78" s="447"/>
      <c r="QUW78" s="451"/>
      <c r="QUX78" s="449"/>
      <c r="QUY78" s="450"/>
      <c r="QUZ78" s="452"/>
      <c r="QVA78" s="451"/>
      <c r="QVB78" s="449"/>
      <c r="QVC78" s="450"/>
      <c r="QVD78" s="447"/>
      <c r="QVE78" s="448"/>
      <c r="QVF78" s="453"/>
      <c r="QVG78" s="449"/>
      <c r="QVH78" s="450"/>
      <c r="QVI78" s="454"/>
      <c r="QVJ78" s="448"/>
      <c r="QVL78" s="449"/>
      <c r="QVM78" s="450"/>
      <c r="QVN78" s="452"/>
      <c r="QVO78" s="448"/>
      <c r="QVQ78" s="449"/>
      <c r="QVR78" s="450"/>
      <c r="QVS78" s="447"/>
      <c r="QVT78" s="448"/>
      <c r="QVV78" s="449"/>
      <c r="QVW78" s="450"/>
      <c r="QVX78" s="452"/>
      <c r="QVY78" s="448"/>
      <c r="QVZ78" s="449"/>
      <c r="QWA78" s="450"/>
      <c r="QWB78" s="452"/>
      <c r="QWC78" s="448"/>
      <c r="QWD78" s="455"/>
      <c r="QWE78" s="449"/>
      <c r="QWF78" s="450"/>
      <c r="QWG78" s="459"/>
      <c r="QWH78" s="448"/>
      <c r="QWI78" s="456"/>
      <c r="QWJ78" s="449"/>
      <c r="QWK78" s="450"/>
      <c r="QWL78" s="452"/>
      <c r="QWM78" s="448"/>
      <c r="QWN78" s="449"/>
      <c r="QWO78" s="450"/>
      <c r="QWP78" s="452"/>
      <c r="QWQ78" s="448"/>
      <c r="QWR78" s="449"/>
      <c r="QWS78" s="450"/>
      <c r="QWT78" s="447"/>
      <c r="QWU78" s="448"/>
      <c r="QWV78" s="457"/>
      <c r="QWW78" s="460"/>
      <c r="QWX78" s="450"/>
      <c r="QWY78" s="461"/>
      <c r="QWZ78" s="448"/>
      <c r="QXA78" s="456"/>
      <c r="QXB78" s="449"/>
      <c r="QXC78" s="450"/>
      <c r="QXD78" s="452"/>
      <c r="QXE78" s="448"/>
      <c r="QXF78" s="456"/>
      <c r="QXG78" s="458"/>
      <c r="QXH78" s="458"/>
      <c r="QXJ78" s="454"/>
      <c r="QXK78" s="450"/>
      <c r="QXL78" s="454"/>
      <c r="QXM78" s="448"/>
      <c r="QXN78" s="449"/>
      <c r="QXO78" s="450"/>
      <c r="QXP78" s="447"/>
      <c r="QXQ78" s="448"/>
      <c r="QXR78" s="449"/>
      <c r="QXS78" s="450"/>
      <c r="QXT78" s="447"/>
      <c r="QXU78" s="451"/>
      <c r="QXV78" s="449"/>
      <c r="QXW78" s="450"/>
      <c r="QXX78" s="447"/>
      <c r="QXY78" s="451"/>
      <c r="QXZ78" s="449"/>
      <c r="QYA78" s="450"/>
      <c r="QYB78" s="447"/>
      <c r="QYC78" s="451"/>
      <c r="QYD78" s="449"/>
      <c r="QYE78" s="450"/>
      <c r="QYF78" s="452"/>
      <c r="QYG78" s="451"/>
      <c r="QYH78" s="449"/>
      <c r="QYI78" s="450"/>
      <c r="QYJ78" s="447"/>
      <c r="QYK78" s="448"/>
      <c r="QYL78" s="453"/>
      <c r="QYM78" s="449"/>
      <c r="QYN78" s="450"/>
      <c r="QYO78" s="454"/>
      <c r="QYP78" s="448"/>
      <c r="QYR78" s="449"/>
      <c r="QYS78" s="450"/>
      <c r="QYT78" s="452"/>
      <c r="QYU78" s="448"/>
      <c r="QYW78" s="449"/>
      <c r="QYX78" s="450"/>
      <c r="QYY78" s="447"/>
      <c r="QYZ78" s="448"/>
      <c r="QZB78" s="449"/>
      <c r="QZC78" s="450"/>
      <c r="QZD78" s="452"/>
      <c r="QZE78" s="448"/>
      <c r="QZF78" s="449"/>
      <c r="QZG78" s="450"/>
      <c r="QZH78" s="452"/>
      <c r="QZI78" s="448"/>
      <c r="QZJ78" s="455"/>
      <c r="QZK78" s="449"/>
      <c r="QZL78" s="450"/>
      <c r="QZM78" s="459"/>
      <c r="QZN78" s="448"/>
      <c r="QZO78" s="456"/>
      <c r="QZP78" s="449"/>
      <c r="QZQ78" s="450"/>
      <c r="QZR78" s="452"/>
      <c r="QZS78" s="448"/>
      <c r="QZT78" s="449"/>
      <c r="QZU78" s="450"/>
      <c r="QZV78" s="452"/>
      <c r="QZW78" s="448"/>
      <c r="QZX78" s="449"/>
      <c r="QZY78" s="450"/>
      <c r="QZZ78" s="447"/>
      <c r="RAA78" s="448"/>
      <c r="RAB78" s="457"/>
      <c r="RAC78" s="460"/>
      <c r="RAD78" s="450"/>
      <c r="RAE78" s="461"/>
      <c r="RAF78" s="448"/>
      <c r="RAG78" s="456"/>
      <c r="RAH78" s="449"/>
      <c r="RAI78" s="450"/>
      <c r="RAJ78" s="452"/>
      <c r="RAK78" s="448"/>
      <c r="RAL78" s="456"/>
      <c r="RAM78" s="458"/>
      <c r="RAN78" s="458"/>
      <c r="RAP78" s="454"/>
      <c r="RAQ78" s="450"/>
      <c r="RAR78" s="454"/>
      <c r="RAS78" s="448"/>
      <c r="RAT78" s="449"/>
      <c r="RAU78" s="450"/>
      <c r="RAV78" s="447"/>
      <c r="RAW78" s="448"/>
      <c r="RAX78" s="449"/>
      <c r="RAY78" s="450"/>
      <c r="RAZ78" s="447"/>
      <c r="RBA78" s="451"/>
      <c r="RBB78" s="449"/>
      <c r="RBC78" s="450"/>
      <c r="RBD78" s="447"/>
      <c r="RBE78" s="451"/>
      <c r="RBF78" s="449"/>
      <c r="RBG78" s="450"/>
      <c r="RBH78" s="447"/>
      <c r="RBI78" s="451"/>
      <c r="RBJ78" s="449"/>
      <c r="RBK78" s="450"/>
      <c r="RBL78" s="452"/>
      <c r="RBM78" s="451"/>
      <c r="RBN78" s="449"/>
      <c r="RBO78" s="450"/>
      <c r="RBP78" s="447"/>
      <c r="RBQ78" s="448"/>
      <c r="RBR78" s="453"/>
      <c r="RBS78" s="449"/>
      <c r="RBT78" s="450"/>
      <c r="RBU78" s="454"/>
      <c r="RBV78" s="448"/>
      <c r="RBX78" s="449"/>
      <c r="RBY78" s="450"/>
      <c r="RBZ78" s="452"/>
      <c r="RCA78" s="448"/>
      <c r="RCC78" s="449"/>
      <c r="RCD78" s="450"/>
      <c r="RCE78" s="447"/>
      <c r="RCF78" s="448"/>
      <c r="RCH78" s="449"/>
      <c r="RCI78" s="450"/>
      <c r="RCJ78" s="452"/>
      <c r="RCK78" s="448"/>
      <c r="RCL78" s="449"/>
      <c r="RCM78" s="450"/>
      <c r="RCN78" s="452"/>
      <c r="RCO78" s="448"/>
      <c r="RCP78" s="455"/>
      <c r="RCQ78" s="449"/>
      <c r="RCR78" s="450"/>
      <c r="RCS78" s="459"/>
      <c r="RCT78" s="448"/>
      <c r="RCU78" s="456"/>
      <c r="RCV78" s="449"/>
      <c r="RCW78" s="450"/>
      <c r="RCX78" s="452"/>
      <c r="RCY78" s="448"/>
      <c r="RCZ78" s="449"/>
      <c r="RDA78" s="450"/>
      <c r="RDB78" s="452"/>
      <c r="RDC78" s="448"/>
      <c r="RDD78" s="449"/>
      <c r="RDE78" s="450"/>
      <c r="RDF78" s="447"/>
      <c r="RDG78" s="448"/>
      <c r="RDH78" s="457"/>
      <c r="RDI78" s="460"/>
      <c r="RDJ78" s="450"/>
      <c r="RDK78" s="461"/>
      <c r="RDL78" s="448"/>
      <c r="RDM78" s="456"/>
      <c r="RDN78" s="449"/>
      <c r="RDO78" s="450"/>
      <c r="RDP78" s="452"/>
      <c r="RDQ78" s="448"/>
      <c r="RDR78" s="456"/>
      <c r="RDS78" s="458"/>
      <c r="RDT78" s="458"/>
      <c r="RDV78" s="454"/>
      <c r="RDW78" s="450"/>
      <c r="RDX78" s="454"/>
      <c r="RDY78" s="448"/>
      <c r="RDZ78" s="449"/>
      <c r="REA78" s="450"/>
      <c r="REB78" s="447"/>
      <c r="REC78" s="448"/>
      <c r="RED78" s="449"/>
      <c r="REE78" s="450"/>
      <c r="REF78" s="447"/>
      <c r="REG78" s="451"/>
      <c r="REH78" s="449"/>
      <c r="REI78" s="450"/>
      <c r="REJ78" s="447"/>
      <c r="REK78" s="451"/>
      <c r="REL78" s="449"/>
      <c r="REM78" s="450"/>
      <c r="REN78" s="447"/>
      <c r="REO78" s="451"/>
      <c r="REP78" s="449"/>
      <c r="REQ78" s="450"/>
      <c r="RER78" s="452"/>
      <c r="RES78" s="451"/>
      <c r="RET78" s="449"/>
      <c r="REU78" s="450"/>
      <c r="REV78" s="447"/>
      <c r="REW78" s="448"/>
      <c r="REX78" s="453"/>
      <c r="REY78" s="449"/>
      <c r="REZ78" s="450"/>
      <c r="RFA78" s="454"/>
      <c r="RFB78" s="448"/>
      <c r="RFD78" s="449"/>
      <c r="RFE78" s="450"/>
      <c r="RFF78" s="452"/>
      <c r="RFG78" s="448"/>
      <c r="RFI78" s="449"/>
      <c r="RFJ78" s="450"/>
      <c r="RFK78" s="447"/>
      <c r="RFL78" s="448"/>
      <c r="RFN78" s="449"/>
      <c r="RFO78" s="450"/>
      <c r="RFP78" s="452"/>
      <c r="RFQ78" s="448"/>
      <c r="RFR78" s="449"/>
      <c r="RFS78" s="450"/>
      <c r="RFT78" s="452"/>
      <c r="RFU78" s="448"/>
      <c r="RFV78" s="455"/>
      <c r="RFW78" s="449"/>
      <c r="RFX78" s="450"/>
      <c r="RFY78" s="459"/>
      <c r="RFZ78" s="448"/>
      <c r="RGA78" s="456"/>
      <c r="RGB78" s="449"/>
      <c r="RGC78" s="450"/>
      <c r="RGD78" s="452"/>
      <c r="RGE78" s="448"/>
      <c r="RGF78" s="449"/>
      <c r="RGG78" s="450"/>
      <c r="RGH78" s="452"/>
      <c r="RGI78" s="448"/>
      <c r="RGJ78" s="449"/>
      <c r="RGK78" s="450"/>
      <c r="RGL78" s="447"/>
      <c r="RGM78" s="448"/>
      <c r="RGN78" s="457"/>
      <c r="RGO78" s="460"/>
      <c r="RGP78" s="450"/>
      <c r="RGQ78" s="461"/>
      <c r="RGR78" s="448"/>
      <c r="RGS78" s="456"/>
      <c r="RGT78" s="449"/>
      <c r="RGU78" s="450"/>
      <c r="RGV78" s="452"/>
      <c r="RGW78" s="448"/>
      <c r="RGX78" s="456"/>
      <c r="RGY78" s="458"/>
      <c r="RGZ78" s="458"/>
      <c r="RHB78" s="454"/>
      <c r="RHC78" s="450"/>
      <c r="RHD78" s="454"/>
      <c r="RHE78" s="448"/>
      <c r="RHF78" s="449"/>
      <c r="RHG78" s="450"/>
      <c r="RHH78" s="447"/>
      <c r="RHI78" s="448"/>
      <c r="RHJ78" s="449"/>
      <c r="RHK78" s="450"/>
      <c r="RHL78" s="447"/>
      <c r="RHM78" s="451"/>
      <c r="RHN78" s="449"/>
      <c r="RHO78" s="450"/>
      <c r="RHP78" s="447"/>
      <c r="RHQ78" s="451"/>
      <c r="RHR78" s="449"/>
      <c r="RHS78" s="450"/>
      <c r="RHT78" s="447"/>
      <c r="RHU78" s="451"/>
      <c r="RHV78" s="449"/>
      <c r="RHW78" s="450"/>
      <c r="RHX78" s="452"/>
      <c r="RHY78" s="451"/>
      <c r="RHZ78" s="449"/>
      <c r="RIA78" s="450"/>
      <c r="RIB78" s="447"/>
      <c r="RIC78" s="448"/>
      <c r="RID78" s="453"/>
      <c r="RIE78" s="449"/>
      <c r="RIF78" s="450"/>
      <c r="RIG78" s="454"/>
      <c r="RIH78" s="448"/>
      <c r="RIJ78" s="449"/>
      <c r="RIK78" s="450"/>
      <c r="RIL78" s="452"/>
      <c r="RIM78" s="448"/>
      <c r="RIO78" s="449"/>
      <c r="RIP78" s="450"/>
      <c r="RIQ78" s="447"/>
      <c r="RIR78" s="448"/>
      <c r="RIT78" s="449"/>
      <c r="RIU78" s="450"/>
      <c r="RIV78" s="452"/>
      <c r="RIW78" s="448"/>
      <c r="RIX78" s="449"/>
      <c r="RIY78" s="450"/>
      <c r="RIZ78" s="452"/>
      <c r="RJA78" s="448"/>
      <c r="RJB78" s="455"/>
      <c r="RJC78" s="449"/>
      <c r="RJD78" s="450"/>
      <c r="RJE78" s="459"/>
      <c r="RJF78" s="448"/>
      <c r="RJG78" s="456"/>
      <c r="RJH78" s="449"/>
      <c r="RJI78" s="450"/>
      <c r="RJJ78" s="452"/>
      <c r="RJK78" s="448"/>
      <c r="RJL78" s="449"/>
      <c r="RJM78" s="450"/>
      <c r="RJN78" s="452"/>
      <c r="RJO78" s="448"/>
      <c r="RJP78" s="449"/>
      <c r="RJQ78" s="450"/>
      <c r="RJR78" s="447"/>
      <c r="RJS78" s="448"/>
      <c r="RJT78" s="457"/>
      <c r="RJU78" s="460"/>
      <c r="RJV78" s="450"/>
      <c r="RJW78" s="461"/>
      <c r="RJX78" s="448"/>
      <c r="RJY78" s="456"/>
      <c r="RJZ78" s="449"/>
      <c r="RKA78" s="450"/>
      <c r="RKB78" s="452"/>
      <c r="RKC78" s="448"/>
      <c r="RKD78" s="456"/>
      <c r="RKE78" s="458"/>
      <c r="RKF78" s="458"/>
      <c r="RKH78" s="454"/>
      <c r="RKI78" s="450"/>
      <c r="RKJ78" s="454"/>
      <c r="RKK78" s="448"/>
      <c r="RKL78" s="449"/>
      <c r="RKM78" s="450"/>
      <c r="RKN78" s="447"/>
      <c r="RKO78" s="448"/>
      <c r="RKP78" s="449"/>
      <c r="RKQ78" s="450"/>
      <c r="RKR78" s="447"/>
      <c r="RKS78" s="451"/>
      <c r="RKT78" s="449"/>
      <c r="RKU78" s="450"/>
      <c r="RKV78" s="447"/>
      <c r="RKW78" s="451"/>
      <c r="RKX78" s="449"/>
      <c r="RKY78" s="450"/>
      <c r="RKZ78" s="447"/>
      <c r="RLA78" s="451"/>
      <c r="RLB78" s="449"/>
      <c r="RLC78" s="450"/>
      <c r="RLD78" s="452"/>
      <c r="RLE78" s="451"/>
      <c r="RLF78" s="449"/>
      <c r="RLG78" s="450"/>
      <c r="RLH78" s="447"/>
      <c r="RLI78" s="448"/>
      <c r="RLJ78" s="453"/>
      <c r="RLK78" s="449"/>
      <c r="RLL78" s="450"/>
      <c r="RLM78" s="454"/>
      <c r="RLN78" s="448"/>
      <c r="RLP78" s="449"/>
      <c r="RLQ78" s="450"/>
      <c r="RLR78" s="452"/>
      <c r="RLS78" s="448"/>
      <c r="RLU78" s="449"/>
      <c r="RLV78" s="450"/>
      <c r="RLW78" s="447"/>
      <c r="RLX78" s="448"/>
      <c r="RLZ78" s="449"/>
      <c r="RMA78" s="450"/>
      <c r="RMB78" s="452"/>
      <c r="RMC78" s="448"/>
      <c r="RMD78" s="449"/>
      <c r="RME78" s="450"/>
      <c r="RMF78" s="452"/>
      <c r="RMG78" s="448"/>
      <c r="RMH78" s="455"/>
      <c r="RMI78" s="449"/>
      <c r="RMJ78" s="450"/>
      <c r="RMK78" s="459"/>
      <c r="RML78" s="448"/>
      <c r="RMM78" s="456"/>
      <c r="RMN78" s="449"/>
      <c r="RMO78" s="450"/>
      <c r="RMP78" s="452"/>
      <c r="RMQ78" s="448"/>
      <c r="RMR78" s="449"/>
      <c r="RMS78" s="450"/>
      <c r="RMT78" s="452"/>
      <c r="RMU78" s="448"/>
      <c r="RMV78" s="449"/>
      <c r="RMW78" s="450"/>
      <c r="RMX78" s="447"/>
      <c r="RMY78" s="448"/>
      <c r="RMZ78" s="457"/>
      <c r="RNA78" s="460"/>
      <c r="RNB78" s="450"/>
      <c r="RNC78" s="461"/>
      <c r="RND78" s="448"/>
      <c r="RNE78" s="456"/>
      <c r="RNF78" s="449"/>
      <c r="RNG78" s="450"/>
      <c r="RNH78" s="452"/>
      <c r="RNI78" s="448"/>
      <c r="RNJ78" s="456"/>
      <c r="RNK78" s="458"/>
      <c r="RNL78" s="458"/>
      <c r="RNN78" s="454"/>
      <c r="RNO78" s="450"/>
      <c r="RNP78" s="454"/>
      <c r="RNQ78" s="448"/>
      <c r="RNR78" s="449"/>
      <c r="RNS78" s="450"/>
      <c r="RNT78" s="447"/>
      <c r="RNU78" s="448"/>
      <c r="RNV78" s="449"/>
      <c r="RNW78" s="450"/>
      <c r="RNX78" s="447"/>
      <c r="RNY78" s="451"/>
      <c r="RNZ78" s="449"/>
      <c r="ROA78" s="450"/>
      <c r="ROB78" s="447"/>
      <c r="ROC78" s="451"/>
      <c r="ROD78" s="449"/>
      <c r="ROE78" s="450"/>
      <c r="ROF78" s="447"/>
      <c r="ROG78" s="451"/>
      <c r="ROH78" s="449"/>
      <c r="ROI78" s="450"/>
      <c r="ROJ78" s="452"/>
      <c r="ROK78" s="451"/>
      <c r="ROL78" s="449"/>
      <c r="ROM78" s="450"/>
      <c r="RON78" s="447"/>
      <c r="ROO78" s="448"/>
      <c r="ROP78" s="453"/>
      <c r="ROQ78" s="449"/>
      <c r="ROR78" s="450"/>
      <c r="ROS78" s="454"/>
      <c r="ROT78" s="448"/>
      <c r="ROV78" s="449"/>
      <c r="ROW78" s="450"/>
      <c r="ROX78" s="452"/>
      <c r="ROY78" s="448"/>
      <c r="RPA78" s="449"/>
      <c r="RPB78" s="450"/>
      <c r="RPC78" s="447"/>
      <c r="RPD78" s="448"/>
      <c r="RPF78" s="449"/>
      <c r="RPG78" s="450"/>
      <c r="RPH78" s="452"/>
      <c r="RPI78" s="448"/>
      <c r="RPJ78" s="449"/>
      <c r="RPK78" s="450"/>
      <c r="RPL78" s="452"/>
      <c r="RPM78" s="448"/>
      <c r="RPN78" s="455"/>
      <c r="RPO78" s="449"/>
      <c r="RPP78" s="450"/>
      <c r="RPQ78" s="459"/>
      <c r="RPR78" s="448"/>
      <c r="RPS78" s="456"/>
      <c r="RPT78" s="449"/>
      <c r="RPU78" s="450"/>
      <c r="RPV78" s="452"/>
      <c r="RPW78" s="448"/>
      <c r="RPX78" s="449"/>
      <c r="RPY78" s="450"/>
      <c r="RPZ78" s="452"/>
      <c r="RQA78" s="448"/>
      <c r="RQB78" s="449"/>
      <c r="RQC78" s="450"/>
      <c r="RQD78" s="447"/>
      <c r="RQE78" s="448"/>
      <c r="RQF78" s="457"/>
      <c r="RQG78" s="460"/>
      <c r="RQH78" s="450"/>
      <c r="RQI78" s="461"/>
      <c r="RQJ78" s="448"/>
      <c r="RQK78" s="456"/>
      <c r="RQL78" s="449"/>
      <c r="RQM78" s="450"/>
      <c r="RQN78" s="452"/>
      <c r="RQO78" s="448"/>
      <c r="RQP78" s="456"/>
      <c r="RQQ78" s="458"/>
      <c r="RQR78" s="458"/>
      <c r="RQT78" s="454"/>
      <c r="RQU78" s="450"/>
      <c r="RQV78" s="454"/>
      <c r="RQW78" s="448"/>
      <c r="RQX78" s="449"/>
      <c r="RQY78" s="450"/>
      <c r="RQZ78" s="447"/>
      <c r="RRA78" s="448"/>
      <c r="RRB78" s="449"/>
      <c r="RRC78" s="450"/>
      <c r="RRD78" s="447"/>
      <c r="RRE78" s="451"/>
      <c r="RRF78" s="449"/>
      <c r="RRG78" s="450"/>
      <c r="RRH78" s="447"/>
      <c r="RRI78" s="451"/>
      <c r="RRJ78" s="449"/>
      <c r="RRK78" s="450"/>
      <c r="RRL78" s="447"/>
      <c r="RRM78" s="451"/>
      <c r="RRN78" s="449"/>
      <c r="RRO78" s="450"/>
      <c r="RRP78" s="452"/>
      <c r="RRQ78" s="451"/>
      <c r="RRR78" s="449"/>
      <c r="RRS78" s="450"/>
      <c r="RRT78" s="447"/>
      <c r="RRU78" s="448"/>
      <c r="RRV78" s="453"/>
      <c r="RRW78" s="449"/>
      <c r="RRX78" s="450"/>
      <c r="RRY78" s="454"/>
      <c r="RRZ78" s="448"/>
      <c r="RSB78" s="449"/>
      <c r="RSC78" s="450"/>
      <c r="RSD78" s="452"/>
      <c r="RSE78" s="448"/>
      <c r="RSG78" s="449"/>
      <c r="RSH78" s="450"/>
      <c r="RSI78" s="447"/>
      <c r="RSJ78" s="448"/>
      <c r="RSL78" s="449"/>
      <c r="RSM78" s="450"/>
      <c r="RSN78" s="452"/>
      <c r="RSO78" s="448"/>
      <c r="RSP78" s="449"/>
      <c r="RSQ78" s="450"/>
      <c r="RSR78" s="452"/>
      <c r="RSS78" s="448"/>
      <c r="RST78" s="455"/>
      <c r="RSU78" s="449"/>
      <c r="RSV78" s="450"/>
      <c r="RSW78" s="459"/>
      <c r="RSX78" s="448"/>
      <c r="RSY78" s="456"/>
      <c r="RSZ78" s="449"/>
      <c r="RTA78" s="450"/>
      <c r="RTB78" s="452"/>
      <c r="RTC78" s="448"/>
      <c r="RTD78" s="449"/>
      <c r="RTE78" s="450"/>
      <c r="RTF78" s="452"/>
      <c r="RTG78" s="448"/>
      <c r="RTH78" s="449"/>
      <c r="RTI78" s="450"/>
      <c r="RTJ78" s="447"/>
      <c r="RTK78" s="448"/>
      <c r="RTL78" s="457"/>
      <c r="RTM78" s="460"/>
      <c r="RTN78" s="450"/>
      <c r="RTO78" s="461"/>
      <c r="RTP78" s="448"/>
      <c r="RTQ78" s="456"/>
      <c r="RTR78" s="449"/>
      <c r="RTS78" s="450"/>
      <c r="RTT78" s="452"/>
      <c r="RTU78" s="448"/>
      <c r="RTV78" s="456"/>
      <c r="RTW78" s="458"/>
      <c r="RTX78" s="458"/>
      <c r="RTZ78" s="454"/>
      <c r="RUA78" s="450"/>
      <c r="RUB78" s="454"/>
      <c r="RUC78" s="448"/>
      <c r="RUD78" s="449"/>
      <c r="RUE78" s="450"/>
      <c r="RUF78" s="447"/>
      <c r="RUG78" s="448"/>
      <c r="RUH78" s="449"/>
      <c r="RUI78" s="450"/>
      <c r="RUJ78" s="447"/>
      <c r="RUK78" s="451"/>
      <c r="RUL78" s="449"/>
      <c r="RUM78" s="450"/>
      <c r="RUN78" s="447"/>
      <c r="RUO78" s="451"/>
      <c r="RUP78" s="449"/>
      <c r="RUQ78" s="450"/>
      <c r="RUR78" s="447"/>
      <c r="RUS78" s="451"/>
      <c r="RUT78" s="449"/>
      <c r="RUU78" s="450"/>
      <c r="RUV78" s="452"/>
      <c r="RUW78" s="451"/>
      <c r="RUX78" s="449"/>
      <c r="RUY78" s="450"/>
      <c r="RUZ78" s="447"/>
      <c r="RVA78" s="448"/>
      <c r="RVB78" s="453"/>
      <c r="RVC78" s="449"/>
      <c r="RVD78" s="450"/>
      <c r="RVE78" s="454"/>
      <c r="RVF78" s="448"/>
      <c r="RVH78" s="449"/>
      <c r="RVI78" s="450"/>
      <c r="RVJ78" s="452"/>
      <c r="RVK78" s="448"/>
      <c r="RVM78" s="449"/>
      <c r="RVN78" s="450"/>
      <c r="RVO78" s="447"/>
      <c r="RVP78" s="448"/>
      <c r="RVR78" s="449"/>
      <c r="RVS78" s="450"/>
      <c r="RVT78" s="452"/>
      <c r="RVU78" s="448"/>
      <c r="RVV78" s="449"/>
      <c r="RVW78" s="450"/>
      <c r="RVX78" s="452"/>
      <c r="RVY78" s="448"/>
      <c r="RVZ78" s="455"/>
      <c r="RWA78" s="449"/>
      <c r="RWB78" s="450"/>
      <c r="RWC78" s="459"/>
      <c r="RWD78" s="448"/>
      <c r="RWE78" s="456"/>
      <c r="RWF78" s="449"/>
      <c r="RWG78" s="450"/>
      <c r="RWH78" s="452"/>
      <c r="RWI78" s="448"/>
      <c r="RWJ78" s="449"/>
      <c r="RWK78" s="450"/>
      <c r="RWL78" s="452"/>
      <c r="RWM78" s="448"/>
      <c r="RWN78" s="449"/>
      <c r="RWO78" s="450"/>
      <c r="RWP78" s="447"/>
      <c r="RWQ78" s="448"/>
      <c r="RWR78" s="457"/>
      <c r="RWS78" s="460"/>
      <c r="RWT78" s="450"/>
      <c r="RWU78" s="461"/>
      <c r="RWV78" s="448"/>
      <c r="RWW78" s="456"/>
      <c r="RWX78" s="449"/>
      <c r="RWY78" s="450"/>
      <c r="RWZ78" s="452"/>
      <c r="RXA78" s="448"/>
      <c r="RXB78" s="456"/>
      <c r="RXC78" s="458"/>
      <c r="RXD78" s="458"/>
      <c r="RXF78" s="454"/>
      <c r="RXG78" s="450"/>
      <c r="RXH78" s="454"/>
      <c r="RXI78" s="448"/>
      <c r="RXJ78" s="449"/>
      <c r="RXK78" s="450"/>
      <c r="RXL78" s="447"/>
      <c r="RXM78" s="448"/>
      <c r="RXN78" s="449"/>
      <c r="RXO78" s="450"/>
      <c r="RXP78" s="447"/>
      <c r="RXQ78" s="451"/>
      <c r="RXR78" s="449"/>
      <c r="RXS78" s="450"/>
      <c r="RXT78" s="447"/>
      <c r="RXU78" s="451"/>
      <c r="RXV78" s="449"/>
      <c r="RXW78" s="450"/>
      <c r="RXX78" s="447"/>
      <c r="RXY78" s="451"/>
      <c r="RXZ78" s="449"/>
      <c r="RYA78" s="450"/>
      <c r="RYB78" s="452"/>
      <c r="RYC78" s="451"/>
      <c r="RYD78" s="449"/>
      <c r="RYE78" s="450"/>
      <c r="RYF78" s="447"/>
      <c r="RYG78" s="448"/>
      <c r="RYH78" s="453"/>
      <c r="RYI78" s="449"/>
      <c r="RYJ78" s="450"/>
      <c r="RYK78" s="454"/>
      <c r="RYL78" s="448"/>
      <c r="RYN78" s="449"/>
      <c r="RYO78" s="450"/>
      <c r="RYP78" s="452"/>
      <c r="RYQ78" s="448"/>
      <c r="RYS78" s="449"/>
      <c r="RYT78" s="450"/>
      <c r="RYU78" s="447"/>
      <c r="RYV78" s="448"/>
      <c r="RYX78" s="449"/>
      <c r="RYY78" s="450"/>
      <c r="RYZ78" s="452"/>
      <c r="RZA78" s="448"/>
      <c r="RZB78" s="449"/>
      <c r="RZC78" s="450"/>
      <c r="RZD78" s="452"/>
      <c r="RZE78" s="448"/>
      <c r="RZF78" s="455"/>
      <c r="RZG78" s="449"/>
      <c r="RZH78" s="450"/>
      <c r="RZI78" s="459"/>
      <c r="RZJ78" s="448"/>
      <c r="RZK78" s="456"/>
      <c r="RZL78" s="449"/>
      <c r="RZM78" s="450"/>
      <c r="RZN78" s="452"/>
      <c r="RZO78" s="448"/>
      <c r="RZP78" s="449"/>
      <c r="RZQ78" s="450"/>
      <c r="RZR78" s="452"/>
      <c r="RZS78" s="448"/>
      <c r="RZT78" s="449"/>
      <c r="RZU78" s="450"/>
      <c r="RZV78" s="447"/>
      <c r="RZW78" s="448"/>
      <c r="RZX78" s="457"/>
      <c r="RZY78" s="460"/>
      <c r="RZZ78" s="450"/>
      <c r="SAA78" s="461"/>
      <c r="SAB78" s="448"/>
      <c r="SAC78" s="456"/>
      <c r="SAD78" s="449"/>
      <c r="SAE78" s="450"/>
      <c r="SAF78" s="452"/>
      <c r="SAG78" s="448"/>
      <c r="SAH78" s="456"/>
      <c r="SAI78" s="458"/>
      <c r="SAJ78" s="458"/>
      <c r="SAL78" s="454"/>
      <c r="SAM78" s="450"/>
      <c r="SAN78" s="454"/>
      <c r="SAO78" s="448"/>
      <c r="SAP78" s="449"/>
      <c r="SAQ78" s="450"/>
      <c r="SAR78" s="447"/>
      <c r="SAS78" s="448"/>
      <c r="SAT78" s="449"/>
      <c r="SAU78" s="450"/>
      <c r="SAV78" s="447"/>
      <c r="SAW78" s="451"/>
      <c r="SAX78" s="449"/>
      <c r="SAY78" s="450"/>
      <c r="SAZ78" s="447"/>
      <c r="SBA78" s="451"/>
      <c r="SBB78" s="449"/>
      <c r="SBC78" s="450"/>
      <c r="SBD78" s="447"/>
      <c r="SBE78" s="451"/>
      <c r="SBF78" s="449"/>
      <c r="SBG78" s="450"/>
      <c r="SBH78" s="452"/>
      <c r="SBI78" s="451"/>
      <c r="SBJ78" s="449"/>
      <c r="SBK78" s="450"/>
      <c r="SBL78" s="447"/>
      <c r="SBM78" s="448"/>
      <c r="SBN78" s="453"/>
      <c r="SBO78" s="449"/>
      <c r="SBP78" s="450"/>
      <c r="SBQ78" s="454"/>
      <c r="SBR78" s="448"/>
      <c r="SBT78" s="449"/>
      <c r="SBU78" s="450"/>
      <c r="SBV78" s="452"/>
      <c r="SBW78" s="448"/>
      <c r="SBY78" s="449"/>
      <c r="SBZ78" s="450"/>
      <c r="SCA78" s="447"/>
      <c r="SCB78" s="448"/>
      <c r="SCD78" s="449"/>
      <c r="SCE78" s="450"/>
      <c r="SCF78" s="452"/>
      <c r="SCG78" s="448"/>
      <c r="SCH78" s="449"/>
      <c r="SCI78" s="450"/>
      <c r="SCJ78" s="452"/>
      <c r="SCK78" s="448"/>
      <c r="SCL78" s="455"/>
      <c r="SCM78" s="449"/>
      <c r="SCN78" s="450"/>
      <c r="SCO78" s="459"/>
      <c r="SCP78" s="448"/>
      <c r="SCQ78" s="456"/>
      <c r="SCR78" s="449"/>
      <c r="SCS78" s="450"/>
      <c r="SCT78" s="452"/>
      <c r="SCU78" s="448"/>
      <c r="SCV78" s="449"/>
      <c r="SCW78" s="450"/>
      <c r="SCX78" s="452"/>
      <c r="SCY78" s="448"/>
      <c r="SCZ78" s="449"/>
      <c r="SDA78" s="450"/>
      <c r="SDB78" s="447"/>
      <c r="SDC78" s="448"/>
      <c r="SDD78" s="457"/>
      <c r="SDE78" s="460"/>
      <c r="SDF78" s="450"/>
      <c r="SDG78" s="461"/>
      <c r="SDH78" s="448"/>
      <c r="SDI78" s="456"/>
      <c r="SDJ78" s="449"/>
      <c r="SDK78" s="450"/>
      <c r="SDL78" s="452"/>
      <c r="SDM78" s="448"/>
      <c r="SDN78" s="456"/>
      <c r="SDO78" s="458"/>
      <c r="SDP78" s="458"/>
      <c r="SDR78" s="454"/>
      <c r="SDS78" s="450"/>
      <c r="SDT78" s="454"/>
      <c r="SDU78" s="448"/>
      <c r="SDV78" s="449"/>
      <c r="SDW78" s="450"/>
      <c r="SDX78" s="447"/>
      <c r="SDY78" s="448"/>
      <c r="SDZ78" s="449"/>
      <c r="SEA78" s="450"/>
      <c r="SEB78" s="447"/>
      <c r="SEC78" s="451"/>
      <c r="SED78" s="449"/>
      <c r="SEE78" s="450"/>
      <c r="SEF78" s="447"/>
      <c r="SEG78" s="451"/>
      <c r="SEH78" s="449"/>
      <c r="SEI78" s="450"/>
      <c r="SEJ78" s="447"/>
      <c r="SEK78" s="451"/>
      <c r="SEL78" s="449"/>
      <c r="SEM78" s="450"/>
      <c r="SEN78" s="452"/>
      <c r="SEO78" s="451"/>
      <c r="SEP78" s="449"/>
      <c r="SEQ78" s="450"/>
      <c r="SER78" s="447"/>
      <c r="SES78" s="448"/>
      <c r="SET78" s="453"/>
      <c r="SEU78" s="449"/>
      <c r="SEV78" s="450"/>
      <c r="SEW78" s="454"/>
      <c r="SEX78" s="448"/>
      <c r="SEZ78" s="449"/>
      <c r="SFA78" s="450"/>
      <c r="SFB78" s="452"/>
      <c r="SFC78" s="448"/>
      <c r="SFE78" s="449"/>
      <c r="SFF78" s="450"/>
      <c r="SFG78" s="447"/>
      <c r="SFH78" s="448"/>
      <c r="SFJ78" s="449"/>
      <c r="SFK78" s="450"/>
      <c r="SFL78" s="452"/>
      <c r="SFM78" s="448"/>
      <c r="SFN78" s="449"/>
      <c r="SFO78" s="450"/>
      <c r="SFP78" s="452"/>
      <c r="SFQ78" s="448"/>
      <c r="SFR78" s="455"/>
      <c r="SFS78" s="449"/>
      <c r="SFT78" s="450"/>
      <c r="SFU78" s="459"/>
      <c r="SFV78" s="448"/>
      <c r="SFW78" s="456"/>
      <c r="SFX78" s="449"/>
      <c r="SFY78" s="450"/>
      <c r="SFZ78" s="452"/>
      <c r="SGA78" s="448"/>
      <c r="SGB78" s="449"/>
      <c r="SGC78" s="450"/>
      <c r="SGD78" s="452"/>
      <c r="SGE78" s="448"/>
      <c r="SGF78" s="449"/>
      <c r="SGG78" s="450"/>
      <c r="SGH78" s="447"/>
      <c r="SGI78" s="448"/>
      <c r="SGJ78" s="457"/>
      <c r="SGK78" s="460"/>
      <c r="SGL78" s="450"/>
      <c r="SGM78" s="461"/>
      <c r="SGN78" s="448"/>
      <c r="SGO78" s="456"/>
      <c r="SGP78" s="449"/>
      <c r="SGQ78" s="450"/>
      <c r="SGR78" s="452"/>
      <c r="SGS78" s="448"/>
      <c r="SGT78" s="456"/>
      <c r="SGU78" s="458"/>
      <c r="SGV78" s="458"/>
      <c r="SGX78" s="454"/>
      <c r="SGY78" s="450"/>
      <c r="SGZ78" s="454"/>
      <c r="SHA78" s="448"/>
      <c r="SHB78" s="449"/>
      <c r="SHC78" s="450"/>
      <c r="SHD78" s="447"/>
      <c r="SHE78" s="448"/>
      <c r="SHF78" s="449"/>
      <c r="SHG78" s="450"/>
      <c r="SHH78" s="447"/>
      <c r="SHI78" s="451"/>
      <c r="SHJ78" s="449"/>
      <c r="SHK78" s="450"/>
      <c r="SHL78" s="447"/>
      <c r="SHM78" s="451"/>
      <c r="SHN78" s="449"/>
      <c r="SHO78" s="450"/>
      <c r="SHP78" s="447"/>
      <c r="SHQ78" s="451"/>
      <c r="SHR78" s="449"/>
      <c r="SHS78" s="450"/>
      <c r="SHT78" s="452"/>
      <c r="SHU78" s="451"/>
      <c r="SHV78" s="449"/>
      <c r="SHW78" s="450"/>
      <c r="SHX78" s="447"/>
      <c r="SHY78" s="448"/>
      <c r="SHZ78" s="453"/>
      <c r="SIA78" s="449"/>
      <c r="SIB78" s="450"/>
      <c r="SIC78" s="454"/>
      <c r="SID78" s="448"/>
      <c r="SIF78" s="449"/>
      <c r="SIG78" s="450"/>
      <c r="SIH78" s="452"/>
      <c r="SII78" s="448"/>
      <c r="SIK78" s="449"/>
      <c r="SIL78" s="450"/>
      <c r="SIM78" s="447"/>
      <c r="SIN78" s="448"/>
      <c r="SIP78" s="449"/>
      <c r="SIQ78" s="450"/>
      <c r="SIR78" s="452"/>
      <c r="SIS78" s="448"/>
      <c r="SIT78" s="449"/>
      <c r="SIU78" s="450"/>
      <c r="SIV78" s="452"/>
      <c r="SIW78" s="448"/>
      <c r="SIX78" s="455"/>
      <c r="SIY78" s="449"/>
      <c r="SIZ78" s="450"/>
      <c r="SJA78" s="459"/>
      <c r="SJB78" s="448"/>
      <c r="SJC78" s="456"/>
      <c r="SJD78" s="449"/>
      <c r="SJE78" s="450"/>
      <c r="SJF78" s="452"/>
      <c r="SJG78" s="448"/>
      <c r="SJH78" s="449"/>
      <c r="SJI78" s="450"/>
      <c r="SJJ78" s="452"/>
      <c r="SJK78" s="448"/>
      <c r="SJL78" s="449"/>
      <c r="SJM78" s="450"/>
      <c r="SJN78" s="447"/>
      <c r="SJO78" s="448"/>
      <c r="SJP78" s="457"/>
      <c r="SJQ78" s="460"/>
      <c r="SJR78" s="450"/>
      <c r="SJS78" s="461"/>
      <c r="SJT78" s="448"/>
      <c r="SJU78" s="456"/>
      <c r="SJV78" s="449"/>
      <c r="SJW78" s="450"/>
      <c r="SJX78" s="452"/>
      <c r="SJY78" s="448"/>
      <c r="SJZ78" s="456"/>
      <c r="SKA78" s="458"/>
      <c r="SKB78" s="458"/>
      <c r="SKD78" s="454"/>
      <c r="SKE78" s="450"/>
      <c r="SKF78" s="454"/>
      <c r="SKG78" s="448"/>
      <c r="SKH78" s="449"/>
      <c r="SKI78" s="450"/>
      <c r="SKJ78" s="447"/>
      <c r="SKK78" s="448"/>
      <c r="SKL78" s="449"/>
      <c r="SKM78" s="450"/>
      <c r="SKN78" s="447"/>
      <c r="SKO78" s="451"/>
      <c r="SKP78" s="449"/>
      <c r="SKQ78" s="450"/>
      <c r="SKR78" s="447"/>
      <c r="SKS78" s="451"/>
      <c r="SKT78" s="449"/>
      <c r="SKU78" s="450"/>
      <c r="SKV78" s="447"/>
      <c r="SKW78" s="451"/>
      <c r="SKX78" s="449"/>
      <c r="SKY78" s="450"/>
      <c r="SKZ78" s="452"/>
      <c r="SLA78" s="451"/>
      <c r="SLB78" s="449"/>
      <c r="SLC78" s="450"/>
      <c r="SLD78" s="447"/>
      <c r="SLE78" s="448"/>
      <c r="SLF78" s="453"/>
      <c r="SLG78" s="449"/>
      <c r="SLH78" s="450"/>
      <c r="SLI78" s="454"/>
      <c r="SLJ78" s="448"/>
      <c r="SLL78" s="449"/>
      <c r="SLM78" s="450"/>
      <c r="SLN78" s="452"/>
      <c r="SLO78" s="448"/>
      <c r="SLQ78" s="449"/>
      <c r="SLR78" s="450"/>
      <c r="SLS78" s="447"/>
      <c r="SLT78" s="448"/>
      <c r="SLV78" s="449"/>
      <c r="SLW78" s="450"/>
      <c r="SLX78" s="452"/>
      <c r="SLY78" s="448"/>
      <c r="SLZ78" s="449"/>
      <c r="SMA78" s="450"/>
      <c r="SMB78" s="452"/>
      <c r="SMC78" s="448"/>
      <c r="SMD78" s="455"/>
      <c r="SME78" s="449"/>
      <c r="SMF78" s="450"/>
      <c r="SMG78" s="459"/>
      <c r="SMH78" s="448"/>
      <c r="SMI78" s="456"/>
      <c r="SMJ78" s="449"/>
      <c r="SMK78" s="450"/>
      <c r="SML78" s="452"/>
      <c r="SMM78" s="448"/>
      <c r="SMN78" s="449"/>
      <c r="SMO78" s="450"/>
      <c r="SMP78" s="452"/>
      <c r="SMQ78" s="448"/>
      <c r="SMR78" s="449"/>
      <c r="SMS78" s="450"/>
      <c r="SMT78" s="447"/>
      <c r="SMU78" s="448"/>
      <c r="SMV78" s="457"/>
      <c r="SMW78" s="460"/>
      <c r="SMX78" s="450"/>
      <c r="SMY78" s="461"/>
      <c r="SMZ78" s="448"/>
      <c r="SNA78" s="456"/>
      <c r="SNB78" s="449"/>
      <c r="SNC78" s="450"/>
      <c r="SND78" s="452"/>
      <c r="SNE78" s="448"/>
      <c r="SNF78" s="456"/>
      <c r="SNG78" s="458"/>
      <c r="SNH78" s="458"/>
      <c r="SNJ78" s="454"/>
      <c r="SNK78" s="450"/>
      <c r="SNL78" s="454"/>
      <c r="SNM78" s="448"/>
      <c r="SNN78" s="449"/>
      <c r="SNO78" s="450"/>
      <c r="SNP78" s="447"/>
      <c r="SNQ78" s="448"/>
      <c r="SNR78" s="449"/>
      <c r="SNS78" s="450"/>
      <c r="SNT78" s="447"/>
      <c r="SNU78" s="451"/>
      <c r="SNV78" s="449"/>
      <c r="SNW78" s="450"/>
      <c r="SNX78" s="447"/>
      <c r="SNY78" s="451"/>
      <c r="SNZ78" s="449"/>
      <c r="SOA78" s="450"/>
      <c r="SOB78" s="447"/>
      <c r="SOC78" s="451"/>
      <c r="SOD78" s="449"/>
      <c r="SOE78" s="450"/>
      <c r="SOF78" s="452"/>
      <c r="SOG78" s="451"/>
      <c r="SOH78" s="449"/>
      <c r="SOI78" s="450"/>
      <c r="SOJ78" s="447"/>
      <c r="SOK78" s="448"/>
      <c r="SOL78" s="453"/>
      <c r="SOM78" s="449"/>
      <c r="SON78" s="450"/>
      <c r="SOO78" s="454"/>
      <c r="SOP78" s="448"/>
      <c r="SOR78" s="449"/>
      <c r="SOS78" s="450"/>
      <c r="SOT78" s="452"/>
      <c r="SOU78" s="448"/>
      <c r="SOW78" s="449"/>
      <c r="SOX78" s="450"/>
      <c r="SOY78" s="447"/>
      <c r="SOZ78" s="448"/>
      <c r="SPB78" s="449"/>
      <c r="SPC78" s="450"/>
      <c r="SPD78" s="452"/>
      <c r="SPE78" s="448"/>
      <c r="SPF78" s="449"/>
      <c r="SPG78" s="450"/>
      <c r="SPH78" s="452"/>
      <c r="SPI78" s="448"/>
      <c r="SPJ78" s="455"/>
      <c r="SPK78" s="449"/>
      <c r="SPL78" s="450"/>
      <c r="SPM78" s="459"/>
      <c r="SPN78" s="448"/>
      <c r="SPO78" s="456"/>
      <c r="SPP78" s="449"/>
      <c r="SPQ78" s="450"/>
      <c r="SPR78" s="452"/>
      <c r="SPS78" s="448"/>
      <c r="SPT78" s="449"/>
      <c r="SPU78" s="450"/>
      <c r="SPV78" s="452"/>
      <c r="SPW78" s="448"/>
      <c r="SPX78" s="449"/>
      <c r="SPY78" s="450"/>
      <c r="SPZ78" s="447"/>
      <c r="SQA78" s="448"/>
      <c r="SQB78" s="457"/>
      <c r="SQC78" s="460"/>
      <c r="SQD78" s="450"/>
      <c r="SQE78" s="461"/>
      <c r="SQF78" s="448"/>
      <c r="SQG78" s="456"/>
      <c r="SQH78" s="449"/>
      <c r="SQI78" s="450"/>
      <c r="SQJ78" s="452"/>
      <c r="SQK78" s="448"/>
      <c r="SQL78" s="456"/>
      <c r="SQM78" s="458"/>
      <c r="SQN78" s="458"/>
      <c r="SQP78" s="454"/>
      <c r="SQQ78" s="450"/>
      <c r="SQR78" s="454"/>
      <c r="SQS78" s="448"/>
      <c r="SQT78" s="449"/>
      <c r="SQU78" s="450"/>
      <c r="SQV78" s="447"/>
      <c r="SQW78" s="448"/>
      <c r="SQX78" s="449"/>
      <c r="SQY78" s="450"/>
      <c r="SQZ78" s="447"/>
      <c r="SRA78" s="451"/>
      <c r="SRB78" s="449"/>
      <c r="SRC78" s="450"/>
      <c r="SRD78" s="447"/>
      <c r="SRE78" s="451"/>
      <c r="SRF78" s="449"/>
      <c r="SRG78" s="450"/>
      <c r="SRH78" s="447"/>
      <c r="SRI78" s="451"/>
      <c r="SRJ78" s="449"/>
      <c r="SRK78" s="450"/>
      <c r="SRL78" s="452"/>
      <c r="SRM78" s="451"/>
      <c r="SRN78" s="449"/>
      <c r="SRO78" s="450"/>
      <c r="SRP78" s="447"/>
      <c r="SRQ78" s="448"/>
      <c r="SRR78" s="453"/>
      <c r="SRS78" s="449"/>
      <c r="SRT78" s="450"/>
      <c r="SRU78" s="454"/>
      <c r="SRV78" s="448"/>
      <c r="SRX78" s="449"/>
      <c r="SRY78" s="450"/>
      <c r="SRZ78" s="452"/>
      <c r="SSA78" s="448"/>
      <c r="SSC78" s="449"/>
      <c r="SSD78" s="450"/>
      <c r="SSE78" s="447"/>
      <c r="SSF78" s="448"/>
      <c r="SSH78" s="449"/>
      <c r="SSI78" s="450"/>
      <c r="SSJ78" s="452"/>
      <c r="SSK78" s="448"/>
      <c r="SSL78" s="449"/>
      <c r="SSM78" s="450"/>
      <c r="SSN78" s="452"/>
      <c r="SSO78" s="448"/>
      <c r="SSP78" s="455"/>
      <c r="SSQ78" s="449"/>
      <c r="SSR78" s="450"/>
      <c r="SSS78" s="459"/>
      <c r="SST78" s="448"/>
      <c r="SSU78" s="456"/>
      <c r="SSV78" s="449"/>
      <c r="SSW78" s="450"/>
      <c r="SSX78" s="452"/>
      <c r="SSY78" s="448"/>
      <c r="SSZ78" s="449"/>
      <c r="STA78" s="450"/>
      <c r="STB78" s="452"/>
      <c r="STC78" s="448"/>
      <c r="STD78" s="449"/>
      <c r="STE78" s="450"/>
      <c r="STF78" s="447"/>
      <c r="STG78" s="448"/>
      <c r="STH78" s="457"/>
      <c r="STI78" s="460"/>
      <c r="STJ78" s="450"/>
      <c r="STK78" s="461"/>
      <c r="STL78" s="448"/>
      <c r="STM78" s="456"/>
      <c r="STN78" s="449"/>
      <c r="STO78" s="450"/>
      <c r="STP78" s="452"/>
      <c r="STQ78" s="448"/>
      <c r="STR78" s="456"/>
      <c r="STS78" s="458"/>
      <c r="STT78" s="458"/>
      <c r="STV78" s="454"/>
      <c r="STW78" s="450"/>
      <c r="STX78" s="454"/>
      <c r="STY78" s="448"/>
      <c r="STZ78" s="449"/>
      <c r="SUA78" s="450"/>
      <c r="SUB78" s="447"/>
      <c r="SUC78" s="448"/>
      <c r="SUD78" s="449"/>
      <c r="SUE78" s="450"/>
      <c r="SUF78" s="447"/>
      <c r="SUG78" s="451"/>
      <c r="SUH78" s="449"/>
      <c r="SUI78" s="450"/>
      <c r="SUJ78" s="447"/>
      <c r="SUK78" s="451"/>
      <c r="SUL78" s="449"/>
      <c r="SUM78" s="450"/>
      <c r="SUN78" s="447"/>
      <c r="SUO78" s="451"/>
      <c r="SUP78" s="449"/>
      <c r="SUQ78" s="450"/>
      <c r="SUR78" s="452"/>
      <c r="SUS78" s="451"/>
      <c r="SUT78" s="449"/>
      <c r="SUU78" s="450"/>
      <c r="SUV78" s="447"/>
      <c r="SUW78" s="448"/>
      <c r="SUX78" s="453"/>
      <c r="SUY78" s="449"/>
      <c r="SUZ78" s="450"/>
      <c r="SVA78" s="454"/>
      <c r="SVB78" s="448"/>
      <c r="SVD78" s="449"/>
      <c r="SVE78" s="450"/>
      <c r="SVF78" s="452"/>
      <c r="SVG78" s="448"/>
      <c r="SVI78" s="449"/>
      <c r="SVJ78" s="450"/>
      <c r="SVK78" s="447"/>
      <c r="SVL78" s="448"/>
      <c r="SVN78" s="449"/>
      <c r="SVO78" s="450"/>
      <c r="SVP78" s="452"/>
      <c r="SVQ78" s="448"/>
      <c r="SVR78" s="449"/>
      <c r="SVS78" s="450"/>
      <c r="SVT78" s="452"/>
      <c r="SVU78" s="448"/>
      <c r="SVV78" s="455"/>
      <c r="SVW78" s="449"/>
      <c r="SVX78" s="450"/>
      <c r="SVY78" s="459"/>
      <c r="SVZ78" s="448"/>
      <c r="SWA78" s="456"/>
      <c r="SWB78" s="449"/>
      <c r="SWC78" s="450"/>
      <c r="SWD78" s="452"/>
      <c r="SWE78" s="448"/>
      <c r="SWF78" s="449"/>
      <c r="SWG78" s="450"/>
      <c r="SWH78" s="452"/>
      <c r="SWI78" s="448"/>
      <c r="SWJ78" s="449"/>
      <c r="SWK78" s="450"/>
      <c r="SWL78" s="447"/>
      <c r="SWM78" s="448"/>
      <c r="SWN78" s="457"/>
      <c r="SWO78" s="460"/>
      <c r="SWP78" s="450"/>
      <c r="SWQ78" s="461"/>
      <c r="SWR78" s="448"/>
      <c r="SWS78" s="456"/>
      <c r="SWT78" s="449"/>
      <c r="SWU78" s="450"/>
      <c r="SWV78" s="452"/>
      <c r="SWW78" s="448"/>
      <c r="SWX78" s="456"/>
      <c r="SWY78" s="458"/>
      <c r="SWZ78" s="458"/>
      <c r="SXB78" s="454"/>
      <c r="SXC78" s="450"/>
      <c r="SXD78" s="454"/>
      <c r="SXE78" s="448"/>
      <c r="SXF78" s="449"/>
      <c r="SXG78" s="450"/>
      <c r="SXH78" s="447"/>
      <c r="SXI78" s="448"/>
      <c r="SXJ78" s="449"/>
      <c r="SXK78" s="450"/>
      <c r="SXL78" s="447"/>
      <c r="SXM78" s="451"/>
      <c r="SXN78" s="449"/>
      <c r="SXO78" s="450"/>
      <c r="SXP78" s="447"/>
      <c r="SXQ78" s="451"/>
      <c r="SXR78" s="449"/>
      <c r="SXS78" s="450"/>
      <c r="SXT78" s="447"/>
      <c r="SXU78" s="451"/>
      <c r="SXV78" s="449"/>
      <c r="SXW78" s="450"/>
      <c r="SXX78" s="452"/>
      <c r="SXY78" s="451"/>
      <c r="SXZ78" s="449"/>
      <c r="SYA78" s="450"/>
      <c r="SYB78" s="447"/>
      <c r="SYC78" s="448"/>
      <c r="SYD78" s="453"/>
      <c r="SYE78" s="449"/>
      <c r="SYF78" s="450"/>
      <c r="SYG78" s="454"/>
      <c r="SYH78" s="448"/>
      <c r="SYJ78" s="449"/>
      <c r="SYK78" s="450"/>
      <c r="SYL78" s="452"/>
      <c r="SYM78" s="448"/>
      <c r="SYO78" s="449"/>
      <c r="SYP78" s="450"/>
      <c r="SYQ78" s="447"/>
      <c r="SYR78" s="448"/>
      <c r="SYT78" s="449"/>
      <c r="SYU78" s="450"/>
      <c r="SYV78" s="452"/>
      <c r="SYW78" s="448"/>
      <c r="SYX78" s="449"/>
      <c r="SYY78" s="450"/>
      <c r="SYZ78" s="452"/>
      <c r="SZA78" s="448"/>
      <c r="SZB78" s="455"/>
      <c r="SZC78" s="449"/>
      <c r="SZD78" s="450"/>
      <c r="SZE78" s="459"/>
      <c r="SZF78" s="448"/>
      <c r="SZG78" s="456"/>
      <c r="SZH78" s="449"/>
      <c r="SZI78" s="450"/>
      <c r="SZJ78" s="452"/>
      <c r="SZK78" s="448"/>
      <c r="SZL78" s="449"/>
      <c r="SZM78" s="450"/>
      <c r="SZN78" s="452"/>
      <c r="SZO78" s="448"/>
      <c r="SZP78" s="449"/>
      <c r="SZQ78" s="450"/>
      <c r="SZR78" s="447"/>
      <c r="SZS78" s="448"/>
      <c r="SZT78" s="457"/>
      <c r="SZU78" s="460"/>
      <c r="SZV78" s="450"/>
      <c r="SZW78" s="461"/>
      <c r="SZX78" s="448"/>
      <c r="SZY78" s="456"/>
      <c r="SZZ78" s="449"/>
      <c r="TAA78" s="450"/>
      <c r="TAB78" s="452"/>
      <c r="TAC78" s="448"/>
      <c r="TAD78" s="456"/>
      <c r="TAE78" s="458"/>
      <c r="TAF78" s="458"/>
      <c r="TAH78" s="454"/>
      <c r="TAI78" s="450"/>
      <c r="TAJ78" s="454"/>
      <c r="TAK78" s="448"/>
      <c r="TAL78" s="449"/>
      <c r="TAM78" s="450"/>
      <c r="TAN78" s="447"/>
      <c r="TAO78" s="448"/>
      <c r="TAP78" s="449"/>
      <c r="TAQ78" s="450"/>
      <c r="TAR78" s="447"/>
      <c r="TAS78" s="451"/>
      <c r="TAT78" s="449"/>
      <c r="TAU78" s="450"/>
      <c r="TAV78" s="447"/>
      <c r="TAW78" s="451"/>
      <c r="TAX78" s="449"/>
      <c r="TAY78" s="450"/>
      <c r="TAZ78" s="447"/>
      <c r="TBA78" s="451"/>
      <c r="TBB78" s="449"/>
      <c r="TBC78" s="450"/>
      <c r="TBD78" s="452"/>
      <c r="TBE78" s="451"/>
      <c r="TBF78" s="449"/>
      <c r="TBG78" s="450"/>
      <c r="TBH78" s="447"/>
      <c r="TBI78" s="448"/>
      <c r="TBJ78" s="453"/>
      <c r="TBK78" s="449"/>
      <c r="TBL78" s="450"/>
      <c r="TBM78" s="454"/>
      <c r="TBN78" s="448"/>
      <c r="TBP78" s="449"/>
      <c r="TBQ78" s="450"/>
      <c r="TBR78" s="452"/>
      <c r="TBS78" s="448"/>
      <c r="TBU78" s="449"/>
      <c r="TBV78" s="450"/>
      <c r="TBW78" s="447"/>
      <c r="TBX78" s="448"/>
      <c r="TBZ78" s="449"/>
      <c r="TCA78" s="450"/>
      <c r="TCB78" s="452"/>
      <c r="TCC78" s="448"/>
      <c r="TCD78" s="449"/>
      <c r="TCE78" s="450"/>
      <c r="TCF78" s="452"/>
      <c r="TCG78" s="448"/>
      <c r="TCH78" s="455"/>
      <c r="TCI78" s="449"/>
      <c r="TCJ78" s="450"/>
      <c r="TCK78" s="459"/>
      <c r="TCL78" s="448"/>
      <c r="TCM78" s="456"/>
      <c r="TCN78" s="449"/>
      <c r="TCO78" s="450"/>
      <c r="TCP78" s="452"/>
      <c r="TCQ78" s="448"/>
      <c r="TCR78" s="449"/>
      <c r="TCS78" s="450"/>
      <c r="TCT78" s="452"/>
      <c r="TCU78" s="448"/>
      <c r="TCV78" s="449"/>
      <c r="TCW78" s="450"/>
      <c r="TCX78" s="447"/>
      <c r="TCY78" s="448"/>
      <c r="TCZ78" s="457"/>
      <c r="TDA78" s="460"/>
      <c r="TDB78" s="450"/>
      <c r="TDC78" s="461"/>
      <c r="TDD78" s="448"/>
      <c r="TDE78" s="456"/>
      <c r="TDF78" s="449"/>
      <c r="TDG78" s="450"/>
      <c r="TDH78" s="452"/>
      <c r="TDI78" s="448"/>
      <c r="TDJ78" s="456"/>
      <c r="TDK78" s="458"/>
      <c r="TDL78" s="458"/>
      <c r="TDN78" s="454"/>
      <c r="TDO78" s="450"/>
      <c r="TDP78" s="454"/>
      <c r="TDQ78" s="448"/>
      <c r="TDR78" s="449"/>
      <c r="TDS78" s="450"/>
      <c r="TDT78" s="447"/>
      <c r="TDU78" s="448"/>
      <c r="TDV78" s="449"/>
      <c r="TDW78" s="450"/>
      <c r="TDX78" s="447"/>
      <c r="TDY78" s="451"/>
      <c r="TDZ78" s="449"/>
      <c r="TEA78" s="450"/>
      <c r="TEB78" s="447"/>
      <c r="TEC78" s="451"/>
      <c r="TED78" s="449"/>
      <c r="TEE78" s="450"/>
      <c r="TEF78" s="447"/>
      <c r="TEG78" s="451"/>
      <c r="TEH78" s="449"/>
      <c r="TEI78" s="450"/>
      <c r="TEJ78" s="452"/>
      <c r="TEK78" s="451"/>
      <c r="TEL78" s="449"/>
      <c r="TEM78" s="450"/>
      <c r="TEN78" s="447"/>
      <c r="TEO78" s="448"/>
      <c r="TEP78" s="453"/>
      <c r="TEQ78" s="449"/>
      <c r="TER78" s="450"/>
      <c r="TES78" s="454"/>
      <c r="TET78" s="448"/>
      <c r="TEV78" s="449"/>
      <c r="TEW78" s="450"/>
      <c r="TEX78" s="452"/>
      <c r="TEY78" s="448"/>
      <c r="TFA78" s="449"/>
      <c r="TFB78" s="450"/>
      <c r="TFC78" s="447"/>
      <c r="TFD78" s="448"/>
      <c r="TFF78" s="449"/>
      <c r="TFG78" s="450"/>
      <c r="TFH78" s="452"/>
      <c r="TFI78" s="448"/>
      <c r="TFJ78" s="449"/>
      <c r="TFK78" s="450"/>
      <c r="TFL78" s="452"/>
      <c r="TFM78" s="448"/>
      <c r="TFN78" s="455"/>
      <c r="TFO78" s="449"/>
      <c r="TFP78" s="450"/>
      <c r="TFQ78" s="459"/>
      <c r="TFR78" s="448"/>
      <c r="TFS78" s="456"/>
      <c r="TFT78" s="449"/>
      <c r="TFU78" s="450"/>
      <c r="TFV78" s="452"/>
      <c r="TFW78" s="448"/>
      <c r="TFX78" s="449"/>
      <c r="TFY78" s="450"/>
      <c r="TFZ78" s="452"/>
      <c r="TGA78" s="448"/>
      <c r="TGB78" s="449"/>
      <c r="TGC78" s="450"/>
      <c r="TGD78" s="447"/>
      <c r="TGE78" s="448"/>
      <c r="TGF78" s="457"/>
      <c r="TGG78" s="460"/>
      <c r="TGH78" s="450"/>
      <c r="TGI78" s="461"/>
      <c r="TGJ78" s="448"/>
      <c r="TGK78" s="456"/>
      <c r="TGL78" s="449"/>
      <c r="TGM78" s="450"/>
      <c r="TGN78" s="452"/>
      <c r="TGO78" s="448"/>
      <c r="TGP78" s="456"/>
      <c r="TGQ78" s="458"/>
      <c r="TGR78" s="458"/>
      <c r="TGT78" s="454"/>
      <c r="TGU78" s="450"/>
      <c r="TGV78" s="454"/>
      <c r="TGW78" s="448"/>
      <c r="TGX78" s="449"/>
      <c r="TGY78" s="450"/>
      <c r="TGZ78" s="447"/>
      <c r="THA78" s="448"/>
      <c r="THB78" s="449"/>
      <c r="THC78" s="450"/>
      <c r="THD78" s="447"/>
      <c r="THE78" s="451"/>
      <c r="THF78" s="449"/>
      <c r="THG78" s="450"/>
      <c r="THH78" s="447"/>
      <c r="THI78" s="451"/>
      <c r="THJ78" s="449"/>
      <c r="THK78" s="450"/>
      <c r="THL78" s="447"/>
      <c r="THM78" s="451"/>
      <c r="THN78" s="449"/>
      <c r="THO78" s="450"/>
      <c r="THP78" s="452"/>
      <c r="THQ78" s="451"/>
      <c r="THR78" s="449"/>
      <c r="THS78" s="450"/>
      <c r="THT78" s="447"/>
      <c r="THU78" s="448"/>
      <c r="THV78" s="453"/>
      <c r="THW78" s="449"/>
      <c r="THX78" s="450"/>
      <c r="THY78" s="454"/>
      <c r="THZ78" s="448"/>
      <c r="TIB78" s="449"/>
      <c r="TIC78" s="450"/>
      <c r="TID78" s="452"/>
      <c r="TIE78" s="448"/>
      <c r="TIG78" s="449"/>
      <c r="TIH78" s="450"/>
      <c r="TII78" s="447"/>
      <c r="TIJ78" s="448"/>
      <c r="TIL78" s="449"/>
      <c r="TIM78" s="450"/>
      <c r="TIN78" s="452"/>
      <c r="TIO78" s="448"/>
      <c r="TIP78" s="449"/>
      <c r="TIQ78" s="450"/>
      <c r="TIR78" s="452"/>
      <c r="TIS78" s="448"/>
      <c r="TIT78" s="455"/>
      <c r="TIU78" s="449"/>
      <c r="TIV78" s="450"/>
      <c r="TIW78" s="459"/>
      <c r="TIX78" s="448"/>
      <c r="TIY78" s="456"/>
      <c r="TIZ78" s="449"/>
      <c r="TJA78" s="450"/>
      <c r="TJB78" s="452"/>
      <c r="TJC78" s="448"/>
      <c r="TJD78" s="449"/>
      <c r="TJE78" s="450"/>
      <c r="TJF78" s="452"/>
      <c r="TJG78" s="448"/>
      <c r="TJH78" s="449"/>
      <c r="TJI78" s="450"/>
      <c r="TJJ78" s="447"/>
      <c r="TJK78" s="448"/>
      <c r="TJL78" s="457"/>
      <c r="TJM78" s="460"/>
      <c r="TJN78" s="450"/>
      <c r="TJO78" s="461"/>
      <c r="TJP78" s="448"/>
      <c r="TJQ78" s="456"/>
      <c r="TJR78" s="449"/>
      <c r="TJS78" s="450"/>
      <c r="TJT78" s="452"/>
      <c r="TJU78" s="448"/>
      <c r="TJV78" s="456"/>
      <c r="TJW78" s="458"/>
      <c r="TJX78" s="458"/>
      <c r="TJZ78" s="454"/>
      <c r="TKA78" s="450"/>
      <c r="TKB78" s="454"/>
      <c r="TKC78" s="448"/>
      <c r="TKD78" s="449"/>
      <c r="TKE78" s="450"/>
      <c r="TKF78" s="447"/>
      <c r="TKG78" s="448"/>
      <c r="TKH78" s="449"/>
      <c r="TKI78" s="450"/>
      <c r="TKJ78" s="447"/>
      <c r="TKK78" s="451"/>
      <c r="TKL78" s="449"/>
      <c r="TKM78" s="450"/>
      <c r="TKN78" s="447"/>
      <c r="TKO78" s="451"/>
      <c r="TKP78" s="449"/>
      <c r="TKQ78" s="450"/>
      <c r="TKR78" s="447"/>
      <c r="TKS78" s="451"/>
      <c r="TKT78" s="449"/>
      <c r="TKU78" s="450"/>
      <c r="TKV78" s="452"/>
      <c r="TKW78" s="451"/>
      <c r="TKX78" s="449"/>
      <c r="TKY78" s="450"/>
      <c r="TKZ78" s="447"/>
      <c r="TLA78" s="448"/>
      <c r="TLB78" s="453"/>
      <c r="TLC78" s="449"/>
      <c r="TLD78" s="450"/>
      <c r="TLE78" s="454"/>
      <c r="TLF78" s="448"/>
      <c r="TLH78" s="449"/>
      <c r="TLI78" s="450"/>
      <c r="TLJ78" s="452"/>
      <c r="TLK78" s="448"/>
      <c r="TLM78" s="449"/>
      <c r="TLN78" s="450"/>
      <c r="TLO78" s="447"/>
      <c r="TLP78" s="448"/>
      <c r="TLR78" s="449"/>
      <c r="TLS78" s="450"/>
      <c r="TLT78" s="452"/>
      <c r="TLU78" s="448"/>
      <c r="TLV78" s="449"/>
      <c r="TLW78" s="450"/>
      <c r="TLX78" s="452"/>
      <c r="TLY78" s="448"/>
      <c r="TLZ78" s="455"/>
      <c r="TMA78" s="449"/>
      <c r="TMB78" s="450"/>
      <c r="TMC78" s="459"/>
      <c r="TMD78" s="448"/>
      <c r="TME78" s="456"/>
      <c r="TMF78" s="449"/>
      <c r="TMG78" s="450"/>
      <c r="TMH78" s="452"/>
      <c r="TMI78" s="448"/>
      <c r="TMJ78" s="449"/>
      <c r="TMK78" s="450"/>
      <c r="TML78" s="452"/>
      <c r="TMM78" s="448"/>
      <c r="TMN78" s="449"/>
      <c r="TMO78" s="450"/>
      <c r="TMP78" s="447"/>
      <c r="TMQ78" s="448"/>
      <c r="TMR78" s="457"/>
      <c r="TMS78" s="460"/>
      <c r="TMT78" s="450"/>
      <c r="TMU78" s="461"/>
      <c r="TMV78" s="448"/>
      <c r="TMW78" s="456"/>
      <c r="TMX78" s="449"/>
      <c r="TMY78" s="450"/>
      <c r="TMZ78" s="452"/>
      <c r="TNA78" s="448"/>
      <c r="TNB78" s="456"/>
      <c r="TNC78" s="458"/>
      <c r="TND78" s="458"/>
      <c r="TNF78" s="454"/>
      <c r="TNG78" s="450"/>
      <c r="TNH78" s="454"/>
      <c r="TNI78" s="448"/>
      <c r="TNJ78" s="449"/>
      <c r="TNK78" s="450"/>
      <c r="TNL78" s="447"/>
      <c r="TNM78" s="448"/>
      <c r="TNN78" s="449"/>
      <c r="TNO78" s="450"/>
      <c r="TNP78" s="447"/>
      <c r="TNQ78" s="451"/>
      <c r="TNR78" s="449"/>
      <c r="TNS78" s="450"/>
      <c r="TNT78" s="447"/>
      <c r="TNU78" s="451"/>
      <c r="TNV78" s="449"/>
      <c r="TNW78" s="450"/>
      <c r="TNX78" s="447"/>
      <c r="TNY78" s="451"/>
      <c r="TNZ78" s="449"/>
      <c r="TOA78" s="450"/>
      <c r="TOB78" s="452"/>
      <c r="TOC78" s="451"/>
      <c r="TOD78" s="449"/>
      <c r="TOE78" s="450"/>
      <c r="TOF78" s="447"/>
      <c r="TOG78" s="448"/>
      <c r="TOH78" s="453"/>
      <c r="TOI78" s="449"/>
      <c r="TOJ78" s="450"/>
      <c r="TOK78" s="454"/>
      <c r="TOL78" s="448"/>
      <c r="TON78" s="449"/>
      <c r="TOO78" s="450"/>
      <c r="TOP78" s="452"/>
      <c r="TOQ78" s="448"/>
      <c r="TOS78" s="449"/>
      <c r="TOT78" s="450"/>
      <c r="TOU78" s="447"/>
      <c r="TOV78" s="448"/>
      <c r="TOX78" s="449"/>
      <c r="TOY78" s="450"/>
      <c r="TOZ78" s="452"/>
      <c r="TPA78" s="448"/>
      <c r="TPB78" s="449"/>
      <c r="TPC78" s="450"/>
      <c r="TPD78" s="452"/>
      <c r="TPE78" s="448"/>
      <c r="TPF78" s="455"/>
      <c r="TPG78" s="449"/>
      <c r="TPH78" s="450"/>
      <c r="TPI78" s="459"/>
      <c r="TPJ78" s="448"/>
      <c r="TPK78" s="456"/>
      <c r="TPL78" s="449"/>
      <c r="TPM78" s="450"/>
      <c r="TPN78" s="452"/>
      <c r="TPO78" s="448"/>
      <c r="TPP78" s="449"/>
      <c r="TPQ78" s="450"/>
      <c r="TPR78" s="452"/>
      <c r="TPS78" s="448"/>
      <c r="TPT78" s="449"/>
      <c r="TPU78" s="450"/>
      <c r="TPV78" s="447"/>
      <c r="TPW78" s="448"/>
      <c r="TPX78" s="457"/>
      <c r="TPY78" s="460"/>
      <c r="TPZ78" s="450"/>
      <c r="TQA78" s="461"/>
      <c r="TQB78" s="448"/>
      <c r="TQC78" s="456"/>
      <c r="TQD78" s="449"/>
      <c r="TQE78" s="450"/>
      <c r="TQF78" s="452"/>
      <c r="TQG78" s="448"/>
      <c r="TQH78" s="456"/>
      <c r="TQI78" s="458"/>
      <c r="TQJ78" s="458"/>
      <c r="TQL78" s="454"/>
      <c r="TQM78" s="450"/>
      <c r="TQN78" s="454"/>
      <c r="TQO78" s="448"/>
      <c r="TQP78" s="449"/>
      <c r="TQQ78" s="450"/>
      <c r="TQR78" s="447"/>
      <c r="TQS78" s="448"/>
      <c r="TQT78" s="449"/>
      <c r="TQU78" s="450"/>
      <c r="TQV78" s="447"/>
      <c r="TQW78" s="451"/>
      <c r="TQX78" s="449"/>
      <c r="TQY78" s="450"/>
      <c r="TQZ78" s="447"/>
      <c r="TRA78" s="451"/>
      <c r="TRB78" s="449"/>
      <c r="TRC78" s="450"/>
      <c r="TRD78" s="447"/>
      <c r="TRE78" s="451"/>
      <c r="TRF78" s="449"/>
      <c r="TRG78" s="450"/>
      <c r="TRH78" s="452"/>
      <c r="TRI78" s="451"/>
      <c r="TRJ78" s="449"/>
      <c r="TRK78" s="450"/>
      <c r="TRL78" s="447"/>
      <c r="TRM78" s="448"/>
      <c r="TRN78" s="453"/>
      <c r="TRO78" s="449"/>
      <c r="TRP78" s="450"/>
      <c r="TRQ78" s="454"/>
      <c r="TRR78" s="448"/>
      <c r="TRT78" s="449"/>
      <c r="TRU78" s="450"/>
      <c r="TRV78" s="452"/>
      <c r="TRW78" s="448"/>
      <c r="TRY78" s="449"/>
      <c r="TRZ78" s="450"/>
      <c r="TSA78" s="447"/>
      <c r="TSB78" s="448"/>
      <c r="TSD78" s="449"/>
      <c r="TSE78" s="450"/>
      <c r="TSF78" s="452"/>
      <c r="TSG78" s="448"/>
      <c r="TSH78" s="449"/>
      <c r="TSI78" s="450"/>
      <c r="TSJ78" s="452"/>
      <c r="TSK78" s="448"/>
      <c r="TSL78" s="455"/>
      <c r="TSM78" s="449"/>
      <c r="TSN78" s="450"/>
      <c r="TSO78" s="459"/>
      <c r="TSP78" s="448"/>
      <c r="TSQ78" s="456"/>
      <c r="TSR78" s="449"/>
      <c r="TSS78" s="450"/>
      <c r="TST78" s="452"/>
      <c r="TSU78" s="448"/>
      <c r="TSV78" s="449"/>
      <c r="TSW78" s="450"/>
      <c r="TSX78" s="452"/>
      <c r="TSY78" s="448"/>
      <c r="TSZ78" s="449"/>
      <c r="TTA78" s="450"/>
      <c r="TTB78" s="447"/>
      <c r="TTC78" s="448"/>
      <c r="TTD78" s="457"/>
      <c r="TTE78" s="460"/>
      <c r="TTF78" s="450"/>
      <c r="TTG78" s="461"/>
      <c r="TTH78" s="448"/>
      <c r="TTI78" s="456"/>
      <c r="TTJ78" s="449"/>
      <c r="TTK78" s="450"/>
      <c r="TTL78" s="452"/>
      <c r="TTM78" s="448"/>
      <c r="TTN78" s="456"/>
      <c r="TTO78" s="458"/>
      <c r="TTP78" s="458"/>
      <c r="TTR78" s="454"/>
      <c r="TTS78" s="450"/>
      <c r="TTT78" s="454"/>
      <c r="TTU78" s="448"/>
      <c r="TTV78" s="449"/>
      <c r="TTW78" s="450"/>
      <c r="TTX78" s="447"/>
      <c r="TTY78" s="448"/>
      <c r="TTZ78" s="449"/>
      <c r="TUA78" s="450"/>
      <c r="TUB78" s="447"/>
      <c r="TUC78" s="451"/>
      <c r="TUD78" s="449"/>
      <c r="TUE78" s="450"/>
      <c r="TUF78" s="447"/>
      <c r="TUG78" s="451"/>
      <c r="TUH78" s="449"/>
      <c r="TUI78" s="450"/>
      <c r="TUJ78" s="447"/>
      <c r="TUK78" s="451"/>
      <c r="TUL78" s="449"/>
      <c r="TUM78" s="450"/>
      <c r="TUN78" s="452"/>
      <c r="TUO78" s="451"/>
      <c r="TUP78" s="449"/>
      <c r="TUQ78" s="450"/>
      <c r="TUR78" s="447"/>
      <c r="TUS78" s="448"/>
      <c r="TUT78" s="453"/>
      <c r="TUU78" s="449"/>
      <c r="TUV78" s="450"/>
      <c r="TUW78" s="454"/>
      <c r="TUX78" s="448"/>
      <c r="TUZ78" s="449"/>
      <c r="TVA78" s="450"/>
      <c r="TVB78" s="452"/>
      <c r="TVC78" s="448"/>
      <c r="TVE78" s="449"/>
      <c r="TVF78" s="450"/>
      <c r="TVG78" s="447"/>
      <c r="TVH78" s="448"/>
      <c r="TVJ78" s="449"/>
      <c r="TVK78" s="450"/>
      <c r="TVL78" s="452"/>
      <c r="TVM78" s="448"/>
      <c r="TVN78" s="449"/>
      <c r="TVO78" s="450"/>
      <c r="TVP78" s="452"/>
      <c r="TVQ78" s="448"/>
      <c r="TVR78" s="455"/>
      <c r="TVS78" s="449"/>
      <c r="TVT78" s="450"/>
      <c r="TVU78" s="459"/>
      <c r="TVV78" s="448"/>
      <c r="TVW78" s="456"/>
      <c r="TVX78" s="449"/>
      <c r="TVY78" s="450"/>
      <c r="TVZ78" s="452"/>
      <c r="TWA78" s="448"/>
      <c r="TWB78" s="449"/>
      <c r="TWC78" s="450"/>
      <c r="TWD78" s="452"/>
      <c r="TWE78" s="448"/>
      <c r="TWF78" s="449"/>
      <c r="TWG78" s="450"/>
      <c r="TWH78" s="447"/>
      <c r="TWI78" s="448"/>
      <c r="TWJ78" s="457"/>
      <c r="TWK78" s="460"/>
      <c r="TWL78" s="450"/>
      <c r="TWM78" s="461"/>
      <c r="TWN78" s="448"/>
      <c r="TWO78" s="456"/>
      <c r="TWP78" s="449"/>
      <c r="TWQ78" s="450"/>
      <c r="TWR78" s="452"/>
      <c r="TWS78" s="448"/>
      <c r="TWT78" s="456"/>
      <c r="TWU78" s="458"/>
      <c r="TWV78" s="458"/>
      <c r="TWX78" s="454"/>
      <c r="TWY78" s="450"/>
      <c r="TWZ78" s="454"/>
      <c r="TXA78" s="448"/>
      <c r="TXB78" s="449"/>
      <c r="TXC78" s="450"/>
      <c r="TXD78" s="447"/>
      <c r="TXE78" s="448"/>
      <c r="TXF78" s="449"/>
      <c r="TXG78" s="450"/>
      <c r="TXH78" s="447"/>
      <c r="TXI78" s="451"/>
      <c r="TXJ78" s="449"/>
      <c r="TXK78" s="450"/>
      <c r="TXL78" s="447"/>
      <c r="TXM78" s="451"/>
      <c r="TXN78" s="449"/>
      <c r="TXO78" s="450"/>
      <c r="TXP78" s="447"/>
      <c r="TXQ78" s="451"/>
      <c r="TXR78" s="449"/>
      <c r="TXS78" s="450"/>
      <c r="TXT78" s="452"/>
      <c r="TXU78" s="451"/>
      <c r="TXV78" s="449"/>
      <c r="TXW78" s="450"/>
      <c r="TXX78" s="447"/>
      <c r="TXY78" s="448"/>
      <c r="TXZ78" s="453"/>
      <c r="TYA78" s="449"/>
      <c r="TYB78" s="450"/>
      <c r="TYC78" s="454"/>
      <c r="TYD78" s="448"/>
      <c r="TYF78" s="449"/>
      <c r="TYG78" s="450"/>
      <c r="TYH78" s="452"/>
      <c r="TYI78" s="448"/>
      <c r="TYK78" s="449"/>
      <c r="TYL78" s="450"/>
      <c r="TYM78" s="447"/>
      <c r="TYN78" s="448"/>
      <c r="TYP78" s="449"/>
      <c r="TYQ78" s="450"/>
      <c r="TYR78" s="452"/>
      <c r="TYS78" s="448"/>
      <c r="TYT78" s="449"/>
      <c r="TYU78" s="450"/>
      <c r="TYV78" s="452"/>
      <c r="TYW78" s="448"/>
      <c r="TYX78" s="455"/>
      <c r="TYY78" s="449"/>
      <c r="TYZ78" s="450"/>
      <c r="TZA78" s="459"/>
      <c r="TZB78" s="448"/>
      <c r="TZC78" s="456"/>
      <c r="TZD78" s="449"/>
      <c r="TZE78" s="450"/>
      <c r="TZF78" s="452"/>
      <c r="TZG78" s="448"/>
      <c r="TZH78" s="449"/>
      <c r="TZI78" s="450"/>
      <c r="TZJ78" s="452"/>
      <c r="TZK78" s="448"/>
      <c r="TZL78" s="449"/>
      <c r="TZM78" s="450"/>
      <c r="TZN78" s="447"/>
      <c r="TZO78" s="448"/>
      <c r="TZP78" s="457"/>
      <c r="TZQ78" s="460"/>
      <c r="TZR78" s="450"/>
      <c r="TZS78" s="461"/>
      <c r="TZT78" s="448"/>
      <c r="TZU78" s="456"/>
      <c r="TZV78" s="449"/>
      <c r="TZW78" s="450"/>
      <c r="TZX78" s="452"/>
      <c r="TZY78" s="448"/>
      <c r="TZZ78" s="456"/>
      <c r="UAA78" s="458"/>
      <c r="UAB78" s="458"/>
      <c r="UAD78" s="454"/>
      <c r="UAE78" s="450"/>
      <c r="UAF78" s="454"/>
      <c r="UAG78" s="448"/>
      <c r="UAH78" s="449"/>
      <c r="UAI78" s="450"/>
      <c r="UAJ78" s="447"/>
      <c r="UAK78" s="448"/>
      <c r="UAL78" s="449"/>
      <c r="UAM78" s="450"/>
      <c r="UAN78" s="447"/>
      <c r="UAO78" s="451"/>
      <c r="UAP78" s="449"/>
      <c r="UAQ78" s="450"/>
      <c r="UAR78" s="447"/>
      <c r="UAS78" s="451"/>
      <c r="UAT78" s="449"/>
      <c r="UAU78" s="450"/>
      <c r="UAV78" s="447"/>
      <c r="UAW78" s="451"/>
      <c r="UAX78" s="449"/>
      <c r="UAY78" s="450"/>
      <c r="UAZ78" s="452"/>
      <c r="UBA78" s="451"/>
      <c r="UBB78" s="449"/>
      <c r="UBC78" s="450"/>
      <c r="UBD78" s="447"/>
      <c r="UBE78" s="448"/>
      <c r="UBF78" s="453"/>
      <c r="UBG78" s="449"/>
      <c r="UBH78" s="450"/>
      <c r="UBI78" s="454"/>
      <c r="UBJ78" s="448"/>
      <c r="UBL78" s="449"/>
      <c r="UBM78" s="450"/>
      <c r="UBN78" s="452"/>
      <c r="UBO78" s="448"/>
      <c r="UBQ78" s="449"/>
      <c r="UBR78" s="450"/>
      <c r="UBS78" s="447"/>
      <c r="UBT78" s="448"/>
      <c r="UBV78" s="449"/>
      <c r="UBW78" s="450"/>
      <c r="UBX78" s="452"/>
      <c r="UBY78" s="448"/>
      <c r="UBZ78" s="449"/>
      <c r="UCA78" s="450"/>
      <c r="UCB78" s="452"/>
      <c r="UCC78" s="448"/>
      <c r="UCD78" s="455"/>
      <c r="UCE78" s="449"/>
      <c r="UCF78" s="450"/>
      <c r="UCG78" s="459"/>
      <c r="UCH78" s="448"/>
      <c r="UCI78" s="456"/>
      <c r="UCJ78" s="449"/>
      <c r="UCK78" s="450"/>
      <c r="UCL78" s="452"/>
      <c r="UCM78" s="448"/>
      <c r="UCN78" s="449"/>
      <c r="UCO78" s="450"/>
      <c r="UCP78" s="452"/>
      <c r="UCQ78" s="448"/>
      <c r="UCR78" s="449"/>
      <c r="UCS78" s="450"/>
      <c r="UCT78" s="447"/>
      <c r="UCU78" s="448"/>
      <c r="UCV78" s="457"/>
      <c r="UCW78" s="460"/>
      <c r="UCX78" s="450"/>
      <c r="UCY78" s="461"/>
      <c r="UCZ78" s="448"/>
      <c r="UDA78" s="456"/>
      <c r="UDB78" s="449"/>
      <c r="UDC78" s="450"/>
      <c r="UDD78" s="452"/>
      <c r="UDE78" s="448"/>
      <c r="UDF78" s="456"/>
      <c r="UDG78" s="458"/>
      <c r="UDH78" s="458"/>
      <c r="UDJ78" s="454"/>
      <c r="UDK78" s="450"/>
      <c r="UDL78" s="454"/>
      <c r="UDM78" s="448"/>
      <c r="UDN78" s="449"/>
      <c r="UDO78" s="450"/>
      <c r="UDP78" s="447"/>
      <c r="UDQ78" s="448"/>
      <c r="UDR78" s="449"/>
      <c r="UDS78" s="450"/>
      <c r="UDT78" s="447"/>
      <c r="UDU78" s="451"/>
      <c r="UDV78" s="449"/>
      <c r="UDW78" s="450"/>
      <c r="UDX78" s="447"/>
      <c r="UDY78" s="451"/>
      <c r="UDZ78" s="449"/>
      <c r="UEA78" s="450"/>
      <c r="UEB78" s="447"/>
      <c r="UEC78" s="451"/>
      <c r="UED78" s="449"/>
      <c r="UEE78" s="450"/>
      <c r="UEF78" s="452"/>
      <c r="UEG78" s="451"/>
      <c r="UEH78" s="449"/>
      <c r="UEI78" s="450"/>
      <c r="UEJ78" s="447"/>
      <c r="UEK78" s="448"/>
      <c r="UEL78" s="453"/>
      <c r="UEM78" s="449"/>
      <c r="UEN78" s="450"/>
      <c r="UEO78" s="454"/>
      <c r="UEP78" s="448"/>
      <c r="UER78" s="449"/>
      <c r="UES78" s="450"/>
      <c r="UET78" s="452"/>
      <c r="UEU78" s="448"/>
      <c r="UEW78" s="449"/>
      <c r="UEX78" s="450"/>
      <c r="UEY78" s="447"/>
      <c r="UEZ78" s="448"/>
      <c r="UFB78" s="449"/>
      <c r="UFC78" s="450"/>
      <c r="UFD78" s="452"/>
      <c r="UFE78" s="448"/>
      <c r="UFF78" s="449"/>
      <c r="UFG78" s="450"/>
      <c r="UFH78" s="452"/>
      <c r="UFI78" s="448"/>
      <c r="UFJ78" s="455"/>
      <c r="UFK78" s="449"/>
      <c r="UFL78" s="450"/>
      <c r="UFM78" s="459"/>
      <c r="UFN78" s="448"/>
      <c r="UFO78" s="456"/>
      <c r="UFP78" s="449"/>
      <c r="UFQ78" s="450"/>
      <c r="UFR78" s="452"/>
      <c r="UFS78" s="448"/>
      <c r="UFT78" s="449"/>
      <c r="UFU78" s="450"/>
      <c r="UFV78" s="452"/>
      <c r="UFW78" s="448"/>
      <c r="UFX78" s="449"/>
      <c r="UFY78" s="450"/>
      <c r="UFZ78" s="447"/>
      <c r="UGA78" s="448"/>
      <c r="UGB78" s="457"/>
      <c r="UGC78" s="460"/>
      <c r="UGD78" s="450"/>
      <c r="UGE78" s="461"/>
      <c r="UGF78" s="448"/>
      <c r="UGG78" s="456"/>
      <c r="UGH78" s="449"/>
      <c r="UGI78" s="450"/>
      <c r="UGJ78" s="452"/>
      <c r="UGK78" s="448"/>
      <c r="UGL78" s="456"/>
      <c r="UGM78" s="458"/>
      <c r="UGN78" s="458"/>
      <c r="UGP78" s="454"/>
      <c r="UGQ78" s="450"/>
      <c r="UGR78" s="454"/>
      <c r="UGS78" s="448"/>
      <c r="UGT78" s="449"/>
      <c r="UGU78" s="450"/>
      <c r="UGV78" s="447"/>
      <c r="UGW78" s="448"/>
      <c r="UGX78" s="449"/>
      <c r="UGY78" s="450"/>
      <c r="UGZ78" s="447"/>
      <c r="UHA78" s="451"/>
      <c r="UHB78" s="449"/>
      <c r="UHC78" s="450"/>
      <c r="UHD78" s="447"/>
      <c r="UHE78" s="451"/>
      <c r="UHF78" s="449"/>
      <c r="UHG78" s="450"/>
      <c r="UHH78" s="447"/>
      <c r="UHI78" s="451"/>
      <c r="UHJ78" s="449"/>
      <c r="UHK78" s="450"/>
      <c r="UHL78" s="452"/>
      <c r="UHM78" s="451"/>
      <c r="UHN78" s="449"/>
      <c r="UHO78" s="450"/>
      <c r="UHP78" s="447"/>
      <c r="UHQ78" s="448"/>
      <c r="UHR78" s="453"/>
      <c r="UHS78" s="449"/>
      <c r="UHT78" s="450"/>
      <c r="UHU78" s="454"/>
      <c r="UHV78" s="448"/>
      <c r="UHX78" s="449"/>
      <c r="UHY78" s="450"/>
      <c r="UHZ78" s="452"/>
      <c r="UIA78" s="448"/>
      <c r="UIC78" s="449"/>
      <c r="UID78" s="450"/>
      <c r="UIE78" s="447"/>
      <c r="UIF78" s="448"/>
      <c r="UIH78" s="449"/>
      <c r="UII78" s="450"/>
      <c r="UIJ78" s="452"/>
      <c r="UIK78" s="448"/>
      <c r="UIL78" s="449"/>
      <c r="UIM78" s="450"/>
      <c r="UIN78" s="452"/>
      <c r="UIO78" s="448"/>
      <c r="UIP78" s="455"/>
      <c r="UIQ78" s="449"/>
      <c r="UIR78" s="450"/>
      <c r="UIS78" s="459"/>
      <c r="UIT78" s="448"/>
      <c r="UIU78" s="456"/>
      <c r="UIV78" s="449"/>
      <c r="UIW78" s="450"/>
      <c r="UIX78" s="452"/>
      <c r="UIY78" s="448"/>
      <c r="UIZ78" s="449"/>
      <c r="UJA78" s="450"/>
      <c r="UJB78" s="452"/>
      <c r="UJC78" s="448"/>
      <c r="UJD78" s="449"/>
      <c r="UJE78" s="450"/>
      <c r="UJF78" s="447"/>
      <c r="UJG78" s="448"/>
      <c r="UJH78" s="457"/>
      <c r="UJI78" s="460"/>
      <c r="UJJ78" s="450"/>
      <c r="UJK78" s="461"/>
      <c r="UJL78" s="448"/>
      <c r="UJM78" s="456"/>
      <c r="UJN78" s="449"/>
      <c r="UJO78" s="450"/>
      <c r="UJP78" s="452"/>
      <c r="UJQ78" s="448"/>
      <c r="UJR78" s="456"/>
      <c r="UJS78" s="458"/>
      <c r="UJT78" s="458"/>
      <c r="UJV78" s="454"/>
      <c r="UJW78" s="450"/>
      <c r="UJX78" s="454"/>
      <c r="UJY78" s="448"/>
      <c r="UJZ78" s="449"/>
      <c r="UKA78" s="450"/>
      <c r="UKB78" s="447"/>
      <c r="UKC78" s="448"/>
      <c r="UKD78" s="449"/>
      <c r="UKE78" s="450"/>
      <c r="UKF78" s="447"/>
      <c r="UKG78" s="451"/>
      <c r="UKH78" s="449"/>
      <c r="UKI78" s="450"/>
      <c r="UKJ78" s="447"/>
      <c r="UKK78" s="451"/>
      <c r="UKL78" s="449"/>
      <c r="UKM78" s="450"/>
      <c r="UKN78" s="447"/>
      <c r="UKO78" s="451"/>
      <c r="UKP78" s="449"/>
      <c r="UKQ78" s="450"/>
      <c r="UKR78" s="452"/>
      <c r="UKS78" s="451"/>
      <c r="UKT78" s="449"/>
      <c r="UKU78" s="450"/>
      <c r="UKV78" s="447"/>
      <c r="UKW78" s="448"/>
      <c r="UKX78" s="453"/>
      <c r="UKY78" s="449"/>
      <c r="UKZ78" s="450"/>
      <c r="ULA78" s="454"/>
      <c r="ULB78" s="448"/>
      <c r="ULD78" s="449"/>
      <c r="ULE78" s="450"/>
      <c r="ULF78" s="452"/>
      <c r="ULG78" s="448"/>
      <c r="ULI78" s="449"/>
      <c r="ULJ78" s="450"/>
      <c r="ULK78" s="447"/>
      <c r="ULL78" s="448"/>
      <c r="ULN78" s="449"/>
      <c r="ULO78" s="450"/>
      <c r="ULP78" s="452"/>
      <c r="ULQ78" s="448"/>
      <c r="ULR78" s="449"/>
      <c r="ULS78" s="450"/>
      <c r="ULT78" s="452"/>
      <c r="ULU78" s="448"/>
      <c r="ULV78" s="455"/>
      <c r="ULW78" s="449"/>
      <c r="ULX78" s="450"/>
      <c r="ULY78" s="459"/>
      <c r="ULZ78" s="448"/>
      <c r="UMA78" s="456"/>
      <c r="UMB78" s="449"/>
      <c r="UMC78" s="450"/>
      <c r="UMD78" s="452"/>
      <c r="UME78" s="448"/>
      <c r="UMF78" s="449"/>
      <c r="UMG78" s="450"/>
      <c r="UMH78" s="452"/>
      <c r="UMI78" s="448"/>
      <c r="UMJ78" s="449"/>
      <c r="UMK78" s="450"/>
      <c r="UML78" s="447"/>
      <c r="UMM78" s="448"/>
      <c r="UMN78" s="457"/>
      <c r="UMO78" s="460"/>
      <c r="UMP78" s="450"/>
      <c r="UMQ78" s="461"/>
      <c r="UMR78" s="448"/>
      <c r="UMS78" s="456"/>
      <c r="UMT78" s="449"/>
      <c r="UMU78" s="450"/>
      <c r="UMV78" s="452"/>
      <c r="UMW78" s="448"/>
      <c r="UMX78" s="456"/>
      <c r="UMY78" s="458"/>
      <c r="UMZ78" s="458"/>
      <c r="UNB78" s="454"/>
      <c r="UNC78" s="450"/>
      <c r="UND78" s="454"/>
      <c r="UNE78" s="448"/>
      <c r="UNF78" s="449"/>
      <c r="UNG78" s="450"/>
      <c r="UNH78" s="447"/>
      <c r="UNI78" s="448"/>
      <c r="UNJ78" s="449"/>
      <c r="UNK78" s="450"/>
      <c r="UNL78" s="447"/>
      <c r="UNM78" s="451"/>
      <c r="UNN78" s="449"/>
      <c r="UNO78" s="450"/>
      <c r="UNP78" s="447"/>
      <c r="UNQ78" s="451"/>
      <c r="UNR78" s="449"/>
      <c r="UNS78" s="450"/>
      <c r="UNT78" s="447"/>
      <c r="UNU78" s="451"/>
      <c r="UNV78" s="449"/>
      <c r="UNW78" s="450"/>
      <c r="UNX78" s="452"/>
      <c r="UNY78" s="451"/>
      <c r="UNZ78" s="449"/>
      <c r="UOA78" s="450"/>
      <c r="UOB78" s="447"/>
      <c r="UOC78" s="448"/>
      <c r="UOD78" s="453"/>
      <c r="UOE78" s="449"/>
      <c r="UOF78" s="450"/>
      <c r="UOG78" s="454"/>
      <c r="UOH78" s="448"/>
      <c r="UOJ78" s="449"/>
      <c r="UOK78" s="450"/>
      <c r="UOL78" s="452"/>
      <c r="UOM78" s="448"/>
      <c r="UOO78" s="449"/>
      <c r="UOP78" s="450"/>
      <c r="UOQ78" s="447"/>
      <c r="UOR78" s="448"/>
      <c r="UOT78" s="449"/>
      <c r="UOU78" s="450"/>
      <c r="UOV78" s="452"/>
      <c r="UOW78" s="448"/>
      <c r="UOX78" s="449"/>
      <c r="UOY78" s="450"/>
      <c r="UOZ78" s="452"/>
      <c r="UPA78" s="448"/>
      <c r="UPB78" s="455"/>
      <c r="UPC78" s="449"/>
      <c r="UPD78" s="450"/>
      <c r="UPE78" s="459"/>
      <c r="UPF78" s="448"/>
      <c r="UPG78" s="456"/>
      <c r="UPH78" s="449"/>
      <c r="UPI78" s="450"/>
      <c r="UPJ78" s="452"/>
      <c r="UPK78" s="448"/>
      <c r="UPL78" s="449"/>
      <c r="UPM78" s="450"/>
      <c r="UPN78" s="452"/>
      <c r="UPO78" s="448"/>
      <c r="UPP78" s="449"/>
      <c r="UPQ78" s="450"/>
      <c r="UPR78" s="447"/>
      <c r="UPS78" s="448"/>
      <c r="UPT78" s="457"/>
      <c r="UPU78" s="460"/>
      <c r="UPV78" s="450"/>
      <c r="UPW78" s="461"/>
      <c r="UPX78" s="448"/>
      <c r="UPY78" s="456"/>
      <c r="UPZ78" s="449"/>
      <c r="UQA78" s="450"/>
      <c r="UQB78" s="452"/>
      <c r="UQC78" s="448"/>
      <c r="UQD78" s="456"/>
      <c r="UQE78" s="458"/>
      <c r="UQF78" s="458"/>
      <c r="UQH78" s="454"/>
      <c r="UQI78" s="450"/>
      <c r="UQJ78" s="454"/>
      <c r="UQK78" s="448"/>
      <c r="UQL78" s="449"/>
      <c r="UQM78" s="450"/>
      <c r="UQN78" s="447"/>
      <c r="UQO78" s="448"/>
      <c r="UQP78" s="449"/>
      <c r="UQQ78" s="450"/>
      <c r="UQR78" s="447"/>
      <c r="UQS78" s="451"/>
      <c r="UQT78" s="449"/>
      <c r="UQU78" s="450"/>
      <c r="UQV78" s="447"/>
      <c r="UQW78" s="451"/>
      <c r="UQX78" s="449"/>
      <c r="UQY78" s="450"/>
      <c r="UQZ78" s="447"/>
      <c r="URA78" s="451"/>
      <c r="URB78" s="449"/>
      <c r="URC78" s="450"/>
      <c r="URD78" s="452"/>
      <c r="URE78" s="451"/>
      <c r="URF78" s="449"/>
      <c r="URG78" s="450"/>
      <c r="URH78" s="447"/>
      <c r="URI78" s="448"/>
      <c r="URJ78" s="453"/>
      <c r="URK78" s="449"/>
      <c r="URL78" s="450"/>
      <c r="URM78" s="454"/>
      <c r="URN78" s="448"/>
      <c r="URP78" s="449"/>
      <c r="URQ78" s="450"/>
      <c r="URR78" s="452"/>
      <c r="URS78" s="448"/>
      <c r="URU78" s="449"/>
      <c r="URV78" s="450"/>
      <c r="URW78" s="447"/>
      <c r="URX78" s="448"/>
      <c r="URZ78" s="449"/>
      <c r="USA78" s="450"/>
      <c r="USB78" s="452"/>
      <c r="USC78" s="448"/>
      <c r="USD78" s="449"/>
      <c r="USE78" s="450"/>
      <c r="USF78" s="452"/>
      <c r="USG78" s="448"/>
      <c r="USH78" s="455"/>
      <c r="USI78" s="449"/>
      <c r="USJ78" s="450"/>
      <c r="USK78" s="459"/>
      <c r="USL78" s="448"/>
      <c r="USM78" s="456"/>
      <c r="USN78" s="449"/>
      <c r="USO78" s="450"/>
      <c r="USP78" s="452"/>
      <c r="USQ78" s="448"/>
      <c r="USR78" s="449"/>
      <c r="USS78" s="450"/>
      <c r="UST78" s="452"/>
      <c r="USU78" s="448"/>
      <c r="USV78" s="449"/>
      <c r="USW78" s="450"/>
      <c r="USX78" s="447"/>
      <c r="USY78" s="448"/>
      <c r="USZ78" s="457"/>
      <c r="UTA78" s="460"/>
      <c r="UTB78" s="450"/>
      <c r="UTC78" s="461"/>
      <c r="UTD78" s="448"/>
      <c r="UTE78" s="456"/>
      <c r="UTF78" s="449"/>
      <c r="UTG78" s="450"/>
      <c r="UTH78" s="452"/>
      <c r="UTI78" s="448"/>
      <c r="UTJ78" s="456"/>
      <c r="UTK78" s="458"/>
      <c r="UTL78" s="458"/>
      <c r="UTN78" s="454"/>
      <c r="UTO78" s="450"/>
      <c r="UTP78" s="454"/>
      <c r="UTQ78" s="448"/>
      <c r="UTR78" s="449"/>
      <c r="UTS78" s="450"/>
      <c r="UTT78" s="447"/>
      <c r="UTU78" s="448"/>
      <c r="UTV78" s="449"/>
      <c r="UTW78" s="450"/>
      <c r="UTX78" s="447"/>
      <c r="UTY78" s="451"/>
      <c r="UTZ78" s="449"/>
      <c r="UUA78" s="450"/>
      <c r="UUB78" s="447"/>
      <c r="UUC78" s="451"/>
      <c r="UUD78" s="449"/>
      <c r="UUE78" s="450"/>
      <c r="UUF78" s="447"/>
      <c r="UUG78" s="451"/>
      <c r="UUH78" s="449"/>
      <c r="UUI78" s="450"/>
      <c r="UUJ78" s="452"/>
      <c r="UUK78" s="451"/>
      <c r="UUL78" s="449"/>
      <c r="UUM78" s="450"/>
      <c r="UUN78" s="447"/>
      <c r="UUO78" s="448"/>
      <c r="UUP78" s="453"/>
      <c r="UUQ78" s="449"/>
      <c r="UUR78" s="450"/>
      <c r="UUS78" s="454"/>
      <c r="UUT78" s="448"/>
      <c r="UUV78" s="449"/>
      <c r="UUW78" s="450"/>
      <c r="UUX78" s="452"/>
      <c r="UUY78" s="448"/>
      <c r="UVA78" s="449"/>
      <c r="UVB78" s="450"/>
      <c r="UVC78" s="447"/>
      <c r="UVD78" s="448"/>
      <c r="UVF78" s="449"/>
      <c r="UVG78" s="450"/>
      <c r="UVH78" s="452"/>
      <c r="UVI78" s="448"/>
      <c r="UVJ78" s="449"/>
      <c r="UVK78" s="450"/>
      <c r="UVL78" s="452"/>
      <c r="UVM78" s="448"/>
      <c r="UVN78" s="455"/>
      <c r="UVO78" s="449"/>
      <c r="UVP78" s="450"/>
      <c r="UVQ78" s="459"/>
      <c r="UVR78" s="448"/>
      <c r="UVS78" s="456"/>
      <c r="UVT78" s="449"/>
      <c r="UVU78" s="450"/>
      <c r="UVV78" s="452"/>
      <c r="UVW78" s="448"/>
      <c r="UVX78" s="449"/>
      <c r="UVY78" s="450"/>
      <c r="UVZ78" s="452"/>
      <c r="UWA78" s="448"/>
      <c r="UWB78" s="449"/>
      <c r="UWC78" s="450"/>
      <c r="UWD78" s="447"/>
      <c r="UWE78" s="448"/>
      <c r="UWF78" s="457"/>
      <c r="UWG78" s="460"/>
      <c r="UWH78" s="450"/>
      <c r="UWI78" s="461"/>
      <c r="UWJ78" s="448"/>
      <c r="UWK78" s="456"/>
      <c r="UWL78" s="449"/>
      <c r="UWM78" s="450"/>
      <c r="UWN78" s="452"/>
      <c r="UWO78" s="448"/>
      <c r="UWP78" s="456"/>
      <c r="UWQ78" s="458"/>
      <c r="UWR78" s="458"/>
      <c r="UWT78" s="454"/>
      <c r="UWU78" s="450"/>
      <c r="UWV78" s="454"/>
      <c r="UWW78" s="448"/>
      <c r="UWX78" s="449"/>
      <c r="UWY78" s="450"/>
      <c r="UWZ78" s="447"/>
      <c r="UXA78" s="448"/>
      <c r="UXB78" s="449"/>
      <c r="UXC78" s="450"/>
      <c r="UXD78" s="447"/>
      <c r="UXE78" s="451"/>
      <c r="UXF78" s="449"/>
      <c r="UXG78" s="450"/>
      <c r="UXH78" s="447"/>
      <c r="UXI78" s="451"/>
      <c r="UXJ78" s="449"/>
      <c r="UXK78" s="450"/>
      <c r="UXL78" s="447"/>
      <c r="UXM78" s="451"/>
      <c r="UXN78" s="449"/>
      <c r="UXO78" s="450"/>
      <c r="UXP78" s="452"/>
      <c r="UXQ78" s="451"/>
      <c r="UXR78" s="449"/>
      <c r="UXS78" s="450"/>
      <c r="UXT78" s="447"/>
      <c r="UXU78" s="448"/>
      <c r="UXV78" s="453"/>
      <c r="UXW78" s="449"/>
      <c r="UXX78" s="450"/>
      <c r="UXY78" s="454"/>
      <c r="UXZ78" s="448"/>
      <c r="UYB78" s="449"/>
      <c r="UYC78" s="450"/>
      <c r="UYD78" s="452"/>
      <c r="UYE78" s="448"/>
      <c r="UYG78" s="449"/>
      <c r="UYH78" s="450"/>
      <c r="UYI78" s="447"/>
      <c r="UYJ78" s="448"/>
      <c r="UYL78" s="449"/>
      <c r="UYM78" s="450"/>
      <c r="UYN78" s="452"/>
      <c r="UYO78" s="448"/>
      <c r="UYP78" s="449"/>
      <c r="UYQ78" s="450"/>
      <c r="UYR78" s="452"/>
      <c r="UYS78" s="448"/>
      <c r="UYT78" s="455"/>
      <c r="UYU78" s="449"/>
      <c r="UYV78" s="450"/>
      <c r="UYW78" s="459"/>
      <c r="UYX78" s="448"/>
      <c r="UYY78" s="456"/>
      <c r="UYZ78" s="449"/>
      <c r="UZA78" s="450"/>
      <c r="UZB78" s="452"/>
      <c r="UZC78" s="448"/>
      <c r="UZD78" s="449"/>
      <c r="UZE78" s="450"/>
      <c r="UZF78" s="452"/>
      <c r="UZG78" s="448"/>
      <c r="UZH78" s="449"/>
      <c r="UZI78" s="450"/>
      <c r="UZJ78" s="447"/>
      <c r="UZK78" s="448"/>
      <c r="UZL78" s="457"/>
      <c r="UZM78" s="460"/>
      <c r="UZN78" s="450"/>
      <c r="UZO78" s="461"/>
      <c r="UZP78" s="448"/>
      <c r="UZQ78" s="456"/>
      <c r="UZR78" s="449"/>
      <c r="UZS78" s="450"/>
      <c r="UZT78" s="452"/>
      <c r="UZU78" s="448"/>
      <c r="UZV78" s="456"/>
      <c r="UZW78" s="458"/>
      <c r="UZX78" s="458"/>
      <c r="UZZ78" s="454"/>
      <c r="VAA78" s="450"/>
      <c r="VAB78" s="454"/>
      <c r="VAC78" s="448"/>
      <c r="VAD78" s="449"/>
      <c r="VAE78" s="450"/>
      <c r="VAF78" s="447"/>
      <c r="VAG78" s="448"/>
      <c r="VAH78" s="449"/>
      <c r="VAI78" s="450"/>
      <c r="VAJ78" s="447"/>
      <c r="VAK78" s="451"/>
      <c r="VAL78" s="449"/>
      <c r="VAM78" s="450"/>
      <c r="VAN78" s="447"/>
      <c r="VAO78" s="451"/>
      <c r="VAP78" s="449"/>
      <c r="VAQ78" s="450"/>
      <c r="VAR78" s="447"/>
      <c r="VAS78" s="451"/>
      <c r="VAT78" s="449"/>
      <c r="VAU78" s="450"/>
      <c r="VAV78" s="452"/>
      <c r="VAW78" s="451"/>
      <c r="VAX78" s="449"/>
      <c r="VAY78" s="450"/>
      <c r="VAZ78" s="447"/>
      <c r="VBA78" s="448"/>
      <c r="VBB78" s="453"/>
      <c r="VBC78" s="449"/>
      <c r="VBD78" s="450"/>
      <c r="VBE78" s="454"/>
      <c r="VBF78" s="448"/>
      <c r="VBH78" s="449"/>
      <c r="VBI78" s="450"/>
      <c r="VBJ78" s="452"/>
      <c r="VBK78" s="448"/>
      <c r="VBM78" s="449"/>
      <c r="VBN78" s="450"/>
      <c r="VBO78" s="447"/>
      <c r="VBP78" s="448"/>
      <c r="VBR78" s="449"/>
      <c r="VBS78" s="450"/>
      <c r="VBT78" s="452"/>
      <c r="VBU78" s="448"/>
      <c r="VBV78" s="449"/>
      <c r="VBW78" s="450"/>
      <c r="VBX78" s="452"/>
      <c r="VBY78" s="448"/>
      <c r="VBZ78" s="455"/>
      <c r="VCA78" s="449"/>
      <c r="VCB78" s="450"/>
      <c r="VCC78" s="459"/>
      <c r="VCD78" s="448"/>
      <c r="VCE78" s="456"/>
      <c r="VCF78" s="449"/>
      <c r="VCG78" s="450"/>
      <c r="VCH78" s="452"/>
      <c r="VCI78" s="448"/>
      <c r="VCJ78" s="449"/>
      <c r="VCK78" s="450"/>
      <c r="VCL78" s="452"/>
      <c r="VCM78" s="448"/>
      <c r="VCN78" s="449"/>
      <c r="VCO78" s="450"/>
      <c r="VCP78" s="447"/>
      <c r="VCQ78" s="448"/>
      <c r="VCR78" s="457"/>
      <c r="VCS78" s="460"/>
      <c r="VCT78" s="450"/>
      <c r="VCU78" s="461"/>
      <c r="VCV78" s="448"/>
      <c r="VCW78" s="456"/>
      <c r="VCX78" s="449"/>
      <c r="VCY78" s="450"/>
      <c r="VCZ78" s="452"/>
      <c r="VDA78" s="448"/>
      <c r="VDB78" s="456"/>
      <c r="VDC78" s="458"/>
      <c r="VDD78" s="458"/>
      <c r="VDF78" s="454"/>
      <c r="VDG78" s="450"/>
      <c r="VDH78" s="454"/>
      <c r="VDI78" s="448"/>
      <c r="VDJ78" s="449"/>
      <c r="VDK78" s="450"/>
      <c r="VDL78" s="447"/>
      <c r="VDM78" s="448"/>
      <c r="VDN78" s="449"/>
      <c r="VDO78" s="450"/>
      <c r="VDP78" s="447"/>
      <c r="VDQ78" s="451"/>
      <c r="VDR78" s="449"/>
      <c r="VDS78" s="450"/>
      <c r="VDT78" s="447"/>
      <c r="VDU78" s="451"/>
      <c r="VDV78" s="449"/>
      <c r="VDW78" s="450"/>
      <c r="VDX78" s="447"/>
      <c r="VDY78" s="451"/>
      <c r="VDZ78" s="449"/>
      <c r="VEA78" s="450"/>
      <c r="VEB78" s="452"/>
      <c r="VEC78" s="451"/>
      <c r="VED78" s="449"/>
      <c r="VEE78" s="450"/>
      <c r="VEF78" s="447"/>
      <c r="VEG78" s="448"/>
      <c r="VEH78" s="453"/>
      <c r="VEI78" s="449"/>
      <c r="VEJ78" s="450"/>
      <c r="VEK78" s="454"/>
      <c r="VEL78" s="448"/>
      <c r="VEN78" s="449"/>
      <c r="VEO78" s="450"/>
      <c r="VEP78" s="452"/>
      <c r="VEQ78" s="448"/>
      <c r="VES78" s="449"/>
      <c r="VET78" s="450"/>
      <c r="VEU78" s="447"/>
      <c r="VEV78" s="448"/>
      <c r="VEX78" s="449"/>
      <c r="VEY78" s="450"/>
      <c r="VEZ78" s="452"/>
      <c r="VFA78" s="448"/>
      <c r="VFB78" s="449"/>
      <c r="VFC78" s="450"/>
      <c r="VFD78" s="452"/>
      <c r="VFE78" s="448"/>
      <c r="VFF78" s="455"/>
      <c r="VFG78" s="449"/>
      <c r="VFH78" s="450"/>
      <c r="VFI78" s="459"/>
      <c r="VFJ78" s="448"/>
      <c r="VFK78" s="456"/>
      <c r="VFL78" s="449"/>
      <c r="VFM78" s="450"/>
      <c r="VFN78" s="452"/>
      <c r="VFO78" s="448"/>
      <c r="VFP78" s="449"/>
      <c r="VFQ78" s="450"/>
      <c r="VFR78" s="452"/>
      <c r="VFS78" s="448"/>
      <c r="VFT78" s="449"/>
      <c r="VFU78" s="450"/>
      <c r="VFV78" s="447"/>
      <c r="VFW78" s="448"/>
      <c r="VFX78" s="457"/>
      <c r="VFY78" s="460"/>
      <c r="VFZ78" s="450"/>
      <c r="VGA78" s="461"/>
      <c r="VGB78" s="448"/>
      <c r="VGC78" s="456"/>
      <c r="VGD78" s="449"/>
      <c r="VGE78" s="450"/>
      <c r="VGF78" s="452"/>
      <c r="VGG78" s="448"/>
      <c r="VGH78" s="456"/>
      <c r="VGI78" s="458"/>
      <c r="VGJ78" s="458"/>
      <c r="VGL78" s="454"/>
      <c r="VGM78" s="450"/>
      <c r="VGN78" s="454"/>
      <c r="VGO78" s="448"/>
      <c r="VGP78" s="449"/>
      <c r="VGQ78" s="450"/>
      <c r="VGR78" s="447"/>
      <c r="VGS78" s="448"/>
      <c r="VGT78" s="449"/>
      <c r="VGU78" s="450"/>
      <c r="VGV78" s="447"/>
      <c r="VGW78" s="451"/>
      <c r="VGX78" s="449"/>
      <c r="VGY78" s="450"/>
      <c r="VGZ78" s="447"/>
      <c r="VHA78" s="451"/>
      <c r="VHB78" s="449"/>
      <c r="VHC78" s="450"/>
      <c r="VHD78" s="447"/>
      <c r="VHE78" s="451"/>
      <c r="VHF78" s="449"/>
      <c r="VHG78" s="450"/>
      <c r="VHH78" s="452"/>
      <c r="VHI78" s="451"/>
      <c r="VHJ78" s="449"/>
      <c r="VHK78" s="450"/>
      <c r="VHL78" s="447"/>
      <c r="VHM78" s="448"/>
      <c r="VHN78" s="453"/>
      <c r="VHO78" s="449"/>
      <c r="VHP78" s="450"/>
      <c r="VHQ78" s="454"/>
      <c r="VHR78" s="448"/>
      <c r="VHT78" s="449"/>
      <c r="VHU78" s="450"/>
      <c r="VHV78" s="452"/>
      <c r="VHW78" s="448"/>
      <c r="VHY78" s="449"/>
      <c r="VHZ78" s="450"/>
      <c r="VIA78" s="447"/>
      <c r="VIB78" s="448"/>
      <c r="VID78" s="449"/>
      <c r="VIE78" s="450"/>
      <c r="VIF78" s="452"/>
      <c r="VIG78" s="448"/>
      <c r="VIH78" s="449"/>
      <c r="VII78" s="450"/>
      <c r="VIJ78" s="452"/>
      <c r="VIK78" s="448"/>
      <c r="VIL78" s="455"/>
      <c r="VIM78" s="449"/>
      <c r="VIN78" s="450"/>
      <c r="VIO78" s="459"/>
      <c r="VIP78" s="448"/>
      <c r="VIQ78" s="456"/>
      <c r="VIR78" s="449"/>
      <c r="VIS78" s="450"/>
      <c r="VIT78" s="452"/>
      <c r="VIU78" s="448"/>
      <c r="VIV78" s="449"/>
      <c r="VIW78" s="450"/>
      <c r="VIX78" s="452"/>
      <c r="VIY78" s="448"/>
      <c r="VIZ78" s="449"/>
      <c r="VJA78" s="450"/>
      <c r="VJB78" s="447"/>
      <c r="VJC78" s="448"/>
      <c r="VJD78" s="457"/>
      <c r="VJE78" s="460"/>
      <c r="VJF78" s="450"/>
      <c r="VJG78" s="461"/>
      <c r="VJH78" s="448"/>
      <c r="VJI78" s="456"/>
      <c r="VJJ78" s="449"/>
      <c r="VJK78" s="450"/>
      <c r="VJL78" s="452"/>
      <c r="VJM78" s="448"/>
      <c r="VJN78" s="456"/>
      <c r="VJO78" s="458"/>
      <c r="VJP78" s="458"/>
      <c r="VJR78" s="454"/>
      <c r="VJS78" s="450"/>
      <c r="VJT78" s="454"/>
      <c r="VJU78" s="448"/>
      <c r="VJV78" s="449"/>
      <c r="VJW78" s="450"/>
      <c r="VJX78" s="447"/>
      <c r="VJY78" s="448"/>
      <c r="VJZ78" s="449"/>
      <c r="VKA78" s="450"/>
      <c r="VKB78" s="447"/>
      <c r="VKC78" s="451"/>
      <c r="VKD78" s="449"/>
      <c r="VKE78" s="450"/>
      <c r="VKF78" s="447"/>
      <c r="VKG78" s="451"/>
      <c r="VKH78" s="449"/>
      <c r="VKI78" s="450"/>
      <c r="VKJ78" s="447"/>
      <c r="VKK78" s="451"/>
      <c r="VKL78" s="449"/>
      <c r="VKM78" s="450"/>
      <c r="VKN78" s="452"/>
      <c r="VKO78" s="451"/>
      <c r="VKP78" s="449"/>
      <c r="VKQ78" s="450"/>
      <c r="VKR78" s="447"/>
      <c r="VKS78" s="448"/>
      <c r="VKT78" s="453"/>
      <c r="VKU78" s="449"/>
      <c r="VKV78" s="450"/>
      <c r="VKW78" s="454"/>
      <c r="VKX78" s="448"/>
      <c r="VKZ78" s="449"/>
      <c r="VLA78" s="450"/>
      <c r="VLB78" s="452"/>
      <c r="VLC78" s="448"/>
      <c r="VLE78" s="449"/>
      <c r="VLF78" s="450"/>
      <c r="VLG78" s="447"/>
      <c r="VLH78" s="448"/>
      <c r="VLJ78" s="449"/>
      <c r="VLK78" s="450"/>
      <c r="VLL78" s="452"/>
      <c r="VLM78" s="448"/>
      <c r="VLN78" s="449"/>
      <c r="VLO78" s="450"/>
      <c r="VLP78" s="452"/>
      <c r="VLQ78" s="448"/>
      <c r="VLR78" s="455"/>
      <c r="VLS78" s="449"/>
      <c r="VLT78" s="450"/>
      <c r="VLU78" s="459"/>
      <c r="VLV78" s="448"/>
      <c r="VLW78" s="456"/>
      <c r="VLX78" s="449"/>
      <c r="VLY78" s="450"/>
      <c r="VLZ78" s="452"/>
      <c r="VMA78" s="448"/>
      <c r="VMB78" s="449"/>
      <c r="VMC78" s="450"/>
      <c r="VMD78" s="452"/>
      <c r="VME78" s="448"/>
      <c r="VMF78" s="449"/>
      <c r="VMG78" s="450"/>
      <c r="VMH78" s="447"/>
      <c r="VMI78" s="448"/>
      <c r="VMJ78" s="457"/>
      <c r="VMK78" s="460"/>
      <c r="VML78" s="450"/>
      <c r="VMM78" s="461"/>
      <c r="VMN78" s="448"/>
      <c r="VMO78" s="456"/>
      <c r="VMP78" s="449"/>
      <c r="VMQ78" s="450"/>
      <c r="VMR78" s="452"/>
      <c r="VMS78" s="448"/>
      <c r="VMT78" s="456"/>
      <c r="VMU78" s="458"/>
      <c r="VMV78" s="458"/>
      <c r="VMX78" s="454"/>
      <c r="VMY78" s="450"/>
      <c r="VMZ78" s="454"/>
      <c r="VNA78" s="448"/>
      <c r="VNB78" s="449"/>
      <c r="VNC78" s="450"/>
      <c r="VND78" s="447"/>
      <c r="VNE78" s="448"/>
      <c r="VNF78" s="449"/>
      <c r="VNG78" s="450"/>
      <c r="VNH78" s="447"/>
      <c r="VNI78" s="451"/>
      <c r="VNJ78" s="449"/>
      <c r="VNK78" s="450"/>
      <c r="VNL78" s="447"/>
      <c r="VNM78" s="451"/>
      <c r="VNN78" s="449"/>
      <c r="VNO78" s="450"/>
      <c r="VNP78" s="447"/>
      <c r="VNQ78" s="451"/>
      <c r="VNR78" s="449"/>
      <c r="VNS78" s="450"/>
      <c r="VNT78" s="452"/>
      <c r="VNU78" s="451"/>
      <c r="VNV78" s="449"/>
      <c r="VNW78" s="450"/>
      <c r="VNX78" s="447"/>
      <c r="VNY78" s="448"/>
      <c r="VNZ78" s="453"/>
      <c r="VOA78" s="449"/>
      <c r="VOB78" s="450"/>
      <c r="VOC78" s="454"/>
      <c r="VOD78" s="448"/>
      <c r="VOF78" s="449"/>
      <c r="VOG78" s="450"/>
      <c r="VOH78" s="452"/>
      <c r="VOI78" s="448"/>
      <c r="VOK78" s="449"/>
      <c r="VOL78" s="450"/>
      <c r="VOM78" s="447"/>
      <c r="VON78" s="448"/>
      <c r="VOP78" s="449"/>
      <c r="VOQ78" s="450"/>
      <c r="VOR78" s="452"/>
      <c r="VOS78" s="448"/>
      <c r="VOT78" s="449"/>
      <c r="VOU78" s="450"/>
      <c r="VOV78" s="452"/>
      <c r="VOW78" s="448"/>
      <c r="VOX78" s="455"/>
      <c r="VOY78" s="449"/>
      <c r="VOZ78" s="450"/>
      <c r="VPA78" s="459"/>
      <c r="VPB78" s="448"/>
      <c r="VPC78" s="456"/>
      <c r="VPD78" s="449"/>
      <c r="VPE78" s="450"/>
      <c r="VPF78" s="452"/>
      <c r="VPG78" s="448"/>
      <c r="VPH78" s="449"/>
      <c r="VPI78" s="450"/>
      <c r="VPJ78" s="452"/>
      <c r="VPK78" s="448"/>
      <c r="VPL78" s="449"/>
      <c r="VPM78" s="450"/>
      <c r="VPN78" s="447"/>
      <c r="VPO78" s="448"/>
      <c r="VPP78" s="457"/>
      <c r="VPQ78" s="460"/>
      <c r="VPR78" s="450"/>
      <c r="VPS78" s="461"/>
      <c r="VPT78" s="448"/>
      <c r="VPU78" s="456"/>
      <c r="VPV78" s="449"/>
      <c r="VPW78" s="450"/>
      <c r="VPX78" s="452"/>
      <c r="VPY78" s="448"/>
      <c r="VPZ78" s="456"/>
      <c r="VQA78" s="458"/>
      <c r="VQB78" s="458"/>
      <c r="VQD78" s="454"/>
      <c r="VQE78" s="450"/>
      <c r="VQF78" s="454"/>
      <c r="VQG78" s="448"/>
      <c r="VQH78" s="449"/>
      <c r="VQI78" s="450"/>
      <c r="VQJ78" s="447"/>
      <c r="VQK78" s="448"/>
      <c r="VQL78" s="449"/>
      <c r="VQM78" s="450"/>
      <c r="VQN78" s="447"/>
      <c r="VQO78" s="451"/>
      <c r="VQP78" s="449"/>
      <c r="VQQ78" s="450"/>
      <c r="VQR78" s="447"/>
      <c r="VQS78" s="451"/>
      <c r="VQT78" s="449"/>
      <c r="VQU78" s="450"/>
      <c r="VQV78" s="447"/>
      <c r="VQW78" s="451"/>
      <c r="VQX78" s="449"/>
      <c r="VQY78" s="450"/>
      <c r="VQZ78" s="452"/>
      <c r="VRA78" s="451"/>
      <c r="VRB78" s="449"/>
      <c r="VRC78" s="450"/>
      <c r="VRD78" s="447"/>
      <c r="VRE78" s="448"/>
      <c r="VRF78" s="453"/>
      <c r="VRG78" s="449"/>
      <c r="VRH78" s="450"/>
      <c r="VRI78" s="454"/>
      <c r="VRJ78" s="448"/>
      <c r="VRL78" s="449"/>
      <c r="VRM78" s="450"/>
      <c r="VRN78" s="452"/>
      <c r="VRO78" s="448"/>
      <c r="VRQ78" s="449"/>
      <c r="VRR78" s="450"/>
      <c r="VRS78" s="447"/>
      <c r="VRT78" s="448"/>
      <c r="VRV78" s="449"/>
      <c r="VRW78" s="450"/>
      <c r="VRX78" s="452"/>
      <c r="VRY78" s="448"/>
      <c r="VRZ78" s="449"/>
      <c r="VSA78" s="450"/>
      <c r="VSB78" s="452"/>
      <c r="VSC78" s="448"/>
      <c r="VSD78" s="455"/>
      <c r="VSE78" s="449"/>
      <c r="VSF78" s="450"/>
      <c r="VSG78" s="459"/>
      <c r="VSH78" s="448"/>
      <c r="VSI78" s="456"/>
      <c r="VSJ78" s="449"/>
      <c r="VSK78" s="450"/>
      <c r="VSL78" s="452"/>
      <c r="VSM78" s="448"/>
      <c r="VSN78" s="449"/>
      <c r="VSO78" s="450"/>
      <c r="VSP78" s="452"/>
      <c r="VSQ78" s="448"/>
      <c r="VSR78" s="449"/>
      <c r="VSS78" s="450"/>
      <c r="VST78" s="447"/>
      <c r="VSU78" s="448"/>
      <c r="VSV78" s="457"/>
      <c r="VSW78" s="460"/>
      <c r="VSX78" s="450"/>
      <c r="VSY78" s="461"/>
      <c r="VSZ78" s="448"/>
      <c r="VTA78" s="456"/>
      <c r="VTB78" s="449"/>
      <c r="VTC78" s="450"/>
      <c r="VTD78" s="452"/>
      <c r="VTE78" s="448"/>
      <c r="VTF78" s="456"/>
      <c r="VTG78" s="458"/>
      <c r="VTH78" s="458"/>
      <c r="VTJ78" s="454"/>
      <c r="VTK78" s="450"/>
      <c r="VTL78" s="454"/>
      <c r="VTM78" s="448"/>
      <c r="VTN78" s="449"/>
      <c r="VTO78" s="450"/>
      <c r="VTP78" s="447"/>
      <c r="VTQ78" s="448"/>
      <c r="VTR78" s="449"/>
      <c r="VTS78" s="450"/>
      <c r="VTT78" s="447"/>
      <c r="VTU78" s="451"/>
      <c r="VTV78" s="449"/>
      <c r="VTW78" s="450"/>
      <c r="VTX78" s="447"/>
      <c r="VTY78" s="451"/>
      <c r="VTZ78" s="449"/>
      <c r="VUA78" s="450"/>
      <c r="VUB78" s="447"/>
      <c r="VUC78" s="451"/>
      <c r="VUD78" s="449"/>
      <c r="VUE78" s="450"/>
      <c r="VUF78" s="452"/>
      <c r="VUG78" s="451"/>
      <c r="VUH78" s="449"/>
      <c r="VUI78" s="450"/>
      <c r="VUJ78" s="447"/>
      <c r="VUK78" s="448"/>
      <c r="VUL78" s="453"/>
      <c r="VUM78" s="449"/>
      <c r="VUN78" s="450"/>
      <c r="VUO78" s="454"/>
      <c r="VUP78" s="448"/>
      <c r="VUR78" s="449"/>
      <c r="VUS78" s="450"/>
      <c r="VUT78" s="452"/>
      <c r="VUU78" s="448"/>
      <c r="VUW78" s="449"/>
      <c r="VUX78" s="450"/>
      <c r="VUY78" s="447"/>
      <c r="VUZ78" s="448"/>
      <c r="VVB78" s="449"/>
      <c r="VVC78" s="450"/>
      <c r="VVD78" s="452"/>
      <c r="VVE78" s="448"/>
      <c r="VVF78" s="449"/>
      <c r="VVG78" s="450"/>
      <c r="VVH78" s="452"/>
      <c r="VVI78" s="448"/>
      <c r="VVJ78" s="455"/>
      <c r="VVK78" s="449"/>
      <c r="VVL78" s="450"/>
      <c r="VVM78" s="459"/>
      <c r="VVN78" s="448"/>
      <c r="VVO78" s="456"/>
      <c r="VVP78" s="449"/>
      <c r="VVQ78" s="450"/>
      <c r="VVR78" s="452"/>
      <c r="VVS78" s="448"/>
      <c r="VVT78" s="449"/>
      <c r="VVU78" s="450"/>
      <c r="VVV78" s="452"/>
      <c r="VVW78" s="448"/>
      <c r="VVX78" s="449"/>
      <c r="VVY78" s="450"/>
      <c r="VVZ78" s="447"/>
      <c r="VWA78" s="448"/>
      <c r="VWB78" s="457"/>
      <c r="VWC78" s="460"/>
      <c r="VWD78" s="450"/>
      <c r="VWE78" s="461"/>
      <c r="VWF78" s="448"/>
      <c r="VWG78" s="456"/>
      <c r="VWH78" s="449"/>
      <c r="VWI78" s="450"/>
      <c r="VWJ78" s="452"/>
      <c r="VWK78" s="448"/>
      <c r="VWL78" s="456"/>
      <c r="VWM78" s="458"/>
      <c r="VWN78" s="458"/>
      <c r="VWP78" s="454"/>
      <c r="VWQ78" s="450"/>
      <c r="VWR78" s="454"/>
      <c r="VWS78" s="448"/>
      <c r="VWT78" s="449"/>
      <c r="VWU78" s="450"/>
      <c r="VWV78" s="447"/>
      <c r="VWW78" s="448"/>
      <c r="VWX78" s="449"/>
      <c r="VWY78" s="450"/>
      <c r="VWZ78" s="447"/>
      <c r="VXA78" s="451"/>
      <c r="VXB78" s="449"/>
      <c r="VXC78" s="450"/>
      <c r="VXD78" s="447"/>
      <c r="VXE78" s="451"/>
      <c r="VXF78" s="449"/>
      <c r="VXG78" s="450"/>
      <c r="VXH78" s="447"/>
      <c r="VXI78" s="451"/>
      <c r="VXJ78" s="449"/>
      <c r="VXK78" s="450"/>
      <c r="VXL78" s="452"/>
      <c r="VXM78" s="451"/>
      <c r="VXN78" s="449"/>
      <c r="VXO78" s="450"/>
      <c r="VXP78" s="447"/>
      <c r="VXQ78" s="448"/>
      <c r="VXR78" s="453"/>
      <c r="VXS78" s="449"/>
      <c r="VXT78" s="450"/>
      <c r="VXU78" s="454"/>
      <c r="VXV78" s="448"/>
      <c r="VXX78" s="449"/>
      <c r="VXY78" s="450"/>
      <c r="VXZ78" s="452"/>
      <c r="VYA78" s="448"/>
      <c r="VYC78" s="449"/>
      <c r="VYD78" s="450"/>
      <c r="VYE78" s="447"/>
      <c r="VYF78" s="448"/>
      <c r="VYH78" s="449"/>
      <c r="VYI78" s="450"/>
      <c r="VYJ78" s="452"/>
      <c r="VYK78" s="448"/>
      <c r="VYL78" s="449"/>
      <c r="VYM78" s="450"/>
      <c r="VYN78" s="452"/>
      <c r="VYO78" s="448"/>
      <c r="VYP78" s="455"/>
      <c r="VYQ78" s="449"/>
      <c r="VYR78" s="450"/>
      <c r="VYS78" s="459"/>
      <c r="VYT78" s="448"/>
      <c r="VYU78" s="456"/>
      <c r="VYV78" s="449"/>
      <c r="VYW78" s="450"/>
      <c r="VYX78" s="452"/>
      <c r="VYY78" s="448"/>
      <c r="VYZ78" s="449"/>
      <c r="VZA78" s="450"/>
      <c r="VZB78" s="452"/>
      <c r="VZC78" s="448"/>
      <c r="VZD78" s="449"/>
      <c r="VZE78" s="450"/>
      <c r="VZF78" s="447"/>
      <c r="VZG78" s="448"/>
      <c r="VZH78" s="457"/>
      <c r="VZI78" s="460"/>
      <c r="VZJ78" s="450"/>
      <c r="VZK78" s="461"/>
      <c r="VZL78" s="448"/>
      <c r="VZM78" s="456"/>
      <c r="VZN78" s="449"/>
      <c r="VZO78" s="450"/>
      <c r="VZP78" s="452"/>
      <c r="VZQ78" s="448"/>
      <c r="VZR78" s="456"/>
      <c r="VZS78" s="458"/>
      <c r="VZT78" s="458"/>
      <c r="VZV78" s="454"/>
      <c r="VZW78" s="450"/>
      <c r="VZX78" s="454"/>
      <c r="VZY78" s="448"/>
      <c r="VZZ78" s="449"/>
      <c r="WAA78" s="450"/>
      <c r="WAB78" s="447"/>
      <c r="WAC78" s="448"/>
      <c r="WAD78" s="449"/>
      <c r="WAE78" s="450"/>
      <c r="WAF78" s="447"/>
      <c r="WAG78" s="451"/>
      <c r="WAH78" s="449"/>
      <c r="WAI78" s="450"/>
      <c r="WAJ78" s="447"/>
      <c r="WAK78" s="451"/>
      <c r="WAL78" s="449"/>
      <c r="WAM78" s="450"/>
      <c r="WAN78" s="447"/>
      <c r="WAO78" s="451"/>
      <c r="WAP78" s="449"/>
      <c r="WAQ78" s="450"/>
      <c r="WAR78" s="452"/>
      <c r="WAS78" s="451"/>
      <c r="WAT78" s="449"/>
      <c r="WAU78" s="450"/>
      <c r="WAV78" s="447"/>
      <c r="WAW78" s="448"/>
      <c r="WAX78" s="453"/>
      <c r="WAY78" s="449"/>
      <c r="WAZ78" s="450"/>
      <c r="WBA78" s="454"/>
      <c r="WBB78" s="448"/>
      <c r="WBD78" s="449"/>
      <c r="WBE78" s="450"/>
      <c r="WBF78" s="452"/>
      <c r="WBG78" s="448"/>
      <c r="WBI78" s="449"/>
      <c r="WBJ78" s="450"/>
      <c r="WBK78" s="447"/>
      <c r="WBL78" s="448"/>
      <c r="WBN78" s="449"/>
      <c r="WBO78" s="450"/>
      <c r="WBP78" s="452"/>
      <c r="WBQ78" s="448"/>
      <c r="WBR78" s="449"/>
      <c r="WBS78" s="450"/>
      <c r="WBT78" s="452"/>
      <c r="WBU78" s="448"/>
      <c r="WBV78" s="455"/>
      <c r="WBW78" s="449"/>
      <c r="WBX78" s="450"/>
      <c r="WBY78" s="459"/>
      <c r="WBZ78" s="448"/>
      <c r="WCA78" s="456"/>
      <c r="WCB78" s="449"/>
      <c r="WCC78" s="450"/>
      <c r="WCD78" s="452"/>
      <c r="WCE78" s="448"/>
      <c r="WCF78" s="449"/>
      <c r="WCG78" s="450"/>
      <c r="WCH78" s="452"/>
      <c r="WCI78" s="448"/>
      <c r="WCJ78" s="449"/>
      <c r="WCK78" s="450"/>
      <c r="WCL78" s="447"/>
      <c r="WCM78" s="448"/>
      <c r="WCN78" s="457"/>
      <c r="WCO78" s="460"/>
      <c r="WCP78" s="450"/>
      <c r="WCQ78" s="461"/>
      <c r="WCR78" s="448"/>
      <c r="WCS78" s="456"/>
      <c r="WCT78" s="449"/>
      <c r="WCU78" s="450"/>
      <c r="WCV78" s="452"/>
      <c r="WCW78" s="448"/>
      <c r="WCX78" s="456"/>
      <c r="WCY78" s="458"/>
      <c r="WCZ78" s="458"/>
      <c r="WDB78" s="454"/>
      <c r="WDC78" s="450"/>
      <c r="WDD78" s="454"/>
      <c r="WDE78" s="448"/>
      <c r="WDF78" s="449"/>
      <c r="WDG78" s="450"/>
      <c r="WDH78" s="447"/>
      <c r="WDI78" s="448"/>
      <c r="WDJ78" s="449"/>
      <c r="WDK78" s="450"/>
      <c r="WDL78" s="447"/>
      <c r="WDM78" s="451"/>
      <c r="WDN78" s="449"/>
      <c r="WDO78" s="450"/>
      <c r="WDP78" s="447"/>
      <c r="WDQ78" s="451"/>
      <c r="WDR78" s="449"/>
      <c r="WDS78" s="450"/>
      <c r="WDT78" s="447"/>
      <c r="WDU78" s="451"/>
      <c r="WDV78" s="449"/>
      <c r="WDW78" s="450"/>
      <c r="WDX78" s="452"/>
      <c r="WDY78" s="451"/>
      <c r="WDZ78" s="449"/>
      <c r="WEA78" s="450"/>
      <c r="WEB78" s="447"/>
      <c r="WEC78" s="448"/>
      <c r="WED78" s="453"/>
      <c r="WEE78" s="449"/>
      <c r="WEF78" s="450"/>
      <c r="WEG78" s="454"/>
      <c r="WEH78" s="448"/>
      <c r="WEJ78" s="449"/>
      <c r="WEK78" s="450"/>
      <c r="WEL78" s="452"/>
      <c r="WEM78" s="448"/>
      <c r="WEO78" s="449"/>
      <c r="WEP78" s="450"/>
      <c r="WEQ78" s="447"/>
      <c r="WER78" s="448"/>
      <c r="WET78" s="449"/>
      <c r="WEU78" s="450"/>
      <c r="WEV78" s="452"/>
      <c r="WEW78" s="448"/>
      <c r="WEX78" s="449"/>
      <c r="WEY78" s="450"/>
      <c r="WEZ78" s="452"/>
      <c r="WFA78" s="448"/>
      <c r="WFB78" s="455"/>
      <c r="WFC78" s="449"/>
      <c r="WFD78" s="450"/>
      <c r="WFE78" s="459"/>
      <c r="WFF78" s="448"/>
      <c r="WFG78" s="456"/>
      <c r="WFH78" s="449"/>
      <c r="WFI78" s="450"/>
      <c r="WFJ78" s="452"/>
      <c r="WFK78" s="448"/>
      <c r="WFL78" s="449"/>
      <c r="WFM78" s="450"/>
      <c r="WFN78" s="452"/>
      <c r="WFO78" s="448"/>
      <c r="WFP78" s="449"/>
      <c r="WFQ78" s="450"/>
      <c r="WFR78" s="447"/>
      <c r="WFS78" s="448"/>
      <c r="WFT78" s="457"/>
      <c r="WFU78" s="460"/>
      <c r="WFV78" s="450"/>
      <c r="WFW78" s="461"/>
      <c r="WFX78" s="448"/>
      <c r="WFY78" s="456"/>
      <c r="WFZ78" s="449"/>
      <c r="WGA78" s="450"/>
      <c r="WGB78" s="452"/>
      <c r="WGC78" s="448"/>
      <c r="WGD78" s="456"/>
      <c r="WGE78" s="458"/>
      <c r="WGF78" s="458"/>
      <c r="WGH78" s="454"/>
      <c r="WGI78" s="450"/>
      <c r="WGJ78" s="454"/>
      <c r="WGK78" s="448"/>
      <c r="WGL78" s="449"/>
      <c r="WGM78" s="450"/>
      <c r="WGN78" s="447"/>
      <c r="WGO78" s="448"/>
      <c r="WGP78" s="449"/>
      <c r="WGQ78" s="450"/>
      <c r="WGR78" s="447"/>
      <c r="WGS78" s="451"/>
      <c r="WGT78" s="449"/>
      <c r="WGU78" s="450"/>
      <c r="WGV78" s="447"/>
      <c r="WGW78" s="451"/>
      <c r="WGX78" s="449"/>
      <c r="WGY78" s="450"/>
      <c r="WGZ78" s="447"/>
      <c r="WHA78" s="451"/>
      <c r="WHB78" s="449"/>
      <c r="WHC78" s="450"/>
      <c r="WHD78" s="452"/>
      <c r="WHE78" s="451"/>
      <c r="WHF78" s="449"/>
      <c r="WHG78" s="450"/>
      <c r="WHH78" s="447"/>
      <c r="WHI78" s="448"/>
      <c r="WHJ78" s="453"/>
      <c r="WHK78" s="449"/>
      <c r="WHL78" s="450"/>
      <c r="WHM78" s="454"/>
      <c r="WHN78" s="448"/>
      <c r="WHP78" s="449"/>
      <c r="WHQ78" s="450"/>
      <c r="WHR78" s="452"/>
      <c r="WHS78" s="448"/>
      <c r="WHU78" s="449"/>
      <c r="WHV78" s="450"/>
      <c r="WHW78" s="447"/>
      <c r="WHX78" s="448"/>
      <c r="WHZ78" s="449"/>
      <c r="WIA78" s="450"/>
      <c r="WIB78" s="452"/>
      <c r="WIC78" s="448"/>
      <c r="WID78" s="449"/>
      <c r="WIE78" s="450"/>
      <c r="WIF78" s="452"/>
      <c r="WIG78" s="448"/>
      <c r="WIH78" s="455"/>
      <c r="WII78" s="449"/>
      <c r="WIJ78" s="450"/>
      <c r="WIK78" s="459"/>
      <c r="WIL78" s="448"/>
      <c r="WIM78" s="456"/>
      <c r="WIN78" s="449"/>
      <c r="WIO78" s="450"/>
      <c r="WIP78" s="452"/>
      <c r="WIQ78" s="448"/>
      <c r="WIR78" s="449"/>
      <c r="WIS78" s="450"/>
      <c r="WIT78" s="452"/>
      <c r="WIU78" s="448"/>
      <c r="WIV78" s="449"/>
      <c r="WIW78" s="450"/>
      <c r="WIX78" s="447"/>
      <c r="WIY78" s="448"/>
      <c r="WIZ78" s="457"/>
      <c r="WJA78" s="460"/>
      <c r="WJB78" s="450"/>
      <c r="WJC78" s="461"/>
      <c r="WJD78" s="448"/>
      <c r="WJE78" s="456"/>
      <c r="WJF78" s="449"/>
      <c r="WJG78" s="450"/>
      <c r="WJH78" s="452"/>
      <c r="WJI78" s="448"/>
      <c r="WJJ78" s="456"/>
      <c r="WJK78" s="458"/>
      <c r="WJL78" s="458"/>
      <c r="WJN78" s="454"/>
      <c r="WJO78" s="450"/>
      <c r="WJP78" s="454"/>
      <c r="WJQ78" s="448"/>
      <c r="WJR78" s="449"/>
      <c r="WJS78" s="450"/>
      <c r="WJT78" s="447"/>
      <c r="WJU78" s="448"/>
      <c r="WJV78" s="449"/>
      <c r="WJW78" s="450"/>
      <c r="WJX78" s="447"/>
      <c r="WJY78" s="451"/>
      <c r="WJZ78" s="449"/>
      <c r="WKA78" s="450"/>
      <c r="WKB78" s="447"/>
      <c r="WKC78" s="451"/>
      <c r="WKD78" s="449"/>
      <c r="WKE78" s="450"/>
      <c r="WKF78" s="447"/>
      <c r="WKG78" s="451"/>
      <c r="WKH78" s="449"/>
      <c r="WKI78" s="450"/>
      <c r="WKJ78" s="452"/>
      <c r="WKK78" s="451"/>
      <c r="WKL78" s="449"/>
      <c r="WKM78" s="450"/>
      <c r="WKN78" s="447"/>
      <c r="WKO78" s="448"/>
      <c r="WKP78" s="453"/>
      <c r="WKQ78" s="449"/>
      <c r="WKR78" s="450"/>
      <c r="WKS78" s="454"/>
      <c r="WKT78" s="448"/>
      <c r="WKV78" s="449"/>
      <c r="WKW78" s="450"/>
      <c r="WKX78" s="452"/>
      <c r="WKY78" s="448"/>
      <c r="WLA78" s="449"/>
      <c r="WLB78" s="450"/>
      <c r="WLC78" s="447"/>
      <c r="WLD78" s="448"/>
      <c r="WLF78" s="449"/>
      <c r="WLG78" s="450"/>
      <c r="WLH78" s="452"/>
      <c r="WLI78" s="448"/>
      <c r="WLJ78" s="449"/>
      <c r="WLK78" s="450"/>
      <c r="WLL78" s="452"/>
      <c r="WLM78" s="448"/>
      <c r="WLN78" s="455"/>
      <c r="WLO78" s="449"/>
      <c r="WLP78" s="450"/>
      <c r="WLQ78" s="459"/>
      <c r="WLR78" s="448"/>
      <c r="WLS78" s="456"/>
      <c r="WLT78" s="449"/>
      <c r="WLU78" s="450"/>
      <c r="WLV78" s="452"/>
      <c r="WLW78" s="448"/>
      <c r="WLX78" s="449"/>
      <c r="WLY78" s="450"/>
      <c r="WLZ78" s="452"/>
      <c r="WMA78" s="448"/>
      <c r="WMB78" s="449"/>
      <c r="WMC78" s="450"/>
      <c r="WMD78" s="447"/>
      <c r="WME78" s="448"/>
      <c r="WMF78" s="457"/>
      <c r="WMG78" s="460"/>
      <c r="WMH78" s="450"/>
      <c r="WMI78" s="461"/>
      <c r="WMJ78" s="448"/>
      <c r="WMK78" s="456"/>
      <c r="WML78" s="449"/>
      <c r="WMM78" s="450"/>
      <c r="WMN78" s="452"/>
      <c r="WMO78" s="448"/>
      <c r="WMP78" s="456"/>
      <c r="WMQ78" s="458"/>
      <c r="WMR78" s="458"/>
      <c r="WMT78" s="454"/>
      <c r="WMU78" s="450"/>
      <c r="WMV78" s="454"/>
      <c r="WMW78" s="448"/>
      <c r="WMX78" s="449"/>
      <c r="WMY78" s="450"/>
      <c r="WMZ78" s="447"/>
      <c r="WNA78" s="448"/>
      <c r="WNB78" s="449"/>
      <c r="WNC78" s="450"/>
      <c r="WND78" s="447"/>
      <c r="WNE78" s="451"/>
      <c r="WNF78" s="449"/>
      <c r="WNG78" s="450"/>
      <c r="WNH78" s="447"/>
      <c r="WNI78" s="451"/>
      <c r="WNJ78" s="449"/>
      <c r="WNK78" s="450"/>
      <c r="WNL78" s="447"/>
      <c r="WNM78" s="451"/>
      <c r="WNN78" s="449"/>
      <c r="WNO78" s="450"/>
      <c r="WNP78" s="452"/>
      <c r="WNQ78" s="451"/>
      <c r="WNR78" s="449"/>
      <c r="WNS78" s="450"/>
      <c r="WNT78" s="447"/>
      <c r="WNU78" s="448"/>
      <c r="WNV78" s="453"/>
      <c r="WNW78" s="449"/>
      <c r="WNX78" s="450"/>
      <c r="WNY78" s="454"/>
      <c r="WNZ78" s="448"/>
      <c r="WOB78" s="449"/>
      <c r="WOC78" s="450"/>
      <c r="WOD78" s="452"/>
      <c r="WOE78" s="448"/>
      <c r="WOG78" s="449"/>
      <c r="WOH78" s="450"/>
      <c r="WOI78" s="447"/>
      <c r="WOJ78" s="448"/>
      <c r="WOL78" s="449"/>
      <c r="WOM78" s="450"/>
      <c r="WON78" s="452"/>
      <c r="WOO78" s="448"/>
      <c r="WOP78" s="449"/>
      <c r="WOQ78" s="450"/>
      <c r="WOR78" s="452"/>
      <c r="WOS78" s="448"/>
      <c r="WOT78" s="455"/>
      <c r="WOU78" s="449"/>
      <c r="WOV78" s="450"/>
      <c r="WOW78" s="459"/>
      <c r="WOX78" s="448"/>
      <c r="WOY78" s="456"/>
      <c r="WOZ78" s="449"/>
      <c r="WPA78" s="450"/>
      <c r="WPB78" s="452"/>
      <c r="WPC78" s="448"/>
      <c r="WPD78" s="449"/>
      <c r="WPE78" s="450"/>
      <c r="WPF78" s="452"/>
      <c r="WPG78" s="448"/>
      <c r="WPH78" s="449"/>
      <c r="WPI78" s="450"/>
      <c r="WPJ78" s="447"/>
      <c r="WPK78" s="448"/>
      <c r="WPL78" s="457"/>
      <c r="WPM78" s="460"/>
      <c r="WPN78" s="450"/>
      <c r="WPO78" s="461"/>
      <c r="WPP78" s="448"/>
      <c r="WPQ78" s="456"/>
      <c r="WPR78" s="449"/>
      <c r="WPS78" s="450"/>
      <c r="WPT78" s="452"/>
      <c r="WPU78" s="448"/>
      <c r="WPV78" s="456"/>
      <c r="WPW78" s="458"/>
      <c r="WPX78" s="458"/>
      <c r="WPZ78" s="454"/>
      <c r="WQA78" s="450"/>
      <c r="WQB78" s="454"/>
      <c r="WQC78" s="448"/>
      <c r="WQD78" s="449"/>
      <c r="WQE78" s="450"/>
      <c r="WQF78" s="447"/>
      <c r="WQG78" s="448"/>
      <c r="WQH78" s="449"/>
      <c r="WQI78" s="450"/>
      <c r="WQJ78" s="447"/>
      <c r="WQK78" s="451"/>
      <c r="WQL78" s="449"/>
      <c r="WQM78" s="450"/>
      <c r="WQN78" s="447"/>
      <c r="WQO78" s="451"/>
      <c r="WQP78" s="449"/>
      <c r="WQQ78" s="450"/>
      <c r="WQR78" s="447"/>
      <c r="WQS78" s="451"/>
      <c r="WQT78" s="449"/>
      <c r="WQU78" s="450"/>
      <c r="WQV78" s="452"/>
      <c r="WQW78" s="451"/>
      <c r="WQX78" s="449"/>
      <c r="WQY78" s="450"/>
      <c r="WQZ78" s="447"/>
      <c r="WRA78" s="448"/>
      <c r="WRB78" s="453"/>
      <c r="WRC78" s="449"/>
      <c r="WRD78" s="450"/>
      <c r="WRE78" s="454"/>
      <c r="WRF78" s="448"/>
      <c r="WRH78" s="449"/>
      <c r="WRI78" s="450"/>
      <c r="WRJ78" s="452"/>
      <c r="WRK78" s="448"/>
      <c r="WRM78" s="449"/>
      <c r="WRN78" s="450"/>
      <c r="WRO78" s="447"/>
      <c r="WRP78" s="448"/>
      <c r="WRR78" s="449"/>
      <c r="WRS78" s="450"/>
      <c r="WRT78" s="452"/>
      <c r="WRU78" s="448"/>
      <c r="WRV78" s="449"/>
      <c r="WRW78" s="450"/>
      <c r="WRX78" s="452"/>
      <c r="WRY78" s="448"/>
      <c r="WRZ78" s="455"/>
      <c r="WSA78" s="449"/>
      <c r="WSB78" s="450"/>
      <c r="WSC78" s="459"/>
      <c r="WSD78" s="448"/>
      <c r="WSE78" s="456"/>
      <c r="WSF78" s="449"/>
      <c r="WSG78" s="450"/>
      <c r="WSH78" s="452"/>
      <c r="WSI78" s="448"/>
      <c r="WSJ78" s="449"/>
      <c r="WSK78" s="450"/>
      <c r="WSL78" s="452"/>
      <c r="WSM78" s="448"/>
      <c r="WSN78" s="449"/>
      <c r="WSO78" s="450"/>
      <c r="WSP78" s="447"/>
      <c r="WSQ78" s="448"/>
      <c r="WSR78" s="457"/>
      <c r="WSS78" s="460"/>
      <c r="WST78" s="450"/>
      <c r="WSU78" s="461"/>
      <c r="WSV78" s="448"/>
      <c r="WSW78" s="456"/>
      <c r="WSX78" s="449"/>
      <c r="WSY78" s="450"/>
      <c r="WSZ78" s="452"/>
      <c r="WTA78" s="448"/>
      <c r="WTB78" s="456"/>
      <c r="WTC78" s="458"/>
      <c r="WTD78" s="458"/>
      <c r="WTF78" s="454"/>
      <c r="WTG78" s="450"/>
      <c r="WTH78" s="454"/>
      <c r="WTI78" s="448"/>
      <c r="WTJ78" s="449"/>
      <c r="WTK78" s="450"/>
      <c r="WTL78" s="447"/>
      <c r="WTM78" s="448"/>
      <c r="WTN78" s="449"/>
      <c r="WTO78" s="450"/>
      <c r="WTP78" s="447"/>
      <c r="WTQ78" s="451"/>
      <c r="WTR78" s="449"/>
      <c r="WTS78" s="450"/>
      <c r="WTT78" s="447"/>
      <c r="WTU78" s="451"/>
      <c r="WTV78" s="449"/>
      <c r="WTW78" s="450"/>
      <c r="WTX78" s="447"/>
      <c r="WTY78" s="451"/>
      <c r="WTZ78" s="449"/>
      <c r="WUA78" s="450"/>
      <c r="WUB78" s="452"/>
      <c r="WUC78" s="451"/>
      <c r="WUD78" s="449"/>
      <c r="WUE78" s="450"/>
      <c r="WUF78" s="447"/>
      <c r="WUG78" s="448"/>
      <c r="WUH78" s="453"/>
      <c r="WUI78" s="449"/>
      <c r="WUJ78" s="450"/>
      <c r="WUK78" s="454"/>
      <c r="WUL78" s="448"/>
      <c r="WUN78" s="449"/>
      <c r="WUO78" s="450"/>
      <c r="WUP78" s="452"/>
      <c r="WUQ78" s="448"/>
      <c r="WUS78" s="449"/>
      <c r="WUT78" s="450"/>
      <c r="WUU78" s="447"/>
      <c r="WUV78" s="448"/>
      <c r="WUX78" s="449"/>
      <c r="WUY78" s="450"/>
      <c r="WUZ78" s="452"/>
      <c r="WVA78" s="448"/>
      <c r="WVB78" s="449"/>
      <c r="WVC78" s="450"/>
      <c r="WVD78" s="452"/>
      <c r="WVE78" s="448"/>
      <c r="WVF78" s="455"/>
      <c r="WVG78" s="449"/>
      <c r="WVH78" s="450"/>
      <c r="WVI78" s="459"/>
      <c r="WVJ78" s="448"/>
      <c r="WVK78" s="456"/>
      <c r="WVL78" s="449"/>
      <c r="WVM78" s="450"/>
      <c r="WVN78" s="452"/>
      <c r="WVO78" s="448"/>
      <c r="WVP78" s="449"/>
      <c r="WVQ78" s="450"/>
      <c r="WVR78" s="452"/>
      <c r="WVS78" s="448"/>
      <c r="WVT78" s="449"/>
      <c r="WVU78" s="450"/>
      <c r="WVV78" s="447"/>
      <c r="WVW78" s="448"/>
      <c r="WVX78" s="457"/>
      <c r="WVY78" s="460"/>
      <c r="WVZ78" s="450"/>
      <c r="WWA78" s="461"/>
      <c r="WWB78" s="448"/>
      <c r="WWC78" s="456"/>
      <c r="WWD78" s="449"/>
      <c r="WWE78" s="450"/>
      <c r="WWF78" s="452"/>
      <c r="WWG78" s="448"/>
      <c r="WWH78" s="456"/>
      <c r="WWI78" s="458"/>
      <c r="WWJ78" s="458"/>
      <c r="WWL78" s="454"/>
      <c r="WWM78" s="450"/>
      <c r="WWN78" s="454"/>
      <c r="WWO78" s="448"/>
      <c r="WWP78" s="449"/>
      <c r="WWQ78" s="450"/>
      <c r="WWR78" s="447"/>
      <c r="WWS78" s="448"/>
      <c r="WWT78" s="449"/>
      <c r="WWU78" s="450"/>
      <c r="WWV78" s="447"/>
      <c r="WWW78" s="451"/>
      <c r="WWX78" s="449"/>
      <c r="WWY78" s="450"/>
      <c r="WWZ78" s="447"/>
      <c r="WXA78" s="451"/>
      <c r="WXB78" s="449"/>
      <c r="WXC78" s="450"/>
      <c r="WXD78" s="447"/>
      <c r="WXE78" s="451"/>
      <c r="WXF78" s="449"/>
      <c r="WXG78" s="450"/>
      <c r="WXH78" s="452"/>
      <c r="WXI78" s="451"/>
      <c r="WXJ78" s="449"/>
      <c r="WXK78" s="450"/>
      <c r="WXL78" s="447"/>
      <c r="WXM78" s="448"/>
      <c r="WXN78" s="453"/>
      <c r="WXO78" s="449"/>
      <c r="WXP78" s="450"/>
      <c r="WXQ78" s="454"/>
      <c r="WXR78" s="448"/>
      <c r="WXT78" s="449"/>
      <c r="WXU78" s="450"/>
      <c r="WXV78" s="452"/>
      <c r="WXW78" s="448"/>
      <c r="WXY78" s="449"/>
      <c r="WXZ78" s="450"/>
      <c r="WYA78" s="447"/>
      <c r="WYB78" s="448"/>
      <c r="WYD78" s="449"/>
      <c r="WYE78" s="450"/>
      <c r="WYF78" s="452"/>
      <c r="WYG78" s="448"/>
      <c r="WYH78" s="449"/>
      <c r="WYI78" s="450"/>
      <c r="WYJ78" s="452"/>
      <c r="WYK78" s="448"/>
      <c r="WYL78" s="455"/>
      <c r="WYM78" s="449"/>
      <c r="WYN78" s="450"/>
      <c r="WYO78" s="459"/>
      <c r="WYP78" s="448"/>
      <c r="WYQ78" s="456"/>
      <c r="WYR78" s="449"/>
      <c r="WYS78" s="450"/>
      <c r="WYT78" s="452"/>
      <c r="WYU78" s="448"/>
      <c r="WYV78" s="449"/>
      <c r="WYW78" s="450"/>
      <c r="WYX78" s="452"/>
      <c r="WYY78" s="448"/>
      <c r="WYZ78" s="449"/>
      <c r="WZA78" s="450"/>
      <c r="WZB78" s="447"/>
      <c r="WZC78" s="448"/>
      <c r="WZD78" s="457"/>
      <c r="WZE78" s="460"/>
      <c r="WZF78" s="450"/>
      <c r="WZG78" s="461"/>
      <c r="WZH78" s="448"/>
      <c r="WZI78" s="456"/>
      <c r="WZJ78" s="449"/>
      <c r="WZK78" s="450"/>
      <c r="WZL78" s="452"/>
      <c r="WZM78" s="448"/>
      <c r="WZN78" s="456"/>
      <c r="WZO78" s="458"/>
      <c r="WZP78" s="458"/>
      <c r="WZR78" s="454"/>
      <c r="WZS78" s="450"/>
      <c r="WZT78" s="454"/>
      <c r="WZU78" s="448"/>
      <c r="WZV78" s="449"/>
      <c r="WZW78" s="450"/>
      <c r="WZX78" s="447"/>
      <c r="WZY78" s="448"/>
      <c r="WZZ78" s="449"/>
      <c r="XAA78" s="450"/>
      <c r="XAB78" s="447"/>
      <c r="XAC78" s="451"/>
      <c r="XAD78" s="449"/>
      <c r="XAE78" s="450"/>
      <c r="XAF78" s="447"/>
      <c r="XAG78" s="451"/>
      <c r="XAH78" s="449"/>
      <c r="XAI78" s="450"/>
      <c r="XAJ78" s="447"/>
      <c r="XAK78" s="451"/>
      <c r="XAL78" s="449"/>
      <c r="XAM78" s="450"/>
      <c r="XAN78" s="452"/>
      <c r="XAO78" s="451"/>
      <c r="XAP78" s="449"/>
      <c r="XAQ78" s="450"/>
      <c r="XAR78" s="447"/>
      <c r="XAS78" s="448"/>
      <c r="XAT78" s="453"/>
      <c r="XAU78" s="449"/>
      <c r="XAV78" s="450"/>
      <c r="XAW78" s="454"/>
      <c r="XAX78" s="448"/>
      <c r="XAZ78" s="449"/>
      <c r="XBA78" s="450"/>
      <c r="XBB78" s="452"/>
      <c r="XBC78" s="448"/>
      <c r="XBE78" s="449"/>
      <c r="XBF78" s="450"/>
      <c r="XBG78" s="447"/>
      <c r="XBH78" s="448"/>
      <c r="XBJ78" s="449"/>
      <c r="XBK78" s="450"/>
      <c r="XBL78" s="452"/>
      <c r="XBM78" s="448"/>
      <c r="XBN78" s="449"/>
      <c r="XBO78" s="450"/>
      <c r="XBP78" s="452"/>
      <c r="XBQ78" s="448"/>
      <c r="XBR78" s="455"/>
      <c r="XBS78" s="449"/>
      <c r="XBT78" s="450"/>
      <c r="XBU78" s="459"/>
      <c r="XBV78" s="448"/>
      <c r="XBW78" s="456"/>
      <c r="XBX78" s="449"/>
      <c r="XBY78" s="450"/>
      <c r="XBZ78" s="452"/>
      <c r="XCA78" s="448"/>
      <c r="XCB78" s="449"/>
      <c r="XCC78" s="450"/>
      <c r="XCD78" s="452"/>
      <c r="XCE78" s="448"/>
      <c r="XCF78" s="449"/>
      <c r="XCG78" s="450"/>
      <c r="XCH78" s="447"/>
      <c r="XCI78" s="448"/>
      <c r="XCJ78" s="457"/>
      <c r="XCK78" s="460"/>
      <c r="XCL78" s="450"/>
      <c r="XCM78" s="461"/>
      <c r="XCN78" s="448"/>
      <c r="XCO78" s="456"/>
      <c r="XCP78" s="449"/>
      <c r="XCQ78" s="450"/>
      <c r="XCR78" s="452"/>
      <c r="XCS78" s="448"/>
      <c r="XCT78" s="456"/>
      <c r="XCU78" s="458"/>
      <c r="XCV78" s="458"/>
      <c r="XCX78" s="454"/>
      <c r="XCY78" s="450"/>
      <c r="XCZ78" s="454"/>
      <c r="XDA78" s="448"/>
      <c r="XDB78" s="449"/>
      <c r="XDC78" s="450"/>
      <c r="XDD78" s="447"/>
      <c r="XDE78" s="448"/>
    </row>
    <row r="79" spans="1:7168 7170:15360 15362:16333" s="445" customFormat="1" x14ac:dyDescent="0.35">
      <c r="B79" s="446" t="s">
        <v>527</v>
      </c>
      <c r="C79" s="180">
        <v>4.0082492880000009</v>
      </c>
      <c r="D79" s="448">
        <v>1.2011137590095778E-3</v>
      </c>
      <c r="E79" s="449">
        <v>4.0082492880000009</v>
      </c>
      <c r="F79" s="182">
        <v>1.2011137590095778E-3</v>
      </c>
      <c r="G79" s="180">
        <v>6.6804154800000006</v>
      </c>
      <c r="H79" s="182">
        <v>5.6549122260616752E-3</v>
      </c>
      <c r="I79" s="449">
        <v>6.6804154800000006</v>
      </c>
      <c r="J79" s="182">
        <v>5.6549122260616752E-3</v>
      </c>
      <c r="K79" s="180">
        <v>0</v>
      </c>
      <c r="L79" s="448">
        <v>0</v>
      </c>
      <c r="M79" s="449">
        <v>0</v>
      </c>
      <c r="N79" s="448">
        <v>0</v>
      </c>
      <c r="O79" s="180">
        <v>4.0082492880000009</v>
      </c>
      <c r="P79" s="182">
        <v>4.2787046205193559E-3</v>
      </c>
      <c r="Q79" s="449">
        <v>4.0082492880000009</v>
      </c>
      <c r="R79" s="182">
        <v>4.2787046205193559E-3</v>
      </c>
      <c r="S79" s="180">
        <v>-33.402077400000003</v>
      </c>
      <c r="T79" s="182">
        <v>-0.68494533867109608</v>
      </c>
      <c r="U79" s="449">
        <v>-33.402077400000003</v>
      </c>
      <c r="V79" s="182">
        <v>-0.68494533867109608</v>
      </c>
      <c r="W79" s="180">
        <v>0</v>
      </c>
      <c r="X79" s="182">
        <v>0</v>
      </c>
      <c r="Y79" s="453">
        <v>0</v>
      </c>
      <c r="Z79" s="182">
        <v>0</v>
      </c>
      <c r="AA79" s="450"/>
      <c r="AB79" s="180">
        <v>-18.705163343999999</v>
      </c>
      <c r="AC79" s="182">
        <v>-3.5754407468606957E-3</v>
      </c>
      <c r="AD79" s="186">
        <v>-18.705163343999999</v>
      </c>
      <c r="AE79" s="182">
        <v>-3.5754407468606957E-3</v>
      </c>
      <c r="AF79" s="450"/>
      <c r="AG79" s="180">
        <v>4.6762908360000006</v>
      </c>
      <c r="AH79" s="182">
        <v>1.2621782907316248E-2</v>
      </c>
      <c r="AI79" s="464">
        <v>4.6762908360000006</v>
      </c>
      <c r="AJ79" s="449">
        <v>1.2621782907316248E-2</v>
      </c>
      <c r="AK79" s="450"/>
      <c r="AL79" s="180">
        <v>6.6804154800000006</v>
      </c>
      <c r="AM79" s="182">
        <v>5.8697439528717817E-3</v>
      </c>
      <c r="AN79" s="445">
        <v>6.6804154800000006</v>
      </c>
      <c r="AO79" s="449">
        <v>5.8697439528717817E-3</v>
      </c>
      <c r="AP79" s="548"/>
      <c r="AQ79" s="180">
        <v>7.3484570280000012</v>
      </c>
      <c r="AR79" s="182">
        <v>4.0117959794761498E-3</v>
      </c>
      <c r="AS79" s="449">
        <v>7.3484570280000012</v>
      </c>
      <c r="AT79" s="450">
        <v>4.0117959794761498E-3</v>
      </c>
      <c r="AU79" s="180">
        <v>0</v>
      </c>
      <c r="AV79" s="448">
        <v>0</v>
      </c>
      <c r="AW79" s="455">
        <v>0</v>
      </c>
      <c r="AX79" s="449">
        <v>0</v>
      </c>
      <c r="AY79" s="450"/>
      <c r="AZ79" s="180">
        <v>7.3484570280000012</v>
      </c>
      <c r="BA79" s="182">
        <v>2.7393381063524993E-3</v>
      </c>
      <c r="BB79" s="465">
        <v>7.3484570280000012</v>
      </c>
      <c r="BC79" s="449">
        <v>2.7393381063524993E-3</v>
      </c>
      <c r="BD79" s="450"/>
      <c r="BE79" s="180">
        <v>0</v>
      </c>
      <c r="BF79" s="182">
        <v>0</v>
      </c>
      <c r="BG79" s="449">
        <v>0</v>
      </c>
      <c r="BH79" s="450">
        <v>0</v>
      </c>
      <c r="BI79" s="180">
        <v>0</v>
      </c>
      <c r="BJ79" s="182">
        <v>0</v>
      </c>
      <c r="BK79" s="449">
        <v>0</v>
      </c>
      <c r="BL79" s="450">
        <v>0</v>
      </c>
      <c r="BM79" s="180">
        <v>0</v>
      </c>
      <c r="BN79" s="448">
        <v>0</v>
      </c>
      <c r="BO79" s="457">
        <v>0</v>
      </c>
      <c r="BP79" s="448">
        <v>0</v>
      </c>
      <c r="BQ79" s="450"/>
      <c r="BR79" s="180">
        <v>0</v>
      </c>
      <c r="BS79" s="182">
        <v>0</v>
      </c>
      <c r="BT79" s="183">
        <v>0</v>
      </c>
      <c r="BU79" s="182">
        <v>0</v>
      </c>
      <c r="BV79" s="450"/>
      <c r="BW79" s="180">
        <v>0</v>
      </c>
      <c r="BX79" s="182">
        <v>0</v>
      </c>
      <c r="BY79" s="456">
        <v>0</v>
      </c>
      <c r="BZ79" s="182">
        <v>0</v>
      </c>
      <c r="CA79" s="458"/>
      <c r="CB79" s="180">
        <v>0</v>
      </c>
      <c r="CC79" s="454"/>
      <c r="CD79" s="450"/>
      <c r="CE79" s="454">
        <v>0</v>
      </c>
      <c r="CF79" s="182">
        <v>0</v>
      </c>
      <c r="CG79" s="454">
        <v>0</v>
      </c>
      <c r="CH79" s="182">
        <v>0</v>
      </c>
      <c r="CI79" s="456"/>
      <c r="CJ79" s="449"/>
      <c r="CK79" s="450"/>
      <c r="CL79" s="452"/>
      <c r="CM79" s="448"/>
      <c r="CN79" s="449"/>
      <c r="CO79" s="450"/>
      <c r="CP79" s="452"/>
      <c r="CQ79" s="448"/>
      <c r="CR79" s="449"/>
      <c r="CS79" s="450"/>
      <c r="CT79" s="447"/>
      <c r="CU79" s="448"/>
      <c r="CV79" s="457"/>
      <c r="CW79" s="460"/>
      <c r="CX79" s="450"/>
      <c r="CY79" s="461"/>
      <c r="CZ79" s="448"/>
      <c r="DA79" s="456"/>
      <c r="DB79" s="449"/>
      <c r="DC79" s="450"/>
      <c r="DD79" s="452"/>
      <c r="DE79" s="448"/>
      <c r="DF79" s="456"/>
      <c r="DG79" s="458"/>
      <c r="DH79" s="458"/>
      <c r="DJ79" s="454"/>
      <c r="DK79" s="450"/>
      <c r="DL79" s="454"/>
      <c r="DM79" s="448"/>
      <c r="DN79" s="449"/>
      <c r="DO79" s="450"/>
      <c r="DP79" s="447"/>
      <c r="DQ79" s="448"/>
      <c r="DR79" s="449"/>
      <c r="DS79" s="450"/>
      <c r="DT79" s="447"/>
      <c r="DU79" s="451"/>
      <c r="DV79" s="449"/>
      <c r="DW79" s="450"/>
      <c r="DX79" s="447"/>
      <c r="DY79" s="451"/>
      <c r="DZ79" s="449"/>
      <c r="EA79" s="450"/>
      <c r="EB79" s="447"/>
      <c r="EC79" s="451"/>
      <c r="ED79" s="449"/>
      <c r="EE79" s="450"/>
      <c r="EF79" s="452"/>
      <c r="EG79" s="451"/>
      <c r="EH79" s="449"/>
      <c r="EI79" s="450"/>
      <c r="EJ79" s="447"/>
      <c r="EK79" s="448"/>
      <c r="EL79" s="453"/>
      <c r="EM79" s="449"/>
      <c r="EN79" s="450"/>
      <c r="EO79" s="454"/>
      <c r="EP79" s="448"/>
      <c r="ER79" s="449"/>
      <c r="ES79" s="450"/>
      <c r="ET79" s="452"/>
      <c r="EU79" s="448"/>
      <c r="EW79" s="449"/>
      <c r="EX79" s="450"/>
      <c r="EY79" s="447"/>
      <c r="EZ79" s="448"/>
      <c r="FB79" s="449"/>
      <c r="FC79" s="450"/>
      <c r="FD79" s="452"/>
      <c r="FE79" s="448"/>
      <c r="FF79" s="449"/>
      <c r="FG79" s="450"/>
      <c r="FH79" s="452"/>
      <c r="FI79" s="448"/>
      <c r="FJ79" s="455"/>
      <c r="FK79" s="449"/>
      <c r="FL79" s="450"/>
      <c r="FM79" s="459"/>
      <c r="FN79" s="448"/>
      <c r="FO79" s="456"/>
      <c r="FP79" s="449"/>
      <c r="FQ79" s="450"/>
      <c r="FR79" s="452"/>
      <c r="FS79" s="448"/>
      <c r="FT79" s="449"/>
      <c r="FU79" s="450"/>
      <c r="FV79" s="452"/>
      <c r="FW79" s="448"/>
      <c r="FX79" s="449"/>
      <c r="FY79" s="450"/>
      <c r="FZ79" s="447"/>
      <c r="GA79" s="448"/>
      <c r="GB79" s="457"/>
      <c r="GC79" s="460"/>
      <c r="GD79" s="450"/>
      <c r="GE79" s="461"/>
      <c r="GF79" s="448"/>
      <c r="GG79" s="456"/>
      <c r="GH79" s="449"/>
      <c r="GI79" s="450"/>
      <c r="GJ79" s="452"/>
      <c r="GK79" s="448"/>
      <c r="GL79" s="456"/>
      <c r="GM79" s="458"/>
      <c r="GN79" s="458"/>
      <c r="GP79" s="454"/>
      <c r="GQ79" s="450"/>
      <c r="GR79" s="454"/>
      <c r="GS79" s="448"/>
      <c r="GT79" s="449"/>
      <c r="GU79" s="450"/>
      <c r="GV79" s="447"/>
      <c r="GW79" s="448"/>
      <c r="GX79" s="449"/>
      <c r="GY79" s="450"/>
      <c r="GZ79" s="447"/>
      <c r="HA79" s="451"/>
      <c r="HB79" s="449"/>
      <c r="HC79" s="450"/>
      <c r="HD79" s="447"/>
      <c r="HE79" s="451"/>
      <c r="HF79" s="449"/>
      <c r="HG79" s="450"/>
      <c r="HH79" s="447"/>
      <c r="HI79" s="451"/>
      <c r="HJ79" s="449"/>
      <c r="HK79" s="450"/>
      <c r="HL79" s="452"/>
      <c r="HM79" s="451"/>
      <c r="HN79" s="449"/>
      <c r="HO79" s="450"/>
      <c r="HP79" s="447"/>
      <c r="HQ79" s="448"/>
      <c r="HR79" s="453"/>
      <c r="HS79" s="449"/>
      <c r="HT79" s="450"/>
      <c r="HU79" s="454"/>
      <c r="HV79" s="448"/>
      <c r="HX79" s="449"/>
      <c r="HY79" s="450"/>
      <c r="HZ79" s="452"/>
      <c r="IA79" s="448"/>
      <c r="IC79" s="449"/>
      <c r="ID79" s="450"/>
      <c r="IE79" s="447"/>
      <c r="IF79" s="448"/>
      <c r="IH79" s="449"/>
      <c r="II79" s="450"/>
      <c r="IJ79" s="452"/>
      <c r="IK79" s="448"/>
      <c r="IL79" s="449"/>
      <c r="IM79" s="450"/>
      <c r="IN79" s="452"/>
      <c r="IO79" s="448"/>
      <c r="IP79" s="455"/>
      <c r="IQ79" s="449"/>
      <c r="IR79" s="450"/>
      <c r="IS79" s="459"/>
      <c r="IT79" s="448"/>
      <c r="IU79" s="456"/>
      <c r="IV79" s="449"/>
      <c r="IW79" s="450"/>
      <c r="IX79" s="452"/>
      <c r="IY79" s="448"/>
      <c r="IZ79" s="449"/>
      <c r="JA79" s="450"/>
      <c r="JB79" s="452"/>
      <c r="JC79" s="448"/>
      <c r="JD79" s="449"/>
      <c r="JE79" s="450"/>
      <c r="JF79" s="447"/>
      <c r="JG79" s="448"/>
      <c r="JH79" s="457"/>
      <c r="JI79" s="460"/>
      <c r="JJ79" s="450"/>
      <c r="JK79" s="461"/>
      <c r="JL79" s="448"/>
      <c r="JM79" s="456"/>
      <c r="JN79" s="449"/>
      <c r="JO79" s="450"/>
      <c r="JP79" s="452"/>
      <c r="JQ79" s="448"/>
      <c r="JR79" s="456"/>
      <c r="JS79" s="458"/>
      <c r="JT79" s="458"/>
      <c r="JV79" s="454"/>
      <c r="JW79" s="450"/>
      <c r="JX79" s="454"/>
      <c r="JY79" s="448"/>
      <c r="JZ79" s="449"/>
      <c r="KA79" s="450"/>
      <c r="KB79" s="447"/>
      <c r="KC79" s="448"/>
      <c r="KD79" s="449"/>
      <c r="KE79" s="450"/>
      <c r="KF79" s="447"/>
      <c r="KG79" s="451"/>
      <c r="KH79" s="449"/>
      <c r="KI79" s="450"/>
      <c r="KJ79" s="447"/>
      <c r="KK79" s="451"/>
      <c r="KL79" s="449"/>
      <c r="KM79" s="450"/>
      <c r="KN79" s="447"/>
      <c r="KO79" s="451"/>
      <c r="KP79" s="449"/>
      <c r="KQ79" s="450"/>
      <c r="KR79" s="452"/>
      <c r="KS79" s="451"/>
      <c r="KT79" s="449"/>
      <c r="KU79" s="450"/>
      <c r="KV79" s="447"/>
      <c r="KW79" s="448"/>
      <c r="KX79" s="453"/>
      <c r="KY79" s="449"/>
      <c r="KZ79" s="450"/>
      <c r="LA79" s="454"/>
      <c r="LB79" s="448"/>
      <c r="LD79" s="449"/>
      <c r="LE79" s="450"/>
      <c r="LF79" s="452"/>
      <c r="LG79" s="448"/>
      <c r="LI79" s="449"/>
      <c r="LJ79" s="450"/>
      <c r="LK79" s="447"/>
      <c r="LL79" s="448"/>
      <c r="LN79" s="449"/>
      <c r="LO79" s="450"/>
      <c r="LP79" s="452"/>
      <c r="LQ79" s="448"/>
      <c r="LR79" s="449"/>
      <c r="LS79" s="450"/>
      <c r="LT79" s="452"/>
      <c r="LU79" s="448"/>
      <c r="LV79" s="455"/>
      <c r="LW79" s="449"/>
      <c r="LX79" s="450"/>
      <c r="LY79" s="459"/>
      <c r="LZ79" s="448"/>
      <c r="MA79" s="456"/>
      <c r="MB79" s="449"/>
      <c r="MC79" s="450"/>
      <c r="MD79" s="452"/>
      <c r="ME79" s="448"/>
      <c r="MF79" s="449"/>
      <c r="MG79" s="450"/>
      <c r="MH79" s="452"/>
      <c r="MI79" s="448"/>
      <c r="MJ79" s="449"/>
      <c r="MK79" s="450"/>
      <c r="ML79" s="447"/>
      <c r="MM79" s="448"/>
      <c r="MN79" s="457"/>
      <c r="MO79" s="460"/>
      <c r="MP79" s="450"/>
      <c r="MQ79" s="461"/>
      <c r="MR79" s="448"/>
      <c r="MS79" s="456"/>
      <c r="MT79" s="449"/>
      <c r="MU79" s="450"/>
      <c r="MV79" s="452"/>
      <c r="MW79" s="448"/>
      <c r="MX79" s="456"/>
      <c r="MY79" s="458"/>
      <c r="MZ79" s="458"/>
      <c r="NB79" s="454"/>
      <c r="NC79" s="450"/>
      <c r="ND79" s="454"/>
      <c r="NE79" s="448"/>
      <c r="NF79" s="449"/>
      <c r="NG79" s="450"/>
      <c r="NH79" s="447"/>
      <c r="NI79" s="448"/>
      <c r="NJ79" s="449"/>
      <c r="NK79" s="450"/>
      <c r="NL79" s="447"/>
      <c r="NM79" s="451"/>
      <c r="NN79" s="449"/>
      <c r="NO79" s="450"/>
      <c r="NP79" s="447"/>
      <c r="NQ79" s="451"/>
      <c r="NR79" s="449"/>
      <c r="NS79" s="450"/>
      <c r="NT79" s="447"/>
      <c r="NU79" s="451"/>
      <c r="NV79" s="449"/>
      <c r="NW79" s="450"/>
      <c r="NX79" s="452"/>
      <c r="NY79" s="451"/>
      <c r="NZ79" s="449"/>
      <c r="OA79" s="450"/>
      <c r="OB79" s="447"/>
      <c r="OC79" s="448"/>
      <c r="OD79" s="453"/>
      <c r="OE79" s="449"/>
      <c r="OF79" s="450"/>
      <c r="OG79" s="454"/>
      <c r="OH79" s="448"/>
      <c r="OJ79" s="449"/>
      <c r="OK79" s="450"/>
      <c r="OL79" s="452"/>
      <c r="OM79" s="448"/>
      <c r="OO79" s="449"/>
      <c r="OP79" s="450"/>
      <c r="OQ79" s="447"/>
      <c r="OR79" s="448"/>
      <c r="OT79" s="449"/>
      <c r="OU79" s="450"/>
      <c r="OV79" s="452"/>
      <c r="OW79" s="448"/>
      <c r="OX79" s="449"/>
      <c r="OY79" s="450"/>
      <c r="OZ79" s="452"/>
      <c r="PA79" s="448"/>
      <c r="PB79" s="455"/>
      <c r="PC79" s="449"/>
      <c r="PD79" s="450"/>
      <c r="PE79" s="459"/>
      <c r="PF79" s="448"/>
      <c r="PG79" s="456"/>
      <c r="PH79" s="449"/>
      <c r="PI79" s="450"/>
      <c r="PJ79" s="452"/>
      <c r="PK79" s="448"/>
      <c r="PL79" s="449"/>
      <c r="PM79" s="450"/>
      <c r="PN79" s="452"/>
      <c r="PO79" s="448"/>
      <c r="PP79" s="449"/>
      <c r="PQ79" s="450"/>
      <c r="PR79" s="447"/>
      <c r="PS79" s="448"/>
      <c r="PT79" s="457"/>
      <c r="PU79" s="460"/>
      <c r="PV79" s="450"/>
      <c r="PW79" s="461"/>
      <c r="PX79" s="448"/>
      <c r="PY79" s="456"/>
      <c r="PZ79" s="449"/>
      <c r="QA79" s="450"/>
      <c r="QB79" s="452"/>
      <c r="QC79" s="448"/>
      <c r="QD79" s="456"/>
      <c r="QE79" s="458"/>
      <c r="QF79" s="458"/>
      <c r="QH79" s="454"/>
      <c r="QI79" s="450"/>
      <c r="QJ79" s="454"/>
      <c r="QK79" s="448"/>
      <c r="QL79" s="449"/>
      <c r="QM79" s="450"/>
      <c r="QN79" s="447"/>
      <c r="QO79" s="448"/>
      <c r="QP79" s="449"/>
      <c r="QQ79" s="450"/>
      <c r="QR79" s="447"/>
      <c r="QS79" s="451"/>
      <c r="QT79" s="449"/>
      <c r="QU79" s="450"/>
      <c r="QV79" s="447"/>
      <c r="QW79" s="451"/>
      <c r="QX79" s="449"/>
      <c r="QY79" s="450"/>
      <c r="QZ79" s="447"/>
      <c r="RA79" s="451"/>
      <c r="RB79" s="449"/>
      <c r="RC79" s="450"/>
      <c r="RD79" s="452"/>
      <c r="RE79" s="451"/>
      <c r="RF79" s="449"/>
      <c r="RG79" s="450"/>
      <c r="RH79" s="447"/>
      <c r="RI79" s="448"/>
      <c r="RJ79" s="453"/>
      <c r="RK79" s="449"/>
      <c r="RL79" s="450"/>
      <c r="RM79" s="454"/>
      <c r="RN79" s="448"/>
      <c r="RP79" s="449"/>
      <c r="RQ79" s="450"/>
      <c r="RR79" s="452"/>
      <c r="RS79" s="448"/>
      <c r="RU79" s="449"/>
      <c r="RV79" s="450"/>
      <c r="RW79" s="447"/>
      <c r="RX79" s="448"/>
      <c r="RZ79" s="449"/>
      <c r="SA79" s="450"/>
      <c r="SB79" s="452"/>
      <c r="SC79" s="448"/>
      <c r="SD79" s="449"/>
      <c r="SE79" s="450"/>
      <c r="SF79" s="452"/>
      <c r="SG79" s="448"/>
      <c r="SH79" s="455"/>
      <c r="SI79" s="449"/>
      <c r="SJ79" s="450"/>
      <c r="SK79" s="459"/>
      <c r="SL79" s="448"/>
      <c r="SM79" s="456"/>
      <c r="SN79" s="449"/>
      <c r="SO79" s="450"/>
      <c r="SP79" s="452"/>
      <c r="SQ79" s="448"/>
      <c r="SR79" s="449"/>
      <c r="SS79" s="450"/>
      <c r="ST79" s="452"/>
      <c r="SU79" s="448"/>
      <c r="SV79" s="449"/>
      <c r="SW79" s="450"/>
      <c r="SX79" s="447"/>
      <c r="SY79" s="448"/>
      <c r="SZ79" s="457"/>
      <c r="TA79" s="460"/>
      <c r="TB79" s="450"/>
      <c r="TC79" s="461"/>
      <c r="TD79" s="448"/>
      <c r="TE79" s="456"/>
      <c r="TF79" s="449"/>
      <c r="TG79" s="450"/>
      <c r="TH79" s="452"/>
      <c r="TI79" s="448"/>
      <c r="TJ79" s="456"/>
      <c r="TK79" s="458"/>
      <c r="TL79" s="458"/>
      <c r="TN79" s="454"/>
      <c r="TO79" s="450"/>
      <c r="TP79" s="454"/>
      <c r="TQ79" s="448"/>
      <c r="TR79" s="449"/>
      <c r="TS79" s="450"/>
      <c r="TT79" s="447"/>
      <c r="TU79" s="448"/>
      <c r="TV79" s="449"/>
      <c r="TW79" s="450"/>
      <c r="TX79" s="447"/>
      <c r="TY79" s="451"/>
      <c r="TZ79" s="449"/>
      <c r="UA79" s="450"/>
      <c r="UB79" s="447"/>
      <c r="UC79" s="451"/>
      <c r="UD79" s="449"/>
      <c r="UE79" s="450"/>
      <c r="UF79" s="447"/>
      <c r="UG79" s="451"/>
      <c r="UH79" s="449"/>
      <c r="UI79" s="450"/>
      <c r="UJ79" s="452"/>
      <c r="UK79" s="451"/>
      <c r="UL79" s="449"/>
      <c r="UM79" s="450"/>
      <c r="UN79" s="447"/>
      <c r="UO79" s="448"/>
      <c r="UP79" s="453"/>
      <c r="UQ79" s="449"/>
      <c r="UR79" s="450"/>
      <c r="US79" s="454"/>
      <c r="UT79" s="448"/>
      <c r="UV79" s="449"/>
      <c r="UW79" s="450"/>
      <c r="UX79" s="452"/>
      <c r="UY79" s="448"/>
      <c r="VA79" s="449"/>
      <c r="VB79" s="450"/>
      <c r="VC79" s="447"/>
      <c r="VD79" s="448"/>
      <c r="VF79" s="449"/>
      <c r="VG79" s="450"/>
      <c r="VH79" s="452"/>
      <c r="VI79" s="448"/>
      <c r="VJ79" s="449"/>
      <c r="VK79" s="450"/>
      <c r="VL79" s="452"/>
      <c r="VM79" s="448"/>
      <c r="VN79" s="455"/>
      <c r="VO79" s="449"/>
      <c r="VP79" s="450"/>
      <c r="VQ79" s="459"/>
      <c r="VR79" s="448"/>
      <c r="VS79" s="456"/>
      <c r="VT79" s="449"/>
      <c r="VU79" s="450"/>
      <c r="VV79" s="452"/>
      <c r="VW79" s="448"/>
      <c r="VX79" s="449"/>
      <c r="VY79" s="450"/>
      <c r="VZ79" s="452"/>
      <c r="WA79" s="448"/>
      <c r="WB79" s="449"/>
      <c r="WC79" s="450"/>
      <c r="WD79" s="447"/>
      <c r="WE79" s="448"/>
      <c r="WF79" s="457"/>
      <c r="WG79" s="460"/>
      <c r="WH79" s="450"/>
      <c r="WI79" s="461"/>
      <c r="WJ79" s="448"/>
      <c r="WK79" s="456"/>
      <c r="WL79" s="449"/>
      <c r="WM79" s="450"/>
      <c r="WN79" s="452"/>
      <c r="WO79" s="448"/>
      <c r="WP79" s="456"/>
      <c r="WQ79" s="458"/>
      <c r="WR79" s="458"/>
      <c r="WT79" s="454"/>
      <c r="WU79" s="450"/>
      <c r="WV79" s="454"/>
      <c r="WW79" s="448"/>
      <c r="WX79" s="449"/>
      <c r="WY79" s="450"/>
      <c r="WZ79" s="447"/>
      <c r="XA79" s="448"/>
      <c r="XB79" s="449"/>
      <c r="XC79" s="450"/>
      <c r="XD79" s="447"/>
      <c r="XE79" s="451"/>
      <c r="XF79" s="449"/>
      <c r="XG79" s="450"/>
      <c r="XH79" s="447"/>
      <c r="XI79" s="451"/>
      <c r="XJ79" s="449"/>
      <c r="XK79" s="450"/>
      <c r="XL79" s="447"/>
      <c r="XM79" s="451"/>
      <c r="XN79" s="449"/>
      <c r="XO79" s="450"/>
      <c r="XP79" s="452"/>
      <c r="XQ79" s="451"/>
      <c r="XR79" s="449"/>
      <c r="XS79" s="450"/>
      <c r="XT79" s="447"/>
      <c r="XU79" s="448"/>
      <c r="XV79" s="453"/>
      <c r="XW79" s="449"/>
      <c r="XX79" s="450"/>
      <c r="XY79" s="454"/>
      <c r="XZ79" s="448"/>
      <c r="YB79" s="449"/>
      <c r="YC79" s="450"/>
      <c r="YD79" s="452"/>
      <c r="YE79" s="448"/>
      <c r="YG79" s="449"/>
      <c r="YH79" s="450"/>
      <c r="YI79" s="447"/>
      <c r="YJ79" s="448"/>
      <c r="YL79" s="449"/>
      <c r="YM79" s="450"/>
      <c r="YN79" s="452"/>
      <c r="YO79" s="448"/>
      <c r="YP79" s="449"/>
      <c r="YQ79" s="450"/>
      <c r="YR79" s="452"/>
      <c r="YS79" s="448"/>
      <c r="YT79" s="455"/>
      <c r="YU79" s="449"/>
      <c r="YV79" s="450"/>
      <c r="YW79" s="459"/>
      <c r="YX79" s="448"/>
      <c r="YY79" s="456"/>
      <c r="YZ79" s="449"/>
      <c r="ZA79" s="450"/>
      <c r="ZB79" s="452"/>
      <c r="ZC79" s="448"/>
      <c r="ZD79" s="449"/>
      <c r="ZE79" s="450"/>
      <c r="ZF79" s="452"/>
      <c r="ZG79" s="448"/>
      <c r="ZH79" s="449"/>
      <c r="ZI79" s="450"/>
      <c r="ZJ79" s="447"/>
      <c r="ZK79" s="448"/>
      <c r="ZL79" s="457"/>
      <c r="ZM79" s="460"/>
      <c r="ZN79" s="450"/>
      <c r="ZO79" s="461"/>
      <c r="ZP79" s="448"/>
      <c r="ZQ79" s="456"/>
      <c r="ZR79" s="449"/>
      <c r="ZS79" s="450"/>
      <c r="ZT79" s="452"/>
      <c r="ZU79" s="448"/>
      <c r="ZV79" s="456"/>
      <c r="ZW79" s="458"/>
      <c r="ZX79" s="458"/>
      <c r="ZZ79" s="454"/>
      <c r="AAA79" s="450"/>
      <c r="AAB79" s="454"/>
      <c r="AAC79" s="448"/>
      <c r="AAD79" s="449"/>
      <c r="AAE79" s="450"/>
      <c r="AAF79" s="447"/>
      <c r="AAG79" s="448"/>
      <c r="AAH79" s="449"/>
      <c r="AAI79" s="450"/>
      <c r="AAJ79" s="447"/>
      <c r="AAK79" s="451"/>
      <c r="AAL79" s="449"/>
      <c r="AAM79" s="450"/>
      <c r="AAN79" s="447"/>
      <c r="AAO79" s="451"/>
      <c r="AAP79" s="449"/>
      <c r="AAQ79" s="450"/>
      <c r="AAR79" s="447"/>
      <c r="AAS79" s="451"/>
      <c r="AAT79" s="449"/>
      <c r="AAU79" s="450"/>
      <c r="AAV79" s="452"/>
      <c r="AAW79" s="451"/>
      <c r="AAX79" s="449"/>
      <c r="AAY79" s="450"/>
      <c r="AAZ79" s="447"/>
      <c r="ABA79" s="448"/>
      <c r="ABB79" s="453"/>
      <c r="ABC79" s="449"/>
      <c r="ABD79" s="450"/>
      <c r="ABE79" s="454"/>
      <c r="ABF79" s="448"/>
      <c r="ABH79" s="449"/>
      <c r="ABI79" s="450"/>
      <c r="ABJ79" s="452"/>
      <c r="ABK79" s="448"/>
      <c r="ABM79" s="449"/>
      <c r="ABN79" s="450"/>
      <c r="ABO79" s="447"/>
      <c r="ABP79" s="448"/>
      <c r="ABR79" s="449"/>
      <c r="ABS79" s="450"/>
      <c r="ABT79" s="452"/>
      <c r="ABU79" s="448"/>
      <c r="ABV79" s="449"/>
      <c r="ABW79" s="450"/>
      <c r="ABX79" s="452"/>
      <c r="ABY79" s="448"/>
      <c r="ABZ79" s="455"/>
      <c r="ACA79" s="449"/>
      <c r="ACB79" s="450"/>
      <c r="ACC79" s="459"/>
      <c r="ACD79" s="448"/>
      <c r="ACE79" s="456"/>
      <c r="ACF79" s="449"/>
      <c r="ACG79" s="450"/>
      <c r="ACH79" s="452"/>
      <c r="ACI79" s="448"/>
      <c r="ACJ79" s="449"/>
      <c r="ACK79" s="450"/>
      <c r="ACL79" s="452"/>
      <c r="ACM79" s="448"/>
      <c r="ACN79" s="449"/>
      <c r="ACO79" s="450"/>
      <c r="ACP79" s="447"/>
      <c r="ACQ79" s="448"/>
      <c r="ACR79" s="457"/>
      <c r="ACS79" s="460"/>
      <c r="ACT79" s="450"/>
      <c r="ACU79" s="461"/>
      <c r="ACV79" s="448"/>
      <c r="ACW79" s="456"/>
      <c r="ACX79" s="449"/>
      <c r="ACY79" s="450"/>
      <c r="ACZ79" s="452"/>
      <c r="ADA79" s="448"/>
      <c r="ADB79" s="456"/>
      <c r="ADC79" s="458"/>
      <c r="ADD79" s="458"/>
      <c r="ADF79" s="454"/>
      <c r="ADG79" s="450"/>
      <c r="ADH79" s="454"/>
      <c r="ADI79" s="448"/>
      <c r="ADJ79" s="449"/>
      <c r="ADK79" s="450"/>
      <c r="ADL79" s="447"/>
      <c r="ADM79" s="448"/>
      <c r="ADN79" s="449"/>
      <c r="ADO79" s="450"/>
      <c r="ADP79" s="447"/>
      <c r="ADQ79" s="451"/>
      <c r="ADR79" s="449"/>
      <c r="ADS79" s="450"/>
      <c r="ADT79" s="447"/>
      <c r="ADU79" s="451"/>
      <c r="ADV79" s="449"/>
      <c r="ADW79" s="450"/>
      <c r="ADX79" s="447"/>
      <c r="ADY79" s="451"/>
      <c r="ADZ79" s="449"/>
      <c r="AEA79" s="450"/>
      <c r="AEB79" s="452"/>
      <c r="AEC79" s="451"/>
      <c r="AED79" s="449"/>
      <c r="AEE79" s="450"/>
      <c r="AEF79" s="447"/>
      <c r="AEG79" s="448"/>
      <c r="AEH79" s="453"/>
      <c r="AEI79" s="449"/>
      <c r="AEJ79" s="450"/>
      <c r="AEK79" s="454"/>
      <c r="AEL79" s="448"/>
      <c r="AEN79" s="449"/>
      <c r="AEO79" s="450"/>
      <c r="AEP79" s="452"/>
      <c r="AEQ79" s="448"/>
      <c r="AES79" s="449"/>
      <c r="AET79" s="450"/>
      <c r="AEU79" s="447"/>
      <c r="AEV79" s="448"/>
      <c r="AEX79" s="449"/>
      <c r="AEY79" s="450"/>
      <c r="AEZ79" s="452"/>
      <c r="AFA79" s="448"/>
      <c r="AFB79" s="449"/>
      <c r="AFC79" s="450"/>
      <c r="AFD79" s="452"/>
      <c r="AFE79" s="448"/>
      <c r="AFF79" s="455"/>
      <c r="AFG79" s="449"/>
      <c r="AFH79" s="450"/>
      <c r="AFI79" s="459"/>
      <c r="AFJ79" s="448"/>
      <c r="AFK79" s="456"/>
      <c r="AFL79" s="449"/>
      <c r="AFM79" s="450"/>
      <c r="AFN79" s="452"/>
      <c r="AFO79" s="448"/>
      <c r="AFP79" s="449"/>
      <c r="AFQ79" s="450"/>
      <c r="AFR79" s="452"/>
      <c r="AFS79" s="448"/>
      <c r="AFT79" s="449"/>
      <c r="AFU79" s="450"/>
      <c r="AFV79" s="447"/>
      <c r="AFW79" s="448"/>
      <c r="AFX79" s="457"/>
      <c r="AFY79" s="460"/>
      <c r="AFZ79" s="450"/>
      <c r="AGA79" s="461"/>
      <c r="AGB79" s="448"/>
      <c r="AGC79" s="456"/>
      <c r="AGD79" s="449"/>
      <c r="AGE79" s="450"/>
      <c r="AGF79" s="452"/>
      <c r="AGG79" s="448"/>
      <c r="AGH79" s="456"/>
      <c r="AGI79" s="458"/>
      <c r="AGJ79" s="458"/>
      <c r="AGL79" s="454"/>
      <c r="AGM79" s="450"/>
      <c r="AGN79" s="454"/>
      <c r="AGO79" s="448"/>
      <c r="AGP79" s="449"/>
      <c r="AGQ79" s="450"/>
      <c r="AGR79" s="447"/>
      <c r="AGS79" s="448"/>
      <c r="AGT79" s="449"/>
      <c r="AGU79" s="450"/>
      <c r="AGV79" s="447"/>
      <c r="AGW79" s="451"/>
      <c r="AGX79" s="449"/>
      <c r="AGY79" s="450"/>
      <c r="AGZ79" s="447"/>
      <c r="AHA79" s="451"/>
      <c r="AHB79" s="449"/>
      <c r="AHC79" s="450"/>
      <c r="AHD79" s="447"/>
      <c r="AHE79" s="451"/>
      <c r="AHF79" s="449"/>
      <c r="AHG79" s="450"/>
      <c r="AHH79" s="452"/>
      <c r="AHI79" s="451"/>
      <c r="AHJ79" s="449"/>
      <c r="AHK79" s="450"/>
      <c r="AHL79" s="447"/>
      <c r="AHM79" s="448"/>
      <c r="AHN79" s="453"/>
      <c r="AHO79" s="449"/>
      <c r="AHP79" s="450"/>
      <c r="AHQ79" s="454"/>
      <c r="AHR79" s="448"/>
      <c r="AHT79" s="449"/>
      <c r="AHU79" s="450"/>
      <c r="AHV79" s="452"/>
      <c r="AHW79" s="448"/>
      <c r="AHY79" s="449"/>
      <c r="AHZ79" s="450"/>
      <c r="AIA79" s="447"/>
      <c r="AIB79" s="448"/>
      <c r="AID79" s="449"/>
      <c r="AIE79" s="450"/>
      <c r="AIF79" s="452"/>
      <c r="AIG79" s="448"/>
      <c r="AIH79" s="449"/>
      <c r="AII79" s="450"/>
      <c r="AIJ79" s="452"/>
      <c r="AIK79" s="448"/>
      <c r="AIL79" s="455"/>
      <c r="AIM79" s="449"/>
      <c r="AIN79" s="450"/>
      <c r="AIO79" s="459"/>
      <c r="AIP79" s="448"/>
      <c r="AIQ79" s="456"/>
      <c r="AIR79" s="449"/>
      <c r="AIS79" s="450"/>
      <c r="AIT79" s="452"/>
      <c r="AIU79" s="448"/>
      <c r="AIV79" s="449"/>
      <c r="AIW79" s="450"/>
      <c r="AIX79" s="452"/>
      <c r="AIY79" s="448"/>
      <c r="AIZ79" s="449"/>
      <c r="AJA79" s="450"/>
      <c r="AJB79" s="447"/>
      <c r="AJC79" s="448"/>
      <c r="AJD79" s="457"/>
      <c r="AJE79" s="460"/>
      <c r="AJF79" s="450"/>
      <c r="AJG79" s="461"/>
      <c r="AJH79" s="448"/>
      <c r="AJI79" s="456"/>
      <c r="AJJ79" s="449"/>
      <c r="AJK79" s="450"/>
      <c r="AJL79" s="452"/>
      <c r="AJM79" s="448"/>
      <c r="AJN79" s="456"/>
      <c r="AJO79" s="458"/>
      <c r="AJP79" s="458"/>
      <c r="AJR79" s="454"/>
      <c r="AJS79" s="450"/>
      <c r="AJT79" s="454"/>
      <c r="AJU79" s="448"/>
      <c r="AJV79" s="449"/>
      <c r="AJW79" s="450"/>
      <c r="AJX79" s="447"/>
      <c r="AJY79" s="448"/>
      <c r="AJZ79" s="449"/>
      <c r="AKA79" s="450"/>
      <c r="AKB79" s="447"/>
      <c r="AKC79" s="451"/>
      <c r="AKD79" s="449"/>
      <c r="AKE79" s="450"/>
      <c r="AKF79" s="447"/>
      <c r="AKG79" s="451"/>
      <c r="AKH79" s="449"/>
      <c r="AKI79" s="450"/>
      <c r="AKJ79" s="447"/>
      <c r="AKK79" s="451"/>
      <c r="AKL79" s="449"/>
      <c r="AKM79" s="450"/>
      <c r="AKN79" s="452"/>
      <c r="AKO79" s="451"/>
      <c r="AKP79" s="449"/>
      <c r="AKQ79" s="450"/>
      <c r="AKR79" s="447"/>
      <c r="AKS79" s="448"/>
      <c r="AKT79" s="453"/>
      <c r="AKU79" s="449"/>
      <c r="AKV79" s="450"/>
      <c r="AKW79" s="454"/>
      <c r="AKX79" s="448"/>
      <c r="AKZ79" s="449"/>
      <c r="ALA79" s="450"/>
      <c r="ALB79" s="452"/>
      <c r="ALC79" s="448"/>
      <c r="ALE79" s="449"/>
      <c r="ALF79" s="450"/>
      <c r="ALG79" s="447"/>
      <c r="ALH79" s="448"/>
      <c r="ALJ79" s="449"/>
      <c r="ALK79" s="450"/>
      <c r="ALL79" s="452"/>
      <c r="ALM79" s="448"/>
      <c r="ALN79" s="449"/>
      <c r="ALO79" s="450"/>
      <c r="ALP79" s="452"/>
      <c r="ALQ79" s="448"/>
      <c r="ALR79" s="455"/>
      <c r="ALS79" s="449"/>
      <c r="ALT79" s="450"/>
      <c r="ALU79" s="459"/>
      <c r="ALV79" s="448"/>
      <c r="ALW79" s="456"/>
      <c r="ALX79" s="449"/>
      <c r="ALY79" s="450"/>
      <c r="ALZ79" s="452"/>
      <c r="AMA79" s="448"/>
      <c r="AMB79" s="449"/>
      <c r="AMC79" s="450"/>
      <c r="AMD79" s="452"/>
      <c r="AME79" s="448"/>
      <c r="AMF79" s="449"/>
      <c r="AMG79" s="450"/>
      <c r="AMH79" s="447"/>
      <c r="AMI79" s="448"/>
      <c r="AMJ79" s="457"/>
      <c r="AMK79" s="460"/>
      <c r="AML79" s="450"/>
      <c r="AMM79" s="461"/>
      <c r="AMN79" s="448"/>
      <c r="AMO79" s="456"/>
      <c r="AMP79" s="449"/>
      <c r="AMQ79" s="450"/>
      <c r="AMR79" s="452"/>
      <c r="AMS79" s="448"/>
      <c r="AMT79" s="456"/>
      <c r="AMU79" s="458"/>
      <c r="AMV79" s="458"/>
      <c r="AMX79" s="454"/>
      <c r="AMY79" s="450"/>
      <c r="AMZ79" s="454"/>
      <c r="ANA79" s="448"/>
      <c r="ANB79" s="449"/>
      <c r="ANC79" s="450"/>
      <c r="AND79" s="447"/>
      <c r="ANE79" s="448"/>
      <c r="ANF79" s="449"/>
      <c r="ANG79" s="450"/>
      <c r="ANH79" s="447"/>
      <c r="ANI79" s="451"/>
      <c r="ANJ79" s="449"/>
      <c r="ANK79" s="450"/>
      <c r="ANL79" s="447"/>
      <c r="ANM79" s="451"/>
      <c r="ANN79" s="449"/>
      <c r="ANO79" s="450"/>
      <c r="ANP79" s="447"/>
      <c r="ANQ79" s="451"/>
      <c r="ANR79" s="449"/>
      <c r="ANS79" s="450"/>
      <c r="ANT79" s="452"/>
      <c r="ANU79" s="451"/>
      <c r="ANV79" s="449"/>
      <c r="ANW79" s="450"/>
      <c r="ANX79" s="447"/>
      <c r="ANY79" s="448"/>
      <c r="ANZ79" s="453"/>
      <c r="AOA79" s="449"/>
      <c r="AOB79" s="450"/>
      <c r="AOC79" s="454"/>
      <c r="AOD79" s="448"/>
      <c r="AOF79" s="449"/>
      <c r="AOG79" s="450"/>
      <c r="AOH79" s="452"/>
      <c r="AOI79" s="448"/>
      <c r="AOK79" s="449"/>
      <c r="AOL79" s="450"/>
      <c r="AOM79" s="447"/>
      <c r="AON79" s="448"/>
      <c r="AOP79" s="449"/>
      <c r="AOQ79" s="450"/>
      <c r="AOR79" s="452"/>
      <c r="AOS79" s="448"/>
      <c r="AOT79" s="449"/>
      <c r="AOU79" s="450"/>
      <c r="AOV79" s="452"/>
      <c r="AOW79" s="448"/>
      <c r="AOX79" s="455"/>
      <c r="AOY79" s="449"/>
      <c r="AOZ79" s="450"/>
      <c r="APA79" s="459"/>
      <c r="APB79" s="448"/>
      <c r="APC79" s="456"/>
      <c r="APD79" s="449"/>
      <c r="APE79" s="450"/>
      <c r="APF79" s="452"/>
      <c r="APG79" s="448"/>
      <c r="APH79" s="449"/>
      <c r="API79" s="450"/>
      <c r="APJ79" s="452"/>
      <c r="APK79" s="448"/>
      <c r="APL79" s="449"/>
      <c r="APM79" s="450"/>
      <c r="APN79" s="447"/>
      <c r="APO79" s="448"/>
      <c r="APP79" s="457"/>
      <c r="APQ79" s="460"/>
      <c r="APR79" s="450"/>
      <c r="APS79" s="461"/>
      <c r="APT79" s="448"/>
      <c r="APU79" s="456"/>
      <c r="APV79" s="449"/>
      <c r="APW79" s="450"/>
      <c r="APX79" s="452"/>
      <c r="APY79" s="448"/>
      <c r="APZ79" s="456"/>
      <c r="AQA79" s="458"/>
      <c r="AQB79" s="458"/>
      <c r="AQD79" s="454"/>
      <c r="AQE79" s="450"/>
      <c r="AQF79" s="454"/>
      <c r="AQG79" s="448"/>
      <c r="AQH79" s="449"/>
      <c r="AQI79" s="450"/>
      <c r="AQJ79" s="447"/>
      <c r="AQK79" s="448"/>
      <c r="AQL79" s="449"/>
      <c r="AQM79" s="450"/>
      <c r="AQN79" s="447"/>
      <c r="AQO79" s="451"/>
      <c r="AQP79" s="449"/>
      <c r="AQQ79" s="450"/>
      <c r="AQR79" s="447"/>
      <c r="AQS79" s="451"/>
      <c r="AQT79" s="449"/>
      <c r="AQU79" s="450"/>
      <c r="AQV79" s="447"/>
      <c r="AQW79" s="451"/>
      <c r="AQX79" s="449"/>
      <c r="AQY79" s="450"/>
      <c r="AQZ79" s="452"/>
      <c r="ARA79" s="451"/>
      <c r="ARB79" s="449"/>
      <c r="ARC79" s="450"/>
      <c r="ARD79" s="447"/>
      <c r="ARE79" s="448"/>
      <c r="ARF79" s="453"/>
      <c r="ARG79" s="449"/>
      <c r="ARH79" s="450"/>
      <c r="ARI79" s="454"/>
      <c r="ARJ79" s="448"/>
      <c r="ARL79" s="449"/>
      <c r="ARM79" s="450"/>
      <c r="ARN79" s="452"/>
      <c r="ARO79" s="448"/>
      <c r="ARQ79" s="449"/>
      <c r="ARR79" s="450"/>
      <c r="ARS79" s="447"/>
      <c r="ART79" s="448"/>
      <c r="ARV79" s="449"/>
      <c r="ARW79" s="450"/>
      <c r="ARX79" s="452"/>
      <c r="ARY79" s="448"/>
      <c r="ARZ79" s="449"/>
      <c r="ASA79" s="450"/>
      <c r="ASB79" s="452"/>
      <c r="ASC79" s="448"/>
      <c r="ASD79" s="455"/>
      <c r="ASE79" s="449"/>
      <c r="ASF79" s="450"/>
      <c r="ASG79" s="459"/>
      <c r="ASH79" s="448"/>
      <c r="ASI79" s="456"/>
      <c r="ASJ79" s="449"/>
      <c r="ASK79" s="450"/>
      <c r="ASL79" s="452"/>
      <c r="ASM79" s="448"/>
      <c r="ASN79" s="449"/>
      <c r="ASO79" s="450"/>
      <c r="ASP79" s="452"/>
      <c r="ASQ79" s="448"/>
      <c r="ASR79" s="449"/>
      <c r="ASS79" s="450"/>
      <c r="AST79" s="447"/>
      <c r="ASU79" s="448"/>
      <c r="ASV79" s="457"/>
      <c r="ASW79" s="460"/>
      <c r="ASX79" s="450"/>
      <c r="ASY79" s="461"/>
      <c r="ASZ79" s="448"/>
      <c r="ATA79" s="456"/>
      <c r="ATB79" s="449"/>
      <c r="ATC79" s="450"/>
      <c r="ATD79" s="452"/>
      <c r="ATE79" s="448"/>
      <c r="ATF79" s="456"/>
      <c r="ATG79" s="458"/>
      <c r="ATH79" s="458"/>
      <c r="ATJ79" s="454"/>
      <c r="ATK79" s="450"/>
      <c r="ATL79" s="454"/>
      <c r="ATM79" s="448"/>
      <c r="ATN79" s="449"/>
      <c r="ATO79" s="450"/>
      <c r="ATP79" s="447"/>
      <c r="ATQ79" s="448"/>
      <c r="ATR79" s="449"/>
      <c r="ATS79" s="450"/>
      <c r="ATT79" s="447"/>
      <c r="ATU79" s="451"/>
      <c r="ATV79" s="449"/>
      <c r="ATW79" s="450"/>
      <c r="ATX79" s="447"/>
      <c r="ATY79" s="451"/>
      <c r="ATZ79" s="449"/>
      <c r="AUA79" s="450"/>
      <c r="AUB79" s="447"/>
      <c r="AUC79" s="451"/>
      <c r="AUD79" s="449"/>
      <c r="AUE79" s="450"/>
      <c r="AUF79" s="452"/>
      <c r="AUG79" s="451"/>
      <c r="AUH79" s="449"/>
      <c r="AUI79" s="450"/>
      <c r="AUJ79" s="447"/>
      <c r="AUK79" s="448"/>
      <c r="AUL79" s="453"/>
      <c r="AUM79" s="449"/>
      <c r="AUN79" s="450"/>
      <c r="AUO79" s="454"/>
      <c r="AUP79" s="448"/>
      <c r="AUR79" s="449"/>
      <c r="AUS79" s="450"/>
      <c r="AUT79" s="452"/>
      <c r="AUU79" s="448"/>
      <c r="AUW79" s="449"/>
      <c r="AUX79" s="450"/>
      <c r="AUY79" s="447"/>
      <c r="AUZ79" s="448"/>
      <c r="AVB79" s="449"/>
      <c r="AVC79" s="450"/>
      <c r="AVD79" s="452"/>
      <c r="AVE79" s="448"/>
      <c r="AVF79" s="449"/>
      <c r="AVG79" s="450"/>
      <c r="AVH79" s="452"/>
      <c r="AVI79" s="448"/>
      <c r="AVJ79" s="455"/>
      <c r="AVK79" s="449"/>
      <c r="AVL79" s="450"/>
      <c r="AVM79" s="459"/>
      <c r="AVN79" s="448"/>
      <c r="AVO79" s="456"/>
      <c r="AVP79" s="449"/>
      <c r="AVQ79" s="450"/>
      <c r="AVR79" s="452"/>
      <c r="AVS79" s="448"/>
      <c r="AVT79" s="449"/>
      <c r="AVU79" s="450"/>
      <c r="AVV79" s="452"/>
      <c r="AVW79" s="448"/>
      <c r="AVX79" s="449"/>
      <c r="AVY79" s="450"/>
      <c r="AVZ79" s="447"/>
      <c r="AWA79" s="448"/>
      <c r="AWB79" s="457"/>
      <c r="AWC79" s="460"/>
      <c r="AWD79" s="450"/>
      <c r="AWE79" s="461"/>
      <c r="AWF79" s="448"/>
      <c r="AWG79" s="456"/>
      <c r="AWH79" s="449"/>
      <c r="AWI79" s="450"/>
      <c r="AWJ79" s="452"/>
      <c r="AWK79" s="448"/>
      <c r="AWL79" s="456"/>
      <c r="AWM79" s="458"/>
      <c r="AWN79" s="458"/>
      <c r="AWP79" s="454"/>
      <c r="AWQ79" s="450"/>
      <c r="AWR79" s="454"/>
      <c r="AWS79" s="448"/>
      <c r="AWT79" s="449"/>
      <c r="AWU79" s="450"/>
      <c r="AWV79" s="447"/>
      <c r="AWW79" s="448"/>
      <c r="AWX79" s="449"/>
      <c r="AWY79" s="450"/>
      <c r="AWZ79" s="447"/>
      <c r="AXA79" s="451"/>
      <c r="AXB79" s="449"/>
      <c r="AXC79" s="450"/>
      <c r="AXD79" s="447"/>
      <c r="AXE79" s="451"/>
      <c r="AXF79" s="449"/>
      <c r="AXG79" s="450"/>
      <c r="AXH79" s="447"/>
      <c r="AXI79" s="451"/>
      <c r="AXJ79" s="449"/>
      <c r="AXK79" s="450"/>
      <c r="AXL79" s="452"/>
      <c r="AXM79" s="451"/>
      <c r="AXN79" s="449"/>
      <c r="AXO79" s="450"/>
      <c r="AXP79" s="447"/>
      <c r="AXQ79" s="448"/>
      <c r="AXR79" s="453"/>
      <c r="AXS79" s="449"/>
      <c r="AXT79" s="450"/>
      <c r="AXU79" s="454"/>
      <c r="AXV79" s="448"/>
      <c r="AXX79" s="449"/>
      <c r="AXY79" s="450"/>
      <c r="AXZ79" s="452"/>
      <c r="AYA79" s="448"/>
      <c r="AYC79" s="449"/>
      <c r="AYD79" s="450"/>
      <c r="AYE79" s="447"/>
      <c r="AYF79" s="448"/>
      <c r="AYH79" s="449"/>
      <c r="AYI79" s="450"/>
      <c r="AYJ79" s="452"/>
      <c r="AYK79" s="448"/>
      <c r="AYL79" s="449"/>
      <c r="AYM79" s="450"/>
      <c r="AYN79" s="452"/>
      <c r="AYO79" s="448"/>
      <c r="AYP79" s="455"/>
      <c r="AYQ79" s="449"/>
      <c r="AYR79" s="450"/>
      <c r="AYS79" s="459"/>
      <c r="AYT79" s="448"/>
      <c r="AYU79" s="456"/>
      <c r="AYV79" s="449"/>
      <c r="AYW79" s="450"/>
      <c r="AYX79" s="452"/>
      <c r="AYY79" s="448"/>
      <c r="AYZ79" s="449"/>
      <c r="AZA79" s="450"/>
      <c r="AZB79" s="452"/>
      <c r="AZC79" s="448"/>
      <c r="AZD79" s="449"/>
      <c r="AZE79" s="450"/>
      <c r="AZF79" s="447"/>
      <c r="AZG79" s="448"/>
      <c r="AZH79" s="457"/>
      <c r="AZI79" s="460"/>
      <c r="AZJ79" s="450"/>
      <c r="AZK79" s="461"/>
      <c r="AZL79" s="448"/>
      <c r="AZM79" s="456"/>
      <c r="AZN79" s="449"/>
      <c r="AZO79" s="450"/>
      <c r="AZP79" s="452"/>
      <c r="AZQ79" s="448"/>
      <c r="AZR79" s="456"/>
      <c r="AZS79" s="458"/>
      <c r="AZT79" s="458"/>
      <c r="AZV79" s="454"/>
      <c r="AZW79" s="450"/>
      <c r="AZX79" s="454"/>
      <c r="AZY79" s="448"/>
      <c r="AZZ79" s="449"/>
      <c r="BAA79" s="450"/>
      <c r="BAB79" s="447"/>
      <c r="BAC79" s="448"/>
      <c r="BAD79" s="449"/>
      <c r="BAE79" s="450"/>
      <c r="BAF79" s="447"/>
      <c r="BAG79" s="451"/>
      <c r="BAH79" s="449"/>
      <c r="BAI79" s="450"/>
      <c r="BAJ79" s="447"/>
      <c r="BAK79" s="451"/>
      <c r="BAL79" s="449"/>
      <c r="BAM79" s="450"/>
      <c r="BAN79" s="447"/>
      <c r="BAO79" s="451"/>
      <c r="BAP79" s="449"/>
      <c r="BAQ79" s="450"/>
      <c r="BAR79" s="452"/>
      <c r="BAS79" s="451"/>
      <c r="BAT79" s="449"/>
      <c r="BAU79" s="450"/>
      <c r="BAV79" s="447"/>
      <c r="BAW79" s="448"/>
      <c r="BAX79" s="453"/>
      <c r="BAY79" s="449"/>
      <c r="BAZ79" s="450"/>
      <c r="BBA79" s="454"/>
      <c r="BBB79" s="448"/>
      <c r="BBD79" s="449"/>
      <c r="BBE79" s="450"/>
      <c r="BBF79" s="452"/>
      <c r="BBG79" s="448"/>
      <c r="BBI79" s="449"/>
      <c r="BBJ79" s="450"/>
      <c r="BBK79" s="447"/>
      <c r="BBL79" s="448"/>
      <c r="BBN79" s="449"/>
      <c r="BBO79" s="450"/>
      <c r="BBP79" s="452"/>
      <c r="BBQ79" s="448"/>
      <c r="BBR79" s="449"/>
      <c r="BBS79" s="450"/>
      <c r="BBT79" s="452"/>
      <c r="BBU79" s="448"/>
      <c r="BBV79" s="455"/>
      <c r="BBW79" s="449"/>
      <c r="BBX79" s="450"/>
      <c r="BBY79" s="459"/>
      <c r="BBZ79" s="448"/>
      <c r="BCA79" s="456"/>
      <c r="BCB79" s="449"/>
      <c r="BCC79" s="450"/>
      <c r="BCD79" s="452"/>
      <c r="BCE79" s="448"/>
      <c r="BCF79" s="449"/>
      <c r="BCG79" s="450"/>
      <c r="BCH79" s="452"/>
      <c r="BCI79" s="448"/>
      <c r="BCJ79" s="449"/>
      <c r="BCK79" s="450"/>
      <c r="BCL79" s="447"/>
      <c r="BCM79" s="448"/>
      <c r="BCN79" s="457"/>
      <c r="BCO79" s="460"/>
      <c r="BCP79" s="450"/>
      <c r="BCQ79" s="461"/>
      <c r="BCR79" s="448"/>
      <c r="BCS79" s="456"/>
      <c r="BCT79" s="449"/>
      <c r="BCU79" s="450"/>
      <c r="BCV79" s="452"/>
      <c r="BCW79" s="448"/>
      <c r="BCX79" s="456"/>
      <c r="BCY79" s="458"/>
      <c r="BCZ79" s="458"/>
      <c r="BDB79" s="454"/>
      <c r="BDC79" s="450"/>
      <c r="BDD79" s="454"/>
      <c r="BDE79" s="448"/>
      <c r="BDF79" s="449"/>
      <c r="BDG79" s="450"/>
      <c r="BDH79" s="447"/>
      <c r="BDI79" s="448"/>
      <c r="BDJ79" s="449"/>
      <c r="BDK79" s="450"/>
      <c r="BDL79" s="447"/>
      <c r="BDM79" s="451"/>
      <c r="BDN79" s="449"/>
      <c r="BDO79" s="450"/>
      <c r="BDP79" s="447"/>
      <c r="BDQ79" s="451"/>
      <c r="BDR79" s="449"/>
      <c r="BDS79" s="450"/>
      <c r="BDT79" s="447"/>
      <c r="BDU79" s="451"/>
      <c r="BDV79" s="449"/>
      <c r="BDW79" s="450"/>
      <c r="BDX79" s="452"/>
      <c r="BDY79" s="451"/>
      <c r="BDZ79" s="449"/>
      <c r="BEA79" s="450"/>
      <c r="BEB79" s="447"/>
      <c r="BEC79" s="448"/>
      <c r="BED79" s="453"/>
      <c r="BEE79" s="449"/>
      <c r="BEF79" s="450"/>
      <c r="BEG79" s="454"/>
      <c r="BEH79" s="448"/>
      <c r="BEJ79" s="449"/>
      <c r="BEK79" s="450"/>
      <c r="BEL79" s="452"/>
      <c r="BEM79" s="448"/>
      <c r="BEO79" s="449"/>
      <c r="BEP79" s="450"/>
      <c r="BEQ79" s="447"/>
      <c r="BER79" s="448"/>
      <c r="BET79" s="449"/>
      <c r="BEU79" s="450"/>
      <c r="BEV79" s="452"/>
      <c r="BEW79" s="448"/>
      <c r="BEX79" s="449"/>
      <c r="BEY79" s="450"/>
      <c r="BEZ79" s="452"/>
      <c r="BFA79" s="448"/>
      <c r="BFB79" s="455"/>
      <c r="BFC79" s="449"/>
      <c r="BFD79" s="450"/>
      <c r="BFE79" s="459"/>
      <c r="BFF79" s="448"/>
      <c r="BFG79" s="456"/>
      <c r="BFH79" s="449"/>
      <c r="BFI79" s="450"/>
      <c r="BFJ79" s="452"/>
      <c r="BFK79" s="448"/>
      <c r="BFL79" s="449"/>
      <c r="BFM79" s="450"/>
      <c r="BFN79" s="452"/>
      <c r="BFO79" s="448"/>
      <c r="BFP79" s="449"/>
      <c r="BFQ79" s="450"/>
      <c r="BFR79" s="447"/>
      <c r="BFS79" s="448"/>
      <c r="BFT79" s="457"/>
      <c r="BFU79" s="460"/>
      <c r="BFV79" s="450"/>
      <c r="BFW79" s="461"/>
      <c r="BFX79" s="448"/>
      <c r="BFY79" s="456"/>
      <c r="BFZ79" s="449"/>
      <c r="BGA79" s="450"/>
      <c r="BGB79" s="452"/>
      <c r="BGC79" s="448"/>
      <c r="BGD79" s="456"/>
      <c r="BGE79" s="458"/>
      <c r="BGF79" s="458"/>
      <c r="BGH79" s="454"/>
      <c r="BGI79" s="450"/>
      <c r="BGJ79" s="454"/>
      <c r="BGK79" s="448"/>
      <c r="BGL79" s="449"/>
      <c r="BGM79" s="450"/>
      <c r="BGN79" s="447"/>
      <c r="BGO79" s="448"/>
      <c r="BGP79" s="449"/>
      <c r="BGQ79" s="450"/>
      <c r="BGR79" s="447"/>
      <c r="BGS79" s="451"/>
      <c r="BGT79" s="449"/>
      <c r="BGU79" s="450"/>
      <c r="BGV79" s="447"/>
      <c r="BGW79" s="451"/>
      <c r="BGX79" s="449"/>
      <c r="BGY79" s="450"/>
      <c r="BGZ79" s="447"/>
      <c r="BHA79" s="451"/>
      <c r="BHB79" s="449"/>
      <c r="BHC79" s="450"/>
      <c r="BHD79" s="452"/>
      <c r="BHE79" s="451"/>
      <c r="BHF79" s="449"/>
      <c r="BHG79" s="450"/>
      <c r="BHH79" s="447"/>
      <c r="BHI79" s="448"/>
      <c r="BHJ79" s="453"/>
      <c r="BHK79" s="449"/>
      <c r="BHL79" s="450"/>
      <c r="BHM79" s="454"/>
      <c r="BHN79" s="448"/>
      <c r="BHP79" s="449"/>
      <c r="BHQ79" s="450"/>
      <c r="BHR79" s="452"/>
      <c r="BHS79" s="448"/>
      <c r="BHU79" s="449"/>
      <c r="BHV79" s="450"/>
      <c r="BHW79" s="447"/>
      <c r="BHX79" s="448"/>
      <c r="BHZ79" s="449"/>
      <c r="BIA79" s="450"/>
      <c r="BIB79" s="452"/>
      <c r="BIC79" s="448"/>
      <c r="BID79" s="449"/>
      <c r="BIE79" s="450"/>
      <c r="BIF79" s="452"/>
      <c r="BIG79" s="448"/>
      <c r="BIH79" s="455"/>
      <c r="BII79" s="449"/>
      <c r="BIJ79" s="450"/>
      <c r="BIK79" s="459"/>
      <c r="BIL79" s="448"/>
      <c r="BIM79" s="456"/>
      <c r="BIN79" s="449"/>
      <c r="BIO79" s="450"/>
      <c r="BIP79" s="452"/>
      <c r="BIQ79" s="448"/>
      <c r="BIR79" s="449"/>
      <c r="BIS79" s="450"/>
      <c r="BIT79" s="452"/>
      <c r="BIU79" s="448"/>
      <c r="BIV79" s="449"/>
      <c r="BIW79" s="450"/>
      <c r="BIX79" s="447"/>
      <c r="BIY79" s="448"/>
      <c r="BIZ79" s="457"/>
      <c r="BJA79" s="460"/>
      <c r="BJB79" s="450"/>
      <c r="BJC79" s="461"/>
      <c r="BJD79" s="448"/>
      <c r="BJE79" s="456"/>
      <c r="BJF79" s="449"/>
      <c r="BJG79" s="450"/>
      <c r="BJH79" s="452"/>
      <c r="BJI79" s="448"/>
      <c r="BJJ79" s="456"/>
      <c r="BJK79" s="458"/>
      <c r="BJL79" s="458"/>
      <c r="BJN79" s="454"/>
      <c r="BJO79" s="450"/>
      <c r="BJP79" s="454"/>
      <c r="BJQ79" s="448"/>
      <c r="BJR79" s="449"/>
      <c r="BJS79" s="450"/>
      <c r="BJT79" s="447"/>
      <c r="BJU79" s="448"/>
      <c r="BJV79" s="449"/>
      <c r="BJW79" s="450"/>
      <c r="BJX79" s="447"/>
      <c r="BJY79" s="451"/>
      <c r="BJZ79" s="449"/>
      <c r="BKA79" s="450"/>
      <c r="BKB79" s="447"/>
      <c r="BKC79" s="451"/>
      <c r="BKD79" s="449"/>
      <c r="BKE79" s="450"/>
      <c r="BKF79" s="447"/>
      <c r="BKG79" s="451"/>
      <c r="BKH79" s="449"/>
      <c r="BKI79" s="450"/>
      <c r="BKJ79" s="452"/>
      <c r="BKK79" s="451"/>
      <c r="BKL79" s="449"/>
      <c r="BKM79" s="450"/>
      <c r="BKN79" s="447"/>
      <c r="BKO79" s="448"/>
      <c r="BKP79" s="453"/>
      <c r="BKQ79" s="449"/>
      <c r="BKR79" s="450"/>
      <c r="BKS79" s="454"/>
      <c r="BKT79" s="448"/>
      <c r="BKV79" s="449"/>
      <c r="BKW79" s="450"/>
      <c r="BKX79" s="452"/>
      <c r="BKY79" s="448"/>
      <c r="BLA79" s="449"/>
      <c r="BLB79" s="450"/>
      <c r="BLC79" s="447"/>
      <c r="BLD79" s="448"/>
      <c r="BLF79" s="449"/>
      <c r="BLG79" s="450"/>
      <c r="BLH79" s="452"/>
      <c r="BLI79" s="448"/>
      <c r="BLJ79" s="449"/>
      <c r="BLK79" s="450"/>
      <c r="BLL79" s="452"/>
      <c r="BLM79" s="448"/>
      <c r="BLN79" s="455"/>
      <c r="BLO79" s="449"/>
      <c r="BLP79" s="450"/>
      <c r="BLQ79" s="459"/>
      <c r="BLR79" s="448"/>
      <c r="BLS79" s="456"/>
      <c r="BLT79" s="449"/>
      <c r="BLU79" s="450"/>
      <c r="BLV79" s="452"/>
      <c r="BLW79" s="448"/>
      <c r="BLX79" s="449"/>
      <c r="BLY79" s="450"/>
      <c r="BLZ79" s="452"/>
      <c r="BMA79" s="448"/>
      <c r="BMB79" s="449"/>
      <c r="BMC79" s="450"/>
      <c r="BMD79" s="447"/>
      <c r="BME79" s="448"/>
      <c r="BMF79" s="457"/>
      <c r="BMG79" s="460"/>
      <c r="BMH79" s="450"/>
      <c r="BMI79" s="461"/>
      <c r="BMJ79" s="448"/>
      <c r="BMK79" s="456"/>
      <c r="BML79" s="449"/>
      <c r="BMM79" s="450"/>
      <c r="BMN79" s="452"/>
      <c r="BMO79" s="448"/>
      <c r="BMP79" s="456"/>
      <c r="BMQ79" s="458"/>
      <c r="BMR79" s="458"/>
      <c r="BMT79" s="454"/>
      <c r="BMU79" s="450"/>
      <c r="BMV79" s="454"/>
      <c r="BMW79" s="448"/>
      <c r="BMX79" s="449"/>
      <c r="BMY79" s="450"/>
      <c r="BMZ79" s="447"/>
      <c r="BNA79" s="448"/>
      <c r="BNB79" s="449"/>
      <c r="BNC79" s="450"/>
      <c r="BND79" s="447"/>
      <c r="BNE79" s="451"/>
      <c r="BNF79" s="449"/>
      <c r="BNG79" s="450"/>
      <c r="BNH79" s="447"/>
      <c r="BNI79" s="451"/>
      <c r="BNJ79" s="449"/>
      <c r="BNK79" s="450"/>
      <c r="BNL79" s="447"/>
      <c r="BNM79" s="451"/>
      <c r="BNN79" s="449"/>
      <c r="BNO79" s="450"/>
      <c r="BNP79" s="452"/>
      <c r="BNQ79" s="451"/>
      <c r="BNR79" s="449"/>
      <c r="BNS79" s="450"/>
      <c r="BNT79" s="447"/>
      <c r="BNU79" s="448"/>
      <c r="BNV79" s="453"/>
      <c r="BNW79" s="449"/>
      <c r="BNX79" s="450"/>
      <c r="BNY79" s="454"/>
      <c r="BNZ79" s="448"/>
      <c r="BOB79" s="449"/>
      <c r="BOC79" s="450"/>
      <c r="BOD79" s="452"/>
      <c r="BOE79" s="448"/>
      <c r="BOG79" s="449"/>
      <c r="BOH79" s="450"/>
      <c r="BOI79" s="447"/>
      <c r="BOJ79" s="448"/>
      <c r="BOL79" s="449"/>
      <c r="BOM79" s="450"/>
      <c r="BON79" s="452"/>
      <c r="BOO79" s="448"/>
      <c r="BOP79" s="449"/>
      <c r="BOQ79" s="450"/>
      <c r="BOR79" s="452"/>
      <c r="BOS79" s="448"/>
      <c r="BOT79" s="455"/>
      <c r="BOU79" s="449"/>
      <c r="BOV79" s="450"/>
      <c r="BOW79" s="459"/>
      <c r="BOX79" s="448"/>
      <c r="BOY79" s="456"/>
      <c r="BOZ79" s="449"/>
      <c r="BPA79" s="450"/>
      <c r="BPB79" s="452"/>
      <c r="BPC79" s="448"/>
      <c r="BPD79" s="449"/>
      <c r="BPE79" s="450"/>
      <c r="BPF79" s="452"/>
      <c r="BPG79" s="448"/>
      <c r="BPH79" s="449"/>
      <c r="BPI79" s="450"/>
      <c r="BPJ79" s="447"/>
      <c r="BPK79" s="448"/>
      <c r="BPL79" s="457"/>
      <c r="BPM79" s="460"/>
      <c r="BPN79" s="450"/>
      <c r="BPO79" s="461"/>
      <c r="BPP79" s="448"/>
      <c r="BPQ79" s="456"/>
      <c r="BPR79" s="449"/>
      <c r="BPS79" s="450"/>
      <c r="BPT79" s="452"/>
      <c r="BPU79" s="448"/>
      <c r="BPV79" s="456"/>
      <c r="BPW79" s="458"/>
      <c r="BPX79" s="458"/>
      <c r="BPZ79" s="454"/>
      <c r="BQA79" s="450"/>
      <c r="BQB79" s="454"/>
      <c r="BQC79" s="448"/>
      <c r="BQD79" s="449"/>
      <c r="BQE79" s="450"/>
      <c r="BQF79" s="447"/>
      <c r="BQG79" s="448"/>
      <c r="BQH79" s="449"/>
      <c r="BQI79" s="450"/>
      <c r="BQJ79" s="447"/>
      <c r="BQK79" s="451"/>
      <c r="BQL79" s="449"/>
      <c r="BQM79" s="450"/>
      <c r="BQN79" s="447"/>
      <c r="BQO79" s="451"/>
      <c r="BQP79" s="449"/>
      <c r="BQQ79" s="450"/>
      <c r="BQR79" s="447"/>
      <c r="BQS79" s="451"/>
      <c r="BQT79" s="449"/>
      <c r="BQU79" s="450"/>
      <c r="BQV79" s="452"/>
      <c r="BQW79" s="451"/>
      <c r="BQX79" s="449"/>
      <c r="BQY79" s="450"/>
      <c r="BQZ79" s="447"/>
      <c r="BRA79" s="448"/>
      <c r="BRB79" s="453"/>
      <c r="BRC79" s="449"/>
      <c r="BRD79" s="450"/>
      <c r="BRE79" s="454"/>
      <c r="BRF79" s="448"/>
      <c r="BRH79" s="449"/>
      <c r="BRI79" s="450"/>
      <c r="BRJ79" s="452"/>
      <c r="BRK79" s="448"/>
      <c r="BRM79" s="449"/>
      <c r="BRN79" s="450"/>
      <c r="BRO79" s="447"/>
      <c r="BRP79" s="448"/>
      <c r="BRR79" s="449"/>
      <c r="BRS79" s="450"/>
      <c r="BRT79" s="452"/>
      <c r="BRU79" s="448"/>
      <c r="BRV79" s="449"/>
      <c r="BRW79" s="450"/>
      <c r="BRX79" s="452"/>
      <c r="BRY79" s="448"/>
      <c r="BRZ79" s="455"/>
      <c r="BSA79" s="449"/>
      <c r="BSB79" s="450"/>
      <c r="BSC79" s="459"/>
      <c r="BSD79" s="448"/>
      <c r="BSE79" s="456"/>
      <c r="BSF79" s="449"/>
      <c r="BSG79" s="450"/>
      <c r="BSH79" s="452"/>
      <c r="BSI79" s="448"/>
      <c r="BSJ79" s="449"/>
      <c r="BSK79" s="450"/>
      <c r="BSL79" s="452"/>
      <c r="BSM79" s="448"/>
      <c r="BSN79" s="449"/>
      <c r="BSO79" s="450"/>
      <c r="BSP79" s="447"/>
      <c r="BSQ79" s="448"/>
      <c r="BSR79" s="457"/>
      <c r="BSS79" s="460"/>
      <c r="BST79" s="450"/>
      <c r="BSU79" s="461"/>
      <c r="BSV79" s="448"/>
      <c r="BSW79" s="456"/>
      <c r="BSX79" s="449"/>
      <c r="BSY79" s="450"/>
      <c r="BSZ79" s="452"/>
      <c r="BTA79" s="448"/>
      <c r="BTB79" s="456"/>
      <c r="BTC79" s="458"/>
      <c r="BTD79" s="458"/>
      <c r="BTF79" s="454"/>
      <c r="BTG79" s="450"/>
      <c r="BTH79" s="454"/>
      <c r="BTI79" s="448"/>
      <c r="BTJ79" s="449"/>
      <c r="BTK79" s="450"/>
      <c r="BTL79" s="447"/>
      <c r="BTM79" s="448"/>
      <c r="BTN79" s="449"/>
      <c r="BTO79" s="450"/>
      <c r="BTP79" s="447"/>
      <c r="BTQ79" s="451"/>
      <c r="BTR79" s="449"/>
      <c r="BTS79" s="450"/>
      <c r="BTT79" s="447"/>
      <c r="BTU79" s="451"/>
      <c r="BTV79" s="449"/>
      <c r="BTW79" s="450"/>
      <c r="BTX79" s="447"/>
      <c r="BTY79" s="451"/>
      <c r="BTZ79" s="449"/>
      <c r="BUA79" s="450"/>
      <c r="BUB79" s="452"/>
      <c r="BUC79" s="451"/>
      <c r="BUD79" s="449"/>
      <c r="BUE79" s="450"/>
      <c r="BUF79" s="447"/>
      <c r="BUG79" s="448"/>
      <c r="BUH79" s="453"/>
      <c r="BUI79" s="449"/>
      <c r="BUJ79" s="450"/>
      <c r="BUK79" s="454"/>
      <c r="BUL79" s="448"/>
      <c r="BUN79" s="449"/>
      <c r="BUO79" s="450"/>
      <c r="BUP79" s="452"/>
      <c r="BUQ79" s="448"/>
      <c r="BUS79" s="449"/>
      <c r="BUT79" s="450"/>
      <c r="BUU79" s="447"/>
      <c r="BUV79" s="448"/>
      <c r="BUX79" s="449"/>
      <c r="BUY79" s="450"/>
      <c r="BUZ79" s="452"/>
      <c r="BVA79" s="448"/>
      <c r="BVB79" s="449"/>
      <c r="BVC79" s="450"/>
      <c r="BVD79" s="452"/>
      <c r="BVE79" s="448"/>
      <c r="BVF79" s="455"/>
      <c r="BVG79" s="449"/>
      <c r="BVH79" s="450"/>
      <c r="BVI79" s="459"/>
      <c r="BVJ79" s="448"/>
      <c r="BVK79" s="456"/>
      <c r="BVL79" s="449"/>
      <c r="BVM79" s="450"/>
      <c r="BVN79" s="452"/>
      <c r="BVO79" s="448"/>
      <c r="BVP79" s="449"/>
      <c r="BVQ79" s="450"/>
      <c r="BVR79" s="452"/>
      <c r="BVS79" s="448"/>
      <c r="BVT79" s="449"/>
      <c r="BVU79" s="450"/>
      <c r="BVV79" s="447"/>
      <c r="BVW79" s="448"/>
      <c r="BVX79" s="457"/>
      <c r="BVY79" s="460"/>
      <c r="BVZ79" s="450"/>
      <c r="BWA79" s="461"/>
      <c r="BWB79" s="448"/>
      <c r="BWC79" s="456"/>
      <c r="BWD79" s="449"/>
      <c r="BWE79" s="450"/>
      <c r="BWF79" s="452"/>
      <c r="BWG79" s="448"/>
      <c r="BWH79" s="456"/>
      <c r="BWI79" s="458"/>
      <c r="BWJ79" s="458"/>
      <c r="BWL79" s="454"/>
      <c r="BWM79" s="450"/>
      <c r="BWN79" s="454"/>
      <c r="BWO79" s="448"/>
      <c r="BWP79" s="449"/>
      <c r="BWQ79" s="450"/>
      <c r="BWR79" s="447"/>
      <c r="BWS79" s="448"/>
      <c r="BWT79" s="449"/>
      <c r="BWU79" s="450"/>
      <c r="BWV79" s="447"/>
      <c r="BWW79" s="451"/>
      <c r="BWX79" s="449"/>
      <c r="BWY79" s="450"/>
      <c r="BWZ79" s="447"/>
      <c r="BXA79" s="451"/>
      <c r="BXB79" s="449"/>
      <c r="BXC79" s="450"/>
      <c r="BXD79" s="447"/>
      <c r="BXE79" s="451"/>
      <c r="BXF79" s="449"/>
      <c r="BXG79" s="450"/>
      <c r="BXH79" s="452"/>
      <c r="BXI79" s="451"/>
      <c r="BXJ79" s="449"/>
      <c r="BXK79" s="450"/>
      <c r="BXL79" s="447"/>
      <c r="BXM79" s="448"/>
      <c r="BXN79" s="453"/>
      <c r="BXO79" s="449"/>
      <c r="BXP79" s="450"/>
      <c r="BXQ79" s="454"/>
      <c r="BXR79" s="448"/>
      <c r="BXT79" s="449"/>
      <c r="BXU79" s="450"/>
      <c r="BXV79" s="452"/>
      <c r="BXW79" s="448"/>
      <c r="BXY79" s="449"/>
      <c r="BXZ79" s="450"/>
      <c r="BYA79" s="447"/>
      <c r="BYB79" s="448"/>
      <c r="BYD79" s="449"/>
      <c r="BYE79" s="450"/>
      <c r="BYF79" s="452"/>
      <c r="BYG79" s="448"/>
      <c r="BYH79" s="449"/>
      <c r="BYI79" s="450"/>
      <c r="BYJ79" s="452"/>
      <c r="BYK79" s="448"/>
      <c r="BYL79" s="455"/>
      <c r="BYM79" s="449"/>
      <c r="BYN79" s="450"/>
      <c r="BYO79" s="459"/>
      <c r="BYP79" s="448"/>
      <c r="BYQ79" s="456"/>
      <c r="BYR79" s="449"/>
      <c r="BYS79" s="450"/>
      <c r="BYT79" s="452"/>
      <c r="BYU79" s="448"/>
      <c r="BYV79" s="449"/>
      <c r="BYW79" s="450"/>
      <c r="BYX79" s="452"/>
      <c r="BYY79" s="448"/>
      <c r="BYZ79" s="449"/>
      <c r="BZA79" s="450"/>
      <c r="BZB79" s="447"/>
      <c r="BZC79" s="448"/>
      <c r="BZD79" s="457"/>
      <c r="BZE79" s="460"/>
      <c r="BZF79" s="450"/>
      <c r="BZG79" s="461"/>
      <c r="BZH79" s="448"/>
      <c r="BZI79" s="456"/>
      <c r="BZJ79" s="449"/>
      <c r="BZK79" s="450"/>
      <c r="BZL79" s="452"/>
      <c r="BZM79" s="448"/>
      <c r="BZN79" s="456"/>
      <c r="BZO79" s="458"/>
      <c r="BZP79" s="458"/>
      <c r="BZR79" s="454"/>
      <c r="BZS79" s="450"/>
      <c r="BZT79" s="454"/>
      <c r="BZU79" s="448"/>
      <c r="BZV79" s="449"/>
      <c r="BZW79" s="450"/>
      <c r="BZX79" s="447"/>
      <c r="BZY79" s="448"/>
      <c r="BZZ79" s="449"/>
      <c r="CAA79" s="450"/>
      <c r="CAB79" s="447"/>
      <c r="CAC79" s="451"/>
      <c r="CAD79" s="449"/>
      <c r="CAE79" s="450"/>
      <c r="CAF79" s="447"/>
      <c r="CAG79" s="451"/>
      <c r="CAH79" s="449"/>
      <c r="CAI79" s="450"/>
      <c r="CAJ79" s="447"/>
      <c r="CAK79" s="451"/>
      <c r="CAL79" s="449"/>
      <c r="CAM79" s="450"/>
      <c r="CAN79" s="452"/>
      <c r="CAO79" s="451"/>
      <c r="CAP79" s="449"/>
      <c r="CAQ79" s="450"/>
      <c r="CAR79" s="447"/>
      <c r="CAS79" s="448"/>
      <c r="CAT79" s="453"/>
      <c r="CAU79" s="449"/>
      <c r="CAV79" s="450"/>
      <c r="CAW79" s="454"/>
      <c r="CAX79" s="448"/>
      <c r="CAZ79" s="449"/>
      <c r="CBA79" s="450"/>
      <c r="CBB79" s="452"/>
      <c r="CBC79" s="448"/>
      <c r="CBE79" s="449"/>
      <c r="CBF79" s="450"/>
      <c r="CBG79" s="447"/>
      <c r="CBH79" s="448"/>
      <c r="CBJ79" s="449"/>
      <c r="CBK79" s="450"/>
      <c r="CBL79" s="452"/>
      <c r="CBM79" s="448"/>
      <c r="CBN79" s="449"/>
      <c r="CBO79" s="450"/>
      <c r="CBP79" s="452"/>
      <c r="CBQ79" s="448"/>
      <c r="CBR79" s="455"/>
      <c r="CBS79" s="449"/>
      <c r="CBT79" s="450"/>
      <c r="CBU79" s="459"/>
      <c r="CBV79" s="448"/>
      <c r="CBW79" s="456"/>
      <c r="CBX79" s="449"/>
      <c r="CBY79" s="450"/>
      <c r="CBZ79" s="452"/>
      <c r="CCA79" s="448"/>
      <c r="CCB79" s="449"/>
      <c r="CCC79" s="450"/>
      <c r="CCD79" s="452"/>
      <c r="CCE79" s="448"/>
      <c r="CCF79" s="449"/>
      <c r="CCG79" s="450"/>
      <c r="CCH79" s="447"/>
      <c r="CCI79" s="448"/>
      <c r="CCJ79" s="457"/>
      <c r="CCK79" s="460"/>
      <c r="CCL79" s="450"/>
      <c r="CCM79" s="461"/>
      <c r="CCN79" s="448"/>
      <c r="CCO79" s="456"/>
      <c r="CCP79" s="449"/>
      <c r="CCQ79" s="450"/>
      <c r="CCR79" s="452"/>
      <c r="CCS79" s="448"/>
      <c r="CCT79" s="456"/>
      <c r="CCU79" s="458"/>
      <c r="CCV79" s="458"/>
      <c r="CCX79" s="454"/>
      <c r="CCY79" s="450"/>
      <c r="CCZ79" s="454"/>
      <c r="CDA79" s="448"/>
      <c r="CDB79" s="449"/>
      <c r="CDC79" s="450"/>
      <c r="CDD79" s="447"/>
      <c r="CDE79" s="448"/>
      <c r="CDF79" s="449"/>
      <c r="CDG79" s="450"/>
      <c r="CDH79" s="447"/>
      <c r="CDI79" s="451"/>
      <c r="CDJ79" s="449"/>
      <c r="CDK79" s="450"/>
      <c r="CDL79" s="447"/>
      <c r="CDM79" s="451"/>
      <c r="CDN79" s="449"/>
      <c r="CDO79" s="450"/>
      <c r="CDP79" s="447"/>
      <c r="CDQ79" s="451"/>
      <c r="CDR79" s="449"/>
      <c r="CDS79" s="450"/>
      <c r="CDT79" s="452"/>
      <c r="CDU79" s="451"/>
      <c r="CDV79" s="449"/>
      <c r="CDW79" s="450"/>
      <c r="CDX79" s="447"/>
      <c r="CDY79" s="448"/>
      <c r="CDZ79" s="453"/>
      <c r="CEA79" s="449"/>
      <c r="CEB79" s="450"/>
      <c r="CEC79" s="454"/>
      <c r="CED79" s="448"/>
      <c r="CEF79" s="449"/>
      <c r="CEG79" s="450"/>
      <c r="CEH79" s="452"/>
      <c r="CEI79" s="448"/>
      <c r="CEK79" s="449"/>
      <c r="CEL79" s="450"/>
      <c r="CEM79" s="447"/>
      <c r="CEN79" s="448"/>
      <c r="CEP79" s="449"/>
      <c r="CEQ79" s="450"/>
      <c r="CER79" s="452"/>
      <c r="CES79" s="448"/>
      <c r="CET79" s="449"/>
      <c r="CEU79" s="450"/>
      <c r="CEV79" s="452"/>
      <c r="CEW79" s="448"/>
      <c r="CEX79" s="455"/>
      <c r="CEY79" s="449"/>
      <c r="CEZ79" s="450"/>
      <c r="CFA79" s="459"/>
      <c r="CFB79" s="448"/>
      <c r="CFC79" s="456"/>
      <c r="CFD79" s="449"/>
      <c r="CFE79" s="450"/>
      <c r="CFF79" s="452"/>
      <c r="CFG79" s="448"/>
      <c r="CFH79" s="449"/>
      <c r="CFI79" s="450"/>
      <c r="CFJ79" s="452"/>
      <c r="CFK79" s="448"/>
      <c r="CFL79" s="449"/>
      <c r="CFM79" s="450"/>
      <c r="CFN79" s="447"/>
      <c r="CFO79" s="448"/>
      <c r="CFP79" s="457"/>
      <c r="CFQ79" s="460"/>
      <c r="CFR79" s="450"/>
      <c r="CFS79" s="461"/>
      <c r="CFT79" s="448"/>
      <c r="CFU79" s="456"/>
      <c r="CFV79" s="449"/>
      <c r="CFW79" s="450"/>
      <c r="CFX79" s="452"/>
      <c r="CFY79" s="448"/>
      <c r="CFZ79" s="456"/>
      <c r="CGA79" s="458"/>
      <c r="CGB79" s="458"/>
      <c r="CGD79" s="454"/>
      <c r="CGE79" s="450"/>
      <c r="CGF79" s="454"/>
      <c r="CGG79" s="448"/>
      <c r="CGH79" s="449"/>
      <c r="CGI79" s="450"/>
      <c r="CGJ79" s="447"/>
      <c r="CGK79" s="448"/>
      <c r="CGL79" s="449"/>
      <c r="CGM79" s="450"/>
      <c r="CGN79" s="447"/>
      <c r="CGO79" s="451"/>
      <c r="CGP79" s="449"/>
      <c r="CGQ79" s="450"/>
      <c r="CGR79" s="447"/>
      <c r="CGS79" s="451"/>
      <c r="CGT79" s="449"/>
      <c r="CGU79" s="450"/>
      <c r="CGV79" s="447"/>
      <c r="CGW79" s="451"/>
      <c r="CGX79" s="449"/>
      <c r="CGY79" s="450"/>
      <c r="CGZ79" s="452"/>
      <c r="CHA79" s="451"/>
      <c r="CHB79" s="449"/>
      <c r="CHC79" s="450"/>
      <c r="CHD79" s="447"/>
      <c r="CHE79" s="448"/>
      <c r="CHF79" s="453"/>
      <c r="CHG79" s="449"/>
      <c r="CHH79" s="450"/>
      <c r="CHI79" s="454"/>
      <c r="CHJ79" s="448"/>
      <c r="CHL79" s="449"/>
      <c r="CHM79" s="450"/>
      <c r="CHN79" s="452"/>
      <c r="CHO79" s="448"/>
      <c r="CHQ79" s="449"/>
      <c r="CHR79" s="450"/>
      <c r="CHS79" s="447"/>
      <c r="CHT79" s="448"/>
      <c r="CHV79" s="449"/>
      <c r="CHW79" s="450"/>
      <c r="CHX79" s="452"/>
      <c r="CHY79" s="448"/>
      <c r="CHZ79" s="449"/>
      <c r="CIA79" s="450"/>
      <c r="CIB79" s="452"/>
      <c r="CIC79" s="448"/>
      <c r="CID79" s="455"/>
      <c r="CIE79" s="449"/>
      <c r="CIF79" s="450"/>
      <c r="CIG79" s="459"/>
      <c r="CIH79" s="448"/>
      <c r="CII79" s="456"/>
      <c r="CIJ79" s="449"/>
      <c r="CIK79" s="450"/>
      <c r="CIL79" s="452"/>
      <c r="CIM79" s="448"/>
      <c r="CIN79" s="449"/>
      <c r="CIO79" s="450"/>
      <c r="CIP79" s="452"/>
      <c r="CIQ79" s="448"/>
      <c r="CIR79" s="449"/>
      <c r="CIS79" s="450"/>
      <c r="CIT79" s="447"/>
      <c r="CIU79" s="448"/>
      <c r="CIV79" s="457"/>
      <c r="CIW79" s="460"/>
      <c r="CIX79" s="450"/>
      <c r="CIY79" s="461"/>
      <c r="CIZ79" s="448"/>
      <c r="CJA79" s="456"/>
      <c r="CJB79" s="449"/>
      <c r="CJC79" s="450"/>
      <c r="CJD79" s="452"/>
      <c r="CJE79" s="448"/>
      <c r="CJF79" s="456"/>
      <c r="CJG79" s="458"/>
      <c r="CJH79" s="458"/>
      <c r="CJJ79" s="454"/>
      <c r="CJK79" s="450"/>
      <c r="CJL79" s="454"/>
      <c r="CJM79" s="448"/>
      <c r="CJN79" s="449"/>
      <c r="CJO79" s="450"/>
      <c r="CJP79" s="447"/>
      <c r="CJQ79" s="448"/>
      <c r="CJR79" s="449"/>
      <c r="CJS79" s="450"/>
      <c r="CJT79" s="447"/>
      <c r="CJU79" s="451"/>
      <c r="CJV79" s="449"/>
      <c r="CJW79" s="450"/>
      <c r="CJX79" s="447"/>
      <c r="CJY79" s="451"/>
      <c r="CJZ79" s="449"/>
      <c r="CKA79" s="450"/>
      <c r="CKB79" s="447"/>
      <c r="CKC79" s="451"/>
      <c r="CKD79" s="449"/>
      <c r="CKE79" s="450"/>
      <c r="CKF79" s="452"/>
      <c r="CKG79" s="451"/>
      <c r="CKH79" s="449"/>
      <c r="CKI79" s="450"/>
      <c r="CKJ79" s="447"/>
      <c r="CKK79" s="448"/>
      <c r="CKL79" s="453"/>
      <c r="CKM79" s="449"/>
      <c r="CKN79" s="450"/>
      <c r="CKO79" s="454"/>
      <c r="CKP79" s="448"/>
      <c r="CKR79" s="449"/>
      <c r="CKS79" s="450"/>
      <c r="CKT79" s="452"/>
      <c r="CKU79" s="448"/>
      <c r="CKW79" s="449"/>
      <c r="CKX79" s="450"/>
      <c r="CKY79" s="447"/>
      <c r="CKZ79" s="448"/>
      <c r="CLB79" s="449"/>
      <c r="CLC79" s="450"/>
      <c r="CLD79" s="452"/>
      <c r="CLE79" s="448"/>
      <c r="CLF79" s="449"/>
      <c r="CLG79" s="450"/>
      <c r="CLH79" s="452"/>
      <c r="CLI79" s="448"/>
      <c r="CLJ79" s="455"/>
      <c r="CLK79" s="449"/>
      <c r="CLL79" s="450"/>
      <c r="CLM79" s="459"/>
      <c r="CLN79" s="448"/>
      <c r="CLO79" s="456"/>
      <c r="CLP79" s="449"/>
      <c r="CLQ79" s="450"/>
      <c r="CLR79" s="452"/>
      <c r="CLS79" s="448"/>
      <c r="CLT79" s="449"/>
      <c r="CLU79" s="450"/>
      <c r="CLV79" s="452"/>
      <c r="CLW79" s="448"/>
      <c r="CLX79" s="449"/>
      <c r="CLY79" s="450"/>
      <c r="CLZ79" s="447"/>
      <c r="CMA79" s="448"/>
      <c r="CMB79" s="457"/>
      <c r="CMC79" s="460"/>
      <c r="CMD79" s="450"/>
      <c r="CME79" s="461"/>
      <c r="CMF79" s="448"/>
      <c r="CMG79" s="456"/>
      <c r="CMH79" s="449"/>
      <c r="CMI79" s="450"/>
      <c r="CMJ79" s="452"/>
      <c r="CMK79" s="448"/>
      <c r="CML79" s="456"/>
      <c r="CMM79" s="458"/>
      <c r="CMN79" s="458"/>
      <c r="CMP79" s="454"/>
      <c r="CMQ79" s="450"/>
      <c r="CMR79" s="454"/>
      <c r="CMS79" s="448"/>
      <c r="CMT79" s="449"/>
      <c r="CMU79" s="450"/>
      <c r="CMV79" s="447"/>
      <c r="CMW79" s="448"/>
      <c r="CMX79" s="449"/>
      <c r="CMY79" s="450"/>
      <c r="CMZ79" s="447"/>
      <c r="CNA79" s="451"/>
      <c r="CNB79" s="449"/>
      <c r="CNC79" s="450"/>
      <c r="CND79" s="447"/>
      <c r="CNE79" s="451"/>
      <c r="CNF79" s="449"/>
      <c r="CNG79" s="450"/>
      <c r="CNH79" s="447"/>
      <c r="CNI79" s="451"/>
      <c r="CNJ79" s="449"/>
      <c r="CNK79" s="450"/>
      <c r="CNL79" s="452"/>
      <c r="CNM79" s="451"/>
      <c r="CNN79" s="449"/>
      <c r="CNO79" s="450"/>
      <c r="CNP79" s="447"/>
      <c r="CNQ79" s="448"/>
      <c r="CNR79" s="453"/>
      <c r="CNS79" s="449"/>
      <c r="CNT79" s="450"/>
      <c r="CNU79" s="454"/>
      <c r="CNV79" s="448"/>
      <c r="CNX79" s="449"/>
      <c r="CNY79" s="450"/>
      <c r="CNZ79" s="452"/>
      <c r="COA79" s="448"/>
      <c r="COC79" s="449"/>
      <c r="COD79" s="450"/>
      <c r="COE79" s="447"/>
      <c r="COF79" s="448"/>
      <c r="COH79" s="449"/>
      <c r="COI79" s="450"/>
      <c r="COJ79" s="452"/>
      <c r="COK79" s="448"/>
      <c r="COL79" s="449"/>
      <c r="COM79" s="450"/>
      <c r="CON79" s="452"/>
      <c r="COO79" s="448"/>
      <c r="COP79" s="455"/>
      <c r="COQ79" s="449"/>
      <c r="COR79" s="450"/>
      <c r="COS79" s="459"/>
      <c r="COT79" s="448"/>
      <c r="COU79" s="456"/>
      <c r="COV79" s="449"/>
      <c r="COW79" s="450"/>
      <c r="COX79" s="452"/>
      <c r="COY79" s="448"/>
      <c r="COZ79" s="449"/>
      <c r="CPA79" s="450"/>
      <c r="CPB79" s="452"/>
      <c r="CPC79" s="448"/>
      <c r="CPD79" s="449"/>
      <c r="CPE79" s="450"/>
      <c r="CPF79" s="447"/>
      <c r="CPG79" s="448"/>
      <c r="CPH79" s="457"/>
      <c r="CPI79" s="460"/>
      <c r="CPJ79" s="450"/>
      <c r="CPK79" s="461"/>
      <c r="CPL79" s="448"/>
      <c r="CPM79" s="456"/>
      <c r="CPN79" s="449"/>
      <c r="CPO79" s="450"/>
      <c r="CPP79" s="452"/>
      <c r="CPQ79" s="448"/>
      <c r="CPR79" s="456"/>
      <c r="CPS79" s="458"/>
      <c r="CPT79" s="458"/>
      <c r="CPV79" s="454"/>
      <c r="CPW79" s="450"/>
      <c r="CPX79" s="454"/>
      <c r="CPY79" s="448"/>
      <c r="CPZ79" s="449"/>
      <c r="CQA79" s="450"/>
      <c r="CQB79" s="447"/>
      <c r="CQC79" s="448"/>
      <c r="CQD79" s="449"/>
      <c r="CQE79" s="450"/>
      <c r="CQF79" s="447"/>
      <c r="CQG79" s="451"/>
      <c r="CQH79" s="449"/>
      <c r="CQI79" s="450"/>
      <c r="CQJ79" s="447"/>
      <c r="CQK79" s="451"/>
      <c r="CQL79" s="449"/>
      <c r="CQM79" s="450"/>
      <c r="CQN79" s="447"/>
      <c r="CQO79" s="451"/>
      <c r="CQP79" s="449"/>
      <c r="CQQ79" s="450"/>
      <c r="CQR79" s="452"/>
      <c r="CQS79" s="451"/>
      <c r="CQT79" s="449"/>
      <c r="CQU79" s="450"/>
      <c r="CQV79" s="447"/>
      <c r="CQW79" s="448"/>
      <c r="CQX79" s="453"/>
      <c r="CQY79" s="449"/>
      <c r="CQZ79" s="450"/>
      <c r="CRA79" s="454"/>
      <c r="CRB79" s="448"/>
      <c r="CRD79" s="449"/>
      <c r="CRE79" s="450"/>
      <c r="CRF79" s="452"/>
      <c r="CRG79" s="448"/>
      <c r="CRI79" s="449"/>
      <c r="CRJ79" s="450"/>
      <c r="CRK79" s="447"/>
      <c r="CRL79" s="448"/>
      <c r="CRN79" s="449"/>
      <c r="CRO79" s="450"/>
      <c r="CRP79" s="452"/>
      <c r="CRQ79" s="448"/>
      <c r="CRR79" s="449"/>
      <c r="CRS79" s="450"/>
      <c r="CRT79" s="452"/>
      <c r="CRU79" s="448"/>
      <c r="CRV79" s="455"/>
      <c r="CRW79" s="449"/>
      <c r="CRX79" s="450"/>
      <c r="CRY79" s="459"/>
      <c r="CRZ79" s="448"/>
      <c r="CSA79" s="456"/>
      <c r="CSB79" s="449"/>
      <c r="CSC79" s="450"/>
      <c r="CSD79" s="452"/>
      <c r="CSE79" s="448"/>
      <c r="CSF79" s="449"/>
      <c r="CSG79" s="450"/>
      <c r="CSH79" s="452"/>
      <c r="CSI79" s="448"/>
      <c r="CSJ79" s="449"/>
      <c r="CSK79" s="450"/>
      <c r="CSL79" s="447"/>
      <c r="CSM79" s="448"/>
      <c r="CSN79" s="457"/>
      <c r="CSO79" s="460"/>
      <c r="CSP79" s="450"/>
      <c r="CSQ79" s="461"/>
      <c r="CSR79" s="448"/>
      <c r="CSS79" s="456"/>
      <c r="CST79" s="449"/>
      <c r="CSU79" s="450"/>
      <c r="CSV79" s="452"/>
      <c r="CSW79" s="448"/>
      <c r="CSX79" s="456"/>
      <c r="CSY79" s="458"/>
      <c r="CSZ79" s="458"/>
      <c r="CTB79" s="454"/>
      <c r="CTC79" s="450"/>
      <c r="CTD79" s="454"/>
      <c r="CTE79" s="448"/>
      <c r="CTF79" s="449"/>
      <c r="CTG79" s="450"/>
      <c r="CTH79" s="447"/>
      <c r="CTI79" s="448"/>
      <c r="CTJ79" s="449"/>
      <c r="CTK79" s="450"/>
      <c r="CTL79" s="447"/>
      <c r="CTM79" s="451"/>
      <c r="CTN79" s="449"/>
      <c r="CTO79" s="450"/>
      <c r="CTP79" s="447"/>
      <c r="CTQ79" s="451"/>
      <c r="CTR79" s="449"/>
      <c r="CTS79" s="450"/>
      <c r="CTT79" s="447"/>
      <c r="CTU79" s="451"/>
      <c r="CTV79" s="449"/>
      <c r="CTW79" s="450"/>
      <c r="CTX79" s="452"/>
      <c r="CTY79" s="451"/>
      <c r="CTZ79" s="449"/>
      <c r="CUA79" s="450"/>
      <c r="CUB79" s="447"/>
      <c r="CUC79" s="448"/>
      <c r="CUD79" s="453"/>
      <c r="CUE79" s="449"/>
      <c r="CUF79" s="450"/>
      <c r="CUG79" s="454"/>
      <c r="CUH79" s="448"/>
      <c r="CUJ79" s="449"/>
      <c r="CUK79" s="450"/>
      <c r="CUL79" s="452"/>
      <c r="CUM79" s="448"/>
      <c r="CUO79" s="449"/>
      <c r="CUP79" s="450"/>
      <c r="CUQ79" s="447"/>
      <c r="CUR79" s="448"/>
      <c r="CUT79" s="449"/>
      <c r="CUU79" s="450"/>
      <c r="CUV79" s="452"/>
      <c r="CUW79" s="448"/>
      <c r="CUX79" s="449"/>
      <c r="CUY79" s="450"/>
      <c r="CUZ79" s="452"/>
      <c r="CVA79" s="448"/>
      <c r="CVB79" s="455"/>
      <c r="CVC79" s="449"/>
      <c r="CVD79" s="450"/>
      <c r="CVE79" s="459"/>
      <c r="CVF79" s="448"/>
      <c r="CVG79" s="456"/>
      <c r="CVH79" s="449"/>
      <c r="CVI79" s="450"/>
      <c r="CVJ79" s="452"/>
      <c r="CVK79" s="448"/>
      <c r="CVL79" s="449"/>
      <c r="CVM79" s="450"/>
      <c r="CVN79" s="452"/>
      <c r="CVO79" s="448"/>
      <c r="CVP79" s="449"/>
      <c r="CVQ79" s="450"/>
      <c r="CVR79" s="447"/>
      <c r="CVS79" s="448"/>
      <c r="CVT79" s="457"/>
      <c r="CVU79" s="460"/>
      <c r="CVV79" s="450"/>
      <c r="CVW79" s="461"/>
      <c r="CVX79" s="448"/>
      <c r="CVY79" s="456"/>
      <c r="CVZ79" s="449"/>
      <c r="CWA79" s="450"/>
      <c r="CWB79" s="452"/>
      <c r="CWC79" s="448"/>
      <c r="CWD79" s="456"/>
      <c r="CWE79" s="458"/>
      <c r="CWF79" s="458"/>
      <c r="CWH79" s="454"/>
      <c r="CWI79" s="450"/>
      <c r="CWJ79" s="454"/>
      <c r="CWK79" s="448"/>
      <c r="CWL79" s="449"/>
      <c r="CWM79" s="450"/>
      <c r="CWN79" s="447"/>
      <c r="CWO79" s="448"/>
      <c r="CWP79" s="449"/>
      <c r="CWQ79" s="450"/>
      <c r="CWR79" s="447"/>
      <c r="CWS79" s="451"/>
      <c r="CWT79" s="449"/>
      <c r="CWU79" s="450"/>
      <c r="CWV79" s="447"/>
      <c r="CWW79" s="451"/>
      <c r="CWX79" s="449"/>
      <c r="CWY79" s="450"/>
      <c r="CWZ79" s="447"/>
      <c r="CXA79" s="451"/>
      <c r="CXB79" s="449"/>
      <c r="CXC79" s="450"/>
      <c r="CXD79" s="452"/>
      <c r="CXE79" s="451"/>
      <c r="CXF79" s="449"/>
      <c r="CXG79" s="450"/>
      <c r="CXH79" s="447"/>
      <c r="CXI79" s="448"/>
      <c r="CXJ79" s="453"/>
      <c r="CXK79" s="449"/>
      <c r="CXL79" s="450"/>
      <c r="CXM79" s="454"/>
      <c r="CXN79" s="448"/>
      <c r="CXP79" s="449"/>
      <c r="CXQ79" s="450"/>
      <c r="CXR79" s="452"/>
      <c r="CXS79" s="448"/>
      <c r="CXU79" s="449"/>
      <c r="CXV79" s="450"/>
      <c r="CXW79" s="447"/>
      <c r="CXX79" s="448"/>
      <c r="CXZ79" s="449"/>
      <c r="CYA79" s="450"/>
      <c r="CYB79" s="452"/>
      <c r="CYC79" s="448"/>
      <c r="CYD79" s="449"/>
      <c r="CYE79" s="450"/>
      <c r="CYF79" s="452"/>
      <c r="CYG79" s="448"/>
      <c r="CYH79" s="455"/>
      <c r="CYI79" s="449"/>
      <c r="CYJ79" s="450"/>
      <c r="CYK79" s="459"/>
      <c r="CYL79" s="448"/>
      <c r="CYM79" s="456"/>
      <c r="CYN79" s="449"/>
      <c r="CYO79" s="450"/>
      <c r="CYP79" s="452"/>
      <c r="CYQ79" s="448"/>
      <c r="CYR79" s="449"/>
      <c r="CYS79" s="450"/>
      <c r="CYT79" s="452"/>
      <c r="CYU79" s="448"/>
      <c r="CYV79" s="449"/>
      <c r="CYW79" s="450"/>
      <c r="CYX79" s="447"/>
      <c r="CYY79" s="448"/>
      <c r="CYZ79" s="457"/>
      <c r="CZA79" s="460"/>
      <c r="CZB79" s="450"/>
      <c r="CZC79" s="461"/>
      <c r="CZD79" s="448"/>
      <c r="CZE79" s="456"/>
      <c r="CZF79" s="449"/>
      <c r="CZG79" s="450"/>
      <c r="CZH79" s="452"/>
      <c r="CZI79" s="448"/>
      <c r="CZJ79" s="456"/>
      <c r="CZK79" s="458"/>
      <c r="CZL79" s="458"/>
      <c r="CZN79" s="454"/>
      <c r="CZO79" s="450"/>
      <c r="CZP79" s="454"/>
      <c r="CZQ79" s="448"/>
      <c r="CZR79" s="449"/>
      <c r="CZS79" s="450"/>
      <c r="CZT79" s="447"/>
      <c r="CZU79" s="448"/>
      <c r="CZV79" s="449"/>
      <c r="CZW79" s="450"/>
      <c r="CZX79" s="447"/>
      <c r="CZY79" s="451"/>
      <c r="CZZ79" s="449"/>
      <c r="DAA79" s="450"/>
      <c r="DAB79" s="447"/>
      <c r="DAC79" s="451"/>
      <c r="DAD79" s="449"/>
      <c r="DAE79" s="450"/>
      <c r="DAF79" s="447"/>
      <c r="DAG79" s="451"/>
      <c r="DAH79" s="449"/>
      <c r="DAI79" s="450"/>
      <c r="DAJ79" s="452"/>
      <c r="DAK79" s="451"/>
      <c r="DAL79" s="449"/>
      <c r="DAM79" s="450"/>
      <c r="DAN79" s="447"/>
      <c r="DAO79" s="448"/>
      <c r="DAP79" s="453"/>
      <c r="DAQ79" s="449"/>
      <c r="DAR79" s="450"/>
      <c r="DAS79" s="454"/>
      <c r="DAT79" s="448"/>
      <c r="DAV79" s="449"/>
      <c r="DAW79" s="450"/>
      <c r="DAX79" s="452"/>
      <c r="DAY79" s="448"/>
      <c r="DBA79" s="449"/>
      <c r="DBB79" s="450"/>
      <c r="DBC79" s="447"/>
      <c r="DBD79" s="448"/>
      <c r="DBF79" s="449"/>
      <c r="DBG79" s="450"/>
      <c r="DBH79" s="452"/>
      <c r="DBI79" s="448"/>
      <c r="DBJ79" s="449"/>
      <c r="DBK79" s="450"/>
      <c r="DBL79" s="452"/>
      <c r="DBM79" s="448"/>
      <c r="DBN79" s="455"/>
      <c r="DBO79" s="449"/>
      <c r="DBP79" s="450"/>
      <c r="DBQ79" s="459"/>
      <c r="DBR79" s="448"/>
      <c r="DBS79" s="456"/>
      <c r="DBT79" s="449"/>
      <c r="DBU79" s="450"/>
      <c r="DBV79" s="452"/>
      <c r="DBW79" s="448"/>
      <c r="DBX79" s="449"/>
      <c r="DBY79" s="450"/>
      <c r="DBZ79" s="452"/>
      <c r="DCA79" s="448"/>
      <c r="DCB79" s="449"/>
      <c r="DCC79" s="450"/>
      <c r="DCD79" s="447"/>
      <c r="DCE79" s="448"/>
      <c r="DCF79" s="457"/>
      <c r="DCG79" s="460"/>
      <c r="DCH79" s="450"/>
      <c r="DCI79" s="461"/>
      <c r="DCJ79" s="448"/>
      <c r="DCK79" s="456"/>
      <c r="DCL79" s="449"/>
      <c r="DCM79" s="450"/>
      <c r="DCN79" s="452"/>
      <c r="DCO79" s="448"/>
      <c r="DCP79" s="456"/>
      <c r="DCQ79" s="458"/>
      <c r="DCR79" s="458"/>
      <c r="DCT79" s="454"/>
      <c r="DCU79" s="450"/>
      <c r="DCV79" s="454"/>
      <c r="DCW79" s="448"/>
      <c r="DCX79" s="449"/>
      <c r="DCY79" s="450"/>
      <c r="DCZ79" s="447"/>
      <c r="DDA79" s="448"/>
      <c r="DDB79" s="449"/>
      <c r="DDC79" s="450"/>
      <c r="DDD79" s="447"/>
      <c r="DDE79" s="451"/>
      <c r="DDF79" s="449"/>
      <c r="DDG79" s="450"/>
      <c r="DDH79" s="447"/>
      <c r="DDI79" s="451"/>
      <c r="DDJ79" s="449"/>
      <c r="DDK79" s="450"/>
      <c r="DDL79" s="447"/>
      <c r="DDM79" s="451"/>
      <c r="DDN79" s="449"/>
      <c r="DDO79" s="450"/>
      <c r="DDP79" s="452"/>
      <c r="DDQ79" s="451"/>
      <c r="DDR79" s="449"/>
      <c r="DDS79" s="450"/>
      <c r="DDT79" s="447"/>
      <c r="DDU79" s="448"/>
      <c r="DDV79" s="453"/>
      <c r="DDW79" s="449"/>
      <c r="DDX79" s="450"/>
      <c r="DDY79" s="454"/>
      <c r="DDZ79" s="448"/>
      <c r="DEB79" s="449"/>
      <c r="DEC79" s="450"/>
      <c r="DED79" s="452"/>
      <c r="DEE79" s="448"/>
      <c r="DEG79" s="449"/>
      <c r="DEH79" s="450"/>
      <c r="DEI79" s="447"/>
      <c r="DEJ79" s="448"/>
      <c r="DEL79" s="449"/>
      <c r="DEM79" s="450"/>
      <c r="DEN79" s="452"/>
      <c r="DEO79" s="448"/>
      <c r="DEP79" s="449"/>
      <c r="DEQ79" s="450"/>
      <c r="DER79" s="452"/>
      <c r="DES79" s="448"/>
      <c r="DET79" s="455"/>
      <c r="DEU79" s="449"/>
      <c r="DEV79" s="450"/>
      <c r="DEW79" s="459"/>
      <c r="DEX79" s="448"/>
      <c r="DEY79" s="456"/>
      <c r="DEZ79" s="449"/>
      <c r="DFA79" s="450"/>
      <c r="DFB79" s="452"/>
      <c r="DFC79" s="448"/>
      <c r="DFD79" s="449"/>
      <c r="DFE79" s="450"/>
      <c r="DFF79" s="452"/>
      <c r="DFG79" s="448"/>
      <c r="DFH79" s="449"/>
      <c r="DFI79" s="450"/>
      <c r="DFJ79" s="447"/>
      <c r="DFK79" s="448"/>
      <c r="DFL79" s="457"/>
      <c r="DFM79" s="460"/>
      <c r="DFN79" s="450"/>
      <c r="DFO79" s="461"/>
      <c r="DFP79" s="448"/>
      <c r="DFQ79" s="456"/>
      <c r="DFR79" s="449"/>
      <c r="DFS79" s="450"/>
      <c r="DFT79" s="452"/>
      <c r="DFU79" s="448"/>
      <c r="DFV79" s="456"/>
      <c r="DFW79" s="458"/>
      <c r="DFX79" s="458"/>
      <c r="DFZ79" s="454"/>
      <c r="DGA79" s="450"/>
      <c r="DGB79" s="454"/>
      <c r="DGC79" s="448"/>
      <c r="DGD79" s="449"/>
      <c r="DGE79" s="450"/>
      <c r="DGF79" s="447"/>
      <c r="DGG79" s="448"/>
      <c r="DGH79" s="449"/>
      <c r="DGI79" s="450"/>
      <c r="DGJ79" s="447"/>
      <c r="DGK79" s="451"/>
      <c r="DGL79" s="449"/>
      <c r="DGM79" s="450"/>
      <c r="DGN79" s="447"/>
      <c r="DGO79" s="451"/>
      <c r="DGP79" s="449"/>
      <c r="DGQ79" s="450"/>
      <c r="DGR79" s="447"/>
      <c r="DGS79" s="451"/>
      <c r="DGT79" s="449"/>
      <c r="DGU79" s="450"/>
      <c r="DGV79" s="452"/>
      <c r="DGW79" s="451"/>
      <c r="DGX79" s="449"/>
      <c r="DGY79" s="450"/>
      <c r="DGZ79" s="447"/>
      <c r="DHA79" s="448"/>
      <c r="DHB79" s="453"/>
      <c r="DHC79" s="449"/>
      <c r="DHD79" s="450"/>
      <c r="DHE79" s="454"/>
      <c r="DHF79" s="448"/>
      <c r="DHH79" s="449"/>
      <c r="DHI79" s="450"/>
      <c r="DHJ79" s="452"/>
      <c r="DHK79" s="448"/>
      <c r="DHM79" s="449"/>
      <c r="DHN79" s="450"/>
      <c r="DHO79" s="447"/>
      <c r="DHP79" s="448"/>
      <c r="DHR79" s="449"/>
      <c r="DHS79" s="450"/>
      <c r="DHT79" s="452"/>
      <c r="DHU79" s="448"/>
      <c r="DHV79" s="449"/>
      <c r="DHW79" s="450"/>
      <c r="DHX79" s="452"/>
      <c r="DHY79" s="448"/>
      <c r="DHZ79" s="455"/>
      <c r="DIA79" s="449"/>
      <c r="DIB79" s="450"/>
      <c r="DIC79" s="459"/>
      <c r="DID79" s="448"/>
      <c r="DIE79" s="456"/>
      <c r="DIF79" s="449"/>
      <c r="DIG79" s="450"/>
      <c r="DIH79" s="452"/>
      <c r="DII79" s="448"/>
      <c r="DIJ79" s="449"/>
      <c r="DIK79" s="450"/>
      <c r="DIL79" s="452"/>
      <c r="DIM79" s="448"/>
      <c r="DIN79" s="449"/>
      <c r="DIO79" s="450"/>
      <c r="DIP79" s="447"/>
      <c r="DIQ79" s="448"/>
      <c r="DIR79" s="457"/>
      <c r="DIS79" s="460"/>
      <c r="DIT79" s="450"/>
      <c r="DIU79" s="461"/>
      <c r="DIV79" s="448"/>
      <c r="DIW79" s="456"/>
      <c r="DIX79" s="449"/>
      <c r="DIY79" s="450"/>
      <c r="DIZ79" s="452"/>
      <c r="DJA79" s="448"/>
      <c r="DJB79" s="456"/>
      <c r="DJC79" s="458"/>
      <c r="DJD79" s="458"/>
      <c r="DJF79" s="454"/>
      <c r="DJG79" s="450"/>
      <c r="DJH79" s="454"/>
      <c r="DJI79" s="448"/>
      <c r="DJJ79" s="449"/>
      <c r="DJK79" s="450"/>
      <c r="DJL79" s="447"/>
      <c r="DJM79" s="448"/>
      <c r="DJN79" s="449"/>
      <c r="DJO79" s="450"/>
      <c r="DJP79" s="447"/>
      <c r="DJQ79" s="451"/>
      <c r="DJR79" s="449"/>
      <c r="DJS79" s="450"/>
      <c r="DJT79" s="447"/>
      <c r="DJU79" s="451"/>
      <c r="DJV79" s="449"/>
      <c r="DJW79" s="450"/>
      <c r="DJX79" s="447"/>
      <c r="DJY79" s="451"/>
      <c r="DJZ79" s="449"/>
      <c r="DKA79" s="450"/>
      <c r="DKB79" s="452"/>
      <c r="DKC79" s="451"/>
      <c r="DKD79" s="449"/>
      <c r="DKE79" s="450"/>
      <c r="DKF79" s="447"/>
      <c r="DKG79" s="448"/>
      <c r="DKH79" s="453"/>
      <c r="DKI79" s="449"/>
      <c r="DKJ79" s="450"/>
      <c r="DKK79" s="454"/>
      <c r="DKL79" s="448"/>
      <c r="DKN79" s="449"/>
      <c r="DKO79" s="450"/>
      <c r="DKP79" s="452"/>
      <c r="DKQ79" s="448"/>
      <c r="DKS79" s="449"/>
      <c r="DKT79" s="450"/>
      <c r="DKU79" s="447"/>
      <c r="DKV79" s="448"/>
      <c r="DKX79" s="449"/>
      <c r="DKY79" s="450"/>
      <c r="DKZ79" s="452"/>
      <c r="DLA79" s="448"/>
      <c r="DLB79" s="449"/>
      <c r="DLC79" s="450"/>
      <c r="DLD79" s="452"/>
      <c r="DLE79" s="448"/>
      <c r="DLF79" s="455"/>
      <c r="DLG79" s="449"/>
      <c r="DLH79" s="450"/>
      <c r="DLI79" s="459"/>
      <c r="DLJ79" s="448"/>
      <c r="DLK79" s="456"/>
      <c r="DLL79" s="449"/>
      <c r="DLM79" s="450"/>
      <c r="DLN79" s="452"/>
      <c r="DLO79" s="448"/>
      <c r="DLP79" s="449"/>
      <c r="DLQ79" s="450"/>
      <c r="DLR79" s="452"/>
      <c r="DLS79" s="448"/>
      <c r="DLT79" s="449"/>
      <c r="DLU79" s="450"/>
      <c r="DLV79" s="447"/>
      <c r="DLW79" s="448"/>
      <c r="DLX79" s="457"/>
      <c r="DLY79" s="460"/>
      <c r="DLZ79" s="450"/>
      <c r="DMA79" s="461"/>
      <c r="DMB79" s="448"/>
      <c r="DMC79" s="456"/>
      <c r="DMD79" s="449"/>
      <c r="DME79" s="450"/>
      <c r="DMF79" s="452"/>
      <c r="DMG79" s="448"/>
      <c r="DMH79" s="456"/>
      <c r="DMI79" s="458"/>
      <c r="DMJ79" s="458"/>
      <c r="DML79" s="454"/>
      <c r="DMM79" s="450"/>
      <c r="DMN79" s="454"/>
      <c r="DMO79" s="448"/>
      <c r="DMP79" s="449"/>
      <c r="DMQ79" s="450"/>
      <c r="DMR79" s="447"/>
      <c r="DMS79" s="448"/>
      <c r="DMT79" s="449"/>
      <c r="DMU79" s="450"/>
      <c r="DMV79" s="447"/>
      <c r="DMW79" s="451"/>
      <c r="DMX79" s="449"/>
      <c r="DMY79" s="450"/>
      <c r="DMZ79" s="447"/>
      <c r="DNA79" s="451"/>
      <c r="DNB79" s="449"/>
      <c r="DNC79" s="450"/>
      <c r="DND79" s="447"/>
      <c r="DNE79" s="451"/>
      <c r="DNF79" s="449"/>
      <c r="DNG79" s="450"/>
      <c r="DNH79" s="452"/>
      <c r="DNI79" s="451"/>
      <c r="DNJ79" s="449"/>
      <c r="DNK79" s="450"/>
      <c r="DNL79" s="447"/>
      <c r="DNM79" s="448"/>
      <c r="DNN79" s="453"/>
      <c r="DNO79" s="449"/>
      <c r="DNP79" s="450"/>
      <c r="DNQ79" s="454"/>
      <c r="DNR79" s="448"/>
      <c r="DNT79" s="449"/>
      <c r="DNU79" s="450"/>
      <c r="DNV79" s="452"/>
      <c r="DNW79" s="448"/>
      <c r="DNY79" s="449"/>
      <c r="DNZ79" s="450"/>
      <c r="DOA79" s="447"/>
      <c r="DOB79" s="448"/>
      <c r="DOD79" s="449"/>
      <c r="DOE79" s="450"/>
      <c r="DOF79" s="452"/>
      <c r="DOG79" s="448"/>
      <c r="DOH79" s="449"/>
      <c r="DOI79" s="450"/>
      <c r="DOJ79" s="452"/>
      <c r="DOK79" s="448"/>
      <c r="DOL79" s="455"/>
      <c r="DOM79" s="449"/>
      <c r="DON79" s="450"/>
      <c r="DOO79" s="459"/>
      <c r="DOP79" s="448"/>
      <c r="DOQ79" s="456"/>
      <c r="DOR79" s="449"/>
      <c r="DOS79" s="450"/>
      <c r="DOT79" s="452"/>
      <c r="DOU79" s="448"/>
      <c r="DOV79" s="449"/>
      <c r="DOW79" s="450"/>
      <c r="DOX79" s="452"/>
      <c r="DOY79" s="448"/>
      <c r="DOZ79" s="449"/>
      <c r="DPA79" s="450"/>
      <c r="DPB79" s="447"/>
      <c r="DPC79" s="448"/>
      <c r="DPD79" s="457"/>
      <c r="DPE79" s="460"/>
      <c r="DPF79" s="450"/>
      <c r="DPG79" s="461"/>
      <c r="DPH79" s="448"/>
      <c r="DPI79" s="456"/>
      <c r="DPJ79" s="449"/>
      <c r="DPK79" s="450"/>
      <c r="DPL79" s="452"/>
      <c r="DPM79" s="448"/>
      <c r="DPN79" s="456"/>
      <c r="DPO79" s="458"/>
      <c r="DPP79" s="458"/>
      <c r="DPR79" s="454"/>
      <c r="DPS79" s="450"/>
      <c r="DPT79" s="454"/>
      <c r="DPU79" s="448"/>
      <c r="DPV79" s="449"/>
      <c r="DPW79" s="450"/>
      <c r="DPX79" s="447"/>
      <c r="DPY79" s="448"/>
      <c r="DPZ79" s="449"/>
      <c r="DQA79" s="450"/>
      <c r="DQB79" s="447"/>
      <c r="DQC79" s="451"/>
      <c r="DQD79" s="449"/>
      <c r="DQE79" s="450"/>
      <c r="DQF79" s="447"/>
      <c r="DQG79" s="451"/>
      <c r="DQH79" s="449"/>
      <c r="DQI79" s="450"/>
      <c r="DQJ79" s="447"/>
      <c r="DQK79" s="451"/>
      <c r="DQL79" s="449"/>
      <c r="DQM79" s="450"/>
      <c r="DQN79" s="452"/>
      <c r="DQO79" s="451"/>
      <c r="DQP79" s="449"/>
      <c r="DQQ79" s="450"/>
      <c r="DQR79" s="447"/>
      <c r="DQS79" s="448"/>
      <c r="DQT79" s="453"/>
      <c r="DQU79" s="449"/>
      <c r="DQV79" s="450"/>
      <c r="DQW79" s="454"/>
      <c r="DQX79" s="448"/>
      <c r="DQZ79" s="449"/>
      <c r="DRA79" s="450"/>
      <c r="DRB79" s="452"/>
      <c r="DRC79" s="448"/>
      <c r="DRE79" s="449"/>
      <c r="DRF79" s="450"/>
      <c r="DRG79" s="447"/>
      <c r="DRH79" s="448"/>
      <c r="DRJ79" s="449"/>
      <c r="DRK79" s="450"/>
      <c r="DRL79" s="452"/>
      <c r="DRM79" s="448"/>
      <c r="DRN79" s="449"/>
      <c r="DRO79" s="450"/>
      <c r="DRP79" s="452"/>
      <c r="DRQ79" s="448"/>
      <c r="DRR79" s="455"/>
      <c r="DRS79" s="449"/>
      <c r="DRT79" s="450"/>
      <c r="DRU79" s="459"/>
      <c r="DRV79" s="448"/>
      <c r="DRW79" s="456"/>
      <c r="DRX79" s="449"/>
      <c r="DRY79" s="450"/>
      <c r="DRZ79" s="452"/>
      <c r="DSA79" s="448"/>
      <c r="DSB79" s="449"/>
      <c r="DSC79" s="450"/>
      <c r="DSD79" s="452"/>
      <c r="DSE79" s="448"/>
      <c r="DSF79" s="449"/>
      <c r="DSG79" s="450"/>
      <c r="DSH79" s="447"/>
      <c r="DSI79" s="448"/>
      <c r="DSJ79" s="457"/>
      <c r="DSK79" s="460"/>
      <c r="DSL79" s="450"/>
      <c r="DSM79" s="461"/>
      <c r="DSN79" s="448"/>
      <c r="DSO79" s="456"/>
      <c r="DSP79" s="449"/>
      <c r="DSQ79" s="450"/>
      <c r="DSR79" s="452"/>
      <c r="DSS79" s="448"/>
      <c r="DST79" s="456"/>
      <c r="DSU79" s="458"/>
      <c r="DSV79" s="458"/>
      <c r="DSX79" s="454"/>
      <c r="DSY79" s="450"/>
      <c r="DSZ79" s="454"/>
      <c r="DTA79" s="448"/>
      <c r="DTB79" s="449"/>
      <c r="DTC79" s="450"/>
      <c r="DTD79" s="447"/>
      <c r="DTE79" s="448"/>
      <c r="DTF79" s="449"/>
      <c r="DTG79" s="450"/>
      <c r="DTH79" s="447"/>
      <c r="DTI79" s="451"/>
      <c r="DTJ79" s="449"/>
      <c r="DTK79" s="450"/>
      <c r="DTL79" s="447"/>
      <c r="DTM79" s="451"/>
      <c r="DTN79" s="449"/>
      <c r="DTO79" s="450"/>
      <c r="DTP79" s="447"/>
      <c r="DTQ79" s="451"/>
      <c r="DTR79" s="449"/>
      <c r="DTS79" s="450"/>
      <c r="DTT79" s="452"/>
      <c r="DTU79" s="451"/>
      <c r="DTV79" s="449"/>
      <c r="DTW79" s="450"/>
      <c r="DTX79" s="447"/>
      <c r="DTY79" s="448"/>
      <c r="DTZ79" s="453"/>
      <c r="DUA79" s="449"/>
      <c r="DUB79" s="450"/>
      <c r="DUC79" s="454"/>
      <c r="DUD79" s="448"/>
      <c r="DUF79" s="449"/>
      <c r="DUG79" s="450"/>
      <c r="DUH79" s="452"/>
      <c r="DUI79" s="448"/>
      <c r="DUK79" s="449"/>
      <c r="DUL79" s="450"/>
      <c r="DUM79" s="447"/>
      <c r="DUN79" s="448"/>
      <c r="DUP79" s="449"/>
      <c r="DUQ79" s="450"/>
      <c r="DUR79" s="452"/>
      <c r="DUS79" s="448"/>
      <c r="DUT79" s="449"/>
      <c r="DUU79" s="450"/>
      <c r="DUV79" s="452"/>
      <c r="DUW79" s="448"/>
      <c r="DUX79" s="455"/>
      <c r="DUY79" s="449"/>
      <c r="DUZ79" s="450"/>
      <c r="DVA79" s="459"/>
      <c r="DVB79" s="448"/>
      <c r="DVC79" s="456"/>
      <c r="DVD79" s="449"/>
      <c r="DVE79" s="450"/>
      <c r="DVF79" s="452"/>
      <c r="DVG79" s="448"/>
      <c r="DVH79" s="449"/>
      <c r="DVI79" s="450"/>
      <c r="DVJ79" s="452"/>
      <c r="DVK79" s="448"/>
      <c r="DVL79" s="449"/>
      <c r="DVM79" s="450"/>
      <c r="DVN79" s="447"/>
      <c r="DVO79" s="448"/>
      <c r="DVP79" s="457"/>
      <c r="DVQ79" s="460"/>
      <c r="DVR79" s="450"/>
      <c r="DVS79" s="461"/>
      <c r="DVT79" s="448"/>
      <c r="DVU79" s="456"/>
      <c r="DVV79" s="449"/>
      <c r="DVW79" s="450"/>
      <c r="DVX79" s="452"/>
      <c r="DVY79" s="448"/>
      <c r="DVZ79" s="456"/>
      <c r="DWA79" s="458"/>
      <c r="DWB79" s="458"/>
      <c r="DWD79" s="454"/>
      <c r="DWE79" s="450"/>
      <c r="DWF79" s="454"/>
      <c r="DWG79" s="448"/>
      <c r="DWH79" s="449"/>
      <c r="DWI79" s="450"/>
      <c r="DWJ79" s="447"/>
      <c r="DWK79" s="448"/>
      <c r="DWL79" s="449"/>
      <c r="DWM79" s="450"/>
      <c r="DWN79" s="447"/>
      <c r="DWO79" s="451"/>
      <c r="DWP79" s="449"/>
      <c r="DWQ79" s="450"/>
      <c r="DWR79" s="447"/>
      <c r="DWS79" s="451"/>
      <c r="DWT79" s="449"/>
      <c r="DWU79" s="450"/>
      <c r="DWV79" s="447"/>
      <c r="DWW79" s="451"/>
      <c r="DWX79" s="449"/>
      <c r="DWY79" s="450"/>
      <c r="DWZ79" s="452"/>
      <c r="DXA79" s="451"/>
      <c r="DXB79" s="449"/>
      <c r="DXC79" s="450"/>
      <c r="DXD79" s="447"/>
      <c r="DXE79" s="448"/>
      <c r="DXF79" s="453"/>
      <c r="DXG79" s="449"/>
      <c r="DXH79" s="450"/>
      <c r="DXI79" s="454"/>
      <c r="DXJ79" s="448"/>
      <c r="DXL79" s="449"/>
      <c r="DXM79" s="450"/>
      <c r="DXN79" s="452"/>
      <c r="DXO79" s="448"/>
      <c r="DXQ79" s="449"/>
      <c r="DXR79" s="450"/>
      <c r="DXS79" s="447"/>
      <c r="DXT79" s="448"/>
      <c r="DXV79" s="449"/>
      <c r="DXW79" s="450"/>
      <c r="DXX79" s="452"/>
      <c r="DXY79" s="448"/>
      <c r="DXZ79" s="449"/>
      <c r="DYA79" s="450"/>
      <c r="DYB79" s="452"/>
      <c r="DYC79" s="448"/>
      <c r="DYD79" s="455"/>
      <c r="DYE79" s="449"/>
      <c r="DYF79" s="450"/>
      <c r="DYG79" s="459"/>
      <c r="DYH79" s="448"/>
      <c r="DYI79" s="456"/>
      <c r="DYJ79" s="449"/>
      <c r="DYK79" s="450"/>
      <c r="DYL79" s="452"/>
      <c r="DYM79" s="448"/>
      <c r="DYN79" s="449"/>
      <c r="DYO79" s="450"/>
      <c r="DYP79" s="452"/>
      <c r="DYQ79" s="448"/>
      <c r="DYR79" s="449"/>
      <c r="DYS79" s="450"/>
      <c r="DYT79" s="447"/>
      <c r="DYU79" s="448"/>
      <c r="DYV79" s="457"/>
      <c r="DYW79" s="460"/>
      <c r="DYX79" s="450"/>
      <c r="DYY79" s="461"/>
      <c r="DYZ79" s="448"/>
      <c r="DZA79" s="456"/>
      <c r="DZB79" s="449"/>
      <c r="DZC79" s="450"/>
      <c r="DZD79" s="452"/>
      <c r="DZE79" s="448"/>
      <c r="DZF79" s="456"/>
      <c r="DZG79" s="458"/>
      <c r="DZH79" s="458"/>
      <c r="DZJ79" s="454"/>
      <c r="DZK79" s="450"/>
      <c r="DZL79" s="454"/>
      <c r="DZM79" s="448"/>
      <c r="DZN79" s="449"/>
      <c r="DZO79" s="450"/>
      <c r="DZP79" s="447"/>
      <c r="DZQ79" s="448"/>
      <c r="DZR79" s="449"/>
      <c r="DZS79" s="450"/>
      <c r="DZT79" s="447"/>
      <c r="DZU79" s="451"/>
      <c r="DZV79" s="449"/>
      <c r="DZW79" s="450"/>
      <c r="DZX79" s="447"/>
      <c r="DZY79" s="451"/>
      <c r="DZZ79" s="449"/>
      <c r="EAA79" s="450"/>
      <c r="EAB79" s="447"/>
      <c r="EAC79" s="451"/>
      <c r="EAD79" s="449"/>
      <c r="EAE79" s="450"/>
      <c r="EAF79" s="452"/>
      <c r="EAG79" s="451"/>
      <c r="EAH79" s="449"/>
      <c r="EAI79" s="450"/>
      <c r="EAJ79" s="447"/>
      <c r="EAK79" s="448"/>
      <c r="EAL79" s="453"/>
      <c r="EAM79" s="449"/>
      <c r="EAN79" s="450"/>
      <c r="EAO79" s="454"/>
      <c r="EAP79" s="448"/>
      <c r="EAR79" s="449"/>
      <c r="EAS79" s="450"/>
      <c r="EAT79" s="452"/>
      <c r="EAU79" s="448"/>
      <c r="EAW79" s="449"/>
      <c r="EAX79" s="450"/>
      <c r="EAY79" s="447"/>
      <c r="EAZ79" s="448"/>
      <c r="EBB79" s="449"/>
      <c r="EBC79" s="450"/>
      <c r="EBD79" s="452"/>
      <c r="EBE79" s="448"/>
      <c r="EBF79" s="449"/>
      <c r="EBG79" s="450"/>
      <c r="EBH79" s="452"/>
      <c r="EBI79" s="448"/>
      <c r="EBJ79" s="455"/>
      <c r="EBK79" s="449"/>
      <c r="EBL79" s="450"/>
      <c r="EBM79" s="459"/>
      <c r="EBN79" s="448"/>
      <c r="EBO79" s="456"/>
      <c r="EBP79" s="449"/>
      <c r="EBQ79" s="450"/>
      <c r="EBR79" s="452"/>
      <c r="EBS79" s="448"/>
      <c r="EBT79" s="449"/>
      <c r="EBU79" s="450"/>
      <c r="EBV79" s="452"/>
      <c r="EBW79" s="448"/>
      <c r="EBX79" s="449"/>
      <c r="EBY79" s="450"/>
      <c r="EBZ79" s="447"/>
      <c r="ECA79" s="448"/>
      <c r="ECB79" s="457"/>
      <c r="ECC79" s="460"/>
      <c r="ECD79" s="450"/>
      <c r="ECE79" s="461"/>
      <c r="ECF79" s="448"/>
      <c r="ECG79" s="456"/>
      <c r="ECH79" s="449"/>
      <c r="ECI79" s="450"/>
      <c r="ECJ79" s="452"/>
      <c r="ECK79" s="448"/>
      <c r="ECL79" s="456"/>
      <c r="ECM79" s="458"/>
      <c r="ECN79" s="458"/>
      <c r="ECP79" s="454"/>
      <c r="ECQ79" s="450"/>
      <c r="ECR79" s="454"/>
      <c r="ECS79" s="448"/>
      <c r="ECT79" s="449"/>
      <c r="ECU79" s="450"/>
      <c r="ECV79" s="447"/>
      <c r="ECW79" s="448"/>
      <c r="ECX79" s="449"/>
      <c r="ECY79" s="450"/>
      <c r="ECZ79" s="447"/>
      <c r="EDA79" s="451"/>
      <c r="EDB79" s="449"/>
      <c r="EDC79" s="450"/>
      <c r="EDD79" s="447"/>
      <c r="EDE79" s="451"/>
      <c r="EDF79" s="449"/>
      <c r="EDG79" s="450"/>
      <c r="EDH79" s="447"/>
      <c r="EDI79" s="451"/>
      <c r="EDJ79" s="449"/>
      <c r="EDK79" s="450"/>
      <c r="EDL79" s="452"/>
      <c r="EDM79" s="451"/>
      <c r="EDN79" s="449"/>
      <c r="EDO79" s="450"/>
      <c r="EDP79" s="447"/>
      <c r="EDQ79" s="448"/>
      <c r="EDR79" s="453"/>
      <c r="EDS79" s="449"/>
      <c r="EDT79" s="450"/>
      <c r="EDU79" s="454"/>
      <c r="EDV79" s="448"/>
      <c r="EDX79" s="449"/>
      <c r="EDY79" s="450"/>
      <c r="EDZ79" s="452"/>
      <c r="EEA79" s="448"/>
      <c r="EEC79" s="449"/>
      <c r="EED79" s="450"/>
      <c r="EEE79" s="447"/>
      <c r="EEF79" s="448"/>
      <c r="EEH79" s="449"/>
      <c r="EEI79" s="450"/>
      <c r="EEJ79" s="452"/>
      <c r="EEK79" s="448"/>
      <c r="EEL79" s="449"/>
      <c r="EEM79" s="450"/>
      <c r="EEN79" s="452"/>
      <c r="EEO79" s="448"/>
      <c r="EEP79" s="455"/>
      <c r="EEQ79" s="449"/>
      <c r="EER79" s="450"/>
      <c r="EES79" s="459"/>
      <c r="EET79" s="448"/>
      <c r="EEU79" s="456"/>
      <c r="EEV79" s="449"/>
      <c r="EEW79" s="450"/>
      <c r="EEX79" s="452"/>
      <c r="EEY79" s="448"/>
      <c r="EEZ79" s="449"/>
      <c r="EFA79" s="450"/>
      <c r="EFB79" s="452"/>
      <c r="EFC79" s="448"/>
      <c r="EFD79" s="449"/>
      <c r="EFE79" s="450"/>
      <c r="EFF79" s="447"/>
      <c r="EFG79" s="448"/>
      <c r="EFH79" s="457"/>
      <c r="EFI79" s="460"/>
      <c r="EFJ79" s="450"/>
      <c r="EFK79" s="461"/>
      <c r="EFL79" s="448"/>
      <c r="EFM79" s="456"/>
      <c r="EFN79" s="449"/>
      <c r="EFO79" s="450"/>
      <c r="EFP79" s="452"/>
      <c r="EFQ79" s="448"/>
      <c r="EFR79" s="456"/>
      <c r="EFS79" s="458"/>
      <c r="EFT79" s="458"/>
      <c r="EFV79" s="454"/>
      <c r="EFW79" s="450"/>
      <c r="EFX79" s="454"/>
      <c r="EFY79" s="448"/>
      <c r="EFZ79" s="449"/>
      <c r="EGA79" s="450"/>
      <c r="EGB79" s="447"/>
      <c r="EGC79" s="448"/>
      <c r="EGD79" s="449"/>
      <c r="EGE79" s="450"/>
      <c r="EGF79" s="447"/>
      <c r="EGG79" s="451"/>
      <c r="EGH79" s="449"/>
      <c r="EGI79" s="450"/>
      <c r="EGJ79" s="447"/>
      <c r="EGK79" s="451"/>
      <c r="EGL79" s="449"/>
      <c r="EGM79" s="450"/>
      <c r="EGN79" s="447"/>
      <c r="EGO79" s="451"/>
      <c r="EGP79" s="449"/>
      <c r="EGQ79" s="450"/>
      <c r="EGR79" s="452"/>
      <c r="EGS79" s="451"/>
      <c r="EGT79" s="449"/>
      <c r="EGU79" s="450"/>
      <c r="EGV79" s="447"/>
      <c r="EGW79" s="448"/>
      <c r="EGX79" s="453"/>
      <c r="EGY79" s="449"/>
      <c r="EGZ79" s="450"/>
      <c r="EHA79" s="454"/>
      <c r="EHB79" s="448"/>
      <c r="EHD79" s="449"/>
      <c r="EHE79" s="450"/>
      <c r="EHF79" s="452"/>
      <c r="EHG79" s="448"/>
      <c r="EHI79" s="449"/>
      <c r="EHJ79" s="450"/>
      <c r="EHK79" s="447"/>
      <c r="EHL79" s="448"/>
      <c r="EHN79" s="449"/>
      <c r="EHO79" s="450"/>
      <c r="EHP79" s="452"/>
      <c r="EHQ79" s="448"/>
      <c r="EHR79" s="449"/>
      <c r="EHS79" s="450"/>
      <c r="EHT79" s="452"/>
      <c r="EHU79" s="448"/>
      <c r="EHV79" s="455"/>
      <c r="EHW79" s="449"/>
      <c r="EHX79" s="450"/>
      <c r="EHY79" s="459"/>
      <c r="EHZ79" s="448"/>
      <c r="EIA79" s="456"/>
      <c r="EIB79" s="449"/>
      <c r="EIC79" s="450"/>
      <c r="EID79" s="452"/>
      <c r="EIE79" s="448"/>
      <c r="EIF79" s="449"/>
      <c r="EIG79" s="450"/>
      <c r="EIH79" s="452"/>
      <c r="EII79" s="448"/>
      <c r="EIJ79" s="449"/>
      <c r="EIK79" s="450"/>
      <c r="EIL79" s="447"/>
      <c r="EIM79" s="448"/>
      <c r="EIN79" s="457"/>
      <c r="EIO79" s="460"/>
      <c r="EIP79" s="450"/>
      <c r="EIQ79" s="461"/>
      <c r="EIR79" s="448"/>
      <c r="EIS79" s="456"/>
      <c r="EIT79" s="449"/>
      <c r="EIU79" s="450"/>
      <c r="EIV79" s="452"/>
      <c r="EIW79" s="448"/>
      <c r="EIX79" s="456"/>
      <c r="EIY79" s="458"/>
      <c r="EIZ79" s="458"/>
      <c r="EJB79" s="454"/>
      <c r="EJC79" s="450"/>
      <c r="EJD79" s="454"/>
      <c r="EJE79" s="448"/>
      <c r="EJF79" s="449"/>
      <c r="EJG79" s="450"/>
      <c r="EJH79" s="447"/>
      <c r="EJI79" s="448"/>
      <c r="EJJ79" s="449"/>
      <c r="EJK79" s="450"/>
      <c r="EJL79" s="447"/>
      <c r="EJM79" s="451"/>
      <c r="EJN79" s="449"/>
      <c r="EJO79" s="450"/>
      <c r="EJP79" s="447"/>
      <c r="EJQ79" s="451"/>
      <c r="EJR79" s="449"/>
      <c r="EJS79" s="450"/>
      <c r="EJT79" s="447"/>
      <c r="EJU79" s="451"/>
      <c r="EJV79" s="449"/>
      <c r="EJW79" s="450"/>
      <c r="EJX79" s="452"/>
      <c r="EJY79" s="451"/>
      <c r="EJZ79" s="449"/>
      <c r="EKA79" s="450"/>
      <c r="EKB79" s="447"/>
      <c r="EKC79" s="448"/>
      <c r="EKD79" s="453"/>
      <c r="EKE79" s="449"/>
      <c r="EKF79" s="450"/>
      <c r="EKG79" s="454"/>
      <c r="EKH79" s="448"/>
      <c r="EKJ79" s="449"/>
      <c r="EKK79" s="450"/>
      <c r="EKL79" s="452"/>
      <c r="EKM79" s="448"/>
      <c r="EKO79" s="449"/>
      <c r="EKP79" s="450"/>
      <c r="EKQ79" s="447"/>
      <c r="EKR79" s="448"/>
      <c r="EKT79" s="449"/>
      <c r="EKU79" s="450"/>
      <c r="EKV79" s="452"/>
      <c r="EKW79" s="448"/>
      <c r="EKX79" s="449"/>
      <c r="EKY79" s="450"/>
      <c r="EKZ79" s="452"/>
      <c r="ELA79" s="448"/>
      <c r="ELB79" s="455"/>
      <c r="ELC79" s="449"/>
      <c r="ELD79" s="450"/>
      <c r="ELE79" s="459"/>
      <c r="ELF79" s="448"/>
      <c r="ELG79" s="456"/>
      <c r="ELH79" s="449"/>
      <c r="ELI79" s="450"/>
      <c r="ELJ79" s="452"/>
      <c r="ELK79" s="448"/>
      <c r="ELL79" s="449"/>
      <c r="ELM79" s="450"/>
      <c r="ELN79" s="452"/>
      <c r="ELO79" s="448"/>
      <c r="ELP79" s="449"/>
      <c r="ELQ79" s="450"/>
      <c r="ELR79" s="447"/>
      <c r="ELS79" s="448"/>
      <c r="ELT79" s="457"/>
      <c r="ELU79" s="460"/>
      <c r="ELV79" s="450"/>
      <c r="ELW79" s="461"/>
      <c r="ELX79" s="448"/>
      <c r="ELY79" s="456"/>
      <c r="ELZ79" s="449"/>
      <c r="EMA79" s="450"/>
      <c r="EMB79" s="452"/>
      <c r="EMC79" s="448"/>
      <c r="EMD79" s="456"/>
      <c r="EME79" s="458"/>
      <c r="EMF79" s="458"/>
      <c r="EMH79" s="454"/>
      <c r="EMI79" s="450"/>
      <c r="EMJ79" s="454"/>
      <c r="EMK79" s="448"/>
      <c r="EML79" s="449"/>
      <c r="EMM79" s="450"/>
      <c r="EMN79" s="447"/>
      <c r="EMO79" s="448"/>
      <c r="EMP79" s="449"/>
      <c r="EMQ79" s="450"/>
      <c r="EMR79" s="447"/>
      <c r="EMS79" s="451"/>
      <c r="EMT79" s="449"/>
      <c r="EMU79" s="450"/>
      <c r="EMV79" s="447"/>
      <c r="EMW79" s="451"/>
      <c r="EMX79" s="449"/>
      <c r="EMY79" s="450"/>
      <c r="EMZ79" s="447"/>
      <c r="ENA79" s="451"/>
      <c r="ENB79" s="449"/>
      <c r="ENC79" s="450"/>
      <c r="END79" s="452"/>
      <c r="ENE79" s="451"/>
      <c r="ENF79" s="449"/>
      <c r="ENG79" s="450"/>
      <c r="ENH79" s="447"/>
      <c r="ENI79" s="448"/>
      <c r="ENJ79" s="453"/>
      <c r="ENK79" s="449"/>
      <c r="ENL79" s="450"/>
      <c r="ENM79" s="454"/>
      <c r="ENN79" s="448"/>
      <c r="ENP79" s="449"/>
      <c r="ENQ79" s="450"/>
      <c r="ENR79" s="452"/>
      <c r="ENS79" s="448"/>
      <c r="ENU79" s="449"/>
      <c r="ENV79" s="450"/>
      <c r="ENW79" s="447"/>
      <c r="ENX79" s="448"/>
      <c r="ENZ79" s="449"/>
      <c r="EOA79" s="450"/>
      <c r="EOB79" s="452"/>
      <c r="EOC79" s="448"/>
      <c r="EOD79" s="449"/>
      <c r="EOE79" s="450"/>
      <c r="EOF79" s="452"/>
      <c r="EOG79" s="448"/>
      <c r="EOH79" s="455"/>
      <c r="EOI79" s="449"/>
      <c r="EOJ79" s="450"/>
      <c r="EOK79" s="459"/>
      <c r="EOL79" s="448"/>
      <c r="EOM79" s="456"/>
      <c r="EON79" s="449"/>
      <c r="EOO79" s="450"/>
      <c r="EOP79" s="452"/>
      <c r="EOQ79" s="448"/>
      <c r="EOR79" s="449"/>
      <c r="EOS79" s="450"/>
      <c r="EOT79" s="452"/>
      <c r="EOU79" s="448"/>
      <c r="EOV79" s="449"/>
      <c r="EOW79" s="450"/>
      <c r="EOX79" s="447"/>
      <c r="EOY79" s="448"/>
      <c r="EOZ79" s="457"/>
      <c r="EPA79" s="460"/>
      <c r="EPB79" s="450"/>
      <c r="EPC79" s="461"/>
      <c r="EPD79" s="448"/>
      <c r="EPE79" s="456"/>
      <c r="EPF79" s="449"/>
      <c r="EPG79" s="450"/>
      <c r="EPH79" s="452"/>
      <c r="EPI79" s="448"/>
      <c r="EPJ79" s="456"/>
      <c r="EPK79" s="458"/>
      <c r="EPL79" s="458"/>
      <c r="EPN79" s="454"/>
      <c r="EPO79" s="450"/>
      <c r="EPP79" s="454"/>
      <c r="EPQ79" s="448"/>
      <c r="EPR79" s="449"/>
      <c r="EPS79" s="450"/>
      <c r="EPT79" s="447"/>
      <c r="EPU79" s="448"/>
      <c r="EPV79" s="449"/>
      <c r="EPW79" s="450"/>
      <c r="EPX79" s="447"/>
      <c r="EPY79" s="451"/>
      <c r="EPZ79" s="449"/>
      <c r="EQA79" s="450"/>
      <c r="EQB79" s="447"/>
      <c r="EQC79" s="451"/>
      <c r="EQD79" s="449"/>
      <c r="EQE79" s="450"/>
      <c r="EQF79" s="447"/>
      <c r="EQG79" s="451"/>
      <c r="EQH79" s="449"/>
      <c r="EQI79" s="450"/>
      <c r="EQJ79" s="452"/>
      <c r="EQK79" s="451"/>
      <c r="EQL79" s="449"/>
      <c r="EQM79" s="450"/>
      <c r="EQN79" s="447"/>
      <c r="EQO79" s="448"/>
      <c r="EQP79" s="453"/>
      <c r="EQQ79" s="449"/>
      <c r="EQR79" s="450"/>
      <c r="EQS79" s="454"/>
      <c r="EQT79" s="448"/>
      <c r="EQV79" s="449"/>
      <c r="EQW79" s="450"/>
      <c r="EQX79" s="452"/>
      <c r="EQY79" s="448"/>
      <c r="ERA79" s="449"/>
      <c r="ERB79" s="450"/>
      <c r="ERC79" s="447"/>
      <c r="ERD79" s="448"/>
      <c r="ERF79" s="449"/>
      <c r="ERG79" s="450"/>
      <c r="ERH79" s="452"/>
      <c r="ERI79" s="448"/>
      <c r="ERJ79" s="449"/>
      <c r="ERK79" s="450"/>
      <c r="ERL79" s="452"/>
      <c r="ERM79" s="448"/>
      <c r="ERN79" s="455"/>
      <c r="ERO79" s="449"/>
      <c r="ERP79" s="450"/>
      <c r="ERQ79" s="459"/>
      <c r="ERR79" s="448"/>
      <c r="ERS79" s="456"/>
      <c r="ERT79" s="449"/>
      <c r="ERU79" s="450"/>
      <c r="ERV79" s="452"/>
      <c r="ERW79" s="448"/>
      <c r="ERX79" s="449"/>
      <c r="ERY79" s="450"/>
      <c r="ERZ79" s="452"/>
      <c r="ESA79" s="448"/>
      <c r="ESB79" s="449"/>
      <c r="ESC79" s="450"/>
      <c r="ESD79" s="447"/>
      <c r="ESE79" s="448"/>
      <c r="ESF79" s="457"/>
      <c r="ESG79" s="460"/>
      <c r="ESH79" s="450"/>
      <c r="ESI79" s="461"/>
      <c r="ESJ79" s="448"/>
      <c r="ESK79" s="456"/>
      <c r="ESL79" s="449"/>
      <c r="ESM79" s="450"/>
      <c r="ESN79" s="452"/>
      <c r="ESO79" s="448"/>
      <c r="ESP79" s="456"/>
      <c r="ESQ79" s="458"/>
      <c r="ESR79" s="458"/>
      <c r="EST79" s="454"/>
      <c r="ESU79" s="450"/>
      <c r="ESV79" s="454"/>
      <c r="ESW79" s="448"/>
      <c r="ESX79" s="449"/>
      <c r="ESY79" s="450"/>
      <c r="ESZ79" s="447"/>
      <c r="ETA79" s="448"/>
      <c r="ETB79" s="449"/>
      <c r="ETC79" s="450"/>
      <c r="ETD79" s="447"/>
      <c r="ETE79" s="451"/>
      <c r="ETF79" s="449"/>
      <c r="ETG79" s="450"/>
      <c r="ETH79" s="447"/>
      <c r="ETI79" s="451"/>
      <c r="ETJ79" s="449"/>
      <c r="ETK79" s="450"/>
      <c r="ETL79" s="447"/>
      <c r="ETM79" s="451"/>
      <c r="ETN79" s="449"/>
      <c r="ETO79" s="450"/>
      <c r="ETP79" s="452"/>
      <c r="ETQ79" s="451"/>
      <c r="ETR79" s="449"/>
      <c r="ETS79" s="450"/>
      <c r="ETT79" s="447"/>
      <c r="ETU79" s="448"/>
      <c r="ETV79" s="453"/>
      <c r="ETW79" s="449"/>
      <c r="ETX79" s="450"/>
      <c r="ETY79" s="454"/>
      <c r="ETZ79" s="448"/>
      <c r="EUB79" s="449"/>
      <c r="EUC79" s="450"/>
      <c r="EUD79" s="452"/>
      <c r="EUE79" s="448"/>
      <c r="EUG79" s="449"/>
      <c r="EUH79" s="450"/>
      <c r="EUI79" s="447"/>
      <c r="EUJ79" s="448"/>
      <c r="EUL79" s="449"/>
      <c r="EUM79" s="450"/>
      <c r="EUN79" s="452"/>
      <c r="EUO79" s="448"/>
      <c r="EUP79" s="449"/>
      <c r="EUQ79" s="450"/>
      <c r="EUR79" s="452"/>
      <c r="EUS79" s="448"/>
      <c r="EUT79" s="455"/>
      <c r="EUU79" s="449"/>
      <c r="EUV79" s="450"/>
      <c r="EUW79" s="459"/>
      <c r="EUX79" s="448"/>
      <c r="EUY79" s="456"/>
      <c r="EUZ79" s="449"/>
      <c r="EVA79" s="450"/>
      <c r="EVB79" s="452"/>
      <c r="EVC79" s="448"/>
      <c r="EVD79" s="449"/>
      <c r="EVE79" s="450"/>
      <c r="EVF79" s="452"/>
      <c r="EVG79" s="448"/>
      <c r="EVH79" s="449"/>
      <c r="EVI79" s="450"/>
      <c r="EVJ79" s="447"/>
      <c r="EVK79" s="448"/>
      <c r="EVL79" s="457"/>
      <c r="EVM79" s="460"/>
      <c r="EVN79" s="450"/>
      <c r="EVO79" s="461"/>
      <c r="EVP79" s="448"/>
      <c r="EVQ79" s="456"/>
      <c r="EVR79" s="449"/>
      <c r="EVS79" s="450"/>
      <c r="EVT79" s="452"/>
      <c r="EVU79" s="448"/>
      <c r="EVV79" s="456"/>
      <c r="EVW79" s="458"/>
      <c r="EVX79" s="458"/>
      <c r="EVZ79" s="454"/>
      <c r="EWA79" s="450"/>
      <c r="EWB79" s="454"/>
      <c r="EWC79" s="448"/>
      <c r="EWD79" s="449"/>
      <c r="EWE79" s="450"/>
      <c r="EWF79" s="447"/>
      <c r="EWG79" s="448"/>
      <c r="EWH79" s="449"/>
      <c r="EWI79" s="450"/>
      <c r="EWJ79" s="447"/>
      <c r="EWK79" s="451"/>
      <c r="EWL79" s="449"/>
      <c r="EWM79" s="450"/>
      <c r="EWN79" s="447"/>
      <c r="EWO79" s="451"/>
      <c r="EWP79" s="449"/>
      <c r="EWQ79" s="450"/>
      <c r="EWR79" s="447"/>
      <c r="EWS79" s="451"/>
      <c r="EWT79" s="449"/>
      <c r="EWU79" s="450"/>
      <c r="EWV79" s="452"/>
      <c r="EWW79" s="451"/>
      <c r="EWX79" s="449"/>
      <c r="EWY79" s="450"/>
      <c r="EWZ79" s="447"/>
      <c r="EXA79" s="448"/>
      <c r="EXB79" s="453"/>
      <c r="EXC79" s="449"/>
      <c r="EXD79" s="450"/>
      <c r="EXE79" s="454"/>
      <c r="EXF79" s="448"/>
      <c r="EXH79" s="449"/>
      <c r="EXI79" s="450"/>
      <c r="EXJ79" s="452"/>
      <c r="EXK79" s="448"/>
      <c r="EXM79" s="449"/>
      <c r="EXN79" s="450"/>
      <c r="EXO79" s="447"/>
      <c r="EXP79" s="448"/>
      <c r="EXR79" s="449"/>
      <c r="EXS79" s="450"/>
      <c r="EXT79" s="452"/>
      <c r="EXU79" s="448"/>
      <c r="EXV79" s="449"/>
      <c r="EXW79" s="450"/>
      <c r="EXX79" s="452"/>
      <c r="EXY79" s="448"/>
      <c r="EXZ79" s="455"/>
      <c r="EYA79" s="449"/>
      <c r="EYB79" s="450"/>
      <c r="EYC79" s="459"/>
      <c r="EYD79" s="448"/>
      <c r="EYE79" s="456"/>
      <c r="EYF79" s="449"/>
      <c r="EYG79" s="450"/>
      <c r="EYH79" s="452"/>
      <c r="EYI79" s="448"/>
      <c r="EYJ79" s="449"/>
      <c r="EYK79" s="450"/>
      <c r="EYL79" s="452"/>
      <c r="EYM79" s="448"/>
      <c r="EYN79" s="449"/>
      <c r="EYO79" s="450"/>
      <c r="EYP79" s="447"/>
      <c r="EYQ79" s="448"/>
      <c r="EYR79" s="457"/>
      <c r="EYS79" s="460"/>
      <c r="EYT79" s="450"/>
      <c r="EYU79" s="461"/>
      <c r="EYV79" s="448"/>
      <c r="EYW79" s="456"/>
      <c r="EYX79" s="449"/>
      <c r="EYY79" s="450"/>
      <c r="EYZ79" s="452"/>
      <c r="EZA79" s="448"/>
      <c r="EZB79" s="456"/>
      <c r="EZC79" s="458"/>
      <c r="EZD79" s="458"/>
      <c r="EZF79" s="454"/>
      <c r="EZG79" s="450"/>
      <c r="EZH79" s="454"/>
      <c r="EZI79" s="448"/>
      <c r="EZJ79" s="449"/>
      <c r="EZK79" s="450"/>
      <c r="EZL79" s="447"/>
      <c r="EZM79" s="448"/>
      <c r="EZN79" s="449"/>
      <c r="EZO79" s="450"/>
      <c r="EZP79" s="447"/>
      <c r="EZQ79" s="451"/>
      <c r="EZR79" s="449"/>
      <c r="EZS79" s="450"/>
      <c r="EZT79" s="447"/>
      <c r="EZU79" s="451"/>
      <c r="EZV79" s="449"/>
      <c r="EZW79" s="450"/>
      <c r="EZX79" s="447"/>
      <c r="EZY79" s="451"/>
      <c r="EZZ79" s="449"/>
      <c r="FAA79" s="450"/>
      <c r="FAB79" s="452"/>
      <c r="FAC79" s="451"/>
      <c r="FAD79" s="449"/>
      <c r="FAE79" s="450"/>
      <c r="FAF79" s="447"/>
      <c r="FAG79" s="448"/>
      <c r="FAH79" s="453"/>
      <c r="FAI79" s="449"/>
      <c r="FAJ79" s="450"/>
      <c r="FAK79" s="454"/>
      <c r="FAL79" s="448"/>
      <c r="FAN79" s="449"/>
      <c r="FAO79" s="450"/>
      <c r="FAP79" s="452"/>
      <c r="FAQ79" s="448"/>
      <c r="FAS79" s="449"/>
      <c r="FAT79" s="450"/>
      <c r="FAU79" s="447"/>
      <c r="FAV79" s="448"/>
      <c r="FAX79" s="449"/>
      <c r="FAY79" s="450"/>
      <c r="FAZ79" s="452"/>
      <c r="FBA79" s="448"/>
      <c r="FBB79" s="449"/>
      <c r="FBC79" s="450"/>
      <c r="FBD79" s="452"/>
      <c r="FBE79" s="448"/>
      <c r="FBF79" s="455"/>
      <c r="FBG79" s="449"/>
      <c r="FBH79" s="450"/>
      <c r="FBI79" s="459"/>
      <c r="FBJ79" s="448"/>
      <c r="FBK79" s="456"/>
      <c r="FBL79" s="449"/>
      <c r="FBM79" s="450"/>
      <c r="FBN79" s="452"/>
      <c r="FBO79" s="448"/>
      <c r="FBP79" s="449"/>
      <c r="FBQ79" s="450"/>
      <c r="FBR79" s="452"/>
      <c r="FBS79" s="448"/>
      <c r="FBT79" s="449"/>
      <c r="FBU79" s="450"/>
      <c r="FBV79" s="447"/>
      <c r="FBW79" s="448"/>
      <c r="FBX79" s="457"/>
      <c r="FBY79" s="460"/>
      <c r="FBZ79" s="450"/>
      <c r="FCA79" s="461"/>
      <c r="FCB79" s="448"/>
      <c r="FCC79" s="456"/>
      <c r="FCD79" s="449"/>
      <c r="FCE79" s="450"/>
      <c r="FCF79" s="452"/>
      <c r="FCG79" s="448"/>
      <c r="FCH79" s="456"/>
      <c r="FCI79" s="458"/>
      <c r="FCJ79" s="458"/>
      <c r="FCL79" s="454"/>
      <c r="FCM79" s="450"/>
      <c r="FCN79" s="454"/>
      <c r="FCO79" s="448"/>
      <c r="FCP79" s="449"/>
      <c r="FCQ79" s="450"/>
      <c r="FCR79" s="447"/>
      <c r="FCS79" s="448"/>
      <c r="FCT79" s="449"/>
      <c r="FCU79" s="450"/>
      <c r="FCV79" s="447"/>
      <c r="FCW79" s="451"/>
      <c r="FCX79" s="449"/>
      <c r="FCY79" s="450"/>
      <c r="FCZ79" s="447"/>
      <c r="FDA79" s="451"/>
      <c r="FDB79" s="449"/>
      <c r="FDC79" s="450"/>
      <c r="FDD79" s="447"/>
      <c r="FDE79" s="451"/>
      <c r="FDF79" s="449"/>
      <c r="FDG79" s="450"/>
      <c r="FDH79" s="452"/>
      <c r="FDI79" s="451"/>
      <c r="FDJ79" s="449"/>
      <c r="FDK79" s="450"/>
      <c r="FDL79" s="447"/>
      <c r="FDM79" s="448"/>
      <c r="FDN79" s="453"/>
      <c r="FDO79" s="449"/>
      <c r="FDP79" s="450"/>
      <c r="FDQ79" s="454"/>
      <c r="FDR79" s="448"/>
      <c r="FDT79" s="449"/>
      <c r="FDU79" s="450"/>
      <c r="FDV79" s="452"/>
      <c r="FDW79" s="448"/>
      <c r="FDY79" s="449"/>
      <c r="FDZ79" s="450"/>
      <c r="FEA79" s="447"/>
      <c r="FEB79" s="448"/>
      <c r="FED79" s="449"/>
      <c r="FEE79" s="450"/>
      <c r="FEF79" s="452"/>
      <c r="FEG79" s="448"/>
      <c r="FEH79" s="449"/>
      <c r="FEI79" s="450"/>
      <c r="FEJ79" s="452"/>
      <c r="FEK79" s="448"/>
      <c r="FEL79" s="455"/>
      <c r="FEM79" s="449"/>
      <c r="FEN79" s="450"/>
      <c r="FEO79" s="459"/>
      <c r="FEP79" s="448"/>
      <c r="FEQ79" s="456"/>
      <c r="FER79" s="449"/>
      <c r="FES79" s="450"/>
      <c r="FET79" s="452"/>
      <c r="FEU79" s="448"/>
      <c r="FEV79" s="449"/>
      <c r="FEW79" s="450"/>
      <c r="FEX79" s="452"/>
      <c r="FEY79" s="448"/>
      <c r="FEZ79" s="449"/>
      <c r="FFA79" s="450"/>
      <c r="FFB79" s="447"/>
      <c r="FFC79" s="448"/>
      <c r="FFD79" s="457"/>
      <c r="FFE79" s="460"/>
      <c r="FFF79" s="450"/>
      <c r="FFG79" s="461"/>
      <c r="FFH79" s="448"/>
      <c r="FFI79" s="456"/>
      <c r="FFJ79" s="449"/>
      <c r="FFK79" s="450"/>
      <c r="FFL79" s="452"/>
      <c r="FFM79" s="448"/>
      <c r="FFN79" s="456"/>
      <c r="FFO79" s="458"/>
      <c r="FFP79" s="458"/>
      <c r="FFR79" s="454"/>
      <c r="FFS79" s="450"/>
      <c r="FFT79" s="454"/>
      <c r="FFU79" s="448"/>
      <c r="FFV79" s="449"/>
      <c r="FFW79" s="450"/>
      <c r="FFX79" s="447"/>
      <c r="FFY79" s="448"/>
      <c r="FFZ79" s="449"/>
      <c r="FGA79" s="450"/>
      <c r="FGB79" s="447"/>
      <c r="FGC79" s="451"/>
      <c r="FGD79" s="449"/>
      <c r="FGE79" s="450"/>
      <c r="FGF79" s="447"/>
      <c r="FGG79" s="451"/>
      <c r="FGH79" s="449"/>
      <c r="FGI79" s="450"/>
      <c r="FGJ79" s="447"/>
      <c r="FGK79" s="451"/>
      <c r="FGL79" s="449"/>
      <c r="FGM79" s="450"/>
      <c r="FGN79" s="452"/>
      <c r="FGO79" s="451"/>
      <c r="FGP79" s="449"/>
      <c r="FGQ79" s="450"/>
      <c r="FGR79" s="447"/>
      <c r="FGS79" s="448"/>
      <c r="FGT79" s="453"/>
      <c r="FGU79" s="449"/>
      <c r="FGV79" s="450"/>
      <c r="FGW79" s="454"/>
      <c r="FGX79" s="448"/>
      <c r="FGZ79" s="449"/>
      <c r="FHA79" s="450"/>
      <c r="FHB79" s="452"/>
      <c r="FHC79" s="448"/>
      <c r="FHE79" s="449"/>
      <c r="FHF79" s="450"/>
      <c r="FHG79" s="447"/>
      <c r="FHH79" s="448"/>
      <c r="FHJ79" s="449"/>
      <c r="FHK79" s="450"/>
      <c r="FHL79" s="452"/>
      <c r="FHM79" s="448"/>
      <c r="FHN79" s="449"/>
      <c r="FHO79" s="450"/>
      <c r="FHP79" s="452"/>
      <c r="FHQ79" s="448"/>
      <c r="FHR79" s="455"/>
      <c r="FHS79" s="449"/>
      <c r="FHT79" s="450"/>
      <c r="FHU79" s="459"/>
      <c r="FHV79" s="448"/>
      <c r="FHW79" s="456"/>
      <c r="FHX79" s="449"/>
      <c r="FHY79" s="450"/>
      <c r="FHZ79" s="452"/>
      <c r="FIA79" s="448"/>
      <c r="FIB79" s="449"/>
      <c r="FIC79" s="450"/>
      <c r="FID79" s="452"/>
      <c r="FIE79" s="448"/>
      <c r="FIF79" s="449"/>
      <c r="FIG79" s="450"/>
      <c r="FIH79" s="447"/>
      <c r="FII79" s="448"/>
      <c r="FIJ79" s="457"/>
      <c r="FIK79" s="460"/>
      <c r="FIL79" s="450"/>
      <c r="FIM79" s="461"/>
      <c r="FIN79" s="448"/>
      <c r="FIO79" s="456"/>
      <c r="FIP79" s="449"/>
      <c r="FIQ79" s="450"/>
      <c r="FIR79" s="452"/>
      <c r="FIS79" s="448"/>
      <c r="FIT79" s="456"/>
      <c r="FIU79" s="458"/>
      <c r="FIV79" s="458"/>
      <c r="FIX79" s="454"/>
      <c r="FIY79" s="450"/>
      <c r="FIZ79" s="454"/>
      <c r="FJA79" s="448"/>
      <c r="FJB79" s="449"/>
      <c r="FJC79" s="450"/>
      <c r="FJD79" s="447"/>
      <c r="FJE79" s="448"/>
      <c r="FJF79" s="449"/>
      <c r="FJG79" s="450"/>
      <c r="FJH79" s="447"/>
      <c r="FJI79" s="451"/>
      <c r="FJJ79" s="449"/>
      <c r="FJK79" s="450"/>
      <c r="FJL79" s="447"/>
      <c r="FJM79" s="451"/>
      <c r="FJN79" s="449"/>
      <c r="FJO79" s="450"/>
      <c r="FJP79" s="447"/>
      <c r="FJQ79" s="451"/>
      <c r="FJR79" s="449"/>
      <c r="FJS79" s="450"/>
      <c r="FJT79" s="452"/>
      <c r="FJU79" s="451"/>
      <c r="FJV79" s="449"/>
      <c r="FJW79" s="450"/>
      <c r="FJX79" s="447"/>
      <c r="FJY79" s="448"/>
      <c r="FJZ79" s="453"/>
      <c r="FKA79" s="449"/>
      <c r="FKB79" s="450"/>
      <c r="FKC79" s="454"/>
      <c r="FKD79" s="448"/>
      <c r="FKF79" s="449"/>
      <c r="FKG79" s="450"/>
      <c r="FKH79" s="452"/>
      <c r="FKI79" s="448"/>
      <c r="FKK79" s="449"/>
      <c r="FKL79" s="450"/>
      <c r="FKM79" s="447"/>
      <c r="FKN79" s="448"/>
      <c r="FKP79" s="449"/>
      <c r="FKQ79" s="450"/>
      <c r="FKR79" s="452"/>
      <c r="FKS79" s="448"/>
      <c r="FKT79" s="449"/>
      <c r="FKU79" s="450"/>
      <c r="FKV79" s="452"/>
      <c r="FKW79" s="448"/>
      <c r="FKX79" s="455"/>
      <c r="FKY79" s="449"/>
      <c r="FKZ79" s="450"/>
      <c r="FLA79" s="459"/>
      <c r="FLB79" s="448"/>
      <c r="FLC79" s="456"/>
      <c r="FLD79" s="449"/>
      <c r="FLE79" s="450"/>
      <c r="FLF79" s="452"/>
      <c r="FLG79" s="448"/>
      <c r="FLH79" s="449"/>
      <c r="FLI79" s="450"/>
      <c r="FLJ79" s="452"/>
      <c r="FLK79" s="448"/>
      <c r="FLL79" s="449"/>
      <c r="FLM79" s="450"/>
      <c r="FLN79" s="447"/>
      <c r="FLO79" s="448"/>
      <c r="FLP79" s="457"/>
      <c r="FLQ79" s="460"/>
      <c r="FLR79" s="450"/>
      <c r="FLS79" s="461"/>
      <c r="FLT79" s="448"/>
      <c r="FLU79" s="456"/>
      <c r="FLV79" s="449"/>
      <c r="FLW79" s="450"/>
      <c r="FLX79" s="452"/>
      <c r="FLY79" s="448"/>
      <c r="FLZ79" s="456"/>
      <c r="FMA79" s="458"/>
      <c r="FMB79" s="458"/>
      <c r="FMD79" s="454"/>
      <c r="FME79" s="450"/>
      <c r="FMF79" s="454"/>
      <c r="FMG79" s="448"/>
      <c r="FMH79" s="449"/>
      <c r="FMI79" s="450"/>
      <c r="FMJ79" s="447"/>
      <c r="FMK79" s="448"/>
      <c r="FML79" s="449"/>
      <c r="FMM79" s="450"/>
      <c r="FMN79" s="447"/>
      <c r="FMO79" s="451"/>
      <c r="FMP79" s="449"/>
      <c r="FMQ79" s="450"/>
      <c r="FMR79" s="447"/>
      <c r="FMS79" s="451"/>
      <c r="FMT79" s="449"/>
      <c r="FMU79" s="450"/>
      <c r="FMV79" s="447"/>
      <c r="FMW79" s="451"/>
      <c r="FMX79" s="449"/>
      <c r="FMY79" s="450"/>
      <c r="FMZ79" s="452"/>
      <c r="FNA79" s="451"/>
      <c r="FNB79" s="449"/>
      <c r="FNC79" s="450"/>
      <c r="FND79" s="447"/>
      <c r="FNE79" s="448"/>
      <c r="FNF79" s="453"/>
      <c r="FNG79" s="449"/>
      <c r="FNH79" s="450"/>
      <c r="FNI79" s="454"/>
      <c r="FNJ79" s="448"/>
      <c r="FNL79" s="449"/>
      <c r="FNM79" s="450"/>
      <c r="FNN79" s="452"/>
      <c r="FNO79" s="448"/>
      <c r="FNQ79" s="449"/>
      <c r="FNR79" s="450"/>
      <c r="FNS79" s="447"/>
      <c r="FNT79" s="448"/>
      <c r="FNV79" s="449"/>
      <c r="FNW79" s="450"/>
      <c r="FNX79" s="452"/>
      <c r="FNY79" s="448"/>
      <c r="FNZ79" s="449"/>
      <c r="FOA79" s="450"/>
      <c r="FOB79" s="452"/>
      <c r="FOC79" s="448"/>
      <c r="FOD79" s="455"/>
      <c r="FOE79" s="449"/>
      <c r="FOF79" s="450"/>
      <c r="FOG79" s="459"/>
      <c r="FOH79" s="448"/>
      <c r="FOI79" s="456"/>
      <c r="FOJ79" s="449"/>
      <c r="FOK79" s="450"/>
      <c r="FOL79" s="452"/>
      <c r="FOM79" s="448"/>
      <c r="FON79" s="449"/>
      <c r="FOO79" s="450"/>
      <c r="FOP79" s="452"/>
      <c r="FOQ79" s="448"/>
      <c r="FOR79" s="449"/>
      <c r="FOS79" s="450"/>
      <c r="FOT79" s="447"/>
      <c r="FOU79" s="448"/>
      <c r="FOV79" s="457"/>
      <c r="FOW79" s="460"/>
      <c r="FOX79" s="450"/>
      <c r="FOY79" s="461"/>
      <c r="FOZ79" s="448"/>
      <c r="FPA79" s="456"/>
      <c r="FPB79" s="449"/>
      <c r="FPC79" s="450"/>
      <c r="FPD79" s="452"/>
      <c r="FPE79" s="448"/>
      <c r="FPF79" s="456"/>
      <c r="FPG79" s="458"/>
      <c r="FPH79" s="458"/>
      <c r="FPJ79" s="454"/>
      <c r="FPK79" s="450"/>
      <c r="FPL79" s="454"/>
      <c r="FPM79" s="448"/>
      <c r="FPN79" s="449"/>
      <c r="FPO79" s="450"/>
      <c r="FPP79" s="447"/>
      <c r="FPQ79" s="448"/>
      <c r="FPR79" s="449"/>
      <c r="FPS79" s="450"/>
      <c r="FPT79" s="447"/>
      <c r="FPU79" s="451"/>
      <c r="FPV79" s="449"/>
      <c r="FPW79" s="450"/>
      <c r="FPX79" s="447"/>
      <c r="FPY79" s="451"/>
      <c r="FPZ79" s="449"/>
      <c r="FQA79" s="450"/>
      <c r="FQB79" s="447"/>
      <c r="FQC79" s="451"/>
      <c r="FQD79" s="449"/>
      <c r="FQE79" s="450"/>
      <c r="FQF79" s="452"/>
      <c r="FQG79" s="451"/>
      <c r="FQH79" s="449"/>
      <c r="FQI79" s="450"/>
      <c r="FQJ79" s="447"/>
      <c r="FQK79" s="448"/>
      <c r="FQL79" s="453"/>
      <c r="FQM79" s="449"/>
      <c r="FQN79" s="450"/>
      <c r="FQO79" s="454"/>
      <c r="FQP79" s="448"/>
      <c r="FQR79" s="449"/>
      <c r="FQS79" s="450"/>
      <c r="FQT79" s="452"/>
      <c r="FQU79" s="448"/>
      <c r="FQW79" s="449"/>
      <c r="FQX79" s="450"/>
      <c r="FQY79" s="447"/>
      <c r="FQZ79" s="448"/>
      <c r="FRB79" s="449"/>
      <c r="FRC79" s="450"/>
      <c r="FRD79" s="452"/>
      <c r="FRE79" s="448"/>
      <c r="FRF79" s="449"/>
      <c r="FRG79" s="450"/>
      <c r="FRH79" s="452"/>
      <c r="FRI79" s="448"/>
      <c r="FRJ79" s="455"/>
      <c r="FRK79" s="449"/>
      <c r="FRL79" s="450"/>
      <c r="FRM79" s="459"/>
      <c r="FRN79" s="448"/>
      <c r="FRO79" s="456"/>
      <c r="FRP79" s="449"/>
      <c r="FRQ79" s="450"/>
      <c r="FRR79" s="452"/>
      <c r="FRS79" s="448"/>
      <c r="FRT79" s="449"/>
      <c r="FRU79" s="450"/>
      <c r="FRV79" s="452"/>
      <c r="FRW79" s="448"/>
      <c r="FRX79" s="449"/>
      <c r="FRY79" s="450"/>
      <c r="FRZ79" s="447"/>
      <c r="FSA79" s="448"/>
      <c r="FSB79" s="457"/>
      <c r="FSC79" s="460"/>
      <c r="FSD79" s="450"/>
      <c r="FSE79" s="461"/>
      <c r="FSF79" s="448"/>
      <c r="FSG79" s="456"/>
      <c r="FSH79" s="449"/>
      <c r="FSI79" s="450"/>
      <c r="FSJ79" s="452"/>
      <c r="FSK79" s="448"/>
      <c r="FSL79" s="456"/>
      <c r="FSM79" s="458"/>
      <c r="FSN79" s="458"/>
      <c r="FSP79" s="454"/>
      <c r="FSQ79" s="450"/>
      <c r="FSR79" s="454"/>
      <c r="FSS79" s="448"/>
      <c r="FST79" s="449"/>
      <c r="FSU79" s="450"/>
      <c r="FSV79" s="447"/>
      <c r="FSW79" s="448"/>
      <c r="FSX79" s="449"/>
      <c r="FSY79" s="450"/>
      <c r="FSZ79" s="447"/>
      <c r="FTA79" s="451"/>
      <c r="FTB79" s="449"/>
      <c r="FTC79" s="450"/>
      <c r="FTD79" s="447"/>
      <c r="FTE79" s="451"/>
      <c r="FTF79" s="449"/>
      <c r="FTG79" s="450"/>
      <c r="FTH79" s="447"/>
      <c r="FTI79" s="451"/>
      <c r="FTJ79" s="449"/>
      <c r="FTK79" s="450"/>
      <c r="FTL79" s="452"/>
      <c r="FTM79" s="451"/>
      <c r="FTN79" s="449"/>
      <c r="FTO79" s="450"/>
      <c r="FTP79" s="447"/>
      <c r="FTQ79" s="448"/>
      <c r="FTR79" s="453"/>
      <c r="FTS79" s="449"/>
      <c r="FTT79" s="450"/>
      <c r="FTU79" s="454"/>
      <c r="FTV79" s="448"/>
      <c r="FTX79" s="449"/>
      <c r="FTY79" s="450"/>
      <c r="FTZ79" s="452"/>
      <c r="FUA79" s="448"/>
      <c r="FUC79" s="449"/>
      <c r="FUD79" s="450"/>
      <c r="FUE79" s="447"/>
      <c r="FUF79" s="448"/>
      <c r="FUH79" s="449"/>
      <c r="FUI79" s="450"/>
      <c r="FUJ79" s="452"/>
      <c r="FUK79" s="448"/>
      <c r="FUL79" s="449"/>
      <c r="FUM79" s="450"/>
      <c r="FUN79" s="452"/>
      <c r="FUO79" s="448"/>
      <c r="FUP79" s="455"/>
      <c r="FUQ79" s="449"/>
      <c r="FUR79" s="450"/>
      <c r="FUS79" s="459"/>
      <c r="FUT79" s="448"/>
      <c r="FUU79" s="456"/>
      <c r="FUV79" s="449"/>
      <c r="FUW79" s="450"/>
      <c r="FUX79" s="452"/>
      <c r="FUY79" s="448"/>
      <c r="FUZ79" s="449"/>
      <c r="FVA79" s="450"/>
      <c r="FVB79" s="452"/>
      <c r="FVC79" s="448"/>
      <c r="FVD79" s="449"/>
      <c r="FVE79" s="450"/>
      <c r="FVF79" s="447"/>
      <c r="FVG79" s="448"/>
      <c r="FVH79" s="457"/>
      <c r="FVI79" s="460"/>
      <c r="FVJ79" s="450"/>
      <c r="FVK79" s="461"/>
      <c r="FVL79" s="448"/>
      <c r="FVM79" s="456"/>
      <c r="FVN79" s="449"/>
      <c r="FVO79" s="450"/>
      <c r="FVP79" s="452"/>
      <c r="FVQ79" s="448"/>
      <c r="FVR79" s="456"/>
      <c r="FVS79" s="458"/>
      <c r="FVT79" s="458"/>
      <c r="FVV79" s="454"/>
      <c r="FVW79" s="450"/>
      <c r="FVX79" s="454"/>
      <c r="FVY79" s="448"/>
      <c r="FVZ79" s="449"/>
      <c r="FWA79" s="450"/>
      <c r="FWB79" s="447"/>
      <c r="FWC79" s="448"/>
      <c r="FWD79" s="449"/>
      <c r="FWE79" s="450"/>
      <c r="FWF79" s="447"/>
      <c r="FWG79" s="451"/>
      <c r="FWH79" s="449"/>
      <c r="FWI79" s="450"/>
      <c r="FWJ79" s="447"/>
      <c r="FWK79" s="451"/>
      <c r="FWL79" s="449"/>
      <c r="FWM79" s="450"/>
      <c r="FWN79" s="447"/>
      <c r="FWO79" s="451"/>
      <c r="FWP79" s="449"/>
      <c r="FWQ79" s="450"/>
      <c r="FWR79" s="452"/>
      <c r="FWS79" s="451"/>
      <c r="FWT79" s="449"/>
      <c r="FWU79" s="450"/>
      <c r="FWV79" s="447"/>
      <c r="FWW79" s="448"/>
      <c r="FWX79" s="453"/>
      <c r="FWY79" s="449"/>
      <c r="FWZ79" s="450"/>
      <c r="FXA79" s="454"/>
      <c r="FXB79" s="448"/>
      <c r="FXD79" s="449"/>
      <c r="FXE79" s="450"/>
      <c r="FXF79" s="452"/>
      <c r="FXG79" s="448"/>
      <c r="FXI79" s="449"/>
      <c r="FXJ79" s="450"/>
      <c r="FXK79" s="447"/>
      <c r="FXL79" s="448"/>
      <c r="FXN79" s="449"/>
      <c r="FXO79" s="450"/>
      <c r="FXP79" s="452"/>
      <c r="FXQ79" s="448"/>
      <c r="FXR79" s="449"/>
      <c r="FXS79" s="450"/>
      <c r="FXT79" s="452"/>
      <c r="FXU79" s="448"/>
      <c r="FXV79" s="455"/>
      <c r="FXW79" s="449"/>
      <c r="FXX79" s="450"/>
      <c r="FXY79" s="459"/>
      <c r="FXZ79" s="448"/>
      <c r="FYA79" s="456"/>
      <c r="FYB79" s="449"/>
      <c r="FYC79" s="450"/>
      <c r="FYD79" s="452"/>
      <c r="FYE79" s="448"/>
      <c r="FYF79" s="449"/>
      <c r="FYG79" s="450"/>
      <c r="FYH79" s="452"/>
      <c r="FYI79" s="448"/>
      <c r="FYJ79" s="449"/>
      <c r="FYK79" s="450"/>
      <c r="FYL79" s="447"/>
      <c r="FYM79" s="448"/>
      <c r="FYN79" s="457"/>
      <c r="FYO79" s="460"/>
      <c r="FYP79" s="450"/>
      <c r="FYQ79" s="461"/>
      <c r="FYR79" s="448"/>
      <c r="FYS79" s="456"/>
      <c r="FYT79" s="449"/>
      <c r="FYU79" s="450"/>
      <c r="FYV79" s="452"/>
      <c r="FYW79" s="448"/>
      <c r="FYX79" s="456"/>
      <c r="FYY79" s="458"/>
      <c r="FYZ79" s="458"/>
      <c r="FZB79" s="454"/>
      <c r="FZC79" s="450"/>
      <c r="FZD79" s="454"/>
      <c r="FZE79" s="448"/>
      <c r="FZF79" s="449"/>
      <c r="FZG79" s="450"/>
      <c r="FZH79" s="447"/>
      <c r="FZI79" s="448"/>
      <c r="FZJ79" s="449"/>
      <c r="FZK79" s="450"/>
      <c r="FZL79" s="447"/>
      <c r="FZM79" s="451"/>
      <c r="FZN79" s="449"/>
      <c r="FZO79" s="450"/>
      <c r="FZP79" s="447"/>
      <c r="FZQ79" s="451"/>
      <c r="FZR79" s="449"/>
      <c r="FZS79" s="450"/>
      <c r="FZT79" s="447"/>
      <c r="FZU79" s="451"/>
      <c r="FZV79" s="449"/>
      <c r="FZW79" s="450"/>
      <c r="FZX79" s="452"/>
      <c r="FZY79" s="451"/>
      <c r="FZZ79" s="449"/>
      <c r="GAA79" s="450"/>
      <c r="GAB79" s="447"/>
      <c r="GAC79" s="448"/>
      <c r="GAD79" s="453"/>
      <c r="GAE79" s="449"/>
      <c r="GAF79" s="450"/>
      <c r="GAG79" s="454"/>
      <c r="GAH79" s="448"/>
      <c r="GAJ79" s="449"/>
      <c r="GAK79" s="450"/>
      <c r="GAL79" s="452"/>
      <c r="GAM79" s="448"/>
      <c r="GAO79" s="449"/>
      <c r="GAP79" s="450"/>
      <c r="GAQ79" s="447"/>
      <c r="GAR79" s="448"/>
      <c r="GAT79" s="449"/>
      <c r="GAU79" s="450"/>
      <c r="GAV79" s="452"/>
      <c r="GAW79" s="448"/>
      <c r="GAX79" s="449"/>
      <c r="GAY79" s="450"/>
      <c r="GAZ79" s="452"/>
      <c r="GBA79" s="448"/>
      <c r="GBB79" s="455"/>
      <c r="GBC79" s="449"/>
      <c r="GBD79" s="450"/>
      <c r="GBE79" s="459"/>
      <c r="GBF79" s="448"/>
      <c r="GBG79" s="456"/>
      <c r="GBH79" s="449"/>
      <c r="GBI79" s="450"/>
      <c r="GBJ79" s="452"/>
      <c r="GBK79" s="448"/>
      <c r="GBL79" s="449"/>
      <c r="GBM79" s="450"/>
      <c r="GBN79" s="452"/>
      <c r="GBO79" s="448"/>
      <c r="GBP79" s="449"/>
      <c r="GBQ79" s="450"/>
      <c r="GBR79" s="447"/>
      <c r="GBS79" s="448"/>
      <c r="GBT79" s="457"/>
      <c r="GBU79" s="460"/>
      <c r="GBV79" s="450"/>
      <c r="GBW79" s="461"/>
      <c r="GBX79" s="448"/>
      <c r="GBY79" s="456"/>
      <c r="GBZ79" s="449"/>
      <c r="GCA79" s="450"/>
      <c r="GCB79" s="452"/>
      <c r="GCC79" s="448"/>
      <c r="GCD79" s="456"/>
      <c r="GCE79" s="458"/>
      <c r="GCF79" s="458"/>
      <c r="GCH79" s="454"/>
      <c r="GCI79" s="450"/>
      <c r="GCJ79" s="454"/>
      <c r="GCK79" s="448"/>
      <c r="GCL79" s="449"/>
      <c r="GCM79" s="450"/>
      <c r="GCN79" s="447"/>
      <c r="GCO79" s="448"/>
      <c r="GCP79" s="449"/>
      <c r="GCQ79" s="450"/>
      <c r="GCR79" s="447"/>
      <c r="GCS79" s="451"/>
      <c r="GCT79" s="449"/>
      <c r="GCU79" s="450"/>
      <c r="GCV79" s="447"/>
      <c r="GCW79" s="451"/>
      <c r="GCX79" s="449"/>
      <c r="GCY79" s="450"/>
      <c r="GCZ79" s="447"/>
      <c r="GDA79" s="451"/>
      <c r="GDB79" s="449"/>
      <c r="GDC79" s="450"/>
      <c r="GDD79" s="452"/>
      <c r="GDE79" s="451"/>
      <c r="GDF79" s="449"/>
      <c r="GDG79" s="450"/>
      <c r="GDH79" s="447"/>
      <c r="GDI79" s="448"/>
      <c r="GDJ79" s="453"/>
      <c r="GDK79" s="449"/>
      <c r="GDL79" s="450"/>
      <c r="GDM79" s="454"/>
      <c r="GDN79" s="448"/>
      <c r="GDP79" s="449"/>
      <c r="GDQ79" s="450"/>
      <c r="GDR79" s="452"/>
      <c r="GDS79" s="448"/>
      <c r="GDU79" s="449"/>
      <c r="GDV79" s="450"/>
      <c r="GDW79" s="447"/>
      <c r="GDX79" s="448"/>
      <c r="GDZ79" s="449"/>
      <c r="GEA79" s="450"/>
      <c r="GEB79" s="452"/>
      <c r="GEC79" s="448"/>
      <c r="GED79" s="449"/>
      <c r="GEE79" s="450"/>
      <c r="GEF79" s="452"/>
      <c r="GEG79" s="448"/>
      <c r="GEH79" s="455"/>
      <c r="GEI79" s="449"/>
      <c r="GEJ79" s="450"/>
      <c r="GEK79" s="459"/>
      <c r="GEL79" s="448"/>
      <c r="GEM79" s="456"/>
      <c r="GEN79" s="449"/>
      <c r="GEO79" s="450"/>
      <c r="GEP79" s="452"/>
      <c r="GEQ79" s="448"/>
      <c r="GER79" s="449"/>
      <c r="GES79" s="450"/>
      <c r="GET79" s="452"/>
      <c r="GEU79" s="448"/>
      <c r="GEV79" s="449"/>
      <c r="GEW79" s="450"/>
      <c r="GEX79" s="447"/>
      <c r="GEY79" s="448"/>
      <c r="GEZ79" s="457"/>
      <c r="GFA79" s="460"/>
      <c r="GFB79" s="450"/>
      <c r="GFC79" s="461"/>
      <c r="GFD79" s="448"/>
      <c r="GFE79" s="456"/>
      <c r="GFF79" s="449"/>
      <c r="GFG79" s="450"/>
      <c r="GFH79" s="452"/>
      <c r="GFI79" s="448"/>
      <c r="GFJ79" s="456"/>
      <c r="GFK79" s="458"/>
      <c r="GFL79" s="458"/>
      <c r="GFN79" s="454"/>
      <c r="GFO79" s="450"/>
      <c r="GFP79" s="454"/>
      <c r="GFQ79" s="448"/>
      <c r="GFR79" s="449"/>
      <c r="GFS79" s="450"/>
      <c r="GFT79" s="447"/>
      <c r="GFU79" s="448"/>
      <c r="GFV79" s="449"/>
      <c r="GFW79" s="450"/>
      <c r="GFX79" s="447"/>
      <c r="GFY79" s="451"/>
      <c r="GFZ79" s="449"/>
      <c r="GGA79" s="450"/>
      <c r="GGB79" s="447"/>
      <c r="GGC79" s="451"/>
      <c r="GGD79" s="449"/>
      <c r="GGE79" s="450"/>
      <c r="GGF79" s="447"/>
      <c r="GGG79" s="451"/>
      <c r="GGH79" s="449"/>
      <c r="GGI79" s="450"/>
      <c r="GGJ79" s="452"/>
      <c r="GGK79" s="451"/>
      <c r="GGL79" s="449"/>
      <c r="GGM79" s="450"/>
      <c r="GGN79" s="447"/>
      <c r="GGO79" s="448"/>
      <c r="GGP79" s="453"/>
      <c r="GGQ79" s="449"/>
      <c r="GGR79" s="450"/>
      <c r="GGS79" s="454"/>
      <c r="GGT79" s="448"/>
      <c r="GGV79" s="449"/>
      <c r="GGW79" s="450"/>
      <c r="GGX79" s="452"/>
      <c r="GGY79" s="448"/>
      <c r="GHA79" s="449"/>
      <c r="GHB79" s="450"/>
      <c r="GHC79" s="447"/>
      <c r="GHD79" s="448"/>
      <c r="GHF79" s="449"/>
      <c r="GHG79" s="450"/>
      <c r="GHH79" s="452"/>
      <c r="GHI79" s="448"/>
      <c r="GHJ79" s="449"/>
      <c r="GHK79" s="450"/>
      <c r="GHL79" s="452"/>
      <c r="GHM79" s="448"/>
      <c r="GHN79" s="455"/>
      <c r="GHO79" s="449"/>
      <c r="GHP79" s="450"/>
      <c r="GHQ79" s="459"/>
      <c r="GHR79" s="448"/>
      <c r="GHS79" s="456"/>
      <c r="GHT79" s="449"/>
      <c r="GHU79" s="450"/>
      <c r="GHV79" s="452"/>
      <c r="GHW79" s="448"/>
      <c r="GHX79" s="449"/>
      <c r="GHY79" s="450"/>
      <c r="GHZ79" s="452"/>
      <c r="GIA79" s="448"/>
      <c r="GIB79" s="449"/>
      <c r="GIC79" s="450"/>
      <c r="GID79" s="447"/>
      <c r="GIE79" s="448"/>
      <c r="GIF79" s="457"/>
      <c r="GIG79" s="460"/>
      <c r="GIH79" s="450"/>
      <c r="GII79" s="461"/>
      <c r="GIJ79" s="448"/>
      <c r="GIK79" s="456"/>
      <c r="GIL79" s="449"/>
      <c r="GIM79" s="450"/>
      <c r="GIN79" s="452"/>
      <c r="GIO79" s="448"/>
      <c r="GIP79" s="456"/>
      <c r="GIQ79" s="458"/>
      <c r="GIR79" s="458"/>
      <c r="GIT79" s="454"/>
      <c r="GIU79" s="450"/>
      <c r="GIV79" s="454"/>
      <c r="GIW79" s="448"/>
      <c r="GIX79" s="449"/>
      <c r="GIY79" s="450"/>
      <c r="GIZ79" s="447"/>
      <c r="GJA79" s="448"/>
      <c r="GJB79" s="449"/>
      <c r="GJC79" s="450"/>
      <c r="GJD79" s="447"/>
      <c r="GJE79" s="451"/>
      <c r="GJF79" s="449"/>
      <c r="GJG79" s="450"/>
      <c r="GJH79" s="447"/>
      <c r="GJI79" s="451"/>
      <c r="GJJ79" s="449"/>
      <c r="GJK79" s="450"/>
      <c r="GJL79" s="447"/>
      <c r="GJM79" s="451"/>
      <c r="GJN79" s="449"/>
      <c r="GJO79" s="450"/>
      <c r="GJP79" s="452"/>
      <c r="GJQ79" s="451"/>
      <c r="GJR79" s="449"/>
      <c r="GJS79" s="450"/>
      <c r="GJT79" s="447"/>
      <c r="GJU79" s="448"/>
      <c r="GJV79" s="453"/>
      <c r="GJW79" s="449"/>
      <c r="GJX79" s="450"/>
      <c r="GJY79" s="454"/>
      <c r="GJZ79" s="448"/>
      <c r="GKB79" s="449"/>
      <c r="GKC79" s="450"/>
      <c r="GKD79" s="452"/>
      <c r="GKE79" s="448"/>
      <c r="GKG79" s="449"/>
      <c r="GKH79" s="450"/>
      <c r="GKI79" s="447"/>
      <c r="GKJ79" s="448"/>
      <c r="GKL79" s="449"/>
      <c r="GKM79" s="450"/>
      <c r="GKN79" s="452"/>
      <c r="GKO79" s="448"/>
      <c r="GKP79" s="449"/>
      <c r="GKQ79" s="450"/>
      <c r="GKR79" s="452"/>
      <c r="GKS79" s="448"/>
      <c r="GKT79" s="455"/>
      <c r="GKU79" s="449"/>
      <c r="GKV79" s="450"/>
      <c r="GKW79" s="459"/>
      <c r="GKX79" s="448"/>
      <c r="GKY79" s="456"/>
      <c r="GKZ79" s="449"/>
      <c r="GLA79" s="450"/>
      <c r="GLB79" s="452"/>
      <c r="GLC79" s="448"/>
      <c r="GLD79" s="449"/>
      <c r="GLE79" s="450"/>
      <c r="GLF79" s="452"/>
      <c r="GLG79" s="448"/>
      <c r="GLH79" s="449"/>
      <c r="GLI79" s="450"/>
      <c r="GLJ79" s="447"/>
      <c r="GLK79" s="448"/>
      <c r="GLL79" s="457"/>
      <c r="GLM79" s="460"/>
      <c r="GLN79" s="450"/>
      <c r="GLO79" s="461"/>
      <c r="GLP79" s="448"/>
      <c r="GLQ79" s="456"/>
      <c r="GLR79" s="449"/>
      <c r="GLS79" s="450"/>
      <c r="GLT79" s="452"/>
      <c r="GLU79" s="448"/>
      <c r="GLV79" s="456"/>
      <c r="GLW79" s="458"/>
      <c r="GLX79" s="458"/>
      <c r="GLZ79" s="454"/>
      <c r="GMA79" s="450"/>
      <c r="GMB79" s="454"/>
      <c r="GMC79" s="448"/>
      <c r="GMD79" s="449"/>
      <c r="GME79" s="450"/>
      <c r="GMF79" s="447"/>
      <c r="GMG79" s="448"/>
      <c r="GMH79" s="449"/>
      <c r="GMI79" s="450"/>
      <c r="GMJ79" s="447"/>
      <c r="GMK79" s="451"/>
      <c r="GML79" s="449"/>
      <c r="GMM79" s="450"/>
      <c r="GMN79" s="447"/>
      <c r="GMO79" s="451"/>
      <c r="GMP79" s="449"/>
      <c r="GMQ79" s="450"/>
      <c r="GMR79" s="447"/>
      <c r="GMS79" s="451"/>
      <c r="GMT79" s="449"/>
      <c r="GMU79" s="450"/>
      <c r="GMV79" s="452"/>
      <c r="GMW79" s="451"/>
      <c r="GMX79" s="449"/>
      <c r="GMY79" s="450"/>
      <c r="GMZ79" s="447"/>
      <c r="GNA79" s="448"/>
      <c r="GNB79" s="453"/>
      <c r="GNC79" s="449"/>
      <c r="GND79" s="450"/>
      <c r="GNE79" s="454"/>
      <c r="GNF79" s="448"/>
      <c r="GNH79" s="449"/>
      <c r="GNI79" s="450"/>
      <c r="GNJ79" s="452"/>
      <c r="GNK79" s="448"/>
      <c r="GNM79" s="449"/>
      <c r="GNN79" s="450"/>
      <c r="GNO79" s="447"/>
      <c r="GNP79" s="448"/>
      <c r="GNR79" s="449"/>
      <c r="GNS79" s="450"/>
      <c r="GNT79" s="452"/>
      <c r="GNU79" s="448"/>
      <c r="GNV79" s="449"/>
      <c r="GNW79" s="450"/>
      <c r="GNX79" s="452"/>
      <c r="GNY79" s="448"/>
      <c r="GNZ79" s="455"/>
      <c r="GOA79" s="449"/>
      <c r="GOB79" s="450"/>
      <c r="GOC79" s="459"/>
      <c r="GOD79" s="448"/>
      <c r="GOE79" s="456"/>
      <c r="GOF79" s="449"/>
      <c r="GOG79" s="450"/>
      <c r="GOH79" s="452"/>
      <c r="GOI79" s="448"/>
      <c r="GOJ79" s="449"/>
      <c r="GOK79" s="450"/>
      <c r="GOL79" s="452"/>
      <c r="GOM79" s="448"/>
      <c r="GON79" s="449"/>
      <c r="GOO79" s="450"/>
      <c r="GOP79" s="447"/>
      <c r="GOQ79" s="448"/>
      <c r="GOR79" s="457"/>
      <c r="GOS79" s="460"/>
      <c r="GOT79" s="450"/>
      <c r="GOU79" s="461"/>
      <c r="GOV79" s="448"/>
      <c r="GOW79" s="456"/>
      <c r="GOX79" s="449"/>
      <c r="GOY79" s="450"/>
      <c r="GOZ79" s="452"/>
      <c r="GPA79" s="448"/>
      <c r="GPB79" s="456"/>
      <c r="GPC79" s="458"/>
      <c r="GPD79" s="458"/>
      <c r="GPF79" s="454"/>
      <c r="GPG79" s="450"/>
      <c r="GPH79" s="454"/>
      <c r="GPI79" s="448"/>
      <c r="GPJ79" s="449"/>
      <c r="GPK79" s="450"/>
      <c r="GPL79" s="447"/>
      <c r="GPM79" s="448"/>
      <c r="GPN79" s="449"/>
      <c r="GPO79" s="450"/>
      <c r="GPP79" s="447"/>
      <c r="GPQ79" s="451"/>
      <c r="GPR79" s="449"/>
      <c r="GPS79" s="450"/>
      <c r="GPT79" s="447"/>
      <c r="GPU79" s="451"/>
      <c r="GPV79" s="449"/>
      <c r="GPW79" s="450"/>
      <c r="GPX79" s="447"/>
      <c r="GPY79" s="451"/>
      <c r="GPZ79" s="449"/>
      <c r="GQA79" s="450"/>
      <c r="GQB79" s="452"/>
      <c r="GQC79" s="451"/>
      <c r="GQD79" s="449"/>
      <c r="GQE79" s="450"/>
      <c r="GQF79" s="447"/>
      <c r="GQG79" s="448"/>
      <c r="GQH79" s="453"/>
      <c r="GQI79" s="449"/>
      <c r="GQJ79" s="450"/>
      <c r="GQK79" s="454"/>
      <c r="GQL79" s="448"/>
      <c r="GQN79" s="449"/>
      <c r="GQO79" s="450"/>
      <c r="GQP79" s="452"/>
      <c r="GQQ79" s="448"/>
      <c r="GQS79" s="449"/>
      <c r="GQT79" s="450"/>
      <c r="GQU79" s="447"/>
      <c r="GQV79" s="448"/>
      <c r="GQX79" s="449"/>
      <c r="GQY79" s="450"/>
      <c r="GQZ79" s="452"/>
      <c r="GRA79" s="448"/>
      <c r="GRB79" s="449"/>
      <c r="GRC79" s="450"/>
      <c r="GRD79" s="452"/>
      <c r="GRE79" s="448"/>
      <c r="GRF79" s="455"/>
      <c r="GRG79" s="449"/>
      <c r="GRH79" s="450"/>
      <c r="GRI79" s="459"/>
      <c r="GRJ79" s="448"/>
      <c r="GRK79" s="456"/>
      <c r="GRL79" s="449"/>
      <c r="GRM79" s="450"/>
      <c r="GRN79" s="452"/>
      <c r="GRO79" s="448"/>
      <c r="GRP79" s="449"/>
      <c r="GRQ79" s="450"/>
      <c r="GRR79" s="452"/>
      <c r="GRS79" s="448"/>
      <c r="GRT79" s="449"/>
      <c r="GRU79" s="450"/>
      <c r="GRV79" s="447"/>
      <c r="GRW79" s="448"/>
      <c r="GRX79" s="457"/>
      <c r="GRY79" s="460"/>
      <c r="GRZ79" s="450"/>
      <c r="GSA79" s="461"/>
      <c r="GSB79" s="448"/>
      <c r="GSC79" s="456"/>
      <c r="GSD79" s="449"/>
      <c r="GSE79" s="450"/>
      <c r="GSF79" s="452"/>
      <c r="GSG79" s="448"/>
      <c r="GSH79" s="456"/>
      <c r="GSI79" s="458"/>
      <c r="GSJ79" s="458"/>
      <c r="GSL79" s="454"/>
      <c r="GSM79" s="450"/>
      <c r="GSN79" s="454"/>
      <c r="GSO79" s="448"/>
      <c r="GSP79" s="449"/>
      <c r="GSQ79" s="450"/>
      <c r="GSR79" s="447"/>
      <c r="GSS79" s="448"/>
      <c r="GST79" s="449"/>
      <c r="GSU79" s="450"/>
      <c r="GSV79" s="447"/>
      <c r="GSW79" s="451"/>
      <c r="GSX79" s="449"/>
      <c r="GSY79" s="450"/>
      <c r="GSZ79" s="447"/>
      <c r="GTA79" s="451"/>
      <c r="GTB79" s="449"/>
      <c r="GTC79" s="450"/>
      <c r="GTD79" s="447"/>
      <c r="GTE79" s="451"/>
      <c r="GTF79" s="449"/>
      <c r="GTG79" s="450"/>
      <c r="GTH79" s="452"/>
      <c r="GTI79" s="451"/>
      <c r="GTJ79" s="449"/>
      <c r="GTK79" s="450"/>
      <c r="GTL79" s="447"/>
      <c r="GTM79" s="448"/>
      <c r="GTN79" s="453"/>
      <c r="GTO79" s="449"/>
      <c r="GTP79" s="450"/>
      <c r="GTQ79" s="454"/>
      <c r="GTR79" s="448"/>
      <c r="GTT79" s="449"/>
      <c r="GTU79" s="450"/>
      <c r="GTV79" s="452"/>
      <c r="GTW79" s="448"/>
      <c r="GTY79" s="449"/>
      <c r="GTZ79" s="450"/>
      <c r="GUA79" s="447"/>
      <c r="GUB79" s="448"/>
      <c r="GUD79" s="449"/>
      <c r="GUE79" s="450"/>
      <c r="GUF79" s="452"/>
      <c r="GUG79" s="448"/>
      <c r="GUH79" s="449"/>
      <c r="GUI79" s="450"/>
      <c r="GUJ79" s="452"/>
      <c r="GUK79" s="448"/>
      <c r="GUL79" s="455"/>
      <c r="GUM79" s="449"/>
      <c r="GUN79" s="450"/>
      <c r="GUO79" s="459"/>
      <c r="GUP79" s="448"/>
      <c r="GUQ79" s="456"/>
      <c r="GUR79" s="449"/>
      <c r="GUS79" s="450"/>
      <c r="GUT79" s="452"/>
      <c r="GUU79" s="448"/>
      <c r="GUV79" s="449"/>
      <c r="GUW79" s="450"/>
      <c r="GUX79" s="452"/>
      <c r="GUY79" s="448"/>
      <c r="GUZ79" s="449"/>
      <c r="GVA79" s="450"/>
      <c r="GVB79" s="447"/>
      <c r="GVC79" s="448"/>
      <c r="GVD79" s="457"/>
      <c r="GVE79" s="460"/>
      <c r="GVF79" s="450"/>
      <c r="GVG79" s="461"/>
      <c r="GVH79" s="448"/>
      <c r="GVI79" s="456"/>
      <c r="GVJ79" s="449"/>
      <c r="GVK79" s="450"/>
      <c r="GVL79" s="452"/>
      <c r="GVM79" s="448"/>
      <c r="GVN79" s="456"/>
      <c r="GVO79" s="458"/>
      <c r="GVP79" s="458"/>
      <c r="GVR79" s="454"/>
      <c r="GVS79" s="450"/>
      <c r="GVT79" s="454"/>
      <c r="GVU79" s="448"/>
      <c r="GVV79" s="449"/>
      <c r="GVW79" s="450"/>
      <c r="GVX79" s="447"/>
      <c r="GVY79" s="448"/>
      <c r="GVZ79" s="449"/>
      <c r="GWA79" s="450"/>
      <c r="GWB79" s="447"/>
      <c r="GWC79" s="451"/>
      <c r="GWD79" s="449"/>
      <c r="GWE79" s="450"/>
      <c r="GWF79" s="447"/>
      <c r="GWG79" s="451"/>
      <c r="GWH79" s="449"/>
      <c r="GWI79" s="450"/>
      <c r="GWJ79" s="447"/>
      <c r="GWK79" s="451"/>
      <c r="GWL79" s="449"/>
      <c r="GWM79" s="450"/>
      <c r="GWN79" s="452"/>
      <c r="GWO79" s="451"/>
      <c r="GWP79" s="449"/>
      <c r="GWQ79" s="450"/>
      <c r="GWR79" s="447"/>
      <c r="GWS79" s="448"/>
      <c r="GWT79" s="453"/>
      <c r="GWU79" s="449"/>
      <c r="GWV79" s="450"/>
      <c r="GWW79" s="454"/>
      <c r="GWX79" s="448"/>
      <c r="GWZ79" s="449"/>
      <c r="GXA79" s="450"/>
      <c r="GXB79" s="452"/>
      <c r="GXC79" s="448"/>
      <c r="GXE79" s="449"/>
      <c r="GXF79" s="450"/>
      <c r="GXG79" s="447"/>
      <c r="GXH79" s="448"/>
      <c r="GXJ79" s="449"/>
      <c r="GXK79" s="450"/>
      <c r="GXL79" s="452"/>
      <c r="GXM79" s="448"/>
      <c r="GXN79" s="449"/>
      <c r="GXO79" s="450"/>
      <c r="GXP79" s="452"/>
      <c r="GXQ79" s="448"/>
      <c r="GXR79" s="455"/>
      <c r="GXS79" s="449"/>
      <c r="GXT79" s="450"/>
      <c r="GXU79" s="459"/>
      <c r="GXV79" s="448"/>
      <c r="GXW79" s="456"/>
      <c r="GXX79" s="449"/>
      <c r="GXY79" s="450"/>
      <c r="GXZ79" s="452"/>
      <c r="GYA79" s="448"/>
      <c r="GYB79" s="449"/>
      <c r="GYC79" s="450"/>
      <c r="GYD79" s="452"/>
      <c r="GYE79" s="448"/>
      <c r="GYF79" s="449"/>
      <c r="GYG79" s="450"/>
      <c r="GYH79" s="447"/>
      <c r="GYI79" s="448"/>
      <c r="GYJ79" s="457"/>
      <c r="GYK79" s="460"/>
      <c r="GYL79" s="450"/>
      <c r="GYM79" s="461"/>
      <c r="GYN79" s="448"/>
      <c r="GYO79" s="456"/>
      <c r="GYP79" s="449"/>
      <c r="GYQ79" s="450"/>
      <c r="GYR79" s="452"/>
      <c r="GYS79" s="448"/>
      <c r="GYT79" s="456"/>
      <c r="GYU79" s="458"/>
      <c r="GYV79" s="458"/>
      <c r="GYX79" s="454"/>
      <c r="GYY79" s="450"/>
      <c r="GYZ79" s="454"/>
      <c r="GZA79" s="448"/>
      <c r="GZB79" s="449"/>
      <c r="GZC79" s="450"/>
      <c r="GZD79" s="447"/>
      <c r="GZE79" s="448"/>
      <c r="GZF79" s="449"/>
      <c r="GZG79" s="450"/>
      <c r="GZH79" s="447"/>
      <c r="GZI79" s="451"/>
      <c r="GZJ79" s="449"/>
      <c r="GZK79" s="450"/>
      <c r="GZL79" s="447"/>
      <c r="GZM79" s="451"/>
      <c r="GZN79" s="449"/>
      <c r="GZO79" s="450"/>
      <c r="GZP79" s="447"/>
      <c r="GZQ79" s="451"/>
      <c r="GZR79" s="449"/>
      <c r="GZS79" s="450"/>
      <c r="GZT79" s="452"/>
      <c r="GZU79" s="451"/>
      <c r="GZV79" s="449"/>
      <c r="GZW79" s="450"/>
      <c r="GZX79" s="447"/>
      <c r="GZY79" s="448"/>
      <c r="GZZ79" s="453"/>
      <c r="HAA79" s="449"/>
      <c r="HAB79" s="450"/>
      <c r="HAC79" s="454"/>
      <c r="HAD79" s="448"/>
      <c r="HAF79" s="449"/>
      <c r="HAG79" s="450"/>
      <c r="HAH79" s="452"/>
      <c r="HAI79" s="448"/>
      <c r="HAK79" s="449"/>
      <c r="HAL79" s="450"/>
      <c r="HAM79" s="447"/>
      <c r="HAN79" s="448"/>
      <c r="HAP79" s="449"/>
      <c r="HAQ79" s="450"/>
      <c r="HAR79" s="452"/>
      <c r="HAS79" s="448"/>
      <c r="HAT79" s="449"/>
      <c r="HAU79" s="450"/>
      <c r="HAV79" s="452"/>
      <c r="HAW79" s="448"/>
      <c r="HAX79" s="455"/>
      <c r="HAY79" s="449"/>
      <c r="HAZ79" s="450"/>
      <c r="HBA79" s="459"/>
      <c r="HBB79" s="448"/>
      <c r="HBC79" s="456"/>
      <c r="HBD79" s="449"/>
      <c r="HBE79" s="450"/>
      <c r="HBF79" s="452"/>
      <c r="HBG79" s="448"/>
      <c r="HBH79" s="449"/>
      <c r="HBI79" s="450"/>
      <c r="HBJ79" s="452"/>
      <c r="HBK79" s="448"/>
      <c r="HBL79" s="449"/>
      <c r="HBM79" s="450"/>
      <c r="HBN79" s="447"/>
      <c r="HBO79" s="448"/>
      <c r="HBP79" s="457"/>
      <c r="HBQ79" s="460"/>
      <c r="HBR79" s="450"/>
      <c r="HBS79" s="461"/>
      <c r="HBT79" s="448"/>
      <c r="HBU79" s="456"/>
      <c r="HBV79" s="449"/>
      <c r="HBW79" s="450"/>
      <c r="HBX79" s="452"/>
      <c r="HBY79" s="448"/>
      <c r="HBZ79" s="456"/>
      <c r="HCA79" s="458"/>
      <c r="HCB79" s="458"/>
      <c r="HCD79" s="454"/>
      <c r="HCE79" s="450"/>
      <c r="HCF79" s="454"/>
      <c r="HCG79" s="448"/>
      <c r="HCH79" s="449"/>
      <c r="HCI79" s="450"/>
      <c r="HCJ79" s="447"/>
      <c r="HCK79" s="448"/>
      <c r="HCL79" s="449"/>
      <c r="HCM79" s="450"/>
      <c r="HCN79" s="447"/>
      <c r="HCO79" s="451"/>
      <c r="HCP79" s="449"/>
      <c r="HCQ79" s="450"/>
      <c r="HCR79" s="447"/>
      <c r="HCS79" s="451"/>
      <c r="HCT79" s="449"/>
      <c r="HCU79" s="450"/>
      <c r="HCV79" s="447"/>
      <c r="HCW79" s="451"/>
      <c r="HCX79" s="449"/>
      <c r="HCY79" s="450"/>
      <c r="HCZ79" s="452"/>
      <c r="HDA79" s="451"/>
      <c r="HDB79" s="449"/>
      <c r="HDC79" s="450"/>
      <c r="HDD79" s="447"/>
      <c r="HDE79" s="448"/>
      <c r="HDF79" s="453"/>
      <c r="HDG79" s="449"/>
      <c r="HDH79" s="450"/>
      <c r="HDI79" s="454"/>
      <c r="HDJ79" s="448"/>
      <c r="HDL79" s="449"/>
      <c r="HDM79" s="450"/>
      <c r="HDN79" s="452"/>
      <c r="HDO79" s="448"/>
      <c r="HDQ79" s="449"/>
      <c r="HDR79" s="450"/>
      <c r="HDS79" s="447"/>
      <c r="HDT79" s="448"/>
      <c r="HDV79" s="449"/>
      <c r="HDW79" s="450"/>
      <c r="HDX79" s="452"/>
      <c r="HDY79" s="448"/>
      <c r="HDZ79" s="449"/>
      <c r="HEA79" s="450"/>
      <c r="HEB79" s="452"/>
      <c r="HEC79" s="448"/>
      <c r="HED79" s="455"/>
      <c r="HEE79" s="449"/>
      <c r="HEF79" s="450"/>
      <c r="HEG79" s="459"/>
      <c r="HEH79" s="448"/>
      <c r="HEI79" s="456"/>
      <c r="HEJ79" s="449"/>
      <c r="HEK79" s="450"/>
      <c r="HEL79" s="452"/>
      <c r="HEM79" s="448"/>
      <c r="HEN79" s="449"/>
      <c r="HEO79" s="450"/>
      <c r="HEP79" s="452"/>
      <c r="HEQ79" s="448"/>
      <c r="HER79" s="449"/>
      <c r="HES79" s="450"/>
      <c r="HET79" s="447"/>
      <c r="HEU79" s="448"/>
      <c r="HEV79" s="457"/>
      <c r="HEW79" s="460"/>
      <c r="HEX79" s="450"/>
      <c r="HEY79" s="461"/>
      <c r="HEZ79" s="448"/>
      <c r="HFA79" s="456"/>
      <c r="HFB79" s="449"/>
      <c r="HFC79" s="450"/>
      <c r="HFD79" s="452"/>
      <c r="HFE79" s="448"/>
      <c r="HFF79" s="456"/>
      <c r="HFG79" s="458"/>
      <c r="HFH79" s="458"/>
      <c r="HFJ79" s="454"/>
      <c r="HFK79" s="450"/>
      <c r="HFL79" s="454"/>
      <c r="HFM79" s="448"/>
      <c r="HFN79" s="449"/>
      <c r="HFO79" s="450"/>
      <c r="HFP79" s="447"/>
      <c r="HFQ79" s="448"/>
      <c r="HFR79" s="449"/>
      <c r="HFS79" s="450"/>
      <c r="HFT79" s="447"/>
      <c r="HFU79" s="451"/>
      <c r="HFV79" s="449"/>
      <c r="HFW79" s="450"/>
      <c r="HFX79" s="447"/>
      <c r="HFY79" s="451"/>
      <c r="HFZ79" s="449"/>
      <c r="HGA79" s="450"/>
      <c r="HGB79" s="447"/>
      <c r="HGC79" s="451"/>
      <c r="HGD79" s="449"/>
      <c r="HGE79" s="450"/>
      <c r="HGF79" s="452"/>
      <c r="HGG79" s="451"/>
      <c r="HGH79" s="449"/>
      <c r="HGI79" s="450"/>
      <c r="HGJ79" s="447"/>
      <c r="HGK79" s="448"/>
      <c r="HGL79" s="453"/>
      <c r="HGM79" s="449"/>
      <c r="HGN79" s="450"/>
      <c r="HGO79" s="454"/>
      <c r="HGP79" s="448"/>
      <c r="HGR79" s="449"/>
      <c r="HGS79" s="450"/>
      <c r="HGT79" s="452"/>
      <c r="HGU79" s="448"/>
      <c r="HGW79" s="449"/>
      <c r="HGX79" s="450"/>
      <c r="HGY79" s="447"/>
      <c r="HGZ79" s="448"/>
      <c r="HHB79" s="449"/>
      <c r="HHC79" s="450"/>
      <c r="HHD79" s="452"/>
      <c r="HHE79" s="448"/>
      <c r="HHF79" s="449"/>
      <c r="HHG79" s="450"/>
      <c r="HHH79" s="452"/>
      <c r="HHI79" s="448"/>
      <c r="HHJ79" s="455"/>
      <c r="HHK79" s="449"/>
      <c r="HHL79" s="450"/>
      <c r="HHM79" s="459"/>
      <c r="HHN79" s="448"/>
      <c r="HHO79" s="456"/>
      <c r="HHP79" s="449"/>
      <c r="HHQ79" s="450"/>
      <c r="HHR79" s="452"/>
      <c r="HHS79" s="448"/>
      <c r="HHT79" s="449"/>
      <c r="HHU79" s="450"/>
      <c r="HHV79" s="452"/>
      <c r="HHW79" s="448"/>
      <c r="HHX79" s="449"/>
      <c r="HHY79" s="450"/>
      <c r="HHZ79" s="447"/>
      <c r="HIA79" s="448"/>
      <c r="HIB79" s="457"/>
      <c r="HIC79" s="460"/>
      <c r="HID79" s="450"/>
      <c r="HIE79" s="461"/>
      <c r="HIF79" s="448"/>
      <c r="HIG79" s="456"/>
      <c r="HIH79" s="449"/>
      <c r="HII79" s="450"/>
      <c r="HIJ79" s="452"/>
      <c r="HIK79" s="448"/>
      <c r="HIL79" s="456"/>
      <c r="HIM79" s="458"/>
      <c r="HIN79" s="458"/>
      <c r="HIP79" s="454"/>
      <c r="HIQ79" s="450"/>
      <c r="HIR79" s="454"/>
      <c r="HIS79" s="448"/>
      <c r="HIT79" s="449"/>
      <c r="HIU79" s="450"/>
      <c r="HIV79" s="447"/>
      <c r="HIW79" s="448"/>
      <c r="HIX79" s="449"/>
      <c r="HIY79" s="450"/>
      <c r="HIZ79" s="447"/>
      <c r="HJA79" s="451"/>
      <c r="HJB79" s="449"/>
      <c r="HJC79" s="450"/>
      <c r="HJD79" s="447"/>
      <c r="HJE79" s="451"/>
      <c r="HJF79" s="449"/>
      <c r="HJG79" s="450"/>
      <c r="HJH79" s="447"/>
      <c r="HJI79" s="451"/>
      <c r="HJJ79" s="449"/>
      <c r="HJK79" s="450"/>
      <c r="HJL79" s="452"/>
      <c r="HJM79" s="451"/>
      <c r="HJN79" s="449"/>
      <c r="HJO79" s="450"/>
      <c r="HJP79" s="447"/>
      <c r="HJQ79" s="448"/>
      <c r="HJR79" s="453"/>
      <c r="HJS79" s="449"/>
      <c r="HJT79" s="450"/>
      <c r="HJU79" s="454"/>
      <c r="HJV79" s="448"/>
      <c r="HJX79" s="449"/>
      <c r="HJY79" s="450"/>
      <c r="HJZ79" s="452"/>
      <c r="HKA79" s="448"/>
      <c r="HKC79" s="449"/>
      <c r="HKD79" s="450"/>
      <c r="HKE79" s="447"/>
      <c r="HKF79" s="448"/>
      <c r="HKH79" s="449"/>
      <c r="HKI79" s="450"/>
      <c r="HKJ79" s="452"/>
      <c r="HKK79" s="448"/>
      <c r="HKL79" s="449"/>
      <c r="HKM79" s="450"/>
      <c r="HKN79" s="452"/>
      <c r="HKO79" s="448"/>
      <c r="HKP79" s="455"/>
      <c r="HKQ79" s="449"/>
      <c r="HKR79" s="450"/>
      <c r="HKS79" s="459"/>
      <c r="HKT79" s="448"/>
      <c r="HKU79" s="456"/>
      <c r="HKV79" s="449"/>
      <c r="HKW79" s="450"/>
      <c r="HKX79" s="452"/>
      <c r="HKY79" s="448"/>
      <c r="HKZ79" s="449"/>
      <c r="HLA79" s="450"/>
      <c r="HLB79" s="452"/>
      <c r="HLC79" s="448"/>
      <c r="HLD79" s="449"/>
      <c r="HLE79" s="450"/>
      <c r="HLF79" s="447"/>
      <c r="HLG79" s="448"/>
      <c r="HLH79" s="457"/>
      <c r="HLI79" s="460"/>
      <c r="HLJ79" s="450"/>
      <c r="HLK79" s="461"/>
      <c r="HLL79" s="448"/>
      <c r="HLM79" s="456"/>
      <c r="HLN79" s="449"/>
      <c r="HLO79" s="450"/>
      <c r="HLP79" s="452"/>
      <c r="HLQ79" s="448"/>
      <c r="HLR79" s="456"/>
      <c r="HLS79" s="458"/>
      <c r="HLT79" s="458"/>
      <c r="HLV79" s="454"/>
      <c r="HLW79" s="450"/>
      <c r="HLX79" s="454"/>
      <c r="HLY79" s="448"/>
      <c r="HLZ79" s="449"/>
      <c r="HMA79" s="450"/>
      <c r="HMB79" s="447"/>
      <c r="HMC79" s="448"/>
      <c r="HMD79" s="449"/>
      <c r="HME79" s="450"/>
      <c r="HMF79" s="447"/>
      <c r="HMG79" s="451"/>
      <c r="HMH79" s="449"/>
      <c r="HMI79" s="450"/>
      <c r="HMJ79" s="447"/>
      <c r="HMK79" s="451"/>
      <c r="HML79" s="449"/>
      <c r="HMM79" s="450"/>
      <c r="HMN79" s="447"/>
      <c r="HMO79" s="451"/>
      <c r="HMP79" s="449"/>
      <c r="HMQ79" s="450"/>
      <c r="HMR79" s="452"/>
      <c r="HMS79" s="451"/>
      <c r="HMT79" s="449"/>
      <c r="HMU79" s="450"/>
      <c r="HMV79" s="447"/>
      <c r="HMW79" s="448"/>
      <c r="HMX79" s="453"/>
      <c r="HMY79" s="449"/>
      <c r="HMZ79" s="450"/>
      <c r="HNA79" s="454"/>
      <c r="HNB79" s="448"/>
      <c r="HND79" s="449"/>
      <c r="HNE79" s="450"/>
      <c r="HNF79" s="452"/>
      <c r="HNG79" s="448"/>
      <c r="HNI79" s="449"/>
      <c r="HNJ79" s="450"/>
      <c r="HNK79" s="447"/>
      <c r="HNL79" s="448"/>
      <c r="HNN79" s="449"/>
      <c r="HNO79" s="450"/>
      <c r="HNP79" s="452"/>
      <c r="HNQ79" s="448"/>
      <c r="HNR79" s="449"/>
      <c r="HNS79" s="450"/>
      <c r="HNT79" s="452"/>
      <c r="HNU79" s="448"/>
      <c r="HNV79" s="455"/>
      <c r="HNW79" s="449"/>
      <c r="HNX79" s="450"/>
      <c r="HNY79" s="459"/>
      <c r="HNZ79" s="448"/>
      <c r="HOA79" s="456"/>
      <c r="HOB79" s="449"/>
      <c r="HOC79" s="450"/>
      <c r="HOD79" s="452"/>
      <c r="HOE79" s="448"/>
      <c r="HOF79" s="449"/>
      <c r="HOG79" s="450"/>
      <c r="HOH79" s="452"/>
      <c r="HOI79" s="448"/>
      <c r="HOJ79" s="449"/>
      <c r="HOK79" s="450"/>
      <c r="HOL79" s="447"/>
      <c r="HOM79" s="448"/>
      <c r="HON79" s="457"/>
      <c r="HOO79" s="460"/>
      <c r="HOP79" s="450"/>
      <c r="HOQ79" s="461"/>
      <c r="HOR79" s="448"/>
      <c r="HOS79" s="456"/>
      <c r="HOT79" s="449"/>
      <c r="HOU79" s="450"/>
      <c r="HOV79" s="452"/>
      <c r="HOW79" s="448"/>
      <c r="HOX79" s="456"/>
      <c r="HOY79" s="458"/>
      <c r="HOZ79" s="458"/>
      <c r="HPB79" s="454"/>
      <c r="HPC79" s="450"/>
      <c r="HPD79" s="454"/>
      <c r="HPE79" s="448"/>
      <c r="HPF79" s="449"/>
      <c r="HPG79" s="450"/>
      <c r="HPH79" s="447"/>
      <c r="HPI79" s="448"/>
      <c r="HPJ79" s="449"/>
      <c r="HPK79" s="450"/>
      <c r="HPL79" s="447"/>
      <c r="HPM79" s="451"/>
      <c r="HPN79" s="449"/>
      <c r="HPO79" s="450"/>
      <c r="HPP79" s="447"/>
      <c r="HPQ79" s="451"/>
      <c r="HPR79" s="449"/>
      <c r="HPS79" s="450"/>
      <c r="HPT79" s="447"/>
      <c r="HPU79" s="451"/>
      <c r="HPV79" s="449"/>
      <c r="HPW79" s="450"/>
      <c r="HPX79" s="452"/>
      <c r="HPY79" s="451"/>
      <c r="HPZ79" s="449"/>
      <c r="HQA79" s="450"/>
      <c r="HQB79" s="447"/>
      <c r="HQC79" s="448"/>
      <c r="HQD79" s="453"/>
      <c r="HQE79" s="449"/>
      <c r="HQF79" s="450"/>
      <c r="HQG79" s="454"/>
      <c r="HQH79" s="448"/>
      <c r="HQJ79" s="449"/>
      <c r="HQK79" s="450"/>
      <c r="HQL79" s="452"/>
      <c r="HQM79" s="448"/>
      <c r="HQO79" s="449"/>
      <c r="HQP79" s="450"/>
      <c r="HQQ79" s="447"/>
      <c r="HQR79" s="448"/>
      <c r="HQT79" s="449"/>
      <c r="HQU79" s="450"/>
      <c r="HQV79" s="452"/>
      <c r="HQW79" s="448"/>
      <c r="HQX79" s="449"/>
      <c r="HQY79" s="450"/>
      <c r="HQZ79" s="452"/>
      <c r="HRA79" s="448"/>
      <c r="HRB79" s="455"/>
      <c r="HRC79" s="449"/>
      <c r="HRD79" s="450"/>
      <c r="HRE79" s="459"/>
      <c r="HRF79" s="448"/>
      <c r="HRG79" s="456"/>
      <c r="HRH79" s="449"/>
      <c r="HRI79" s="450"/>
      <c r="HRJ79" s="452"/>
      <c r="HRK79" s="448"/>
      <c r="HRL79" s="449"/>
      <c r="HRM79" s="450"/>
      <c r="HRN79" s="452"/>
      <c r="HRO79" s="448"/>
      <c r="HRP79" s="449"/>
      <c r="HRQ79" s="450"/>
      <c r="HRR79" s="447"/>
      <c r="HRS79" s="448"/>
      <c r="HRT79" s="457"/>
      <c r="HRU79" s="460"/>
      <c r="HRV79" s="450"/>
      <c r="HRW79" s="461"/>
      <c r="HRX79" s="448"/>
      <c r="HRY79" s="456"/>
      <c r="HRZ79" s="449"/>
      <c r="HSA79" s="450"/>
      <c r="HSB79" s="452"/>
      <c r="HSC79" s="448"/>
      <c r="HSD79" s="456"/>
      <c r="HSE79" s="458"/>
      <c r="HSF79" s="458"/>
      <c r="HSH79" s="454"/>
      <c r="HSI79" s="450"/>
      <c r="HSJ79" s="454"/>
      <c r="HSK79" s="448"/>
      <c r="HSL79" s="449"/>
      <c r="HSM79" s="450"/>
      <c r="HSN79" s="447"/>
      <c r="HSO79" s="448"/>
      <c r="HSP79" s="449"/>
      <c r="HSQ79" s="450"/>
      <c r="HSR79" s="447"/>
      <c r="HSS79" s="451"/>
      <c r="HST79" s="449"/>
      <c r="HSU79" s="450"/>
      <c r="HSV79" s="447"/>
      <c r="HSW79" s="451"/>
      <c r="HSX79" s="449"/>
      <c r="HSY79" s="450"/>
      <c r="HSZ79" s="447"/>
      <c r="HTA79" s="451"/>
      <c r="HTB79" s="449"/>
      <c r="HTC79" s="450"/>
      <c r="HTD79" s="452"/>
      <c r="HTE79" s="451"/>
      <c r="HTF79" s="449"/>
      <c r="HTG79" s="450"/>
      <c r="HTH79" s="447"/>
      <c r="HTI79" s="448"/>
      <c r="HTJ79" s="453"/>
      <c r="HTK79" s="449"/>
      <c r="HTL79" s="450"/>
      <c r="HTM79" s="454"/>
      <c r="HTN79" s="448"/>
      <c r="HTP79" s="449"/>
      <c r="HTQ79" s="450"/>
      <c r="HTR79" s="452"/>
      <c r="HTS79" s="448"/>
      <c r="HTU79" s="449"/>
      <c r="HTV79" s="450"/>
      <c r="HTW79" s="447"/>
      <c r="HTX79" s="448"/>
      <c r="HTZ79" s="449"/>
      <c r="HUA79" s="450"/>
      <c r="HUB79" s="452"/>
      <c r="HUC79" s="448"/>
      <c r="HUD79" s="449"/>
      <c r="HUE79" s="450"/>
      <c r="HUF79" s="452"/>
      <c r="HUG79" s="448"/>
      <c r="HUH79" s="455"/>
      <c r="HUI79" s="449"/>
      <c r="HUJ79" s="450"/>
      <c r="HUK79" s="459"/>
      <c r="HUL79" s="448"/>
      <c r="HUM79" s="456"/>
      <c r="HUN79" s="449"/>
      <c r="HUO79" s="450"/>
      <c r="HUP79" s="452"/>
      <c r="HUQ79" s="448"/>
      <c r="HUR79" s="449"/>
      <c r="HUS79" s="450"/>
      <c r="HUT79" s="452"/>
      <c r="HUU79" s="448"/>
      <c r="HUV79" s="449"/>
      <c r="HUW79" s="450"/>
      <c r="HUX79" s="447"/>
      <c r="HUY79" s="448"/>
      <c r="HUZ79" s="457"/>
      <c r="HVA79" s="460"/>
      <c r="HVB79" s="450"/>
      <c r="HVC79" s="461"/>
      <c r="HVD79" s="448"/>
      <c r="HVE79" s="456"/>
      <c r="HVF79" s="449"/>
      <c r="HVG79" s="450"/>
      <c r="HVH79" s="452"/>
      <c r="HVI79" s="448"/>
      <c r="HVJ79" s="456"/>
      <c r="HVK79" s="458"/>
      <c r="HVL79" s="458"/>
      <c r="HVN79" s="454"/>
      <c r="HVO79" s="450"/>
      <c r="HVP79" s="454"/>
      <c r="HVQ79" s="448"/>
      <c r="HVR79" s="449"/>
      <c r="HVS79" s="450"/>
      <c r="HVT79" s="447"/>
      <c r="HVU79" s="448"/>
      <c r="HVV79" s="449"/>
      <c r="HVW79" s="450"/>
      <c r="HVX79" s="447"/>
      <c r="HVY79" s="451"/>
      <c r="HVZ79" s="449"/>
      <c r="HWA79" s="450"/>
      <c r="HWB79" s="447"/>
      <c r="HWC79" s="451"/>
      <c r="HWD79" s="449"/>
      <c r="HWE79" s="450"/>
      <c r="HWF79" s="447"/>
      <c r="HWG79" s="451"/>
      <c r="HWH79" s="449"/>
      <c r="HWI79" s="450"/>
      <c r="HWJ79" s="452"/>
      <c r="HWK79" s="451"/>
      <c r="HWL79" s="449"/>
      <c r="HWM79" s="450"/>
      <c r="HWN79" s="447"/>
      <c r="HWO79" s="448"/>
      <c r="HWP79" s="453"/>
      <c r="HWQ79" s="449"/>
      <c r="HWR79" s="450"/>
      <c r="HWS79" s="454"/>
      <c r="HWT79" s="448"/>
      <c r="HWV79" s="449"/>
      <c r="HWW79" s="450"/>
      <c r="HWX79" s="452"/>
      <c r="HWY79" s="448"/>
      <c r="HXA79" s="449"/>
      <c r="HXB79" s="450"/>
      <c r="HXC79" s="447"/>
      <c r="HXD79" s="448"/>
      <c r="HXF79" s="449"/>
      <c r="HXG79" s="450"/>
      <c r="HXH79" s="452"/>
      <c r="HXI79" s="448"/>
      <c r="HXJ79" s="449"/>
      <c r="HXK79" s="450"/>
      <c r="HXL79" s="452"/>
      <c r="HXM79" s="448"/>
      <c r="HXN79" s="455"/>
      <c r="HXO79" s="449"/>
      <c r="HXP79" s="450"/>
      <c r="HXQ79" s="459"/>
      <c r="HXR79" s="448"/>
      <c r="HXS79" s="456"/>
      <c r="HXT79" s="449"/>
      <c r="HXU79" s="450"/>
      <c r="HXV79" s="452"/>
      <c r="HXW79" s="448"/>
      <c r="HXX79" s="449"/>
      <c r="HXY79" s="450"/>
      <c r="HXZ79" s="452"/>
      <c r="HYA79" s="448"/>
      <c r="HYB79" s="449"/>
      <c r="HYC79" s="450"/>
      <c r="HYD79" s="447"/>
      <c r="HYE79" s="448"/>
      <c r="HYF79" s="457"/>
      <c r="HYG79" s="460"/>
      <c r="HYH79" s="450"/>
      <c r="HYI79" s="461"/>
      <c r="HYJ79" s="448"/>
      <c r="HYK79" s="456"/>
      <c r="HYL79" s="449"/>
      <c r="HYM79" s="450"/>
      <c r="HYN79" s="452"/>
      <c r="HYO79" s="448"/>
      <c r="HYP79" s="456"/>
      <c r="HYQ79" s="458"/>
      <c r="HYR79" s="458"/>
      <c r="HYT79" s="454"/>
      <c r="HYU79" s="450"/>
      <c r="HYV79" s="454"/>
      <c r="HYW79" s="448"/>
      <c r="HYX79" s="449"/>
      <c r="HYY79" s="450"/>
      <c r="HYZ79" s="447"/>
      <c r="HZA79" s="448"/>
      <c r="HZB79" s="449"/>
      <c r="HZC79" s="450"/>
      <c r="HZD79" s="447"/>
      <c r="HZE79" s="451"/>
      <c r="HZF79" s="449"/>
      <c r="HZG79" s="450"/>
      <c r="HZH79" s="447"/>
      <c r="HZI79" s="451"/>
      <c r="HZJ79" s="449"/>
      <c r="HZK79" s="450"/>
      <c r="HZL79" s="447"/>
      <c r="HZM79" s="451"/>
      <c r="HZN79" s="449"/>
      <c r="HZO79" s="450"/>
      <c r="HZP79" s="452"/>
      <c r="HZQ79" s="451"/>
      <c r="HZR79" s="449"/>
      <c r="HZS79" s="450"/>
      <c r="HZT79" s="447"/>
      <c r="HZU79" s="448"/>
      <c r="HZV79" s="453"/>
      <c r="HZW79" s="449"/>
      <c r="HZX79" s="450"/>
      <c r="HZY79" s="454"/>
      <c r="HZZ79" s="448"/>
      <c r="IAB79" s="449"/>
      <c r="IAC79" s="450"/>
      <c r="IAD79" s="452"/>
      <c r="IAE79" s="448"/>
      <c r="IAG79" s="449"/>
      <c r="IAH79" s="450"/>
      <c r="IAI79" s="447"/>
      <c r="IAJ79" s="448"/>
      <c r="IAL79" s="449"/>
      <c r="IAM79" s="450"/>
      <c r="IAN79" s="452"/>
      <c r="IAO79" s="448"/>
      <c r="IAP79" s="449"/>
      <c r="IAQ79" s="450"/>
      <c r="IAR79" s="452"/>
      <c r="IAS79" s="448"/>
      <c r="IAT79" s="455"/>
      <c r="IAU79" s="449"/>
      <c r="IAV79" s="450"/>
      <c r="IAW79" s="459"/>
      <c r="IAX79" s="448"/>
      <c r="IAY79" s="456"/>
      <c r="IAZ79" s="449"/>
      <c r="IBA79" s="450"/>
      <c r="IBB79" s="452"/>
      <c r="IBC79" s="448"/>
      <c r="IBD79" s="449"/>
      <c r="IBE79" s="450"/>
      <c r="IBF79" s="452"/>
      <c r="IBG79" s="448"/>
      <c r="IBH79" s="449"/>
      <c r="IBI79" s="450"/>
      <c r="IBJ79" s="447"/>
      <c r="IBK79" s="448"/>
      <c r="IBL79" s="457"/>
      <c r="IBM79" s="460"/>
      <c r="IBN79" s="450"/>
      <c r="IBO79" s="461"/>
      <c r="IBP79" s="448"/>
      <c r="IBQ79" s="456"/>
      <c r="IBR79" s="449"/>
      <c r="IBS79" s="450"/>
      <c r="IBT79" s="452"/>
      <c r="IBU79" s="448"/>
      <c r="IBV79" s="456"/>
      <c r="IBW79" s="458"/>
      <c r="IBX79" s="458"/>
      <c r="IBZ79" s="454"/>
      <c r="ICA79" s="450"/>
      <c r="ICB79" s="454"/>
      <c r="ICC79" s="448"/>
      <c r="ICD79" s="449"/>
      <c r="ICE79" s="450"/>
      <c r="ICF79" s="447"/>
      <c r="ICG79" s="448"/>
      <c r="ICH79" s="449"/>
      <c r="ICI79" s="450"/>
      <c r="ICJ79" s="447"/>
      <c r="ICK79" s="451"/>
      <c r="ICL79" s="449"/>
      <c r="ICM79" s="450"/>
      <c r="ICN79" s="447"/>
      <c r="ICO79" s="451"/>
      <c r="ICP79" s="449"/>
      <c r="ICQ79" s="450"/>
      <c r="ICR79" s="447"/>
      <c r="ICS79" s="451"/>
      <c r="ICT79" s="449"/>
      <c r="ICU79" s="450"/>
      <c r="ICV79" s="452"/>
      <c r="ICW79" s="451"/>
      <c r="ICX79" s="449"/>
      <c r="ICY79" s="450"/>
      <c r="ICZ79" s="447"/>
      <c r="IDA79" s="448"/>
      <c r="IDB79" s="453"/>
      <c r="IDC79" s="449"/>
      <c r="IDD79" s="450"/>
      <c r="IDE79" s="454"/>
      <c r="IDF79" s="448"/>
      <c r="IDH79" s="449"/>
      <c r="IDI79" s="450"/>
      <c r="IDJ79" s="452"/>
      <c r="IDK79" s="448"/>
      <c r="IDM79" s="449"/>
      <c r="IDN79" s="450"/>
      <c r="IDO79" s="447"/>
      <c r="IDP79" s="448"/>
      <c r="IDR79" s="449"/>
      <c r="IDS79" s="450"/>
      <c r="IDT79" s="452"/>
      <c r="IDU79" s="448"/>
      <c r="IDV79" s="449"/>
      <c r="IDW79" s="450"/>
      <c r="IDX79" s="452"/>
      <c r="IDY79" s="448"/>
      <c r="IDZ79" s="455"/>
      <c r="IEA79" s="449"/>
      <c r="IEB79" s="450"/>
      <c r="IEC79" s="459"/>
      <c r="IED79" s="448"/>
      <c r="IEE79" s="456"/>
      <c r="IEF79" s="449"/>
      <c r="IEG79" s="450"/>
      <c r="IEH79" s="452"/>
      <c r="IEI79" s="448"/>
      <c r="IEJ79" s="449"/>
      <c r="IEK79" s="450"/>
      <c r="IEL79" s="452"/>
      <c r="IEM79" s="448"/>
      <c r="IEN79" s="449"/>
      <c r="IEO79" s="450"/>
      <c r="IEP79" s="447"/>
      <c r="IEQ79" s="448"/>
      <c r="IER79" s="457"/>
      <c r="IES79" s="460"/>
      <c r="IET79" s="450"/>
      <c r="IEU79" s="461"/>
      <c r="IEV79" s="448"/>
      <c r="IEW79" s="456"/>
      <c r="IEX79" s="449"/>
      <c r="IEY79" s="450"/>
      <c r="IEZ79" s="452"/>
      <c r="IFA79" s="448"/>
      <c r="IFB79" s="456"/>
      <c r="IFC79" s="458"/>
      <c r="IFD79" s="458"/>
      <c r="IFF79" s="454"/>
      <c r="IFG79" s="450"/>
      <c r="IFH79" s="454"/>
      <c r="IFI79" s="448"/>
      <c r="IFJ79" s="449"/>
      <c r="IFK79" s="450"/>
      <c r="IFL79" s="447"/>
      <c r="IFM79" s="448"/>
      <c r="IFN79" s="449"/>
      <c r="IFO79" s="450"/>
      <c r="IFP79" s="447"/>
      <c r="IFQ79" s="451"/>
      <c r="IFR79" s="449"/>
      <c r="IFS79" s="450"/>
      <c r="IFT79" s="447"/>
      <c r="IFU79" s="451"/>
      <c r="IFV79" s="449"/>
      <c r="IFW79" s="450"/>
      <c r="IFX79" s="447"/>
      <c r="IFY79" s="451"/>
      <c r="IFZ79" s="449"/>
      <c r="IGA79" s="450"/>
      <c r="IGB79" s="452"/>
      <c r="IGC79" s="451"/>
      <c r="IGD79" s="449"/>
      <c r="IGE79" s="450"/>
      <c r="IGF79" s="447"/>
      <c r="IGG79" s="448"/>
      <c r="IGH79" s="453"/>
      <c r="IGI79" s="449"/>
      <c r="IGJ79" s="450"/>
      <c r="IGK79" s="454"/>
      <c r="IGL79" s="448"/>
      <c r="IGN79" s="449"/>
      <c r="IGO79" s="450"/>
      <c r="IGP79" s="452"/>
      <c r="IGQ79" s="448"/>
      <c r="IGS79" s="449"/>
      <c r="IGT79" s="450"/>
      <c r="IGU79" s="447"/>
      <c r="IGV79" s="448"/>
      <c r="IGX79" s="449"/>
      <c r="IGY79" s="450"/>
      <c r="IGZ79" s="452"/>
      <c r="IHA79" s="448"/>
      <c r="IHB79" s="449"/>
      <c r="IHC79" s="450"/>
      <c r="IHD79" s="452"/>
      <c r="IHE79" s="448"/>
      <c r="IHF79" s="455"/>
      <c r="IHG79" s="449"/>
      <c r="IHH79" s="450"/>
      <c r="IHI79" s="459"/>
      <c r="IHJ79" s="448"/>
      <c r="IHK79" s="456"/>
      <c r="IHL79" s="449"/>
      <c r="IHM79" s="450"/>
      <c r="IHN79" s="452"/>
      <c r="IHO79" s="448"/>
      <c r="IHP79" s="449"/>
      <c r="IHQ79" s="450"/>
      <c r="IHR79" s="452"/>
      <c r="IHS79" s="448"/>
      <c r="IHT79" s="449"/>
      <c r="IHU79" s="450"/>
      <c r="IHV79" s="447"/>
      <c r="IHW79" s="448"/>
      <c r="IHX79" s="457"/>
      <c r="IHY79" s="460"/>
      <c r="IHZ79" s="450"/>
      <c r="IIA79" s="461"/>
      <c r="IIB79" s="448"/>
      <c r="IIC79" s="456"/>
      <c r="IID79" s="449"/>
      <c r="IIE79" s="450"/>
      <c r="IIF79" s="452"/>
      <c r="IIG79" s="448"/>
      <c r="IIH79" s="456"/>
      <c r="III79" s="458"/>
      <c r="IIJ79" s="458"/>
      <c r="IIL79" s="454"/>
      <c r="IIM79" s="450"/>
      <c r="IIN79" s="454"/>
      <c r="IIO79" s="448"/>
      <c r="IIP79" s="449"/>
      <c r="IIQ79" s="450"/>
      <c r="IIR79" s="447"/>
      <c r="IIS79" s="448"/>
      <c r="IIT79" s="449"/>
      <c r="IIU79" s="450"/>
      <c r="IIV79" s="447"/>
      <c r="IIW79" s="451"/>
      <c r="IIX79" s="449"/>
      <c r="IIY79" s="450"/>
      <c r="IIZ79" s="447"/>
      <c r="IJA79" s="451"/>
      <c r="IJB79" s="449"/>
      <c r="IJC79" s="450"/>
      <c r="IJD79" s="447"/>
      <c r="IJE79" s="451"/>
      <c r="IJF79" s="449"/>
      <c r="IJG79" s="450"/>
      <c r="IJH79" s="452"/>
      <c r="IJI79" s="451"/>
      <c r="IJJ79" s="449"/>
      <c r="IJK79" s="450"/>
      <c r="IJL79" s="447"/>
      <c r="IJM79" s="448"/>
      <c r="IJN79" s="453"/>
      <c r="IJO79" s="449"/>
      <c r="IJP79" s="450"/>
      <c r="IJQ79" s="454"/>
      <c r="IJR79" s="448"/>
      <c r="IJT79" s="449"/>
      <c r="IJU79" s="450"/>
      <c r="IJV79" s="452"/>
      <c r="IJW79" s="448"/>
      <c r="IJY79" s="449"/>
      <c r="IJZ79" s="450"/>
      <c r="IKA79" s="447"/>
      <c r="IKB79" s="448"/>
      <c r="IKD79" s="449"/>
      <c r="IKE79" s="450"/>
      <c r="IKF79" s="452"/>
      <c r="IKG79" s="448"/>
      <c r="IKH79" s="449"/>
      <c r="IKI79" s="450"/>
      <c r="IKJ79" s="452"/>
      <c r="IKK79" s="448"/>
      <c r="IKL79" s="455"/>
      <c r="IKM79" s="449"/>
      <c r="IKN79" s="450"/>
      <c r="IKO79" s="459"/>
      <c r="IKP79" s="448"/>
      <c r="IKQ79" s="456"/>
      <c r="IKR79" s="449"/>
      <c r="IKS79" s="450"/>
      <c r="IKT79" s="452"/>
      <c r="IKU79" s="448"/>
      <c r="IKV79" s="449"/>
      <c r="IKW79" s="450"/>
      <c r="IKX79" s="452"/>
      <c r="IKY79" s="448"/>
      <c r="IKZ79" s="449"/>
      <c r="ILA79" s="450"/>
      <c r="ILB79" s="447"/>
      <c r="ILC79" s="448"/>
      <c r="ILD79" s="457"/>
      <c r="ILE79" s="460"/>
      <c r="ILF79" s="450"/>
      <c r="ILG79" s="461"/>
      <c r="ILH79" s="448"/>
      <c r="ILI79" s="456"/>
      <c r="ILJ79" s="449"/>
      <c r="ILK79" s="450"/>
      <c r="ILL79" s="452"/>
      <c r="ILM79" s="448"/>
      <c r="ILN79" s="456"/>
      <c r="ILO79" s="458"/>
      <c r="ILP79" s="458"/>
      <c r="ILR79" s="454"/>
      <c r="ILS79" s="450"/>
      <c r="ILT79" s="454"/>
      <c r="ILU79" s="448"/>
      <c r="ILV79" s="449"/>
      <c r="ILW79" s="450"/>
      <c r="ILX79" s="447"/>
      <c r="ILY79" s="448"/>
      <c r="ILZ79" s="449"/>
      <c r="IMA79" s="450"/>
      <c r="IMB79" s="447"/>
      <c r="IMC79" s="451"/>
      <c r="IMD79" s="449"/>
      <c r="IME79" s="450"/>
      <c r="IMF79" s="447"/>
      <c r="IMG79" s="451"/>
      <c r="IMH79" s="449"/>
      <c r="IMI79" s="450"/>
      <c r="IMJ79" s="447"/>
      <c r="IMK79" s="451"/>
      <c r="IML79" s="449"/>
      <c r="IMM79" s="450"/>
      <c r="IMN79" s="452"/>
      <c r="IMO79" s="451"/>
      <c r="IMP79" s="449"/>
      <c r="IMQ79" s="450"/>
      <c r="IMR79" s="447"/>
      <c r="IMS79" s="448"/>
      <c r="IMT79" s="453"/>
      <c r="IMU79" s="449"/>
      <c r="IMV79" s="450"/>
      <c r="IMW79" s="454"/>
      <c r="IMX79" s="448"/>
      <c r="IMZ79" s="449"/>
      <c r="INA79" s="450"/>
      <c r="INB79" s="452"/>
      <c r="INC79" s="448"/>
      <c r="INE79" s="449"/>
      <c r="INF79" s="450"/>
      <c r="ING79" s="447"/>
      <c r="INH79" s="448"/>
      <c r="INJ79" s="449"/>
      <c r="INK79" s="450"/>
      <c r="INL79" s="452"/>
      <c r="INM79" s="448"/>
      <c r="INN79" s="449"/>
      <c r="INO79" s="450"/>
      <c r="INP79" s="452"/>
      <c r="INQ79" s="448"/>
      <c r="INR79" s="455"/>
      <c r="INS79" s="449"/>
      <c r="INT79" s="450"/>
      <c r="INU79" s="459"/>
      <c r="INV79" s="448"/>
      <c r="INW79" s="456"/>
      <c r="INX79" s="449"/>
      <c r="INY79" s="450"/>
      <c r="INZ79" s="452"/>
      <c r="IOA79" s="448"/>
      <c r="IOB79" s="449"/>
      <c r="IOC79" s="450"/>
      <c r="IOD79" s="452"/>
      <c r="IOE79" s="448"/>
      <c r="IOF79" s="449"/>
      <c r="IOG79" s="450"/>
      <c r="IOH79" s="447"/>
      <c r="IOI79" s="448"/>
      <c r="IOJ79" s="457"/>
      <c r="IOK79" s="460"/>
      <c r="IOL79" s="450"/>
      <c r="IOM79" s="461"/>
      <c r="ION79" s="448"/>
      <c r="IOO79" s="456"/>
      <c r="IOP79" s="449"/>
      <c r="IOQ79" s="450"/>
      <c r="IOR79" s="452"/>
      <c r="IOS79" s="448"/>
      <c r="IOT79" s="456"/>
      <c r="IOU79" s="458"/>
      <c r="IOV79" s="458"/>
      <c r="IOX79" s="454"/>
      <c r="IOY79" s="450"/>
      <c r="IOZ79" s="454"/>
      <c r="IPA79" s="448"/>
      <c r="IPB79" s="449"/>
      <c r="IPC79" s="450"/>
      <c r="IPD79" s="447"/>
      <c r="IPE79" s="448"/>
      <c r="IPF79" s="449"/>
      <c r="IPG79" s="450"/>
      <c r="IPH79" s="447"/>
      <c r="IPI79" s="451"/>
      <c r="IPJ79" s="449"/>
      <c r="IPK79" s="450"/>
      <c r="IPL79" s="447"/>
      <c r="IPM79" s="451"/>
      <c r="IPN79" s="449"/>
      <c r="IPO79" s="450"/>
      <c r="IPP79" s="447"/>
      <c r="IPQ79" s="451"/>
      <c r="IPR79" s="449"/>
      <c r="IPS79" s="450"/>
      <c r="IPT79" s="452"/>
      <c r="IPU79" s="451"/>
      <c r="IPV79" s="449"/>
      <c r="IPW79" s="450"/>
      <c r="IPX79" s="447"/>
      <c r="IPY79" s="448"/>
      <c r="IPZ79" s="453"/>
      <c r="IQA79" s="449"/>
      <c r="IQB79" s="450"/>
      <c r="IQC79" s="454"/>
      <c r="IQD79" s="448"/>
      <c r="IQF79" s="449"/>
      <c r="IQG79" s="450"/>
      <c r="IQH79" s="452"/>
      <c r="IQI79" s="448"/>
      <c r="IQK79" s="449"/>
      <c r="IQL79" s="450"/>
      <c r="IQM79" s="447"/>
      <c r="IQN79" s="448"/>
      <c r="IQP79" s="449"/>
      <c r="IQQ79" s="450"/>
      <c r="IQR79" s="452"/>
      <c r="IQS79" s="448"/>
      <c r="IQT79" s="449"/>
      <c r="IQU79" s="450"/>
      <c r="IQV79" s="452"/>
      <c r="IQW79" s="448"/>
      <c r="IQX79" s="455"/>
      <c r="IQY79" s="449"/>
      <c r="IQZ79" s="450"/>
      <c r="IRA79" s="459"/>
      <c r="IRB79" s="448"/>
      <c r="IRC79" s="456"/>
      <c r="IRD79" s="449"/>
      <c r="IRE79" s="450"/>
      <c r="IRF79" s="452"/>
      <c r="IRG79" s="448"/>
      <c r="IRH79" s="449"/>
      <c r="IRI79" s="450"/>
      <c r="IRJ79" s="452"/>
      <c r="IRK79" s="448"/>
      <c r="IRL79" s="449"/>
      <c r="IRM79" s="450"/>
      <c r="IRN79" s="447"/>
      <c r="IRO79" s="448"/>
      <c r="IRP79" s="457"/>
      <c r="IRQ79" s="460"/>
      <c r="IRR79" s="450"/>
      <c r="IRS79" s="461"/>
      <c r="IRT79" s="448"/>
      <c r="IRU79" s="456"/>
      <c r="IRV79" s="449"/>
      <c r="IRW79" s="450"/>
      <c r="IRX79" s="452"/>
      <c r="IRY79" s="448"/>
      <c r="IRZ79" s="456"/>
      <c r="ISA79" s="458"/>
      <c r="ISB79" s="458"/>
      <c r="ISD79" s="454"/>
      <c r="ISE79" s="450"/>
      <c r="ISF79" s="454"/>
      <c r="ISG79" s="448"/>
      <c r="ISH79" s="449"/>
      <c r="ISI79" s="450"/>
      <c r="ISJ79" s="447"/>
      <c r="ISK79" s="448"/>
      <c r="ISL79" s="449"/>
      <c r="ISM79" s="450"/>
      <c r="ISN79" s="447"/>
      <c r="ISO79" s="451"/>
      <c r="ISP79" s="449"/>
      <c r="ISQ79" s="450"/>
      <c r="ISR79" s="447"/>
      <c r="ISS79" s="451"/>
      <c r="IST79" s="449"/>
      <c r="ISU79" s="450"/>
      <c r="ISV79" s="447"/>
      <c r="ISW79" s="451"/>
      <c r="ISX79" s="449"/>
      <c r="ISY79" s="450"/>
      <c r="ISZ79" s="452"/>
      <c r="ITA79" s="451"/>
      <c r="ITB79" s="449"/>
      <c r="ITC79" s="450"/>
      <c r="ITD79" s="447"/>
      <c r="ITE79" s="448"/>
      <c r="ITF79" s="453"/>
      <c r="ITG79" s="449"/>
      <c r="ITH79" s="450"/>
      <c r="ITI79" s="454"/>
      <c r="ITJ79" s="448"/>
      <c r="ITL79" s="449"/>
      <c r="ITM79" s="450"/>
      <c r="ITN79" s="452"/>
      <c r="ITO79" s="448"/>
      <c r="ITQ79" s="449"/>
      <c r="ITR79" s="450"/>
      <c r="ITS79" s="447"/>
      <c r="ITT79" s="448"/>
      <c r="ITV79" s="449"/>
      <c r="ITW79" s="450"/>
      <c r="ITX79" s="452"/>
      <c r="ITY79" s="448"/>
      <c r="ITZ79" s="449"/>
      <c r="IUA79" s="450"/>
      <c r="IUB79" s="452"/>
      <c r="IUC79" s="448"/>
      <c r="IUD79" s="455"/>
      <c r="IUE79" s="449"/>
      <c r="IUF79" s="450"/>
      <c r="IUG79" s="459"/>
      <c r="IUH79" s="448"/>
      <c r="IUI79" s="456"/>
      <c r="IUJ79" s="449"/>
      <c r="IUK79" s="450"/>
      <c r="IUL79" s="452"/>
      <c r="IUM79" s="448"/>
      <c r="IUN79" s="449"/>
      <c r="IUO79" s="450"/>
      <c r="IUP79" s="452"/>
      <c r="IUQ79" s="448"/>
      <c r="IUR79" s="449"/>
      <c r="IUS79" s="450"/>
      <c r="IUT79" s="447"/>
      <c r="IUU79" s="448"/>
      <c r="IUV79" s="457"/>
      <c r="IUW79" s="460"/>
      <c r="IUX79" s="450"/>
      <c r="IUY79" s="461"/>
      <c r="IUZ79" s="448"/>
      <c r="IVA79" s="456"/>
      <c r="IVB79" s="449"/>
      <c r="IVC79" s="450"/>
      <c r="IVD79" s="452"/>
      <c r="IVE79" s="448"/>
      <c r="IVF79" s="456"/>
      <c r="IVG79" s="458"/>
      <c r="IVH79" s="458"/>
      <c r="IVJ79" s="454"/>
      <c r="IVK79" s="450"/>
      <c r="IVL79" s="454"/>
      <c r="IVM79" s="448"/>
      <c r="IVN79" s="449"/>
      <c r="IVO79" s="450"/>
      <c r="IVP79" s="447"/>
      <c r="IVQ79" s="448"/>
      <c r="IVR79" s="449"/>
      <c r="IVS79" s="450"/>
      <c r="IVT79" s="447"/>
      <c r="IVU79" s="451"/>
      <c r="IVV79" s="449"/>
      <c r="IVW79" s="450"/>
      <c r="IVX79" s="447"/>
      <c r="IVY79" s="451"/>
      <c r="IVZ79" s="449"/>
      <c r="IWA79" s="450"/>
      <c r="IWB79" s="447"/>
      <c r="IWC79" s="451"/>
      <c r="IWD79" s="449"/>
      <c r="IWE79" s="450"/>
      <c r="IWF79" s="452"/>
      <c r="IWG79" s="451"/>
      <c r="IWH79" s="449"/>
      <c r="IWI79" s="450"/>
      <c r="IWJ79" s="447"/>
      <c r="IWK79" s="448"/>
      <c r="IWL79" s="453"/>
      <c r="IWM79" s="449"/>
      <c r="IWN79" s="450"/>
      <c r="IWO79" s="454"/>
      <c r="IWP79" s="448"/>
      <c r="IWR79" s="449"/>
      <c r="IWS79" s="450"/>
      <c r="IWT79" s="452"/>
      <c r="IWU79" s="448"/>
      <c r="IWW79" s="449"/>
      <c r="IWX79" s="450"/>
      <c r="IWY79" s="447"/>
      <c r="IWZ79" s="448"/>
      <c r="IXB79" s="449"/>
      <c r="IXC79" s="450"/>
      <c r="IXD79" s="452"/>
      <c r="IXE79" s="448"/>
      <c r="IXF79" s="449"/>
      <c r="IXG79" s="450"/>
      <c r="IXH79" s="452"/>
      <c r="IXI79" s="448"/>
      <c r="IXJ79" s="455"/>
      <c r="IXK79" s="449"/>
      <c r="IXL79" s="450"/>
      <c r="IXM79" s="459"/>
      <c r="IXN79" s="448"/>
      <c r="IXO79" s="456"/>
      <c r="IXP79" s="449"/>
      <c r="IXQ79" s="450"/>
      <c r="IXR79" s="452"/>
      <c r="IXS79" s="448"/>
      <c r="IXT79" s="449"/>
      <c r="IXU79" s="450"/>
      <c r="IXV79" s="452"/>
      <c r="IXW79" s="448"/>
      <c r="IXX79" s="449"/>
      <c r="IXY79" s="450"/>
      <c r="IXZ79" s="447"/>
      <c r="IYA79" s="448"/>
      <c r="IYB79" s="457"/>
      <c r="IYC79" s="460"/>
      <c r="IYD79" s="450"/>
      <c r="IYE79" s="461"/>
      <c r="IYF79" s="448"/>
      <c r="IYG79" s="456"/>
      <c r="IYH79" s="449"/>
      <c r="IYI79" s="450"/>
      <c r="IYJ79" s="452"/>
      <c r="IYK79" s="448"/>
      <c r="IYL79" s="456"/>
      <c r="IYM79" s="458"/>
      <c r="IYN79" s="458"/>
      <c r="IYP79" s="454"/>
      <c r="IYQ79" s="450"/>
      <c r="IYR79" s="454"/>
      <c r="IYS79" s="448"/>
      <c r="IYT79" s="449"/>
      <c r="IYU79" s="450"/>
      <c r="IYV79" s="447"/>
      <c r="IYW79" s="448"/>
      <c r="IYX79" s="449"/>
      <c r="IYY79" s="450"/>
      <c r="IYZ79" s="447"/>
      <c r="IZA79" s="451"/>
      <c r="IZB79" s="449"/>
      <c r="IZC79" s="450"/>
      <c r="IZD79" s="447"/>
      <c r="IZE79" s="451"/>
      <c r="IZF79" s="449"/>
      <c r="IZG79" s="450"/>
      <c r="IZH79" s="447"/>
      <c r="IZI79" s="451"/>
      <c r="IZJ79" s="449"/>
      <c r="IZK79" s="450"/>
      <c r="IZL79" s="452"/>
      <c r="IZM79" s="451"/>
      <c r="IZN79" s="449"/>
      <c r="IZO79" s="450"/>
      <c r="IZP79" s="447"/>
      <c r="IZQ79" s="448"/>
      <c r="IZR79" s="453"/>
      <c r="IZS79" s="449"/>
      <c r="IZT79" s="450"/>
      <c r="IZU79" s="454"/>
      <c r="IZV79" s="448"/>
      <c r="IZX79" s="449"/>
      <c r="IZY79" s="450"/>
      <c r="IZZ79" s="452"/>
      <c r="JAA79" s="448"/>
      <c r="JAC79" s="449"/>
      <c r="JAD79" s="450"/>
      <c r="JAE79" s="447"/>
      <c r="JAF79" s="448"/>
      <c r="JAH79" s="449"/>
      <c r="JAI79" s="450"/>
      <c r="JAJ79" s="452"/>
      <c r="JAK79" s="448"/>
      <c r="JAL79" s="449"/>
      <c r="JAM79" s="450"/>
      <c r="JAN79" s="452"/>
      <c r="JAO79" s="448"/>
      <c r="JAP79" s="455"/>
      <c r="JAQ79" s="449"/>
      <c r="JAR79" s="450"/>
      <c r="JAS79" s="459"/>
      <c r="JAT79" s="448"/>
      <c r="JAU79" s="456"/>
      <c r="JAV79" s="449"/>
      <c r="JAW79" s="450"/>
      <c r="JAX79" s="452"/>
      <c r="JAY79" s="448"/>
      <c r="JAZ79" s="449"/>
      <c r="JBA79" s="450"/>
      <c r="JBB79" s="452"/>
      <c r="JBC79" s="448"/>
      <c r="JBD79" s="449"/>
      <c r="JBE79" s="450"/>
      <c r="JBF79" s="447"/>
      <c r="JBG79" s="448"/>
      <c r="JBH79" s="457"/>
      <c r="JBI79" s="460"/>
      <c r="JBJ79" s="450"/>
      <c r="JBK79" s="461"/>
      <c r="JBL79" s="448"/>
      <c r="JBM79" s="456"/>
      <c r="JBN79" s="449"/>
      <c r="JBO79" s="450"/>
      <c r="JBP79" s="452"/>
      <c r="JBQ79" s="448"/>
      <c r="JBR79" s="456"/>
      <c r="JBS79" s="458"/>
      <c r="JBT79" s="458"/>
      <c r="JBV79" s="454"/>
      <c r="JBW79" s="450"/>
      <c r="JBX79" s="454"/>
      <c r="JBY79" s="448"/>
      <c r="JBZ79" s="449"/>
      <c r="JCA79" s="450"/>
      <c r="JCB79" s="447"/>
      <c r="JCC79" s="448"/>
      <c r="JCD79" s="449"/>
      <c r="JCE79" s="450"/>
      <c r="JCF79" s="447"/>
      <c r="JCG79" s="451"/>
      <c r="JCH79" s="449"/>
      <c r="JCI79" s="450"/>
      <c r="JCJ79" s="447"/>
      <c r="JCK79" s="451"/>
      <c r="JCL79" s="449"/>
      <c r="JCM79" s="450"/>
      <c r="JCN79" s="447"/>
      <c r="JCO79" s="451"/>
      <c r="JCP79" s="449"/>
      <c r="JCQ79" s="450"/>
      <c r="JCR79" s="452"/>
      <c r="JCS79" s="451"/>
      <c r="JCT79" s="449"/>
      <c r="JCU79" s="450"/>
      <c r="JCV79" s="447"/>
      <c r="JCW79" s="448"/>
      <c r="JCX79" s="453"/>
      <c r="JCY79" s="449"/>
      <c r="JCZ79" s="450"/>
      <c r="JDA79" s="454"/>
      <c r="JDB79" s="448"/>
      <c r="JDD79" s="449"/>
      <c r="JDE79" s="450"/>
      <c r="JDF79" s="452"/>
      <c r="JDG79" s="448"/>
      <c r="JDI79" s="449"/>
      <c r="JDJ79" s="450"/>
      <c r="JDK79" s="447"/>
      <c r="JDL79" s="448"/>
      <c r="JDN79" s="449"/>
      <c r="JDO79" s="450"/>
      <c r="JDP79" s="452"/>
      <c r="JDQ79" s="448"/>
      <c r="JDR79" s="449"/>
      <c r="JDS79" s="450"/>
      <c r="JDT79" s="452"/>
      <c r="JDU79" s="448"/>
      <c r="JDV79" s="455"/>
      <c r="JDW79" s="449"/>
      <c r="JDX79" s="450"/>
      <c r="JDY79" s="459"/>
      <c r="JDZ79" s="448"/>
      <c r="JEA79" s="456"/>
      <c r="JEB79" s="449"/>
      <c r="JEC79" s="450"/>
      <c r="JED79" s="452"/>
      <c r="JEE79" s="448"/>
      <c r="JEF79" s="449"/>
      <c r="JEG79" s="450"/>
      <c r="JEH79" s="452"/>
      <c r="JEI79" s="448"/>
      <c r="JEJ79" s="449"/>
      <c r="JEK79" s="450"/>
      <c r="JEL79" s="447"/>
      <c r="JEM79" s="448"/>
      <c r="JEN79" s="457"/>
      <c r="JEO79" s="460"/>
      <c r="JEP79" s="450"/>
      <c r="JEQ79" s="461"/>
      <c r="JER79" s="448"/>
      <c r="JES79" s="456"/>
      <c r="JET79" s="449"/>
      <c r="JEU79" s="450"/>
      <c r="JEV79" s="452"/>
      <c r="JEW79" s="448"/>
      <c r="JEX79" s="456"/>
      <c r="JEY79" s="458"/>
      <c r="JEZ79" s="458"/>
      <c r="JFB79" s="454"/>
      <c r="JFC79" s="450"/>
      <c r="JFD79" s="454"/>
      <c r="JFE79" s="448"/>
      <c r="JFF79" s="449"/>
      <c r="JFG79" s="450"/>
      <c r="JFH79" s="447"/>
      <c r="JFI79" s="448"/>
      <c r="JFJ79" s="449"/>
      <c r="JFK79" s="450"/>
      <c r="JFL79" s="447"/>
      <c r="JFM79" s="451"/>
      <c r="JFN79" s="449"/>
      <c r="JFO79" s="450"/>
      <c r="JFP79" s="447"/>
      <c r="JFQ79" s="451"/>
      <c r="JFR79" s="449"/>
      <c r="JFS79" s="450"/>
      <c r="JFT79" s="447"/>
      <c r="JFU79" s="451"/>
      <c r="JFV79" s="449"/>
      <c r="JFW79" s="450"/>
      <c r="JFX79" s="452"/>
      <c r="JFY79" s="451"/>
      <c r="JFZ79" s="449"/>
      <c r="JGA79" s="450"/>
      <c r="JGB79" s="447"/>
      <c r="JGC79" s="448"/>
      <c r="JGD79" s="453"/>
      <c r="JGE79" s="449"/>
      <c r="JGF79" s="450"/>
      <c r="JGG79" s="454"/>
      <c r="JGH79" s="448"/>
      <c r="JGJ79" s="449"/>
      <c r="JGK79" s="450"/>
      <c r="JGL79" s="452"/>
      <c r="JGM79" s="448"/>
      <c r="JGO79" s="449"/>
      <c r="JGP79" s="450"/>
      <c r="JGQ79" s="447"/>
      <c r="JGR79" s="448"/>
      <c r="JGT79" s="449"/>
      <c r="JGU79" s="450"/>
      <c r="JGV79" s="452"/>
      <c r="JGW79" s="448"/>
      <c r="JGX79" s="449"/>
      <c r="JGY79" s="450"/>
      <c r="JGZ79" s="452"/>
      <c r="JHA79" s="448"/>
      <c r="JHB79" s="455"/>
      <c r="JHC79" s="449"/>
      <c r="JHD79" s="450"/>
      <c r="JHE79" s="459"/>
      <c r="JHF79" s="448"/>
      <c r="JHG79" s="456"/>
      <c r="JHH79" s="449"/>
      <c r="JHI79" s="450"/>
      <c r="JHJ79" s="452"/>
      <c r="JHK79" s="448"/>
      <c r="JHL79" s="449"/>
      <c r="JHM79" s="450"/>
      <c r="JHN79" s="452"/>
      <c r="JHO79" s="448"/>
      <c r="JHP79" s="449"/>
      <c r="JHQ79" s="450"/>
      <c r="JHR79" s="447"/>
      <c r="JHS79" s="448"/>
      <c r="JHT79" s="457"/>
      <c r="JHU79" s="460"/>
      <c r="JHV79" s="450"/>
      <c r="JHW79" s="461"/>
      <c r="JHX79" s="448"/>
      <c r="JHY79" s="456"/>
      <c r="JHZ79" s="449"/>
      <c r="JIA79" s="450"/>
      <c r="JIB79" s="452"/>
      <c r="JIC79" s="448"/>
      <c r="JID79" s="456"/>
      <c r="JIE79" s="458"/>
      <c r="JIF79" s="458"/>
      <c r="JIH79" s="454"/>
      <c r="JII79" s="450"/>
      <c r="JIJ79" s="454"/>
      <c r="JIK79" s="448"/>
      <c r="JIL79" s="449"/>
      <c r="JIM79" s="450"/>
      <c r="JIN79" s="447"/>
      <c r="JIO79" s="448"/>
      <c r="JIP79" s="449"/>
      <c r="JIQ79" s="450"/>
      <c r="JIR79" s="447"/>
      <c r="JIS79" s="451"/>
      <c r="JIT79" s="449"/>
      <c r="JIU79" s="450"/>
      <c r="JIV79" s="447"/>
      <c r="JIW79" s="451"/>
      <c r="JIX79" s="449"/>
      <c r="JIY79" s="450"/>
      <c r="JIZ79" s="447"/>
      <c r="JJA79" s="451"/>
      <c r="JJB79" s="449"/>
      <c r="JJC79" s="450"/>
      <c r="JJD79" s="452"/>
      <c r="JJE79" s="451"/>
      <c r="JJF79" s="449"/>
      <c r="JJG79" s="450"/>
      <c r="JJH79" s="447"/>
      <c r="JJI79" s="448"/>
      <c r="JJJ79" s="453"/>
      <c r="JJK79" s="449"/>
      <c r="JJL79" s="450"/>
      <c r="JJM79" s="454"/>
      <c r="JJN79" s="448"/>
      <c r="JJP79" s="449"/>
      <c r="JJQ79" s="450"/>
      <c r="JJR79" s="452"/>
      <c r="JJS79" s="448"/>
      <c r="JJU79" s="449"/>
      <c r="JJV79" s="450"/>
      <c r="JJW79" s="447"/>
      <c r="JJX79" s="448"/>
      <c r="JJZ79" s="449"/>
      <c r="JKA79" s="450"/>
      <c r="JKB79" s="452"/>
      <c r="JKC79" s="448"/>
      <c r="JKD79" s="449"/>
      <c r="JKE79" s="450"/>
      <c r="JKF79" s="452"/>
      <c r="JKG79" s="448"/>
      <c r="JKH79" s="455"/>
      <c r="JKI79" s="449"/>
      <c r="JKJ79" s="450"/>
      <c r="JKK79" s="459"/>
      <c r="JKL79" s="448"/>
      <c r="JKM79" s="456"/>
      <c r="JKN79" s="449"/>
      <c r="JKO79" s="450"/>
      <c r="JKP79" s="452"/>
      <c r="JKQ79" s="448"/>
      <c r="JKR79" s="449"/>
      <c r="JKS79" s="450"/>
      <c r="JKT79" s="452"/>
      <c r="JKU79" s="448"/>
      <c r="JKV79" s="449"/>
      <c r="JKW79" s="450"/>
      <c r="JKX79" s="447"/>
      <c r="JKY79" s="448"/>
      <c r="JKZ79" s="457"/>
      <c r="JLA79" s="460"/>
      <c r="JLB79" s="450"/>
      <c r="JLC79" s="461"/>
      <c r="JLD79" s="448"/>
      <c r="JLE79" s="456"/>
      <c r="JLF79" s="449"/>
      <c r="JLG79" s="450"/>
      <c r="JLH79" s="452"/>
      <c r="JLI79" s="448"/>
      <c r="JLJ79" s="456"/>
      <c r="JLK79" s="458"/>
      <c r="JLL79" s="458"/>
      <c r="JLN79" s="454"/>
      <c r="JLO79" s="450"/>
      <c r="JLP79" s="454"/>
      <c r="JLQ79" s="448"/>
      <c r="JLR79" s="449"/>
      <c r="JLS79" s="450"/>
      <c r="JLT79" s="447"/>
      <c r="JLU79" s="448"/>
      <c r="JLV79" s="449"/>
      <c r="JLW79" s="450"/>
      <c r="JLX79" s="447"/>
      <c r="JLY79" s="451"/>
      <c r="JLZ79" s="449"/>
      <c r="JMA79" s="450"/>
      <c r="JMB79" s="447"/>
      <c r="JMC79" s="451"/>
      <c r="JMD79" s="449"/>
      <c r="JME79" s="450"/>
      <c r="JMF79" s="447"/>
      <c r="JMG79" s="451"/>
      <c r="JMH79" s="449"/>
      <c r="JMI79" s="450"/>
      <c r="JMJ79" s="452"/>
      <c r="JMK79" s="451"/>
      <c r="JML79" s="449"/>
      <c r="JMM79" s="450"/>
      <c r="JMN79" s="447"/>
      <c r="JMO79" s="448"/>
      <c r="JMP79" s="453"/>
      <c r="JMQ79" s="449"/>
      <c r="JMR79" s="450"/>
      <c r="JMS79" s="454"/>
      <c r="JMT79" s="448"/>
      <c r="JMV79" s="449"/>
      <c r="JMW79" s="450"/>
      <c r="JMX79" s="452"/>
      <c r="JMY79" s="448"/>
      <c r="JNA79" s="449"/>
      <c r="JNB79" s="450"/>
      <c r="JNC79" s="447"/>
      <c r="JND79" s="448"/>
      <c r="JNF79" s="449"/>
      <c r="JNG79" s="450"/>
      <c r="JNH79" s="452"/>
      <c r="JNI79" s="448"/>
      <c r="JNJ79" s="449"/>
      <c r="JNK79" s="450"/>
      <c r="JNL79" s="452"/>
      <c r="JNM79" s="448"/>
      <c r="JNN79" s="455"/>
      <c r="JNO79" s="449"/>
      <c r="JNP79" s="450"/>
      <c r="JNQ79" s="459"/>
      <c r="JNR79" s="448"/>
      <c r="JNS79" s="456"/>
      <c r="JNT79" s="449"/>
      <c r="JNU79" s="450"/>
      <c r="JNV79" s="452"/>
      <c r="JNW79" s="448"/>
      <c r="JNX79" s="449"/>
      <c r="JNY79" s="450"/>
      <c r="JNZ79" s="452"/>
      <c r="JOA79" s="448"/>
      <c r="JOB79" s="449"/>
      <c r="JOC79" s="450"/>
      <c r="JOD79" s="447"/>
      <c r="JOE79" s="448"/>
      <c r="JOF79" s="457"/>
      <c r="JOG79" s="460"/>
      <c r="JOH79" s="450"/>
      <c r="JOI79" s="461"/>
      <c r="JOJ79" s="448"/>
      <c r="JOK79" s="456"/>
      <c r="JOL79" s="449"/>
      <c r="JOM79" s="450"/>
      <c r="JON79" s="452"/>
      <c r="JOO79" s="448"/>
      <c r="JOP79" s="456"/>
      <c r="JOQ79" s="458"/>
      <c r="JOR79" s="458"/>
      <c r="JOT79" s="454"/>
      <c r="JOU79" s="450"/>
      <c r="JOV79" s="454"/>
      <c r="JOW79" s="448"/>
      <c r="JOX79" s="449"/>
      <c r="JOY79" s="450"/>
      <c r="JOZ79" s="447"/>
      <c r="JPA79" s="448"/>
      <c r="JPB79" s="449"/>
      <c r="JPC79" s="450"/>
      <c r="JPD79" s="447"/>
      <c r="JPE79" s="451"/>
      <c r="JPF79" s="449"/>
      <c r="JPG79" s="450"/>
      <c r="JPH79" s="447"/>
      <c r="JPI79" s="451"/>
      <c r="JPJ79" s="449"/>
      <c r="JPK79" s="450"/>
      <c r="JPL79" s="447"/>
      <c r="JPM79" s="451"/>
      <c r="JPN79" s="449"/>
      <c r="JPO79" s="450"/>
      <c r="JPP79" s="452"/>
      <c r="JPQ79" s="451"/>
      <c r="JPR79" s="449"/>
      <c r="JPS79" s="450"/>
      <c r="JPT79" s="447"/>
      <c r="JPU79" s="448"/>
      <c r="JPV79" s="453"/>
      <c r="JPW79" s="449"/>
      <c r="JPX79" s="450"/>
      <c r="JPY79" s="454"/>
      <c r="JPZ79" s="448"/>
      <c r="JQB79" s="449"/>
      <c r="JQC79" s="450"/>
      <c r="JQD79" s="452"/>
      <c r="JQE79" s="448"/>
      <c r="JQG79" s="449"/>
      <c r="JQH79" s="450"/>
      <c r="JQI79" s="447"/>
      <c r="JQJ79" s="448"/>
      <c r="JQL79" s="449"/>
      <c r="JQM79" s="450"/>
      <c r="JQN79" s="452"/>
      <c r="JQO79" s="448"/>
      <c r="JQP79" s="449"/>
      <c r="JQQ79" s="450"/>
      <c r="JQR79" s="452"/>
      <c r="JQS79" s="448"/>
      <c r="JQT79" s="455"/>
      <c r="JQU79" s="449"/>
      <c r="JQV79" s="450"/>
      <c r="JQW79" s="459"/>
      <c r="JQX79" s="448"/>
      <c r="JQY79" s="456"/>
      <c r="JQZ79" s="449"/>
      <c r="JRA79" s="450"/>
      <c r="JRB79" s="452"/>
      <c r="JRC79" s="448"/>
      <c r="JRD79" s="449"/>
      <c r="JRE79" s="450"/>
      <c r="JRF79" s="452"/>
      <c r="JRG79" s="448"/>
      <c r="JRH79" s="449"/>
      <c r="JRI79" s="450"/>
      <c r="JRJ79" s="447"/>
      <c r="JRK79" s="448"/>
      <c r="JRL79" s="457"/>
      <c r="JRM79" s="460"/>
      <c r="JRN79" s="450"/>
      <c r="JRO79" s="461"/>
      <c r="JRP79" s="448"/>
      <c r="JRQ79" s="456"/>
      <c r="JRR79" s="449"/>
      <c r="JRS79" s="450"/>
      <c r="JRT79" s="452"/>
      <c r="JRU79" s="448"/>
      <c r="JRV79" s="456"/>
      <c r="JRW79" s="458"/>
      <c r="JRX79" s="458"/>
      <c r="JRZ79" s="454"/>
      <c r="JSA79" s="450"/>
      <c r="JSB79" s="454"/>
      <c r="JSC79" s="448"/>
      <c r="JSD79" s="449"/>
      <c r="JSE79" s="450"/>
      <c r="JSF79" s="447"/>
      <c r="JSG79" s="448"/>
      <c r="JSH79" s="449"/>
      <c r="JSI79" s="450"/>
      <c r="JSJ79" s="447"/>
      <c r="JSK79" s="451"/>
      <c r="JSL79" s="449"/>
      <c r="JSM79" s="450"/>
      <c r="JSN79" s="447"/>
      <c r="JSO79" s="451"/>
      <c r="JSP79" s="449"/>
      <c r="JSQ79" s="450"/>
      <c r="JSR79" s="447"/>
      <c r="JSS79" s="451"/>
      <c r="JST79" s="449"/>
      <c r="JSU79" s="450"/>
      <c r="JSV79" s="452"/>
      <c r="JSW79" s="451"/>
      <c r="JSX79" s="449"/>
      <c r="JSY79" s="450"/>
      <c r="JSZ79" s="447"/>
      <c r="JTA79" s="448"/>
      <c r="JTB79" s="453"/>
      <c r="JTC79" s="449"/>
      <c r="JTD79" s="450"/>
      <c r="JTE79" s="454"/>
      <c r="JTF79" s="448"/>
      <c r="JTH79" s="449"/>
      <c r="JTI79" s="450"/>
      <c r="JTJ79" s="452"/>
      <c r="JTK79" s="448"/>
      <c r="JTM79" s="449"/>
      <c r="JTN79" s="450"/>
      <c r="JTO79" s="447"/>
      <c r="JTP79" s="448"/>
      <c r="JTR79" s="449"/>
      <c r="JTS79" s="450"/>
      <c r="JTT79" s="452"/>
      <c r="JTU79" s="448"/>
      <c r="JTV79" s="449"/>
      <c r="JTW79" s="450"/>
      <c r="JTX79" s="452"/>
      <c r="JTY79" s="448"/>
      <c r="JTZ79" s="455"/>
      <c r="JUA79" s="449"/>
      <c r="JUB79" s="450"/>
      <c r="JUC79" s="459"/>
      <c r="JUD79" s="448"/>
      <c r="JUE79" s="456"/>
      <c r="JUF79" s="449"/>
      <c r="JUG79" s="450"/>
      <c r="JUH79" s="452"/>
      <c r="JUI79" s="448"/>
      <c r="JUJ79" s="449"/>
      <c r="JUK79" s="450"/>
      <c r="JUL79" s="452"/>
      <c r="JUM79" s="448"/>
      <c r="JUN79" s="449"/>
      <c r="JUO79" s="450"/>
      <c r="JUP79" s="447"/>
      <c r="JUQ79" s="448"/>
      <c r="JUR79" s="457"/>
      <c r="JUS79" s="460"/>
      <c r="JUT79" s="450"/>
      <c r="JUU79" s="461"/>
      <c r="JUV79" s="448"/>
      <c r="JUW79" s="456"/>
      <c r="JUX79" s="449"/>
      <c r="JUY79" s="450"/>
      <c r="JUZ79" s="452"/>
      <c r="JVA79" s="448"/>
      <c r="JVB79" s="456"/>
      <c r="JVC79" s="458"/>
      <c r="JVD79" s="458"/>
      <c r="JVF79" s="454"/>
      <c r="JVG79" s="450"/>
      <c r="JVH79" s="454"/>
      <c r="JVI79" s="448"/>
      <c r="JVJ79" s="449"/>
      <c r="JVK79" s="450"/>
      <c r="JVL79" s="447"/>
      <c r="JVM79" s="448"/>
      <c r="JVN79" s="449"/>
      <c r="JVO79" s="450"/>
      <c r="JVP79" s="447"/>
      <c r="JVQ79" s="451"/>
      <c r="JVR79" s="449"/>
      <c r="JVS79" s="450"/>
      <c r="JVT79" s="447"/>
      <c r="JVU79" s="451"/>
      <c r="JVV79" s="449"/>
      <c r="JVW79" s="450"/>
      <c r="JVX79" s="447"/>
      <c r="JVY79" s="451"/>
      <c r="JVZ79" s="449"/>
      <c r="JWA79" s="450"/>
      <c r="JWB79" s="452"/>
      <c r="JWC79" s="451"/>
      <c r="JWD79" s="449"/>
      <c r="JWE79" s="450"/>
      <c r="JWF79" s="447"/>
      <c r="JWG79" s="448"/>
      <c r="JWH79" s="453"/>
      <c r="JWI79" s="449"/>
      <c r="JWJ79" s="450"/>
      <c r="JWK79" s="454"/>
      <c r="JWL79" s="448"/>
      <c r="JWN79" s="449"/>
      <c r="JWO79" s="450"/>
      <c r="JWP79" s="452"/>
      <c r="JWQ79" s="448"/>
      <c r="JWS79" s="449"/>
      <c r="JWT79" s="450"/>
      <c r="JWU79" s="447"/>
      <c r="JWV79" s="448"/>
      <c r="JWX79" s="449"/>
      <c r="JWY79" s="450"/>
      <c r="JWZ79" s="452"/>
      <c r="JXA79" s="448"/>
      <c r="JXB79" s="449"/>
      <c r="JXC79" s="450"/>
      <c r="JXD79" s="452"/>
      <c r="JXE79" s="448"/>
      <c r="JXF79" s="455"/>
      <c r="JXG79" s="449"/>
      <c r="JXH79" s="450"/>
      <c r="JXI79" s="459"/>
      <c r="JXJ79" s="448"/>
      <c r="JXK79" s="456"/>
      <c r="JXL79" s="449"/>
      <c r="JXM79" s="450"/>
      <c r="JXN79" s="452"/>
      <c r="JXO79" s="448"/>
      <c r="JXP79" s="449"/>
      <c r="JXQ79" s="450"/>
      <c r="JXR79" s="452"/>
      <c r="JXS79" s="448"/>
      <c r="JXT79" s="449"/>
      <c r="JXU79" s="450"/>
      <c r="JXV79" s="447"/>
      <c r="JXW79" s="448"/>
      <c r="JXX79" s="457"/>
      <c r="JXY79" s="460"/>
      <c r="JXZ79" s="450"/>
      <c r="JYA79" s="461"/>
      <c r="JYB79" s="448"/>
      <c r="JYC79" s="456"/>
      <c r="JYD79" s="449"/>
      <c r="JYE79" s="450"/>
      <c r="JYF79" s="452"/>
      <c r="JYG79" s="448"/>
      <c r="JYH79" s="456"/>
      <c r="JYI79" s="458"/>
      <c r="JYJ79" s="458"/>
      <c r="JYL79" s="454"/>
      <c r="JYM79" s="450"/>
      <c r="JYN79" s="454"/>
      <c r="JYO79" s="448"/>
      <c r="JYP79" s="449"/>
      <c r="JYQ79" s="450"/>
      <c r="JYR79" s="447"/>
      <c r="JYS79" s="448"/>
      <c r="JYT79" s="449"/>
      <c r="JYU79" s="450"/>
      <c r="JYV79" s="447"/>
      <c r="JYW79" s="451"/>
      <c r="JYX79" s="449"/>
      <c r="JYY79" s="450"/>
      <c r="JYZ79" s="447"/>
      <c r="JZA79" s="451"/>
      <c r="JZB79" s="449"/>
      <c r="JZC79" s="450"/>
      <c r="JZD79" s="447"/>
      <c r="JZE79" s="451"/>
      <c r="JZF79" s="449"/>
      <c r="JZG79" s="450"/>
      <c r="JZH79" s="452"/>
      <c r="JZI79" s="451"/>
      <c r="JZJ79" s="449"/>
      <c r="JZK79" s="450"/>
      <c r="JZL79" s="447"/>
      <c r="JZM79" s="448"/>
      <c r="JZN79" s="453"/>
      <c r="JZO79" s="449"/>
      <c r="JZP79" s="450"/>
      <c r="JZQ79" s="454"/>
      <c r="JZR79" s="448"/>
      <c r="JZT79" s="449"/>
      <c r="JZU79" s="450"/>
      <c r="JZV79" s="452"/>
      <c r="JZW79" s="448"/>
      <c r="JZY79" s="449"/>
      <c r="JZZ79" s="450"/>
      <c r="KAA79" s="447"/>
      <c r="KAB79" s="448"/>
      <c r="KAD79" s="449"/>
      <c r="KAE79" s="450"/>
      <c r="KAF79" s="452"/>
      <c r="KAG79" s="448"/>
      <c r="KAH79" s="449"/>
      <c r="KAI79" s="450"/>
      <c r="KAJ79" s="452"/>
      <c r="KAK79" s="448"/>
      <c r="KAL79" s="455"/>
      <c r="KAM79" s="449"/>
      <c r="KAN79" s="450"/>
      <c r="KAO79" s="459"/>
      <c r="KAP79" s="448"/>
      <c r="KAQ79" s="456"/>
      <c r="KAR79" s="449"/>
      <c r="KAS79" s="450"/>
      <c r="KAT79" s="452"/>
      <c r="KAU79" s="448"/>
      <c r="KAV79" s="449"/>
      <c r="KAW79" s="450"/>
      <c r="KAX79" s="452"/>
      <c r="KAY79" s="448"/>
      <c r="KAZ79" s="449"/>
      <c r="KBA79" s="450"/>
      <c r="KBB79" s="447"/>
      <c r="KBC79" s="448"/>
      <c r="KBD79" s="457"/>
      <c r="KBE79" s="460"/>
      <c r="KBF79" s="450"/>
      <c r="KBG79" s="461"/>
      <c r="KBH79" s="448"/>
      <c r="KBI79" s="456"/>
      <c r="KBJ79" s="449"/>
      <c r="KBK79" s="450"/>
      <c r="KBL79" s="452"/>
      <c r="KBM79" s="448"/>
      <c r="KBN79" s="456"/>
      <c r="KBO79" s="458"/>
      <c r="KBP79" s="458"/>
      <c r="KBR79" s="454"/>
      <c r="KBS79" s="450"/>
      <c r="KBT79" s="454"/>
      <c r="KBU79" s="448"/>
      <c r="KBV79" s="449"/>
      <c r="KBW79" s="450"/>
      <c r="KBX79" s="447"/>
      <c r="KBY79" s="448"/>
      <c r="KBZ79" s="449"/>
      <c r="KCA79" s="450"/>
      <c r="KCB79" s="447"/>
      <c r="KCC79" s="451"/>
      <c r="KCD79" s="449"/>
      <c r="KCE79" s="450"/>
      <c r="KCF79" s="447"/>
      <c r="KCG79" s="451"/>
      <c r="KCH79" s="449"/>
      <c r="KCI79" s="450"/>
      <c r="KCJ79" s="447"/>
      <c r="KCK79" s="451"/>
      <c r="KCL79" s="449"/>
      <c r="KCM79" s="450"/>
      <c r="KCN79" s="452"/>
      <c r="KCO79" s="451"/>
      <c r="KCP79" s="449"/>
      <c r="KCQ79" s="450"/>
      <c r="KCR79" s="447"/>
      <c r="KCS79" s="448"/>
      <c r="KCT79" s="453"/>
      <c r="KCU79" s="449"/>
      <c r="KCV79" s="450"/>
      <c r="KCW79" s="454"/>
      <c r="KCX79" s="448"/>
      <c r="KCZ79" s="449"/>
      <c r="KDA79" s="450"/>
      <c r="KDB79" s="452"/>
      <c r="KDC79" s="448"/>
      <c r="KDE79" s="449"/>
      <c r="KDF79" s="450"/>
      <c r="KDG79" s="447"/>
      <c r="KDH79" s="448"/>
      <c r="KDJ79" s="449"/>
      <c r="KDK79" s="450"/>
      <c r="KDL79" s="452"/>
      <c r="KDM79" s="448"/>
      <c r="KDN79" s="449"/>
      <c r="KDO79" s="450"/>
      <c r="KDP79" s="452"/>
      <c r="KDQ79" s="448"/>
      <c r="KDR79" s="455"/>
      <c r="KDS79" s="449"/>
      <c r="KDT79" s="450"/>
      <c r="KDU79" s="459"/>
      <c r="KDV79" s="448"/>
      <c r="KDW79" s="456"/>
      <c r="KDX79" s="449"/>
      <c r="KDY79" s="450"/>
      <c r="KDZ79" s="452"/>
      <c r="KEA79" s="448"/>
      <c r="KEB79" s="449"/>
      <c r="KEC79" s="450"/>
      <c r="KED79" s="452"/>
      <c r="KEE79" s="448"/>
      <c r="KEF79" s="449"/>
      <c r="KEG79" s="450"/>
      <c r="KEH79" s="447"/>
      <c r="KEI79" s="448"/>
      <c r="KEJ79" s="457"/>
      <c r="KEK79" s="460"/>
      <c r="KEL79" s="450"/>
      <c r="KEM79" s="461"/>
      <c r="KEN79" s="448"/>
      <c r="KEO79" s="456"/>
      <c r="KEP79" s="449"/>
      <c r="KEQ79" s="450"/>
      <c r="KER79" s="452"/>
      <c r="KES79" s="448"/>
      <c r="KET79" s="456"/>
      <c r="KEU79" s="458"/>
      <c r="KEV79" s="458"/>
      <c r="KEX79" s="454"/>
      <c r="KEY79" s="450"/>
      <c r="KEZ79" s="454"/>
      <c r="KFA79" s="448"/>
      <c r="KFB79" s="449"/>
      <c r="KFC79" s="450"/>
      <c r="KFD79" s="447"/>
      <c r="KFE79" s="448"/>
      <c r="KFF79" s="449"/>
      <c r="KFG79" s="450"/>
      <c r="KFH79" s="447"/>
      <c r="KFI79" s="451"/>
      <c r="KFJ79" s="449"/>
      <c r="KFK79" s="450"/>
      <c r="KFL79" s="447"/>
      <c r="KFM79" s="451"/>
      <c r="KFN79" s="449"/>
      <c r="KFO79" s="450"/>
      <c r="KFP79" s="447"/>
      <c r="KFQ79" s="451"/>
      <c r="KFR79" s="449"/>
      <c r="KFS79" s="450"/>
      <c r="KFT79" s="452"/>
      <c r="KFU79" s="451"/>
      <c r="KFV79" s="449"/>
      <c r="KFW79" s="450"/>
      <c r="KFX79" s="447"/>
      <c r="KFY79" s="448"/>
      <c r="KFZ79" s="453"/>
      <c r="KGA79" s="449"/>
      <c r="KGB79" s="450"/>
      <c r="KGC79" s="454"/>
      <c r="KGD79" s="448"/>
      <c r="KGF79" s="449"/>
      <c r="KGG79" s="450"/>
      <c r="KGH79" s="452"/>
      <c r="KGI79" s="448"/>
      <c r="KGK79" s="449"/>
      <c r="KGL79" s="450"/>
      <c r="KGM79" s="447"/>
      <c r="KGN79" s="448"/>
      <c r="KGP79" s="449"/>
      <c r="KGQ79" s="450"/>
      <c r="KGR79" s="452"/>
      <c r="KGS79" s="448"/>
      <c r="KGT79" s="449"/>
      <c r="KGU79" s="450"/>
      <c r="KGV79" s="452"/>
      <c r="KGW79" s="448"/>
      <c r="KGX79" s="455"/>
      <c r="KGY79" s="449"/>
      <c r="KGZ79" s="450"/>
      <c r="KHA79" s="459"/>
      <c r="KHB79" s="448"/>
      <c r="KHC79" s="456"/>
      <c r="KHD79" s="449"/>
      <c r="KHE79" s="450"/>
      <c r="KHF79" s="452"/>
      <c r="KHG79" s="448"/>
      <c r="KHH79" s="449"/>
      <c r="KHI79" s="450"/>
      <c r="KHJ79" s="452"/>
      <c r="KHK79" s="448"/>
      <c r="KHL79" s="449"/>
      <c r="KHM79" s="450"/>
      <c r="KHN79" s="447"/>
      <c r="KHO79" s="448"/>
      <c r="KHP79" s="457"/>
      <c r="KHQ79" s="460"/>
      <c r="KHR79" s="450"/>
      <c r="KHS79" s="461"/>
      <c r="KHT79" s="448"/>
      <c r="KHU79" s="456"/>
      <c r="KHV79" s="449"/>
      <c r="KHW79" s="450"/>
      <c r="KHX79" s="452"/>
      <c r="KHY79" s="448"/>
      <c r="KHZ79" s="456"/>
      <c r="KIA79" s="458"/>
      <c r="KIB79" s="458"/>
      <c r="KID79" s="454"/>
      <c r="KIE79" s="450"/>
      <c r="KIF79" s="454"/>
      <c r="KIG79" s="448"/>
      <c r="KIH79" s="449"/>
      <c r="KII79" s="450"/>
      <c r="KIJ79" s="447"/>
      <c r="KIK79" s="448"/>
      <c r="KIL79" s="449"/>
      <c r="KIM79" s="450"/>
      <c r="KIN79" s="447"/>
      <c r="KIO79" s="451"/>
      <c r="KIP79" s="449"/>
      <c r="KIQ79" s="450"/>
      <c r="KIR79" s="447"/>
      <c r="KIS79" s="451"/>
      <c r="KIT79" s="449"/>
      <c r="KIU79" s="450"/>
      <c r="KIV79" s="447"/>
      <c r="KIW79" s="451"/>
      <c r="KIX79" s="449"/>
      <c r="KIY79" s="450"/>
      <c r="KIZ79" s="452"/>
      <c r="KJA79" s="451"/>
      <c r="KJB79" s="449"/>
      <c r="KJC79" s="450"/>
      <c r="KJD79" s="447"/>
      <c r="KJE79" s="448"/>
      <c r="KJF79" s="453"/>
      <c r="KJG79" s="449"/>
      <c r="KJH79" s="450"/>
      <c r="KJI79" s="454"/>
      <c r="KJJ79" s="448"/>
      <c r="KJL79" s="449"/>
      <c r="KJM79" s="450"/>
      <c r="KJN79" s="452"/>
      <c r="KJO79" s="448"/>
      <c r="KJQ79" s="449"/>
      <c r="KJR79" s="450"/>
      <c r="KJS79" s="447"/>
      <c r="KJT79" s="448"/>
      <c r="KJV79" s="449"/>
      <c r="KJW79" s="450"/>
      <c r="KJX79" s="452"/>
      <c r="KJY79" s="448"/>
      <c r="KJZ79" s="449"/>
      <c r="KKA79" s="450"/>
      <c r="KKB79" s="452"/>
      <c r="KKC79" s="448"/>
      <c r="KKD79" s="455"/>
      <c r="KKE79" s="449"/>
      <c r="KKF79" s="450"/>
      <c r="KKG79" s="459"/>
      <c r="KKH79" s="448"/>
      <c r="KKI79" s="456"/>
      <c r="KKJ79" s="449"/>
      <c r="KKK79" s="450"/>
      <c r="KKL79" s="452"/>
      <c r="KKM79" s="448"/>
      <c r="KKN79" s="449"/>
      <c r="KKO79" s="450"/>
      <c r="KKP79" s="452"/>
      <c r="KKQ79" s="448"/>
      <c r="KKR79" s="449"/>
      <c r="KKS79" s="450"/>
      <c r="KKT79" s="447"/>
      <c r="KKU79" s="448"/>
      <c r="KKV79" s="457"/>
      <c r="KKW79" s="460"/>
      <c r="KKX79" s="450"/>
      <c r="KKY79" s="461"/>
      <c r="KKZ79" s="448"/>
      <c r="KLA79" s="456"/>
      <c r="KLB79" s="449"/>
      <c r="KLC79" s="450"/>
      <c r="KLD79" s="452"/>
      <c r="KLE79" s="448"/>
      <c r="KLF79" s="456"/>
      <c r="KLG79" s="458"/>
      <c r="KLH79" s="458"/>
      <c r="KLJ79" s="454"/>
      <c r="KLK79" s="450"/>
      <c r="KLL79" s="454"/>
      <c r="KLM79" s="448"/>
      <c r="KLN79" s="449"/>
      <c r="KLO79" s="450"/>
      <c r="KLP79" s="447"/>
      <c r="KLQ79" s="448"/>
      <c r="KLR79" s="449"/>
      <c r="KLS79" s="450"/>
      <c r="KLT79" s="447"/>
      <c r="KLU79" s="451"/>
      <c r="KLV79" s="449"/>
      <c r="KLW79" s="450"/>
      <c r="KLX79" s="447"/>
      <c r="KLY79" s="451"/>
      <c r="KLZ79" s="449"/>
      <c r="KMA79" s="450"/>
      <c r="KMB79" s="447"/>
      <c r="KMC79" s="451"/>
      <c r="KMD79" s="449"/>
      <c r="KME79" s="450"/>
      <c r="KMF79" s="452"/>
      <c r="KMG79" s="451"/>
      <c r="KMH79" s="449"/>
      <c r="KMI79" s="450"/>
      <c r="KMJ79" s="447"/>
      <c r="KMK79" s="448"/>
      <c r="KML79" s="453"/>
      <c r="KMM79" s="449"/>
      <c r="KMN79" s="450"/>
      <c r="KMO79" s="454"/>
      <c r="KMP79" s="448"/>
      <c r="KMR79" s="449"/>
      <c r="KMS79" s="450"/>
      <c r="KMT79" s="452"/>
      <c r="KMU79" s="448"/>
      <c r="KMW79" s="449"/>
      <c r="KMX79" s="450"/>
      <c r="KMY79" s="447"/>
      <c r="KMZ79" s="448"/>
      <c r="KNB79" s="449"/>
      <c r="KNC79" s="450"/>
      <c r="KND79" s="452"/>
      <c r="KNE79" s="448"/>
      <c r="KNF79" s="449"/>
      <c r="KNG79" s="450"/>
      <c r="KNH79" s="452"/>
      <c r="KNI79" s="448"/>
      <c r="KNJ79" s="455"/>
      <c r="KNK79" s="449"/>
      <c r="KNL79" s="450"/>
      <c r="KNM79" s="459"/>
      <c r="KNN79" s="448"/>
      <c r="KNO79" s="456"/>
      <c r="KNP79" s="449"/>
      <c r="KNQ79" s="450"/>
      <c r="KNR79" s="452"/>
      <c r="KNS79" s="448"/>
      <c r="KNT79" s="449"/>
      <c r="KNU79" s="450"/>
      <c r="KNV79" s="452"/>
      <c r="KNW79" s="448"/>
      <c r="KNX79" s="449"/>
      <c r="KNY79" s="450"/>
      <c r="KNZ79" s="447"/>
      <c r="KOA79" s="448"/>
      <c r="KOB79" s="457"/>
      <c r="KOC79" s="460"/>
      <c r="KOD79" s="450"/>
      <c r="KOE79" s="461"/>
      <c r="KOF79" s="448"/>
      <c r="KOG79" s="456"/>
      <c r="KOH79" s="449"/>
      <c r="KOI79" s="450"/>
      <c r="KOJ79" s="452"/>
      <c r="KOK79" s="448"/>
      <c r="KOL79" s="456"/>
      <c r="KOM79" s="458"/>
      <c r="KON79" s="458"/>
      <c r="KOP79" s="454"/>
      <c r="KOQ79" s="450"/>
      <c r="KOR79" s="454"/>
      <c r="KOS79" s="448"/>
      <c r="KOT79" s="449"/>
      <c r="KOU79" s="450"/>
      <c r="KOV79" s="447"/>
      <c r="KOW79" s="448"/>
      <c r="KOX79" s="449"/>
      <c r="KOY79" s="450"/>
      <c r="KOZ79" s="447"/>
      <c r="KPA79" s="451"/>
      <c r="KPB79" s="449"/>
      <c r="KPC79" s="450"/>
      <c r="KPD79" s="447"/>
      <c r="KPE79" s="451"/>
      <c r="KPF79" s="449"/>
      <c r="KPG79" s="450"/>
      <c r="KPH79" s="447"/>
      <c r="KPI79" s="451"/>
      <c r="KPJ79" s="449"/>
      <c r="KPK79" s="450"/>
      <c r="KPL79" s="452"/>
      <c r="KPM79" s="451"/>
      <c r="KPN79" s="449"/>
      <c r="KPO79" s="450"/>
      <c r="KPP79" s="447"/>
      <c r="KPQ79" s="448"/>
      <c r="KPR79" s="453"/>
      <c r="KPS79" s="449"/>
      <c r="KPT79" s="450"/>
      <c r="KPU79" s="454"/>
      <c r="KPV79" s="448"/>
      <c r="KPX79" s="449"/>
      <c r="KPY79" s="450"/>
      <c r="KPZ79" s="452"/>
      <c r="KQA79" s="448"/>
      <c r="KQC79" s="449"/>
      <c r="KQD79" s="450"/>
      <c r="KQE79" s="447"/>
      <c r="KQF79" s="448"/>
      <c r="KQH79" s="449"/>
      <c r="KQI79" s="450"/>
      <c r="KQJ79" s="452"/>
      <c r="KQK79" s="448"/>
      <c r="KQL79" s="449"/>
      <c r="KQM79" s="450"/>
      <c r="KQN79" s="452"/>
      <c r="KQO79" s="448"/>
      <c r="KQP79" s="455"/>
      <c r="KQQ79" s="449"/>
      <c r="KQR79" s="450"/>
      <c r="KQS79" s="459"/>
      <c r="KQT79" s="448"/>
      <c r="KQU79" s="456"/>
      <c r="KQV79" s="449"/>
      <c r="KQW79" s="450"/>
      <c r="KQX79" s="452"/>
      <c r="KQY79" s="448"/>
      <c r="KQZ79" s="449"/>
      <c r="KRA79" s="450"/>
      <c r="KRB79" s="452"/>
      <c r="KRC79" s="448"/>
      <c r="KRD79" s="449"/>
      <c r="KRE79" s="450"/>
      <c r="KRF79" s="447"/>
      <c r="KRG79" s="448"/>
      <c r="KRH79" s="457"/>
      <c r="KRI79" s="460"/>
      <c r="KRJ79" s="450"/>
      <c r="KRK79" s="461"/>
      <c r="KRL79" s="448"/>
      <c r="KRM79" s="456"/>
      <c r="KRN79" s="449"/>
      <c r="KRO79" s="450"/>
      <c r="KRP79" s="452"/>
      <c r="KRQ79" s="448"/>
      <c r="KRR79" s="456"/>
      <c r="KRS79" s="458"/>
      <c r="KRT79" s="458"/>
      <c r="KRV79" s="454"/>
      <c r="KRW79" s="450"/>
      <c r="KRX79" s="454"/>
      <c r="KRY79" s="448"/>
      <c r="KRZ79" s="449"/>
      <c r="KSA79" s="450"/>
      <c r="KSB79" s="447"/>
      <c r="KSC79" s="448"/>
      <c r="KSD79" s="449"/>
      <c r="KSE79" s="450"/>
      <c r="KSF79" s="447"/>
      <c r="KSG79" s="451"/>
      <c r="KSH79" s="449"/>
      <c r="KSI79" s="450"/>
      <c r="KSJ79" s="447"/>
      <c r="KSK79" s="451"/>
      <c r="KSL79" s="449"/>
      <c r="KSM79" s="450"/>
      <c r="KSN79" s="447"/>
      <c r="KSO79" s="451"/>
      <c r="KSP79" s="449"/>
      <c r="KSQ79" s="450"/>
      <c r="KSR79" s="452"/>
      <c r="KSS79" s="451"/>
      <c r="KST79" s="449"/>
      <c r="KSU79" s="450"/>
      <c r="KSV79" s="447"/>
      <c r="KSW79" s="448"/>
      <c r="KSX79" s="453"/>
      <c r="KSY79" s="449"/>
      <c r="KSZ79" s="450"/>
      <c r="KTA79" s="454"/>
      <c r="KTB79" s="448"/>
      <c r="KTD79" s="449"/>
      <c r="KTE79" s="450"/>
      <c r="KTF79" s="452"/>
      <c r="KTG79" s="448"/>
      <c r="KTI79" s="449"/>
      <c r="KTJ79" s="450"/>
      <c r="KTK79" s="447"/>
      <c r="KTL79" s="448"/>
      <c r="KTN79" s="449"/>
      <c r="KTO79" s="450"/>
      <c r="KTP79" s="452"/>
      <c r="KTQ79" s="448"/>
      <c r="KTR79" s="449"/>
      <c r="KTS79" s="450"/>
      <c r="KTT79" s="452"/>
      <c r="KTU79" s="448"/>
      <c r="KTV79" s="455"/>
      <c r="KTW79" s="449"/>
      <c r="KTX79" s="450"/>
      <c r="KTY79" s="459"/>
      <c r="KTZ79" s="448"/>
      <c r="KUA79" s="456"/>
      <c r="KUB79" s="449"/>
      <c r="KUC79" s="450"/>
      <c r="KUD79" s="452"/>
      <c r="KUE79" s="448"/>
      <c r="KUF79" s="449"/>
      <c r="KUG79" s="450"/>
      <c r="KUH79" s="452"/>
      <c r="KUI79" s="448"/>
      <c r="KUJ79" s="449"/>
      <c r="KUK79" s="450"/>
      <c r="KUL79" s="447"/>
      <c r="KUM79" s="448"/>
      <c r="KUN79" s="457"/>
      <c r="KUO79" s="460"/>
      <c r="KUP79" s="450"/>
      <c r="KUQ79" s="461"/>
      <c r="KUR79" s="448"/>
      <c r="KUS79" s="456"/>
      <c r="KUT79" s="449"/>
      <c r="KUU79" s="450"/>
      <c r="KUV79" s="452"/>
      <c r="KUW79" s="448"/>
      <c r="KUX79" s="456"/>
      <c r="KUY79" s="458"/>
      <c r="KUZ79" s="458"/>
      <c r="KVB79" s="454"/>
      <c r="KVC79" s="450"/>
      <c r="KVD79" s="454"/>
      <c r="KVE79" s="448"/>
      <c r="KVF79" s="449"/>
      <c r="KVG79" s="450"/>
      <c r="KVH79" s="447"/>
      <c r="KVI79" s="448"/>
      <c r="KVJ79" s="449"/>
      <c r="KVK79" s="450"/>
      <c r="KVL79" s="447"/>
      <c r="KVM79" s="451"/>
      <c r="KVN79" s="449"/>
      <c r="KVO79" s="450"/>
      <c r="KVP79" s="447"/>
      <c r="KVQ79" s="451"/>
      <c r="KVR79" s="449"/>
      <c r="KVS79" s="450"/>
      <c r="KVT79" s="447"/>
      <c r="KVU79" s="451"/>
      <c r="KVV79" s="449"/>
      <c r="KVW79" s="450"/>
      <c r="KVX79" s="452"/>
      <c r="KVY79" s="451"/>
      <c r="KVZ79" s="449"/>
      <c r="KWA79" s="450"/>
      <c r="KWB79" s="447"/>
      <c r="KWC79" s="448"/>
      <c r="KWD79" s="453"/>
      <c r="KWE79" s="449"/>
      <c r="KWF79" s="450"/>
      <c r="KWG79" s="454"/>
      <c r="KWH79" s="448"/>
      <c r="KWJ79" s="449"/>
      <c r="KWK79" s="450"/>
      <c r="KWL79" s="452"/>
      <c r="KWM79" s="448"/>
      <c r="KWO79" s="449"/>
      <c r="KWP79" s="450"/>
      <c r="KWQ79" s="447"/>
      <c r="KWR79" s="448"/>
      <c r="KWT79" s="449"/>
      <c r="KWU79" s="450"/>
      <c r="KWV79" s="452"/>
      <c r="KWW79" s="448"/>
      <c r="KWX79" s="449"/>
      <c r="KWY79" s="450"/>
      <c r="KWZ79" s="452"/>
      <c r="KXA79" s="448"/>
      <c r="KXB79" s="455"/>
      <c r="KXC79" s="449"/>
      <c r="KXD79" s="450"/>
      <c r="KXE79" s="459"/>
      <c r="KXF79" s="448"/>
      <c r="KXG79" s="456"/>
      <c r="KXH79" s="449"/>
      <c r="KXI79" s="450"/>
      <c r="KXJ79" s="452"/>
      <c r="KXK79" s="448"/>
      <c r="KXL79" s="449"/>
      <c r="KXM79" s="450"/>
      <c r="KXN79" s="452"/>
      <c r="KXO79" s="448"/>
      <c r="KXP79" s="449"/>
      <c r="KXQ79" s="450"/>
      <c r="KXR79" s="447"/>
      <c r="KXS79" s="448"/>
      <c r="KXT79" s="457"/>
      <c r="KXU79" s="460"/>
      <c r="KXV79" s="450"/>
      <c r="KXW79" s="461"/>
      <c r="KXX79" s="448"/>
      <c r="KXY79" s="456"/>
      <c r="KXZ79" s="449"/>
      <c r="KYA79" s="450"/>
      <c r="KYB79" s="452"/>
      <c r="KYC79" s="448"/>
      <c r="KYD79" s="456"/>
      <c r="KYE79" s="458"/>
      <c r="KYF79" s="458"/>
      <c r="KYH79" s="454"/>
      <c r="KYI79" s="450"/>
      <c r="KYJ79" s="454"/>
      <c r="KYK79" s="448"/>
      <c r="KYL79" s="449"/>
      <c r="KYM79" s="450"/>
      <c r="KYN79" s="447"/>
      <c r="KYO79" s="448"/>
      <c r="KYP79" s="449"/>
      <c r="KYQ79" s="450"/>
      <c r="KYR79" s="447"/>
      <c r="KYS79" s="451"/>
      <c r="KYT79" s="449"/>
      <c r="KYU79" s="450"/>
      <c r="KYV79" s="447"/>
      <c r="KYW79" s="451"/>
      <c r="KYX79" s="449"/>
      <c r="KYY79" s="450"/>
      <c r="KYZ79" s="447"/>
      <c r="KZA79" s="451"/>
      <c r="KZB79" s="449"/>
      <c r="KZC79" s="450"/>
      <c r="KZD79" s="452"/>
      <c r="KZE79" s="451"/>
      <c r="KZF79" s="449"/>
      <c r="KZG79" s="450"/>
      <c r="KZH79" s="447"/>
      <c r="KZI79" s="448"/>
      <c r="KZJ79" s="453"/>
      <c r="KZK79" s="449"/>
      <c r="KZL79" s="450"/>
      <c r="KZM79" s="454"/>
      <c r="KZN79" s="448"/>
      <c r="KZP79" s="449"/>
      <c r="KZQ79" s="450"/>
      <c r="KZR79" s="452"/>
      <c r="KZS79" s="448"/>
      <c r="KZU79" s="449"/>
      <c r="KZV79" s="450"/>
      <c r="KZW79" s="447"/>
      <c r="KZX79" s="448"/>
      <c r="KZZ79" s="449"/>
      <c r="LAA79" s="450"/>
      <c r="LAB79" s="452"/>
      <c r="LAC79" s="448"/>
      <c r="LAD79" s="449"/>
      <c r="LAE79" s="450"/>
      <c r="LAF79" s="452"/>
      <c r="LAG79" s="448"/>
      <c r="LAH79" s="455"/>
      <c r="LAI79" s="449"/>
      <c r="LAJ79" s="450"/>
      <c r="LAK79" s="459"/>
      <c r="LAL79" s="448"/>
      <c r="LAM79" s="456"/>
      <c r="LAN79" s="449"/>
      <c r="LAO79" s="450"/>
      <c r="LAP79" s="452"/>
      <c r="LAQ79" s="448"/>
      <c r="LAR79" s="449"/>
      <c r="LAS79" s="450"/>
      <c r="LAT79" s="452"/>
      <c r="LAU79" s="448"/>
      <c r="LAV79" s="449"/>
      <c r="LAW79" s="450"/>
      <c r="LAX79" s="447"/>
      <c r="LAY79" s="448"/>
      <c r="LAZ79" s="457"/>
      <c r="LBA79" s="460"/>
      <c r="LBB79" s="450"/>
      <c r="LBC79" s="461"/>
      <c r="LBD79" s="448"/>
      <c r="LBE79" s="456"/>
      <c r="LBF79" s="449"/>
      <c r="LBG79" s="450"/>
      <c r="LBH79" s="452"/>
      <c r="LBI79" s="448"/>
      <c r="LBJ79" s="456"/>
      <c r="LBK79" s="458"/>
      <c r="LBL79" s="458"/>
      <c r="LBN79" s="454"/>
      <c r="LBO79" s="450"/>
      <c r="LBP79" s="454"/>
      <c r="LBQ79" s="448"/>
      <c r="LBR79" s="449"/>
      <c r="LBS79" s="450"/>
      <c r="LBT79" s="447"/>
      <c r="LBU79" s="448"/>
      <c r="LBV79" s="449"/>
      <c r="LBW79" s="450"/>
      <c r="LBX79" s="447"/>
      <c r="LBY79" s="451"/>
      <c r="LBZ79" s="449"/>
      <c r="LCA79" s="450"/>
      <c r="LCB79" s="447"/>
      <c r="LCC79" s="451"/>
      <c r="LCD79" s="449"/>
      <c r="LCE79" s="450"/>
      <c r="LCF79" s="447"/>
      <c r="LCG79" s="451"/>
      <c r="LCH79" s="449"/>
      <c r="LCI79" s="450"/>
      <c r="LCJ79" s="452"/>
      <c r="LCK79" s="451"/>
      <c r="LCL79" s="449"/>
      <c r="LCM79" s="450"/>
      <c r="LCN79" s="447"/>
      <c r="LCO79" s="448"/>
      <c r="LCP79" s="453"/>
      <c r="LCQ79" s="449"/>
      <c r="LCR79" s="450"/>
      <c r="LCS79" s="454"/>
      <c r="LCT79" s="448"/>
      <c r="LCV79" s="449"/>
      <c r="LCW79" s="450"/>
      <c r="LCX79" s="452"/>
      <c r="LCY79" s="448"/>
      <c r="LDA79" s="449"/>
      <c r="LDB79" s="450"/>
      <c r="LDC79" s="447"/>
      <c r="LDD79" s="448"/>
      <c r="LDF79" s="449"/>
      <c r="LDG79" s="450"/>
      <c r="LDH79" s="452"/>
      <c r="LDI79" s="448"/>
      <c r="LDJ79" s="449"/>
      <c r="LDK79" s="450"/>
      <c r="LDL79" s="452"/>
      <c r="LDM79" s="448"/>
      <c r="LDN79" s="455"/>
      <c r="LDO79" s="449"/>
      <c r="LDP79" s="450"/>
      <c r="LDQ79" s="459"/>
      <c r="LDR79" s="448"/>
      <c r="LDS79" s="456"/>
      <c r="LDT79" s="449"/>
      <c r="LDU79" s="450"/>
      <c r="LDV79" s="452"/>
      <c r="LDW79" s="448"/>
      <c r="LDX79" s="449"/>
      <c r="LDY79" s="450"/>
      <c r="LDZ79" s="452"/>
      <c r="LEA79" s="448"/>
      <c r="LEB79" s="449"/>
      <c r="LEC79" s="450"/>
      <c r="LED79" s="447"/>
      <c r="LEE79" s="448"/>
      <c r="LEF79" s="457"/>
      <c r="LEG79" s="460"/>
      <c r="LEH79" s="450"/>
      <c r="LEI79" s="461"/>
      <c r="LEJ79" s="448"/>
      <c r="LEK79" s="456"/>
      <c r="LEL79" s="449"/>
      <c r="LEM79" s="450"/>
      <c r="LEN79" s="452"/>
      <c r="LEO79" s="448"/>
      <c r="LEP79" s="456"/>
      <c r="LEQ79" s="458"/>
      <c r="LER79" s="458"/>
      <c r="LET79" s="454"/>
      <c r="LEU79" s="450"/>
      <c r="LEV79" s="454"/>
      <c r="LEW79" s="448"/>
      <c r="LEX79" s="449"/>
      <c r="LEY79" s="450"/>
      <c r="LEZ79" s="447"/>
      <c r="LFA79" s="448"/>
      <c r="LFB79" s="449"/>
      <c r="LFC79" s="450"/>
      <c r="LFD79" s="447"/>
      <c r="LFE79" s="451"/>
      <c r="LFF79" s="449"/>
      <c r="LFG79" s="450"/>
      <c r="LFH79" s="447"/>
      <c r="LFI79" s="451"/>
      <c r="LFJ79" s="449"/>
      <c r="LFK79" s="450"/>
      <c r="LFL79" s="447"/>
      <c r="LFM79" s="451"/>
      <c r="LFN79" s="449"/>
      <c r="LFO79" s="450"/>
      <c r="LFP79" s="452"/>
      <c r="LFQ79" s="451"/>
      <c r="LFR79" s="449"/>
      <c r="LFS79" s="450"/>
      <c r="LFT79" s="447"/>
      <c r="LFU79" s="448"/>
      <c r="LFV79" s="453"/>
      <c r="LFW79" s="449"/>
      <c r="LFX79" s="450"/>
      <c r="LFY79" s="454"/>
      <c r="LFZ79" s="448"/>
      <c r="LGB79" s="449"/>
      <c r="LGC79" s="450"/>
      <c r="LGD79" s="452"/>
      <c r="LGE79" s="448"/>
      <c r="LGG79" s="449"/>
      <c r="LGH79" s="450"/>
      <c r="LGI79" s="447"/>
      <c r="LGJ79" s="448"/>
      <c r="LGL79" s="449"/>
      <c r="LGM79" s="450"/>
      <c r="LGN79" s="452"/>
      <c r="LGO79" s="448"/>
      <c r="LGP79" s="449"/>
      <c r="LGQ79" s="450"/>
      <c r="LGR79" s="452"/>
      <c r="LGS79" s="448"/>
      <c r="LGT79" s="455"/>
      <c r="LGU79" s="449"/>
      <c r="LGV79" s="450"/>
      <c r="LGW79" s="459"/>
      <c r="LGX79" s="448"/>
      <c r="LGY79" s="456"/>
      <c r="LGZ79" s="449"/>
      <c r="LHA79" s="450"/>
      <c r="LHB79" s="452"/>
      <c r="LHC79" s="448"/>
      <c r="LHD79" s="449"/>
      <c r="LHE79" s="450"/>
      <c r="LHF79" s="452"/>
      <c r="LHG79" s="448"/>
      <c r="LHH79" s="449"/>
      <c r="LHI79" s="450"/>
      <c r="LHJ79" s="447"/>
      <c r="LHK79" s="448"/>
      <c r="LHL79" s="457"/>
      <c r="LHM79" s="460"/>
      <c r="LHN79" s="450"/>
      <c r="LHO79" s="461"/>
      <c r="LHP79" s="448"/>
      <c r="LHQ79" s="456"/>
      <c r="LHR79" s="449"/>
      <c r="LHS79" s="450"/>
      <c r="LHT79" s="452"/>
      <c r="LHU79" s="448"/>
      <c r="LHV79" s="456"/>
      <c r="LHW79" s="458"/>
      <c r="LHX79" s="458"/>
      <c r="LHZ79" s="454"/>
      <c r="LIA79" s="450"/>
      <c r="LIB79" s="454"/>
      <c r="LIC79" s="448"/>
      <c r="LID79" s="449"/>
      <c r="LIE79" s="450"/>
      <c r="LIF79" s="447"/>
      <c r="LIG79" s="448"/>
      <c r="LIH79" s="449"/>
      <c r="LII79" s="450"/>
      <c r="LIJ79" s="447"/>
      <c r="LIK79" s="451"/>
      <c r="LIL79" s="449"/>
      <c r="LIM79" s="450"/>
      <c r="LIN79" s="447"/>
      <c r="LIO79" s="451"/>
      <c r="LIP79" s="449"/>
      <c r="LIQ79" s="450"/>
      <c r="LIR79" s="447"/>
      <c r="LIS79" s="451"/>
      <c r="LIT79" s="449"/>
      <c r="LIU79" s="450"/>
      <c r="LIV79" s="452"/>
      <c r="LIW79" s="451"/>
      <c r="LIX79" s="449"/>
      <c r="LIY79" s="450"/>
      <c r="LIZ79" s="447"/>
      <c r="LJA79" s="448"/>
      <c r="LJB79" s="453"/>
      <c r="LJC79" s="449"/>
      <c r="LJD79" s="450"/>
      <c r="LJE79" s="454"/>
      <c r="LJF79" s="448"/>
      <c r="LJH79" s="449"/>
      <c r="LJI79" s="450"/>
      <c r="LJJ79" s="452"/>
      <c r="LJK79" s="448"/>
      <c r="LJM79" s="449"/>
      <c r="LJN79" s="450"/>
      <c r="LJO79" s="447"/>
      <c r="LJP79" s="448"/>
      <c r="LJR79" s="449"/>
      <c r="LJS79" s="450"/>
      <c r="LJT79" s="452"/>
      <c r="LJU79" s="448"/>
      <c r="LJV79" s="449"/>
      <c r="LJW79" s="450"/>
      <c r="LJX79" s="452"/>
      <c r="LJY79" s="448"/>
      <c r="LJZ79" s="455"/>
      <c r="LKA79" s="449"/>
      <c r="LKB79" s="450"/>
      <c r="LKC79" s="459"/>
      <c r="LKD79" s="448"/>
      <c r="LKE79" s="456"/>
      <c r="LKF79" s="449"/>
      <c r="LKG79" s="450"/>
      <c r="LKH79" s="452"/>
      <c r="LKI79" s="448"/>
      <c r="LKJ79" s="449"/>
      <c r="LKK79" s="450"/>
      <c r="LKL79" s="452"/>
      <c r="LKM79" s="448"/>
      <c r="LKN79" s="449"/>
      <c r="LKO79" s="450"/>
      <c r="LKP79" s="447"/>
      <c r="LKQ79" s="448"/>
      <c r="LKR79" s="457"/>
      <c r="LKS79" s="460"/>
      <c r="LKT79" s="450"/>
      <c r="LKU79" s="461"/>
      <c r="LKV79" s="448"/>
      <c r="LKW79" s="456"/>
      <c r="LKX79" s="449"/>
      <c r="LKY79" s="450"/>
      <c r="LKZ79" s="452"/>
      <c r="LLA79" s="448"/>
      <c r="LLB79" s="456"/>
      <c r="LLC79" s="458"/>
      <c r="LLD79" s="458"/>
      <c r="LLF79" s="454"/>
      <c r="LLG79" s="450"/>
      <c r="LLH79" s="454"/>
      <c r="LLI79" s="448"/>
      <c r="LLJ79" s="449"/>
      <c r="LLK79" s="450"/>
      <c r="LLL79" s="447"/>
      <c r="LLM79" s="448"/>
      <c r="LLN79" s="449"/>
      <c r="LLO79" s="450"/>
      <c r="LLP79" s="447"/>
      <c r="LLQ79" s="451"/>
      <c r="LLR79" s="449"/>
      <c r="LLS79" s="450"/>
      <c r="LLT79" s="447"/>
      <c r="LLU79" s="451"/>
      <c r="LLV79" s="449"/>
      <c r="LLW79" s="450"/>
      <c r="LLX79" s="447"/>
      <c r="LLY79" s="451"/>
      <c r="LLZ79" s="449"/>
      <c r="LMA79" s="450"/>
      <c r="LMB79" s="452"/>
      <c r="LMC79" s="451"/>
      <c r="LMD79" s="449"/>
      <c r="LME79" s="450"/>
      <c r="LMF79" s="447"/>
      <c r="LMG79" s="448"/>
      <c r="LMH79" s="453"/>
      <c r="LMI79" s="449"/>
      <c r="LMJ79" s="450"/>
      <c r="LMK79" s="454"/>
      <c r="LML79" s="448"/>
      <c r="LMN79" s="449"/>
      <c r="LMO79" s="450"/>
      <c r="LMP79" s="452"/>
      <c r="LMQ79" s="448"/>
      <c r="LMS79" s="449"/>
      <c r="LMT79" s="450"/>
      <c r="LMU79" s="447"/>
      <c r="LMV79" s="448"/>
      <c r="LMX79" s="449"/>
      <c r="LMY79" s="450"/>
      <c r="LMZ79" s="452"/>
      <c r="LNA79" s="448"/>
      <c r="LNB79" s="449"/>
      <c r="LNC79" s="450"/>
      <c r="LND79" s="452"/>
      <c r="LNE79" s="448"/>
      <c r="LNF79" s="455"/>
      <c r="LNG79" s="449"/>
      <c r="LNH79" s="450"/>
      <c r="LNI79" s="459"/>
      <c r="LNJ79" s="448"/>
      <c r="LNK79" s="456"/>
      <c r="LNL79" s="449"/>
      <c r="LNM79" s="450"/>
      <c r="LNN79" s="452"/>
      <c r="LNO79" s="448"/>
      <c r="LNP79" s="449"/>
      <c r="LNQ79" s="450"/>
      <c r="LNR79" s="452"/>
      <c r="LNS79" s="448"/>
      <c r="LNT79" s="449"/>
      <c r="LNU79" s="450"/>
      <c r="LNV79" s="447"/>
      <c r="LNW79" s="448"/>
      <c r="LNX79" s="457"/>
      <c r="LNY79" s="460"/>
      <c r="LNZ79" s="450"/>
      <c r="LOA79" s="461"/>
      <c r="LOB79" s="448"/>
      <c r="LOC79" s="456"/>
      <c r="LOD79" s="449"/>
      <c r="LOE79" s="450"/>
      <c r="LOF79" s="452"/>
      <c r="LOG79" s="448"/>
      <c r="LOH79" s="456"/>
      <c r="LOI79" s="458"/>
      <c r="LOJ79" s="458"/>
      <c r="LOL79" s="454"/>
      <c r="LOM79" s="450"/>
      <c r="LON79" s="454"/>
      <c r="LOO79" s="448"/>
      <c r="LOP79" s="449"/>
      <c r="LOQ79" s="450"/>
      <c r="LOR79" s="447"/>
      <c r="LOS79" s="448"/>
      <c r="LOT79" s="449"/>
      <c r="LOU79" s="450"/>
      <c r="LOV79" s="447"/>
      <c r="LOW79" s="451"/>
      <c r="LOX79" s="449"/>
      <c r="LOY79" s="450"/>
      <c r="LOZ79" s="447"/>
      <c r="LPA79" s="451"/>
      <c r="LPB79" s="449"/>
      <c r="LPC79" s="450"/>
      <c r="LPD79" s="447"/>
      <c r="LPE79" s="451"/>
      <c r="LPF79" s="449"/>
      <c r="LPG79" s="450"/>
      <c r="LPH79" s="452"/>
      <c r="LPI79" s="451"/>
      <c r="LPJ79" s="449"/>
      <c r="LPK79" s="450"/>
      <c r="LPL79" s="447"/>
      <c r="LPM79" s="448"/>
      <c r="LPN79" s="453"/>
      <c r="LPO79" s="449"/>
      <c r="LPP79" s="450"/>
      <c r="LPQ79" s="454"/>
      <c r="LPR79" s="448"/>
      <c r="LPT79" s="449"/>
      <c r="LPU79" s="450"/>
      <c r="LPV79" s="452"/>
      <c r="LPW79" s="448"/>
      <c r="LPY79" s="449"/>
      <c r="LPZ79" s="450"/>
      <c r="LQA79" s="447"/>
      <c r="LQB79" s="448"/>
      <c r="LQD79" s="449"/>
      <c r="LQE79" s="450"/>
      <c r="LQF79" s="452"/>
      <c r="LQG79" s="448"/>
      <c r="LQH79" s="449"/>
      <c r="LQI79" s="450"/>
      <c r="LQJ79" s="452"/>
      <c r="LQK79" s="448"/>
      <c r="LQL79" s="455"/>
      <c r="LQM79" s="449"/>
      <c r="LQN79" s="450"/>
      <c r="LQO79" s="459"/>
      <c r="LQP79" s="448"/>
      <c r="LQQ79" s="456"/>
      <c r="LQR79" s="449"/>
      <c r="LQS79" s="450"/>
      <c r="LQT79" s="452"/>
      <c r="LQU79" s="448"/>
      <c r="LQV79" s="449"/>
      <c r="LQW79" s="450"/>
      <c r="LQX79" s="452"/>
      <c r="LQY79" s="448"/>
      <c r="LQZ79" s="449"/>
      <c r="LRA79" s="450"/>
      <c r="LRB79" s="447"/>
      <c r="LRC79" s="448"/>
      <c r="LRD79" s="457"/>
      <c r="LRE79" s="460"/>
      <c r="LRF79" s="450"/>
      <c r="LRG79" s="461"/>
      <c r="LRH79" s="448"/>
      <c r="LRI79" s="456"/>
      <c r="LRJ79" s="449"/>
      <c r="LRK79" s="450"/>
      <c r="LRL79" s="452"/>
      <c r="LRM79" s="448"/>
      <c r="LRN79" s="456"/>
      <c r="LRO79" s="458"/>
      <c r="LRP79" s="458"/>
      <c r="LRR79" s="454"/>
      <c r="LRS79" s="450"/>
      <c r="LRT79" s="454"/>
      <c r="LRU79" s="448"/>
      <c r="LRV79" s="449"/>
      <c r="LRW79" s="450"/>
      <c r="LRX79" s="447"/>
      <c r="LRY79" s="448"/>
      <c r="LRZ79" s="449"/>
      <c r="LSA79" s="450"/>
      <c r="LSB79" s="447"/>
      <c r="LSC79" s="451"/>
      <c r="LSD79" s="449"/>
      <c r="LSE79" s="450"/>
      <c r="LSF79" s="447"/>
      <c r="LSG79" s="451"/>
      <c r="LSH79" s="449"/>
      <c r="LSI79" s="450"/>
      <c r="LSJ79" s="447"/>
      <c r="LSK79" s="451"/>
      <c r="LSL79" s="449"/>
      <c r="LSM79" s="450"/>
      <c r="LSN79" s="452"/>
      <c r="LSO79" s="451"/>
      <c r="LSP79" s="449"/>
      <c r="LSQ79" s="450"/>
      <c r="LSR79" s="447"/>
      <c r="LSS79" s="448"/>
      <c r="LST79" s="453"/>
      <c r="LSU79" s="449"/>
      <c r="LSV79" s="450"/>
      <c r="LSW79" s="454"/>
      <c r="LSX79" s="448"/>
      <c r="LSZ79" s="449"/>
      <c r="LTA79" s="450"/>
      <c r="LTB79" s="452"/>
      <c r="LTC79" s="448"/>
      <c r="LTE79" s="449"/>
      <c r="LTF79" s="450"/>
      <c r="LTG79" s="447"/>
      <c r="LTH79" s="448"/>
      <c r="LTJ79" s="449"/>
      <c r="LTK79" s="450"/>
      <c r="LTL79" s="452"/>
      <c r="LTM79" s="448"/>
      <c r="LTN79" s="449"/>
      <c r="LTO79" s="450"/>
      <c r="LTP79" s="452"/>
      <c r="LTQ79" s="448"/>
      <c r="LTR79" s="455"/>
      <c r="LTS79" s="449"/>
      <c r="LTT79" s="450"/>
      <c r="LTU79" s="459"/>
      <c r="LTV79" s="448"/>
      <c r="LTW79" s="456"/>
      <c r="LTX79" s="449"/>
      <c r="LTY79" s="450"/>
      <c r="LTZ79" s="452"/>
      <c r="LUA79" s="448"/>
      <c r="LUB79" s="449"/>
      <c r="LUC79" s="450"/>
      <c r="LUD79" s="452"/>
      <c r="LUE79" s="448"/>
      <c r="LUF79" s="449"/>
      <c r="LUG79" s="450"/>
      <c r="LUH79" s="447"/>
      <c r="LUI79" s="448"/>
      <c r="LUJ79" s="457"/>
      <c r="LUK79" s="460"/>
      <c r="LUL79" s="450"/>
      <c r="LUM79" s="461"/>
      <c r="LUN79" s="448"/>
      <c r="LUO79" s="456"/>
      <c r="LUP79" s="449"/>
      <c r="LUQ79" s="450"/>
      <c r="LUR79" s="452"/>
      <c r="LUS79" s="448"/>
      <c r="LUT79" s="456"/>
      <c r="LUU79" s="458"/>
      <c r="LUV79" s="458"/>
      <c r="LUX79" s="454"/>
      <c r="LUY79" s="450"/>
      <c r="LUZ79" s="454"/>
      <c r="LVA79" s="448"/>
      <c r="LVB79" s="449"/>
      <c r="LVC79" s="450"/>
      <c r="LVD79" s="447"/>
      <c r="LVE79" s="448"/>
      <c r="LVF79" s="449"/>
      <c r="LVG79" s="450"/>
      <c r="LVH79" s="447"/>
      <c r="LVI79" s="451"/>
      <c r="LVJ79" s="449"/>
      <c r="LVK79" s="450"/>
      <c r="LVL79" s="447"/>
      <c r="LVM79" s="451"/>
      <c r="LVN79" s="449"/>
      <c r="LVO79" s="450"/>
      <c r="LVP79" s="447"/>
      <c r="LVQ79" s="451"/>
      <c r="LVR79" s="449"/>
      <c r="LVS79" s="450"/>
      <c r="LVT79" s="452"/>
      <c r="LVU79" s="451"/>
      <c r="LVV79" s="449"/>
      <c r="LVW79" s="450"/>
      <c r="LVX79" s="447"/>
      <c r="LVY79" s="448"/>
      <c r="LVZ79" s="453"/>
      <c r="LWA79" s="449"/>
      <c r="LWB79" s="450"/>
      <c r="LWC79" s="454"/>
      <c r="LWD79" s="448"/>
      <c r="LWF79" s="449"/>
      <c r="LWG79" s="450"/>
      <c r="LWH79" s="452"/>
      <c r="LWI79" s="448"/>
      <c r="LWK79" s="449"/>
      <c r="LWL79" s="450"/>
      <c r="LWM79" s="447"/>
      <c r="LWN79" s="448"/>
      <c r="LWP79" s="449"/>
      <c r="LWQ79" s="450"/>
      <c r="LWR79" s="452"/>
      <c r="LWS79" s="448"/>
      <c r="LWT79" s="449"/>
      <c r="LWU79" s="450"/>
      <c r="LWV79" s="452"/>
      <c r="LWW79" s="448"/>
      <c r="LWX79" s="455"/>
      <c r="LWY79" s="449"/>
      <c r="LWZ79" s="450"/>
      <c r="LXA79" s="459"/>
      <c r="LXB79" s="448"/>
      <c r="LXC79" s="456"/>
      <c r="LXD79" s="449"/>
      <c r="LXE79" s="450"/>
      <c r="LXF79" s="452"/>
      <c r="LXG79" s="448"/>
      <c r="LXH79" s="449"/>
      <c r="LXI79" s="450"/>
      <c r="LXJ79" s="452"/>
      <c r="LXK79" s="448"/>
      <c r="LXL79" s="449"/>
      <c r="LXM79" s="450"/>
      <c r="LXN79" s="447"/>
      <c r="LXO79" s="448"/>
      <c r="LXP79" s="457"/>
      <c r="LXQ79" s="460"/>
      <c r="LXR79" s="450"/>
      <c r="LXS79" s="461"/>
      <c r="LXT79" s="448"/>
      <c r="LXU79" s="456"/>
      <c r="LXV79" s="449"/>
      <c r="LXW79" s="450"/>
      <c r="LXX79" s="452"/>
      <c r="LXY79" s="448"/>
      <c r="LXZ79" s="456"/>
      <c r="LYA79" s="458"/>
      <c r="LYB79" s="458"/>
      <c r="LYD79" s="454"/>
      <c r="LYE79" s="450"/>
      <c r="LYF79" s="454"/>
      <c r="LYG79" s="448"/>
      <c r="LYH79" s="449"/>
      <c r="LYI79" s="450"/>
      <c r="LYJ79" s="447"/>
      <c r="LYK79" s="448"/>
      <c r="LYL79" s="449"/>
      <c r="LYM79" s="450"/>
      <c r="LYN79" s="447"/>
      <c r="LYO79" s="451"/>
      <c r="LYP79" s="449"/>
      <c r="LYQ79" s="450"/>
      <c r="LYR79" s="447"/>
      <c r="LYS79" s="451"/>
      <c r="LYT79" s="449"/>
      <c r="LYU79" s="450"/>
      <c r="LYV79" s="447"/>
      <c r="LYW79" s="451"/>
      <c r="LYX79" s="449"/>
      <c r="LYY79" s="450"/>
      <c r="LYZ79" s="452"/>
      <c r="LZA79" s="451"/>
      <c r="LZB79" s="449"/>
      <c r="LZC79" s="450"/>
      <c r="LZD79" s="447"/>
      <c r="LZE79" s="448"/>
      <c r="LZF79" s="453"/>
      <c r="LZG79" s="449"/>
      <c r="LZH79" s="450"/>
      <c r="LZI79" s="454"/>
      <c r="LZJ79" s="448"/>
      <c r="LZL79" s="449"/>
      <c r="LZM79" s="450"/>
      <c r="LZN79" s="452"/>
      <c r="LZO79" s="448"/>
      <c r="LZQ79" s="449"/>
      <c r="LZR79" s="450"/>
      <c r="LZS79" s="447"/>
      <c r="LZT79" s="448"/>
      <c r="LZV79" s="449"/>
      <c r="LZW79" s="450"/>
      <c r="LZX79" s="452"/>
      <c r="LZY79" s="448"/>
      <c r="LZZ79" s="449"/>
      <c r="MAA79" s="450"/>
      <c r="MAB79" s="452"/>
      <c r="MAC79" s="448"/>
      <c r="MAD79" s="455"/>
      <c r="MAE79" s="449"/>
      <c r="MAF79" s="450"/>
      <c r="MAG79" s="459"/>
      <c r="MAH79" s="448"/>
      <c r="MAI79" s="456"/>
      <c r="MAJ79" s="449"/>
      <c r="MAK79" s="450"/>
      <c r="MAL79" s="452"/>
      <c r="MAM79" s="448"/>
      <c r="MAN79" s="449"/>
      <c r="MAO79" s="450"/>
      <c r="MAP79" s="452"/>
      <c r="MAQ79" s="448"/>
      <c r="MAR79" s="449"/>
      <c r="MAS79" s="450"/>
      <c r="MAT79" s="447"/>
      <c r="MAU79" s="448"/>
      <c r="MAV79" s="457"/>
      <c r="MAW79" s="460"/>
      <c r="MAX79" s="450"/>
      <c r="MAY79" s="461"/>
      <c r="MAZ79" s="448"/>
      <c r="MBA79" s="456"/>
      <c r="MBB79" s="449"/>
      <c r="MBC79" s="450"/>
      <c r="MBD79" s="452"/>
      <c r="MBE79" s="448"/>
      <c r="MBF79" s="456"/>
      <c r="MBG79" s="458"/>
      <c r="MBH79" s="458"/>
      <c r="MBJ79" s="454"/>
      <c r="MBK79" s="450"/>
      <c r="MBL79" s="454"/>
      <c r="MBM79" s="448"/>
      <c r="MBN79" s="449"/>
      <c r="MBO79" s="450"/>
      <c r="MBP79" s="447"/>
      <c r="MBQ79" s="448"/>
      <c r="MBR79" s="449"/>
      <c r="MBS79" s="450"/>
      <c r="MBT79" s="447"/>
      <c r="MBU79" s="451"/>
      <c r="MBV79" s="449"/>
      <c r="MBW79" s="450"/>
      <c r="MBX79" s="447"/>
      <c r="MBY79" s="451"/>
      <c r="MBZ79" s="449"/>
      <c r="MCA79" s="450"/>
      <c r="MCB79" s="447"/>
      <c r="MCC79" s="451"/>
      <c r="MCD79" s="449"/>
      <c r="MCE79" s="450"/>
      <c r="MCF79" s="452"/>
      <c r="MCG79" s="451"/>
      <c r="MCH79" s="449"/>
      <c r="MCI79" s="450"/>
      <c r="MCJ79" s="447"/>
      <c r="MCK79" s="448"/>
      <c r="MCL79" s="453"/>
      <c r="MCM79" s="449"/>
      <c r="MCN79" s="450"/>
      <c r="MCO79" s="454"/>
      <c r="MCP79" s="448"/>
      <c r="MCR79" s="449"/>
      <c r="MCS79" s="450"/>
      <c r="MCT79" s="452"/>
      <c r="MCU79" s="448"/>
      <c r="MCW79" s="449"/>
      <c r="MCX79" s="450"/>
      <c r="MCY79" s="447"/>
      <c r="MCZ79" s="448"/>
      <c r="MDB79" s="449"/>
      <c r="MDC79" s="450"/>
      <c r="MDD79" s="452"/>
      <c r="MDE79" s="448"/>
      <c r="MDF79" s="449"/>
      <c r="MDG79" s="450"/>
      <c r="MDH79" s="452"/>
      <c r="MDI79" s="448"/>
      <c r="MDJ79" s="455"/>
      <c r="MDK79" s="449"/>
      <c r="MDL79" s="450"/>
      <c r="MDM79" s="459"/>
      <c r="MDN79" s="448"/>
      <c r="MDO79" s="456"/>
      <c r="MDP79" s="449"/>
      <c r="MDQ79" s="450"/>
      <c r="MDR79" s="452"/>
      <c r="MDS79" s="448"/>
      <c r="MDT79" s="449"/>
      <c r="MDU79" s="450"/>
      <c r="MDV79" s="452"/>
      <c r="MDW79" s="448"/>
      <c r="MDX79" s="449"/>
      <c r="MDY79" s="450"/>
      <c r="MDZ79" s="447"/>
      <c r="MEA79" s="448"/>
      <c r="MEB79" s="457"/>
      <c r="MEC79" s="460"/>
      <c r="MED79" s="450"/>
      <c r="MEE79" s="461"/>
      <c r="MEF79" s="448"/>
      <c r="MEG79" s="456"/>
      <c r="MEH79" s="449"/>
      <c r="MEI79" s="450"/>
      <c r="MEJ79" s="452"/>
      <c r="MEK79" s="448"/>
      <c r="MEL79" s="456"/>
      <c r="MEM79" s="458"/>
      <c r="MEN79" s="458"/>
      <c r="MEP79" s="454"/>
      <c r="MEQ79" s="450"/>
      <c r="MER79" s="454"/>
      <c r="MES79" s="448"/>
      <c r="MET79" s="449"/>
      <c r="MEU79" s="450"/>
      <c r="MEV79" s="447"/>
      <c r="MEW79" s="448"/>
      <c r="MEX79" s="449"/>
      <c r="MEY79" s="450"/>
      <c r="MEZ79" s="447"/>
      <c r="MFA79" s="451"/>
      <c r="MFB79" s="449"/>
      <c r="MFC79" s="450"/>
      <c r="MFD79" s="447"/>
      <c r="MFE79" s="451"/>
      <c r="MFF79" s="449"/>
      <c r="MFG79" s="450"/>
      <c r="MFH79" s="447"/>
      <c r="MFI79" s="451"/>
      <c r="MFJ79" s="449"/>
      <c r="MFK79" s="450"/>
      <c r="MFL79" s="452"/>
      <c r="MFM79" s="451"/>
      <c r="MFN79" s="449"/>
      <c r="MFO79" s="450"/>
      <c r="MFP79" s="447"/>
      <c r="MFQ79" s="448"/>
      <c r="MFR79" s="453"/>
      <c r="MFS79" s="449"/>
      <c r="MFT79" s="450"/>
      <c r="MFU79" s="454"/>
      <c r="MFV79" s="448"/>
      <c r="MFX79" s="449"/>
      <c r="MFY79" s="450"/>
      <c r="MFZ79" s="452"/>
      <c r="MGA79" s="448"/>
      <c r="MGC79" s="449"/>
      <c r="MGD79" s="450"/>
      <c r="MGE79" s="447"/>
      <c r="MGF79" s="448"/>
      <c r="MGH79" s="449"/>
      <c r="MGI79" s="450"/>
      <c r="MGJ79" s="452"/>
      <c r="MGK79" s="448"/>
      <c r="MGL79" s="449"/>
      <c r="MGM79" s="450"/>
      <c r="MGN79" s="452"/>
      <c r="MGO79" s="448"/>
      <c r="MGP79" s="455"/>
      <c r="MGQ79" s="449"/>
      <c r="MGR79" s="450"/>
      <c r="MGS79" s="459"/>
      <c r="MGT79" s="448"/>
      <c r="MGU79" s="456"/>
      <c r="MGV79" s="449"/>
      <c r="MGW79" s="450"/>
      <c r="MGX79" s="452"/>
      <c r="MGY79" s="448"/>
      <c r="MGZ79" s="449"/>
      <c r="MHA79" s="450"/>
      <c r="MHB79" s="452"/>
      <c r="MHC79" s="448"/>
      <c r="MHD79" s="449"/>
      <c r="MHE79" s="450"/>
      <c r="MHF79" s="447"/>
      <c r="MHG79" s="448"/>
      <c r="MHH79" s="457"/>
      <c r="MHI79" s="460"/>
      <c r="MHJ79" s="450"/>
      <c r="MHK79" s="461"/>
      <c r="MHL79" s="448"/>
      <c r="MHM79" s="456"/>
      <c r="MHN79" s="449"/>
      <c r="MHO79" s="450"/>
      <c r="MHP79" s="452"/>
      <c r="MHQ79" s="448"/>
      <c r="MHR79" s="456"/>
      <c r="MHS79" s="458"/>
      <c r="MHT79" s="458"/>
      <c r="MHV79" s="454"/>
      <c r="MHW79" s="450"/>
      <c r="MHX79" s="454"/>
      <c r="MHY79" s="448"/>
      <c r="MHZ79" s="449"/>
      <c r="MIA79" s="450"/>
      <c r="MIB79" s="447"/>
      <c r="MIC79" s="448"/>
      <c r="MID79" s="449"/>
      <c r="MIE79" s="450"/>
      <c r="MIF79" s="447"/>
      <c r="MIG79" s="451"/>
      <c r="MIH79" s="449"/>
      <c r="MII79" s="450"/>
      <c r="MIJ79" s="447"/>
      <c r="MIK79" s="451"/>
      <c r="MIL79" s="449"/>
      <c r="MIM79" s="450"/>
      <c r="MIN79" s="447"/>
      <c r="MIO79" s="451"/>
      <c r="MIP79" s="449"/>
      <c r="MIQ79" s="450"/>
      <c r="MIR79" s="452"/>
      <c r="MIS79" s="451"/>
      <c r="MIT79" s="449"/>
      <c r="MIU79" s="450"/>
      <c r="MIV79" s="447"/>
      <c r="MIW79" s="448"/>
      <c r="MIX79" s="453"/>
      <c r="MIY79" s="449"/>
      <c r="MIZ79" s="450"/>
      <c r="MJA79" s="454"/>
      <c r="MJB79" s="448"/>
      <c r="MJD79" s="449"/>
      <c r="MJE79" s="450"/>
      <c r="MJF79" s="452"/>
      <c r="MJG79" s="448"/>
      <c r="MJI79" s="449"/>
      <c r="MJJ79" s="450"/>
      <c r="MJK79" s="447"/>
      <c r="MJL79" s="448"/>
      <c r="MJN79" s="449"/>
      <c r="MJO79" s="450"/>
      <c r="MJP79" s="452"/>
      <c r="MJQ79" s="448"/>
      <c r="MJR79" s="449"/>
      <c r="MJS79" s="450"/>
      <c r="MJT79" s="452"/>
      <c r="MJU79" s="448"/>
      <c r="MJV79" s="455"/>
      <c r="MJW79" s="449"/>
      <c r="MJX79" s="450"/>
      <c r="MJY79" s="459"/>
      <c r="MJZ79" s="448"/>
      <c r="MKA79" s="456"/>
      <c r="MKB79" s="449"/>
      <c r="MKC79" s="450"/>
      <c r="MKD79" s="452"/>
      <c r="MKE79" s="448"/>
      <c r="MKF79" s="449"/>
      <c r="MKG79" s="450"/>
      <c r="MKH79" s="452"/>
      <c r="MKI79" s="448"/>
      <c r="MKJ79" s="449"/>
      <c r="MKK79" s="450"/>
      <c r="MKL79" s="447"/>
      <c r="MKM79" s="448"/>
      <c r="MKN79" s="457"/>
      <c r="MKO79" s="460"/>
      <c r="MKP79" s="450"/>
      <c r="MKQ79" s="461"/>
      <c r="MKR79" s="448"/>
      <c r="MKS79" s="456"/>
      <c r="MKT79" s="449"/>
      <c r="MKU79" s="450"/>
      <c r="MKV79" s="452"/>
      <c r="MKW79" s="448"/>
      <c r="MKX79" s="456"/>
      <c r="MKY79" s="458"/>
      <c r="MKZ79" s="458"/>
      <c r="MLB79" s="454"/>
      <c r="MLC79" s="450"/>
      <c r="MLD79" s="454"/>
      <c r="MLE79" s="448"/>
      <c r="MLF79" s="449"/>
      <c r="MLG79" s="450"/>
      <c r="MLH79" s="447"/>
      <c r="MLI79" s="448"/>
      <c r="MLJ79" s="449"/>
      <c r="MLK79" s="450"/>
      <c r="MLL79" s="447"/>
      <c r="MLM79" s="451"/>
      <c r="MLN79" s="449"/>
      <c r="MLO79" s="450"/>
      <c r="MLP79" s="447"/>
      <c r="MLQ79" s="451"/>
      <c r="MLR79" s="449"/>
      <c r="MLS79" s="450"/>
      <c r="MLT79" s="447"/>
      <c r="MLU79" s="451"/>
      <c r="MLV79" s="449"/>
      <c r="MLW79" s="450"/>
      <c r="MLX79" s="452"/>
      <c r="MLY79" s="451"/>
      <c r="MLZ79" s="449"/>
      <c r="MMA79" s="450"/>
      <c r="MMB79" s="447"/>
      <c r="MMC79" s="448"/>
      <c r="MMD79" s="453"/>
      <c r="MME79" s="449"/>
      <c r="MMF79" s="450"/>
      <c r="MMG79" s="454"/>
      <c r="MMH79" s="448"/>
      <c r="MMJ79" s="449"/>
      <c r="MMK79" s="450"/>
      <c r="MML79" s="452"/>
      <c r="MMM79" s="448"/>
      <c r="MMO79" s="449"/>
      <c r="MMP79" s="450"/>
      <c r="MMQ79" s="447"/>
      <c r="MMR79" s="448"/>
      <c r="MMT79" s="449"/>
      <c r="MMU79" s="450"/>
      <c r="MMV79" s="452"/>
      <c r="MMW79" s="448"/>
      <c r="MMX79" s="449"/>
      <c r="MMY79" s="450"/>
      <c r="MMZ79" s="452"/>
      <c r="MNA79" s="448"/>
      <c r="MNB79" s="455"/>
      <c r="MNC79" s="449"/>
      <c r="MND79" s="450"/>
      <c r="MNE79" s="459"/>
      <c r="MNF79" s="448"/>
      <c r="MNG79" s="456"/>
      <c r="MNH79" s="449"/>
      <c r="MNI79" s="450"/>
      <c r="MNJ79" s="452"/>
      <c r="MNK79" s="448"/>
      <c r="MNL79" s="449"/>
      <c r="MNM79" s="450"/>
      <c r="MNN79" s="452"/>
      <c r="MNO79" s="448"/>
      <c r="MNP79" s="449"/>
      <c r="MNQ79" s="450"/>
      <c r="MNR79" s="447"/>
      <c r="MNS79" s="448"/>
      <c r="MNT79" s="457"/>
      <c r="MNU79" s="460"/>
      <c r="MNV79" s="450"/>
      <c r="MNW79" s="461"/>
      <c r="MNX79" s="448"/>
      <c r="MNY79" s="456"/>
      <c r="MNZ79" s="449"/>
      <c r="MOA79" s="450"/>
      <c r="MOB79" s="452"/>
      <c r="MOC79" s="448"/>
      <c r="MOD79" s="456"/>
      <c r="MOE79" s="458"/>
      <c r="MOF79" s="458"/>
      <c r="MOH79" s="454"/>
      <c r="MOI79" s="450"/>
      <c r="MOJ79" s="454"/>
      <c r="MOK79" s="448"/>
      <c r="MOL79" s="449"/>
      <c r="MOM79" s="450"/>
      <c r="MON79" s="447"/>
      <c r="MOO79" s="448"/>
      <c r="MOP79" s="449"/>
      <c r="MOQ79" s="450"/>
      <c r="MOR79" s="447"/>
      <c r="MOS79" s="451"/>
      <c r="MOT79" s="449"/>
      <c r="MOU79" s="450"/>
      <c r="MOV79" s="447"/>
      <c r="MOW79" s="451"/>
      <c r="MOX79" s="449"/>
      <c r="MOY79" s="450"/>
      <c r="MOZ79" s="447"/>
      <c r="MPA79" s="451"/>
      <c r="MPB79" s="449"/>
      <c r="MPC79" s="450"/>
      <c r="MPD79" s="452"/>
      <c r="MPE79" s="451"/>
      <c r="MPF79" s="449"/>
      <c r="MPG79" s="450"/>
      <c r="MPH79" s="447"/>
      <c r="MPI79" s="448"/>
      <c r="MPJ79" s="453"/>
      <c r="MPK79" s="449"/>
      <c r="MPL79" s="450"/>
      <c r="MPM79" s="454"/>
      <c r="MPN79" s="448"/>
      <c r="MPP79" s="449"/>
      <c r="MPQ79" s="450"/>
      <c r="MPR79" s="452"/>
      <c r="MPS79" s="448"/>
      <c r="MPU79" s="449"/>
      <c r="MPV79" s="450"/>
      <c r="MPW79" s="447"/>
      <c r="MPX79" s="448"/>
      <c r="MPZ79" s="449"/>
      <c r="MQA79" s="450"/>
      <c r="MQB79" s="452"/>
      <c r="MQC79" s="448"/>
      <c r="MQD79" s="449"/>
      <c r="MQE79" s="450"/>
      <c r="MQF79" s="452"/>
      <c r="MQG79" s="448"/>
      <c r="MQH79" s="455"/>
      <c r="MQI79" s="449"/>
      <c r="MQJ79" s="450"/>
      <c r="MQK79" s="459"/>
      <c r="MQL79" s="448"/>
      <c r="MQM79" s="456"/>
      <c r="MQN79" s="449"/>
      <c r="MQO79" s="450"/>
      <c r="MQP79" s="452"/>
      <c r="MQQ79" s="448"/>
      <c r="MQR79" s="449"/>
      <c r="MQS79" s="450"/>
      <c r="MQT79" s="452"/>
      <c r="MQU79" s="448"/>
      <c r="MQV79" s="449"/>
      <c r="MQW79" s="450"/>
      <c r="MQX79" s="447"/>
      <c r="MQY79" s="448"/>
      <c r="MQZ79" s="457"/>
      <c r="MRA79" s="460"/>
      <c r="MRB79" s="450"/>
      <c r="MRC79" s="461"/>
      <c r="MRD79" s="448"/>
      <c r="MRE79" s="456"/>
      <c r="MRF79" s="449"/>
      <c r="MRG79" s="450"/>
      <c r="MRH79" s="452"/>
      <c r="MRI79" s="448"/>
      <c r="MRJ79" s="456"/>
      <c r="MRK79" s="458"/>
      <c r="MRL79" s="458"/>
      <c r="MRN79" s="454"/>
      <c r="MRO79" s="450"/>
      <c r="MRP79" s="454"/>
      <c r="MRQ79" s="448"/>
      <c r="MRR79" s="449"/>
      <c r="MRS79" s="450"/>
      <c r="MRT79" s="447"/>
      <c r="MRU79" s="448"/>
      <c r="MRV79" s="449"/>
      <c r="MRW79" s="450"/>
      <c r="MRX79" s="447"/>
      <c r="MRY79" s="451"/>
      <c r="MRZ79" s="449"/>
      <c r="MSA79" s="450"/>
      <c r="MSB79" s="447"/>
      <c r="MSC79" s="451"/>
      <c r="MSD79" s="449"/>
      <c r="MSE79" s="450"/>
      <c r="MSF79" s="447"/>
      <c r="MSG79" s="451"/>
      <c r="MSH79" s="449"/>
      <c r="MSI79" s="450"/>
      <c r="MSJ79" s="452"/>
      <c r="MSK79" s="451"/>
      <c r="MSL79" s="449"/>
      <c r="MSM79" s="450"/>
      <c r="MSN79" s="447"/>
      <c r="MSO79" s="448"/>
      <c r="MSP79" s="453"/>
      <c r="MSQ79" s="449"/>
      <c r="MSR79" s="450"/>
      <c r="MSS79" s="454"/>
      <c r="MST79" s="448"/>
      <c r="MSV79" s="449"/>
      <c r="MSW79" s="450"/>
      <c r="MSX79" s="452"/>
      <c r="MSY79" s="448"/>
      <c r="MTA79" s="449"/>
      <c r="MTB79" s="450"/>
      <c r="MTC79" s="447"/>
      <c r="MTD79" s="448"/>
      <c r="MTF79" s="449"/>
      <c r="MTG79" s="450"/>
      <c r="MTH79" s="452"/>
      <c r="MTI79" s="448"/>
      <c r="MTJ79" s="449"/>
      <c r="MTK79" s="450"/>
      <c r="MTL79" s="452"/>
      <c r="MTM79" s="448"/>
      <c r="MTN79" s="455"/>
      <c r="MTO79" s="449"/>
      <c r="MTP79" s="450"/>
      <c r="MTQ79" s="459"/>
      <c r="MTR79" s="448"/>
      <c r="MTS79" s="456"/>
      <c r="MTT79" s="449"/>
      <c r="MTU79" s="450"/>
      <c r="MTV79" s="452"/>
      <c r="MTW79" s="448"/>
      <c r="MTX79" s="449"/>
      <c r="MTY79" s="450"/>
      <c r="MTZ79" s="452"/>
      <c r="MUA79" s="448"/>
      <c r="MUB79" s="449"/>
      <c r="MUC79" s="450"/>
      <c r="MUD79" s="447"/>
      <c r="MUE79" s="448"/>
      <c r="MUF79" s="457"/>
      <c r="MUG79" s="460"/>
      <c r="MUH79" s="450"/>
      <c r="MUI79" s="461"/>
      <c r="MUJ79" s="448"/>
      <c r="MUK79" s="456"/>
      <c r="MUL79" s="449"/>
      <c r="MUM79" s="450"/>
      <c r="MUN79" s="452"/>
      <c r="MUO79" s="448"/>
      <c r="MUP79" s="456"/>
      <c r="MUQ79" s="458"/>
      <c r="MUR79" s="458"/>
      <c r="MUT79" s="454"/>
      <c r="MUU79" s="450"/>
      <c r="MUV79" s="454"/>
      <c r="MUW79" s="448"/>
      <c r="MUX79" s="449"/>
      <c r="MUY79" s="450"/>
      <c r="MUZ79" s="447"/>
      <c r="MVA79" s="448"/>
      <c r="MVB79" s="449"/>
      <c r="MVC79" s="450"/>
      <c r="MVD79" s="447"/>
      <c r="MVE79" s="451"/>
      <c r="MVF79" s="449"/>
      <c r="MVG79" s="450"/>
      <c r="MVH79" s="447"/>
      <c r="MVI79" s="451"/>
      <c r="MVJ79" s="449"/>
      <c r="MVK79" s="450"/>
      <c r="MVL79" s="447"/>
      <c r="MVM79" s="451"/>
      <c r="MVN79" s="449"/>
      <c r="MVO79" s="450"/>
      <c r="MVP79" s="452"/>
      <c r="MVQ79" s="451"/>
      <c r="MVR79" s="449"/>
      <c r="MVS79" s="450"/>
      <c r="MVT79" s="447"/>
      <c r="MVU79" s="448"/>
      <c r="MVV79" s="453"/>
      <c r="MVW79" s="449"/>
      <c r="MVX79" s="450"/>
      <c r="MVY79" s="454"/>
      <c r="MVZ79" s="448"/>
      <c r="MWB79" s="449"/>
      <c r="MWC79" s="450"/>
      <c r="MWD79" s="452"/>
      <c r="MWE79" s="448"/>
      <c r="MWG79" s="449"/>
      <c r="MWH79" s="450"/>
      <c r="MWI79" s="447"/>
      <c r="MWJ79" s="448"/>
      <c r="MWL79" s="449"/>
      <c r="MWM79" s="450"/>
      <c r="MWN79" s="452"/>
      <c r="MWO79" s="448"/>
      <c r="MWP79" s="449"/>
      <c r="MWQ79" s="450"/>
      <c r="MWR79" s="452"/>
      <c r="MWS79" s="448"/>
      <c r="MWT79" s="455"/>
      <c r="MWU79" s="449"/>
      <c r="MWV79" s="450"/>
      <c r="MWW79" s="459"/>
      <c r="MWX79" s="448"/>
      <c r="MWY79" s="456"/>
      <c r="MWZ79" s="449"/>
      <c r="MXA79" s="450"/>
      <c r="MXB79" s="452"/>
      <c r="MXC79" s="448"/>
      <c r="MXD79" s="449"/>
      <c r="MXE79" s="450"/>
      <c r="MXF79" s="452"/>
      <c r="MXG79" s="448"/>
      <c r="MXH79" s="449"/>
      <c r="MXI79" s="450"/>
      <c r="MXJ79" s="447"/>
      <c r="MXK79" s="448"/>
      <c r="MXL79" s="457"/>
      <c r="MXM79" s="460"/>
      <c r="MXN79" s="450"/>
      <c r="MXO79" s="461"/>
      <c r="MXP79" s="448"/>
      <c r="MXQ79" s="456"/>
      <c r="MXR79" s="449"/>
      <c r="MXS79" s="450"/>
      <c r="MXT79" s="452"/>
      <c r="MXU79" s="448"/>
      <c r="MXV79" s="456"/>
      <c r="MXW79" s="458"/>
      <c r="MXX79" s="458"/>
      <c r="MXZ79" s="454"/>
      <c r="MYA79" s="450"/>
      <c r="MYB79" s="454"/>
      <c r="MYC79" s="448"/>
      <c r="MYD79" s="449"/>
      <c r="MYE79" s="450"/>
      <c r="MYF79" s="447"/>
      <c r="MYG79" s="448"/>
      <c r="MYH79" s="449"/>
      <c r="MYI79" s="450"/>
      <c r="MYJ79" s="447"/>
      <c r="MYK79" s="451"/>
      <c r="MYL79" s="449"/>
      <c r="MYM79" s="450"/>
      <c r="MYN79" s="447"/>
      <c r="MYO79" s="451"/>
      <c r="MYP79" s="449"/>
      <c r="MYQ79" s="450"/>
      <c r="MYR79" s="447"/>
      <c r="MYS79" s="451"/>
      <c r="MYT79" s="449"/>
      <c r="MYU79" s="450"/>
      <c r="MYV79" s="452"/>
      <c r="MYW79" s="451"/>
      <c r="MYX79" s="449"/>
      <c r="MYY79" s="450"/>
      <c r="MYZ79" s="447"/>
      <c r="MZA79" s="448"/>
      <c r="MZB79" s="453"/>
      <c r="MZC79" s="449"/>
      <c r="MZD79" s="450"/>
      <c r="MZE79" s="454"/>
      <c r="MZF79" s="448"/>
      <c r="MZH79" s="449"/>
      <c r="MZI79" s="450"/>
      <c r="MZJ79" s="452"/>
      <c r="MZK79" s="448"/>
      <c r="MZM79" s="449"/>
      <c r="MZN79" s="450"/>
      <c r="MZO79" s="447"/>
      <c r="MZP79" s="448"/>
      <c r="MZR79" s="449"/>
      <c r="MZS79" s="450"/>
      <c r="MZT79" s="452"/>
      <c r="MZU79" s="448"/>
      <c r="MZV79" s="449"/>
      <c r="MZW79" s="450"/>
      <c r="MZX79" s="452"/>
      <c r="MZY79" s="448"/>
      <c r="MZZ79" s="455"/>
      <c r="NAA79" s="449"/>
      <c r="NAB79" s="450"/>
      <c r="NAC79" s="459"/>
      <c r="NAD79" s="448"/>
      <c r="NAE79" s="456"/>
      <c r="NAF79" s="449"/>
      <c r="NAG79" s="450"/>
      <c r="NAH79" s="452"/>
      <c r="NAI79" s="448"/>
      <c r="NAJ79" s="449"/>
      <c r="NAK79" s="450"/>
      <c r="NAL79" s="452"/>
      <c r="NAM79" s="448"/>
      <c r="NAN79" s="449"/>
      <c r="NAO79" s="450"/>
      <c r="NAP79" s="447"/>
      <c r="NAQ79" s="448"/>
      <c r="NAR79" s="457"/>
      <c r="NAS79" s="460"/>
      <c r="NAT79" s="450"/>
      <c r="NAU79" s="461"/>
      <c r="NAV79" s="448"/>
      <c r="NAW79" s="456"/>
      <c r="NAX79" s="449"/>
      <c r="NAY79" s="450"/>
      <c r="NAZ79" s="452"/>
      <c r="NBA79" s="448"/>
      <c r="NBB79" s="456"/>
      <c r="NBC79" s="458"/>
      <c r="NBD79" s="458"/>
      <c r="NBF79" s="454"/>
      <c r="NBG79" s="450"/>
      <c r="NBH79" s="454"/>
      <c r="NBI79" s="448"/>
      <c r="NBJ79" s="449"/>
      <c r="NBK79" s="450"/>
      <c r="NBL79" s="447"/>
      <c r="NBM79" s="448"/>
      <c r="NBN79" s="449"/>
      <c r="NBO79" s="450"/>
      <c r="NBP79" s="447"/>
      <c r="NBQ79" s="451"/>
      <c r="NBR79" s="449"/>
      <c r="NBS79" s="450"/>
      <c r="NBT79" s="447"/>
      <c r="NBU79" s="451"/>
      <c r="NBV79" s="449"/>
      <c r="NBW79" s="450"/>
      <c r="NBX79" s="447"/>
      <c r="NBY79" s="451"/>
      <c r="NBZ79" s="449"/>
      <c r="NCA79" s="450"/>
      <c r="NCB79" s="452"/>
      <c r="NCC79" s="451"/>
      <c r="NCD79" s="449"/>
      <c r="NCE79" s="450"/>
      <c r="NCF79" s="447"/>
      <c r="NCG79" s="448"/>
      <c r="NCH79" s="453"/>
      <c r="NCI79" s="449"/>
      <c r="NCJ79" s="450"/>
      <c r="NCK79" s="454"/>
      <c r="NCL79" s="448"/>
      <c r="NCN79" s="449"/>
      <c r="NCO79" s="450"/>
      <c r="NCP79" s="452"/>
      <c r="NCQ79" s="448"/>
      <c r="NCS79" s="449"/>
      <c r="NCT79" s="450"/>
      <c r="NCU79" s="447"/>
      <c r="NCV79" s="448"/>
      <c r="NCX79" s="449"/>
      <c r="NCY79" s="450"/>
      <c r="NCZ79" s="452"/>
      <c r="NDA79" s="448"/>
      <c r="NDB79" s="449"/>
      <c r="NDC79" s="450"/>
      <c r="NDD79" s="452"/>
      <c r="NDE79" s="448"/>
      <c r="NDF79" s="455"/>
      <c r="NDG79" s="449"/>
      <c r="NDH79" s="450"/>
      <c r="NDI79" s="459"/>
      <c r="NDJ79" s="448"/>
      <c r="NDK79" s="456"/>
      <c r="NDL79" s="449"/>
      <c r="NDM79" s="450"/>
      <c r="NDN79" s="452"/>
      <c r="NDO79" s="448"/>
      <c r="NDP79" s="449"/>
      <c r="NDQ79" s="450"/>
      <c r="NDR79" s="452"/>
      <c r="NDS79" s="448"/>
      <c r="NDT79" s="449"/>
      <c r="NDU79" s="450"/>
      <c r="NDV79" s="447"/>
      <c r="NDW79" s="448"/>
      <c r="NDX79" s="457"/>
      <c r="NDY79" s="460"/>
      <c r="NDZ79" s="450"/>
      <c r="NEA79" s="461"/>
      <c r="NEB79" s="448"/>
      <c r="NEC79" s="456"/>
      <c r="NED79" s="449"/>
      <c r="NEE79" s="450"/>
      <c r="NEF79" s="452"/>
      <c r="NEG79" s="448"/>
      <c r="NEH79" s="456"/>
      <c r="NEI79" s="458"/>
      <c r="NEJ79" s="458"/>
      <c r="NEL79" s="454"/>
      <c r="NEM79" s="450"/>
      <c r="NEN79" s="454"/>
      <c r="NEO79" s="448"/>
      <c r="NEP79" s="449"/>
      <c r="NEQ79" s="450"/>
      <c r="NER79" s="447"/>
      <c r="NES79" s="448"/>
      <c r="NET79" s="449"/>
      <c r="NEU79" s="450"/>
      <c r="NEV79" s="447"/>
      <c r="NEW79" s="451"/>
      <c r="NEX79" s="449"/>
      <c r="NEY79" s="450"/>
      <c r="NEZ79" s="447"/>
      <c r="NFA79" s="451"/>
      <c r="NFB79" s="449"/>
      <c r="NFC79" s="450"/>
      <c r="NFD79" s="447"/>
      <c r="NFE79" s="451"/>
      <c r="NFF79" s="449"/>
      <c r="NFG79" s="450"/>
      <c r="NFH79" s="452"/>
      <c r="NFI79" s="451"/>
      <c r="NFJ79" s="449"/>
      <c r="NFK79" s="450"/>
      <c r="NFL79" s="447"/>
      <c r="NFM79" s="448"/>
      <c r="NFN79" s="453"/>
      <c r="NFO79" s="449"/>
      <c r="NFP79" s="450"/>
      <c r="NFQ79" s="454"/>
      <c r="NFR79" s="448"/>
      <c r="NFT79" s="449"/>
      <c r="NFU79" s="450"/>
      <c r="NFV79" s="452"/>
      <c r="NFW79" s="448"/>
      <c r="NFY79" s="449"/>
      <c r="NFZ79" s="450"/>
      <c r="NGA79" s="447"/>
      <c r="NGB79" s="448"/>
      <c r="NGD79" s="449"/>
      <c r="NGE79" s="450"/>
      <c r="NGF79" s="452"/>
      <c r="NGG79" s="448"/>
      <c r="NGH79" s="449"/>
      <c r="NGI79" s="450"/>
      <c r="NGJ79" s="452"/>
      <c r="NGK79" s="448"/>
      <c r="NGL79" s="455"/>
      <c r="NGM79" s="449"/>
      <c r="NGN79" s="450"/>
      <c r="NGO79" s="459"/>
      <c r="NGP79" s="448"/>
      <c r="NGQ79" s="456"/>
      <c r="NGR79" s="449"/>
      <c r="NGS79" s="450"/>
      <c r="NGT79" s="452"/>
      <c r="NGU79" s="448"/>
      <c r="NGV79" s="449"/>
      <c r="NGW79" s="450"/>
      <c r="NGX79" s="452"/>
      <c r="NGY79" s="448"/>
      <c r="NGZ79" s="449"/>
      <c r="NHA79" s="450"/>
      <c r="NHB79" s="447"/>
      <c r="NHC79" s="448"/>
      <c r="NHD79" s="457"/>
      <c r="NHE79" s="460"/>
      <c r="NHF79" s="450"/>
      <c r="NHG79" s="461"/>
      <c r="NHH79" s="448"/>
      <c r="NHI79" s="456"/>
      <c r="NHJ79" s="449"/>
      <c r="NHK79" s="450"/>
      <c r="NHL79" s="452"/>
      <c r="NHM79" s="448"/>
      <c r="NHN79" s="456"/>
      <c r="NHO79" s="458"/>
      <c r="NHP79" s="458"/>
      <c r="NHR79" s="454"/>
      <c r="NHS79" s="450"/>
      <c r="NHT79" s="454"/>
      <c r="NHU79" s="448"/>
      <c r="NHV79" s="449"/>
      <c r="NHW79" s="450"/>
      <c r="NHX79" s="447"/>
      <c r="NHY79" s="448"/>
      <c r="NHZ79" s="449"/>
      <c r="NIA79" s="450"/>
      <c r="NIB79" s="447"/>
      <c r="NIC79" s="451"/>
      <c r="NID79" s="449"/>
      <c r="NIE79" s="450"/>
      <c r="NIF79" s="447"/>
      <c r="NIG79" s="451"/>
      <c r="NIH79" s="449"/>
      <c r="NII79" s="450"/>
      <c r="NIJ79" s="447"/>
      <c r="NIK79" s="451"/>
      <c r="NIL79" s="449"/>
      <c r="NIM79" s="450"/>
      <c r="NIN79" s="452"/>
      <c r="NIO79" s="451"/>
      <c r="NIP79" s="449"/>
      <c r="NIQ79" s="450"/>
      <c r="NIR79" s="447"/>
      <c r="NIS79" s="448"/>
      <c r="NIT79" s="453"/>
      <c r="NIU79" s="449"/>
      <c r="NIV79" s="450"/>
      <c r="NIW79" s="454"/>
      <c r="NIX79" s="448"/>
      <c r="NIZ79" s="449"/>
      <c r="NJA79" s="450"/>
      <c r="NJB79" s="452"/>
      <c r="NJC79" s="448"/>
      <c r="NJE79" s="449"/>
      <c r="NJF79" s="450"/>
      <c r="NJG79" s="447"/>
      <c r="NJH79" s="448"/>
      <c r="NJJ79" s="449"/>
      <c r="NJK79" s="450"/>
      <c r="NJL79" s="452"/>
      <c r="NJM79" s="448"/>
      <c r="NJN79" s="449"/>
      <c r="NJO79" s="450"/>
      <c r="NJP79" s="452"/>
      <c r="NJQ79" s="448"/>
      <c r="NJR79" s="455"/>
      <c r="NJS79" s="449"/>
      <c r="NJT79" s="450"/>
      <c r="NJU79" s="459"/>
      <c r="NJV79" s="448"/>
      <c r="NJW79" s="456"/>
      <c r="NJX79" s="449"/>
      <c r="NJY79" s="450"/>
      <c r="NJZ79" s="452"/>
      <c r="NKA79" s="448"/>
      <c r="NKB79" s="449"/>
      <c r="NKC79" s="450"/>
      <c r="NKD79" s="452"/>
      <c r="NKE79" s="448"/>
      <c r="NKF79" s="449"/>
      <c r="NKG79" s="450"/>
      <c r="NKH79" s="447"/>
      <c r="NKI79" s="448"/>
      <c r="NKJ79" s="457"/>
      <c r="NKK79" s="460"/>
      <c r="NKL79" s="450"/>
      <c r="NKM79" s="461"/>
      <c r="NKN79" s="448"/>
      <c r="NKO79" s="456"/>
      <c r="NKP79" s="449"/>
      <c r="NKQ79" s="450"/>
      <c r="NKR79" s="452"/>
      <c r="NKS79" s="448"/>
      <c r="NKT79" s="456"/>
      <c r="NKU79" s="458"/>
      <c r="NKV79" s="458"/>
      <c r="NKX79" s="454"/>
      <c r="NKY79" s="450"/>
      <c r="NKZ79" s="454"/>
      <c r="NLA79" s="448"/>
      <c r="NLB79" s="449"/>
      <c r="NLC79" s="450"/>
      <c r="NLD79" s="447"/>
      <c r="NLE79" s="448"/>
      <c r="NLF79" s="449"/>
      <c r="NLG79" s="450"/>
      <c r="NLH79" s="447"/>
      <c r="NLI79" s="451"/>
      <c r="NLJ79" s="449"/>
      <c r="NLK79" s="450"/>
      <c r="NLL79" s="447"/>
      <c r="NLM79" s="451"/>
      <c r="NLN79" s="449"/>
      <c r="NLO79" s="450"/>
      <c r="NLP79" s="447"/>
      <c r="NLQ79" s="451"/>
      <c r="NLR79" s="449"/>
      <c r="NLS79" s="450"/>
      <c r="NLT79" s="452"/>
      <c r="NLU79" s="451"/>
      <c r="NLV79" s="449"/>
      <c r="NLW79" s="450"/>
      <c r="NLX79" s="447"/>
      <c r="NLY79" s="448"/>
      <c r="NLZ79" s="453"/>
      <c r="NMA79" s="449"/>
      <c r="NMB79" s="450"/>
      <c r="NMC79" s="454"/>
      <c r="NMD79" s="448"/>
      <c r="NMF79" s="449"/>
      <c r="NMG79" s="450"/>
      <c r="NMH79" s="452"/>
      <c r="NMI79" s="448"/>
      <c r="NMK79" s="449"/>
      <c r="NML79" s="450"/>
      <c r="NMM79" s="447"/>
      <c r="NMN79" s="448"/>
      <c r="NMP79" s="449"/>
      <c r="NMQ79" s="450"/>
      <c r="NMR79" s="452"/>
      <c r="NMS79" s="448"/>
      <c r="NMT79" s="449"/>
      <c r="NMU79" s="450"/>
      <c r="NMV79" s="452"/>
      <c r="NMW79" s="448"/>
      <c r="NMX79" s="455"/>
      <c r="NMY79" s="449"/>
      <c r="NMZ79" s="450"/>
      <c r="NNA79" s="459"/>
      <c r="NNB79" s="448"/>
      <c r="NNC79" s="456"/>
      <c r="NND79" s="449"/>
      <c r="NNE79" s="450"/>
      <c r="NNF79" s="452"/>
      <c r="NNG79" s="448"/>
      <c r="NNH79" s="449"/>
      <c r="NNI79" s="450"/>
      <c r="NNJ79" s="452"/>
      <c r="NNK79" s="448"/>
      <c r="NNL79" s="449"/>
      <c r="NNM79" s="450"/>
      <c r="NNN79" s="447"/>
      <c r="NNO79" s="448"/>
      <c r="NNP79" s="457"/>
      <c r="NNQ79" s="460"/>
      <c r="NNR79" s="450"/>
      <c r="NNS79" s="461"/>
      <c r="NNT79" s="448"/>
      <c r="NNU79" s="456"/>
      <c r="NNV79" s="449"/>
      <c r="NNW79" s="450"/>
      <c r="NNX79" s="452"/>
      <c r="NNY79" s="448"/>
      <c r="NNZ79" s="456"/>
      <c r="NOA79" s="458"/>
      <c r="NOB79" s="458"/>
      <c r="NOD79" s="454"/>
      <c r="NOE79" s="450"/>
      <c r="NOF79" s="454"/>
      <c r="NOG79" s="448"/>
      <c r="NOH79" s="449"/>
      <c r="NOI79" s="450"/>
      <c r="NOJ79" s="447"/>
      <c r="NOK79" s="448"/>
      <c r="NOL79" s="449"/>
      <c r="NOM79" s="450"/>
      <c r="NON79" s="447"/>
      <c r="NOO79" s="451"/>
      <c r="NOP79" s="449"/>
      <c r="NOQ79" s="450"/>
      <c r="NOR79" s="447"/>
      <c r="NOS79" s="451"/>
      <c r="NOT79" s="449"/>
      <c r="NOU79" s="450"/>
      <c r="NOV79" s="447"/>
      <c r="NOW79" s="451"/>
      <c r="NOX79" s="449"/>
      <c r="NOY79" s="450"/>
      <c r="NOZ79" s="452"/>
      <c r="NPA79" s="451"/>
      <c r="NPB79" s="449"/>
      <c r="NPC79" s="450"/>
      <c r="NPD79" s="447"/>
      <c r="NPE79" s="448"/>
      <c r="NPF79" s="453"/>
      <c r="NPG79" s="449"/>
      <c r="NPH79" s="450"/>
      <c r="NPI79" s="454"/>
      <c r="NPJ79" s="448"/>
      <c r="NPL79" s="449"/>
      <c r="NPM79" s="450"/>
      <c r="NPN79" s="452"/>
      <c r="NPO79" s="448"/>
      <c r="NPQ79" s="449"/>
      <c r="NPR79" s="450"/>
      <c r="NPS79" s="447"/>
      <c r="NPT79" s="448"/>
      <c r="NPV79" s="449"/>
      <c r="NPW79" s="450"/>
      <c r="NPX79" s="452"/>
      <c r="NPY79" s="448"/>
      <c r="NPZ79" s="449"/>
      <c r="NQA79" s="450"/>
      <c r="NQB79" s="452"/>
      <c r="NQC79" s="448"/>
      <c r="NQD79" s="455"/>
      <c r="NQE79" s="449"/>
      <c r="NQF79" s="450"/>
      <c r="NQG79" s="459"/>
      <c r="NQH79" s="448"/>
      <c r="NQI79" s="456"/>
      <c r="NQJ79" s="449"/>
      <c r="NQK79" s="450"/>
      <c r="NQL79" s="452"/>
      <c r="NQM79" s="448"/>
      <c r="NQN79" s="449"/>
      <c r="NQO79" s="450"/>
      <c r="NQP79" s="452"/>
      <c r="NQQ79" s="448"/>
      <c r="NQR79" s="449"/>
      <c r="NQS79" s="450"/>
      <c r="NQT79" s="447"/>
      <c r="NQU79" s="448"/>
      <c r="NQV79" s="457"/>
      <c r="NQW79" s="460"/>
      <c r="NQX79" s="450"/>
      <c r="NQY79" s="461"/>
      <c r="NQZ79" s="448"/>
      <c r="NRA79" s="456"/>
      <c r="NRB79" s="449"/>
      <c r="NRC79" s="450"/>
      <c r="NRD79" s="452"/>
      <c r="NRE79" s="448"/>
      <c r="NRF79" s="456"/>
      <c r="NRG79" s="458"/>
      <c r="NRH79" s="458"/>
      <c r="NRJ79" s="454"/>
      <c r="NRK79" s="450"/>
      <c r="NRL79" s="454"/>
      <c r="NRM79" s="448"/>
      <c r="NRN79" s="449"/>
      <c r="NRO79" s="450"/>
      <c r="NRP79" s="447"/>
      <c r="NRQ79" s="448"/>
      <c r="NRR79" s="449"/>
      <c r="NRS79" s="450"/>
      <c r="NRT79" s="447"/>
      <c r="NRU79" s="451"/>
      <c r="NRV79" s="449"/>
      <c r="NRW79" s="450"/>
      <c r="NRX79" s="447"/>
      <c r="NRY79" s="451"/>
      <c r="NRZ79" s="449"/>
      <c r="NSA79" s="450"/>
      <c r="NSB79" s="447"/>
      <c r="NSC79" s="451"/>
      <c r="NSD79" s="449"/>
      <c r="NSE79" s="450"/>
      <c r="NSF79" s="452"/>
      <c r="NSG79" s="451"/>
      <c r="NSH79" s="449"/>
      <c r="NSI79" s="450"/>
      <c r="NSJ79" s="447"/>
      <c r="NSK79" s="448"/>
      <c r="NSL79" s="453"/>
      <c r="NSM79" s="449"/>
      <c r="NSN79" s="450"/>
      <c r="NSO79" s="454"/>
      <c r="NSP79" s="448"/>
      <c r="NSR79" s="449"/>
      <c r="NSS79" s="450"/>
      <c r="NST79" s="452"/>
      <c r="NSU79" s="448"/>
      <c r="NSW79" s="449"/>
      <c r="NSX79" s="450"/>
      <c r="NSY79" s="447"/>
      <c r="NSZ79" s="448"/>
      <c r="NTB79" s="449"/>
      <c r="NTC79" s="450"/>
      <c r="NTD79" s="452"/>
      <c r="NTE79" s="448"/>
      <c r="NTF79" s="449"/>
      <c r="NTG79" s="450"/>
      <c r="NTH79" s="452"/>
      <c r="NTI79" s="448"/>
      <c r="NTJ79" s="455"/>
      <c r="NTK79" s="449"/>
      <c r="NTL79" s="450"/>
      <c r="NTM79" s="459"/>
      <c r="NTN79" s="448"/>
      <c r="NTO79" s="456"/>
      <c r="NTP79" s="449"/>
      <c r="NTQ79" s="450"/>
      <c r="NTR79" s="452"/>
      <c r="NTS79" s="448"/>
      <c r="NTT79" s="449"/>
      <c r="NTU79" s="450"/>
      <c r="NTV79" s="452"/>
      <c r="NTW79" s="448"/>
      <c r="NTX79" s="449"/>
      <c r="NTY79" s="450"/>
      <c r="NTZ79" s="447"/>
      <c r="NUA79" s="448"/>
      <c r="NUB79" s="457"/>
      <c r="NUC79" s="460"/>
      <c r="NUD79" s="450"/>
      <c r="NUE79" s="461"/>
      <c r="NUF79" s="448"/>
      <c r="NUG79" s="456"/>
      <c r="NUH79" s="449"/>
      <c r="NUI79" s="450"/>
      <c r="NUJ79" s="452"/>
      <c r="NUK79" s="448"/>
      <c r="NUL79" s="456"/>
      <c r="NUM79" s="458"/>
      <c r="NUN79" s="458"/>
      <c r="NUP79" s="454"/>
      <c r="NUQ79" s="450"/>
      <c r="NUR79" s="454"/>
      <c r="NUS79" s="448"/>
      <c r="NUT79" s="449"/>
      <c r="NUU79" s="450"/>
      <c r="NUV79" s="447"/>
      <c r="NUW79" s="448"/>
      <c r="NUX79" s="449"/>
      <c r="NUY79" s="450"/>
      <c r="NUZ79" s="447"/>
      <c r="NVA79" s="451"/>
      <c r="NVB79" s="449"/>
      <c r="NVC79" s="450"/>
      <c r="NVD79" s="447"/>
      <c r="NVE79" s="451"/>
      <c r="NVF79" s="449"/>
      <c r="NVG79" s="450"/>
      <c r="NVH79" s="447"/>
      <c r="NVI79" s="451"/>
      <c r="NVJ79" s="449"/>
      <c r="NVK79" s="450"/>
      <c r="NVL79" s="452"/>
      <c r="NVM79" s="451"/>
      <c r="NVN79" s="449"/>
      <c r="NVO79" s="450"/>
      <c r="NVP79" s="447"/>
      <c r="NVQ79" s="448"/>
      <c r="NVR79" s="453"/>
      <c r="NVS79" s="449"/>
      <c r="NVT79" s="450"/>
      <c r="NVU79" s="454"/>
      <c r="NVV79" s="448"/>
      <c r="NVX79" s="449"/>
      <c r="NVY79" s="450"/>
      <c r="NVZ79" s="452"/>
      <c r="NWA79" s="448"/>
      <c r="NWC79" s="449"/>
      <c r="NWD79" s="450"/>
      <c r="NWE79" s="447"/>
      <c r="NWF79" s="448"/>
      <c r="NWH79" s="449"/>
      <c r="NWI79" s="450"/>
      <c r="NWJ79" s="452"/>
      <c r="NWK79" s="448"/>
      <c r="NWL79" s="449"/>
      <c r="NWM79" s="450"/>
      <c r="NWN79" s="452"/>
      <c r="NWO79" s="448"/>
      <c r="NWP79" s="455"/>
      <c r="NWQ79" s="449"/>
      <c r="NWR79" s="450"/>
      <c r="NWS79" s="459"/>
      <c r="NWT79" s="448"/>
      <c r="NWU79" s="456"/>
      <c r="NWV79" s="449"/>
      <c r="NWW79" s="450"/>
      <c r="NWX79" s="452"/>
      <c r="NWY79" s="448"/>
      <c r="NWZ79" s="449"/>
      <c r="NXA79" s="450"/>
      <c r="NXB79" s="452"/>
      <c r="NXC79" s="448"/>
      <c r="NXD79" s="449"/>
      <c r="NXE79" s="450"/>
      <c r="NXF79" s="447"/>
      <c r="NXG79" s="448"/>
      <c r="NXH79" s="457"/>
      <c r="NXI79" s="460"/>
      <c r="NXJ79" s="450"/>
      <c r="NXK79" s="461"/>
      <c r="NXL79" s="448"/>
      <c r="NXM79" s="456"/>
      <c r="NXN79" s="449"/>
      <c r="NXO79" s="450"/>
      <c r="NXP79" s="452"/>
      <c r="NXQ79" s="448"/>
      <c r="NXR79" s="456"/>
      <c r="NXS79" s="458"/>
      <c r="NXT79" s="458"/>
      <c r="NXV79" s="454"/>
      <c r="NXW79" s="450"/>
      <c r="NXX79" s="454"/>
      <c r="NXY79" s="448"/>
      <c r="NXZ79" s="449"/>
      <c r="NYA79" s="450"/>
      <c r="NYB79" s="447"/>
      <c r="NYC79" s="448"/>
      <c r="NYD79" s="449"/>
      <c r="NYE79" s="450"/>
      <c r="NYF79" s="447"/>
      <c r="NYG79" s="451"/>
      <c r="NYH79" s="449"/>
      <c r="NYI79" s="450"/>
      <c r="NYJ79" s="447"/>
      <c r="NYK79" s="451"/>
      <c r="NYL79" s="449"/>
      <c r="NYM79" s="450"/>
      <c r="NYN79" s="447"/>
      <c r="NYO79" s="451"/>
      <c r="NYP79" s="449"/>
      <c r="NYQ79" s="450"/>
      <c r="NYR79" s="452"/>
      <c r="NYS79" s="451"/>
      <c r="NYT79" s="449"/>
      <c r="NYU79" s="450"/>
      <c r="NYV79" s="447"/>
      <c r="NYW79" s="448"/>
      <c r="NYX79" s="453"/>
      <c r="NYY79" s="449"/>
      <c r="NYZ79" s="450"/>
      <c r="NZA79" s="454"/>
      <c r="NZB79" s="448"/>
      <c r="NZD79" s="449"/>
      <c r="NZE79" s="450"/>
      <c r="NZF79" s="452"/>
      <c r="NZG79" s="448"/>
      <c r="NZI79" s="449"/>
      <c r="NZJ79" s="450"/>
      <c r="NZK79" s="447"/>
      <c r="NZL79" s="448"/>
      <c r="NZN79" s="449"/>
      <c r="NZO79" s="450"/>
      <c r="NZP79" s="452"/>
      <c r="NZQ79" s="448"/>
      <c r="NZR79" s="449"/>
      <c r="NZS79" s="450"/>
      <c r="NZT79" s="452"/>
      <c r="NZU79" s="448"/>
      <c r="NZV79" s="455"/>
      <c r="NZW79" s="449"/>
      <c r="NZX79" s="450"/>
      <c r="NZY79" s="459"/>
      <c r="NZZ79" s="448"/>
      <c r="OAA79" s="456"/>
      <c r="OAB79" s="449"/>
      <c r="OAC79" s="450"/>
      <c r="OAD79" s="452"/>
      <c r="OAE79" s="448"/>
      <c r="OAF79" s="449"/>
      <c r="OAG79" s="450"/>
      <c r="OAH79" s="452"/>
      <c r="OAI79" s="448"/>
      <c r="OAJ79" s="449"/>
      <c r="OAK79" s="450"/>
      <c r="OAL79" s="447"/>
      <c r="OAM79" s="448"/>
      <c r="OAN79" s="457"/>
      <c r="OAO79" s="460"/>
      <c r="OAP79" s="450"/>
      <c r="OAQ79" s="461"/>
      <c r="OAR79" s="448"/>
      <c r="OAS79" s="456"/>
      <c r="OAT79" s="449"/>
      <c r="OAU79" s="450"/>
      <c r="OAV79" s="452"/>
      <c r="OAW79" s="448"/>
      <c r="OAX79" s="456"/>
      <c r="OAY79" s="458"/>
      <c r="OAZ79" s="458"/>
      <c r="OBB79" s="454"/>
      <c r="OBC79" s="450"/>
      <c r="OBD79" s="454"/>
      <c r="OBE79" s="448"/>
      <c r="OBF79" s="449"/>
      <c r="OBG79" s="450"/>
      <c r="OBH79" s="447"/>
      <c r="OBI79" s="448"/>
      <c r="OBJ79" s="449"/>
      <c r="OBK79" s="450"/>
      <c r="OBL79" s="447"/>
      <c r="OBM79" s="451"/>
      <c r="OBN79" s="449"/>
      <c r="OBO79" s="450"/>
      <c r="OBP79" s="447"/>
      <c r="OBQ79" s="451"/>
      <c r="OBR79" s="449"/>
      <c r="OBS79" s="450"/>
      <c r="OBT79" s="447"/>
      <c r="OBU79" s="451"/>
      <c r="OBV79" s="449"/>
      <c r="OBW79" s="450"/>
      <c r="OBX79" s="452"/>
      <c r="OBY79" s="451"/>
      <c r="OBZ79" s="449"/>
      <c r="OCA79" s="450"/>
      <c r="OCB79" s="447"/>
      <c r="OCC79" s="448"/>
      <c r="OCD79" s="453"/>
      <c r="OCE79" s="449"/>
      <c r="OCF79" s="450"/>
      <c r="OCG79" s="454"/>
      <c r="OCH79" s="448"/>
      <c r="OCJ79" s="449"/>
      <c r="OCK79" s="450"/>
      <c r="OCL79" s="452"/>
      <c r="OCM79" s="448"/>
      <c r="OCO79" s="449"/>
      <c r="OCP79" s="450"/>
      <c r="OCQ79" s="447"/>
      <c r="OCR79" s="448"/>
      <c r="OCT79" s="449"/>
      <c r="OCU79" s="450"/>
      <c r="OCV79" s="452"/>
      <c r="OCW79" s="448"/>
      <c r="OCX79" s="449"/>
      <c r="OCY79" s="450"/>
      <c r="OCZ79" s="452"/>
      <c r="ODA79" s="448"/>
      <c r="ODB79" s="455"/>
      <c r="ODC79" s="449"/>
      <c r="ODD79" s="450"/>
      <c r="ODE79" s="459"/>
      <c r="ODF79" s="448"/>
      <c r="ODG79" s="456"/>
      <c r="ODH79" s="449"/>
      <c r="ODI79" s="450"/>
      <c r="ODJ79" s="452"/>
      <c r="ODK79" s="448"/>
      <c r="ODL79" s="449"/>
      <c r="ODM79" s="450"/>
      <c r="ODN79" s="452"/>
      <c r="ODO79" s="448"/>
      <c r="ODP79" s="449"/>
      <c r="ODQ79" s="450"/>
      <c r="ODR79" s="447"/>
      <c r="ODS79" s="448"/>
      <c r="ODT79" s="457"/>
      <c r="ODU79" s="460"/>
      <c r="ODV79" s="450"/>
      <c r="ODW79" s="461"/>
      <c r="ODX79" s="448"/>
      <c r="ODY79" s="456"/>
      <c r="ODZ79" s="449"/>
      <c r="OEA79" s="450"/>
      <c r="OEB79" s="452"/>
      <c r="OEC79" s="448"/>
      <c r="OED79" s="456"/>
      <c r="OEE79" s="458"/>
      <c r="OEF79" s="458"/>
      <c r="OEH79" s="454"/>
      <c r="OEI79" s="450"/>
      <c r="OEJ79" s="454"/>
      <c r="OEK79" s="448"/>
      <c r="OEL79" s="449"/>
      <c r="OEM79" s="450"/>
      <c r="OEN79" s="447"/>
      <c r="OEO79" s="448"/>
      <c r="OEP79" s="449"/>
      <c r="OEQ79" s="450"/>
      <c r="OER79" s="447"/>
      <c r="OES79" s="451"/>
      <c r="OET79" s="449"/>
      <c r="OEU79" s="450"/>
      <c r="OEV79" s="447"/>
      <c r="OEW79" s="451"/>
      <c r="OEX79" s="449"/>
      <c r="OEY79" s="450"/>
      <c r="OEZ79" s="447"/>
      <c r="OFA79" s="451"/>
      <c r="OFB79" s="449"/>
      <c r="OFC79" s="450"/>
      <c r="OFD79" s="452"/>
      <c r="OFE79" s="451"/>
      <c r="OFF79" s="449"/>
      <c r="OFG79" s="450"/>
      <c r="OFH79" s="447"/>
      <c r="OFI79" s="448"/>
      <c r="OFJ79" s="453"/>
      <c r="OFK79" s="449"/>
      <c r="OFL79" s="450"/>
      <c r="OFM79" s="454"/>
      <c r="OFN79" s="448"/>
      <c r="OFP79" s="449"/>
      <c r="OFQ79" s="450"/>
      <c r="OFR79" s="452"/>
      <c r="OFS79" s="448"/>
      <c r="OFU79" s="449"/>
      <c r="OFV79" s="450"/>
      <c r="OFW79" s="447"/>
      <c r="OFX79" s="448"/>
      <c r="OFZ79" s="449"/>
      <c r="OGA79" s="450"/>
      <c r="OGB79" s="452"/>
      <c r="OGC79" s="448"/>
      <c r="OGD79" s="449"/>
      <c r="OGE79" s="450"/>
      <c r="OGF79" s="452"/>
      <c r="OGG79" s="448"/>
      <c r="OGH79" s="455"/>
      <c r="OGI79" s="449"/>
      <c r="OGJ79" s="450"/>
      <c r="OGK79" s="459"/>
      <c r="OGL79" s="448"/>
      <c r="OGM79" s="456"/>
      <c r="OGN79" s="449"/>
      <c r="OGO79" s="450"/>
      <c r="OGP79" s="452"/>
      <c r="OGQ79" s="448"/>
      <c r="OGR79" s="449"/>
      <c r="OGS79" s="450"/>
      <c r="OGT79" s="452"/>
      <c r="OGU79" s="448"/>
      <c r="OGV79" s="449"/>
      <c r="OGW79" s="450"/>
      <c r="OGX79" s="447"/>
      <c r="OGY79" s="448"/>
      <c r="OGZ79" s="457"/>
      <c r="OHA79" s="460"/>
      <c r="OHB79" s="450"/>
      <c r="OHC79" s="461"/>
      <c r="OHD79" s="448"/>
      <c r="OHE79" s="456"/>
      <c r="OHF79" s="449"/>
      <c r="OHG79" s="450"/>
      <c r="OHH79" s="452"/>
      <c r="OHI79" s="448"/>
      <c r="OHJ79" s="456"/>
      <c r="OHK79" s="458"/>
      <c r="OHL79" s="458"/>
      <c r="OHN79" s="454"/>
      <c r="OHO79" s="450"/>
      <c r="OHP79" s="454"/>
      <c r="OHQ79" s="448"/>
      <c r="OHR79" s="449"/>
      <c r="OHS79" s="450"/>
      <c r="OHT79" s="447"/>
      <c r="OHU79" s="448"/>
      <c r="OHV79" s="449"/>
      <c r="OHW79" s="450"/>
      <c r="OHX79" s="447"/>
      <c r="OHY79" s="451"/>
      <c r="OHZ79" s="449"/>
      <c r="OIA79" s="450"/>
      <c r="OIB79" s="447"/>
      <c r="OIC79" s="451"/>
      <c r="OID79" s="449"/>
      <c r="OIE79" s="450"/>
      <c r="OIF79" s="447"/>
      <c r="OIG79" s="451"/>
      <c r="OIH79" s="449"/>
      <c r="OII79" s="450"/>
      <c r="OIJ79" s="452"/>
      <c r="OIK79" s="451"/>
      <c r="OIL79" s="449"/>
      <c r="OIM79" s="450"/>
      <c r="OIN79" s="447"/>
      <c r="OIO79" s="448"/>
      <c r="OIP79" s="453"/>
      <c r="OIQ79" s="449"/>
      <c r="OIR79" s="450"/>
      <c r="OIS79" s="454"/>
      <c r="OIT79" s="448"/>
      <c r="OIV79" s="449"/>
      <c r="OIW79" s="450"/>
      <c r="OIX79" s="452"/>
      <c r="OIY79" s="448"/>
      <c r="OJA79" s="449"/>
      <c r="OJB79" s="450"/>
      <c r="OJC79" s="447"/>
      <c r="OJD79" s="448"/>
      <c r="OJF79" s="449"/>
      <c r="OJG79" s="450"/>
      <c r="OJH79" s="452"/>
      <c r="OJI79" s="448"/>
      <c r="OJJ79" s="449"/>
      <c r="OJK79" s="450"/>
      <c r="OJL79" s="452"/>
      <c r="OJM79" s="448"/>
      <c r="OJN79" s="455"/>
      <c r="OJO79" s="449"/>
      <c r="OJP79" s="450"/>
      <c r="OJQ79" s="459"/>
      <c r="OJR79" s="448"/>
      <c r="OJS79" s="456"/>
      <c r="OJT79" s="449"/>
      <c r="OJU79" s="450"/>
      <c r="OJV79" s="452"/>
      <c r="OJW79" s="448"/>
      <c r="OJX79" s="449"/>
      <c r="OJY79" s="450"/>
      <c r="OJZ79" s="452"/>
      <c r="OKA79" s="448"/>
      <c r="OKB79" s="449"/>
      <c r="OKC79" s="450"/>
      <c r="OKD79" s="447"/>
      <c r="OKE79" s="448"/>
      <c r="OKF79" s="457"/>
      <c r="OKG79" s="460"/>
      <c r="OKH79" s="450"/>
      <c r="OKI79" s="461"/>
      <c r="OKJ79" s="448"/>
      <c r="OKK79" s="456"/>
      <c r="OKL79" s="449"/>
      <c r="OKM79" s="450"/>
      <c r="OKN79" s="452"/>
      <c r="OKO79" s="448"/>
      <c r="OKP79" s="456"/>
      <c r="OKQ79" s="458"/>
      <c r="OKR79" s="458"/>
      <c r="OKT79" s="454"/>
      <c r="OKU79" s="450"/>
      <c r="OKV79" s="454"/>
      <c r="OKW79" s="448"/>
      <c r="OKX79" s="449"/>
      <c r="OKY79" s="450"/>
      <c r="OKZ79" s="447"/>
      <c r="OLA79" s="448"/>
      <c r="OLB79" s="449"/>
      <c r="OLC79" s="450"/>
      <c r="OLD79" s="447"/>
      <c r="OLE79" s="451"/>
      <c r="OLF79" s="449"/>
      <c r="OLG79" s="450"/>
      <c r="OLH79" s="447"/>
      <c r="OLI79" s="451"/>
      <c r="OLJ79" s="449"/>
      <c r="OLK79" s="450"/>
      <c r="OLL79" s="447"/>
      <c r="OLM79" s="451"/>
      <c r="OLN79" s="449"/>
      <c r="OLO79" s="450"/>
      <c r="OLP79" s="452"/>
      <c r="OLQ79" s="451"/>
      <c r="OLR79" s="449"/>
      <c r="OLS79" s="450"/>
      <c r="OLT79" s="447"/>
      <c r="OLU79" s="448"/>
      <c r="OLV79" s="453"/>
      <c r="OLW79" s="449"/>
      <c r="OLX79" s="450"/>
      <c r="OLY79" s="454"/>
      <c r="OLZ79" s="448"/>
      <c r="OMB79" s="449"/>
      <c r="OMC79" s="450"/>
      <c r="OMD79" s="452"/>
      <c r="OME79" s="448"/>
      <c r="OMG79" s="449"/>
      <c r="OMH79" s="450"/>
      <c r="OMI79" s="447"/>
      <c r="OMJ79" s="448"/>
      <c r="OML79" s="449"/>
      <c r="OMM79" s="450"/>
      <c r="OMN79" s="452"/>
      <c r="OMO79" s="448"/>
      <c r="OMP79" s="449"/>
      <c r="OMQ79" s="450"/>
      <c r="OMR79" s="452"/>
      <c r="OMS79" s="448"/>
      <c r="OMT79" s="455"/>
      <c r="OMU79" s="449"/>
      <c r="OMV79" s="450"/>
      <c r="OMW79" s="459"/>
      <c r="OMX79" s="448"/>
      <c r="OMY79" s="456"/>
      <c r="OMZ79" s="449"/>
      <c r="ONA79" s="450"/>
      <c r="ONB79" s="452"/>
      <c r="ONC79" s="448"/>
      <c r="OND79" s="449"/>
      <c r="ONE79" s="450"/>
      <c r="ONF79" s="452"/>
      <c r="ONG79" s="448"/>
      <c r="ONH79" s="449"/>
      <c r="ONI79" s="450"/>
      <c r="ONJ79" s="447"/>
      <c r="ONK79" s="448"/>
      <c r="ONL79" s="457"/>
      <c r="ONM79" s="460"/>
      <c r="ONN79" s="450"/>
      <c r="ONO79" s="461"/>
      <c r="ONP79" s="448"/>
      <c r="ONQ79" s="456"/>
      <c r="ONR79" s="449"/>
      <c r="ONS79" s="450"/>
      <c r="ONT79" s="452"/>
      <c r="ONU79" s="448"/>
      <c r="ONV79" s="456"/>
      <c r="ONW79" s="458"/>
      <c r="ONX79" s="458"/>
      <c r="ONZ79" s="454"/>
      <c r="OOA79" s="450"/>
      <c r="OOB79" s="454"/>
      <c r="OOC79" s="448"/>
      <c r="OOD79" s="449"/>
      <c r="OOE79" s="450"/>
      <c r="OOF79" s="447"/>
      <c r="OOG79" s="448"/>
      <c r="OOH79" s="449"/>
      <c r="OOI79" s="450"/>
      <c r="OOJ79" s="447"/>
      <c r="OOK79" s="451"/>
      <c r="OOL79" s="449"/>
      <c r="OOM79" s="450"/>
      <c r="OON79" s="447"/>
      <c r="OOO79" s="451"/>
      <c r="OOP79" s="449"/>
      <c r="OOQ79" s="450"/>
      <c r="OOR79" s="447"/>
      <c r="OOS79" s="451"/>
      <c r="OOT79" s="449"/>
      <c r="OOU79" s="450"/>
      <c r="OOV79" s="452"/>
      <c r="OOW79" s="451"/>
      <c r="OOX79" s="449"/>
      <c r="OOY79" s="450"/>
      <c r="OOZ79" s="447"/>
      <c r="OPA79" s="448"/>
      <c r="OPB79" s="453"/>
      <c r="OPC79" s="449"/>
      <c r="OPD79" s="450"/>
      <c r="OPE79" s="454"/>
      <c r="OPF79" s="448"/>
      <c r="OPH79" s="449"/>
      <c r="OPI79" s="450"/>
      <c r="OPJ79" s="452"/>
      <c r="OPK79" s="448"/>
      <c r="OPM79" s="449"/>
      <c r="OPN79" s="450"/>
      <c r="OPO79" s="447"/>
      <c r="OPP79" s="448"/>
      <c r="OPR79" s="449"/>
      <c r="OPS79" s="450"/>
      <c r="OPT79" s="452"/>
      <c r="OPU79" s="448"/>
      <c r="OPV79" s="449"/>
      <c r="OPW79" s="450"/>
      <c r="OPX79" s="452"/>
      <c r="OPY79" s="448"/>
      <c r="OPZ79" s="455"/>
      <c r="OQA79" s="449"/>
      <c r="OQB79" s="450"/>
      <c r="OQC79" s="459"/>
      <c r="OQD79" s="448"/>
      <c r="OQE79" s="456"/>
      <c r="OQF79" s="449"/>
      <c r="OQG79" s="450"/>
      <c r="OQH79" s="452"/>
      <c r="OQI79" s="448"/>
      <c r="OQJ79" s="449"/>
      <c r="OQK79" s="450"/>
      <c r="OQL79" s="452"/>
      <c r="OQM79" s="448"/>
      <c r="OQN79" s="449"/>
      <c r="OQO79" s="450"/>
      <c r="OQP79" s="447"/>
      <c r="OQQ79" s="448"/>
      <c r="OQR79" s="457"/>
      <c r="OQS79" s="460"/>
      <c r="OQT79" s="450"/>
      <c r="OQU79" s="461"/>
      <c r="OQV79" s="448"/>
      <c r="OQW79" s="456"/>
      <c r="OQX79" s="449"/>
      <c r="OQY79" s="450"/>
      <c r="OQZ79" s="452"/>
      <c r="ORA79" s="448"/>
      <c r="ORB79" s="456"/>
      <c r="ORC79" s="458"/>
      <c r="ORD79" s="458"/>
      <c r="ORF79" s="454"/>
      <c r="ORG79" s="450"/>
      <c r="ORH79" s="454"/>
      <c r="ORI79" s="448"/>
      <c r="ORJ79" s="449"/>
      <c r="ORK79" s="450"/>
      <c r="ORL79" s="447"/>
      <c r="ORM79" s="448"/>
      <c r="ORN79" s="449"/>
      <c r="ORO79" s="450"/>
      <c r="ORP79" s="447"/>
      <c r="ORQ79" s="451"/>
      <c r="ORR79" s="449"/>
      <c r="ORS79" s="450"/>
      <c r="ORT79" s="447"/>
      <c r="ORU79" s="451"/>
      <c r="ORV79" s="449"/>
      <c r="ORW79" s="450"/>
      <c r="ORX79" s="447"/>
      <c r="ORY79" s="451"/>
      <c r="ORZ79" s="449"/>
      <c r="OSA79" s="450"/>
      <c r="OSB79" s="452"/>
      <c r="OSC79" s="451"/>
      <c r="OSD79" s="449"/>
      <c r="OSE79" s="450"/>
      <c r="OSF79" s="447"/>
      <c r="OSG79" s="448"/>
      <c r="OSH79" s="453"/>
      <c r="OSI79" s="449"/>
      <c r="OSJ79" s="450"/>
      <c r="OSK79" s="454"/>
      <c r="OSL79" s="448"/>
      <c r="OSN79" s="449"/>
      <c r="OSO79" s="450"/>
      <c r="OSP79" s="452"/>
      <c r="OSQ79" s="448"/>
      <c r="OSS79" s="449"/>
      <c r="OST79" s="450"/>
      <c r="OSU79" s="447"/>
      <c r="OSV79" s="448"/>
      <c r="OSX79" s="449"/>
      <c r="OSY79" s="450"/>
      <c r="OSZ79" s="452"/>
      <c r="OTA79" s="448"/>
      <c r="OTB79" s="449"/>
      <c r="OTC79" s="450"/>
      <c r="OTD79" s="452"/>
      <c r="OTE79" s="448"/>
      <c r="OTF79" s="455"/>
      <c r="OTG79" s="449"/>
      <c r="OTH79" s="450"/>
      <c r="OTI79" s="459"/>
      <c r="OTJ79" s="448"/>
      <c r="OTK79" s="456"/>
      <c r="OTL79" s="449"/>
      <c r="OTM79" s="450"/>
      <c r="OTN79" s="452"/>
      <c r="OTO79" s="448"/>
      <c r="OTP79" s="449"/>
      <c r="OTQ79" s="450"/>
      <c r="OTR79" s="452"/>
      <c r="OTS79" s="448"/>
      <c r="OTT79" s="449"/>
      <c r="OTU79" s="450"/>
      <c r="OTV79" s="447"/>
      <c r="OTW79" s="448"/>
      <c r="OTX79" s="457"/>
      <c r="OTY79" s="460"/>
      <c r="OTZ79" s="450"/>
      <c r="OUA79" s="461"/>
      <c r="OUB79" s="448"/>
      <c r="OUC79" s="456"/>
      <c r="OUD79" s="449"/>
      <c r="OUE79" s="450"/>
      <c r="OUF79" s="452"/>
      <c r="OUG79" s="448"/>
      <c r="OUH79" s="456"/>
      <c r="OUI79" s="458"/>
      <c r="OUJ79" s="458"/>
      <c r="OUL79" s="454"/>
      <c r="OUM79" s="450"/>
      <c r="OUN79" s="454"/>
      <c r="OUO79" s="448"/>
      <c r="OUP79" s="449"/>
      <c r="OUQ79" s="450"/>
      <c r="OUR79" s="447"/>
      <c r="OUS79" s="448"/>
      <c r="OUT79" s="449"/>
      <c r="OUU79" s="450"/>
      <c r="OUV79" s="447"/>
      <c r="OUW79" s="451"/>
      <c r="OUX79" s="449"/>
      <c r="OUY79" s="450"/>
      <c r="OUZ79" s="447"/>
      <c r="OVA79" s="451"/>
      <c r="OVB79" s="449"/>
      <c r="OVC79" s="450"/>
      <c r="OVD79" s="447"/>
      <c r="OVE79" s="451"/>
      <c r="OVF79" s="449"/>
      <c r="OVG79" s="450"/>
      <c r="OVH79" s="452"/>
      <c r="OVI79" s="451"/>
      <c r="OVJ79" s="449"/>
      <c r="OVK79" s="450"/>
      <c r="OVL79" s="447"/>
      <c r="OVM79" s="448"/>
      <c r="OVN79" s="453"/>
      <c r="OVO79" s="449"/>
      <c r="OVP79" s="450"/>
      <c r="OVQ79" s="454"/>
      <c r="OVR79" s="448"/>
      <c r="OVT79" s="449"/>
      <c r="OVU79" s="450"/>
      <c r="OVV79" s="452"/>
      <c r="OVW79" s="448"/>
      <c r="OVY79" s="449"/>
      <c r="OVZ79" s="450"/>
      <c r="OWA79" s="447"/>
      <c r="OWB79" s="448"/>
      <c r="OWD79" s="449"/>
      <c r="OWE79" s="450"/>
      <c r="OWF79" s="452"/>
      <c r="OWG79" s="448"/>
      <c r="OWH79" s="449"/>
      <c r="OWI79" s="450"/>
      <c r="OWJ79" s="452"/>
      <c r="OWK79" s="448"/>
      <c r="OWL79" s="455"/>
      <c r="OWM79" s="449"/>
      <c r="OWN79" s="450"/>
      <c r="OWO79" s="459"/>
      <c r="OWP79" s="448"/>
      <c r="OWQ79" s="456"/>
      <c r="OWR79" s="449"/>
      <c r="OWS79" s="450"/>
      <c r="OWT79" s="452"/>
      <c r="OWU79" s="448"/>
      <c r="OWV79" s="449"/>
      <c r="OWW79" s="450"/>
      <c r="OWX79" s="452"/>
      <c r="OWY79" s="448"/>
      <c r="OWZ79" s="449"/>
      <c r="OXA79" s="450"/>
      <c r="OXB79" s="447"/>
      <c r="OXC79" s="448"/>
      <c r="OXD79" s="457"/>
      <c r="OXE79" s="460"/>
      <c r="OXF79" s="450"/>
      <c r="OXG79" s="461"/>
      <c r="OXH79" s="448"/>
      <c r="OXI79" s="456"/>
      <c r="OXJ79" s="449"/>
      <c r="OXK79" s="450"/>
      <c r="OXL79" s="452"/>
      <c r="OXM79" s="448"/>
      <c r="OXN79" s="456"/>
      <c r="OXO79" s="458"/>
      <c r="OXP79" s="458"/>
      <c r="OXR79" s="454"/>
      <c r="OXS79" s="450"/>
      <c r="OXT79" s="454"/>
      <c r="OXU79" s="448"/>
      <c r="OXV79" s="449"/>
      <c r="OXW79" s="450"/>
      <c r="OXX79" s="447"/>
      <c r="OXY79" s="448"/>
      <c r="OXZ79" s="449"/>
      <c r="OYA79" s="450"/>
      <c r="OYB79" s="447"/>
      <c r="OYC79" s="451"/>
      <c r="OYD79" s="449"/>
      <c r="OYE79" s="450"/>
      <c r="OYF79" s="447"/>
      <c r="OYG79" s="451"/>
      <c r="OYH79" s="449"/>
      <c r="OYI79" s="450"/>
      <c r="OYJ79" s="447"/>
      <c r="OYK79" s="451"/>
      <c r="OYL79" s="449"/>
      <c r="OYM79" s="450"/>
      <c r="OYN79" s="452"/>
      <c r="OYO79" s="451"/>
      <c r="OYP79" s="449"/>
      <c r="OYQ79" s="450"/>
      <c r="OYR79" s="447"/>
      <c r="OYS79" s="448"/>
      <c r="OYT79" s="453"/>
      <c r="OYU79" s="449"/>
      <c r="OYV79" s="450"/>
      <c r="OYW79" s="454"/>
      <c r="OYX79" s="448"/>
      <c r="OYZ79" s="449"/>
      <c r="OZA79" s="450"/>
      <c r="OZB79" s="452"/>
      <c r="OZC79" s="448"/>
      <c r="OZE79" s="449"/>
      <c r="OZF79" s="450"/>
      <c r="OZG79" s="447"/>
      <c r="OZH79" s="448"/>
      <c r="OZJ79" s="449"/>
      <c r="OZK79" s="450"/>
      <c r="OZL79" s="452"/>
      <c r="OZM79" s="448"/>
      <c r="OZN79" s="449"/>
      <c r="OZO79" s="450"/>
      <c r="OZP79" s="452"/>
      <c r="OZQ79" s="448"/>
      <c r="OZR79" s="455"/>
      <c r="OZS79" s="449"/>
      <c r="OZT79" s="450"/>
      <c r="OZU79" s="459"/>
      <c r="OZV79" s="448"/>
      <c r="OZW79" s="456"/>
      <c r="OZX79" s="449"/>
      <c r="OZY79" s="450"/>
      <c r="OZZ79" s="452"/>
      <c r="PAA79" s="448"/>
      <c r="PAB79" s="449"/>
      <c r="PAC79" s="450"/>
      <c r="PAD79" s="452"/>
      <c r="PAE79" s="448"/>
      <c r="PAF79" s="449"/>
      <c r="PAG79" s="450"/>
      <c r="PAH79" s="447"/>
      <c r="PAI79" s="448"/>
      <c r="PAJ79" s="457"/>
      <c r="PAK79" s="460"/>
      <c r="PAL79" s="450"/>
      <c r="PAM79" s="461"/>
      <c r="PAN79" s="448"/>
      <c r="PAO79" s="456"/>
      <c r="PAP79" s="449"/>
      <c r="PAQ79" s="450"/>
      <c r="PAR79" s="452"/>
      <c r="PAS79" s="448"/>
      <c r="PAT79" s="456"/>
      <c r="PAU79" s="458"/>
      <c r="PAV79" s="458"/>
      <c r="PAX79" s="454"/>
      <c r="PAY79" s="450"/>
      <c r="PAZ79" s="454"/>
      <c r="PBA79" s="448"/>
      <c r="PBB79" s="449"/>
      <c r="PBC79" s="450"/>
      <c r="PBD79" s="447"/>
      <c r="PBE79" s="448"/>
      <c r="PBF79" s="449"/>
      <c r="PBG79" s="450"/>
      <c r="PBH79" s="447"/>
      <c r="PBI79" s="451"/>
      <c r="PBJ79" s="449"/>
      <c r="PBK79" s="450"/>
      <c r="PBL79" s="447"/>
      <c r="PBM79" s="451"/>
      <c r="PBN79" s="449"/>
      <c r="PBO79" s="450"/>
      <c r="PBP79" s="447"/>
      <c r="PBQ79" s="451"/>
      <c r="PBR79" s="449"/>
      <c r="PBS79" s="450"/>
      <c r="PBT79" s="452"/>
      <c r="PBU79" s="451"/>
      <c r="PBV79" s="449"/>
      <c r="PBW79" s="450"/>
      <c r="PBX79" s="447"/>
      <c r="PBY79" s="448"/>
      <c r="PBZ79" s="453"/>
      <c r="PCA79" s="449"/>
      <c r="PCB79" s="450"/>
      <c r="PCC79" s="454"/>
      <c r="PCD79" s="448"/>
      <c r="PCF79" s="449"/>
      <c r="PCG79" s="450"/>
      <c r="PCH79" s="452"/>
      <c r="PCI79" s="448"/>
      <c r="PCK79" s="449"/>
      <c r="PCL79" s="450"/>
      <c r="PCM79" s="447"/>
      <c r="PCN79" s="448"/>
      <c r="PCP79" s="449"/>
      <c r="PCQ79" s="450"/>
      <c r="PCR79" s="452"/>
      <c r="PCS79" s="448"/>
      <c r="PCT79" s="449"/>
      <c r="PCU79" s="450"/>
      <c r="PCV79" s="452"/>
      <c r="PCW79" s="448"/>
      <c r="PCX79" s="455"/>
      <c r="PCY79" s="449"/>
      <c r="PCZ79" s="450"/>
      <c r="PDA79" s="459"/>
      <c r="PDB79" s="448"/>
      <c r="PDC79" s="456"/>
      <c r="PDD79" s="449"/>
      <c r="PDE79" s="450"/>
      <c r="PDF79" s="452"/>
      <c r="PDG79" s="448"/>
      <c r="PDH79" s="449"/>
      <c r="PDI79" s="450"/>
      <c r="PDJ79" s="452"/>
      <c r="PDK79" s="448"/>
      <c r="PDL79" s="449"/>
      <c r="PDM79" s="450"/>
      <c r="PDN79" s="447"/>
      <c r="PDO79" s="448"/>
      <c r="PDP79" s="457"/>
      <c r="PDQ79" s="460"/>
      <c r="PDR79" s="450"/>
      <c r="PDS79" s="461"/>
      <c r="PDT79" s="448"/>
      <c r="PDU79" s="456"/>
      <c r="PDV79" s="449"/>
      <c r="PDW79" s="450"/>
      <c r="PDX79" s="452"/>
      <c r="PDY79" s="448"/>
      <c r="PDZ79" s="456"/>
      <c r="PEA79" s="458"/>
      <c r="PEB79" s="458"/>
      <c r="PED79" s="454"/>
      <c r="PEE79" s="450"/>
      <c r="PEF79" s="454"/>
      <c r="PEG79" s="448"/>
      <c r="PEH79" s="449"/>
      <c r="PEI79" s="450"/>
      <c r="PEJ79" s="447"/>
      <c r="PEK79" s="448"/>
      <c r="PEL79" s="449"/>
      <c r="PEM79" s="450"/>
      <c r="PEN79" s="447"/>
      <c r="PEO79" s="451"/>
      <c r="PEP79" s="449"/>
      <c r="PEQ79" s="450"/>
      <c r="PER79" s="447"/>
      <c r="PES79" s="451"/>
      <c r="PET79" s="449"/>
      <c r="PEU79" s="450"/>
      <c r="PEV79" s="447"/>
      <c r="PEW79" s="451"/>
      <c r="PEX79" s="449"/>
      <c r="PEY79" s="450"/>
      <c r="PEZ79" s="452"/>
      <c r="PFA79" s="451"/>
      <c r="PFB79" s="449"/>
      <c r="PFC79" s="450"/>
      <c r="PFD79" s="447"/>
      <c r="PFE79" s="448"/>
      <c r="PFF79" s="453"/>
      <c r="PFG79" s="449"/>
      <c r="PFH79" s="450"/>
      <c r="PFI79" s="454"/>
      <c r="PFJ79" s="448"/>
      <c r="PFL79" s="449"/>
      <c r="PFM79" s="450"/>
      <c r="PFN79" s="452"/>
      <c r="PFO79" s="448"/>
      <c r="PFQ79" s="449"/>
      <c r="PFR79" s="450"/>
      <c r="PFS79" s="447"/>
      <c r="PFT79" s="448"/>
      <c r="PFV79" s="449"/>
      <c r="PFW79" s="450"/>
      <c r="PFX79" s="452"/>
      <c r="PFY79" s="448"/>
      <c r="PFZ79" s="449"/>
      <c r="PGA79" s="450"/>
      <c r="PGB79" s="452"/>
      <c r="PGC79" s="448"/>
      <c r="PGD79" s="455"/>
      <c r="PGE79" s="449"/>
      <c r="PGF79" s="450"/>
      <c r="PGG79" s="459"/>
      <c r="PGH79" s="448"/>
      <c r="PGI79" s="456"/>
      <c r="PGJ79" s="449"/>
      <c r="PGK79" s="450"/>
      <c r="PGL79" s="452"/>
      <c r="PGM79" s="448"/>
      <c r="PGN79" s="449"/>
      <c r="PGO79" s="450"/>
      <c r="PGP79" s="452"/>
      <c r="PGQ79" s="448"/>
      <c r="PGR79" s="449"/>
      <c r="PGS79" s="450"/>
      <c r="PGT79" s="447"/>
      <c r="PGU79" s="448"/>
      <c r="PGV79" s="457"/>
      <c r="PGW79" s="460"/>
      <c r="PGX79" s="450"/>
      <c r="PGY79" s="461"/>
      <c r="PGZ79" s="448"/>
      <c r="PHA79" s="456"/>
      <c r="PHB79" s="449"/>
      <c r="PHC79" s="450"/>
      <c r="PHD79" s="452"/>
      <c r="PHE79" s="448"/>
      <c r="PHF79" s="456"/>
      <c r="PHG79" s="458"/>
      <c r="PHH79" s="458"/>
      <c r="PHJ79" s="454"/>
      <c r="PHK79" s="450"/>
      <c r="PHL79" s="454"/>
      <c r="PHM79" s="448"/>
      <c r="PHN79" s="449"/>
      <c r="PHO79" s="450"/>
      <c r="PHP79" s="447"/>
      <c r="PHQ79" s="448"/>
      <c r="PHR79" s="449"/>
      <c r="PHS79" s="450"/>
      <c r="PHT79" s="447"/>
      <c r="PHU79" s="451"/>
      <c r="PHV79" s="449"/>
      <c r="PHW79" s="450"/>
      <c r="PHX79" s="447"/>
      <c r="PHY79" s="451"/>
      <c r="PHZ79" s="449"/>
      <c r="PIA79" s="450"/>
      <c r="PIB79" s="447"/>
      <c r="PIC79" s="451"/>
      <c r="PID79" s="449"/>
      <c r="PIE79" s="450"/>
      <c r="PIF79" s="452"/>
      <c r="PIG79" s="451"/>
      <c r="PIH79" s="449"/>
      <c r="PII79" s="450"/>
      <c r="PIJ79" s="447"/>
      <c r="PIK79" s="448"/>
      <c r="PIL79" s="453"/>
      <c r="PIM79" s="449"/>
      <c r="PIN79" s="450"/>
      <c r="PIO79" s="454"/>
      <c r="PIP79" s="448"/>
      <c r="PIR79" s="449"/>
      <c r="PIS79" s="450"/>
      <c r="PIT79" s="452"/>
      <c r="PIU79" s="448"/>
      <c r="PIW79" s="449"/>
      <c r="PIX79" s="450"/>
      <c r="PIY79" s="447"/>
      <c r="PIZ79" s="448"/>
      <c r="PJB79" s="449"/>
      <c r="PJC79" s="450"/>
      <c r="PJD79" s="452"/>
      <c r="PJE79" s="448"/>
      <c r="PJF79" s="449"/>
      <c r="PJG79" s="450"/>
      <c r="PJH79" s="452"/>
      <c r="PJI79" s="448"/>
      <c r="PJJ79" s="455"/>
      <c r="PJK79" s="449"/>
      <c r="PJL79" s="450"/>
      <c r="PJM79" s="459"/>
      <c r="PJN79" s="448"/>
      <c r="PJO79" s="456"/>
      <c r="PJP79" s="449"/>
      <c r="PJQ79" s="450"/>
      <c r="PJR79" s="452"/>
      <c r="PJS79" s="448"/>
      <c r="PJT79" s="449"/>
      <c r="PJU79" s="450"/>
      <c r="PJV79" s="452"/>
      <c r="PJW79" s="448"/>
      <c r="PJX79" s="449"/>
      <c r="PJY79" s="450"/>
      <c r="PJZ79" s="447"/>
      <c r="PKA79" s="448"/>
      <c r="PKB79" s="457"/>
      <c r="PKC79" s="460"/>
      <c r="PKD79" s="450"/>
      <c r="PKE79" s="461"/>
      <c r="PKF79" s="448"/>
      <c r="PKG79" s="456"/>
      <c r="PKH79" s="449"/>
      <c r="PKI79" s="450"/>
      <c r="PKJ79" s="452"/>
      <c r="PKK79" s="448"/>
      <c r="PKL79" s="456"/>
      <c r="PKM79" s="458"/>
      <c r="PKN79" s="458"/>
      <c r="PKP79" s="454"/>
      <c r="PKQ79" s="450"/>
      <c r="PKR79" s="454"/>
      <c r="PKS79" s="448"/>
      <c r="PKT79" s="449"/>
      <c r="PKU79" s="450"/>
      <c r="PKV79" s="447"/>
      <c r="PKW79" s="448"/>
      <c r="PKX79" s="449"/>
      <c r="PKY79" s="450"/>
      <c r="PKZ79" s="447"/>
      <c r="PLA79" s="451"/>
      <c r="PLB79" s="449"/>
      <c r="PLC79" s="450"/>
      <c r="PLD79" s="447"/>
      <c r="PLE79" s="451"/>
      <c r="PLF79" s="449"/>
      <c r="PLG79" s="450"/>
      <c r="PLH79" s="447"/>
      <c r="PLI79" s="451"/>
      <c r="PLJ79" s="449"/>
      <c r="PLK79" s="450"/>
      <c r="PLL79" s="452"/>
      <c r="PLM79" s="451"/>
      <c r="PLN79" s="449"/>
      <c r="PLO79" s="450"/>
      <c r="PLP79" s="447"/>
      <c r="PLQ79" s="448"/>
      <c r="PLR79" s="453"/>
      <c r="PLS79" s="449"/>
      <c r="PLT79" s="450"/>
      <c r="PLU79" s="454"/>
      <c r="PLV79" s="448"/>
      <c r="PLX79" s="449"/>
      <c r="PLY79" s="450"/>
      <c r="PLZ79" s="452"/>
      <c r="PMA79" s="448"/>
      <c r="PMC79" s="449"/>
      <c r="PMD79" s="450"/>
      <c r="PME79" s="447"/>
      <c r="PMF79" s="448"/>
      <c r="PMH79" s="449"/>
      <c r="PMI79" s="450"/>
      <c r="PMJ79" s="452"/>
      <c r="PMK79" s="448"/>
      <c r="PML79" s="449"/>
      <c r="PMM79" s="450"/>
      <c r="PMN79" s="452"/>
      <c r="PMO79" s="448"/>
      <c r="PMP79" s="455"/>
      <c r="PMQ79" s="449"/>
      <c r="PMR79" s="450"/>
      <c r="PMS79" s="459"/>
      <c r="PMT79" s="448"/>
      <c r="PMU79" s="456"/>
      <c r="PMV79" s="449"/>
      <c r="PMW79" s="450"/>
      <c r="PMX79" s="452"/>
      <c r="PMY79" s="448"/>
      <c r="PMZ79" s="449"/>
      <c r="PNA79" s="450"/>
      <c r="PNB79" s="452"/>
      <c r="PNC79" s="448"/>
      <c r="PND79" s="449"/>
      <c r="PNE79" s="450"/>
      <c r="PNF79" s="447"/>
      <c r="PNG79" s="448"/>
      <c r="PNH79" s="457"/>
      <c r="PNI79" s="460"/>
      <c r="PNJ79" s="450"/>
      <c r="PNK79" s="461"/>
      <c r="PNL79" s="448"/>
      <c r="PNM79" s="456"/>
      <c r="PNN79" s="449"/>
      <c r="PNO79" s="450"/>
      <c r="PNP79" s="452"/>
      <c r="PNQ79" s="448"/>
      <c r="PNR79" s="456"/>
      <c r="PNS79" s="458"/>
      <c r="PNT79" s="458"/>
      <c r="PNV79" s="454"/>
      <c r="PNW79" s="450"/>
      <c r="PNX79" s="454"/>
      <c r="PNY79" s="448"/>
      <c r="PNZ79" s="449"/>
      <c r="POA79" s="450"/>
      <c r="POB79" s="447"/>
      <c r="POC79" s="448"/>
      <c r="POD79" s="449"/>
      <c r="POE79" s="450"/>
      <c r="POF79" s="447"/>
      <c r="POG79" s="451"/>
      <c r="POH79" s="449"/>
      <c r="POI79" s="450"/>
      <c r="POJ79" s="447"/>
      <c r="POK79" s="451"/>
      <c r="POL79" s="449"/>
      <c r="POM79" s="450"/>
      <c r="PON79" s="447"/>
      <c r="POO79" s="451"/>
      <c r="POP79" s="449"/>
      <c r="POQ79" s="450"/>
      <c r="POR79" s="452"/>
      <c r="POS79" s="451"/>
      <c r="POT79" s="449"/>
      <c r="POU79" s="450"/>
      <c r="POV79" s="447"/>
      <c r="POW79" s="448"/>
      <c r="POX79" s="453"/>
      <c r="POY79" s="449"/>
      <c r="POZ79" s="450"/>
      <c r="PPA79" s="454"/>
      <c r="PPB79" s="448"/>
      <c r="PPD79" s="449"/>
      <c r="PPE79" s="450"/>
      <c r="PPF79" s="452"/>
      <c r="PPG79" s="448"/>
      <c r="PPI79" s="449"/>
      <c r="PPJ79" s="450"/>
      <c r="PPK79" s="447"/>
      <c r="PPL79" s="448"/>
      <c r="PPN79" s="449"/>
      <c r="PPO79" s="450"/>
      <c r="PPP79" s="452"/>
      <c r="PPQ79" s="448"/>
      <c r="PPR79" s="449"/>
      <c r="PPS79" s="450"/>
      <c r="PPT79" s="452"/>
      <c r="PPU79" s="448"/>
      <c r="PPV79" s="455"/>
      <c r="PPW79" s="449"/>
      <c r="PPX79" s="450"/>
      <c r="PPY79" s="459"/>
      <c r="PPZ79" s="448"/>
      <c r="PQA79" s="456"/>
      <c r="PQB79" s="449"/>
      <c r="PQC79" s="450"/>
      <c r="PQD79" s="452"/>
      <c r="PQE79" s="448"/>
      <c r="PQF79" s="449"/>
      <c r="PQG79" s="450"/>
      <c r="PQH79" s="452"/>
      <c r="PQI79" s="448"/>
      <c r="PQJ79" s="449"/>
      <c r="PQK79" s="450"/>
      <c r="PQL79" s="447"/>
      <c r="PQM79" s="448"/>
      <c r="PQN79" s="457"/>
      <c r="PQO79" s="460"/>
      <c r="PQP79" s="450"/>
      <c r="PQQ79" s="461"/>
      <c r="PQR79" s="448"/>
      <c r="PQS79" s="456"/>
      <c r="PQT79" s="449"/>
      <c r="PQU79" s="450"/>
      <c r="PQV79" s="452"/>
      <c r="PQW79" s="448"/>
      <c r="PQX79" s="456"/>
      <c r="PQY79" s="458"/>
      <c r="PQZ79" s="458"/>
      <c r="PRB79" s="454"/>
      <c r="PRC79" s="450"/>
      <c r="PRD79" s="454"/>
      <c r="PRE79" s="448"/>
      <c r="PRF79" s="449"/>
      <c r="PRG79" s="450"/>
      <c r="PRH79" s="447"/>
      <c r="PRI79" s="448"/>
      <c r="PRJ79" s="449"/>
      <c r="PRK79" s="450"/>
      <c r="PRL79" s="447"/>
      <c r="PRM79" s="451"/>
      <c r="PRN79" s="449"/>
      <c r="PRO79" s="450"/>
      <c r="PRP79" s="447"/>
      <c r="PRQ79" s="451"/>
      <c r="PRR79" s="449"/>
      <c r="PRS79" s="450"/>
      <c r="PRT79" s="447"/>
      <c r="PRU79" s="451"/>
      <c r="PRV79" s="449"/>
      <c r="PRW79" s="450"/>
      <c r="PRX79" s="452"/>
      <c r="PRY79" s="451"/>
      <c r="PRZ79" s="449"/>
      <c r="PSA79" s="450"/>
      <c r="PSB79" s="447"/>
      <c r="PSC79" s="448"/>
      <c r="PSD79" s="453"/>
      <c r="PSE79" s="449"/>
      <c r="PSF79" s="450"/>
      <c r="PSG79" s="454"/>
      <c r="PSH79" s="448"/>
      <c r="PSJ79" s="449"/>
      <c r="PSK79" s="450"/>
      <c r="PSL79" s="452"/>
      <c r="PSM79" s="448"/>
      <c r="PSO79" s="449"/>
      <c r="PSP79" s="450"/>
      <c r="PSQ79" s="447"/>
      <c r="PSR79" s="448"/>
      <c r="PST79" s="449"/>
      <c r="PSU79" s="450"/>
      <c r="PSV79" s="452"/>
      <c r="PSW79" s="448"/>
      <c r="PSX79" s="449"/>
      <c r="PSY79" s="450"/>
      <c r="PSZ79" s="452"/>
      <c r="PTA79" s="448"/>
      <c r="PTB79" s="455"/>
      <c r="PTC79" s="449"/>
      <c r="PTD79" s="450"/>
      <c r="PTE79" s="459"/>
      <c r="PTF79" s="448"/>
      <c r="PTG79" s="456"/>
      <c r="PTH79" s="449"/>
      <c r="PTI79" s="450"/>
      <c r="PTJ79" s="452"/>
      <c r="PTK79" s="448"/>
      <c r="PTL79" s="449"/>
      <c r="PTM79" s="450"/>
      <c r="PTN79" s="452"/>
      <c r="PTO79" s="448"/>
      <c r="PTP79" s="449"/>
      <c r="PTQ79" s="450"/>
      <c r="PTR79" s="447"/>
      <c r="PTS79" s="448"/>
      <c r="PTT79" s="457"/>
      <c r="PTU79" s="460"/>
      <c r="PTV79" s="450"/>
      <c r="PTW79" s="461"/>
      <c r="PTX79" s="448"/>
      <c r="PTY79" s="456"/>
      <c r="PTZ79" s="449"/>
      <c r="PUA79" s="450"/>
      <c r="PUB79" s="452"/>
      <c r="PUC79" s="448"/>
      <c r="PUD79" s="456"/>
      <c r="PUE79" s="458"/>
      <c r="PUF79" s="458"/>
      <c r="PUH79" s="454"/>
      <c r="PUI79" s="450"/>
      <c r="PUJ79" s="454"/>
      <c r="PUK79" s="448"/>
      <c r="PUL79" s="449"/>
      <c r="PUM79" s="450"/>
      <c r="PUN79" s="447"/>
      <c r="PUO79" s="448"/>
      <c r="PUP79" s="449"/>
      <c r="PUQ79" s="450"/>
      <c r="PUR79" s="447"/>
      <c r="PUS79" s="451"/>
      <c r="PUT79" s="449"/>
      <c r="PUU79" s="450"/>
      <c r="PUV79" s="447"/>
      <c r="PUW79" s="451"/>
      <c r="PUX79" s="449"/>
      <c r="PUY79" s="450"/>
      <c r="PUZ79" s="447"/>
      <c r="PVA79" s="451"/>
      <c r="PVB79" s="449"/>
      <c r="PVC79" s="450"/>
      <c r="PVD79" s="452"/>
      <c r="PVE79" s="451"/>
      <c r="PVF79" s="449"/>
      <c r="PVG79" s="450"/>
      <c r="PVH79" s="447"/>
      <c r="PVI79" s="448"/>
      <c r="PVJ79" s="453"/>
      <c r="PVK79" s="449"/>
      <c r="PVL79" s="450"/>
      <c r="PVM79" s="454"/>
      <c r="PVN79" s="448"/>
      <c r="PVP79" s="449"/>
      <c r="PVQ79" s="450"/>
      <c r="PVR79" s="452"/>
      <c r="PVS79" s="448"/>
      <c r="PVU79" s="449"/>
      <c r="PVV79" s="450"/>
      <c r="PVW79" s="447"/>
      <c r="PVX79" s="448"/>
      <c r="PVZ79" s="449"/>
      <c r="PWA79" s="450"/>
      <c r="PWB79" s="452"/>
      <c r="PWC79" s="448"/>
      <c r="PWD79" s="449"/>
      <c r="PWE79" s="450"/>
      <c r="PWF79" s="452"/>
      <c r="PWG79" s="448"/>
      <c r="PWH79" s="455"/>
      <c r="PWI79" s="449"/>
      <c r="PWJ79" s="450"/>
      <c r="PWK79" s="459"/>
      <c r="PWL79" s="448"/>
      <c r="PWM79" s="456"/>
      <c r="PWN79" s="449"/>
      <c r="PWO79" s="450"/>
      <c r="PWP79" s="452"/>
      <c r="PWQ79" s="448"/>
      <c r="PWR79" s="449"/>
      <c r="PWS79" s="450"/>
      <c r="PWT79" s="452"/>
      <c r="PWU79" s="448"/>
      <c r="PWV79" s="449"/>
      <c r="PWW79" s="450"/>
      <c r="PWX79" s="447"/>
      <c r="PWY79" s="448"/>
      <c r="PWZ79" s="457"/>
      <c r="PXA79" s="460"/>
      <c r="PXB79" s="450"/>
      <c r="PXC79" s="461"/>
      <c r="PXD79" s="448"/>
      <c r="PXE79" s="456"/>
      <c r="PXF79" s="449"/>
      <c r="PXG79" s="450"/>
      <c r="PXH79" s="452"/>
      <c r="PXI79" s="448"/>
      <c r="PXJ79" s="456"/>
      <c r="PXK79" s="458"/>
      <c r="PXL79" s="458"/>
      <c r="PXN79" s="454"/>
      <c r="PXO79" s="450"/>
      <c r="PXP79" s="454"/>
      <c r="PXQ79" s="448"/>
      <c r="PXR79" s="449"/>
      <c r="PXS79" s="450"/>
      <c r="PXT79" s="447"/>
      <c r="PXU79" s="448"/>
      <c r="PXV79" s="449"/>
      <c r="PXW79" s="450"/>
      <c r="PXX79" s="447"/>
      <c r="PXY79" s="451"/>
      <c r="PXZ79" s="449"/>
      <c r="PYA79" s="450"/>
      <c r="PYB79" s="447"/>
      <c r="PYC79" s="451"/>
      <c r="PYD79" s="449"/>
      <c r="PYE79" s="450"/>
      <c r="PYF79" s="447"/>
      <c r="PYG79" s="451"/>
      <c r="PYH79" s="449"/>
      <c r="PYI79" s="450"/>
      <c r="PYJ79" s="452"/>
      <c r="PYK79" s="451"/>
      <c r="PYL79" s="449"/>
      <c r="PYM79" s="450"/>
      <c r="PYN79" s="447"/>
      <c r="PYO79" s="448"/>
      <c r="PYP79" s="453"/>
      <c r="PYQ79" s="449"/>
      <c r="PYR79" s="450"/>
      <c r="PYS79" s="454"/>
      <c r="PYT79" s="448"/>
      <c r="PYV79" s="449"/>
      <c r="PYW79" s="450"/>
      <c r="PYX79" s="452"/>
      <c r="PYY79" s="448"/>
      <c r="PZA79" s="449"/>
      <c r="PZB79" s="450"/>
      <c r="PZC79" s="447"/>
      <c r="PZD79" s="448"/>
      <c r="PZF79" s="449"/>
      <c r="PZG79" s="450"/>
      <c r="PZH79" s="452"/>
      <c r="PZI79" s="448"/>
      <c r="PZJ79" s="449"/>
      <c r="PZK79" s="450"/>
      <c r="PZL79" s="452"/>
      <c r="PZM79" s="448"/>
      <c r="PZN79" s="455"/>
      <c r="PZO79" s="449"/>
      <c r="PZP79" s="450"/>
      <c r="PZQ79" s="459"/>
      <c r="PZR79" s="448"/>
      <c r="PZS79" s="456"/>
      <c r="PZT79" s="449"/>
      <c r="PZU79" s="450"/>
      <c r="PZV79" s="452"/>
      <c r="PZW79" s="448"/>
      <c r="PZX79" s="449"/>
      <c r="PZY79" s="450"/>
      <c r="PZZ79" s="452"/>
      <c r="QAA79" s="448"/>
      <c r="QAB79" s="449"/>
      <c r="QAC79" s="450"/>
      <c r="QAD79" s="447"/>
      <c r="QAE79" s="448"/>
      <c r="QAF79" s="457"/>
      <c r="QAG79" s="460"/>
      <c r="QAH79" s="450"/>
      <c r="QAI79" s="461"/>
      <c r="QAJ79" s="448"/>
      <c r="QAK79" s="456"/>
      <c r="QAL79" s="449"/>
      <c r="QAM79" s="450"/>
      <c r="QAN79" s="452"/>
      <c r="QAO79" s="448"/>
      <c r="QAP79" s="456"/>
      <c r="QAQ79" s="458"/>
      <c r="QAR79" s="458"/>
      <c r="QAT79" s="454"/>
      <c r="QAU79" s="450"/>
      <c r="QAV79" s="454"/>
      <c r="QAW79" s="448"/>
      <c r="QAX79" s="449"/>
      <c r="QAY79" s="450"/>
      <c r="QAZ79" s="447"/>
      <c r="QBA79" s="448"/>
      <c r="QBB79" s="449"/>
      <c r="QBC79" s="450"/>
      <c r="QBD79" s="447"/>
      <c r="QBE79" s="451"/>
      <c r="QBF79" s="449"/>
      <c r="QBG79" s="450"/>
      <c r="QBH79" s="447"/>
      <c r="QBI79" s="451"/>
      <c r="QBJ79" s="449"/>
      <c r="QBK79" s="450"/>
      <c r="QBL79" s="447"/>
      <c r="QBM79" s="451"/>
      <c r="QBN79" s="449"/>
      <c r="QBO79" s="450"/>
      <c r="QBP79" s="452"/>
      <c r="QBQ79" s="451"/>
      <c r="QBR79" s="449"/>
      <c r="QBS79" s="450"/>
      <c r="QBT79" s="447"/>
      <c r="QBU79" s="448"/>
      <c r="QBV79" s="453"/>
      <c r="QBW79" s="449"/>
      <c r="QBX79" s="450"/>
      <c r="QBY79" s="454"/>
      <c r="QBZ79" s="448"/>
      <c r="QCB79" s="449"/>
      <c r="QCC79" s="450"/>
      <c r="QCD79" s="452"/>
      <c r="QCE79" s="448"/>
      <c r="QCG79" s="449"/>
      <c r="QCH79" s="450"/>
      <c r="QCI79" s="447"/>
      <c r="QCJ79" s="448"/>
      <c r="QCL79" s="449"/>
      <c r="QCM79" s="450"/>
      <c r="QCN79" s="452"/>
      <c r="QCO79" s="448"/>
      <c r="QCP79" s="449"/>
      <c r="QCQ79" s="450"/>
      <c r="QCR79" s="452"/>
      <c r="QCS79" s="448"/>
      <c r="QCT79" s="455"/>
      <c r="QCU79" s="449"/>
      <c r="QCV79" s="450"/>
      <c r="QCW79" s="459"/>
      <c r="QCX79" s="448"/>
      <c r="QCY79" s="456"/>
      <c r="QCZ79" s="449"/>
      <c r="QDA79" s="450"/>
      <c r="QDB79" s="452"/>
      <c r="QDC79" s="448"/>
      <c r="QDD79" s="449"/>
      <c r="QDE79" s="450"/>
      <c r="QDF79" s="452"/>
      <c r="QDG79" s="448"/>
      <c r="QDH79" s="449"/>
      <c r="QDI79" s="450"/>
      <c r="QDJ79" s="447"/>
      <c r="QDK79" s="448"/>
      <c r="QDL79" s="457"/>
      <c r="QDM79" s="460"/>
      <c r="QDN79" s="450"/>
      <c r="QDO79" s="461"/>
      <c r="QDP79" s="448"/>
      <c r="QDQ79" s="456"/>
      <c r="QDR79" s="449"/>
      <c r="QDS79" s="450"/>
      <c r="QDT79" s="452"/>
      <c r="QDU79" s="448"/>
      <c r="QDV79" s="456"/>
      <c r="QDW79" s="458"/>
      <c r="QDX79" s="458"/>
      <c r="QDZ79" s="454"/>
      <c r="QEA79" s="450"/>
      <c r="QEB79" s="454"/>
      <c r="QEC79" s="448"/>
      <c r="QED79" s="449"/>
      <c r="QEE79" s="450"/>
      <c r="QEF79" s="447"/>
      <c r="QEG79" s="448"/>
      <c r="QEH79" s="449"/>
      <c r="QEI79" s="450"/>
      <c r="QEJ79" s="447"/>
      <c r="QEK79" s="451"/>
      <c r="QEL79" s="449"/>
      <c r="QEM79" s="450"/>
      <c r="QEN79" s="447"/>
      <c r="QEO79" s="451"/>
      <c r="QEP79" s="449"/>
      <c r="QEQ79" s="450"/>
      <c r="QER79" s="447"/>
      <c r="QES79" s="451"/>
      <c r="QET79" s="449"/>
      <c r="QEU79" s="450"/>
      <c r="QEV79" s="452"/>
      <c r="QEW79" s="451"/>
      <c r="QEX79" s="449"/>
      <c r="QEY79" s="450"/>
      <c r="QEZ79" s="447"/>
      <c r="QFA79" s="448"/>
      <c r="QFB79" s="453"/>
      <c r="QFC79" s="449"/>
      <c r="QFD79" s="450"/>
      <c r="QFE79" s="454"/>
      <c r="QFF79" s="448"/>
      <c r="QFH79" s="449"/>
      <c r="QFI79" s="450"/>
      <c r="QFJ79" s="452"/>
      <c r="QFK79" s="448"/>
      <c r="QFM79" s="449"/>
      <c r="QFN79" s="450"/>
      <c r="QFO79" s="447"/>
      <c r="QFP79" s="448"/>
      <c r="QFR79" s="449"/>
      <c r="QFS79" s="450"/>
      <c r="QFT79" s="452"/>
      <c r="QFU79" s="448"/>
      <c r="QFV79" s="449"/>
      <c r="QFW79" s="450"/>
      <c r="QFX79" s="452"/>
      <c r="QFY79" s="448"/>
      <c r="QFZ79" s="455"/>
      <c r="QGA79" s="449"/>
      <c r="QGB79" s="450"/>
      <c r="QGC79" s="459"/>
      <c r="QGD79" s="448"/>
      <c r="QGE79" s="456"/>
      <c r="QGF79" s="449"/>
      <c r="QGG79" s="450"/>
      <c r="QGH79" s="452"/>
      <c r="QGI79" s="448"/>
      <c r="QGJ79" s="449"/>
      <c r="QGK79" s="450"/>
      <c r="QGL79" s="452"/>
      <c r="QGM79" s="448"/>
      <c r="QGN79" s="449"/>
      <c r="QGO79" s="450"/>
      <c r="QGP79" s="447"/>
      <c r="QGQ79" s="448"/>
      <c r="QGR79" s="457"/>
      <c r="QGS79" s="460"/>
      <c r="QGT79" s="450"/>
      <c r="QGU79" s="461"/>
      <c r="QGV79" s="448"/>
      <c r="QGW79" s="456"/>
      <c r="QGX79" s="449"/>
      <c r="QGY79" s="450"/>
      <c r="QGZ79" s="452"/>
      <c r="QHA79" s="448"/>
      <c r="QHB79" s="456"/>
      <c r="QHC79" s="458"/>
      <c r="QHD79" s="458"/>
      <c r="QHF79" s="454"/>
      <c r="QHG79" s="450"/>
      <c r="QHH79" s="454"/>
      <c r="QHI79" s="448"/>
      <c r="QHJ79" s="449"/>
      <c r="QHK79" s="450"/>
      <c r="QHL79" s="447"/>
      <c r="QHM79" s="448"/>
      <c r="QHN79" s="449"/>
      <c r="QHO79" s="450"/>
      <c r="QHP79" s="447"/>
      <c r="QHQ79" s="451"/>
      <c r="QHR79" s="449"/>
      <c r="QHS79" s="450"/>
      <c r="QHT79" s="447"/>
      <c r="QHU79" s="451"/>
      <c r="QHV79" s="449"/>
      <c r="QHW79" s="450"/>
      <c r="QHX79" s="447"/>
      <c r="QHY79" s="451"/>
      <c r="QHZ79" s="449"/>
      <c r="QIA79" s="450"/>
      <c r="QIB79" s="452"/>
      <c r="QIC79" s="451"/>
      <c r="QID79" s="449"/>
      <c r="QIE79" s="450"/>
      <c r="QIF79" s="447"/>
      <c r="QIG79" s="448"/>
      <c r="QIH79" s="453"/>
      <c r="QII79" s="449"/>
      <c r="QIJ79" s="450"/>
      <c r="QIK79" s="454"/>
      <c r="QIL79" s="448"/>
      <c r="QIN79" s="449"/>
      <c r="QIO79" s="450"/>
      <c r="QIP79" s="452"/>
      <c r="QIQ79" s="448"/>
      <c r="QIS79" s="449"/>
      <c r="QIT79" s="450"/>
      <c r="QIU79" s="447"/>
      <c r="QIV79" s="448"/>
      <c r="QIX79" s="449"/>
      <c r="QIY79" s="450"/>
      <c r="QIZ79" s="452"/>
      <c r="QJA79" s="448"/>
      <c r="QJB79" s="449"/>
      <c r="QJC79" s="450"/>
      <c r="QJD79" s="452"/>
      <c r="QJE79" s="448"/>
      <c r="QJF79" s="455"/>
      <c r="QJG79" s="449"/>
      <c r="QJH79" s="450"/>
      <c r="QJI79" s="459"/>
      <c r="QJJ79" s="448"/>
      <c r="QJK79" s="456"/>
      <c r="QJL79" s="449"/>
      <c r="QJM79" s="450"/>
      <c r="QJN79" s="452"/>
      <c r="QJO79" s="448"/>
      <c r="QJP79" s="449"/>
      <c r="QJQ79" s="450"/>
      <c r="QJR79" s="452"/>
      <c r="QJS79" s="448"/>
      <c r="QJT79" s="449"/>
      <c r="QJU79" s="450"/>
      <c r="QJV79" s="447"/>
      <c r="QJW79" s="448"/>
      <c r="QJX79" s="457"/>
      <c r="QJY79" s="460"/>
      <c r="QJZ79" s="450"/>
      <c r="QKA79" s="461"/>
      <c r="QKB79" s="448"/>
      <c r="QKC79" s="456"/>
      <c r="QKD79" s="449"/>
      <c r="QKE79" s="450"/>
      <c r="QKF79" s="452"/>
      <c r="QKG79" s="448"/>
      <c r="QKH79" s="456"/>
      <c r="QKI79" s="458"/>
      <c r="QKJ79" s="458"/>
      <c r="QKL79" s="454"/>
      <c r="QKM79" s="450"/>
      <c r="QKN79" s="454"/>
      <c r="QKO79" s="448"/>
      <c r="QKP79" s="449"/>
      <c r="QKQ79" s="450"/>
      <c r="QKR79" s="447"/>
      <c r="QKS79" s="448"/>
      <c r="QKT79" s="449"/>
      <c r="QKU79" s="450"/>
      <c r="QKV79" s="447"/>
      <c r="QKW79" s="451"/>
      <c r="QKX79" s="449"/>
      <c r="QKY79" s="450"/>
      <c r="QKZ79" s="447"/>
      <c r="QLA79" s="451"/>
      <c r="QLB79" s="449"/>
      <c r="QLC79" s="450"/>
      <c r="QLD79" s="447"/>
      <c r="QLE79" s="451"/>
      <c r="QLF79" s="449"/>
      <c r="QLG79" s="450"/>
      <c r="QLH79" s="452"/>
      <c r="QLI79" s="451"/>
      <c r="QLJ79" s="449"/>
      <c r="QLK79" s="450"/>
      <c r="QLL79" s="447"/>
      <c r="QLM79" s="448"/>
      <c r="QLN79" s="453"/>
      <c r="QLO79" s="449"/>
      <c r="QLP79" s="450"/>
      <c r="QLQ79" s="454"/>
      <c r="QLR79" s="448"/>
      <c r="QLT79" s="449"/>
      <c r="QLU79" s="450"/>
      <c r="QLV79" s="452"/>
      <c r="QLW79" s="448"/>
      <c r="QLY79" s="449"/>
      <c r="QLZ79" s="450"/>
      <c r="QMA79" s="447"/>
      <c r="QMB79" s="448"/>
      <c r="QMD79" s="449"/>
      <c r="QME79" s="450"/>
      <c r="QMF79" s="452"/>
      <c r="QMG79" s="448"/>
      <c r="QMH79" s="449"/>
      <c r="QMI79" s="450"/>
      <c r="QMJ79" s="452"/>
      <c r="QMK79" s="448"/>
      <c r="QML79" s="455"/>
      <c r="QMM79" s="449"/>
      <c r="QMN79" s="450"/>
      <c r="QMO79" s="459"/>
      <c r="QMP79" s="448"/>
      <c r="QMQ79" s="456"/>
      <c r="QMR79" s="449"/>
      <c r="QMS79" s="450"/>
      <c r="QMT79" s="452"/>
      <c r="QMU79" s="448"/>
      <c r="QMV79" s="449"/>
      <c r="QMW79" s="450"/>
      <c r="QMX79" s="452"/>
      <c r="QMY79" s="448"/>
      <c r="QMZ79" s="449"/>
      <c r="QNA79" s="450"/>
      <c r="QNB79" s="447"/>
      <c r="QNC79" s="448"/>
      <c r="QND79" s="457"/>
      <c r="QNE79" s="460"/>
      <c r="QNF79" s="450"/>
      <c r="QNG79" s="461"/>
      <c r="QNH79" s="448"/>
      <c r="QNI79" s="456"/>
      <c r="QNJ79" s="449"/>
      <c r="QNK79" s="450"/>
      <c r="QNL79" s="452"/>
      <c r="QNM79" s="448"/>
      <c r="QNN79" s="456"/>
      <c r="QNO79" s="458"/>
      <c r="QNP79" s="458"/>
      <c r="QNR79" s="454"/>
      <c r="QNS79" s="450"/>
      <c r="QNT79" s="454"/>
      <c r="QNU79" s="448"/>
      <c r="QNV79" s="449"/>
      <c r="QNW79" s="450"/>
      <c r="QNX79" s="447"/>
      <c r="QNY79" s="448"/>
      <c r="QNZ79" s="449"/>
      <c r="QOA79" s="450"/>
      <c r="QOB79" s="447"/>
      <c r="QOC79" s="451"/>
      <c r="QOD79" s="449"/>
      <c r="QOE79" s="450"/>
      <c r="QOF79" s="447"/>
      <c r="QOG79" s="451"/>
      <c r="QOH79" s="449"/>
      <c r="QOI79" s="450"/>
      <c r="QOJ79" s="447"/>
      <c r="QOK79" s="451"/>
      <c r="QOL79" s="449"/>
      <c r="QOM79" s="450"/>
      <c r="QON79" s="452"/>
      <c r="QOO79" s="451"/>
      <c r="QOP79" s="449"/>
      <c r="QOQ79" s="450"/>
      <c r="QOR79" s="447"/>
      <c r="QOS79" s="448"/>
      <c r="QOT79" s="453"/>
      <c r="QOU79" s="449"/>
      <c r="QOV79" s="450"/>
      <c r="QOW79" s="454"/>
      <c r="QOX79" s="448"/>
      <c r="QOZ79" s="449"/>
      <c r="QPA79" s="450"/>
      <c r="QPB79" s="452"/>
      <c r="QPC79" s="448"/>
      <c r="QPE79" s="449"/>
      <c r="QPF79" s="450"/>
      <c r="QPG79" s="447"/>
      <c r="QPH79" s="448"/>
      <c r="QPJ79" s="449"/>
      <c r="QPK79" s="450"/>
      <c r="QPL79" s="452"/>
      <c r="QPM79" s="448"/>
      <c r="QPN79" s="449"/>
      <c r="QPO79" s="450"/>
      <c r="QPP79" s="452"/>
      <c r="QPQ79" s="448"/>
      <c r="QPR79" s="455"/>
      <c r="QPS79" s="449"/>
      <c r="QPT79" s="450"/>
      <c r="QPU79" s="459"/>
      <c r="QPV79" s="448"/>
      <c r="QPW79" s="456"/>
      <c r="QPX79" s="449"/>
      <c r="QPY79" s="450"/>
      <c r="QPZ79" s="452"/>
      <c r="QQA79" s="448"/>
      <c r="QQB79" s="449"/>
      <c r="QQC79" s="450"/>
      <c r="QQD79" s="452"/>
      <c r="QQE79" s="448"/>
      <c r="QQF79" s="449"/>
      <c r="QQG79" s="450"/>
      <c r="QQH79" s="447"/>
      <c r="QQI79" s="448"/>
      <c r="QQJ79" s="457"/>
      <c r="QQK79" s="460"/>
      <c r="QQL79" s="450"/>
      <c r="QQM79" s="461"/>
      <c r="QQN79" s="448"/>
      <c r="QQO79" s="456"/>
      <c r="QQP79" s="449"/>
      <c r="QQQ79" s="450"/>
      <c r="QQR79" s="452"/>
      <c r="QQS79" s="448"/>
      <c r="QQT79" s="456"/>
      <c r="QQU79" s="458"/>
      <c r="QQV79" s="458"/>
      <c r="QQX79" s="454"/>
      <c r="QQY79" s="450"/>
      <c r="QQZ79" s="454"/>
      <c r="QRA79" s="448"/>
      <c r="QRB79" s="449"/>
      <c r="QRC79" s="450"/>
      <c r="QRD79" s="447"/>
      <c r="QRE79" s="448"/>
      <c r="QRF79" s="449"/>
      <c r="QRG79" s="450"/>
      <c r="QRH79" s="447"/>
      <c r="QRI79" s="451"/>
      <c r="QRJ79" s="449"/>
      <c r="QRK79" s="450"/>
      <c r="QRL79" s="447"/>
      <c r="QRM79" s="451"/>
      <c r="QRN79" s="449"/>
      <c r="QRO79" s="450"/>
      <c r="QRP79" s="447"/>
      <c r="QRQ79" s="451"/>
      <c r="QRR79" s="449"/>
      <c r="QRS79" s="450"/>
      <c r="QRT79" s="452"/>
      <c r="QRU79" s="451"/>
      <c r="QRV79" s="449"/>
      <c r="QRW79" s="450"/>
      <c r="QRX79" s="447"/>
      <c r="QRY79" s="448"/>
      <c r="QRZ79" s="453"/>
      <c r="QSA79" s="449"/>
      <c r="QSB79" s="450"/>
      <c r="QSC79" s="454"/>
      <c r="QSD79" s="448"/>
      <c r="QSF79" s="449"/>
      <c r="QSG79" s="450"/>
      <c r="QSH79" s="452"/>
      <c r="QSI79" s="448"/>
      <c r="QSK79" s="449"/>
      <c r="QSL79" s="450"/>
      <c r="QSM79" s="447"/>
      <c r="QSN79" s="448"/>
      <c r="QSP79" s="449"/>
      <c r="QSQ79" s="450"/>
      <c r="QSR79" s="452"/>
      <c r="QSS79" s="448"/>
      <c r="QST79" s="449"/>
      <c r="QSU79" s="450"/>
      <c r="QSV79" s="452"/>
      <c r="QSW79" s="448"/>
      <c r="QSX79" s="455"/>
      <c r="QSY79" s="449"/>
      <c r="QSZ79" s="450"/>
      <c r="QTA79" s="459"/>
      <c r="QTB79" s="448"/>
      <c r="QTC79" s="456"/>
      <c r="QTD79" s="449"/>
      <c r="QTE79" s="450"/>
      <c r="QTF79" s="452"/>
      <c r="QTG79" s="448"/>
      <c r="QTH79" s="449"/>
      <c r="QTI79" s="450"/>
      <c r="QTJ79" s="452"/>
      <c r="QTK79" s="448"/>
      <c r="QTL79" s="449"/>
      <c r="QTM79" s="450"/>
      <c r="QTN79" s="447"/>
      <c r="QTO79" s="448"/>
      <c r="QTP79" s="457"/>
      <c r="QTQ79" s="460"/>
      <c r="QTR79" s="450"/>
      <c r="QTS79" s="461"/>
      <c r="QTT79" s="448"/>
      <c r="QTU79" s="456"/>
      <c r="QTV79" s="449"/>
      <c r="QTW79" s="450"/>
      <c r="QTX79" s="452"/>
      <c r="QTY79" s="448"/>
      <c r="QTZ79" s="456"/>
      <c r="QUA79" s="458"/>
      <c r="QUB79" s="458"/>
      <c r="QUD79" s="454"/>
      <c r="QUE79" s="450"/>
      <c r="QUF79" s="454"/>
      <c r="QUG79" s="448"/>
      <c r="QUH79" s="449"/>
      <c r="QUI79" s="450"/>
      <c r="QUJ79" s="447"/>
      <c r="QUK79" s="448"/>
      <c r="QUL79" s="449"/>
      <c r="QUM79" s="450"/>
      <c r="QUN79" s="447"/>
      <c r="QUO79" s="451"/>
      <c r="QUP79" s="449"/>
      <c r="QUQ79" s="450"/>
      <c r="QUR79" s="447"/>
      <c r="QUS79" s="451"/>
      <c r="QUT79" s="449"/>
      <c r="QUU79" s="450"/>
      <c r="QUV79" s="447"/>
      <c r="QUW79" s="451"/>
      <c r="QUX79" s="449"/>
      <c r="QUY79" s="450"/>
      <c r="QUZ79" s="452"/>
      <c r="QVA79" s="451"/>
      <c r="QVB79" s="449"/>
      <c r="QVC79" s="450"/>
      <c r="QVD79" s="447"/>
      <c r="QVE79" s="448"/>
      <c r="QVF79" s="453"/>
      <c r="QVG79" s="449"/>
      <c r="QVH79" s="450"/>
      <c r="QVI79" s="454"/>
      <c r="QVJ79" s="448"/>
      <c r="QVL79" s="449"/>
      <c r="QVM79" s="450"/>
      <c r="QVN79" s="452"/>
      <c r="QVO79" s="448"/>
      <c r="QVQ79" s="449"/>
      <c r="QVR79" s="450"/>
      <c r="QVS79" s="447"/>
      <c r="QVT79" s="448"/>
      <c r="QVV79" s="449"/>
      <c r="QVW79" s="450"/>
      <c r="QVX79" s="452"/>
      <c r="QVY79" s="448"/>
      <c r="QVZ79" s="449"/>
      <c r="QWA79" s="450"/>
      <c r="QWB79" s="452"/>
      <c r="QWC79" s="448"/>
      <c r="QWD79" s="455"/>
      <c r="QWE79" s="449"/>
      <c r="QWF79" s="450"/>
      <c r="QWG79" s="459"/>
      <c r="QWH79" s="448"/>
      <c r="QWI79" s="456"/>
      <c r="QWJ79" s="449"/>
      <c r="QWK79" s="450"/>
      <c r="QWL79" s="452"/>
      <c r="QWM79" s="448"/>
      <c r="QWN79" s="449"/>
      <c r="QWO79" s="450"/>
      <c r="QWP79" s="452"/>
      <c r="QWQ79" s="448"/>
      <c r="QWR79" s="449"/>
      <c r="QWS79" s="450"/>
      <c r="QWT79" s="447"/>
      <c r="QWU79" s="448"/>
      <c r="QWV79" s="457"/>
      <c r="QWW79" s="460"/>
      <c r="QWX79" s="450"/>
      <c r="QWY79" s="461"/>
      <c r="QWZ79" s="448"/>
      <c r="QXA79" s="456"/>
      <c r="QXB79" s="449"/>
      <c r="QXC79" s="450"/>
      <c r="QXD79" s="452"/>
      <c r="QXE79" s="448"/>
      <c r="QXF79" s="456"/>
      <c r="QXG79" s="458"/>
      <c r="QXH79" s="458"/>
      <c r="QXJ79" s="454"/>
      <c r="QXK79" s="450"/>
      <c r="QXL79" s="454"/>
      <c r="QXM79" s="448"/>
      <c r="QXN79" s="449"/>
      <c r="QXO79" s="450"/>
      <c r="QXP79" s="447"/>
      <c r="QXQ79" s="448"/>
      <c r="QXR79" s="449"/>
      <c r="QXS79" s="450"/>
      <c r="QXT79" s="447"/>
      <c r="QXU79" s="451"/>
      <c r="QXV79" s="449"/>
      <c r="QXW79" s="450"/>
      <c r="QXX79" s="447"/>
      <c r="QXY79" s="451"/>
      <c r="QXZ79" s="449"/>
      <c r="QYA79" s="450"/>
      <c r="QYB79" s="447"/>
      <c r="QYC79" s="451"/>
      <c r="QYD79" s="449"/>
      <c r="QYE79" s="450"/>
      <c r="QYF79" s="452"/>
      <c r="QYG79" s="451"/>
      <c r="QYH79" s="449"/>
      <c r="QYI79" s="450"/>
      <c r="QYJ79" s="447"/>
      <c r="QYK79" s="448"/>
      <c r="QYL79" s="453"/>
      <c r="QYM79" s="449"/>
      <c r="QYN79" s="450"/>
      <c r="QYO79" s="454"/>
      <c r="QYP79" s="448"/>
      <c r="QYR79" s="449"/>
      <c r="QYS79" s="450"/>
      <c r="QYT79" s="452"/>
      <c r="QYU79" s="448"/>
      <c r="QYW79" s="449"/>
      <c r="QYX79" s="450"/>
      <c r="QYY79" s="447"/>
      <c r="QYZ79" s="448"/>
      <c r="QZB79" s="449"/>
      <c r="QZC79" s="450"/>
      <c r="QZD79" s="452"/>
      <c r="QZE79" s="448"/>
      <c r="QZF79" s="449"/>
      <c r="QZG79" s="450"/>
      <c r="QZH79" s="452"/>
      <c r="QZI79" s="448"/>
      <c r="QZJ79" s="455"/>
      <c r="QZK79" s="449"/>
      <c r="QZL79" s="450"/>
      <c r="QZM79" s="459"/>
      <c r="QZN79" s="448"/>
      <c r="QZO79" s="456"/>
      <c r="QZP79" s="449"/>
      <c r="QZQ79" s="450"/>
      <c r="QZR79" s="452"/>
      <c r="QZS79" s="448"/>
      <c r="QZT79" s="449"/>
      <c r="QZU79" s="450"/>
      <c r="QZV79" s="452"/>
      <c r="QZW79" s="448"/>
      <c r="QZX79" s="449"/>
      <c r="QZY79" s="450"/>
      <c r="QZZ79" s="447"/>
      <c r="RAA79" s="448"/>
      <c r="RAB79" s="457"/>
      <c r="RAC79" s="460"/>
      <c r="RAD79" s="450"/>
      <c r="RAE79" s="461"/>
      <c r="RAF79" s="448"/>
      <c r="RAG79" s="456"/>
      <c r="RAH79" s="449"/>
      <c r="RAI79" s="450"/>
      <c r="RAJ79" s="452"/>
      <c r="RAK79" s="448"/>
      <c r="RAL79" s="456"/>
      <c r="RAM79" s="458"/>
      <c r="RAN79" s="458"/>
      <c r="RAP79" s="454"/>
      <c r="RAQ79" s="450"/>
      <c r="RAR79" s="454"/>
      <c r="RAS79" s="448"/>
      <c r="RAT79" s="449"/>
      <c r="RAU79" s="450"/>
      <c r="RAV79" s="447"/>
      <c r="RAW79" s="448"/>
      <c r="RAX79" s="449"/>
      <c r="RAY79" s="450"/>
      <c r="RAZ79" s="447"/>
      <c r="RBA79" s="451"/>
      <c r="RBB79" s="449"/>
      <c r="RBC79" s="450"/>
      <c r="RBD79" s="447"/>
      <c r="RBE79" s="451"/>
      <c r="RBF79" s="449"/>
      <c r="RBG79" s="450"/>
      <c r="RBH79" s="447"/>
      <c r="RBI79" s="451"/>
      <c r="RBJ79" s="449"/>
      <c r="RBK79" s="450"/>
      <c r="RBL79" s="452"/>
      <c r="RBM79" s="451"/>
      <c r="RBN79" s="449"/>
      <c r="RBO79" s="450"/>
      <c r="RBP79" s="447"/>
      <c r="RBQ79" s="448"/>
      <c r="RBR79" s="453"/>
      <c r="RBS79" s="449"/>
      <c r="RBT79" s="450"/>
      <c r="RBU79" s="454"/>
      <c r="RBV79" s="448"/>
      <c r="RBX79" s="449"/>
      <c r="RBY79" s="450"/>
      <c r="RBZ79" s="452"/>
      <c r="RCA79" s="448"/>
      <c r="RCC79" s="449"/>
      <c r="RCD79" s="450"/>
      <c r="RCE79" s="447"/>
      <c r="RCF79" s="448"/>
      <c r="RCH79" s="449"/>
      <c r="RCI79" s="450"/>
      <c r="RCJ79" s="452"/>
      <c r="RCK79" s="448"/>
      <c r="RCL79" s="449"/>
      <c r="RCM79" s="450"/>
      <c r="RCN79" s="452"/>
      <c r="RCO79" s="448"/>
      <c r="RCP79" s="455"/>
      <c r="RCQ79" s="449"/>
      <c r="RCR79" s="450"/>
      <c r="RCS79" s="459"/>
      <c r="RCT79" s="448"/>
      <c r="RCU79" s="456"/>
      <c r="RCV79" s="449"/>
      <c r="RCW79" s="450"/>
      <c r="RCX79" s="452"/>
      <c r="RCY79" s="448"/>
      <c r="RCZ79" s="449"/>
      <c r="RDA79" s="450"/>
      <c r="RDB79" s="452"/>
      <c r="RDC79" s="448"/>
      <c r="RDD79" s="449"/>
      <c r="RDE79" s="450"/>
      <c r="RDF79" s="447"/>
      <c r="RDG79" s="448"/>
      <c r="RDH79" s="457"/>
      <c r="RDI79" s="460"/>
      <c r="RDJ79" s="450"/>
      <c r="RDK79" s="461"/>
      <c r="RDL79" s="448"/>
      <c r="RDM79" s="456"/>
      <c r="RDN79" s="449"/>
      <c r="RDO79" s="450"/>
      <c r="RDP79" s="452"/>
      <c r="RDQ79" s="448"/>
      <c r="RDR79" s="456"/>
      <c r="RDS79" s="458"/>
      <c r="RDT79" s="458"/>
      <c r="RDV79" s="454"/>
      <c r="RDW79" s="450"/>
      <c r="RDX79" s="454"/>
      <c r="RDY79" s="448"/>
      <c r="RDZ79" s="449"/>
      <c r="REA79" s="450"/>
      <c r="REB79" s="447"/>
      <c r="REC79" s="448"/>
      <c r="RED79" s="449"/>
      <c r="REE79" s="450"/>
      <c r="REF79" s="447"/>
      <c r="REG79" s="451"/>
      <c r="REH79" s="449"/>
      <c r="REI79" s="450"/>
      <c r="REJ79" s="447"/>
      <c r="REK79" s="451"/>
      <c r="REL79" s="449"/>
      <c r="REM79" s="450"/>
      <c r="REN79" s="447"/>
      <c r="REO79" s="451"/>
      <c r="REP79" s="449"/>
      <c r="REQ79" s="450"/>
      <c r="RER79" s="452"/>
      <c r="RES79" s="451"/>
      <c r="RET79" s="449"/>
      <c r="REU79" s="450"/>
      <c r="REV79" s="447"/>
      <c r="REW79" s="448"/>
      <c r="REX79" s="453"/>
      <c r="REY79" s="449"/>
      <c r="REZ79" s="450"/>
      <c r="RFA79" s="454"/>
      <c r="RFB79" s="448"/>
      <c r="RFD79" s="449"/>
      <c r="RFE79" s="450"/>
      <c r="RFF79" s="452"/>
      <c r="RFG79" s="448"/>
      <c r="RFI79" s="449"/>
      <c r="RFJ79" s="450"/>
      <c r="RFK79" s="447"/>
      <c r="RFL79" s="448"/>
      <c r="RFN79" s="449"/>
      <c r="RFO79" s="450"/>
      <c r="RFP79" s="452"/>
      <c r="RFQ79" s="448"/>
      <c r="RFR79" s="449"/>
      <c r="RFS79" s="450"/>
      <c r="RFT79" s="452"/>
      <c r="RFU79" s="448"/>
      <c r="RFV79" s="455"/>
      <c r="RFW79" s="449"/>
      <c r="RFX79" s="450"/>
      <c r="RFY79" s="459"/>
      <c r="RFZ79" s="448"/>
      <c r="RGA79" s="456"/>
      <c r="RGB79" s="449"/>
      <c r="RGC79" s="450"/>
      <c r="RGD79" s="452"/>
      <c r="RGE79" s="448"/>
      <c r="RGF79" s="449"/>
      <c r="RGG79" s="450"/>
      <c r="RGH79" s="452"/>
      <c r="RGI79" s="448"/>
      <c r="RGJ79" s="449"/>
      <c r="RGK79" s="450"/>
      <c r="RGL79" s="447"/>
      <c r="RGM79" s="448"/>
      <c r="RGN79" s="457"/>
      <c r="RGO79" s="460"/>
      <c r="RGP79" s="450"/>
      <c r="RGQ79" s="461"/>
      <c r="RGR79" s="448"/>
      <c r="RGS79" s="456"/>
      <c r="RGT79" s="449"/>
      <c r="RGU79" s="450"/>
      <c r="RGV79" s="452"/>
      <c r="RGW79" s="448"/>
      <c r="RGX79" s="456"/>
      <c r="RGY79" s="458"/>
      <c r="RGZ79" s="458"/>
      <c r="RHB79" s="454"/>
      <c r="RHC79" s="450"/>
      <c r="RHD79" s="454"/>
      <c r="RHE79" s="448"/>
      <c r="RHF79" s="449"/>
      <c r="RHG79" s="450"/>
      <c r="RHH79" s="447"/>
      <c r="RHI79" s="448"/>
      <c r="RHJ79" s="449"/>
      <c r="RHK79" s="450"/>
      <c r="RHL79" s="447"/>
      <c r="RHM79" s="451"/>
      <c r="RHN79" s="449"/>
      <c r="RHO79" s="450"/>
      <c r="RHP79" s="447"/>
      <c r="RHQ79" s="451"/>
      <c r="RHR79" s="449"/>
      <c r="RHS79" s="450"/>
      <c r="RHT79" s="447"/>
      <c r="RHU79" s="451"/>
      <c r="RHV79" s="449"/>
      <c r="RHW79" s="450"/>
      <c r="RHX79" s="452"/>
      <c r="RHY79" s="451"/>
      <c r="RHZ79" s="449"/>
      <c r="RIA79" s="450"/>
      <c r="RIB79" s="447"/>
      <c r="RIC79" s="448"/>
      <c r="RID79" s="453"/>
      <c r="RIE79" s="449"/>
      <c r="RIF79" s="450"/>
      <c r="RIG79" s="454"/>
      <c r="RIH79" s="448"/>
      <c r="RIJ79" s="449"/>
      <c r="RIK79" s="450"/>
      <c r="RIL79" s="452"/>
      <c r="RIM79" s="448"/>
      <c r="RIO79" s="449"/>
      <c r="RIP79" s="450"/>
      <c r="RIQ79" s="447"/>
      <c r="RIR79" s="448"/>
      <c r="RIT79" s="449"/>
      <c r="RIU79" s="450"/>
      <c r="RIV79" s="452"/>
      <c r="RIW79" s="448"/>
      <c r="RIX79" s="449"/>
      <c r="RIY79" s="450"/>
      <c r="RIZ79" s="452"/>
      <c r="RJA79" s="448"/>
      <c r="RJB79" s="455"/>
      <c r="RJC79" s="449"/>
      <c r="RJD79" s="450"/>
      <c r="RJE79" s="459"/>
      <c r="RJF79" s="448"/>
      <c r="RJG79" s="456"/>
      <c r="RJH79" s="449"/>
      <c r="RJI79" s="450"/>
      <c r="RJJ79" s="452"/>
      <c r="RJK79" s="448"/>
      <c r="RJL79" s="449"/>
      <c r="RJM79" s="450"/>
      <c r="RJN79" s="452"/>
      <c r="RJO79" s="448"/>
      <c r="RJP79" s="449"/>
      <c r="RJQ79" s="450"/>
      <c r="RJR79" s="447"/>
      <c r="RJS79" s="448"/>
      <c r="RJT79" s="457"/>
      <c r="RJU79" s="460"/>
      <c r="RJV79" s="450"/>
      <c r="RJW79" s="461"/>
      <c r="RJX79" s="448"/>
      <c r="RJY79" s="456"/>
      <c r="RJZ79" s="449"/>
      <c r="RKA79" s="450"/>
      <c r="RKB79" s="452"/>
      <c r="RKC79" s="448"/>
      <c r="RKD79" s="456"/>
      <c r="RKE79" s="458"/>
      <c r="RKF79" s="458"/>
      <c r="RKH79" s="454"/>
      <c r="RKI79" s="450"/>
      <c r="RKJ79" s="454"/>
      <c r="RKK79" s="448"/>
      <c r="RKL79" s="449"/>
      <c r="RKM79" s="450"/>
      <c r="RKN79" s="447"/>
      <c r="RKO79" s="448"/>
      <c r="RKP79" s="449"/>
      <c r="RKQ79" s="450"/>
      <c r="RKR79" s="447"/>
      <c r="RKS79" s="451"/>
      <c r="RKT79" s="449"/>
      <c r="RKU79" s="450"/>
      <c r="RKV79" s="447"/>
      <c r="RKW79" s="451"/>
      <c r="RKX79" s="449"/>
      <c r="RKY79" s="450"/>
      <c r="RKZ79" s="447"/>
      <c r="RLA79" s="451"/>
      <c r="RLB79" s="449"/>
      <c r="RLC79" s="450"/>
      <c r="RLD79" s="452"/>
      <c r="RLE79" s="451"/>
      <c r="RLF79" s="449"/>
      <c r="RLG79" s="450"/>
      <c r="RLH79" s="447"/>
      <c r="RLI79" s="448"/>
      <c r="RLJ79" s="453"/>
      <c r="RLK79" s="449"/>
      <c r="RLL79" s="450"/>
      <c r="RLM79" s="454"/>
      <c r="RLN79" s="448"/>
      <c r="RLP79" s="449"/>
      <c r="RLQ79" s="450"/>
      <c r="RLR79" s="452"/>
      <c r="RLS79" s="448"/>
      <c r="RLU79" s="449"/>
      <c r="RLV79" s="450"/>
      <c r="RLW79" s="447"/>
      <c r="RLX79" s="448"/>
      <c r="RLZ79" s="449"/>
      <c r="RMA79" s="450"/>
      <c r="RMB79" s="452"/>
      <c r="RMC79" s="448"/>
      <c r="RMD79" s="449"/>
      <c r="RME79" s="450"/>
      <c r="RMF79" s="452"/>
      <c r="RMG79" s="448"/>
      <c r="RMH79" s="455"/>
      <c r="RMI79" s="449"/>
      <c r="RMJ79" s="450"/>
      <c r="RMK79" s="459"/>
      <c r="RML79" s="448"/>
      <c r="RMM79" s="456"/>
      <c r="RMN79" s="449"/>
      <c r="RMO79" s="450"/>
      <c r="RMP79" s="452"/>
      <c r="RMQ79" s="448"/>
      <c r="RMR79" s="449"/>
      <c r="RMS79" s="450"/>
      <c r="RMT79" s="452"/>
      <c r="RMU79" s="448"/>
      <c r="RMV79" s="449"/>
      <c r="RMW79" s="450"/>
      <c r="RMX79" s="447"/>
      <c r="RMY79" s="448"/>
      <c r="RMZ79" s="457"/>
      <c r="RNA79" s="460"/>
      <c r="RNB79" s="450"/>
      <c r="RNC79" s="461"/>
      <c r="RND79" s="448"/>
      <c r="RNE79" s="456"/>
      <c r="RNF79" s="449"/>
      <c r="RNG79" s="450"/>
      <c r="RNH79" s="452"/>
      <c r="RNI79" s="448"/>
      <c r="RNJ79" s="456"/>
      <c r="RNK79" s="458"/>
      <c r="RNL79" s="458"/>
      <c r="RNN79" s="454"/>
      <c r="RNO79" s="450"/>
      <c r="RNP79" s="454"/>
      <c r="RNQ79" s="448"/>
      <c r="RNR79" s="449"/>
      <c r="RNS79" s="450"/>
      <c r="RNT79" s="447"/>
      <c r="RNU79" s="448"/>
      <c r="RNV79" s="449"/>
      <c r="RNW79" s="450"/>
      <c r="RNX79" s="447"/>
      <c r="RNY79" s="451"/>
      <c r="RNZ79" s="449"/>
      <c r="ROA79" s="450"/>
      <c r="ROB79" s="447"/>
      <c r="ROC79" s="451"/>
      <c r="ROD79" s="449"/>
      <c r="ROE79" s="450"/>
      <c r="ROF79" s="447"/>
      <c r="ROG79" s="451"/>
      <c r="ROH79" s="449"/>
      <c r="ROI79" s="450"/>
      <c r="ROJ79" s="452"/>
      <c r="ROK79" s="451"/>
      <c r="ROL79" s="449"/>
      <c r="ROM79" s="450"/>
      <c r="RON79" s="447"/>
      <c r="ROO79" s="448"/>
      <c r="ROP79" s="453"/>
      <c r="ROQ79" s="449"/>
      <c r="ROR79" s="450"/>
      <c r="ROS79" s="454"/>
      <c r="ROT79" s="448"/>
      <c r="ROV79" s="449"/>
      <c r="ROW79" s="450"/>
      <c r="ROX79" s="452"/>
      <c r="ROY79" s="448"/>
      <c r="RPA79" s="449"/>
      <c r="RPB79" s="450"/>
      <c r="RPC79" s="447"/>
      <c r="RPD79" s="448"/>
      <c r="RPF79" s="449"/>
      <c r="RPG79" s="450"/>
      <c r="RPH79" s="452"/>
      <c r="RPI79" s="448"/>
      <c r="RPJ79" s="449"/>
      <c r="RPK79" s="450"/>
      <c r="RPL79" s="452"/>
      <c r="RPM79" s="448"/>
      <c r="RPN79" s="455"/>
      <c r="RPO79" s="449"/>
      <c r="RPP79" s="450"/>
      <c r="RPQ79" s="459"/>
      <c r="RPR79" s="448"/>
      <c r="RPS79" s="456"/>
      <c r="RPT79" s="449"/>
      <c r="RPU79" s="450"/>
      <c r="RPV79" s="452"/>
      <c r="RPW79" s="448"/>
      <c r="RPX79" s="449"/>
      <c r="RPY79" s="450"/>
      <c r="RPZ79" s="452"/>
      <c r="RQA79" s="448"/>
      <c r="RQB79" s="449"/>
      <c r="RQC79" s="450"/>
      <c r="RQD79" s="447"/>
      <c r="RQE79" s="448"/>
      <c r="RQF79" s="457"/>
      <c r="RQG79" s="460"/>
      <c r="RQH79" s="450"/>
      <c r="RQI79" s="461"/>
      <c r="RQJ79" s="448"/>
      <c r="RQK79" s="456"/>
      <c r="RQL79" s="449"/>
      <c r="RQM79" s="450"/>
      <c r="RQN79" s="452"/>
      <c r="RQO79" s="448"/>
      <c r="RQP79" s="456"/>
      <c r="RQQ79" s="458"/>
      <c r="RQR79" s="458"/>
      <c r="RQT79" s="454"/>
      <c r="RQU79" s="450"/>
      <c r="RQV79" s="454"/>
      <c r="RQW79" s="448"/>
      <c r="RQX79" s="449"/>
      <c r="RQY79" s="450"/>
      <c r="RQZ79" s="447"/>
      <c r="RRA79" s="448"/>
      <c r="RRB79" s="449"/>
      <c r="RRC79" s="450"/>
      <c r="RRD79" s="447"/>
      <c r="RRE79" s="451"/>
      <c r="RRF79" s="449"/>
      <c r="RRG79" s="450"/>
      <c r="RRH79" s="447"/>
      <c r="RRI79" s="451"/>
      <c r="RRJ79" s="449"/>
      <c r="RRK79" s="450"/>
      <c r="RRL79" s="447"/>
      <c r="RRM79" s="451"/>
      <c r="RRN79" s="449"/>
      <c r="RRO79" s="450"/>
      <c r="RRP79" s="452"/>
      <c r="RRQ79" s="451"/>
      <c r="RRR79" s="449"/>
      <c r="RRS79" s="450"/>
      <c r="RRT79" s="447"/>
      <c r="RRU79" s="448"/>
      <c r="RRV79" s="453"/>
      <c r="RRW79" s="449"/>
      <c r="RRX79" s="450"/>
      <c r="RRY79" s="454"/>
      <c r="RRZ79" s="448"/>
      <c r="RSB79" s="449"/>
      <c r="RSC79" s="450"/>
      <c r="RSD79" s="452"/>
      <c r="RSE79" s="448"/>
      <c r="RSG79" s="449"/>
      <c r="RSH79" s="450"/>
      <c r="RSI79" s="447"/>
      <c r="RSJ79" s="448"/>
      <c r="RSL79" s="449"/>
      <c r="RSM79" s="450"/>
      <c r="RSN79" s="452"/>
      <c r="RSO79" s="448"/>
      <c r="RSP79" s="449"/>
      <c r="RSQ79" s="450"/>
      <c r="RSR79" s="452"/>
      <c r="RSS79" s="448"/>
      <c r="RST79" s="455"/>
      <c r="RSU79" s="449"/>
      <c r="RSV79" s="450"/>
      <c r="RSW79" s="459"/>
      <c r="RSX79" s="448"/>
      <c r="RSY79" s="456"/>
      <c r="RSZ79" s="449"/>
      <c r="RTA79" s="450"/>
      <c r="RTB79" s="452"/>
      <c r="RTC79" s="448"/>
      <c r="RTD79" s="449"/>
      <c r="RTE79" s="450"/>
      <c r="RTF79" s="452"/>
      <c r="RTG79" s="448"/>
      <c r="RTH79" s="449"/>
      <c r="RTI79" s="450"/>
      <c r="RTJ79" s="447"/>
      <c r="RTK79" s="448"/>
      <c r="RTL79" s="457"/>
      <c r="RTM79" s="460"/>
      <c r="RTN79" s="450"/>
      <c r="RTO79" s="461"/>
      <c r="RTP79" s="448"/>
      <c r="RTQ79" s="456"/>
      <c r="RTR79" s="449"/>
      <c r="RTS79" s="450"/>
      <c r="RTT79" s="452"/>
      <c r="RTU79" s="448"/>
      <c r="RTV79" s="456"/>
      <c r="RTW79" s="458"/>
      <c r="RTX79" s="458"/>
      <c r="RTZ79" s="454"/>
      <c r="RUA79" s="450"/>
      <c r="RUB79" s="454"/>
      <c r="RUC79" s="448"/>
      <c r="RUD79" s="449"/>
      <c r="RUE79" s="450"/>
      <c r="RUF79" s="447"/>
      <c r="RUG79" s="448"/>
      <c r="RUH79" s="449"/>
      <c r="RUI79" s="450"/>
      <c r="RUJ79" s="447"/>
      <c r="RUK79" s="451"/>
      <c r="RUL79" s="449"/>
      <c r="RUM79" s="450"/>
      <c r="RUN79" s="447"/>
      <c r="RUO79" s="451"/>
      <c r="RUP79" s="449"/>
      <c r="RUQ79" s="450"/>
      <c r="RUR79" s="447"/>
      <c r="RUS79" s="451"/>
      <c r="RUT79" s="449"/>
      <c r="RUU79" s="450"/>
      <c r="RUV79" s="452"/>
      <c r="RUW79" s="451"/>
      <c r="RUX79" s="449"/>
      <c r="RUY79" s="450"/>
      <c r="RUZ79" s="447"/>
      <c r="RVA79" s="448"/>
      <c r="RVB79" s="453"/>
      <c r="RVC79" s="449"/>
      <c r="RVD79" s="450"/>
      <c r="RVE79" s="454"/>
      <c r="RVF79" s="448"/>
      <c r="RVH79" s="449"/>
      <c r="RVI79" s="450"/>
      <c r="RVJ79" s="452"/>
      <c r="RVK79" s="448"/>
      <c r="RVM79" s="449"/>
      <c r="RVN79" s="450"/>
      <c r="RVO79" s="447"/>
      <c r="RVP79" s="448"/>
      <c r="RVR79" s="449"/>
      <c r="RVS79" s="450"/>
      <c r="RVT79" s="452"/>
      <c r="RVU79" s="448"/>
      <c r="RVV79" s="449"/>
      <c r="RVW79" s="450"/>
      <c r="RVX79" s="452"/>
      <c r="RVY79" s="448"/>
      <c r="RVZ79" s="455"/>
      <c r="RWA79" s="449"/>
      <c r="RWB79" s="450"/>
      <c r="RWC79" s="459"/>
      <c r="RWD79" s="448"/>
      <c r="RWE79" s="456"/>
      <c r="RWF79" s="449"/>
      <c r="RWG79" s="450"/>
      <c r="RWH79" s="452"/>
      <c r="RWI79" s="448"/>
      <c r="RWJ79" s="449"/>
      <c r="RWK79" s="450"/>
      <c r="RWL79" s="452"/>
      <c r="RWM79" s="448"/>
      <c r="RWN79" s="449"/>
      <c r="RWO79" s="450"/>
      <c r="RWP79" s="447"/>
      <c r="RWQ79" s="448"/>
      <c r="RWR79" s="457"/>
      <c r="RWS79" s="460"/>
      <c r="RWT79" s="450"/>
      <c r="RWU79" s="461"/>
      <c r="RWV79" s="448"/>
      <c r="RWW79" s="456"/>
      <c r="RWX79" s="449"/>
      <c r="RWY79" s="450"/>
      <c r="RWZ79" s="452"/>
      <c r="RXA79" s="448"/>
      <c r="RXB79" s="456"/>
      <c r="RXC79" s="458"/>
      <c r="RXD79" s="458"/>
      <c r="RXF79" s="454"/>
      <c r="RXG79" s="450"/>
      <c r="RXH79" s="454"/>
      <c r="RXI79" s="448"/>
      <c r="RXJ79" s="449"/>
      <c r="RXK79" s="450"/>
      <c r="RXL79" s="447"/>
      <c r="RXM79" s="448"/>
      <c r="RXN79" s="449"/>
      <c r="RXO79" s="450"/>
      <c r="RXP79" s="447"/>
      <c r="RXQ79" s="451"/>
      <c r="RXR79" s="449"/>
      <c r="RXS79" s="450"/>
      <c r="RXT79" s="447"/>
      <c r="RXU79" s="451"/>
      <c r="RXV79" s="449"/>
      <c r="RXW79" s="450"/>
      <c r="RXX79" s="447"/>
      <c r="RXY79" s="451"/>
      <c r="RXZ79" s="449"/>
      <c r="RYA79" s="450"/>
      <c r="RYB79" s="452"/>
      <c r="RYC79" s="451"/>
      <c r="RYD79" s="449"/>
      <c r="RYE79" s="450"/>
      <c r="RYF79" s="447"/>
      <c r="RYG79" s="448"/>
      <c r="RYH79" s="453"/>
      <c r="RYI79" s="449"/>
      <c r="RYJ79" s="450"/>
      <c r="RYK79" s="454"/>
      <c r="RYL79" s="448"/>
      <c r="RYN79" s="449"/>
      <c r="RYO79" s="450"/>
      <c r="RYP79" s="452"/>
      <c r="RYQ79" s="448"/>
      <c r="RYS79" s="449"/>
      <c r="RYT79" s="450"/>
      <c r="RYU79" s="447"/>
      <c r="RYV79" s="448"/>
      <c r="RYX79" s="449"/>
      <c r="RYY79" s="450"/>
      <c r="RYZ79" s="452"/>
      <c r="RZA79" s="448"/>
      <c r="RZB79" s="449"/>
      <c r="RZC79" s="450"/>
      <c r="RZD79" s="452"/>
      <c r="RZE79" s="448"/>
      <c r="RZF79" s="455"/>
      <c r="RZG79" s="449"/>
      <c r="RZH79" s="450"/>
      <c r="RZI79" s="459"/>
      <c r="RZJ79" s="448"/>
      <c r="RZK79" s="456"/>
      <c r="RZL79" s="449"/>
      <c r="RZM79" s="450"/>
      <c r="RZN79" s="452"/>
      <c r="RZO79" s="448"/>
      <c r="RZP79" s="449"/>
      <c r="RZQ79" s="450"/>
      <c r="RZR79" s="452"/>
      <c r="RZS79" s="448"/>
      <c r="RZT79" s="449"/>
      <c r="RZU79" s="450"/>
      <c r="RZV79" s="447"/>
      <c r="RZW79" s="448"/>
      <c r="RZX79" s="457"/>
      <c r="RZY79" s="460"/>
      <c r="RZZ79" s="450"/>
      <c r="SAA79" s="461"/>
      <c r="SAB79" s="448"/>
      <c r="SAC79" s="456"/>
      <c r="SAD79" s="449"/>
      <c r="SAE79" s="450"/>
      <c r="SAF79" s="452"/>
      <c r="SAG79" s="448"/>
      <c r="SAH79" s="456"/>
      <c r="SAI79" s="458"/>
      <c r="SAJ79" s="458"/>
      <c r="SAL79" s="454"/>
      <c r="SAM79" s="450"/>
      <c r="SAN79" s="454"/>
      <c r="SAO79" s="448"/>
      <c r="SAP79" s="449"/>
      <c r="SAQ79" s="450"/>
      <c r="SAR79" s="447"/>
      <c r="SAS79" s="448"/>
      <c r="SAT79" s="449"/>
      <c r="SAU79" s="450"/>
      <c r="SAV79" s="447"/>
      <c r="SAW79" s="451"/>
      <c r="SAX79" s="449"/>
      <c r="SAY79" s="450"/>
      <c r="SAZ79" s="447"/>
      <c r="SBA79" s="451"/>
      <c r="SBB79" s="449"/>
      <c r="SBC79" s="450"/>
      <c r="SBD79" s="447"/>
      <c r="SBE79" s="451"/>
      <c r="SBF79" s="449"/>
      <c r="SBG79" s="450"/>
      <c r="SBH79" s="452"/>
      <c r="SBI79" s="451"/>
      <c r="SBJ79" s="449"/>
      <c r="SBK79" s="450"/>
      <c r="SBL79" s="447"/>
      <c r="SBM79" s="448"/>
      <c r="SBN79" s="453"/>
      <c r="SBO79" s="449"/>
      <c r="SBP79" s="450"/>
      <c r="SBQ79" s="454"/>
      <c r="SBR79" s="448"/>
      <c r="SBT79" s="449"/>
      <c r="SBU79" s="450"/>
      <c r="SBV79" s="452"/>
      <c r="SBW79" s="448"/>
      <c r="SBY79" s="449"/>
      <c r="SBZ79" s="450"/>
      <c r="SCA79" s="447"/>
      <c r="SCB79" s="448"/>
      <c r="SCD79" s="449"/>
      <c r="SCE79" s="450"/>
      <c r="SCF79" s="452"/>
      <c r="SCG79" s="448"/>
      <c r="SCH79" s="449"/>
      <c r="SCI79" s="450"/>
      <c r="SCJ79" s="452"/>
      <c r="SCK79" s="448"/>
      <c r="SCL79" s="455"/>
      <c r="SCM79" s="449"/>
      <c r="SCN79" s="450"/>
      <c r="SCO79" s="459"/>
      <c r="SCP79" s="448"/>
      <c r="SCQ79" s="456"/>
      <c r="SCR79" s="449"/>
      <c r="SCS79" s="450"/>
      <c r="SCT79" s="452"/>
      <c r="SCU79" s="448"/>
      <c r="SCV79" s="449"/>
      <c r="SCW79" s="450"/>
      <c r="SCX79" s="452"/>
      <c r="SCY79" s="448"/>
      <c r="SCZ79" s="449"/>
      <c r="SDA79" s="450"/>
      <c r="SDB79" s="447"/>
      <c r="SDC79" s="448"/>
      <c r="SDD79" s="457"/>
      <c r="SDE79" s="460"/>
      <c r="SDF79" s="450"/>
      <c r="SDG79" s="461"/>
      <c r="SDH79" s="448"/>
      <c r="SDI79" s="456"/>
      <c r="SDJ79" s="449"/>
      <c r="SDK79" s="450"/>
      <c r="SDL79" s="452"/>
      <c r="SDM79" s="448"/>
      <c r="SDN79" s="456"/>
      <c r="SDO79" s="458"/>
      <c r="SDP79" s="458"/>
      <c r="SDR79" s="454"/>
      <c r="SDS79" s="450"/>
      <c r="SDT79" s="454"/>
      <c r="SDU79" s="448"/>
      <c r="SDV79" s="449"/>
      <c r="SDW79" s="450"/>
      <c r="SDX79" s="447"/>
      <c r="SDY79" s="448"/>
      <c r="SDZ79" s="449"/>
      <c r="SEA79" s="450"/>
      <c r="SEB79" s="447"/>
      <c r="SEC79" s="451"/>
      <c r="SED79" s="449"/>
      <c r="SEE79" s="450"/>
      <c r="SEF79" s="447"/>
      <c r="SEG79" s="451"/>
      <c r="SEH79" s="449"/>
      <c r="SEI79" s="450"/>
      <c r="SEJ79" s="447"/>
      <c r="SEK79" s="451"/>
      <c r="SEL79" s="449"/>
      <c r="SEM79" s="450"/>
      <c r="SEN79" s="452"/>
      <c r="SEO79" s="451"/>
      <c r="SEP79" s="449"/>
      <c r="SEQ79" s="450"/>
      <c r="SER79" s="447"/>
      <c r="SES79" s="448"/>
      <c r="SET79" s="453"/>
      <c r="SEU79" s="449"/>
      <c r="SEV79" s="450"/>
      <c r="SEW79" s="454"/>
      <c r="SEX79" s="448"/>
      <c r="SEZ79" s="449"/>
      <c r="SFA79" s="450"/>
      <c r="SFB79" s="452"/>
      <c r="SFC79" s="448"/>
      <c r="SFE79" s="449"/>
      <c r="SFF79" s="450"/>
      <c r="SFG79" s="447"/>
      <c r="SFH79" s="448"/>
      <c r="SFJ79" s="449"/>
      <c r="SFK79" s="450"/>
      <c r="SFL79" s="452"/>
      <c r="SFM79" s="448"/>
      <c r="SFN79" s="449"/>
      <c r="SFO79" s="450"/>
      <c r="SFP79" s="452"/>
      <c r="SFQ79" s="448"/>
      <c r="SFR79" s="455"/>
      <c r="SFS79" s="449"/>
      <c r="SFT79" s="450"/>
      <c r="SFU79" s="459"/>
      <c r="SFV79" s="448"/>
      <c r="SFW79" s="456"/>
      <c r="SFX79" s="449"/>
      <c r="SFY79" s="450"/>
      <c r="SFZ79" s="452"/>
      <c r="SGA79" s="448"/>
      <c r="SGB79" s="449"/>
      <c r="SGC79" s="450"/>
      <c r="SGD79" s="452"/>
      <c r="SGE79" s="448"/>
      <c r="SGF79" s="449"/>
      <c r="SGG79" s="450"/>
      <c r="SGH79" s="447"/>
      <c r="SGI79" s="448"/>
      <c r="SGJ79" s="457"/>
      <c r="SGK79" s="460"/>
      <c r="SGL79" s="450"/>
      <c r="SGM79" s="461"/>
      <c r="SGN79" s="448"/>
      <c r="SGO79" s="456"/>
      <c r="SGP79" s="449"/>
      <c r="SGQ79" s="450"/>
      <c r="SGR79" s="452"/>
      <c r="SGS79" s="448"/>
      <c r="SGT79" s="456"/>
      <c r="SGU79" s="458"/>
      <c r="SGV79" s="458"/>
      <c r="SGX79" s="454"/>
      <c r="SGY79" s="450"/>
      <c r="SGZ79" s="454"/>
      <c r="SHA79" s="448"/>
      <c r="SHB79" s="449"/>
      <c r="SHC79" s="450"/>
      <c r="SHD79" s="447"/>
      <c r="SHE79" s="448"/>
      <c r="SHF79" s="449"/>
      <c r="SHG79" s="450"/>
      <c r="SHH79" s="447"/>
      <c r="SHI79" s="451"/>
      <c r="SHJ79" s="449"/>
      <c r="SHK79" s="450"/>
      <c r="SHL79" s="447"/>
      <c r="SHM79" s="451"/>
      <c r="SHN79" s="449"/>
      <c r="SHO79" s="450"/>
      <c r="SHP79" s="447"/>
      <c r="SHQ79" s="451"/>
      <c r="SHR79" s="449"/>
      <c r="SHS79" s="450"/>
      <c r="SHT79" s="452"/>
      <c r="SHU79" s="451"/>
      <c r="SHV79" s="449"/>
      <c r="SHW79" s="450"/>
      <c r="SHX79" s="447"/>
      <c r="SHY79" s="448"/>
      <c r="SHZ79" s="453"/>
      <c r="SIA79" s="449"/>
      <c r="SIB79" s="450"/>
      <c r="SIC79" s="454"/>
      <c r="SID79" s="448"/>
      <c r="SIF79" s="449"/>
      <c r="SIG79" s="450"/>
      <c r="SIH79" s="452"/>
      <c r="SII79" s="448"/>
      <c r="SIK79" s="449"/>
      <c r="SIL79" s="450"/>
      <c r="SIM79" s="447"/>
      <c r="SIN79" s="448"/>
      <c r="SIP79" s="449"/>
      <c r="SIQ79" s="450"/>
      <c r="SIR79" s="452"/>
      <c r="SIS79" s="448"/>
      <c r="SIT79" s="449"/>
      <c r="SIU79" s="450"/>
      <c r="SIV79" s="452"/>
      <c r="SIW79" s="448"/>
      <c r="SIX79" s="455"/>
      <c r="SIY79" s="449"/>
      <c r="SIZ79" s="450"/>
      <c r="SJA79" s="459"/>
      <c r="SJB79" s="448"/>
      <c r="SJC79" s="456"/>
      <c r="SJD79" s="449"/>
      <c r="SJE79" s="450"/>
      <c r="SJF79" s="452"/>
      <c r="SJG79" s="448"/>
      <c r="SJH79" s="449"/>
      <c r="SJI79" s="450"/>
      <c r="SJJ79" s="452"/>
      <c r="SJK79" s="448"/>
      <c r="SJL79" s="449"/>
      <c r="SJM79" s="450"/>
      <c r="SJN79" s="447"/>
      <c r="SJO79" s="448"/>
      <c r="SJP79" s="457"/>
      <c r="SJQ79" s="460"/>
      <c r="SJR79" s="450"/>
      <c r="SJS79" s="461"/>
      <c r="SJT79" s="448"/>
      <c r="SJU79" s="456"/>
      <c r="SJV79" s="449"/>
      <c r="SJW79" s="450"/>
      <c r="SJX79" s="452"/>
      <c r="SJY79" s="448"/>
      <c r="SJZ79" s="456"/>
      <c r="SKA79" s="458"/>
      <c r="SKB79" s="458"/>
      <c r="SKD79" s="454"/>
      <c r="SKE79" s="450"/>
      <c r="SKF79" s="454"/>
      <c r="SKG79" s="448"/>
      <c r="SKH79" s="449"/>
      <c r="SKI79" s="450"/>
      <c r="SKJ79" s="447"/>
      <c r="SKK79" s="448"/>
      <c r="SKL79" s="449"/>
      <c r="SKM79" s="450"/>
      <c r="SKN79" s="447"/>
      <c r="SKO79" s="451"/>
      <c r="SKP79" s="449"/>
      <c r="SKQ79" s="450"/>
      <c r="SKR79" s="447"/>
      <c r="SKS79" s="451"/>
      <c r="SKT79" s="449"/>
      <c r="SKU79" s="450"/>
      <c r="SKV79" s="447"/>
      <c r="SKW79" s="451"/>
      <c r="SKX79" s="449"/>
      <c r="SKY79" s="450"/>
      <c r="SKZ79" s="452"/>
      <c r="SLA79" s="451"/>
      <c r="SLB79" s="449"/>
      <c r="SLC79" s="450"/>
      <c r="SLD79" s="447"/>
      <c r="SLE79" s="448"/>
      <c r="SLF79" s="453"/>
      <c r="SLG79" s="449"/>
      <c r="SLH79" s="450"/>
      <c r="SLI79" s="454"/>
      <c r="SLJ79" s="448"/>
      <c r="SLL79" s="449"/>
      <c r="SLM79" s="450"/>
      <c r="SLN79" s="452"/>
      <c r="SLO79" s="448"/>
      <c r="SLQ79" s="449"/>
      <c r="SLR79" s="450"/>
      <c r="SLS79" s="447"/>
      <c r="SLT79" s="448"/>
      <c r="SLV79" s="449"/>
      <c r="SLW79" s="450"/>
      <c r="SLX79" s="452"/>
      <c r="SLY79" s="448"/>
      <c r="SLZ79" s="449"/>
      <c r="SMA79" s="450"/>
      <c r="SMB79" s="452"/>
      <c r="SMC79" s="448"/>
      <c r="SMD79" s="455"/>
      <c r="SME79" s="449"/>
      <c r="SMF79" s="450"/>
      <c r="SMG79" s="459"/>
      <c r="SMH79" s="448"/>
      <c r="SMI79" s="456"/>
      <c r="SMJ79" s="449"/>
      <c r="SMK79" s="450"/>
      <c r="SML79" s="452"/>
      <c r="SMM79" s="448"/>
      <c r="SMN79" s="449"/>
      <c r="SMO79" s="450"/>
      <c r="SMP79" s="452"/>
      <c r="SMQ79" s="448"/>
      <c r="SMR79" s="449"/>
      <c r="SMS79" s="450"/>
      <c r="SMT79" s="447"/>
      <c r="SMU79" s="448"/>
      <c r="SMV79" s="457"/>
      <c r="SMW79" s="460"/>
      <c r="SMX79" s="450"/>
      <c r="SMY79" s="461"/>
      <c r="SMZ79" s="448"/>
      <c r="SNA79" s="456"/>
      <c r="SNB79" s="449"/>
      <c r="SNC79" s="450"/>
      <c r="SND79" s="452"/>
      <c r="SNE79" s="448"/>
      <c r="SNF79" s="456"/>
      <c r="SNG79" s="458"/>
      <c r="SNH79" s="458"/>
      <c r="SNJ79" s="454"/>
      <c r="SNK79" s="450"/>
      <c r="SNL79" s="454"/>
      <c r="SNM79" s="448"/>
      <c r="SNN79" s="449"/>
      <c r="SNO79" s="450"/>
      <c r="SNP79" s="447"/>
      <c r="SNQ79" s="448"/>
      <c r="SNR79" s="449"/>
      <c r="SNS79" s="450"/>
      <c r="SNT79" s="447"/>
      <c r="SNU79" s="451"/>
      <c r="SNV79" s="449"/>
      <c r="SNW79" s="450"/>
      <c r="SNX79" s="447"/>
      <c r="SNY79" s="451"/>
      <c r="SNZ79" s="449"/>
      <c r="SOA79" s="450"/>
      <c r="SOB79" s="447"/>
      <c r="SOC79" s="451"/>
      <c r="SOD79" s="449"/>
      <c r="SOE79" s="450"/>
      <c r="SOF79" s="452"/>
      <c r="SOG79" s="451"/>
      <c r="SOH79" s="449"/>
      <c r="SOI79" s="450"/>
      <c r="SOJ79" s="447"/>
      <c r="SOK79" s="448"/>
      <c r="SOL79" s="453"/>
      <c r="SOM79" s="449"/>
      <c r="SON79" s="450"/>
      <c r="SOO79" s="454"/>
      <c r="SOP79" s="448"/>
      <c r="SOR79" s="449"/>
      <c r="SOS79" s="450"/>
      <c r="SOT79" s="452"/>
      <c r="SOU79" s="448"/>
      <c r="SOW79" s="449"/>
      <c r="SOX79" s="450"/>
      <c r="SOY79" s="447"/>
      <c r="SOZ79" s="448"/>
      <c r="SPB79" s="449"/>
      <c r="SPC79" s="450"/>
      <c r="SPD79" s="452"/>
      <c r="SPE79" s="448"/>
      <c r="SPF79" s="449"/>
      <c r="SPG79" s="450"/>
      <c r="SPH79" s="452"/>
      <c r="SPI79" s="448"/>
      <c r="SPJ79" s="455"/>
      <c r="SPK79" s="449"/>
      <c r="SPL79" s="450"/>
      <c r="SPM79" s="459"/>
      <c r="SPN79" s="448"/>
      <c r="SPO79" s="456"/>
      <c r="SPP79" s="449"/>
      <c r="SPQ79" s="450"/>
      <c r="SPR79" s="452"/>
      <c r="SPS79" s="448"/>
      <c r="SPT79" s="449"/>
      <c r="SPU79" s="450"/>
      <c r="SPV79" s="452"/>
      <c r="SPW79" s="448"/>
      <c r="SPX79" s="449"/>
      <c r="SPY79" s="450"/>
      <c r="SPZ79" s="447"/>
      <c r="SQA79" s="448"/>
      <c r="SQB79" s="457"/>
      <c r="SQC79" s="460"/>
      <c r="SQD79" s="450"/>
      <c r="SQE79" s="461"/>
      <c r="SQF79" s="448"/>
      <c r="SQG79" s="456"/>
      <c r="SQH79" s="449"/>
      <c r="SQI79" s="450"/>
      <c r="SQJ79" s="452"/>
      <c r="SQK79" s="448"/>
      <c r="SQL79" s="456"/>
      <c r="SQM79" s="458"/>
      <c r="SQN79" s="458"/>
      <c r="SQP79" s="454"/>
      <c r="SQQ79" s="450"/>
      <c r="SQR79" s="454"/>
      <c r="SQS79" s="448"/>
      <c r="SQT79" s="449"/>
      <c r="SQU79" s="450"/>
      <c r="SQV79" s="447"/>
      <c r="SQW79" s="448"/>
      <c r="SQX79" s="449"/>
      <c r="SQY79" s="450"/>
      <c r="SQZ79" s="447"/>
      <c r="SRA79" s="451"/>
      <c r="SRB79" s="449"/>
      <c r="SRC79" s="450"/>
      <c r="SRD79" s="447"/>
      <c r="SRE79" s="451"/>
      <c r="SRF79" s="449"/>
      <c r="SRG79" s="450"/>
      <c r="SRH79" s="447"/>
      <c r="SRI79" s="451"/>
      <c r="SRJ79" s="449"/>
      <c r="SRK79" s="450"/>
      <c r="SRL79" s="452"/>
      <c r="SRM79" s="451"/>
      <c r="SRN79" s="449"/>
      <c r="SRO79" s="450"/>
      <c r="SRP79" s="447"/>
      <c r="SRQ79" s="448"/>
      <c r="SRR79" s="453"/>
      <c r="SRS79" s="449"/>
      <c r="SRT79" s="450"/>
      <c r="SRU79" s="454"/>
      <c r="SRV79" s="448"/>
      <c r="SRX79" s="449"/>
      <c r="SRY79" s="450"/>
      <c r="SRZ79" s="452"/>
      <c r="SSA79" s="448"/>
      <c r="SSC79" s="449"/>
      <c r="SSD79" s="450"/>
      <c r="SSE79" s="447"/>
      <c r="SSF79" s="448"/>
      <c r="SSH79" s="449"/>
      <c r="SSI79" s="450"/>
      <c r="SSJ79" s="452"/>
      <c r="SSK79" s="448"/>
      <c r="SSL79" s="449"/>
      <c r="SSM79" s="450"/>
      <c r="SSN79" s="452"/>
      <c r="SSO79" s="448"/>
      <c r="SSP79" s="455"/>
      <c r="SSQ79" s="449"/>
      <c r="SSR79" s="450"/>
      <c r="SSS79" s="459"/>
      <c r="SST79" s="448"/>
      <c r="SSU79" s="456"/>
      <c r="SSV79" s="449"/>
      <c r="SSW79" s="450"/>
      <c r="SSX79" s="452"/>
      <c r="SSY79" s="448"/>
      <c r="SSZ79" s="449"/>
      <c r="STA79" s="450"/>
      <c r="STB79" s="452"/>
      <c r="STC79" s="448"/>
      <c r="STD79" s="449"/>
      <c r="STE79" s="450"/>
      <c r="STF79" s="447"/>
      <c r="STG79" s="448"/>
      <c r="STH79" s="457"/>
      <c r="STI79" s="460"/>
      <c r="STJ79" s="450"/>
      <c r="STK79" s="461"/>
      <c r="STL79" s="448"/>
      <c r="STM79" s="456"/>
      <c r="STN79" s="449"/>
      <c r="STO79" s="450"/>
      <c r="STP79" s="452"/>
      <c r="STQ79" s="448"/>
      <c r="STR79" s="456"/>
      <c r="STS79" s="458"/>
      <c r="STT79" s="458"/>
      <c r="STV79" s="454"/>
      <c r="STW79" s="450"/>
      <c r="STX79" s="454"/>
      <c r="STY79" s="448"/>
      <c r="STZ79" s="449"/>
      <c r="SUA79" s="450"/>
      <c r="SUB79" s="447"/>
      <c r="SUC79" s="448"/>
      <c r="SUD79" s="449"/>
      <c r="SUE79" s="450"/>
      <c r="SUF79" s="447"/>
      <c r="SUG79" s="451"/>
      <c r="SUH79" s="449"/>
      <c r="SUI79" s="450"/>
      <c r="SUJ79" s="447"/>
      <c r="SUK79" s="451"/>
      <c r="SUL79" s="449"/>
      <c r="SUM79" s="450"/>
      <c r="SUN79" s="447"/>
      <c r="SUO79" s="451"/>
      <c r="SUP79" s="449"/>
      <c r="SUQ79" s="450"/>
      <c r="SUR79" s="452"/>
      <c r="SUS79" s="451"/>
      <c r="SUT79" s="449"/>
      <c r="SUU79" s="450"/>
      <c r="SUV79" s="447"/>
      <c r="SUW79" s="448"/>
      <c r="SUX79" s="453"/>
      <c r="SUY79" s="449"/>
      <c r="SUZ79" s="450"/>
      <c r="SVA79" s="454"/>
      <c r="SVB79" s="448"/>
      <c r="SVD79" s="449"/>
      <c r="SVE79" s="450"/>
      <c r="SVF79" s="452"/>
      <c r="SVG79" s="448"/>
      <c r="SVI79" s="449"/>
      <c r="SVJ79" s="450"/>
      <c r="SVK79" s="447"/>
      <c r="SVL79" s="448"/>
      <c r="SVN79" s="449"/>
      <c r="SVO79" s="450"/>
      <c r="SVP79" s="452"/>
      <c r="SVQ79" s="448"/>
      <c r="SVR79" s="449"/>
      <c r="SVS79" s="450"/>
      <c r="SVT79" s="452"/>
      <c r="SVU79" s="448"/>
      <c r="SVV79" s="455"/>
      <c r="SVW79" s="449"/>
      <c r="SVX79" s="450"/>
      <c r="SVY79" s="459"/>
      <c r="SVZ79" s="448"/>
      <c r="SWA79" s="456"/>
      <c r="SWB79" s="449"/>
      <c r="SWC79" s="450"/>
      <c r="SWD79" s="452"/>
      <c r="SWE79" s="448"/>
      <c r="SWF79" s="449"/>
      <c r="SWG79" s="450"/>
      <c r="SWH79" s="452"/>
      <c r="SWI79" s="448"/>
      <c r="SWJ79" s="449"/>
      <c r="SWK79" s="450"/>
      <c r="SWL79" s="447"/>
      <c r="SWM79" s="448"/>
      <c r="SWN79" s="457"/>
      <c r="SWO79" s="460"/>
      <c r="SWP79" s="450"/>
      <c r="SWQ79" s="461"/>
      <c r="SWR79" s="448"/>
      <c r="SWS79" s="456"/>
      <c r="SWT79" s="449"/>
      <c r="SWU79" s="450"/>
      <c r="SWV79" s="452"/>
      <c r="SWW79" s="448"/>
      <c r="SWX79" s="456"/>
      <c r="SWY79" s="458"/>
      <c r="SWZ79" s="458"/>
      <c r="SXB79" s="454"/>
      <c r="SXC79" s="450"/>
      <c r="SXD79" s="454"/>
      <c r="SXE79" s="448"/>
      <c r="SXF79" s="449"/>
      <c r="SXG79" s="450"/>
      <c r="SXH79" s="447"/>
      <c r="SXI79" s="448"/>
      <c r="SXJ79" s="449"/>
      <c r="SXK79" s="450"/>
      <c r="SXL79" s="447"/>
      <c r="SXM79" s="451"/>
      <c r="SXN79" s="449"/>
      <c r="SXO79" s="450"/>
      <c r="SXP79" s="447"/>
      <c r="SXQ79" s="451"/>
      <c r="SXR79" s="449"/>
      <c r="SXS79" s="450"/>
      <c r="SXT79" s="447"/>
      <c r="SXU79" s="451"/>
      <c r="SXV79" s="449"/>
      <c r="SXW79" s="450"/>
      <c r="SXX79" s="452"/>
      <c r="SXY79" s="451"/>
      <c r="SXZ79" s="449"/>
      <c r="SYA79" s="450"/>
      <c r="SYB79" s="447"/>
      <c r="SYC79" s="448"/>
      <c r="SYD79" s="453"/>
      <c r="SYE79" s="449"/>
      <c r="SYF79" s="450"/>
      <c r="SYG79" s="454"/>
      <c r="SYH79" s="448"/>
      <c r="SYJ79" s="449"/>
      <c r="SYK79" s="450"/>
      <c r="SYL79" s="452"/>
      <c r="SYM79" s="448"/>
      <c r="SYO79" s="449"/>
      <c r="SYP79" s="450"/>
      <c r="SYQ79" s="447"/>
      <c r="SYR79" s="448"/>
      <c r="SYT79" s="449"/>
      <c r="SYU79" s="450"/>
      <c r="SYV79" s="452"/>
      <c r="SYW79" s="448"/>
      <c r="SYX79" s="449"/>
      <c r="SYY79" s="450"/>
      <c r="SYZ79" s="452"/>
      <c r="SZA79" s="448"/>
      <c r="SZB79" s="455"/>
      <c r="SZC79" s="449"/>
      <c r="SZD79" s="450"/>
      <c r="SZE79" s="459"/>
      <c r="SZF79" s="448"/>
      <c r="SZG79" s="456"/>
      <c r="SZH79" s="449"/>
      <c r="SZI79" s="450"/>
      <c r="SZJ79" s="452"/>
      <c r="SZK79" s="448"/>
      <c r="SZL79" s="449"/>
      <c r="SZM79" s="450"/>
      <c r="SZN79" s="452"/>
      <c r="SZO79" s="448"/>
      <c r="SZP79" s="449"/>
      <c r="SZQ79" s="450"/>
      <c r="SZR79" s="447"/>
      <c r="SZS79" s="448"/>
      <c r="SZT79" s="457"/>
      <c r="SZU79" s="460"/>
      <c r="SZV79" s="450"/>
      <c r="SZW79" s="461"/>
      <c r="SZX79" s="448"/>
      <c r="SZY79" s="456"/>
      <c r="SZZ79" s="449"/>
      <c r="TAA79" s="450"/>
      <c r="TAB79" s="452"/>
      <c r="TAC79" s="448"/>
      <c r="TAD79" s="456"/>
      <c r="TAE79" s="458"/>
      <c r="TAF79" s="458"/>
      <c r="TAH79" s="454"/>
      <c r="TAI79" s="450"/>
      <c r="TAJ79" s="454"/>
      <c r="TAK79" s="448"/>
      <c r="TAL79" s="449"/>
      <c r="TAM79" s="450"/>
      <c r="TAN79" s="447"/>
      <c r="TAO79" s="448"/>
      <c r="TAP79" s="449"/>
      <c r="TAQ79" s="450"/>
      <c r="TAR79" s="447"/>
      <c r="TAS79" s="451"/>
      <c r="TAT79" s="449"/>
      <c r="TAU79" s="450"/>
      <c r="TAV79" s="447"/>
      <c r="TAW79" s="451"/>
      <c r="TAX79" s="449"/>
      <c r="TAY79" s="450"/>
      <c r="TAZ79" s="447"/>
      <c r="TBA79" s="451"/>
      <c r="TBB79" s="449"/>
      <c r="TBC79" s="450"/>
      <c r="TBD79" s="452"/>
      <c r="TBE79" s="451"/>
      <c r="TBF79" s="449"/>
      <c r="TBG79" s="450"/>
      <c r="TBH79" s="447"/>
      <c r="TBI79" s="448"/>
      <c r="TBJ79" s="453"/>
      <c r="TBK79" s="449"/>
      <c r="TBL79" s="450"/>
      <c r="TBM79" s="454"/>
      <c r="TBN79" s="448"/>
      <c r="TBP79" s="449"/>
      <c r="TBQ79" s="450"/>
      <c r="TBR79" s="452"/>
      <c r="TBS79" s="448"/>
      <c r="TBU79" s="449"/>
      <c r="TBV79" s="450"/>
      <c r="TBW79" s="447"/>
      <c r="TBX79" s="448"/>
      <c r="TBZ79" s="449"/>
      <c r="TCA79" s="450"/>
      <c r="TCB79" s="452"/>
      <c r="TCC79" s="448"/>
      <c r="TCD79" s="449"/>
      <c r="TCE79" s="450"/>
      <c r="TCF79" s="452"/>
      <c r="TCG79" s="448"/>
      <c r="TCH79" s="455"/>
      <c r="TCI79" s="449"/>
      <c r="TCJ79" s="450"/>
      <c r="TCK79" s="459"/>
      <c r="TCL79" s="448"/>
      <c r="TCM79" s="456"/>
      <c r="TCN79" s="449"/>
      <c r="TCO79" s="450"/>
      <c r="TCP79" s="452"/>
      <c r="TCQ79" s="448"/>
      <c r="TCR79" s="449"/>
      <c r="TCS79" s="450"/>
      <c r="TCT79" s="452"/>
      <c r="TCU79" s="448"/>
      <c r="TCV79" s="449"/>
      <c r="TCW79" s="450"/>
      <c r="TCX79" s="447"/>
      <c r="TCY79" s="448"/>
      <c r="TCZ79" s="457"/>
      <c r="TDA79" s="460"/>
      <c r="TDB79" s="450"/>
      <c r="TDC79" s="461"/>
      <c r="TDD79" s="448"/>
      <c r="TDE79" s="456"/>
      <c r="TDF79" s="449"/>
      <c r="TDG79" s="450"/>
      <c r="TDH79" s="452"/>
      <c r="TDI79" s="448"/>
      <c r="TDJ79" s="456"/>
      <c r="TDK79" s="458"/>
      <c r="TDL79" s="458"/>
      <c r="TDN79" s="454"/>
      <c r="TDO79" s="450"/>
      <c r="TDP79" s="454"/>
      <c r="TDQ79" s="448"/>
      <c r="TDR79" s="449"/>
      <c r="TDS79" s="450"/>
      <c r="TDT79" s="447"/>
      <c r="TDU79" s="448"/>
      <c r="TDV79" s="449"/>
      <c r="TDW79" s="450"/>
      <c r="TDX79" s="447"/>
      <c r="TDY79" s="451"/>
      <c r="TDZ79" s="449"/>
      <c r="TEA79" s="450"/>
      <c r="TEB79" s="447"/>
      <c r="TEC79" s="451"/>
      <c r="TED79" s="449"/>
      <c r="TEE79" s="450"/>
      <c r="TEF79" s="447"/>
      <c r="TEG79" s="451"/>
      <c r="TEH79" s="449"/>
      <c r="TEI79" s="450"/>
      <c r="TEJ79" s="452"/>
      <c r="TEK79" s="451"/>
      <c r="TEL79" s="449"/>
      <c r="TEM79" s="450"/>
      <c r="TEN79" s="447"/>
      <c r="TEO79" s="448"/>
      <c r="TEP79" s="453"/>
      <c r="TEQ79" s="449"/>
      <c r="TER79" s="450"/>
      <c r="TES79" s="454"/>
      <c r="TET79" s="448"/>
      <c r="TEV79" s="449"/>
      <c r="TEW79" s="450"/>
      <c r="TEX79" s="452"/>
      <c r="TEY79" s="448"/>
      <c r="TFA79" s="449"/>
      <c r="TFB79" s="450"/>
      <c r="TFC79" s="447"/>
      <c r="TFD79" s="448"/>
      <c r="TFF79" s="449"/>
      <c r="TFG79" s="450"/>
      <c r="TFH79" s="452"/>
      <c r="TFI79" s="448"/>
      <c r="TFJ79" s="449"/>
      <c r="TFK79" s="450"/>
      <c r="TFL79" s="452"/>
      <c r="TFM79" s="448"/>
      <c r="TFN79" s="455"/>
      <c r="TFO79" s="449"/>
      <c r="TFP79" s="450"/>
      <c r="TFQ79" s="459"/>
      <c r="TFR79" s="448"/>
      <c r="TFS79" s="456"/>
      <c r="TFT79" s="449"/>
      <c r="TFU79" s="450"/>
      <c r="TFV79" s="452"/>
      <c r="TFW79" s="448"/>
      <c r="TFX79" s="449"/>
      <c r="TFY79" s="450"/>
      <c r="TFZ79" s="452"/>
      <c r="TGA79" s="448"/>
      <c r="TGB79" s="449"/>
      <c r="TGC79" s="450"/>
      <c r="TGD79" s="447"/>
      <c r="TGE79" s="448"/>
      <c r="TGF79" s="457"/>
      <c r="TGG79" s="460"/>
      <c r="TGH79" s="450"/>
      <c r="TGI79" s="461"/>
      <c r="TGJ79" s="448"/>
      <c r="TGK79" s="456"/>
      <c r="TGL79" s="449"/>
      <c r="TGM79" s="450"/>
      <c r="TGN79" s="452"/>
      <c r="TGO79" s="448"/>
      <c r="TGP79" s="456"/>
      <c r="TGQ79" s="458"/>
      <c r="TGR79" s="458"/>
      <c r="TGT79" s="454"/>
      <c r="TGU79" s="450"/>
      <c r="TGV79" s="454"/>
      <c r="TGW79" s="448"/>
      <c r="TGX79" s="449"/>
      <c r="TGY79" s="450"/>
      <c r="TGZ79" s="447"/>
      <c r="THA79" s="448"/>
      <c r="THB79" s="449"/>
      <c r="THC79" s="450"/>
      <c r="THD79" s="447"/>
      <c r="THE79" s="451"/>
      <c r="THF79" s="449"/>
      <c r="THG79" s="450"/>
      <c r="THH79" s="447"/>
      <c r="THI79" s="451"/>
      <c r="THJ79" s="449"/>
      <c r="THK79" s="450"/>
      <c r="THL79" s="447"/>
      <c r="THM79" s="451"/>
      <c r="THN79" s="449"/>
      <c r="THO79" s="450"/>
      <c r="THP79" s="452"/>
      <c r="THQ79" s="451"/>
      <c r="THR79" s="449"/>
      <c r="THS79" s="450"/>
      <c r="THT79" s="447"/>
      <c r="THU79" s="448"/>
      <c r="THV79" s="453"/>
      <c r="THW79" s="449"/>
      <c r="THX79" s="450"/>
      <c r="THY79" s="454"/>
      <c r="THZ79" s="448"/>
      <c r="TIB79" s="449"/>
      <c r="TIC79" s="450"/>
      <c r="TID79" s="452"/>
      <c r="TIE79" s="448"/>
      <c r="TIG79" s="449"/>
      <c r="TIH79" s="450"/>
      <c r="TII79" s="447"/>
      <c r="TIJ79" s="448"/>
      <c r="TIL79" s="449"/>
      <c r="TIM79" s="450"/>
      <c r="TIN79" s="452"/>
      <c r="TIO79" s="448"/>
      <c r="TIP79" s="449"/>
      <c r="TIQ79" s="450"/>
      <c r="TIR79" s="452"/>
      <c r="TIS79" s="448"/>
      <c r="TIT79" s="455"/>
      <c r="TIU79" s="449"/>
      <c r="TIV79" s="450"/>
      <c r="TIW79" s="459"/>
      <c r="TIX79" s="448"/>
      <c r="TIY79" s="456"/>
      <c r="TIZ79" s="449"/>
      <c r="TJA79" s="450"/>
      <c r="TJB79" s="452"/>
      <c r="TJC79" s="448"/>
      <c r="TJD79" s="449"/>
      <c r="TJE79" s="450"/>
      <c r="TJF79" s="452"/>
      <c r="TJG79" s="448"/>
      <c r="TJH79" s="449"/>
      <c r="TJI79" s="450"/>
      <c r="TJJ79" s="447"/>
      <c r="TJK79" s="448"/>
      <c r="TJL79" s="457"/>
      <c r="TJM79" s="460"/>
      <c r="TJN79" s="450"/>
      <c r="TJO79" s="461"/>
      <c r="TJP79" s="448"/>
      <c r="TJQ79" s="456"/>
      <c r="TJR79" s="449"/>
      <c r="TJS79" s="450"/>
      <c r="TJT79" s="452"/>
      <c r="TJU79" s="448"/>
      <c r="TJV79" s="456"/>
      <c r="TJW79" s="458"/>
      <c r="TJX79" s="458"/>
      <c r="TJZ79" s="454"/>
      <c r="TKA79" s="450"/>
      <c r="TKB79" s="454"/>
      <c r="TKC79" s="448"/>
      <c r="TKD79" s="449"/>
      <c r="TKE79" s="450"/>
      <c r="TKF79" s="447"/>
      <c r="TKG79" s="448"/>
      <c r="TKH79" s="449"/>
      <c r="TKI79" s="450"/>
      <c r="TKJ79" s="447"/>
      <c r="TKK79" s="451"/>
      <c r="TKL79" s="449"/>
      <c r="TKM79" s="450"/>
      <c r="TKN79" s="447"/>
      <c r="TKO79" s="451"/>
      <c r="TKP79" s="449"/>
      <c r="TKQ79" s="450"/>
      <c r="TKR79" s="447"/>
      <c r="TKS79" s="451"/>
      <c r="TKT79" s="449"/>
      <c r="TKU79" s="450"/>
      <c r="TKV79" s="452"/>
      <c r="TKW79" s="451"/>
      <c r="TKX79" s="449"/>
      <c r="TKY79" s="450"/>
      <c r="TKZ79" s="447"/>
      <c r="TLA79" s="448"/>
      <c r="TLB79" s="453"/>
      <c r="TLC79" s="449"/>
      <c r="TLD79" s="450"/>
      <c r="TLE79" s="454"/>
      <c r="TLF79" s="448"/>
      <c r="TLH79" s="449"/>
      <c r="TLI79" s="450"/>
      <c r="TLJ79" s="452"/>
      <c r="TLK79" s="448"/>
      <c r="TLM79" s="449"/>
      <c r="TLN79" s="450"/>
      <c r="TLO79" s="447"/>
      <c r="TLP79" s="448"/>
      <c r="TLR79" s="449"/>
      <c r="TLS79" s="450"/>
      <c r="TLT79" s="452"/>
      <c r="TLU79" s="448"/>
      <c r="TLV79" s="449"/>
      <c r="TLW79" s="450"/>
      <c r="TLX79" s="452"/>
      <c r="TLY79" s="448"/>
      <c r="TLZ79" s="455"/>
      <c r="TMA79" s="449"/>
      <c r="TMB79" s="450"/>
      <c r="TMC79" s="459"/>
      <c r="TMD79" s="448"/>
      <c r="TME79" s="456"/>
      <c r="TMF79" s="449"/>
      <c r="TMG79" s="450"/>
      <c r="TMH79" s="452"/>
      <c r="TMI79" s="448"/>
      <c r="TMJ79" s="449"/>
      <c r="TMK79" s="450"/>
      <c r="TML79" s="452"/>
      <c r="TMM79" s="448"/>
      <c r="TMN79" s="449"/>
      <c r="TMO79" s="450"/>
      <c r="TMP79" s="447"/>
      <c r="TMQ79" s="448"/>
      <c r="TMR79" s="457"/>
      <c r="TMS79" s="460"/>
      <c r="TMT79" s="450"/>
      <c r="TMU79" s="461"/>
      <c r="TMV79" s="448"/>
      <c r="TMW79" s="456"/>
      <c r="TMX79" s="449"/>
      <c r="TMY79" s="450"/>
      <c r="TMZ79" s="452"/>
      <c r="TNA79" s="448"/>
      <c r="TNB79" s="456"/>
      <c r="TNC79" s="458"/>
      <c r="TND79" s="458"/>
      <c r="TNF79" s="454"/>
      <c r="TNG79" s="450"/>
      <c r="TNH79" s="454"/>
      <c r="TNI79" s="448"/>
      <c r="TNJ79" s="449"/>
      <c r="TNK79" s="450"/>
      <c r="TNL79" s="447"/>
      <c r="TNM79" s="448"/>
      <c r="TNN79" s="449"/>
      <c r="TNO79" s="450"/>
      <c r="TNP79" s="447"/>
      <c r="TNQ79" s="451"/>
      <c r="TNR79" s="449"/>
      <c r="TNS79" s="450"/>
      <c r="TNT79" s="447"/>
      <c r="TNU79" s="451"/>
      <c r="TNV79" s="449"/>
      <c r="TNW79" s="450"/>
      <c r="TNX79" s="447"/>
      <c r="TNY79" s="451"/>
      <c r="TNZ79" s="449"/>
      <c r="TOA79" s="450"/>
      <c r="TOB79" s="452"/>
      <c r="TOC79" s="451"/>
      <c r="TOD79" s="449"/>
      <c r="TOE79" s="450"/>
      <c r="TOF79" s="447"/>
      <c r="TOG79" s="448"/>
      <c r="TOH79" s="453"/>
      <c r="TOI79" s="449"/>
      <c r="TOJ79" s="450"/>
      <c r="TOK79" s="454"/>
      <c r="TOL79" s="448"/>
      <c r="TON79" s="449"/>
      <c r="TOO79" s="450"/>
      <c r="TOP79" s="452"/>
      <c r="TOQ79" s="448"/>
      <c r="TOS79" s="449"/>
      <c r="TOT79" s="450"/>
      <c r="TOU79" s="447"/>
      <c r="TOV79" s="448"/>
      <c r="TOX79" s="449"/>
      <c r="TOY79" s="450"/>
      <c r="TOZ79" s="452"/>
      <c r="TPA79" s="448"/>
      <c r="TPB79" s="449"/>
      <c r="TPC79" s="450"/>
      <c r="TPD79" s="452"/>
      <c r="TPE79" s="448"/>
      <c r="TPF79" s="455"/>
      <c r="TPG79" s="449"/>
      <c r="TPH79" s="450"/>
      <c r="TPI79" s="459"/>
      <c r="TPJ79" s="448"/>
      <c r="TPK79" s="456"/>
      <c r="TPL79" s="449"/>
      <c r="TPM79" s="450"/>
      <c r="TPN79" s="452"/>
      <c r="TPO79" s="448"/>
      <c r="TPP79" s="449"/>
      <c r="TPQ79" s="450"/>
      <c r="TPR79" s="452"/>
      <c r="TPS79" s="448"/>
      <c r="TPT79" s="449"/>
      <c r="TPU79" s="450"/>
      <c r="TPV79" s="447"/>
      <c r="TPW79" s="448"/>
      <c r="TPX79" s="457"/>
      <c r="TPY79" s="460"/>
      <c r="TPZ79" s="450"/>
      <c r="TQA79" s="461"/>
      <c r="TQB79" s="448"/>
      <c r="TQC79" s="456"/>
      <c r="TQD79" s="449"/>
      <c r="TQE79" s="450"/>
      <c r="TQF79" s="452"/>
      <c r="TQG79" s="448"/>
      <c r="TQH79" s="456"/>
      <c r="TQI79" s="458"/>
      <c r="TQJ79" s="458"/>
      <c r="TQL79" s="454"/>
      <c r="TQM79" s="450"/>
      <c r="TQN79" s="454"/>
      <c r="TQO79" s="448"/>
      <c r="TQP79" s="449"/>
      <c r="TQQ79" s="450"/>
      <c r="TQR79" s="447"/>
      <c r="TQS79" s="448"/>
      <c r="TQT79" s="449"/>
      <c r="TQU79" s="450"/>
      <c r="TQV79" s="447"/>
      <c r="TQW79" s="451"/>
      <c r="TQX79" s="449"/>
      <c r="TQY79" s="450"/>
      <c r="TQZ79" s="447"/>
      <c r="TRA79" s="451"/>
      <c r="TRB79" s="449"/>
      <c r="TRC79" s="450"/>
      <c r="TRD79" s="447"/>
      <c r="TRE79" s="451"/>
      <c r="TRF79" s="449"/>
      <c r="TRG79" s="450"/>
      <c r="TRH79" s="452"/>
      <c r="TRI79" s="451"/>
      <c r="TRJ79" s="449"/>
      <c r="TRK79" s="450"/>
      <c r="TRL79" s="447"/>
      <c r="TRM79" s="448"/>
      <c r="TRN79" s="453"/>
      <c r="TRO79" s="449"/>
      <c r="TRP79" s="450"/>
      <c r="TRQ79" s="454"/>
      <c r="TRR79" s="448"/>
      <c r="TRT79" s="449"/>
      <c r="TRU79" s="450"/>
      <c r="TRV79" s="452"/>
      <c r="TRW79" s="448"/>
      <c r="TRY79" s="449"/>
      <c r="TRZ79" s="450"/>
      <c r="TSA79" s="447"/>
      <c r="TSB79" s="448"/>
      <c r="TSD79" s="449"/>
      <c r="TSE79" s="450"/>
      <c r="TSF79" s="452"/>
      <c r="TSG79" s="448"/>
      <c r="TSH79" s="449"/>
      <c r="TSI79" s="450"/>
      <c r="TSJ79" s="452"/>
      <c r="TSK79" s="448"/>
      <c r="TSL79" s="455"/>
      <c r="TSM79" s="449"/>
      <c r="TSN79" s="450"/>
      <c r="TSO79" s="459"/>
      <c r="TSP79" s="448"/>
      <c r="TSQ79" s="456"/>
      <c r="TSR79" s="449"/>
      <c r="TSS79" s="450"/>
      <c r="TST79" s="452"/>
      <c r="TSU79" s="448"/>
      <c r="TSV79" s="449"/>
      <c r="TSW79" s="450"/>
      <c r="TSX79" s="452"/>
      <c r="TSY79" s="448"/>
      <c r="TSZ79" s="449"/>
      <c r="TTA79" s="450"/>
      <c r="TTB79" s="447"/>
      <c r="TTC79" s="448"/>
      <c r="TTD79" s="457"/>
      <c r="TTE79" s="460"/>
      <c r="TTF79" s="450"/>
      <c r="TTG79" s="461"/>
      <c r="TTH79" s="448"/>
      <c r="TTI79" s="456"/>
      <c r="TTJ79" s="449"/>
      <c r="TTK79" s="450"/>
      <c r="TTL79" s="452"/>
      <c r="TTM79" s="448"/>
      <c r="TTN79" s="456"/>
      <c r="TTO79" s="458"/>
      <c r="TTP79" s="458"/>
      <c r="TTR79" s="454"/>
      <c r="TTS79" s="450"/>
      <c r="TTT79" s="454"/>
      <c r="TTU79" s="448"/>
      <c r="TTV79" s="449"/>
      <c r="TTW79" s="450"/>
      <c r="TTX79" s="447"/>
      <c r="TTY79" s="448"/>
      <c r="TTZ79" s="449"/>
      <c r="TUA79" s="450"/>
      <c r="TUB79" s="447"/>
      <c r="TUC79" s="451"/>
      <c r="TUD79" s="449"/>
      <c r="TUE79" s="450"/>
      <c r="TUF79" s="447"/>
      <c r="TUG79" s="451"/>
      <c r="TUH79" s="449"/>
      <c r="TUI79" s="450"/>
      <c r="TUJ79" s="447"/>
      <c r="TUK79" s="451"/>
      <c r="TUL79" s="449"/>
      <c r="TUM79" s="450"/>
      <c r="TUN79" s="452"/>
      <c r="TUO79" s="451"/>
      <c r="TUP79" s="449"/>
      <c r="TUQ79" s="450"/>
      <c r="TUR79" s="447"/>
      <c r="TUS79" s="448"/>
      <c r="TUT79" s="453"/>
      <c r="TUU79" s="449"/>
      <c r="TUV79" s="450"/>
      <c r="TUW79" s="454"/>
      <c r="TUX79" s="448"/>
      <c r="TUZ79" s="449"/>
      <c r="TVA79" s="450"/>
      <c r="TVB79" s="452"/>
      <c r="TVC79" s="448"/>
      <c r="TVE79" s="449"/>
      <c r="TVF79" s="450"/>
      <c r="TVG79" s="447"/>
      <c r="TVH79" s="448"/>
      <c r="TVJ79" s="449"/>
      <c r="TVK79" s="450"/>
      <c r="TVL79" s="452"/>
      <c r="TVM79" s="448"/>
      <c r="TVN79" s="449"/>
      <c r="TVO79" s="450"/>
      <c r="TVP79" s="452"/>
      <c r="TVQ79" s="448"/>
      <c r="TVR79" s="455"/>
      <c r="TVS79" s="449"/>
      <c r="TVT79" s="450"/>
      <c r="TVU79" s="459"/>
      <c r="TVV79" s="448"/>
      <c r="TVW79" s="456"/>
      <c r="TVX79" s="449"/>
      <c r="TVY79" s="450"/>
      <c r="TVZ79" s="452"/>
      <c r="TWA79" s="448"/>
      <c r="TWB79" s="449"/>
      <c r="TWC79" s="450"/>
      <c r="TWD79" s="452"/>
      <c r="TWE79" s="448"/>
      <c r="TWF79" s="449"/>
      <c r="TWG79" s="450"/>
      <c r="TWH79" s="447"/>
      <c r="TWI79" s="448"/>
      <c r="TWJ79" s="457"/>
      <c r="TWK79" s="460"/>
      <c r="TWL79" s="450"/>
      <c r="TWM79" s="461"/>
      <c r="TWN79" s="448"/>
      <c r="TWO79" s="456"/>
      <c r="TWP79" s="449"/>
      <c r="TWQ79" s="450"/>
      <c r="TWR79" s="452"/>
      <c r="TWS79" s="448"/>
      <c r="TWT79" s="456"/>
      <c r="TWU79" s="458"/>
      <c r="TWV79" s="458"/>
      <c r="TWX79" s="454"/>
      <c r="TWY79" s="450"/>
      <c r="TWZ79" s="454"/>
      <c r="TXA79" s="448"/>
      <c r="TXB79" s="449"/>
      <c r="TXC79" s="450"/>
      <c r="TXD79" s="447"/>
      <c r="TXE79" s="448"/>
      <c r="TXF79" s="449"/>
      <c r="TXG79" s="450"/>
      <c r="TXH79" s="447"/>
      <c r="TXI79" s="451"/>
      <c r="TXJ79" s="449"/>
      <c r="TXK79" s="450"/>
      <c r="TXL79" s="447"/>
      <c r="TXM79" s="451"/>
      <c r="TXN79" s="449"/>
      <c r="TXO79" s="450"/>
      <c r="TXP79" s="447"/>
      <c r="TXQ79" s="451"/>
      <c r="TXR79" s="449"/>
      <c r="TXS79" s="450"/>
      <c r="TXT79" s="452"/>
      <c r="TXU79" s="451"/>
      <c r="TXV79" s="449"/>
      <c r="TXW79" s="450"/>
      <c r="TXX79" s="447"/>
      <c r="TXY79" s="448"/>
      <c r="TXZ79" s="453"/>
      <c r="TYA79" s="449"/>
      <c r="TYB79" s="450"/>
      <c r="TYC79" s="454"/>
      <c r="TYD79" s="448"/>
      <c r="TYF79" s="449"/>
      <c r="TYG79" s="450"/>
      <c r="TYH79" s="452"/>
      <c r="TYI79" s="448"/>
      <c r="TYK79" s="449"/>
      <c r="TYL79" s="450"/>
      <c r="TYM79" s="447"/>
      <c r="TYN79" s="448"/>
      <c r="TYP79" s="449"/>
      <c r="TYQ79" s="450"/>
      <c r="TYR79" s="452"/>
      <c r="TYS79" s="448"/>
      <c r="TYT79" s="449"/>
      <c r="TYU79" s="450"/>
      <c r="TYV79" s="452"/>
      <c r="TYW79" s="448"/>
      <c r="TYX79" s="455"/>
      <c r="TYY79" s="449"/>
      <c r="TYZ79" s="450"/>
      <c r="TZA79" s="459"/>
      <c r="TZB79" s="448"/>
      <c r="TZC79" s="456"/>
      <c r="TZD79" s="449"/>
      <c r="TZE79" s="450"/>
      <c r="TZF79" s="452"/>
      <c r="TZG79" s="448"/>
      <c r="TZH79" s="449"/>
      <c r="TZI79" s="450"/>
      <c r="TZJ79" s="452"/>
      <c r="TZK79" s="448"/>
      <c r="TZL79" s="449"/>
      <c r="TZM79" s="450"/>
      <c r="TZN79" s="447"/>
      <c r="TZO79" s="448"/>
      <c r="TZP79" s="457"/>
      <c r="TZQ79" s="460"/>
      <c r="TZR79" s="450"/>
      <c r="TZS79" s="461"/>
      <c r="TZT79" s="448"/>
      <c r="TZU79" s="456"/>
      <c r="TZV79" s="449"/>
      <c r="TZW79" s="450"/>
      <c r="TZX79" s="452"/>
      <c r="TZY79" s="448"/>
      <c r="TZZ79" s="456"/>
      <c r="UAA79" s="458"/>
      <c r="UAB79" s="458"/>
      <c r="UAD79" s="454"/>
      <c r="UAE79" s="450"/>
      <c r="UAF79" s="454"/>
      <c r="UAG79" s="448"/>
      <c r="UAH79" s="449"/>
      <c r="UAI79" s="450"/>
      <c r="UAJ79" s="447"/>
      <c r="UAK79" s="448"/>
      <c r="UAL79" s="449"/>
      <c r="UAM79" s="450"/>
      <c r="UAN79" s="447"/>
      <c r="UAO79" s="451"/>
      <c r="UAP79" s="449"/>
      <c r="UAQ79" s="450"/>
      <c r="UAR79" s="447"/>
      <c r="UAS79" s="451"/>
      <c r="UAT79" s="449"/>
      <c r="UAU79" s="450"/>
      <c r="UAV79" s="447"/>
      <c r="UAW79" s="451"/>
      <c r="UAX79" s="449"/>
      <c r="UAY79" s="450"/>
      <c r="UAZ79" s="452"/>
      <c r="UBA79" s="451"/>
      <c r="UBB79" s="449"/>
      <c r="UBC79" s="450"/>
      <c r="UBD79" s="447"/>
      <c r="UBE79" s="448"/>
      <c r="UBF79" s="453"/>
      <c r="UBG79" s="449"/>
      <c r="UBH79" s="450"/>
      <c r="UBI79" s="454"/>
      <c r="UBJ79" s="448"/>
      <c r="UBL79" s="449"/>
      <c r="UBM79" s="450"/>
      <c r="UBN79" s="452"/>
      <c r="UBO79" s="448"/>
      <c r="UBQ79" s="449"/>
      <c r="UBR79" s="450"/>
      <c r="UBS79" s="447"/>
      <c r="UBT79" s="448"/>
      <c r="UBV79" s="449"/>
      <c r="UBW79" s="450"/>
      <c r="UBX79" s="452"/>
      <c r="UBY79" s="448"/>
      <c r="UBZ79" s="449"/>
      <c r="UCA79" s="450"/>
      <c r="UCB79" s="452"/>
      <c r="UCC79" s="448"/>
      <c r="UCD79" s="455"/>
      <c r="UCE79" s="449"/>
      <c r="UCF79" s="450"/>
      <c r="UCG79" s="459"/>
      <c r="UCH79" s="448"/>
      <c r="UCI79" s="456"/>
      <c r="UCJ79" s="449"/>
      <c r="UCK79" s="450"/>
      <c r="UCL79" s="452"/>
      <c r="UCM79" s="448"/>
      <c r="UCN79" s="449"/>
      <c r="UCO79" s="450"/>
      <c r="UCP79" s="452"/>
      <c r="UCQ79" s="448"/>
      <c r="UCR79" s="449"/>
      <c r="UCS79" s="450"/>
      <c r="UCT79" s="447"/>
      <c r="UCU79" s="448"/>
      <c r="UCV79" s="457"/>
      <c r="UCW79" s="460"/>
      <c r="UCX79" s="450"/>
      <c r="UCY79" s="461"/>
      <c r="UCZ79" s="448"/>
      <c r="UDA79" s="456"/>
      <c r="UDB79" s="449"/>
      <c r="UDC79" s="450"/>
      <c r="UDD79" s="452"/>
      <c r="UDE79" s="448"/>
      <c r="UDF79" s="456"/>
      <c r="UDG79" s="458"/>
      <c r="UDH79" s="458"/>
      <c r="UDJ79" s="454"/>
      <c r="UDK79" s="450"/>
      <c r="UDL79" s="454"/>
      <c r="UDM79" s="448"/>
      <c r="UDN79" s="449"/>
      <c r="UDO79" s="450"/>
      <c r="UDP79" s="447"/>
      <c r="UDQ79" s="448"/>
      <c r="UDR79" s="449"/>
      <c r="UDS79" s="450"/>
      <c r="UDT79" s="447"/>
      <c r="UDU79" s="451"/>
      <c r="UDV79" s="449"/>
      <c r="UDW79" s="450"/>
      <c r="UDX79" s="447"/>
      <c r="UDY79" s="451"/>
      <c r="UDZ79" s="449"/>
      <c r="UEA79" s="450"/>
      <c r="UEB79" s="447"/>
      <c r="UEC79" s="451"/>
      <c r="UED79" s="449"/>
      <c r="UEE79" s="450"/>
      <c r="UEF79" s="452"/>
      <c r="UEG79" s="451"/>
      <c r="UEH79" s="449"/>
      <c r="UEI79" s="450"/>
      <c r="UEJ79" s="447"/>
      <c r="UEK79" s="448"/>
      <c r="UEL79" s="453"/>
      <c r="UEM79" s="449"/>
      <c r="UEN79" s="450"/>
      <c r="UEO79" s="454"/>
      <c r="UEP79" s="448"/>
      <c r="UER79" s="449"/>
      <c r="UES79" s="450"/>
      <c r="UET79" s="452"/>
      <c r="UEU79" s="448"/>
      <c r="UEW79" s="449"/>
      <c r="UEX79" s="450"/>
      <c r="UEY79" s="447"/>
      <c r="UEZ79" s="448"/>
      <c r="UFB79" s="449"/>
      <c r="UFC79" s="450"/>
      <c r="UFD79" s="452"/>
      <c r="UFE79" s="448"/>
      <c r="UFF79" s="449"/>
      <c r="UFG79" s="450"/>
      <c r="UFH79" s="452"/>
      <c r="UFI79" s="448"/>
      <c r="UFJ79" s="455"/>
      <c r="UFK79" s="449"/>
      <c r="UFL79" s="450"/>
      <c r="UFM79" s="459"/>
      <c r="UFN79" s="448"/>
      <c r="UFO79" s="456"/>
      <c r="UFP79" s="449"/>
      <c r="UFQ79" s="450"/>
      <c r="UFR79" s="452"/>
      <c r="UFS79" s="448"/>
      <c r="UFT79" s="449"/>
      <c r="UFU79" s="450"/>
      <c r="UFV79" s="452"/>
      <c r="UFW79" s="448"/>
      <c r="UFX79" s="449"/>
      <c r="UFY79" s="450"/>
      <c r="UFZ79" s="447"/>
      <c r="UGA79" s="448"/>
      <c r="UGB79" s="457"/>
      <c r="UGC79" s="460"/>
      <c r="UGD79" s="450"/>
      <c r="UGE79" s="461"/>
      <c r="UGF79" s="448"/>
      <c r="UGG79" s="456"/>
      <c r="UGH79" s="449"/>
      <c r="UGI79" s="450"/>
      <c r="UGJ79" s="452"/>
      <c r="UGK79" s="448"/>
      <c r="UGL79" s="456"/>
      <c r="UGM79" s="458"/>
      <c r="UGN79" s="458"/>
      <c r="UGP79" s="454"/>
      <c r="UGQ79" s="450"/>
      <c r="UGR79" s="454"/>
      <c r="UGS79" s="448"/>
      <c r="UGT79" s="449"/>
      <c r="UGU79" s="450"/>
      <c r="UGV79" s="447"/>
      <c r="UGW79" s="448"/>
      <c r="UGX79" s="449"/>
      <c r="UGY79" s="450"/>
      <c r="UGZ79" s="447"/>
      <c r="UHA79" s="451"/>
      <c r="UHB79" s="449"/>
      <c r="UHC79" s="450"/>
      <c r="UHD79" s="447"/>
      <c r="UHE79" s="451"/>
      <c r="UHF79" s="449"/>
      <c r="UHG79" s="450"/>
      <c r="UHH79" s="447"/>
      <c r="UHI79" s="451"/>
      <c r="UHJ79" s="449"/>
      <c r="UHK79" s="450"/>
      <c r="UHL79" s="452"/>
      <c r="UHM79" s="451"/>
      <c r="UHN79" s="449"/>
      <c r="UHO79" s="450"/>
      <c r="UHP79" s="447"/>
      <c r="UHQ79" s="448"/>
      <c r="UHR79" s="453"/>
      <c r="UHS79" s="449"/>
      <c r="UHT79" s="450"/>
      <c r="UHU79" s="454"/>
      <c r="UHV79" s="448"/>
      <c r="UHX79" s="449"/>
      <c r="UHY79" s="450"/>
      <c r="UHZ79" s="452"/>
      <c r="UIA79" s="448"/>
      <c r="UIC79" s="449"/>
      <c r="UID79" s="450"/>
      <c r="UIE79" s="447"/>
      <c r="UIF79" s="448"/>
      <c r="UIH79" s="449"/>
      <c r="UII79" s="450"/>
      <c r="UIJ79" s="452"/>
      <c r="UIK79" s="448"/>
      <c r="UIL79" s="449"/>
      <c r="UIM79" s="450"/>
      <c r="UIN79" s="452"/>
      <c r="UIO79" s="448"/>
      <c r="UIP79" s="455"/>
      <c r="UIQ79" s="449"/>
      <c r="UIR79" s="450"/>
      <c r="UIS79" s="459"/>
      <c r="UIT79" s="448"/>
      <c r="UIU79" s="456"/>
      <c r="UIV79" s="449"/>
      <c r="UIW79" s="450"/>
      <c r="UIX79" s="452"/>
      <c r="UIY79" s="448"/>
      <c r="UIZ79" s="449"/>
      <c r="UJA79" s="450"/>
      <c r="UJB79" s="452"/>
      <c r="UJC79" s="448"/>
      <c r="UJD79" s="449"/>
      <c r="UJE79" s="450"/>
      <c r="UJF79" s="447"/>
      <c r="UJG79" s="448"/>
      <c r="UJH79" s="457"/>
      <c r="UJI79" s="460"/>
      <c r="UJJ79" s="450"/>
      <c r="UJK79" s="461"/>
      <c r="UJL79" s="448"/>
      <c r="UJM79" s="456"/>
      <c r="UJN79" s="449"/>
      <c r="UJO79" s="450"/>
      <c r="UJP79" s="452"/>
      <c r="UJQ79" s="448"/>
      <c r="UJR79" s="456"/>
      <c r="UJS79" s="458"/>
      <c r="UJT79" s="458"/>
      <c r="UJV79" s="454"/>
      <c r="UJW79" s="450"/>
      <c r="UJX79" s="454"/>
      <c r="UJY79" s="448"/>
      <c r="UJZ79" s="449"/>
      <c r="UKA79" s="450"/>
      <c r="UKB79" s="447"/>
      <c r="UKC79" s="448"/>
      <c r="UKD79" s="449"/>
      <c r="UKE79" s="450"/>
      <c r="UKF79" s="447"/>
      <c r="UKG79" s="451"/>
      <c r="UKH79" s="449"/>
      <c r="UKI79" s="450"/>
      <c r="UKJ79" s="447"/>
      <c r="UKK79" s="451"/>
      <c r="UKL79" s="449"/>
      <c r="UKM79" s="450"/>
      <c r="UKN79" s="447"/>
      <c r="UKO79" s="451"/>
      <c r="UKP79" s="449"/>
      <c r="UKQ79" s="450"/>
      <c r="UKR79" s="452"/>
      <c r="UKS79" s="451"/>
      <c r="UKT79" s="449"/>
      <c r="UKU79" s="450"/>
      <c r="UKV79" s="447"/>
      <c r="UKW79" s="448"/>
      <c r="UKX79" s="453"/>
      <c r="UKY79" s="449"/>
      <c r="UKZ79" s="450"/>
      <c r="ULA79" s="454"/>
      <c r="ULB79" s="448"/>
      <c r="ULD79" s="449"/>
      <c r="ULE79" s="450"/>
      <c r="ULF79" s="452"/>
      <c r="ULG79" s="448"/>
      <c r="ULI79" s="449"/>
      <c r="ULJ79" s="450"/>
      <c r="ULK79" s="447"/>
      <c r="ULL79" s="448"/>
      <c r="ULN79" s="449"/>
      <c r="ULO79" s="450"/>
      <c r="ULP79" s="452"/>
      <c r="ULQ79" s="448"/>
      <c r="ULR79" s="449"/>
      <c r="ULS79" s="450"/>
      <c r="ULT79" s="452"/>
      <c r="ULU79" s="448"/>
      <c r="ULV79" s="455"/>
      <c r="ULW79" s="449"/>
      <c r="ULX79" s="450"/>
      <c r="ULY79" s="459"/>
      <c r="ULZ79" s="448"/>
      <c r="UMA79" s="456"/>
      <c r="UMB79" s="449"/>
      <c r="UMC79" s="450"/>
      <c r="UMD79" s="452"/>
      <c r="UME79" s="448"/>
      <c r="UMF79" s="449"/>
      <c r="UMG79" s="450"/>
      <c r="UMH79" s="452"/>
      <c r="UMI79" s="448"/>
      <c r="UMJ79" s="449"/>
      <c r="UMK79" s="450"/>
      <c r="UML79" s="447"/>
      <c r="UMM79" s="448"/>
      <c r="UMN79" s="457"/>
      <c r="UMO79" s="460"/>
      <c r="UMP79" s="450"/>
      <c r="UMQ79" s="461"/>
      <c r="UMR79" s="448"/>
      <c r="UMS79" s="456"/>
      <c r="UMT79" s="449"/>
      <c r="UMU79" s="450"/>
      <c r="UMV79" s="452"/>
      <c r="UMW79" s="448"/>
      <c r="UMX79" s="456"/>
      <c r="UMY79" s="458"/>
      <c r="UMZ79" s="458"/>
      <c r="UNB79" s="454"/>
      <c r="UNC79" s="450"/>
      <c r="UND79" s="454"/>
      <c r="UNE79" s="448"/>
      <c r="UNF79" s="449"/>
      <c r="UNG79" s="450"/>
      <c r="UNH79" s="447"/>
      <c r="UNI79" s="448"/>
      <c r="UNJ79" s="449"/>
      <c r="UNK79" s="450"/>
      <c r="UNL79" s="447"/>
      <c r="UNM79" s="451"/>
      <c r="UNN79" s="449"/>
      <c r="UNO79" s="450"/>
      <c r="UNP79" s="447"/>
      <c r="UNQ79" s="451"/>
      <c r="UNR79" s="449"/>
      <c r="UNS79" s="450"/>
      <c r="UNT79" s="447"/>
      <c r="UNU79" s="451"/>
      <c r="UNV79" s="449"/>
      <c r="UNW79" s="450"/>
      <c r="UNX79" s="452"/>
      <c r="UNY79" s="451"/>
      <c r="UNZ79" s="449"/>
      <c r="UOA79" s="450"/>
      <c r="UOB79" s="447"/>
      <c r="UOC79" s="448"/>
      <c r="UOD79" s="453"/>
      <c r="UOE79" s="449"/>
      <c r="UOF79" s="450"/>
      <c r="UOG79" s="454"/>
      <c r="UOH79" s="448"/>
      <c r="UOJ79" s="449"/>
      <c r="UOK79" s="450"/>
      <c r="UOL79" s="452"/>
      <c r="UOM79" s="448"/>
      <c r="UOO79" s="449"/>
      <c r="UOP79" s="450"/>
      <c r="UOQ79" s="447"/>
      <c r="UOR79" s="448"/>
      <c r="UOT79" s="449"/>
      <c r="UOU79" s="450"/>
      <c r="UOV79" s="452"/>
      <c r="UOW79" s="448"/>
      <c r="UOX79" s="449"/>
      <c r="UOY79" s="450"/>
      <c r="UOZ79" s="452"/>
      <c r="UPA79" s="448"/>
      <c r="UPB79" s="455"/>
      <c r="UPC79" s="449"/>
      <c r="UPD79" s="450"/>
      <c r="UPE79" s="459"/>
      <c r="UPF79" s="448"/>
      <c r="UPG79" s="456"/>
      <c r="UPH79" s="449"/>
      <c r="UPI79" s="450"/>
      <c r="UPJ79" s="452"/>
      <c r="UPK79" s="448"/>
      <c r="UPL79" s="449"/>
      <c r="UPM79" s="450"/>
      <c r="UPN79" s="452"/>
      <c r="UPO79" s="448"/>
      <c r="UPP79" s="449"/>
      <c r="UPQ79" s="450"/>
      <c r="UPR79" s="447"/>
      <c r="UPS79" s="448"/>
      <c r="UPT79" s="457"/>
      <c r="UPU79" s="460"/>
      <c r="UPV79" s="450"/>
      <c r="UPW79" s="461"/>
      <c r="UPX79" s="448"/>
      <c r="UPY79" s="456"/>
      <c r="UPZ79" s="449"/>
      <c r="UQA79" s="450"/>
      <c r="UQB79" s="452"/>
      <c r="UQC79" s="448"/>
      <c r="UQD79" s="456"/>
      <c r="UQE79" s="458"/>
      <c r="UQF79" s="458"/>
      <c r="UQH79" s="454"/>
      <c r="UQI79" s="450"/>
      <c r="UQJ79" s="454"/>
      <c r="UQK79" s="448"/>
      <c r="UQL79" s="449"/>
      <c r="UQM79" s="450"/>
      <c r="UQN79" s="447"/>
      <c r="UQO79" s="448"/>
      <c r="UQP79" s="449"/>
      <c r="UQQ79" s="450"/>
      <c r="UQR79" s="447"/>
      <c r="UQS79" s="451"/>
      <c r="UQT79" s="449"/>
      <c r="UQU79" s="450"/>
      <c r="UQV79" s="447"/>
      <c r="UQW79" s="451"/>
      <c r="UQX79" s="449"/>
      <c r="UQY79" s="450"/>
      <c r="UQZ79" s="447"/>
      <c r="URA79" s="451"/>
      <c r="URB79" s="449"/>
      <c r="URC79" s="450"/>
      <c r="URD79" s="452"/>
      <c r="URE79" s="451"/>
      <c r="URF79" s="449"/>
      <c r="URG79" s="450"/>
      <c r="URH79" s="447"/>
      <c r="URI79" s="448"/>
      <c r="URJ79" s="453"/>
      <c r="URK79" s="449"/>
      <c r="URL79" s="450"/>
      <c r="URM79" s="454"/>
      <c r="URN79" s="448"/>
      <c r="URP79" s="449"/>
      <c r="URQ79" s="450"/>
      <c r="URR79" s="452"/>
      <c r="URS79" s="448"/>
      <c r="URU79" s="449"/>
      <c r="URV79" s="450"/>
      <c r="URW79" s="447"/>
      <c r="URX79" s="448"/>
      <c r="URZ79" s="449"/>
      <c r="USA79" s="450"/>
      <c r="USB79" s="452"/>
      <c r="USC79" s="448"/>
      <c r="USD79" s="449"/>
      <c r="USE79" s="450"/>
      <c r="USF79" s="452"/>
      <c r="USG79" s="448"/>
      <c r="USH79" s="455"/>
      <c r="USI79" s="449"/>
      <c r="USJ79" s="450"/>
      <c r="USK79" s="459"/>
      <c r="USL79" s="448"/>
      <c r="USM79" s="456"/>
      <c r="USN79" s="449"/>
      <c r="USO79" s="450"/>
      <c r="USP79" s="452"/>
      <c r="USQ79" s="448"/>
      <c r="USR79" s="449"/>
      <c r="USS79" s="450"/>
      <c r="UST79" s="452"/>
      <c r="USU79" s="448"/>
      <c r="USV79" s="449"/>
      <c r="USW79" s="450"/>
      <c r="USX79" s="447"/>
      <c r="USY79" s="448"/>
      <c r="USZ79" s="457"/>
      <c r="UTA79" s="460"/>
      <c r="UTB79" s="450"/>
      <c r="UTC79" s="461"/>
      <c r="UTD79" s="448"/>
      <c r="UTE79" s="456"/>
      <c r="UTF79" s="449"/>
      <c r="UTG79" s="450"/>
      <c r="UTH79" s="452"/>
      <c r="UTI79" s="448"/>
      <c r="UTJ79" s="456"/>
      <c r="UTK79" s="458"/>
      <c r="UTL79" s="458"/>
      <c r="UTN79" s="454"/>
      <c r="UTO79" s="450"/>
      <c r="UTP79" s="454"/>
      <c r="UTQ79" s="448"/>
      <c r="UTR79" s="449"/>
      <c r="UTS79" s="450"/>
      <c r="UTT79" s="447"/>
      <c r="UTU79" s="448"/>
      <c r="UTV79" s="449"/>
      <c r="UTW79" s="450"/>
      <c r="UTX79" s="447"/>
      <c r="UTY79" s="451"/>
      <c r="UTZ79" s="449"/>
      <c r="UUA79" s="450"/>
      <c r="UUB79" s="447"/>
      <c r="UUC79" s="451"/>
      <c r="UUD79" s="449"/>
      <c r="UUE79" s="450"/>
      <c r="UUF79" s="447"/>
      <c r="UUG79" s="451"/>
      <c r="UUH79" s="449"/>
      <c r="UUI79" s="450"/>
      <c r="UUJ79" s="452"/>
      <c r="UUK79" s="451"/>
      <c r="UUL79" s="449"/>
      <c r="UUM79" s="450"/>
      <c r="UUN79" s="447"/>
      <c r="UUO79" s="448"/>
      <c r="UUP79" s="453"/>
      <c r="UUQ79" s="449"/>
      <c r="UUR79" s="450"/>
      <c r="UUS79" s="454"/>
      <c r="UUT79" s="448"/>
      <c r="UUV79" s="449"/>
      <c r="UUW79" s="450"/>
      <c r="UUX79" s="452"/>
      <c r="UUY79" s="448"/>
      <c r="UVA79" s="449"/>
      <c r="UVB79" s="450"/>
      <c r="UVC79" s="447"/>
      <c r="UVD79" s="448"/>
      <c r="UVF79" s="449"/>
      <c r="UVG79" s="450"/>
      <c r="UVH79" s="452"/>
      <c r="UVI79" s="448"/>
      <c r="UVJ79" s="449"/>
      <c r="UVK79" s="450"/>
      <c r="UVL79" s="452"/>
      <c r="UVM79" s="448"/>
      <c r="UVN79" s="455"/>
      <c r="UVO79" s="449"/>
      <c r="UVP79" s="450"/>
      <c r="UVQ79" s="459"/>
      <c r="UVR79" s="448"/>
      <c r="UVS79" s="456"/>
      <c r="UVT79" s="449"/>
      <c r="UVU79" s="450"/>
      <c r="UVV79" s="452"/>
      <c r="UVW79" s="448"/>
      <c r="UVX79" s="449"/>
      <c r="UVY79" s="450"/>
      <c r="UVZ79" s="452"/>
      <c r="UWA79" s="448"/>
      <c r="UWB79" s="449"/>
      <c r="UWC79" s="450"/>
      <c r="UWD79" s="447"/>
      <c r="UWE79" s="448"/>
      <c r="UWF79" s="457"/>
      <c r="UWG79" s="460"/>
      <c r="UWH79" s="450"/>
      <c r="UWI79" s="461"/>
      <c r="UWJ79" s="448"/>
      <c r="UWK79" s="456"/>
      <c r="UWL79" s="449"/>
      <c r="UWM79" s="450"/>
      <c r="UWN79" s="452"/>
      <c r="UWO79" s="448"/>
      <c r="UWP79" s="456"/>
      <c r="UWQ79" s="458"/>
      <c r="UWR79" s="458"/>
      <c r="UWT79" s="454"/>
      <c r="UWU79" s="450"/>
      <c r="UWV79" s="454"/>
      <c r="UWW79" s="448"/>
      <c r="UWX79" s="449"/>
      <c r="UWY79" s="450"/>
      <c r="UWZ79" s="447"/>
      <c r="UXA79" s="448"/>
      <c r="UXB79" s="449"/>
      <c r="UXC79" s="450"/>
      <c r="UXD79" s="447"/>
      <c r="UXE79" s="451"/>
      <c r="UXF79" s="449"/>
      <c r="UXG79" s="450"/>
      <c r="UXH79" s="447"/>
      <c r="UXI79" s="451"/>
      <c r="UXJ79" s="449"/>
      <c r="UXK79" s="450"/>
      <c r="UXL79" s="447"/>
      <c r="UXM79" s="451"/>
      <c r="UXN79" s="449"/>
      <c r="UXO79" s="450"/>
      <c r="UXP79" s="452"/>
      <c r="UXQ79" s="451"/>
      <c r="UXR79" s="449"/>
      <c r="UXS79" s="450"/>
      <c r="UXT79" s="447"/>
      <c r="UXU79" s="448"/>
      <c r="UXV79" s="453"/>
      <c r="UXW79" s="449"/>
      <c r="UXX79" s="450"/>
      <c r="UXY79" s="454"/>
      <c r="UXZ79" s="448"/>
      <c r="UYB79" s="449"/>
      <c r="UYC79" s="450"/>
      <c r="UYD79" s="452"/>
      <c r="UYE79" s="448"/>
      <c r="UYG79" s="449"/>
      <c r="UYH79" s="450"/>
      <c r="UYI79" s="447"/>
      <c r="UYJ79" s="448"/>
      <c r="UYL79" s="449"/>
      <c r="UYM79" s="450"/>
      <c r="UYN79" s="452"/>
      <c r="UYO79" s="448"/>
      <c r="UYP79" s="449"/>
      <c r="UYQ79" s="450"/>
      <c r="UYR79" s="452"/>
      <c r="UYS79" s="448"/>
      <c r="UYT79" s="455"/>
      <c r="UYU79" s="449"/>
      <c r="UYV79" s="450"/>
      <c r="UYW79" s="459"/>
      <c r="UYX79" s="448"/>
      <c r="UYY79" s="456"/>
      <c r="UYZ79" s="449"/>
      <c r="UZA79" s="450"/>
      <c r="UZB79" s="452"/>
      <c r="UZC79" s="448"/>
      <c r="UZD79" s="449"/>
      <c r="UZE79" s="450"/>
      <c r="UZF79" s="452"/>
      <c r="UZG79" s="448"/>
      <c r="UZH79" s="449"/>
      <c r="UZI79" s="450"/>
      <c r="UZJ79" s="447"/>
      <c r="UZK79" s="448"/>
      <c r="UZL79" s="457"/>
      <c r="UZM79" s="460"/>
      <c r="UZN79" s="450"/>
      <c r="UZO79" s="461"/>
      <c r="UZP79" s="448"/>
      <c r="UZQ79" s="456"/>
      <c r="UZR79" s="449"/>
      <c r="UZS79" s="450"/>
      <c r="UZT79" s="452"/>
      <c r="UZU79" s="448"/>
      <c r="UZV79" s="456"/>
      <c r="UZW79" s="458"/>
      <c r="UZX79" s="458"/>
      <c r="UZZ79" s="454"/>
      <c r="VAA79" s="450"/>
      <c r="VAB79" s="454"/>
      <c r="VAC79" s="448"/>
      <c r="VAD79" s="449"/>
      <c r="VAE79" s="450"/>
      <c r="VAF79" s="447"/>
      <c r="VAG79" s="448"/>
      <c r="VAH79" s="449"/>
      <c r="VAI79" s="450"/>
      <c r="VAJ79" s="447"/>
      <c r="VAK79" s="451"/>
      <c r="VAL79" s="449"/>
      <c r="VAM79" s="450"/>
      <c r="VAN79" s="447"/>
      <c r="VAO79" s="451"/>
      <c r="VAP79" s="449"/>
      <c r="VAQ79" s="450"/>
      <c r="VAR79" s="447"/>
      <c r="VAS79" s="451"/>
      <c r="VAT79" s="449"/>
      <c r="VAU79" s="450"/>
      <c r="VAV79" s="452"/>
      <c r="VAW79" s="451"/>
      <c r="VAX79" s="449"/>
      <c r="VAY79" s="450"/>
      <c r="VAZ79" s="447"/>
      <c r="VBA79" s="448"/>
      <c r="VBB79" s="453"/>
      <c r="VBC79" s="449"/>
      <c r="VBD79" s="450"/>
      <c r="VBE79" s="454"/>
      <c r="VBF79" s="448"/>
      <c r="VBH79" s="449"/>
      <c r="VBI79" s="450"/>
      <c r="VBJ79" s="452"/>
      <c r="VBK79" s="448"/>
      <c r="VBM79" s="449"/>
      <c r="VBN79" s="450"/>
      <c r="VBO79" s="447"/>
      <c r="VBP79" s="448"/>
      <c r="VBR79" s="449"/>
      <c r="VBS79" s="450"/>
      <c r="VBT79" s="452"/>
      <c r="VBU79" s="448"/>
      <c r="VBV79" s="449"/>
      <c r="VBW79" s="450"/>
      <c r="VBX79" s="452"/>
      <c r="VBY79" s="448"/>
      <c r="VBZ79" s="455"/>
      <c r="VCA79" s="449"/>
      <c r="VCB79" s="450"/>
      <c r="VCC79" s="459"/>
      <c r="VCD79" s="448"/>
      <c r="VCE79" s="456"/>
      <c r="VCF79" s="449"/>
      <c r="VCG79" s="450"/>
      <c r="VCH79" s="452"/>
      <c r="VCI79" s="448"/>
      <c r="VCJ79" s="449"/>
      <c r="VCK79" s="450"/>
      <c r="VCL79" s="452"/>
      <c r="VCM79" s="448"/>
      <c r="VCN79" s="449"/>
      <c r="VCO79" s="450"/>
      <c r="VCP79" s="447"/>
      <c r="VCQ79" s="448"/>
      <c r="VCR79" s="457"/>
      <c r="VCS79" s="460"/>
      <c r="VCT79" s="450"/>
      <c r="VCU79" s="461"/>
      <c r="VCV79" s="448"/>
      <c r="VCW79" s="456"/>
      <c r="VCX79" s="449"/>
      <c r="VCY79" s="450"/>
      <c r="VCZ79" s="452"/>
      <c r="VDA79" s="448"/>
      <c r="VDB79" s="456"/>
      <c r="VDC79" s="458"/>
      <c r="VDD79" s="458"/>
      <c r="VDF79" s="454"/>
      <c r="VDG79" s="450"/>
      <c r="VDH79" s="454"/>
      <c r="VDI79" s="448"/>
      <c r="VDJ79" s="449"/>
      <c r="VDK79" s="450"/>
      <c r="VDL79" s="447"/>
      <c r="VDM79" s="448"/>
      <c r="VDN79" s="449"/>
      <c r="VDO79" s="450"/>
      <c r="VDP79" s="447"/>
      <c r="VDQ79" s="451"/>
      <c r="VDR79" s="449"/>
      <c r="VDS79" s="450"/>
      <c r="VDT79" s="447"/>
      <c r="VDU79" s="451"/>
      <c r="VDV79" s="449"/>
      <c r="VDW79" s="450"/>
      <c r="VDX79" s="447"/>
      <c r="VDY79" s="451"/>
      <c r="VDZ79" s="449"/>
      <c r="VEA79" s="450"/>
      <c r="VEB79" s="452"/>
      <c r="VEC79" s="451"/>
      <c r="VED79" s="449"/>
      <c r="VEE79" s="450"/>
      <c r="VEF79" s="447"/>
      <c r="VEG79" s="448"/>
      <c r="VEH79" s="453"/>
      <c r="VEI79" s="449"/>
      <c r="VEJ79" s="450"/>
      <c r="VEK79" s="454"/>
      <c r="VEL79" s="448"/>
      <c r="VEN79" s="449"/>
      <c r="VEO79" s="450"/>
      <c r="VEP79" s="452"/>
      <c r="VEQ79" s="448"/>
      <c r="VES79" s="449"/>
      <c r="VET79" s="450"/>
      <c r="VEU79" s="447"/>
      <c r="VEV79" s="448"/>
      <c r="VEX79" s="449"/>
      <c r="VEY79" s="450"/>
      <c r="VEZ79" s="452"/>
      <c r="VFA79" s="448"/>
      <c r="VFB79" s="449"/>
      <c r="VFC79" s="450"/>
      <c r="VFD79" s="452"/>
      <c r="VFE79" s="448"/>
      <c r="VFF79" s="455"/>
      <c r="VFG79" s="449"/>
      <c r="VFH79" s="450"/>
      <c r="VFI79" s="459"/>
      <c r="VFJ79" s="448"/>
      <c r="VFK79" s="456"/>
      <c r="VFL79" s="449"/>
      <c r="VFM79" s="450"/>
      <c r="VFN79" s="452"/>
      <c r="VFO79" s="448"/>
      <c r="VFP79" s="449"/>
      <c r="VFQ79" s="450"/>
      <c r="VFR79" s="452"/>
      <c r="VFS79" s="448"/>
      <c r="VFT79" s="449"/>
      <c r="VFU79" s="450"/>
      <c r="VFV79" s="447"/>
      <c r="VFW79" s="448"/>
      <c r="VFX79" s="457"/>
      <c r="VFY79" s="460"/>
      <c r="VFZ79" s="450"/>
      <c r="VGA79" s="461"/>
      <c r="VGB79" s="448"/>
      <c r="VGC79" s="456"/>
      <c r="VGD79" s="449"/>
      <c r="VGE79" s="450"/>
      <c r="VGF79" s="452"/>
      <c r="VGG79" s="448"/>
      <c r="VGH79" s="456"/>
      <c r="VGI79" s="458"/>
      <c r="VGJ79" s="458"/>
      <c r="VGL79" s="454"/>
      <c r="VGM79" s="450"/>
      <c r="VGN79" s="454"/>
      <c r="VGO79" s="448"/>
      <c r="VGP79" s="449"/>
      <c r="VGQ79" s="450"/>
      <c r="VGR79" s="447"/>
      <c r="VGS79" s="448"/>
      <c r="VGT79" s="449"/>
      <c r="VGU79" s="450"/>
      <c r="VGV79" s="447"/>
      <c r="VGW79" s="451"/>
      <c r="VGX79" s="449"/>
      <c r="VGY79" s="450"/>
      <c r="VGZ79" s="447"/>
      <c r="VHA79" s="451"/>
      <c r="VHB79" s="449"/>
      <c r="VHC79" s="450"/>
      <c r="VHD79" s="447"/>
      <c r="VHE79" s="451"/>
      <c r="VHF79" s="449"/>
      <c r="VHG79" s="450"/>
      <c r="VHH79" s="452"/>
      <c r="VHI79" s="451"/>
      <c r="VHJ79" s="449"/>
      <c r="VHK79" s="450"/>
      <c r="VHL79" s="447"/>
      <c r="VHM79" s="448"/>
      <c r="VHN79" s="453"/>
      <c r="VHO79" s="449"/>
      <c r="VHP79" s="450"/>
      <c r="VHQ79" s="454"/>
      <c r="VHR79" s="448"/>
      <c r="VHT79" s="449"/>
      <c r="VHU79" s="450"/>
      <c r="VHV79" s="452"/>
      <c r="VHW79" s="448"/>
      <c r="VHY79" s="449"/>
      <c r="VHZ79" s="450"/>
      <c r="VIA79" s="447"/>
      <c r="VIB79" s="448"/>
      <c r="VID79" s="449"/>
      <c r="VIE79" s="450"/>
      <c r="VIF79" s="452"/>
      <c r="VIG79" s="448"/>
      <c r="VIH79" s="449"/>
      <c r="VII79" s="450"/>
      <c r="VIJ79" s="452"/>
      <c r="VIK79" s="448"/>
      <c r="VIL79" s="455"/>
      <c r="VIM79" s="449"/>
      <c r="VIN79" s="450"/>
      <c r="VIO79" s="459"/>
      <c r="VIP79" s="448"/>
      <c r="VIQ79" s="456"/>
      <c r="VIR79" s="449"/>
      <c r="VIS79" s="450"/>
      <c r="VIT79" s="452"/>
      <c r="VIU79" s="448"/>
      <c r="VIV79" s="449"/>
      <c r="VIW79" s="450"/>
      <c r="VIX79" s="452"/>
      <c r="VIY79" s="448"/>
      <c r="VIZ79" s="449"/>
      <c r="VJA79" s="450"/>
      <c r="VJB79" s="447"/>
      <c r="VJC79" s="448"/>
      <c r="VJD79" s="457"/>
      <c r="VJE79" s="460"/>
      <c r="VJF79" s="450"/>
      <c r="VJG79" s="461"/>
      <c r="VJH79" s="448"/>
      <c r="VJI79" s="456"/>
      <c r="VJJ79" s="449"/>
      <c r="VJK79" s="450"/>
      <c r="VJL79" s="452"/>
      <c r="VJM79" s="448"/>
      <c r="VJN79" s="456"/>
      <c r="VJO79" s="458"/>
      <c r="VJP79" s="458"/>
      <c r="VJR79" s="454"/>
      <c r="VJS79" s="450"/>
      <c r="VJT79" s="454"/>
      <c r="VJU79" s="448"/>
      <c r="VJV79" s="449"/>
      <c r="VJW79" s="450"/>
      <c r="VJX79" s="447"/>
      <c r="VJY79" s="448"/>
      <c r="VJZ79" s="449"/>
      <c r="VKA79" s="450"/>
      <c r="VKB79" s="447"/>
      <c r="VKC79" s="451"/>
      <c r="VKD79" s="449"/>
      <c r="VKE79" s="450"/>
      <c r="VKF79" s="447"/>
      <c r="VKG79" s="451"/>
      <c r="VKH79" s="449"/>
      <c r="VKI79" s="450"/>
      <c r="VKJ79" s="447"/>
      <c r="VKK79" s="451"/>
      <c r="VKL79" s="449"/>
      <c r="VKM79" s="450"/>
      <c r="VKN79" s="452"/>
      <c r="VKO79" s="451"/>
      <c r="VKP79" s="449"/>
      <c r="VKQ79" s="450"/>
      <c r="VKR79" s="447"/>
      <c r="VKS79" s="448"/>
      <c r="VKT79" s="453"/>
      <c r="VKU79" s="449"/>
      <c r="VKV79" s="450"/>
      <c r="VKW79" s="454"/>
      <c r="VKX79" s="448"/>
      <c r="VKZ79" s="449"/>
      <c r="VLA79" s="450"/>
      <c r="VLB79" s="452"/>
      <c r="VLC79" s="448"/>
      <c r="VLE79" s="449"/>
      <c r="VLF79" s="450"/>
      <c r="VLG79" s="447"/>
      <c r="VLH79" s="448"/>
      <c r="VLJ79" s="449"/>
      <c r="VLK79" s="450"/>
      <c r="VLL79" s="452"/>
      <c r="VLM79" s="448"/>
      <c r="VLN79" s="449"/>
      <c r="VLO79" s="450"/>
      <c r="VLP79" s="452"/>
      <c r="VLQ79" s="448"/>
      <c r="VLR79" s="455"/>
      <c r="VLS79" s="449"/>
      <c r="VLT79" s="450"/>
      <c r="VLU79" s="459"/>
      <c r="VLV79" s="448"/>
      <c r="VLW79" s="456"/>
      <c r="VLX79" s="449"/>
      <c r="VLY79" s="450"/>
      <c r="VLZ79" s="452"/>
      <c r="VMA79" s="448"/>
      <c r="VMB79" s="449"/>
      <c r="VMC79" s="450"/>
      <c r="VMD79" s="452"/>
      <c r="VME79" s="448"/>
      <c r="VMF79" s="449"/>
      <c r="VMG79" s="450"/>
      <c r="VMH79" s="447"/>
      <c r="VMI79" s="448"/>
      <c r="VMJ79" s="457"/>
      <c r="VMK79" s="460"/>
      <c r="VML79" s="450"/>
      <c r="VMM79" s="461"/>
      <c r="VMN79" s="448"/>
      <c r="VMO79" s="456"/>
      <c r="VMP79" s="449"/>
      <c r="VMQ79" s="450"/>
      <c r="VMR79" s="452"/>
      <c r="VMS79" s="448"/>
      <c r="VMT79" s="456"/>
      <c r="VMU79" s="458"/>
      <c r="VMV79" s="458"/>
      <c r="VMX79" s="454"/>
      <c r="VMY79" s="450"/>
      <c r="VMZ79" s="454"/>
      <c r="VNA79" s="448"/>
      <c r="VNB79" s="449"/>
      <c r="VNC79" s="450"/>
      <c r="VND79" s="447"/>
      <c r="VNE79" s="448"/>
      <c r="VNF79" s="449"/>
      <c r="VNG79" s="450"/>
      <c r="VNH79" s="447"/>
      <c r="VNI79" s="451"/>
      <c r="VNJ79" s="449"/>
      <c r="VNK79" s="450"/>
      <c r="VNL79" s="447"/>
      <c r="VNM79" s="451"/>
      <c r="VNN79" s="449"/>
      <c r="VNO79" s="450"/>
      <c r="VNP79" s="447"/>
      <c r="VNQ79" s="451"/>
      <c r="VNR79" s="449"/>
      <c r="VNS79" s="450"/>
      <c r="VNT79" s="452"/>
      <c r="VNU79" s="451"/>
      <c r="VNV79" s="449"/>
      <c r="VNW79" s="450"/>
      <c r="VNX79" s="447"/>
      <c r="VNY79" s="448"/>
      <c r="VNZ79" s="453"/>
      <c r="VOA79" s="449"/>
      <c r="VOB79" s="450"/>
      <c r="VOC79" s="454"/>
      <c r="VOD79" s="448"/>
      <c r="VOF79" s="449"/>
      <c r="VOG79" s="450"/>
      <c r="VOH79" s="452"/>
      <c r="VOI79" s="448"/>
      <c r="VOK79" s="449"/>
      <c r="VOL79" s="450"/>
      <c r="VOM79" s="447"/>
      <c r="VON79" s="448"/>
      <c r="VOP79" s="449"/>
      <c r="VOQ79" s="450"/>
      <c r="VOR79" s="452"/>
      <c r="VOS79" s="448"/>
      <c r="VOT79" s="449"/>
      <c r="VOU79" s="450"/>
      <c r="VOV79" s="452"/>
      <c r="VOW79" s="448"/>
      <c r="VOX79" s="455"/>
      <c r="VOY79" s="449"/>
      <c r="VOZ79" s="450"/>
      <c r="VPA79" s="459"/>
      <c r="VPB79" s="448"/>
      <c r="VPC79" s="456"/>
      <c r="VPD79" s="449"/>
      <c r="VPE79" s="450"/>
      <c r="VPF79" s="452"/>
      <c r="VPG79" s="448"/>
      <c r="VPH79" s="449"/>
      <c r="VPI79" s="450"/>
      <c r="VPJ79" s="452"/>
      <c r="VPK79" s="448"/>
      <c r="VPL79" s="449"/>
      <c r="VPM79" s="450"/>
      <c r="VPN79" s="447"/>
      <c r="VPO79" s="448"/>
      <c r="VPP79" s="457"/>
      <c r="VPQ79" s="460"/>
      <c r="VPR79" s="450"/>
      <c r="VPS79" s="461"/>
      <c r="VPT79" s="448"/>
      <c r="VPU79" s="456"/>
      <c r="VPV79" s="449"/>
      <c r="VPW79" s="450"/>
      <c r="VPX79" s="452"/>
      <c r="VPY79" s="448"/>
      <c r="VPZ79" s="456"/>
      <c r="VQA79" s="458"/>
      <c r="VQB79" s="458"/>
      <c r="VQD79" s="454"/>
      <c r="VQE79" s="450"/>
      <c r="VQF79" s="454"/>
      <c r="VQG79" s="448"/>
      <c r="VQH79" s="449"/>
      <c r="VQI79" s="450"/>
      <c r="VQJ79" s="447"/>
      <c r="VQK79" s="448"/>
      <c r="VQL79" s="449"/>
      <c r="VQM79" s="450"/>
      <c r="VQN79" s="447"/>
      <c r="VQO79" s="451"/>
      <c r="VQP79" s="449"/>
      <c r="VQQ79" s="450"/>
      <c r="VQR79" s="447"/>
      <c r="VQS79" s="451"/>
      <c r="VQT79" s="449"/>
      <c r="VQU79" s="450"/>
      <c r="VQV79" s="447"/>
      <c r="VQW79" s="451"/>
      <c r="VQX79" s="449"/>
      <c r="VQY79" s="450"/>
      <c r="VQZ79" s="452"/>
      <c r="VRA79" s="451"/>
      <c r="VRB79" s="449"/>
      <c r="VRC79" s="450"/>
      <c r="VRD79" s="447"/>
      <c r="VRE79" s="448"/>
      <c r="VRF79" s="453"/>
      <c r="VRG79" s="449"/>
      <c r="VRH79" s="450"/>
      <c r="VRI79" s="454"/>
      <c r="VRJ79" s="448"/>
      <c r="VRL79" s="449"/>
      <c r="VRM79" s="450"/>
      <c r="VRN79" s="452"/>
      <c r="VRO79" s="448"/>
      <c r="VRQ79" s="449"/>
      <c r="VRR79" s="450"/>
      <c r="VRS79" s="447"/>
      <c r="VRT79" s="448"/>
      <c r="VRV79" s="449"/>
      <c r="VRW79" s="450"/>
      <c r="VRX79" s="452"/>
      <c r="VRY79" s="448"/>
      <c r="VRZ79" s="449"/>
      <c r="VSA79" s="450"/>
      <c r="VSB79" s="452"/>
      <c r="VSC79" s="448"/>
      <c r="VSD79" s="455"/>
      <c r="VSE79" s="449"/>
      <c r="VSF79" s="450"/>
      <c r="VSG79" s="459"/>
      <c r="VSH79" s="448"/>
      <c r="VSI79" s="456"/>
      <c r="VSJ79" s="449"/>
      <c r="VSK79" s="450"/>
      <c r="VSL79" s="452"/>
      <c r="VSM79" s="448"/>
      <c r="VSN79" s="449"/>
      <c r="VSO79" s="450"/>
      <c r="VSP79" s="452"/>
      <c r="VSQ79" s="448"/>
      <c r="VSR79" s="449"/>
      <c r="VSS79" s="450"/>
      <c r="VST79" s="447"/>
      <c r="VSU79" s="448"/>
      <c r="VSV79" s="457"/>
      <c r="VSW79" s="460"/>
      <c r="VSX79" s="450"/>
      <c r="VSY79" s="461"/>
      <c r="VSZ79" s="448"/>
      <c r="VTA79" s="456"/>
      <c r="VTB79" s="449"/>
      <c r="VTC79" s="450"/>
      <c r="VTD79" s="452"/>
      <c r="VTE79" s="448"/>
      <c r="VTF79" s="456"/>
      <c r="VTG79" s="458"/>
      <c r="VTH79" s="458"/>
      <c r="VTJ79" s="454"/>
      <c r="VTK79" s="450"/>
      <c r="VTL79" s="454"/>
      <c r="VTM79" s="448"/>
      <c r="VTN79" s="449"/>
      <c r="VTO79" s="450"/>
      <c r="VTP79" s="447"/>
      <c r="VTQ79" s="448"/>
      <c r="VTR79" s="449"/>
      <c r="VTS79" s="450"/>
      <c r="VTT79" s="447"/>
      <c r="VTU79" s="451"/>
      <c r="VTV79" s="449"/>
      <c r="VTW79" s="450"/>
      <c r="VTX79" s="447"/>
      <c r="VTY79" s="451"/>
      <c r="VTZ79" s="449"/>
      <c r="VUA79" s="450"/>
      <c r="VUB79" s="447"/>
      <c r="VUC79" s="451"/>
      <c r="VUD79" s="449"/>
      <c r="VUE79" s="450"/>
      <c r="VUF79" s="452"/>
      <c r="VUG79" s="451"/>
      <c r="VUH79" s="449"/>
      <c r="VUI79" s="450"/>
      <c r="VUJ79" s="447"/>
      <c r="VUK79" s="448"/>
      <c r="VUL79" s="453"/>
      <c r="VUM79" s="449"/>
      <c r="VUN79" s="450"/>
      <c r="VUO79" s="454"/>
      <c r="VUP79" s="448"/>
      <c r="VUR79" s="449"/>
      <c r="VUS79" s="450"/>
      <c r="VUT79" s="452"/>
      <c r="VUU79" s="448"/>
      <c r="VUW79" s="449"/>
      <c r="VUX79" s="450"/>
      <c r="VUY79" s="447"/>
      <c r="VUZ79" s="448"/>
      <c r="VVB79" s="449"/>
      <c r="VVC79" s="450"/>
      <c r="VVD79" s="452"/>
      <c r="VVE79" s="448"/>
      <c r="VVF79" s="449"/>
      <c r="VVG79" s="450"/>
      <c r="VVH79" s="452"/>
      <c r="VVI79" s="448"/>
      <c r="VVJ79" s="455"/>
      <c r="VVK79" s="449"/>
      <c r="VVL79" s="450"/>
      <c r="VVM79" s="459"/>
      <c r="VVN79" s="448"/>
      <c r="VVO79" s="456"/>
      <c r="VVP79" s="449"/>
      <c r="VVQ79" s="450"/>
      <c r="VVR79" s="452"/>
      <c r="VVS79" s="448"/>
      <c r="VVT79" s="449"/>
      <c r="VVU79" s="450"/>
      <c r="VVV79" s="452"/>
      <c r="VVW79" s="448"/>
      <c r="VVX79" s="449"/>
      <c r="VVY79" s="450"/>
      <c r="VVZ79" s="447"/>
      <c r="VWA79" s="448"/>
      <c r="VWB79" s="457"/>
      <c r="VWC79" s="460"/>
      <c r="VWD79" s="450"/>
      <c r="VWE79" s="461"/>
      <c r="VWF79" s="448"/>
      <c r="VWG79" s="456"/>
      <c r="VWH79" s="449"/>
      <c r="VWI79" s="450"/>
      <c r="VWJ79" s="452"/>
      <c r="VWK79" s="448"/>
      <c r="VWL79" s="456"/>
      <c r="VWM79" s="458"/>
      <c r="VWN79" s="458"/>
      <c r="VWP79" s="454"/>
      <c r="VWQ79" s="450"/>
      <c r="VWR79" s="454"/>
      <c r="VWS79" s="448"/>
      <c r="VWT79" s="449"/>
      <c r="VWU79" s="450"/>
      <c r="VWV79" s="447"/>
      <c r="VWW79" s="448"/>
      <c r="VWX79" s="449"/>
      <c r="VWY79" s="450"/>
      <c r="VWZ79" s="447"/>
      <c r="VXA79" s="451"/>
      <c r="VXB79" s="449"/>
      <c r="VXC79" s="450"/>
      <c r="VXD79" s="447"/>
      <c r="VXE79" s="451"/>
      <c r="VXF79" s="449"/>
      <c r="VXG79" s="450"/>
      <c r="VXH79" s="447"/>
      <c r="VXI79" s="451"/>
      <c r="VXJ79" s="449"/>
      <c r="VXK79" s="450"/>
      <c r="VXL79" s="452"/>
      <c r="VXM79" s="451"/>
      <c r="VXN79" s="449"/>
      <c r="VXO79" s="450"/>
      <c r="VXP79" s="447"/>
      <c r="VXQ79" s="448"/>
      <c r="VXR79" s="453"/>
      <c r="VXS79" s="449"/>
      <c r="VXT79" s="450"/>
      <c r="VXU79" s="454"/>
      <c r="VXV79" s="448"/>
      <c r="VXX79" s="449"/>
      <c r="VXY79" s="450"/>
      <c r="VXZ79" s="452"/>
      <c r="VYA79" s="448"/>
      <c r="VYC79" s="449"/>
      <c r="VYD79" s="450"/>
      <c r="VYE79" s="447"/>
      <c r="VYF79" s="448"/>
      <c r="VYH79" s="449"/>
      <c r="VYI79" s="450"/>
      <c r="VYJ79" s="452"/>
      <c r="VYK79" s="448"/>
      <c r="VYL79" s="449"/>
      <c r="VYM79" s="450"/>
      <c r="VYN79" s="452"/>
      <c r="VYO79" s="448"/>
      <c r="VYP79" s="455"/>
      <c r="VYQ79" s="449"/>
      <c r="VYR79" s="450"/>
      <c r="VYS79" s="459"/>
      <c r="VYT79" s="448"/>
      <c r="VYU79" s="456"/>
      <c r="VYV79" s="449"/>
      <c r="VYW79" s="450"/>
      <c r="VYX79" s="452"/>
      <c r="VYY79" s="448"/>
      <c r="VYZ79" s="449"/>
      <c r="VZA79" s="450"/>
      <c r="VZB79" s="452"/>
      <c r="VZC79" s="448"/>
      <c r="VZD79" s="449"/>
      <c r="VZE79" s="450"/>
      <c r="VZF79" s="447"/>
      <c r="VZG79" s="448"/>
      <c r="VZH79" s="457"/>
      <c r="VZI79" s="460"/>
      <c r="VZJ79" s="450"/>
      <c r="VZK79" s="461"/>
      <c r="VZL79" s="448"/>
      <c r="VZM79" s="456"/>
      <c r="VZN79" s="449"/>
      <c r="VZO79" s="450"/>
      <c r="VZP79" s="452"/>
      <c r="VZQ79" s="448"/>
      <c r="VZR79" s="456"/>
      <c r="VZS79" s="458"/>
      <c r="VZT79" s="458"/>
      <c r="VZV79" s="454"/>
      <c r="VZW79" s="450"/>
      <c r="VZX79" s="454"/>
      <c r="VZY79" s="448"/>
      <c r="VZZ79" s="449"/>
      <c r="WAA79" s="450"/>
      <c r="WAB79" s="447"/>
      <c r="WAC79" s="448"/>
      <c r="WAD79" s="449"/>
      <c r="WAE79" s="450"/>
      <c r="WAF79" s="447"/>
      <c r="WAG79" s="451"/>
      <c r="WAH79" s="449"/>
      <c r="WAI79" s="450"/>
      <c r="WAJ79" s="447"/>
      <c r="WAK79" s="451"/>
      <c r="WAL79" s="449"/>
      <c r="WAM79" s="450"/>
      <c r="WAN79" s="447"/>
      <c r="WAO79" s="451"/>
      <c r="WAP79" s="449"/>
      <c r="WAQ79" s="450"/>
      <c r="WAR79" s="452"/>
      <c r="WAS79" s="451"/>
      <c r="WAT79" s="449"/>
      <c r="WAU79" s="450"/>
      <c r="WAV79" s="447"/>
      <c r="WAW79" s="448"/>
      <c r="WAX79" s="453"/>
      <c r="WAY79" s="449"/>
      <c r="WAZ79" s="450"/>
      <c r="WBA79" s="454"/>
      <c r="WBB79" s="448"/>
      <c r="WBD79" s="449"/>
      <c r="WBE79" s="450"/>
      <c r="WBF79" s="452"/>
      <c r="WBG79" s="448"/>
      <c r="WBI79" s="449"/>
      <c r="WBJ79" s="450"/>
      <c r="WBK79" s="447"/>
      <c r="WBL79" s="448"/>
      <c r="WBN79" s="449"/>
      <c r="WBO79" s="450"/>
      <c r="WBP79" s="452"/>
      <c r="WBQ79" s="448"/>
      <c r="WBR79" s="449"/>
      <c r="WBS79" s="450"/>
      <c r="WBT79" s="452"/>
      <c r="WBU79" s="448"/>
      <c r="WBV79" s="455"/>
      <c r="WBW79" s="449"/>
      <c r="WBX79" s="450"/>
      <c r="WBY79" s="459"/>
      <c r="WBZ79" s="448"/>
      <c r="WCA79" s="456"/>
      <c r="WCB79" s="449"/>
      <c r="WCC79" s="450"/>
      <c r="WCD79" s="452"/>
      <c r="WCE79" s="448"/>
      <c r="WCF79" s="449"/>
      <c r="WCG79" s="450"/>
      <c r="WCH79" s="452"/>
      <c r="WCI79" s="448"/>
      <c r="WCJ79" s="449"/>
      <c r="WCK79" s="450"/>
      <c r="WCL79" s="447"/>
      <c r="WCM79" s="448"/>
      <c r="WCN79" s="457"/>
      <c r="WCO79" s="460"/>
      <c r="WCP79" s="450"/>
      <c r="WCQ79" s="461"/>
      <c r="WCR79" s="448"/>
      <c r="WCS79" s="456"/>
      <c r="WCT79" s="449"/>
      <c r="WCU79" s="450"/>
      <c r="WCV79" s="452"/>
      <c r="WCW79" s="448"/>
      <c r="WCX79" s="456"/>
      <c r="WCY79" s="458"/>
      <c r="WCZ79" s="458"/>
      <c r="WDB79" s="454"/>
      <c r="WDC79" s="450"/>
      <c r="WDD79" s="454"/>
      <c r="WDE79" s="448"/>
      <c r="WDF79" s="449"/>
      <c r="WDG79" s="450"/>
      <c r="WDH79" s="447"/>
      <c r="WDI79" s="448"/>
      <c r="WDJ79" s="449"/>
      <c r="WDK79" s="450"/>
      <c r="WDL79" s="447"/>
      <c r="WDM79" s="451"/>
      <c r="WDN79" s="449"/>
      <c r="WDO79" s="450"/>
      <c r="WDP79" s="447"/>
      <c r="WDQ79" s="451"/>
      <c r="WDR79" s="449"/>
      <c r="WDS79" s="450"/>
      <c r="WDT79" s="447"/>
      <c r="WDU79" s="451"/>
      <c r="WDV79" s="449"/>
      <c r="WDW79" s="450"/>
      <c r="WDX79" s="452"/>
      <c r="WDY79" s="451"/>
      <c r="WDZ79" s="449"/>
      <c r="WEA79" s="450"/>
      <c r="WEB79" s="447"/>
      <c r="WEC79" s="448"/>
      <c r="WED79" s="453"/>
      <c r="WEE79" s="449"/>
      <c r="WEF79" s="450"/>
      <c r="WEG79" s="454"/>
      <c r="WEH79" s="448"/>
      <c r="WEJ79" s="449"/>
      <c r="WEK79" s="450"/>
      <c r="WEL79" s="452"/>
      <c r="WEM79" s="448"/>
      <c r="WEO79" s="449"/>
      <c r="WEP79" s="450"/>
      <c r="WEQ79" s="447"/>
      <c r="WER79" s="448"/>
      <c r="WET79" s="449"/>
      <c r="WEU79" s="450"/>
      <c r="WEV79" s="452"/>
      <c r="WEW79" s="448"/>
      <c r="WEX79" s="449"/>
      <c r="WEY79" s="450"/>
      <c r="WEZ79" s="452"/>
      <c r="WFA79" s="448"/>
      <c r="WFB79" s="455"/>
      <c r="WFC79" s="449"/>
      <c r="WFD79" s="450"/>
      <c r="WFE79" s="459"/>
      <c r="WFF79" s="448"/>
      <c r="WFG79" s="456"/>
      <c r="WFH79" s="449"/>
      <c r="WFI79" s="450"/>
      <c r="WFJ79" s="452"/>
      <c r="WFK79" s="448"/>
      <c r="WFL79" s="449"/>
      <c r="WFM79" s="450"/>
      <c r="WFN79" s="452"/>
      <c r="WFO79" s="448"/>
      <c r="WFP79" s="449"/>
      <c r="WFQ79" s="450"/>
      <c r="WFR79" s="447"/>
      <c r="WFS79" s="448"/>
      <c r="WFT79" s="457"/>
      <c r="WFU79" s="460"/>
      <c r="WFV79" s="450"/>
      <c r="WFW79" s="461"/>
      <c r="WFX79" s="448"/>
      <c r="WFY79" s="456"/>
      <c r="WFZ79" s="449"/>
      <c r="WGA79" s="450"/>
      <c r="WGB79" s="452"/>
      <c r="WGC79" s="448"/>
      <c r="WGD79" s="456"/>
      <c r="WGE79" s="458"/>
      <c r="WGF79" s="458"/>
      <c r="WGH79" s="454"/>
      <c r="WGI79" s="450"/>
      <c r="WGJ79" s="454"/>
      <c r="WGK79" s="448"/>
      <c r="WGL79" s="449"/>
      <c r="WGM79" s="450"/>
      <c r="WGN79" s="447"/>
      <c r="WGO79" s="448"/>
      <c r="WGP79" s="449"/>
      <c r="WGQ79" s="450"/>
      <c r="WGR79" s="447"/>
      <c r="WGS79" s="451"/>
      <c r="WGT79" s="449"/>
      <c r="WGU79" s="450"/>
      <c r="WGV79" s="447"/>
      <c r="WGW79" s="451"/>
      <c r="WGX79" s="449"/>
      <c r="WGY79" s="450"/>
      <c r="WGZ79" s="447"/>
      <c r="WHA79" s="451"/>
      <c r="WHB79" s="449"/>
      <c r="WHC79" s="450"/>
      <c r="WHD79" s="452"/>
      <c r="WHE79" s="451"/>
      <c r="WHF79" s="449"/>
      <c r="WHG79" s="450"/>
      <c r="WHH79" s="447"/>
      <c r="WHI79" s="448"/>
      <c r="WHJ79" s="453"/>
      <c r="WHK79" s="449"/>
      <c r="WHL79" s="450"/>
      <c r="WHM79" s="454"/>
      <c r="WHN79" s="448"/>
      <c r="WHP79" s="449"/>
      <c r="WHQ79" s="450"/>
      <c r="WHR79" s="452"/>
      <c r="WHS79" s="448"/>
      <c r="WHU79" s="449"/>
      <c r="WHV79" s="450"/>
      <c r="WHW79" s="447"/>
      <c r="WHX79" s="448"/>
      <c r="WHZ79" s="449"/>
      <c r="WIA79" s="450"/>
      <c r="WIB79" s="452"/>
      <c r="WIC79" s="448"/>
      <c r="WID79" s="449"/>
      <c r="WIE79" s="450"/>
      <c r="WIF79" s="452"/>
      <c r="WIG79" s="448"/>
      <c r="WIH79" s="455"/>
      <c r="WII79" s="449"/>
      <c r="WIJ79" s="450"/>
      <c r="WIK79" s="459"/>
      <c r="WIL79" s="448"/>
      <c r="WIM79" s="456"/>
      <c r="WIN79" s="449"/>
      <c r="WIO79" s="450"/>
      <c r="WIP79" s="452"/>
      <c r="WIQ79" s="448"/>
      <c r="WIR79" s="449"/>
      <c r="WIS79" s="450"/>
      <c r="WIT79" s="452"/>
      <c r="WIU79" s="448"/>
      <c r="WIV79" s="449"/>
      <c r="WIW79" s="450"/>
      <c r="WIX79" s="447"/>
      <c r="WIY79" s="448"/>
      <c r="WIZ79" s="457"/>
      <c r="WJA79" s="460"/>
      <c r="WJB79" s="450"/>
      <c r="WJC79" s="461"/>
      <c r="WJD79" s="448"/>
      <c r="WJE79" s="456"/>
      <c r="WJF79" s="449"/>
      <c r="WJG79" s="450"/>
      <c r="WJH79" s="452"/>
      <c r="WJI79" s="448"/>
      <c r="WJJ79" s="456"/>
      <c r="WJK79" s="458"/>
      <c r="WJL79" s="458"/>
      <c r="WJN79" s="454"/>
      <c r="WJO79" s="450"/>
      <c r="WJP79" s="454"/>
      <c r="WJQ79" s="448"/>
      <c r="WJR79" s="449"/>
      <c r="WJS79" s="450"/>
      <c r="WJT79" s="447"/>
      <c r="WJU79" s="448"/>
      <c r="WJV79" s="449"/>
      <c r="WJW79" s="450"/>
      <c r="WJX79" s="447"/>
      <c r="WJY79" s="451"/>
      <c r="WJZ79" s="449"/>
      <c r="WKA79" s="450"/>
      <c r="WKB79" s="447"/>
      <c r="WKC79" s="451"/>
      <c r="WKD79" s="449"/>
      <c r="WKE79" s="450"/>
      <c r="WKF79" s="447"/>
      <c r="WKG79" s="451"/>
      <c r="WKH79" s="449"/>
      <c r="WKI79" s="450"/>
      <c r="WKJ79" s="452"/>
      <c r="WKK79" s="451"/>
      <c r="WKL79" s="449"/>
      <c r="WKM79" s="450"/>
      <c r="WKN79" s="447"/>
      <c r="WKO79" s="448"/>
      <c r="WKP79" s="453"/>
      <c r="WKQ79" s="449"/>
      <c r="WKR79" s="450"/>
      <c r="WKS79" s="454"/>
      <c r="WKT79" s="448"/>
      <c r="WKV79" s="449"/>
      <c r="WKW79" s="450"/>
      <c r="WKX79" s="452"/>
      <c r="WKY79" s="448"/>
      <c r="WLA79" s="449"/>
      <c r="WLB79" s="450"/>
      <c r="WLC79" s="447"/>
      <c r="WLD79" s="448"/>
      <c r="WLF79" s="449"/>
      <c r="WLG79" s="450"/>
      <c r="WLH79" s="452"/>
      <c r="WLI79" s="448"/>
      <c r="WLJ79" s="449"/>
      <c r="WLK79" s="450"/>
      <c r="WLL79" s="452"/>
      <c r="WLM79" s="448"/>
      <c r="WLN79" s="455"/>
      <c r="WLO79" s="449"/>
      <c r="WLP79" s="450"/>
      <c r="WLQ79" s="459"/>
      <c r="WLR79" s="448"/>
      <c r="WLS79" s="456"/>
      <c r="WLT79" s="449"/>
      <c r="WLU79" s="450"/>
      <c r="WLV79" s="452"/>
      <c r="WLW79" s="448"/>
      <c r="WLX79" s="449"/>
      <c r="WLY79" s="450"/>
      <c r="WLZ79" s="452"/>
      <c r="WMA79" s="448"/>
      <c r="WMB79" s="449"/>
      <c r="WMC79" s="450"/>
      <c r="WMD79" s="447"/>
      <c r="WME79" s="448"/>
      <c r="WMF79" s="457"/>
      <c r="WMG79" s="460"/>
      <c r="WMH79" s="450"/>
      <c r="WMI79" s="461"/>
      <c r="WMJ79" s="448"/>
      <c r="WMK79" s="456"/>
      <c r="WML79" s="449"/>
      <c r="WMM79" s="450"/>
      <c r="WMN79" s="452"/>
      <c r="WMO79" s="448"/>
      <c r="WMP79" s="456"/>
      <c r="WMQ79" s="458"/>
      <c r="WMR79" s="458"/>
      <c r="WMT79" s="454"/>
      <c r="WMU79" s="450"/>
      <c r="WMV79" s="454"/>
      <c r="WMW79" s="448"/>
      <c r="WMX79" s="449"/>
      <c r="WMY79" s="450"/>
      <c r="WMZ79" s="447"/>
      <c r="WNA79" s="448"/>
      <c r="WNB79" s="449"/>
      <c r="WNC79" s="450"/>
      <c r="WND79" s="447"/>
      <c r="WNE79" s="451"/>
      <c r="WNF79" s="449"/>
      <c r="WNG79" s="450"/>
      <c r="WNH79" s="447"/>
      <c r="WNI79" s="451"/>
      <c r="WNJ79" s="449"/>
      <c r="WNK79" s="450"/>
      <c r="WNL79" s="447"/>
      <c r="WNM79" s="451"/>
      <c r="WNN79" s="449"/>
      <c r="WNO79" s="450"/>
      <c r="WNP79" s="452"/>
      <c r="WNQ79" s="451"/>
      <c r="WNR79" s="449"/>
      <c r="WNS79" s="450"/>
      <c r="WNT79" s="447"/>
      <c r="WNU79" s="448"/>
      <c r="WNV79" s="453"/>
      <c r="WNW79" s="449"/>
      <c r="WNX79" s="450"/>
      <c r="WNY79" s="454"/>
      <c r="WNZ79" s="448"/>
      <c r="WOB79" s="449"/>
      <c r="WOC79" s="450"/>
      <c r="WOD79" s="452"/>
      <c r="WOE79" s="448"/>
      <c r="WOG79" s="449"/>
      <c r="WOH79" s="450"/>
      <c r="WOI79" s="447"/>
      <c r="WOJ79" s="448"/>
      <c r="WOL79" s="449"/>
      <c r="WOM79" s="450"/>
      <c r="WON79" s="452"/>
      <c r="WOO79" s="448"/>
      <c r="WOP79" s="449"/>
      <c r="WOQ79" s="450"/>
      <c r="WOR79" s="452"/>
      <c r="WOS79" s="448"/>
      <c r="WOT79" s="455"/>
      <c r="WOU79" s="449"/>
      <c r="WOV79" s="450"/>
      <c r="WOW79" s="459"/>
      <c r="WOX79" s="448"/>
      <c r="WOY79" s="456"/>
      <c r="WOZ79" s="449"/>
      <c r="WPA79" s="450"/>
      <c r="WPB79" s="452"/>
      <c r="WPC79" s="448"/>
      <c r="WPD79" s="449"/>
      <c r="WPE79" s="450"/>
      <c r="WPF79" s="452"/>
      <c r="WPG79" s="448"/>
      <c r="WPH79" s="449"/>
      <c r="WPI79" s="450"/>
      <c r="WPJ79" s="447"/>
      <c r="WPK79" s="448"/>
      <c r="WPL79" s="457"/>
      <c r="WPM79" s="460"/>
      <c r="WPN79" s="450"/>
      <c r="WPO79" s="461"/>
      <c r="WPP79" s="448"/>
      <c r="WPQ79" s="456"/>
      <c r="WPR79" s="449"/>
      <c r="WPS79" s="450"/>
      <c r="WPT79" s="452"/>
      <c r="WPU79" s="448"/>
      <c r="WPV79" s="456"/>
      <c r="WPW79" s="458"/>
      <c r="WPX79" s="458"/>
      <c r="WPZ79" s="454"/>
      <c r="WQA79" s="450"/>
      <c r="WQB79" s="454"/>
      <c r="WQC79" s="448"/>
      <c r="WQD79" s="449"/>
      <c r="WQE79" s="450"/>
      <c r="WQF79" s="447"/>
      <c r="WQG79" s="448"/>
      <c r="WQH79" s="449"/>
      <c r="WQI79" s="450"/>
      <c r="WQJ79" s="447"/>
      <c r="WQK79" s="451"/>
      <c r="WQL79" s="449"/>
      <c r="WQM79" s="450"/>
      <c r="WQN79" s="447"/>
      <c r="WQO79" s="451"/>
      <c r="WQP79" s="449"/>
      <c r="WQQ79" s="450"/>
      <c r="WQR79" s="447"/>
      <c r="WQS79" s="451"/>
      <c r="WQT79" s="449"/>
      <c r="WQU79" s="450"/>
      <c r="WQV79" s="452"/>
      <c r="WQW79" s="451"/>
      <c r="WQX79" s="449"/>
      <c r="WQY79" s="450"/>
      <c r="WQZ79" s="447"/>
      <c r="WRA79" s="448"/>
      <c r="WRB79" s="453"/>
      <c r="WRC79" s="449"/>
      <c r="WRD79" s="450"/>
      <c r="WRE79" s="454"/>
      <c r="WRF79" s="448"/>
      <c r="WRH79" s="449"/>
      <c r="WRI79" s="450"/>
      <c r="WRJ79" s="452"/>
      <c r="WRK79" s="448"/>
      <c r="WRM79" s="449"/>
      <c r="WRN79" s="450"/>
      <c r="WRO79" s="447"/>
      <c r="WRP79" s="448"/>
      <c r="WRR79" s="449"/>
      <c r="WRS79" s="450"/>
      <c r="WRT79" s="452"/>
      <c r="WRU79" s="448"/>
      <c r="WRV79" s="449"/>
      <c r="WRW79" s="450"/>
      <c r="WRX79" s="452"/>
      <c r="WRY79" s="448"/>
      <c r="WRZ79" s="455"/>
      <c r="WSA79" s="449"/>
      <c r="WSB79" s="450"/>
      <c r="WSC79" s="459"/>
      <c r="WSD79" s="448"/>
      <c r="WSE79" s="456"/>
      <c r="WSF79" s="449"/>
      <c r="WSG79" s="450"/>
      <c r="WSH79" s="452"/>
      <c r="WSI79" s="448"/>
      <c r="WSJ79" s="449"/>
      <c r="WSK79" s="450"/>
      <c r="WSL79" s="452"/>
      <c r="WSM79" s="448"/>
      <c r="WSN79" s="449"/>
      <c r="WSO79" s="450"/>
      <c r="WSP79" s="447"/>
      <c r="WSQ79" s="448"/>
      <c r="WSR79" s="457"/>
      <c r="WSS79" s="460"/>
      <c r="WST79" s="450"/>
      <c r="WSU79" s="461"/>
      <c r="WSV79" s="448"/>
      <c r="WSW79" s="456"/>
      <c r="WSX79" s="449"/>
      <c r="WSY79" s="450"/>
      <c r="WSZ79" s="452"/>
      <c r="WTA79" s="448"/>
      <c r="WTB79" s="456"/>
      <c r="WTC79" s="458"/>
      <c r="WTD79" s="458"/>
      <c r="WTF79" s="454"/>
      <c r="WTG79" s="450"/>
      <c r="WTH79" s="454"/>
      <c r="WTI79" s="448"/>
      <c r="WTJ79" s="449"/>
      <c r="WTK79" s="450"/>
      <c r="WTL79" s="447"/>
      <c r="WTM79" s="448"/>
      <c r="WTN79" s="449"/>
      <c r="WTO79" s="450"/>
      <c r="WTP79" s="447"/>
      <c r="WTQ79" s="451"/>
      <c r="WTR79" s="449"/>
      <c r="WTS79" s="450"/>
      <c r="WTT79" s="447"/>
      <c r="WTU79" s="451"/>
      <c r="WTV79" s="449"/>
      <c r="WTW79" s="450"/>
      <c r="WTX79" s="447"/>
      <c r="WTY79" s="451"/>
      <c r="WTZ79" s="449"/>
      <c r="WUA79" s="450"/>
      <c r="WUB79" s="452"/>
      <c r="WUC79" s="451"/>
      <c r="WUD79" s="449"/>
      <c r="WUE79" s="450"/>
      <c r="WUF79" s="447"/>
      <c r="WUG79" s="448"/>
      <c r="WUH79" s="453"/>
      <c r="WUI79" s="449"/>
      <c r="WUJ79" s="450"/>
      <c r="WUK79" s="454"/>
      <c r="WUL79" s="448"/>
      <c r="WUN79" s="449"/>
      <c r="WUO79" s="450"/>
      <c r="WUP79" s="452"/>
      <c r="WUQ79" s="448"/>
      <c r="WUS79" s="449"/>
      <c r="WUT79" s="450"/>
      <c r="WUU79" s="447"/>
      <c r="WUV79" s="448"/>
      <c r="WUX79" s="449"/>
      <c r="WUY79" s="450"/>
      <c r="WUZ79" s="452"/>
      <c r="WVA79" s="448"/>
      <c r="WVB79" s="449"/>
      <c r="WVC79" s="450"/>
      <c r="WVD79" s="452"/>
      <c r="WVE79" s="448"/>
      <c r="WVF79" s="455"/>
      <c r="WVG79" s="449"/>
      <c r="WVH79" s="450"/>
      <c r="WVI79" s="459"/>
      <c r="WVJ79" s="448"/>
      <c r="WVK79" s="456"/>
      <c r="WVL79" s="449"/>
      <c r="WVM79" s="450"/>
      <c r="WVN79" s="452"/>
      <c r="WVO79" s="448"/>
      <c r="WVP79" s="449"/>
      <c r="WVQ79" s="450"/>
      <c r="WVR79" s="452"/>
      <c r="WVS79" s="448"/>
      <c r="WVT79" s="449"/>
      <c r="WVU79" s="450"/>
      <c r="WVV79" s="447"/>
      <c r="WVW79" s="448"/>
      <c r="WVX79" s="457"/>
      <c r="WVY79" s="460"/>
      <c r="WVZ79" s="450"/>
      <c r="WWA79" s="461"/>
      <c r="WWB79" s="448"/>
      <c r="WWC79" s="456"/>
      <c r="WWD79" s="449"/>
      <c r="WWE79" s="450"/>
      <c r="WWF79" s="452"/>
      <c r="WWG79" s="448"/>
      <c r="WWH79" s="456"/>
      <c r="WWI79" s="458"/>
      <c r="WWJ79" s="458"/>
      <c r="WWL79" s="454"/>
      <c r="WWM79" s="450"/>
      <c r="WWN79" s="454"/>
      <c r="WWO79" s="448"/>
      <c r="WWP79" s="449"/>
      <c r="WWQ79" s="450"/>
      <c r="WWR79" s="447"/>
      <c r="WWS79" s="448"/>
      <c r="WWT79" s="449"/>
      <c r="WWU79" s="450"/>
      <c r="WWV79" s="447"/>
      <c r="WWW79" s="451"/>
      <c r="WWX79" s="449"/>
      <c r="WWY79" s="450"/>
      <c r="WWZ79" s="447"/>
      <c r="WXA79" s="451"/>
      <c r="WXB79" s="449"/>
      <c r="WXC79" s="450"/>
      <c r="WXD79" s="447"/>
      <c r="WXE79" s="451"/>
      <c r="WXF79" s="449"/>
      <c r="WXG79" s="450"/>
      <c r="WXH79" s="452"/>
      <c r="WXI79" s="451"/>
      <c r="WXJ79" s="449"/>
      <c r="WXK79" s="450"/>
      <c r="WXL79" s="447"/>
      <c r="WXM79" s="448"/>
      <c r="WXN79" s="453"/>
      <c r="WXO79" s="449"/>
      <c r="WXP79" s="450"/>
      <c r="WXQ79" s="454"/>
      <c r="WXR79" s="448"/>
      <c r="WXT79" s="449"/>
      <c r="WXU79" s="450"/>
      <c r="WXV79" s="452"/>
      <c r="WXW79" s="448"/>
      <c r="WXY79" s="449"/>
      <c r="WXZ79" s="450"/>
      <c r="WYA79" s="447"/>
      <c r="WYB79" s="448"/>
      <c r="WYD79" s="449"/>
      <c r="WYE79" s="450"/>
      <c r="WYF79" s="452"/>
      <c r="WYG79" s="448"/>
      <c r="WYH79" s="449"/>
      <c r="WYI79" s="450"/>
      <c r="WYJ79" s="452"/>
      <c r="WYK79" s="448"/>
      <c r="WYL79" s="455"/>
      <c r="WYM79" s="449"/>
      <c r="WYN79" s="450"/>
      <c r="WYO79" s="459"/>
      <c r="WYP79" s="448"/>
      <c r="WYQ79" s="456"/>
      <c r="WYR79" s="449"/>
      <c r="WYS79" s="450"/>
      <c r="WYT79" s="452"/>
      <c r="WYU79" s="448"/>
      <c r="WYV79" s="449"/>
      <c r="WYW79" s="450"/>
      <c r="WYX79" s="452"/>
      <c r="WYY79" s="448"/>
      <c r="WYZ79" s="449"/>
      <c r="WZA79" s="450"/>
      <c r="WZB79" s="447"/>
      <c r="WZC79" s="448"/>
      <c r="WZD79" s="457"/>
      <c r="WZE79" s="460"/>
      <c r="WZF79" s="450"/>
      <c r="WZG79" s="461"/>
      <c r="WZH79" s="448"/>
      <c r="WZI79" s="456"/>
      <c r="WZJ79" s="449"/>
      <c r="WZK79" s="450"/>
      <c r="WZL79" s="452"/>
      <c r="WZM79" s="448"/>
      <c r="WZN79" s="456"/>
      <c r="WZO79" s="458"/>
      <c r="WZP79" s="458"/>
      <c r="WZR79" s="454"/>
      <c r="WZS79" s="450"/>
      <c r="WZT79" s="454"/>
      <c r="WZU79" s="448"/>
      <c r="WZV79" s="449"/>
      <c r="WZW79" s="450"/>
      <c r="WZX79" s="447"/>
      <c r="WZY79" s="448"/>
      <c r="WZZ79" s="449"/>
      <c r="XAA79" s="450"/>
      <c r="XAB79" s="447"/>
      <c r="XAC79" s="451"/>
      <c r="XAD79" s="449"/>
      <c r="XAE79" s="450"/>
      <c r="XAF79" s="447"/>
      <c r="XAG79" s="451"/>
      <c r="XAH79" s="449"/>
      <c r="XAI79" s="450"/>
      <c r="XAJ79" s="447"/>
      <c r="XAK79" s="451"/>
      <c r="XAL79" s="449"/>
      <c r="XAM79" s="450"/>
      <c r="XAN79" s="452"/>
      <c r="XAO79" s="451"/>
      <c r="XAP79" s="449"/>
      <c r="XAQ79" s="450"/>
      <c r="XAR79" s="447"/>
      <c r="XAS79" s="448"/>
      <c r="XAT79" s="453"/>
      <c r="XAU79" s="449"/>
      <c r="XAV79" s="450"/>
      <c r="XAW79" s="454"/>
      <c r="XAX79" s="448"/>
      <c r="XAZ79" s="449"/>
      <c r="XBA79" s="450"/>
      <c r="XBB79" s="452"/>
      <c r="XBC79" s="448"/>
      <c r="XBE79" s="449"/>
      <c r="XBF79" s="450"/>
      <c r="XBG79" s="447"/>
      <c r="XBH79" s="448"/>
      <c r="XBJ79" s="449"/>
      <c r="XBK79" s="450"/>
      <c r="XBL79" s="452"/>
      <c r="XBM79" s="448"/>
      <c r="XBN79" s="449"/>
      <c r="XBO79" s="450"/>
      <c r="XBP79" s="452"/>
      <c r="XBQ79" s="448"/>
      <c r="XBR79" s="455"/>
      <c r="XBS79" s="449"/>
      <c r="XBT79" s="450"/>
      <c r="XBU79" s="459"/>
      <c r="XBV79" s="448"/>
      <c r="XBW79" s="456"/>
      <c r="XBX79" s="449"/>
      <c r="XBY79" s="450"/>
      <c r="XBZ79" s="452"/>
      <c r="XCA79" s="448"/>
      <c r="XCB79" s="449"/>
      <c r="XCC79" s="450"/>
      <c r="XCD79" s="452"/>
      <c r="XCE79" s="448"/>
      <c r="XCF79" s="449"/>
      <c r="XCG79" s="450"/>
      <c r="XCH79" s="447"/>
      <c r="XCI79" s="448"/>
      <c r="XCJ79" s="457"/>
      <c r="XCK79" s="460"/>
      <c r="XCL79" s="450"/>
      <c r="XCM79" s="461"/>
      <c r="XCN79" s="448"/>
      <c r="XCO79" s="456"/>
      <c r="XCP79" s="449"/>
      <c r="XCQ79" s="450"/>
      <c r="XCR79" s="452"/>
      <c r="XCS79" s="448"/>
      <c r="XCT79" s="456"/>
      <c r="XCU79" s="458"/>
      <c r="XCV79" s="458"/>
      <c r="XCX79" s="454"/>
      <c r="XCY79" s="450"/>
      <c r="XCZ79" s="454"/>
      <c r="XDA79" s="448"/>
      <c r="XDB79" s="449"/>
      <c r="XDC79" s="450"/>
      <c r="XDD79" s="447"/>
      <c r="XDE79" s="448"/>
    </row>
    <row r="80" spans="1:7168 7170:15360 15362:16333" ht="15.5" x14ac:dyDescent="0.35">
      <c r="B80" s="85" t="s">
        <v>500</v>
      </c>
      <c r="C80" s="180">
        <f>E80</f>
        <v>8.2740676879999988</v>
      </c>
      <c r="D80" s="151">
        <f>SUM(D74:D79)</f>
        <v>2.4794107923342724E-3</v>
      </c>
      <c r="E80" s="149">
        <f>SUM(E74:E79)</f>
        <v>8.2740676879999988</v>
      </c>
      <c r="F80" s="182">
        <f t="shared" si="1"/>
        <v>2.479410792334272E-3</v>
      </c>
      <c r="G80" s="180">
        <f>I80</f>
        <v>5.9146395800000038</v>
      </c>
      <c r="H80" s="182">
        <f t="shared" si="2"/>
        <v>5.0066897446459889E-3</v>
      </c>
      <c r="I80" s="149">
        <f>SUM(I74:I79)</f>
        <v>5.9146395800000038</v>
      </c>
      <c r="J80" s="182">
        <f t="shared" si="3"/>
        <v>5.0066897446459889E-3</v>
      </c>
      <c r="K80" s="180">
        <f>M80</f>
        <v>1.3571122</v>
      </c>
      <c r="L80" s="151">
        <f>SUM(L74:L79)</f>
        <v>4.0667284363271307E-4</v>
      </c>
      <c r="M80" s="149">
        <f>SUM(M74:M79)</f>
        <v>1.3571122</v>
      </c>
      <c r="N80" s="151">
        <f>SUM(N74:N79)</f>
        <v>4.0667284363271307E-4</v>
      </c>
      <c r="O80" s="180">
        <f>Q80</f>
        <v>8.7465821880000014</v>
      </c>
      <c r="P80" s="182">
        <f t="shared" si="4"/>
        <v>9.3367550101209895E-3</v>
      </c>
      <c r="Q80" s="149">
        <f>SUM(Q74:Q79)</f>
        <v>8.7465821880000014</v>
      </c>
      <c r="R80" s="182">
        <f t="shared" si="5"/>
        <v>9.3367550101209895E-3</v>
      </c>
      <c r="S80" s="180">
        <f>U80</f>
        <v>-25.302080000000004</v>
      </c>
      <c r="T80" s="182">
        <f t="shared" si="6"/>
        <v>-0.51884622465676844</v>
      </c>
      <c r="U80" s="152">
        <f>SUM(U74:U79)</f>
        <v>-25.302080000000004</v>
      </c>
      <c r="V80" s="182">
        <f t="shared" si="7"/>
        <v>-0.51884622465676844</v>
      </c>
      <c r="W80" s="180">
        <f>Y80</f>
        <v>-0.42522119999999997</v>
      </c>
      <c r="X80" s="182">
        <f t="shared" si="8"/>
        <v>-5.7102727767127355E-3</v>
      </c>
      <c r="Y80" s="149">
        <f>SUM(Y74:Y79)</f>
        <v>-0.42522119999999997</v>
      </c>
      <c r="Z80" s="182">
        <f t="shared" si="9"/>
        <v>-5.7102727767127355E-3</v>
      </c>
      <c r="AA80" s="176"/>
      <c r="AB80" s="180">
        <f>AD80</f>
        <v>-1.4348995439999968</v>
      </c>
      <c r="AC80" s="182">
        <f t="shared" si="10"/>
        <v>-2.7427711819020726E-4</v>
      </c>
      <c r="AD80" s="152">
        <f>SUM(AD74:AD79)</f>
        <v>-1.4348995439999968</v>
      </c>
      <c r="AE80" s="182">
        <f t="shared" si="11"/>
        <v>-2.7427711819020726E-4</v>
      </c>
      <c r="AF80" s="179"/>
      <c r="AG80" s="180">
        <f>AI80</f>
        <v>-1.8667539639999982</v>
      </c>
      <c r="AH80" s="182">
        <f t="shared" si="12"/>
        <v>-5.0385581439015576E-3</v>
      </c>
      <c r="AI80" s="152">
        <f>SUM(AI74:AI79)</f>
        <v>-1.8667539639999982</v>
      </c>
      <c r="AJ80" s="153">
        <f>SUM(AJ74:AJ79)</f>
        <v>-5.0385581439015628E-3</v>
      </c>
      <c r="AK80" s="437">
        <f>AL80/$AL$1*10^5</f>
        <v>5.1929756036809591</v>
      </c>
      <c r="AL80" s="180">
        <f>AN80</f>
        <v>22.933426579999999</v>
      </c>
      <c r="AM80" s="182">
        <f t="shared" si="13"/>
        <v>2.0150444592794095E-2</v>
      </c>
      <c r="AN80" s="149">
        <f>SUM(AN74:AN79)</f>
        <v>22.933426579999999</v>
      </c>
      <c r="AO80" s="153">
        <f>SUM(AO74:AO79)</f>
        <v>2.0150444592794095E-2</v>
      </c>
      <c r="AP80" s="546">
        <f t="shared" ref="AP80:AP81" si="402">AQ80/$AQ$1*10^5</f>
        <v>6.2807812450064917</v>
      </c>
      <c r="AQ80" s="180">
        <f>AS80</f>
        <v>37.497834228000009</v>
      </c>
      <c r="AR80" s="182">
        <f t="shared" si="14"/>
        <v>2.0471462243264484E-2</v>
      </c>
      <c r="AS80" s="152">
        <f>SUM(AS74:AS79)</f>
        <v>37.497834228000009</v>
      </c>
      <c r="AT80" s="153">
        <f>SUM(AT74:AT79)</f>
        <v>2.0471462243264481E-2</v>
      </c>
      <c r="AU80" s="180">
        <f>AW80</f>
        <v>-19.023047599999998</v>
      </c>
      <c r="AV80" s="151">
        <f>SUM(AV74:AV79)</f>
        <v>-5.700454879156238E-3</v>
      </c>
      <c r="AW80" s="152">
        <f>SUM(AW74:AW79)</f>
        <v>-19.023047599999998</v>
      </c>
      <c r="AX80" s="153">
        <f>SUM(AX74:AX79)</f>
        <v>-2.2357590648394984E-2</v>
      </c>
      <c r="AY80" s="163"/>
      <c r="AZ80" s="180">
        <f>BB80</f>
        <v>18.474786628000011</v>
      </c>
      <c r="BA80" s="182">
        <f t="shared" si="15"/>
        <v>6.8869814199057754E-3</v>
      </c>
      <c r="BB80" s="157">
        <f>SUM(BB74:BB79)</f>
        <v>18.474786628000011</v>
      </c>
      <c r="BC80" s="153">
        <f>SUM(BC74:BC79)</f>
        <v>6.8869814199057754E-3</v>
      </c>
      <c r="BD80" s="178"/>
      <c r="BE80" s="180">
        <f>BG80</f>
        <v>2.3817561999999999</v>
      </c>
      <c r="BF80" s="182">
        <f t="shared" si="16"/>
        <v>1.25078017003239E-3</v>
      </c>
      <c r="BG80" s="152">
        <f>SUM(BG74:BG79)</f>
        <v>2.3817561999999999</v>
      </c>
      <c r="BH80" s="153">
        <f>SUM(BH74:BH79)</f>
        <v>1.2507801700323909E-3</v>
      </c>
      <c r="BI80" s="180">
        <f>BK80</f>
        <v>1.448</v>
      </c>
      <c r="BJ80" s="182">
        <f t="shared" si="17"/>
        <v>7.4713856378658086E-2</v>
      </c>
      <c r="BK80" s="152">
        <f>SUM(BK74:BK79)</f>
        <v>1.448</v>
      </c>
      <c r="BL80" s="153">
        <f>SUM(BL74:BL79)</f>
        <v>7.4713856378658086E-2</v>
      </c>
      <c r="BM80" s="180">
        <f>BO80</f>
        <v>0</v>
      </c>
      <c r="BN80" s="151">
        <f>SUM(BN74:BN79)</f>
        <v>0</v>
      </c>
      <c r="BO80" s="149">
        <f>SUM(BO74:BO79)</f>
        <v>0</v>
      </c>
      <c r="BP80" s="151">
        <f>SUM(BP74:BP79)</f>
        <v>0</v>
      </c>
      <c r="BQ80" s="164"/>
      <c r="BR80" s="180">
        <f>BT80</f>
        <v>3.8297561999999998</v>
      </c>
      <c r="BS80" s="182">
        <f t="shared" si="18"/>
        <v>2.0777188890913562E-3</v>
      </c>
      <c r="BT80" s="183">
        <f t="shared" si="19"/>
        <v>3.8297561999999998</v>
      </c>
      <c r="BU80" s="182">
        <f t="shared" si="20"/>
        <v>2.0777188890913558E-3</v>
      </c>
      <c r="BV80" s="159"/>
      <c r="BW80" s="180">
        <f>BY80</f>
        <v>0.66724000000000006</v>
      </c>
      <c r="BX80" s="182">
        <f t="shared" si="21"/>
        <v>3.9057431565148323E-4</v>
      </c>
      <c r="BY80" s="152">
        <f>SUM(BY74:BY79)</f>
        <v>0.66724000000000006</v>
      </c>
      <c r="BZ80" s="182">
        <f t="shared" si="22"/>
        <v>3.9057431565148323E-4</v>
      </c>
      <c r="CA80" s="178"/>
      <c r="CB80" s="180">
        <f>SUM(CB74:CB79)</f>
        <v>2.69</v>
      </c>
      <c r="CC80" s="180">
        <f>SUM(CC74:CC79)</f>
        <v>2.69</v>
      </c>
      <c r="CD80" s="528"/>
      <c r="CE80" s="156">
        <f>SUM(CE74:CE79)</f>
        <v>42.603555900000018</v>
      </c>
      <c r="CF80" s="182">
        <f t="shared" si="23"/>
        <v>7.9581874442767164E-3</v>
      </c>
      <c r="CG80" s="152">
        <f>SUM(CG74:CG79)</f>
        <v>42.603555900000018</v>
      </c>
      <c r="CH80" s="182">
        <f t="shared" si="24"/>
        <v>7.9581874442767164E-3</v>
      </c>
    </row>
    <row r="81" spans="1:86" ht="16" thickBot="1" x14ac:dyDescent="0.4">
      <c r="A81" s="218"/>
      <c r="B81" s="283" t="s">
        <v>501</v>
      </c>
      <c r="C81" s="148">
        <f>C53+C60+C65+C72+C80</f>
        <v>2609.3589461245001</v>
      </c>
      <c r="D81" s="151">
        <f>D53+D60+D65+D72+D80</f>
        <v>0.78192165885687981</v>
      </c>
      <c r="E81" s="149">
        <f>E53+E60+E65+E72+E80</f>
        <v>2609.3589461245001</v>
      </c>
      <c r="F81" s="182">
        <f t="shared" si="1"/>
        <v>0.78192165885687992</v>
      </c>
      <c r="G81" s="148">
        <f>G53+G60+G65+G72+G80</f>
        <v>956.23064830999965</v>
      </c>
      <c r="H81" s="182">
        <f t="shared" si="2"/>
        <v>0.8094407301839105</v>
      </c>
      <c r="I81" s="149">
        <f>I53+I60+I65+I72+I80</f>
        <v>956.23064830999965</v>
      </c>
      <c r="J81" s="182">
        <f t="shared" si="3"/>
        <v>0.8094407301839105</v>
      </c>
      <c r="K81" s="148">
        <f>K53+K60+K65+K72+K80</f>
        <v>4.0525222000000003</v>
      </c>
      <c r="L81" s="151">
        <f>L53+L60+L65+L72+L80</f>
        <v>1.214380599451319E-3</v>
      </c>
      <c r="M81" s="149">
        <f>M53+M60+M65+M72+M80</f>
        <v>4.0525222000000003</v>
      </c>
      <c r="N81" s="151">
        <f>N53+N60+N65+N72+N80</f>
        <v>1.214380599451319E-3</v>
      </c>
      <c r="O81" s="148">
        <f>O53+O60+O65+O72+O80</f>
        <v>801.75725768469954</v>
      </c>
      <c r="P81" s="182">
        <f t="shared" si="4"/>
        <v>0.85585557097476883</v>
      </c>
      <c r="Q81" s="149">
        <f>Q53+Q60+Q65+Q72+Q80</f>
        <v>801.75725768469954</v>
      </c>
      <c r="R81" s="182">
        <f t="shared" si="5"/>
        <v>0.85585557097476883</v>
      </c>
      <c r="S81" s="148">
        <f>S53+S60+S65+S72+S80</f>
        <v>59.686308299999993</v>
      </c>
      <c r="T81" s="182">
        <f t="shared" si="6"/>
        <v>1.2239316184738542</v>
      </c>
      <c r="U81" s="152">
        <f>U53+U60+U65+U72+U80</f>
        <v>59.686308299999993</v>
      </c>
      <c r="V81" s="182">
        <f t="shared" si="7"/>
        <v>1.2239316184738542</v>
      </c>
      <c r="W81" s="148">
        <f>W53+W60+W65+W72+W80</f>
        <v>39.529603700000003</v>
      </c>
      <c r="X81" s="182">
        <f t="shared" si="8"/>
        <v>0.53084093615829375</v>
      </c>
      <c r="Y81" s="149">
        <f>Y53+Y60+Y65+Y72+Y80</f>
        <v>39.529603700000003</v>
      </c>
      <c r="Z81" s="182">
        <f t="shared" si="9"/>
        <v>0.53084093615829375</v>
      </c>
      <c r="AA81" s="176">
        <f>AA53+AA60+AA65+AA72+AA80</f>
        <v>388.23097340000004</v>
      </c>
      <c r="AB81" s="148">
        <f>AB53+AB60+AB65+AB72+AB80</f>
        <v>4082.3843129191991</v>
      </c>
      <c r="AC81" s="182">
        <f t="shared" si="10"/>
        <v>0.78033658131289341</v>
      </c>
      <c r="AD81" s="152">
        <f>AD53+AD60+AD65+AD72+AD80</f>
        <v>4082.3843129191991</v>
      </c>
      <c r="AE81" s="182">
        <f t="shared" si="11"/>
        <v>0.78033658131289341</v>
      </c>
      <c r="AF81" s="511">
        <f>AG81/$AG$1*10^5</f>
        <v>81.291010278746114</v>
      </c>
      <c r="AG81" s="148">
        <f>AG53+AG60+AG65+AG72+AG80</f>
        <v>298.76803716737282</v>
      </c>
      <c r="AH81" s="182">
        <f t="shared" si="12"/>
        <v>0.80640521238349505</v>
      </c>
      <c r="AI81" s="152">
        <f>AI53+AI60+AI65+AI72+AI80</f>
        <v>298.76803716737282</v>
      </c>
      <c r="AJ81" s="153">
        <f>AJ53+AJ60+AJ65+AJ72+AJ80</f>
        <v>0.80640521238349494</v>
      </c>
      <c r="AK81" s="437">
        <f>AL81/$AL$1*10^5</f>
        <v>220.44581469267536</v>
      </c>
      <c r="AL81" s="148">
        <f>AL53+AL60+AL65+AL72+AL80</f>
        <v>973.54162467838069</v>
      </c>
      <c r="AM81" s="182">
        <f t="shared" si="13"/>
        <v>0.85540189550080103</v>
      </c>
      <c r="AN81" s="149">
        <f>AN53+AN60+AN65+AN72+AN80</f>
        <v>973.54162467838069</v>
      </c>
      <c r="AO81" s="153">
        <f>AO53+AO60+AO65+AO72+AO80</f>
        <v>0.85540189550080115</v>
      </c>
      <c r="AP81" s="546">
        <f t="shared" si="402"/>
        <v>211.51717397160928</v>
      </c>
      <c r="AQ81" s="148">
        <f>AQ53+AQ60+AQ65+AQ72+AQ80</f>
        <v>1262.8104079040004</v>
      </c>
      <c r="AR81" s="182">
        <f t="shared" si="14"/>
        <v>0.68941516538319259</v>
      </c>
      <c r="AS81" s="152">
        <f t="shared" ref="AS81:AX81" si="403">AS53+AS60+AS65+AS72+AS80</f>
        <v>1262.8104079040004</v>
      </c>
      <c r="AT81" s="153">
        <f t="shared" si="403"/>
        <v>0.68941516538319259</v>
      </c>
      <c r="AU81" s="148">
        <f t="shared" si="403"/>
        <v>724.77774699442</v>
      </c>
      <c r="AV81" s="151">
        <f t="shared" si="403"/>
        <v>0.21718722105064844</v>
      </c>
      <c r="AW81" s="152">
        <f t="shared" si="403"/>
        <v>724.77774699442</v>
      </c>
      <c r="AX81" s="153">
        <f t="shared" si="403"/>
        <v>0.85182377288312272</v>
      </c>
      <c r="AY81" s="157"/>
      <c r="AZ81" s="148">
        <f>AZ53+AZ60+AZ65+AZ72+AZ80</f>
        <v>1987.5881548984203</v>
      </c>
      <c r="BA81" s="182">
        <f t="shared" si="15"/>
        <v>0.74092778275794735</v>
      </c>
      <c r="BB81" s="157">
        <f>BB53+BB60+BB65+BB72+BB80</f>
        <v>1987.5881548984203</v>
      </c>
      <c r="BC81" s="153">
        <f>BC53+BC60+BC65+BC72+BC80</f>
        <v>0.74092778275794735</v>
      </c>
      <c r="BD81" s="178"/>
      <c r="BE81" s="148">
        <f>BE53+BE60+BE65+BE72+BE80</f>
        <v>1879.3079319000001</v>
      </c>
      <c r="BF81" s="182">
        <f t="shared" si="16"/>
        <v>0.98691927184029227</v>
      </c>
      <c r="BG81" s="152">
        <f>BG53+BG60+BG65+BG72+BG80</f>
        <v>1879.3079319000001</v>
      </c>
      <c r="BH81" s="153">
        <f>BH53+BH60+BH65+BH72+BH80</f>
        <v>0.98691927184029238</v>
      </c>
      <c r="BI81" s="148">
        <f>BI53+BI60+BI65+BI72+BI80</f>
        <v>25.558759000000006</v>
      </c>
      <c r="BJ81" s="182">
        <f t="shared" si="17"/>
        <v>1.3187800063140438</v>
      </c>
      <c r="BK81" s="152">
        <f t="shared" ref="BK81:BP81" si="404">BK53+BK60+BK65+BK72+BK80</f>
        <v>25.558759000000006</v>
      </c>
      <c r="BL81" s="153">
        <f t="shared" si="404"/>
        <v>1.3187800063140438</v>
      </c>
      <c r="BM81" s="148">
        <f t="shared" si="404"/>
        <v>0</v>
      </c>
      <c r="BN81" s="151">
        <f t="shared" si="404"/>
        <v>0</v>
      </c>
      <c r="BO81" s="149">
        <f t="shared" si="404"/>
        <v>0</v>
      </c>
      <c r="BP81" s="151">
        <f t="shared" si="404"/>
        <v>0</v>
      </c>
      <c r="BQ81" s="164">
        <f>BQ53+BQ60+BQ65+BQ72+BQ80</f>
        <v>80.422835599999999</v>
      </c>
      <c r="BR81" s="148">
        <f>BR53+BR60+BR65+BR72+BR80</f>
        <v>1824.4438553</v>
      </c>
      <c r="BS81" s="182">
        <f t="shared" si="18"/>
        <v>0.98979706860804018</v>
      </c>
      <c r="BT81" s="183">
        <f t="shared" si="19"/>
        <v>1824.4438553</v>
      </c>
      <c r="BU81" s="182">
        <f t="shared" si="20"/>
        <v>0.98979706860804006</v>
      </c>
      <c r="BV81" s="159"/>
      <c r="BW81" s="148">
        <f>BW53+BW60+BW65+BW72+BW80</f>
        <v>1655.6566088999998</v>
      </c>
      <c r="BX81" s="182">
        <f t="shared" si="21"/>
        <v>0.96915194978564356</v>
      </c>
      <c r="BY81" s="152">
        <f>BY53+BY60+BY65+BY72+BY80</f>
        <v>1655.6566088999998</v>
      </c>
      <c r="BZ81" s="182">
        <f t="shared" si="22"/>
        <v>0.96915194978564356</v>
      </c>
      <c r="CA81" s="178"/>
      <c r="CB81" s="148">
        <f>CB53+CB60+CB65+CB72+CB80</f>
        <v>7623.6110158528782</v>
      </c>
      <c r="CC81" s="522">
        <f>CC53+CC60+CC65+CC72+CC80</f>
        <v>7623.6110158528782</v>
      </c>
      <c r="CD81" s="528"/>
      <c r="CE81" s="148">
        <f>CE53+CE60+CE65+CE72+CE80</f>
        <v>3201.4615780104959</v>
      </c>
      <c r="CF81" s="182">
        <f t="shared" si="23"/>
        <v>0.59802124013449875</v>
      </c>
      <c r="CG81" s="152">
        <f>CG53+CG60+CG65+CG72+CG80</f>
        <v>3201.4615780104959</v>
      </c>
      <c r="CH81" s="182">
        <f t="shared" si="24"/>
        <v>0.59802124013449875</v>
      </c>
    </row>
    <row r="82" spans="1:86" s="424" customFormat="1" ht="16" thickBot="1" x14ac:dyDescent="0.4">
      <c r="B82" s="425" t="s">
        <v>502</v>
      </c>
      <c r="C82" s="468">
        <f>C46-C81</f>
        <v>727.75151317549944</v>
      </c>
      <c r="D82" s="426">
        <f>D46-D81</f>
        <v>0.21807834114312041</v>
      </c>
      <c r="E82" s="469">
        <f>E46-E81</f>
        <v>727.75151317549944</v>
      </c>
      <c r="F82" s="182">
        <f t="shared" si="1"/>
        <v>0.21807834114312008</v>
      </c>
      <c r="G82" s="468">
        <f>G46-G81</f>
        <v>225.11668529000031</v>
      </c>
      <c r="H82" s="182">
        <f t="shared" si="2"/>
        <v>0.1905592698160895</v>
      </c>
      <c r="I82" s="469">
        <f>I46-I81</f>
        <v>225.11668529000031</v>
      </c>
      <c r="J82" s="182">
        <f t="shared" si="3"/>
        <v>0.1905592698160895</v>
      </c>
      <c r="K82" s="468">
        <f>K46-K81</f>
        <v>37.266779</v>
      </c>
      <c r="L82" s="426">
        <f>L46-L81</f>
        <v>1.1167379520250334E-2</v>
      </c>
      <c r="M82" s="469">
        <f>M46-M81</f>
        <v>37.266779</v>
      </c>
      <c r="N82" s="426">
        <f>N46-N81</f>
        <v>1.1167379520250334E-2</v>
      </c>
      <c r="O82" s="468">
        <f>O46-O81</f>
        <v>135.03311311530058</v>
      </c>
      <c r="P82" s="182">
        <f t="shared" si="4"/>
        <v>0.14414442902523114</v>
      </c>
      <c r="Q82" s="469">
        <f>Q46-Q81</f>
        <v>135.03311311530058</v>
      </c>
      <c r="R82" s="182">
        <f t="shared" si="5"/>
        <v>0.14414442902523114</v>
      </c>
      <c r="S82" s="468">
        <f>S46-S81</f>
        <v>-10.920260099999986</v>
      </c>
      <c r="T82" s="182">
        <f t="shared" si="6"/>
        <v>-0.2239316184738542</v>
      </c>
      <c r="U82" s="470">
        <f>U46-U81</f>
        <v>-10.920260099999986</v>
      </c>
      <c r="V82" s="182">
        <f t="shared" si="7"/>
        <v>-0.2239316184738542</v>
      </c>
      <c r="W82" s="468">
        <f>W46-W81</f>
        <v>34.936401100000005</v>
      </c>
      <c r="X82" s="182">
        <f t="shared" si="8"/>
        <v>0.46915906384170619</v>
      </c>
      <c r="Y82" s="469">
        <f>Y46-Y81</f>
        <v>34.936401100000005</v>
      </c>
      <c r="Z82" s="182">
        <f t="shared" si="9"/>
        <v>0.46915906384170619</v>
      </c>
      <c r="AA82" s="430">
        <f>AA46-AA81</f>
        <v>0</v>
      </c>
      <c r="AB82" s="468">
        <f>AB46-AB81</f>
        <v>1149.1842315807999</v>
      </c>
      <c r="AC82" s="182">
        <f t="shared" si="10"/>
        <v>0.21966341868710654</v>
      </c>
      <c r="AD82" s="429">
        <f>AD46-AD81</f>
        <v>1149.1842315807999</v>
      </c>
      <c r="AE82" s="182">
        <f t="shared" si="11"/>
        <v>0.21966341868710654</v>
      </c>
      <c r="AF82" s="511">
        <f>AG82/$AG$1*10^5</f>
        <v>19.515642543442326</v>
      </c>
      <c r="AG82" s="468">
        <f>AG46-AG81</f>
        <v>71.725645883488141</v>
      </c>
      <c r="AH82" s="182">
        <f t="shared" si="12"/>
        <v>0.19359478761650498</v>
      </c>
      <c r="AI82" s="429">
        <f>AI46-AI81</f>
        <v>71.725645883488141</v>
      </c>
      <c r="AJ82" s="428">
        <f>AJ46-AJ81</f>
        <v>0.19359478761650506</v>
      </c>
      <c r="AK82" s="437">
        <f>AL82/$AL$1*10^5</f>
        <v>37.264410000728908</v>
      </c>
      <c r="AL82" s="468">
        <f>AL46-AL81</f>
        <v>164.56857802161903</v>
      </c>
      <c r="AM82" s="182">
        <f t="shared" si="13"/>
        <v>0.14459810449919894</v>
      </c>
      <c r="AN82" s="427">
        <f>AN46-AN81</f>
        <v>164.56857802161903</v>
      </c>
      <c r="AO82" s="428">
        <f>AO46-AO81</f>
        <v>0.14459810449919908</v>
      </c>
      <c r="AP82" s="546">
        <f>AQ82/$AQ$1*10^5</f>
        <v>95.28950013751512</v>
      </c>
      <c r="AQ82" s="468">
        <f>AQ46-AQ81</f>
        <v>568.90213819599967</v>
      </c>
      <c r="AR82" s="182">
        <f t="shared" si="14"/>
        <v>0.31058483461680736</v>
      </c>
      <c r="AS82" s="429">
        <f t="shared" ref="AS82:AX82" si="405">AS46-AS81</f>
        <v>568.90213819599967</v>
      </c>
      <c r="AT82" s="428">
        <f t="shared" si="405"/>
        <v>0.31058483461680741</v>
      </c>
      <c r="AU82" s="468">
        <f t="shared" si="405"/>
        <v>126.07634990557995</v>
      </c>
      <c r="AV82" s="426">
        <f t="shared" si="405"/>
        <v>3.5762876079547617E-2</v>
      </c>
      <c r="AW82" s="429">
        <f t="shared" si="405"/>
        <v>126.07634990557995</v>
      </c>
      <c r="AX82" s="428">
        <f t="shared" si="405"/>
        <v>0.14817622711687728</v>
      </c>
      <c r="AY82" s="432">
        <f>AY25-AY53</f>
        <v>0</v>
      </c>
      <c r="AZ82" s="468">
        <f>AZ46-AZ81</f>
        <v>694.97848810157984</v>
      </c>
      <c r="BA82" s="182">
        <f t="shared" si="15"/>
        <v>0.25907221724205259</v>
      </c>
      <c r="BB82" s="432">
        <f>BB46-BB81</f>
        <v>694.97848810157984</v>
      </c>
      <c r="BC82" s="428">
        <f>BC46-BC81</f>
        <v>0.25907221724205254</v>
      </c>
      <c r="BD82" s="433"/>
      <c r="BE82" s="468">
        <f>BE46-BE81</f>
        <v>24.908538000000135</v>
      </c>
      <c r="BF82" s="182">
        <f t="shared" si="16"/>
        <v>1.3080728159707707E-2</v>
      </c>
      <c r="BG82" s="429">
        <f>BG46-BG81</f>
        <v>24.908538000000135</v>
      </c>
      <c r="BH82" s="428">
        <f>BH46-BH81</f>
        <v>1.3080728159707511E-2</v>
      </c>
      <c r="BI82" s="468">
        <f>BI46-BI81</f>
        <v>-6.1781505000000081</v>
      </c>
      <c r="BJ82" s="182">
        <f t="shared" si="17"/>
        <v>-0.31878000631404368</v>
      </c>
      <c r="BK82" s="429">
        <f t="shared" ref="BK82:BP82" si="406">BK46-BK81</f>
        <v>-6.1781505000000081</v>
      </c>
      <c r="BL82" s="428">
        <f t="shared" si="406"/>
        <v>-0.3187800063140438</v>
      </c>
      <c r="BM82" s="468">
        <f t="shared" si="406"/>
        <v>7.6170000000000002E-2</v>
      </c>
      <c r="BN82" s="426">
        <f t="shared" si="406"/>
        <v>2.2825135975863865E-5</v>
      </c>
      <c r="BO82" s="427">
        <f t="shared" si="406"/>
        <v>7.6170000000000002E-2</v>
      </c>
      <c r="BP82" s="426">
        <f t="shared" si="406"/>
        <v>2.2825135975863865E-5</v>
      </c>
      <c r="BQ82" s="434">
        <f>BQ46-BQ81</f>
        <v>0</v>
      </c>
      <c r="BR82" s="468">
        <f>BR46-BR81</f>
        <v>18.806557500000054</v>
      </c>
      <c r="BS82" s="182">
        <f t="shared" si="18"/>
        <v>1.020293139195984E-2</v>
      </c>
      <c r="BT82" s="183">
        <f t="shared" si="19"/>
        <v>18.806557500000128</v>
      </c>
      <c r="BU82" s="182">
        <f t="shared" si="20"/>
        <v>1.020293139195988E-2</v>
      </c>
      <c r="BV82" s="435"/>
      <c r="BW82" s="468">
        <f>BW46-BW81</f>
        <v>52.699453600000197</v>
      </c>
      <c r="BX82" s="182">
        <f t="shared" si="21"/>
        <v>3.0848050214356409E-2</v>
      </c>
      <c r="BY82" s="429">
        <f>BY46-BY81</f>
        <v>52.699453600000197</v>
      </c>
      <c r="BZ82" s="182">
        <f t="shared" si="22"/>
        <v>3.0848050214356409E-2</v>
      </c>
      <c r="CA82" s="436"/>
      <c r="CB82" s="468">
        <v>0</v>
      </c>
      <c r="CC82" s="523">
        <f>CC46-CC81</f>
        <v>0</v>
      </c>
      <c r="CD82" s="528"/>
      <c r="CE82" s="431">
        <f>CE46-CE81</f>
        <v>2151.9629546874849</v>
      </c>
      <c r="CF82" s="566">
        <f t="shared" si="23"/>
        <v>0.40197875986550125</v>
      </c>
      <c r="CG82" s="429">
        <f>CG46-CG81</f>
        <v>2151.9629546874849</v>
      </c>
      <c r="CH82" s="426">
        <f t="shared" si="24"/>
        <v>0.40197875986550125</v>
      </c>
    </row>
    <row r="83" spans="1:86" s="204" customFormat="1" x14ac:dyDescent="0.35">
      <c r="B83" s="197" t="s">
        <v>528</v>
      </c>
      <c r="C83" s="180">
        <f t="shared" ref="C83:C87" si="407">E83</f>
        <v>0</v>
      </c>
      <c r="D83" s="182"/>
      <c r="E83" s="181">
        <f>SUMIF('04.conso TB'!A:A,'Apr-26'!B83,'04.conso TB'!R:R)</f>
        <v>0</v>
      </c>
      <c r="F83" s="184"/>
      <c r="G83" s="180">
        <v>0</v>
      </c>
      <c r="H83" s="201"/>
      <c r="I83" s="181">
        <v>0</v>
      </c>
      <c r="J83" s="202"/>
      <c r="K83" s="180">
        <v>0</v>
      </c>
      <c r="L83" s="201"/>
      <c r="M83" s="181">
        <f>SUMIF('04.conso TB'!A:A,'Apr-26'!B83,'04.conso TB'!T:T)/10^5</f>
        <v>0</v>
      </c>
      <c r="N83" s="202"/>
      <c r="O83" s="180">
        <v>0</v>
      </c>
      <c r="P83" s="201"/>
      <c r="Q83" s="181">
        <f>SUMIF('04.conso TB'!A:A,'Apr-26'!B83,'04.conso TB'!U:U)/10^5</f>
        <v>0</v>
      </c>
      <c r="R83" s="202"/>
      <c r="S83" s="180">
        <v>0</v>
      </c>
      <c r="T83" s="201"/>
      <c r="U83" s="183">
        <f>SUMIF('04.conso TB'!A:A,'Apr-26'!B83,'04.conso TB'!V:V)/10^5</f>
        <v>0</v>
      </c>
      <c r="V83" s="202"/>
      <c r="W83" s="180">
        <v>0</v>
      </c>
      <c r="X83" s="201"/>
      <c r="Y83" s="181">
        <f>SUMIF('04.conso TB'!A:A,'Apr-26'!B83,'04.conso TB'!G:G)/10^5</f>
        <v>0</v>
      </c>
      <c r="Z83" s="203"/>
      <c r="AA83" s="185"/>
      <c r="AB83" s="180">
        <v>0</v>
      </c>
      <c r="AC83" s="201"/>
      <c r="AD83" s="187">
        <f>E83+I83+M83+Q83+U83+Y83</f>
        <v>0</v>
      </c>
      <c r="AE83" s="203"/>
      <c r="AF83" s="186"/>
      <c r="AG83" s="180">
        <v>0</v>
      </c>
      <c r="AH83" s="201"/>
      <c r="AI83" s="183">
        <f>SUMIF('04.conso TB'!A:A,'Apr-26'!B83,'04.conso TB'!Q:Q)/10^5</f>
        <v>0</v>
      </c>
      <c r="AJ83" s="203"/>
      <c r="AK83" s="186"/>
      <c r="AL83" s="180">
        <v>0</v>
      </c>
      <c r="AM83" s="201"/>
      <c r="AN83" s="181">
        <f>SUMIF('04.conso TB'!A:A,'Apr-26'!B83,'04.conso TB'!W:W)/10^5</f>
        <v>0</v>
      </c>
      <c r="AO83" s="203"/>
      <c r="AP83" s="545"/>
      <c r="AQ83" s="180">
        <v>0</v>
      </c>
      <c r="AR83" s="201"/>
      <c r="AS83" s="183">
        <v>0</v>
      </c>
      <c r="AT83" s="203"/>
      <c r="AU83" s="180">
        <v>0</v>
      </c>
      <c r="AV83" s="201"/>
      <c r="AW83" s="183">
        <f>SUMIF('04.conso TB'!A:A,'Apr-26'!B83,'04.conso TB'!P:P)/10^5</f>
        <v>0</v>
      </c>
      <c r="AX83" s="203"/>
      <c r="AY83" s="189"/>
      <c r="AZ83" s="180">
        <v>0</v>
      </c>
      <c r="BA83" s="201"/>
      <c r="BB83" s="190">
        <f t="shared" ref="BB83:BB87" si="408">AS83+AW83</f>
        <v>0</v>
      </c>
      <c r="BC83" s="203"/>
      <c r="BD83" s="191"/>
      <c r="BE83" s="180">
        <v>0</v>
      </c>
      <c r="BF83" s="201"/>
      <c r="BG83" s="183"/>
      <c r="BH83" s="203"/>
      <c r="BI83" s="180">
        <v>0</v>
      </c>
      <c r="BJ83" s="201"/>
      <c r="BK83" s="183">
        <f>SUMIF('04.conso TB'!A:A,'Apr-26'!B83,'04.conso TB'!I:I)/10^5</f>
        <v>0</v>
      </c>
      <c r="BL83" s="203"/>
      <c r="BM83" s="180">
        <v>0</v>
      </c>
      <c r="BN83" s="201"/>
      <c r="BO83" s="181">
        <f>SUMIF('04.conso TB'!A:A,'Apr-26'!B83,'04.conso TB'!J:J)/10^5</f>
        <v>0</v>
      </c>
      <c r="BP83" s="203"/>
      <c r="BQ83" s="192"/>
      <c r="BR83" s="180">
        <v>0</v>
      </c>
      <c r="BS83" s="201"/>
      <c r="BT83" s="183">
        <f t="shared" si="19"/>
        <v>0</v>
      </c>
      <c r="BU83" s="203"/>
      <c r="BV83" s="196"/>
      <c r="BW83" s="180">
        <v>0</v>
      </c>
      <c r="BX83" s="201"/>
      <c r="BY83" s="183">
        <f>SUMIF('04.conso TB'!A:A,'Apr-26'!B83,'04.conso TB'!L:L)/10^5</f>
        <v>0</v>
      </c>
      <c r="BZ83" s="203"/>
      <c r="CA83" s="191"/>
      <c r="CB83" s="180">
        <v>0</v>
      </c>
      <c r="CC83" s="524"/>
      <c r="CD83" s="186"/>
      <c r="CE83" s="187">
        <f>AB83+AG83+AL83+AZ83+BR83+BW83</f>
        <v>0</v>
      </c>
      <c r="CF83" s="201"/>
      <c r="CG83" s="187">
        <f>AD83+AI83+AN83+BB83+BT83+BY83</f>
        <v>0</v>
      </c>
      <c r="CH83" s="203"/>
    </row>
    <row r="84" spans="1:86" s="204" customFormat="1" x14ac:dyDescent="0.35">
      <c r="B84" s="197" t="s">
        <v>529</v>
      </c>
      <c r="C84" s="180">
        <f t="shared" si="407"/>
        <v>13.058555500000001</v>
      </c>
      <c r="D84" s="182"/>
      <c r="E84" s="181">
        <f>SUMIF('04.conso TB'!A:A,'Apr-26'!B84,'04.conso TB'!R:R)/10^5</f>
        <v>13.058555500000001</v>
      </c>
      <c r="F84" s="184"/>
      <c r="G84" s="180">
        <f t="shared" ref="G84:G87" si="409">I84</f>
        <v>5.3681912000000001</v>
      </c>
      <c r="H84" s="201"/>
      <c r="I84" s="181">
        <f>SUMIF('04.conso TB'!A:A,'Apr-26'!B84,'04.conso TB'!S:S)/10^5</f>
        <v>5.3681912000000001</v>
      </c>
      <c r="J84" s="202"/>
      <c r="K84" s="180">
        <f t="shared" ref="K84:K87" si="410">M84</f>
        <v>0</v>
      </c>
      <c r="L84" s="201"/>
      <c r="M84" s="181">
        <f>SUMIF('04.conso TB'!A:A,'Apr-26'!B84,'04.conso TB'!T:T)/10^5</f>
        <v>0</v>
      </c>
      <c r="N84" s="202"/>
      <c r="O84" s="180">
        <f t="shared" ref="O84:O87" si="411">Q84</f>
        <v>0.66622669999999995</v>
      </c>
      <c r="P84" s="201"/>
      <c r="Q84" s="181">
        <f>SUMIF('04.conso TB'!A:A,'Apr-26'!B84,'04.conso TB'!U:U)/10^5</f>
        <v>0.66622669999999995</v>
      </c>
      <c r="R84" s="202"/>
      <c r="S84" s="180">
        <f t="shared" ref="S84:S87" si="412">U84</f>
        <v>8.0413888</v>
      </c>
      <c r="T84" s="201"/>
      <c r="U84" s="183">
        <f>SUMIF('04.conso TB'!A:A,'Apr-26'!B84,'04.conso TB'!V:V)/10^5</f>
        <v>8.0413888</v>
      </c>
      <c r="V84" s="202"/>
      <c r="W84" s="180">
        <f t="shared" ref="W84:W87" si="413">Y84</f>
        <v>0.96269880000000008</v>
      </c>
      <c r="X84" s="201"/>
      <c r="Y84" s="181">
        <f>SUMIF('04.conso TB'!A:A,'Apr-26'!B84,'04.conso TB'!G:G)/10^5</f>
        <v>0.96269880000000008</v>
      </c>
      <c r="Z84" s="203"/>
      <c r="AA84" s="185"/>
      <c r="AB84" s="180">
        <f t="shared" ref="AB84:AB87" si="414">AD84</f>
        <v>28.097061000000004</v>
      </c>
      <c r="AC84" s="201"/>
      <c r="AD84" s="187">
        <f>E84+I84+M84+Q84+U84+Y84</f>
        <v>28.097061000000004</v>
      </c>
      <c r="AE84" s="203"/>
      <c r="AF84" s="186"/>
      <c r="AG84" s="180">
        <f t="shared" ref="AG84:AG87" si="415">AI84</f>
        <v>4.6501000000000001E-2</v>
      </c>
      <c r="AH84" s="201"/>
      <c r="AI84" s="183">
        <f>SUMIF('04.conso TB'!A:A,'Apr-26'!B84,'04.conso TB'!Q:Q)/10^5</f>
        <v>4.6501000000000001E-2</v>
      </c>
      <c r="AJ84" s="203"/>
      <c r="AK84" s="186"/>
      <c r="AL84" s="180">
        <f t="shared" ref="AL84:AL87" si="416">AN84</f>
        <v>0.19539310000000001</v>
      </c>
      <c r="AM84" s="201"/>
      <c r="AN84" s="181">
        <f>SUMIF('04.conso TB'!A:A,'Apr-26'!B84,'04.conso TB'!W:W)/10^5</f>
        <v>0.19539310000000001</v>
      </c>
      <c r="AO84" s="203"/>
      <c r="AP84" s="545"/>
      <c r="AQ84" s="180">
        <f t="shared" ref="AQ84:AQ87" si="417">AS84</f>
        <v>4.4200568999999996</v>
      </c>
      <c r="AR84" s="201"/>
      <c r="AS84" s="183">
        <f>SUMIF('04.conso TB'!A:A,'Apr-26'!B84,'04.conso TB'!M:M)/10^5</f>
        <v>4.4200568999999996</v>
      </c>
      <c r="AT84" s="203"/>
      <c r="AU84" s="180">
        <f t="shared" ref="AU84:AU87" si="418">AW84</f>
        <v>4.8316005999999998</v>
      </c>
      <c r="AV84" s="201"/>
      <c r="AW84" s="183">
        <f>SUMIF('04.conso TB'!A:A,'Apr-26'!B84,'04.conso TB'!P:P)/10^5</f>
        <v>4.8316005999999998</v>
      </c>
      <c r="AX84" s="203"/>
      <c r="AY84" s="189"/>
      <c r="AZ84" s="180">
        <f t="shared" ref="AZ84:AZ87" si="419">BB84</f>
        <v>9.2516575000000003</v>
      </c>
      <c r="BA84" s="201"/>
      <c r="BB84" s="190">
        <f t="shared" si="408"/>
        <v>9.2516575000000003</v>
      </c>
      <c r="BC84" s="203"/>
      <c r="BD84" s="191"/>
      <c r="BE84" s="180">
        <f t="shared" ref="BE84:BE87" si="420">BG84</f>
        <v>0</v>
      </c>
      <c r="BF84" s="201"/>
      <c r="BG84" s="183"/>
      <c r="BH84" s="203"/>
      <c r="BI84" s="180">
        <f t="shared" ref="BI84:BI87" si="421">BK84</f>
        <v>0</v>
      </c>
      <c r="BJ84" s="201"/>
      <c r="BK84" s="183">
        <f>SUMIF('04.conso TB'!A:A,'Apr-26'!B84,'04.conso TB'!I:I)/10^5</f>
        <v>0</v>
      </c>
      <c r="BL84" s="203"/>
      <c r="BM84" s="180">
        <f t="shared" ref="BM84:BM87" si="422">BO84</f>
        <v>0</v>
      </c>
      <c r="BN84" s="201"/>
      <c r="BO84" s="181">
        <f>SUMIF('04.conso TB'!A:A,'Apr-26'!B84,'04.conso TB'!J:J)/10^5</f>
        <v>0</v>
      </c>
      <c r="BP84" s="203"/>
      <c r="BQ84" s="192"/>
      <c r="BR84" s="180">
        <f t="shared" ref="BR84:BR87" si="423">BT84</f>
        <v>0</v>
      </c>
      <c r="BS84" s="201"/>
      <c r="BT84" s="183">
        <f t="shared" si="19"/>
        <v>0</v>
      </c>
      <c r="BU84" s="203"/>
      <c r="BV84" s="196"/>
      <c r="BW84" s="180">
        <f t="shared" ref="BW84:BW87" si="424">BY84</f>
        <v>0</v>
      </c>
      <c r="BX84" s="201"/>
      <c r="BY84" s="183">
        <f>SUMIF('04.conso TB'!A:A,'Apr-26'!B84,'04.conso TB'!L:L)/10^5</f>
        <v>0</v>
      </c>
      <c r="BZ84" s="203"/>
      <c r="CA84" s="191"/>
      <c r="CB84" s="180">
        <f t="shared" ref="CB84:CB87" si="425">CD84</f>
        <v>0</v>
      </c>
      <c r="CC84" s="346"/>
      <c r="CD84" s="186"/>
      <c r="CE84" s="187">
        <f>AB84+AG84+AL84+AZ84+BR84+BW84</f>
        <v>37.5906126</v>
      </c>
      <c r="CF84" s="201"/>
      <c r="CG84" s="187">
        <f>AD84+AI84+AN84+BB84+BT84+BY84</f>
        <v>37.5906126</v>
      </c>
      <c r="CH84" s="203"/>
    </row>
    <row r="85" spans="1:86" s="204" customFormat="1" x14ac:dyDescent="0.35">
      <c r="B85" s="205" t="s">
        <v>373</v>
      </c>
      <c r="C85" s="180">
        <f t="shared" si="407"/>
        <v>11.068583799999999</v>
      </c>
      <c r="D85" s="182"/>
      <c r="E85" s="181">
        <f>SUMIF('04.conso TB'!A:A,'Apr-26'!B85,'04.conso TB'!R:R)/10^5</f>
        <v>11.068583799999999</v>
      </c>
      <c r="F85" s="184"/>
      <c r="G85" s="180">
        <f t="shared" si="409"/>
        <v>0.11341850000000001</v>
      </c>
      <c r="H85" s="201"/>
      <c r="I85" s="181">
        <f>SUMIF('04.conso TB'!A:A,'Apr-26'!B85,'04.conso TB'!S:S)/10^5</f>
        <v>0.11341850000000001</v>
      </c>
      <c r="J85" s="202"/>
      <c r="K85" s="180">
        <f t="shared" si="410"/>
        <v>0.12938920000000001</v>
      </c>
      <c r="L85" s="201"/>
      <c r="M85" s="181">
        <f>SUMIF('04.conso TB'!A:A,'Apr-26'!B85,'04.conso TB'!T:T)/10^5</f>
        <v>0.12938920000000001</v>
      </c>
      <c r="N85" s="202"/>
      <c r="O85" s="180">
        <f t="shared" si="411"/>
        <v>0</v>
      </c>
      <c r="P85" s="201"/>
      <c r="Q85" s="181">
        <f>SUMIF('04.conso TB'!A:A,'Apr-26'!B85,'04.conso TB'!U:U)/10^5</f>
        <v>0</v>
      </c>
      <c r="R85" s="202"/>
      <c r="S85" s="180">
        <f t="shared" si="412"/>
        <v>0</v>
      </c>
      <c r="T85" s="201"/>
      <c r="U85" s="183">
        <f>SUMIF('04.conso TB'!A:A,'Apr-26'!B85,'04.conso TB'!V:V)/10^5</f>
        <v>0</v>
      </c>
      <c r="V85" s="202"/>
      <c r="W85" s="180">
        <f t="shared" si="413"/>
        <v>0.105</v>
      </c>
      <c r="X85" s="201"/>
      <c r="Y85" s="181">
        <f>SUMIF('04.conso TB'!A:A,'Apr-26'!B85,'04.conso TB'!G:G)/10^5</f>
        <v>0.105</v>
      </c>
      <c r="Z85" s="203"/>
      <c r="AA85" s="185"/>
      <c r="AB85" s="180">
        <f t="shared" si="414"/>
        <v>11.4163915</v>
      </c>
      <c r="AC85" s="201"/>
      <c r="AD85" s="187">
        <f>E85+I85+M85+Q85+U85+Y85</f>
        <v>11.4163915</v>
      </c>
      <c r="AE85" s="203"/>
      <c r="AF85" s="186"/>
      <c r="AG85" s="180">
        <f t="shared" si="415"/>
        <v>5.2760000000000001E-2</v>
      </c>
      <c r="AH85" s="201"/>
      <c r="AI85" s="183">
        <f>SUMIF('04.conso TB'!A:A,'Apr-26'!B85,'04.conso TB'!Q:Q)/10^5</f>
        <v>5.2760000000000001E-2</v>
      </c>
      <c r="AJ85" s="203"/>
      <c r="AK85" s="186"/>
      <c r="AL85" s="180">
        <f t="shared" si="416"/>
        <v>3.3022564000000001</v>
      </c>
      <c r="AM85" s="201"/>
      <c r="AN85" s="181">
        <f>SUMIF('04.conso TB'!A:A,'Apr-26'!B85,'04.conso TB'!W:W)/10^5</f>
        <v>3.3022564000000001</v>
      </c>
      <c r="AO85" s="203"/>
      <c r="AP85" s="545"/>
      <c r="AQ85" s="180">
        <f t="shared" si="417"/>
        <v>12.187661600000002</v>
      </c>
      <c r="AR85" s="201"/>
      <c r="AS85" s="183">
        <f>SUMIF('04.conso TB'!A:A,'Apr-26'!B85,'04.conso TB'!M:M)/10^5</f>
        <v>12.187661600000002</v>
      </c>
      <c r="AT85" s="203"/>
      <c r="AU85" s="180">
        <f t="shared" si="418"/>
        <v>0</v>
      </c>
      <c r="AV85" s="201"/>
      <c r="AW85" s="183">
        <f>SUMIF('04.conso TB'!A:A,'Apr-26'!B85,'04.conso TB'!P:P)/10^5</f>
        <v>0</v>
      </c>
      <c r="AX85" s="203"/>
      <c r="AY85" s="189"/>
      <c r="AZ85" s="180">
        <f t="shared" si="419"/>
        <v>12.187661600000002</v>
      </c>
      <c r="BA85" s="201"/>
      <c r="BB85" s="190">
        <f t="shared" si="408"/>
        <v>12.187661600000002</v>
      </c>
      <c r="BC85" s="203"/>
      <c r="BD85" s="191"/>
      <c r="BE85" s="180">
        <f t="shared" si="420"/>
        <v>0</v>
      </c>
      <c r="BF85" s="201"/>
      <c r="BG85" s="183"/>
      <c r="BH85" s="203"/>
      <c r="BI85" s="180">
        <f t="shared" si="421"/>
        <v>0</v>
      </c>
      <c r="BJ85" s="201"/>
      <c r="BK85" s="183">
        <f>SUMIF('04.conso TB'!A:A,'Apr-26'!B85,'04.conso TB'!I:I)/10^5</f>
        <v>0</v>
      </c>
      <c r="BL85" s="203"/>
      <c r="BM85" s="180">
        <f t="shared" si="422"/>
        <v>0</v>
      </c>
      <c r="BN85" s="201"/>
      <c r="BO85" s="181">
        <f>SUMIF('04.conso TB'!A:A,'Apr-26'!B85,'04.conso TB'!J:J)/10^5</f>
        <v>0</v>
      </c>
      <c r="BP85" s="203"/>
      <c r="BQ85" s="192"/>
      <c r="BR85" s="180">
        <f t="shared" si="423"/>
        <v>0</v>
      </c>
      <c r="BS85" s="201"/>
      <c r="BT85" s="183">
        <f t="shared" si="19"/>
        <v>0</v>
      </c>
      <c r="BU85" s="203"/>
      <c r="BV85" s="196"/>
      <c r="BW85" s="180">
        <f t="shared" si="424"/>
        <v>0</v>
      </c>
      <c r="BX85" s="201"/>
      <c r="BY85" s="183">
        <f>SUMIF('04.conso TB'!A:A,'Apr-26'!B85,'04.conso TB'!L:L)/10^5</f>
        <v>0</v>
      </c>
      <c r="BZ85" s="203"/>
      <c r="CA85" s="191"/>
      <c r="CB85" s="180">
        <f t="shared" si="425"/>
        <v>0</v>
      </c>
      <c r="CC85" s="346"/>
      <c r="CD85" s="186"/>
      <c r="CE85" s="187">
        <f>AB85+AG85+AL85+AZ85+BR85+BW85</f>
        <v>26.959069500000002</v>
      </c>
      <c r="CF85" s="201"/>
      <c r="CG85" s="187">
        <f>AD85+AI85+AN85+BB85+BT85+BY85</f>
        <v>26.959069500000002</v>
      </c>
      <c r="CH85" s="203"/>
    </row>
    <row r="86" spans="1:86" s="204" customFormat="1" ht="15.5" x14ac:dyDescent="0.35">
      <c r="B86" s="197" t="s">
        <v>530</v>
      </c>
      <c r="C86" s="180">
        <f t="shared" si="407"/>
        <v>0</v>
      </c>
      <c r="D86" s="182"/>
      <c r="E86" s="181">
        <f>SUMIF('04.conso TB'!A:A,'Apr-26'!B86,'04.conso TB'!R:R)/10^5</f>
        <v>0</v>
      </c>
      <c r="F86" s="184"/>
      <c r="G86" s="180">
        <f t="shared" si="409"/>
        <v>0</v>
      </c>
      <c r="H86" s="201"/>
      <c r="I86" s="181">
        <f>SUMIF('04.conso TB'!A:A,'Apr-26'!B86,'04.conso TB'!S:S)/10^5</f>
        <v>0</v>
      </c>
      <c r="J86" s="202"/>
      <c r="K86" s="180">
        <f t="shared" si="410"/>
        <v>0</v>
      </c>
      <c r="L86" s="201"/>
      <c r="M86" s="181">
        <f>SUMIF('04.conso TB'!A:A,'Apr-26'!B86,'04.conso TB'!T:T)/10^5</f>
        <v>0</v>
      </c>
      <c r="N86" s="202"/>
      <c r="O86" s="180">
        <f t="shared" si="411"/>
        <v>0</v>
      </c>
      <c r="P86" s="201"/>
      <c r="Q86" s="181">
        <f>SUMIF('04.conso TB'!A:A,'Apr-26'!B86,'04.conso TB'!U:U)/10^5</f>
        <v>0</v>
      </c>
      <c r="R86" s="202"/>
      <c r="S86" s="180">
        <f t="shared" si="412"/>
        <v>0</v>
      </c>
      <c r="T86" s="201"/>
      <c r="U86" s="183">
        <f>SUMIF('04.conso TB'!A:A,'Apr-26'!B86,'04.conso TB'!V:V)/10^5</f>
        <v>0</v>
      </c>
      <c r="V86" s="202"/>
      <c r="W86" s="180">
        <f t="shared" si="413"/>
        <v>0</v>
      </c>
      <c r="X86" s="201"/>
      <c r="Y86" s="181">
        <f>SUMIF('04.conso TB'!A:A,'Apr-26'!B86,'04.conso TB'!G:G)/10^5</f>
        <v>0</v>
      </c>
      <c r="Z86" s="203"/>
      <c r="AA86" s="185"/>
      <c r="AB86" s="180">
        <f t="shared" si="414"/>
        <v>0</v>
      </c>
      <c r="AC86" s="201"/>
      <c r="AD86" s="187">
        <f>E86+I86+M86+Q86+U86+Y86</f>
        <v>0</v>
      </c>
      <c r="AE86" s="203"/>
      <c r="AF86" s="206"/>
      <c r="AG86" s="180">
        <f t="shared" si="415"/>
        <v>0</v>
      </c>
      <c r="AH86" s="201"/>
      <c r="AI86" s="183">
        <f>SUMIF('04.conso TB'!A:A,'Apr-26'!B86,'04.conso TB'!Q:Q)/10^5</f>
        <v>0</v>
      </c>
      <c r="AJ86" s="203"/>
      <c r="AK86" s="186"/>
      <c r="AL86" s="180">
        <f t="shared" si="416"/>
        <v>0</v>
      </c>
      <c r="AM86" s="201"/>
      <c r="AN86" s="181">
        <f>SUMIF('04.conso TB'!A:A,'Apr-26'!B86,'04.conso TB'!W:W)/10^5</f>
        <v>0</v>
      </c>
      <c r="AO86" s="203"/>
      <c r="AP86" s="545"/>
      <c r="AQ86" s="180">
        <f t="shared" si="417"/>
        <v>0</v>
      </c>
      <c r="AR86" s="201"/>
      <c r="AS86" s="183">
        <f>SUMIF('04.conso TB'!A:A,'Apr-26'!B86,'04.conso TB'!M:M)/10^5</f>
        <v>0</v>
      </c>
      <c r="AT86" s="203"/>
      <c r="AU86" s="180">
        <f t="shared" si="418"/>
        <v>0</v>
      </c>
      <c r="AV86" s="201"/>
      <c r="AW86" s="183">
        <f>SUMIF('04.conso TB'!A:A,'Apr-26'!B86,'04.conso TB'!P:P)/10^5</f>
        <v>0</v>
      </c>
      <c r="AX86" s="203"/>
      <c r="AY86" s="189"/>
      <c r="AZ86" s="180">
        <f t="shared" si="419"/>
        <v>0</v>
      </c>
      <c r="BA86" s="201"/>
      <c r="BB86" s="190">
        <f t="shared" si="408"/>
        <v>0</v>
      </c>
      <c r="BC86" s="203"/>
      <c r="BD86" s="191"/>
      <c r="BE86" s="180">
        <f t="shared" si="420"/>
        <v>0</v>
      </c>
      <c r="BF86" s="201"/>
      <c r="BG86" s="183">
        <f>SUMIF('04.conso TB'!A:A,'Apr-26'!B86,'04.conso TB'!H:H)/10^5</f>
        <v>0</v>
      </c>
      <c r="BH86" s="203"/>
      <c r="BI86" s="180">
        <f t="shared" si="421"/>
        <v>0</v>
      </c>
      <c r="BJ86" s="201"/>
      <c r="BK86" s="183">
        <f>SUMIF('04.conso TB'!A:A,'Apr-26'!B86,'04.conso TB'!I:I)/10^5</f>
        <v>0</v>
      </c>
      <c r="BL86" s="203"/>
      <c r="BM86" s="180">
        <f t="shared" si="422"/>
        <v>0</v>
      </c>
      <c r="BN86" s="201"/>
      <c r="BO86" s="181">
        <f>SUMIF('04.conso TB'!A:A,'Apr-26'!B86,'04.conso TB'!J:J)/10^5</f>
        <v>0</v>
      </c>
      <c r="BP86" s="203"/>
      <c r="BQ86" s="192"/>
      <c r="BR86" s="180">
        <f t="shared" si="423"/>
        <v>0</v>
      </c>
      <c r="BS86" s="201"/>
      <c r="BT86" s="183">
        <f t="shared" si="19"/>
        <v>0</v>
      </c>
      <c r="BU86" s="203"/>
      <c r="BV86" s="196"/>
      <c r="BW86" s="180">
        <f t="shared" si="424"/>
        <v>0</v>
      </c>
      <c r="BX86" s="201"/>
      <c r="BY86" s="183">
        <f>SUMIF('04.conso TB'!A:A,'Apr-26'!B86,'04.conso TB'!L:L)/10^5</f>
        <v>0</v>
      </c>
      <c r="BZ86" s="203"/>
      <c r="CA86" s="191"/>
      <c r="CB86" s="180">
        <f t="shared" si="425"/>
        <v>0</v>
      </c>
      <c r="CC86" s="346"/>
      <c r="CD86" s="186"/>
      <c r="CE86" s="187">
        <f>AB86+AG86+AL86+AZ86+BR86+BW86</f>
        <v>0</v>
      </c>
      <c r="CF86" s="201"/>
      <c r="CG86" s="187">
        <f>AD86+AI86+AN86+BB86+BT86+BY86</f>
        <v>0</v>
      </c>
      <c r="CH86" s="203"/>
    </row>
    <row r="87" spans="1:86" s="204" customFormat="1" ht="16" thickBot="1" x14ac:dyDescent="0.4">
      <c r="A87" s="358"/>
      <c r="B87" s="197" t="s">
        <v>651</v>
      </c>
      <c r="C87" s="180">
        <f t="shared" si="407"/>
        <v>99.183244200000004</v>
      </c>
      <c r="D87" s="182"/>
      <c r="E87" s="200">
        <f>SUMIF('04.conso TB'!A:A,'Apr-26'!B87,'04.conso TB'!R:R)/10^5</f>
        <v>99.183244200000004</v>
      </c>
      <c r="F87" s="184"/>
      <c r="G87" s="180">
        <f t="shared" si="409"/>
        <v>0.98145730000000009</v>
      </c>
      <c r="H87" s="201"/>
      <c r="I87" s="181">
        <f>SUMIF('04.conso TB'!A:A,'Apr-26'!B87,'04.conso TB'!S:S)/10^5</f>
        <v>0.98145730000000009</v>
      </c>
      <c r="J87" s="202"/>
      <c r="K87" s="180">
        <f t="shared" si="410"/>
        <v>21.144745099999998</v>
      </c>
      <c r="L87" s="201"/>
      <c r="M87" s="181">
        <f>SUMIF('04.conso TB'!A:A,'Apr-26'!B87,'04.conso TB'!T:T)/10^5</f>
        <v>21.144745099999998</v>
      </c>
      <c r="N87" s="202"/>
      <c r="O87" s="180">
        <f t="shared" si="411"/>
        <v>0.43331480000000006</v>
      </c>
      <c r="P87" s="201"/>
      <c r="Q87" s="181">
        <f>SUMIF('04.conso TB'!A:A,'Apr-26'!B87,'04.conso TB'!U:U)/10^5</f>
        <v>0.43331480000000006</v>
      </c>
      <c r="R87" s="202"/>
      <c r="S87" s="180">
        <f t="shared" si="412"/>
        <v>0</v>
      </c>
      <c r="T87" s="201"/>
      <c r="U87" s="183">
        <f>SUMIF('04.conso TB'!A:A,'Apr-26'!B87,'04.conso TB'!V:V)/10^5</f>
        <v>0</v>
      </c>
      <c r="V87" s="202"/>
      <c r="W87" s="180">
        <f t="shared" si="413"/>
        <v>0</v>
      </c>
      <c r="X87" s="201"/>
      <c r="Y87" s="181">
        <f>SUMIF('04.conso TB'!A:A,'Apr-26'!B87,'04.conso TB'!G:G)/10^5</f>
        <v>0</v>
      </c>
      <c r="Z87" s="203"/>
      <c r="AA87" s="185"/>
      <c r="AB87" s="180">
        <f t="shared" si="414"/>
        <v>121.74276140000001</v>
      </c>
      <c r="AC87" s="201"/>
      <c r="AD87" s="187">
        <f>E87+I87+M87+Q87+U87+Y87</f>
        <v>121.74276140000001</v>
      </c>
      <c r="AE87" s="203"/>
      <c r="AF87" s="206"/>
      <c r="AG87" s="180">
        <f t="shared" si="415"/>
        <v>20.396940000000001</v>
      </c>
      <c r="AH87" s="201"/>
      <c r="AI87" s="183">
        <f>SUMIF('04.conso TB'!A:A,'Apr-26'!B87,'04.conso TB'!Q:Q)/10^5</f>
        <v>20.396940000000001</v>
      </c>
      <c r="AJ87" s="203"/>
      <c r="AK87" s="186"/>
      <c r="AL87" s="180">
        <f t="shared" si="416"/>
        <v>20.093296200000001</v>
      </c>
      <c r="AM87" s="201"/>
      <c r="AN87" s="181">
        <f>SUMIF('04.conso TB'!A:A,'Apr-26'!B87,'04.conso TB'!W:W)/10^5</f>
        <v>20.093296200000001</v>
      </c>
      <c r="AO87" s="203"/>
      <c r="AP87" s="545"/>
      <c r="AQ87" s="180">
        <f t="shared" si="417"/>
        <v>46.296202300000004</v>
      </c>
      <c r="AR87" s="201"/>
      <c r="AS87" s="183">
        <f>SUMIF('04.conso TB'!A:A,'Apr-26'!B87,'04.conso TB'!M:M)/10^5</f>
        <v>46.296202300000004</v>
      </c>
      <c r="AT87" s="203"/>
      <c r="AU87" s="180">
        <f t="shared" si="418"/>
        <v>1.3714104999999999</v>
      </c>
      <c r="AV87" s="201"/>
      <c r="AW87" s="183">
        <f>SUMIF('04.conso TB'!A:A,'Apr-26'!B87,'04.conso TB'!P:P)/10^5</f>
        <v>1.3714104999999999</v>
      </c>
      <c r="AX87" s="203"/>
      <c r="AY87" s="189"/>
      <c r="AZ87" s="180">
        <f t="shared" si="419"/>
        <v>47.667612800000008</v>
      </c>
      <c r="BA87" s="201"/>
      <c r="BB87" s="190">
        <f t="shared" si="408"/>
        <v>47.667612800000008</v>
      </c>
      <c r="BC87" s="203"/>
      <c r="BD87" s="191"/>
      <c r="BE87" s="180">
        <f t="shared" si="420"/>
        <v>36.801485</v>
      </c>
      <c r="BF87" s="201"/>
      <c r="BG87" s="183">
        <v>36.801485</v>
      </c>
      <c r="BH87" s="203"/>
      <c r="BI87" s="180">
        <f t="shared" si="421"/>
        <v>0</v>
      </c>
      <c r="BJ87" s="207"/>
      <c r="BK87" s="183">
        <f>SUMIF('04.conso TB'!A:A,'Apr-26'!B87,'04.conso TB'!I:I)/10^5</f>
        <v>0</v>
      </c>
      <c r="BL87" s="208"/>
      <c r="BM87" s="180">
        <f t="shared" si="422"/>
        <v>0</v>
      </c>
      <c r="BN87" s="201"/>
      <c r="BO87" s="181">
        <f>SUMIF('04.conso TB'!A:A,'Apr-26'!B87,'04.conso TB'!J:J)/10^5</f>
        <v>0</v>
      </c>
      <c r="BP87" s="203"/>
      <c r="BQ87" s="192"/>
      <c r="BR87" s="180">
        <f t="shared" si="423"/>
        <v>36.801485</v>
      </c>
      <c r="BS87" s="201"/>
      <c r="BT87" s="183">
        <f t="shared" si="19"/>
        <v>36.801485</v>
      </c>
      <c r="BU87" s="203"/>
      <c r="BV87" s="196"/>
      <c r="BW87" s="180">
        <f t="shared" si="424"/>
        <v>0</v>
      </c>
      <c r="BX87" s="201"/>
      <c r="BY87" s="183">
        <f>SUMIF('04.conso TB'!A:A,'Apr-26'!B87,'04.conso TB'!L:L)/10^5</f>
        <v>0</v>
      </c>
      <c r="BZ87" s="203"/>
      <c r="CA87" s="191"/>
      <c r="CB87" s="180">
        <f t="shared" si="425"/>
        <v>0</v>
      </c>
      <c r="CC87" s="525"/>
      <c r="CD87" s="186"/>
      <c r="CE87" s="187">
        <f>AB87+AG87+AL87+AZ87+BR87+BW87</f>
        <v>246.70209540000002</v>
      </c>
      <c r="CF87" s="201"/>
      <c r="CG87" s="187">
        <f>AD87+AI87+AN87+BB87+BT87+BY87</f>
        <v>246.70209540000002</v>
      </c>
      <c r="CH87" s="203"/>
    </row>
    <row r="88" spans="1:86" s="286" customFormat="1" ht="16" thickBot="1" x14ac:dyDescent="0.4">
      <c r="A88" s="87"/>
      <c r="B88" s="90" t="s">
        <v>531</v>
      </c>
      <c r="C88" s="91">
        <f>C82-C83-C84-C86-C87-C85</f>
        <v>604.4411296754995</v>
      </c>
      <c r="D88" s="95"/>
      <c r="E88" s="91">
        <f>E82-E83-E84-E86-E87-E85</f>
        <v>604.4411296754995</v>
      </c>
      <c r="F88" s="413"/>
      <c r="G88" s="91">
        <f>G82-G83-G84-G86-G87-G85</f>
        <v>218.65361829000031</v>
      </c>
      <c r="H88" s="92"/>
      <c r="I88" s="91">
        <f>I82-I83-I84-I86-I87-I85</f>
        <v>218.65361829000031</v>
      </c>
      <c r="J88" s="93"/>
      <c r="K88" s="91">
        <f>K82-K83-K84-K86-K87-K85</f>
        <v>15.992644700000001</v>
      </c>
      <c r="L88" s="92"/>
      <c r="M88" s="91">
        <f>M82-M83-M84-M86-M87-M85</f>
        <v>15.992644700000001</v>
      </c>
      <c r="N88" s="93"/>
      <c r="O88" s="91">
        <f>O82-O83-O84-O86-O87-O85</f>
        <v>133.93357161530056</v>
      </c>
      <c r="P88" s="92"/>
      <c r="Q88" s="91">
        <f>Q82-Q83-Q84-Q86-Q87-Q85</f>
        <v>133.93357161530056</v>
      </c>
      <c r="R88" s="93"/>
      <c r="S88" s="91">
        <f>S82-S83-S84-S86-S87-S85</f>
        <v>-18.961648899999986</v>
      </c>
      <c r="T88" s="92"/>
      <c r="U88" s="91">
        <f>U82-U83-U84-U86-U87-U85</f>
        <v>-18.961648899999986</v>
      </c>
      <c r="V88" s="93"/>
      <c r="W88" s="91">
        <f>W82-W83-W84-W86-W87-W85</f>
        <v>33.86870230000001</v>
      </c>
      <c r="X88" s="92"/>
      <c r="Y88" s="91">
        <f>Y82-Y83-Y84-Y86-Y87-Y85</f>
        <v>33.86870230000001</v>
      </c>
      <c r="Z88" s="84"/>
      <c r="AA88" s="94"/>
      <c r="AB88" s="91">
        <f>AB82-AB83-AB84-AB86-AB87-AB85</f>
        <v>987.92801768079983</v>
      </c>
      <c r="AC88" s="95">
        <f>AD88/AD46</f>
        <v>0.18883973501970427</v>
      </c>
      <c r="AD88" s="91">
        <f>AD82-AD83-AD84-AD86-AD87-AD85</f>
        <v>987.92801768079983</v>
      </c>
      <c r="AE88" s="84"/>
      <c r="AF88" s="96"/>
      <c r="AG88" s="91">
        <f>AG82-AG83-AG84-AG86-AG87-AG85</f>
        <v>51.229444883488135</v>
      </c>
      <c r="AH88" s="92"/>
      <c r="AI88" s="91">
        <f>AI82-AI83-AI84-AI86-AI87-AI85</f>
        <v>51.229444883488135</v>
      </c>
      <c r="AJ88" s="84"/>
      <c r="AK88" s="78"/>
      <c r="AL88" s="91">
        <f>AL82-AL83-AL84-AL86-AL87-AL85</f>
        <v>140.97763232161904</v>
      </c>
      <c r="AM88" s="92"/>
      <c r="AN88" s="91">
        <f>AN82-AN83-AN84-AN86-AN87-AN85</f>
        <v>140.97763232161904</v>
      </c>
      <c r="AO88" s="84"/>
      <c r="AP88" s="88"/>
      <c r="AQ88" s="91">
        <f>AQ82-AQ83-AQ84-AQ86-AQ87-AQ85</f>
        <v>505.99821739599969</v>
      </c>
      <c r="AR88" s="92"/>
      <c r="AS88" s="91">
        <f>AS82-AS83-AS84-AS86-AS87-AS85</f>
        <v>505.99821739599969</v>
      </c>
      <c r="AT88" s="84"/>
      <c r="AU88" s="91">
        <f>AU82-AU83-AU84-AU86-AU87-AU85</f>
        <v>119.87333880557995</v>
      </c>
      <c r="AV88" s="92"/>
      <c r="AW88" s="91">
        <f>AW82-AW83-AW84-AW86-AW87-AW85</f>
        <v>119.87333880557995</v>
      </c>
      <c r="AX88" s="84"/>
      <c r="AY88" s="97"/>
      <c r="AZ88" s="91">
        <f>AZ82-AZ83-AZ84-AZ86-AZ87-AZ85</f>
        <v>625.87155620157989</v>
      </c>
      <c r="BA88" s="92"/>
      <c r="BB88" s="91">
        <f>BB82-BB83-BB84-BB86-BB87-BB85</f>
        <v>625.87155620157989</v>
      </c>
      <c r="BC88" s="84"/>
      <c r="BD88" s="89"/>
      <c r="BE88" s="91">
        <f>BE82-BE83-BE84-BE86-BE87-BE85</f>
        <v>-11.892946999999864</v>
      </c>
      <c r="BF88" s="98"/>
      <c r="BG88" s="91">
        <f>BG82-BG83-BG84-BG86-BG87-BG85</f>
        <v>-11.892946999999864</v>
      </c>
      <c r="BH88" s="99"/>
      <c r="BI88" s="91">
        <f>BI82-BI83-BI84-BI86-BI87-BI85</f>
        <v>-6.1781505000000081</v>
      </c>
      <c r="BJ88" s="100"/>
      <c r="BK88" s="91">
        <f>BK82-BK83-BK84-BK86-BK87-BK85</f>
        <v>-6.1781505000000081</v>
      </c>
      <c r="BL88" s="101"/>
      <c r="BM88" s="91">
        <f>BM82-BM83-BM84-BM86-BM87-BM85</f>
        <v>7.6170000000000002E-2</v>
      </c>
      <c r="BN88" s="92"/>
      <c r="BO88" s="91">
        <f>BO82-BO83-BO84-BO86-BO87-BO85</f>
        <v>7.6170000000000002E-2</v>
      </c>
      <c r="BP88" s="84"/>
      <c r="BQ88" s="102">
        <f>BQ82-BQ83</f>
        <v>0</v>
      </c>
      <c r="BR88" s="91">
        <f>BR82-BR83-BR84-BR86-BR87-BR85</f>
        <v>-17.994927499999946</v>
      </c>
      <c r="BS88" s="92"/>
      <c r="BT88" s="183">
        <f t="shared" ref="BT88:BT89" si="426">BG88+BK88+BO88-BQ88</f>
        <v>-17.994927499999871</v>
      </c>
      <c r="BU88" s="84"/>
      <c r="BV88" s="103"/>
      <c r="BW88" s="91">
        <f>BW82-BW83-BW84-BW86-BW87-BW85</f>
        <v>52.699453600000197</v>
      </c>
      <c r="BX88" s="92"/>
      <c r="BY88" s="91">
        <f>BY82-BY83-BY84-BY86-BY87-BY85</f>
        <v>52.699453600000197</v>
      </c>
      <c r="BZ88" s="84"/>
      <c r="CA88" s="79"/>
      <c r="CB88" s="91">
        <f>CB82-CB83-CB84-CB86-CB87-CB85</f>
        <v>0</v>
      </c>
      <c r="CC88" s="438"/>
      <c r="CD88" s="78"/>
      <c r="CE88" s="91">
        <f>CE82-CE83-CE84-CE86-CE87-CE85</f>
        <v>1840.711177187485</v>
      </c>
      <c r="CF88" s="92"/>
      <c r="CG88" s="91">
        <f>CG82-CG83-CG84-CG86-CG87-CG85</f>
        <v>1840.711177187485</v>
      </c>
      <c r="CH88" s="84"/>
    </row>
    <row r="89" spans="1:86" s="286" customFormat="1" ht="16" thickBot="1" x14ac:dyDescent="0.4">
      <c r="A89" s="87"/>
      <c r="B89" s="104" t="s">
        <v>532</v>
      </c>
      <c r="C89" s="105">
        <f>C88+C83</f>
        <v>604.4411296754995</v>
      </c>
      <c r="D89" s="111"/>
      <c r="E89" s="292">
        <f>E88+E83</f>
        <v>604.4411296754995</v>
      </c>
      <c r="F89" s="111"/>
      <c r="G89" s="105">
        <f>G88+G83</f>
        <v>218.65361829000031</v>
      </c>
      <c r="H89" s="100"/>
      <c r="I89" s="292">
        <f>I88+I83</f>
        <v>218.65361829000031</v>
      </c>
      <c r="J89" s="106"/>
      <c r="K89" s="105">
        <f>K88+K83</f>
        <v>15.992644700000001</v>
      </c>
      <c r="L89" s="100"/>
      <c r="M89" s="105">
        <f>M88+M83</f>
        <v>15.992644700000001</v>
      </c>
      <c r="N89" s="106"/>
      <c r="O89" s="105">
        <f>O88+O83</f>
        <v>133.93357161530056</v>
      </c>
      <c r="P89" s="100"/>
      <c r="Q89" s="292">
        <f>Q88+Q83</f>
        <v>133.93357161530056</v>
      </c>
      <c r="R89" s="106"/>
      <c r="S89" s="105">
        <f>S88+S83</f>
        <v>-18.961648899999986</v>
      </c>
      <c r="T89" s="100"/>
      <c r="U89" s="294">
        <f>U88+U83</f>
        <v>-18.961648899999986</v>
      </c>
      <c r="V89" s="108"/>
      <c r="W89" s="109">
        <f>W88+W83</f>
        <v>33.86870230000001</v>
      </c>
      <c r="X89" s="100"/>
      <c r="Y89" s="105">
        <f>Y88+Y83</f>
        <v>33.86870230000001</v>
      </c>
      <c r="Z89" s="108"/>
      <c r="AA89" s="110"/>
      <c r="AB89" s="127">
        <f>AB88+AB83</f>
        <v>987.92801768079983</v>
      </c>
      <c r="AC89" s="111"/>
      <c r="AD89" s="107">
        <f>AD88+AD83</f>
        <v>987.92801768079983</v>
      </c>
      <c r="AE89" s="112"/>
      <c r="AF89" s="96"/>
      <c r="AG89" s="109">
        <f>AG88+AG83</f>
        <v>51.229444883488135</v>
      </c>
      <c r="AH89" s="100"/>
      <c r="AI89" s="107">
        <f>AI88+AI83</f>
        <v>51.229444883488135</v>
      </c>
      <c r="AJ89" s="108"/>
      <c r="AK89" s="78"/>
      <c r="AL89" s="109">
        <f>AL88+AL83</f>
        <v>140.97763232161904</v>
      </c>
      <c r="AM89" s="100"/>
      <c r="AN89" s="292">
        <f>AN88+AN83</f>
        <v>140.97763232161904</v>
      </c>
      <c r="AO89" s="108"/>
      <c r="AP89" s="88"/>
      <c r="AQ89" s="109">
        <f>AQ88+AQ83</f>
        <v>505.99821739599969</v>
      </c>
      <c r="AR89" s="100"/>
      <c r="AS89" s="294">
        <f>AS88+AS83</f>
        <v>505.99821739599969</v>
      </c>
      <c r="AT89" s="101"/>
      <c r="AU89" s="109">
        <f>AU88+AU83</f>
        <v>119.87333880557995</v>
      </c>
      <c r="AV89" s="100"/>
      <c r="AW89" s="107">
        <f>AW88+AW83</f>
        <v>119.87333880557995</v>
      </c>
      <c r="AX89" s="108"/>
      <c r="AY89" s="88"/>
      <c r="AZ89" s="109">
        <f>AZ88+AZ83</f>
        <v>625.87155620157989</v>
      </c>
      <c r="BA89" s="113"/>
      <c r="BB89" s="114">
        <f>BB88+BB83</f>
        <v>625.87155620157989</v>
      </c>
      <c r="BC89" s="115"/>
      <c r="BD89" s="88"/>
      <c r="BE89" s="109">
        <f>BE88+BE83</f>
        <v>-11.892946999999864</v>
      </c>
      <c r="BF89" s="92"/>
      <c r="BG89" s="295">
        <f>BG88+BG83</f>
        <v>-11.892946999999864</v>
      </c>
      <c r="BH89" s="84"/>
      <c r="BI89" s="109">
        <f>BI88+BI83</f>
        <v>-6.1781505000000081</v>
      </c>
      <c r="BJ89" s="100"/>
      <c r="BK89" s="294">
        <f>BK88+BK83</f>
        <v>-6.1781505000000081</v>
      </c>
      <c r="BL89" s="108"/>
      <c r="BM89" s="109">
        <f>BM88+BM83</f>
        <v>7.6170000000000002E-2</v>
      </c>
      <c r="BN89" s="100"/>
      <c r="BO89" s="292">
        <f>BO88+BO83</f>
        <v>7.6170000000000002E-2</v>
      </c>
      <c r="BP89" s="101"/>
      <c r="BQ89" s="116"/>
      <c r="BR89" s="109">
        <f>BR88+BR83</f>
        <v>-17.994927499999946</v>
      </c>
      <c r="BS89" s="113"/>
      <c r="BT89" s="183">
        <f t="shared" si="426"/>
        <v>-17.994927499999871</v>
      </c>
      <c r="BU89" s="115"/>
      <c r="BV89" s="103"/>
      <c r="BW89" s="109">
        <f>BW88+BW83</f>
        <v>52.699453600000197</v>
      </c>
      <c r="BX89" s="100"/>
      <c r="BY89" s="294">
        <f>BY88+BY83</f>
        <v>52.699453600000197</v>
      </c>
      <c r="BZ89" s="101"/>
      <c r="CA89" s="79"/>
      <c r="CB89" s="109">
        <f>CB88+CB83</f>
        <v>0</v>
      </c>
      <c r="CC89" s="526"/>
      <c r="CD89" s="78"/>
      <c r="CE89" s="127">
        <f>CE88+CE83</f>
        <v>1840.711177187485</v>
      </c>
      <c r="CF89" s="100"/>
      <c r="CG89" s="107">
        <f>CG88+CG83</f>
        <v>1840.711177187485</v>
      </c>
      <c r="CH89" s="108"/>
    </row>
    <row r="90" spans="1:86" x14ac:dyDescent="0.35">
      <c r="C90" s="60" t="s">
        <v>650</v>
      </c>
      <c r="E90" s="73" t="e">
        <f>#REF!+'Apr-26'!C82-'Apr-26'!E82</f>
        <v>#REF!</v>
      </c>
      <c r="I90" s="73" t="e">
        <f>#REF!+'Apr-26'!G82-'Apr-26'!I82</f>
        <v>#REF!</v>
      </c>
      <c r="M90" s="73" t="e">
        <f>#REF!+'Apr-26'!K82-'Apr-26'!M82</f>
        <v>#REF!</v>
      </c>
      <c r="Q90" s="73" t="e">
        <f>#REF!+'Apr-26'!O82-'Apr-26'!Q82</f>
        <v>#REF!</v>
      </c>
      <c r="U90" s="73" t="e">
        <f>#REF!+'Apr-26'!S82-'Apr-26'!U82</f>
        <v>#REF!</v>
      </c>
      <c r="Y90" s="73" t="e">
        <f>#REF!+'Apr-26'!W82-'Apr-26'!Y82</f>
        <v>#REF!</v>
      </c>
      <c r="AA90" s="28"/>
      <c r="AD90" s="73" t="e">
        <f>#REF!+'Apr-26'!AB82-'Apr-26'!AD82</f>
        <v>#REF!</v>
      </c>
      <c r="AI90" s="73" t="e">
        <f>#REF!+'Apr-26'!AG82-'Apr-26'!AI82</f>
        <v>#REF!</v>
      </c>
      <c r="AN90" s="73" t="e">
        <f>#REF!+'Apr-26'!AL82-'Apr-26'!AN82</f>
        <v>#REF!</v>
      </c>
      <c r="AS90" s="73" t="e">
        <f>#REF!+'Apr-26'!AQ82-'Apr-26'!AS82</f>
        <v>#REF!</v>
      </c>
      <c r="AW90" s="73" t="e">
        <f>#REF!+'Apr-26'!AU82-'Apr-26'!AW82</f>
        <v>#REF!</v>
      </c>
      <c r="BB90" s="73" t="e">
        <f>#REF!+'Apr-26'!AZ82-'Apr-26'!BB82</f>
        <v>#REF!</v>
      </c>
      <c r="BG90" s="73" t="e">
        <f>#REF!+'Apr-26'!BE82-'Apr-26'!BG82</f>
        <v>#REF!</v>
      </c>
      <c r="BK90" s="73" t="e">
        <f>#REF!+'Apr-26'!BI82-'Apr-26'!BK82</f>
        <v>#REF!</v>
      </c>
      <c r="BO90" s="73" t="e">
        <f>#REF!+'Apr-26'!BM82-'Apr-26'!BO82</f>
        <v>#REF!</v>
      </c>
      <c r="BT90" s="73" t="e">
        <f>#REF!+'Apr-26'!BR82-'Apr-26'!BT82</f>
        <v>#REF!</v>
      </c>
      <c r="BV90" s="21"/>
      <c r="BY90" s="73" t="e">
        <f>#REF!+'Apr-26'!BW82-'Apr-26'!BY82</f>
        <v>#REF!</v>
      </c>
      <c r="CG90" s="73" t="e">
        <f>#REF!+'Apr-26'!CE82-'Apr-26'!CG82</f>
        <v>#REF!</v>
      </c>
    </row>
    <row r="91" spans="1:86" x14ac:dyDescent="0.35">
      <c r="C91" s="60" t="s">
        <v>650</v>
      </c>
      <c r="E91" s="73" t="e">
        <f>#REF!+'Apr-26'!C88-'Apr-26'!E88</f>
        <v>#REF!</v>
      </c>
      <c r="I91" s="73" t="e">
        <f>#REF!+'Apr-26'!G88-'Apr-26'!I88</f>
        <v>#REF!</v>
      </c>
      <c r="M91" s="73" t="e">
        <f>#REF!+'Apr-26'!K88-'Apr-26'!M88</f>
        <v>#REF!</v>
      </c>
      <c r="Q91" s="73" t="e">
        <f>#REF!+'Apr-26'!O88-'Apr-26'!Q88</f>
        <v>#REF!</v>
      </c>
      <c r="U91" s="73" t="e">
        <f>#REF!+'Apr-26'!S88-'Apr-26'!U88</f>
        <v>#REF!</v>
      </c>
      <c r="Y91" s="73" t="e">
        <f>#REF!+'Apr-26'!W88-'Apr-26'!Y88</f>
        <v>#REF!</v>
      </c>
      <c r="AA91" s="28"/>
      <c r="AD91" s="73" t="e">
        <f>#REF!+'Apr-26'!AB88-'Apr-26'!AD88</f>
        <v>#REF!</v>
      </c>
      <c r="AI91" s="73" t="e">
        <f>#REF!+'Apr-26'!AG88-'Apr-26'!AI88</f>
        <v>#REF!</v>
      </c>
      <c r="AN91" s="73" t="e">
        <f>#REF!+'Apr-26'!AL88-'Apr-26'!AN88</f>
        <v>#REF!</v>
      </c>
      <c r="AS91" s="73" t="e">
        <f>#REF!+'Apr-26'!AQ88-'Apr-26'!AS88</f>
        <v>#REF!</v>
      </c>
      <c r="AW91" s="73" t="e">
        <f>#REF!+'Apr-26'!AU88-'Apr-26'!AW88</f>
        <v>#REF!</v>
      </c>
      <c r="BB91" s="73" t="e">
        <f>#REF!+'Apr-26'!AZ88-'Apr-26'!BB88</f>
        <v>#REF!</v>
      </c>
      <c r="BG91" s="73" t="e">
        <f>#REF!+'Apr-26'!BE88-'Apr-26'!BG88</f>
        <v>#REF!</v>
      </c>
      <c r="BK91" s="73" t="e">
        <f>#REF!+'Apr-26'!BI88-'Apr-26'!BK88</f>
        <v>#REF!</v>
      </c>
      <c r="BO91" s="73" t="e">
        <f>#REF!+'Apr-26'!BM88-'Apr-26'!BO88</f>
        <v>#REF!</v>
      </c>
      <c r="BT91" s="73" t="e">
        <f>#REF!+'Apr-26'!BR88-'Apr-26'!BT88</f>
        <v>#REF!</v>
      </c>
      <c r="BV91" s="21"/>
      <c r="BY91" s="73" t="e">
        <f>#REF!+'Apr-26'!BW88-'Apr-26'!BY88</f>
        <v>#REF!</v>
      </c>
      <c r="CE91" s="60">
        <f>+CE89-Summary!AC19</f>
        <v>1840.711177187485</v>
      </c>
      <c r="CG91" s="73" t="e">
        <f>#REF!+'Apr-26'!CE88-'Apr-26'!CG88</f>
        <v>#REF!</v>
      </c>
    </row>
    <row r="92" spans="1:86" ht="15.5" x14ac:dyDescent="0.35">
      <c r="E92" s="73"/>
      <c r="G92" s="80">
        <f>G81-G53+G52</f>
        <v>320.67549877999988</v>
      </c>
      <c r="O92" s="80">
        <f>O81-O53+O52</f>
        <v>123.9364940880001</v>
      </c>
      <c r="AA92" s="28"/>
      <c r="AF92" s="511">
        <f>AG92/$AG$1*10^5</f>
        <v>53.443328046494287</v>
      </c>
      <c r="AG92" s="80">
        <f>AG81-AG53+AG52</f>
        <v>196.419729136</v>
      </c>
      <c r="AL92" s="80">
        <f>AL81-AL53+AL52</f>
        <v>192.24241228</v>
      </c>
      <c r="AP92" s="60">
        <f>AQ92/AQ1*10^5</f>
        <v>87.049714589506337</v>
      </c>
      <c r="AQ92" s="80">
        <f>AQ81-AQ53+AQ52</f>
        <v>519.70855852800014</v>
      </c>
      <c r="AZ92" s="60">
        <f>AZ81-AZ53+AZ52</f>
        <v>773.37851582799999</v>
      </c>
      <c r="BB92" s="19"/>
      <c r="BV92" s="21"/>
      <c r="CD92" s="528"/>
      <c r="CE92" s="60">
        <f>CE81-CE53+CE52</f>
        <v>1755.2429641420008</v>
      </c>
      <c r="CG92" s="60">
        <f>+CG89-Summary!AD19</f>
        <v>1840.711177187485</v>
      </c>
    </row>
    <row r="93" spans="1:86" x14ac:dyDescent="0.35">
      <c r="E93" s="73"/>
      <c r="G93" s="80" t="e">
        <f>G92/G1*10^5</f>
        <v>#DIV/0!</v>
      </c>
      <c r="I93" s="73"/>
      <c r="M93" s="73"/>
      <c r="O93" s="80">
        <f>O92/O1*10^5</f>
        <v>36.179077220023153</v>
      </c>
      <c r="Q93" s="73"/>
      <c r="U93" s="73"/>
      <c r="Y93" s="73"/>
      <c r="AA93" s="28"/>
      <c r="AB93" s="73"/>
      <c r="AC93" s="73"/>
      <c r="AD93" s="73"/>
      <c r="AI93" s="73"/>
      <c r="AL93" s="80">
        <f>AL92/AL1*10^5</f>
        <v>43.530789150951939</v>
      </c>
      <c r="AN93" s="73"/>
      <c r="AS93" s="73"/>
      <c r="AW93" s="73"/>
      <c r="BB93" s="73"/>
      <c r="BG93" s="73"/>
      <c r="BK93" s="73"/>
      <c r="BM93" s="73"/>
      <c r="BO93" s="73"/>
      <c r="BP93" s="291"/>
      <c r="BT93" s="73"/>
      <c r="BU93" s="291"/>
      <c r="BV93" s="21"/>
      <c r="BY93" s="73"/>
      <c r="BZ93" s="73"/>
      <c r="CG93" s="73"/>
    </row>
    <row r="94" spans="1:86" x14ac:dyDescent="0.35">
      <c r="E94" s="73"/>
      <c r="I94" s="73"/>
      <c r="J94" s="30"/>
      <c r="M94" s="73"/>
      <c r="Q94" s="73"/>
      <c r="R94" s="30"/>
      <c r="U94" s="73"/>
      <c r="V94" s="30"/>
      <c r="Y94" s="73"/>
      <c r="Z94" s="30"/>
      <c r="AA94" s="28"/>
      <c r="AB94" s="73"/>
      <c r="AC94" s="30"/>
      <c r="AD94" s="73"/>
      <c r="AE94" s="30"/>
      <c r="AI94" s="73"/>
      <c r="AJ94" s="30"/>
      <c r="AN94" s="73"/>
      <c r="AO94" s="30"/>
      <c r="AS94" s="73"/>
      <c r="AT94" s="30"/>
      <c r="AW94" s="73"/>
      <c r="AX94" s="30"/>
      <c r="AY94" s="30"/>
      <c r="BB94" s="73"/>
      <c r="BC94" s="30"/>
      <c r="BD94" s="30"/>
      <c r="BG94" s="73"/>
      <c r="BH94" s="30"/>
      <c r="BK94" s="73"/>
      <c r="BL94" s="30"/>
      <c r="BM94" s="73"/>
      <c r="BN94" s="30"/>
      <c r="BO94" s="73"/>
      <c r="BP94" s="73"/>
      <c r="BT94" s="73"/>
      <c r="BU94" s="73"/>
      <c r="BV94" s="52"/>
      <c r="BX94" s="30"/>
      <c r="BY94" s="73"/>
      <c r="BZ94" s="73"/>
      <c r="CA94" s="30"/>
      <c r="CG94" s="73"/>
      <c r="CH94" s="30"/>
    </row>
    <row r="95" spans="1:86" x14ac:dyDescent="0.35">
      <c r="C95" s="17"/>
      <c r="E95" s="61"/>
      <c r="I95" s="81"/>
      <c r="M95" s="81"/>
      <c r="Q95" s="81"/>
      <c r="U95" s="61"/>
      <c r="Y95" s="81"/>
      <c r="AA95" s="28"/>
      <c r="AD95" s="61"/>
      <c r="AI95" s="61"/>
      <c r="AN95" s="81"/>
      <c r="AS95" s="61"/>
      <c r="AW95" s="61"/>
      <c r="BB95" s="31"/>
      <c r="BG95" s="61"/>
      <c r="BK95" s="61"/>
      <c r="BO95" s="81"/>
      <c r="BT95" s="61"/>
      <c r="BV95" s="21"/>
      <c r="BY95" s="61"/>
      <c r="CG95" s="61"/>
    </row>
    <row r="96" spans="1:86" x14ac:dyDescent="0.35">
      <c r="E96" s="61"/>
      <c r="I96" s="81"/>
      <c r="M96" s="81"/>
      <c r="Q96" s="81"/>
      <c r="U96" s="61"/>
      <c r="Y96" s="81"/>
      <c r="AA96" s="28"/>
      <c r="AD96" s="61"/>
      <c r="AI96" s="61"/>
      <c r="AN96" s="81"/>
      <c r="AS96" s="61"/>
      <c r="AW96" s="61"/>
      <c r="BB96" s="31"/>
      <c r="BG96" s="61"/>
      <c r="BK96" s="61"/>
      <c r="BO96" s="81"/>
      <c r="BT96" s="61"/>
      <c r="BV96" s="21"/>
      <c r="BY96" s="61"/>
      <c r="CG96" s="61"/>
    </row>
    <row r="97" spans="2:85" x14ac:dyDescent="0.35">
      <c r="E97" s="61"/>
      <c r="I97" s="81"/>
      <c r="M97" s="81"/>
      <c r="Q97" s="81"/>
      <c r="U97" s="61"/>
      <c r="Y97" s="81"/>
      <c r="AA97" s="28"/>
      <c r="AD97" s="61"/>
      <c r="AI97" s="61"/>
      <c r="AN97" s="81"/>
      <c r="AS97" s="61"/>
      <c r="AW97" s="61"/>
      <c r="BB97" s="31"/>
      <c r="BG97" s="61"/>
      <c r="BK97" s="61"/>
      <c r="BO97" s="81"/>
      <c r="BT97" s="61"/>
      <c r="BV97" s="21"/>
      <c r="BY97" s="61"/>
      <c r="CG97" s="61"/>
    </row>
    <row r="98" spans="2:85" x14ac:dyDescent="0.35">
      <c r="E98" s="61"/>
      <c r="I98" s="81"/>
      <c r="M98" s="81"/>
      <c r="Q98" s="81"/>
      <c r="U98" s="61"/>
      <c r="Y98" s="81"/>
      <c r="AA98" s="28"/>
      <c r="AD98" s="61"/>
      <c r="AI98" s="61"/>
      <c r="AN98" s="81"/>
      <c r="AS98" s="61"/>
      <c r="AW98" s="61"/>
      <c r="BB98" s="31"/>
      <c r="BG98" s="61"/>
      <c r="BK98" s="61"/>
      <c r="BO98" s="81"/>
      <c r="BT98" s="61"/>
      <c r="BV98" s="21"/>
      <c r="BY98" s="61"/>
      <c r="CG98" s="61"/>
    </row>
    <row r="99" spans="2:85" x14ac:dyDescent="0.35">
      <c r="AA99" s="28"/>
      <c r="BV99" s="21"/>
    </row>
    <row r="100" spans="2:85" ht="18.5" x14ac:dyDescent="0.45">
      <c r="AA100" s="28"/>
      <c r="AP100" s="32"/>
      <c r="BV100" s="21"/>
    </row>
    <row r="101" spans="2:85" x14ac:dyDescent="0.35">
      <c r="AA101" s="28"/>
      <c r="BQ101" s="33"/>
      <c r="BV101" s="21"/>
    </row>
    <row r="102" spans="2:85" x14ac:dyDescent="0.35">
      <c r="AA102" s="28"/>
      <c r="BV102" s="21"/>
    </row>
    <row r="103" spans="2:85" ht="15.5" x14ac:dyDescent="0.35">
      <c r="B103" s="333" t="s">
        <v>637</v>
      </c>
      <c r="C103" s="334"/>
      <c r="E103" s="335" t="s">
        <v>585</v>
      </c>
      <c r="I103" s="335" t="s">
        <v>586</v>
      </c>
      <c r="Q103" s="335" t="str">
        <f>+'Stock sheet'!A25</f>
        <v>HPBL4</v>
      </c>
      <c r="AA103" s="28"/>
      <c r="AI103" s="117" t="s">
        <v>593</v>
      </c>
      <c r="AN103" s="117" t="s">
        <v>534</v>
      </c>
      <c r="AS103" s="117" t="s">
        <v>587</v>
      </c>
      <c r="AW103" s="117" t="s">
        <v>589</v>
      </c>
      <c r="BG103" s="117" t="s">
        <v>590</v>
      </c>
      <c r="BK103" s="117" t="s">
        <v>591</v>
      </c>
      <c r="BO103" s="117" t="s">
        <v>592</v>
      </c>
      <c r="BV103" s="21"/>
      <c r="BY103" s="117" t="s">
        <v>610</v>
      </c>
    </row>
    <row r="104" spans="2:85" x14ac:dyDescent="0.35">
      <c r="B104" s="118" t="s">
        <v>462</v>
      </c>
      <c r="C104" s="119"/>
      <c r="AA104" s="28"/>
      <c r="BV104" s="21"/>
    </row>
    <row r="105" spans="2:85" x14ac:dyDescent="0.35">
      <c r="B105" s="275" t="s">
        <v>465</v>
      </c>
      <c r="C105" s="120"/>
      <c r="E105" s="60">
        <f>('Stock sheet'!B23)</f>
        <v>1183.6307590923002</v>
      </c>
      <c r="I105" s="80">
        <f>('Stock sheet'!B24)</f>
        <v>777.07440417999999</v>
      </c>
      <c r="Q105" s="80">
        <f>'Stock sheet'!B25</f>
        <v>311.59770216782988</v>
      </c>
      <c r="AA105" s="28"/>
      <c r="AI105" s="60">
        <f>+'Stock sheet'!B34</f>
        <v>21.170826430172962</v>
      </c>
      <c r="AN105" s="18">
        <f>'Stock sheet'!B33</f>
        <v>78.787351563410851</v>
      </c>
      <c r="AS105" s="60">
        <f>'Stock sheet'!B26</f>
        <v>784.09106046199997</v>
      </c>
      <c r="AW105" s="60">
        <f>'Stock sheet'!B28</f>
        <v>238.54651416477458</v>
      </c>
      <c r="BG105" s="60">
        <f>'Stock sheet'!B29</f>
        <v>168.89589000000001</v>
      </c>
      <c r="BK105" s="60">
        <f>'Stock sheet'!B30</f>
        <v>26.899460000000001</v>
      </c>
      <c r="BO105" s="80">
        <f>'Stock sheet'!B31</f>
        <v>22.118539999999999</v>
      </c>
      <c r="BV105" s="21"/>
    </row>
    <row r="106" spans="2:85" x14ac:dyDescent="0.35">
      <c r="B106" s="275" t="s">
        <v>467</v>
      </c>
      <c r="C106" s="120"/>
      <c r="E106" s="60">
        <f>('Stock sheet'!B39)</f>
        <v>7.8284832999999976</v>
      </c>
      <c r="Q106" s="80">
        <f>'Stock sheet'!B41</f>
        <v>12.59</v>
      </c>
      <c r="AA106" s="28"/>
      <c r="AI106" s="60">
        <f>+'Stock sheet'!B50</f>
        <v>17.46414</v>
      </c>
      <c r="AN106" s="18">
        <f>'Stock sheet'!B49</f>
        <v>13.2410292</v>
      </c>
      <c r="AS106" s="60">
        <f>'Stock sheet'!B42</f>
        <v>0</v>
      </c>
      <c r="BG106" s="60">
        <f>'Stock sheet'!B45</f>
        <v>0</v>
      </c>
      <c r="BO106" s="80">
        <f>'Stock sheet'!B47</f>
        <v>0</v>
      </c>
    </row>
    <row r="107" spans="2:85" ht="5.5" customHeight="1" x14ac:dyDescent="0.35">
      <c r="B107" s="275"/>
      <c r="C107" s="120"/>
      <c r="AA107" s="28"/>
      <c r="BW107" s="337"/>
    </row>
    <row r="108" spans="2:85" x14ac:dyDescent="0.35">
      <c r="B108" s="275" t="s">
        <v>425</v>
      </c>
      <c r="C108" s="120"/>
      <c r="E108" s="59">
        <f>SUMIF('04.conso TB'!A:A,'Apr-26'!B108,'04.conso TB'!R:R)/10^5</f>
        <v>2518.9524569999999</v>
      </c>
      <c r="I108" s="74">
        <f>SUMIF('04.conso TB'!A:A,'Apr-26'!B108,'04.conso TB'!S:S)/10^5</f>
        <v>801.81243419999998</v>
      </c>
      <c r="Q108" s="76">
        <f>SUMIF('04.conso TB'!A:A,'Apr-26'!B108,'04.conso TB'!U:U)/10^5</f>
        <v>884.40493249999997</v>
      </c>
      <c r="U108" s="75">
        <f>SUMIF('04.conso TB'!A:A,'Apr-26'!B108,'04.conso TB'!V:V)/10^5</f>
        <v>0</v>
      </c>
      <c r="Y108" s="76">
        <f>SUMIF('04.conso TB'!A:A,'Apr-26'!B108,'04.conso TB'!G:G)/10^5</f>
        <v>38.661603800000002</v>
      </c>
      <c r="AA108" s="28"/>
      <c r="AI108" s="75">
        <f>SUMIF('04.conso TB'!A:A,'Apr-26'!B108,'04.conso TB'!Q:Q)/10^5</f>
        <v>131.1236188</v>
      </c>
      <c r="AN108" s="76">
        <f>SUMIF('04.conso TB'!A:A,'Apr-26'!B108,'04.conso TB'!W:W)/10^5</f>
        <v>871.04390319999993</v>
      </c>
      <c r="AS108" s="183">
        <f>SUMIF('04.conso TB'!A:A,'Apr-26'!B108,'04.conso TB'!M:M)/10^5</f>
        <v>1186.4838868000002</v>
      </c>
      <c r="AW108" s="77">
        <f>SUMIF('04.conso TB'!A:A,'Apr-26'!B108,'04.conso TB'!P:P)/10^5</f>
        <v>696.6390652</v>
      </c>
      <c r="BG108" s="77">
        <f>SUMIF('04.conso TB'!A:A,'Apr-26'!B108,'04.conso TB'!H:H)/10^5</f>
        <v>1764.1646719</v>
      </c>
      <c r="BK108" s="183">
        <f>SUMIF('04.conso TB'!A:A,'Apr-26'!B108,'04.conso TB'!I:I)/10^5</f>
        <v>1.2405892999999999</v>
      </c>
      <c r="BO108" s="76">
        <f>SUMIF('04.conso TB'!A:A,'Apr-26'!B108,'04.conso TB'!J:J)/10^5</f>
        <v>0</v>
      </c>
      <c r="BW108" s="338"/>
      <c r="BY108" s="183">
        <f>SUMIF('04.conso TB'!A:A,'Apr-26'!B108,'04.conso TB'!L:L)/10^5</f>
        <v>1653.6819688999999</v>
      </c>
    </row>
    <row r="109" spans="2:85" x14ac:dyDescent="0.35">
      <c r="B109" s="275" t="s">
        <v>439</v>
      </c>
      <c r="C109" s="120"/>
      <c r="E109" s="59">
        <f>SUMIF('04.conso TB'!A:A,'Apr-26'!B109,'04.conso TB'!R:R)/10^5</f>
        <v>14.984194799999999</v>
      </c>
      <c r="I109" s="74">
        <f>SUMIF('04.conso TB'!A:A,'Apr-26'!B109,'04.conso TB'!S:S)/10^5</f>
        <v>2.42693</v>
      </c>
      <c r="Q109" s="76">
        <f>SUMIF('04.conso TB'!A:A,'Apr-26'!B109,'04.conso TB'!U:U)/10^5</f>
        <v>13.09873</v>
      </c>
      <c r="U109" s="75">
        <f>SUMIF('04.conso TB'!A:A,'Apr-26'!B109,'04.conso TB'!V:V)/10^5</f>
        <v>0</v>
      </c>
      <c r="Y109" s="76">
        <f>SUMIF('04.conso TB'!A:A,'Apr-26'!B109,'04.conso TB'!G:G)/10^5</f>
        <v>0</v>
      </c>
      <c r="AA109" s="28"/>
      <c r="AI109" s="75">
        <f>SUMIF('04.conso TB'!A:A,'Apr-26'!B109,'04.conso TB'!Q:Q)/10^5</f>
        <v>10.059333000000001</v>
      </c>
      <c r="AN109" s="76">
        <f>SUMIF('04.conso TB'!A:A,'Apr-26'!B109,'04.conso TB'!W:W)/10^5</f>
        <v>3.3546999999999998</v>
      </c>
      <c r="AS109" s="183">
        <f>SUMIF('04.conso TB'!A:A,'Apr-26'!B109,'04.conso TB'!M:M)/10^5</f>
        <v>11.273448</v>
      </c>
      <c r="AW109" s="77">
        <f>SUMIF('04.conso TB'!A:A,'Apr-26'!B109,'04.conso TB'!P:P)/10^5</f>
        <v>-9.2100000000000001E-2</v>
      </c>
      <c r="BG109" s="77">
        <f>SUMIF('04.conso TB'!A:A,'Apr-26'!B109,'04.conso TB'!H:H)/10^5</f>
        <v>5.3634300000000001</v>
      </c>
      <c r="BK109" s="183">
        <f>SUMIF('04.conso TB'!A:A,'Apr-26'!B109,'04.conso TB'!I:I)/10^5</f>
        <v>0</v>
      </c>
      <c r="BO109" s="76">
        <f>SUMIF('04.conso TB'!A:A,'Apr-26'!B109,'04.conso TB'!J:J)/10^5</f>
        <v>0</v>
      </c>
      <c r="BW109" s="338"/>
      <c r="BY109" s="183">
        <f>SUMIF('04.conso TB'!A:A,'Apr-26'!B109,'04.conso TB'!L:L)/10^5</f>
        <v>0</v>
      </c>
    </row>
    <row r="110" spans="2:85" x14ac:dyDescent="0.35">
      <c r="B110" s="275" t="s">
        <v>423</v>
      </c>
      <c r="C110" s="120"/>
      <c r="E110" s="59">
        <f>SUMIF('04.conso TB'!A:A,'Apr-26'!B110,'04.conso TB'!R:R)/10^5</f>
        <v>-10.976912799999997</v>
      </c>
      <c r="I110" s="74">
        <f>SUMIF('04.conso TB'!A:A,'Apr-26'!B110,'04.conso TB'!S:S)/10^5</f>
        <v>-3.4399322999999997</v>
      </c>
      <c r="Q110" s="76">
        <f>SUMIF('04.conso TB'!A:A,'Apr-26'!B110,'04.conso TB'!U:U)/10^5</f>
        <v>0.59625709999999998</v>
      </c>
      <c r="U110" s="75">
        <f>SUMIF('04.conso TB'!A:A,'Apr-26'!B110,'04.conso TB'!V:V)/10^5</f>
        <v>0</v>
      </c>
      <c r="Y110" s="76">
        <f>SUMIF('04.conso TB'!A:A,'Apr-26'!B110,'04.conso TB'!G:G)/10^5</f>
        <v>0</v>
      </c>
      <c r="AA110" s="28"/>
      <c r="AI110" s="75">
        <f>SUMIF('04.conso TB'!A:A,'Apr-26'!B110,'04.conso TB'!Q:Q)/10^5</f>
        <v>0.57853910000000008</v>
      </c>
      <c r="AN110" s="76">
        <f>SUMIF('04.conso TB'!A:A,'Apr-26'!B110,'04.conso TB'!W:W)/10^5</f>
        <v>2.0599999999999999E-5</v>
      </c>
      <c r="AS110" s="183">
        <f>SUMIF('04.conso TB'!A:A,'Apr-26'!B110,'04.conso TB'!M:M)/10^5</f>
        <v>2.3961842</v>
      </c>
      <c r="AW110" s="77">
        <f>SUMIF('04.conso TB'!A:A,'Apr-26'!B110,'04.conso TB'!P:P)/10^5</f>
        <v>2.34E-5</v>
      </c>
      <c r="BG110" s="77">
        <f>SUMIF('04.conso TB'!A:A,'Apr-26'!B110,'04.conso TB'!H:H)/10^5</f>
        <v>4.1330410000000004</v>
      </c>
      <c r="BK110" s="183">
        <f>SUMIF('04.conso TB'!A:A,'Apr-26'!B110,'04.conso TB'!I:I)/10^5</f>
        <v>7.3974100000000001E-2</v>
      </c>
      <c r="BO110" s="76">
        <f>SUMIF('04.conso TB'!A:A,'Apr-26'!B110,'04.conso TB'!J:J)/10^5</f>
        <v>0</v>
      </c>
      <c r="BW110" s="338"/>
      <c r="BY110" s="183">
        <f>SUMIF('04.conso TB'!A:A,'Apr-26'!B110,'04.conso TB'!L:L)/10^5</f>
        <v>0</v>
      </c>
    </row>
    <row r="111" spans="2:85" ht="7.5" customHeight="1" x14ac:dyDescent="0.35">
      <c r="B111" s="275"/>
      <c r="C111" s="120"/>
      <c r="AA111" s="28"/>
    </row>
    <row r="112" spans="2:85" s="313" customFormat="1" x14ac:dyDescent="0.35">
      <c r="B112" s="314" t="s">
        <v>471</v>
      </c>
      <c r="C112" s="315"/>
      <c r="D112" s="403"/>
      <c r="E112" s="317">
        <f>+'Stock sheet'!C23</f>
        <v>1596.0972546478001</v>
      </c>
      <c r="F112" s="403"/>
      <c r="G112" s="318"/>
      <c r="H112" s="316"/>
      <c r="I112" s="318">
        <f>+'Stock sheet'!C24</f>
        <v>785.18480854999984</v>
      </c>
      <c r="K112" s="318"/>
      <c r="L112" s="316"/>
      <c r="M112" s="318"/>
      <c r="O112" s="318"/>
      <c r="P112" s="316"/>
      <c r="Q112" s="349">
        <f>+'Stock sheet'!C25</f>
        <v>391.80278746664334</v>
      </c>
      <c r="S112" s="318"/>
      <c r="T112" s="316"/>
      <c r="U112" s="317"/>
      <c r="W112" s="318"/>
      <c r="X112" s="316"/>
      <c r="Y112" s="318"/>
      <c r="AA112" s="319"/>
      <c r="AB112" s="317"/>
      <c r="AD112" s="317"/>
      <c r="AG112" s="317"/>
      <c r="AH112" s="316"/>
      <c r="AI112" s="317">
        <f>+'Stock sheet'!C34</f>
        <v>83.56066079999998</v>
      </c>
      <c r="AL112" s="318"/>
      <c r="AM112" s="316"/>
      <c r="AN112" s="318">
        <f>+'Stock sheet'!C33</f>
        <v>163.54889901280086</v>
      </c>
      <c r="AQ112" s="317"/>
      <c r="AR112" s="316"/>
      <c r="AS112" s="317">
        <f>+'Stock sheet'!C26</f>
        <v>742.48235333400009</v>
      </c>
      <c r="AU112" s="317"/>
      <c r="AV112" s="316"/>
      <c r="AW112" s="317">
        <f>+'Stock sheet'!C28</f>
        <v>390.22932823144009</v>
      </c>
      <c r="AZ112" s="317"/>
      <c r="BA112" s="316"/>
      <c r="BE112" s="317"/>
      <c r="BF112" s="316"/>
      <c r="BG112" s="317">
        <f>+'Stock sheet'!C29</f>
        <v>802.99242000000004</v>
      </c>
      <c r="BI112" s="317"/>
      <c r="BJ112" s="316"/>
      <c r="BK112" s="350">
        <f>+'Stock sheet'!C30</f>
        <v>24.652909999999999</v>
      </c>
      <c r="BM112" s="317"/>
      <c r="BO112" s="318">
        <f>+'Stock sheet'!C31</f>
        <v>22.118539999999999</v>
      </c>
      <c r="BQ112" s="320"/>
      <c r="BR112" s="317"/>
      <c r="BS112" s="316"/>
      <c r="BT112" s="317"/>
      <c r="BW112" s="317"/>
      <c r="BY112" s="423">
        <v>0</v>
      </c>
      <c r="CB112" s="317"/>
      <c r="CC112" s="317"/>
      <c r="CE112" s="317"/>
      <c r="CF112" s="316"/>
      <c r="CG112" s="317"/>
    </row>
    <row r="113" spans="2:86" s="313" customFormat="1" x14ac:dyDescent="0.35">
      <c r="B113" s="321" t="s">
        <v>472</v>
      </c>
      <c r="C113" s="315"/>
      <c r="D113" s="403"/>
      <c r="E113" s="317">
        <f>+'Stock sheet'!C39</f>
        <v>6.1167381999999986</v>
      </c>
      <c r="F113" s="403"/>
      <c r="G113" s="318"/>
      <c r="H113" s="316"/>
      <c r="I113" s="318">
        <f>+'Stock sheet'!C40</f>
        <v>0</v>
      </c>
      <c r="K113" s="318"/>
      <c r="L113" s="316"/>
      <c r="M113" s="318"/>
      <c r="O113" s="318"/>
      <c r="P113" s="316"/>
      <c r="Q113" s="349">
        <f>+'Stock sheet'!C41</f>
        <v>12.87</v>
      </c>
      <c r="S113" s="318"/>
      <c r="T113" s="316"/>
      <c r="U113" s="317"/>
      <c r="W113" s="318"/>
      <c r="X113" s="316"/>
      <c r="Y113" s="318"/>
      <c r="AA113" s="319"/>
      <c r="AB113" s="317"/>
      <c r="AD113" s="317"/>
      <c r="AG113" s="317"/>
      <c r="AH113" s="316"/>
      <c r="AI113" s="317">
        <f>+'Stock sheet'!C50</f>
        <v>18.662769999999998</v>
      </c>
      <c r="AL113" s="318"/>
      <c r="AM113" s="316"/>
      <c r="AN113" s="318">
        <f>+'Stock sheet'!C49</f>
        <v>11.216302800000001</v>
      </c>
      <c r="AQ113" s="317"/>
      <c r="AR113" s="316"/>
      <c r="AS113" s="317">
        <f>+'Stock sheet'!C42</f>
        <v>0</v>
      </c>
      <c r="AU113" s="317"/>
      <c r="AV113" s="316"/>
      <c r="AW113" s="317">
        <f>+'Stock sheet'!C44</f>
        <v>0</v>
      </c>
      <c r="AZ113" s="317"/>
      <c r="BA113" s="316"/>
      <c r="BE113" s="317"/>
      <c r="BF113" s="316"/>
      <c r="BG113" s="317">
        <f>+'Stock sheet'!C45</f>
        <v>0</v>
      </c>
      <c r="BI113" s="317"/>
      <c r="BJ113" s="316"/>
      <c r="BK113" s="317">
        <f>+'Stock sheet'!C46</f>
        <v>0</v>
      </c>
      <c r="BM113" s="317"/>
      <c r="BO113" s="318">
        <f>+'Stock sheet'!C47</f>
        <v>0</v>
      </c>
      <c r="BQ113" s="320"/>
      <c r="BR113" s="317"/>
      <c r="BS113" s="316"/>
      <c r="BT113" s="317"/>
      <c r="BW113" s="317"/>
      <c r="BY113" s="317"/>
      <c r="CB113" s="317"/>
      <c r="CC113" s="317"/>
      <c r="CE113" s="317"/>
      <c r="CF113" s="316"/>
      <c r="CG113" s="317"/>
    </row>
    <row r="114" spans="2:86" s="40" customFormat="1" x14ac:dyDescent="0.35">
      <c r="B114" s="121" t="s">
        <v>473</v>
      </c>
      <c r="C114" s="122">
        <f>SUM(C105:C110)-SUM(C112:C113)</f>
        <v>0</v>
      </c>
      <c r="D114" s="404"/>
      <c r="E114" s="62">
        <f t="shared" ref="E114:AJ114" si="427">E105+E106+SUM(E108:E110)-E112-E113</f>
        <v>2112.2049885445003</v>
      </c>
      <c r="F114" s="404">
        <f t="shared" si="427"/>
        <v>0</v>
      </c>
      <c r="G114" s="82">
        <f t="shared" si="427"/>
        <v>0</v>
      </c>
      <c r="H114" s="39">
        <f t="shared" si="427"/>
        <v>0</v>
      </c>
      <c r="I114" s="82">
        <f t="shared" si="427"/>
        <v>792.68902752999998</v>
      </c>
      <c r="J114" s="39">
        <f t="shared" si="427"/>
        <v>0</v>
      </c>
      <c r="K114" s="82">
        <f t="shared" si="427"/>
        <v>0</v>
      </c>
      <c r="L114" s="39">
        <f t="shared" si="427"/>
        <v>0</v>
      </c>
      <c r="M114" s="82">
        <f t="shared" si="427"/>
        <v>0</v>
      </c>
      <c r="N114" s="39">
        <f t="shared" si="427"/>
        <v>0</v>
      </c>
      <c r="O114" s="82">
        <f t="shared" si="427"/>
        <v>0</v>
      </c>
      <c r="P114" s="39">
        <f t="shared" si="427"/>
        <v>0</v>
      </c>
      <c r="Q114" s="82">
        <f t="shared" si="427"/>
        <v>817.61483430118653</v>
      </c>
      <c r="R114" s="39">
        <f t="shared" si="427"/>
        <v>0</v>
      </c>
      <c r="S114" s="82">
        <f t="shared" si="427"/>
        <v>0</v>
      </c>
      <c r="T114" s="39">
        <f t="shared" si="427"/>
        <v>0</v>
      </c>
      <c r="U114" s="62">
        <f t="shared" si="427"/>
        <v>0</v>
      </c>
      <c r="V114" s="39">
        <f t="shared" si="427"/>
        <v>0</v>
      </c>
      <c r="W114" s="82">
        <f t="shared" si="427"/>
        <v>0</v>
      </c>
      <c r="X114" s="39">
        <f t="shared" si="427"/>
        <v>0</v>
      </c>
      <c r="Y114" s="82">
        <f t="shared" si="427"/>
        <v>38.661603800000002</v>
      </c>
      <c r="Z114" s="39">
        <f t="shared" si="427"/>
        <v>0</v>
      </c>
      <c r="AA114" s="39">
        <f t="shared" si="427"/>
        <v>0</v>
      </c>
      <c r="AB114" s="62">
        <f t="shared" si="427"/>
        <v>0</v>
      </c>
      <c r="AC114" s="39">
        <f t="shared" si="427"/>
        <v>0</v>
      </c>
      <c r="AD114" s="62">
        <f t="shared" si="427"/>
        <v>0</v>
      </c>
      <c r="AE114" s="39">
        <f t="shared" si="427"/>
        <v>0</v>
      </c>
      <c r="AF114" s="39">
        <f t="shared" si="427"/>
        <v>0</v>
      </c>
      <c r="AG114" s="62">
        <f t="shared" si="427"/>
        <v>0</v>
      </c>
      <c r="AH114" s="39">
        <f t="shared" si="427"/>
        <v>0</v>
      </c>
      <c r="AI114" s="62">
        <f t="shared" si="427"/>
        <v>78.173026530173004</v>
      </c>
      <c r="AJ114" s="39">
        <f t="shared" si="427"/>
        <v>0</v>
      </c>
      <c r="AK114" s="39">
        <f t="shared" ref="AK114:BP114" si="428">AK105+AK106+SUM(AK108:AK110)-AK112-AK113</f>
        <v>0</v>
      </c>
      <c r="AL114" s="82">
        <f t="shared" si="428"/>
        <v>0</v>
      </c>
      <c r="AM114" s="39">
        <f t="shared" si="428"/>
        <v>0</v>
      </c>
      <c r="AN114" s="82">
        <f t="shared" si="428"/>
        <v>791.66180275060992</v>
      </c>
      <c r="AO114" s="39">
        <f t="shared" si="428"/>
        <v>0</v>
      </c>
      <c r="AP114" s="549">
        <f t="shared" si="428"/>
        <v>0</v>
      </c>
      <c r="AQ114" s="62">
        <f t="shared" si="428"/>
        <v>0</v>
      </c>
      <c r="AR114" s="39">
        <f t="shared" si="428"/>
        <v>0</v>
      </c>
      <c r="AS114" s="62">
        <f t="shared" si="428"/>
        <v>1241.7622261280003</v>
      </c>
      <c r="AT114" s="39">
        <f t="shared" si="428"/>
        <v>0</v>
      </c>
      <c r="AU114" s="62">
        <f t="shared" si="428"/>
        <v>0</v>
      </c>
      <c r="AV114" s="39">
        <f t="shared" si="428"/>
        <v>0</v>
      </c>
      <c r="AW114" s="62">
        <f t="shared" si="428"/>
        <v>544.86417453333456</v>
      </c>
      <c r="AX114" s="39">
        <f t="shared" si="428"/>
        <v>0</v>
      </c>
      <c r="AY114" s="39">
        <f t="shared" si="428"/>
        <v>0</v>
      </c>
      <c r="AZ114" s="62">
        <f t="shared" si="428"/>
        <v>0</v>
      </c>
      <c r="BA114" s="39">
        <f t="shared" si="428"/>
        <v>0</v>
      </c>
      <c r="BB114" s="39">
        <f t="shared" si="428"/>
        <v>0</v>
      </c>
      <c r="BC114" s="39">
        <f t="shared" si="428"/>
        <v>0</v>
      </c>
      <c r="BD114" s="39">
        <f t="shared" si="428"/>
        <v>0</v>
      </c>
      <c r="BE114" s="62">
        <f t="shared" si="428"/>
        <v>0</v>
      </c>
      <c r="BF114" s="39">
        <f t="shared" si="428"/>
        <v>0</v>
      </c>
      <c r="BG114" s="62">
        <f t="shared" si="428"/>
        <v>1139.5646129000002</v>
      </c>
      <c r="BH114" s="39">
        <f t="shared" si="428"/>
        <v>0</v>
      </c>
      <c r="BI114" s="62">
        <f t="shared" si="428"/>
        <v>0</v>
      </c>
      <c r="BJ114" s="39">
        <f t="shared" si="428"/>
        <v>0</v>
      </c>
      <c r="BK114" s="62">
        <f t="shared" si="428"/>
        <v>3.5611134000000035</v>
      </c>
      <c r="BL114" s="39">
        <f t="shared" si="428"/>
        <v>0</v>
      </c>
      <c r="BM114" s="62">
        <f t="shared" si="428"/>
        <v>0</v>
      </c>
      <c r="BN114" s="39">
        <f t="shared" si="428"/>
        <v>0</v>
      </c>
      <c r="BO114" s="82">
        <f t="shared" si="428"/>
        <v>0</v>
      </c>
      <c r="BP114" s="39">
        <f t="shared" si="428"/>
        <v>0</v>
      </c>
      <c r="BQ114" s="39">
        <f t="shared" ref="BQ114:BU114" si="429">BQ105+BQ106+SUM(BQ108:BQ110)-BQ112-BQ113</f>
        <v>0</v>
      </c>
      <c r="BR114" s="62">
        <f t="shared" si="429"/>
        <v>0</v>
      </c>
      <c r="BS114" s="39">
        <f t="shared" si="429"/>
        <v>0</v>
      </c>
      <c r="BT114" s="62">
        <f t="shared" si="429"/>
        <v>0</v>
      </c>
      <c r="BU114" s="39">
        <f t="shared" si="429"/>
        <v>0</v>
      </c>
      <c r="BV114" s="39"/>
      <c r="BW114" s="62">
        <f t="shared" ref="BW114:CH114" si="430">BW105+BW106+SUM(BW108:BW110)-BW112-BW113</f>
        <v>0</v>
      </c>
      <c r="BX114" s="39">
        <f t="shared" si="430"/>
        <v>0</v>
      </c>
      <c r="BY114" s="62">
        <f t="shared" si="430"/>
        <v>1653.6819688999999</v>
      </c>
      <c r="BZ114" s="39">
        <f t="shared" si="430"/>
        <v>0</v>
      </c>
      <c r="CA114" s="39">
        <f t="shared" si="430"/>
        <v>0</v>
      </c>
      <c r="CB114" s="62">
        <f t="shared" si="430"/>
        <v>0</v>
      </c>
      <c r="CC114" s="62">
        <f t="shared" si="430"/>
        <v>0</v>
      </c>
      <c r="CD114" s="39"/>
      <c r="CE114" s="62">
        <f t="shared" si="430"/>
        <v>0</v>
      </c>
      <c r="CF114" s="39">
        <f t="shared" si="430"/>
        <v>0</v>
      </c>
      <c r="CG114" s="62">
        <f t="shared" si="430"/>
        <v>0</v>
      </c>
      <c r="CH114" s="39">
        <f t="shared" si="430"/>
        <v>0</v>
      </c>
    </row>
    <row r="115" spans="2:86" s="40" customFormat="1" x14ac:dyDescent="0.35">
      <c r="B115" s="311"/>
      <c r="C115" s="312"/>
      <c r="D115" s="404"/>
      <c r="E115" s="62"/>
      <c r="F115" s="404"/>
      <c r="G115" s="82"/>
      <c r="H115" s="39"/>
      <c r="I115" s="82"/>
      <c r="J115" s="39"/>
      <c r="K115" s="82"/>
      <c r="L115" s="39"/>
      <c r="M115" s="82"/>
      <c r="N115" s="39"/>
      <c r="O115" s="82"/>
      <c r="P115" s="39"/>
      <c r="Q115" s="82"/>
      <c r="R115" s="39"/>
      <c r="S115" s="82"/>
      <c r="T115" s="39"/>
      <c r="U115" s="62"/>
      <c r="V115" s="39"/>
      <c r="W115" s="82"/>
      <c r="X115" s="39"/>
      <c r="Y115" s="82"/>
      <c r="Z115" s="39"/>
      <c r="AA115" s="39"/>
      <c r="AB115" s="62"/>
      <c r="AC115" s="39"/>
      <c r="AD115" s="62"/>
      <c r="AE115" s="39"/>
      <c r="AF115" s="39"/>
      <c r="AG115" s="62"/>
      <c r="AH115" s="39"/>
      <c r="AI115" s="62"/>
      <c r="AJ115" s="39"/>
      <c r="AK115" s="39"/>
      <c r="AL115" s="82"/>
      <c r="AM115" s="39"/>
      <c r="AN115" s="82"/>
      <c r="AO115" s="39"/>
      <c r="AP115" s="549"/>
      <c r="AQ115" s="62"/>
      <c r="AR115" s="39"/>
      <c r="AS115" s="62"/>
      <c r="AT115" s="39"/>
      <c r="AU115" s="62"/>
      <c r="AV115" s="39"/>
      <c r="AW115" s="62"/>
      <c r="AX115" s="39"/>
      <c r="AY115" s="39"/>
      <c r="AZ115" s="62"/>
      <c r="BA115" s="39"/>
      <c r="BB115" s="39"/>
      <c r="BC115" s="39"/>
      <c r="BD115" s="39"/>
      <c r="BE115" s="62"/>
      <c r="BF115" s="39"/>
      <c r="BG115" s="62"/>
      <c r="BH115" s="39"/>
      <c r="BI115" s="62"/>
      <c r="BJ115" s="39"/>
      <c r="BK115" s="62"/>
      <c r="BL115" s="39"/>
      <c r="BM115" s="62"/>
      <c r="BN115" s="39"/>
      <c r="BO115" s="82"/>
      <c r="BP115" s="39"/>
      <c r="BQ115" s="39"/>
      <c r="BR115" s="62"/>
      <c r="BS115" s="39"/>
      <c r="BT115" s="62"/>
      <c r="BU115" s="39"/>
      <c r="BV115" s="39"/>
      <c r="BW115" s="62"/>
      <c r="BX115" s="39"/>
      <c r="BY115" s="62"/>
      <c r="BZ115" s="39"/>
      <c r="CA115" s="39"/>
      <c r="CB115" s="62"/>
      <c r="CC115" s="62"/>
      <c r="CD115" s="39"/>
      <c r="CE115" s="62"/>
      <c r="CF115" s="39"/>
      <c r="CG115" s="62"/>
      <c r="CH115" s="39"/>
    </row>
    <row r="116" spans="2:86" x14ac:dyDescent="0.35">
      <c r="B116" s="123" t="s">
        <v>475</v>
      </c>
      <c r="C116" s="124"/>
      <c r="AA116" s="28"/>
    </row>
    <row r="117" spans="2:86" x14ac:dyDescent="0.35">
      <c r="B117" s="275" t="s">
        <v>477</v>
      </c>
      <c r="C117" s="120"/>
      <c r="AA117" s="28"/>
    </row>
    <row r="118" spans="2:86" ht="8.5" customHeight="1" x14ac:dyDescent="0.35">
      <c r="B118" s="275"/>
      <c r="C118" s="120"/>
      <c r="AA118" s="28"/>
    </row>
    <row r="119" spans="2:86" x14ac:dyDescent="0.35">
      <c r="B119" s="275" t="s">
        <v>424</v>
      </c>
      <c r="C119" s="120"/>
      <c r="E119" s="59">
        <f>SUMIF('04.conso TB'!A:A,'Apr-26'!B119,'04.conso TB'!R:R)/10^5</f>
        <v>0.25</v>
      </c>
      <c r="I119" s="74">
        <f>SUMIF('04.conso TB'!A:A,'Apr-26'!B119,'04.conso TB'!S:S)/10^5</f>
        <v>0.32596000000000003</v>
      </c>
      <c r="Q119" s="76">
        <f>SUMIF('04.conso TB'!A:A,'Apr-26'!B119,'04.conso TB'!U:U)/10^5</f>
        <v>15.4331672</v>
      </c>
      <c r="U119" s="75">
        <f>SUMIF('04.conso TB'!A:A,'Apr-26'!B119,'04.conso TB'!V:V)/10^5</f>
        <v>48.769940499999997</v>
      </c>
      <c r="Y119" s="76">
        <f>SUMIF('04.conso TB'!A:A,'Apr-26'!B119,'04.conso TB'!G:G)/10^5</f>
        <v>0</v>
      </c>
      <c r="AA119" s="28"/>
      <c r="AI119" s="75">
        <f>SUMIF('04.conso TB'!A:A,'Apr-26'!B119,'04.conso TB'!Q:Q)/10^5</f>
        <v>0</v>
      </c>
      <c r="AN119" s="76">
        <f>SUMIF('04.conso TB'!A:A,'Apr-26'!B119,'04.conso TB'!W:W)/10^5</f>
        <v>86.899665600000006</v>
      </c>
      <c r="AS119" s="183">
        <f>SUMIF('04.conso TB'!A:A,'Apr-26'!B119,'04.conso TB'!M:M)/10^5</f>
        <v>0</v>
      </c>
      <c r="AW119" s="77">
        <f>SUMIF('04.conso TB'!A:A,'Apr-26'!B119,'04.conso TB'!P:P)/10^5</f>
        <v>0</v>
      </c>
      <c r="BG119" s="77">
        <f>SUMIF('04.conso TB'!A:A,'Apr-26'!B119,'04.conso TB'!H:H)/10^5</f>
        <v>416.00657999999999</v>
      </c>
      <c r="BK119" s="183">
        <f>SUMIF('04.conso TB'!A:A,'Apr-26'!B119,'04.conso TB'!I:I)/10^5</f>
        <v>0</v>
      </c>
      <c r="BO119" s="76">
        <f>SUMIF('04.conso TB'!A:A,'Apr-26'!B119,'04.conso TB'!J:J)/10^5</f>
        <v>0</v>
      </c>
      <c r="BY119" s="183">
        <f>SUMIF('04.conso TB'!A:A,'Apr-26'!B119,'04.conso TB'!L:L)/10^5</f>
        <v>0</v>
      </c>
    </row>
    <row r="120" spans="2:86" x14ac:dyDescent="0.35">
      <c r="B120" s="275" t="s">
        <v>480</v>
      </c>
      <c r="C120" s="120"/>
      <c r="E120" s="59">
        <f>SUMIF('04.conso TB'!A:A,'Apr-26'!B120,'04.conso TB'!R:R)/10^5</f>
        <v>0</v>
      </c>
      <c r="I120" s="59">
        <f>SUMIF('04.conso TB'!E:E,'Apr-26'!F120,'04.conso TB'!V:V)/10^5</f>
        <v>0</v>
      </c>
      <c r="Q120" s="76">
        <f>SUMIF('04.conso TB'!A:A,'Apr-26'!B120,'04.conso TB'!U:U)/10^5</f>
        <v>0</v>
      </c>
      <c r="U120" s="75">
        <f>SUMIF('04.conso TB'!A:A,'Apr-26'!B120,'04.conso TB'!V:V)/10^5</f>
        <v>0</v>
      </c>
      <c r="Y120" s="76">
        <f>SUMIF('04.conso TB'!A:A,'Apr-26'!B120,'04.conso TB'!G:G)/10^5</f>
        <v>0</v>
      </c>
      <c r="AA120" s="34"/>
      <c r="AI120" s="75">
        <f>SUMIF('04.conso TB'!A:A,'Apr-26'!B120,'04.conso TB'!Q:Q)/10^5</f>
        <v>0</v>
      </c>
      <c r="AN120" s="76">
        <f>SUMIF('04.conso TB'!A:A,'Apr-26'!B120,'04.conso TB'!W:W)/10^5</f>
        <v>0</v>
      </c>
      <c r="AS120" s="183">
        <f>SUMIF('04.conso TB'!A:A,'Apr-26'!B120,'04.conso TB'!M:M)/10^5</f>
        <v>0</v>
      </c>
      <c r="AW120" s="77">
        <f>SUMIF('04.conso TB'!A:A,'Apr-26'!B120,'04.conso TB'!P:P)/10^5</f>
        <v>0</v>
      </c>
      <c r="BG120" s="77">
        <f>SUMIF('04.conso TB'!A:A,'Apr-26'!B120,'04.conso TB'!H:H)/10^5</f>
        <v>0</v>
      </c>
      <c r="BK120" s="183">
        <f>SUMIF('04.conso TB'!A:A,'Apr-26'!B120,'04.conso TB'!I:I)/10^5</f>
        <v>0</v>
      </c>
      <c r="BO120" s="76">
        <f>SUMIF('04.conso TB'!A:A,'Apr-26'!B120,'04.conso TB'!J:J)/10^5</f>
        <v>0</v>
      </c>
      <c r="BY120" s="183">
        <f>SUMIF('04.conso TB'!A:A,'Apr-26'!B120,'04.conso TB'!L:L)/10^5</f>
        <v>0</v>
      </c>
    </row>
    <row r="121" spans="2:86" ht="7.5" customHeight="1" x14ac:dyDescent="0.35">
      <c r="B121" s="275"/>
      <c r="C121" s="120"/>
      <c r="AA121" s="34"/>
      <c r="AN121" s="76">
        <f>SUMIF('04.conso TB'!A:A,'Apr-26'!B121,'04.conso TB'!W:W)/10^5</f>
        <v>0</v>
      </c>
      <c r="AR121" s="35"/>
      <c r="AV121" s="35"/>
      <c r="BA121" s="35"/>
      <c r="BF121" s="35"/>
      <c r="BJ121" s="35"/>
      <c r="BS121" s="35"/>
      <c r="CF121" s="35"/>
    </row>
    <row r="122" spans="2:86" x14ac:dyDescent="0.35">
      <c r="B122" s="275" t="s">
        <v>483</v>
      </c>
      <c r="C122" s="120"/>
      <c r="AA122" s="34"/>
      <c r="AR122" s="35"/>
      <c r="AV122" s="35"/>
      <c r="BA122" s="35"/>
      <c r="BF122" s="35"/>
      <c r="BJ122" s="35"/>
      <c r="BS122" s="35"/>
      <c r="CF122" s="35"/>
    </row>
    <row r="123" spans="2:86" s="313" customFormat="1" x14ac:dyDescent="0.35">
      <c r="B123" s="321" t="s">
        <v>484</v>
      </c>
      <c r="C123" s="315"/>
      <c r="D123" s="403"/>
      <c r="E123" s="317"/>
      <c r="F123" s="403"/>
      <c r="G123" s="318"/>
      <c r="H123" s="316"/>
      <c r="I123" s="318"/>
      <c r="K123" s="318"/>
      <c r="L123" s="316"/>
      <c r="M123" s="318"/>
      <c r="O123" s="318"/>
      <c r="P123" s="316"/>
      <c r="Q123" s="349"/>
      <c r="S123" s="318"/>
      <c r="T123" s="316"/>
      <c r="U123" s="317"/>
      <c r="W123" s="318"/>
      <c r="X123" s="316"/>
      <c r="Y123" s="318"/>
      <c r="AA123" s="322"/>
      <c r="AB123" s="317"/>
      <c r="AD123" s="317"/>
      <c r="AG123" s="317"/>
      <c r="AH123" s="316"/>
      <c r="AI123" s="317"/>
      <c r="AL123" s="318"/>
      <c r="AM123" s="316"/>
      <c r="AN123" s="318"/>
      <c r="AQ123" s="317"/>
      <c r="AR123" s="323"/>
      <c r="AS123" s="317"/>
      <c r="AU123" s="317"/>
      <c r="AV123" s="323"/>
      <c r="AW123" s="317"/>
      <c r="AZ123" s="317"/>
      <c r="BA123" s="323"/>
      <c r="BE123" s="317"/>
      <c r="BF123" s="323"/>
      <c r="BG123" s="317"/>
      <c r="BI123" s="317"/>
      <c r="BJ123" s="323"/>
      <c r="BK123" s="317"/>
      <c r="BM123" s="317"/>
      <c r="BO123" s="318"/>
      <c r="BQ123" s="320"/>
      <c r="BR123" s="317"/>
      <c r="BS123" s="323"/>
      <c r="BT123" s="317"/>
      <c r="BW123" s="317"/>
      <c r="BY123" s="317"/>
      <c r="CB123" s="317"/>
      <c r="CC123" s="317"/>
      <c r="CE123" s="317"/>
      <c r="CF123" s="323"/>
      <c r="CG123" s="317"/>
    </row>
    <row r="124" spans="2:86" x14ac:dyDescent="0.35">
      <c r="B124" s="121" t="s">
        <v>485</v>
      </c>
      <c r="C124" s="122">
        <f>SUM(C117:C120)-C123</f>
        <v>0</v>
      </c>
      <c r="D124" s="405"/>
      <c r="E124" s="62">
        <f t="shared" ref="E124:AJ124" si="431">E117+SUM(E119:E120)-E123</f>
        <v>0.25</v>
      </c>
      <c r="F124" s="404">
        <f t="shared" si="431"/>
        <v>0</v>
      </c>
      <c r="G124" s="82">
        <f t="shared" si="431"/>
        <v>0</v>
      </c>
      <c r="H124" s="39">
        <f t="shared" si="431"/>
        <v>0</v>
      </c>
      <c r="I124" s="82">
        <f t="shared" si="431"/>
        <v>0.32596000000000003</v>
      </c>
      <c r="J124" s="39">
        <f t="shared" si="431"/>
        <v>0</v>
      </c>
      <c r="K124" s="82">
        <f t="shared" si="431"/>
        <v>0</v>
      </c>
      <c r="L124" s="39">
        <f t="shared" si="431"/>
        <v>0</v>
      </c>
      <c r="M124" s="82">
        <f t="shared" si="431"/>
        <v>0</v>
      </c>
      <c r="N124" s="39">
        <f t="shared" si="431"/>
        <v>0</v>
      </c>
      <c r="O124" s="82">
        <f t="shared" si="431"/>
        <v>0</v>
      </c>
      <c r="P124" s="39">
        <f t="shared" si="431"/>
        <v>0</v>
      </c>
      <c r="Q124" s="82">
        <f t="shared" si="431"/>
        <v>15.4331672</v>
      </c>
      <c r="R124" s="39">
        <f t="shared" si="431"/>
        <v>0</v>
      </c>
      <c r="S124" s="82">
        <f t="shared" si="431"/>
        <v>0</v>
      </c>
      <c r="T124" s="39">
        <f t="shared" si="431"/>
        <v>0</v>
      </c>
      <c r="U124" s="62">
        <f t="shared" si="431"/>
        <v>48.769940499999997</v>
      </c>
      <c r="V124" s="39">
        <f t="shared" si="431"/>
        <v>0</v>
      </c>
      <c r="W124" s="82">
        <f t="shared" si="431"/>
        <v>0</v>
      </c>
      <c r="X124" s="39">
        <f t="shared" si="431"/>
        <v>0</v>
      </c>
      <c r="Y124" s="82">
        <f t="shared" si="431"/>
        <v>0</v>
      </c>
      <c r="Z124" s="39">
        <f t="shared" si="431"/>
        <v>0</v>
      </c>
      <c r="AA124" s="39">
        <f t="shared" si="431"/>
        <v>0</v>
      </c>
      <c r="AB124" s="62">
        <f t="shared" si="431"/>
        <v>0</v>
      </c>
      <c r="AC124" s="39">
        <f t="shared" si="431"/>
        <v>0</v>
      </c>
      <c r="AD124" s="62">
        <f t="shared" si="431"/>
        <v>0</v>
      </c>
      <c r="AE124" s="39">
        <f t="shared" si="431"/>
        <v>0</v>
      </c>
      <c r="AF124" s="39">
        <f t="shared" si="431"/>
        <v>0</v>
      </c>
      <c r="AG124" s="62">
        <f t="shared" si="431"/>
        <v>0</v>
      </c>
      <c r="AH124" s="39">
        <f t="shared" si="431"/>
        <v>0</v>
      </c>
      <c r="AI124" s="62">
        <f t="shared" si="431"/>
        <v>0</v>
      </c>
      <c r="AJ124" s="39">
        <f t="shared" si="431"/>
        <v>0</v>
      </c>
      <c r="AK124" s="39">
        <f t="shared" ref="AK124:BP124" si="432">AK117+SUM(AK119:AK120)-AK123</f>
        <v>0</v>
      </c>
      <c r="AL124" s="82">
        <f t="shared" si="432"/>
        <v>0</v>
      </c>
      <c r="AM124" s="39">
        <f t="shared" si="432"/>
        <v>0</v>
      </c>
      <c r="AN124" s="82">
        <f t="shared" si="432"/>
        <v>86.899665600000006</v>
      </c>
      <c r="AO124" s="39">
        <f t="shared" si="432"/>
        <v>0</v>
      </c>
      <c r="AP124" s="549">
        <f t="shared" si="432"/>
        <v>0</v>
      </c>
      <c r="AQ124" s="62">
        <f t="shared" si="432"/>
        <v>0</v>
      </c>
      <c r="AR124" s="39">
        <f t="shared" si="432"/>
        <v>0</v>
      </c>
      <c r="AS124" s="62">
        <f t="shared" si="432"/>
        <v>0</v>
      </c>
      <c r="AT124" s="39">
        <f t="shared" si="432"/>
        <v>0</v>
      </c>
      <c r="AU124" s="62">
        <f t="shared" si="432"/>
        <v>0</v>
      </c>
      <c r="AV124" s="39">
        <f t="shared" si="432"/>
        <v>0</v>
      </c>
      <c r="AW124" s="62">
        <f t="shared" si="432"/>
        <v>0</v>
      </c>
      <c r="AX124" s="39">
        <f t="shared" si="432"/>
        <v>0</v>
      </c>
      <c r="AY124" s="39">
        <f t="shared" si="432"/>
        <v>0</v>
      </c>
      <c r="AZ124" s="62">
        <f t="shared" si="432"/>
        <v>0</v>
      </c>
      <c r="BA124" s="39">
        <f t="shared" si="432"/>
        <v>0</v>
      </c>
      <c r="BB124" s="39">
        <f t="shared" si="432"/>
        <v>0</v>
      </c>
      <c r="BC124" s="39">
        <f t="shared" si="432"/>
        <v>0</v>
      </c>
      <c r="BD124" s="39">
        <f t="shared" si="432"/>
        <v>0</v>
      </c>
      <c r="BE124" s="62">
        <f t="shared" si="432"/>
        <v>0</v>
      </c>
      <c r="BF124" s="39">
        <f t="shared" si="432"/>
        <v>0</v>
      </c>
      <c r="BG124" s="62">
        <f t="shared" si="432"/>
        <v>416.00657999999999</v>
      </c>
      <c r="BH124" s="39">
        <f t="shared" si="432"/>
        <v>0</v>
      </c>
      <c r="BI124" s="62">
        <f t="shared" si="432"/>
        <v>0</v>
      </c>
      <c r="BJ124" s="39">
        <f t="shared" si="432"/>
        <v>0</v>
      </c>
      <c r="BK124" s="62">
        <f t="shared" si="432"/>
        <v>0</v>
      </c>
      <c r="BL124" s="39">
        <f t="shared" si="432"/>
        <v>0</v>
      </c>
      <c r="BM124" s="62">
        <f t="shared" si="432"/>
        <v>0</v>
      </c>
      <c r="BN124" s="39">
        <f t="shared" si="432"/>
        <v>0</v>
      </c>
      <c r="BO124" s="82">
        <f t="shared" si="432"/>
        <v>0</v>
      </c>
      <c r="BP124" s="39">
        <f t="shared" si="432"/>
        <v>0</v>
      </c>
      <c r="BQ124" s="39">
        <f t="shared" ref="BQ124:BU124" si="433">BQ117+SUM(BQ119:BQ120)-BQ123</f>
        <v>0</v>
      </c>
      <c r="BR124" s="62">
        <f t="shared" si="433"/>
        <v>0</v>
      </c>
      <c r="BS124" s="39">
        <f t="shared" si="433"/>
        <v>0</v>
      </c>
      <c r="BT124" s="62">
        <f t="shared" si="433"/>
        <v>0</v>
      </c>
      <c r="BU124" s="39">
        <f t="shared" si="433"/>
        <v>0</v>
      </c>
      <c r="BV124" s="39"/>
      <c r="BW124" s="62">
        <f t="shared" ref="BW124:CH124" si="434">BW117+SUM(BW119:BW120)-BW123</f>
        <v>0</v>
      </c>
      <c r="BX124" s="39">
        <f t="shared" si="434"/>
        <v>0</v>
      </c>
      <c r="BY124" s="62">
        <f t="shared" si="434"/>
        <v>0</v>
      </c>
      <c r="BZ124" s="39">
        <f t="shared" si="434"/>
        <v>0</v>
      </c>
      <c r="CA124" s="39">
        <f t="shared" si="434"/>
        <v>0</v>
      </c>
      <c r="CB124" s="62">
        <f t="shared" si="434"/>
        <v>0</v>
      </c>
      <c r="CC124" s="62">
        <f t="shared" si="434"/>
        <v>0</v>
      </c>
      <c r="CD124" s="39"/>
      <c r="CE124" s="62">
        <f t="shared" si="434"/>
        <v>0</v>
      </c>
      <c r="CF124" s="39">
        <f t="shared" si="434"/>
        <v>0</v>
      </c>
      <c r="CG124" s="62">
        <f t="shared" si="434"/>
        <v>0</v>
      </c>
      <c r="CH124" s="39">
        <f t="shared" si="434"/>
        <v>0</v>
      </c>
    </row>
    <row r="125" spans="2:86" x14ac:dyDescent="0.35">
      <c r="B125" s="125"/>
      <c r="C125" s="124"/>
      <c r="AA125" s="34"/>
    </row>
    <row r="126" spans="2:86" x14ac:dyDescent="0.35">
      <c r="B126" s="118" t="s">
        <v>478</v>
      </c>
      <c r="C126" s="120"/>
      <c r="AA126" s="34"/>
    </row>
    <row r="127" spans="2:86" x14ac:dyDescent="0.35">
      <c r="B127" s="275" t="s">
        <v>488</v>
      </c>
      <c r="C127" s="120"/>
      <c r="E127" s="60">
        <f>('Stock sheet'!B55)</f>
        <v>45.182087899999999</v>
      </c>
      <c r="AA127" s="34"/>
      <c r="AI127" s="60">
        <f>'Stock sheet'!B66</f>
        <v>54.616949999999925</v>
      </c>
      <c r="AN127" s="18">
        <f>'Stock sheet'!B65</f>
        <v>126.9510674416145</v>
      </c>
      <c r="BG127" s="60">
        <f>+'Stock sheet'!B61</f>
        <v>424.60086000000001</v>
      </c>
      <c r="BK127" s="60">
        <f>'Stock sheet'!B62</f>
        <v>7.6285100000000003</v>
      </c>
      <c r="BO127" s="80">
        <f>'Stock sheet'!B63</f>
        <v>0</v>
      </c>
    </row>
    <row r="128" spans="2:86" x14ac:dyDescent="0.35">
      <c r="B128" s="275" t="s">
        <v>489</v>
      </c>
      <c r="C128" s="120"/>
      <c r="E128" s="60">
        <f>('Stock sheet'!B70)</f>
        <v>822.78659270199955</v>
      </c>
      <c r="I128" s="80">
        <f>('Stock sheet'!B71)</f>
        <v>1483.2756530999993</v>
      </c>
      <c r="Q128" s="80">
        <f>'Stock sheet'!B72</f>
        <v>382.8430171955128</v>
      </c>
      <c r="AA128" s="34"/>
      <c r="AI128" s="60">
        <f>'Stock sheet'!B81</f>
        <v>35.190206000000096</v>
      </c>
      <c r="AN128" s="18">
        <f>'Stock sheet'!B80</f>
        <v>286.24972517618829</v>
      </c>
      <c r="AS128" s="60">
        <f>'Stock sheet'!B73</f>
        <v>2064.4699999999998</v>
      </c>
      <c r="AW128" s="60">
        <f>'Stock sheet'!B75</f>
        <v>448.86324069778243</v>
      </c>
      <c r="BG128" s="60">
        <f>'Stock sheet'!B76</f>
        <v>69.965829999999997</v>
      </c>
      <c r="BK128" s="60">
        <f>'Stock sheet'!B77</f>
        <v>7.5147199999999996</v>
      </c>
      <c r="BO128" s="80">
        <f>'Stock sheet'!B78</f>
        <v>0</v>
      </c>
    </row>
    <row r="129" spans="1:86" ht="8.5" customHeight="1" x14ac:dyDescent="0.35">
      <c r="B129" s="275"/>
      <c r="C129" s="120"/>
      <c r="E129" s="60">
        <v>0</v>
      </c>
      <c r="I129" s="80">
        <v>0</v>
      </c>
      <c r="AA129" s="34"/>
    </row>
    <row r="130" spans="1:86" s="313" customFormat="1" x14ac:dyDescent="0.35">
      <c r="B130" s="314" t="s">
        <v>491</v>
      </c>
      <c r="C130" s="315"/>
      <c r="D130" s="403"/>
      <c r="E130" s="317">
        <f>+'Stock sheet'!C55</f>
        <v>46.625736800000006</v>
      </c>
      <c r="F130" s="403"/>
      <c r="G130" s="318"/>
      <c r="H130" s="316"/>
      <c r="I130" s="318">
        <f>+'Stock sheet'!C56</f>
        <v>0</v>
      </c>
      <c r="K130" s="318"/>
      <c r="L130" s="316"/>
      <c r="M130" s="318"/>
      <c r="O130" s="318"/>
      <c r="P130" s="316"/>
      <c r="Q130" s="349">
        <f>+'Stock sheet'!C57</f>
        <v>0</v>
      </c>
      <c r="S130" s="318"/>
      <c r="T130" s="316"/>
      <c r="U130" s="317"/>
      <c r="W130" s="318"/>
      <c r="X130" s="316"/>
      <c r="Y130" s="318"/>
      <c r="AA130" s="322"/>
      <c r="AB130" s="317"/>
      <c r="AD130" s="317"/>
      <c r="AG130" s="317"/>
      <c r="AH130" s="316"/>
      <c r="AI130" s="317">
        <f>+'Stock sheet'!C66</f>
        <v>47.7359984988002</v>
      </c>
      <c r="AL130" s="318"/>
      <c r="AM130" s="316"/>
      <c r="AN130" s="318">
        <f>+'Stock sheet'!C65</f>
        <v>122.89159158481708</v>
      </c>
      <c r="AQ130" s="317"/>
      <c r="AR130" s="316"/>
      <c r="AS130" s="317">
        <f>+'Stock sheet'!C58</f>
        <v>0</v>
      </c>
      <c r="AU130" s="317"/>
      <c r="AV130" s="316"/>
      <c r="AW130" s="317">
        <f>+'Stock sheet'!C60</f>
        <v>0</v>
      </c>
      <c r="AZ130" s="317"/>
      <c r="BA130" s="316"/>
      <c r="BE130" s="317"/>
      <c r="BF130" s="316"/>
      <c r="BG130" s="317">
        <f>+'Stock sheet'!C61</f>
        <v>343.52828</v>
      </c>
      <c r="BI130" s="317"/>
      <c r="BJ130" s="316"/>
      <c r="BK130" s="350">
        <f>+'Stock sheet'!C62</f>
        <v>3.0286900000000001</v>
      </c>
      <c r="BM130" s="317"/>
      <c r="BO130" s="318">
        <f>+'Stock sheet'!C63</f>
        <v>0</v>
      </c>
      <c r="BQ130" s="320"/>
      <c r="BR130" s="317"/>
      <c r="BS130" s="316"/>
      <c r="BT130" s="317"/>
      <c r="BW130" s="317"/>
      <c r="BY130" s="317"/>
      <c r="CB130" s="317"/>
      <c r="CC130" s="317"/>
      <c r="CE130" s="317"/>
      <c r="CF130" s="316"/>
      <c r="CG130" s="317"/>
    </row>
    <row r="131" spans="1:86" s="313" customFormat="1" x14ac:dyDescent="0.35">
      <c r="B131" s="321" t="s">
        <v>493</v>
      </c>
      <c r="C131" s="315"/>
      <c r="D131" s="403"/>
      <c r="E131" s="317">
        <f>+'Stock sheet'!C70</f>
        <v>754.65725151000004</v>
      </c>
      <c r="F131" s="403"/>
      <c r="G131" s="318"/>
      <c r="H131" s="316"/>
      <c r="I131" s="318">
        <f>+'Stock sheet'!C71</f>
        <v>1640.7354910999995</v>
      </c>
      <c r="K131" s="318"/>
      <c r="L131" s="316"/>
      <c r="M131" s="318"/>
      <c r="O131" s="318"/>
      <c r="P131" s="316"/>
      <c r="Q131" s="349">
        <f>+'Stock sheet'!C72</f>
        <v>538.07025509999994</v>
      </c>
      <c r="S131" s="318"/>
      <c r="T131" s="316"/>
      <c r="U131" s="317"/>
      <c r="W131" s="318"/>
      <c r="X131" s="316"/>
      <c r="Y131" s="318"/>
      <c r="AA131" s="322"/>
      <c r="AB131" s="317"/>
      <c r="AD131" s="317"/>
      <c r="AG131" s="317"/>
      <c r="AH131" s="316"/>
      <c r="AI131" s="317">
        <f>+'Stock sheet'!C81</f>
        <v>17.895876000000005</v>
      </c>
      <c r="AL131" s="318"/>
      <c r="AM131" s="316"/>
      <c r="AN131" s="318">
        <f>+'Stock sheet'!C80</f>
        <v>387.57145698521492</v>
      </c>
      <c r="AQ131" s="317"/>
      <c r="AR131" s="316"/>
      <c r="AS131" s="317">
        <f>+'Stock sheet'!C73</f>
        <v>2563.1303767519998</v>
      </c>
      <c r="AU131" s="317"/>
      <c r="AV131" s="316"/>
      <c r="AW131" s="317">
        <f>+'Stock sheet'!C75</f>
        <v>522.61962553669696</v>
      </c>
      <c r="AZ131" s="317"/>
      <c r="BA131" s="316"/>
      <c r="BE131" s="317"/>
      <c r="BF131" s="316"/>
      <c r="BG131" s="317">
        <f>+'Stock sheet'!C76</f>
        <v>42.715589999999999</v>
      </c>
      <c r="BI131" s="317"/>
      <c r="BJ131" s="316"/>
      <c r="BK131" s="350">
        <f>+'Stock sheet'!C77</f>
        <v>2.2443300000000002</v>
      </c>
      <c r="BM131" s="317"/>
      <c r="BO131" s="318">
        <f>+'Stock sheet'!C78</f>
        <v>0</v>
      </c>
      <c r="BQ131" s="320"/>
      <c r="BR131" s="317"/>
      <c r="BS131" s="316"/>
      <c r="BT131" s="317"/>
      <c r="BW131" s="317"/>
      <c r="BY131" s="317"/>
      <c r="CB131" s="317"/>
      <c r="CC131" s="317"/>
      <c r="CE131" s="317"/>
      <c r="CF131" s="316"/>
      <c r="CG131" s="317"/>
    </row>
    <row r="132" spans="1:86" x14ac:dyDescent="0.35">
      <c r="B132" s="121" t="s">
        <v>494</v>
      </c>
      <c r="C132" s="122">
        <f>SUM(C127:C128)-SUM(C130:C131)</f>
        <v>0</v>
      </c>
      <c r="D132" s="404"/>
      <c r="E132" s="62">
        <f t="shared" ref="E132:BP132" si="435">E127+E128-E130-E131</f>
        <v>66.68569229199943</v>
      </c>
      <c r="F132" s="404">
        <f t="shared" si="435"/>
        <v>0</v>
      </c>
      <c r="G132" s="82">
        <f t="shared" si="435"/>
        <v>0</v>
      </c>
      <c r="H132" s="39">
        <f t="shared" si="435"/>
        <v>0</v>
      </c>
      <c r="I132" s="82">
        <f t="shared" si="435"/>
        <v>-157.45983800000022</v>
      </c>
      <c r="J132" s="39">
        <f t="shared" si="435"/>
        <v>0</v>
      </c>
      <c r="K132" s="82">
        <f t="shared" si="435"/>
        <v>0</v>
      </c>
      <c r="L132" s="39">
        <f t="shared" si="435"/>
        <v>0</v>
      </c>
      <c r="M132" s="82">
        <f t="shared" si="435"/>
        <v>0</v>
      </c>
      <c r="N132" s="39">
        <f t="shared" si="435"/>
        <v>0</v>
      </c>
      <c r="O132" s="82">
        <f t="shared" si="435"/>
        <v>0</v>
      </c>
      <c r="P132" s="39">
        <f t="shared" si="435"/>
        <v>0</v>
      </c>
      <c r="Q132" s="82">
        <f t="shared" si="435"/>
        <v>-155.22723790448714</v>
      </c>
      <c r="R132" s="39">
        <f t="shared" si="435"/>
        <v>0</v>
      </c>
      <c r="S132" s="82">
        <f t="shared" si="435"/>
        <v>0</v>
      </c>
      <c r="T132" s="39">
        <f t="shared" si="435"/>
        <v>0</v>
      </c>
      <c r="U132" s="62">
        <f t="shared" si="435"/>
        <v>0</v>
      </c>
      <c r="V132" s="39">
        <f t="shared" si="435"/>
        <v>0</v>
      </c>
      <c r="W132" s="82">
        <f t="shared" si="435"/>
        <v>0</v>
      </c>
      <c r="X132" s="39">
        <f t="shared" si="435"/>
        <v>0</v>
      </c>
      <c r="Y132" s="82">
        <f t="shared" si="435"/>
        <v>0</v>
      </c>
      <c r="Z132" s="39">
        <f t="shared" si="435"/>
        <v>0</v>
      </c>
      <c r="AA132" s="39">
        <f t="shared" si="435"/>
        <v>0</v>
      </c>
      <c r="AB132" s="62">
        <f t="shared" si="435"/>
        <v>0</v>
      </c>
      <c r="AC132" s="39">
        <f t="shared" si="435"/>
        <v>0</v>
      </c>
      <c r="AD132" s="62">
        <f t="shared" si="435"/>
        <v>0</v>
      </c>
      <c r="AE132" s="39">
        <f t="shared" si="435"/>
        <v>0</v>
      </c>
      <c r="AF132" s="39">
        <f t="shared" si="435"/>
        <v>0</v>
      </c>
      <c r="AG132" s="62">
        <f t="shared" si="435"/>
        <v>0</v>
      </c>
      <c r="AH132" s="39">
        <f t="shared" si="435"/>
        <v>0</v>
      </c>
      <c r="AI132" s="39">
        <f t="shared" si="435"/>
        <v>24.175281501199816</v>
      </c>
      <c r="AJ132" s="39">
        <f t="shared" si="435"/>
        <v>0</v>
      </c>
      <c r="AK132" s="39">
        <f t="shared" si="435"/>
        <v>0</v>
      </c>
      <c r="AL132" s="82">
        <f t="shared" si="435"/>
        <v>0</v>
      </c>
      <c r="AM132" s="39">
        <f t="shared" si="435"/>
        <v>0</v>
      </c>
      <c r="AN132" s="82">
        <f t="shared" si="435"/>
        <v>-97.262255952229225</v>
      </c>
      <c r="AO132" s="39">
        <f t="shared" si="435"/>
        <v>0</v>
      </c>
      <c r="AP132" s="549">
        <f t="shared" si="435"/>
        <v>0</v>
      </c>
      <c r="AQ132" s="62">
        <f t="shared" si="435"/>
        <v>0</v>
      </c>
      <c r="AR132" s="39">
        <f t="shared" si="435"/>
        <v>0</v>
      </c>
      <c r="AS132" s="62">
        <f t="shared" si="435"/>
        <v>-498.66037675200005</v>
      </c>
      <c r="AT132" s="39">
        <f t="shared" si="435"/>
        <v>0</v>
      </c>
      <c r="AU132" s="62">
        <f t="shared" si="435"/>
        <v>0</v>
      </c>
      <c r="AV132" s="39">
        <f t="shared" si="435"/>
        <v>0</v>
      </c>
      <c r="AW132" s="62">
        <f t="shared" si="435"/>
        <v>-73.756384838914528</v>
      </c>
      <c r="AX132" s="39">
        <f t="shared" si="435"/>
        <v>0</v>
      </c>
      <c r="AY132" s="39">
        <f t="shared" si="435"/>
        <v>0</v>
      </c>
      <c r="AZ132" s="62">
        <f t="shared" si="435"/>
        <v>0</v>
      </c>
      <c r="BA132" s="39">
        <f t="shared" si="435"/>
        <v>0</v>
      </c>
      <c r="BB132" s="39">
        <f t="shared" si="435"/>
        <v>0</v>
      </c>
      <c r="BC132" s="39">
        <f t="shared" si="435"/>
        <v>0</v>
      </c>
      <c r="BD132" s="39">
        <f t="shared" si="435"/>
        <v>0</v>
      </c>
      <c r="BE132" s="62">
        <f t="shared" si="435"/>
        <v>0</v>
      </c>
      <c r="BF132" s="39">
        <f t="shared" si="435"/>
        <v>0</v>
      </c>
      <c r="BG132" s="62">
        <f t="shared" si="435"/>
        <v>108.32282000000001</v>
      </c>
      <c r="BH132" s="39">
        <f t="shared" si="435"/>
        <v>0</v>
      </c>
      <c r="BI132" s="62">
        <f t="shared" si="435"/>
        <v>0</v>
      </c>
      <c r="BJ132" s="39">
        <f t="shared" si="435"/>
        <v>0</v>
      </c>
      <c r="BK132" s="62">
        <f t="shared" si="435"/>
        <v>9.8702099999999984</v>
      </c>
      <c r="BL132" s="39">
        <f t="shared" si="435"/>
        <v>0</v>
      </c>
      <c r="BM132" s="62">
        <f t="shared" si="435"/>
        <v>0</v>
      </c>
      <c r="BN132" s="39">
        <f t="shared" si="435"/>
        <v>0</v>
      </c>
      <c r="BO132" s="82">
        <f t="shared" si="435"/>
        <v>0</v>
      </c>
      <c r="BP132" s="39">
        <f t="shared" si="435"/>
        <v>0</v>
      </c>
      <c r="BQ132" s="39">
        <f t="shared" ref="BQ132:BU132" si="436">BQ127+BQ128-BQ130-BQ131</f>
        <v>0</v>
      </c>
      <c r="BR132" s="62">
        <f t="shared" si="436"/>
        <v>0</v>
      </c>
      <c r="BS132" s="39">
        <f t="shared" si="436"/>
        <v>0</v>
      </c>
      <c r="BT132" s="62">
        <f t="shared" si="436"/>
        <v>0</v>
      </c>
      <c r="BU132" s="39">
        <f t="shared" si="436"/>
        <v>0</v>
      </c>
      <c r="BV132" s="39"/>
      <c r="BW132" s="62">
        <f t="shared" ref="BW132:CH132" si="437">BW127+BW128-BW130-BW131</f>
        <v>0</v>
      </c>
      <c r="BX132" s="39">
        <f t="shared" si="437"/>
        <v>0</v>
      </c>
      <c r="BY132" s="62">
        <f t="shared" si="437"/>
        <v>0</v>
      </c>
      <c r="BZ132" s="39">
        <f t="shared" si="437"/>
        <v>0</v>
      </c>
      <c r="CA132" s="39">
        <f t="shared" si="437"/>
        <v>0</v>
      </c>
      <c r="CB132" s="62">
        <f t="shared" si="437"/>
        <v>0</v>
      </c>
      <c r="CC132" s="62">
        <f t="shared" si="437"/>
        <v>0</v>
      </c>
      <c r="CD132" s="39"/>
      <c r="CE132" s="62">
        <f t="shared" si="437"/>
        <v>0</v>
      </c>
      <c r="CF132" s="39">
        <f t="shared" si="437"/>
        <v>0</v>
      </c>
      <c r="CG132" s="62">
        <f t="shared" si="437"/>
        <v>0</v>
      </c>
      <c r="CH132" s="39">
        <f t="shared" si="437"/>
        <v>0</v>
      </c>
    </row>
    <row r="133" spans="1:86" x14ac:dyDescent="0.35">
      <c r="B133" s="125"/>
      <c r="C133" s="126"/>
      <c r="AA133" s="34"/>
    </row>
    <row r="134" spans="1:86" x14ac:dyDescent="0.35">
      <c r="B134" s="118" t="s">
        <v>479</v>
      </c>
      <c r="C134" s="126"/>
      <c r="AA134" s="34"/>
    </row>
    <row r="135" spans="1:86" x14ac:dyDescent="0.35">
      <c r="B135" s="275" t="s">
        <v>495</v>
      </c>
      <c r="C135" s="120"/>
      <c r="E135" s="60">
        <f>('Stock sheet'!B85)</f>
        <v>122.37933364999962</v>
      </c>
      <c r="I135" s="80">
        <f>('Stock sheet'!B86)</f>
        <v>120.16717750000002</v>
      </c>
      <c r="Q135" s="80">
        <f>'Stock sheet'!B87</f>
        <v>46.18</v>
      </c>
      <c r="AA135" s="34"/>
      <c r="AI135" s="60">
        <f>'Stock sheet'!B96</f>
        <v>130.79</v>
      </c>
      <c r="AN135" s="80">
        <f>'Stock sheet'!B95</f>
        <v>84.51</v>
      </c>
      <c r="AS135" s="60">
        <f>'Stock sheet'!B88</f>
        <v>128.98280019999999</v>
      </c>
      <c r="BG135" s="60">
        <f>'Stock sheet'!B91</f>
        <v>84.486270000000005</v>
      </c>
      <c r="BK135" s="60">
        <f>'Stock sheet'!B92</f>
        <v>19.112570000000002</v>
      </c>
      <c r="BO135" s="80">
        <f>'Stock sheet'!B93</f>
        <v>0</v>
      </c>
    </row>
    <row r="136" spans="1:86" s="29" customFormat="1" ht="5.5" customHeight="1" x14ac:dyDescent="0.35">
      <c r="A136" s="17"/>
      <c r="B136" s="275"/>
      <c r="C136" s="120"/>
      <c r="D136" s="27"/>
      <c r="E136" s="60"/>
      <c r="F136" s="27"/>
      <c r="G136" s="80"/>
      <c r="H136" s="18"/>
      <c r="I136" s="80"/>
      <c r="J136" s="17"/>
      <c r="K136" s="80"/>
      <c r="L136" s="18"/>
      <c r="M136" s="80"/>
      <c r="N136" s="17"/>
      <c r="O136" s="80"/>
      <c r="P136" s="18"/>
      <c r="Q136" s="80"/>
      <c r="R136" s="17"/>
      <c r="S136" s="80"/>
      <c r="T136" s="18"/>
      <c r="U136" s="60"/>
      <c r="V136" s="17"/>
      <c r="W136" s="80"/>
      <c r="X136" s="18"/>
      <c r="Y136" s="80"/>
      <c r="Z136" s="17"/>
      <c r="AA136" s="34"/>
      <c r="AB136" s="60"/>
      <c r="AC136" s="17"/>
      <c r="AD136" s="60"/>
      <c r="AE136" s="17"/>
      <c r="AF136" s="17"/>
      <c r="AG136" s="60"/>
      <c r="AH136" s="18"/>
      <c r="AI136" s="60"/>
      <c r="AJ136" s="17"/>
      <c r="AK136" s="17"/>
      <c r="AL136" s="80"/>
      <c r="AM136" s="18"/>
      <c r="AN136" s="80"/>
      <c r="AO136" s="17"/>
      <c r="AP136" s="17"/>
      <c r="AQ136" s="60"/>
      <c r="AR136" s="18"/>
      <c r="AS136" s="60"/>
      <c r="AT136" s="17"/>
      <c r="AU136" s="60"/>
      <c r="AV136" s="18"/>
      <c r="AW136" s="60"/>
      <c r="AX136" s="17"/>
      <c r="AY136" s="17"/>
      <c r="AZ136" s="60"/>
      <c r="BA136" s="18"/>
      <c r="BB136" s="17"/>
      <c r="BC136" s="17"/>
      <c r="BD136" s="17"/>
      <c r="BE136" s="60"/>
      <c r="BF136" s="18"/>
      <c r="BG136" s="60"/>
      <c r="BH136" s="17"/>
      <c r="BI136" s="60"/>
      <c r="BJ136" s="18"/>
      <c r="BK136" s="60"/>
      <c r="BL136" s="17"/>
      <c r="BM136" s="60"/>
      <c r="BN136" s="17"/>
      <c r="BO136" s="80"/>
      <c r="BP136" s="17"/>
      <c r="BQ136" s="20"/>
      <c r="BR136" s="60"/>
      <c r="BS136" s="18"/>
      <c r="BT136" s="60"/>
      <c r="BU136" s="17"/>
      <c r="BV136" s="17"/>
      <c r="BW136" s="60"/>
      <c r="BX136" s="17"/>
      <c r="BY136" s="60"/>
      <c r="BZ136" s="17"/>
      <c r="CA136" s="17"/>
      <c r="CB136" s="60"/>
      <c r="CC136" s="60"/>
      <c r="CD136" s="17"/>
      <c r="CE136" s="60"/>
      <c r="CF136" s="18"/>
      <c r="CG136" s="60"/>
      <c r="CH136" s="17"/>
    </row>
    <row r="137" spans="1:86" s="29" customFormat="1" x14ac:dyDescent="0.35">
      <c r="A137" s="17"/>
      <c r="B137" s="275" t="s">
        <v>421</v>
      </c>
      <c r="C137" s="120"/>
      <c r="D137" s="27"/>
      <c r="E137" s="59">
        <f>SUMIF('04.conso TB'!A:A,'Apr-26'!B137,'04.conso TB'!R:R)/10^5</f>
        <v>41.932269599999998</v>
      </c>
      <c r="F137" s="27"/>
      <c r="G137" s="80"/>
      <c r="H137" s="18"/>
      <c r="I137" s="74">
        <f>SUMIF('04.conso TB'!A:A,'Apr-26'!B137,'04.conso TB'!S:S)/10^5</f>
        <v>27.819670600000002</v>
      </c>
      <c r="J137" s="17"/>
      <c r="K137" s="80"/>
      <c r="L137" s="18"/>
      <c r="M137" s="80"/>
      <c r="N137" s="17"/>
      <c r="O137" s="80"/>
      <c r="P137" s="18"/>
      <c r="Q137" s="76">
        <f>SUMIF('04.conso TB'!A:A,'Apr-26'!B137,'04.conso TB'!U:U)/10^5</f>
        <v>14.4685966</v>
      </c>
      <c r="R137" s="17"/>
      <c r="S137" s="80"/>
      <c r="T137" s="18"/>
      <c r="U137" s="75">
        <f>SUMIF('04.conso TB'!A:A,'Apr-26'!B137,'04.conso TB'!V:V)/10^5</f>
        <v>0</v>
      </c>
      <c r="V137" s="17"/>
      <c r="W137" s="80"/>
      <c r="X137" s="18"/>
      <c r="Y137" s="76">
        <f>SUMIF('04.conso TB'!A:A,'Apr-26'!B137,'04.conso TB'!G:G)/10^5</f>
        <v>0</v>
      </c>
      <c r="Z137" s="17"/>
      <c r="AA137" s="34"/>
      <c r="AB137" s="60"/>
      <c r="AC137" s="17"/>
      <c r="AD137" s="60"/>
      <c r="AE137" s="17"/>
      <c r="AF137" s="17"/>
      <c r="AG137" s="60"/>
      <c r="AH137" s="18"/>
      <c r="AI137" s="75">
        <f>SUMIF('04.conso TB'!A:A,'Apr-26'!B137,'04.conso TB'!Q:Q)/10^5</f>
        <v>56.1102639</v>
      </c>
      <c r="AJ137" s="17"/>
      <c r="AK137" s="17"/>
      <c r="AL137" s="80"/>
      <c r="AM137" s="18"/>
      <c r="AN137" s="76">
        <f>SUMIF('04.conso TB'!A:A,'Apr-26'!B137,'04.conso TB'!W:W)/10^5</f>
        <v>18.6847928</v>
      </c>
      <c r="AO137" s="17"/>
      <c r="AP137" s="17"/>
      <c r="AQ137" s="60"/>
      <c r="AR137" s="18"/>
      <c r="AS137" s="183">
        <f>SUMIF('04.conso TB'!A:A,'Apr-26'!B137,'04.conso TB'!M:M)/10^5</f>
        <v>38.665734300000004</v>
      </c>
      <c r="AT137" s="17"/>
      <c r="AU137" s="60"/>
      <c r="AV137" s="18"/>
      <c r="AW137" s="77">
        <f>SUMIF('04.conso TB'!A:A,'Apr-26'!B137,'04.conso TB'!P:P)/10^5</f>
        <v>0</v>
      </c>
      <c r="AX137" s="17"/>
      <c r="AY137" s="17"/>
      <c r="AZ137" s="60"/>
      <c r="BA137" s="18"/>
      <c r="BB137" s="17"/>
      <c r="BC137" s="17"/>
      <c r="BD137" s="17"/>
      <c r="BE137" s="60"/>
      <c r="BF137" s="18"/>
      <c r="BG137" s="77">
        <f>SUMIF('04.conso TB'!A:A,'Apr-26'!B137,'04.conso TB'!H:H)/10^5</f>
        <v>14.768618600000002</v>
      </c>
      <c r="BH137" s="17"/>
      <c r="BI137" s="60"/>
      <c r="BJ137" s="18"/>
      <c r="BK137" s="183">
        <f>SUMIF('04.conso TB'!A:A,'Apr-26'!B137,'04.conso TB'!I:I)/10^5</f>
        <v>0.155</v>
      </c>
      <c r="BL137" s="17"/>
      <c r="BM137" s="60"/>
      <c r="BN137" s="17"/>
      <c r="BO137" s="76">
        <f>SUMIF('04.conso TB'!A:A,'Apr-26'!B137,'04.conso TB'!J:J)/10^5</f>
        <v>0</v>
      </c>
      <c r="BP137" s="17"/>
      <c r="BQ137" s="20"/>
      <c r="BR137" s="60"/>
      <c r="BS137" s="18"/>
      <c r="BT137" s="60"/>
      <c r="BU137" s="17"/>
      <c r="BV137" s="17"/>
      <c r="BW137" s="60"/>
      <c r="BX137" s="17"/>
      <c r="BY137" s="183">
        <f>SUMIF('04.conso TB'!A:A,'Apr-26'!B137,'04.conso TB'!L:L)/10^5</f>
        <v>0</v>
      </c>
      <c r="BZ137" s="17"/>
      <c r="CA137" s="17"/>
      <c r="CB137" s="60"/>
      <c r="CC137" s="60"/>
      <c r="CD137" s="17"/>
      <c r="CE137" s="60"/>
      <c r="CF137" s="18"/>
      <c r="CG137" s="60"/>
      <c r="CH137" s="17"/>
    </row>
    <row r="138" spans="1:86" s="29" customFormat="1" ht="8" customHeight="1" x14ac:dyDescent="0.35">
      <c r="A138" s="17"/>
      <c r="B138" s="275"/>
      <c r="C138" s="120"/>
      <c r="D138" s="27"/>
      <c r="E138" s="60"/>
      <c r="F138" s="27"/>
      <c r="G138" s="80"/>
      <c r="H138" s="18"/>
      <c r="I138" s="80"/>
      <c r="J138" s="17"/>
      <c r="K138" s="80"/>
      <c r="L138" s="18"/>
      <c r="M138" s="80"/>
      <c r="N138" s="17"/>
      <c r="O138" s="80"/>
      <c r="P138" s="18"/>
      <c r="Q138" s="80"/>
      <c r="R138" s="17"/>
      <c r="S138" s="80"/>
      <c r="T138" s="18"/>
      <c r="U138" s="60"/>
      <c r="V138" s="17"/>
      <c r="W138" s="80"/>
      <c r="X138" s="18"/>
      <c r="Y138" s="80"/>
      <c r="Z138" s="17"/>
      <c r="AA138" s="34"/>
      <c r="AB138" s="60"/>
      <c r="AC138" s="17"/>
      <c r="AD138" s="60"/>
      <c r="AE138" s="17"/>
      <c r="AF138" s="17"/>
      <c r="AG138" s="60"/>
      <c r="AH138" s="18"/>
      <c r="AI138" s="60"/>
      <c r="AJ138" s="17"/>
      <c r="AK138" s="17"/>
      <c r="AL138" s="80"/>
      <c r="AM138" s="18"/>
      <c r="AN138" s="80"/>
      <c r="AO138" s="17"/>
      <c r="AP138" s="17"/>
      <c r="AQ138" s="60"/>
      <c r="AR138" s="18"/>
      <c r="AS138" s="60"/>
      <c r="AT138" s="17"/>
      <c r="AU138" s="60"/>
      <c r="AV138" s="18"/>
      <c r="AW138" s="60"/>
      <c r="AX138" s="17"/>
      <c r="AY138" s="17"/>
      <c r="AZ138" s="60"/>
      <c r="BA138" s="18"/>
      <c r="BB138" s="17"/>
      <c r="BC138" s="17"/>
      <c r="BD138" s="17"/>
      <c r="BE138" s="60"/>
      <c r="BF138" s="18"/>
      <c r="BG138" s="60"/>
      <c r="BH138" s="17"/>
      <c r="BI138" s="60"/>
      <c r="BJ138" s="18"/>
      <c r="BK138" s="60"/>
      <c r="BL138" s="17"/>
      <c r="BM138" s="60"/>
      <c r="BN138" s="17"/>
      <c r="BO138" s="80"/>
      <c r="BP138" s="17"/>
      <c r="BQ138" s="20"/>
      <c r="BR138" s="60"/>
      <c r="BS138" s="18"/>
      <c r="BT138" s="60"/>
      <c r="BU138" s="17"/>
      <c r="BV138" s="17"/>
      <c r="BW138" s="60"/>
      <c r="BX138" s="17"/>
      <c r="BY138" s="60"/>
      <c r="BZ138" s="17"/>
      <c r="CA138" s="17"/>
      <c r="CB138" s="60"/>
      <c r="CC138" s="60"/>
      <c r="CD138" s="17"/>
      <c r="CE138" s="60"/>
      <c r="CF138" s="18"/>
      <c r="CG138" s="60"/>
      <c r="CH138" s="17"/>
    </row>
    <row r="139" spans="1:86" s="324" customFormat="1" x14ac:dyDescent="0.35">
      <c r="A139" s="313"/>
      <c r="B139" s="321" t="s">
        <v>498</v>
      </c>
      <c r="C139" s="315"/>
      <c r="D139" s="417"/>
      <c r="E139" s="418">
        <f>+'Stock sheet'!C85</f>
        <v>130.20928624999959</v>
      </c>
      <c r="F139" s="417"/>
      <c r="G139" s="418"/>
      <c r="H139" s="316"/>
      <c r="I139" s="418">
        <f>+'Stock sheet'!C86</f>
        <v>118.2579066</v>
      </c>
      <c r="J139" s="316"/>
      <c r="K139" s="418"/>
      <c r="L139" s="316"/>
      <c r="M139" s="418"/>
      <c r="N139" s="316"/>
      <c r="O139" s="418"/>
      <c r="P139" s="316"/>
      <c r="Q139" s="419">
        <f>+'Stock sheet'!C87</f>
        <v>49.38</v>
      </c>
      <c r="R139" s="316"/>
      <c r="S139" s="418"/>
      <c r="T139" s="316"/>
      <c r="U139" s="418"/>
      <c r="V139" s="316"/>
      <c r="W139" s="418"/>
      <c r="X139" s="316"/>
      <c r="Y139" s="418"/>
      <c r="Z139" s="316"/>
      <c r="AA139" s="420"/>
      <c r="AB139" s="418"/>
      <c r="AC139" s="316"/>
      <c r="AD139" s="418"/>
      <c r="AE139" s="316"/>
      <c r="AF139" s="316"/>
      <c r="AG139" s="418"/>
      <c r="AH139" s="316"/>
      <c r="AI139" s="418">
        <f>+'Stock sheet'!C96</f>
        <v>160.27670000000001</v>
      </c>
      <c r="AJ139" s="316"/>
      <c r="AK139" s="316"/>
      <c r="AL139" s="418"/>
      <c r="AM139" s="316"/>
      <c r="AN139" s="418">
        <f>+'Stock sheet'!C95</f>
        <v>88.771631299999953</v>
      </c>
      <c r="AO139" s="316"/>
      <c r="AP139" s="316"/>
      <c r="AQ139" s="418"/>
      <c r="AR139" s="316"/>
      <c r="AS139" s="418">
        <f>+'Stock sheet'!C88</f>
        <v>159.3575238</v>
      </c>
      <c r="AT139" s="316"/>
      <c r="AU139" s="418"/>
      <c r="AV139" s="316"/>
      <c r="AW139" s="418">
        <f>+'Stock sheet'!C90</f>
        <v>0</v>
      </c>
      <c r="AX139" s="316"/>
      <c r="AY139" s="316"/>
      <c r="AZ139" s="317"/>
      <c r="BA139" s="316"/>
      <c r="BB139" s="316"/>
      <c r="BC139" s="316"/>
      <c r="BD139" s="316"/>
      <c r="BE139" s="418"/>
      <c r="BF139" s="316"/>
      <c r="BG139" s="421">
        <f>+'Stock sheet'!C91</f>
        <v>100.5984</v>
      </c>
      <c r="BH139" s="316"/>
      <c r="BI139" s="418"/>
      <c r="BJ139" s="316"/>
      <c r="BK139" s="419">
        <f>+'Stock sheet'!C92</f>
        <v>19.41403</v>
      </c>
      <c r="BL139" s="316"/>
      <c r="BM139" s="418"/>
      <c r="BN139" s="316"/>
      <c r="BO139" s="418">
        <f>'Stock sheet'!N93</f>
        <v>0</v>
      </c>
      <c r="BP139" s="316"/>
      <c r="BQ139" s="422"/>
      <c r="BR139" s="317"/>
      <c r="BS139" s="316"/>
      <c r="BT139" s="317"/>
      <c r="BU139" s="316"/>
      <c r="BV139" s="316"/>
      <c r="BW139" s="418"/>
      <c r="BX139" s="316"/>
      <c r="BY139" s="418"/>
      <c r="BZ139" s="316"/>
      <c r="CA139" s="316"/>
      <c r="CB139" s="317"/>
      <c r="CC139" s="317"/>
      <c r="CD139" s="313"/>
      <c r="CE139" s="317"/>
      <c r="CF139" s="316"/>
      <c r="CG139" s="317"/>
      <c r="CH139" s="313"/>
    </row>
    <row r="140" spans="1:86" s="29" customFormat="1" x14ac:dyDescent="0.35">
      <c r="A140" s="17"/>
      <c r="B140" s="121" t="s">
        <v>535</v>
      </c>
      <c r="C140" s="122">
        <f>C135+C137-C139</f>
        <v>0</v>
      </c>
      <c r="D140" s="404"/>
      <c r="E140" s="62">
        <f t="shared" ref="E140:BP140" si="438">E135+E137-E139</f>
        <v>34.102317000000028</v>
      </c>
      <c r="F140" s="404">
        <f t="shared" si="438"/>
        <v>0</v>
      </c>
      <c r="G140" s="82">
        <f t="shared" si="438"/>
        <v>0</v>
      </c>
      <c r="H140" s="39">
        <f t="shared" si="438"/>
        <v>0</v>
      </c>
      <c r="I140" s="82">
        <f t="shared" si="438"/>
        <v>29.728941500000033</v>
      </c>
      <c r="J140" s="39">
        <f t="shared" si="438"/>
        <v>0</v>
      </c>
      <c r="K140" s="82">
        <f t="shared" si="438"/>
        <v>0</v>
      </c>
      <c r="L140" s="39">
        <f t="shared" si="438"/>
        <v>0</v>
      </c>
      <c r="M140" s="82">
        <f t="shared" si="438"/>
        <v>0</v>
      </c>
      <c r="N140" s="39">
        <f t="shared" si="438"/>
        <v>0</v>
      </c>
      <c r="O140" s="82">
        <f t="shared" si="438"/>
        <v>0</v>
      </c>
      <c r="P140" s="39">
        <f t="shared" si="438"/>
        <v>0</v>
      </c>
      <c r="Q140" s="82">
        <f t="shared" si="438"/>
        <v>11.268596599999995</v>
      </c>
      <c r="R140" s="39">
        <f t="shared" si="438"/>
        <v>0</v>
      </c>
      <c r="S140" s="82">
        <f t="shared" si="438"/>
        <v>0</v>
      </c>
      <c r="T140" s="39">
        <f t="shared" si="438"/>
        <v>0</v>
      </c>
      <c r="U140" s="62">
        <f t="shared" si="438"/>
        <v>0</v>
      </c>
      <c r="V140" s="39">
        <f t="shared" si="438"/>
        <v>0</v>
      </c>
      <c r="W140" s="82">
        <f t="shared" si="438"/>
        <v>0</v>
      </c>
      <c r="X140" s="39">
        <f t="shared" si="438"/>
        <v>0</v>
      </c>
      <c r="Y140" s="82">
        <f t="shared" si="438"/>
        <v>0</v>
      </c>
      <c r="Z140" s="39">
        <f t="shared" si="438"/>
        <v>0</v>
      </c>
      <c r="AA140" s="39">
        <f t="shared" si="438"/>
        <v>0</v>
      </c>
      <c r="AB140" s="62">
        <f t="shared" si="438"/>
        <v>0</v>
      </c>
      <c r="AC140" s="39">
        <f t="shared" si="438"/>
        <v>0</v>
      </c>
      <c r="AD140" s="62">
        <f t="shared" si="438"/>
        <v>0</v>
      </c>
      <c r="AE140" s="39">
        <f t="shared" si="438"/>
        <v>0</v>
      </c>
      <c r="AF140" s="39">
        <f t="shared" si="438"/>
        <v>0</v>
      </c>
      <c r="AG140" s="62">
        <f t="shared" si="438"/>
        <v>0</v>
      </c>
      <c r="AH140" s="39">
        <f t="shared" si="438"/>
        <v>0</v>
      </c>
      <c r="AI140" s="62">
        <f t="shared" si="438"/>
        <v>26.623563899999994</v>
      </c>
      <c r="AJ140" s="39">
        <f t="shared" si="438"/>
        <v>0</v>
      </c>
      <c r="AK140" s="39">
        <f t="shared" si="438"/>
        <v>0</v>
      </c>
      <c r="AL140" s="82">
        <f t="shared" si="438"/>
        <v>0</v>
      </c>
      <c r="AM140" s="39">
        <f t="shared" si="438"/>
        <v>0</v>
      </c>
      <c r="AN140" s="82">
        <f t="shared" si="438"/>
        <v>14.423161500000049</v>
      </c>
      <c r="AO140" s="39">
        <f t="shared" si="438"/>
        <v>0</v>
      </c>
      <c r="AP140" s="549">
        <f t="shared" si="438"/>
        <v>0</v>
      </c>
      <c r="AQ140" s="62">
        <f t="shared" si="438"/>
        <v>0</v>
      </c>
      <c r="AR140" s="39">
        <f t="shared" si="438"/>
        <v>0</v>
      </c>
      <c r="AS140" s="62">
        <f t="shared" si="438"/>
        <v>8.2910106999999869</v>
      </c>
      <c r="AT140" s="39">
        <f t="shared" si="438"/>
        <v>0</v>
      </c>
      <c r="AU140" s="62">
        <f t="shared" si="438"/>
        <v>0</v>
      </c>
      <c r="AV140" s="39">
        <f t="shared" si="438"/>
        <v>0</v>
      </c>
      <c r="AW140" s="62">
        <f t="shared" si="438"/>
        <v>0</v>
      </c>
      <c r="AX140" s="39">
        <f t="shared" si="438"/>
        <v>0</v>
      </c>
      <c r="AY140" s="39">
        <f t="shared" si="438"/>
        <v>0</v>
      </c>
      <c r="AZ140" s="62">
        <f t="shared" si="438"/>
        <v>0</v>
      </c>
      <c r="BA140" s="39">
        <f t="shared" si="438"/>
        <v>0</v>
      </c>
      <c r="BB140" s="39">
        <f t="shared" si="438"/>
        <v>0</v>
      </c>
      <c r="BC140" s="39">
        <f t="shared" si="438"/>
        <v>0</v>
      </c>
      <c r="BD140" s="39">
        <f t="shared" si="438"/>
        <v>0</v>
      </c>
      <c r="BE140" s="62">
        <f t="shared" si="438"/>
        <v>0</v>
      </c>
      <c r="BF140" s="39">
        <f t="shared" si="438"/>
        <v>0</v>
      </c>
      <c r="BG140" s="62">
        <f t="shared" si="438"/>
        <v>-1.343511399999997</v>
      </c>
      <c r="BH140" s="39">
        <f t="shared" si="438"/>
        <v>0</v>
      </c>
      <c r="BI140" s="62">
        <f t="shared" si="438"/>
        <v>0</v>
      </c>
      <c r="BJ140" s="39">
        <f t="shared" si="438"/>
        <v>0</v>
      </c>
      <c r="BK140" s="62">
        <f t="shared" si="438"/>
        <v>-0.14645999999999759</v>
      </c>
      <c r="BL140" s="39">
        <f t="shared" si="438"/>
        <v>0</v>
      </c>
      <c r="BM140" s="62">
        <f t="shared" si="438"/>
        <v>0</v>
      </c>
      <c r="BN140" s="39">
        <f t="shared" si="438"/>
        <v>0</v>
      </c>
      <c r="BO140" s="82">
        <f t="shared" si="438"/>
        <v>0</v>
      </c>
      <c r="BP140" s="39">
        <f t="shared" si="438"/>
        <v>0</v>
      </c>
      <c r="BQ140" s="39">
        <f t="shared" ref="BQ140:BU140" si="439">BQ135+BQ137-BQ139</f>
        <v>0</v>
      </c>
      <c r="BR140" s="62">
        <f t="shared" si="439"/>
        <v>0</v>
      </c>
      <c r="BS140" s="39">
        <f t="shared" si="439"/>
        <v>0</v>
      </c>
      <c r="BT140" s="62">
        <f t="shared" si="439"/>
        <v>0</v>
      </c>
      <c r="BU140" s="39">
        <f t="shared" si="439"/>
        <v>0</v>
      </c>
      <c r="BV140" s="39"/>
      <c r="BW140" s="62">
        <f t="shared" ref="BW140:CH140" si="440">BW135+BW137-BW139</f>
        <v>0</v>
      </c>
      <c r="BX140" s="39">
        <f t="shared" si="440"/>
        <v>0</v>
      </c>
      <c r="BY140" s="62">
        <f t="shared" si="440"/>
        <v>0</v>
      </c>
      <c r="BZ140" s="39">
        <f t="shared" si="440"/>
        <v>0</v>
      </c>
      <c r="CA140" s="39">
        <f t="shared" si="440"/>
        <v>0</v>
      </c>
      <c r="CB140" s="62">
        <f t="shared" si="440"/>
        <v>0</v>
      </c>
      <c r="CC140" s="62">
        <f t="shared" si="440"/>
        <v>0</v>
      </c>
      <c r="CD140" s="39"/>
      <c r="CE140" s="62">
        <f t="shared" si="440"/>
        <v>0</v>
      </c>
      <c r="CF140" s="39">
        <f t="shared" si="440"/>
        <v>0</v>
      </c>
      <c r="CG140" s="62">
        <f t="shared" si="440"/>
        <v>0</v>
      </c>
      <c r="CH140" s="39">
        <f t="shared" si="440"/>
        <v>0</v>
      </c>
    </row>
    <row r="141" spans="1:86" s="29" customFormat="1" x14ac:dyDescent="0.35">
      <c r="A141" s="17"/>
      <c r="B141" s="26"/>
      <c r="C141" s="60"/>
      <c r="D141" s="27"/>
      <c r="E141" s="60"/>
      <c r="F141" s="27"/>
      <c r="G141" s="80"/>
      <c r="H141" s="18"/>
      <c r="I141" s="80"/>
      <c r="J141" s="17"/>
      <c r="K141" s="80"/>
      <c r="L141" s="18"/>
      <c r="M141" s="80"/>
      <c r="N141" s="17"/>
      <c r="O141" s="80"/>
      <c r="P141" s="18"/>
      <c r="Q141" s="80"/>
      <c r="R141" s="17"/>
      <c r="S141" s="80"/>
      <c r="T141" s="18"/>
      <c r="U141" s="60"/>
      <c r="V141" s="17"/>
      <c r="W141" s="80"/>
      <c r="X141" s="18"/>
      <c r="Y141" s="80"/>
      <c r="Z141" s="17"/>
      <c r="AA141" s="34"/>
      <c r="AB141" s="60"/>
      <c r="AC141" s="17"/>
      <c r="AD141" s="60"/>
      <c r="AE141" s="17"/>
      <c r="AF141" s="17"/>
      <c r="AG141" s="60"/>
      <c r="AH141" s="18"/>
      <c r="AI141" s="60"/>
      <c r="AJ141" s="17"/>
      <c r="AK141" s="17"/>
      <c r="AL141" s="80"/>
      <c r="AM141" s="18"/>
      <c r="AN141" s="80"/>
      <c r="AO141" s="17"/>
      <c r="AP141" s="17"/>
      <c r="AQ141" s="60"/>
      <c r="AR141" s="18"/>
      <c r="AS141" s="60"/>
      <c r="AT141" s="17"/>
      <c r="AU141" s="60"/>
      <c r="AV141" s="18"/>
      <c r="AW141" s="60"/>
      <c r="AX141" s="17"/>
      <c r="AY141" s="17"/>
      <c r="AZ141" s="60"/>
      <c r="BA141" s="18"/>
      <c r="BB141" s="17"/>
      <c r="BC141" s="17"/>
      <c r="BD141" s="17"/>
      <c r="BE141" s="60"/>
      <c r="BF141" s="18"/>
      <c r="BG141" s="60"/>
      <c r="BH141" s="17"/>
      <c r="BI141" s="60"/>
      <c r="BJ141" s="18"/>
      <c r="BK141" s="60"/>
      <c r="BL141" s="17"/>
      <c r="BM141" s="60"/>
      <c r="BN141" s="17"/>
      <c r="BO141" s="80"/>
      <c r="BP141" s="17"/>
      <c r="BQ141" s="20"/>
      <c r="BR141" s="60"/>
      <c r="BS141" s="18"/>
      <c r="BT141" s="60"/>
      <c r="BU141" s="17"/>
      <c r="BV141" s="17"/>
      <c r="BW141" s="60"/>
      <c r="BX141" s="17"/>
      <c r="BY141" s="60"/>
      <c r="BZ141" s="17"/>
      <c r="CA141" s="17"/>
      <c r="CB141" s="60"/>
      <c r="CC141" s="60"/>
      <c r="CD141" s="17"/>
      <c r="CE141" s="60"/>
      <c r="CF141" s="18"/>
      <c r="CG141" s="60"/>
      <c r="CH141" s="17"/>
    </row>
    <row r="142" spans="1:86" s="29" customFormat="1" x14ac:dyDescent="0.35">
      <c r="A142" s="17"/>
      <c r="B142" s="26"/>
      <c r="C142" s="60"/>
      <c r="D142" s="27"/>
      <c r="E142" s="60"/>
      <c r="F142" s="27"/>
      <c r="G142" s="80"/>
      <c r="H142" s="18"/>
      <c r="I142" s="80"/>
      <c r="J142" s="17"/>
      <c r="K142" s="80"/>
      <c r="L142" s="18"/>
      <c r="M142" s="80"/>
      <c r="N142" s="17"/>
      <c r="O142" s="80"/>
      <c r="P142" s="18"/>
      <c r="Q142" s="80"/>
      <c r="R142" s="17"/>
      <c r="S142" s="80"/>
      <c r="T142" s="18"/>
      <c r="U142" s="60"/>
      <c r="V142" s="17"/>
      <c r="W142" s="80"/>
      <c r="X142" s="18"/>
      <c r="Y142" s="80"/>
      <c r="Z142" s="17"/>
      <c r="AA142" s="34"/>
      <c r="AB142" s="60"/>
      <c r="AC142" s="17"/>
      <c r="AD142" s="60"/>
      <c r="AE142" s="17"/>
      <c r="AF142" s="17"/>
      <c r="AG142" s="60"/>
      <c r="AH142" s="18"/>
      <c r="AI142" s="60"/>
      <c r="AJ142" s="17"/>
      <c r="AK142" s="17"/>
      <c r="AL142" s="80"/>
      <c r="AM142" s="18"/>
      <c r="AN142" s="80"/>
      <c r="AO142" s="17"/>
      <c r="AP142" s="17"/>
      <c r="AQ142" s="60"/>
      <c r="AR142" s="18"/>
      <c r="AS142" s="60"/>
      <c r="AT142" s="17"/>
      <c r="AU142" s="60"/>
      <c r="AV142" s="18"/>
      <c r="AW142" s="60"/>
      <c r="AX142" s="17"/>
      <c r="AY142" s="17"/>
      <c r="AZ142" s="60"/>
      <c r="BA142" s="18"/>
      <c r="BB142" s="17"/>
      <c r="BC142" s="17"/>
      <c r="BD142" s="17"/>
      <c r="BE142" s="60"/>
      <c r="BF142" s="18"/>
      <c r="BG142" s="60"/>
      <c r="BH142" s="17"/>
      <c r="BI142" s="60"/>
      <c r="BJ142" s="18"/>
      <c r="BK142" s="60"/>
      <c r="BL142" s="17"/>
      <c r="BM142" s="60"/>
      <c r="BN142" s="17"/>
      <c r="BO142" s="80"/>
      <c r="BP142" s="17"/>
      <c r="BQ142" s="20"/>
      <c r="BR142" s="60"/>
      <c r="BS142" s="18"/>
      <c r="BT142" s="60"/>
      <c r="BU142" s="17"/>
      <c r="BV142" s="17"/>
      <c r="BW142" s="60"/>
      <c r="BX142" s="17"/>
      <c r="BY142" s="60"/>
      <c r="BZ142" s="17"/>
      <c r="CA142" s="17"/>
      <c r="CB142" s="60"/>
      <c r="CC142" s="60"/>
      <c r="CD142" s="17"/>
      <c r="CE142" s="60"/>
      <c r="CF142" s="18"/>
      <c r="CG142" s="60"/>
      <c r="CH142" s="17"/>
    </row>
    <row r="143" spans="1:86" s="29" customFormat="1" x14ac:dyDescent="0.35">
      <c r="A143" s="17"/>
      <c r="B143" s="17" t="s">
        <v>625</v>
      </c>
      <c r="C143" s="60"/>
      <c r="D143" s="27"/>
      <c r="E143" s="60">
        <f>E105+E106+E117+E127+E128+E135</f>
        <v>2181.8072566442993</v>
      </c>
      <c r="F143" s="27"/>
      <c r="G143" s="80"/>
      <c r="H143" s="18"/>
      <c r="I143" s="60">
        <f>I105+I106+I117+I127+I128+I135</f>
        <v>2380.5172347799994</v>
      </c>
      <c r="J143" s="17"/>
      <c r="K143" s="80"/>
      <c r="L143" s="60">
        <f>L105+L106+L117+L127+L128+L135</f>
        <v>0</v>
      </c>
      <c r="M143" s="80"/>
      <c r="N143" s="17"/>
      <c r="O143" s="80"/>
      <c r="P143" s="18"/>
      <c r="Q143" s="60">
        <f>Q105+Q106+Q117+Q127+Q128+Q135</f>
        <v>753.2107193633426</v>
      </c>
      <c r="R143" s="17"/>
      <c r="S143" s="80"/>
      <c r="T143" s="18"/>
      <c r="U143" s="60">
        <f>U105+U106+U117+U127+U128+U135</f>
        <v>0</v>
      </c>
      <c r="V143" s="17"/>
      <c r="W143" s="80"/>
      <c r="X143" s="18"/>
      <c r="Y143" s="60">
        <f>Y105+Y106+Y117+Y127+Y128+Y135</f>
        <v>0</v>
      </c>
      <c r="Z143" s="17"/>
      <c r="AA143" s="34"/>
      <c r="AB143" s="60"/>
      <c r="AC143" s="17"/>
      <c r="AD143" s="60"/>
      <c r="AE143" s="17"/>
      <c r="AF143" s="17"/>
      <c r="AG143" s="60"/>
      <c r="AH143" s="18"/>
      <c r="AI143" s="60">
        <f>AI105+AI106+AI117+AI127+AI128+AI135</f>
        <v>259.23212243017298</v>
      </c>
      <c r="AJ143" s="17"/>
      <c r="AK143" s="17"/>
      <c r="AL143" s="80"/>
      <c r="AM143" s="18"/>
      <c r="AN143" s="60">
        <f>AN105+AN106+AN117+AN127+AN128+AN135</f>
        <v>589.73917338121362</v>
      </c>
      <c r="AO143" s="17"/>
      <c r="AP143" s="17"/>
      <c r="AQ143" s="60"/>
      <c r="AR143" s="18"/>
      <c r="AS143" s="60">
        <f>AS105+AS106+AS117+AS127+AS128+AS135</f>
        <v>2977.5438606619996</v>
      </c>
      <c r="AT143" s="17"/>
      <c r="AU143" s="60"/>
      <c r="AV143" s="18"/>
      <c r="AW143" s="60">
        <f>AW105+AW106+AW117+AW127+AW128+AW135</f>
        <v>687.40975486255707</v>
      </c>
      <c r="AX143" s="17"/>
      <c r="AY143" s="17"/>
      <c r="AZ143" s="60"/>
      <c r="BA143" s="18"/>
      <c r="BB143" s="17"/>
      <c r="BC143" s="17"/>
      <c r="BD143" s="17"/>
      <c r="BE143" s="60"/>
      <c r="BF143" s="18"/>
      <c r="BG143" s="60">
        <f>BG105+BG106+BG117+BG127+BG128+BG135</f>
        <v>747.94884999999999</v>
      </c>
      <c r="BH143" s="17"/>
      <c r="BI143" s="60"/>
      <c r="BJ143" s="18"/>
      <c r="BK143" s="60">
        <f>BK105+BK106+BK117+BK127+BK128+BK135</f>
        <v>61.155259999999998</v>
      </c>
      <c r="BL143" s="17"/>
      <c r="BM143" s="60"/>
      <c r="BN143" s="17"/>
      <c r="BO143" s="60">
        <f>BO105+BO106+BO117+BO127+BO128+BO135</f>
        <v>22.118539999999999</v>
      </c>
      <c r="BP143" s="17"/>
      <c r="BQ143" s="20"/>
      <c r="BR143" s="60"/>
      <c r="BS143" s="18"/>
      <c r="BT143" s="60"/>
      <c r="BU143" s="17"/>
      <c r="BV143" s="17"/>
      <c r="BW143" s="60"/>
      <c r="BX143" s="17"/>
      <c r="BY143" s="60"/>
      <c r="BZ143" s="17"/>
      <c r="CA143" s="17"/>
      <c r="CB143" s="60"/>
      <c r="CC143" s="60"/>
      <c r="CD143" s="17"/>
      <c r="CE143" s="60"/>
      <c r="CF143" s="18"/>
      <c r="CG143" s="60"/>
      <c r="CH143" s="17"/>
    </row>
    <row r="144" spans="1:86" s="29" customFormat="1" x14ac:dyDescent="0.35">
      <c r="A144" s="17"/>
      <c r="B144" s="17" t="s">
        <v>626</v>
      </c>
      <c r="C144" s="60"/>
      <c r="D144" s="27"/>
      <c r="E144" s="348">
        <f>E112+E113+E123+E130+E131+E139</f>
        <v>2533.7062674077997</v>
      </c>
      <c r="F144" s="27"/>
      <c r="G144" s="80"/>
      <c r="H144" s="18"/>
      <c r="I144" s="348">
        <f>I112+I113+I123+I130+I131+I139</f>
        <v>2544.1782062499992</v>
      </c>
      <c r="J144" s="17"/>
      <c r="K144" s="80"/>
      <c r="L144" s="60">
        <f>L112+L113+L123+L130+L131+L139</f>
        <v>0</v>
      </c>
      <c r="M144" s="80"/>
      <c r="N144" s="17"/>
      <c r="O144" s="80"/>
      <c r="P144" s="18"/>
      <c r="Q144" s="60">
        <f>Q112+Q113+Q123+Q130+Q131+Q139</f>
        <v>992.12304256664322</v>
      </c>
      <c r="R144" s="17"/>
      <c r="S144" s="80"/>
      <c r="T144" s="18"/>
      <c r="U144" s="60">
        <f>U112+U113+U123+U130+U131+U139</f>
        <v>0</v>
      </c>
      <c r="V144" s="17"/>
      <c r="W144" s="80"/>
      <c r="X144" s="18"/>
      <c r="Y144" s="60">
        <f>Y112+Y113+Y123+Y130+Y131+Y139</f>
        <v>0</v>
      </c>
      <c r="Z144" s="17"/>
      <c r="AA144" s="34"/>
      <c r="AB144" s="60"/>
      <c r="AC144" s="17"/>
      <c r="AD144" s="60"/>
      <c r="AE144" s="17"/>
      <c r="AF144" s="17"/>
      <c r="AG144" s="60"/>
      <c r="AH144" s="18"/>
      <c r="AI144" s="348">
        <f>AI112+AI113+AI123+AI130+AI131+AI139</f>
        <v>328.13200529880021</v>
      </c>
      <c r="AJ144" s="17"/>
      <c r="AK144" s="17"/>
      <c r="AL144" s="80"/>
      <c r="AM144" s="18"/>
      <c r="AN144" s="348">
        <f>AN112+AN113+AN123+AN130+AN131+AN139</f>
        <v>773.99988168283278</v>
      </c>
      <c r="AO144" s="60"/>
      <c r="AP144" s="60"/>
      <c r="AQ144" s="60"/>
      <c r="AR144" s="18"/>
      <c r="AS144" s="348">
        <f>AS112+AS113+AS123+AS130+AS131+AS139</f>
        <v>3464.9702538859997</v>
      </c>
      <c r="AT144" s="17"/>
      <c r="AU144" s="60"/>
      <c r="AV144" s="18"/>
      <c r="AW144" s="348">
        <f>AW112+AW113+AW123+AW130+AW131+AW139</f>
        <v>912.84895376813711</v>
      </c>
      <c r="AX144" s="17"/>
      <c r="AY144" s="17"/>
      <c r="AZ144" s="60"/>
      <c r="BA144" s="18"/>
      <c r="BB144" s="17"/>
      <c r="BC144" s="17"/>
      <c r="BD144" s="17"/>
      <c r="BE144" s="60"/>
      <c r="BF144" s="18"/>
      <c r="BG144" s="348">
        <f>BG112+BG113+BG123+BG130+BG131+BG139</f>
        <v>1289.8346900000001</v>
      </c>
      <c r="BH144" s="17"/>
      <c r="BI144" s="60"/>
      <c r="BJ144" s="18"/>
      <c r="BK144" s="348">
        <f>BK112+BK113+BK123+BK130+BK131+BK139</f>
        <v>49.339960000000005</v>
      </c>
      <c r="BL144" s="17"/>
      <c r="BM144" s="60"/>
      <c r="BN144" s="17"/>
      <c r="BO144" s="348">
        <f>BO112+BO113+BO123+BO130+BO131+BO139</f>
        <v>22.118539999999999</v>
      </c>
      <c r="BP144" s="17"/>
      <c r="BQ144" s="20"/>
      <c r="BR144" s="60"/>
      <c r="BS144" s="18"/>
      <c r="BT144" s="60"/>
      <c r="BU144" s="17"/>
      <c r="BV144" s="17"/>
      <c r="BW144" s="60"/>
      <c r="BX144" s="17"/>
      <c r="BY144" s="60">
        <f>BY105+BY106+BY117+BY127+BY128+BY135</f>
        <v>0</v>
      </c>
      <c r="BZ144" s="17"/>
      <c r="CA144" s="17">
        <f>SUM(E144:BZ144)</f>
        <v>12911.251800860211</v>
      </c>
      <c r="CB144" s="60"/>
      <c r="CC144" s="60"/>
      <c r="CD144" s="17"/>
      <c r="CE144" s="60"/>
      <c r="CF144" s="18"/>
      <c r="CG144" s="60"/>
      <c r="CH144" s="17"/>
    </row>
    <row r="145" spans="1:86" s="328" customFormat="1" x14ac:dyDescent="0.35">
      <c r="A145" s="26"/>
      <c r="B145" s="26"/>
      <c r="C145" s="61"/>
      <c r="D145" s="406"/>
      <c r="E145" s="61">
        <f>E143-E144</f>
        <v>-351.89901076350043</v>
      </c>
      <c r="F145" s="406"/>
      <c r="G145" s="81"/>
      <c r="H145" s="325"/>
      <c r="I145" s="61">
        <f>I143-I144</f>
        <v>-163.66097146999982</v>
      </c>
      <c r="J145" s="26"/>
      <c r="K145" s="81"/>
      <c r="L145" s="61">
        <f>L143-L144</f>
        <v>0</v>
      </c>
      <c r="M145" s="81"/>
      <c r="N145" s="26"/>
      <c r="O145" s="81"/>
      <c r="P145" s="325"/>
      <c r="Q145" s="61">
        <f>Q143-Q144</f>
        <v>-238.91232320330062</v>
      </c>
      <c r="R145" s="26"/>
      <c r="S145" s="81"/>
      <c r="T145" s="325"/>
      <c r="U145" s="61">
        <f>U143-U144</f>
        <v>0</v>
      </c>
      <c r="V145" s="26"/>
      <c r="W145" s="81"/>
      <c r="X145" s="325"/>
      <c r="Y145" s="61">
        <f>Y143-Y144</f>
        <v>0</v>
      </c>
      <c r="Z145" s="26"/>
      <c r="AA145" s="326"/>
      <c r="AB145" s="61"/>
      <c r="AC145" s="26"/>
      <c r="AD145" s="61"/>
      <c r="AE145" s="26"/>
      <c r="AF145" s="26"/>
      <c r="AG145" s="61"/>
      <c r="AH145" s="325"/>
      <c r="AI145" s="61">
        <f>AI143-AI144</f>
        <v>-68.89988286862723</v>
      </c>
      <c r="AJ145" s="26"/>
      <c r="AK145" s="26"/>
      <c r="AL145" s="81"/>
      <c r="AM145" s="325"/>
      <c r="AN145" s="61">
        <f>AN143-AN144</f>
        <v>-184.26070830161916</v>
      </c>
      <c r="AO145" s="61"/>
      <c r="AP145" s="17"/>
      <c r="AQ145" s="61"/>
      <c r="AR145" s="325"/>
      <c r="AS145" s="61">
        <f>AS143-AS144</f>
        <v>-487.42639322400009</v>
      </c>
      <c r="AT145" s="26"/>
      <c r="AU145" s="61"/>
      <c r="AV145" s="325"/>
      <c r="AW145" s="61">
        <f>AW143-AW144</f>
        <v>-225.43919890558004</v>
      </c>
      <c r="AX145" s="26"/>
      <c r="AY145" s="26"/>
      <c r="AZ145" s="61"/>
      <c r="BA145" s="325"/>
      <c r="BB145" s="26"/>
      <c r="BC145" s="26"/>
      <c r="BD145" s="26"/>
      <c r="BE145" s="61"/>
      <c r="BF145" s="325"/>
      <c r="BG145" s="61">
        <f>BG143-BG144</f>
        <v>-541.88584000000014</v>
      </c>
      <c r="BH145" s="26"/>
      <c r="BI145" s="61"/>
      <c r="BJ145" s="325"/>
      <c r="BK145" s="61">
        <f>BK139+BK130+BK131+BK112</f>
        <v>49.339960000000005</v>
      </c>
      <c r="BL145" s="26"/>
      <c r="BM145" s="61"/>
      <c r="BN145" s="26"/>
      <c r="BO145" s="61">
        <f>BO143-BO144</f>
        <v>0</v>
      </c>
      <c r="BP145" s="26"/>
      <c r="BQ145" s="327"/>
      <c r="BR145" s="61"/>
      <c r="BS145" s="325"/>
      <c r="BT145" s="61"/>
      <c r="BU145" s="26"/>
      <c r="BV145" s="26"/>
      <c r="BW145" s="61"/>
      <c r="BX145" s="26"/>
      <c r="BY145" s="61">
        <f>BY139+BY130+BY131+BY112</f>
        <v>0</v>
      </c>
      <c r="BZ145" s="26" t="s">
        <v>650</v>
      </c>
      <c r="CA145" s="26">
        <f>'Stock sheet'!C18</f>
        <v>12929.600920860212</v>
      </c>
      <c r="CB145" s="61"/>
      <c r="CC145" s="61"/>
      <c r="CD145" s="26"/>
      <c r="CE145" s="61"/>
      <c r="CF145" s="325"/>
      <c r="CG145" s="61"/>
      <c r="CH145" s="26"/>
    </row>
    <row r="146" spans="1:86" s="29" customFormat="1" x14ac:dyDescent="0.35">
      <c r="A146" s="17"/>
      <c r="B146" s="26"/>
      <c r="C146" s="60"/>
      <c r="D146" s="27"/>
      <c r="E146" s="60"/>
      <c r="F146" s="27"/>
      <c r="G146" s="80"/>
      <c r="H146" s="18"/>
      <c r="I146" s="80"/>
      <c r="J146" s="17"/>
      <c r="K146" s="80"/>
      <c r="L146" s="18"/>
      <c r="M146" s="80"/>
      <c r="N146" s="17"/>
      <c r="O146" s="80"/>
      <c r="P146" s="18"/>
      <c r="Q146" s="80"/>
      <c r="R146" s="17"/>
      <c r="S146" s="80"/>
      <c r="T146" s="18"/>
      <c r="U146" s="60"/>
      <c r="V146" s="17"/>
      <c r="W146" s="80"/>
      <c r="X146" s="18"/>
      <c r="Y146" s="80"/>
      <c r="Z146" s="17"/>
      <c r="AA146" s="34"/>
      <c r="AB146" s="60"/>
      <c r="AC146" s="17"/>
      <c r="AD146" s="60"/>
      <c r="AE146" s="17"/>
      <c r="AF146" s="17"/>
      <c r="AG146" s="60"/>
      <c r="AH146" s="18"/>
      <c r="AI146" s="60"/>
      <c r="AJ146" s="17"/>
      <c r="AK146" s="17"/>
      <c r="AL146" s="80"/>
      <c r="AM146" s="18"/>
      <c r="AN146" s="60"/>
      <c r="AO146" s="60"/>
      <c r="AP146" s="17"/>
      <c r="AQ146" s="60"/>
      <c r="AR146" s="18"/>
      <c r="AS146" s="60"/>
      <c r="AT146" s="17"/>
      <c r="AU146" s="60"/>
      <c r="AV146" s="18"/>
      <c r="AW146" s="60"/>
      <c r="AX146" s="17"/>
      <c r="AY146" s="17"/>
      <c r="AZ146" s="60"/>
      <c r="BA146" s="18"/>
      <c r="BB146" s="17"/>
      <c r="BC146" s="17"/>
      <c r="BD146" s="17"/>
      <c r="BE146" s="60"/>
      <c r="BF146" s="18"/>
      <c r="BG146" s="60"/>
      <c r="BH146" s="17"/>
      <c r="BI146" s="60"/>
      <c r="BJ146" s="18"/>
      <c r="BK146" s="60"/>
      <c r="BL146" s="17"/>
      <c r="BM146" s="60"/>
      <c r="BN146" s="17"/>
      <c r="BO146" s="80"/>
      <c r="BP146" s="17"/>
      <c r="BQ146" s="20"/>
      <c r="BR146" s="60"/>
      <c r="BS146" s="18"/>
      <c r="BT146" s="60"/>
      <c r="BU146" s="17"/>
      <c r="BV146" s="17"/>
      <c r="BW146" s="60"/>
      <c r="BX146" s="17"/>
      <c r="BY146" s="60"/>
      <c r="BZ146" s="17"/>
      <c r="CA146" s="580">
        <f>CA144-CA145</f>
        <v>-18.349120000000767</v>
      </c>
      <c r="CB146" s="60"/>
      <c r="CC146" s="60"/>
      <c r="CD146" s="17"/>
      <c r="CE146" s="60"/>
      <c r="CF146" s="18"/>
      <c r="CG146" s="60"/>
      <c r="CH146" s="17"/>
    </row>
    <row r="147" spans="1:86" s="29" customFormat="1" x14ac:dyDescent="0.35">
      <c r="A147" s="17"/>
      <c r="B147" s="26"/>
      <c r="C147" s="60"/>
      <c r="D147" s="27"/>
      <c r="E147" s="60"/>
      <c r="F147" s="27"/>
      <c r="G147" s="80"/>
      <c r="H147" s="18"/>
      <c r="I147" s="80"/>
      <c r="J147" s="17"/>
      <c r="K147" s="80"/>
      <c r="L147" s="18"/>
      <c r="M147" s="80"/>
      <c r="N147" s="17"/>
      <c r="O147" s="80"/>
      <c r="P147" s="18"/>
      <c r="Q147" s="80"/>
      <c r="R147" s="17"/>
      <c r="S147" s="80"/>
      <c r="T147" s="18"/>
      <c r="U147" s="60"/>
      <c r="V147" s="17"/>
      <c r="W147" s="80"/>
      <c r="X147" s="18"/>
      <c r="Y147" s="80"/>
      <c r="Z147" s="17"/>
      <c r="AA147" s="34"/>
      <c r="AB147" s="60"/>
      <c r="AC147" s="17"/>
      <c r="AD147" s="60"/>
      <c r="AE147" s="17"/>
      <c r="AF147" s="17"/>
      <c r="AG147" s="60"/>
      <c r="AH147" s="18"/>
      <c r="AI147" s="60"/>
      <c r="AJ147" s="17"/>
      <c r="AK147" s="17"/>
      <c r="AL147" s="80"/>
      <c r="AM147" s="18"/>
      <c r="AN147" s="80"/>
      <c r="AO147" s="17"/>
      <c r="AP147" s="17"/>
      <c r="AQ147" s="60"/>
      <c r="AR147" s="18"/>
      <c r="AT147" s="17"/>
      <c r="AU147" s="60"/>
      <c r="AV147" s="18"/>
      <c r="AX147" s="17"/>
      <c r="AY147" s="17"/>
      <c r="AZ147" s="60"/>
      <c r="BA147" s="18"/>
      <c r="BB147" s="17"/>
      <c r="BC147" s="17"/>
      <c r="BD147" s="17"/>
      <c r="BE147" s="60"/>
      <c r="BF147" s="18"/>
      <c r="BL147" s="17"/>
      <c r="BM147" s="60"/>
      <c r="BN147" s="17"/>
      <c r="BP147" s="17"/>
      <c r="BQ147" s="20"/>
      <c r="BR147" s="60"/>
      <c r="BS147" s="18"/>
      <c r="BT147" s="60"/>
      <c r="BU147" s="17"/>
      <c r="BV147" s="17"/>
      <c r="BW147" s="60"/>
      <c r="BX147" s="17"/>
      <c r="BY147" s="60"/>
      <c r="BZ147" s="17"/>
      <c r="CA147" s="17" t="s">
        <v>765</v>
      </c>
      <c r="CB147" s="60"/>
      <c r="CC147" s="60"/>
      <c r="CD147" s="17"/>
      <c r="CE147" s="60"/>
      <c r="CF147" s="18"/>
      <c r="CG147" s="60"/>
      <c r="CH147" s="17"/>
    </row>
    <row r="148" spans="1:86" s="357" customFormat="1" x14ac:dyDescent="0.35">
      <c r="A148" s="353"/>
      <c r="B148" s="351"/>
      <c r="C148" s="352" t="s">
        <v>650</v>
      </c>
      <c r="D148" s="407"/>
      <c r="E148" s="352">
        <f>E143-'Stock sheet'!B6</f>
        <v>0</v>
      </c>
      <c r="F148" s="407"/>
      <c r="G148" s="354"/>
      <c r="H148" s="353"/>
      <c r="I148" s="354">
        <f>I143-'Stock sheet'!B7</f>
        <v>0</v>
      </c>
      <c r="J148" s="351"/>
      <c r="K148" s="354"/>
      <c r="L148" s="353"/>
      <c r="M148" s="354"/>
      <c r="N148" s="351"/>
      <c r="O148" s="354"/>
      <c r="P148" s="353"/>
      <c r="Q148" s="354">
        <f>Q143-'Stock sheet'!B8</f>
        <v>0</v>
      </c>
      <c r="R148" s="351"/>
      <c r="S148" s="354"/>
      <c r="T148" s="353"/>
      <c r="U148" s="352"/>
      <c r="V148" s="351"/>
      <c r="W148" s="354"/>
      <c r="X148" s="353"/>
      <c r="Y148" s="354"/>
      <c r="Z148" s="351"/>
      <c r="AA148" s="355"/>
      <c r="AB148" s="352"/>
      <c r="AC148" s="351"/>
      <c r="AD148" s="352"/>
      <c r="AE148" s="351"/>
      <c r="AF148" s="351"/>
      <c r="AG148" s="352"/>
      <c r="AH148" s="353"/>
      <c r="AI148" s="352">
        <f>AI143-'Stock sheet'!B17</f>
        <v>0</v>
      </c>
      <c r="AJ148" s="351"/>
      <c r="AK148" s="351"/>
      <c r="AL148" s="354"/>
      <c r="AM148" s="353"/>
      <c r="AN148" s="351">
        <f>AN143-'Stock sheet'!B16</f>
        <v>0</v>
      </c>
      <c r="AO148" s="351"/>
      <c r="AP148" s="313"/>
      <c r="AQ148" s="352"/>
      <c r="AR148" s="353"/>
      <c r="AS148" s="60">
        <f>AS143-'Stock sheet'!B9</f>
        <v>0</v>
      </c>
      <c r="AT148" s="351"/>
      <c r="AU148" s="352"/>
      <c r="AV148" s="353"/>
      <c r="AW148" s="60">
        <f>AW143-'Stock sheet'!B11</f>
        <v>0</v>
      </c>
      <c r="AX148" s="351"/>
      <c r="AY148" s="351"/>
      <c r="AZ148" s="352"/>
      <c r="BA148" s="353"/>
      <c r="BB148" s="351"/>
      <c r="BC148" s="351"/>
      <c r="BD148" s="351"/>
      <c r="BE148" s="352"/>
      <c r="BF148" s="353"/>
      <c r="BG148" s="60">
        <f>BG143-'Stock sheet'!B12</f>
        <v>0</v>
      </c>
      <c r="BH148" s="17"/>
      <c r="BI148" s="60"/>
      <c r="BJ148" s="18"/>
      <c r="BK148" s="60">
        <f>'Stock sheet'!B13-'May-26'!BK143</f>
        <v>0</v>
      </c>
      <c r="BL148" s="351"/>
      <c r="BM148" s="352"/>
      <c r="BN148" s="351"/>
      <c r="BO148" s="80">
        <f>'Stock sheet'!B14-'May-26'!BO143</f>
        <v>0</v>
      </c>
      <c r="BP148" s="351"/>
      <c r="BQ148" s="356"/>
      <c r="BR148" s="352"/>
      <c r="BS148" s="353"/>
      <c r="BT148" s="352"/>
      <c r="BU148" s="351"/>
      <c r="BV148" s="351"/>
      <c r="BW148" s="352"/>
      <c r="BX148" s="351"/>
      <c r="BY148" s="352"/>
      <c r="BZ148" s="351"/>
      <c r="CA148" s="351"/>
      <c r="CB148" s="352"/>
      <c r="CC148" s="352"/>
      <c r="CD148" s="351"/>
      <c r="CE148" s="352"/>
      <c r="CF148" s="353"/>
      <c r="CG148" s="352"/>
      <c r="CH148" s="351"/>
    </row>
    <row r="149" spans="1:86" s="357" customFormat="1" x14ac:dyDescent="0.35">
      <c r="A149" s="351"/>
      <c r="B149" s="351"/>
      <c r="C149" s="352" t="s">
        <v>650</v>
      </c>
      <c r="D149" s="407"/>
      <c r="E149" s="352">
        <f>E144-'Stock sheet'!C6</f>
        <v>0</v>
      </c>
      <c r="F149" s="407"/>
      <c r="G149" s="354"/>
      <c r="H149" s="353"/>
      <c r="I149" s="354">
        <f>I144-'Stock sheet'!C7</f>
        <v>0</v>
      </c>
      <c r="J149" s="351"/>
      <c r="K149" s="354"/>
      <c r="L149" s="353"/>
      <c r="M149" s="354"/>
      <c r="N149" s="351"/>
      <c r="O149" s="354"/>
      <c r="P149" s="353"/>
      <c r="Q149" s="354">
        <f>Q144-'Stock sheet'!C8</f>
        <v>0</v>
      </c>
      <c r="R149" s="351"/>
      <c r="S149" s="354"/>
      <c r="T149" s="353"/>
      <c r="U149" s="352"/>
      <c r="V149" s="351"/>
      <c r="W149" s="354"/>
      <c r="X149" s="353"/>
      <c r="Y149" s="354"/>
      <c r="Z149" s="351"/>
      <c r="AA149" s="355"/>
      <c r="AB149" s="352"/>
      <c r="AC149" s="351"/>
      <c r="AD149" s="352"/>
      <c r="AE149" s="351"/>
      <c r="AF149" s="351"/>
      <c r="AG149" s="352"/>
      <c r="AH149" s="353"/>
      <c r="AI149" s="352">
        <f>AI144-'Stock sheet'!C17</f>
        <v>0</v>
      </c>
      <c r="AJ149" s="351"/>
      <c r="AK149" s="351"/>
      <c r="AL149" s="354"/>
      <c r="AM149" s="353"/>
      <c r="AN149" s="354">
        <f>AN144-'Stock sheet'!C16</f>
        <v>0</v>
      </c>
      <c r="AO149" s="351"/>
      <c r="AP149" s="313"/>
      <c r="AQ149" s="352"/>
      <c r="AR149" s="353"/>
      <c r="AS149" s="352">
        <f>AS144-'Stock sheet'!C9</f>
        <v>0</v>
      </c>
      <c r="AT149" s="351"/>
      <c r="AU149" s="352"/>
      <c r="AV149" s="353"/>
      <c r="AW149" s="352">
        <f>AW144-'Stock sheet'!C11</f>
        <v>0</v>
      </c>
      <c r="AX149" s="351"/>
      <c r="AY149" s="351"/>
      <c r="AZ149" s="352"/>
      <c r="BA149" s="353"/>
      <c r="BB149" s="351"/>
      <c r="BC149" s="351"/>
      <c r="BD149" s="351"/>
      <c r="BE149" s="352"/>
      <c r="BF149" s="353"/>
      <c r="BG149" s="352">
        <f>BG144-'Stock sheet'!C12</f>
        <v>0</v>
      </c>
      <c r="BH149" s="351"/>
      <c r="BI149" s="352"/>
      <c r="BJ149" s="353"/>
      <c r="BK149" s="352">
        <f>BK144-'Stock sheet'!C13</f>
        <v>0</v>
      </c>
      <c r="BL149" s="351"/>
      <c r="BM149" s="352"/>
      <c r="BN149" s="351"/>
      <c r="BO149" s="354">
        <f>BO144-'Stock sheet'!C14</f>
        <v>0</v>
      </c>
      <c r="BP149" s="351"/>
      <c r="BQ149" s="356"/>
      <c r="BR149" s="352"/>
      <c r="BS149" s="353"/>
      <c r="BT149" s="352"/>
      <c r="BU149" s="351"/>
      <c r="BV149" s="351"/>
      <c r="BW149" s="352"/>
      <c r="BX149" s="351"/>
      <c r="BY149" s="352"/>
      <c r="BZ149" s="351"/>
      <c r="CA149" s="351"/>
      <c r="CB149" s="352"/>
      <c r="CC149" s="352"/>
      <c r="CD149" s="351"/>
      <c r="CE149" s="352"/>
      <c r="CF149" s="353"/>
      <c r="CG149" s="352"/>
      <c r="CH149" s="351"/>
    </row>
    <row r="150" spans="1:86" s="29" customFormat="1" x14ac:dyDescent="0.35">
      <c r="A150" s="17"/>
      <c r="B150" s="26"/>
      <c r="C150" s="60"/>
      <c r="D150" s="27"/>
      <c r="E150" s="60"/>
      <c r="F150" s="27"/>
      <c r="G150" s="80"/>
      <c r="H150" s="18"/>
      <c r="I150" s="80"/>
      <c r="J150" s="17"/>
      <c r="K150" s="80"/>
      <c r="L150" s="18"/>
      <c r="M150" s="80"/>
      <c r="N150" s="17"/>
      <c r="O150" s="80"/>
      <c r="P150" s="18"/>
      <c r="Q150" s="80"/>
      <c r="R150" s="17"/>
      <c r="S150" s="80"/>
      <c r="T150" s="18"/>
      <c r="U150" s="60"/>
      <c r="V150" s="17"/>
      <c r="W150" s="80"/>
      <c r="X150" s="18"/>
      <c r="Y150" s="80"/>
      <c r="Z150" s="17"/>
      <c r="AA150" s="34"/>
      <c r="AB150" s="60"/>
      <c r="AC150" s="17"/>
      <c r="AD150" s="60"/>
      <c r="AE150" s="17"/>
      <c r="AF150" s="17"/>
      <c r="AG150" s="60"/>
      <c r="AH150" s="18"/>
      <c r="AI150" s="60"/>
      <c r="AJ150" s="17"/>
      <c r="AK150" s="17"/>
      <c r="AL150" s="80"/>
      <c r="AM150" s="18"/>
      <c r="AN150" s="80"/>
      <c r="AO150" s="17"/>
      <c r="AP150" s="17"/>
      <c r="AQ150" s="60"/>
      <c r="AR150" s="18"/>
      <c r="AS150" s="60"/>
      <c r="AT150" s="17"/>
      <c r="AU150" s="60"/>
      <c r="AV150" s="18"/>
      <c r="AW150" s="60"/>
      <c r="AX150" s="17"/>
      <c r="AY150" s="17"/>
      <c r="AZ150" s="60"/>
      <c r="BA150" s="18"/>
      <c r="BB150" s="17"/>
      <c r="BC150" s="17"/>
      <c r="BD150" s="17"/>
      <c r="BE150" s="60"/>
      <c r="BF150" s="18"/>
      <c r="BG150" s="60"/>
      <c r="BH150" s="17"/>
      <c r="BI150" s="60"/>
      <c r="BJ150" s="18"/>
      <c r="BK150" s="60"/>
      <c r="BL150" s="17"/>
      <c r="BM150" s="60"/>
      <c r="BN150" s="17"/>
      <c r="BO150" s="80"/>
      <c r="BP150" s="17"/>
      <c r="BQ150" s="20"/>
      <c r="BR150" s="60"/>
      <c r="BS150" s="18"/>
      <c r="BT150" s="60"/>
      <c r="BU150" s="17"/>
      <c r="BV150" s="17"/>
      <c r="BW150" s="60"/>
      <c r="BX150" s="17"/>
      <c r="BY150" s="60"/>
      <c r="BZ150" s="17"/>
      <c r="CA150" s="17"/>
      <c r="CB150" s="60"/>
      <c r="CC150" s="60"/>
      <c r="CD150" s="17"/>
      <c r="CE150" s="60"/>
      <c r="CF150" s="18"/>
      <c r="CG150" s="60"/>
      <c r="CH150" s="17"/>
    </row>
    <row r="151" spans="1:86" s="29" customFormat="1" x14ac:dyDescent="0.35">
      <c r="A151" s="17"/>
      <c r="B151" s="26"/>
      <c r="C151" s="60"/>
      <c r="D151" s="27"/>
      <c r="E151" s="60"/>
      <c r="F151" s="27"/>
      <c r="G151" s="80"/>
      <c r="H151" s="18"/>
      <c r="I151" s="80"/>
      <c r="J151" s="17"/>
      <c r="K151" s="80"/>
      <c r="L151" s="18"/>
      <c r="M151" s="80"/>
      <c r="N151" s="17"/>
      <c r="O151" s="80"/>
      <c r="P151" s="18"/>
      <c r="Q151" s="80"/>
      <c r="R151" s="17"/>
      <c r="S151" s="80"/>
      <c r="T151" s="18"/>
      <c r="U151" s="60"/>
      <c r="V151" s="17"/>
      <c r="W151" s="80"/>
      <c r="X151" s="18"/>
      <c r="Y151" s="80"/>
      <c r="Z151" s="17"/>
      <c r="AA151" s="34"/>
      <c r="AB151" s="60"/>
      <c r="AC151" s="17"/>
      <c r="AD151" s="60"/>
      <c r="AE151" s="17"/>
      <c r="AF151" s="17"/>
      <c r="AG151" s="60"/>
      <c r="AH151" s="18"/>
      <c r="AI151" s="60"/>
      <c r="AJ151" s="17"/>
      <c r="AK151" s="17"/>
      <c r="AL151" s="80"/>
      <c r="AM151" s="18"/>
      <c r="AN151" s="80"/>
      <c r="AO151" s="17"/>
      <c r="AP151" s="17"/>
      <c r="AQ151" s="60"/>
      <c r="AR151" s="18"/>
      <c r="AS151" s="60"/>
      <c r="AT151" s="17"/>
      <c r="AU151" s="60"/>
      <c r="AV151" s="18"/>
      <c r="AW151" s="60"/>
      <c r="AX151" s="17"/>
      <c r="AY151" s="17"/>
      <c r="AZ151" s="60"/>
      <c r="BA151" s="18"/>
      <c r="BB151" s="17"/>
      <c r="BC151" s="17"/>
      <c r="BD151" s="17"/>
      <c r="BE151" s="60"/>
      <c r="BF151" s="18"/>
      <c r="BG151" s="60"/>
      <c r="BH151" s="17"/>
      <c r="BI151" s="60"/>
      <c r="BJ151" s="18"/>
      <c r="BK151" s="60"/>
      <c r="BL151" s="17"/>
      <c r="BM151" s="60"/>
      <c r="BN151" s="17"/>
      <c r="BO151" s="80"/>
      <c r="BP151" s="17"/>
      <c r="BQ151" s="20"/>
      <c r="BR151" s="60"/>
      <c r="BS151" s="18"/>
      <c r="BT151" s="60"/>
      <c r="BU151" s="17"/>
      <c r="BV151" s="17"/>
      <c r="BW151" s="60"/>
      <c r="BX151" s="17"/>
      <c r="BY151" s="60"/>
      <c r="BZ151" s="17"/>
      <c r="CA151" s="17"/>
      <c r="CB151" s="60"/>
      <c r="CC151" s="60"/>
      <c r="CD151" s="17"/>
      <c r="CE151" s="60"/>
      <c r="CF151" s="18"/>
      <c r="CG151" s="60"/>
      <c r="CH151" s="17"/>
    </row>
    <row r="152" spans="1:86" s="29" customFormat="1" x14ac:dyDescent="0.35">
      <c r="A152" s="17"/>
      <c r="B152" s="26"/>
      <c r="C152" s="60"/>
      <c r="D152" s="27"/>
      <c r="E152" s="60"/>
      <c r="F152" s="27"/>
      <c r="G152" s="80"/>
      <c r="H152" s="18"/>
      <c r="I152" s="80"/>
      <c r="J152" s="17"/>
      <c r="K152" s="80"/>
      <c r="L152" s="18"/>
      <c r="M152" s="80"/>
      <c r="N152" s="17"/>
      <c r="O152" s="80"/>
      <c r="P152" s="18"/>
      <c r="Q152" s="80"/>
      <c r="R152" s="17"/>
      <c r="S152" s="80"/>
      <c r="T152" s="18"/>
      <c r="U152" s="60"/>
      <c r="V152" s="17"/>
      <c r="W152" s="80"/>
      <c r="X152" s="18"/>
      <c r="Y152" s="80"/>
      <c r="Z152" s="17"/>
      <c r="AA152" s="34"/>
      <c r="AB152" s="60"/>
      <c r="AC152" s="17"/>
      <c r="AD152" s="60"/>
      <c r="AE152" s="17"/>
      <c r="AF152" s="17"/>
      <c r="AG152" s="60"/>
      <c r="AH152" s="18"/>
      <c r="AI152" s="60"/>
      <c r="AJ152" s="17"/>
      <c r="AK152" s="17"/>
      <c r="AL152" s="80"/>
      <c r="AM152" s="18"/>
      <c r="AN152" s="80"/>
      <c r="AO152" s="17"/>
      <c r="AP152" s="17"/>
      <c r="AQ152" s="60"/>
      <c r="AR152" s="18"/>
      <c r="AS152" s="60"/>
      <c r="AT152" s="17"/>
      <c r="AU152" s="60"/>
      <c r="AV152" s="18"/>
      <c r="AW152" s="60"/>
      <c r="AX152" s="17"/>
      <c r="AY152" s="17"/>
      <c r="AZ152" s="60"/>
      <c r="BA152" s="18"/>
      <c r="BB152" s="17"/>
      <c r="BC152" s="17"/>
      <c r="BD152" s="17"/>
      <c r="BE152" s="60"/>
      <c r="BF152" s="18"/>
      <c r="BG152" s="60"/>
      <c r="BH152" s="17"/>
      <c r="BI152" s="60"/>
      <c r="BJ152" s="18"/>
      <c r="BK152" s="60"/>
      <c r="BL152" s="17"/>
      <c r="BM152" s="60"/>
      <c r="BN152" s="17"/>
      <c r="BO152" s="80"/>
      <c r="BP152" s="17"/>
      <c r="BQ152" s="20"/>
      <c r="BR152" s="60"/>
      <c r="BS152" s="18"/>
      <c r="BT152" s="60"/>
      <c r="BU152" s="17"/>
      <c r="BV152" s="17"/>
      <c r="BW152" s="60"/>
      <c r="BX152" s="17"/>
      <c r="BY152" s="60"/>
      <c r="BZ152" s="17"/>
      <c r="CA152" s="17"/>
      <c r="CB152" s="60"/>
      <c r="CC152" s="60"/>
      <c r="CD152" s="17"/>
      <c r="CE152" s="60"/>
      <c r="CF152" s="18"/>
      <c r="CG152" s="60"/>
      <c r="CH152" s="17"/>
    </row>
    <row r="153" spans="1:86" s="29" customFormat="1" x14ac:dyDescent="0.35">
      <c r="A153" s="17"/>
      <c r="B153" s="26"/>
      <c r="C153" s="60"/>
      <c r="D153" s="27"/>
      <c r="E153" s="60"/>
      <c r="F153" s="27"/>
      <c r="G153" s="80"/>
      <c r="H153" s="18"/>
      <c r="I153" s="80"/>
      <c r="J153" s="17"/>
      <c r="K153" s="80"/>
      <c r="L153" s="18"/>
      <c r="M153" s="80"/>
      <c r="N153" s="17"/>
      <c r="O153" s="80"/>
      <c r="P153" s="18"/>
      <c r="Q153" s="80"/>
      <c r="R153" s="17"/>
      <c r="S153" s="80"/>
      <c r="T153" s="18"/>
      <c r="U153" s="60"/>
      <c r="V153" s="17"/>
      <c r="W153" s="80"/>
      <c r="X153" s="18"/>
      <c r="Y153" s="80"/>
      <c r="Z153" s="17"/>
      <c r="AA153" s="34"/>
      <c r="AB153" s="60"/>
      <c r="AC153" s="17"/>
      <c r="AD153" s="60"/>
      <c r="AE153" s="17"/>
      <c r="AF153" s="17"/>
      <c r="AG153" s="60"/>
      <c r="AH153" s="18"/>
      <c r="AI153" s="60"/>
      <c r="AJ153" s="17"/>
      <c r="AK153" s="17"/>
      <c r="AL153" s="80"/>
      <c r="AM153" s="18"/>
      <c r="AN153" s="80"/>
      <c r="AO153" s="17"/>
      <c r="AP153" s="17"/>
      <c r="AQ153" s="60"/>
      <c r="AR153" s="18"/>
      <c r="AS153" s="60"/>
      <c r="AT153" s="17"/>
      <c r="AU153" s="60"/>
      <c r="AV153" s="18"/>
      <c r="AW153" s="60"/>
      <c r="AX153" s="17"/>
      <c r="AY153" s="17"/>
      <c r="AZ153" s="60"/>
      <c r="BA153" s="18"/>
      <c r="BB153" s="17"/>
      <c r="BC153" s="17"/>
      <c r="BD153" s="17"/>
      <c r="BE153" s="60"/>
      <c r="BF153" s="18"/>
      <c r="BG153" s="60"/>
      <c r="BH153" s="17"/>
      <c r="BI153" s="60"/>
      <c r="BJ153" s="18"/>
      <c r="BK153" s="60"/>
      <c r="BL153" s="17"/>
      <c r="BM153" s="60"/>
      <c r="BN153" s="17"/>
      <c r="BO153" s="80"/>
      <c r="BP153" s="17"/>
      <c r="BQ153" s="20"/>
      <c r="BR153" s="60"/>
      <c r="BS153" s="18"/>
      <c r="BT153" s="60"/>
      <c r="BU153" s="17"/>
      <c r="BV153" s="17"/>
      <c r="BW153" s="60"/>
      <c r="BX153" s="17"/>
      <c r="BY153" s="60"/>
      <c r="BZ153" s="17"/>
      <c r="CA153" s="17"/>
      <c r="CB153" s="60"/>
      <c r="CC153" s="60"/>
      <c r="CD153" s="17"/>
      <c r="CE153" s="60"/>
      <c r="CF153" s="18"/>
      <c r="CG153" s="60"/>
      <c r="CH153" s="17"/>
    </row>
    <row r="154" spans="1:86" s="29" customFormat="1" x14ac:dyDescent="0.35">
      <c r="A154" s="17"/>
      <c r="B154" s="26"/>
      <c r="C154" s="60"/>
      <c r="D154" s="27"/>
      <c r="E154" s="60"/>
      <c r="F154" s="27"/>
      <c r="G154" s="80"/>
      <c r="H154" s="18"/>
      <c r="I154" s="80"/>
      <c r="J154" s="17"/>
      <c r="K154" s="80"/>
      <c r="L154" s="18"/>
      <c r="M154" s="80"/>
      <c r="N154" s="17"/>
      <c r="O154" s="80"/>
      <c r="P154" s="18"/>
      <c r="Q154" s="80"/>
      <c r="R154" s="17"/>
      <c r="S154" s="80"/>
      <c r="T154" s="18"/>
      <c r="U154" s="60"/>
      <c r="V154" s="17"/>
      <c r="W154" s="80"/>
      <c r="X154" s="18"/>
      <c r="Y154" s="80"/>
      <c r="Z154" s="17"/>
      <c r="AA154" s="34"/>
      <c r="AB154" s="60"/>
      <c r="AC154" s="17"/>
      <c r="AD154" s="60"/>
      <c r="AE154" s="17"/>
      <c r="AF154" s="17"/>
      <c r="AG154" s="60"/>
      <c r="AH154" s="18"/>
      <c r="AI154" s="60"/>
      <c r="AJ154" s="17"/>
      <c r="AK154" s="17"/>
      <c r="AL154" s="80"/>
      <c r="AM154" s="18"/>
      <c r="AN154" s="80"/>
      <c r="AO154" s="17"/>
      <c r="AP154" s="17"/>
      <c r="AQ154" s="60"/>
      <c r="AR154" s="18"/>
      <c r="AS154" s="60"/>
      <c r="AT154" s="17"/>
      <c r="AU154" s="60"/>
      <c r="AV154" s="18"/>
      <c r="AW154" s="60"/>
      <c r="AX154" s="17"/>
      <c r="AY154" s="17"/>
      <c r="AZ154" s="60"/>
      <c r="BA154" s="18"/>
      <c r="BB154" s="17"/>
      <c r="BC154" s="17"/>
      <c r="BD154" s="17"/>
      <c r="BE154" s="60"/>
      <c r="BF154" s="18"/>
      <c r="BG154" s="60"/>
      <c r="BH154" s="17"/>
      <c r="BI154" s="60"/>
      <c r="BJ154" s="18"/>
      <c r="BK154" s="60"/>
      <c r="BL154" s="17"/>
      <c r="BM154" s="60"/>
      <c r="BN154" s="17"/>
      <c r="BO154" s="80"/>
      <c r="BP154" s="17"/>
      <c r="BQ154" s="20"/>
      <c r="BR154" s="60"/>
      <c r="BS154" s="18"/>
      <c r="BT154" s="60"/>
      <c r="BU154" s="17"/>
      <c r="BV154" s="17"/>
      <c r="BW154" s="60"/>
      <c r="BX154" s="17"/>
      <c r="BY154" s="60"/>
      <c r="BZ154" s="17"/>
      <c r="CA154" s="17"/>
      <c r="CB154" s="60"/>
      <c r="CC154" s="60"/>
      <c r="CD154" s="17"/>
      <c r="CE154" s="60"/>
      <c r="CF154" s="18"/>
      <c r="CG154" s="60"/>
      <c r="CH154" s="17"/>
    </row>
    <row r="155" spans="1:86" s="29" customFormat="1" x14ac:dyDescent="0.35">
      <c r="A155" s="17"/>
      <c r="B155" s="26"/>
      <c r="C155" s="60"/>
      <c r="D155" s="27"/>
      <c r="E155" s="60"/>
      <c r="F155" s="27"/>
      <c r="G155" s="80"/>
      <c r="H155" s="18"/>
      <c r="I155" s="80"/>
      <c r="J155" s="17"/>
      <c r="K155" s="80"/>
      <c r="L155" s="18"/>
      <c r="M155" s="80"/>
      <c r="N155" s="17"/>
      <c r="O155" s="80"/>
      <c r="P155" s="18"/>
      <c r="Q155" s="80"/>
      <c r="R155" s="17"/>
      <c r="S155" s="80"/>
      <c r="T155" s="18"/>
      <c r="U155" s="60"/>
      <c r="V155" s="17"/>
      <c r="W155" s="80"/>
      <c r="X155" s="18"/>
      <c r="Y155" s="80"/>
      <c r="Z155" s="17"/>
      <c r="AA155" s="34"/>
      <c r="AB155" s="60"/>
      <c r="AC155" s="17"/>
      <c r="AD155" s="60"/>
      <c r="AE155" s="17"/>
      <c r="AF155" s="17"/>
      <c r="AG155" s="60"/>
      <c r="AH155" s="18"/>
      <c r="AI155" s="60"/>
      <c r="AJ155" s="17"/>
      <c r="AK155" s="17"/>
      <c r="AL155" s="80"/>
      <c r="AM155" s="18"/>
      <c r="AN155" s="80"/>
      <c r="AO155" s="17"/>
      <c r="AP155" s="17"/>
      <c r="AQ155" s="60"/>
      <c r="AR155" s="18"/>
      <c r="AS155" s="60"/>
      <c r="AT155" s="17"/>
      <c r="AU155" s="60"/>
      <c r="AV155" s="18"/>
      <c r="AW155" s="60"/>
      <c r="AX155" s="17"/>
      <c r="AY155" s="17"/>
      <c r="AZ155" s="60"/>
      <c r="BA155" s="18"/>
      <c r="BB155" s="17"/>
      <c r="BC155" s="17"/>
      <c r="BD155" s="17"/>
      <c r="BE155" s="60"/>
      <c r="BF155" s="18"/>
      <c r="BG155" s="60"/>
      <c r="BH155" s="17"/>
      <c r="BI155" s="60"/>
      <c r="BJ155" s="18"/>
      <c r="BK155" s="60"/>
      <c r="BL155" s="17"/>
      <c r="BM155" s="60"/>
      <c r="BN155" s="17"/>
      <c r="BO155" s="80"/>
      <c r="BP155" s="17"/>
      <c r="BQ155" s="20"/>
      <c r="BR155" s="60"/>
      <c r="BS155" s="18"/>
      <c r="BT155" s="60"/>
      <c r="BU155" s="17"/>
      <c r="BV155" s="17"/>
      <c r="BW155" s="60"/>
      <c r="BX155" s="17"/>
      <c r="BY155" s="60"/>
      <c r="BZ155" s="17"/>
      <c r="CA155" s="17"/>
      <c r="CB155" s="60"/>
      <c r="CC155" s="60"/>
      <c r="CD155" s="17"/>
      <c r="CE155" s="60"/>
      <c r="CF155" s="18"/>
      <c r="CG155" s="60"/>
      <c r="CH155" s="17"/>
    </row>
    <row r="156" spans="1:86" s="29" customFormat="1" x14ac:dyDescent="0.35">
      <c r="A156" s="17"/>
      <c r="B156" s="26"/>
      <c r="C156" s="60"/>
      <c r="D156" s="27"/>
      <c r="E156" s="60"/>
      <c r="F156" s="27"/>
      <c r="G156" s="80"/>
      <c r="H156" s="18"/>
      <c r="I156" s="80"/>
      <c r="J156" s="17"/>
      <c r="K156" s="80"/>
      <c r="L156" s="18"/>
      <c r="M156" s="80"/>
      <c r="N156" s="17"/>
      <c r="O156" s="80"/>
      <c r="P156" s="18"/>
      <c r="Q156" s="80"/>
      <c r="R156" s="17"/>
      <c r="S156" s="80"/>
      <c r="T156" s="18"/>
      <c r="U156" s="60"/>
      <c r="V156" s="17"/>
      <c r="W156" s="80"/>
      <c r="X156" s="18"/>
      <c r="Y156" s="80"/>
      <c r="Z156" s="17"/>
      <c r="AA156" s="34"/>
      <c r="AB156" s="60"/>
      <c r="AC156" s="17"/>
      <c r="AD156" s="60"/>
      <c r="AE156" s="17"/>
      <c r="AF156" s="17"/>
      <c r="AG156" s="60"/>
      <c r="AH156" s="18"/>
      <c r="AI156" s="60"/>
      <c r="AJ156" s="17"/>
      <c r="AK156" s="17"/>
      <c r="AL156" s="80"/>
      <c r="AM156" s="18"/>
      <c r="AN156" s="80"/>
      <c r="AO156" s="17"/>
      <c r="AP156" s="17"/>
      <c r="AQ156" s="60"/>
      <c r="AR156" s="18"/>
      <c r="AS156" s="60"/>
      <c r="AT156" s="17"/>
      <c r="AU156" s="60"/>
      <c r="AV156" s="18"/>
      <c r="AW156" s="60"/>
      <c r="AX156" s="17"/>
      <c r="AY156" s="17"/>
      <c r="AZ156" s="60"/>
      <c r="BA156" s="18"/>
      <c r="BB156" s="17"/>
      <c r="BC156" s="17"/>
      <c r="BD156" s="17"/>
      <c r="BE156" s="60"/>
      <c r="BF156" s="18"/>
      <c r="BG156" s="60"/>
      <c r="BH156" s="17"/>
      <c r="BI156" s="60"/>
      <c r="BJ156" s="18"/>
      <c r="BK156" s="60"/>
      <c r="BL156" s="17"/>
      <c r="BM156" s="60"/>
      <c r="BN156" s="17"/>
      <c r="BO156" s="80"/>
      <c r="BP156" s="17"/>
      <c r="BQ156" s="20"/>
      <c r="BR156" s="60"/>
      <c r="BS156" s="18"/>
      <c r="BT156" s="60"/>
      <c r="BU156" s="17"/>
      <c r="BV156" s="17"/>
      <c r="BW156" s="60"/>
      <c r="BX156" s="17"/>
      <c r="BY156" s="60"/>
      <c r="BZ156" s="17"/>
      <c r="CA156" s="17"/>
      <c r="CB156" s="60"/>
      <c r="CC156" s="60"/>
      <c r="CD156" s="17"/>
      <c r="CE156" s="60"/>
      <c r="CF156" s="18"/>
      <c r="CG156" s="60"/>
      <c r="CH156" s="17"/>
    </row>
    <row r="157" spans="1:86" s="29" customFormat="1" x14ac:dyDescent="0.35">
      <c r="A157" s="17"/>
      <c r="B157" s="26"/>
      <c r="C157" s="60"/>
      <c r="D157" s="27"/>
      <c r="E157" s="60"/>
      <c r="F157" s="27"/>
      <c r="G157" s="80"/>
      <c r="H157" s="18"/>
      <c r="I157" s="80"/>
      <c r="J157" s="17"/>
      <c r="K157" s="80"/>
      <c r="L157" s="18"/>
      <c r="M157" s="80"/>
      <c r="N157" s="17"/>
      <c r="O157" s="80"/>
      <c r="P157" s="18"/>
      <c r="Q157" s="80"/>
      <c r="R157" s="17"/>
      <c r="S157" s="80"/>
      <c r="T157" s="18"/>
      <c r="U157" s="60"/>
      <c r="V157" s="17"/>
      <c r="W157" s="80"/>
      <c r="X157" s="18"/>
      <c r="Y157" s="80"/>
      <c r="Z157" s="17"/>
      <c r="AA157" s="34"/>
      <c r="AB157" s="60"/>
      <c r="AC157" s="17"/>
      <c r="AD157" s="60"/>
      <c r="AE157" s="17"/>
      <c r="AF157" s="17"/>
      <c r="AG157" s="60"/>
      <c r="AH157" s="18"/>
      <c r="AI157" s="60"/>
      <c r="AJ157" s="17"/>
      <c r="AK157" s="17"/>
      <c r="AL157" s="80"/>
      <c r="AM157" s="18"/>
      <c r="AN157" s="80"/>
      <c r="AO157" s="17"/>
      <c r="AP157" s="17"/>
      <c r="AQ157" s="60"/>
      <c r="AR157" s="18"/>
      <c r="AS157" s="60"/>
      <c r="AT157" s="17"/>
      <c r="AU157" s="60"/>
      <c r="AV157" s="18"/>
      <c r="AW157" s="60"/>
      <c r="AX157" s="17"/>
      <c r="AY157" s="17"/>
      <c r="AZ157" s="60"/>
      <c r="BA157" s="18"/>
      <c r="BB157" s="17"/>
      <c r="BC157" s="17"/>
      <c r="BD157" s="17"/>
      <c r="BE157" s="60"/>
      <c r="BF157" s="18"/>
      <c r="BG157" s="60"/>
      <c r="BH157" s="17"/>
      <c r="BI157" s="60"/>
      <c r="BJ157" s="18"/>
      <c r="BK157" s="60"/>
      <c r="BL157" s="17"/>
      <c r="BM157" s="60"/>
      <c r="BN157" s="17"/>
      <c r="BO157" s="80"/>
      <c r="BP157" s="17"/>
      <c r="BQ157" s="20"/>
      <c r="BR157" s="60"/>
      <c r="BS157" s="18"/>
      <c r="BT157" s="60"/>
      <c r="BU157" s="17"/>
      <c r="BV157" s="17"/>
      <c r="BW157" s="60"/>
      <c r="BX157" s="17"/>
      <c r="BY157" s="60"/>
      <c r="BZ157" s="17"/>
      <c r="CA157" s="17"/>
      <c r="CB157" s="60"/>
      <c r="CC157" s="60"/>
      <c r="CD157" s="17"/>
      <c r="CE157" s="60"/>
      <c r="CF157" s="18"/>
      <c r="CG157" s="60"/>
      <c r="CH157" s="17"/>
    </row>
    <row r="158" spans="1:86" s="29" customFormat="1" x14ac:dyDescent="0.35">
      <c r="A158" s="17"/>
      <c r="B158" s="26"/>
      <c r="C158" s="60"/>
      <c r="D158" s="27"/>
      <c r="E158" s="60"/>
      <c r="F158" s="27"/>
      <c r="G158" s="80"/>
      <c r="H158" s="18"/>
      <c r="I158" s="80"/>
      <c r="J158" s="17"/>
      <c r="K158" s="80"/>
      <c r="L158" s="18"/>
      <c r="M158" s="80"/>
      <c r="N158" s="17"/>
      <c r="O158" s="80"/>
      <c r="P158" s="18"/>
      <c r="Q158" s="80"/>
      <c r="R158" s="17"/>
      <c r="S158" s="80"/>
      <c r="T158" s="18"/>
      <c r="U158" s="60"/>
      <c r="V158" s="17"/>
      <c r="W158" s="80"/>
      <c r="X158" s="18"/>
      <c r="Y158" s="80"/>
      <c r="Z158" s="17"/>
      <c r="AA158" s="34"/>
      <c r="AB158" s="60"/>
      <c r="AC158" s="17"/>
      <c r="AD158" s="60"/>
      <c r="AE158" s="17"/>
      <c r="AF158" s="17"/>
      <c r="AG158" s="60"/>
      <c r="AH158" s="18"/>
      <c r="AI158" s="60"/>
      <c r="AJ158" s="17"/>
      <c r="AK158" s="17"/>
      <c r="AL158" s="80"/>
      <c r="AM158" s="18"/>
      <c r="AN158" s="80"/>
      <c r="AO158" s="17"/>
      <c r="AP158" s="17"/>
      <c r="AQ158" s="60"/>
      <c r="AR158" s="18"/>
      <c r="AS158" s="60"/>
      <c r="AT158" s="17"/>
      <c r="AU158" s="60"/>
      <c r="AV158" s="18"/>
      <c r="AW158" s="60"/>
      <c r="AX158" s="17"/>
      <c r="AY158" s="17"/>
      <c r="AZ158" s="60"/>
      <c r="BA158" s="18"/>
      <c r="BB158" s="17"/>
      <c r="BC158" s="17"/>
      <c r="BD158" s="17"/>
      <c r="BE158" s="60"/>
      <c r="BF158" s="18"/>
      <c r="BG158" s="60"/>
      <c r="BH158" s="17"/>
      <c r="BI158" s="60"/>
      <c r="BJ158" s="18"/>
      <c r="BK158" s="60"/>
      <c r="BL158" s="17"/>
      <c r="BM158" s="60"/>
      <c r="BN158" s="17"/>
      <c r="BO158" s="80"/>
      <c r="BP158" s="17"/>
      <c r="BQ158" s="20"/>
      <c r="BR158" s="60"/>
      <c r="BS158" s="18"/>
      <c r="BT158" s="60"/>
      <c r="BU158" s="17"/>
      <c r="BV158" s="17"/>
      <c r="BW158" s="60"/>
      <c r="BX158" s="17"/>
      <c r="BY158" s="60"/>
      <c r="BZ158" s="17"/>
      <c r="CA158" s="17"/>
      <c r="CB158" s="60"/>
      <c r="CC158" s="60"/>
      <c r="CD158" s="17"/>
      <c r="CE158" s="60"/>
      <c r="CF158" s="18"/>
      <c r="CG158" s="60"/>
      <c r="CH158" s="17"/>
    </row>
    <row r="159" spans="1:86" s="29" customFormat="1" x14ac:dyDescent="0.35">
      <c r="A159" s="17"/>
      <c r="B159" s="26"/>
      <c r="C159" s="60"/>
      <c r="D159" s="27"/>
      <c r="E159" s="60"/>
      <c r="F159" s="27"/>
      <c r="G159" s="80"/>
      <c r="H159" s="18"/>
      <c r="I159" s="80"/>
      <c r="J159" s="17"/>
      <c r="K159" s="80"/>
      <c r="L159" s="18"/>
      <c r="M159" s="80"/>
      <c r="N159" s="17"/>
      <c r="O159" s="80"/>
      <c r="P159" s="18"/>
      <c r="Q159" s="80"/>
      <c r="R159" s="17"/>
      <c r="S159" s="80"/>
      <c r="T159" s="18"/>
      <c r="U159" s="60"/>
      <c r="V159" s="17"/>
      <c r="W159" s="80"/>
      <c r="X159" s="18"/>
      <c r="Y159" s="80"/>
      <c r="Z159" s="17"/>
      <c r="AA159" s="34"/>
      <c r="AB159" s="60"/>
      <c r="AC159" s="17"/>
      <c r="AD159" s="60"/>
      <c r="AE159" s="17"/>
      <c r="AF159" s="17"/>
      <c r="AG159" s="60"/>
      <c r="AH159" s="18"/>
      <c r="AI159" s="60"/>
      <c r="AJ159" s="17"/>
      <c r="AK159" s="17"/>
      <c r="AL159" s="80"/>
      <c r="AM159" s="18"/>
      <c r="AN159" s="80"/>
      <c r="AO159" s="17"/>
      <c r="AP159" s="17"/>
      <c r="AQ159" s="60"/>
      <c r="AR159" s="18"/>
      <c r="AS159" s="60"/>
      <c r="AT159" s="17"/>
      <c r="AU159" s="60"/>
      <c r="AV159" s="18"/>
      <c r="AW159" s="60"/>
      <c r="AX159" s="17"/>
      <c r="AY159" s="17"/>
      <c r="AZ159" s="60"/>
      <c r="BA159" s="18"/>
      <c r="BB159" s="17"/>
      <c r="BC159" s="17"/>
      <c r="BD159" s="17"/>
      <c r="BE159" s="60"/>
      <c r="BF159" s="18"/>
      <c r="BG159" s="60"/>
      <c r="BH159" s="17"/>
      <c r="BI159" s="60"/>
      <c r="BJ159" s="18"/>
      <c r="BK159" s="60"/>
      <c r="BL159" s="17"/>
      <c r="BM159" s="60"/>
      <c r="BN159" s="17"/>
      <c r="BO159" s="80"/>
      <c r="BP159" s="17"/>
      <c r="BQ159" s="20"/>
      <c r="BR159" s="60"/>
      <c r="BS159" s="18"/>
      <c r="BT159" s="60"/>
      <c r="BU159" s="17"/>
      <c r="BV159" s="17"/>
      <c r="BW159" s="60"/>
      <c r="BX159" s="17"/>
      <c r="BY159" s="60"/>
      <c r="BZ159" s="17"/>
      <c r="CA159" s="17"/>
      <c r="CB159" s="60"/>
      <c r="CC159" s="60"/>
      <c r="CD159" s="17"/>
      <c r="CE159" s="60"/>
      <c r="CF159" s="18"/>
      <c r="CG159" s="60"/>
      <c r="CH159" s="17"/>
    </row>
    <row r="160" spans="1:86" s="29" customFormat="1" x14ac:dyDescent="0.35">
      <c r="A160" s="17"/>
      <c r="B160" s="26"/>
      <c r="C160" s="60"/>
      <c r="D160" s="27"/>
      <c r="E160" s="60"/>
      <c r="F160" s="27"/>
      <c r="G160" s="80"/>
      <c r="H160" s="18"/>
      <c r="I160" s="80"/>
      <c r="J160" s="17"/>
      <c r="K160" s="80"/>
      <c r="L160" s="18"/>
      <c r="M160" s="80"/>
      <c r="N160" s="17"/>
      <c r="O160" s="80"/>
      <c r="P160" s="18"/>
      <c r="Q160" s="80"/>
      <c r="R160" s="17"/>
      <c r="S160" s="80"/>
      <c r="T160" s="18"/>
      <c r="U160" s="60"/>
      <c r="V160" s="17"/>
      <c r="W160" s="80"/>
      <c r="X160" s="18"/>
      <c r="Y160" s="80"/>
      <c r="Z160" s="17"/>
      <c r="AA160" s="34"/>
      <c r="AB160" s="60"/>
      <c r="AC160" s="17"/>
      <c r="AD160" s="60"/>
      <c r="AE160" s="17"/>
      <c r="AF160" s="17"/>
      <c r="AG160" s="60"/>
      <c r="AH160" s="18"/>
      <c r="AI160" s="60"/>
      <c r="AJ160" s="17"/>
      <c r="AK160" s="17"/>
      <c r="AL160" s="80"/>
      <c r="AM160" s="18"/>
      <c r="AN160" s="80"/>
      <c r="AO160" s="17"/>
      <c r="AP160" s="17"/>
      <c r="AQ160" s="60"/>
      <c r="AR160" s="18"/>
      <c r="AS160" s="60"/>
      <c r="AT160" s="17"/>
      <c r="AU160" s="60"/>
      <c r="AV160" s="18"/>
      <c r="AW160" s="60"/>
      <c r="AX160" s="17"/>
      <c r="AY160" s="17"/>
      <c r="AZ160" s="60"/>
      <c r="BA160" s="18"/>
      <c r="BB160" s="17"/>
      <c r="BC160" s="17"/>
      <c r="BD160" s="17"/>
      <c r="BE160" s="60"/>
      <c r="BF160" s="18"/>
      <c r="BG160" s="60"/>
      <c r="BH160" s="17"/>
      <c r="BI160" s="60"/>
      <c r="BJ160" s="18"/>
      <c r="BK160" s="60"/>
      <c r="BL160" s="17"/>
      <c r="BM160" s="60"/>
      <c r="BN160" s="17"/>
      <c r="BO160" s="80"/>
      <c r="BP160" s="17"/>
      <c r="BQ160" s="20"/>
      <c r="BR160" s="60"/>
      <c r="BS160" s="18"/>
      <c r="BT160" s="60"/>
      <c r="BU160" s="17"/>
      <c r="BV160" s="17"/>
      <c r="BW160" s="60"/>
      <c r="BX160" s="17"/>
      <c r="BY160" s="60"/>
      <c r="BZ160" s="17"/>
      <c r="CA160" s="17"/>
      <c r="CB160" s="60"/>
      <c r="CC160" s="60"/>
      <c r="CD160" s="17"/>
      <c r="CE160" s="60"/>
      <c r="CF160" s="18"/>
      <c r="CG160" s="60"/>
      <c r="CH160" s="17"/>
    </row>
    <row r="161" spans="1:86" s="29" customFormat="1" x14ac:dyDescent="0.35">
      <c r="A161" s="17"/>
      <c r="B161" s="26"/>
      <c r="C161" s="60"/>
      <c r="D161" s="27"/>
      <c r="E161" s="60"/>
      <c r="F161" s="27"/>
      <c r="G161" s="80"/>
      <c r="H161" s="18"/>
      <c r="I161" s="80"/>
      <c r="J161" s="17"/>
      <c r="K161" s="80"/>
      <c r="L161" s="18"/>
      <c r="M161" s="80"/>
      <c r="N161" s="17"/>
      <c r="O161" s="80"/>
      <c r="P161" s="18"/>
      <c r="Q161" s="80"/>
      <c r="R161" s="17"/>
      <c r="S161" s="80"/>
      <c r="T161" s="18"/>
      <c r="U161" s="60"/>
      <c r="V161" s="17"/>
      <c r="W161" s="80"/>
      <c r="X161" s="18"/>
      <c r="Y161" s="80"/>
      <c r="Z161" s="17"/>
      <c r="AA161" s="34"/>
      <c r="AB161" s="60"/>
      <c r="AC161" s="17"/>
      <c r="AD161" s="60"/>
      <c r="AE161" s="17"/>
      <c r="AF161" s="17"/>
      <c r="AG161" s="60"/>
      <c r="AH161" s="18"/>
      <c r="AI161" s="60"/>
      <c r="AJ161" s="17"/>
      <c r="AK161" s="17"/>
      <c r="AL161" s="80"/>
      <c r="AM161" s="18"/>
      <c r="AN161" s="80"/>
      <c r="AO161" s="17"/>
      <c r="AP161" s="17"/>
      <c r="AQ161" s="60"/>
      <c r="AR161" s="18"/>
      <c r="AS161" s="60"/>
      <c r="AT161" s="17"/>
      <c r="AU161" s="60"/>
      <c r="AV161" s="18"/>
      <c r="AW161" s="60"/>
      <c r="AX161" s="17"/>
      <c r="AY161" s="17"/>
      <c r="AZ161" s="60"/>
      <c r="BA161" s="18"/>
      <c r="BB161" s="17"/>
      <c r="BC161" s="17"/>
      <c r="BD161" s="17"/>
      <c r="BE161" s="60"/>
      <c r="BF161" s="18"/>
      <c r="BG161" s="60"/>
      <c r="BH161" s="17"/>
      <c r="BI161" s="60"/>
      <c r="BJ161" s="18"/>
      <c r="BK161" s="60"/>
      <c r="BL161" s="17"/>
      <c r="BM161" s="60"/>
      <c r="BN161" s="17"/>
      <c r="BO161" s="80"/>
      <c r="BP161" s="17"/>
      <c r="BQ161" s="20"/>
      <c r="BR161" s="60"/>
      <c r="BS161" s="18"/>
      <c r="BT161" s="60"/>
      <c r="BU161" s="17"/>
      <c r="BV161" s="17"/>
      <c r="BW161" s="60"/>
      <c r="BX161" s="17"/>
      <c r="BY161" s="60"/>
      <c r="BZ161" s="17"/>
      <c r="CA161" s="17"/>
      <c r="CB161" s="60"/>
      <c r="CC161" s="60"/>
      <c r="CD161" s="17"/>
      <c r="CE161" s="60"/>
      <c r="CF161" s="18"/>
      <c r="CG161" s="60"/>
      <c r="CH161" s="17"/>
    </row>
    <row r="162" spans="1:86" s="29" customFormat="1" x14ac:dyDescent="0.35">
      <c r="A162" s="17"/>
      <c r="B162" s="26"/>
      <c r="C162" s="60"/>
      <c r="D162" s="27"/>
      <c r="E162" s="60"/>
      <c r="F162" s="27"/>
      <c r="G162" s="80"/>
      <c r="H162" s="18"/>
      <c r="I162" s="80"/>
      <c r="J162" s="17"/>
      <c r="K162" s="80"/>
      <c r="L162" s="18"/>
      <c r="M162" s="80"/>
      <c r="N162" s="17"/>
      <c r="O162" s="80"/>
      <c r="P162" s="18"/>
      <c r="Q162" s="80"/>
      <c r="R162" s="17"/>
      <c r="S162" s="80"/>
      <c r="T162" s="18"/>
      <c r="U162" s="60"/>
      <c r="V162" s="17"/>
      <c r="W162" s="80"/>
      <c r="X162" s="18"/>
      <c r="Y162" s="80"/>
      <c r="Z162" s="17"/>
      <c r="AA162" s="34"/>
      <c r="AB162" s="60"/>
      <c r="AC162" s="17"/>
      <c r="AD162" s="60"/>
      <c r="AE162" s="17"/>
      <c r="AF162" s="17"/>
      <c r="AG162" s="60"/>
      <c r="AH162" s="18"/>
      <c r="AI162" s="60"/>
      <c r="AJ162" s="17"/>
      <c r="AK162" s="17"/>
      <c r="AL162" s="80"/>
      <c r="AM162" s="18"/>
      <c r="AN162" s="80"/>
      <c r="AO162" s="17"/>
      <c r="AP162" s="17"/>
      <c r="AQ162" s="60"/>
      <c r="AR162" s="18"/>
      <c r="AS162" s="60"/>
      <c r="AT162" s="17"/>
      <c r="AU162" s="60"/>
      <c r="AV162" s="18"/>
      <c r="AW162" s="60"/>
      <c r="AX162" s="17"/>
      <c r="AY162" s="17"/>
      <c r="AZ162" s="60"/>
      <c r="BA162" s="18"/>
      <c r="BB162" s="17"/>
      <c r="BC162" s="17"/>
      <c r="BD162" s="17"/>
      <c r="BE162" s="60"/>
      <c r="BF162" s="18"/>
      <c r="BG162" s="60"/>
      <c r="BH162" s="17"/>
      <c r="BI162" s="60"/>
      <c r="BJ162" s="18"/>
      <c r="BK162" s="60"/>
      <c r="BL162" s="17"/>
      <c r="BM162" s="60"/>
      <c r="BN162" s="17"/>
      <c r="BO162" s="80"/>
      <c r="BP162" s="17"/>
      <c r="BQ162" s="20"/>
      <c r="BR162" s="60"/>
      <c r="BS162" s="18"/>
      <c r="BT162" s="60"/>
      <c r="BU162" s="17"/>
      <c r="BV162" s="17"/>
      <c r="BW162" s="60"/>
      <c r="BX162" s="17"/>
      <c r="BY162" s="60"/>
      <c r="BZ162" s="17"/>
      <c r="CA162" s="17"/>
      <c r="CB162" s="60"/>
      <c r="CC162" s="60"/>
      <c r="CD162" s="17"/>
      <c r="CE162" s="60"/>
      <c r="CF162" s="18"/>
      <c r="CG162" s="60"/>
      <c r="CH162" s="17"/>
    </row>
    <row r="163" spans="1:86" s="29" customFormat="1" x14ac:dyDescent="0.35">
      <c r="A163" s="17"/>
      <c r="B163" s="26"/>
      <c r="C163" s="60"/>
      <c r="D163" s="27"/>
      <c r="E163" s="60"/>
      <c r="F163" s="27"/>
      <c r="G163" s="80"/>
      <c r="H163" s="18"/>
      <c r="I163" s="80"/>
      <c r="J163" s="17"/>
      <c r="K163" s="80"/>
      <c r="L163" s="18"/>
      <c r="M163" s="80"/>
      <c r="N163" s="17"/>
      <c r="O163" s="80"/>
      <c r="P163" s="18"/>
      <c r="Q163" s="80"/>
      <c r="R163" s="17"/>
      <c r="S163" s="80"/>
      <c r="T163" s="18"/>
      <c r="U163" s="60"/>
      <c r="V163" s="17"/>
      <c r="W163" s="80"/>
      <c r="X163" s="18"/>
      <c r="Y163" s="80"/>
      <c r="Z163" s="17"/>
      <c r="AA163" s="34"/>
      <c r="AB163" s="60"/>
      <c r="AC163" s="17"/>
      <c r="AD163" s="60"/>
      <c r="AE163" s="17"/>
      <c r="AF163" s="17"/>
      <c r="AG163" s="60"/>
      <c r="AH163" s="18"/>
      <c r="AI163" s="60"/>
      <c r="AJ163" s="17"/>
      <c r="AK163" s="17"/>
      <c r="AL163" s="80"/>
      <c r="AM163" s="18"/>
      <c r="AN163" s="80"/>
      <c r="AO163" s="17"/>
      <c r="AP163" s="17"/>
      <c r="AQ163" s="60"/>
      <c r="AR163" s="18"/>
      <c r="AS163" s="60"/>
      <c r="AT163" s="17"/>
      <c r="AU163" s="60"/>
      <c r="AV163" s="18"/>
      <c r="AW163" s="60"/>
      <c r="AX163" s="17"/>
      <c r="AY163" s="17"/>
      <c r="AZ163" s="60"/>
      <c r="BA163" s="18"/>
      <c r="BB163" s="17"/>
      <c r="BC163" s="17"/>
      <c r="BD163" s="17"/>
      <c r="BE163" s="60"/>
      <c r="BF163" s="18"/>
      <c r="BG163" s="60"/>
      <c r="BH163" s="17"/>
      <c r="BI163" s="60"/>
      <c r="BJ163" s="18"/>
      <c r="BK163" s="60"/>
      <c r="BL163" s="17"/>
      <c r="BM163" s="60"/>
      <c r="BN163" s="17"/>
      <c r="BO163" s="80"/>
      <c r="BP163" s="17"/>
      <c r="BQ163" s="20"/>
      <c r="BR163" s="60"/>
      <c r="BS163" s="18"/>
      <c r="BT163" s="60"/>
      <c r="BU163" s="17"/>
      <c r="BV163" s="17"/>
      <c r="BW163" s="60"/>
      <c r="BX163" s="17"/>
      <c r="BY163" s="60"/>
      <c r="BZ163" s="17"/>
      <c r="CA163" s="17"/>
      <c r="CB163" s="60"/>
      <c r="CC163" s="60"/>
      <c r="CD163" s="17"/>
      <c r="CE163" s="60"/>
      <c r="CF163" s="18"/>
      <c r="CG163" s="60"/>
      <c r="CH163" s="17"/>
    </row>
    <row r="164" spans="1:86" s="29" customFormat="1" x14ac:dyDescent="0.35">
      <c r="A164" s="17"/>
      <c r="B164" s="26"/>
      <c r="C164" s="60"/>
      <c r="D164" s="27"/>
      <c r="E164" s="60"/>
      <c r="F164" s="27"/>
      <c r="G164" s="80"/>
      <c r="H164" s="18"/>
      <c r="I164" s="80"/>
      <c r="J164" s="17"/>
      <c r="K164" s="80"/>
      <c r="L164" s="18"/>
      <c r="M164" s="80"/>
      <c r="N164" s="17"/>
      <c r="O164" s="80"/>
      <c r="P164" s="18"/>
      <c r="Q164" s="80"/>
      <c r="R164" s="17"/>
      <c r="S164" s="80"/>
      <c r="T164" s="18"/>
      <c r="U164" s="60"/>
      <c r="V164" s="17"/>
      <c r="W164" s="80"/>
      <c r="X164" s="18"/>
      <c r="Y164" s="80"/>
      <c r="Z164" s="17"/>
      <c r="AA164" s="34"/>
      <c r="AB164" s="60"/>
      <c r="AC164" s="17"/>
      <c r="AD164" s="60"/>
      <c r="AE164" s="17"/>
      <c r="AF164" s="17"/>
      <c r="AG164" s="60"/>
      <c r="AH164" s="18"/>
      <c r="AI164" s="60"/>
      <c r="AJ164" s="17"/>
      <c r="AK164" s="17"/>
      <c r="AL164" s="80"/>
      <c r="AM164" s="18"/>
      <c r="AN164" s="80"/>
      <c r="AO164" s="17"/>
      <c r="AP164" s="17"/>
      <c r="AQ164" s="60"/>
      <c r="AR164" s="18"/>
      <c r="AS164" s="60"/>
      <c r="AT164" s="17"/>
      <c r="AU164" s="60"/>
      <c r="AV164" s="18"/>
      <c r="AW164" s="60"/>
      <c r="AX164" s="17"/>
      <c r="AY164" s="17"/>
      <c r="AZ164" s="60"/>
      <c r="BA164" s="18"/>
      <c r="BB164" s="17"/>
      <c r="BC164" s="17"/>
      <c r="BD164" s="17"/>
      <c r="BE164" s="60"/>
      <c r="BF164" s="18"/>
      <c r="BG164" s="60"/>
      <c r="BH164" s="17"/>
      <c r="BI164" s="60"/>
      <c r="BJ164" s="18"/>
      <c r="BK164" s="60"/>
      <c r="BL164" s="17"/>
      <c r="BM164" s="60"/>
      <c r="BN164" s="17"/>
      <c r="BO164" s="80"/>
      <c r="BP164" s="17"/>
      <c r="BQ164" s="20"/>
      <c r="BR164" s="60"/>
      <c r="BS164" s="18"/>
      <c r="BT164" s="60"/>
      <c r="BU164" s="17"/>
      <c r="BV164" s="17"/>
      <c r="BW164" s="60"/>
      <c r="BX164" s="17"/>
      <c r="BY164" s="60"/>
      <c r="BZ164" s="17"/>
      <c r="CA164" s="17"/>
      <c r="CB164" s="60"/>
      <c r="CC164" s="60"/>
      <c r="CD164" s="17"/>
      <c r="CE164" s="60"/>
      <c r="CF164" s="18"/>
      <c r="CG164" s="60"/>
      <c r="CH164" s="17"/>
    </row>
    <row r="165" spans="1:86" s="29" customFormat="1" x14ac:dyDescent="0.35">
      <c r="A165" s="17"/>
      <c r="B165" s="26"/>
      <c r="C165" s="60"/>
      <c r="D165" s="27"/>
      <c r="E165" s="60"/>
      <c r="F165" s="27"/>
      <c r="G165" s="80"/>
      <c r="H165" s="18"/>
      <c r="I165" s="80"/>
      <c r="J165" s="17"/>
      <c r="K165" s="80"/>
      <c r="L165" s="18"/>
      <c r="M165" s="80"/>
      <c r="N165" s="17"/>
      <c r="O165" s="80"/>
      <c r="P165" s="18"/>
      <c r="Q165" s="80"/>
      <c r="R165" s="17"/>
      <c r="S165" s="80"/>
      <c r="T165" s="18"/>
      <c r="U165" s="60"/>
      <c r="V165" s="17"/>
      <c r="W165" s="80"/>
      <c r="X165" s="18"/>
      <c r="Y165" s="80"/>
      <c r="Z165" s="17"/>
      <c r="AA165" s="34"/>
      <c r="AB165" s="60"/>
      <c r="AC165" s="17"/>
      <c r="AD165" s="60"/>
      <c r="AE165" s="17"/>
      <c r="AF165" s="17"/>
      <c r="AG165" s="60"/>
      <c r="AH165" s="18"/>
      <c r="AI165" s="60"/>
      <c r="AJ165" s="17"/>
      <c r="AK165" s="17"/>
      <c r="AL165" s="80"/>
      <c r="AM165" s="18"/>
      <c r="AN165" s="80"/>
      <c r="AO165" s="17"/>
      <c r="AP165" s="17"/>
      <c r="AQ165" s="60"/>
      <c r="AR165" s="18"/>
      <c r="AS165" s="60"/>
      <c r="AT165" s="17"/>
      <c r="AU165" s="60"/>
      <c r="AV165" s="18"/>
      <c r="AW165" s="60"/>
      <c r="AX165" s="17"/>
      <c r="AY165" s="17"/>
      <c r="AZ165" s="60"/>
      <c r="BA165" s="18"/>
      <c r="BB165" s="17"/>
      <c r="BC165" s="17"/>
      <c r="BD165" s="17"/>
      <c r="BE165" s="60"/>
      <c r="BF165" s="18"/>
      <c r="BG165" s="60"/>
      <c r="BH165" s="17"/>
      <c r="BI165" s="60"/>
      <c r="BJ165" s="18"/>
      <c r="BK165" s="60"/>
      <c r="BL165" s="17"/>
      <c r="BM165" s="60"/>
      <c r="BN165" s="17"/>
      <c r="BO165" s="80"/>
      <c r="BP165" s="17"/>
      <c r="BQ165" s="20"/>
      <c r="BR165" s="60"/>
      <c r="BS165" s="18"/>
      <c r="BT165" s="60"/>
      <c r="BU165" s="17"/>
      <c r="BV165" s="17"/>
      <c r="BW165" s="60"/>
      <c r="BX165" s="17"/>
      <c r="BY165" s="60"/>
      <c r="BZ165" s="17"/>
      <c r="CA165" s="17"/>
      <c r="CB165" s="60"/>
      <c r="CC165" s="60"/>
      <c r="CD165" s="17"/>
      <c r="CE165" s="60"/>
      <c r="CF165" s="18"/>
      <c r="CG165" s="60"/>
      <c r="CH165" s="17"/>
    </row>
    <row r="166" spans="1:86" s="29" customFormat="1" x14ac:dyDescent="0.35">
      <c r="A166" s="17"/>
      <c r="B166" s="26"/>
      <c r="C166" s="60"/>
      <c r="D166" s="27"/>
      <c r="E166" s="60"/>
      <c r="F166" s="27"/>
      <c r="G166" s="80"/>
      <c r="H166" s="18"/>
      <c r="I166" s="80"/>
      <c r="J166" s="17"/>
      <c r="K166" s="80"/>
      <c r="L166" s="18"/>
      <c r="M166" s="80"/>
      <c r="N166" s="17"/>
      <c r="O166" s="80"/>
      <c r="P166" s="18"/>
      <c r="Q166" s="80"/>
      <c r="R166" s="17"/>
      <c r="S166" s="80"/>
      <c r="T166" s="18"/>
      <c r="U166" s="60"/>
      <c r="V166" s="17"/>
      <c r="W166" s="80"/>
      <c r="X166" s="18"/>
      <c r="Y166" s="80"/>
      <c r="Z166" s="17"/>
      <c r="AA166" s="34"/>
      <c r="AB166" s="60"/>
      <c r="AC166" s="17"/>
      <c r="AD166" s="60"/>
      <c r="AE166" s="17"/>
      <c r="AF166" s="17"/>
      <c r="AG166" s="60"/>
      <c r="AH166" s="18"/>
      <c r="AI166" s="60"/>
      <c r="AJ166" s="17"/>
      <c r="AK166" s="17"/>
      <c r="AL166" s="80"/>
      <c r="AM166" s="18"/>
      <c r="AN166" s="80"/>
      <c r="AO166" s="17"/>
      <c r="AP166" s="17"/>
      <c r="AQ166" s="60"/>
      <c r="AR166" s="18"/>
      <c r="AS166" s="60"/>
      <c r="AT166" s="17"/>
      <c r="AU166" s="60"/>
      <c r="AV166" s="18"/>
      <c r="AW166" s="60"/>
      <c r="AX166" s="17"/>
      <c r="AY166" s="17"/>
      <c r="AZ166" s="60"/>
      <c r="BA166" s="18"/>
      <c r="BB166" s="17"/>
      <c r="BC166" s="17"/>
      <c r="BD166" s="17"/>
      <c r="BE166" s="60"/>
      <c r="BF166" s="18"/>
      <c r="BG166" s="60"/>
      <c r="BH166" s="17"/>
      <c r="BI166" s="60"/>
      <c r="BJ166" s="18"/>
      <c r="BK166" s="60"/>
      <c r="BL166" s="17"/>
      <c r="BM166" s="60"/>
      <c r="BN166" s="17"/>
      <c r="BO166" s="80"/>
      <c r="BP166" s="17"/>
      <c r="BQ166" s="20"/>
      <c r="BR166" s="60"/>
      <c r="BS166" s="18"/>
      <c r="BT166" s="60"/>
      <c r="BU166" s="17"/>
      <c r="BV166" s="17"/>
      <c r="BW166" s="60"/>
      <c r="BX166" s="17"/>
      <c r="BY166" s="60"/>
      <c r="BZ166" s="17"/>
      <c r="CA166" s="17"/>
      <c r="CB166" s="60"/>
      <c r="CC166" s="60"/>
      <c r="CD166" s="17"/>
      <c r="CE166" s="60"/>
      <c r="CF166" s="18"/>
      <c r="CG166" s="60"/>
      <c r="CH166" s="17"/>
    </row>
    <row r="167" spans="1:86" s="29" customFormat="1" x14ac:dyDescent="0.35">
      <c r="A167" s="17"/>
      <c r="B167" s="26"/>
      <c r="C167" s="60"/>
      <c r="D167" s="27"/>
      <c r="E167" s="60"/>
      <c r="F167" s="27"/>
      <c r="G167" s="80"/>
      <c r="H167" s="18"/>
      <c r="I167" s="80"/>
      <c r="J167" s="17"/>
      <c r="K167" s="80"/>
      <c r="L167" s="18"/>
      <c r="M167" s="80"/>
      <c r="N167" s="17"/>
      <c r="O167" s="80"/>
      <c r="P167" s="18"/>
      <c r="Q167" s="80"/>
      <c r="R167" s="17"/>
      <c r="S167" s="80"/>
      <c r="T167" s="18"/>
      <c r="U167" s="60"/>
      <c r="V167" s="17"/>
      <c r="W167" s="80"/>
      <c r="X167" s="18"/>
      <c r="Y167" s="80"/>
      <c r="Z167" s="17"/>
      <c r="AA167" s="34"/>
      <c r="AB167" s="60"/>
      <c r="AC167" s="17"/>
      <c r="AD167" s="60"/>
      <c r="AE167" s="17"/>
      <c r="AF167" s="17"/>
      <c r="AG167" s="60"/>
      <c r="AH167" s="18"/>
      <c r="AI167" s="60"/>
      <c r="AJ167" s="17"/>
      <c r="AK167" s="17"/>
      <c r="AL167" s="80"/>
      <c r="AM167" s="18"/>
      <c r="AN167" s="80"/>
      <c r="AO167" s="17"/>
      <c r="AP167" s="17"/>
      <c r="AQ167" s="60"/>
      <c r="AR167" s="18"/>
      <c r="AS167" s="60"/>
      <c r="AT167" s="17"/>
      <c r="AU167" s="60"/>
      <c r="AV167" s="18"/>
      <c r="AW167" s="60"/>
      <c r="AX167" s="17"/>
      <c r="AY167" s="17"/>
      <c r="AZ167" s="60"/>
      <c r="BA167" s="18"/>
      <c r="BB167" s="17"/>
      <c r="BC167" s="17"/>
      <c r="BD167" s="17"/>
      <c r="BE167" s="60"/>
      <c r="BF167" s="18"/>
      <c r="BG167" s="60"/>
      <c r="BH167" s="17"/>
      <c r="BI167" s="60"/>
      <c r="BJ167" s="18"/>
      <c r="BK167" s="60"/>
      <c r="BL167" s="17"/>
      <c r="BM167" s="60"/>
      <c r="BN167" s="17"/>
      <c r="BO167" s="80"/>
      <c r="BP167" s="17"/>
      <c r="BQ167" s="20"/>
      <c r="BR167" s="60"/>
      <c r="BS167" s="18"/>
      <c r="BT167" s="60"/>
      <c r="BU167" s="17"/>
      <c r="BV167" s="17"/>
      <c r="BW167" s="60"/>
      <c r="BX167" s="17"/>
      <c r="BY167" s="60"/>
      <c r="BZ167" s="17"/>
      <c r="CA167" s="17"/>
      <c r="CB167" s="60"/>
      <c r="CC167" s="60"/>
      <c r="CD167" s="17"/>
      <c r="CE167" s="60"/>
      <c r="CF167" s="18"/>
      <c r="CG167" s="60"/>
      <c r="CH167" s="17"/>
    </row>
    <row r="168" spans="1:86" s="29" customFormat="1" x14ac:dyDescent="0.35">
      <c r="A168" s="17"/>
      <c r="B168" s="26"/>
      <c r="C168" s="60"/>
      <c r="D168" s="27"/>
      <c r="E168" s="60"/>
      <c r="F168" s="27"/>
      <c r="G168" s="80"/>
      <c r="H168" s="18"/>
      <c r="I168" s="80"/>
      <c r="J168" s="17"/>
      <c r="K168" s="80"/>
      <c r="L168" s="18"/>
      <c r="M168" s="80"/>
      <c r="N168" s="17"/>
      <c r="O168" s="80"/>
      <c r="P168" s="18"/>
      <c r="Q168" s="80"/>
      <c r="R168" s="17"/>
      <c r="S168" s="80"/>
      <c r="T168" s="18"/>
      <c r="U168" s="60"/>
      <c r="V168" s="17"/>
      <c r="W168" s="80"/>
      <c r="X168" s="18"/>
      <c r="Y168" s="80"/>
      <c r="Z168" s="17"/>
      <c r="AA168" s="34"/>
      <c r="AB168" s="60"/>
      <c r="AC168" s="17"/>
      <c r="AD168" s="60"/>
      <c r="AE168" s="17"/>
      <c r="AF168" s="17"/>
      <c r="AG168" s="60"/>
      <c r="AH168" s="18"/>
      <c r="AI168" s="60"/>
      <c r="AJ168" s="17"/>
      <c r="AK168" s="17"/>
      <c r="AL168" s="80"/>
      <c r="AM168" s="18"/>
      <c r="AN168" s="80"/>
      <c r="AO168" s="17"/>
      <c r="AP168" s="17"/>
      <c r="AQ168" s="60"/>
      <c r="AR168" s="18"/>
      <c r="AS168" s="60"/>
      <c r="AT168" s="17"/>
      <c r="AU168" s="60"/>
      <c r="AV168" s="18"/>
      <c r="AW168" s="60"/>
      <c r="AX168" s="17"/>
      <c r="AY168" s="17"/>
      <c r="AZ168" s="60"/>
      <c r="BA168" s="18"/>
      <c r="BB168" s="17"/>
      <c r="BC168" s="17"/>
      <c r="BD168" s="17"/>
      <c r="BE168" s="60"/>
      <c r="BF168" s="18"/>
      <c r="BG168" s="60"/>
      <c r="BH168" s="17"/>
      <c r="BI168" s="60"/>
      <c r="BJ168" s="18"/>
      <c r="BK168" s="60"/>
      <c r="BL168" s="17"/>
      <c r="BM168" s="60"/>
      <c r="BN168" s="17"/>
      <c r="BO168" s="80"/>
      <c r="BP168" s="17"/>
      <c r="BQ168" s="20"/>
      <c r="BR168" s="60"/>
      <c r="BS168" s="18"/>
      <c r="BT168" s="60"/>
      <c r="BU168" s="17"/>
      <c r="BV168" s="17"/>
      <c r="BW168" s="60"/>
      <c r="BX168" s="17"/>
      <c r="BY168" s="60"/>
      <c r="BZ168" s="17"/>
      <c r="CA168" s="17"/>
      <c r="CB168" s="60"/>
      <c r="CC168" s="60"/>
      <c r="CD168" s="17"/>
      <c r="CE168" s="60"/>
      <c r="CF168" s="18"/>
      <c r="CG168" s="60"/>
      <c r="CH168" s="17"/>
    </row>
    <row r="169" spans="1:86" s="29" customFormat="1" x14ac:dyDescent="0.35">
      <c r="A169" s="17"/>
      <c r="B169" s="26"/>
      <c r="C169" s="60"/>
      <c r="D169" s="27"/>
      <c r="E169" s="60"/>
      <c r="F169" s="27"/>
      <c r="G169" s="80"/>
      <c r="H169" s="18"/>
      <c r="I169" s="80"/>
      <c r="J169" s="17"/>
      <c r="K169" s="80"/>
      <c r="L169" s="18"/>
      <c r="M169" s="80"/>
      <c r="N169" s="17"/>
      <c r="O169" s="80"/>
      <c r="P169" s="18"/>
      <c r="Q169" s="80"/>
      <c r="R169" s="17"/>
      <c r="S169" s="80"/>
      <c r="T169" s="18"/>
      <c r="U169" s="60"/>
      <c r="V169" s="17"/>
      <c r="W169" s="80"/>
      <c r="X169" s="18"/>
      <c r="Y169" s="80"/>
      <c r="Z169" s="17"/>
      <c r="AA169" s="34"/>
      <c r="AB169" s="60"/>
      <c r="AC169" s="17"/>
      <c r="AD169" s="60"/>
      <c r="AE169" s="17"/>
      <c r="AF169" s="17"/>
      <c r="AG169" s="60"/>
      <c r="AH169" s="18"/>
      <c r="AI169" s="60"/>
      <c r="AJ169" s="17"/>
      <c r="AK169" s="17"/>
      <c r="AL169" s="80"/>
      <c r="AM169" s="18"/>
      <c r="AN169" s="80"/>
      <c r="AO169" s="17"/>
      <c r="AP169" s="17"/>
      <c r="AQ169" s="60"/>
      <c r="AR169" s="18"/>
      <c r="AS169" s="60"/>
      <c r="AT169" s="17"/>
      <c r="AU169" s="60"/>
      <c r="AV169" s="18"/>
      <c r="AW169" s="60"/>
      <c r="AX169" s="17"/>
      <c r="AY169" s="17"/>
      <c r="AZ169" s="60"/>
      <c r="BA169" s="18"/>
      <c r="BB169" s="17"/>
      <c r="BC169" s="17"/>
      <c r="BD169" s="17"/>
      <c r="BE169" s="60"/>
      <c r="BF169" s="18"/>
      <c r="BG169" s="60"/>
      <c r="BH169" s="17"/>
      <c r="BI169" s="60"/>
      <c r="BJ169" s="18"/>
      <c r="BK169" s="60"/>
      <c r="BL169" s="17"/>
      <c r="BM169" s="60"/>
      <c r="BN169" s="17"/>
      <c r="BO169" s="80"/>
      <c r="BP169" s="17"/>
      <c r="BQ169" s="20"/>
      <c r="BR169" s="60"/>
      <c r="BS169" s="18"/>
      <c r="BT169" s="60"/>
      <c r="BU169" s="17"/>
      <c r="BV169" s="17"/>
      <c r="BW169" s="60"/>
      <c r="BX169" s="17"/>
      <c r="BY169" s="60"/>
      <c r="BZ169" s="17"/>
      <c r="CA169" s="17"/>
      <c r="CB169" s="60"/>
      <c r="CC169" s="60"/>
      <c r="CD169" s="17"/>
      <c r="CE169" s="60"/>
      <c r="CF169" s="18"/>
      <c r="CG169" s="60"/>
      <c r="CH169" s="17"/>
    </row>
    <row r="170" spans="1:86" s="29" customFormat="1" x14ac:dyDescent="0.35">
      <c r="A170" s="17"/>
      <c r="B170" s="26"/>
      <c r="C170" s="60"/>
      <c r="D170" s="27"/>
      <c r="E170" s="60"/>
      <c r="F170" s="27"/>
      <c r="G170" s="80"/>
      <c r="H170" s="18"/>
      <c r="I170" s="80"/>
      <c r="J170" s="17"/>
      <c r="K170" s="80"/>
      <c r="L170" s="18"/>
      <c r="M170" s="80"/>
      <c r="N170" s="17"/>
      <c r="O170" s="80"/>
      <c r="P170" s="18"/>
      <c r="Q170" s="80"/>
      <c r="R170" s="17"/>
      <c r="S170" s="80"/>
      <c r="T170" s="18"/>
      <c r="U170" s="60"/>
      <c r="V170" s="17"/>
      <c r="W170" s="80"/>
      <c r="X170" s="18"/>
      <c r="Y170" s="80"/>
      <c r="Z170" s="17"/>
      <c r="AA170" s="34"/>
      <c r="AB170" s="60"/>
      <c r="AC170" s="17"/>
      <c r="AD170" s="60"/>
      <c r="AE170" s="17"/>
      <c r="AF170" s="17"/>
      <c r="AG170" s="60"/>
      <c r="AH170" s="18"/>
      <c r="AI170" s="60"/>
      <c r="AJ170" s="17"/>
      <c r="AK170" s="17"/>
      <c r="AL170" s="80"/>
      <c r="AM170" s="18"/>
      <c r="AN170" s="80"/>
      <c r="AO170" s="17"/>
      <c r="AP170" s="17"/>
      <c r="AQ170" s="60"/>
      <c r="AR170" s="18"/>
      <c r="AS170" s="60"/>
      <c r="AT170" s="17"/>
      <c r="AU170" s="60"/>
      <c r="AV170" s="18"/>
      <c r="AW170" s="60"/>
      <c r="AX170" s="17"/>
      <c r="AY170" s="17"/>
      <c r="AZ170" s="60"/>
      <c r="BA170" s="18"/>
      <c r="BB170" s="17"/>
      <c r="BC170" s="17"/>
      <c r="BD170" s="17"/>
      <c r="BE170" s="60"/>
      <c r="BF170" s="18"/>
      <c r="BG170" s="60"/>
      <c r="BH170" s="17"/>
      <c r="BI170" s="60"/>
      <c r="BJ170" s="18"/>
      <c r="BK170" s="60"/>
      <c r="BL170" s="17"/>
      <c r="BM170" s="60"/>
      <c r="BN170" s="17"/>
      <c r="BO170" s="80"/>
      <c r="BP170" s="17"/>
      <c r="BQ170" s="20"/>
      <c r="BR170" s="60"/>
      <c r="BS170" s="18"/>
      <c r="BT170" s="60"/>
      <c r="BU170" s="17"/>
      <c r="BV170" s="17"/>
      <c r="BW170" s="60"/>
      <c r="BX170" s="17"/>
      <c r="BY170" s="60"/>
      <c r="BZ170" s="17"/>
      <c r="CA170" s="17"/>
      <c r="CB170" s="60"/>
      <c r="CC170" s="60"/>
      <c r="CD170" s="17"/>
      <c r="CE170" s="60"/>
      <c r="CF170" s="18"/>
      <c r="CG170" s="60"/>
      <c r="CH170" s="17"/>
    </row>
    <row r="171" spans="1:86" s="29" customFormat="1" x14ac:dyDescent="0.35">
      <c r="A171" s="17"/>
      <c r="B171" s="26"/>
      <c r="C171" s="60"/>
      <c r="D171" s="27"/>
      <c r="E171" s="60"/>
      <c r="F171" s="27"/>
      <c r="G171" s="80"/>
      <c r="H171" s="18"/>
      <c r="I171" s="80"/>
      <c r="J171" s="17"/>
      <c r="K171" s="80"/>
      <c r="L171" s="18"/>
      <c r="M171" s="80"/>
      <c r="N171" s="17"/>
      <c r="O171" s="80"/>
      <c r="P171" s="18"/>
      <c r="Q171" s="80"/>
      <c r="R171" s="17"/>
      <c r="S171" s="80"/>
      <c r="T171" s="18"/>
      <c r="U171" s="60"/>
      <c r="V171" s="17"/>
      <c r="W171" s="80"/>
      <c r="X171" s="18"/>
      <c r="Y171" s="80"/>
      <c r="Z171" s="17"/>
      <c r="AA171" s="34"/>
      <c r="AB171" s="60"/>
      <c r="AC171" s="17"/>
      <c r="AD171" s="60"/>
      <c r="AE171" s="17"/>
      <c r="AF171" s="17"/>
      <c r="AG171" s="60"/>
      <c r="AH171" s="18"/>
      <c r="AI171" s="60"/>
      <c r="AJ171" s="17"/>
      <c r="AK171" s="17"/>
      <c r="AL171" s="80"/>
      <c r="AM171" s="18"/>
      <c r="AN171" s="80"/>
      <c r="AO171" s="17"/>
      <c r="AP171" s="17"/>
      <c r="AQ171" s="60"/>
      <c r="AR171" s="18"/>
      <c r="AS171" s="60"/>
      <c r="AT171" s="17"/>
      <c r="AU171" s="60"/>
      <c r="AV171" s="18"/>
      <c r="AW171" s="60"/>
      <c r="AX171" s="17"/>
      <c r="AY171" s="17"/>
      <c r="AZ171" s="60"/>
      <c r="BA171" s="18"/>
      <c r="BB171" s="17"/>
      <c r="BC171" s="17"/>
      <c r="BD171" s="17"/>
      <c r="BE171" s="60"/>
      <c r="BF171" s="18"/>
      <c r="BG171" s="60"/>
      <c r="BH171" s="17"/>
      <c r="BI171" s="60"/>
      <c r="BJ171" s="18"/>
      <c r="BK171" s="60"/>
      <c r="BL171" s="17"/>
      <c r="BM171" s="60"/>
      <c r="BN171" s="17"/>
      <c r="BO171" s="80"/>
      <c r="BP171" s="17"/>
      <c r="BQ171" s="20"/>
      <c r="BR171" s="60"/>
      <c r="BS171" s="18"/>
      <c r="BT171" s="60"/>
      <c r="BU171" s="17"/>
      <c r="BV171" s="17"/>
      <c r="BW171" s="60"/>
      <c r="BX171" s="17"/>
      <c r="BY171" s="60"/>
      <c r="BZ171" s="17"/>
      <c r="CA171" s="17"/>
      <c r="CB171" s="60"/>
      <c r="CC171" s="60"/>
      <c r="CD171" s="17"/>
      <c r="CE171" s="60"/>
      <c r="CF171" s="18"/>
      <c r="CG171" s="60"/>
      <c r="CH171" s="17"/>
    </row>
    <row r="172" spans="1:86" s="29" customFormat="1" x14ac:dyDescent="0.35">
      <c r="A172" s="17"/>
      <c r="B172" s="26"/>
      <c r="C172" s="60"/>
      <c r="D172" s="27"/>
      <c r="E172" s="60"/>
      <c r="F172" s="27"/>
      <c r="G172" s="80"/>
      <c r="H172" s="18"/>
      <c r="I172" s="80"/>
      <c r="J172" s="17"/>
      <c r="K172" s="80"/>
      <c r="L172" s="18"/>
      <c r="M172" s="80"/>
      <c r="N172" s="17"/>
      <c r="O172" s="80"/>
      <c r="P172" s="18"/>
      <c r="Q172" s="80"/>
      <c r="R172" s="17"/>
      <c r="S172" s="80"/>
      <c r="T172" s="18"/>
      <c r="U172" s="60"/>
      <c r="V172" s="17"/>
      <c r="W172" s="80"/>
      <c r="X172" s="18"/>
      <c r="Y172" s="80"/>
      <c r="Z172" s="17"/>
      <c r="AA172" s="34"/>
      <c r="AB172" s="60"/>
      <c r="AC172" s="17"/>
      <c r="AD172" s="60"/>
      <c r="AE172" s="17"/>
      <c r="AF172" s="17"/>
      <c r="AG172" s="60"/>
      <c r="AH172" s="18"/>
      <c r="AI172" s="60"/>
      <c r="AJ172" s="17"/>
      <c r="AK172" s="17"/>
      <c r="AL172" s="80"/>
      <c r="AM172" s="18"/>
      <c r="AN172" s="80"/>
      <c r="AO172" s="17"/>
      <c r="AP172" s="17"/>
      <c r="AQ172" s="60"/>
      <c r="AR172" s="18"/>
      <c r="AS172" s="60"/>
      <c r="AT172" s="17"/>
      <c r="AU172" s="60"/>
      <c r="AV172" s="18"/>
      <c r="AW172" s="60"/>
      <c r="AX172" s="17"/>
      <c r="AY172" s="17"/>
      <c r="AZ172" s="60"/>
      <c r="BA172" s="18"/>
      <c r="BB172" s="17"/>
      <c r="BC172" s="17"/>
      <c r="BD172" s="17"/>
      <c r="BE172" s="60"/>
      <c r="BF172" s="18"/>
      <c r="BG172" s="60"/>
      <c r="BH172" s="17"/>
      <c r="BI172" s="60"/>
      <c r="BJ172" s="18"/>
      <c r="BK172" s="60"/>
      <c r="BL172" s="17"/>
      <c r="BM172" s="60"/>
      <c r="BN172" s="17"/>
      <c r="BO172" s="80"/>
      <c r="BP172" s="17"/>
      <c r="BQ172" s="20"/>
      <c r="BR172" s="60"/>
      <c r="BS172" s="18"/>
      <c r="BT172" s="60"/>
      <c r="BU172" s="17"/>
      <c r="BV172" s="17"/>
      <c r="BW172" s="60"/>
      <c r="BX172" s="17"/>
      <c r="BY172" s="60"/>
      <c r="BZ172" s="17"/>
      <c r="CA172" s="17"/>
      <c r="CB172" s="60"/>
      <c r="CC172" s="60"/>
      <c r="CD172" s="17"/>
      <c r="CE172" s="60"/>
      <c r="CF172" s="18"/>
      <c r="CG172" s="60"/>
      <c r="CH172" s="17"/>
    </row>
    <row r="173" spans="1:86" s="29" customFormat="1" x14ac:dyDescent="0.35">
      <c r="A173" s="17"/>
      <c r="B173" s="26"/>
      <c r="C173" s="60"/>
      <c r="D173" s="27"/>
      <c r="E173" s="60"/>
      <c r="F173" s="27"/>
      <c r="G173" s="80"/>
      <c r="H173" s="18"/>
      <c r="I173" s="80"/>
      <c r="J173" s="17"/>
      <c r="K173" s="80"/>
      <c r="L173" s="18"/>
      <c r="M173" s="80"/>
      <c r="N173" s="17"/>
      <c r="O173" s="80"/>
      <c r="P173" s="18"/>
      <c r="Q173" s="80"/>
      <c r="R173" s="17"/>
      <c r="S173" s="80"/>
      <c r="T173" s="18"/>
      <c r="U173" s="60"/>
      <c r="V173" s="17"/>
      <c r="W173" s="80"/>
      <c r="X173" s="18"/>
      <c r="Y173" s="80"/>
      <c r="Z173" s="17"/>
      <c r="AA173" s="34"/>
      <c r="AB173" s="60"/>
      <c r="AC173" s="17"/>
      <c r="AD173" s="60"/>
      <c r="AE173" s="17"/>
      <c r="AF173" s="17"/>
      <c r="AG173" s="60"/>
      <c r="AH173" s="18"/>
      <c r="AI173" s="60"/>
      <c r="AJ173" s="17"/>
      <c r="AK173" s="17"/>
      <c r="AL173" s="80"/>
      <c r="AM173" s="18"/>
      <c r="AN173" s="80"/>
      <c r="AO173" s="17"/>
      <c r="AP173" s="17"/>
      <c r="AQ173" s="60"/>
      <c r="AR173" s="18"/>
      <c r="AS173" s="60"/>
      <c r="AT173" s="17"/>
      <c r="AU173" s="60"/>
      <c r="AV173" s="18"/>
      <c r="AW173" s="60"/>
      <c r="AX173" s="17"/>
      <c r="AY173" s="17"/>
      <c r="AZ173" s="60"/>
      <c r="BA173" s="18"/>
      <c r="BB173" s="17"/>
      <c r="BC173" s="17"/>
      <c r="BD173" s="17"/>
      <c r="BE173" s="60"/>
      <c r="BF173" s="18"/>
      <c r="BG173" s="60"/>
      <c r="BH173" s="17"/>
      <c r="BI173" s="60"/>
      <c r="BJ173" s="18"/>
      <c r="BK173" s="60"/>
      <c r="BL173" s="17"/>
      <c r="BM173" s="60"/>
      <c r="BN173" s="17"/>
      <c r="BO173" s="80"/>
      <c r="BP173" s="17"/>
      <c r="BQ173" s="20"/>
      <c r="BR173" s="60"/>
      <c r="BS173" s="18"/>
      <c r="BT173" s="60"/>
      <c r="BU173" s="17"/>
      <c r="BV173" s="17"/>
      <c r="BW173" s="60"/>
      <c r="BX173" s="17"/>
      <c r="BY173" s="60"/>
      <c r="BZ173" s="17"/>
      <c r="CA173" s="17"/>
      <c r="CB173" s="60"/>
      <c r="CC173" s="60"/>
      <c r="CD173" s="17"/>
      <c r="CE173" s="60"/>
      <c r="CF173" s="18"/>
      <c r="CG173" s="60"/>
      <c r="CH173" s="17"/>
    </row>
    <row r="174" spans="1:86" s="29" customFormat="1" x14ac:dyDescent="0.35">
      <c r="A174" s="17"/>
      <c r="B174" s="26"/>
      <c r="C174" s="60"/>
      <c r="D174" s="27"/>
      <c r="E174" s="60"/>
      <c r="F174" s="27"/>
      <c r="G174" s="80"/>
      <c r="H174" s="18"/>
      <c r="I174" s="80"/>
      <c r="J174" s="17"/>
      <c r="K174" s="80"/>
      <c r="L174" s="18"/>
      <c r="M174" s="80"/>
      <c r="N174" s="17"/>
      <c r="O174" s="80"/>
      <c r="P174" s="18"/>
      <c r="Q174" s="80"/>
      <c r="R174" s="17"/>
      <c r="S174" s="80"/>
      <c r="T174" s="18"/>
      <c r="U174" s="60"/>
      <c r="V174" s="17"/>
      <c r="W174" s="80"/>
      <c r="X174" s="18"/>
      <c r="Y174" s="80"/>
      <c r="Z174" s="17"/>
      <c r="AA174" s="34"/>
      <c r="AB174" s="60"/>
      <c r="AC174" s="17"/>
      <c r="AD174" s="60"/>
      <c r="AE174" s="17"/>
      <c r="AF174" s="17"/>
      <c r="AG174" s="60"/>
      <c r="AH174" s="18"/>
      <c r="AI174" s="60"/>
      <c r="AJ174" s="17"/>
      <c r="AK174" s="17"/>
      <c r="AL174" s="80"/>
      <c r="AM174" s="18"/>
      <c r="AN174" s="80"/>
      <c r="AO174" s="17"/>
      <c r="AP174" s="17"/>
      <c r="AQ174" s="60"/>
      <c r="AR174" s="18"/>
      <c r="AS174" s="60"/>
      <c r="AT174" s="17"/>
      <c r="AU174" s="60"/>
      <c r="AV174" s="18"/>
      <c r="AW174" s="60"/>
      <c r="AX174" s="17"/>
      <c r="AY174" s="17"/>
      <c r="AZ174" s="60"/>
      <c r="BA174" s="18"/>
      <c r="BB174" s="17"/>
      <c r="BC174" s="17"/>
      <c r="BD174" s="17"/>
      <c r="BE174" s="60"/>
      <c r="BF174" s="18"/>
      <c r="BG174" s="60"/>
      <c r="BH174" s="17"/>
      <c r="BI174" s="60"/>
      <c r="BJ174" s="18"/>
      <c r="BK174" s="60"/>
      <c r="BL174" s="17"/>
      <c r="BM174" s="60"/>
      <c r="BN174" s="17"/>
      <c r="BO174" s="80"/>
      <c r="BP174" s="17"/>
      <c r="BQ174" s="20"/>
      <c r="BR174" s="60"/>
      <c r="BS174" s="18"/>
      <c r="BT174" s="60"/>
      <c r="BU174" s="17"/>
      <c r="BV174" s="17"/>
      <c r="BW174" s="60"/>
      <c r="BX174" s="17"/>
      <c r="BY174" s="60"/>
      <c r="BZ174" s="17"/>
      <c r="CA174" s="17"/>
      <c r="CB174" s="60"/>
      <c r="CC174" s="60"/>
      <c r="CD174" s="17"/>
      <c r="CE174" s="60"/>
      <c r="CF174" s="18"/>
      <c r="CG174" s="60"/>
      <c r="CH174" s="17"/>
    </row>
    <row r="175" spans="1:86" s="29" customFormat="1" x14ac:dyDescent="0.35">
      <c r="A175" s="17"/>
      <c r="B175" s="26"/>
      <c r="C175" s="60"/>
      <c r="D175" s="27"/>
      <c r="E175" s="60"/>
      <c r="F175" s="27"/>
      <c r="G175" s="80"/>
      <c r="H175" s="18"/>
      <c r="I175" s="80"/>
      <c r="J175" s="17"/>
      <c r="K175" s="80"/>
      <c r="L175" s="18"/>
      <c r="M175" s="80"/>
      <c r="N175" s="17"/>
      <c r="O175" s="80"/>
      <c r="P175" s="18"/>
      <c r="Q175" s="80"/>
      <c r="R175" s="17"/>
      <c r="S175" s="80"/>
      <c r="T175" s="18"/>
      <c r="U175" s="60"/>
      <c r="V175" s="17"/>
      <c r="W175" s="80"/>
      <c r="X175" s="18"/>
      <c r="Y175" s="80"/>
      <c r="Z175" s="17"/>
      <c r="AA175" s="34"/>
      <c r="AB175" s="60"/>
      <c r="AC175" s="17"/>
      <c r="AD175" s="60"/>
      <c r="AE175" s="17"/>
      <c r="AF175" s="17"/>
      <c r="AG175" s="60"/>
      <c r="AH175" s="18"/>
      <c r="AI175" s="60"/>
      <c r="AJ175" s="17"/>
      <c r="AK175" s="17"/>
      <c r="AL175" s="80"/>
      <c r="AM175" s="18"/>
      <c r="AN175" s="80"/>
      <c r="AO175" s="17"/>
      <c r="AP175" s="17"/>
      <c r="AQ175" s="60"/>
      <c r="AR175" s="18"/>
      <c r="AS175" s="60"/>
      <c r="AT175" s="17"/>
      <c r="AU175" s="60"/>
      <c r="AV175" s="18"/>
      <c r="AW175" s="60"/>
      <c r="AX175" s="17"/>
      <c r="AY175" s="17"/>
      <c r="AZ175" s="60"/>
      <c r="BA175" s="18"/>
      <c r="BB175" s="17"/>
      <c r="BC175" s="17"/>
      <c r="BD175" s="17"/>
      <c r="BE175" s="60"/>
      <c r="BF175" s="18"/>
      <c r="BG175" s="60"/>
      <c r="BH175" s="17"/>
      <c r="BI175" s="60"/>
      <c r="BJ175" s="18"/>
      <c r="BK175" s="60"/>
      <c r="BL175" s="17"/>
      <c r="BM175" s="60"/>
      <c r="BN175" s="17"/>
      <c r="BO175" s="80"/>
      <c r="BP175" s="17"/>
      <c r="BQ175" s="20"/>
      <c r="BR175" s="60"/>
      <c r="BS175" s="18"/>
      <c r="BT175" s="60"/>
      <c r="BU175" s="17"/>
      <c r="BV175" s="17"/>
      <c r="BW175" s="60"/>
      <c r="BX175" s="17"/>
      <c r="BY175" s="60"/>
      <c r="BZ175" s="17"/>
      <c r="CA175" s="17"/>
      <c r="CB175" s="60"/>
      <c r="CC175" s="60"/>
      <c r="CD175" s="17"/>
      <c r="CE175" s="60"/>
      <c r="CF175" s="18"/>
      <c r="CG175" s="60"/>
      <c r="CH175" s="17"/>
    </row>
    <row r="176" spans="1:86" s="29" customFormat="1" x14ac:dyDescent="0.35">
      <c r="A176" s="17"/>
      <c r="B176" s="26"/>
      <c r="C176" s="60"/>
      <c r="D176" s="27"/>
      <c r="E176" s="60"/>
      <c r="F176" s="27"/>
      <c r="G176" s="80"/>
      <c r="H176" s="18"/>
      <c r="I176" s="80"/>
      <c r="J176" s="17"/>
      <c r="K176" s="80"/>
      <c r="L176" s="18"/>
      <c r="M176" s="80"/>
      <c r="N176" s="17"/>
      <c r="O176" s="80"/>
      <c r="P176" s="18"/>
      <c r="Q176" s="80"/>
      <c r="R176" s="17"/>
      <c r="S176" s="80"/>
      <c r="T176" s="18"/>
      <c r="U176" s="60"/>
      <c r="V176" s="17"/>
      <c r="W176" s="80"/>
      <c r="X176" s="18"/>
      <c r="Y176" s="80"/>
      <c r="Z176" s="17"/>
      <c r="AA176" s="34"/>
      <c r="AB176" s="60"/>
      <c r="AC176" s="17"/>
      <c r="AD176" s="60"/>
      <c r="AE176" s="17"/>
      <c r="AF176" s="17"/>
      <c r="AG176" s="60"/>
      <c r="AH176" s="18"/>
      <c r="AI176" s="60"/>
      <c r="AJ176" s="17"/>
      <c r="AK176" s="17"/>
      <c r="AL176" s="80"/>
      <c r="AM176" s="18"/>
      <c r="AN176" s="80"/>
      <c r="AO176" s="17"/>
      <c r="AP176" s="17"/>
      <c r="AQ176" s="60"/>
      <c r="AR176" s="18"/>
      <c r="AS176" s="60"/>
      <c r="AT176" s="17"/>
      <c r="AU176" s="60"/>
      <c r="AV176" s="18"/>
      <c r="AW176" s="60"/>
      <c r="AX176" s="17"/>
      <c r="AY176" s="17"/>
      <c r="AZ176" s="60"/>
      <c r="BA176" s="18"/>
      <c r="BB176" s="17"/>
      <c r="BC176" s="17"/>
      <c r="BD176" s="17"/>
      <c r="BE176" s="60"/>
      <c r="BF176" s="18"/>
      <c r="BG176" s="60"/>
      <c r="BH176" s="17"/>
      <c r="BI176" s="60"/>
      <c r="BJ176" s="18"/>
      <c r="BK176" s="60"/>
      <c r="BL176" s="17"/>
      <c r="BM176" s="60"/>
      <c r="BN176" s="17"/>
      <c r="BO176" s="80"/>
      <c r="BP176" s="17"/>
      <c r="BQ176" s="20"/>
      <c r="BR176" s="60"/>
      <c r="BS176" s="18"/>
      <c r="BT176" s="60"/>
      <c r="BU176" s="17"/>
      <c r="BV176" s="17"/>
      <c r="BW176" s="60"/>
      <c r="BX176" s="17"/>
      <c r="BY176" s="60"/>
      <c r="BZ176" s="17"/>
      <c r="CA176" s="17"/>
      <c r="CB176" s="60"/>
      <c r="CC176" s="60"/>
      <c r="CD176" s="17"/>
      <c r="CE176" s="60"/>
      <c r="CF176" s="18"/>
      <c r="CG176" s="60"/>
      <c r="CH176" s="17"/>
    </row>
    <row r="177" spans="1:86" s="29" customFormat="1" x14ac:dyDescent="0.35">
      <c r="A177" s="17"/>
      <c r="B177" s="26"/>
      <c r="C177" s="60"/>
      <c r="D177" s="27"/>
      <c r="E177" s="60"/>
      <c r="F177" s="27"/>
      <c r="G177" s="80"/>
      <c r="H177" s="18"/>
      <c r="I177" s="80"/>
      <c r="J177" s="17"/>
      <c r="K177" s="80"/>
      <c r="L177" s="18"/>
      <c r="M177" s="80"/>
      <c r="N177" s="17"/>
      <c r="O177" s="80"/>
      <c r="P177" s="18"/>
      <c r="Q177" s="80"/>
      <c r="R177" s="17"/>
      <c r="S177" s="80"/>
      <c r="T177" s="18"/>
      <c r="U177" s="60"/>
      <c r="V177" s="17"/>
      <c r="W177" s="80"/>
      <c r="X177" s="18"/>
      <c r="Y177" s="80"/>
      <c r="Z177" s="17"/>
      <c r="AA177" s="34"/>
      <c r="AB177" s="60"/>
      <c r="AC177" s="17"/>
      <c r="AD177" s="60"/>
      <c r="AE177" s="17"/>
      <c r="AF177" s="17"/>
      <c r="AG177" s="60"/>
      <c r="AH177" s="18"/>
      <c r="AI177" s="60"/>
      <c r="AJ177" s="17"/>
      <c r="AK177" s="17"/>
      <c r="AL177" s="80"/>
      <c r="AM177" s="18"/>
      <c r="AN177" s="80"/>
      <c r="AO177" s="17"/>
      <c r="AP177" s="17"/>
      <c r="AQ177" s="60"/>
      <c r="AR177" s="18"/>
      <c r="AS177" s="60"/>
      <c r="AT177" s="17"/>
      <c r="AU177" s="60"/>
      <c r="AV177" s="18"/>
      <c r="AW177" s="60"/>
      <c r="AX177" s="17"/>
      <c r="AY177" s="17"/>
      <c r="AZ177" s="60"/>
      <c r="BA177" s="18"/>
      <c r="BB177" s="17"/>
      <c r="BC177" s="17"/>
      <c r="BD177" s="17"/>
      <c r="BE177" s="60"/>
      <c r="BF177" s="18"/>
      <c r="BG177" s="60"/>
      <c r="BH177" s="17"/>
      <c r="BI177" s="60"/>
      <c r="BJ177" s="18"/>
      <c r="BK177" s="60"/>
      <c r="BL177" s="17"/>
      <c r="BM177" s="60"/>
      <c r="BN177" s="17"/>
      <c r="BO177" s="80"/>
      <c r="BP177" s="17"/>
      <c r="BQ177" s="20"/>
      <c r="BR177" s="60"/>
      <c r="BS177" s="18"/>
      <c r="BT177" s="60"/>
      <c r="BU177" s="17"/>
      <c r="BV177" s="17"/>
      <c r="BW177" s="60"/>
      <c r="BX177" s="17"/>
      <c r="BY177" s="60"/>
      <c r="BZ177" s="17"/>
      <c r="CA177" s="17"/>
      <c r="CB177" s="60"/>
      <c r="CC177" s="60"/>
      <c r="CD177" s="17"/>
      <c r="CE177" s="60"/>
      <c r="CF177" s="18"/>
      <c r="CG177" s="60"/>
      <c r="CH177" s="17"/>
    </row>
    <row r="178" spans="1:86" s="29" customFormat="1" x14ac:dyDescent="0.35">
      <c r="A178" s="17"/>
      <c r="B178" s="26"/>
      <c r="C178" s="60"/>
      <c r="D178" s="27"/>
      <c r="E178" s="60"/>
      <c r="F178" s="27"/>
      <c r="G178" s="80"/>
      <c r="H178" s="18"/>
      <c r="I178" s="80"/>
      <c r="J178" s="17"/>
      <c r="K178" s="80"/>
      <c r="L178" s="18"/>
      <c r="M178" s="80"/>
      <c r="N178" s="17"/>
      <c r="O178" s="80"/>
      <c r="P178" s="18"/>
      <c r="Q178" s="80"/>
      <c r="R178" s="17"/>
      <c r="S178" s="80"/>
      <c r="T178" s="18"/>
      <c r="U178" s="60"/>
      <c r="V178" s="17"/>
      <c r="W178" s="80"/>
      <c r="X178" s="18"/>
      <c r="Y178" s="80"/>
      <c r="Z178" s="17"/>
      <c r="AA178" s="34"/>
      <c r="AB178" s="60"/>
      <c r="AC178" s="17"/>
      <c r="AD178" s="60"/>
      <c r="AE178" s="17"/>
      <c r="AF178" s="17"/>
      <c r="AG178" s="60"/>
      <c r="AH178" s="18"/>
      <c r="AI178" s="60"/>
      <c r="AJ178" s="17"/>
      <c r="AK178" s="17"/>
      <c r="AL178" s="80"/>
      <c r="AM178" s="18"/>
      <c r="AN178" s="80"/>
      <c r="AO178" s="17"/>
      <c r="AP178" s="17"/>
      <c r="AQ178" s="60"/>
      <c r="AR178" s="18"/>
      <c r="AS178" s="60"/>
      <c r="AT178" s="17"/>
      <c r="AU178" s="60"/>
      <c r="AV178" s="18"/>
      <c r="AW178" s="60"/>
      <c r="AX178" s="17"/>
      <c r="AY178" s="17"/>
      <c r="AZ178" s="60"/>
      <c r="BA178" s="18"/>
      <c r="BB178" s="17"/>
      <c r="BC178" s="17"/>
      <c r="BD178" s="17"/>
      <c r="BE178" s="60"/>
      <c r="BF178" s="18"/>
      <c r="BG178" s="60"/>
      <c r="BH178" s="17"/>
      <c r="BI178" s="60"/>
      <c r="BJ178" s="18"/>
      <c r="BK178" s="60"/>
      <c r="BL178" s="17"/>
      <c r="BM178" s="60"/>
      <c r="BN178" s="17"/>
      <c r="BO178" s="80"/>
      <c r="BP178" s="17"/>
      <c r="BQ178" s="20"/>
      <c r="BR178" s="60"/>
      <c r="BS178" s="18"/>
      <c r="BT178" s="60"/>
      <c r="BU178" s="17"/>
      <c r="BV178" s="17"/>
      <c r="BW178" s="60"/>
      <c r="BX178" s="17"/>
      <c r="BY178" s="60"/>
      <c r="BZ178" s="17"/>
      <c r="CA178" s="17"/>
      <c r="CB178" s="60"/>
      <c r="CC178" s="60"/>
      <c r="CD178" s="17"/>
      <c r="CE178" s="60"/>
      <c r="CF178" s="18"/>
      <c r="CG178" s="60"/>
      <c r="CH178" s="17"/>
    </row>
    <row r="179" spans="1:86" s="29" customFormat="1" x14ac:dyDescent="0.35">
      <c r="A179" s="17"/>
      <c r="B179" s="26"/>
      <c r="C179" s="60"/>
      <c r="D179" s="27"/>
      <c r="E179" s="60"/>
      <c r="F179" s="27"/>
      <c r="G179" s="80"/>
      <c r="H179" s="18"/>
      <c r="I179" s="80"/>
      <c r="J179" s="17"/>
      <c r="K179" s="80"/>
      <c r="L179" s="18"/>
      <c r="M179" s="80"/>
      <c r="N179" s="17"/>
      <c r="O179" s="80"/>
      <c r="P179" s="18"/>
      <c r="Q179" s="80"/>
      <c r="R179" s="17"/>
      <c r="S179" s="80"/>
      <c r="T179" s="18"/>
      <c r="U179" s="60"/>
      <c r="V179" s="17"/>
      <c r="W179" s="80"/>
      <c r="X179" s="18"/>
      <c r="Y179" s="80"/>
      <c r="Z179" s="17"/>
      <c r="AA179" s="34"/>
      <c r="AB179" s="60"/>
      <c r="AC179" s="17"/>
      <c r="AD179" s="60"/>
      <c r="AE179" s="17"/>
      <c r="AF179" s="17"/>
      <c r="AG179" s="60"/>
      <c r="AH179" s="18"/>
      <c r="AI179" s="60"/>
      <c r="AJ179" s="17"/>
      <c r="AK179" s="17"/>
      <c r="AL179" s="80"/>
      <c r="AM179" s="18"/>
      <c r="AN179" s="80"/>
      <c r="AO179" s="17"/>
      <c r="AP179" s="17"/>
      <c r="AQ179" s="60"/>
      <c r="AR179" s="18"/>
      <c r="AS179" s="60"/>
      <c r="AT179" s="17"/>
      <c r="AU179" s="60"/>
      <c r="AV179" s="18"/>
      <c r="AW179" s="60"/>
      <c r="AX179" s="17"/>
      <c r="AY179" s="17"/>
      <c r="AZ179" s="60"/>
      <c r="BA179" s="18"/>
      <c r="BB179" s="17"/>
      <c r="BC179" s="17"/>
      <c r="BD179" s="17"/>
      <c r="BE179" s="60"/>
      <c r="BF179" s="18"/>
      <c r="BG179" s="60"/>
      <c r="BH179" s="17"/>
      <c r="BI179" s="60"/>
      <c r="BJ179" s="18"/>
      <c r="BK179" s="60"/>
      <c r="BL179" s="17"/>
      <c r="BM179" s="60"/>
      <c r="BN179" s="17"/>
      <c r="BO179" s="80"/>
      <c r="BP179" s="17"/>
      <c r="BQ179" s="20"/>
      <c r="BR179" s="60"/>
      <c r="BS179" s="18"/>
      <c r="BT179" s="60"/>
      <c r="BU179" s="17"/>
      <c r="BV179" s="17"/>
      <c r="BW179" s="60"/>
      <c r="BX179" s="17"/>
      <c r="BY179" s="60"/>
      <c r="BZ179" s="17"/>
      <c r="CA179" s="17"/>
      <c r="CB179" s="60"/>
      <c r="CC179" s="60"/>
      <c r="CD179" s="17"/>
      <c r="CE179" s="60"/>
      <c r="CF179" s="18"/>
      <c r="CG179" s="60"/>
      <c r="CH179" s="17"/>
    </row>
    <row r="180" spans="1:86" s="29" customFormat="1" x14ac:dyDescent="0.35">
      <c r="A180" s="17"/>
      <c r="B180" s="26"/>
      <c r="C180" s="60"/>
      <c r="D180" s="27"/>
      <c r="E180" s="60"/>
      <c r="F180" s="27"/>
      <c r="G180" s="80"/>
      <c r="H180" s="18"/>
      <c r="I180" s="80"/>
      <c r="J180" s="17"/>
      <c r="K180" s="80"/>
      <c r="L180" s="18"/>
      <c r="M180" s="80"/>
      <c r="N180" s="17"/>
      <c r="O180" s="80"/>
      <c r="P180" s="18"/>
      <c r="Q180" s="80"/>
      <c r="R180" s="17"/>
      <c r="S180" s="80"/>
      <c r="T180" s="18"/>
      <c r="U180" s="60"/>
      <c r="V180" s="17"/>
      <c r="W180" s="80"/>
      <c r="X180" s="18"/>
      <c r="Y180" s="80"/>
      <c r="Z180" s="17"/>
      <c r="AA180" s="34"/>
      <c r="AB180" s="60"/>
      <c r="AC180" s="17"/>
      <c r="AD180" s="60"/>
      <c r="AE180" s="17"/>
      <c r="AF180" s="17"/>
      <c r="AG180" s="60"/>
      <c r="AH180" s="18"/>
      <c r="AI180" s="60"/>
      <c r="AJ180" s="17"/>
      <c r="AK180" s="17"/>
      <c r="AL180" s="80"/>
      <c r="AM180" s="18"/>
      <c r="AN180" s="80"/>
      <c r="AO180" s="17"/>
      <c r="AP180" s="17"/>
      <c r="AQ180" s="60"/>
      <c r="AR180" s="18"/>
      <c r="AS180" s="60"/>
      <c r="AT180" s="17"/>
      <c r="AU180" s="60"/>
      <c r="AV180" s="18"/>
      <c r="AW180" s="60"/>
      <c r="AX180" s="17"/>
      <c r="AY180" s="17"/>
      <c r="AZ180" s="60"/>
      <c r="BA180" s="18"/>
      <c r="BB180" s="17"/>
      <c r="BC180" s="17"/>
      <c r="BD180" s="17"/>
      <c r="BE180" s="60"/>
      <c r="BF180" s="18"/>
      <c r="BG180" s="60"/>
      <c r="BH180" s="17"/>
      <c r="BI180" s="60"/>
      <c r="BJ180" s="18"/>
      <c r="BK180" s="60"/>
      <c r="BL180" s="17"/>
      <c r="BM180" s="60"/>
      <c r="BN180" s="17"/>
      <c r="BO180" s="80"/>
      <c r="BP180" s="17"/>
      <c r="BQ180" s="20"/>
      <c r="BR180" s="60"/>
      <c r="BS180" s="18"/>
      <c r="BT180" s="60"/>
      <c r="BU180" s="17"/>
      <c r="BV180" s="17"/>
      <c r="BW180" s="60"/>
      <c r="BX180" s="17"/>
      <c r="BY180" s="60"/>
      <c r="BZ180" s="17"/>
      <c r="CA180" s="17"/>
      <c r="CB180" s="60"/>
      <c r="CC180" s="60"/>
      <c r="CD180" s="17"/>
      <c r="CE180" s="60"/>
      <c r="CF180" s="18"/>
      <c r="CG180" s="60"/>
      <c r="CH180" s="17"/>
    </row>
    <row r="181" spans="1:86" s="29" customFormat="1" x14ac:dyDescent="0.35">
      <c r="A181" s="17"/>
      <c r="B181" s="26"/>
      <c r="C181" s="60"/>
      <c r="D181" s="27"/>
      <c r="E181" s="60"/>
      <c r="F181" s="27"/>
      <c r="G181" s="80"/>
      <c r="H181" s="18"/>
      <c r="I181" s="80"/>
      <c r="J181" s="17"/>
      <c r="K181" s="80"/>
      <c r="L181" s="18"/>
      <c r="M181" s="80"/>
      <c r="N181" s="17"/>
      <c r="O181" s="80"/>
      <c r="P181" s="18"/>
      <c r="Q181" s="80"/>
      <c r="R181" s="17"/>
      <c r="S181" s="80"/>
      <c r="T181" s="18"/>
      <c r="U181" s="60"/>
      <c r="V181" s="17"/>
      <c r="W181" s="80"/>
      <c r="X181" s="18"/>
      <c r="Y181" s="80"/>
      <c r="Z181" s="17"/>
      <c r="AA181" s="34"/>
      <c r="AB181" s="60"/>
      <c r="AC181" s="17"/>
      <c r="AD181" s="60"/>
      <c r="AE181" s="17"/>
      <c r="AF181" s="17"/>
      <c r="AG181" s="60"/>
      <c r="AH181" s="18"/>
      <c r="AI181" s="60"/>
      <c r="AJ181" s="17"/>
      <c r="AK181" s="17"/>
      <c r="AL181" s="80"/>
      <c r="AM181" s="18"/>
      <c r="AN181" s="80"/>
      <c r="AO181" s="17"/>
      <c r="AP181" s="17"/>
      <c r="AQ181" s="60"/>
      <c r="AR181" s="18"/>
      <c r="AS181" s="60"/>
      <c r="AT181" s="17"/>
      <c r="AU181" s="60"/>
      <c r="AV181" s="18"/>
      <c r="AW181" s="60"/>
      <c r="AX181" s="17"/>
      <c r="AY181" s="17"/>
      <c r="AZ181" s="60"/>
      <c r="BA181" s="18"/>
      <c r="BB181" s="17"/>
      <c r="BC181" s="17"/>
      <c r="BD181" s="17"/>
      <c r="BE181" s="60"/>
      <c r="BF181" s="18"/>
      <c r="BG181" s="60"/>
      <c r="BH181" s="17"/>
      <c r="BI181" s="60"/>
      <c r="BJ181" s="18"/>
      <c r="BK181" s="60"/>
      <c r="BL181" s="17"/>
      <c r="BM181" s="60"/>
      <c r="BN181" s="17"/>
      <c r="BO181" s="80"/>
      <c r="BP181" s="17"/>
      <c r="BQ181" s="20"/>
      <c r="BR181" s="60"/>
      <c r="BS181" s="18"/>
      <c r="BT181" s="60"/>
      <c r="BU181" s="17"/>
      <c r="BV181" s="17"/>
      <c r="BW181" s="60"/>
      <c r="BX181" s="17"/>
      <c r="BY181" s="60"/>
      <c r="BZ181" s="17"/>
      <c r="CA181" s="17"/>
      <c r="CB181" s="60"/>
      <c r="CC181" s="60"/>
      <c r="CD181" s="17"/>
      <c r="CE181" s="60"/>
      <c r="CF181" s="18"/>
      <c r="CG181" s="60"/>
      <c r="CH181" s="17"/>
    </row>
    <row r="182" spans="1:86" s="29" customFormat="1" x14ac:dyDescent="0.35">
      <c r="A182" s="17"/>
      <c r="B182" s="26"/>
      <c r="C182" s="60"/>
      <c r="D182" s="27"/>
      <c r="E182" s="60"/>
      <c r="F182" s="27"/>
      <c r="G182" s="80"/>
      <c r="H182" s="18"/>
      <c r="I182" s="80"/>
      <c r="J182" s="17"/>
      <c r="K182" s="80"/>
      <c r="L182" s="18"/>
      <c r="M182" s="80"/>
      <c r="N182" s="17"/>
      <c r="O182" s="80"/>
      <c r="P182" s="18"/>
      <c r="Q182" s="80"/>
      <c r="R182" s="17"/>
      <c r="S182" s="80"/>
      <c r="T182" s="18"/>
      <c r="U182" s="60"/>
      <c r="V182" s="17"/>
      <c r="W182" s="80"/>
      <c r="X182" s="18"/>
      <c r="Y182" s="80"/>
      <c r="Z182" s="17"/>
      <c r="AA182" s="34"/>
      <c r="AB182" s="60"/>
      <c r="AC182" s="17"/>
      <c r="AD182" s="60"/>
      <c r="AE182" s="17"/>
      <c r="AF182" s="17"/>
      <c r="AG182" s="60"/>
      <c r="AH182" s="18"/>
      <c r="AI182" s="60"/>
      <c r="AJ182" s="17"/>
      <c r="AK182" s="17"/>
      <c r="AL182" s="80"/>
      <c r="AM182" s="18"/>
      <c r="AN182" s="80"/>
      <c r="AO182" s="17"/>
      <c r="AP182" s="17"/>
      <c r="AQ182" s="60"/>
      <c r="AR182" s="18"/>
      <c r="AS182" s="60"/>
      <c r="AT182" s="17"/>
      <c r="AU182" s="60"/>
      <c r="AV182" s="18"/>
      <c r="AW182" s="60"/>
      <c r="AX182" s="17"/>
      <c r="AY182" s="17"/>
      <c r="AZ182" s="60"/>
      <c r="BA182" s="18"/>
      <c r="BB182" s="17"/>
      <c r="BC182" s="17"/>
      <c r="BD182" s="17"/>
      <c r="BE182" s="60"/>
      <c r="BF182" s="18"/>
      <c r="BG182" s="60"/>
      <c r="BH182" s="17"/>
      <c r="BI182" s="60"/>
      <c r="BJ182" s="18"/>
      <c r="BK182" s="60"/>
      <c r="BL182" s="17"/>
      <c r="BM182" s="60"/>
      <c r="BN182" s="17"/>
      <c r="BO182" s="80"/>
      <c r="BP182" s="17"/>
      <c r="BQ182" s="20"/>
      <c r="BR182" s="60"/>
      <c r="BS182" s="18"/>
      <c r="BT182" s="60"/>
      <c r="BU182" s="17"/>
      <c r="BV182" s="17"/>
      <c r="BW182" s="60"/>
      <c r="BX182" s="17"/>
      <c r="BY182" s="60"/>
      <c r="BZ182" s="17"/>
      <c r="CA182" s="17"/>
      <c r="CB182" s="60"/>
      <c r="CC182" s="60"/>
      <c r="CD182" s="17"/>
      <c r="CE182" s="60"/>
      <c r="CF182" s="18"/>
      <c r="CG182" s="60"/>
      <c r="CH182" s="17"/>
    </row>
    <row r="183" spans="1:86" s="29" customFormat="1" x14ac:dyDescent="0.35">
      <c r="A183" s="17"/>
      <c r="B183" s="26"/>
      <c r="C183" s="60"/>
      <c r="D183" s="27"/>
      <c r="E183" s="60"/>
      <c r="F183" s="27"/>
      <c r="G183" s="80"/>
      <c r="H183" s="18"/>
      <c r="I183" s="80"/>
      <c r="J183" s="17"/>
      <c r="K183" s="80"/>
      <c r="L183" s="18"/>
      <c r="M183" s="80"/>
      <c r="N183" s="17"/>
      <c r="O183" s="80"/>
      <c r="P183" s="18"/>
      <c r="Q183" s="80"/>
      <c r="R183" s="17"/>
      <c r="S183" s="80"/>
      <c r="T183" s="18"/>
      <c r="U183" s="60"/>
      <c r="V183" s="17"/>
      <c r="W183" s="80"/>
      <c r="X183" s="18"/>
      <c r="Y183" s="80"/>
      <c r="Z183" s="17"/>
      <c r="AA183" s="34"/>
      <c r="AB183" s="60"/>
      <c r="AC183" s="17"/>
      <c r="AD183" s="60"/>
      <c r="AE183" s="17"/>
      <c r="AF183" s="17"/>
      <c r="AG183" s="60"/>
      <c r="AH183" s="18"/>
      <c r="AI183" s="60"/>
      <c r="AJ183" s="17"/>
      <c r="AK183" s="17"/>
      <c r="AL183" s="80"/>
      <c r="AM183" s="18"/>
      <c r="AN183" s="80"/>
      <c r="AO183" s="17"/>
      <c r="AP183" s="17"/>
      <c r="AQ183" s="60"/>
      <c r="AR183" s="18"/>
      <c r="AS183" s="60"/>
      <c r="AT183" s="17"/>
      <c r="AU183" s="60"/>
      <c r="AV183" s="18"/>
      <c r="AW183" s="60"/>
      <c r="AX183" s="17"/>
      <c r="AY183" s="17"/>
      <c r="AZ183" s="60"/>
      <c r="BA183" s="18"/>
      <c r="BB183" s="17"/>
      <c r="BC183" s="17"/>
      <c r="BD183" s="17"/>
      <c r="BE183" s="60"/>
      <c r="BF183" s="18"/>
      <c r="BG183" s="60"/>
      <c r="BH183" s="17"/>
      <c r="BI183" s="60"/>
      <c r="BJ183" s="18"/>
      <c r="BK183" s="60"/>
      <c r="BL183" s="17"/>
      <c r="BM183" s="60"/>
      <c r="BN183" s="17"/>
      <c r="BO183" s="80"/>
      <c r="BP183" s="17"/>
      <c r="BQ183" s="20"/>
      <c r="BR183" s="60"/>
      <c r="BS183" s="18"/>
      <c r="BT183" s="60"/>
      <c r="BU183" s="17"/>
      <c r="BV183" s="17"/>
      <c r="BW183" s="60"/>
      <c r="BX183" s="17"/>
      <c r="BY183" s="60"/>
      <c r="BZ183" s="17"/>
      <c r="CA183" s="17"/>
      <c r="CB183" s="60"/>
      <c r="CC183" s="60"/>
      <c r="CD183" s="17"/>
      <c r="CE183" s="60"/>
      <c r="CF183" s="18"/>
      <c r="CG183" s="60"/>
      <c r="CH183" s="17"/>
    </row>
    <row r="184" spans="1:86" s="29" customFormat="1" x14ac:dyDescent="0.35">
      <c r="A184" s="17"/>
      <c r="B184" s="26"/>
      <c r="C184" s="60"/>
      <c r="D184" s="27"/>
      <c r="E184" s="60"/>
      <c r="F184" s="27"/>
      <c r="G184" s="80"/>
      <c r="H184" s="18"/>
      <c r="I184" s="80"/>
      <c r="J184" s="17"/>
      <c r="K184" s="80"/>
      <c r="L184" s="18"/>
      <c r="M184" s="80"/>
      <c r="N184" s="17"/>
      <c r="O184" s="80"/>
      <c r="P184" s="18"/>
      <c r="Q184" s="80"/>
      <c r="R184" s="17"/>
      <c r="S184" s="80"/>
      <c r="T184" s="18"/>
      <c r="U184" s="60"/>
      <c r="V184" s="17"/>
      <c r="W184" s="80"/>
      <c r="X184" s="18"/>
      <c r="Y184" s="80"/>
      <c r="Z184" s="17"/>
      <c r="AA184" s="34"/>
      <c r="AB184" s="60"/>
      <c r="AC184" s="17"/>
      <c r="AD184" s="60"/>
      <c r="AE184" s="17"/>
      <c r="AF184" s="17"/>
      <c r="AG184" s="60"/>
      <c r="AH184" s="18"/>
      <c r="AI184" s="60"/>
      <c r="AJ184" s="17"/>
      <c r="AK184" s="17"/>
      <c r="AL184" s="80"/>
      <c r="AM184" s="18"/>
      <c r="AN184" s="80"/>
      <c r="AO184" s="17"/>
      <c r="AP184" s="17"/>
      <c r="AQ184" s="60"/>
      <c r="AR184" s="18"/>
      <c r="AS184" s="60"/>
      <c r="AT184" s="17"/>
      <c r="AU184" s="60"/>
      <c r="AV184" s="18"/>
      <c r="AW184" s="60"/>
      <c r="AX184" s="17"/>
      <c r="AY184" s="17"/>
      <c r="AZ184" s="60"/>
      <c r="BA184" s="18"/>
      <c r="BB184" s="17"/>
      <c r="BC184" s="17"/>
      <c r="BD184" s="17"/>
      <c r="BE184" s="60"/>
      <c r="BF184" s="18"/>
      <c r="BG184" s="60"/>
      <c r="BH184" s="17"/>
      <c r="BI184" s="60"/>
      <c r="BJ184" s="18"/>
      <c r="BK184" s="60"/>
      <c r="BL184" s="17"/>
      <c r="BM184" s="60"/>
      <c r="BN184" s="17"/>
      <c r="BO184" s="80"/>
      <c r="BP184" s="17"/>
      <c r="BQ184" s="20"/>
      <c r="BR184" s="60"/>
      <c r="BS184" s="18"/>
      <c r="BT184" s="60"/>
      <c r="BU184" s="17"/>
      <c r="BV184" s="17"/>
      <c r="BW184" s="60"/>
      <c r="BX184" s="17"/>
      <c r="BY184" s="60"/>
      <c r="BZ184" s="17"/>
      <c r="CA184" s="17"/>
      <c r="CB184" s="60"/>
      <c r="CC184" s="60"/>
      <c r="CD184" s="17"/>
      <c r="CE184" s="60"/>
      <c r="CF184" s="18"/>
      <c r="CG184" s="60"/>
      <c r="CH184" s="17"/>
    </row>
    <row r="185" spans="1:86" s="29" customFormat="1" x14ac:dyDescent="0.35">
      <c r="A185" s="17"/>
      <c r="B185" s="26"/>
      <c r="C185" s="60"/>
      <c r="D185" s="27"/>
      <c r="E185" s="60"/>
      <c r="F185" s="27"/>
      <c r="G185" s="80"/>
      <c r="H185" s="18"/>
      <c r="I185" s="80"/>
      <c r="J185" s="17"/>
      <c r="K185" s="80"/>
      <c r="L185" s="18"/>
      <c r="M185" s="80"/>
      <c r="N185" s="17"/>
      <c r="O185" s="80"/>
      <c r="P185" s="18"/>
      <c r="Q185" s="80"/>
      <c r="R185" s="17"/>
      <c r="S185" s="80"/>
      <c r="T185" s="18"/>
      <c r="U185" s="60"/>
      <c r="V185" s="17"/>
      <c r="W185" s="80"/>
      <c r="X185" s="18"/>
      <c r="Y185" s="80"/>
      <c r="Z185" s="17"/>
      <c r="AA185" s="34"/>
      <c r="AB185" s="60"/>
      <c r="AC185" s="17"/>
      <c r="AD185" s="60"/>
      <c r="AE185" s="17"/>
      <c r="AF185" s="17"/>
      <c r="AG185" s="60"/>
      <c r="AH185" s="18"/>
      <c r="AI185" s="60"/>
      <c r="AJ185" s="17"/>
      <c r="AK185" s="17"/>
      <c r="AL185" s="80"/>
      <c r="AM185" s="18"/>
      <c r="AN185" s="80"/>
      <c r="AO185" s="17"/>
      <c r="AP185" s="17"/>
      <c r="AQ185" s="60"/>
      <c r="AR185" s="18"/>
      <c r="AS185" s="60"/>
      <c r="AT185" s="17"/>
      <c r="AU185" s="60"/>
      <c r="AV185" s="18"/>
      <c r="AW185" s="60"/>
      <c r="AX185" s="17"/>
      <c r="AY185" s="17"/>
      <c r="AZ185" s="60"/>
      <c r="BA185" s="18"/>
      <c r="BB185" s="17"/>
      <c r="BC185" s="17"/>
      <c r="BD185" s="17"/>
      <c r="BE185" s="60"/>
      <c r="BF185" s="18"/>
      <c r="BG185" s="60"/>
      <c r="BH185" s="17"/>
      <c r="BI185" s="60"/>
      <c r="BJ185" s="18"/>
      <c r="BK185" s="60"/>
      <c r="BL185" s="17"/>
      <c r="BM185" s="60"/>
      <c r="BN185" s="17"/>
      <c r="BO185" s="80"/>
      <c r="BP185" s="17"/>
      <c r="BQ185" s="20"/>
      <c r="BR185" s="60"/>
      <c r="BS185" s="18"/>
      <c r="BT185" s="60"/>
      <c r="BU185" s="17"/>
      <c r="BV185" s="17"/>
      <c r="BW185" s="60"/>
      <c r="BX185" s="17"/>
      <c r="BY185" s="60"/>
      <c r="BZ185" s="17"/>
      <c r="CA185" s="17"/>
      <c r="CB185" s="60"/>
      <c r="CC185" s="60"/>
      <c r="CD185" s="17"/>
      <c r="CE185" s="60"/>
      <c r="CF185" s="18"/>
      <c r="CG185" s="60"/>
      <c r="CH185" s="17"/>
    </row>
    <row r="186" spans="1:86" s="29" customFormat="1" x14ac:dyDescent="0.35">
      <c r="A186" s="17"/>
      <c r="B186" s="26"/>
      <c r="C186" s="60"/>
      <c r="D186" s="27"/>
      <c r="E186" s="60"/>
      <c r="F186" s="27"/>
      <c r="G186" s="80"/>
      <c r="H186" s="18"/>
      <c r="I186" s="80"/>
      <c r="J186" s="17"/>
      <c r="K186" s="80"/>
      <c r="L186" s="18"/>
      <c r="M186" s="80"/>
      <c r="N186" s="17"/>
      <c r="O186" s="80"/>
      <c r="P186" s="18"/>
      <c r="Q186" s="80"/>
      <c r="R186" s="17"/>
      <c r="S186" s="80"/>
      <c r="T186" s="18"/>
      <c r="U186" s="60"/>
      <c r="V186" s="17"/>
      <c r="W186" s="80"/>
      <c r="X186" s="18"/>
      <c r="Y186" s="80"/>
      <c r="Z186" s="17"/>
      <c r="AA186" s="34"/>
      <c r="AB186" s="60"/>
      <c r="AC186" s="17"/>
      <c r="AD186" s="60"/>
      <c r="AE186" s="17"/>
      <c r="AF186" s="17"/>
      <c r="AG186" s="60"/>
      <c r="AH186" s="18"/>
      <c r="AI186" s="60"/>
      <c r="AJ186" s="17"/>
      <c r="AK186" s="17"/>
      <c r="AL186" s="80"/>
      <c r="AM186" s="18"/>
      <c r="AN186" s="80"/>
      <c r="AO186" s="17"/>
      <c r="AP186" s="17"/>
      <c r="AQ186" s="60"/>
      <c r="AR186" s="18"/>
      <c r="AS186" s="60"/>
      <c r="AT186" s="17"/>
      <c r="AU186" s="60"/>
      <c r="AV186" s="18"/>
      <c r="AW186" s="60"/>
      <c r="AX186" s="17"/>
      <c r="AY186" s="17"/>
      <c r="AZ186" s="60"/>
      <c r="BA186" s="18"/>
      <c r="BB186" s="17"/>
      <c r="BC186" s="17"/>
      <c r="BD186" s="17"/>
      <c r="BE186" s="60"/>
      <c r="BF186" s="18"/>
      <c r="BG186" s="60"/>
      <c r="BH186" s="17"/>
      <c r="BI186" s="60"/>
      <c r="BJ186" s="18"/>
      <c r="BK186" s="60"/>
      <c r="BL186" s="17"/>
      <c r="BM186" s="60"/>
      <c r="BN186" s="17"/>
      <c r="BO186" s="80"/>
      <c r="BP186" s="17"/>
      <c r="BQ186" s="20"/>
      <c r="BR186" s="60"/>
      <c r="BS186" s="18"/>
      <c r="BT186" s="60"/>
      <c r="BU186" s="17"/>
      <c r="BV186" s="17"/>
      <c r="BW186" s="60"/>
      <c r="BX186" s="17"/>
      <c r="BY186" s="60"/>
      <c r="BZ186" s="17"/>
      <c r="CA186" s="17"/>
      <c r="CB186" s="60"/>
      <c r="CC186" s="60"/>
      <c r="CD186" s="17"/>
      <c r="CE186" s="60"/>
      <c r="CF186" s="18"/>
      <c r="CG186" s="60"/>
      <c r="CH186" s="17"/>
    </row>
    <row r="187" spans="1:86" s="29" customFormat="1" x14ac:dyDescent="0.35">
      <c r="A187" s="17"/>
      <c r="B187" s="26"/>
      <c r="C187" s="60"/>
      <c r="D187" s="27"/>
      <c r="E187" s="60"/>
      <c r="F187" s="27"/>
      <c r="G187" s="80"/>
      <c r="H187" s="18"/>
      <c r="I187" s="80"/>
      <c r="J187" s="17"/>
      <c r="K187" s="80"/>
      <c r="L187" s="18"/>
      <c r="M187" s="80"/>
      <c r="N187" s="17"/>
      <c r="O187" s="80"/>
      <c r="P187" s="18"/>
      <c r="Q187" s="80"/>
      <c r="R187" s="17"/>
      <c r="S187" s="80"/>
      <c r="T187" s="18"/>
      <c r="U187" s="60"/>
      <c r="V187" s="17"/>
      <c r="W187" s="80"/>
      <c r="X187" s="18"/>
      <c r="Y187" s="80"/>
      <c r="Z187" s="17"/>
      <c r="AA187" s="34"/>
      <c r="AB187" s="60"/>
      <c r="AC187" s="17"/>
      <c r="AD187" s="60"/>
      <c r="AE187" s="17"/>
      <c r="AF187" s="17"/>
      <c r="AG187" s="60"/>
      <c r="AH187" s="18"/>
      <c r="AI187" s="60"/>
      <c r="AJ187" s="17"/>
      <c r="AK187" s="17"/>
      <c r="AL187" s="80"/>
      <c r="AM187" s="18"/>
      <c r="AN187" s="80"/>
      <c r="AO187" s="17"/>
      <c r="AP187" s="17"/>
      <c r="AQ187" s="60"/>
      <c r="AR187" s="18"/>
      <c r="AS187" s="60"/>
      <c r="AT187" s="17"/>
      <c r="AU187" s="60"/>
      <c r="AV187" s="18"/>
      <c r="AW187" s="60"/>
      <c r="AX187" s="17"/>
      <c r="AY187" s="17"/>
      <c r="AZ187" s="60"/>
      <c r="BA187" s="18"/>
      <c r="BB187" s="17"/>
      <c r="BC187" s="17"/>
      <c r="BD187" s="17"/>
      <c r="BE187" s="60"/>
      <c r="BF187" s="18"/>
      <c r="BG187" s="60"/>
      <c r="BH187" s="17"/>
      <c r="BI187" s="60"/>
      <c r="BJ187" s="18"/>
      <c r="BK187" s="60"/>
      <c r="BL187" s="17"/>
      <c r="BM187" s="60"/>
      <c r="BN187" s="17"/>
      <c r="BO187" s="80"/>
      <c r="BP187" s="17"/>
      <c r="BQ187" s="20"/>
      <c r="BR187" s="60"/>
      <c r="BS187" s="18"/>
      <c r="BT187" s="60"/>
      <c r="BU187" s="17"/>
      <c r="BV187" s="17"/>
      <c r="BW187" s="60"/>
      <c r="BX187" s="17"/>
      <c r="BY187" s="60"/>
      <c r="BZ187" s="17"/>
      <c r="CA187" s="17"/>
      <c r="CB187" s="60"/>
      <c r="CC187" s="60"/>
      <c r="CD187" s="17"/>
      <c r="CE187" s="60"/>
      <c r="CF187" s="18"/>
      <c r="CG187" s="60"/>
      <c r="CH187" s="17"/>
    </row>
    <row r="188" spans="1:86" s="29" customFormat="1" x14ac:dyDescent="0.35">
      <c r="A188" s="17"/>
      <c r="B188" s="26"/>
      <c r="C188" s="60"/>
      <c r="D188" s="27"/>
      <c r="E188" s="60"/>
      <c r="F188" s="27"/>
      <c r="G188" s="80"/>
      <c r="H188" s="18"/>
      <c r="I188" s="80"/>
      <c r="J188" s="17"/>
      <c r="K188" s="80"/>
      <c r="L188" s="18"/>
      <c r="M188" s="80"/>
      <c r="N188" s="17"/>
      <c r="O188" s="80"/>
      <c r="P188" s="18"/>
      <c r="Q188" s="80"/>
      <c r="R188" s="17"/>
      <c r="S188" s="80"/>
      <c r="T188" s="18"/>
      <c r="U188" s="60"/>
      <c r="V188" s="17"/>
      <c r="W188" s="80"/>
      <c r="X188" s="18"/>
      <c r="Y188" s="80"/>
      <c r="Z188" s="17"/>
      <c r="AA188" s="34"/>
      <c r="AB188" s="60"/>
      <c r="AC188" s="17"/>
      <c r="AD188" s="60"/>
      <c r="AE188" s="17"/>
      <c r="AF188" s="17"/>
      <c r="AG188" s="60"/>
      <c r="AH188" s="18"/>
      <c r="AI188" s="60"/>
      <c r="AJ188" s="17"/>
      <c r="AK188" s="17"/>
      <c r="AL188" s="80"/>
      <c r="AM188" s="18"/>
      <c r="AN188" s="80"/>
      <c r="AO188" s="17"/>
      <c r="AP188" s="17"/>
      <c r="AQ188" s="60"/>
      <c r="AR188" s="18"/>
      <c r="AS188" s="60"/>
      <c r="AT188" s="17"/>
      <c r="AU188" s="60"/>
      <c r="AV188" s="18"/>
      <c r="AW188" s="60"/>
      <c r="AX188" s="17"/>
      <c r="AY188" s="17"/>
      <c r="AZ188" s="60"/>
      <c r="BA188" s="18"/>
      <c r="BB188" s="17"/>
      <c r="BC188" s="17"/>
      <c r="BD188" s="17"/>
      <c r="BE188" s="60"/>
      <c r="BF188" s="18"/>
      <c r="BG188" s="60"/>
      <c r="BH188" s="17"/>
      <c r="BI188" s="60"/>
      <c r="BJ188" s="18"/>
      <c r="BK188" s="60"/>
      <c r="BL188" s="17"/>
      <c r="BM188" s="60"/>
      <c r="BN188" s="17"/>
      <c r="BO188" s="80"/>
      <c r="BP188" s="17"/>
      <c r="BQ188" s="20"/>
      <c r="BR188" s="60"/>
      <c r="BS188" s="18"/>
      <c r="BT188" s="60"/>
      <c r="BU188" s="17"/>
      <c r="BV188" s="17"/>
      <c r="BW188" s="60"/>
      <c r="BX188" s="17"/>
      <c r="BY188" s="60"/>
      <c r="BZ188" s="17"/>
      <c r="CA188" s="17"/>
      <c r="CB188" s="60"/>
      <c r="CC188" s="60"/>
      <c r="CD188" s="17"/>
      <c r="CE188" s="60"/>
      <c r="CF188" s="18"/>
      <c r="CG188" s="60"/>
      <c r="CH188" s="17"/>
    </row>
    <row r="189" spans="1:86" s="29" customFormat="1" x14ac:dyDescent="0.35">
      <c r="A189" s="17"/>
      <c r="B189" s="26"/>
      <c r="C189" s="60"/>
      <c r="D189" s="27"/>
      <c r="E189" s="60"/>
      <c r="F189" s="27"/>
      <c r="G189" s="80"/>
      <c r="H189" s="18"/>
      <c r="I189" s="80"/>
      <c r="J189" s="17"/>
      <c r="K189" s="80"/>
      <c r="L189" s="18"/>
      <c r="M189" s="80"/>
      <c r="N189" s="17"/>
      <c r="O189" s="80"/>
      <c r="P189" s="18"/>
      <c r="Q189" s="80"/>
      <c r="R189" s="17"/>
      <c r="S189" s="80"/>
      <c r="T189" s="18"/>
      <c r="U189" s="60"/>
      <c r="V189" s="17"/>
      <c r="W189" s="80"/>
      <c r="X189" s="18"/>
      <c r="Y189" s="80"/>
      <c r="Z189" s="17"/>
      <c r="AA189" s="34"/>
      <c r="AB189" s="60"/>
      <c r="AC189" s="17"/>
      <c r="AD189" s="60"/>
      <c r="AE189" s="17"/>
      <c r="AF189" s="17"/>
      <c r="AG189" s="60"/>
      <c r="AH189" s="18"/>
      <c r="AI189" s="60"/>
      <c r="AJ189" s="17"/>
      <c r="AK189" s="17"/>
      <c r="AL189" s="80"/>
      <c r="AM189" s="18"/>
      <c r="AN189" s="80"/>
      <c r="AO189" s="17"/>
      <c r="AP189" s="17"/>
      <c r="AQ189" s="60"/>
      <c r="AR189" s="18"/>
      <c r="AS189" s="60"/>
      <c r="AT189" s="17"/>
      <c r="AU189" s="60"/>
      <c r="AV189" s="18"/>
      <c r="AW189" s="60"/>
      <c r="AX189" s="17"/>
      <c r="AY189" s="17"/>
      <c r="AZ189" s="60"/>
      <c r="BA189" s="18"/>
      <c r="BB189" s="17"/>
      <c r="BC189" s="17"/>
      <c r="BD189" s="17"/>
      <c r="BE189" s="60"/>
      <c r="BF189" s="18"/>
      <c r="BG189" s="60"/>
      <c r="BH189" s="17"/>
      <c r="BI189" s="60"/>
      <c r="BJ189" s="18"/>
      <c r="BK189" s="60"/>
      <c r="BL189" s="17"/>
      <c r="BM189" s="60"/>
      <c r="BN189" s="17"/>
      <c r="BO189" s="80"/>
      <c r="BP189" s="17"/>
      <c r="BQ189" s="20"/>
      <c r="BR189" s="60"/>
      <c r="BS189" s="18"/>
      <c r="BT189" s="60"/>
      <c r="BU189" s="17"/>
      <c r="BV189" s="17"/>
      <c r="BW189" s="60"/>
      <c r="BX189" s="17"/>
      <c r="BY189" s="60"/>
      <c r="BZ189" s="17"/>
      <c r="CA189" s="17"/>
      <c r="CB189" s="60"/>
      <c r="CC189" s="60"/>
      <c r="CD189" s="17"/>
      <c r="CE189" s="60"/>
      <c r="CF189" s="18"/>
      <c r="CG189" s="60"/>
      <c r="CH189" s="17"/>
    </row>
    <row r="190" spans="1:86" s="29" customFormat="1" x14ac:dyDescent="0.35">
      <c r="A190" s="17"/>
      <c r="B190" s="26"/>
      <c r="C190" s="60"/>
      <c r="D190" s="27"/>
      <c r="E190" s="60"/>
      <c r="F190" s="27"/>
      <c r="G190" s="80"/>
      <c r="H190" s="18"/>
      <c r="I190" s="80"/>
      <c r="J190" s="17"/>
      <c r="K190" s="80"/>
      <c r="L190" s="18"/>
      <c r="M190" s="80"/>
      <c r="N190" s="17"/>
      <c r="O190" s="80"/>
      <c r="P190" s="18"/>
      <c r="Q190" s="80"/>
      <c r="R190" s="17"/>
      <c r="S190" s="80"/>
      <c r="T190" s="18"/>
      <c r="U190" s="60"/>
      <c r="V190" s="17"/>
      <c r="W190" s="80"/>
      <c r="X190" s="18"/>
      <c r="Y190" s="80"/>
      <c r="Z190" s="17"/>
      <c r="AA190" s="34"/>
      <c r="AB190" s="60"/>
      <c r="AC190" s="17"/>
      <c r="AD190" s="60"/>
      <c r="AE190" s="17"/>
      <c r="AF190" s="17"/>
      <c r="AG190" s="60"/>
      <c r="AH190" s="18"/>
      <c r="AI190" s="60"/>
      <c r="AJ190" s="17"/>
      <c r="AK190" s="17"/>
      <c r="AL190" s="80"/>
      <c r="AM190" s="18"/>
      <c r="AN190" s="80"/>
      <c r="AO190" s="17"/>
      <c r="AP190" s="17"/>
      <c r="AQ190" s="60"/>
      <c r="AR190" s="18"/>
      <c r="AS190" s="60"/>
      <c r="AT190" s="17"/>
      <c r="AU190" s="60"/>
      <c r="AV190" s="18"/>
      <c r="AW190" s="60"/>
      <c r="AX190" s="17"/>
      <c r="AY190" s="17"/>
      <c r="AZ190" s="60"/>
      <c r="BA190" s="18"/>
      <c r="BB190" s="17"/>
      <c r="BC190" s="17"/>
      <c r="BD190" s="17"/>
      <c r="BE190" s="60"/>
      <c r="BF190" s="18"/>
      <c r="BG190" s="60"/>
      <c r="BH190" s="17"/>
      <c r="BI190" s="60"/>
      <c r="BJ190" s="18"/>
      <c r="BK190" s="60"/>
      <c r="BL190" s="17"/>
      <c r="BM190" s="60"/>
      <c r="BN190" s="17"/>
      <c r="BO190" s="80"/>
      <c r="BP190" s="17"/>
      <c r="BQ190" s="20"/>
      <c r="BR190" s="60"/>
      <c r="BS190" s="18"/>
      <c r="BT190" s="60"/>
      <c r="BU190" s="17"/>
      <c r="BV190" s="17"/>
      <c r="BW190" s="60"/>
      <c r="BX190" s="17"/>
      <c r="BY190" s="60"/>
      <c r="BZ190" s="17"/>
      <c r="CA190" s="17"/>
      <c r="CB190" s="60"/>
      <c r="CC190" s="60"/>
      <c r="CD190" s="17"/>
      <c r="CE190" s="60"/>
      <c r="CF190" s="18"/>
      <c r="CG190" s="60"/>
      <c r="CH190" s="17"/>
    </row>
    <row r="191" spans="1:86" s="29" customFormat="1" x14ac:dyDescent="0.35">
      <c r="A191" s="17"/>
      <c r="B191" s="26"/>
      <c r="C191" s="60"/>
      <c r="D191" s="27"/>
      <c r="E191" s="60"/>
      <c r="F191" s="27"/>
      <c r="G191" s="80"/>
      <c r="H191" s="18"/>
      <c r="I191" s="80"/>
      <c r="J191" s="17"/>
      <c r="K191" s="80"/>
      <c r="L191" s="18"/>
      <c r="M191" s="80"/>
      <c r="N191" s="17"/>
      <c r="O191" s="80"/>
      <c r="P191" s="18"/>
      <c r="Q191" s="80"/>
      <c r="R191" s="17"/>
      <c r="S191" s="80"/>
      <c r="T191" s="18"/>
      <c r="U191" s="60"/>
      <c r="V191" s="17"/>
      <c r="W191" s="80"/>
      <c r="X191" s="18"/>
      <c r="Y191" s="80"/>
      <c r="Z191" s="17"/>
      <c r="AA191" s="34"/>
      <c r="AB191" s="60"/>
      <c r="AC191" s="17"/>
      <c r="AD191" s="60"/>
      <c r="AE191" s="17"/>
      <c r="AF191" s="17"/>
      <c r="AG191" s="60"/>
      <c r="AH191" s="18"/>
      <c r="AI191" s="60"/>
      <c r="AJ191" s="17"/>
      <c r="AK191" s="17"/>
      <c r="AL191" s="80"/>
      <c r="AM191" s="18"/>
      <c r="AN191" s="80"/>
      <c r="AO191" s="17"/>
      <c r="AP191" s="17"/>
      <c r="AQ191" s="60"/>
      <c r="AR191" s="18"/>
      <c r="AS191" s="60"/>
      <c r="AT191" s="17"/>
      <c r="AU191" s="60"/>
      <c r="AV191" s="18"/>
      <c r="AW191" s="60"/>
      <c r="AX191" s="17"/>
      <c r="AY191" s="17"/>
      <c r="AZ191" s="60"/>
      <c r="BA191" s="18"/>
      <c r="BB191" s="17"/>
      <c r="BC191" s="17"/>
      <c r="BD191" s="17"/>
      <c r="BE191" s="60"/>
      <c r="BF191" s="18"/>
      <c r="BG191" s="60"/>
      <c r="BH191" s="17"/>
      <c r="BI191" s="60"/>
      <c r="BJ191" s="18"/>
      <c r="BK191" s="60"/>
      <c r="BL191" s="17"/>
      <c r="BM191" s="60"/>
      <c r="BN191" s="17"/>
      <c r="BO191" s="80"/>
      <c r="BP191" s="17"/>
      <c r="BQ191" s="20"/>
      <c r="BR191" s="60"/>
      <c r="BS191" s="18"/>
      <c r="BT191" s="60"/>
      <c r="BU191" s="17"/>
      <c r="BV191" s="17"/>
      <c r="BW191" s="60"/>
      <c r="BX191" s="17"/>
      <c r="BY191" s="60"/>
      <c r="BZ191" s="17"/>
      <c r="CA191" s="17"/>
      <c r="CB191" s="60"/>
      <c r="CC191" s="60"/>
      <c r="CD191" s="17"/>
      <c r="CE191" s="60"/>
      <c r="CF191" s="18"/>
      <c r="CG191" s="60"/>
      <c r="CH191" s="17"/>
    </row>
    <row r="192" spans="1:86" s="29" customFormat="1" x14ac:dyDescent="0.35">
      <c r="A192" s="17"/>
      <c r="B192" s="26"/>
      <c r="C192" s="60"/>
      <c r="D192" s="27"/>
      <c r="E192" s="60"/>
      <c r="F192" s="27"/>
      <c r="G192" s="80"/>
      <c r="H192" s="18"/>
      <c r="I192" s="80"/>
      <c r="J192" s="17"/>
      <c r="K192" s="80"/>
      <c r="L192" s="18"/>
      <c r="M192" s="80"/>
      <c r="N192" s="17"/>
      <c r="O192" s="80"/>
      <c r="P192" s="18"/>
      <c r="Q192" s="80"/>
      <c r="R192" s="17"/>
      <c r="S192" s="80"/>
      <c r="T192" s="18"/>
      <c r="U192" s="60"/>
      <c r="V192" s="17"/>
      <c r="W192" s="80"/>
      <c r="X192" s="18"/>
      <c r="Y192" s="80"/>
      <c r="Z192" s="17"/>
      <c r="AA192" s="34"/>
      <c r="AB192" s="60"/>
      <c r="AC192" s="17"/>
      <c r="AD192" s="60"/>
      <c r="AE192" s="17"/>
      <c r="AF192" s="17"/>
      <c r="AG192" s="60"/>
      <c r="AH192" s="18"/>
      <c r="AI192" s="60"/>
      <c r="AJ192" s="17"/>
      <c r="AK192" s="17"/>
      <c r="AL192" s="80"/>
      <c r="AM192" s="18"/>
      <c r="AN192" s="80"/>
      <c r="AO192" s="17"/>
      <c r="AP192" s="17"/>
      <c r="AQ192" s="60"/>
      <c r="AR192" s="18"/>
      <c r="AS192" s="60"/>
      <c r="AT192" s="17"/>
      <c r="AU192" s="60"/>
      <c r="AV192" s="18"/>
      <c r="AW192" s="60"/>
      <c r="AX192" s="17"/>
      <c r="AY192" s="17"/>
      <c r="AZ192" s="60"/>
      <c r="BA192" s="18"/>
      <c r="BB192" s="17"/>
      <c r="BC192" s="17"/>
      <c r="BD192" s="17"/>
      <c r="BE192" s="60"/>
      <c r="BF192" s="18"/>
      <c r="BG192" s="60"/>
      <c r="BH192" s="17"/>
      <c r="BI192" s="60"/>
      <c r="BJ192" s="18"/>
      <c r="BK192" s="60"/>
      <c r="BL192" s="17"/>
      <c r="BM192" s="60"/>
      <c r="BN192" s="17"/>
      <c r="BO192" s="80"/>
      <c r="BP192" s="17"/>
      <c r="BQ192" s="20"/>
      <c r="BR192" s="60"/>
      <c r="BS192" s="18"/>
      <c r="BT192" s="60"/>
      <c r="BU192" s="17"/>
      <c r="BV192" s="17"/>
      <c r="BW192" s="60"/>
      <c r="BX192" s="17"/>
      <c r="BY192" s="60"/>
      <c r="BZ192" s="17"/>
      <c r="CA192" s="17"/>
      <c r="CB192" s="60"/>
      <c r="CC192" s="60"/>
      <c r="CD192" s="17"/>
      <c r="CE192" s="60"/>
      <c r="CF192" s="18"/>
      <c r="CG192" s="60"/>
      <c r="CH192" s="17"/>
    </row>
    <row r="193" spans="1:86" s="29" customFormat="1" x14ac:dyDescent="0.35">
      <c r="A193" s="17"/>
      <c r="B193" s="26"/>
      <c r="C193" s="60"/>
      <c r="D193" s="27"/>
      <c r="E193" s="60"/>
      <c r="F193" s="27"/>
      <c r="G193" s="80"/>
      <c r="H193" s="18"/>
      <c r="I193" s="80"/>
      <c r="J193" s="17"/>
      <c r="K193" s="80"/>
      <c r="L193" s="18"/>
      <c r="M193" s="80"/>
      <c r="N193" s="17"/>
      <c r="O193" s="80"/>
      <c r="P193" s="18"/>
      <c r="Q193" s="80"/>
      <c r="R193" s="17"/>
      <c r="S193" s="80"/>
      <c r="T193" s="18"/>
      <c r="U193" s="60"/>
      <c r="V193" s="17"/>
      <c r="W193" s="80"/>
      <c r="X193" s="18"/>
      <c r="Y193" s="80"/>
      <c r="Z193" s="17"/>
      <c r="AA193" s="34"/>
      <c r="AB193" s="60"/>
      <c r="AC193" s="17"/>
      <c r="AD193" s="60"/>
      <c r="AE193" s="17"/>
      <c r="AF193" s="17"/>
      <c r="AG193" s="60"/>
      <c r="AH193" s="18"/>
      <c r="AI193" s="60"/>
      <c r="AJ193" s="17"/>
      <c r="AK193" s="17"/>
      <c r="AL193" s="80"/>
      <c r="AM193" s="18"/>
      <c r="AN193" s="80"/>
      <c r="AO193" s="17"/>
      <c r="AP193" s="17"/>
      <c r="AQ193" s="60"/>
      <c r="AR193" s="18"/>
      <c r="AS193" s="60"/>
      <c r="AT193" s="17"/>
      <c r="AU193" s="60"/>
      <c r="AV193" s="18"/>
      <c r="AW193" s="60"/>
      <c r="AX193" s="17"/>
      <c r="AY193" s="17"/>
      <c r="AZ193" s="60"/>
      <c r="BA193" s="18"/>
      <c r="BB193" s="17"/>
      <c r="BC193" s="17"/>
      <c r="BD193" s="17"/>
      <c r="BE193" s="60"/>
      <c r="BF193" s="18"/>
      <c r="BG193" s="60"/>
      <c r="BH193" s="17"/>
      <c r="BI193" s="60"/>
      <c r="BJ193" s="18"/>
      <c r="BK193" s="60"/>
      <c r="BL193" s="17"/>
      <c r="BM193" s="60"/>
      <c r="BN193" s="17"/>
      <c r="BO193" s="80"/>
      <c r="BP193" s="17"/>
      <c r="BQ193" s="20"/>
      <c r="BR193" s="60"/>
      <c r="BS193" s="18"/>
      <c r="BT193" s="60"/>
      <c r="BU193" s="17"/>
      <c r="BV193" s="17"/>
      <c r="BW193" s="60"/>
      <c r="BX193" s="17"/>
      <c r="BY193" s="60"/>
      <c r="BZ193" s="17"/>
      <c r="CA193" s="17"/>
      <c r="CB193" s="60"/>
      <c r="CC193" s="60"/>
      <c r="CD193" s="17"/>
      <c r="CE193" s="60"/>
      <c r="CF193" s="18"/>
      <c r="CG193" s="60"/>
      <c r="CH193" s="17"/>
    </row>
    <row r="194" spans="1:86" s="29" customFormat="1" x14ac:dyDescent="0.35">
      <c r="A194" s="17"/>
      <c r="B194" s="26"/>
      <c r="C194" s="60"/>
      <c r="D194" s="27"/>
      <c r="E194" s="60"/>
      <c r="F194" s="27"/>
      <c r="G194" s="80"/>
      <c r="H194" s="18"/>
      <c r="I194" s="80"/>
      <c r="J194" s="17"/>
      <c r="K194" s="80"/>
      <c r="L194" s="18"/>
      <c r="M194" s="80"/>
      <c r="N194" s="17"/>
      <c r="O194" s="80"/>
      <c r="P194" s="18"/>
      <c r="Q194" s="80"/>
      <c r="R194" s="17"/>
      <c r="S194" s="80"/>
      <c r="T194" s="18"/>
      <c r="U194" s="60"/>
      <c r="V194" s="17"/>
      <c r="W194" s="80"/>
      <c r="X194" s="18"/>
      <c r="Y194" s="80"/>
      <c r="Z194" s="17"/>
      <c r="AA194" s="34"/>
      <c r="AB194" s="60"/>
      <c r="AC194" s="17"/>
      <c r="AD194" s="60"/>
      <c r="AE194" s="17"/>
      <c r="AF194" s="17"/>
      <c r="AG194" s="60"/>
      <c r="AH194" s="18"/>
      <c r="AI194" s="60"/>
      <c r="AJ194" s="17"/>
      <c r="AK194" s="17"/>
      <c r="AL194" s="80"/>
      <c r="AM194" s="18"/>
      <c r="AN194" s="80"/>
      <c r="AO194" s="17"/>
      <c r="AP194" s="17"/>
      <c r="AQ194" s="60"/>
      <c r="AR194" s="18"/>
      <c r="AS194" s="60"/>
      <c r="AT194" s="17"/>
      <c r="AU194" s="60"/>
      <c r="AV194" s="18"/>
      <c r="AW194" s="60"/>
      <c r="AX194" s="17"/>
      <c r="AY194" s="17"/>
      <c r="AZ194" s="60"/>
      <c r="BA194" s="18"/>
      <c r="BB194" s="17"/>
      <c r="BC194" s="17"/>
      <c r="BD194" s="17"/>
      <c r="BE194" s="60"/>
      <c r="BF194" s="18"/>
      <c r="BG194" s="60"/>
      <c r="BH194" s="17"/>
      <c r="BI194" s="60"/>
      <c r="BJ194" s="18"/>
      <c r="BK194" s="60"/>
      <c r="BL194" s="17"/>
      <c r="BM194" s="60"/>
      <c r="BN194" s="17"/>
      <c r="BO194" s="80"/>
      <c r="BP194" s="17"/>
      <c r="BQ194" s="20"/>
      <c r="BR194" s="60"/>
      <c r="BS194" s="18"/>
      <c r="BT194" s="60"/>
      <c r="BU194" s="17"/>
      <c r="BV194" s="17"/>
      <c r="BW194" s="60"/>
      <c r="BX194" s="17"/>
      <c r="BY194" s="60"/>
      <c r="BZ194" s="17"/>
      <c r="CA194" s="17"/>
      <c r="CB194" s="60"/>
      <c r="CC194" s="60"/>
      <c r="CD194" s="17"/>
      <c r="CE194" s="60"/>
      <c r="CF194" s="18"/>
      <c r="CG194" s="60"/>
      <c r="CH194" s="17"/>
    </row>
    <row r="195" spans="1:86" s="29" customFormat="1" x14ac:dyDescent="0.35">
      <c r="A195" s="17"/>
      <c r="B195" s="26"/>
      <c r="C195" s="60"/>
      <c r="D195" s="27"/>
      <c r="E195" s="60"/>
      <c r="F195" s="27"/>
      <c r="G195" s="80"/>
      <c r="H195" s="18"/>
      <c r="I195" s="80"/>
      <c r="J195" s="17"/>
      <c r="K195" s="80"/>
      <c r="L195" s="18"/>
      <c r="M195" s="80"/>
      <c r="N195" s="17"/>
      <c r="O195" s="80"/>
      <c r="P195" s="18"/>
      <c r="Q195" s="80"/>
      <c r="R195" s="17"/>
      <c r="S195" s="80"/>
      <c r="T195" s="18"/>
      <c r="U195" s="60"/>
      <c r="V195" s="17"/>
      <c r="W195" s="80"/>
      <c r="X195" s="18"/>
      <c r="Y195" s="80"/>
      <c r="Z195" s="17"/>
      <c r="AA195" s="34"/>
      <c r="AB195" s="60"/>
      <c r="AC195" s="17"/>
      <c r="AD195" s="60"/>
      <c r="AE195" s="17"/>
      <c r="AF195" s="17"/>
      <c r="AG195" s="60"/>
      <c r="AH195" s="18"/>
      <c r="AI195" s="60"/>
      <c r="AJ195" s="17"/>
      <c r="AK195" s="17"/>
      <c r="AL195" s="80"/>
      <c r="AM195" s="18"/>
      <c r="AN195" s="80"/>
      <c r="AO195" s="17"/>
      <c r="AP195" s="17"/>
      <c r="AQ195" s="60"/>
      <c r="AR195" s="18"/>
      <c r="AS195" s="60"/>
      <c r="AT195" s="17"/>
      <c r="AU195" s="60"/>
      <c r="AV195" s="18"/>
      <c r="AW195" s="60"/>
      <c r="AX195" s="17"/>
      <c r="AY195" s="17"/>
      <c r="AZ195" s="60"/>
      <c r="BA195" s="18"/>
      <c r="BB195" s="17"/>
      <c r="BC195" s="17"/>
      <c r="BD195" s="17"/>
      <c r="BE195" s="60"/>
      <c r="BF195" s="18"/>
      <c r="BG195" s="60"/>
      <c r="BH195" s="17"/>
      <c r="BI195" s="60"/>
      <c r="BJ195" s="18"/>
      <c r="BK195" s="60"/>
      <c r="BL195" s="17"/>
      <c r="BM195" s="60"/>
      <c r="BN195" s="17"/>
      <c r="BO195" s="80"/>
      <c r="BP195" s="17"/>
      <c r="BQ195" s="20"/>
      <c r="BR195" s="60"/>
      <c r="BS195" s="18"/>
      <c r="BT195" s="60"/>
      <c r="BU195" s="17"/>
      <c r="BV195" s="17"/>
      <c r="BW195" s="60"/>
      <c r="BX195" s="17"/>
      <c r="BY195" s="60"/>
      <c r="BZ195" s="17"/>
      <c r="CA195" s="17"/>
      <c r="CB195" s="60"/>
      <c r="CC195" s="60"/>
      <c r="CD195" s="17"/>
      <c r="CE195" s="60"/>
      <c r="CF195" s="18"/>
      <c r="CG195" s="60"/>
      <c r="CH195" s="17"/>
    </row>
    <row r="196" spans="1:86" s="29" customFormat="1" x14ac:dyDescent="0.35">
      <c r="A196" s="17"/>
      <c r="B196" s="26"/>
      <c r="C196" s="60"/>
      <c r="D196" s="27"/>
      <c r="E196" s="60"/>
      <c r="F196" s="27"/>
      <c r="G196" s="80"/>
      <c r="H196" s="18"/>
      <c r="I196" s="80"/>
      <c r="J196" s="17"/>
      <c r="K196" s="80"/>
      <c r="L196" s="18"/>
      <c r="M196" s="80"/>
      <c r="N196" s="17"/>
      <c r="O196" s="80"/>
      <c r="P196" s="18"/>
      <c r="Q196" s="80"/>
      <c r="R196" s="17"/>
      <c r="S196" s="80"/>
      <c r="T196" s="18"/>
      <c r="U196" s="60"/>
      <c r="V196" s="17"/>
      <c r="W196" s="80"/>
      <c r="X196" s="18"/>
      <c r="Y196" s="80"/>
      <c r="Z196" s="17"/>
      <c r="AA196" s="34"/>
      <c r="AB196" s="60"/>
      <c r="AC196" s="17"/>
      <c r="AD196" s="60"/>
      <c r="AE196" s="17"/>
      <c r="AF196" s="17"/>
      <c r="AG196" s="60"/>
      <c r="AH196" s="18"/>
      <c r="AI196" s="60"/>
      <c r="AJ196" s="17"/>
      <c r="AK196" s="17"/>
      <c r="AL196" s="80"/>
      <c r="AM196" s="18"/>
      <c r="AN196" s="80"/>
      <c r="AO196" s="17"/>
      <c r="AP196" s="17"/>
      <c r="AQ196" s="60"/>
      <c r="AR196" s="18"/>
      <c r="AS196" s="60"/>
      <c r="AT196" s="17"/>
      <c r="AU196" s="60"/>
      <c r="AV196" s="18"/>
      <c r="AW196" s="60"/>
      <c r="AX196" s="17"/>
      <c r="AY196" s="17"/>
      <c r="AZ196" s="60"/>
      <c r="BA196" s="18"/>
      <c r="BB196" s="17"/>
      <c r="BC196" s="17"/>
      <c r="BD196" s="17"/>
      <c r="BE196" s="60"/>
      <c r="BF196" s="18"/>
      <c r="BG196" s="60"/>
      <c r="BH196" s="17"/>
      <c r="BI196" s="60"/>
      <c r="BJ196" s="18"/>
      <c r="BK196" s="60"/>
      <c r="BL196" s="17"/>
      <c r="BM196" s="60"/>
      <c r="BN196" s="17"/>
      <c r="BO196" s="80"/>
      <c r="BP196" s="17"/>
      <c r="BQ196" s="20"/>
      <c r="BR196" s="60"/>
      <c r="BS196" s="18"/>
      <c r="BT196" s="60"/>
      <c r="BU196" s="17"/>
      <c r="BV196" s="17"/>
      <c r="BW196" s="60"/>
      <c r="BX196" s="17"/>
      <c r="BY196" s="60"/>
      <c r="BZ196" s="17"/>
      <c r="CA196" s="17"/>
      <c r="CB196" s="60"/>
      <c r="CC196" s="60"/>
      <c r="CD196" s="17"/>
      <c r="CE196" s="60"/>
      <c r="CF196" s="18"/>
      <c r="CG196" s="60"/>
      <c r="CH196" s="17"/>
    </row>
    <row r="197" spans="1:86" s="29" customFormat="1" x14ac:dyDescent="0.35">
      <c r="A197" s="17"/>
      <c r="B197" s="26"/>
      <c r="C197" s="60"/>
      <c r="D197" s="27"/>
      <c r="E197" s="60"/>
      <c r="F197" s="27"/>
      <c r="G197" s="80"/>
      <c r="H197" s="18"/>
      <c r="I197" s="80"/>
      <c r="J197" s="17"/>
      <c r="K197" s="80"/>
      <c r="L197" s="18"/>
      <c r="M197" s="80"/>
      <c r="N197" s="17"/>
      <c r="O197" s="80"/>
      <c r="P197" s="18"/>
      <c r="Q197" s="80"/>
      <c r="R197" s="17"/>
      <c r="S197" s="80"/>
      <c r="T197" s="18"/>
      <c r="U197" s="60"/>
      <c r="V197" s="17"/>
      <c r="W197" s="80"/>
      <c r="X197" s="18"/>
      <c r="Y197" s="80"/>
      <c r="Z197" s="17"/>
      <c r="AA197" s="34"/>
      <c r="AB197" s="60"/>
      <c r="AC197" s="17"/>
      <c r="AD197" s="60"/>
      <c r="AE197" s="17"/>
      <c r="AF197" s="17"/>
      <c r="AG197" s="60"/>
      <c r="AH197" s="18"/>
      <c r="AI197" s="60"/>
      <c r="AJ197" s="17"/>
      <c r="AK197" s="17"/>
      <c r="AL197" s="80"/>
      <c r="AM197" s="18"/>
      <c r="AN197" s="80"/>
      <c r="AO197" s="17"/>
      <c r="AP197" s="17"/>
      <c r="AQ197" s="60"/>
      <c r="AR197" s="18"/>
      <c r="AS197" s="60"/>
      <c r="AT197" s="17"/>
      <c r="AU197" s="60"/>
      <c r="AV197" s="18"/>
      <c r="AW197" s="60"/>
      <c r="AX197" s="17"/>
      <c r="AY197" s="17"/>
      <c r="AZ197" s="60"/>
      <c r="BA197" s="18"/>
      <c r="BB197" s="17"/>
      <c r="BC197" s="17"/>
      <c r="BD197" s="17"/>
      <c r="BE197" s="60"/>
      <c r="BF197" s="18"/>
      <c r="BG197" s="60"/>
      <c r="BH197" s="17"/>
      <c r="BI197" s="60"/>
      <c r="BJ197" s="18"/>
      <c r="BK197" s="60"/>
      <c r="BL197" s="17"/>
      <c r="BM197" s="60"/>
      <c r="BN197" s="17"/>
      <c r="BO197" s="80"/>
      <c r="BP197" s="17"/>
      <c r="BQ197" s="20"/>
      <c r="BR197" s="60"/>
      <c r="BS197" s="18"/>
      <c r="BT197" s="60"/>
      <c r="BU197" s="17"/>
      <c r="BV197" s="17"/>
      <c r="BW197" s="60"/>
      <c r="BX197" s="17"/>
      <c r="BY197" s="60"/>
      <c r="BZ197" s="17"/>
      <c r="CA197" s="17"/>
      <c r="CB197" s="60"/>
      <c r="CC197" s="60"/>
      <c r="CD197" s="17"/>
      <c r="CE197" s="60"/>
      <c r="CF197" s="18"/>
      <c r="CG197" s="60"/>
      <c r="CH197" s="17"/>
    </row>
    <row r="198" spans="1:86" s="29" customFormat="1" x14ac:dyDescent="0.35">
      <c r="A198" s="17"/>
      <c r="B198" s="26"/>
      <c r="C198" s="60"/>
      <c r="D198" s="27"/>
      <c r="E198" s="60"/>
      <c r="F198" s="27"/>
      <c r="G198" s="80"/>
      <c r="H198" s="18"/>
      <c r="I198" s="80"/>
      <c r="J198" s="17"/>
      <c r="K198" s="80"/>
      <c r="L198" s="18"/>
      <c r="M198" s="80"/>
      <c r="N198" s="17"/>
      <c r="O198" s="80"/>
      <c r="P198" s="18"/>
      <c r="Q198" s="80"/>
      <c r="R198" s="17"/>
      <c r="S198" s="80"/>
      <c r="T198" s="18"/>
      <c r="U198" s="60"/>
      <c r="V198" s="17"/>
      <c r="W198" s="80"/>
      <c r="X198" s="18"/>
      <c r="Y198" s="80"/>
      <c r="Z198" s="17"/>
      <c r="AA198" s="34"/>
      <c r="AB198" s="60"/>
      <c r="AC198" s="17"/>
      <c r="AD198" s="60"/>
      <c r="AE198" s="17"/>
      <c r="AF198" s="17"/>
      <c r="AG198" s="60"/>
      <c r="AH198" s="18"/>
      <c r="AI198" s="60"/>
      <c r="AJ198" s="17"/>
      <c r="AK198" s="17"/>
      <c r="AL198" s="80"/>
      <c r="AM198" s="18"/>
      <c r="AN198" s="80"/>
      <c r="AO198" s="17"/>
      <c r="AP198" s="17"/>
      <c r="AQ198" s="60"/>
      <c r="AR198" s="18"/>
      <c r="AS198" s="60"/>
      <c r="AT198" s="17"/>
      <c r="AU198" s="60"/>
      <c r="AV198" s="18"/>
      <c r="AW198" s="60"/>
      <c r="AX198" s="17"/>
      <c r="AY198" s="17"/>
      <c r="AZ198" s="60"/>
      <c r="BA198" s="18"/>
      <c r="BB198" s="17"/>
      <c r="BC198" s="17"/>
      <c r="BD198" s="17"/>
      <c r="BE198" s="60"/>
      <c r="BF198" s="18"/>
      <c r="BG198" s="60"/>
      <c r="BH198" s="17"/>
      <c r="BI198" s="60"/>
      <c r="BJ198" s="18"/>
      <c r="BK198" s="60"/>
      <c r="BL198" s="17"/>
      <c r="BM198" s="60"/>
      <c r="BN198" s="17"/>
      <c r="BO198" s="80"/>
      <c r="BP198" s="17"/>
      <c r="BQ198" s="20"/>
      <c r="BR198" s="60"/>
      <c r="BS198" s="18"/>
      <c r="BT198" s="60"/>
      <c r="BU198" s="17"/>
      <c r="BV198" s="17"/>
      <c r="BW198" s="60"/>
      <c r="BX198" s="17"/>
      <c r="BY198" s="60"/>
      <c r="BZ198" s="17"/>
      <c r="CA198" s="17"/>
      <c r="CB198" s="60"/>
      <c r="CC198" s="60"/>
      <c r="CD198" s="17"/>
      <c r="CE198" s="60"/>
      <c r="CF198" s="18"/>
      <c r="CG198" s="60"/>
      <c r="CH198" s="17"/>
    </row>
    <row r="199" spans="1:86" s="29" customFormat="1" x14ac:dyDescent="0.35">
      <c r="A199" s="17"/>
      <c r="B199" s="26"/>
      <c r="C199" s="60"/>
      <c r="D199" s="27"/>
      <c r="E199" s="60"/>
      <c r="F199" s="27"/>
      <c r="G199" s="80"/>
      <c r="H199" s="18"/>
      <c r="I199" s="80"/>
      <c r="J199" s="17"/>
      <c r="K199" s="80"/>
      <c r="L199" s="18"/>
      <c r="M199" s="80"/>
      <c r="N199" s="17"/>
      <c r="O199" s="80"/>
      <c r="P199" s="18"/>
      <c r="Q199" s="80"/>
      <c r="R199" s="17"/>
      <c r="S199" s="80"/>
      <c r="T199" s="18"/>
      <c r="U199" s="60"/>
      <c r="V199" s="17"/>
      <c r="W199" s="80"/>
      <c r="X199" s="18"/>
      <c r="Y199" s="80"/>
      <c r="Z199" s="17"/>
      <c r="AA199" s="34"/>
      <c r="AB199" s="60"/>
      <c r="AC199" s="17"/>
      <c r="AD199" s="60"/>
      <c r="AE199" s="17"/>
      <c r="AF199" s="17"/>
      <c r="AG199" s="60"/>
      <c r="AH199" s="18"/>
      <c r="AI199" s="60"/>
      <c r="AJ199" s="17"/>
      <c r="AK199" s="17"/>
      <c r="AL199" s="80"/>
      <c r="AM199" s="18"/>
      <c r="AN199" s="80"/>
      <c r="AO199" s="17"/>
      <c r="AP199" s="17"/>
      <c r="AQ199" s="60"/>
      <c r="AR199" s="18"/>
      <c r="AS199" s="60"/>
      <c r="AT199" s="17"/>
      <c r="AU199" s="60"/>
      <c r="AV199" s="18"/>
      <c r="AW199" s="60"/>
      <c r="AX199" s="17"/>
      <c r="AY199" s="17"/>
      <c r="AZ199" s="60"/>
      <c r="BA199" s="18"/>
      <c r="BB199" s="17"/>
      <c r="BC199" s="17"/>
      <c r="BD199" s="17"/>
      <c r="BE199" s="60"/>
      <c r="BF199" s="18"/>
      <c r="BG199" s="60"/>
      <c r="BH199" s="17"/>
      <c r="BI199" s="60"/>
      <c r="BJ199" s="18"/>
      <c r="BK199" s="60"/>
      <c r="BL199" s="17"/>
      <c r="BM199" s="60"/>
      <c r="BN199" s="17"/>
      <c r="BO199" s="80"/>
      <c r="BP199" s="17"/>
      <c r="BQ199" s="20"/>
      <c r="BR199" s="60"/>
      <c r="BS199" s="18"/>
      <c r="BT199" s="60"/>
      <c r="BU199" s="17"/>
      <c r="BV199" s="17"/>
      <c r="BW199" s="60"/>
      <c r="BX199" s="17"/>
      <c r="BY199" s="60"/>
      <c r="BZ199" s="17"/>
      <c r="CA199" s="17"/>
      <c r="CB199" s="60"/>
      <c r="CC199" s="60"/>
      <c r="CD199" s="17"/>
      <c r="CE199" s="60"/>
      <c r="CF199" s="18"/>
      <c r="CG199" s="60"/>
      <c r="CH199" s="17"/>
    </row>
    <row r="200" spans="1:86" s="29" customFormat="1" x14ac:dyDescent="0.35">
      <c r="A200" s="17"/>
      <c r="B200" s="26"/>
      <c r="C200" s="60"/>
      <c r="D200" s="27"/>
      <c r="E200" s="60"/>
      <c r="F200" s="27"/>
      <c r="G200" s="80"/>
      <c r="H200" s="18"/>
      <c r="I200" s="80"/>
      <c r="J200" s="17"/>
      <c r="K200" s="80"/>
      <c r="L200" s="18"/>
      <c r="M200" s="80"/>
      <c r="N200" s="17"/>
      <c r="O200" s="80"/>
      <c r="P200" s="18"/>
      <c r="Q200" s="80"/>
      <c r="R200" s="17"/>
      <c r="S200" s="80"/>
      <c r="T200" s="18"/>
      <c r="U200" s="60"/>
      <c r="V200" s="17"/>
      <c r="W200" s="80"/>
      <c r="X200" s="18"/>
      <c r="Y200" s="80"/>
      <c r="Z200" s="17"/>
      <c r="AA200" s="34"/>
      <c r="AB200" s="60"/>
      <c r="AC200" s="17"/>
      <c r="AD200" s="60"/>
      <c r="AE200" s="17"/>
      <c r="AF200" s="17"/>
      <c r="AG200" s="60"/>
      <c r="AH200" s="18"/>
      <c r="AI200" s="60"/>
      <c r="AJ200" s="17"/>
      <c r="AK200" s="17"/>
      <c r="AL200" s="80"/>
      <c r="AM200" s="18"/>
      <c r="AN200" s="80"/>
      <c r="AO200" s="17"/>
      <c r="AP200" s="17"/>
      <c r="AQ200" s="60"/>
      <c r="AR200" s="18"/>
      <c r="AS200" s="60"/>
      <c r="AT200" s="17"/>
      <c r="AU200" s="60"/>
      <c r="AV200" s="18"/>
      <c r="AW200" s="60"/>
      <c r="AX200" s="17"/>
      <c r="AY200" s="17"/>
      <c r="AZ200" s="60"/>
      <c r="BA200" s="18"/>
      <c r="BB200" s="17"/>
      <c r="BC200" s="17"/>
      <c r="BD200" s="17"/>
      <c r="BE200" s="60"/>
      <c r="BF200" s="18"/>
      <c r="BG200" s="60"/>
      <c r="BH200" s="17"/>
      <c r="BI200" s="60"/>
      <c r="BJ200" s="18"/>
      <c r="BK200" s="60"/>
      <c r="BL200" s="17"/>
      <c r="BM200" s="60"/>
      <c r="BN200" s="17"/>
      <c r="BO200" s="80"/>
      <c r="BP200" s="17"/>
      <c r="BQ200" s="20"/>
      <c r="BR200" s="60"/>
      <c r="BS200" s="18"/>
      <c r="BT200" s="60"/>
      <c r="BU200" s="17"/>
      <c r="BV200" s="17"/>
      <c r="BW200" s="60"/>
      <c r="BX200" s="17"/>
      <c r="BY200" s="60"/>
      <c r="BZ200" s="17"/>
      <c r="CA200" s="17"/>
      <c r="CB200" s="60"/>
      <c r="CC200" s="60"/>
      <c r="CD200" s="17"/>
      <c r="CE200" s="60"/>
      <c r="CF200" s="18"/>
      <c r="CG200" s="60"/>
      <c r="CH200" s="17"/>
    </row>
    <row r="201" spans="1:86" s="29" customFormat="1" x14ac:dyDescent="0.35">
      <c r="A201" s="17"/>
      <c r="B201" s="26"/>
      <c r="C201" s="60"/>
      <c r="D201" s="27"/>
      <c r="E201" s="60"/>
      <c r="F201" s="27"/>
      <c r="G201" s="80"/>
      <c r="H201" s="18"/>
      <c r="I201" s="80"/>
      <c r="J201" s="17"/>
      <c r="K201" s="80"/>
      <c r="L201" s="18"/>
      <c r="M201" s="80"/>
      <c r="N201" s="17"/>
      <c r="O201" s="80"/>
      <c r="P201" s="18"/>
      <c r="Q201" s="80"/>
      <c r="R201" s="17"/>
      <c r="S201" s="80"/>
      <c r="T201" s="18"/>
      <c r="U201" s="60"/>
      <c r="V201" s="17"/>
      <c r="W201" s="80"/>
      <c r="X201" s="18"/>
      <c r="Y201" s="80"/>
      <c r="Z201" s="17"/>
      <c r="AA201" s="34"/>
      <c r="AB201" s="60"/>
      <c r="AC201" s="17"/>
      <c r="AD201" s="60"/>
      <c r="AE201" s="17"/>
      <c r="AF201" s="17"/>
      <c r="AG201" s="60"/>
      <c r="AH201" s="18"/>
      <c r="AI201" s="60"/>
      <c r="AJ201" s="17"/>
      <c r="AK201" s="17"/>
      <c r="AL201" s="80"/>
      <c r="AM201" s="18"/>
      <c r="AN201" s="80"/>
      <c r="AO201" s="17"/>
      <c r="AP201" s="17"/>
      <c r="AQ201" s="60"/>
      <c r="AR201" s="18"/>
      <c r="AS201" s="60"/>
      <c r="AT201" s="17"/>
      <c r="AU201" s="60"/>
      <c r="AV201" s="18"/>
      <c r="AW201" s="60"/>
      <c r="AX201" s="17"/>
      <c r="AY201" s="17"/>
      <c r="AZ201" s="60"/>
      <c r="BA201" s="18"/>
      <c r="BB201" s="17"/>
      <c r="BC201" s="17"/>
      <c r="BD201" s="17"/>
      <c r="BE201" s="60"/>
      <c r="BF201" s="18"/>
      <c r="BG201" s="60"/>
      <c r="BH201" s="17"/>
      <c r="BI201" s="60"/>
      <c r="BJ201" s="18"/>
      <c r="BK201" s="60"/>
      <c r="BL201" s="17"/>
      <c r="BM201" s="60"/>
      <c r="BN201" s="17"/>
      <c r="BO201" s="80"/>
      <c r="BP201" s="17"/>
      <c r="BQ201" s="20"/>
      <c r="BR201" s="60"/>
      <c r="BS201" s="18"/>
      <c r="BT201" s="60"/>
      <c r="BU201" s="17"/>
      <c r="BV201" s="17"/>
      <c r="BW201" s="60"/>
      <c r="BX201" s="17"/>
      <c r="BY201" s="60"/>
      <c r="BZ201" s="17"/>
      <c r="CA201" s="17"/>
      <c r="CB201" s="60"/>
      <c r="CC201" s="60"/>
      <c r="CD201" s="17"/>
      <c r="CE201" s="60"/>
      <c r="CF201" s="18"/>
      <c r="CG201" s="60"/>
      <c r="CH201" s="17"/>
    </row>
    <row r="202" spans="1:86" s="29" customFormat="1" x14ac:dyDescent="0.35">
      <c r="A202" s="17"/>
      <c r="B202" s="26"/>
      <c r="C202" s="60"/>
      <c r="D202" s="27"/>
      <c r="E202" s="60"/>
      <c r="F202" s="27"/>
      <c r="G202" s="80"/>
      <c r="H202" s="18"/>
      <c r="I202" s="80"/>
      <c r="J202" s="17"/>
      <c r="K202" s="80"/>
      <c r="L202" s="18"/>
      <c r="M202" s="80"/>
      <c r="N202" s="17"/>
      <c r="O202" s="80"/>
      <c r="P202" s="18"/>
      <c r="Q202" s="80"/>
      <c r="R202" s="17"/>
      <c r="S202" s="80"/>
      <c r="T202" s="18"/>
      <c r="U202" s="60"/>
      <c r="V202" s="17"/>
      <c r="W202" s="80"/>
      <c r="X202" s="18"/>
      <c r="Y202" s="80"/>
      <c r="Z202" s="17"/>
      <c r="AA202" s="34"/>
      <c r="AB202" s="60"/>
      <c r="AC202" s="17"/>
      <c r="AD202" s="60"/>
      <c r="AE202" s="17"/>
      <c r="AF202" s="17"/>
      <c r="AG202" s="60"/>
      <c r="AH202" s="18"/>
      <c r="AI202" s="60"/>
      <c r="AJ202" s="17"/>
      <c r="AK202" s="17"/>
      <c r="AL202" s="80"/>
      <c r="AM202" s="18"/>
      <c r="AN202" s="80"/>
      <c r="AO202" s="17"/>
      <c r="AP202" s="17"/>
      <c r="AQ202" s="60"/>
      <c r="AR202" s="18"/>
      <c r="AS202" s="60"/>
      <c r="AT202" s="17"/>
      <c r="AU202" s="60"/>
      <c r="AV202" s="18"/>
      <c r="AW202" s="60"/>
      <c r="AX202" s="17"/>
      <c r="AY202" s="17"/>
      <c r="AZ202" s="60"/>
      <c r="BA202" s="18"/>
      <c r="BB202" s="17"/>
      <c r="BC202" s="17"/>
      <c r="BD202" s="17"/>
      <c r="BE202" s="60"/>
      <c r="BF202" s="18"/>
      <c r="BG202" s="60"/>
      <c r="BH202" s="17"/>
      <c r="BI202" s="60"/>
      <c r="BJ202" s="18"/>
      <c r="BK202" s="60"/>
      <c r="BL202" s="17"/>
      <c r="BM202" s="60"/>
      <c r="BN202" s="17"/>
      <c r="BO202" s="80"/>
      <c r="BP202" s="17"/>
      <c r="BQ202" s="20"/>
      <c r="BR202" s="60"/>
      <c r="BS202" s="18"/>
      <c r="BT202" s="60"/>
      <c r="BU202" s="17"/>
      <c r="BV202" s="17"/>
      <c r="BW202" s="60"/>
      <c r="BX202" s="17"/>
      <c r="BY202" s="60"/>
      <c r="BZ202" s="17"/>
      <c r="CA202" s="17"/>
      <c r="CB202" s="60"/>
      <c r="CC202" s="60"/>
      <c r="CD202" s="17"/>
      <c r="CE202" s="60"/>
      <c r="CF202" s="18"/>
      <c r="CG202" s="60"/>
      <c r="CH202" s="17"/>
    </row>
    <row r="203" spans="1:86" s="29" customFormat="1" x14ac:dyDescent="0.35">
      <c r="A203" s="17"/>
      <c r="B203" s="26"/>
      <c r="C203" s="60"/>
      <c r="D203" s="27"/>
      <c r="E203" s="60"/>
      <c r="F203" s="27"/>
      <c r="G203" s="80"/>
      <c r="H203" s="18"/>
      <c r="I203" s="80"/>
      <c r="J203" s="17"/>
      <c r="K203" s="80"/>
      <c r="L203" s="18"/>
      <c r="M203" s="80"/>
      <c r="N203" s="17"/>
      <c r="O203" s="80"/>
      <c r="P203" s="18"/>
      <c r="Q203" s="80"/>
      <c r="R203" s="17"/>
      <c r="S203" s="80"/>
      <c r="T203" s="18"/>
      <c r="U203" s="60"/>
      <c r="V203" s="17"/>
      <c r="W203" s="80"/>
      <c r="X203" s="18"/>
      <c r="Y203" s="80"/>
      <c r="Z203" s="17"/>
      <c r="AA203" s="34"/>
      <c r="AB203" s="60"/>
      <c r="AC203" s="17"/>
      <c r="AD203" s="60"/>
      <c r="AE203" s="17"/>
      <c r="AF203" s="17"/>
      <c r="AG203" s="60"/>
      <c r="AH203" s="18"/>
      <c r="AI203" s="60"/>
      <c r="AJ203" s="17"/>
      <c r="AK203" s="17"/>
      <c r="AL203" s="80"/>
      <c r="AM203" s="18"/>
      <c r="AN203" s="80"/>
      <c r="AO203" s="17"/>
      <c r="AP203" s="17"/>
      <c r="AQ203" s="60"/>
      <c r="AR203" s="18"/>
      <c r="AS203" s="60"/>
      <c r="AT203" s="17"/>
      <c r="AU203" s="60"/>
      <c r="AV203" s="18"/>
      <c r="AW203" s="60"/>
      <c r="AX203" s="17"/>
      <c r="AY203" s="17"/>
      <c r="AZ203" s="60"/>
      <c r="BA203" s="18"/>
      <c r="BB203" s="17"/>
      <c r="BC203" s="17"/>
      <c r="BD203" s="17"/>
      <c r="BE203" s="60"/>
      <c r="BF203" s="18"/>
      <c r="BG203" s="60"/>
      <c r="BH203" s="17"/>
      <c r="BI203" s="60"/>
      <c r="BJ203" s="18"/>
      <c r="BK203" s="60"/>
      <c r="BL203" s="17"/>
      <c r="BM203" s="60"/>
      <c r="BN203" s="17"/>
      <c r="BO203" s="80"/>
      <c r="BP203" s="17"/>
      <c r="BQ203" s="20"/>
      <c r="BR203" s="60"/>
      <c r="BS203" s="18"/>
      <c r="BT203" s="60"/>
      <c r="BU203" s="17"/>
      <c r="BV203" s="17"/>
      <c r="BW203" s="60"/>
      <c r="BX203" s="17"/>
      <c r="BY203" s="60"/>
      <c r="BZ203" s="17"/>
      <c r="CA203" s="17"/>
      <c r="CB203" s="60"/>
      <c r="CC203" s="60"/>
      <c r="CD203" s="17"/>
      <c r="CE203" s="60"/>
      <c r="CF203" s="18"/>
      <c r="CG203" s="60"/>
      <c r="CH203" s="17"/>
    </row>
    <row r="204" spans="1:86" s="29" customFormat="1" x14ac:dyDescent="0.35">
      <c r="A204" s="17"/>
      <c r="B204" s="26"/>
      <c r="C204" s="60"/>
      <c r="D204" s="27"/>
      <c r="E204" s="60"/>
      <c r="F204" s="27"/>
      <c r="G204" s="80"/>
      <c r="H204" s="18"/>
      <c r="I204" s="80"/>
      <c r="J204" s="17"/>
      <c r="K204" s="80"/>
      <c r="L204" s="18"/>
      <c r="M204" s="80"/>
      <c r="N204" s="17"/>
      <c r="O204" s="80"/>
      <c r="P204" s="18"/>
      <c r="Q204" s="80"/>
      <c r="R204" s="17"/>
      <c r="S204" s="80"/>
      <c r="T204" s="18"/>
      <c r="U204" s="60"/>
      <c r="V204" s="17"/>
      <c r="W204" s="80"/>
      <c r="X204" s="18"/>
      <c r="Y204" s="80"/>
      <c r="Z204" s="17"/>
      <c r="AA204" s="34"/>
      <c r="AB204" s="60"/>
      <c r="AC204" s="17"/>
      <c r="AD204" s="60"/>
      <c r="AE204" s="17"/>
      <c r="AF204" s="17"/>
      <c r="AG204" s="60"/>
      <c r="AH204" s="18"/>
      <c r="AI204" s="60"/>
      <c r="AJ204" s="17"/>
      <c r="AK204" s="17"/>
      <c r="AL204" s="80"/>
      <c r="AM204" s="18"/>
      <c r="AN204" s="80"/>
      <c r="AO204" s="17"/>
      <c r="AP204" s="17"/>
      <c r="AQ204" s="60"/>
      <c r="AR204" s="18"/>
      <c r="AS204" s="60"/>
      <c r="AT204" s="17"/>
      <c r="AU204" s="60"/>
      <c r="AV204" s="18"/>
      <c r="AW204" s="60"/>
      <c r="AX204" s="17"/>
      <c r="AY204" s="17"/>
      <c r="AZ204" s="60"/>
      <c r="BA204" s="18"/>
      <c r="BB204" s="17"/>
      <c r="BC204" s="17"/>
      <c r="BD204" s="17"/>
      <c r="BE204" s="60"/>
      <c r="BF204" s="18"/>
      <c r="BG204" s="60"/>
      <c r="BH204" s="17"/>
      <c r="BI204" s="60"/>
      <c r="BJ204" s="18"/>
      <c r="BK204" s="60"/>
      <c r="BL204" s="17"/>
      <c r="BM204" s="60"/>
      <c r="BN204" s="17"/>
      <c r="BO204" s="80"/>
      <c r="BP204" s="17"/>
      <c r="BQ204" s="20"/>
      <c r="BR204" s="60"/>
      <c r="BS204" s="18"/>
      <c r="BT204" s="60"/>
      <c r="BU204" s="17"/>
      <c r="BV204" s="17"/>
      <c r="BW204" s="60"/>
      <c r="BX204" s="17"/>
      <c r="BY204" s="60"/>
      <c r="BZ204" s="17"/>
      <c r="CA204" s="17"/>
      <c r="CB204" s="60"/>
      <c r="CC204" s="60"/>
      <c r="CD204" s="17"/>
      <c r="CE204" s="60"/>
      <c r="CF204" s="18"/>
      <c r="CG204" s="60"/>
      <c r="CH204" s="17"/>
    </row>
    <row r="205" spans="1:86" s="29" customFormat="1" x14ac:dyDescent="0.35">
      <c r="A205" s="17"/>
      <c r="B205" s="26"/>
      <c r="C205" s="60"/>
      <c r="D205" s="27"/>
      <c r="E205" s="60"/>
      <c r="F205" s="27"/>
      <c r="G205" s="80"/>
      <c r="H205" s="18"/>
      <c r="I205" s="80"/>
      <c r="J205" s="17"/>
      <c r="K205" s="80"/>
      <c r="L205" s="18"/>
      <c r="M205" s="80"/>
      <c r="N205" s="17"/>
      <c r="O205" s="80"/>
      <c r="P205" s="18"/>
      <c r="Q205" s="80"/>
      <c r="R205" s="17"/>
      <c r="S205" s="80"/>
      <c r="T205" s="18"/>
      <c r="U205" s="60"/>
      <c r="V205" s="17"/>
      <c r="W205" s="80"/>
      <c r="X205" s="18"/>
      <c r="Y205" s="80"/>
      <c r="Z205" s="17"/>
      <c r="AA205" s="34"/>
      <c r="AB205" s="60"/>
      <c r="AC205" s="17"/>
      <c r="AD205" s="60"/>
      <c r="AE205" s="17"/>
      <c r="AF205" s="17"/>
      <c r="AG205" s="60"/>
      <c r="AH205" s="18"/>
      <c r="AI205" s="60"/>
      <c r="AJ205" s="17"/>
      <c r="AK205" s="17"/>
      <c r="AL205" s="80"/>
      <c r="AM205" s="18"/>
      <c r="AN205" s="80"/>
      <c r="AO205" s="17"/>
      <c r="AP205" s="17"/>
      <c r="AQ205" s="60"/>
      <c r="AR205" s="18"/>
      <c r="AS205" s="60"/>
      <c r="AT205" s="17"/>
      <c r="AU205" s="60"/>
      <c r="AV205" s="18"/>
      <c r="AW205" s="60"/>
      <c r="AX205" s="17"/>
      <c r="AY205" s="17"/>
      <c r="AZ205" s="60"/>
      <c r="BA205" s="18"/>
      <c r="BB205" s="17"/>
      <c r="BC205" s="17"/>
      <c r="BD205" s="17"/>
      <c r="BE205" s="60"/>
      <c r="BF205" s="18"/>
      <c r="BG205" s="60"/>
      <c r="BH205" s="17"/>
      <c r="BI205" s="60"/>
      <c r="BJ205" s="18"/>
      <c r="BK205" s="60"/>
      <c r="BL205" s="17"/>
      <c r="BM205" s="60"/>
      <c r="BN205" s="17"/>
      <c r="BO205" s="80"/>
      <c r="BP205" s="17"/>
      <c r="BQ205" s="20"/>
      <c r="BR205" s="60"/>
      <c r="BS205" s="18"/>
      <c r="BT205" s="60"/>
      <c r="BU205" s="17"/>
      <c r="BV205" s="17"/>
      <c r="BW205" s="60"/>
      <c r="BX205" s="17"/>
      <c r="BY205" s="60"/>
      <c r="BZ205" s="17"/>
      <c r="CA205" s="17"/>
      <c r="CB205" s="60"/>
      <c r="CC205" s="60"/>
      <c r="CD205" s="17"/>
      <c r="CE205" s="60"/>
      <c r="CF205" s="18"/>
      <c r="CG205" s="60"/>
      <c r="CH205" s="17"/>
    </row>
  </sheetData>
  <conditionalFormatting sqref="B85">
    <cfRule type="duplicateValues" dxfId="15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55A4-D0FA-4B8A-8AE9-1AD20B242AE4}">
  <dimension ref="A1:O25"/>
  <sheetViews>
    <sheetView topLeftCell="F1" workbookViewId="0">
      <selection activeCell="O4" sqref="O4"/>
    </sheetView>
  </sheetViews>
  <sheetFormatPr defaultRowHeight="14.5" x14ac:dyDescent="0.35"/>
  <cols>
    <col min="2" max="2" width="11.453125" customWidth="1"/>
    <col min="3" max="3" width="10.81640625" style="25" customWidth="1"/>
    <col min="4" max="4" width="15.90625" bestFit="1" customWidth="1"/>
    <col min="5" max="5" width="14" customWidth="1"/>
    <col min="6" max="6" width="14.81640625" customWidth="1"/>
    <col min="7" max="7" width="14.6328125" bestFit="1" customWidth="1"/>
    <col min="8" max="8" width="15.36328125" bestFit="1" customWidth="1"/>
    <col min="9" max="10" width="14.6328125" bestFit="1" customWidth="1"/>
    <col min="11" max="11" width="12" bestFit="1" customWidth="1"/>
    <col min="12" max="13" width="12" customWidth="1"/>
    <col min="14" max="14" width="12.81640625" bestFit="1" customWidth="1"/>
    <col min="15" max="15" width="13.36328125" bestFit="1" customWidth="1"/>
    <col min="256" max="256" width="11.453125" customWidth="1"/>
    <col min="257" max="257" width="10.81640625" customWidth="1"/>
    <col min="258" max="258" width="10" bestFit="1" customWidth="1"/>
    <col min="259" max="259" width="10.1796875" bestFit="1" customWidth="1"/>
    <col min="260" max="260" width="11.1796875" bestFit="1" customWidth="1"/>
    <col min="512" max="512" width="11.453125" customWidth="1"/>
    <col min="513" max="513" width="10.81640625" customWidth="1"/>
    <col min="514" max="514" width="10" bestFit="1" customWidth="1"/>
    <col min="515" max="515" width="10.1796875" bestFit="1" customWidth="1"/>
    <col min="516" max="516" width="11.1796875" bestFit="1" customWidth="1"/>
    <col min="768" max="768" width="11.453125" customWidth="1"/>
    <col min="769" max="769" width="10.81640625" customWidth="1"/>
    <col min="770" max="770" width="10" bestFit="1" customWidth="1"/>
    <col min="771" max="771" width="10.1796875" bestFit="1" customWidth="1"/>
    <col min="772" max="772" width="11.1796875" bestFit="1" customWidth="1"/>
    <col min="1024" max="1024" width="11.453125" customWidth="1"/>
    <col min="1025" max="1025" width="10.81640625" customWidth="1"/>
    <col min="1026" max="1026" width="10" bestFit="1" customWidth="1"/>
    <col min="1027" max="1027" width="10.1796875" bestFit="1" customWidth="1"/>
    <col min="1028" max="1028" width="11.1796875" bestFit="1" customWidth="1"/>
    <col min="1280" max="1280" width="11.453125" customWidth="1"/>
    <col min="1281" max="1281" width="10.81640625" customWidth="1"/>
    <col min="1282" max="1282" width="10" bestFit="1" customWidth="1"/>
    <col min="1283" max="1283" width="10.1796875" bestFit="1" customWidth="1"/>
    <col min="1284" max="1284" width="11.1796875" bestFit="1" customWidth="1"/>
    <col min="1536" max="1536" width="11.453125" customWidth="1"/>
    <col min="1537" max="1537" width="10.81640625" customWidth="1"/>
    <col min="1538" max="1538" width="10" bestFit="1" customWidth="1"/>
    <col min="1539" max="1539" width="10.1796875" bestFit="1" customWidth="1"/>
    <col min="1540" max="1540" width="11.1796875" bestFit="1" customWidth="1"/>
    <col min="1792" max="1792" width="11.453125" customWidth="1"/>
    <col min="1793" max="1793" width="10.81640625" customWidth="1"/>
    <col min="1794" max="1794" width="10" bestFit="1" customWidth="1"/>
    <col min="1795" max="1795" width="10.1796875" bestFit="1" customWidth="1"/>
    <col min="1796" max="1796" width="11.1796875" bestFit="1" customWidth="1"/>
    <col min="2048" max="2048" width="11.453125" customWidth="1"/>
    <col min="2049" max="2049" width="10.81640625" customWidth="1"/>
    <col min="2050" max="2050" width="10" bestFit="1" customWidth="1"/>
    <col min="2051" max="2051" width="10.1796875" bestFit="1" customWidth="1"/>
    <col min="2052" max="2052" width="11.1796875" bestFit="1" customWidth="1"/>
    <col min="2304" max="2304" width="11.453125" customWidth="1"/>
    <col min="2305" max="2305" width="10.81640625" customWidth="1"/>
    <col min="2306" max="2306" width="10" bestFit="1" customWidth="1"/>
    <col min="2307" max="2307" width="10.1796875" bestFit="1" customWidth="1"/>
    <col min="2308" max="2308" width="11.1796875" bestFit="1" customWidth="1"/>
    <col min="2560" max="2560" width="11.453125" customWidth="1"/>
    <col min="2561" max="2561" width="10.81640625" customWidth="1"/>
    <col min="2562" max="2562" width="10" bestFit="1" customWidth="1"/>
    <col min="2563" max="2563" width="10.1796875" bestFit="1" customWidth="1"/>
    <col min="2564" max="2564" width="11.1796875" bestFit="1" customWidth="1"/>
    <col min="2816" max="2816" width="11.453125" customWidth="1"/>
    <col min="2817" max="2817" width="10.81640625" customWidth="1"/>
    <col min="2818" max="2818" width="10" bestFit="1" customWidth="1"/>
    <col min="2819" max="2819" width="10.1796875" bestFit="1" customWidth="1"/>
    <col min="2820" max="2820" width="11.1796875" bestFit="1" customWidth="1"/>
    <col min="3072" max="3072" width="11.453125" customWidth="1"/>
    <col min="3073" max="3073" width="10.81640625" customWidth="1"/>
    <col min="3074" max="3074" width="10" bestFit="1" customWidth="1"/>
    <col min="3075" max="3075" width="10.1796875" bestFit="1" customWidth="1"/>
    <col min="3076" max="3076" width="11.1796875" bestFit="1" customWidth="1"/>
    <col min="3328" max="3328" width="11.453125" customWidth="1"/>
    <col min="3329" max="3329" width="10.81640625" customWidth="1"/>
    <col min="3330" max="3330" width="10" bestFit="1" customWidth="1"/>
    <col min="3331" max="3331" width="10.1796875" bestFit="1" customWidth="1"/>
    <col min="3332" max="3332" width="11.1796875" bestFit="1" customWidth="1"/>
    <col min="3584" max="3584" width="11.453125" customWidth="1"/>
    <col min="3585" max="3585" width="10.81640625" customWidth="1"/>
    <col min="3586" max="3586" width="10" bestFit="1" customWidth="1"/>
    <col min="3587" max="3587" width="10.1796875" bestFit="1" customWidth="1"/>
    <col min="3588" max="3588" width="11.1796875" bestFit="1" customWidth="1"/>
    <col min="3840" max="3840" width="11.453125" customWidth="1"/>
    <col min="3841" max="3841" width="10.81640625" customWidth="1"/>
    <col min="3842" max="3842" width="10" bestFit="1" customWidth="1"/>
    <col min="3843" max="3843" width="10.1796875" bestFit="1" customWidth="1"/>
    <col min="3844" max="3844" width="11.1796875" bestFit="1" customWidth="1"/>
    <col min="4096" max="4096" width="11.453125" customWidth="1"/>
    <col min="4097" max="4097" width="10.81640625" customWidth="1"/>
    <col min="4098" max="4098" width="10" bestFit="1" customWidth="1"/>
    <col min="4099" max="4099" width="10.1796875" bestFit="1" customWidth="1"/>
    <col min="4100" max="4100" width="11.1796875" bestFit="1" customWidth="1"/>
    <col min="4352" max="4352" width="11.453125" customWidth="1"/>
    <col min="4353" max="4353" width="10.81640625" customWidth="1"/>
    <col min="4354" max="4354" width="10" bestFit="1" customWidth="1"/>
    <col min="4355" max="4355" width="10.1796875" bestFit="1" customWidth="1"/>
    <col min="4356" max="4356" width="11.1796875" bestFit="1" customWidth="1"/>
    <col min="4608" max="4608" width="11.453125" customWidth="1"/>
    <col min="4609" max="4609" width="10.81640625" customWidth="1"/>
    <col min="4610" max="4610" width="10" bestFit="1" customWidth="1"/>
    <col min="4611" max="4611" width="10.1796875" bestFit="1" customWidth="1"/>
    <col min="4612" max="4612" width="11.1796875" bestFit="1" customWidth="1"/>
    <col min="4864" max="4864" width="11.453125" customWidth="1"/>
    <col min="4865" max="4865" width="10.81640625" customWidth="1"/>
    <col min="4866" max="4866" width="10" bestFit="1" customWidth="1"/>
    <col min="4867" max="4867" width="10.1796875" bestFit="1" customWidth="1"/>
    <col min="4868" max="4868" width="11.1796875" bestFit="1" customWidth="1"/>
    <col min="5120" max="5120" width="11.453125" customWidth="1"/>
    <col min="5121" max="5121" width="10.81640625" customWidth="1"/>
    <col min="5122" max="5122" width="10" bestFit="1" customWidth="1"/>
    <col min="5123" max="5123" width="10.1796875" bestFit="1" customWidth="1"/>
    <col min="5124" max="5124" width="11.1796875" bestFit="1" customWidth="1"/>
    <col min="5376" max="5376" width="11.453125" customWidth="1"/>
    <col min="5377" max="5377" width="10.81640625" customWidth="1"/>
    <col min="5378" max="5378" width="10" bestFit="1" customWidth="1"/>
    <col min="5379" max="5379" width="10.1796875" bestFit="1" customWidth="1"/>
    <col min="5380" max="5380" width="11.1796875" bestFit="1" customWidth="1"/>
    <col min="5632" max="5632" width="11.453125" customWidth="1"/>
    <col min="5633" max="5633" width="10.81640625" customWidth="1"/>
    <col min="5634" max="5634" width="10" bestFit="1" customWidth="1"/>
    <col min="5635" max="5635" width="10.1796875" bestFit="1" customWidth="1"/>
    <col min="5636" max="5636" width="11.1796875" bestFit="1" customWidth="1"/>
    <col min="5888" max="5888" width="11.453125" customWidth="1"/>
    <col min="5889" max="5889" width="10.81640625" customWidth="1"/>
    <col min="5890" max="5890" width="10" bestFit="1" customWidth="1"/>
    <col min="5891" max="5891" width="10.1796875" bestFit="1" customWidth="1"/>
    <col min="5892" max="5892" width="11.1796875" bestFit="1" customWidth="1"/>
    <col min="6144" max="6144" width="11.453125" customWidth="1"/>
    <col min="6145" max="6145" width="10.81640625" customWidth="1"/>
    <col min="6146" max="6146" width="10" bestFit="1" customWidth="1"/>
    <col min="6147" max="6147" width="10.1796875" bestFit="1" customWidth="1"/>
    <col min="6148" max="6148" width="11.1796875" bestFit="1" customWidth="1"/>
    <col min="6400" max="6400" width="11.453125" customWidth="1"/>
    <col min="6401" max="6401" width="10.81640625" customWidth="1"/>
    <col min="6402" max="6402" width="10" bestFit="1" customWidth="1"/>
    <col min="6403" max="6403" width="10.1796875" bestFit="1" customWidth="1"/>
    <col min="6404" max="6404" width="11.1796875" bestFit="1" customWidth="1"/>
    <col min="6656" max="6656" width="11.453125" customWidth="1"/>
    <col min="6657" max="6657" width="10.81640625" customWidth="1"/>
    <col min="6658" max="6658" width="10" bestFit="1" customWidth="1"/>
    <col min="6659" max="6659" width="10.1796875" bestFit="1" customWidth="1"/>
    <col min="6660" max="6660" width="11.1796875" bestFit="1" customWidth="1"/>
    <col min="6912" max="6912" width="11.453125" customWidth="1"/>
    <col min="6913" max="6913" width="10.81640625" customWidth="1"/>
    <col min="6914" max="6914" width="10" bestFit="1" customWidth="1"/>
    <col min="6915" max="6915" width="10.1796875" bestFit="1" customWidth="1"/>
    <col min="6916" max="6916" width="11.1796875" bestFit="1" customWidth="1"/>
    <col min="7168" max="7168" width="11.453125" customWidth="1"/>
    <col min="7169" max="7169" width="10.81640625" customWidth="1"/>
    <col min="7170" max="7170" width="10" bestFit="1" customWidth="1"/>
    <col min="7171" max="7171" width="10.1796875" bestFit="1" customWidth="1"/>
    <col min="7172" max="7172" width="11.1796875" bestFit="1" customWidth="1"/>
    <col min="7424" max="7424" width="11.453125" customWidth="1"/>
    <col min="7425" max="7425" width="10.81640625" customWidth="1"/>
    <col min="7426" max="7426" width="10" bestFit="1" customWidth="1"/>
    <col min="7427" max="7427" width="10.1796875" bestFit="1" customWidth="1"/>
    <col min="7428" max="7428" width="11.1796875" bestFit="1" customWidth="1"/>
    <col min="7680" max="7680" width="11.453125" customWidth="1"/>
    <col min="7681" max="7681" width="10.81640625" customWidth="1"/>
    <col min="7682" max="7682" width="10" bestFit="1" customWidth="1"/>
    <col min="7683" max="7683" width="10.1796875" bestFit="1" customWidth="1"/>
    <col min="7684" max="7684" width="11.1796875" bestFit="1" customWidth="1"/>
    <col min="7936" max="7936" width="11.453125" customWidth="1"/>
    <col min="7937" max="7937" width="10.81640625" customWidth="1"/>
    <col min="7938" max="7938" width="10" bestFit="1" customWidth="1"/>
    <col min="7939" max="7939" width="10.1796875" bestFit="1" customWidth="1"/>
    <col min="7940" max="7940" width="11.1796875" bestFit="1" customWidth="1"/>
    <col min="8192" max="8192" width="11.453125" customWidth="1"/>
    <col min="8193" max="8193" width="10.81640625" customWidth="1"/>
    <col min="8194" max="8194" width="10" bestFit="1" customWidth="1"/>
    <col min="8195" max="8195" width="10.1796875" bestFit="1" customWidth="1"/>
    <col min="8196" max="8196" width="11.1796875" bestFit="1" customWidth="1"/>
    <col min="8448" max="8448" width="11.453125" customWidth="1"/>
    <col min="8449" max="8449" width="10.81640625" customWidth="1"/>
    <col min="8450" max="8450" width="10" bestFit="1" customWidth="1"/>
    <col min="8451" max="8451" width="10.1796875" bestFit="1" customWidth="1"/>
    <col min="8452" max="8452" width="11.1796875" bestFit="1" customWidth="1"/>
    <col min="8704" max="8704" width="11.453125" customWidth="1"/>
    <col min="8705" max="8705" width="10.81640625" customWidth="1"/>
    <col min="8706" max="8706" width="10" bestFit="1" customWidth="1"/>
    <col min="8707" max="8707" width="10.1796875" bestFit="1" customWidth="1"/>
    <col min="8708" max="8708" width="11.1796875" bestFit="1" customWidth="1"/>
    <col min="8960" max="8960" width="11.453125" customWidth="1"/>
    <col min="8961" max="8961" width="10.81640625" customWidth="1"/>
    <col min="8962" max="8962" width="10" bestFit="1" customWidth="1"/>
    <col min="8963" max="8963" width="10.1796875" bestFit="1" customWidth="1"/>
    <col min="8964" max="8964" width="11.1796875" bestFit="1" customWidth="1"/>
    <col min="9216" max="9216" width="11.453125" customWidth="1"/>
    <col min="9217" max="9217" width="10.81640625" customWidth="1"/>
    <col min="9218" max="9218" width="10" bestFit="1" customWidth="1"/>
    <col min="9219" max="9219" width="10.1796875" bestFit="1" customWidth="1"/>
    <col min="9220" max="9220" width="11.1796875" bestFit="1" customWidth="1"/>
    <col min="9472" max="9472" width="11.453125" customWidth="1"/>
    <col min="9473" max="9473" width="10.81640625" customWidth="1"/>
    <col min="9474" max="9474" width="10" bestFit="1" customWidth="1"/>
    <col min="9475" max="9475" width="10.1796875" bestFit="1" customWidth="1"/>
    <col min="9476" max="9476" width="11.1796875" bestFit="1" customWidth="1"/>
    <col min="9728" max="9728" width="11.453125" customWidth="1"/>
    <col min="9729" max="9729" width="10.81640625" customWidth="1"/>
    <col min="9730" max="9730" width="10" bestFit="1" customWidth="1"/>
    <col min="9731" max="9731" width="10.1796875" bestFit="1" customWidth="1"/>
    <col min="9732" max="9732" width="11.1796875" bestFit="1" customWidth="1"/>
    <col min="9984" max="9984" width="11.453125" customWidth="1"/>
    <col min="9985" max="9985" width="10.81640625" customWidth="1"/>
    <col min="9986" max="9986" width="10" bestFit="1" customWidth="1"/>
    <col min="9987" max="9987" width="10.1796875" bestFit="1" customWidth="1"/>
    <col min="9988" max="9988" width="11.1796875" bestFit="1" customWidth="1"/>
    <col min="10240" max="10240" width="11.453125" customWidth="1"/>
    <col min="10241" max="10241" width="10.81640625" customWidth="1"/>
    <col min="10242" max="10242" width="10" bestFit="1" customWidth="1"/>
    <col min="10243" max="10243" width="10.1796875" bestFit="1" customWidth="1"/>
    <col min="10244" max="10244" width="11.1796875" bestFit="1" customWidth="1"/>
    <col min="10496" max="10496" width="11.453125" customWidth="1"/>
    <col min="10497" max="10497" width="10.81640625" customWidth="1"/>
    <col min="10498" max="10498" width="10" bestFit="1" customWidth="1"/>
    <col min="10499" max="10499" width="10.1796875" bestFit="1" customWidth="1"/>
    <col min="10500" max="10500" width="11.1796875" bestFit="1" customWidth="1"/>
    <col min="10752" max="10752" width="11.453125" customWidth="1"/>
    <col min="10753" max="10753" width="10.81640625" customWidth="1"/>
    <col min="10754" max="10754" width="10" bestFit="1" customWidth="1"/>
    <col min="10755" max="10755" width="10.1796875" bestFit="1" customWidth="1"/>
    <col min="10756" max="10756" width="11.1796875" bestFit="1" customWidth="1"/>
    <col min="11008" max="11008" width="11.453125" customWidth="1"/>
    <col min="11009" max="11009" width="10.81640625" customWidth="1"/>
    <col min="11010" max="11010" width="10" bestFit="1" customWidth="1"/>
    <col min="11011" max="11011" width="10.1796875" bestFit="1" customWidth="1"/>
    <col min="11012" max="11012" width="11.1796875" bestFit="1" customWidth="1"/>
    <col min="11264" max="11264" width="11.453125" customWidth="1"/>
    <col min="11265" max="11265" width="10.81640625" customWidth="1"/>
    <col min="11266" max="11266" width="10" bestFit="1" customWidth="1"/>
    <col min="11267" max="11267" width="10.1796875" bestFit="1" customWidth="1"/>
    <col min="11268" max="11268" width="11.1796875" bestFit="1" customWidth="1"/>
    <col min="11520" max="11520" width="11.453125" customWidth="1"/>
    <col min="11521" max="11521" width="10.81640625" customWidth="1"/>
    <col min="11522" max="11522" width="10" bestFit="1" customWidth="1"/>
    <col min="11523" max="11523" width="10.1796875" bestFit="1" customWidth="1"/>
    <col min="11524" max="11524" width="11.1796875" bestFit="1" customWidth="1"/>
    <col min="11776" max="11776" width="11.453125" customWidth="1"/>
    <col min="11777" max="11777" width="10.81640625" customWidth="1"/>
    <col min="11778" max="11778" width="10" bestFit="1" customWidth="1"/>
    <col min="11779" max="11779" width="10.1796875" bestFit="1" customWidth="1"/>
    <col min="11780" max="11780" width="11.1796875" bestFit="1" customWidth="1"/>
    <col min="12032" max="12032" width="11.453125" customWidth="1"/>
    <col min="12033" max="12033" width="10.81640625" customWidth="1"/>
    <col min="12034" max="12034" width="10" bestFit="1" customWidth="1"/>
    <col min="12035" max="12035" width="10.1796875" bestFit="1" customWidth="1"/>
    <col min="12036" max="12036" width="11.1796875" bestFit="1" customWidth="1"/>
    <col min="12288" max="12288" width="11.453125" customWidth="1"/>
    <col min="12289" max="12289" width="10.81640625" customWidth="1"/>
    <col min="12290" max="12290" width="10" bestFit="1" customWidth="1"/>
    <col min="12291" max="12291" width="10.1796875" bestFit="1" customWidth="1"/>
    <col min="12292" max="12292" width="11.1796875" bestFit="1" customWidth="1"/>
    <col min="12544" max="12544" width="11.453125" customWidth="1"/>
    <col min="12545" max="12545" width="10.81640625" customWidth="1"/>
    <col min="12546" max="12546" width="10" bestFit="1" customWidth="1"/>
    <col min="12547" max="12547" width="10.1796875" bestFit="1" customWidth="1"/>
    <col min="12548" max="12548" width="11.1796875" bestFit="1" customWidth="1"/>
    <col min="12800" max="12800" width="11.453125" customWidth="1"/>
    <col min="12801" max="12801" width="10.81640625" customWidth="1"/>
    <col min="12802" max="12802" width="10" bestFit="1" customWidth="1"/>
    <col min="12803" max="12803" width="10.1796875" bestFit="1" customWidth="1"/>
    <col min="12804" max="12804" width="11.1796875" bestFit="1" customWidth="1"/>
    <col min="13056" max="13056" width="11.453125" customWidth="1"/>
    <col min="13057" max="13057" width="10.81640625" customWidth="1"/>
    <col min="13058" max="13058" width="10" bestFit="1" customWidth="1"/>
    <col min="13059" max="13059" width="10.1796875" bestFit="1" customWidth="1"/>
    <col min="13060" max="13060" width="11.1796875" bestFit="1" customWidth="1"/>
    <col min="13312" max="13312" width="11.453125" customWidth="1"/>
    <col min="13313" max="13313" width="10.81640625" customWidth="1"/>
    <col min="13314" max="13314" width="10" bestFit="1" customWidth="1"/>
    <col min="13315" max="13315" width="10.1796875" bestFit="1" customWidth="1"/>
    <col min="13316" max="13316" width="11.1796875" bestFit="1" customWidth="1"/>
    <col min="13568" max="13568" width="11.453125" customWidth="1"/>
    <col min="13569" max="13569" width="10.81640625" customWidth="1"/>
    <col min="13570" max="13570" width="10" bestFit="1" customWidth="1"/>
    <col min="13571" max="13571" width="10.1796875" bestFit="1" customWidth="1"/>
    <col min="13572" max="13572" width="11.1796875" bestFit="1" customWidth="1"/>
    <col min="13824" max="13824" width="11.453125" customWidth="1"/>
    <col min="13825" max="13825" width="10.81640625" customWidth="1"/>
    <col min="13826" max="13826" width="10" bestFit="1" customWidth="1"/>
    <col min="13827" max="13827" width="10.1796875" bestFit="1" customWidth="1"/>
    <col min="13828" max="13828" width="11.1796875" bestFit="1" customWidth="1"/>
    <col min="14080" max="14080" width="11.453125" customWidth="1"/>
    <col min="14081" max="14081" width="10.81640625" customWidth="1"/>
    <col min="14082" max="14082" width="10" bestFit="1" customWidth="1"/>
    <col min="14083" max="14083" width="10.1796875" bestFit="1" customWidth="1"/>
    <col min="14084" max="14084" width="11.1796875" bestFit="1" customWidth="1"/>
    <col min="14336" max="14336" width="11.453125" customWidth="1"/>
    <col min="14337" max="14337" width="10.81640625" customWidth="1"/>
    <col min="14338" max="14338" width="10" bestFit="1" customWidth="1"/>
    <col min="14339" max="14339" width="10.1796875" bestFit="1" customWidth="1"/>
    <col min="14340" max="14340" width="11.1796875" bestFit="1" customWidth="1"/>
    <col min="14592" max="14592" width="11.453125" customWidth="1"/>
    <col min="14593" max="14593" width="10.81640625" customWidth="1"/>
    <col min="14594" max="14594" width="10" bestFit="1" customWidth="1"/>
    <col min="14595" max="14595" width="10.1796875" bestFit="1" customWidth="1"/>
    <col min="14596" max="14596" width="11.1796875" bestFit="1" customWidth="1"/>
    <col min="14848" max="14848" width="11.453125" customWidth="1"/>
    <col min="14849" max="14849" width="10.81640625" customWidth="1"/>
    <col min="14850" max="14850" width="10" bestFit="1" customWidth="1"/>
    <col min="14851" max="14851" width="10.1796875" bestFit="1" customWidth="1"/>
    <col min="14852" max="14852" width="11.1796875" bestFit="1" customWidth="1"/>
    <col min="15104" max="15104" width="11.453125" customWidth="1"/>
    <col min="15105" max="15105" width="10.81640625" customWidth="1"/>
    <col min="15106" max="15106" width="10" bestFit="1" customWidth="1"/>
    <col min="15107" max="15107" width="10.1796875" bestFit="1" customWidth="1"/>
    <col min="15108" max="15108" width="11.1796875" bestFit="1" customWidth="1"/>
    <col min="15360" max="15360" width="11.453125" customWidth="1"/>
    <col min="15361" max="15361" width="10.81640625" customWidth="1"/>
    <col min="15362" max="15362" width="10" bestFit="1" customWidth="1"/>
    <col min="15363" max="15363" width="10.1796875" bestFit="1" customWidth="1"/>
    <col min="15364" max="15364" width="11.1796875" bestFit="1" customWidth="1"/>
    <col min="15616" max="15616" width="11.453125" customWidth="1"/>
    <col min="15617" max="15617" width="10.81640625" customWidth="1"/>
    <col min="15618" max="15618" width="10" bestFit="1" customWidth="1"/>
    <col min="15619" max="15619" width="10.1796875" bestFit="1" customWidth="1"/>
    <col min="15620" max="15620" width="11.1796875" bestFit="1" customWidth="1"/>
    <col min="15872" max="15872" width="11.453125" customWidth="1"/>
    <col min="15873" max="15873" width="10.81640625" customWidth="1"/>
    <col min="15874" max="15874" width="10" bestFit="1" customWidth="1"/>
    <col min="15875" max="15875" width="10.1796875" bestFit="1" customWidth="1"/>
    <col min="15876" max="15876" width="11.1796875" bestFit="1" customWidth="1"/>
    <col min="16128" max="16128" width="11.453125" customWidth="1"/>
    <col min="16129" max="16129" width="10.81640625" customWidth="1"/>
    <col min="16130" max="16130" width="10" bestFit="1" customWidth="1"/>
    <col min="16131" max="16131" width="10.1796875" bestFit="1" customWidth="1"/>
    <col min="16132" max="16132" width="11.1796875" bestFit="1" customWidth="1"/>
  </cols>
  <sheetData>
    <row r="1" spans="1:15" x14ac:dyDescent="0.35">
      <c r="A1" s="38" t="s">
        <v>664</v>
      </c>
      <c r="D1" s="38" t="s">
        <v>602</v>
      </c>
    </row>
    <row r="3" spans="1:15" x14ac:dyDescent="0.35">
      <c r="A3" s="57" t="s">
        <v>598</v>
      </c>
      <c r="B3" s="57" t="s">
        <v>603</v>
      </c>
      <c r="C3" s="215" t="s">
        <v>751</v>
      </c>
      <c r="D3" s="216" t="s">
        <v>752</v>
      </c>
      <c r="E3" s="216" t="s">
        <v>753</v>
      </c>
      <c r="F3" s="216" t="s">
        <v>754</v>
      </c>
      <c r="G3" s="216" t="s">
        <v>755</v>
      </c>
      <c r="H3" s="216" t="s">
        <v>756</v>
      </c>
      <c r="I3" s="414" t="s">
        <v>757</v>
      </c>
      <c r="J3" s="442" t="s">
        <v>758</v>
      </c>
      <c r="K3" s="442" t="s">
        <v>759</v>
      </c>
      <c r="L3" s="442" t="s">
        <v>760</v>
      </c>
      <c r="M3" s="58" t="s">
        <v>761</v>
      </c>
      <c r="N3" s="58" t="s">
        <v>762</v>
      </c>
    </row>
    <row r="4" spans="1:15" x14ac:dyDescent="0.35">
      <c r="A4" s="56" t="s">
        <v>604</v>
      </c>
      <c r="B4" s="56">
        <v>350</v>
      </c>
      <c r="C4" s="58">
        <f t="shared" ref="C4:C8" si="0">+$C$10/$B$10*B4</f>
        <v>305160.52</v>
      </c>
      <c r="D4" s="72">
        <f t="shared" ref="D4:D8" si="1">+$D$10/$B$10*B4</f>
        <v>308912.66000000003</v>
      </c>
      <c r="E4" s="336"/>
      <c r="F4" s="336"/>
      <c r="G4" s="287"/>
      <c r="H4" s="287"/>
      <c r="I4" s="287"/>
      <c r="J4" s="58"/>
      <c r="K4" s="58"/>
      <c r="L4" s="58"/>
      <c r="M4" s="58"/>
      <c r="N4" s="58"/>
      <c r="O4" s="58">
        <f>SUM(C4:N4)</f>
        <v>614073.18000000005</v>
      </c>
    </row>
    <row r="5" spans="1:15" x14ac:dyDescent="0.35">
      <c r="A5" s="56" t="s">
        <v>510</v>
      </c>
      <c r="B5" s="56">
        <v>300</v>
      </c>
      <c r="C5" s="58">
        <f t="shared" si="0"/>
        <v>261566.16</v>
      </c>
      <c r="D5" s="72">
        <f t="shared" si="1"/>
        <v>264782.28000000003</v>
      </c>
      <c r="E5" s="336"/>
      <c r="F5" s="336"/>
      <c r="G5" s="377"/>
      <c r="H5" s="287"/>
      <c r="I5" s="416"/>
      <c r="J5" s="462"/>
      <c r="K5" s="466"/>
      <c r="L5" s="58"/>
      <c r="M5" s="58"/>
      <c r="N5" s="58"/>
      <c r="O5" s="58">
        <f t="shared" ref="O5:O10" si="2">SUM(C5:N5)</f>
        <v>526348.44000000006</v>
      </c>
    </row>
    <row r="6" spans="1:15" x14ac:dyDescent="0.35">
      <c r="A6" s="56" t="s">
        <v>511</v>
      </c>
      <c r="B6" s="56">
        <v>500</v>
      </c>
      <c r="C6" s="58">
        <f t="shared" si="0"/>
        <v>435943.6</v>
      </c>
      <c r="D6" s="72">
        <f t="shared" si="1"/>
        <v>441303.80000000005</v>
      </c>
      <c r="E6" s="336"/>
      <c r="F6" s="336"/>
      <c r="G6" s="377"/>
      <c r="H6" s="287"/>
      <c r="I6" s="416"/>
      <c r="J6" s="462"/>
      <c r="K6" s="466"/>
      <c r="L6" s="58"/>
      <c r="M6" s="58"/>
      <c r="N6" s="58"/>
      <c r="O6" s="58">
        <f t="shared" si="2"/>
        <v>877247.4</v>
      </c>
    </row>
    <row r="7" spans="1:15" x14ac:dyDescent="0.35">
      <c r="A7" s="56" t="s">
        <v>513</v>
      </c>
      <c r="B7" s="56">
        <v>300</v>
      </c>
      <c r="C7" s="58">
        <f t="shared" si="0"/>
        <v>261566.16</v>
      </c>
      <c r="D7" s="72">
        <f t="shared" si="1"/>
        <v>264782.28000000003</v>
      </c>
      <c r="E7" s="336"/>
      <c r="F7" s="336"/>
      <c r="G7" s="377"/>
      <c r="H7" s="287"/>
      <c r="I7" s="416"/>
      <c r="J7" s="462"/>
      <c r="K7" s="466"/>
      <c r="L7" s="58"/>
      <c r="M7" s="58"/>
      <c r="N7" s="58"/>
      <c r="O7" s="58">
        <f t="shared" si="2"/>
        <v>526348.44000000006</v>
      </c>
    </row>
    <row r="8" spans="1:15" x14ac:dyDescent="0.35">
      <c r="A8" s="56" t="s">
        <v>534</v>
      </c>
      <c r="B8" s="56">
        <v>500</v>
      </c>
      <c r="C8" s="58">
        <f t="shared" si="0"/>
        <v>435943.6</v>
      </c>
      <c r="D8" s="72">
        <f t="shared" si="1"/>
        <v>441303.80000000005</v>
      </c>
      <c r="E8" s="336"/>
      <c r="F8" s="336"/>
      <c r="G8" s="377"/>
      <c r="H8" s="287"/>
      <c r="I8" s="416"/>
      <c r="J8" s="462"/>
      <c r="K8" s="466"/>
      <c r="L8" s="58"/>
      <c r="M8" s="58"/>
      <c r="N8" s="58"/>
      <c r="O8" s="58">
        <f t="shared" si="2"/>
        <v>877247.4</v>
      </c>
    </row>
    <row r="9" spans="1:15" x14ac:dyDescent="0.35">
      <c r="A9" s="56" t="s">
        <v>605</v>
      </c>
      <c r="B9" s="56">
        <v>550</v>
      </c>
      <c r="C9" s="58">
        <f>+$C$10/$B$10*B9</f>
        <v>479537.96</v>
      </c>
      <c r="D9" s="72">
        <f>+$D$10/$B$10*B9</f>
        <v>485434.18000000005</v>
      </c>
      <c r="E9" s="336"/>
      <c r="F9" s="336"/>
      <c r="G9" s="377"/>
      <c r="H9" s="287"/>
      <c r="I9" s="416"/>
      <c r="J9" s="462"/>
      <c r="K9" s="466"/>
      <c r="L9" s="58"/>
      <c r="M9" s="58"/>
      <c r="N9" s="58"/>
      <c r="O9" s="58">
        <f t="shared" si="2"/>
        <v>964972.14000000013</v>
      </c>
    </row>
    <row r="10" spans="1:15" x14ac:dyDescent="0.35">
      <c r="A10" s="362" t="s">
        <v>606</v>
      </c>
      <c r="B10" s="362">
        <f>SUM(B4:B9)</f>
        <v>2500</v>
      </c>
      <c r="C10" s="363">
        <v>2179718</v>
      </c>
      <c r="D10" s="364">
        <v>2206519</v>
      </c>
      <c r="E10" s="365"/>
      <c r="F10" s="365"/>
      <c r="G10" s="365"/>
      <c r="H10" s="365"/>
      <c r="I10" s="415"/>
      <c r="J10" s="443"/>
      <c r="K10" s="58"/>
      <c r="L10" s="58"/>
      <c r="M10" s="58"/>
      <c r="N10" s="58"/>
      <c r="O10" s="58">
        <f t="shared" si="2"/>
        <v>4386237</v>
      </c>
    </row>
    <row r="11" spans="1:15" x14ac:dyDescent="0.35">
      <c r="A11" s="38" t="s">
        <v>607</v>
      </c>
      <c r="B11" s="38"/>
      <c r="C11" s="213">
        <f t="shared" ref="C11:J11" si="3">C4-C10</f>
        <v>-1874557.48</v>
      </c>
      <c r="D11" s="213">
        <f t="shared" si="3"/>
        <v>-1897606.3399999999</v>
      </c>
      <c r="E11" s="213">
        <f t="shared" si="3"/>
        <v>0</v>
      </c>
      <c r="F11" s="213">
        <f t="shared" si="3"/>
        <v>0</v>
      </c>
      <c r="G11" s="378">
        <f t="shared" si="3"/>
        <v>0</v>
      </c>
      <c r="H11" s="378">
        <f t="shared" si="3"/>
        <v>0</v>
      </c>
      <c r="I11" s="378">
        <f t="shared" si="3"/>
        <v>0</v>
      </c>
      <c r="J11" s="378">
        <f t="shared" si="3"/>
        <v>0</v>
      </c>
      <c r="K11" s="467">
        <f t="shared" ref="K11:L11" si="4">K4-K10</f>
        <v>0</v>
      </c>
      <c r="L11" s="467">
        <f t="shared" si="4"/>
        <v>0</v>
      </c>
      <c r="M11" s="467">
        <f t="shared" ref="M11:N11" si="5">M4-M10</f>
        <v>0</v>
      </c>
      <c r="N11" s="467">
        <f t="shared" si="5"/>
        <v>0</v>
      </c>
      <c r="O11" s="58">
        <f t="shared" ref="O11" si="6">SUM(C11:N11)</f>
        <v>-3772163.82</v>
      </c>
    </row>
    <row r="13" spans="1:15" x14ac:dyDescent="0.35">
      <c r="A13" s="38" t="s">
        <v>608</v>
      </c>
    </row>
    <row r="14" spans="1:15" x14ac:dyDescent="0.35">
      <c r="A14" s="38" t="s">
        <v>609</v>
      </c>
    </row>
    <row r="16" spans="1:15" x14ac:dyDescent="0.35">
      <c r="A16" s="57" t="s">
        <v>598</v>
      </c>
      <c r="B16" s="57" t="s">
        <v>603</v>
      </c>
      <c r="C16" s="215" t="s">
        <v>751</v>
      </c>
      <c r="D16" s="216" t="s">
        <v>752</v>
      </c>
      <c r="E16" s="216" t="s">
        <v>753</v>
      </c>
      <c r="F16" s="216" t="s">
        <v>754</v>
      </c>
      <c r="G16" s="216" t="s">
        <v>755</v>
      </c>
      <c r="H16" s="216" t="s">
        <v>756</v>
      </c>
      <c r="I16" s="414" t="s">
        <v>757</v>
      </c>
      <c r="J16" s="442" t="s">
        <v>758</v>
      </c>
      <c r="K16" s="442" t="s">
        <v>759</v>
      </c>
      <c r="L16" s="442" t="s">
        <v>760</v>
      </c>
      <c r="M16" s="58" t="s">
        <v>761</v>
      </c>
      <c r="N16" s="58" t="s">
        <v>762</v>
      </c>
    </row>
    <row r="17" spans="1:14" x14ac:dyDescent="0.35">
      <c r="A17" s="56" t="s">
        <v>604</v>
      </c>
      <c r="B17" s="56">
        <v>350</v>
      </c>
      <c r="C17" s="564">
        <f t="shared" ref="C17:C21" si="7">$C$23/$B$23*B17</f>
        <v>4.6762908360000006</v>
      </c>
      <c r="D17" s="217">
        <f t="shared" ref="D17:D21" si="8">$D$23/$B$23*B17</f>
        <v>12.052880475999999</v>
      </c>
      <c r="E17" s="217"/>
      <c r="F17" s="217"/>
      <c r="G17" s="217"/>
      <c r="H17" s="217"/>
      <c r="I17" s="217"/>
      <c r="J17" s="463"/>
      <c r="K17" s="463"/>
      <c r="L17" s="462"/>
      <c r="M17" s="462"/>
      <c r="N17" s="462"/>
    </row>
    <row r="18" spans="1:14" x14ac:dyDescent="0.35">
      <c r="A18" s="56" t="s">
        <v>510</v>
      </c>
      <c r="B18" s="56">
        <v>300</v>
      </c>
      <c r="C18" s="564">
        <f t="shared" si="7"/>
        <v>4.0082492880000009</v>
      </c>
      <c r="D18" s="217">
        <f t="shared" si="8"/>
        <v>10.331040408</v>
      </c>
      <c r="E18" s="217"/>
      <c r="F18" s="217"/>
      <c r="G18" s="217"/>
      <c r="H18" s="217"/>
      <c r="I18" s="217"/>
      <c r="J18" s="463"/>
      <c r="K18" s="463"/>
      <c r="L18" s="462"/>
      <c r="M18" s="462"/>
      <c r="N18" s="462"/>
    </row>
    <row r="19" spans="1:14" x14ac:dyDescent="0.35">
      <c r="A19" s="56" t="s">
        <v>511</v>
      </c>
      <c r="B19" s="56">
        <v>500</v>
      </c>
      <c r="C19" s="564">
        <f t="shared" si="7"/>
        <v>6.6804154800000006</v>
      </c>
      <c r="D19" s="217">
        <f t="shared" si="8"/>
        <v>17.218400679999998</v>
      </c>
      <c r="E19" s="217"/>
      <c r="F19" s="217"/>
      <c r="G19" s="217"/>
      <c r="H19" s="217"/>
      <c r="I19" s="217"/>
      <c r="J19" s="463"/>
      <c r="K19" s="463"/>
      <c r="L19" s="462"/>
      <c r="M19" s="462"/>
      <c r="N19" s="462"/>
    </row>
    <row r="20" spans="1:14" x14ac:dyDescent="0.35">
      <c r="A20" s="56" t="s">
        <v>513</v>
      </c>
      <c r="B20" s="56">
        <v>300</v>
      </c>
      <c r="C20" s="564">
        <f t="shared" si="7"/>
        <v>4.0082492880000009</v>
      </c>
      <c r="D20" s="217">
        <f t="shared" si="8"/>
        <v>10.331040408</v>
      </c>
      <c r="E20" s="217"/>
      <c r="F20" s="217"/>
      <c r="G20" s="217"/>
      <c r="H20" s="217"/>
      <c r="I20" s="217"/>
      <c r="J20" s="463"/>
      <c r="K20" s="463"/>
      <c r="L20" s="462"/>
      <c r="M20" s="462"/>
      <c r="N20" s="462"/>
    </row>
    <row r="21" spans="1:14" x14ac:dyDescent="0.35">
      <c r="A21" s="56" t="s">
        <v>534</v>
      </c>
      <c r="B21" s="56">
        <v>500</v>
      </c>
      <c r="C21" s="564">
        <f t="shared" si="7"/>
        <v>6.6804154800000006</v>
      </c>
      <c r="D21" s="217">
        <f t="shared" si="8"/>
        <v>17.218400679999998</v>
      </c>
      <c r="E21" s="217"/>
      <c r="F21" s="217"/>
      <c r="G21" s="217"/>
      <c r="H21" s="217"/>
      <c r="I21" s="217"/>
      <c r="J21" s="463"/>
      <c r="K21" s="463"/>
      <c r="L21" s="462"/>
      <c r="M21" s="462"/>
      <c r="N21" s="462"/>
    </row>
    <row r="22" spans="1:14" x14ac:dyDescent="0.35">
      <c r="A22" s="56" t="s">
        <v>605</v>
      </c>
      <c r="B22" s="56">
        <v>550</v>
      </c>
      <c r="C22" s="564">
        <f>$C$23/$B$23*B22</f>
        <v>7.3484570280000012</v>
      </c>
      <c r="D22" s="217">
        <f>$D$23/$B$23*B22</f>
        <v>18.940240747999997</v>
      </c>
      <c r="E22" s="217"/>
      <c r="F22" s="217"/>
      <c r="G22" s="217"/>
      <c r="H22" s="217"/>
      <c r="I22" s="217"/>
      <c r="J22" s="463"/>
      <c r="K22" s="463"/>
      <c r="L22" s="462"/>
      <c r="M22" s="462"/>
      <c r="N22" s="462"/>
    </row>
    <row r="23" spans="1:14" x14ac:dyDescent="0.35">
      <c r="A23" s="374" t="s">
        <v>606</v>
      </c>
      <c r="B23" s="374">
        <f>SUM(B17:B22)</f>
        <v>2500</v>
      </c>
      <c r="C23" s="565">
        <f>('Apr-26'!U76+'Apr-26'!U60)</f>
        <v>33.402077400000003</v>
      </c>
      <c r="D23" s="375">
        <f>('May-26'!U76+'May-26'!U60)</f>
        <v>86.092003399999996</v>
      </c>
      <c r="E23" s="376"/>
      <c r="F23" s="376"/>
      <c r="G23" s="376"/>
      <c r="H23" s="376"/>
      <c r="I23" s="376"/>
      <c r="J23" s="441"/>
    </row>
    <row r="24" spans="1:14" x14ac:dyDescent="0.35">
      <c r="J24" s="440">
        <f>J23-I23</f>
        <v>0</v>
      </c>
    </row>
    <row r="25" spans="1:14" x14ac:dyDescent="0.35">
      <c r="B25" s="214"/>
      <c r="C25" s="4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94A7-E3BB-404C-A3CF-E2B717D05259}">
  <sheetPr>
    <tabColor rgb="FFFFC000"/>
  </sheetPr>
  <dimension ref="A1:N96"/>
  <sheetViews>
    <sheetView showGridLines="0" topLeftCell="A80" workbookViewId="0">
      <selection activeCell="A56" sqref="A56"/>
    </sheetView>
  </sheetViews>
  <sheetFormatPr defaultColWidth="8.81640625" defaultRowHeight="14.5" x14ac:dyDescent="0.35"/>
  <cols>
    <col min="2" max="2" width="9.81640625" style="556" customWidth="1"/>
    <col min="3" max="3" width="10.26953125" style="556" customWidth="1"/>
    <col min="4" max="4" width="10.08984375" style="556" bestFit="1" customWidth="1"/>
    <col min="5" max="6" width="12.54296875" bestFit="1" customWidth="1"/>
    <col min="7" max="7" width="11.81640625" bestFit="1" customWidth="1"/>
    <col min="12" max="14" width="9.36328125" bestFit="1" customWidth="1"/>
  </cols>
  <sheetData>
    <row r="1" spans="1:14" ht="18.5" x14ac:dyDescent="0.45">
      <c r="A1" s="555" t="s">
        <v>747</v>
      </c>
    </row>
    <row r="2" spans="1:14" ht="18.5" x14ac:dyDescent="0.45">
      <c r="A2" s="555"/>
    </row>
    <row r="3" spans="1:14" ht="18.5" x14ac:dyDescent="0.45">
      <c r="A3" s="555"/>
    </row>
    <row r="4" spans="1:14" ht="18.5" x14ac:dyDescent="0.45">
      <c r="A4" s="555" t="s">
        <v>611</v>
      </c>
      <c r="N4" s="557" t="s">
        <v>624</v>
      </c>
    </row>
    <row r="5" spans="1:14" x14ac:dyDescent="0.35">
      <c r="A5" s="57" t="s">
        <v>598</v>
      </c>
      <c r="B5" s="558" t="s">
        <v>597</v>
      </c>
      <c r="C5" s="559">
        <v>46113</v>
      </c>
      <c r="D5" s="559">
        <v>46143</v>
      </c>
      <c r="E5" s="559">
        <v>46174</v>
      </c>
      <c r="F5" s="559">
        <v>46204</v>
      </c>
      <c r="G5" s="559">
        <v>46235</v>
      </c>
      <c r="H5" s="559">
        <v>46266</v>
      </c>
      <c r="I5" s="559">
        <v>46296</v>
      </c>
      <c r="J5" s="559">
        <v>46327</v>
      </c>
      <c r="K5" s="559">
        <v>46357</v>
      </c>
      <c r="L5" s="559">
        <v>46388</v>
      </c>
      <c r="M5" s="559">
        <v>46419</v>
      </c>
      <c r="N5" s="559">
        <v>46447</v>
      </c>
    </row>
    <row r="6" spans="1:14" s="1" customFormat="1" x14ac:dyDescent="0.35">
      <c r="A6" s="569" t="s">
        <v>585</v>
      </c>
      <c r="B6" s="568">
        <f t="shared" ref="B6:B14" si="0">+B23+B39+B55+B70+B85</f>
        <v>2181.8072566442993</v>
      </c>
      <c r="C6" s="568">
        <f t="shared" ref="C6:N6" si="1">+C23+C39+C55+C70+C85</f>
        <v>2533.7062674077997</v>
      </c>
      <c r="D6" s="568">
        <f t="shared" si="1"/>
        <v>3084.6611922198495</v>
      </c>
      <c r="E6" s="568">
        <f t="shared" si="1"/>
        <v>0</v>
      </c>
      <c r="F6" s="568">
        <f t="shared" si="1"/>
        <v>0</v>
      </c>
      <c r="G6" s="568">
        <f t="shared" si="1"/>
        <v>0</v>
      </c>
      <c r="H6" s="568">
        <f t="shared" si="1"/>
        <v>0</v>
      </c>
      <c r="I6" s="568">
        <f t="shared" si="1"/>
        <v>0</v>
      </c>
      <c r="J6" s="568">
        <f t="shared" si="1"/>
        <v>0</v>
      </c>
      <c r="K6" s="568">
        <f t="shared" si="1"/>
        <v>0</v>
      </c>
      <c r="L6" s="568">
        <f t="shared" si="1"/>
        <v>0</v>
      </c>
      <c r="M6" s="568">
        <f t="shared" si="1"/>
        <v>0</v>
      </c>
      <c r="N6" s="568">
        <f t="shared" si="1"/>
        <v>0</v>
      </c>
    </row>
    <row r="7" spans="1:14" s="1" customFormat="1" x14ac:dyDescent="0.35">
      <c r="A7" s="569" t="s">
        <v>586</v>
      </c>
      <c r="B7" s="568">
        <f t="shared" si="0"/>
        <v>2380.5172347799994</v>
      </c>
      <c r="C7" s="568">
        <f t="shared" ref="C7:N7" si="2">+C24+C40+C56+C71+C86</f>
        <v>2544.1782062499992</v>
      </c>
      <c r="D7" s="568">
        <f t="shared" si="2"/>
        <v>2466.6618678299997</v>
      </c>
      <c r="E7" s="568">
        <f t="shared" si="2"/>
        <v>0</v>
      </c>
      <c r="F7" s="568">
        <f t="shared" si="2"/>
        <v>0</v>
      </c>
      <c r="G7" s="568">
        <f t="shared" si="2"/>
        <v>0</v>
      </c>
      <c r="H7" s="568">
        <f t="shared" si="2"/>
        <v>0</v>
      </c>
      <c r="I7" s="568">
        <f t="shared" si="2"/>
        <v>0</v>
      </c>
      <c r="J7" s="568">
        <f t="shared" si="2"/>
        <v>0</v>
      </c>
      <c r="K7" s="568">
        <f t="shared" si="2"/>
        <v>0</v>
      </c>
      <c r="L7" s="568">
        <f t="shared" si="2"/>
        <v>0</v>
      </c>
      <c r="M7" s="568">
        <f t="shared" si="2"/>
        <v>0</v>
      </c>
      <c r="N7" s="568">
        <f t="shared" si="2"/>
        <v>0</v>
      </c>
    </row>
    <row r="8" spans="1:14" s="572" customFormat="1" x14ac:dyDescent="0.35">
      <c r="A8" s="570" t="s">
        <v>748</v>
      </c>
      <c r="B8" s="571">
        <f t="shared" si="0"/>
        <v>753.2107193633426</v>
      </c>
      <c r="C8" s="571">
        <f t="shared" ref="C8:N8" si="3">+C25+C41+C57+C72+C87</f>
        <v>992.12304256664322</v>
      </c>
      <c r="D8" s="571">
        <f t="shared" si="3"/>
        <v>830.86880254466769</v>
      </c>
      <c r="E8" s="571">
        <f t="shared" si="3"/>
        <v>0</v>
      </c>
      <c r="F8" s="571">
        <f t="shared" si="3"/>
        <v>0</v>
      </c>
      <c r="G8" s="571">
        <f t="shared" si="3"/>
        <v>0</v>
      </c>
      <c r="H8" s="571">
        <f t="shared" si="3"/>
        <v>0</v>
      </c>
      <c r="I8" s="571">
        <f t="shared" si="3"/>
        <v>0</v>
      </c>
      <c r="J8" s="571">
        <f t="shared" si="3"/>
        <v>0</v>
      </c>
      <c r="K8" s="571">
        <f t="shared" si="3"/>
        <v>0</v>
      </c>
      <c r="L8" s="571">
        <f t="shared" si="3"/>
        <v>0</v>
      </c>
      <c r="M8" s="571">
        <f t="shared" si="3"/>
        <v>0</v>
      </c>
      <c r="N8" s="571">
        <f t="shared" si="3"/>
        <v>0</v>
      </c>
    </row>
    <row r="9" spans="1:14" x14ac:dyDescent="0.35">
      <c r="A9" s="57" t="s">
        <v>587</v>
      </c>
      <c r="B9" s="329">
        <f t="shared" si="0"/>
        <v>2977.5438606619996</v>
      </c>
      <c r="C9" s="329">
        <f t="shared" ref="C9:N9" si="4">+C26+C42+C58+C73+C88</f>
        <v>3464.9702538859997</v>
      </c>
      <c r="D9" s="329">
        <f t="shared" si="4"/>
        <v>3766.830506712</v>
      </c>
      <c r="E9" s="329">
        <f t="shared" si="4"/>
        <v>0</v>
      </c>
      <c r="F9" s="329">
        <f t="shared" si="4"/>
        <v>0</v>
      </c>
      <c r="G9" s="329">
        <f t="shared" si="4"/>
        <v>0</v>
      </c>
      <c r="H9" s="329">
        <f t="shared" si="4"/>
        <v>0</v>
      </c>
      <c r="I9" s="329">
        <f t="shared" si="4"/>
        <v>0</v>
      </c>
      <c r="J9" s="329">
        <f t="shared" si="4"/>
        <v>0</v>
      </c>
      <c r="K9" s="329">
        <f t="shared" si="4"/>
        <v>0</v>
      </c>
      <c r="L9" s="329">
        <f t="shared" si="4"/>
        <v>0</v>
      </c>
      <c r="M9" s="329">
        <f t="shared" si="4"/>
        <v>0</v>
      </c>
      <c r="N9" s="329">
        <f t="shared" si="4"/>
        <v>0</v>
      </c>
    </row>
    <row r="10" spans="1:14" s="1" customFormat="1" hidden="1" x14ac:dyDescent="0.35">
      <c r="A10" s="569" t="s">
        <v>588</v>
      </c>
      <c r="B10" s="568">
        <f t="shared" si="0"/>
        <v>0</v>
      </c>
      <c r="C10" s="568">
        <f t="shared" ref="C10:N10" si="5">+C27+C43+C59+C74+C89</f>
        <v>0</v>
      </c>
      <c r="D10" s="568">
        <f t="shared" si="5"/>
        <v>0</v>
      </c>
      <c r="E10" s="568">
        <f t="shared" si="5"/>
        <v>0</v>
      </c>
      <c r="F10" s="568">
        <f t="shared" si="5"/>
        <v>0</v>
      </c>
      <c r="G10" s="568">
        <f t="shared" si="5"/>
        <v>0</v>
      </c>
      <c r="H10" s="568">
        <f t="shared" si="5"/>
        <v>0</v>
      </c>
      <c r="I10" s="568">
        <f t="shared" si="5"/>
        <v>0</v>
      </c>
      <c r="J10" s="568">
        <f t="shared" si="5"/>
        <v>0</v>
      </c>
      <c r="K10" s="568">
        <f t="shared" si="5"/>
        <v>0</v>
      </c>
      <c r="L10" s="568">
        <f t="shared" si="5"/>
        <v>0</v>
      </c>
      <c r="M10" s="568">
        <f t="shared" si="5"/>
        <v>0</v>
      </c>
      <c r="N10" s="568">
        <f t="shared" si="5"/>
        <v>0</v>
      </c>
    </row>
    <row r="11" spans="1:14" s="1" customFormat="1" x14ac:dyDescent="0.35">
      <c r="A11" s="569" t="s">
        <v>589</v>
      </c>
      <c r="B11" s="568">
        <f t="shared" si="0"/>
        <v>687.40975486255707</v>
      </c>
      <c r="C11" s="568">
        <f t="shared" ref="C11:N11" si="6">+C28+C44+C60+C75+C90</f>
        <v>912.84895376813711</v>
      </c>
      <c r="D11" s="568">
        <f t="shared" si="6"/>
        <v>1124.4677726738978</v>
      </c>
      <c r="E11" s="568">
        <f t="shared" si="6"/>
        <v>0</v>
      </c>
      <c r="F11" s="568">
        <f t="shared" si="6"/>
        <v>0</v>
      </c>
      <c r="G11" s="568">
        <f t="shared" si="6"/>
        <v>0</v>
      </c>
      <c r="H11" s="568">
        <f t="shared" si="6"/>
        <v>0</v>
      </c>
      <c r="I11" s="568">
        <f t="shared" si="6"/>
        <v>0</v>
      </c>
      <c r="J11" s="568">
        <f t="shared" si="6"/>
        <v>0</v>
      </c>
      <c r="K11" s="568">
        <f t="shared" si="6"/>
        <v>0</v>
      </c>
      <c r="L11" s="568">
        <f t="shared" si="6"/>
        <v>0</v>
      </c>
      <c r="M11" s="568">
        <f t="shared" si="6"/>
        <v>0</v>
      </c>
      <c r="N11" s="568">
        <f t="shared" si="6"/>
        <v>0</v>
      </c>
    </row>
    <row r="12" spans="1:14" s="572" customFormat="1" x14ac:dyDescent="0.35">
      <c r="A12" s="574" t="s">
        <v>590</v>
      </c>
      <c r="B12" s="571">
        <f t="shared" si="0"/>
        <v>747.94884999999999</v>
      </c>
      <c r="C12" s="571">
        <f t="shared" ref="C12:N12" si="7">+C29+C45+C61+C76+C91</f>
        <v>1289.8346900000001</v>
      </c>
      <c r="D12" s="571">
        <f t="shared" si="7"/>
        <v>1943.8675900000001</v>
      </c>
      <c r="E12" s="571">
        <f t="shared" si="7"/>
        <v>0</v>
      </c>
      <c r="F12" s="571">
        <f t="shared" si="7"/>
        <v>0</v>
      </c>
      <c r="G12" s="571">
        <f t="shared" si="7"/>
        <v>0</v>
      </c>
      <c r="H12" s="571">
        <f t="shared" si="7"/>
        <v>0</v>
      </c>
      <c r="I12" s="571">
        <f t="shared" si="7"/>
        <v>0</v>
      </c>
      <c r="J12" s="571">
        <f t="shared" si="7"/>
        <v>0</v>
      </c>
      <c r="K12" s="571">
        <f t="shared" si="7"/>
        <v>0</v>
      </c>
      <c r="L12" s="571">
        <f t="shared" si="7"/>
        <v>0</v>
      </c>
      <c r="M12" s="571">
        <f t="shared" si="7"/>
        <v>0</v>
      </c>
      <c r="N12" s="571">
        <f t="shared" si="7"/>
        <v>0</v>
      </c>
    </row>
    <row r="13" spans="1:14" s="572" customFormat="1" x14ac:dyDescent="0.35">
      <c r="A13" s="574" t="s">
        <v>591</v>
      </c>
      <c r="B13" s="571">
        <f t="shared" si="0"/>
        <v>61.155259999999998</v>
      </c>
      <c r="C13" s="571">
        <f t="shared" ref="C13:N13" si="8">+C30+C46+C62+C77+C92</f>
        <v>49.339960000000005</v>
      </c>
      <c r="D13" s="571">
        <f t="shared" si="8"/>
        <v>49.469248899999997</v>
      </c>
      <c r="E13" s="571">
        <f t="shared" si="8"/>
        <v>0</v>
      </c>
      <c r="F13" s="571">
        <f t="shared" si="8"/>
        <v>0</v>
      </c>
      <c r="G13" s="571">
        <f t="shared" si="8"/>
        <v>0</v>
      </c>
      <c r="H13" s="571">
        <f t="shared" si="8"/>
        <v>0</v>
      </c>
      <c r="I13" s="571">
        <f t="shared" si="8"/>
        <v>0</v>
      </c>
      <c r="J13" s="571">
        <f t="shared" si="8"/>
        <v>0</v>
      </c>
      <c r="K13" s="571">
        <f t="shared" si="8"/>
        <v>0</v>
      </c>
      <c r="L13" s="571">
        <f t="shared" si="8"/>
        <v>0</v>
      </c>
      <c r="M13" s="571">
        <f t="shared" si="8"/>
        <v>0</v>
      </c>
      <c r="N13" s="571">
        <f t="shared" si="8"/>
        <v>0</v>
      </c>
    </row>
    <row r="14" spans="1:14" s="572" customFormat="1" x14ac:dyDescent="0.35">
      <c r="A14" s="574" t="s">
        <v>592</v>
      </c>
      <c r="B14" s="571">
        <f t="shared" si="0"/>
        <v>22.118539999999999</v>
      </c>
      <c r="C14" s="571">
        <f t="shared" ref="C14:N15" si="9">+C31+C47+C63+C78+C93</f>
        <v>22.118539999999999</v>
      </c>
      <c r="D14" s="571">
        <f t="shared" si="9"/>
        <v>22.118539999999999</v>
      </c>
      <c r="E14" s="571">
        <f t="shared" si="9"/>
        <v>0</v>
      </c>
      <c r="F14" s="571">
        <f t="shared" si="9"/>
        <v>0</v>
      </c>
      <c r="G14" s="571">
        <f t="shared" si="9"/>
        <v>0</v>
      </c>
      <c r="H14" s="571">
        <f t="shared" si="9"/>
        <v>0</v>
      </c>
      <c r="I14" s="571">
        <f t="shared" si="9"/>
        <v>0</v>
      </c>
      <c r="J14" s="571">
        <f t="shared" si="9"/>
        <v>0</v>
      </c>
      <c r="K14" s="571">
        <f t="shared" si="9"/>
        <v>0</v>
      </c>
      <c r="L14" s="571">
        <f t="shared" si="9"/>
        <v>0</v>
      </c>
      <c r="M14" s="571">
        <f t="shared" si="9"/>
        <v>0</v>
      </c>
      <c r="N14" s="571">
        <f t="shared" si="9"/>
        <v>0</v>
      </c>
    </row>
    <row r="15" spans="1:14" s="572" customFormat="1" x14ac:dyDescent="0.35">
      <c r="A15" s="574" t="s">
        <v>750</v>
      </c>
      <c r="B15" s="571">
        <v>0</v>
      </c>
      <c r="C15" s="571">
        <f>+C32+C48+C64+C79+C94</f>
        <v>18.349119999999999</v>
      </c>
      <c r="D15" s="571">
        <f t="shared" si="9"/>
        <v>44.773560000000003</v>
      </c>
      <c r="E15" s="571"/>
      <c r="F15" s="571"/>
      <c r="G15" s="571"/>
      <c r="H15" s="571"/>
      <c r="I15" s="571"/>
      <c r="J15" s="571"/>
      <c r="K15" s="571"/>
      <c r="L15" s="571"/>
      <c r="M15" s="571"/>
      <c r="N15" s="571"/>
    </row>
    <row r="16" spans="1:14" s="1" customFormat="1" x14ac:dyDescent="0.35">
      <c r="A16" s="569" t="s">
        <v>534</v>
      </c>
      <c r="B16" s="568">
        <f>+B33+B49+B65+B80+B95</f>
        <v>589.73917338121362</v>
      </c>
      <c r="C16" s="568">
        <f>+C33+C49+C65+C80+C95</f>
        <v>773.99988168283278</v>
      </c>
      <c r="D16" s="568">
        <f t="shared" ref="D16:N16" si="10">+D33+D49+D65+D80+D95</f>
        <v>817.52614589931238</v>
      </c>
      <c r="E16" s="568">
        <f t="shared" si="10"/>
        <v>0</v>
      </c>
      <c r="F16" s="568">
        <f t="shared" si="10"/>
        <v>0</v>
      </c>
      <c r="G16" s="568">
        <f t="shared" si="10"/>
        <v>0</v>
      </c>
      <c r="H16" s="568">
        <f t="shared" si="10"/>
        <v>0</v>
      </c>
      <c r="I16" s="568">
        <f t="shared" si="10"/>
        <v>0</v>
      </c>
      <c r="J16" s="568">
        <f t="shared" si="10"/>
        <v>0</v>
      </c>
      <c r="K16" s="568">
        <f t="shared" si="10"/>
        <v>0</v>
      </c>
      <c r="L16" s="568">
        <f t="shared" si="10"/>
        <v>0</v>
      </c>
      <c r="M16" s="568">
        <f t="shared" si="10"/>
        <v>0</v>
      </c>
      <c r="N16" s="568">
        <f t="shared" si="10"/>
        <v>0</v>
      </c>
    </row>
    <row r="17" spans="1:14" s="1" customFormat="1" x14ac:dyDescent="0.35">
      <c r="A17" s="569" t="s">
        <v>593</v>
      </c>
      <c r="B17" s="568">
        <f>+B34+B50+B66+B81+B96</f>
        <v>259.23212243017298</v>
      </c>
      <c r="C17" s="568">
        <f>+C34+C50+C66+C81+C96</f>
        <v>328.13200529880021</v>
      </c>
      <c r="D17" s="568">
        <f t="shared" ref="D17:N17" si="11">+D34+D50+D66+D81+D96</f>
        <v>239.32668943470907</v>
      </c>
      <c r="E17" s="568">
        <f t="shared" si="11"/>
        <v>0</v>
      </c>
      <c r="F17" s="568">
        <f t="shared" si="11"/>
        <v>0</v>
      </c>
      <c r="G17" s="568">
        <f t="shared" si="11"/>
        <v>0</v>
      </c>
      <c r="H17" s="568">
        <f t="shared" si="11"/>
        <v>0</v>
      </c>
      <c r="I17" s="568">
        <f t="shared" si="11"/>
        <v>0</v>
      </c>
      <c r="J17" s="568">
        <f t="shared" si="11"/>
        <v>0</v>
      </c>
      <c r="K17" s="568">
        <f t="shared" si="11"/>
        <v>0</v>
      </c>
      <c r="L17" s="568">
        <f t="shared" si="11"/>
        <v>0</v>
      </c>
      <c r="M17" s="568">
        <f t="shared" si="11"/>
        <v>0</v>
      </c>
      <c r="N17" s="568">
        <f t="shared" si="11"/>
        <v>0</v>
      </c>
    </row>
    <row r="18" spans="1:14" x14ac:dyDescent="0.35">
      <c r="A18" s="38"/>
      <c r="B18" s="561">
        <f t="shared" ref="B18:M18" si="12">SUM(B6:B17)</f>
        <v>10660.682772123584</v>
      </c>
      <c r="C18" s="560">
        <f t="shared" si="12"/>
        <v>12929.600920860212</v>
      </c>
      <c r="D18" s="560">
        <f t="shared" si="12"/>
        <v>14390.571916214434</v>
      </c>
      <c r="E18" s="560">
        <f t="shared" si="12"/>
        <v>0</v>
      </c>
      <c r="F18" s="560">
        <f t="shared" si="12"/>
        <v>0</v>
      </c>
      <c r="G18" s="560">
        <f t="shared" si="12"/>
        <v>0</v>
      </c>
      <c r="H18" s="439">
        <f t="shared" si="12"/>
        <v>0</v>
      </c>
      <c r="I18" s="439">
        <f t="shared" si="12"/>
        <v>0</v>
      </c>
      <c r="J18" s="439">
        <f t="shared" si="12"/>
        <v>0</v>
      </c>
      <c r="K18" s="439">
        <f t="shared" si="12"/>
        <v>0</v>
      </c>
      <c r="L18" s="439">
        <f t="shared" si="12"/>
        <v>0</v>
      </c>
      <c r="M18" s="439">
        <f t="shared" si="12"/>
        <v>0</v>
      </c>
      <c r="N18" s="560">
        <f t="shared" ref="N18" si="13">SUM(N6:N17)</f>
        <v>0</v>
      </c>
    </row>
    <row r="19" spans="1:14" x14ac:dyDescent="0.35">
      <c r="A19" s="38"/>
      <c r="B19" s="561"/>
      <c r="C19" s="561"/>
      <c r="D19" s="561"/>
      <c r="J19" s="439"/>
    </row>
    <row r="21" spans="1:14" x14ac:dyDescent="0.35">
      <c r="A21" s="38" t="s">
        <v>599</v>
      </c>
      <c r="N21" s="38" t="s">
        <v>504</v>
      </c>
    </row>
    <row r="22" spans="1:14" x14ac:dyDescent="0.35">
      <c r="A22" s="57" t="s">
        <v>598</v>
      </c>
      <c r="B22" s="558" t="s">
        <v>597</v>
      </c>
      <c r="C22" s="559">
        <v>46113</v>
      </c>
      <c r="D22" s="559">
        <v>46143</v>
      </c>
      <c r="E22" s="559">
        <v>46174</v>
      </c>
      <c r="F22" s="559">
        <v>46204</v>
      </c>
      <c r="G22" s="559">
        <v>46235</v>
      </c>
      <c r="H22" s="559">
        <v>46266</v>
      </c>
      <c r="I22" s="559">
        <v>46296</v>
      </c>
      <c r="J22" s="559">
        <v>46327</v>
      </c>
      <c r="K22" s="559">
        <v>46357</v>
      </c>
      <c r="L22" s="559">
        <v>46388</v>
      </c>
      <c r="M22" s="559">
        <v>46419</v>
      </c>
      <c r="N22" s="559">
        <v>46447</v>
      </c>
    </row>
    <row r="23" spans="1:14" s="572" customFormat="1" x14ac:dyDescent="0.35">
      <c r="A23" s="574" t="s">
        <v>585</v>
      </c>
      <c r="B23" s="571">
        <v>1183.6307590923002</v>
      </c>
      <c r="C23" s="571">
        <v>1596.0972546478001</v>
      </c>
      <c r="D23" s="571">
        <v>1978.2852427108503</v>
      </c>
      <c r="E23" s="571"/>
      <c r="F23" s="573"/>
      <c r="G23" s="575"/>
      <c r="H23" s="573"/>
      <c r="I23" s="570"/>
      <c r="J23" s="570"/>
      <c r="K23" s="570"/>
      <c r="L23" s="571"/>
      <c r="M23" s="570"/>
      <c r="N23" s="571"/>
    </row>
    <row r="24" spans="1:14" s="572" customFormat="1" x14ac:dyDescent="0.35">
      <c r="A24" s="574" t="s">
        <v>586</v>
      </c>
      <c r="B24" s="571">
        <v>777.07440417999999</v>
      </c>
      <c r="C24" s="571">
        <v>785.18480854999984</v>
      </c>
      <c r="D24" s="571">
        <v>861.26945022999973</v>
      </c>
      <c r="E24" s="571"/>
      <c r="F24" s="573"/>
      <c r="G24" s="575"/>
      <c r="H24" s="570"/>
      <c r="I24" s="573"/>
      <c r="J24" s="570"/>
      <c r="K24" s="570"/>
      <c r="L24" s="571"/>
      <c r="M24" s="570"/>
      <c r="N24" s="571"/>
    </row>
    <row r="25" spans="1:14" s="572" customFormat="1" x14ac:dyDescent="0.35">
      <c r="A25" s="570" t="s">
        <v>748</v>
      </c>
      <c r="B25" s="571">
        <v>311.59770216782988</v>
      </c>
      <c r="C25" s="571">
        <v>391.80278746664334</v>
      </c>
      <c r="D25" s="571">
        <v>233.13946774466768</v>
      </c>
      <c r="E25" s="571"/>
      <c r="F25" s="573"/>
      <c r="G25" s="575"/>
      <c r="H25" s="570"/>
      <c r="I25" s="570"/>
      <c r="J25" s="570"/>
      <c r="K25" s="570"/>
      <c r="L25" s="571"/>
      <c r="M25" s="570"/>
      <c r="N25" s="571"/>
    </row>
    <row r="26" spans="1:14" s="572" customFormat="1" x14ac:dyDescent="0.35">
      <c r="A26" s="574" t="s">
        <v>587</v>
      </c>
      <c r="B26" s="571">
        <v>784.09106046199997</v>
      </c>
      <c r="C26" s="571">
        <v>742.48235333400009</v>
      </c>
      <c r="D26" s="571">
        <v>533.047663102</v>
      </c>
      <c r="E26" s="571"/>
      <c r="F26" s="573"/>
      <c r="G26" s="575"/>
      <c r="H26" s="570"/>
      <c r="I26" s="573"/>
      <c r="J26" s="570"/>
      <c r="K26" s="570"/>
      <c r="L26" s="571"/>
      <c r="M26" s="570"/>
      <c r="N26" s="571"/>
    </row>
    <row r="27" spans="1:14" s="572" customFormat="1" x14ac:dyDescent="0.35">
      <c r="A27" s="574" t="s">
        <v>588</v>
      </c>
      <c r="B27" s="571"/>
      <c r="C27" s="571"/>
      <c r="D27" s="571"/>
      <c r="E27" s="571"/>
      <c r="F27" s="571"/>
      <c r="G27" s="578"/>
      <c r="H27" s="570"/>
      <c r="I27" s="570"/>
      <c r="J27" s="570"/>
      <c r="K27" s="570"/>
      <c r="L27" s="571"/>
      <c r="M27" s="570"/>
      <c r="N27" s="571"/>
    </row>
    <row r="28" spans="1:14" s="572" customFormat="1" x14ac:dyDescent="0.35">
      <c r="A28" s="574" t="s">
        <v>589</v>
      </c>
      <c r="B28" s="571">
        <v>238.54651416477458</v>
      </c>
      <c r="C28" s="571">
        <v>390.22932823144009</v>
      </c>
      <c r="D28" s="571">
        <v>461.24977382682994</v>
      </c>
      <c r="E28" s="571"/>
      <c r="F28" s="571"/>
      <c r="G28" s="575"/>
      <c r="H28" s="570"/>
      <c r="I28" s="570"/>
      <c r="J28" s="570"/>
      <c r="K28" s="570"/>
      <c r="L28" s="571"/>
      <c r="M28" s="570"/>
      <c r="N28" s="571"/>
    </row>
    <row r="29" spans="1:14" s="572" customFormat="1" x14ac:dyDescent="0.35">
      <c r="A29" s="574" t="s">
        <v>590</v>
      </c>
      <c r="B29" s="571">
        <v>168.89589000000001</v>
      </c>
      <c r="C29" s="571">
        <v>802.99242000000004</v>
      </c>
      <c r="D29" s="571">
        <v>1375.63696</v>
      </c>
      <c r="E29" s="571"/>
      <c r="F29" s="571"/>
      <c r="G29" s="575"/>
      <c r="H29" s="570"/>
      <c r="I29" s="570"/>
      <c r="J29" s="570"/>
      <c r="K29" s="570"/>
      <c r="L29" s="571"/>
      <c r="M29" s="570"/>
      <c r="N29" s="571"/>
    </row>
    <row r="30" spans="1:14" s="572" customFormat="1" x14ac:dyDescent="0.35">
      <c r="A30" s="574" t="s">
        <v>591</v>
      </c>
      <c r="B30" s="571">
        <v>26.899460000000001</v>
      </c>
      <c r="C30" s="571">
        <v>24.652909999999999</v>
      </c>
      <c r="D30" s="571">
        <v>21.918970000000002</v>
      </c>
      <c r="E30" s="571"/>
      <c r="F30" s="571"/>
      <c r="G30" s="575"/>
      <c r="H30" s="570"/>
      <c r="I30" s="570"/>
      <c r="J30" s="570"/>
      <c r="K30" s="570"/>
      <c r="L30" s="571"/>
      <c r="M30" s="570"/>
      <c r="N30" s="571"/>
    </row>
    <row r="31" spans="1:14" s="572" customFormat="1" x14ac:dyDescent="0.35">
      <c r="A31" s="574" t="s">
        <v>592</v>
      </c>
      <c r="B31" s="571">
        <v>22.118539999999999</v>
      </c>
      <c r="C31" s="571">
        <v>22.118539999999999</v>
      </c>
      <c r="D31" s="571">
        <v>22.118539999999999</v>
      </c>
      <c r="E31" s="571"/>
      <c r="F31" s="570"/>
      <c r="G31" s="576"/>
      <c r="H31" s="570"/>
      <c r="I31" s="570"/>
      <c r="J31" s="570"/>
      <c r="K31" s="570"/>
      <c r="L31" s="571"/>
      <c r="M31" s="570"/>
      <c r="N31" s="571"/>
    </row>
    <row r="32" spans="1:14" s="572" customFormat="1" x14ac:dyDescent="0.35">
      <c r="A32" s="574" t="s">
        <v>750</v>
      </c>
      <c r="B32" s="571"/>
      <c r="C32" s="571"/>
      <c r="D32" s="571"/>
      <c r="E32" s="571"/>
      <c r="F32" s="570"/>
      <c r="G32" s="576"/>
      <c r="H32" s="570"/>
      <c r="I32" s="570"/>
      <c r="J32" s="570"/>
      <c r="K32" s="570"/>
      <c r="L32" s="571"/>
      <c r="M32" s="570"/>
      <c r="N32" s="571"/>
    </row>
    <row r="33" spans="1:14" s="572" customFormat="1" x14ac:dyDescent="0.35">
      <c r="A33" s="574" t="s">
        <v>534</v>
      </c>
      <c r="B33" s="571">
        <v>78.787351563410851</v>
      </c>
      <c r="C33" s="571">
        <v>163.54889901280086</v>
      </c>
      <c r="D33" s="571">
        <v>209.31103522586577</v>
      </c>
      <c r="E33" s="571"/>
      <c r="F33" s="570"/>
      <c r="G33" s="575"/>
      <c r="H33" s="570"/>
      <c r="I33" s="570"/>
      <c r="J33" s="570"/>
      <c r="K33" s="570"/>
      <c r="L33" s="571"/>
      <c r="M33" s="570"/>
      <c r="N33" s="571"/>
    </row>
    <row r="34" spans="1:14" s="572" customFormat="1" x14ac:dyDescent="0.35">
      <c r="A34" s="574" t="s">
        <v>593</v>
      </c>
      <c r="B34" s="571">
        <v>21.170826430172962</v>
      </c>
      <c r="C34" s="571">
        <v>83.56066079999998</v>
      </c>
      <c r="D34" s="571">
        <v>25.641961935908707</v>
      </c>
      <c r="E34" s="571"/>
      <c r="F34" s="570"/>
      <c r="G34" s="575"/>
      <c r="H34" s="570"/>
      <c r="I34" s="570"/>
      <c r="J34" s="570"/>
      <c r="K34" s="573"/>
      <c r="L34" s="571"/>
      <c r="M34" s="570"/>
      <c r="N34" s="571"/>
    </row>
    <row r="35" spans="1:14" x14ac:dyDescent="0.35">
      <c r="A35" s="57" t="s">
        <v>749</v>
      </c>
      <c r="B35" s="329"/>
      <c r="C35" s="329"/>
      <c r="D35" s="329"/>
      <c r="E35" s="329"/>
      <c r="F35" s="56"/>
      <c r="G35" s="56"/>
      <c r="H35" s="56"/>
      <c r="I35" s="56"/>
      <c r="J35" s="56"/>
      <c r="K35" s="56"/>
      <c r="L35" s="329"/>
      <c r="M35" s="56"/>
      <c r="N35" s="329"/>
    </row>
    <row r="37" spans="1:14" x14ac:dyDescent="0.35">
      <c r="A37" s="38" t="s">
        <v>600</v>
      </c>
    </row>
    <row r="38" spans="1:14" x14ac:dyDescent="0.35">
      <c r="A38" s="57" t="s">
        <v>598</v>
      </c>
      <c r="B38" s="558" t="s">
        <v>597</v>
      </c>
      <c r="C38" s="559">
        <v>46113</v>
      </c>
      <c r="D38" s="559">
        <v>46143</v>
      </c>
      <c r="E38" s="559">
        <v>46174</v>
      </c>
      <c r="F38" s="559">
        <v>46204</v>
      </c>
      <c r="G38" s="559">
        <v>46235</v>
      </c>
      <c r="H38" s="559">
        <v>46266</v>
      </c>
      <c r="I38" s="559">
        <v>46296</v>
      </c>
      <c r="J38" s="559">
        <v>46327</v>
      </c>
      <c r="K38" s="559">
        <v>46357</v>
      </c>
      <c r="L38" s="559">
        <v>46388</v>
      </c>
      <c r="M38" s="559">
        <v>46419</v>
      </c>
      <c r="N38" s="559">
        <v>46447</v>
      </c>
    </row>
    <row r="39" spans="1:14" s="572" customFormat="1" x14ac:dyDescent="0.35">
      <c r="A39" s="570" t="s">
        <v>585</v>
      </c>
      <c r="B39" s="571">
        <v>7.8284832999999976</v>
      </c>
      <c r="C39" s="571">
        <v>6.1167381999999986</v>
      </c>
      <c r="D39" s="571">
        <v>7.9004310999999987</v>
      </c>
      <c r="E39" s="571"/>
      <c r="F39" s="573"/>
      <c r="G39" s="570"/>
      <c r="H39" s="570"/>
      <c r="I39" s="570"/>
      <c r="J39" s="570"/>
      <c r="K39" s="570"/>
      <c r="L39" s="571"/>
      <c r="M39" s="570"/>
      <c r="N39" s="571"/>
    </row>
    <row r="40" spans="1:14" s="572" customFormat="1" x14ac:dyDescent="0.35">
      <c r="A40" s="570" t="s">
        <v>586</v>
      </c>
      <c r="B40" s="571"/>
      <c r="C40" s="571"/>
      <c r="D40" s="571"/>
      <c r="E40" s="571"/>
      <c r="F40" s="571"/>
      <c r="G40" s="571"/>
      <c r="H40" s="570"/>
      <c r="I40" s="570"/>
      <c r="J40" s="570"/>
      <c r="K40" s="570"/>
      <c r="L40" s="571"/>
      <c r="M40" s="570"/>
      <c r="N40" s="571"/>
    </row>
    <row r="41" spans="1:14" s="572" customFormat="1" x14ac:dyDescent="0.35">
      <c r="A41" s="570" t="s">
        <v>748</v>
      </c>
      <c r="B41" s="571">
        <v>12.59</v>
      </c>
      <c r="C41" s="571">
        <v>12.87</v>
      </c>
      <c r="D41" s="571">
        <v>10.49</v>
      </c>
      <c r="E41" s="571"/>
      <c r="F41" s="570"/>
      <c r="G41" s="570"/>
      <c r="H41" s="570"/>
      <c r="I41" s="573"/>
      <c r="J41" s="570"/>
      <c r="K41" s="570"/>
      <c r="L41" s="571"/>
      <c r="M41" s="570"/>
      <c r="N41" s="571"/>
    </row>
    <row r="42" spans="1:14" s="572" customFormat="1" x14ac:dyDescent="0.35">
      <c r="A42" s="570" t="s">
        <v>587</v>
      </c>
      <c r="B42" s="571"/>
      <c r="C42" s="571"/>
      <c r="D42" s="571"/>
      <c r="E42" s="571"/>
      <c r="F42" s="570"/>
      <c r="G42" s="570"/>
      <c r="H42" s="570"/>
      <c r="I42" s="570"/>
      <c r="J42" s="570"/>
      <c r="K42" s="570"/>
      <c r="L42" s="571"/>
      <c r="M42" s="570"/>
      <c r="N42" s="571"/>
    </row>
    <row r="43" spans="1:14" s="572" customFormat="1" x14ac:dyDescent="0.35">
      <c r="A43" s="570" t="s">
        <v>588</v>
      </c>
      <c r="B43" s="571"/>
      <c r="C43" s="571"/>
      <c r="D43" s="571"/>
      <c r="E43" s="571"/>
      <c r="F43" s="571"/>
      <c r="G43" s="571"/>
      <c r="H43" s="570"/>
      <c r="I43" s="570"/>
      <c r="J43" s="570"/>
      <c r="K43" s="570"/>
      <c r="L43" s="571"/>
      <c r="M43" s="570"/>
      <c r="N43" s="571"/>
    </row>
    <row r="44" spans="1:14" s="572" customFormat="1" x14ac:dyDescent="0.35">
      <c r="A44" s="570" t="s">
        <v>589</v>
      </c>
      <c r="B44" s="571"/>
      <c r="C44" s="571"/>
      <c r="D44" s="571"/>
      <c r="E44" s="571"/>
      <c r="F44" s="571"/>
      <c r="G44" s="571"/>
      <c r="H44" s="570"/>
      <c r="I44" s="570"/>
      <c r="J44" s="570"/>
      <c r="K44" s="570"/>
      <c r="L44" s="571"/>
      <c r="M44" s="570"/>
      <c r="N44" s="571"/>
    </row>
    <row r="45" spans="1:14" s="572" customFormat="1" x14ac:dyDescent="0.35">
      <c r="A45" s="570" t="s">
        <v>590</v>
      </c>
      <c r="B45" s="571"/>
      <c r="C45" s="571"/>
      <c r="D45" s="571"/>
      <c r="E45" s="571"/>
      <c r="F45" s="571"/>
      <c r="G45" s="570"/>
      <c r="H45" s="570"/>
      <c r="I45" s="570"/>
      <c r="J45" s="570"/>
      <c r="K45" s="570"/>
      <c r="L45" s="571"/>
      <c r="M45" s="570"/>
      <c r="N45" s="571"/>
    </row>
    <row r="46" spans="1:14" s="572" customFormat="1" x14ac:dyDescent="0.35">
      <c r="A46" s="570" t="s">
        <v>591</v>
      </c>
      <c r="B46" s="571"/>
      <c r="C46" s="571"/>
      <c r="D46" s="571"/>
      <c r="E46" s="571"/>
      <c r="F46" s="571"/>
      <c r="G46" s="571"/>
      <c r="H46" s="570"/>
      <c r="I46" s="570"/>
      <c r="J46" s="570"/>
      <c r="K46" s="570"/>
      <c r="L46" s="571"/>
      <c r="M46" s="570"/>
      <c r="N46" s="571"/>
    </row>
    <row r="47" spans="1:14" s="572" customFormat="1" x14ac:dyDescent="0.35">
      <c r="A47" s="570" t="s">
        <v>592</v>
      </c>
      <c r="B47" s="571"/>
      <c r="C47" s="571"/>
      <c r="D47" s="571"/>
      <c r="E47" s="571"/>
      <c r="F47" s="570"/>
      <c r="G47" s="570"/>
      <c r="H47" s="570"/>
      <c r="I47" s="570"/>
      <c r="J47" s="570"/>
      <c r="K47" s="570"/>
      <c r="L47" s="571"/>
      <c r="M47" s="570"/>
      <c r="N47" s="571"/>
    </row>
    <row r="48" spans="1:14" s="572" customFormat="1" x14ac:dyDescent="0.35">
      <c r="A48" s="570" t="s">
        <v>750</v>
      </c>
      <c r="B48" s="571"/>
      <c r="C48" s="571"/>
      <c r="D48" s="571"/>
      <c r="E48" s="571"/>
      <c r="F48" s="570"/>
      <c r="G48" s="570"/>
      <c r="H48" s="570"/>
      <c r="I48" s="570"/>
      <c r="J48" s="570"/>
      <c r="K48" s="570"/>
      <c r="L48" s="571"/>
      <c r="M48" s="570"/>
      <c r="N48" s="571"/>
    </row>
    <row r="49" spans="1:14" s="572" customFormat="1" x14ac:dyDescent="0.35">
      <c r="A49" s="570" t="s">
        <v>534</v>
      </c>
      <c r="B49" s="571">
        <v>13.2410292</v>
      </c>
      <c r="C49" s="571">
        <v>11.216302800000001</v>
      </c>
      <c r="D49" s="571">
        <v>10.169866499999999</v>
      </c>
      <c r="E49" s="571"/>
      <c r="F49" s="570"/>
      <c r="G49" s="570"/>
      <c r="H49" s="570"/>
      <c r="I49" s="570"/>
      <c r="J49" s="570"/>
      <c r="K49" s="570"/>
      <c r="L49" s="571"/>
      <c r="M49" s="570"/>
      <c r="N49" s="571"/>
    </row>
    <row r="50" spans="1:14" s="572" customFormat="1" x14ac:dyDescent="0.35">
      <c r="A50" s="570" t="s">
        <v>593</v>
      </c>
      <c r="B50" s="571">
        <v>17.46414</v>
      </c>
      <c r="C50" s="571">
        <v>18.662769999999998</v>
      </c>
      <c r="D50" s="571">
        <v>20.15605</v>
      </c>
      <c r="E50" s="571"/>
      <c r="F50" s="570"/>
      <c r="G50" s="570"/>
      <c r="H50" s="570"/>
      <c r="I50" s="570"/>
      <c r="J50" s="570"/>
      <c r="K50" s="570"/>
      <c r="L50" s="571"/>
      <c r="M50" s="570"/>
      <c r="N50" s="571"/>
    </row>
    <row r="51" spans="1:14" x14ac:dyDescent="0.35">
      <c r="N51" s="562"/>
    </row>
    <row r="53" spans="1:14" x14ac:dyDescent="0.35">
      <c r="A53" s="38" t="s">
        <v>595</v>
      </c>
    </row>
    <row r="54" spans="1:14" x14ac:dyDescent="0.35">
      <c r="A54" s="57" t="s">
        <v>598</v>
      </c>
      <c r="B54" s="558" t="s">
        <v>597</v>
      </c>
      <c r="C54" s="559">
        <v>46113</v>
      </c>
      <c r="D54" s="559">
        <v>46143</v>
      </c>
      <c r="E54" s="559">
        <v>46174</v>
      </c>
      <c r="F54" s="559">
        <v>46204</v>
      </c>
      <c r="G54" s="559">
        <v>46235</v>
      </c>
      <c r="H54" s="559">
        <v>46266</v>
      </c>
      <c r="I54" s="559">
        <v>46296</v>
      </c>
      <c r="J54" s="559">
        <v>46327</v>
      </c>
      <c r="K54" s="559">
        <v>46357</v>
      </c>
      <c r="L54" s="559">
        <v>46388</v>
      </c>
      <c r="M54" s="559">
        <v>46419</v>
      </c>
      <c r="N54" s="559">
        <v>46447</v>
      </c>
    </row>
    <row r="55" spans="1:14" s="572" customFormat="1" x14ac:dyDescent="0.35">
      <c r="A55" s="570" t="s">
        <v>585</v>
      </c>
      <c r="B55" s="571">
        <v>45.182087899999999</v>
      </c>
      <c r="C55" s="571">
        <v>46.625736800000006</v>
      </c>
      <c r="D55" s="571">
        <v>72.624571000000017</v>
      </c>
      <c r="E55" s="571"/>
      <c r="F55" s="573"/>
      <c r="G55" s="570"/>
      <c r="H55" s="570"/>
      <c r="I55" s="570"/>
      <c r="J55" s="570"/>
      <c r="K55" s="570"/>
      <c r="L55" s="571"/>
      <c r="M55" s="570"/>
      <c r="N55" s="571"/>
    </row>
    <row r="56" spans="1:14" s="572" customFormat="1" x14ac:dyDescent="0.35">
      <c r="A56" s="570" t="s">
        <v>586</v>
      </c>
      <c r="B56" s="571"/>
      <c r="C56" s="571">
        <v>0</v>
      </c>
      <c r="D56" s="571"/>
      <c r="E56" s="571"/>
      <c r="F56" s="571"/>
      <c r="G56" s="571"/>
      <c r="H56" s="570"/>
      <c r="I56" s="570"/>
      <c r="J56" s="570"/>
      <c r="K56" s="570"/>
      <c r="L56" s="571"/>
      <c r="M56" s="570"/>
      <c r="N56" s="571"/>
    </row>
    <row r="57" spans="1:14" s="572" customFormat="1" x14ac:dyDescent="0.35">
      <c r="A57" s="570" t="s">
        <v>748</v>
      </c>
      <c r="B57" s="571"/>
      <c r="C57" s="571">
        <v>0</v>
      </c>
      <c r="D57" s="571"/>
      <c r="E57" s="571"/>
      <c r="F57" s="571"/>
      <c r="G57" s="571"/>
      <c r="H57" s="570"/>
      <c r="I57" s="570"/>
      <c r="J57" s="570"/>
      <c r="K57" s="570"/>
      <c r="L57" s="571"/>
      <c r="M57" s="570"/>
      <c r="N57" s="571"/>
    </row>
    <row r="58" spans="1:14" s="572" customFormat="1" x14ac:dyDescent="0.35">
      <c r="A58" s="570" t="s">
        <v>587</v>
      </c>
      <c r="B58" s="571"/>
      <c r="C58" s="571">
        <v>0</v>
      </c>
      <c r="D58" s="571"/>
      <c r="E58" s="571"/>
      <c r="F58" s="571"/>
      <c r="G58" s="571"/>
      <c r="H58" s="570"/>
      <c r="I58" s="570"/>
      <c r="J58" s="570"/>
      <c r="K58" s="570"/>
      <c r="L58" s="571"/>
      <c r="M58" s="570"/>
      <c r="N58" s="571"/>
    </row>
    <row r="59" spans="1:14" s="572" customFormat="1" x14ac:dyDescent="0.35">
      <c r="A59" s="570" t="s">
        <v>588</v>
      </c>
      <c r="B59" s="571"/>
      <c r="C59" s="571">
        <v>0</v>
      </c>
      <c r="D59" s="571"/>
      <c r="E59" s="571"/>
      <c r="F59" s="571"/>
      <c r="G59" s="571"/>
      <c r="H59" s="570"/>
      <c r="I59" s="570"/>
      <c r="J59" s="570"/>
      <c r="K59" s="570"/>
      <c r="L59" s="571"/>
      <c r="M59" s="570"/>
      <c r="N59" s="571"/>
    </row>
    <row r="60" spans="1:14" s="572" customFormat="1" x14ac:dyDescent="0.35">
      <c r="A60" s="570" t="s">
        <v>589</v>
      </c>
      <c r="B60" s="571"/>
      <c r="C60" s="571">
        <v>0</v>
      </c>
      <c r="D60" s="571"/>
      <c r="E60" s="571"/>
      <c r="F60" s="571"/>
      <c r="G60" s="571"/>
      <c r="H60" s="570"/>
      <c r="I60" s="570"/>
      <c r="J60" s="570"/>
      <c r="K60" s="570"/>
      <c r="L60" s="571"/>
      <c r="M60" s="570"/>
      <c r="N60" s="571"/>
    </row>
    <row r="61" spans="1:14" s="572" customFormat="1" x14ac:dyDescent="0.35">
      <c r="A61" s="570" t="s">
        <v>590</v>
      </c>
      <c r="B61" s="571">
        <v>424.60086000000001</v>
      </c>
      <c r="C61" s="571">
        <v>343.52828</v>
      </c>
      <c r="D61" s="571">
        <v>409.09111999999999</v>
      </c>
      <c r="E61" s="571"/>
      <c r="F61" s="571"/>
      <c r="G61" s="571"/>
      <c r="H61" s="570"/>
      <c r="I61" s="570"/>
      <c r="J61" s="570"/>
      <c r="K61" s="570"/>
      <c r="L61" s="571"/>
      <c r="M61" s="570"/>
      <c r="N61" s="571"/>
    </row>
    <row r="62" spans="1:14" s="572" customFormat="1" x14ac:dyDescent="0.35">
      <c r="A62" s="570" t="s">
        <v>591</v>
      </c>
      <c r="B62" s="571">
        <v>7.6285100000000003</v>
      </c>
      <c r="C62" s="571">
        <v>3.0286900000000001</v>
      </c>
      <c r="D62" s="571">
        <v>3.12616</v>
      </c>
      <c r="E62" s="571"/>
      <c r="F62" s="571"/>
      <c r="G62" s="571"/>
      <c r="H62" s="570"/>
      <c r="I62" s="570"/>
      <c r="J62" s="570"/>
      <c r="K62" s="570"/>
      <c r="L62" s="571"/>
      <c r="M62" s="570"/>
      <c r="N62" s="571"/>
    </row>
    <row r="63" spans="1:14" s="572" customFormat="1" x14ac:dyDescent="0.35">
      <c r="A63" s="570" t="s">
        <v>592</v>
      </c>
      <c r="B63" s="571"/>
      <c r="C63" s="571"/>
      <c r="D63" s="571"/>
      <c r="E63" s="571"/>
      <c r="F63" s="570"/>
      <c r="G63" s="571"/>
      <c r="H63" s="570"/>
      <c r="I63" s="570"/>
      <c r="J63" s="570"/>
      <c r="K63" s="570"/>
      <c r="L63" s="571"/>
      <c r="M63" s="570"/>
      <c r="N63" s="571"/>
    </row>
    <row r="64" spans="1:14" s="572" customFormat="1" x14ac:dyDescent="0.35">
      <c r="A64" s="570" t="s">
        <v>750</v>
      </c>
      <c r="B64" s="571"/>
      <c r="C64" s="571"/>
      <c r="D64" s="571"/>
      <c r="E64" s="571"/>
      <c r="F64" s="570"/>
      <c r="G64" s="571"/>
      <c r="H64" s="570"/>
      <c r="I64" s="570"/>
      <c r="J64" s="570"/>
      <c r="K64" s="570"/>
      <c r="L64" s="571"/>
      <c r="M64" s="570"/>
      <c r="N64" s="571"/>
    </row>
    <row r="65" spans="1:14" s="572" customFormat="1" x14ac:dyDescent="0.35">
      <c r="A65" s="570" t="s">
        <v>534</v>
      </c>
      <c r="B65" s="571">
        <v>126.9510674416145</v>
      </c>
      <c r="C65" s="571">
        <v>122.89159158481708</v>
      </c>
      <c r="D65" s="571">
        <v>150.87580605854399</v>
      </c>
      <c r="E65" s="571"/>
      <c r="F65" s="570"/>
      <c r="G65" s="570"/>
      <c r="H65" s="570"/>
      <c r="I65" s="570"/>
      <c r="J65" s="570"/>
      <c r="K65" s="570"/>
      <c r="L65" s="571"/>
      <c r="M65" s="570"/>
      <c r="N65" s="571"/>
    </row>
    <row r="66" spans="1:14" s="572" customFormat="1" x14ac:dyDescent="0.35">
      <c r="A66" s="570" t="s">
        <v>593</v>
      </c>
      <c r="B66" s="571">
        <v>54.616949999999925</v>
      </c>
      <c r="C66" s="571">
        <v>47.7359984988002</v>
      </c>
      <c r="D66" s="571">
        <v>32.399917498800342</v>
      </c>
      <c r="E66" s="571"/>
      <c r="F66" s="570"/>
      <c r="G66" s="570"/>
      <c r="H66" s="570"/>
      <c r="I66" s="570"/>
      <c r="J66" s="570"/>
      <c r="K66" s="570"/>
      <c r="L66" s="571"/>
      <c r="M66" s="570"/>
      <c r="N66" s="571"/>
    </row>
    <row r="68" spans="1:14" x14ac:dyDescent="0.35">
      <c r="A68" s="38" t="s">
        <v>594</v>
      </c>
    </row>
    <row r="69" spans="1:14" x14ac:dyDescent="0.35">
      <c r="A69" s="57" t="s">
        <v>598</v>
      </c>
      <c r="B69" s="558" t="s">
        <v>597</v>
      </c>
      <c r="C69" s="559">
        <v>46113</v>
      </c>
      <c r="D69" s="559">
        <v>46143</v>
      </c>
      <c r="E69" s="559">
        <v>46174</v>
      </c>
      <c r="F69" s="559">
        <v>46204</v>
      </c>
      <c r="G69" s="559">
        <v>46235</v>
      </c>
      <c r="H69" s="559">
        <v>46266</v>
      </c>
      <c r="I69" s="559">
        <v>46296</v>
      </c>
      <c r="J69" s="559">
        <v>46327</v>
      </c>
      <c r="K69" s="559">
        <v>46357</v>
      </c>
      <c r="L69" s="559">
        <v>46388</v>
      </c>
      <c r="M69" s="559">
        <v>46419</v>
      </c>
      <c r="N69" s="559">
        <v>46447</v>
      </c>
    </row>
    <row r="70" spans="1:14" s="572" customFormat="1" x14ac:dyDescent="0.35">
      <c r="A70" s="570" t="s">
        <v>585</v>
      </c>
      <c r="B70" s="571">
        <v>822.78659270199955</v>
      </c>
      <c r="C70" s="571">
        <v>754.65725151000004</v>
      </c>
      <c r="D70" s="571">
        <v>894.488661009</v>
      </c>
      <c r="E70" s="571"/>
      <c r="F70" s="573"/>
      <c r="G70" s="570"/>
      <c r="H70" s="570"/>
      <c r="I70" s="570"/>
      <c r="J70" s="570"/>
      <c r="K70" s="570"/>
      <c r="L70" s="571"/>
      <c r="M70" s="570"/>
      <c r="N70" s="571"/>
    </row>
    <row r="71" spans="1:14" s="572" customFormat="1" x14ac:dyDescent="0.35">
      <c r="A71" s="570" t="s">
        <v>586</v>
      </c>
      <c r="B71" s="571">
        <v>1483.2756530999993</v>
      </c>
      <c r="C71" s="571">
        <v>1640.7354910999995</v>
      </c>
      <c r="D71" s="571">
        <v>1485.8989681999999</v>
      </c>
      <c r="E71" s="571"/>
      <c r="F71" s="573"/>
      <c r="G71" s="570"/>
      <c r="H71" s="570"/>
      <c r="I71" s="570"/>
      <c r="J71" s="570"/>
      <c r="K71" s="570"/>
      <c r="L71" s="571"/>
      <c r="M71" s="570"/>
      <c r="N71" s="571"/>
    </row>
    <row r="72" spans="1:14" s="572" customFormat="1" x14ac:dyDescent="0.35">
      <c r="A72" s="570" t="s">
        <v>748</v>
      </c>
      <c r="B72" s="571">
        <v>382.8430171955128</v>
      </c>
      <c r="C72" s="571">
        <v>538.07025509999994</v>
      </c>
      <c r="D72" s="571">
        <v>532.42933479999999</v>
      </c>
      <c r="E72" s="571"/>
      <c r="F72" s="573"/>
      <c r="G72" s="570"/>
      <c r="H72" s="570"/>
      <c r="I72" s="570"/>
      <c r="J72" s="570"/>
      <c r="K72" s="570"/>
      <c r="L72" s="571"/>
      <c r="M72" s="570"/>
      <c r="N72" s="571"/>
    </row>
    <row r="73" spans="1:14" s="572" customFormat="1" x14ac:dyDescent="0.35">
      <c r="A73" s="570" t="s">
        <v>587</v>
      </c>
      <c r="B73" s="571">
        <v>2064.4699999999998</v>
      </c>
      <c r="C73" s="571">
        <v>2563.1303767519998</v>
      </c>
      <c r="D73" s="571">
        <v>3062.0339433099998</v>
      </c>
      <c r="E73" s="571"/>
      <c r="F73" s="573"/>
      <c r="G73" s="570"/>
      <c r="H73" s="570"/>
      <c r="I73" s="570"/>
      <c r="J73" s="570"/>
      <c r="K73" s="570"/>
      <c r="L73" s="571"/>
      <c r="M73" s="570"/>
      <c r="N73" s="571"/>
    </row>
    <row r="74" spans="1:14" s="572" customFormat="1" x14ac:dyDescent="0.35">
      <c r="A74" s="570" t="s">
        <v>588</v>
      </c>
      <c r="B74" s="571"/>
      <c r="C74" s="571"/>
      <c r="D74" s="571"/>
      <c r="E74" s="571"/>
      <c r="F74" s="571"/>
      <c r="G74" s="571"/>
      <c r="H74" s="570"/>
      <c r="I74" s="570"/>
      <c r="J74" s="570"/>
      <c r="K74" s="570"/>
      <c r="L74" s="571"/>
      <c r="M74" s="570"/>
      <c r="N74" s="571"/>
    </row>
    <row r="75" spans="1:14" s="572" customFormat="1" x14ac:dyDescent="0.35">
      <c r="A75" s="570" t="s">
        <v>589</v>
      </c>
      <c r="B75" s="571">
        <v>448.86324069778243</v>
      </c>
      <c r="C75" s="571">
        <v>522.61962553669696</v>
      </c>
      <c r="D75" s="571">
        <v>663.21799884706797</v>
      </c>
      <c r="E75" s="571"/>
      <c r="F75" s="570"/>
      <c r="G75" s="570"/>
      <c r="H75" s="570"/>
      <c r="I75" s="570"/>
      <c r="J75" s="570"/>
      <c r="K75" s="570"/>
      <c r="L75" s="571"/>
      <c r="M75" s="570"/>
      <c r="N75" s="571"/>
    </row>
    <row r="76" spans="1:14" s="572" customFormat="1" x14ac:dyDescent="0.35">
      <c r="A76" s="570" t="s">
        <v>590</v>
      </c>
      <c r="B76" s="571">
        <v>69.965829999999997</v>
      </c>
      <c r="C76" s="571">
        <v>42.715589999999999</v>
      </c>
      <c r="D76" s="571">
        <v>59.015250000000002</v>
      </c>
      <c r="E76" s="571"/>
      <c r="F76" s="570"/>
      <c r="G76" s="573"/>
      <c r="H76" s="570"/>
      <c r="I76" s="570"/>
      <c r="J76" s="570"/>
      <c r="K76" s="570"/>
      <c r="L76" s="571"/>
      <c r="M76" s="570"/>
      <c r="N76" s="571"/>
    </row>
    <row r="77" spans="1:14" s="572" customFormat="1" x14ac:dyDescent="0.35">
      <c r="A77" s="570" t="s">
        <v>591</v>
      </c>
      <c r="B77" s="571">
        <v>7.5147199999999996</v>
      </c>
      <c r="C77" s="571">
        <v>2.2443300000000002</v>
      </c>
      <c r="D77" s="571">
        <v>4.40604</v>
      </c>
      <c r="E77" s="571"/>
      <c r="F77" s="570"/>
      <c r="G77" s="570"/>
      <c r="H77" s="570"/>
      <c r="I77" s="570"/>
      <c r="J77" s="570"/>
      <c r="K77" s="570"/>
      <c r="L77" s="571"/>
      <c r="M77" s="570"/>
      <c r="N77" s="571"/>
    </row>
    <row r="78" spans="1:14" s="572" customFormat="1" x14ac:dyDescent="0.35">
      <c r="A78" s="570" t="s">
        <v>592</v>
      </c>
      <c r="B78" s="571"/>
      <c r="C78" s="571"/>
      <c r="D78" s="571"/>
      <c r="E78" s="571"/>
      <c r="F78" s="570"/>
      <c r="G78" s="570"/>
      <c r="H78" s="570"/>
      <c r="I78" s="570"/>
      <c r="J78" s="570"/>
      <c r="K78" s="570"/>
      <c r="L78" s="571"/>
      <c r="M78" s="570"/>
      <c r="N78" s="571"/>
    </row>
    <row r="79" spans="1:14" s="572" customFormat="1" x14ac:dyDescent="0.35">
      <c r="A79" s="570" t="s">
        <v>750</v>
      </c>
      <c r="B79" s="571"/>
      <c r="C79" s="571"/>
      <c r="D79" s="571"/>
      <c r="E79" s="571"/>
      <c r="F79" s="570"/>
      <c r="G79" s="570"/>
      <c r="H79" s="570"/>
      <c r="I79" s="570"/>
      <c r="J79" s="570"/>
      <c r="K79" s="570"/>
      <c r="L79" s="571"/>
      <c r="M79" s="570"/>
      <c r="N79" s="571"/>
    </row>
    <row r="80" spans="1:14" s="572" customFormat="1" x14ac:dyDescent="0.35">
      <c r="A80" s="570" t="s">
        <v>534</v>
      </c>
      <c r="B80" s="571">
        <v>286.24972517618829</v>
      </c>
      <c r="C80" s="571">
        <v>387.57145698521492</v>
      </c>
      <c r="D80" s="571">
        <v>357.33717781490259</v>
      </c>
      <c r="E80" s="571"/>
      <c r="F80" s="570"/>
      <c r="G80" s="570"/>
      <c r="H80" s="570"/>
      <c r="I80" s="570"/>
      <c r="J80" s="570"/>
      <c r="K80" s="570"/>
      <c r="L80" s="571"/>
      <c r="M80" s="570"/>
      <c r="N80" s="571"/>
    </row>
    <row r="81" spans="1:14" s="572" customFormat="1" x14ac:dyDescent="0.35">
      <c r="A81" s="570" t="s">
        <v>593</v>
      </c>
      <c r="B81" s="571">
        <v>35.190206000000096</v>
      </c>
      <c r="C81" s="571">
        <v>17.895876000000005</v>
      </c>
      <c r="D81" s="571">
        <v>9.1519999999999992</v>
      </c>
      <c r="E81" s="571"/>
      <c r="F81" s="570"/>
      <c r="G81" s="570"/>
      <c r="H81" s="573"/>
      <c r="I81" s="570"/>
      <c r="J81" s="570"/>
      <c r="K81" s="570"/>
      <c r="L81" s="571"/>
      <c r="M81" s="570"/>
      <c r="N81" s="571"/>
    </row>
    <row r="83" spans="1:14" x14ac:dyDescent="0.35">
      <c r="A83" s="38" t="s">
        <v>596</v>
      </c>
    </row>
    <row r="84" spans="1:14" x14ac:dyDescent="0.35">
      <c r="A84" s="57" t="s">
        <v>598</v>
      </c>
      <c r="B84" s="558" t="s">
        <v>597</v>
      </c>
      <c r="C84" s="559">
        <v>46113</v>
      </c>
      <c r="D84" s="559">
        <v>46143</v>
      </c>
      <c r="E84" s="559">
        <v>46174</v>
      </c>
      <c r="F84" s="559">
        <v>46204</v>
      </c>
      <c r="G84" s="559">
        <v>46235</v>
      </c>
      <c r="H84" s="559">
        <v>46266</v>
      </c>
      <c r="I84" s="559">
        <v>46296</v>
      </c>
      <c r="J84" s="559">
        <v>46327</v>
      </c>
      <c r="K84" s="559">
        <v>46357</v>
      </c>
      <c r="L84" s="559">
        <v>46388</v>
      </c>
      <c r="M84" s="559">
        <v>46419</v>
      </c>
      <c r="N84" s="559">
        <v>46447</v>
      </c>
    </row>
    <row r="85" spans="1:14" s="572" customFormat="1" x14ac:dyDescent="0.35">
      <c r="A85" s="570" t="s">
        <v>585</v>
      </c>
      <c r="B85" s="571">
        <v>122.37933364999962</v>
      </c>
      <c r="C85" s="571">
        <v>130.20928624999959</v>
      </c>
      <c r="D85" s="571">
        <v>131.36228639999948</v>
      </c>
      <c r="E85" s="571"/>
      <c r="F85" s="573"/>
      <c r="G85" s="570"/>
      <c r="H85" s="570"/>
      <c r="I85" s="570"/>
      <c r="J85" s="570"/>
      <c r="K85" s="570"/>
      <c r="L85" s="571"/>
      <c r="M85" s="570"/>
      <c r="N85" s="571"/>
    </row>
    <row r="86" spans="1:14" s="572" customFormat="1" x14ac:dyDescent="0.35">
      <c r="A86" s="570" t="s">
        <v>586</v>
      </c>
      <c r="B86" s="571">
        <v>120.16717750000002</v>
      </c>
      <c r="C86" s="571">
        <v>118.2579066</v>
      </c>
      <c r="D86" s="571">
        <v>119.49344939999999</v>
      </c>
      <c r="E86" s="571"/>
      <c r="F86" s="573"/>
      <c r="G86" s="570"/>
      <c r="H86" s="570"/>
      <c r="I86" s="570"/>
      <c r="J86" s="570"/>
      <c r="K86" s="570"/>
      <c r="L86" s="571"/>
      <c r="M86" s="570"/>
      <c r="N86" s="571"/>
    </row>
    <row r="87" spans="1:14" s="572" customFormat="1" x14ac:dyDescent="0.35">
      <c r="A87" s="570" t="s">
        <v>748</v>
      </c>
      <c r="B87" s="571">
        <v>46.18</v>
      </c>
      <c r="C87" s="577">
        <v>49.38</v>
      </c>
      <c r="D87" s="571">
        <v>54.81</v>
      </c>
      <c r="E87" s="571"/>
      <c r="F87" s="573"/>
      <c r="G87" s="573"/>
      <c r="H87" s="570"/>
      <c r="I87" s="570"/>
      <c r="J87" s="570"/>
      <c r="K87" s="570"/>
      <c r="L87" s="571"/>
      <c r="M87" s="570"/>
      <c r="N87" s="571"/>
    </row>
    <row r="88" spans="1:14" s="572" customFormat="1" x14ac:dyDescent="0.35">
      <c r="A88" s="570" t="s">
        <v>587</v>
      </c>
      <c r="B88" s="571">
        <v>128.98280019999999</v>
      </c>
      <c r="C88" s="571">
        <v>159.3575238</v>
      </c>
      <c r="D88" s="571">
        <v>171.7489003</v>
      </c>
      <c r="E88" s="571"/>
      <c r="F88" s="573"/>
      <c r="G88" s="570"/>
      <c r="H88" s="570"/>
      <c r="I88" s="570"/>
      <c r="J88" s="570"/>
      <c r="K88" s="570"/>
      <c r="L88" s="571"/>
      <c r="M88" s="570"/>
      <c r="N88" s="571"/>
    </row>
    <row r="89" spans="1:14" s="572" customFormat="1" x14ac:dyDescent="0.35">
      <c r="A89" s="570" t="s">
        <v>588</v>
      </c>
      <c r="B89" s="571"/>
      <c r="C89" s="571"/>
      <c r="D89" s="571"/>
      <c r="E89" s="571"/>
      <c r="F89" s="571"/>
      <c r="G89" s="571"/>
      <c r="H89" s="570"/>
      <c r="I89" s="570"/>
      <c r="J89" s="570"/>
      <c r="K89" s="570"/>
      <c r="L89" s="571"/>
      <c r="M89" s="570"/>
      <c r="N89" s="571"/>
    </row>
    <row r="90" spans="1:14" s="572" customFormat="1" x14ac:dyDescent="0.35">
      <c r="A90" s="570" t="s">
        <v>589</v>
      </c>
      <c r="B90" s="571">
        <v>0</v>
      </c>
      <c r="C90" s="571"/>
      <c r="D90" s="571"/>
      <c r="E90" s="571"/>
      <c r="F90" s="571"/>
      <c r="G90" s="571"/>
      <c r="H90" s="570"/>
      <c r="I90" s="570"/>
      <c r="J90" s="570"/>
      <c r="K90" s="570"/>
      <c r="L90" s="571"/>
      <c r="M90" s="570"/>
      <c r="N90" s="571"/>
    </row>
    <row r="91" spans="1:14" s="572" customFormat="1" x14ac:dyDescent="0.35">
      <c r="A91" s="570" t="s">
        <v>590</v>
      </c>
      <c r="B91" s="571">
        <v>84.486270000000005</v>
      </c>
      <c r="C91" s="571">
        <v>100.5984</v>
      </c>
      <c r="D91" s="571">
        <v>100.12426000000001</v>
      </c>
      <c r="E91" s="571"/>
      <c r="F91" s="571"/>
      <c r="G91" s="570"/>
      <c r="H91" s="570"/>
      <c r="I91" s="570"/>
      <c r="J91" s="570"/>
      <c r="K91" s="570"/>
      <c r="L91" s="571"/>
      <c r="M91" s="570"/>
      <c r="N91" s="571"/>
    </row>
    <row r="92" spans="1:14" s="572" customFormat="1" x14ac:dyDescent="0.35">
      <c r="A92" s="570" t="s">
        <v>591</v>
      </c>
      <c r="B92" s="571">
        <v>19.112570000000002</v>
      </c>
      <c r="C92" s="571">
        <v>19.41403</v>
      </c>
      <c r="D92" s="571">
        <v>20.018078899999999</v>
      </c>
      <c r="E92" s="571"/>
      <c r="F92" s="571"/>
      <c r="G92" s="573"/>
      <c r="H92" s="570"/>
      <c r="I92" s="570"/>
      <c r="J92" s="570"/>
      <c r="K92" s="570"/>
      <c r="L92" s="571"/>
      <c r="M92" s="573"/>
      <c r="N92" s="571"/>
    </row>
    <row r="93" spans="1:14" s="572" customFormat="1" x14ac:dyDescent="0.35">
      <c r="A93" s="570" t="s">
        <v>592</v>
      </c>
      <c r="B93" s="571"/>
      <c r="C93" s="571"/>
      <c r="D93" s="571"/>
      <c r="E93" s="571"/>
      <c r="F93" s="570"/>
      <c r="G93" s="573"/>
      <c r="H93" s="570"/>
      <c r="I93" s="570"/>
      <c r="J93" s="570"/>
      <c r="K93" s="570"/>
      <c r="L93" s="571"/>
      <c r="M93" s="570"/>
      <c r="N93" s="571"/>
    </row>
    <row r="94" spans="1:14" s="572" customFormat="1" x14ac:dyDescent="0.35">
      <c r="A94" s="570" t="s">
        <v>750</v>
      </c>
      <c r="B94" s="571">
        <v>0</v>
      </c>
      <c r="C94" s="571">
        <v>18.349119999999999</v>
      </c>
      <c r="D94" s="571">
        <v>44.773560000000003</v>
      </c>
      <c r="E94" s="571"/>
      <c r="F94" s="570"/>
      <c r="G94" s="573"/>
      <c r="H94" s="570"/>
      <c r="I94" s="570"/>
      <c r="J94" s="570"/>
      <c r="K94" s="570"/>
      <c r="L94" s="571"/>
      <c r="M94" s="570"/>
      <c r="N94" s="571"/>
    </row>
    <row r="95" spans="1:14" s="572" customFormat="1" x14ac:dyDescent="0.35">
      <c r="A95" s="570" t="s">
        <v>534</v>
      </c>
      <c r="B95" s="571">
        <v>84.51</v>
      </c>
      <c r="C95" s="571">
        <v>88.771631299999953</v>
      </c>
      <c r="D95" s="571">
        <v>89.832260300000016</v>
      </c>
      <c r="E95" s="571"/>
      <c r="F95" s="570"/>
      <c r="G95" s="570"/>
      <c r="H95" s="570"/>
      <c r="I95" s="570"/>
      <c r="J95" s="570"/>
      <c r="K95" s="570"/>
      <c r="L95" s="571"/>
      <c r="M95" s="570"/>
      <c r="N95" s="571"/>
    </row>
    <row r="96" spans="1:14" s="572" customFormat="1" x14ac:dyDescent="0.35">
      <c r="A96" s="570" t="s">
        <v>593</v>
      </c>
      <c r="B96" s="571">
        <v>130.79</v>
      </c>
      <c r="C96" s="571">
        <v>160.27670000000001</v>
      </c>
      <c r="D96" s="571">
        <v>151.97676000000001</v>
      </c>
      <c r="E96" s="579"/>
      <c r="F96" s="570"/>
      <c r="G96" s="570"/>
      <c r="H96" s="570"/>
      <c r="I96" s="570"/>
      <c r="J96" s="570"/>
      <c r="K96" s="570"/>
      <c r="L96" s="571"/>
      <c r="M96" s="570"/>
      <c r="N96" s="57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0518-2707-45DF-A7DF-57E16B9CFE8B}">
  <dimension ref="A1:AK409"/>
  <sheetViews>
    <sheetView workbookViewId="0">
      <pane xSplit="6" ySplit="1" topLeftCell="G325" activePane="bottomRight" state="frozen"/>
      <selection activeCell="O223" sqref="O223"/>
      <selection pane="topRight" activeCell="O223" sqref="O223"/>
      <selection pane="bottomLeft" activeCell="O223" sqref="O223"/>
      <selection pane="bottomRight" activeCell="B246" sqref="B246:B343"/>
    </sheetView>
  </sheetViews>
  <sheetFormatPr defaultColWidth="8.81640625" defaultRowHeight="14.5" x14ac:dyDescent="0.35"/>
  <cols>
    <col min="1" max="1" width="30.08984375" style="37" customWidth="1"/>
    <col min="2" max="2" width="30.453125" style="37" customWidth="1"/>
    <col min="3" max="3" width="8.81640625" style="37" customWidth="1"/>
    <col min="4" max="5" width="15.453125" style="37" customWidth="1"/>
    <col min="6" max="6" width="16.08984375" style="37" customWidth="1"/>
    <col min="7" max="7" width="25.08984375" style="37" customWidth="1"/>
    <col min="8" max="8" width="26.453125" style="37" bestFit="1" customWidth="1"/>
    <col min="9" max="9" width="35.453125" style="37" bestFit="1" customWidth="1"/>
    <col min="10" max="10" width="36" style="37" bestFit="1" customWidth="1"/>
    <col min="11" max="11" width="36" style="37" customWidth="1"/>
    <col min="12" max="12" width="15.08984375" style="37" bestFit="1" customWidth="1"/>
    <col min="13" max="13" width="29.81640625" style="37" bestFit="1" customWidth="1"/>
    <col min="14" max="14" width="50.1796875" style="37" hidden="1" customWidth="1"/>
    <col min="15" max="15" width="38.1796875" style="37" hidden="1" customWidth="1"/>
    <col min="16" max="16" width="38.81640625" style="37" bestFit="1" customWidth="1"/>
    <col min="17" max="17" width="24" style="37" bestFit="1" customWidth="1"/>
    <col min="18" max="18" width="22.6328125" style="37" bestFit="1" customWidth="1"/>
    <col min="19" max="19" width="30.54296875" style="37" bestFit="1" customWidth="1"/>
    <col min="20" max="20" width="31.08984375" style="37" bestFit="1" customWidth="1"/>
    <col min="21" max="21" width="30.81640625" style="37" bestFit="1" customWidth="1"/>
    <col min="22" max="22" width="27" style="37" bestFit="1" customWidth="1"/>
    <col min="23" max="23" width="26" style="37" bestFit="1" customWidth="1"/>
    <col min="24" max="16384" width="8.81640625" style="37"/>
  </cols>
  <sheetData>
    <row r="1" spans="1:24" ht="15.5" x14ac:dyDescent="0.35">
      <c r="A1" s="530" t="s">
        <v>23</v>
      </c>
      <c r="B1" s="531" t="s">
        <v>1</v>
      </c>
      <c r="C1" s="531" t="s">
        <v>2</v>
      </c>
      <c r="D1" s="531" t="s">
        <v>3</v>
      </c>
      <c r="E1" s="531" t="s">
        <v>4</v>
      </c>
      <c r="F1" s="531" t="s">
        <v>5</v>
      </c>
      <c r="G1" s="531" t="s">
        <v>7</v>
      </c>
      <c r="H1" s="531" t="s">
        <v>8</v>
      </c>
      <c r="I1" s="531" t="s">
        <v>9</v>
      </c>
      <c r="J1" s="531" t="s">
        <v>10</v>
      </c>
      <c r="K1" s="531" t="s">
        <v>741</v>
      </c>
      <c r="L1" s="531" t="s">
        <v>742</v>
      </c>
      <c r="M1" s="531" t="s">
        <v>12</v>
      </c>
      <c r="N1" s="531" t="s">
        <v>13</v>
      </c>
      <c r="O1" s="531" t="s">
        <v>14</v>
      </c>
      <c r="P1" s="531" t="s">
        <v>15</v>
      </c>
      <c r="Q1" s="531" t="s">
        <v>16</v>
      </c>
      <c r="R1" s="531" t="s">
        <v>17</v>
      </c>
      <c r="S1" s="531" t="s">
        <v>18</v>
      </c>
      <c r="T1" s="531" t="s">
        <v>19</v>
      </c>
      <c r="U1" s="531" t="s">
        <v>719</v>
      </c>
      <c r="V1" s="531" t="s">
        <v>21</v>
      </c>
      <c r="W1" s="531" t="s">
        <v>22</v>
      </c>
    </row>
    <row r="2" spans="1:24" x14ac:dyDescent="0.35">
      <c r="A2" s="37" t="str">
        <f>_xlfn.XLOOKUP(B2,master!B:B,master!A:A)</f>
        <v>Add: Purchase expenses</v>
      </c>
      <c r="B2" s="50" t="s">
        <v>256</v>
      </c>
      <c r="C2" s="13"/>
      <c r="D2" s="13"/>
      <c r="E2" s="13"/>
      <c r="F2" s="13"/>
      <c r="G2" s="13">
        <v>0</v>
      </c>
      <c r="H2" s="13">
        <v>-895343.3</v>
      </c>
      <c r="I2" s="13">
        <v>0</v>
      </c>
      <c r="J2" s="13">
        <v>0</v>
      </c>
      <c r="K2" s="13">
        <v>0</v>
      </c>
      <c r="L2" s="13">
        <v>0</v>
      </c>
      <c r="M2" s="13">
        <v>-919735.67</v>
      </c>
      <c r="N2" s="13">
        <v>0</v>
      </c>
      <c r="O2" s="13">
        <v>0</v>
      </c>
      <c r="P2" s="13">
        <v>0</v>
      </c>
      <c r="Q2" s="13">
        <v>-9049.7900000000009</v>
      </c>
      <c r="R2" s="13">
        <v>-4035420.69</v>
      </c>
      <c r="S2" s="13">
        <v>-5226808.91</v>
      </c>
      <c r="T2" s="13">
        <v>0</v>
      </c>
      <c r="U2" s="13">
        <v>0</v>
      </c>
      <c r="V2" s="13">
        <v>0</v>
      </c>
      <c r="W2" s="13">
        <v>0</v>
      </c>
      <c r="X2" s="533"/>
    </row>
    <row r="3" spans="1:24" x14ac:dyDescent="0.35">
      <c r="A3" s="37" t="str">
        <f>_xlfn.XLOOKUP(B3,master!B:B,master!A:A)</f>
        <v>Add: Purchase of packing materials</v>
      </c>
      <c r="B3" s="50" t="s">
        <v>257</v>
      </c>
      <c r="C3" s="13"/>
      <c r="D3" s="13"/>
      <c r="E3" s="13"/>
      <c r="F3" s="13"/>
      <c r="G3" s="13">
        <v>0</v>
      </c>
      <c r="H3" s="13">
        <v>-2400</v>
      </c>
      <c r="I3" s="13">
        <v>-11000</v>
      </c>
      <c r="J3" s="13">
        <v>0</v>
      </c>
      <c r="K3" s="13">
        <v>7150</v>
      </c>
      <c r="L3" s="13">
        <v>0</v>
      </c>
      <c r="M3" s="13">
        <v>-31220</v>
      </c>
      <c r="N3" s="13">
        <v>0</v>
      </c>
      <c r="O3" s="13">
        <v>0</v>
      </c>
      <c r="P3" s="13">
        <v>-9210</v>
      </c>
      <c r="Q3" s="13">
        <v>6141.5</v>
      </c>
      <c r="R3" s="13">
        <v>151830.76999999999</v>
      </c>
      <c r="S3" s="13">
        <v>250</v>
      </c>
      <c r="T3" s="13">
        <v>0</v>
      </c>
      <c r="U3" s="13">
        <v>52886</v>
      </c>
      <c r="V3" s="13">
        <v>0</v>
      </c>
      <c r="W3" s="13">
        <v>0</v>
      </c>
      <c r="X3" s="533"/>
    </row>
    <row r="4" spans="1:24" x14ac:dyDescent="0.35">
      <c r="A4" s="37" t="str">
        <f>_xlfn.XLOOKUP(B4,master!B:B,master!A:A)</f>
        <v>Add: Purchase expenses</v>
      </c>
      <c r="B4" s="50" t="s">
        <v>259</v>
      </c>
      <c r="C4" s="13"/>
      <c r="D4" s="13"/>
      <c r="E4" s="13"/>
      <c r="F4" s="13"/>
      <c r="G4" s="13">
        <v>0</v>
      </c>
      <c r="H4" s="13">
        <v>16</v>
      </c>
      <c r="I4" s="13">
        <v>1.36</v>
      </c>
      <c r="J4" s="13">
        <v>0</v>
      </c>
      <c r="K4" s="13">
        <v>2.21</v>
      </c>
      <c r="L4" s="13">
        <v>0</v>
      </c>
      <c r="M4" s="13">
        <v>-0.78</v>
      </c>
      <c r="N4" s="13">
        <v>0</v>
      </c>
      <c r="O4" s="13">
        <v>0</v>
      </c>
      <c r="P4" s="13">
        <v>1.93</v>
      </c>
      <c r="Q4" s="13">
        <v>5.28</v>
      </c>
      <c r="R4" s="13">
        <v>2.0699999999999998</v>
      </c>
      <c r="S4" s="13">
        <v>7.94</v>
      </c>
      <c r="T4" s="13">
        <v>0</v>
      </c>
      <c r="U4" s="13">
        <v>1.21</v>
      </c>
      <c r="V4" s="13">
        <v>0</v>
      </c>
      <c r="W4" s="13">
        <v>1.1200000000000001</v>
      </c>
      <c r="X4" s="533"/>
    </row>
    <row r="5" spans="1:24" x14ac:dyDescent="0.35">
      <c r="A5" s="37" t="str">
        <f>_xlfn.XLOOKUP(B5,master!B:B,master!A:A)</f>
        <v>Add: Purchase expenses</v>
      </c>
      <c r="B5" s="50" t="s">
        <v>557</v>
      </c>
      <c r="C5" s="13"/>
      <c r="D5" s="13"/>
      <c r="E5" s="13"/>
      <c r="F5" s="13"/>
      <c r="G5" s="13">
        <v>0</v>
      </c>
      <c r="H5" s="13">
        <v>3091161.85</v>
      </c>
      <c r="I5" s="13">
        <v>7237.28</v>
      </c>
      <c r="J5" s="13">
        <v>0</v>
      </c>
      <c r="K5" s="13">
        <v>0</v>
      </c>
      <c r="L5" s="13">
        <v>0</v>
      </c>
      <c r="M5" s="13">
        <v>6302314.6699999999</v>
      </c>
      <c r="N5" s="13">
        <v>0</v>
      </c>
      <c r="O5" s="13">
        <v>0</v>
      </c>
      <c r="P5" s="13">
        <v>0</v>
      </c>
      <c r="Q5" s="13">
        <v>95237</v>
      </c>
      <c r="R5" s="13">
        <v>304221.24</v>
      </c>
      <c r="S5" s="13">
        <v>0</v>
      </c>
      <c r="T5" s="13">
        <v>0</v>
      </c>
      <c r="U5" s="13">
        <v>10163.379999999999</v>
      </c>
      <c r="V5" s="13">
        <v>0</v>
      </c>
      <c r="W5" s="13">
        <v>8482.32</v>
      </c>
      <c r="X5" s="533"/>
    </row>
    <row r="6" spans="1:24" x14ac:dyDescent="0.35">
      <c r="A6" s="37" t="str">
        <f>_xlfn.XLOOKUP(B6,master!B:B,master!A:A)</f>
        <v>Add: Purchase expenses</v>
      </c>
      <c r="B6" s="50" t="s">
        <v>260</v>
      </c>
      <c r="C6" s="13"/>
      <c r="D6" s="13"/>
      <c r="E6" s="13"/>
      <c r="F6" s="13"/>
      <c r="G6" s="13">
        <v>0</v>
      </c>
      <c r="H6" s="13">
        <v>264447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443387</v>
      </c>
      <c r="S6" s="13">
        <v>0</v>
      </c>
      <c r="T6" s="13">
        <v>0</v>
      </c>
      <c r="U6" s="13">
        <v>75199</v>
      </c>
      <c r="V6" s="13">
        <v>0</v>
      </c>
      <c r="W6" s="13">
        <v>66030</v>
      </c>
      <c r="X6" s="533"/>
    </row>
    <row r="7" spans="1:24" x14ac:dyDescent="0.35">
      <c r="A7" s="37" t="str">
        <f>_xlfn.XLOOKUP(B7,master!B:B,master!A:A)</f>
        <v>Add: Purchase expenses</v>
      </c>
      <c r="B7" s="50" t="s">
        <v>261</v>
      </c>
      <c r="C7" s="13"/>
      <c r="D7" s="13"/>
      <c r="E7" s="13"/>
      <c r="F7" s="13"/>
      <c r="G7" s="13">
        <v>0</v>
      </c>
      <c r="H7" s="13">
        <v>20440</v>
      </c>
      <c r="I7" s="13">
        <v>0</v>
      </c>
      <c r="J7" s="13">
        <v>0</v>
      </c>
      <c r="K7" s="13">
        <v>2272</v>
      </c>
      <c r="L7" s="13">
        <v>0</v>
      </c>
      <c r="M7" s="13">
        <v>361540</v>
      </c>
      <c r="N7" s="13">
        <v>0</v>
      </c>
      <c r="O7" s="13">
        <v>0</v>
      </c>
      <c r="P7" s="13">
        <v>-2760</v>
      </c>
      <c r="Q7" s="13">
        <v>31873</v>
      </c>
      <c r="R7" s="13">
        <v>261099</v>
      </c>
      <c r="S7" s="13">
        <v>229413</v>
      </c>
      <c r="T7" s="13">
        <v>0</v>
      </c>
      <c r="U7" s="13">
        <v>8340</v>
      </c>
      <c r="V7" s="13">
        <v>0</v>
      </c>
      <c r="W7" s="13">
        <v>0</v>
      </c>
      <c r="X7" s="533"/>
    </row>
    <row r="8" spans="1:24" x14ac:dyDescent="0.35">
      <c r="A8" s="37" t="str">
        <f>_xlfn.XLOOKUP(B8,master!B:B,master!A:A)</f>
        <v>Add: Purchase expenses</v>
      </c>
      <c r="B8" s="50" t="s">
        <v>262</v>
      </c>
      <c r="C8" s="13"/>
      <c r="D8" s="13"/>
      <c r="E8" s="13"/>
      <c r="F8" s="13"/>
      <c r="G8" s="13">
        <v>0</v>
      </c>
      <c r="H8" s="13">
        <v>2144368.0299999998</v>
      </c>
      <c r="I8" s="13">
        <v>460</v>
      </c>
      <c r="J8" s="13">
        <v>0</v>
      </c>
      <c r="K8" s="13">
        <v>22130</v>
      </c>
      <c r="L8" s="13">
        <v>0</v>
      </c>
      <c r="M8" s="13">
        <v>107638.05</v>
      </c>
      <c r="N8" s="13">
        <v>0</v>
      </c>
      <c r="O8" s="13">
        <v>0</v>
      </c>
      <c r="P8" s="13">
        <v>0</v>
      </c>
      <c r="Q8" s="13">
        <v>252</v>
      </c>
      <c r="R8" s="13">
        <v>59958.67</v>
      </c>
      <c r="S8" s="13">
        <v>61554.65</v>
      </c>
      <c r="T8" s="13">
        <v>0</v>
      </c>
      <c r="U8" s="13">
        <v>14789.4</v>
      </c>
      <c r="V8" s="13">
        <v>0</v>
      </c>
      <c r="W8" s="13">
        <v>1369.94</v>
      </c>
      <c r="X8" s="533"/>
    </row>
    <row r="9" spans="1:24" x14ac:dyDescent="0.35">
      <c r="A9" s="37" t="str">
        <f>_xlfn.XLOOKUP(B9,master!B:B,master!A:A)</f>
        <v>Add: Purchase expenses</v>
      </c>
      <c r="B9" s="50" t="s">
        <v>263</v>
      </c>
      <c r="C9" s="13"/>
      <c r="D9" s="13"/>
      <c r="E9" s="13"/>
      <c r="F9" s="13"/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55163.4</v>
      </c>
      <c r="R9" s="13">
        <v>0</v>
      </c>
      <c r="S9" s="13">
        <v>-135020</v>
      </c>
      <c r="T9" s="13">
        <v>0</v>
      </c>
      <c r="U9" s="13">
        <v>3860</v>
      </c>
      <c r="V9" s="13">
        <v>0</v>
      </c>
      <c r="W9" s="13">
        <v>0</v>
      </c>
      <c r="X9" s="533"/>
    </row>
    <row r="10" spans="1:24" x14ac:dyDescent="0.35">
      <c r="A10" s="37" t="str">
        <f>_xlfn.XLOOKUP(B10,master!B:B,master!A:A)</f>
        <v>Other Administrative Expenses</v>
      </c>
      <c r="B10" s="50" t="s">
        <v>558</v>
      </c>
      <c r="C10" s="13"/>
      <c r="D10" s="13"/>
      <c r="E10" s="13"/>
      <c r="F10" s="13"/>
      <c r="G10" s="13">
        <v>0</v>
      </c>
      <c r="H10" s="13">
        <v>19765.93</v>
      </c>
      <c r="I10" s="13">
        <v>0</v>
      </c>
      <c r="J10" s="13">
        <v>0</v>
      </c>
      <c r="K10" s="13">
        <v>0</v>
      </c>
      <c r="L10" s="13">
        <v>0</v>
      </c>
      <c r="M10" s="13">
        <v>9500</v>
      </c>
      <c r="N10" s="13">
        <v>0</v>
      </c>
      <c r="O10" s="13">
        <v>0</v>
      </c>
      <c r="P10" s="13">
        <v>0</v>
      </c>
      <c r="Q10" s="13">
        <v>0</v>
      </c>
      <c r="R10" s="13">
        <v>1500</v>
      </c>
      <c r="S10" s="13">
        <v>0</v>
      </c>
      <c r="T10" s="13">
        <v>0</v>
      </c>
      <c r="U10" s="13">
        <v>0</v>
      </c>
      <c r="V10" s="13">
        <v>25504.13</v>
      </c>
      <c r="W10" s="13">
        <v>0</v>
      </c>
      <c r="X10" s="533"/>
    </row>
    <row r="11" spans="1:24" x14ac:dyDescent="0.35">
      <c r="A11" s="37" t="str">
        <f>_xlfn.XLOOKUP(B11,master!B:B,master!A:A)</f>
        <v>Add: Purchase of Stores, Spares &amp; Consumables</v>
      </c>
      <c r="B11" s="50" t="s">
        <v>264</v>
      </c>
      <c r="C11" s="13"/>
      <c r="D11" s="13"/>
      <c r="E11" s="13"/>
      <c r="F11" s="13"/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164961.51</v>
      </c>
      <c r="T11" s="13">
        <v>0</v>
      </c>
      <c r="U11" s="13">
        <v>-200</v>
      </c>
      <c r="V11" s="13">
        <v>0</v>
      </c>
      <c r="W11" s="13">
        <v>0</v>
      </c>
      <c r="X11" s="533"/>
    </row>
    <row r="12" spans="1:24" x14ac:dyDescent="0.35">
      <c r="A12" s="37" t="str">
        <f>_xlfn.XLOOKUP(B12,master!B:B,master!A:A)</f>
        <v>Other Administrative Expenses</v>
      </c>
      <c r="B12" s="50" t="s">
        <v>265</v>
      </c>
      <c r="C12" s="13"/>
      <c r="D12" s="13"/>
      <c r="E12" s="13"/>
      <c r="F12" s="13"/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33992.26</v>
      </c>
      <c r="R12" s="13">
        <v>84730</v>
      </c>
      <c r="S12" s="13">
        <v>124376</v>
      </c>
      <c r="T12" s="13">
        <v>0</v>
      </c>
      <c r="U12" s="13">
        <v>25519</v>
      </c>
      <c r="V12" s="13">
        <v>0</v>
      </c>
      <c r="W12" s="13">
        <v>360</v>
      </c>
      <c r="X12" s="533"/>
    </row>
    <row r="13" spans="1:24" x14ac:dyDescent="0.35">
      <c r="A13" s="37" t="str">
        <f>_xlfn.XLOOKUP(B13,master!B:B,master!A:A)</f>
        <v>Other Administrative Expenses</v>
      </c>
      <c r="B13" s="50" t="s">
        <v>656</v>
      </c>
      <c r="C13" s="13"/>
      <c r="D13" s="13"/>
      <c r="E13" s="13"/>
      <c r="F13" s="13"/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9900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533"/>
    </row>
    <row r="14" spans="1:24" x14ac:dyDescent="0.35">
      <c r="A14" s="37" t="str">
        <f>_xlfn.XLOOKUP(B14,master!B:B,master!A:A)</f>
        <v>Other Administrative Expenses</v>
      </c>
      <c r="B14" s="50" t="s">
        <v>266</v>
      </c>
      <c r="C14" s="13"/>
      <c r="D14" s="13"/>
      <c r="E14" s="13"/>
      <c r="F14" s="13"/>
      <c r="G14" s="13">
        <v>0</v>
      </c>
      <c r="H14" s="13">
        <v>57091</v>
      </c>
      <c r="I14" s="13">
        <v>1260</v>
      </c>
      <c r="J14" s="13">
        <v>0</v>
      </c>
      <c r="K14" s="13">
        <v>0</v>
      </c>
      <c r="L14" s="13">
        <v>0</v>
      </c>
      <c r="M14" s="13">
        <v>251879</v>
      </c>
      <c r="N14" s="13">
        <v>0</v>
      </c>
      <c r="O14" s="13">
        <v>0</v>
      </c>
      <c r="P14" s="13">
        <v>0</v>
      </c>
      <c r="Q14" s="13">
        <v>93706.6</v>
      </c>
      <c r="R14" s="13">
        <v>544079</v>
      </c>
      <c r="S14" s="13">
        <v>12822</v>
      </c>
      <c r="T14" s="13">
        <v>0</v>
      </c>
      <c r="U14" s="13">
        <v>0</v>
      </c>
      <c r="V14" s="13">
        <v>0</v>
      </c>
      <c r="W14" s="13">
        <v>41319.339999999997</v>
      </c>
      <c r="X14" s="533"/>
    </row>
    <row r="15" spans="1:24" x14ac:dyDescent="0.35">
      <c r="A15" s="37" t="str">
        <f>_xlfn.XLOOKUP(B15,master!B:B,master!A:A)</f>
        <v>Labour charges</v>
      </c>
      <c r="B15" s="50" t="s">
        <v>267</v>
      </c>
      <c r="C15" s="13"/>
      <c r="D15" s="13"/>
      <c r="E15" s="13"/>
      <c r="F15" s="13"/>
      <c r="G15" s="13">
        <v>0</v>
      </c>
      <c r="H15" s="13">
        <v>2653294.7000000002</v>
      </c>
      <c r="I15" s="13">
        <v>71584</v>
      </c>
      <c r="J15" s="13">
        <v>0</v>
      </c>
      <c r="K15" s="13">
        <v>30</v>
      </c>
      <c r="L15" s="13">
        <v>0</v>
      </c>
      <c r="M15" s="13">
        <v>4436290.38</v>
      </c>
      <c r="N15" s="13">
        <v>0</v>
      </c>
      <c r="O15" s="13">
        <v>0</v>
      </c>
      <c r="P15" s="13">
        <v>0</v>
      </c>
      <c r="Q15" s="13">
        <v>9172584</v>
      </c>
      <c r="R15" s="13">
        <v>6661316</v>
      </c>
      <c r="S15" s="13">
        <v>8006908.7999999998</v>
      </c>
      <c r="T15" s="13">
        <v>0</v>
      </c>
      <c r="U15" s="13">
        <v>7206230</v>
      </c>
      <c r="V15" s="13">
        <v>0</v>
      </c>
      <c r="W15" s="13">
        <v>7665151.6399999997</v>
      </c>
      <c r="X15" s="533"/>
    </row>
    <row r="16" spans="1:24" x14ac:dyDescent="0.35">
      <c r="A16" s="37" t="str">
        <f>_xlfn.XLOOKUP(B16,master!B:B,master!A:A)</f>
        <v>Power and fuel</v>
      </c>
      <c r="B16" s="50" t="s">
        <v>268</v>
      </c>
      <c r="C16" s="13"/>
      <c r="D16" s="13"/>
      <c r="E16" s="13"/>
      <c r="F16" s="13"/>
      <c r="G16" s="13">
        <v>26654.46</v>
      </c>
      <c r="H16" s="13">
        <v>9166219.7799999993</v>
      </c>
      <c r="I16" s="13">
        <v>0</v>
      </c>
      <c r="J16" s="13">
        <v>0</v>
      </c>
      <c r="K16" s="13">
        <v>197333.03</v>
      </c>
      <c r="L16" s="13">
        <v>0</v>
      </c>
      <c r="M16" s="13">
        <v>4870824</v>
      </c>
      <c r="N16" s="13">
        <v>0</v>
      </c>
      <c r="O16" s="13">
        <v>0</v>
      </c>
      <c r="P16" s="13">
        <v>1498</v>
      </c>
      <c r="Q16" s="13">
        <v>4182664</v>
      </c>
      <c r="R16" s="13">
        <v>10863022.449999999</v>
      </c>
      <c r="S16" s="13">
        <v>8162252</v>
      </c>
      <c r="T16" s="13">
        <v>0</v>
      </c>
      <c r="U16" s="13">
        <v>932342.03</v>
      </c>
      <c r="V16" s="13">
        <v>0</v>
      </c>
      <c r="W16" s="13">
        <v>3873935.11</v>
      </c>
      <c r="X16" s="533"/>
    </row>
    <row r="17" spans="1:24" x14ac:dyDescent="0.35">
      <c r="A17" s="37" t="str">
        <f>_xlfn.XLOOKUP(B17,master!B:B,master!A:A)</f>
        <v>Other Administrative Expenses</v>
      </c>
      <c r="B17" s="50" t="s">
        <v>269</v>
      </c>
      <c r="C17" s="13"/>
      <c r="D17" s="13"/>
      <c r="E17" s="13"/>
      <c r="F17" s="13"/>
      <c r="G17" s="13">
        <v>0</v>
      </c>
      <c r="H17" s="13">
        <v>168000</v>
      </c>
      <c r="I17" s="13">
        <v>0</v>
      </c>
      <c r="J17" s="13">
        <v>0</v>
      </c>
      <c r="K17" s="13">
        <v>0</v>
      </c>
      <c r="L17" s="13">
        <v>0</v>
      </c>
      <c r="M17" s="13">
        <v>1265900</v>
      </c>
      <c r="N17" s="13">
        <v>0</v>
      </c>
      <c r="O17" s="13">
        <v>0</v>
      </c>
      <c r="P17" s="13">
        <v>0</v>
      </c>
      <c r="Q17" s="13">
        <v>125000</v>
      </c>
      <c r="R17" s="13">
        <v>40000</v>
      </c>
      <c r="S17" s="13">
        <v>740800</v>
      </c>
      <c r="T17" s="13">
        <v>0</v>
      </c>
      <c r="U17" s="13">
        <v>0</v>
      </c>
      <c r="V17" s="13">
        <v>0</v>
      </c>
      <c r="W17" s="13">
        <v>110800</v>
      </c>
      <c r="X17" s="533"/>
    </row>
    <row r="18" spans="1:24" x14ac:dyDescent="0.35">
      <c r="A18" s="37" t="str">
        <f>_xlfn.XLOOKUP(B18,master!B:B,master!A:A)</f>
        <v>Other Manufacturing Expenses</v>
      </c>
      <c r="B18" s="50" t="s">
        <v>270</v>
      </c>
      <c r="C18" s="13"/>
      <c r="D18" s="13"/>
      <c r="E18" s="13"/>
      <c r="F18" s="13"/>
      <c r="G18" s="13">
        <v>0</v>
      </c>
      <c r="H18" s="13">
        <v>0</v>
      </c>
      <c r="I18" s="13">
        <v>0</v>
      </c>
      <c r="J18" s="13">
        <v>0</v>
      </c>
      <c r="K18" s="13">
        <v>490000</v>
      </c>
      <c r="L18" s="13">
        <v>0</v>
      </c>
      <c r="M18" s="13">
        <v>0</v>
      </c>
      <c r="N18" s="13">
        <v>0</v>
      </c>
      <c r="O18" s="13">
        <v>0</v>
      </c>
      <c r="P18" s="13">
        <v>529456</v>
      </c>
      <c r="Q18" s="13">
        <v>577753</v>
      </c>
      <c r="R18" s="13">
        <v>0</v>
      </c>
      <c r="S18" s="13">
        <v>0</v>
      </c>
      <c r="T18" s="13">
        <v>0</v>
      </c>
      <c r="U18" s="13">
        <v>787500</v>
      </c>
      <c r="V18" s="13">
        <v>0</v>
      </c>
      <c r="W18" s="13">
        <v>0</v>
      </c>
      <c r="X18" s="533"/>
    </row>
    <row r="19" spans="1:24" x14ac:dyDescent="0.35">
      <c r="A19" s="37" t="str">
        <f>_xlfn.XLOOKUP(B19,master!B:B,master!A:A)</f>
        <v>Other Administrative Expenses</v>
      </c>
      <c r="B19" s="50" t="s">
        <v>271</v>
      </c>
      <c r="C19" s="13"/>
      <c r="D19" s="13"/>
      <c r="E19" s="13"/>
      <c r="F19" s="13"/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34728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201217</v>
      </c>
      <c r="U19" s="13">
        <v>0</v>
      </c>
      <c r="V19" s="13">
        <v>0</v>
      </c>
      <c r="W19" s="13">
        <v>0</v>
      </c>
      <c r="X19" s="533"/>
    </row>
    <row r="20" spans="1:24" x14ac:dyDescent="0.35">
      <c r="A20" s="37" t="str">
        <f>_xlfn.XLOOKUP(B20,master!B:B,master!A:A)</f>
        <v>Other Administrative Expenses</v>
      </c>
      <c r="B20" s="50" t="s">
        <v>709</v>
      </c>
      <c r="C20" s="13"/>
      <c r="D20" s="13"/>
      <c r="E20" s="13"/>
      <c r="F20" s="13"/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315000</v>
      </c>
      <c r="T20" s="13">
        <v>0</v>
      </c>
      <c r="U20" s="13">
        <v>292688</v>
      </c>
      <c r="V20" s="13">
        <v>0</v>
      </c>
      <c r="W20" s="13">
        <v>0</v>
      </c>
      <c r="X20" s="533"/>
    </row>
    <row r="21" spans="1:24" x14ac:dyDescent="0.35">
      <c r="A21" s="37" t="str">
        <f>_xlfn.XLOOKUP(B21,master!B:B,master!A:A)</f>
        <v>Other Manufacturing Expenses</v>
      </c>
      <c r="B21" s="50" t="s">
        <v>272</v>
      </c>
      <c r="C21" s="13"/>
      <c r="D21" s="13"/>
      <c r="E21" s="13"/>
      <c r="F21" s="13"/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600000</v>
      </c>
      <c r="N21" s="13">
        <v>0</v>
      </c>
      <c r="O21" s="13">
        <v>0</v>
      </c>
      <c r="P21" s="13">
        <v>0</v>
      </c>
      <c r="Q21" s="13">
        <v>0</v>
      </c>
      <c r="R21" s="13">
        <v>48000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533"/>
    </row>
    <row r="22" spans="1:24" x14ac:dyDescent="0.35">
      <c r="A22" s="37" t="str">
        <f>_xlfn.XLOOKUP(B22,master!B:B,master!A:A)</f>
        <v>Other Administrative Expenses</v>
      </c>
      <c r="B22" s="50" t="s">
        <v>671</v>
      </c>
      <c r="C22" s="13"/>
      <c r="D22" s="13"/>
      <c r="E22" s="13"/>
      <c r="F22" s="13"/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17250</v>
      </c>
      <c r="X22" s="533"/>
    </row>
    <row r="23" spans="1:24" x14ac:dyDescent="0.35">
      <c r="A23" s="37" t="str">
        <f>_xlfn.XLOOKUP(B23,master!B:B,master!A:A)</f>
        <v>Exchange Rate Difference</v>
      </c>
      <c r="B23" s="50" t="s">
        <v>273</v>
      </c>
      <c r="C23" s="13"/>
      <c r="D23" s="13"/>
      <c r="E23" s="13"/>
      <c r="F23" s="13"/>
      <c r="G23" s="13">
        <v>-148856.4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283145.53000000003</v>
      </c>
      <c r="N23" s="13">
        <v>0</v>
      </c>
      <c r="O23" s="13">
        <v>0</v>
      </c>
      <c r="P23" s="13">
        <v>10023558.24</v>
      </c>
      <c r="Q23" s="13">
        <v>0</v>
      </c>
      <c r="R23" s="13">
        <v>1462097.65</v>
      </c>
      <c r="S23" s="13">
        <v>0</v>
      </c>
      <c r="T23" s="13">
        <v>0</v>
      </c>
      <c r="U23" s="13">
        <v>0</v>
      </c>
      <c r="V23" s="13">
        <v>4664.6000000000004</v>
      </c>
      <c r="W23" s="13">
        <v>18158514.91</v>
      </c>
      <c r="X23" s="533"/>
    </row>
    <row r="24" spans="1:24" x14ac:dyDescent="0.35">
      <c r="A24" s="37" t="str">
        <f>_xlfn.XLOOKUP(B24,master!B:B,master!A:A)</f>
        <v>Add: Purchase expenses</v>
      </c>
      <c r="B24" s="50" t="s">
        <v>274</v>
      </c>
      <c r="C24" s="13"/>
      <c r="D24" s="13"/>
      <c r="E24" s="13"/>
      <c r="F24" s="13"/>
      <c r="G24" s="13">
        <v>0</v>
      </c>
      <c r="H24" s="13">
        <v>0</v>
      </c>
      <c r="I24" s="13">
        <v>0</v>
      </c>
      <c r="J24" s="13">
        <v>0</v>
      </c>
      <c r="K24" s="13">
        <v>17183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533"/>
    </row>
    <row r="25" spans="1:24" x14ac:dyDescent="0.35">
      <c r="A25" s="37" t="str">
        <f>_xlfn.XLOOKUP(B25,master!B:B,master!A:A)</f>
        <v>Freight Outward and C &amp; F Charges</v>
      </c>
      <c r="B25" s="50" t="s">
        <v>276</v>
      </c>
      <c r="C25" s="13"/>
      <c r="D25" s="13"/>
      <c r="E25" s="13"/>
      <c r="F25" s="13"/>
      <c r="G25" s="13">
        <v>0</v>
      </c>
      <c r="H25" s="13">
        <v>35579</v>
      </c>
      <c r="I25" s="13">
        <v>22607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309000</v>
      </c>
      <c r="R25" s="13">
        <v>0</v>
      </c>
      <c r="S25" s="13">
        <v>0</v>
      </c>
      <c r="T25" s="13">
        <v>0</v>
      </c>
      <c r="U25" s="13">
        <v>27300</v>
      </c>
      <c r="V25" s="13">
        <v>0</v>
      </c>
      <c r="W25" s="13">
        <v>261170</v>
      </c>
      <c r="X25" s="533"/>
    </row>
    <row r="26" spans="1:24" x14ac:dyDescent="0.35">
      <c r="A26" s="37" t="str">
        <f>_xlfn.XLOOKUP(B26,master!B:B,master!A:A)</f>
        <v xml:space="preserve">Jobwork charges </v>
      </c>
      <c r="B26" s="50" t="s">
        <v>277</v>
      </c>
      <c r="C26" s="13"/>
      <c r="D26" s="13"/>
      <c r="E26" s="13"/>
      <c r="F26" s="13"/>
      <c r="G26" s="13">
        <v>0</v>
      </c>
      <c r="H26" s="13">
        <v>15517900.57</v>
      </c>
      <c r="I26" s="13">
        <v>931.6</v>
      </c>
      <c r="J26" s="13">
        <v>0</v>
      </c>
      <c r="K26" s="13">
        <v>2274984</v>
      </c>
      <c r="L26" s="13">
        <v>0</v>
      </c>
      <c r="M26" s="13">
        <v>37954243.579999998</v>
      </c>
      <c r="N26" s="13">
        <v>0</v>
      </c>
      <c r="O26" s="13">
        <v>0</v>
      </c>
      <c r="P26" s="13">
        <v>53805598</v>
      </c>
      <c r="Q26" s="13">
        <v>55176.42</v>
      </c>
      <c r="R26" s="13">
        <v>24525250.09</v>
      </c>
      <c r="S26" s="13">
        <v>5716691.5700000003</v>
      </c>
      <c r="T26" s="13">
        <v>0</v>
      </c>
      <c r="U26" s="13">
        <v>245305.5</v>
      </c>
      <c r="V26" s="13">
        <v>0</v>
      </c>
      <c r="W26" s="13">
        <v>806726.77</v>
      </c>
      <c r="X26" s="533"/>
    </row>
    <row r="27" spans="1:24" x14ac:dyDescent="0.35">
      <c r="A27" s="37" t="str">
        <f>_xlfn.XLOOKUP(B27,master!B:B,master!A:A)</f>
        <v>Freight Outward and C &amp; F Charges</v>
      </c>
      <c r="B27" s="50" t="s">
        <v>278</v>
      </c>
      <c r="C27" s="13"/>
      <c r="D27" s="13"/>
      <c r="E27" s="13"/>
      <c r="F27" s="13"/>
      <c r="G27" s="13">
        <v>0</v>
      </c>
      <c r="H27" s="13">
        <v>30740</v>
      </c>
      <c r="I27" s="13">
        <v>0</v>
      </c>
      <c r="J27" s="13">
        <v>0</v>
      </c>
      <c r="K27" s="13">
        <v>5000</v>
      </c>
      <c r="L27" s="13">
        <v>13590</v>
      </c>
      <c r="M27" s="13">
        <v>143950</v>
      </c>
      <c r="N27" s="13">
        <v>0</v>
      </c>
      <c r="O27" s="13">
        <v>0</v>
      </c>
      <c r="P27" s="13">
        <v>0</v>
      </c>
      <c r="Q27" s="13">
        <v>259324</v>
      </c>
      <c r="R27" s="13">
        <v>225050</v>
      </c>
      <c r="S27" s="13">
        <v>72445</v>
      </c>
      <c r="T27" s="13">
        <v>0</v>
      </c>
      <c r="U27" s="13">
        <v>1910</v>
      </c>
      <c r="V27" s="13">
        <v>0</v>
      </c>
      <c r="W27" s="13">
        <v>6300</v>
      </c>
      <c r="X27" s="533"/>
    </row>
    <row r="28" spans="1:24" x14ac:dyDescent="0.35">
      <c r="A28" s="37" t="str">
        <f>_xlfn.XLOOKUP(B28,master!B:B,master!A:A)</f>
        <v>Other Manufacturing Expenses</v>
      </c>
      <c r="B28" s="50" t="s">
        <v>279</v>
      </c>
      <c r="C28" s="13"/>
      <c r="D28" s="13"/>
      <c r="E28" s="13"/>
      <c r="F28" s="13"/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31000</v>
      </c>
      <c r="R28" s="13">
        <v>744750</v>
      </c>
      <c r="S28" s="13">
        <v>52200</v>
      </c>
      <c r="T28" s="13">
        <v>0</v>
      </c>
      <c r="U28" s="13">
        <v>3300</v>
      </c>
      <c r="V28" s="13">
        <v>313987.03999999998</v>
      </c>
      <c r="W28" s="13">
        <v>0</v>
      </c>
      <c r="X28" s="533"/>
    </row>
    <row r="29" spans="1:24" x14ac:dyDescent="0.35">
      <c r="A29" s="37" t="str">
        <f>_xlfn.XLOOKUP(B29,master!B:B,master!A:A)</f>
        <v>Other Administrative Expenses</v>
      </c>
      <c r="B29" s="50" t="s">
        <v>280</v>
      </c>
      <c r="C29" s="13"/>
      <c r="D29" s="13"/>
      <c r="E29" s="13"/>
      <c r="F29" s="13"/>
      <c r="G29" s="13">
        <v>0</v>
      </c>
      <c r="H29" s="13">
        <v>0</v>
      </c>
      <c r="I29" s="13">
        <v>0</v>
      </c>
      <c r="J29" s="13">
        <v>0</v>
      </c>
      <c r="K29" s="13">
        <v>3430</v>
      </c>
      <c r="L29" s="13">
        <v>0</v>
      </c>
      <c r="M29" s="13">
        <v>158618</v>
      </c>
      <c r="N29" s="13">
        <v>0</v>
      </c>
      <c r="O29" s="13">
        <v>0</v>
      </c>
      <c r="P29" s="13">
        <v>240</v>
      </c>
      <c r="Q29" s="13">
        <v>239637</v>
      </c>
      <c r="R29" s="13">
        <v>993143</v>
      </c>
      <c r="S29" s="13">
        <v>104760</v>
      </c>
      <c r="T29" s="13">
        <v>0</v>
      </c>
      <c r="U29" s="13">
        <v>103500</v>
      </c>
      <c r="V29" s="13">
        <v>0</v>
      </c>
      <c r="W29" s="13">
        <v>486899.28</v>
      </c>
      <c r="X29" s="533"/>
    </row>
    <row r="30" spans="1:24" x14ac:dyDescent="0.35">
      <c r="A30" s="37" t="str">
        <f>_xlfn.XLOOKUP(B30,master!B:B,master!A:A)</f>
        <v>Other Manufacturing Expenses</v>
      </c>
      <c r="B30" s="50" t="s">
        <v>281</v>
      </c>
      <c r="C30" s="13"/>
      <c r="D30" s="13"/>
      <c r="E30" s="13"/>
      <c r="F30" s="13"/>
      <c r="G30" s="13">
        <v>0</v>
      </c>
      <c r="H30" s="13">
        <v>10990</v>
      </c>
      <c r="I30" s="13">
        <v>0</v>
      </c>
      <c r="J30" s="13">
        <v>0</v>
      </c>
      <c r="K30" s="13">
        <v>2950</v>
      </c>
      <c r="L30" s="13">
        <v>0</v>
      </c>
      <c r="M30" s="13">
        <v>0</v>
      </c>
      <c r="N30" s="13">
        <v>0</v>
      </c>
      <c r="O30" s="13">
        <v>0</v>
      </c>
      <c r="P30" s="13">
        <v>24220</v>
      </c>
      <c r="Q30" s="13">
        <v>6320</v>
      </c>
      <c r="R30" s="13">
        <v>11000</v>
      </c>
      <c r="S30" s="13">
        <v>51570</v>
      </c>
      <c r="T30" s="13">
        <v>0</v>
      </c>
      <c r="U30" s="13">
        <v>13240</v>
      </c>
      <c r="V30" s="13">
        <v>0</v>
      </c>
      <c r="W30" s="13">
        <v>0</v>
      </c>
      <c r="X30" s="533"/>
    </row>
    <row r="31" spans="1:24" x14ac:dyDescent="0.35">
      <c r="A31" s="37" t="str">
        <f>_xlfn.XLOOKUP(B31,master!B:B,master!A:A)</f>
        <v>Other Manufacturing Expenses</v>
      </c>
      <c r="B31" s="50" t="s">
        <v>282</v>
      </c>
      <c r="C31" s="13"/>
      <c r="D31" s="13"/>
      <c r="E31" s="13"/>
      <c r="F31" s="13"/>
      <c r="G31" s="13">
        <v>0</v>
      </c>
      <c r="H31" s="13">
        <v>412402.1</v>
      </c>
      <c r="I31" s="13">
        <v>44600</v>
      </c>
      <c r="J31" s="13">
        <v>0</v>
      </c>
      <c r="K31" s="13">
        <v>143231.42000000001</v>
      </c>
      <c r="L31" s="13">
        <v>0</v>
      </c>
      <c r="M31" s="13">
        <v>1375818.11</v>
      </c>
      <c r="N31" s="13">
        <v>0</v>
      </c>
      <c r="O31" s="13">
        <v>0</v>
      </c>
      <c r="P31" s="13">
        <v>0</v>
      </c>
      <c r="Q31" s="13">
        <v>334412.5</v>
      </c>
      <c r="R31" s="13">
        <v>540316.07999999996</v>
      </c>
      <c r="S31" s="13">
        <v>448763.08</v>
      </c>
      <c r="T31" s="13">
        <v>0</v>
      </c>
      <c r="U31" s="13">
        <v>98982</v>
      </c>
      <c r="V31" s="13">
        <v>0</v>
      </c>
      <c r="W31" s="13">
        <v>3900</v>
      </c>
      <c r="X31" s="533"/>
    </row>
    <row r="32" spans="1:24" x14ac:dyDescent="0.35">
      <c r="A32" s="37" t="str">
        <f>_xlfn.XLOOKUP(B32,master!B:B,master!A:A)</f>
        <v>Add: Purchase of packing materials</v>
      </c>
      <c r="B32" s="50" t="s">
        <v>283</v>
      </c>
      <c r="C32" s="13"/>
      <c r="D32" s="13"/>
      <c r="E32" s="13"/>
      <c r="F32" s="13"/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9936</v>
      </c>
      <c r="S32" s="13">
        <v>10992</v>
      </c>
      <c r="T32" s="13">
        <v>0</v>
      </c>
      <c r="U32" s="13">
        <v>0</v>
      </c>
      <c r="V32" s="13">
        <v>0</v>
      </c>
      <c r="W32" s="13">
        <v>0</v>
      </c>
      <c r="X32" s="533"/>
    </row>
    <row r="33" spans="1:24" x14ac:dyDescent="0.35">
      <c r="A33" s="37" t="str">
        <f>_xlfn.XLOOKUP(B33,master!B:B,master!A:A)</f>
        <v>Add: Purchase of raw materials</v>
      </c>
      <c r="B33" s="50" t="s">
        <v>284</v>
      </c>
      <c r="C33" s="13"/>
      <c r="D33" s="13"/>
      <c r="E33" s="13"/>
      <c r="F33" s="13"/>
      <c r="G33" s="13">
        <v>0</v>
      </c>
      <c r="H33" s="13">
        <v>21093304.379999999</v>
      </c>
      <c r="I33" s="13">
        <v>36446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16758842.07</v>
      </c>
      <c r="S33" s="13">
        <v>43114985.270000003</v>
      </c>
      <c r="T33" s="13">
        <v>0</v>
      </c>
      <c r="U33" s="13">
        <v>430533.96</v>
      </c>
      <c r="V33" s="13">
        <v>0</v>
      </c>
      <c r="W33" s="13">
        <v>0</v>
      </c>
      <c r="X33" s="533"/>
    </row>
    <row r="34" spans="1:24" x14ac:dyDescent="0.35">
      <c r="A34" s="37" t="str">
        <f>_xlfn.XLOOKUP(B34,master!B:B,master!A:A)</f>
        <v>Add: Purchase of Stores, Spares &amp; Consumables</v>
      </c>
      <c r="B34" s="50" t="s">
        <v>285</v>
      </c>
      <c r="C34" s="13"/>
      <c r="D34" s="13"/>
      <c r="E34" s="13"/>
      <c r="F34" s="13"/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13960</v>
      </c>
      <c r="S34" s="13">
        <v>38052.32</v>
      </c>
      <c r="T34" s="13">
        <v>0</v>
      </c>
      <c r="U34" s="13">
        <v>0</v>
      </c>
      <c r="V34" s="13">
        <v>0</v>
      </c>
      <c r="W34" s="13">
        <v>0</v>
      </c>
      <c r="X34" s="533"/>
    </row>
    <row r="35" spans="1:24" x14ac:dyDescent="0.35">
      <c r="A35" s="37" t="str">
        <f>_xlfn.XLOOKUP(B35,master!B:B,master!A:A)</f>
        <v>Add: Purchase of traded goods</v>
      </c>
      <c r="B35" s="50" t="s">
        <v>286</v>
      </c>
      <c r="C35" s="13"/>
      <c r="D35" s="13"/>
      <c r="E35" s="13"/>
      <c r="F35" s="13"/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25000</v>
      </c>
      <c r="S35" s="13">
        <v>32596</v>
      </c>
      <c r="T35" s="13">
        <v>0</v>
      </c>
      <c r="U35" s="13">
        <v>1543316.72</v>
      </c>
      <c r="V35" s="13">
        <v>0</v>
      </c>
      <c r="W35" s="13">
        <v>0</v>
      </c>
      <c r="X35" s="533"/>
    </row>
    <row r="36" spans="1:24" x14ac:dyDescent="0.35">
      <c r="A36" s="37" t="str">
        <f>_xlfn.XLOOKUP(B36,master!B:B,master!A:A)</f>
        <v>Add: Purchase of raw materials</v>
      </c>
      <c r="B36" s="50" t="s">
        <v>287</v>
      </c>
      <c r="C36" s="13"/>
      <c r="D36" s="13"/>
      <c r="E36" s="13"/>
      <c r="F36" s="13"/>
      <c r="G36" s="13">
        <v>325622487.98000002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27922269.699999999</v>
      </c>
      <c r="N36" s="13">
        <v>0</v>
      </c>
      <c r="O36" s="13">
        <v>0</v>
      </c>
      <c r="P36" s="13">
        <v>0</v>
      </c>
      <c r="Q36" s="13">
        <v>0</v>
      </c>
      <c r="R36" s="13">
        <v>71411932.200000003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533"/>
    </row>
    <row r="37" spans="1:24" x14ac:dyDescent="0.35">
      <c r="A37" s="37" t="str">
        <f>_xlfn.XLOOKUP(B37,master!B:B,master!A:A)</f>
        <v>Add: Purchase of packing materials</v>
      </c>
      <c r="B37" s="50" t="s">
        <v>288</v>
      </c>
      <c r="C37" s="13"/>
      <c r="D37" s="13"/>
      <c r="E37" s="13"/>
      <c r="F37" s="13"/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1697006.4</v>
      </c>
      <c r="R37" s="13">
        <v>0</v>
      </c>
      <c r="S37" s="13">
        <v>1500</v>
      </c>
      <c r="T37" s="13">
        <v>0</v>
      </c>
      <c r="U37" s="13">
        <v>0</v>
      </c>
      <c r="V37" s="13">
        <v>0</v>
      </c>
      <c r="W37" s="13">
        <v>0</v>
      </c>
      <c r="X37" s="533"/>
    </row>
    <row r="38" spans="1:24" x14ac:dyDescent="0.35">
      <c r="A38" s="37" t="str">
        <f>_xlfn.XLOOKUP(B38,master!B:B,master!A:A)</f>
        <v>Add: Purchase of packing materials</v>
      </c>
      <c r="B38" s="50" t="s">
        <v>289</v>
      </c>
      <c r="C38" s="13"/>
      <c r="D38" s="13"/>
      <c r="E38" s="13"/>
      <c r="F38" s="13"/>
      <c r="G38" s="13">
        <v>0</v>
      </c>
      <c r="H38" s="13">
        <v>969163</v>
      </c>
      <c r="I38" s="13">
        <v>0</v>
      </c>
      <c r="J38" s="13">
        <v>0</v>
      </c>
      <c r="K38" s="13">
        <v>527120.73</v>
      </c>
      <c r="L38" s="13">
        <v>0</v>
      </c>
      <c r="M38" s="13">
        <v>2830055.7</v>
      </c>
      <c r="N38" s="13">
        <v>0</v>
      </c>
      <c r="O38" s="13">
        <v>0</v>
      </c>
      <c r="P38" s="13">
        <v>0</v>
      </c>
      <c r="Q38" s="13">
        <v>0</v>
      </c>
      <c r="R38" s="13">
        <v>2616362.66</v>
      </c>
      <c r="S38" s="13">
        <v>1095049.5</v>
      </c>
      <c r="T38" s="13">
        <v>0</v>
      </c>
      <c r="U38" s="13">
        <v>2368123</v>
      </c>
      <c r="V38" s="13">
        <v>0</v>
      </c>
      <c r="W38" s="13">
        <v>792250</v>
      </c>
      <c r="X38" s="533"/>
    </row>
    <row r="39" spans="1:24" x14ac:dyDescent="0.35">
      <c r="A39" s="37" t="str">
        <f>_xlfn.XLOOKUP(B39,master!B:B,master!A:A)</f>
        <v>NA</v>
      </c>
      <c r="B39" s="50" t="s">
        <v>290</v>
      </c>
      <c r="C39" s="13"/>
      <c r="D39" s="13"/>
      <c r="E39" s="13"/>
      <c r="F39" s="13"/>
      <c r="G39" s="13">
        <v>0</v>
      </c>
      <c r="H39" s="13">
        <v>-108481010</v>
      </c>
      <c r="I39" s="13">
        <v>0</v>
      </c>
      <c r="J39" s="13">
        <v>0</v>
      </c>
      <c r="K39" s="13">
        <v>0</v>
      </c>
      <c r="L39" s="13">
        <v>0</v>
      </c>
      <c r="M39" s="13">
        <v>-36870023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533"/>
    </row>
    <row r="40" spans="1:24" x14ac:dyDescent="0.35">
      <c r="A40" s="37" t="str">
        <f>_xlfn.XLOOKUP(B40,master!B:B,master!A:A)</f>
        <v>Add: Purchase of raw materials</v>
      </c>
      <c r="B40" s="50" t="s">
        <v>291</v>
      </c>
      <c r="C40" s="13"/>
      <c r="D40" s="13"/>
      <c r="E40" s="13"/>
      <c r="F40" s="13"/>
      <c r="G40" s="13">
        <v>0</v>
      </c>
      <c r="H40" s="13">
        <v>2001606</v>
      </c>
      <c r="I40" s="13">
        <v>0</v>
      </c>
      <c r="J40" s="13">
        <v>0</v>
      </c>
      <c r="K40" s="13">
        <v>140505</v>
      </c>
      <c r="L40" s="13">
        <v>0</v>
      </c>
      <c r="M40" s="13">
        <v>3134409.4</v>
      </c>
      <c r="N40" s="13">
        <v>0</v>
      </c>
      <c r="O40" s="13">
        <v>0</v>
      </c>
      <c r="P40" s="13">
        <v>57905985.439999998</v>
      </c>
      <c r="Q40" s="13">
        <v>1902073.98</v>
      </c>
      <c r="R40" s="13">
        <v>12461268</v>
      </c>
      <c r="S40" s="13">
        <v>10754414</v>
      </c>
      <c r="T40" s="13">
        <v>0</v>
      </c>
      <c r="U40" s="13">
        <v>877885</v>
      </c>
      <c r="V40" s="13">
        <v>0</v>
      </c>
      <c r="W40" s="13">
        <v>434965</v>
      </c>
      <c r="X40" s="533"/>
    </row>
    <row r="41" spans="1:24" x14ac:dyDescent="0.35">
      <c r="A41" s="37" t="str">
        <f>_xlfn.XLOOKUP(B41,master!B:B,master!A:A)</f>
        <v>Add: Purchase of raw materials</v>
      </c>
      <c r="B41" s="50" t="s">
        <v>560</v>
      </c>
      <c r="C41" s="13"/>
      <c r="D41" s="13"/>
      <c r="E41" s="13"/>
      <c r="F41" s="13"/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-11577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533"/>
    </row>
    <row r="42" spans="1:24" x14ac:dyDescent="0.35">
      <c r="A42" s="37" t="str">
        <f>_xlfn.XLOOKUP(B42,master!B:B,master!A:A)</f>
        <v>Add: Purchase of raw materials</v>
      </c>
      <c r="B42" s="50" t="s">
        <v>561</v>
      </c>
      <c r="C42" s="13"/>
      <c r="D42" s="13"/>
      <c r="E42" s="13"/>
      <c r="F42" s="13"/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-458156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533"/>
    </row>
    <row r="43" spans="1:24" x14ac:dyDescent="0.35">
      <c r="A43" s="37" t="str">
        <f>_xlfn.XLOOKUP(B43,master!B:B,master!A:A)</f>
        <v>Add: Purchase of raw materials</v>
      </c>
      <c r="B43" s="50" t="s">
        <v>292</v>
      </c>
      <c r="C43" s="13"/>
      <c r="D43" s="13"/>
      <c r="E43" s="13"/>
      <c r="F43" s="13"/>
      <c r="G43" s="13">
        <v>0</v>
      </c>
      <c r="H43" s="13">
        <v>114871587.09</v>
      </c>
      <c r="I43" s="13">
        <v>253841.44</v>
      </c>
      <c r="J43" s="13">
        <v>0</v>
      </c>
      <c r="K43" s="13">
        <v>29484261.940000001</v>
      </c>
      <c r="L43" s="13">
        <v>0</v>
      </c>
      <c r="M43" s="13">
        <v>128753424.91</v>
      </c>
      <c r="N43" s="13">
        <v>0</v>
      </c>
      <c r="O43" s="13">
        <v>0</v>
      </c>
      <c r="P43" s="13">
        <v>0</v>
      </c>
      <c r="Q43" s="13">
        <v>0</v>
      </c>
      <c r="R43" s="13">
        <v>386166294.86000001</v>
      </c>
      <c r="S43" s="13">
        <v>82355380.650000006</v>
      </c>
      <c r="T43" s="13">
        <v>0</v>
      </c>
      <c r="U43" s="13">
        <v>149055369.52000001</v>
      </c>
      <c r="V43" s="13">
        <v>0</v>
      </c>
      <c r="W43" s="13">
        <v>133926231.95999999</v>
      </c>
      <c r="X43" s="533"/>
    </row>
    <row r="44" spans="1:24" x14ac:dyDescent="0.35">
      <c r="A44" s="37" t="str">
        <f>_xlfn.XLOOKUP(B44,master!B:B,master!A:A)</f>
        <v>Add: Purchase of Stores, Spares &amp; Consumables</v>
      </c>
      <c r="B44" s="50" t="s">
        <v>293</v>
      </c>
      <c r="C44" s="13"/>
      <c r="D44" s="13"/>
      <c r="E44" s="13"/>
      <c r="F44" s="13"/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23740.14</v>
      </c>
      <c r="R44" s="13">
        <v>373117.61</v>
      </c>
      <c r="S44" s="13">
        <v>0</v>
      </c>
      <c r="T44" s="13">
        <v>0</v>
      </c>
      <c r="U44" s="13">
        <v>858116.82</v>
      </c>
      <c r="V44" s="13">
        <v>0</v>
      </c>
      <c r="W44" s="13">
        <v>0</v>
      </c>
      <c r="X44" s="533"/>
    </row>
    <row r="45" spans="1:24" x14ac:dyDescent="0.35">
      <c r="A45" s="37" t="str">
        <f>_xlfn.XLOOKUP(B45,master!B:B,master!A:A)</f>
        <v>Add: Purchase of Stores, Spares &amp; Consumables</v>
      </c>
      <c r="B45" s="50" t="s">
        <v>294</v>
      </c>
      <c r="C45" s="13"/>
      <c r="D45" s="13"/>
      <c r="E45" s="13"/>
      <c r="F45" s="13"/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7813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11207</v>
      </c>
      <c r="T45" s="13">
        <v>0</v>
      </c>
      <c r="U45" s="13">
        <v>0</v>
      </c>
      <c r="V45" s="13">
        <v>0</v>
      </c>
      <c r="W45" s="13">
        <v>0</v>
      </c>
      <c r="X45" s="533"/>
    </row>
    <row r="46" spans="1:24" x14ac:dyDescent="0.35">
      <c r="A46" s="37" t="str">
        <f>_xlfn.XLOOKUP(B46,master!B:B,master!A:A)</f>
        <v>Add: Purchase of Stores, Spares &amp; Consumables</v>
      </c>
      <c r="B46" s="50" t="s">
        <v>295</v>
      </c>
      <c r="C46" s="13"/>
      <c r="D46" s="13"/>
      <c r="E46" s="13"/>
      <c r="F46" s="13"/>
      <c r="G46" s="13">
        <v>0</v>
      </c>
      <c r="H46" s="13">
        <v>23720</v>
      </c>
      <c r="I46" s="13">
        <v>12500</v>
      </c>
      <c r="J46" s="13">
        <v>0</v>
      </c>
      <c r="K46" s="13">
        <v>340100</v>
      </c>
      <c r="L46" s="13">
        <v>0</v>
      </c>
      <c r="M46" s="13">
        <v>2418895.4500000002</v>
      </c>
      <c r="N46" s="13">
        <v>0</v>
      </c>
      <c r="O46" s="13">
        <v>0</v>
      </c>
      <c r="P46" s="13">
        <v>0</v>
      </c>
      <c r="Q46" s="13">
        <v>7566574.1900000004</v>
      </c>
      <c r="R46" s="13">
        <v>969533.93</v>
      </c>
      <c r="S46" s="13">
        <v>512601.95</v>
      </c>
      <c r="T46" s="13">
        <v>0</v>
      </c>
      <c r="U46" s="13">
        <v>305342</v>
      </c>
      <c r="V46" s="13">
        <v>0</v>
      </c>
      <c r="W46" s="13">
        <v>364915.08</v>
      </c>
      <c r="X46" s="533"/>
    </row>
    <row r="47" spans="1:24" x14ac:dyDescent="0.35">
      <c r="A47" s="37" t="str">
        <f>_xlfn.XLOOKUP(B47,master!B:B,master!A:A)</f>
        <v>Add: Purchase of Stores, Spares &amp; Consumables</v>
      </c>
      <c r="B47" s="50" t="s">
        <v>296</v>
      </c>
      <c r="C47" s="13"/>
      <c r="D47" s="13"/>
      <c r="E47" s="13"/>
      <c r="F47" s="13"/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52430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533"/>
    </row>
    <row r="48" spans="1:24" x14ac:dyDescent="0.35">
      <c r="A48" s="37" t="str">
        <f>_xlfn.XLOOKUP(B48,master!B:B,master!A:A)</f>
        <v>Add: Purchase of Stores, Spares &amp; Consumables</v>
      </c>
      <c r="B48" s="50" t="s">
        <v>297</v>
      </c>
      <c r="C48" s="13"/>
      <c r="D48" s="13"/>
      <c r="E48" s="13"/>
      <c r="F48" s="13"/>
      <c r="G48" s="13">
        <v>0</v>
      </c>
      <c r="H48" s="13">
        <v>2450331.63</v>
      </c>
      <c r="I48" s="13">
        <v>28453.439999999999</v>
      </c>
      <c r="J48" s="13">
        <v>0</v>
      </c>
      <c r="K48" s="13">
        <v>889539.21</v>
      </c>
      <c r="L48" s="13">
        <v>0</v>
      </c>
      <c r="M48" s="13">
        <v>4523532.4000000004</v>
      </c>
      <c r="N48" s="13">
        <v>0</v>
      </c>
      <c r="O48" s="13">
        <v>0</v>
      </c>
      <c r="P48" s="13">
        <v>0</v>
      </c>
      <c r="Q48" s="13">
        <v>0</v>
      </c>
      <c r="R48" s="13">
        <v>6592963.75</v>
      </c>
      <c r="S48" s="13">
        <v>3655747.31</v>
      </c>
      <c r="T48" s="13">
        <v>0</v>
      </c>
      <c r="U48" s="13">
        <v>2174798.4300000002</v>
      </c>
      <c r="V48" s="13">
        <v>0</v>
      </c>
      <c r="W48" s="13">
        <v>3084314.54</v>
      </c>
      <c r="X48" s="533"/>
    </row>
    <row r="49" spans="1:24" x14ac:dyDescent="0.35">
      <c r="A49" s="37" t="str">
        <f>_xlfn.XLOOKUP(B49,master!B:B,master!A:A)</f>
        <v>Add: Purchase of raw materials</v>
      </c>
      <c r="B49" s="50" t="s">
        <v>298</v>
      </c>
      <c r="C49" s="13"/>
      <c r="D49" s="13"/>
      <c r="E49" s="13"/>
      <c r="F49" s="13"/>
      <c r="G49" s="13">
        <v>2044702</v>
      </c>
      <c r="H49" s="13">
        <v>0</v>
      </c>
      <c r="I49" s="13">
        <v>0</v>
      </c>
      <c r="J49" s="13">
        <v>0</v>
      </c>
      <c r="K49" s="13">
        <v>0</v>
      </c>
      <c r="L49" s="13">
        <v>1749000</v>
      </c>
      <c r="M49" s="13">
        <v>0</v>
      </c>
      <c r="N49" s="13">
        <v>0</v>
      </c>
      <c r="O49" s="13">
        <v>0</v>
      </c>
      <c r="P49" s="13">
        <v>63269993.280000001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533"/>
    </row>
    <row r="50" spans="1:24" x14ac:dyDescent="0.35">
      <c r="A50" s="37" t="str">
        <f>_xlfn.XLOOKUP(B50,master!B:B,master!A:A)</f>
        <v>Add: Purchase of traded goods</v>
      </c>
      <c r="B50" s="50" t="s">
        <v>638</v>
      </c>
      <c r="C50" s="13"/>
      <c r="D50" s="13"/>
      <c r="E50" s="13"/>
      <c r="F50" s="13"/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25014250</v>
      </c>
      <c r="S50" s="13">
        <v>0</v>
      </c>
      <c r="T50" s="13">
        <v>0</v>
      </c>
      <c r="U50" s="13">
        <v>0</v>
      </c>
      <c r="V50" s="13">
        <v>0</v>
      </c>
      <c r="W50" s="13">
        <v>18615000</v>
      </c>
      <c r="X50" s="533"/>
    </row>
    <row r="51" spans="1:24" x14ac:dyDescent="0.35">
      <c r="A51" s="37" t="str">
        <f>_xlfn.XLOOKUP(B51,master!B:B,master!A:A)</f>
        <v>Add: Purchase of raw materials</v>
      </c>
      <c r="B51" s="50" t="s">
        <v>299</v>
      </c>
      <c r="C51" s="13"/>
      <c r="D51" s="13"/>
      <c r="E51" s="13"/>
      <c r="F51" s="13"/>
      <c r="G51" s="13">
        <v>54286980</v>
      </c>
      <c r="H51" s="13">
        <v>0</v>
      </c>
      <c r="I51" s="13">
        <v>0</v>
      </c>
      <c r="J51" s="13">
        <v>0</v>
      </c>
      <c r="K51" s="13">
        <v>0</v>
      </c>
      <c r="L51" s="13">
        <v>62840305.719999999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1652671.53</v>
      </c>
      <c r="V51" s="13">
        <v>0</v>
      </c>
      <c r="W51" s="13">
        <v>274800</v>
      </c>
      <c r="X51" s="533"/>
    </row>
    <row r="52" spans="1:24" x14ac:dyDescent="0.35">
      <c r="A52" s="37" t="str">
        <f>_xlfn.XLOOKUP(B52,master!B:B,master!A:A)</f>
        <v>Add: Purchase of traded goods</v>
      </c>
      <c r="B52" s="50" t="s">
        <v>300</v>
      </c>
      <c r="C52" s="13"/>
      <c r="D52" s="13"/>
      <c r="E52" s="13"/>
      <c r="F52" s="13"/>
      <c r="G52" s="13">
        <v>0</v>
      </c>
      <c r="H52" s="13">
        <v>57532657.18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4876994.05</v>
      </c>
      <c r="W52" s="13">
        <v>36027793.469999999</v>
      </c>
      <c r="X52" s="533"/>
    </row>
    <row r="53" spans="1:24" x14ac:dyDescent="0.35">
      <c r="A53" s="37" t="str">
        <f>_xlfn.XLOOKUP(B53,master!B:B,master!A:A)</f>
        <v>Add: Purchase of raw materials</v>
      </c>
      <c r="B53" s="50" t="s">
        <v>301</v>
      </c>
      <c r="C53" s="13"/>
      <c r="D53" s="13"/>
      <c r="E53" s="13"/>
      <c r="F53" s="13"/>
      <c r="G53" s="13">
        <v>0</v>
      </c>
      <c r="H53" s="13">
        <v>319306000</v>
      </c>
      <c r="I53" s="13">
        <v>0</v>
      </c>
      <c r="J53" s="13">
        <v>0</v>
      </c>
      <c r="K53" s="13">
        <v>0</v>
      </c>
      <c r="L53" s="13">
        <v>140495600</v>
      </c>
      <c r="M53" s="13">
        <v>17158400</v>
      </c>
      <c r="N53" s="13">
        <v>0</v>
      </c>
      <c r="O53" s="13">
        <v>0</v>
      </c>
      <c r="P53" s="13">
        <v>14865200</v>
      </c>
      <c r="Q53" s="13">
        <v>12096000</v>
      </c>
      <c r="R53" s="13">
        <v>29646015</v>
      </c>
      <c r="S53" s="13">
        <v>21342250</v>
      </c>
      <c r="T53" s="13">
        <v>0</v>
      </c>
      <c r="U53" s="13">
        <v>0</v>
      </c>
      <c r="V53" s="13">
        <v>0</v>
      </c>
      <c r="W53" s="13">
        <v>15013600</v>
      </c>
      <c r="X53" s="533"/>
    </row>
    <row r="54" spans="1:24" x14ac:dyDescent="0.35">
      <c r="A54" s="37" t="str">
        <f>_xlfn.XLOOKUP(B54,master!B:B,master!A:A)</f>
        <v>Conveyance, vehicle running and traveling expenses</v>
      </c>
      <c r="B54" s="50" t="s">
        <v>302</v>
      </c>
      <c r="C54" s="13"/>
      <c r="D54" s="13"/>
      <c r="E54" s="13"/>
      <c r="F54" s="13"/>
      <c r="G54" s="13">
        <v>41297</v>
      </c>
      <c r="H54" s="13">
        <v>15870</v>
      </c>
      <c r="I54" s="13">
        <v>4000</v>
      </c>
      <c r="J54" s="13">
        <v>0</v>
      </c>
      <c r="K54" s="13">
        <v>0</v>
      </c>
      <c r="L54" s="13">
        <v>0</v>
      </c>
      <c r="M54" s="13">
        <v>61288</v>
      </c>
      <c r="N54" s="13">
        <v>0</v>
      </c>
      <c r="O54" s="13">
        <v>0</v>
      </c>
      <c r="P54" s="13">
        <v>0</v>
      </c>
      <c r="Q54" s="13">
        <v>80277</v>
      </c>
      <c r="R54" s="13">
        <v>3787</v>
      </c>
      <c r="S54" s="13">
        <v>134552</v>
      </c>
      <c r="T54" s="13">
        <v>0</v>
      </c>
      <c r="U54" s="13">
        <v>35250</v>
      </c>
      <c r="V54" s="13">
        <v>144363</v>
      </c>
      <c r="W54" s="13">
        <v>73800</v>
      </c>
      <c r="X54" s="533"/>
    </row>
    <row r="55" spans="1:24" x14ac:dyDescent="0.35">
      <c r="A55" s="37" t="str">
        <f>_xlfn.XLOOKUP(B55,master!B:B,master!A:A)</f>
        <v>Other Administrative Expenses</v>
      </c>
      <c r="B55" s="50" t="s">
        <v>672</v>
      </c>
      <c r="C55" s="13"/>
      <c r="D55" s="13"/>
      <c r="E55" s="13"/>
      <c r="F55" s="13"/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24880</v>
      </c>
      <c r="N55" s="13">
        <v>0</v>
      </c>
      <c r="O55" s="13">
        <v>0</v>
      </c>
      <c r="P55" s="13">
        <v>0</v>
      </c>
      <c r="Q55" s="13">
        <v>0</v>
      </c>
      <c r="R55" s="13">
        <v>111994.43</v>
      </c>
      <c r="S55" s="13">
        <v>316692</v>
      </c>
      <c r="T55" s="13">
        <v>0</v>
      </c>
      <c r="U55" s="13">
        <v>0</v>
      </c>
      <c r="V55" s="13">
        <v>0</v>
      </c>
      <c r="W55" s="13">
        <v>0</v>
      </c>
      <c r="X55" s="533"/>
    </row>
    <row r="56" spans="1:24" x14ac:dyDescent="0.35">
      <c r="A56" s="37" t="str">
        <f>_xlfn.XLOOKUP(B56,master!B:B,master!A:A)</f>
        <v>Sale of finished goods</v>
      </c>
      <c r="B56" s="50" t="s">
        <v>657</v>
      </c>
      <c r="C56" s="13"/>
      <c r="D56" s="13"/>
      <c r="E56" s="13"/>
      <c r="F56" s="13"/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-49034.25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533"/>
    </row>
    <row r="57" spans="1:24" x14ac:dyDescent="0.35">
      <c r="A57" s="37" t="str">
        <f>_xlfn.XLOOKUP(B57,master!B:B,master!A:A)</f>
        <v>Other Administrative Expenses</v>
      </c>
      <c r="B57" s="50" t="s">
        <v>303</v>
      </c>
      <c r="C57" s="13"/>
      <c r="D57" s="13"/>
      <c r="E57" s="13"/>
      <c r="F57" s="13"/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100000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6345</v>
      </c>
      <c r="U57" s="13">
        <v>0</v>
      </c>
      <c r="V57" s="13">
        <v>20000</v>
      </c>
      <c r="W57" s="13">
        <v>0</v>
      </c>
      <c r="X57" s="533"/>
    </row>
    <row r="58" spans="1:24" x14ac:dyDescent="0.35">
      <c r="A58" s="37" t="str">
        <f>_xlfn.XLOOKUP(B58,master!B:B,master!A:A)</f>
        <v>Other Administrative Expenses</v>
      </c>
      <c r="B58" s="50" t="s">
        <v>304</v>
      </c>
      <c r="C58" s="13"/>
      <c r="D58" s="13"/>
      <c r="E58" s="13"/>
      <c r="F58" s="13"/>
      <c r="G58" s="13">
        <v>0</v>
      </c>
      <c r="H58" s="13">
        <v>7800</v>
      </c>
      <c r="I58" s="13">
        <v>0</v>
      </c>
      <c r="J58" s="13">
        <v>0</v>
      </c>
      <c r="K58" s="13">
        <v>3300</v>
      </c>
      <c r="L58" s="13">
        <v>0</v>
      </c>
      <c r="M58" s="13">
        <v>10000</v>
      </c>
      <c r="N58" s="13">
        <v>0</v>
      </c>
      <c r="O58" s="13">
        <v>0</v>
      </c>
      <c r="P58" s="13">
        <v>0</v>
      </c>
      <c r="Q58" s="13">
        <v>3828</v>
      </c>
      <c r="R58" s="13">
        <v>0</v>
      </c>
      <c r="S58" s="13">
        <v>1647734</v>
      </c>
      <c r="T58" s="13">
        <v>0</v>
      </c>
      <c r="U58" s="13">
        <v>0</v>
      </c>
      <c r="V58" s="13">
        <v>38624</v>
      </c>
      <c r="W58" s="13">
        <v>264</v>
      </c>
      <c r="X58" s="533"/>
    </row>
    <row r="59" spans="1:24" x14ac:dyDescent="0.35">
      <c r="A59" s="37" t="str">
        <f>_xlfn.XLOOKUP(B59,master!B:B,master!A:A)</f>
        <v>Other Manufacturing Expenses</v>
      </c>
      <c r="B59" s="50" t="s">
        <v>305</v>
      </c>
      <c r="C59" s="13"/>
      <c r="D59" s="13"/>
      <c r="E59" s="13"/>
      <c r="F59" s="13"/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7497</v>
      </c>
      <c r="U59" s="13">
        <v>0</v>
      </c>
      <c r="V59" s="13">
        <v>0</v>
      </c>
      <c r="W59" s="13">
        <v>0</v>
      </c>
      <c r="X59" s="533"/>
    </row>
    <row r="60" spans="1:24" x14ac:dyDescent="0.35">
      <c r="A60" s="37" t="str">
        <f>_xlfn.XLOOKUP(B60,master!B:B,master!A:A)</f>
        <v>Other Administrative Expenses</v>
      </c>
      <c r="B60" s="50" t="s">
        <v>562</v>
      </c>
      <c r="C60" s="13"/>
      <c r="D60" s="13"/>
      <c r="E60" s="13"/>
      <c r="F60" s="13"/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7500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533"/>
    </row>
    <row r="61" spans="1:24" x14ac:dyDescent="0.35">
      <c r="A61" s="37" t="str">
        <f>_xlfn.XLOOKUP(B61,master!B:B,master!A:A)</f>
        <v>Other Administrative Expenses</v>
      </c>
      <c r="B61" s="50" t="s">
        <v>306</v>
      </c>
      <c r="C61" s="13"/>
      <c r="D61" s="13"/>
      <c r="E61" s="13"/>
      <c r="F61" s="13"/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2000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533"/>
    </row>
    <row r="62" spans="1:24" x14ac:dyDescent="0.35">
      <c r="A62" s="37" t="str">
        <f>_xlfn.XLOOKUP(B62,master!B:B,master!A:A)</f>
        <v>Other Manufacturing Expenses</v>
      </c>
      <c r="B62" s="50" t="s">
        <v>307</v>
      </c>
      <c r="C62" s="13"/>
      <c r="D62" s="13"/>
      <c r="E62" s="13"/>
      <c r="F62" s="13"/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513915</v>
      </c>
      <c r="N62" s="13">
        <v>0</v>
      </c>
      <c r="O62" s="13">
        <v>0</v>
      </c>
      <c r="P62" s="13">
        <v>0</v>
      </c>
      <c r="Q62" s="13">
        <v>17533</v>
      </c>
      <c r="R62" s="13">
        <v>0</v>
      </c>
      <c r="S62" s="13">
        <v>872619.4</v>
      </c>
      <c r="T62" s="13">
        <v>0</v>
      </c>
      <c r="U62" s="13">
        <v>53600</v>
      </c>
      <c r="V62" s="13">
        <v>12133</v>
      </c>
      <c r="W62" s="13">
        <v>0</v>
      </c>
      <c r="X62" s="533"/>
    </row>
    <row r="63" spans="1:24" x14ac:dyDescent="0.35">
      <c r="A63" s="37" t="str">
        <f>_xlfn.XLOOKUP(B63,master!B:B,master!A:A)</f>
        <v>Insurance</v>
      </c>
      <c r="B63" s="50" t="s">
        <v>308</v>
      </c>
      <c r="C63" s="13"/>
      <c r="D63" s="13"/>
      <c r="E63" s="13"/>
      <c r="F63" s="13"/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10615</v>
      </c>
      <c r="Q63" s="13">
        <v>0</v>
      </c>
      <c r="R63" s="13">
        <v>12858.13</v>
      </c>
      <c r="S63" s="13">
        <v>26969.040000000001</v>
      </c>
      <c r="T63" s="13">
        <v>0</v>
      </c>
      <c r="U63" s="13">
        <v>0</v>
      </c>
      <c r="V63" s="13">
        <v>0</v>
      </c>
      <c r="W63" s="13">
        <v>0</v>
      </c>
      <c r="X63" s="533"/>
    </row>
    <row r="64" spans="1:24" x14ac:dyDescent="0.35">
      <c r="A64" s="37" t="str">
        <f>_xlfn.XLOOKUP(B64,master!B:B,master!A:A)</f>
        <v>Other Administrative Expenses</v>
      </c>
      <c r="B64" s="50" t="s">
        <v>563</v>
      </c>
      <c r="C64" s="13"/>
      <c r="D64" s="13"/>
      <c r="E64" s="13"/>
      <c r="F64" s="13"/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240.49</v>
      </c>
      <c r="U64" s="13">
        <v>0</v>
      </c>
      <c r="V64" s="13">
        <v>0</v>
      </c>
      <c r="W64" s="13">
        <v>0</v>
      </c>
      <c r="X64" s="533"/>
    </row>
    <row r="65" spans="1:24" x14ac:dyDescent="0.35">
      <c r="A65" s="37" t="str">
        <f>_xlfn.XLOOKUP(B65,master!B:B,master!A:A)</f>
        <v>Other Administrative Expenses</v>
      </c>
      <c r="B65" s="50" t="s">
        <v>309</v>
      </c>
      <c r="C65" s="13"/>
      <c r="D65" s="13"/>
      <c r="E65" s="13"/>
      <c r="F65" s="13"/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4550</v>
      </c>
      <c r="N65" s="13">
        <v>0</v>
      </c>
      <c r="O65" s="13">
        <v>0</v>
      </c>
      <c r="P65" s="13">
        <v>0</v>
      </c>
      <c r="Q65" s="13">
        <v>1000</v>
      </c>
      <c r="R65" s="13">
        <v>19410</v>
      </c>
      <c r="S65" s="13">
        <v>4000</v>
      </c>
      <c r="T65" s="13">
        <v>0</v>
      </c>
      <c r="U65" s="13">
        <v>0</v>
      </c>
      <c r="V65" s="13">
        <v>999</v>
      </c>
      <c r="W65" s="13">
        <v>0</v>
      </c>
      <c r="X65" s="533"/>
    </row>
    <row r="66" spans="1:24" x14ac:dyDescent="0.35">
      <c r="A66" s="37" t="str">
        <f>_xlfn.XLOOKUP(B66,master!B:B,master!A:A)</f>
        <v>Other Administrative Expenses</v>
      </c>
      <c r="B66" s="50" t="s">
        <v>310</v>
      </c>
      <c r="C66" s="13"/>
      <c r="D66" s="13"/>
      <c r="E66" s="13"/>
      <c r="F66" s="13"/>
      <c r="G66" s="13">
        <v>3600</v>
      </c>
      <c r="H66" s="13">
        <v>842.26</v>
      </c>
      <c r="I66" s="13">
        <v>0</v>
      </c>
      <c r="J66" s="13">
        <v>0</v>
      </c>
      <c r="K66" s="13">
        <v>31824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29893</v>
      </c>
      <c r="S66" s="13">
        <v>4070</v>
      </c>
      <c r="T66" s="13">
        <v>0</v>
      </c>
      <c r="U66" s="13">
        <v>0</v>
      </c>
      <c r="V66" s="13">
        <v>726915.16</v>
      </c>
      <c r="W66" s="13">
        <v>0</v>
      </c>
      <c r="X66" s="533"/>
    </row>
    <row r="67" spans="1:24" x14ac:dyDescent="0.35">
      <c r="A67" s="37" t="str">
        <f>_xlfn.XLOOKUP(B67,master!B:B,master!A:A)</f>
        <v>Other Administrative Expenses</v>
      </c>
      <c r="B67" s="50" t="s">
        <v>311</v>
      </c>
      <c r="C67" s="13"/>
      <c r="D67" s="13"/>
      <c r="E67" s="13"/>
      <c r="F67" s="13"/>
      <c r="G67" s="13">
        <v>900</v>
      </c>
      <c r="H67" s="13">
        <v>13883.54</v>
      </c>
      <c r="I67" s="13">
        <v>1061</v>
      </c>
      <c r="J67" s="13">
        <v>0</v>
      </c>
      <c r="K67" s="13">
        <v>0</v>
      </c>
      <c r="L67" s="13">
        <v>0</v>
      </c>
      <c r="M67" s="13">
        <v>19566</v>
      </c>
      <c r="N67" s="13">
        <v>0</v>
      </c>
      <c r="O67" s="13">
        <v>0</v>
      </c>
      <c r="P67" s="13">
        <v>599</v>
      </c>
      <c r="Q67" s="13">
        <v>42818</v>
      </c>
      <c r="R67" s="13">
        <v>47920</v>
      </c>
      <c r="S67" s="13">
        <v>13994.54</v>
      </c>
      <c r="T67" s="13">
        <v>11602</v>
      </c>
      <c r="U67" s="13">
        <v>0</v>
      </c>
      <c r="V67" s="13">
        <v>79576.41</v>
      </c>
      <c r="W67" s="13">
        <v>36359.22</v>
      </c>
      <c r="X67" s="533"/>
    </row>
    <row r="68" spans="1:24" x14ac:dyDescent="0.35">
      <c r="A68" s="37" t="str">
        <f>_xlfn.XLOOKUP(B68,master!B:B,master!A:A)</f>
        <v>Other Administrative Expenses</v>
      </c>
      <c r="B68" s="50" t="s">
        <v>312</v>
      </c>
      <c r="C68" s="13"/>
      <c r="D68" s="13"/>
      <c r="E68" s="13"/>
      <c r="F68" s="13"/>
      <c r="G68" s="13">
        <v>216790</v>
      </c>
      <c r="H68" s="13">
        <v>3000</v>
      </c>
      <c r="I68" s="13">
        <v>0</v>
      </c>
      <c r="J68" s="13">
        <v>0</v>
      </c>
      <c r="K68" s="13">
        <v>1500</v>
      </c>
      <c r="L68" s="13">
        <v>9360</v>
      </c>
      <c r="M68" s="13">
        <v>77060</v>
      </c>
      <c r="N68" s="13">
        <v>0</v>
      </c>
      <c r="O68" s="13">
        <v>0</v>
      </c>
      <c r="P68" s="13">
        <v>0</v>
      </c>
      <c r="Q68" s="13">
        <v>19586</v>
      </c>
      <c r="R68" s="13">
        <v>3850</v>
      </c>
      <c r="S68" s="13">
        <v>0</v>
      </c>
      <c r="T68" s="13">
        <v>55721</v>
      </c>
      <c r="U68" s="13">
        <v>867</v>
      </c>
      <c r="V68" s="13">
        <v>243941.44</v>
      </c>
      <c r="W68" s="13">
        <v>0</v>
      </c>
      <c r="X68" s="533"/>
    </row>
    <row r="69" spans="1:24" x14ac:dyDescent="0.35">
      <c r="A69" s="37" t="str">
        <f>_xlfn.XLOOKUP(B69,master!B:B,master!A:A)</f>
        <v>Conveyance, vehicle running and traveling expenses</v>
      </c>
      <c r="B69" s="50" t="s">
        <v>313</v>
      </c>
      <c r="C69" s="13"/>
      <c r="D69" s="13"/>
      <c r="E69" s="13"/>
      <c r="F69" s="13"/>
      <c r="G69" s="13">
        <v>6000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40780</v>
      </c>
      <c r="U69" s="13">
        <v>0</v>
      </c>
      <c r="V69" s="13">
        <v>0</v>
      </c>
      <c r="W69" s="13">
        <v>0</v>
      </c>
      <c r="X69" s="533"/>
    </row>
    <row r="70" spans="1:24" x14ac:dyDescent="0.35">
      <c r="A70" s="37" t="str">
        <f>_xlfn.XLOOKUP(B70,master!B:B,master!A:A)</f>
        <v>Conveyance, vehicle running and traveling expenses</v>
      </c>
      <c r="B70" s="50" t="s">
        <v>314</v>
      </c>
      <c r="C70" s="13"/>
      <c r="D70" s="13"/>
      <c r="E70" s="13"/>
      <c r="F70" s="13"/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62270</v>
      </c>
      <c r="N70" s="13">
        <v>0</v>
      </c>
      <c r="O70" s="13">
        <v>0</v>
      </c>
      <c r="P70" s="13">
        <v>0</v>
      </c>
      <c r="Q70" s="13">
        <v>5500</v>
      </c>
      <c r="R70" s="13">
        <v>0</v>
      </c>
      <c r="S70" s="13">
        <v>8235</v>
      </c>
      <c r="T70" s="13">
        <v>3840</v>
      </c>
      <c r="U70" s="13">
        <v>2400</v>
      </c>
      <c r="V70" s="13">
        <v>0</v>
      </c>
      <c r="W70" s="13">
        <v>0</v>
      </c>
      <c r="X70" s="533"/>
    </row>
    <row r="71" spans="1:24" x14ac:dyDescent="0.35">
      <c r="A71" s="37" t="str">
        <f>_xlfn.XLOOKUP(B71,master!B:B,master!A:A)</f>
        <v>Other Administrative Expenses</v>
      </c>
      <c r="B71" s="50" t="s">
        <v>315</v>
      </c>
      <c r="C71" s="13"/>
      <c r="D71" s="13"/>
      <c r="E71" s="13"/>
      <c r="F71" s="13"/>
      <c r="G71" s="13">
        <v>4882</v>
      </c>
      <c r="H71" s="13">
        <v>151460.70000000001</v>
      </c>
      <c r="I71" s="13">
        <v>19855</v>
      </c>
      <c r="J71" s="13">
        <v>0</v>
      </c>
      <c r="K71" s="13">
        <v>445</v>
      </c>
      <c r="L71" s="13">
        <v>0</v>
      </c>
      <c r="M71" s="13">
        <v>5030</v>
      </c>
      <c r="N71" s="13">
        <v>0</v>
      </c>
      <c r="O71" s="13">
        <v>0</v>
      </c>
      <c r="P71" s="13">
        <v>0</v>
      </c>
      <c r="Q71" s="13">
        <v>67290.7</v>
      </c>
      <c r="R71" s="13">
        <v>16034.9</v>
      </c>
      <c r="S71" s="13">
        <v>13430.6</v>
      </c>
      <c r="T71" s="13">
        <v>3203</v>
      </c>
      <c r="U71" s="13">
        <v>3995</v>
      </c>
      <c r="V71" s="13">
        <v>4503</v>
      </c>
      <c r="W71" s="13">
        <v>1075766.1000000001</v>
      </c>
      <c r="X71" s="533"/>
    </row>
    <row r="72" spans="1:24" x14ac:dyDescent="0.35">
      <c r="A72" s="37" t="str">
        <f>_xlfn.XLOOKUP(B72,master!B:B,master!A:A)</f>
        <v>Other Administrative Expenses</v>
      </c>
      <c r="B72" s="50" t="s">
        <v>316</v>
      </c>
      <c r="C72" s="13"/>
      <c r="D72" s="13"/>
      <c r="E72" s="13"/>
      <c r="F72" s="13"/>
      <c r="G72" s="13">
        <v>8075</v>
      </c>
      <c r="H72" s="13">
        <v>16190</v>
      </c>
      <c r="I72" s="13">
        <v>0</v>
      </c>
      <c r="J72" s="13">
        <v>0</v>
      </c>
      <c r="K72" s="13">
        <v>714</v>
      </c>
      <c r="L72" s="13">
        <v>5000</v>
      </c>
      <c r="M72" s="13">
        <v>117633</v>
      </c>
      <c r="N72" s="13">
        <v>0</v>
      </c>
      <c r="O72" s="13">
        <v>0</v>
      </c>
      <c r="P72" s="13">
        <v>0</v>
      </c>
      <c r="Q72" s="13">
        <v>31851</v>
      </c>
      <c r="R72" s="13">
        <v>8010</v>
      </c>
      <c r="S72" s="13">
        <v>148146.94</v>
      </c>
      <c r="T72" s="13">
        <v>9962.7199999999993</v>
      </c>
      <c r="U72" s="13">
        <v>1210</v>
      </c>
      <c r="V72" s="13">
        <v>70892.800000000003</v>
      </c>
      <c r="W72" s="13">
        <v>88893.8</v>
      </c>
      <c r="X72" s="533"/>
    </row>
    <row r="73" spans="1:24" x14ac:dyDescent="0.35">
      <c r="A73" s="37" t="str">
        <f>_xlfn.XLOOKUP(B73,master!B:B,master!A:A)</f>
        <v>Other Administrative Expenses</v>
      </c>
      <c r="B73" s="50" t="s">
        <v>317</v>
      </c>
      <c r="C73" s="13"/>
      <c r="D73" s="13"/>
      <c r="E73" s="13"/>
      <c r="F73" s="13"/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157500</v>
      </c>
      <c r="V73" s="13">
        <v>0</v>
      </c>
      <c r="W73" s="13">
        <v>25000</v>
      </c>
      <c r="X73" s="533"/>
    </row>
    <row r="74" spans="1:24" x14ac:dyDescent="0.35">
      <c r="A74" s="37" t="str">
        <f>_xlfn.XLOOKUP(B74,master!B:B,master!A:A)</f>
        <v>Miscellaneous income</v>
      </c>
      <c r="B74" s="50" t="s">
        <v>318</v>
      </c>
      <c r="C74" s="13"/>
      <c r="D74" s="13"/>
      <c r="E74" s="13"/>
      <c r="F74" s="13"/>
      <c r="G74" s="13">
        <v>-0.57999999999999996</v>
      </c>
      <c r="H74" s="13">
        <v>-19.62</v>
      </c>
      <c r="I74" s="13">
        <v>1.41</v>
      </c>
      <c r="J74" s="13">
        <v>0</v>
      </c>
      <c r="K74" s="13">
        <v>1.0900000000000001</v>
      </c>
      <c r="L74" s="13">
        <v>4.1900000000000004</v>
      </c>
      <c r="M74" s="13">
        <v>9.18</v>
      </c>
      <c r="N74" s="13">
        <v>0</v>
      </c>
      <c r="O74" s="13">
        <v>0</v>
      </c>
      <c r="P74" s="13">
        <v>3.68</v>
      </c>
      <c r="Q74" s="13">
        <v>-1.36</v>
      </c>
      <c r="R74" s="13">
        <v>1615.57</v>
      </c>
      <c r="S74" s="13">
        <v>4.63</v>
      </c>
      <c r="T74" s="13">
        <v>92.21</v>
      </c>
      <c r="U74" s="13">
        <v>-1.81</v>
      </c>
      <c r="V74" s="13">
        <v>306.7</v>
      </c>
      <c r="W74" s="13">
        <v>8.61</v>
      </c>
      <c r="X74" s="533"/>
    </row>
    <row r="75" spans="1:24" x14ac:dyDescent="0.35">
      <c r="A75" s="37" t="str">
        <f>_xlfn.XLOOKUP(B75,master!B:B,master!A:A)</f>
        <v>Other Administrative Expenses</v>
      </c>
      <c r="B75" s="50" t="s">
        <v>319</v>
      </c>
      <c r="C75" s="13"/>
      <c r="D75" s="13"/>
      <c r="E75" s="13"/>
      <c r="F75" s="13"/>
      <c r="G75" s="13">
        <v>30000</v>
      </c>
      <c r="H75" s="13">
        <v>196240</v>
      </c>
      <c r="I75" s="13">
        <v>0</v>
      </c>
      <c r="J75" s="13">
        <v>0</v>
      </c>
      <c r="K75" s="13">
        <v>0</v>
      </c>
      <c r="L75" s="13">
        <v>0</v>
      </c>
      <c r="M75" s="13">
        <v>270400</v>
      </c>
      <c r="N75" s="13">
        <v>0</v>
      </c>
      <c r="O75" s="13">
        <v>0</v>
      </c>
      <c r="P75" s="13">
        <v>34000</v>
      </c>
      <c r="Q75" s="13">
        <v>153633</v>
      </c>
      <c r="R75" s="13">
        <v>144500</v>
      </c>
      <c r="S75" s="13">
        <v>221500</v>
      </c>
      <c r="T75" s="13">
        <v>0</v>
      </c>
      <c r="U75" s="13">
        <v>85620</v>
      </c>
      <c r="V75" s="13">
        <v>114016</v>
      </c>
      <c r="W75" s="13">
        <v>32300</v>
      </c>
      <c r="X75" s="533"/>
    </row>
    <row r="76" spans="1:24" x14ac:dyDescent="0.35">
      <c r="A76" s="37" t="str">
        <f>_xlfn.XLOOKUP(B76,master!B:B,master!A:A)</f>
        <v>Staff welfare expenses</v>
      </c>
      <c r="B76" s="50" t="s">
        <v>615</v>
      </c>
      <c r="C76" s="13"/>
      <c r="D76" s="13"/>
      <c r="E76" s="13"/>
      <c r="F76" s="13"/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23400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533"/>
    </row>
    <row r="77" spans="1:24" x14ac:dyDescent="0.35">
      <c r="A77" s="37" t="str">
        <f>_xlfn.XLOOKUP(B77,master!B:B,master!A:A)</f>
        <v>Travelling expense</v>
      </c>
      <c r="B77" s="50" t="s">
        <v>320</v>
      </c>
      <c r="C77" s="13"/>
      <c r="D77" s="13"/>
      <c r="E77" s="13"/>
      <c r="F77" s="13"/>
      <c r="G77" s="13">
        <v>14720</v>
      </c>
      <c r="H77" s="13">
        <v>6863</v>
      </c>
      <c r="I77" s="13">
        <v>58585</v>
      </c>
      <c r="J77" s="13">
        <v>0</v>
      </c>
      <c r="K77" s="13">
        <v>0</v>
      </c>
      <c r="L77" s="13">
        <v>0</v>
      </c>
      <c r="M77" s="13">
        <v>502869</v>
      </c>
      <c r="N77" s="13">
        <v>0</v>
      </c>
      <c r="O77" s="13">
        <v>0</v>
      </c>
      <c r="P77" s="13">
        <v>0</v>
      </c>
      <c r="Q77" s="13">
        <v>22717</v>
      </c>
      <c r="R77" s="13">
        <v>6323</v>
      </c>
      <c r="S77" s="13">
        <v>0</v>
      </c>
      <c r="T77" s="13">
        <v>0</v>
      </c>
      <c r="U77" s="13">
        <v>0</v>
      </c>
      <c r="V77" s="13">
        <v>1896069.64</v>
      </c>
      <c r="W77" s="13">
        <v>5200</v>
      </c>
      <c r="X77" s="533"/>
    </row>
    <row r="78" spans="1:24" x14ac:dyDescent="0.35">
      <c r="A78" s="37" t="str">
        <f>_xlfn.XLOOKUP(B78,master!B:B,master!A:A)</f>
        <v>Travelling expense</v>
      </c>
      <c r="B78" s="50" t="s">
        <v>321</v>
      </c>
      <c r="C78" s="13"/>
      <c r="D78" s="13"/>
      <c r="E78" s="13"/>
      <c r="F78" s="13"/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1479421.58</v>
      </c>
      <c r="X78" s="533"/>
    </row>
    <row r="79" spans="1:24" x14ac:dyDescent="0.35">
      <c r="A79" s="37" t="str">
        <f>_xlfn.XLOOKUP(B79,master!B:B,master!A:A)</f>
        <v>Other Administrative Expenses</v>
      </c>
      <c r="B79" s="50" t="s">
        <v>699</v>
      </c>
      <c r="C79" s="13"/>
      <c r="D79" s="13"/>
      <c r="E79" s="13"/>
      <c r="F79" s="13"/>
      <c r="G79" s="13">
        <v>0</v>
      </c>
      <c r="H79" s="13">
        <v>9000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533"/>
    </row>
    <row r="80" spans="1:24" x14ac:dyDescent="0.35">
      <c r="A80" s="37" t="str">
        <f>_xlfn.XLOOKUP(B80,master!B:B,master!A:A)</f>
        <v>Other Administrative Expenses</v>
      </c>
      <c r="B80" s="50" t="s">
        <v>553</v>
      </c>
      <c r="C80" s="13"/>
      <c r="D80" s="13"/>
      <c r="E80" s="13"/>
      <c r="F80" s="13"/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4500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533"/>
    </row>
    <row r="81" spans="1:24" x14ac:dyDescent="0.35">
      <c r="A81" s="37" t="str">
        <f>_xlfn.XLOOKUP(B81,master!B:B,master!A:A)</f>
        <v>Other Administrative Expenses</v>
      </c>
      <c r="B81" s="50" t="s">
        <v>322</v>
      </c>
      <c r="C81" s="13"/>
      <c r="D81" s="13"/>
      <c r="E81" s="13"/>
      <c r="F81" s="13"/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689648.18</v>
      </c>
      <c r="N81" s="13">
        <v>0</v>
      </c>
      <c r="O81" s="13">
        <v>0</v>
      </c>
      <c r="P81" s="13">
        <v>0</v>
      </c>
      <c r="Q81" s="13">
        <v>222050</v>
      </c>
      <c r="R81" s="13">
        <v>46660</v>
      </c>
      <c r="S81" s="13">
        <v>303815.3</v>
      </c>
      <c r="T81" s="13">
        <v>0</v>
      </c>
      <c r="U81" s="13">
        <v>15872</v>
      </c>
      <c r="V81" s="13">
        <v>0</v>
      </c>
      <c r="W81" s="13">
        <v>0</v>
      </c>
      <c r="X81" s="533"/>
    </row>
    <row r="82" spans="1:24" x14ac:dyDescent="0.35">
      <c r="A82" s="37" t="str">
        <f>_xlfn.XLOOKUP(B82,master!B:B,master!A:A)</f>
        <v>Other Administrative Expenses</v>
      </c>
      <c r="B82" s="50" t="s">
        <v>323</v>
      </c>
      <c r="C82" s="13"/>
      <c r="D82" s="13"/>
      <c r="E82" s="13"/>
      <c r="F82" s="13"/>
      <c r="G82" s="13">
        <v>0</v>
      </c>
      <c r="H82" s="13">
        <v>3000</v>
      </c>
      <c r="I82" s="13">
        <v>0</v>
      </c>
      <c r="J82" s="13">
        <v>0</v>
      </c>
      <c r="K82" s="13">
        <v>13437</v>
      </c>
      <c r="L82" s="13">
        <v>0</v>
      </c>
      <c r="M82" s="13">
        <v>10281.36</v>
      </c>
      <c r="N82" s="13">
        <v>0</v>
      </c>
      <c r="O82" s="13">
        <v>0</v>
      </c>
      <c r="P82" s="13">
        <v>0</v>
      </c>
      <c r="Q82" s="13">
        <v>55270</v>
      </c>
      <c r="R82" s="13">
        <v>18900</v>
      </c>
      <c r="S82" s="13">
        <v>0</v>
      </c>
      <c r="T82" s="13">
        <v>400</v>
      </c>
      <c r="U82" s="13">
        <v>4400</v>
      </c>
      <c r="V82" s="13">
        <v>25000</v>
      </c>
      <c r="W82" s="13">
        <v>1186.45</v>
      </c>
      <c r="X82" s="533"/>
    </row>
    <row r="83" spans="1:24" x14ac:dyDescent="0.35">
      <c r="A83" s="37" t="str">
        <f>_xlfn.XLOOKUP(B83,master!B:B,master!A:A)</f>
        <v>Other Manufacturing Expenses</v>
      </c>
      <c r="B83" s="50" t="s">
        <v>324</v>
      </c>
      <c r="C83" s="13"/>
      <c r="D83" s="13"/>
      <c r="E83" s="13"/>
      <c r="F83" s="13"/>
      <c r="G83" s="13">
        <v>0</v>
      </c>
      <c r="H83" s="13">
        <v>0</v>
      </c>
      <c r="I83" s="13">
        <v>0</v>
      </c>
      <c r="J83" s="13">
        <v>0</v>
      </c>
      <c r="K83" s="13">
        <v>15930</v>
      </c>
      <c r="L83" s="13">
        <v>0</v>
      </c>
      <c r="M83" s="13">
        <v>18656.96</v>
      </c>
      <c r="N83" s="13">
        <v>0</v>
      </c>
      <c r="O83" s="13">
        <v>0</v>
      </c>
      <c r="P83" s="13">
        <v>0</v>
      </c>
      <c r="Q83" s="13">
        <v>0</v>
      </c>
      <c r="R83" s="13">
        <v>372481.38</v>
      </c>
      <c r="S83" s="13">
        <v>12700</v>
      </c>
      <c r="T83" s="13">
        <v>1400</v>
      </c>
      <c r="U83" s="13">
        <v>36970</v>
      </c>
      <c r="V83" s="13">
        <v>0</v>
      </c>
      <c r="W83" s="13">
        <v>89716</v>
      </c>
      <c r="X83" s="533"/>
    </row>
    <row r="84" spans="1:24" x14ac:dyDescent="0.35">
      <c r="A84" s="37" t="str">
        <f>_xlfn.XLOOKUP(B84,master!B:B,master!A:A)</f>
        <v>Other Manufacturing Expenses</v>
      </c>
      <c r="B84" s="50" t="s">
        <v>325</v>
      </c>
      <c r="C84" s="13"/>
      <c r="D84" s="13"/>
      <c r="E84" s="13"/>
      <c r="F84" s="13"/>
      <c r="G84" s="13">
        <v>100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50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11965</v>
      </c>
      <c r="T84" s="13">
        <v>3621</v>
      </c>
      <c r="U84" s="13">
        <v>0</v>
      </c>
      <c r="V84" s="13">
        <v>0</v>
      </c>
      <c r="W84" s="13">
        <v>49733.31</v>
      </c>
      <c r="X84" s="533"/>
    </row>
    <row r="85" spans="1:24" x14ac:dyDescent="0.35">
      <c r="A85" s="37" t="str">
        <f>_xlfn.XLOOKUP(B85,master!B:B,master!A:A)</f>
        <v>Conveyance, vehicle running and traveling expenses</v>
      </c>
      <c r="B85" s="50" t="s">
        <v>326</v>
      </c>
      <c r="C85" s="13"/>
      <c r="D85" s="13"/>
      <c r="E85" s="13"/>
      <c r="F85" s="13"/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16006</v>
      </c>
      <c r="Q85" s="13">
        <v>19810</v>
      </c>
      <c r="R85" s="13">
        <v>23850</v>
      </c>
      <c r="S85" s="13">
        <v>19001.84</v>
      </c>
      <c r="T85" s="13">
        <v>0</v>
      </c>
      <c r="U85" s="13">
        <v>5500</v>
      </c>
      <c r="V85" s="13">
        <v>0</v>
      </c>
      <c r="W85" s="13">
        <v>16199.58</v>
      </c>
      <c r="X85" s="533"/>
    </row>
    <row r="86" spans="1:24" x14ac:dyDescent="0.35">
      <c r="A86" s="37" t="str">
        <f>_xlfn.XLOOKUP(B86,master!B:B,master!A:A)</f>
        <v>Other Administrative Expenses</v>
      </c>
      <c r="B86" s="50" t="s">
        <v>327</v>
      </c>
      <c r="C86" s="13"/>
      <c r="D86" s="13"/>
      <c r="E86" s="13"/>
      <c r="F86" s="13"/>
      <c r="G86" s="13">
        <v>0</v>
      </c>
      <c r="H86" s="13">
        <v>19700</v>
      </c>
      <c r="I86" s="13">
        <v>0</v>
      </c>
      <c r="J86" s="13">
        <v>0</v>
      </c>
      <c r="K86" s="13">
        <v>0</v>
      </c>
      <c r="L86" s="13">
        <v>0</v>
      </c>
      <c r="M86" s="13">
        <v>37907</v>
      </c>
      <c r="N86" s="13">
        <v>0</v>
      </c>
      <c r="O86" s="13">
        <v>0</v>
      </c>
      <c r="P86" s="13">
        <v>0</v>
      </c>
      <c r="Q86" s="13">
        <v>59945.440000000002</v>
      </c>
      <c r="R86" s="13">
        <v>705214.25</v>
      </c>
      <c r="S86" s="13">
        <v>99016.2</v>
      </c>
      <c r="T86" s="13">
        <v>0</v>
      </c>
      <c r="U86" s="13">
        <v>8857.5</v>
      </c>
      <c r="V86" s="13">
        <v>50018.400000000001</v>
      </c>
      <c r="W86" s="13">
        <v>0</v>
      </c>
      <c r="X86" s="533"/>
    </row>
    <row r="87" spans="1:24" x14ac:dyDescent="0.35">
      <c r="A87" s="37" t="str">
        <f>_xlfn.XLOOKUP(B87,master!B:B,master!A:A)</f>
        <v>Conveyance, vehicle running and traveling expenses</v>
      </c>
      <c r="B87" s="50" t="s">
        <v>328</v>
      </c>
      <c r="C87" s="13"/>
      <c r="D87" s="13"/>
      <c r="E87" s="13"/>
      <c r="F87" s="13"/>
      <c r="G87" s="13">
        <v>0</v>
      </c>
      <c r="H87" s="13">
        <v>238154</v>
      </c>
      <c r="I87" s="13">
        <v>0</v>
      </c>
      <c r="J87" s="13">
        <v>0</v>
      </c>
      <c r="K87" s="13">
        <v>0</v>
      </c>
      <c r="L87" s="13">
        <v>0</v>
      </c>
      <c r="M87" s="13">
        <v>36750</v>
      </c>
      <c r="N87" s="13">
        <v>0</v>
      </c>
      <c r="O87" s="13">
        <v>0</v>
      </c>
      <c r="P87" s="13">
        <v>0</v>
      </c>
      <c r="Q87" s="13">
        <v>316148</v>
      </c>
      <c r="R87" s="13">
        <v>23000</v>
      </c>
      <c r="S87" s="13">
        <v>336000</v>
      </c>
      <c r="T87" s="13">
        <v>0</v>
      </c>
      <c r="U87" s="13">
        <v>363090</v>
      </c>
      <c r="V87" s="13">
        <v>5850</v>
      </c>
      <c r="W87" s="13">
        <v>0</v>
      </c>
      <c r="X87" s="533"/>
    </row>
    <row r="88" spans="1:24" x14ac:dyDescent="0.35">
      <c r="A88" s="37" t="str">
        <f>_xlfn.XLOOKUP(B88,master!B:B,master!A:A)</f>
        <v>Conveyance, vehicle running and traveling expenses</v>
      </c>
      <c r="B88" s="50" t="s">
        <v>551</v>
      </c>
      <c r="C88" s="13"/>
      <c r="D88" s="13"/>
      <c r="E88" s="13"/>
      <c r="F88" s="13"/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160000</v>
      </c>
      <c r="N88" s="13">
        <v>0</v>
      </c>
      <c r="O88" s="13">
        <v>0</v>
      </c>
      <c r="P88" s="13">
        <v>0</v>
      </c>
      <c r="Q88" s="13">
        <v>0</v>
      </c>
      <c r="R88" s="13">
        <v>97400</v>
      </c>
      <c r="S88" s="13">
        <v>376500</v>
      </c>
      <c r="T88" s="13">
        <v>0</v>
      </c>
      <c r="U88" s="13">
        <v>0</v>
      </c>
      <c r="V88" s="13">
        <v>0</v>
      </c>
      <c r="W88" s="13">
        <v>0</v>
      </c>
      <c r="X88" s="533"/>
    </row>
    <row r="89" spans="1:24" x14ac:dyDescent="0.35">
      <c r="A89" s="37" t="str">
        <f>_xlfn.XLOOKUP(B89,master!B:B,master!A:A)</f>
        <v>Contribution to provident and other funds</v>
      </c>
      <c r="B89" s="50" t="s">
        <v>330</v>
      </c>
      <c r="C89" s="13"/>
      <c r="D89" s="13"/>
      <c r="E89" s="13"/>
      <c r="F89" s="13"/>
      <c r="G89" s="13">
        <v>0</v>
      </c>
      <c r="H89" s="13">
        <v>4711</v>
      </c>
      <c r="I89" s="13">
        <v>275</v>
      </c>
      <c r="J89" s="13">
        <v>0</v>
      </c>
      <c r="K89" s="13">
        <v>0</v>
      </c>
      <c r="L89" s="13">
        <v>0</v>
      </c>
      <c r="M89" s="13">
        <v>21728</v>
      </c>
      <c r="N89" s="13">
        <v>0</v>
      </c>
      <c r="O89" s="13">
        <v>0</v>
      </c>
      <c r="P89" s="13">
        <v>0</v>
      </c>
      <c r="Q89" s="13">
        <v>13133</v>
      </c>
      <c r="R89" s="13">
        <v>13776</v>
      </c>
      <c r="S89" s="13">
        <v>24504</v>
      </c>
      <c r="T89" s="13">
        <v>0</v>
      </c>
      <c r="U89" s="13">
        <v>2750</v>
      </c>
      <c r="V89" s="13">
        <v>790</v>
      </c>
      <c r="W89" s="13">
        <v>5457</v>
      </c>
      <c r="X89" s="533"/>
    </row>
    <row r="90" spans="1:24" x14ac:dyDescent="0.35">
      <c r="A90" s="37" t="str">
        <f>_xlfn.XLOOKUP(B90,master!B:B,master!A:A)</f>
        <v>Contribution to provident and other funds</v>
      </c>
      <c r="B90" s="50" t="s">
        <v>331</v>
      </c>
      <c r="C90" s="13"/>
      <c r="D90" s="13"/>
      <c r="E90" s="13"/>
      <c r="F90" s="13"/>
      <c r="G90" s="13">
        <v>0</v>
      </c>
      <c r="H90" s="13">
        <v>117779</v>
      </c>
      <c r="I90" s="13">
        <v>6886</v>
      </c>
      <c r="J90" s="13">
        <v>0</v>
      </c>
      <c r="K90" s="13">
        <v>0</v>
      </c>
      <c r="L90" s="13">
        <v>0</v>
      </c>
      <c r="M90" s="13">
        <v>542542</v>
      </c>
      <c r="N90" s="13">
        <v>0</v>
      </c>
      <c r="O90" s="13">
        <v>0</v>
      </c>
      <c r="P90" s="13">
        <v>0</v>
      </c>
      <c r="Q90" s="13">
        <v>141704</v>
      </c>
      <c r="R90" s="13">
        <v>330423</v>
      </c>
      <c r="S90" s="13">
        <v>612628</v>
      </c>
      <c r="T90" s="13">
        <v>0</v>
      </c>
      <c r="U90" s="13">
        <v>32655</v>
      </c>
      <c r="V90" s="13">
        <v>12882</v>
      </c>
      <c r="W90" s="13">
        <v>136399</v>
      </c>
      <c r="X90" s="533"/>
    </row>
    <row r="91" spans="1:24" x14ac:dyDescent="0.35">
      <c r="A91" s="37" t="str">
        <f>_xlfn.XLOOKUP(B91,master!B:B,master!A:A)</f>
        <v xml:space="preserve">Salaries, wages and  bonus </v>
      </c>
      <c r="B91" s="50" t="s">
        <v>332</v>
      </c>
      <c r="C91" s="13"/>
      <c r="D91" s="13"/>
      <c r="E91" s="13"/>
      <c r="F91" s="13"/>
      <c r="G91" s="13">
        <v>2000</v>
      </c>
      <c r="H91" s="13">
        <v>26684</v>
      </c>
      <c r="I91" s="13">
        <v>9918</v>
      </c>
      <c r="J91" s="13">
        <v>0</v>
      </c>
      <c r="K91" s="13">
        <v>0</v>
      </c>
      <c r="L91" s="13">
        <v>0</v>
      </c>
      <c r="M91" s="533">
        <v>123451</v>
      </c>
      <c r="N91" s="13">
        <v>0</v>
      </c>
      <c r="O91" s="13">
        <v>0</v>
      </c>
      <c r="P91" s="13">
        <v>0</v>
      </c>
      <c r="Q91" s="13">
        <v>3683</v>
      </c>
      <c r="R91" s="13">
        <v>30910</v>
      </c>
      <c r="S91" s="13">
        <v>46612</v>
      </c>
      <c r="T91" s="13">
        <v>0</v>
      </c>
      <c r="U91" s="13">
        <v>0</v>
      </c>
      <c r="V91" s="13">
        <v>31052</v>
      </c>
      <c r="W91" s="13">
        <v>13114</v>
      </c>
      <c r="X91" s="533"/>
    </row>
    <row r="92" spans="1:24" x14ac:dyDescent="0.35">
      <c r="A92" s="37" t="str">
        <f>_xlfn.XLOOKUP(B92,master!B:B,master!A:A)</f>
        <v xml:space="preserve">Salaries, wages and  bonus </v>
      </c>
      <c r="B92" s="50" t="s">
        <v>333</v>
      </c>
      <c r="C92" s="13"/>
      <c r="D92" s="13"/>
      <c r="E92" s="13"/>
      <c r="F92" s="13"/>
      <c r="G92" s="13">
        <v>0</v>
      </c>
      <c r="H92" s="13">
        <v>603639</v>
      </c>
      <c r="I92" s="13">
        <v>18327</v>
      </c>
      <c r="J92" s="13">
        <v>0</v>
      </c>
      <c r="K92" s="13">
        <v>0</v>
      </c>
      <c r="L92" s="13">
        <v>0</v>
      </c>
      <c r="M92" s="533">
        <v>2726311.71</v>
      </c>
      <c r="N92" s="13">
        <v>0</v>
      </c>
      <c r="O92" s="13">
        <v>0</v>
      </c>
      <c r="P92" s="13">
        <v>9792</v>
      </c>
      <c r="Q92" s="13">
        <v>425201</v>
      </c>
      <c r="R92" s="13">
        <v>938723.92</v>
      </c>
      <c r="S92" s="13">
        <v>1123245</v>
      </c>
      <c r="T92" s="13">
        <v>0</v>
      </c>
      <c r="U92" s="13">
        <v>308421</v>
      </c>
      <c r="V92" s="13">
        <v>13792</v>
      </c>
      <c r="W92" s="13">
        <v>890566.27</v>
      </c>
      <c r="X92" s="533"/>
    </row>
    <row r="93" spans="1:24" x14ac:dyDescent="0.35">
      <c r="A93" s="37" t="str">
        <f>_xlfn.XLOOKUP(B93,master!B:B,master!A:A)</f>
        <v xml:space="preserve">Salaries, wages and  bonus </v>
      </c>
      <c r="B93" s="50" t="s">
        <v>334</v>
      </c>
      <c r="C93" s="13"/>
      <c r="D93" s="13"/>
      <c r="E93" s="13"/>
      <c r="F93" s="13"/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533">
        <v>8242</v>
      </c>
      <c r="N93" s="13">
        <v>0</v>
      </c>
      <c r="O93" s="13">
        <v>0</v>
      </c>
      <c r="P93" s="13">
        <v>0</v>
      </c>
      <c r="Q93" s="13">
        <v>1756</v>
      </c>
      <c r="R93" s="13">
        <v>40150</v>
      </c>
      <c r="S93" s="13">
        <v>49234</v>
      </c>
      <c r="T93" s="13">
        <v>0</v>
      </c>
      <c r="U93" s="13">
        <v>0</v>
      </c>
      <c r="V93" s="13">
        <v>9121</v>
      </c>
      <c r="W93" s="13">
        <v>7000</v>
      </c>
      <c r="X93" s="533"/>
    </row>
    <row r="94" spans="1:24" x14ac:dyDescent="0.35">
      <c r="A94" s="37" t="str">
        <f>_xlfn.XLOOKUP(B94,master!B:B,master!A:A)</f>
        <v xml:space="preserve">Salaries, wages and  bonus </v>
      </c>
      <c r="B94" s="50" t="s">
        <v>335</v>
      </c>
      <c r="C94" s="13"/>
      <c r="D94" s="13"/>
      <c r="E94" s="13"/>
      <c r="F94" s="13"/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533">
        <v>400</v>
      </c>
      <c r="N94" s="13">
        <v>0</v>
      </c>
      <c r="O94" s="13">
        <v>0</v>
      </c>
      <c r="P94" s="13">
        <v>0</v>
      </c>
      <c r="Q94" s="13">
        <v>7714</v>
      </c>
      <c r="R94" s="13">
        <v>45462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533"/>
    </row>
    <row r="95" spans="1:24" x14ac:dyDescent="0.35">
      <c r="A95" s="37" t="str">
        <f>_xlfn.XLOOKUP(B95,master!B:B,master!A:A)</f>
        <v xml:space="preserve">Salaries, wages and  bonus </v>
      </c>
      <c r="B95" s="50" t="s">
        <v>336</v>
      </c>
      <c r="C95" s="13"/>
      <c r="D95" s="13"/>
      <c r="E95" s="13"/>
      <c r="F95" s="13"/>
      <c r="G95" s="13">
        <v>0</v>
      </c>
      <c r="H95" s="13">
        <v>8000</v>
      </c>
      <c r="I95" s="13">
        <v>0</v>
      </c>
      <c r="J95" s="13">
        <v>0</v>
      </c>
      <c r="K95" s="13">
        <v>0</v>
      </c>
      <c r="L95" s="13">
        <v>0</v>
      </c>
      <c r="M95" s="533">
        <v>0</v>
      </c>
      <c r="N95" s="13">
        <v>0</v>
      </c>
      <c r="O95" s="13">
        <v>0</v>
      </c>
      <c r="P95" s="13">
        <v>0</v>
      </c>
      <c r="Q95" s="13">
        <v>32463</v>
      </c>
      <c r="R95" s="13">
        <v>17952</v>
      </c>
      <c r="S95" s="13">
        <v>15000</v>
      </c>
      <c r="T95" s="13">
        <v>0</v>
      </c>
      <c r="U95" s="13">
        <v>0</v>
      </c>
      <c r="V95" s="13">
        <v>0</v>
      </c>
      <c r="W95" s="13">
        <v>0</v>
      </c>
      <c r="X95" s="533"/>
    </row>
    <row r="96" spans="1:24" x14ac:dyDescent="0.35">
      <c r="A96" s="37" t="str">
        <f>_xlfn.XLOOKUP(B96,master!B:B,master!A:A)</f>
        <v xml:space="preserve">Salaries, wages and  bonus </v>
      </c>
      <c r="B96" s="50" t="s">
        <v>337</v>
      </c>
      <c r="C96" s="13"/>
      <c r="D96" s="13"/>
      <c r="E96" s="13"/>
      <c r="F96" s="13"/>
      <c r="G96" s="13">
        <v>8896</v>
      </c>
      <c r="H96" s="13">
        <v>1083888</v>
      </c>
      <c r="I96" s="13">
        <v>79681</v>
      </c>
      <c r="J96" s="13">
        <v>0</v>
      </c>
      <c r="K96" s="13">
        <v>0</v>
      </c>
      <c r="L96" s="13">
        <v>0</v>
      </c>
      <c r="M96" s="533">
        <v>6257154</v>
      </c>
      <c r="N96" s="13">
        <v>0</v>
      </c>
      <c r="O96" s="13">
        <v>0</v>
      </c>
      <c r="P96" s="13">
        <v>20985</v>
      </c>
      <c r="Q96" s="13">
        <v>912917</v>
      </c>
      <c r="R96" s="13">
        <v>1662573</v>
      </c>
      <c r="S96" s="13">
        <v>2176096</v>
      </c>
      <c r="T96" s="13">
        <v>0</v>
      </c>
      <c r="U96" s="13">
        <v>514001</v>
      </c>
      <c r="V96" s="13">
        <v>180353</v>
      </c>
      <c r="W96" s="13">
        <v>1592644</v>
      </c>
      <c r="X96" s="533"/>
    </row>
    <row r="97" spans="1:24" x14ac:dyDescent="0.35">
      <c r="A97" s="37" t="str">
        <f>_xlfn.XLOOKUP(B97,master!B:B,master!A:A)</f>
        <v xml:space="preserve">Salaries, wages and  bonus </v>
      </c>
      <c r="B97" s="50" t="s">
        <v>566</v>
      </c>
      <c r="C97" s="13"/>
      <c r="D97" s="13"/>
      <c r="E97" s="13"/>
      <c r="F97" s="13"/>
      <c r="G97" s="13">
        <v>0</v>
      </c>
      <c r="H97" s="13">
        <v>62721</v>
      </c>
      <c r="I97" s="13">
        <v>25278</v>
      </c>
      <c r="J97" s="13">
        <v>0</v>
      </c>
      <c r="K97" s="13">
        <v>0</v>
      </c>
      <c r="L97" s="13">
        <v>0</v>
      </c>
      <c r="M97" s="533">
        <v>580083</v>
      </c>
      <c r="N97" s="13">
        <v>0</v>
      </c>
      <c r="O97" s="13">
        <v>0</v>
      </c>
      <c r="P97" s="13">
        <v>0</v>
      </c>
      <c r="Q97" s="13">
        <v>0</v>
      </c>
      <c r="R97" s="13">
        <v>19585</v>
      </c>
      <c r="S97" s="13">
        <v>133150</v>
      </c>
      <c r="T97" s="13">
        <v>0</v>
      </c>
      <c r="U97" s="13">
        <v>0</v>
      </c>
      <c r="V97" s="13">
        <v>84877</v>
      </c>
      <c r="W97" s="13">
        <v>0</v>
      </c>
      <c r="X97" s="533"/>
    </row>
    <row r="98" spans="1:24" x14ac:dyDescent="0.35">
      <c r="A98" s="37" t="str">
        <f>_xlfn.XLOOKUP(B98,master!B:B,master!A:A)</f>
        <v xml:space="preserve">Salaries, wages and  bonus </v>
      </c>
      <c r="B98" s="50" t="s">
        <v>338</v>
      </c>
      <c r="C98" s="13"/>
      <c r="D98" s="13"/>
      <c r="E98" s="13"/>
      <c r="F98" s="13"/>
      <c r="G98" s="13">
        <v>3000</v>
      </c>
      <c r="H98" s="13">
        <v>70349</v>
      </c>
      <c r="I98" s="13">
        <v>21111</v>
      </c>
      <c r="J98" s="13">
        <v>0</v>
      </c>
      <c r="K98" s="13">
        <v>0</v>
      </c>
      <c r="L98" s="13">
        <v>0</v>
      </c>
      <c r="M98" s="533">
        <v>276156</v>
      </c>
      <c r="N98" s="13">
        <v>0</v>
      </c>
      <c r="O98" s="13">
        <v>0</v>
      </c>
      <c r="P98" s="13">
        <v>0</v>
      </c>
      <c r="Q98" s="13">
        <v>4157</v>
      </c>
      <c r="R98" s="13">
        <v>25790</v>
      </c>
      <c r="S98" s="13">
        <v>32376</v>
      </c>
      <c r="T98" s="13">
        <v>0</v>
      </c>
      <c r="U98" s="13">
        <v>0</v>
      </c>
      <c r="V98" s="13">
        <v>32500</v>
      </c>
      <c r="W98" s="13">
        <v>24000</v>
      </c>
      <c r="X98" s="533"/>
    </row>
    <row r="99" spans="1:24" x14ac:dyDescent="0.35">
      <c r="A99" s="37" t="str">
        <f>_xlfn.XLOOKUP(B99,master!B:B,master!A:A)</f>
        <v xml:space="preserve">Salaries, wages and  bonus </v>
      </c>
      <c r="B99" s="50" t="s">
        <v>339</v>
      </c>
      <c r="C99" s="13"/>
      <c r="D99" s="13"/>
      <c r="E99" s="13"/>
      <c r="F99" s="13"/>
      <c r="G99" s="13">
        <v>6000</v>
      </c>
      <c r="H99" s="13">
        <v>1266568</v>
      </c>
      <c r="I99" s="13">
        <v>206261</v>
      </c>
      <c r="J99" s="13">
        <v>0</v>
      </c>
      <c r="K99" s="13">
        <v>0</v>
      </c>
      <c r="L99" s="13">
        <v>0</v>
      </c>
      <c r="M99" s="533">
        <v>321180</v>
      </c>
      <c r="N99" s="13">
        <v>0</v>
      </c>
      <c r="O99" s="13">
        <v>0</v>
      </c>
      <c r="P99" s="13">
        <v>0</v>
      </c>
      <c r="Q99" s="13">
        <v>18969</v>
      </c>
      <c r="R99" s="13">
        <v>45034</v>
      </c>
      <c r="S99" s="13">
        <v>103754</v>
      </c>
      <c r="T99" s="13">
        <v>0</v>
      </c>
      <c r="U99" s="13">
        <v>785</v>
      </c>
      <c r="V99" s="13">
        <v>117440</v>
      </c>
      <c r="W99" s="13">
        <v>150212</v>
      </c>
      <c r="X99" s="533"/>
    </row>
    <row r="100" spans="1:24" x14ac:dyDescent="0.35">
      <c r="A100" s="37" t="str">
        <f>_xlfn.XLOOKUP(B100,master!B:B,master!A:A)</f>
        <v xml:space="preserve">Salaries, wages and  bonus </v>
      </c>
      <c r="B100" s="50" t="s">
        <v>567</v>
      </c>
      <c r="C100" s="13"/>
      <c r="D100" s="13"/>
      <c r="E100" s="13"/>
      <c r="F100" s="13"/>
      <c r="G100" s="13">
        <v>49500</v>
      </c>
      <c r="H100" s="13">
        <v>73359</v>
      </c>
      <c r="I100" s="13">
        <v>0</v>
      </c>
      <c r="J100" s="13">
        <v>0</v>
      </c>
      <c r="K100" s="13">
        <v>0</v>
      </c>
      <c r="L100" s="13">
        <v>0</v>
      </c>
      <c r="M100" s="533">
        <v>566368</v>
      </c>
      <c r="N100" s="13">
        <v>0</v>
      </c>
      <c r="O100" s="13">
        <v>0</v>
      </c>
      <c r="P100" s="13">
        <v>5000</v>
      </c>
      <c r="Q100" s="13">
        <v>260985</v>
      </c>
      <c r="R100" s="13">
        <v>371439</v>
      </c>
      <c r="S100" s="13">
        <v>418451</v>
      </c>
      <c r="T100" s="13">
        <v>0</v>
      </c>
      <c r="U100" s="13">
        <v>138508</v>
      </c>
      <c r="V100" s="13">
        <v>185951</v>
      </c>
      <c r="W100" s="13">
        <v>340712</v>
      </c>
      <c r="X100" s="533"/>
    </row>
    <row r="101" spans="1:24" x14ac:dyDescent="0.35">
      <c r="A101" s="37" t="str">
        <f>_xlfn.XLOOKUP(B101,master!B:B,master!A:A)</f>
        <v xml:space="preserve">Salaries, wages and  bonus </v>
      </c>
      <c r="B101" s="50" t="s">
        <v>340</v>
      </c>
      <c r="C101" s="13"/>
      <c r="D101" s="13"/>
      <c r="E101" s="13"/>
      <c r="F101" s="13"/>
      <c r="G101" s="13">
        <v>5000</v>
      </c>
      <c r="H101" s="13">
        <v>87019</v>
      </c>
      <c r="I101" s="13">
        <v>25262</v>
      </c>
      <c r="J101" s="13">
        <v>0</v>
      </c>
      <c r="K101" s="13">
        <v>0</v>
      </c>
      <c r="L101" s="13">
        <v>0</v>
      </c>
      <c r="M101" s="533">
        <v>196387</v>
      </c>
      <c r="N101" s="13">
        <v>0</v>
      </c>
      <c r="O101" s="13">
        <v>0</v>
      </c>
      <c r="P101" s="13">
        <v>2198</v>
      </c>
      <c r="Q101" s="13">
        <v>27669</v>
      </c>
      <c r="R101" s="13">
        <v>27876</v>
      </c>
      <c r="S101" s="13">
        <v>82985</v>
      </c>
      <c r="T101" s="13">
        <v>0</v>
      </c>
      <c r="U101" s="13">
        <v>0</v>
      </c>
      <c r="V101" s="13">
        <v>25554</v>
      </c>
      <c r="W101" s="13">
        <v>18500</v>
      </c>
      <c r="X101" s="533"/>
    </row>
    <row r="102" spans="1:24" x14ac:dyDescent="0.35">
      <c r="A102" s="37" t="str">
        <f>_xlfn.XLOOKUP(B102,master!B:B,master!A:A)</f>
        <v xml:space="preserve">Salaries, wages and  bonus </v>
      </c>
      <c r="B102" s="50" t="s">
        <v>341</v>
      </c>
      <c r="C102" s="13"/>
      <c r="D102" s="13"/>
      <c r="E102" s="13"/>
      <c r="F102" s="13"/>
      <c r="G102" s="13">
        <v>5000</v>
      </c>
      <c r="H102" s="13">
        <v>104994</v>
      </c>
      <c r="I102" s="13">
        <v>25232</v>
      </c>
      <c r="J102" s="13">
        <v>0</v>
      </c>
      <c r="K102" s="13">
        <v>0</v>
      </c>
      <c r="L102" s="13">
        <v>0</v>
      </c>
      <c r="M102" s="533">
        <v>609432</v>
      </c>
      <c r="N102" s="13">
        <v>0</v>
      </c>
      <c r="O102" s="13">
        <v>0</v>
      </c>
      <c r="P102" s="13">
        <v>0</v>
      </c>
      <c r="Q102" s="13">
        <v>23560</v>
      </c>
      <c r="R102" s="13">
        <v>57374</v>
      </c>
      <c r="S102" s="13">
        <v>75803</v>
      </c>
      <c r="T102" s="13">
        <v>0</v>
      </c>
      <c r="U102" s="13">
        <v>0</v>
      </c>
      <c r="V102" s="13">
        <v>210622</v>
      </c>
      <c r="W102" s="13">
        <v>57811</v>
      </c>
      <c r="X102" s="533"/>
    </row>
    <row r="103" spans="1:24" x14ac:dyDescent="0.35">
      <c r="A103" s="37" t="str">
        <f>_xlfn.XLOOKUP(B103,master!B:B,master!A:A)</f>
        <v xml:space="preserve">Salaries, wages and  bonus </v>
      </c>
      <c r="B103" s="50" t="s">
        <v>616</v>
      </c>
      <c r="C103" s="13"/>
      <c r="D103" s="13"/>
      <c r="E103" s="13"/>
      <c r="F103" s="13"/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533">
        <v>10000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81743</v>
      </c>
      <c r="W103" s="13">
        <v>0</v>
      </c>
      <c r="X103" s="533"/>
    </row>
    <row r="104" spans="1:24" x14ac:dyDescent="0.35">
      <c r="A104" s="37" t="str">
        <f>_xlfn.XLOOKUP(B104,master!B:B,master!A:A)</f>
        <v xml:space="preserve">Salaries, wages and  bonus </v>
      </c>
      <c r="B104" s="50" t="s">
        <v>342</v>
      </c>
      <c r="C104" s="13"/>
      <c r="D104" s="13"/>
      <c r="E104" s="13"/>
      <c r="F104" s="13"/>
      <c r="G104" s="13">
        <v>0</v>
      </c>
      <c r="H104" s="13">
        <v>486389</v>
      </c>
      <c r="I104" s="13">
        <v>12889</v>
      </c>
      <c r="J104" s="13">
        <v>0</v>
      </c>
      <c r="K104" s="13">
        <v>0</v>
      </c>
      <c r="L104" s="13">
        <v>0</v>
      </c>
      <c r="M104" s="533">
        <v>2179233.39</v>
      </c>
      <c r="N104" s="13">
        <v>0</v>
      </c>
      <c r="O104" s="13">
        <v>0</v>
      </c>
      <c r="P104" s="13">
        <v>6766</v>
      </c>
      <c r="Q104" s="13">
        <v>293732</v>
      </c>
      <c r="R104" s="13">
        <v>625805.85</v>
      </c>
      <c r="S104" s="13">
        <v>750889</v>
      </c>
      <c r="T104" s="13">
        <v>0</v>
      </c>
      <c r="U104" s="13">
        <v>205604</v>
      </c>
      <c r="V104" s="13">
        <v>14738</v>
      </c>
      <c r="W104" s="13">
        <v>593696.04</v>
      </c>
      <c r="X104" s="533"/>
    </row>
    <row r="105" spans="1:24" x14ac:dyDescent="0.35">
      <c r="A105" s="37" t="str">
        <f>_xlfn.XLOOKUP(B105,master!B:B,master!A:A)</f>
        <v xml:space="preserve">Salaries, wages and  bonus </v>
      </c>
      <c r="B105" s="50" t="s">
        <v>343</v>
      </c>
      <c r="C105" s="13"/>
      <c r="D105" s="13"/>
      <c r="E105" s="13"/>
      <c r="F105" s="13"/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533">
        <v>171450</v>
      </c>
      <c r="N105" s="13">
        <v>0</v>
      </c>
      <c r="O105" s="13">
        <v>0</v>
      </c>
      <c r="P105" s="13">
        <v>0</v>
      </c>
      <c r="Q105" s="13">
        <v>16000</v>
      </c>
      <c r="R105" s="13">
        <v>0</v>
      </c>
      <c r="S105" s="13">
        <v>47600</v>
      </c>
      <c r="T105" s="13">
        <v>0</v>
      </c>
      <c r="U105" s="13">
        <v>0</v>
      </c>
      <c r="V105" s="13">
        <v>0</v>
      </c>
      <c r="W105" s="13">
        <v>35700</v>
      </c>
      <c r="X105" s="533"/>
    </row>
    <row r="106" spans="1:24" x14ac:dyDescent="0.35">
      <c r="A106" s="37" t="str">
        <f>_xlfn.XLOOKUP(B106,master!B:B,master!A:A)</f>
        <v xml:space="preserve">Salaries, wages and  bonus </v>
      </c>
      <c r="B106" s="50" t="s">
        <v>344</v>
      </c>
      <c r="C106" s="13"/>
      <c r="D106" s="13"/>
      <c r="E106" s="13"/>
      <c r="F106" s="13"/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533">
        <v>0</v>
      </c>
      <c r="N106" s="13">
        <v>0</v>
      </c>
      <c r="O106" s="13">
        <v>0</v>
      </c>
      <c r="P106" s="13">
        <v>-8982</v>
      </c>
      <c r="Q106" s="13">
        <v>0</v>
      </c>
      <c r="R106" s="13">
        <v>128635</v>
      </c>
      <c r="S106" s="13">
        <v>27279</v>
      </c>
      <c r="T106" s="13">
        <v>0</v>
      </c>
      <c r="U106" s="13">
        <v>54517</v>
      </c>
      <c r="V106" s="13">
        <v>15682</v>
      </c>
      <c r="W106" s="13">
        <v>8313</v>
      </c>
      <c r="X106" s="533"/>
    </row>
    <row r="107" spans="1:24" x14ac:dyDescent="0.35">
      <c r="A107" s="37" t="str">
        <f>_xlfn.XLOOKUP(B107,master!B:B,master!A:A)</f>
        <v>Contribution to provident and other funds</v>
      </c>
      <c r="B107" s="50" t="s">
        <v>345</v>
      </c>
      <c r="C107" s="13"/>
      <c r="D107" s="13"/>
      <c r="E107" s="13"/>
      <c r="F107" s="13"/>
      <c r="G107" s="13">
        <v>0</v>
      </c>
      <c r="H107" s="13">
        <v>57941.31</v>
      </c>
      <c r="I107" s="13">
        <v>0</v>
      </c>
      <c r="J107" s="13">
        <v>0</v>
      </c>
      <c r="K107" s="13">
        <v>0</v>
      </c>
      <c r="L107" s="13">
        <v>0</v>
      </c>
      <c r="M107" s="13">
        <v>259572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533"/>
    </row>
    <row r="108" spans="1:24" x14ac:dyDescent="0.35">
      <c r="A108" s="37" t="str">
        <f>_xlfn.XLOOKUP(B108,master!B:B,master!A:A)</f>
        <v>Gratuity Expenses</v>
      </c>
      <c r="B108" s="50" t="s">
        <v>346</v>
      </c>
      <c r="C108" s="13"/>
      <c r="D108" s="13"/>
      <c r="E108" s="13"/>
      <c r="F108" s="13"/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129974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50261</v>
      </c>
      <c r="X108" s="533"/>
    </row>
    <row r="109" spans="1:24" x14ac:dyDescent="0.35">
      <c r="A109" s="37" t="str">
        <f>_xlfn.XLOOKUP(B109,master!B:B,master!A:A)</f>
        <v xml:space="preserve">Salaries, wages and  bonus </v>
      </c>
      <c r="B109" s="50" t="s">
        <v>347</v>
      </c>
      <c r="C109" s="13"/>
      <c r="D109" s="13"/>
      <c r="E109" s="13"/>
      <c r="F109" s="13"/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533">
        <v>1180256</v>
      </c>
      <c r="N109" s="13">
        <v>0</v>
      </c>
      <c r="O109" s="13">
        <v>0</v>
      </c>
      <c r="P109" s="13">
        <v>0</v>
      </c>
      <c r="Q109" s="13">
        <v>0</v>
      </c>
      <c r="R109" s="13">
        <v>28170</v>
      </c>
      <c r="S109" s="13">
        <v>0</v>
      </c>
      <c r="T109" s="13">
        <v>0</v>
      </c>
      <c r="U109" s="13">
        <v>1900</v>
      </c>
      <c r="V109" s="13">
        <v>0</v>
      </c>
      <c r="W109" s="13">
        <v>0</v>
      </c>
      <c r="X109" s="533"/>
    </row>
    <row r="110" spans="1:24" x14ac:dyDescent="0.35">
      <c r="A110" s="37" t="str">
        <f>_xlfn.XLOOKUP(B110,master!B:B,master!A:A)</f>
        <v>Staff welfare expenses</v>
      </c>
      <c r="B110" s="50" t="s">
        <v>348</v>
      </c>
      <c r="C110" s="13"/>
      <c r="D110" s="13"/>
      <c r="E110" s="13"/>
      <c r="F110" s="13"/>
      <c r="G110" s="13">
        <v>18000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533"/>
    </row>
    <row r="111" spans="1:24" x14ac:dyDescent="0.35">
      <c r="A111" s="37" t="str">
        <f>_xlfn.XLOOKUP(B111,master!B:B,master!A:A)</f>
        <v xml:space="preserve">Salaries, wages and  bonus </v>
      </c>
      <c r="B111" s="50" t="s">
        <v>349</v>
      </c>
      <c r="C111" s="13"/>
      <c r="D111" s="13"/>
      <c r="E111" s="13"/>
      <c r="F111" s="13"/>
      <c r="G111" s="13">
        <v>0</v>
      </c>
      <c r="H111" s="13">
        <v>732803</v>
      </c>
      <c r="I111" s="13">
        <v>676</v>
      </c>
      <c r="J111" s="13">
        <v>0</v>
      </c>
      <c r="K111" s="13">
        <v>0</v>
      </c>
      <c r="L111" s="13">
        <v>0</v>
      </c>
      <c r="M111" s="533">
        <v>3924466</v>
      </c>
      <c r="N111" s="13">
        <v>0</v>
      </c>
      <c r="O111" s="13">
        <v>0</v>
      </c>
      <c r="P111" s="13">
        <v>0</v>
      </c>
      <c r="Q111" s="13">
        <v>546741</v>
      </c>
      <c r="R111" s="13">
        <v>0</v>
      </c>
      <c r="S111" s="13">
        <v>1012495</v>
      </c>
      <c r="T111" s="13">
        <v>0</v>
      </c>
      <c r="U111" s="13">
        <v>24750</v>
      </c>
      <c r="V111" s="13">
        <v>0</v>
      </c>
      <c r="W111" s="13">
        <v>141160</v>
      </c>
      <c r="X111" s="533"/>
    </row>
    <row r="112" spans="1:24" x14ac:dyDescent="0.35">
      <c r="A112" s="37" t="str">
        <f>_xlfn.XLOOKUP(B112,master!B:B,master!A:A)</f>
        <v xml:space="preserve">Salaries, wages and  bonus </v>
      </c>
      <c r="B112" s="50" t="s">
        <v>350</v>
      </c>
      <c r="C112" s="13"/>
      <c r="D112" s="13"/>
      <c r="E112" s="13"/>
      <c r="F112" s="13"/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533">
        <v>0</v>
      </c>
      <c r="N112" s="13">
        <v>0</v>
      </c>
      <c r="O112" s="13">
        <v>0</v>
      </c>
      <c r="P112" s="13">
        <v>0</v>
      </c>
      <c r="Q112" s="13">
        <v>6616</v>
      </c>
      <c r="R112" s="13">
        <v>2115</v>
      </c>
      <c r="S112" s="13">
        <v>44370</v>
      </c>
      <c r="T112" s="13">
        <v>0</v>
      </c>
      <c r="U112" s="13">
        <v>3000</v>
      </c>
      <c r="V112" s="13">
        <v>19906</v>
      </c>
      <c r="W112" s="13">
        <v>6143</v>
      </c>
      <c r="X112" s="533"/>
    </row>
    <row r="113" spans="1:24" x14ac:dyDescent="0.35">
      <c r="A113" s="37" t="str">
        <f>_xlfn.XLOOKUP(B113,master!B:B,master!A:A)</f>
        <v xml:space="preserve">Salaries, wages and  bonus </v>
      </c>
      <c r="B113" s="50" t="s">
        <v>351</v>
      </c>
      <c r="C113" s="13"/>
      <c r="D113" s="13"/>
      <c r="E113" s="13"/>
      <c r="F113" s="13"/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53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-34666</v>
      </c>
      <c r="W113" s="13">
        <v>0</v>
      </c>
      <c r="X113" s="533"/>
    </row>
    <row r="114" spans="1:24" x14ac:dyDescent="0.35">
      <c r="A114" s="37" t="str">
        <f>_xlfn.XLOOKUP(B114,master!B:B,master!A:A)</f>
        <v xml:space="preserve">Salaries, wages and  bonus </v>
      </c>
      <c r="B114" s="50" t="s">
        <v>352</v>
      </c>
      <c r="C114" s="13"/>
      <c r="D114" s="13"/>
      <c r="E114" s="13"/>
      <c r="F114" s="13"/>
      <c r="G114" s="13">
        <v>0</v>
      </c>
      <c r="H114" s="13">
        <v>-11320</v>
      </c>
      <c r="I114" s="13">
        <v>0</v>
      </c>
      <c r="J114" s="13">
        <v>0</v>
      </c>
      <c r="K114" s="13">
        <v>0</v>
      </c>
      <c r="L114" s="13">
        <v>0</v>
      </c>
      <c r="M114" s="533">
        <v>-55771</v>
      </c>
      <c r="N114" s="13">
        <v>0</v>
      </c>
      <c r="O114" s="13">
        <v>0</v>
      </c>
      <c r="P114" s="13">
        <v>0</v>
      </c>
      <c r="Q114" s="13">
        <v>153650</v>
      </c>
      <c r="R114" s="13">
        <v>-21393</v>
      </c>
      <c r="S114" s="13">
        <v>-27610</v>
      </c>
      <c r="T114" s="13">
        <v>0</v>
      </c>
      <c r="U114" s="13">
        <v>-21497</v>
      </c>
      <c r="V114" s="13">
        <v>0</v>
      </c>
      <c r="W114" s="13">
        <v>-13285</v>
      </c>
      <c r="X114" s="533"/>
    </row>
    <row r="115" spans="1:24" x14ac:dyDescent="0.35">
      <c r="A115" s="37" t="str">
        <f>_xlfn.XLOOKUP(B115,master!B:B,master!A:A)</f>
        <v xml:space="preserve">Salaries, wages and  bonus </v>
      </c>
      <c r="B115" s="50" t="s">
        <v>353</v>
      </c>
      <c r="C115" s="13"/>
      <c r="D115" s="13"/>
      <c r="E115" s="13"/>
      <c r="F115" s="13"/>
      <c r="G115" s="13">
        <v>22240</v>
      </c>
      <c r="H115" s="13">
        <v>3205880</v>
      </c>
      <c r="I115" s="13">
        <v>442983</v>
      </c>
      <c r="J115" s="13">
        <v>0</v>
      </c>
      <c r="K115" s="13">
        <v>0</v>
      </c>
      <c r="L115" s="13">
        <v>85340</v>
      </c>
      <c r="M115" s="533">
        <v>9785172</v>
      </c>
      <c r="N115" s="13">
        <v>0</v>
      </c>
      <c r="O115" s="13">
        <v>0</v>
      </c>
      <c r="P115" s="13">
        <v>67950</v>
      </c>
      <c r="Q115" s="13">
        <v>1564076</v>
      </c>
      <c r="R115" s="13">
        <v>1720960</v>
      </c>
      <c r="S115" s="13">
        <v>3054574</v>
      </c>
      <c r="T115" s="13">
        <v>485676</v>
      </c>
      <c r="U115" s="13">
        <v>654478</v>
      </c>
      <c r="V115" s="13">
        <v>497056</v>
      </c>
      <c r="W115" s="13">
        <v>1960365</v>
      </c>
      <c r="X115" s="533"/>
    </row>
    <row r="116" spans="1:24" x14ac:dyDescent="0.35">
      <c r="A116" s="37" t="str">
        <f>_xlfn.XLOOKUP(B116,master!B:B,master!A:A)</f>
        <v xml:space="preserve">Salaries, wages and  bonus </v>
      </c>
      <c r="B116" s="50" t="s">
        <v>568</v>
      </c>
      <c r="C116" s="13"/>
      <c r="D116" s="13"/>
      <c r="E116" s="13"/>
      <c r="F116" s="13"/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533">
        <v>66158</v>
      </c>
      <c r="N116" s="13">
        <v>0</v>
      </c>
      <c r="O116" s="13">
        <v>0</v>
      </c>
      <c r="P116" s="13">
        <v>0</v>
      </c>
      <c r="Q116" s="13">
        <v>30067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533"/>
    </row>
    <row r="117" spans="1:24" x14ac:dyDescent="0.35">
      <c r="A117" s="37" t="str">
        <f>_xlfn.XLOOKUP(B117,master!B:B,master!A:A)</f>
        <v xml:space="preserve">Salaries, wages and  bonus </v>
      </c>
      <c r="B117" s="50" t="s">
        <v>354</v>
      </c>
      <c r="C117" s="13"/>
      <c r="D117" s="13"/>
      <c r="E117" s="13"/>
      <c r="F117" s="13"/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533">
        <v>769212.5</v>
      </c>
      <c r="N117" s="13">
        <v>0</v>
      </c>
      <c r="O117" s="13">
        <v>0</v>
      </c>
      <c r="P117" s="13">
        <v>0</v>
      </c>
      <c r="Q117" s="13">
        <v>246663</v>
      </c>
      <c r="R117" s="13">
        <v>292083</v>
      </c>
      <c r="S117" s="13">
        <v>0</v>
      </c>
      <c r="T117" s="13">
        <v>0</v>
      </c>
      <c r="U117" s="13">
        <v>285254</v>
      </c>
      <c r="V117" s="13">
        <v>0</v>
      </c>
      <c r="W117" s="13">
        <v>325052</v>
      </c>
      <c r="X117" s="533"/>
    </row>
    <row r="118" spans="1:24" x14ac:dyDescent="0.35">
      <c r="A118" s="37" t="str">
        <f>_xlfn.XLOOKUP(B118,master!B:B,master!A:A)</f>
        <v>Staff welfare expenses</v>
      </c>
      <c r="B118" s="50" t="s">
        <v>355</v>
      </c>
      <c r="C118" s="13"/>
      <c r="D118" s="13"/>
      <c r="E118" s="13"/>
      <c r="F118" s="13"/>
      <c r="G118" s="13">
        <v>27458</v>
      </c>
      <c r="H118" s="13">
        <v>30891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10482</v>
      </c>
      <c r="R118" s="13">
        <v>154216</v>
      </c>
      <c r="S118" s="13">
        <v>41160</v>
      </c>
      <c r="T118" s="13">
        <v>0</v>
      </c>
      <c r="U118" s="13">
        <v>42684</v>
      </c>
      <c r="V118" s="13">
        <v>44986</v>
      </c>
      <c r="W118" s="13">
        <v>529882</v>
      </c>
      <c r="X118" s="533"/>
    </row>
    <row r="119" spans="1:24" x14ac:dyDescent="0.35">
      <c r="A119" s="37" t="str">
        <f>_xlfn.XLOOKUP(B119,master!B:B,master!A:A)</f>
        <v>Staff welfare expenses</v>
      </c>
      <c r="B119" s="50" t="s">
        <v>356</v>
      </c>
      <c r="C119" s="13"/>
      <c r="D119" s="13"/>
      <c r="E119" s="13"/>
      <c r="F119" s="13"/>
      <c r="G119" s="13">
        <v>0</v>
      </c>
      <c r="H119" s="13">
        <v>186795</v>
      </c>
      <c r="I119" s="13">
        <v>0</v>
      </c>
      <c r="J119" s="13">
        <v>0</v>
      </c>
      <c r="K119" s="13">
        <v>0</v>
      </c>
      <c r="L119" s="13">
        <v>0</v>
      </c>
      <c r="M119" s="13">
        <v>235245.24</v>
      </c>
      <c r="N119" s="13">
        <v>0</v>
      </c>
      <c r="O119" s="13">
        <v>0</v>
      </c>
      <c r="P119" s="13">
        <v>0</v>
      </c>
      <c r="Q119" s="13">
        <v>4618</v>
      </c>
      <c r="R119" s="13">
        <v>86325</v>
      </c>
      <c r="S119" s="13">
        <v>408472</v>
      </c>
      <c r="T119" s="13">
        <v>0</v>
      </c>
      <c r="U119" s="13">
        <v>0</v>
      </c>
      <c r="V119" s="13">
        <v>0</v>
      </c>
      <c r="W119" s="13">
        <v>33184</v>
      </c>
      <c r="X119" s="533"/>
    </row>
    <row r="120" spans="1:24" x14ac:dyDescent="0.35">
      <c r="A120" s="37" t="str">
        <f>_xlfn.XLOOKUP(B120,master!B:B,master!A:A)</f>
        <v>Staff welfare expenses</v>
      </c>
      <c r="B120" s="50" t="s">
        <v>357</v>
      </c>
      <c r="C120" s="13"/>
      <c r="D120" s="13"/>
      <c r="E120" s="13"/>
      <c r="F120" s="13"/>
      <c r="G120" s="13">
        <v>26091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209673</v>
      </c>
      <c r="R120" s="13">
        <v>0</v>
      </c>
      <c r="S120" s="13">
        <v>0</v>
      </c>
      <c r="T120" s="13">
        <v>0</v>
      </c>
      <c r="U120" s="13">
        <v>0</v>
      </c>
      <c r="V120" s="13">
        <v>12892</v>
      </c>
      <c r="W120" s="13">
        <v>0</v>
      </c>
      <c r="X120" s="533"/>
    </row>
    <row r="121" spans="1:24" x14ac:dyDescent="0.35">
      <c r="A121" s="37" t="str">
        <f>_xlfn.XLOOKUP(B121,master!B:B,master!A:A)</f>
        <v>Staff welfare expenses</v>
      </c>
      <c r="B121" s="50" t="s">
        <v>659</v>
      </c>
      <c r="C121" s="13"/>
      <c r="D121" s="13"/>
      <c r="E121" s="13"/>
      <c r="F121" s="13"/>
      <c r="G121" s="13">
        <v>0</v>
      </c>
      <c r="H121" s="13">
        <v>2650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533"/>
    </row>
    <row r="122" spans="1:24" x14ac:dyDescent="0.35">
      <c r="A122" s="37" t="str">
        <f>_xlfn.XLOOKUP(B122,master!B:B,master!A:A)</f>
        <v>Staff welfare expenses</v>
      </c>
      <c r="B122" s="50" t="s">
        <v>358</v>
      </c>
      <c r="C122" s="13"/>
      <c r="D122" s="13"/>
      <c r="E122" s="13"/>
      <c r="F122" s="13"/>
      <c r="G122" s="13">
        <v>0</v>
      </c>
      <c r="H122" s="13">
        <v>-380430</v>
      </c>
      <c r="I122" s="13">
        <v>-8865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533"/>
    </row>
    <row r="123" spans="1:24" x14ac:dyDescent="0.35">
      <c r="A123" s="37" t="str">
        <f>_xlfn.XLOOKUP(B123,master!B:B,master!A:A)</f>
        <v>Staff welfare expenses</v>
      </c>
      <c r="B123" s="50" t="s">
        <v>359</v>
      </c>
      <c r="C123" s="13"/>
      <c r="D123" s="13"/>
      <c r="E123" s="13"/>
      <c r="F123" s="13"/>
      <c r="G123" s="13">
        <v>1856</v>
      </c>
      <c r="H123" s="13">
        <v>10266</v>
      </c>
      <c r="I123" s="13">
        <v>0</v>
      </c>
      <c r="J123" s="13">
        <v>0</v>
      </c>
      <c r="K123" s="13">
        <v>754.54</v>
      </c>
      <c r="L123" s="13">
        <v>0</v>
      </c>
      <c r="M123" s="13">
        <v>29981</v>
      </c>
      <c r="N123" s="13">
        <v>0</v>
      </c>
      <c r="O123" s="13">
        <v>0</v>
      </c>
      <c r="P123" s="13">
        <v>0</v>
      </c>
      <c r="Q123" s="13">
        <v>15864</v>
      </c>
      <c r="R123" s="13">
        <v>86771</v>
      </c>
      <c r="S123" s="13">
        <v>8731</v>
      </c>
      <c r="T123" s="13">
        <v>0</v>
      </c>
      <c r="U123" s="13">
        <v>35243</v>
      </c>
      <c r="V123" s="13">
        <v>0</v>
      </c>
      <c r="W123" s="13">
        <v>46475</v>
      </c>
      <c r="X123" s="533"/>
    </row>
    <row r="124" spans="1:24" x14ac:dyDescent="0.35">
      <c r="A124" s="37" t="str">
        <f>_xlfn.XLOOKUP(B124,master!B:B,master!A:A)</f>
        <v>Bank Charges &amp; Commission</v>
      </c>
      <c r="B124" s="50" t="s">
        <v>360</v>
      </c>
      <c r="C124" s="13"/>
      <c r="D124" s="13"/>
      <c r="E124" s="13"/>
      <c r="F124" s="13"/>
      <c r="G124" s="13">
        <v>1500</v>
      </c>
      <c r="H124" s="13">
        <v>307901.90999999997</v>
      </c>
      <c r="I124" s="13">
        <v>0</v>
      </c>
      <c r="J124" s="13">
        <v>0</v>
      </c>
      <c r="K124" s="13">
        <v>0</v>
      </c>
      <c r="L124" s="13">
        <v>0</v>
      </c>
      <c r="M124" s="13">
        <v>504893.85</v>
      </c>
      <c r="N124" s="13">
        <v>0</v>
      </c>
      <c r="O124" s="13">
        <v>0</v>
      </c>
      <c r="P124" s="13">
        <v>90939.69</v>
      </c>
      <c r="Q124" s="13">
        <v>0</v>
      </c>
      <c r="R124" s="13">
        <v>802549.96</v>
      </c>
      <c r="S124" s="13">
        <v>120061.53</v>
      </c>
      <c r="T124" s="13">
        <v>0</v>
      </c>
      <c r="U124" s="13">
        <v>60124.42</v>
      </c>
      <c r="V124" s="13">
        <v>3700</v>
      </c>
      <c r="W124" s="13">
        <v>122390.8</v>
      </c>
      <c r="X124" s="533"/>
    </row>
    <row r="125" spans="1:24" x14ac:dyDescent="0.35">
      <c r="A125" s="37" t="str">
        <f>_xlfn.XLOOKUP(B125,master!B:B,master!A:A)</f>
        <v>Bank Charges &amp; Commission</v>
      </c>
      <c r="B125" s="50" t="s">
        <v>690</v>
      </c>
      <c r="C125" s="13"/>
      <c r="D125" s="13"/>
      <c r="E125" s="13"/>
      <c r="F125" s="13"/>
      <c r="G125" s="13">
        <v>0</v>
      </c>
      <c r="H125" s="13">
        <v>1770</v>
      </c>
      <c r="I125" s="13">
        <v>0</v>
      </c>
      <c r="J125" s="13">
        <v>0</v>
      </c>
      <c r="K125" s="13">
        <v>0</v>
      </c>
      <c r="L125" s="13">
        <v>0</v>
      </c>
      <c r="M125" s="13">
        <v>29500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533"/>
    </row>
    <row r="126" spans="1:24" x14ac:dyDescent="0.35">
      <c r="A126" s="37" t="str">
        <f>_xlfn.XLOOKUP(B126,master!B:B,master!A:A)</f>
        <v>Bank Charges &amp; Commission</v>
      </c>
      <c r="B126" s="50" t="s">
        <v>660</v>
      </c>
      <c r="C126" s="13"/>
      <c r="D126" s="13"/>
      <c r="E126" s="13"/>
      <c r="F126" s="13"/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11254.8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533"/>
    </row>
    <row r="127" spans="1:24" x14ac:dyDescent="0.35">
      <c r="A127" s="37" t="str">
        <f>_xlfn.XLOOKUP(B127,master!B:B,master!A:A)</f>
        <v>Bank Charges &amp; Commission</v>
      </c>
      <c r="B127" s="50" t="s">
        <v>743</v>
      </c>
      <c r="C127" s="13"/>
      <c r="D127" s="13"/>
      <c r="E127" s="13"/>
      <c r="F127" s="13"/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2360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533"/>
    </row>
    <row r="128" spans="1:24" x14ac:dyDescent="0.35">
      <c r="A128" s="37" t="str">
        <f>_xlfn.XLOOKUP(B128,master!B:B,master!A:A)</f>
        <v>Bank Charges &amp; Commission</v>
      </c>
      <c r="B128" s="50" t="s">
        <v>361</v>
      </c>
      <c r="C128" s="13"/>
      <c r="D128" s="13"/>
      <c r="E128" s="13"/>
      <c r="F128" s="13"/>
      <c r="G128" s="13">
        <v>6559.05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71282.12</v>
      </c>
      <c r="N128" s="13">
        <v>0</v>
      </c>
      <c r="O128" s="13">
        <v>0</v>
      </c>
      <c r="P128" s="13">
        <v>251109.66</v>
      </c>
      <c r="Q128" s="13">
        <v>0</v>
      </c>
      <c r="R128" s="13">
        <v>101023</v>
      </c>
      <c r="S128" s="13">
        <v>0</v>
      </c>
      <c r="T128" s="13">
        <v>0</v>
      </c>
      <c r="U128" s="13">
        <v>0</v>
      </c>
      <c r="V128" s="13">
        <v>1000</v>
      </c>
      <c r="W128" s="13">
        <v>4634</v>
      </c>
      <c r="X128" s="533"/>
    </row>
    <row r="129" spans="1:24" x14ac:dyDescent="0.35">
      <c r="A129" s="37" t="str">
        <f>_xlfn.XLOOKUP(B129,master!B:B,master!A:A)</f>
        <v>Bank Charges &amp; Commission</v>
      </c>
      <c r="B129" s="50" t="s">
        <v>362</v>
      </c>
      <c r="C129" s="13"/>
      <c r="D129" s="13"/>
      <c r="E129" s="13"/>
      <c r="F129" s="13"/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2920</v>
      </c>
      <c r="N129" s="13">
        <v>0</v>
      </c>
      <c r="O129" s="13">
        <v>0</v>
      </c>
      <c r="P129" s="13">
        <v>0</v>
      </c>
      <c r="Q129" s="13">
        <v>0</v>
      </c>
      <c r="R129" s="13">
        <v>353080.04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533"/>
    </row>
    <row r="130" spans="1:24" x14ac:dyDescent="0.35">
      <c r="A130" s="37" t="str">
        <f>_xlfn.XLOOKUP(B130,master!B:B,master!A:A)</f>
        <v>Bank Charges &amp; Commission</v>
      </c>
      <c r="B130" s="50" t="s">
        <v>363</v>
      </c>
      <c r="C130" s="13"/>
      <c r="D130" s="13"/>
      <c r="E130" s="13"/>
      <c r="F130" s="13"/>
      <c r="G130" s="13">
        <v>4500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6000</v>
      </c>
      <c r="N130" s="13">
        <v>0</v>
      </c>
      <c r="O130" s="13">
        <v>0</v>
      </c>
      <c r="P130" s="13">
        <v>11500</v>
      </c>
      <c r="Q130" s="13">
        <v>0</v>
      </c>
      <c r="R130" s="13">
        <v>15484</v>
      </c>
      <c r="S130" s="13">
        <v>0</v>
      </c>
      <c r="T130" s="13">
        <v>0</v>
      </c>
      <c r="U130" s="13">
        <v>0</v>
      </c>
      <c r="V130" s="13">
        <v>500</v>
      </c>
      <c r="W130" s="13">
        <v>7800</v>
      </c>
      <c r="X130" s="533"/>
    </row>
    <row r="131" spans="1:24" x14ac:dyDescent="0.35">
      <c r="A131" s="37" t="str">
        <f>_xlfn.XLOOKUP(B131,master!B:B,master!A:A)</f>
        <v>Bank Charges &amp; Commission</v>
      </c>
      <c r="B131" s="50" t="s">
        <v>569</v>
      </c>
      <c r="C131" s="13"/>
      <c r="D131" s="13"/>
      <c r="E131" s="13"/>
      <c r="F131" s="13"/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2360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-10000</v>
      </c>
      <c r="X131" s="533"/>
    </row>
    <row r="132" spans="1:24" x14ac:dyDescent="0.35">
      <c r="A132" s="37" t="str">
        <f>_xlfn.XLOOKUP(B132,master!B:B,master!A:A)</f>
        <v>Bank Charges &amp; Commission</v>
      </c>
      <c r="B132" s="50" t="s">
        <v>364</v>
      </c>
      <c r="C132" s="13"/>
      <c r="D132" s="13"/>
      <c r="E132" s="13"/>
      <c r="F132" s="13"/>
      <c r="G132" s="13">
        <v>15785.31</v>
      </c>
      <c r="H132" s="13">
        <v>982665.82</v>
      </c>
      <c r="I132" s="13">
        <v>0</v>
      </c>
      <c r="J132" s="13">
        <v>0</v>
      </c>
      <c r="K132" s="13">
        <v>0</v>
      </c>
      <c r="L132" s="13">
        <v>0</v>
      </c>
      <c r="M132" s="13">
        <v>134951.97</v>
      </c>
      <c r="N132" s="13">
        <v>0</v>
      </c>
      <c r="O132" s="13">
        <v>0</v>
      </c>
      <c r="P132" s="13">
        <v>68023.73</v>
      </c>
      <c r="Q132" s="13">
        <v>258.91000000000003</v>
      </c>
      <c r="R132" s="13">
        <v>305575.32</v>
      </c>
      <c r="S132" s="13">
        <v>85734.59</v>
      </c>
      <c r="T132" s="13">
        <v>0</v>
      </c>
      <c r="U132" s="13">
        <v>16964.59</v>
      </c>
      <c r="V132" s="13">
        <v>-310273.87</v>
      </c>
      <c r="W132" s="13">
        <v>534065.17000000004</v>
      </c>
      <c r="X132" s="533"/>
    </row>
    <row r="133" spans="1:24" x14ac:dyDescent="0.35">
      <c r="A133" s="37" t="str">
        <f>_xlfn.XLOOKUP(B133,master!B:B,master!A:A)</f>
        <v>Exchange Rate Difference</v>
      </c>
      <c r="B133" s="50" t="s">
        <v>365</v>
      </c>
      <c r="C133" s="13"/>
      <c r="D133" s="13"/>
      <c r="E133" s="13"/>
      <c r="F133" s="13"/>
      <c r="G133" s="13">
        <v>-165525.12</v>
      </c>
      <c r="H133" s="13">
        <v>8457985.9499999993</v>
      </c>
      <c r="I133" s="13">
        <v>0</v>
      </c>
      <c r="J133" s="13">
        <v>0</v>
      </c>
      <c r="K133" s="13">
        <v>0</v>
      </c>
      <c r="L133" s="13">
        <v>0</v>
      </c>
      <c r="M133" s="13">
        <v>16263412.539999999</v>
      </c>
      <c r="N133" s="13">
        <v>0</v>
      </c>
      <c r="O133" s="13">
        <v>0</v>
      </c>
      <c r="P133" s="13">
        <v>-15850609.029999999</v>
      </c>
      <c r="Q133" s="13">
        <v>0</v>
      </c>
      <c r="R133" s="13">
        <v>-11557341.609999999</v>
      </c>
      <c r="S133" s="13">
        <v>-6044432.0199999996</v>
      </c>
      <c r="T133" s="13">
        <v>0</v>
      </c>
      <c r="U133" s="13">
        <v>-1195954.4099999999</v>
      </c>
      <c r="V133" s="13">
        <v>-192804.42</v>
      </c>
      <c r="W133" s="13">
        <v>-13154616.48</v>
      </c>
      <c r="X133" s="533"/>
    </row>
    <row r="134" spans="1:24" x14ac:dyDescent="0.35">
      <c r="A134" s="37" t="str">
        <f>_xlfn.XLOOKUP(B134,master!B:B,master!A:A)</f>
        <v>Bank Charges &amp; Commission</v>
      </c>
      <c r="B134" s="50" t="s">
        <v>570</v>
      </c>
      <c r="C134" s="13"/>
      <c r="D134" s="13"/>
      <c r="E134" s="13"/>
      <c r="F134" s="13"/>
      <c r="G134" s="13">
        <v>0</v>
      </c>
      <c r="H134" s="13">
        <v>-78645.33</v>
      </c>
      <c r="I134" s="13">
        <v>0</v>
      </c>
      <c r="J134" s="13">
        <v>0</v>
      </c>
      <c r="K134" s="13">
        <v>0</v>
      </c>
      <c r="L134" s="13">
        <v>0</v>
      </c>
      <c r="M134" s="13">
        <v>22116.86</v>
      </c>
      <c r="N134" s="13">
        <v>0</v>
      </c>
      <c r="O134" s="13">
        <v>0</v>
      </c>
      <c r="P134" s="13">
        <v>11.74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533"/>
    </row>
    <row r="135" spans="1:24" x14ac:dyDescent="0.35">
      <c r="A135" s="37" t="str">
        <f>_xlfn.XLOOKUP(B135,master!B:B,master!A:A)</f>
        <v>Bank Charges &amp; Commission</v>
      </c>
      <c r="B135" s="50" t="s">
        <v>737</v>
      </c>
      <c r="C135" s="13"/>
      <c r="D135" s="13"/>
      <c r="E135" s="13"/>
      <c r="F135" s="13"/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745769</v>
      </c>
      <c r="X135" s="533"/>
    </row>
    <row r="136" spans="1:24" x14ac:dyDescent="0.35">
      <c r="A136" s="37" t="str">
        <f>_xlfn.XLOOKUP(B136,master!B:B,master!A:A)</f>
        <v>Interest on Working Capital &amp; Term Loan</v>
      </c>
      <c r="B136" s="50" t="s">
        <v>366</v>
      </c>
      <c r="C136" s="13"/>
      <c r="D136" s="13"/>
      <c r="E136" s="13"/>
      <c r="F136" s="13"/>
      <c r="G136" s="13">
        <v>0</v>
      </c>
      <c r="H136" s="13">
        <v>1619723</v>
      </c>
      <c r="I136" s="13">
        <v>0</v>
      </c>
      <c r="J136" s="13">
        <v>0</v>
      </c>
      <c r="K136" s="13">
        <v>0</v>
      </c>
      <c r="L136" s="13">
        <v>0</v>
      </c>
      <c r="M136" s="13">
        <v>4242539</v>
      </c>
      <c r="N136" s="13">
        <v>0</v>
      </c>
      <c r="O136" s="13">
        <v>0</v>
      </c>
      <c r="P136" s="13">
        <v>0</v>
      </c>
      <c r="Q136" s="13">
        <v>0</v>
      </c>
      <c r="R136" s="13">
        <v>4320149.8499999996</v>
      </c>
      <c r="S136" s="13">
        <v>0</v>
      </c>
      <c r="T136" s="13">
        <v>0</v>
      </c>
      <c r="U136" s="13">
        <v>0</v>
      </c>
      <c r="V136" s="13">
        <v>0</v>
      </c>
      <c r="W136" s="13">
        <v>196383</v>
      </c>
      <c r="X136" s="533"/>
    </row>
    <row r="137" spans="1:24" x14ac:dyDescent="0.35">
      <c r="A137" s="37" t="str">
        <f>_xlfn.XLOOKUP(B137,master!B:B,master!A:A)</f>
        <v>Interest on Working Capital &amp; Term Loan</v>
      </c>
      <c r="B137" s="50" t="s">
        <v>367</v>
      </c>
      <c r="C137" s="13"/>
      <c r="D137" s="13"/>
      <c r="E137" s="13"/>
      <c r="F137" s="13"/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62157.67</v>
      </c>
      <c r="Q137" s="13">
        <v>0</v>
      </c>
      <c r="R137" s="13">
        <v>38189.980000000003</v>
      </c>
      <c r="S137" s="13">
        <v>55977.58</v>
      </c>
      <c r="T137" s="13">
        <v>0</v>
      </c>
      <c r="U137" s="13">
        <v>0</v>
      </c>
      <c r="V137" s="13">
        <v>0</v>
      </c>
      <c r="W137" s="13">
        <v>25568.06</v>
      </c>
      <c r="X137" s="533"/>
    </row>
    <row r="138" spans="1:24" x14ac:dyDescent="0.35">
      <c r="A138" s="37" t="str">
        <f>_xlfn.XLOOKUP(B138,master!B:B,master!A:A)</f>
        <v>Bank Charges &amp; Commission</v>
      </c>
      <c r="B138" s="50" t="s">
        <v>368</v>
      </c>
      <c r="C138" s="13"/>
      <c r="D138" s="13"/>
      <c r="E138" s="13"/>
      <c r="F138" s="13"/>
      <c r="G138" s="13">
        <v>0</v>
      </c>
      <c r="H138" s="13">
        <v>817635.09</v>
      </c>
      <c r="I138" s="13">
        <v>0</v>
      </c>
      <c r="J138" s="13">
        <v>0</v>
      </c>
      <c r="K138" s="13">
        <v>0</v>
      </c>
      <c r="L138" s="13">
        <v>0</v>
      </c>
      <c r="M138" s="13">
        <v>261835.84</v>
      </c>
      <c r="N138" s="13">
        <v>0</v>
      </c>
      <c r="O138" s="13">
        <v>0</v>
      </c>
      <c r="P138" s="13">
        <v>519382.5</v>
      </c>
      <c r="Q138" s="13">
        <v>0</v>
      </c>
      <c r="R138" s="13">
        <v>560997.37</v>
      </c>
      <c r="S138" s="13">
        <v>978033.14</v>
      </c>
      <c r="T138" s="13">
        <v>0</v>
      </c>
      <c r="U138" s="13">
        <v>68626.33</v>
      </c>
      <c r="V138" s="13">
        <v>0</v>
      </c>
      <c r="W138" s="13">
        <v>17033.400000000001</v>
      </c>
      <c r="X138" s="533"/>
    </row>
    <row r="139" spans="1:24" x14ac:dyDescent="0.35">
      <c r="A139" s="37" t="str">
        <f>_xlfn.XLOOKUP(B139,master!B:B,master!A:A)</f>
        <v>Interest on Working Capital &amp; Term Loan</v>
      </c>
      <c r="B139" s="50" t="s">
        <v>370</v>
      </c>
      <c r="C139" s="13"/>
      <c r="D139" s="13"/>
      <c r="E139" s="13"/>
      <c r="F139" s="13"/>
      <c r="G139" s="13">
        <v>0</v>
      </c>
      <c r="H139" s="13">
        <v>1693839</v>
      </c>
      <c r="I139" s="13">
        <v>0</v>
      </c>
      <c r="J139" s="13">
        <v>0</v>
      </c>
      <c r="K139" s="13">
        <v>0</v>
      </c>
      <c r="L139" s="13">
        <v>0</v>
      </c>
      <c r="M139" s="13">
        <v>4496343.49</v>
      </c>
      <c r="N139" s="13">
        <v>0</v>
      </c>
      <c r="O139" s="13">
        <v>0</v>
      </c>
      <c r="P139" s="13">
        <v>0</v>
      </c>
      <c r="Q139" s="13">
        <v>0</v>
      </c>
      <c r="R139" s="13">
        <v>1997465.44</v>
      </c>
      <c r="S139" s="13">
        <v>0</v>
      </c>
      <c r="T139" s="13">
        <v>0</v>
      </c>
      <c r="U139" s="13">
        <v>0</v>
      </c>
      <c r="V139" s="13">
        <v>0</v>
      </c>
      <c r="W139" s="13">
        <v>3356920</v>
      </c>
      <c r="X139" s="533"/>
    </row>
    <row r="140" spans="1:24" x14ac:dyDescent="0.35">
      <c r="A140" s="37" t="str">
        <f>_xlfn.XLOOKUP(B140,master!B:B,master!A:A)</f>
        <v>Interest on Working Capital &amp; Term Loan</v>
      </c>
      <c r="B140" s="50" t="s">
        <v>371</v>
      </c>
      <c r="C140" s="13"/>
      <c r="D140" s="13"/>
      <c r="E140" s="13"/>
      <c r="F140" s="13"/>
      <c r="G140" s="13">
        <v>0</v>
      </c>
      <c r="H140" s="13">
        <v>1061647.24</v>
      </c>
      <c r="I140" s="13">
        <v>0</v>
      </c>
      <c r="J140" s="13">
        <v>0</v>
      </c>
      <c r="K140" s="13">
        <v>0</v>
      </c>
      <c r="L140" s="13">
        <v>0</v>
      </c>
      <c r="M140" s="13">
        <v>752139.18</v>
      </c>
      <c r="N140" s="13">
        <v>0</v>
      </c>
      <c r="O140" s="13">
        <v>0</v>
      </c>
      <c r="P140" s="13">
        <v>161668.6</v>
      </c>
      <c r="Q140" s="13">
        <v>0</v>
      </c>
      <c r="R140" s="13">
        <v>353464.96</v>
      </c>
      <c r="S140" s="13">
        <v>1785855.79</v>
      </c>
      <c r="T140" s="13">
        <v>0</v>
      </c>
      <c r="U140" s="13">
        <v>98284.56</v>
      </c>
      <c r="V140" s="13">
        <v>0</v>
      </c>
      <c r="W140" s="13">
        <v>49964.639999999999</v>
      </c>
      <c r="X140" s="533"/>
    </row>
    <row r="141" spans="1:24" x14ac:dyDescent="0.35">
      <c r="A141" s="37" t="str">
        <f>_xlfn.XLOOKUP(B141,master!B:B,master!A:A)</f>
        <v>Interest Expense - Other</v>
      </c>
      <c r="B141" s="50" t="s">
        <v>686</v>
      </c>
      <c r="C141" s="13"/>
      <c r="D141" s="13"/>
      <c r="E141" s="13"/>
      <c r="F141" s="13"/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14</v>
      </c>
      <c r="V141" s="13">
        <v>0</v>
      </c>
      <c r="W141" s="13">
        <v>0</v>
      </c>
      <c r="X141" s="533"/>
    </row>
    <row r="142" spans="1:24" x14ac:dyDescent="0.35">
      <c r="A142" s="37" t="str">
        <f>_xlfn.XLOOKUP(B142,master!B:B,master!A:A)</f>
        <v>Interest Expense - Other</v>
      </c>
      <c r="B142" s="50" t="s">
        <v>714</v>
      </c>
      <c r="C142" s="13"/>
      <c r="D142" s="13"/>
      <c r="E142" s="13"/>
      <c r="F142" s="13"/>
      <c r="G142" s="13">
        <v>0</v>
      </c>
      <c r="H142" s="13">
        <v>1177169.1599999999</v>
      </c>
      <c r="I142" s="13">
        <v>0</v>
      </c>
      <c r="J142" s="13">
        <v>0</v>
      </c>
      <c r="K142" s="13">
        <v>0</v>
      </c>
      <c r="L142" s="13">
        <v>0</v>
      </c>
      <c r="M142" s="13">
        <v>2094632.1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533"/>
    </row>
    <row r="143" spans="1:24" x14ac:dyDescent="0.35">
      <c r="A143" s="37" t="str">
        <f>_xlfn.XLOOKUP(B143,master!B:B,master!A:A)</f>
        <v>Interest on Working Capital &amp; Term Loan</v>
      </c>
      <c r="B143" s="50" t="s">
        <v>372</v>
      </c>
      <c r="C143" s="13"/>
      <c r="D143" s="13"/>
      <c r="E143" s="13"/>
      <c r="F143" s="13"/>
      <c r="G143" s="13">
        <v>0</v>
      </c>
      <c r="H143" s="13">
        <v>8211509</v>
      </c>
      <c r="I143" s="13">
        <v>0</v>
      </c>
      <c r="J143" s="13">
        <v>0</v>
      </c>
      <c r="K143" s="13">
        <v>0</v>
      </c>
      <c r="L143" s="13">
        <v>0</v>
      </c>
      <c r="M143" s="13">
        <v>2067437</v>
      </c>
      <c r="N143" s="13">
        <v>0</v>
      </c>
      <c r="O143" s="13">
        <v>0</v>
      </c>
      <c r="P143" s="13">
        <v>0</v>
      </c>
      <c r="Q143" s="13">
        <v>4184592</v>
      </c>
      <c r="R143" s="13">
        <v>13713168</v>
      </c>
      <c r="S143" s="13">
        <v>0</v>
      </c>
      <c r="T143" s="13">
        <v>4995863.62</v>
      </c>
      <c r="U143" s="13">
        <v>0</v>
      </c>
      <c r="V143" s="13">
        <v>0</v>
      </c>
      <c r="W143" s="13">
        <v>1294978.8600000001</v>
      </c>
      <c r="X143" s="533"/>
    </row>
    <row r="144" spans="1:24" x14ac:dyDescent="0.35">
      <c r="A144" s="37" t="str">
        <f>_xlfn.XLOOKUP(B144,master!B:B,master!A:A)</f>
        <v>Interest Expense - Other</v>
      </c>
      <c r="B144" s="50" t="s">
        <v>373</v>
      </c>
      <c r="C144" s="13"/>
      <c r="D144" s="13"/>
      <c r="E144" s="13"/>
      <c r="F144" s="13"/>
      <c r="G144" s="13">
        <v>21000</v>
      </c>
      <c r="H144" s="13">
        <v>797449.46</v>
      </c>
      <c r="I144" s="13">
        <v>0</v>
      </c>
      <c r="J144" s="13">
        <v>0</v>
      </c>
      <c r="K144" s="13">
        <v>0</v>
      </c>
      <c r="L144" s="13">
        <v>0</v>
      </c>
      <c r="M144" s="13">
        <v>215072.84</v>
      </c>
      <c r="N144" s="13">
        <v>0</v>
      </c>
      <c r="O144" s="13">
        <v>0</v>
      </c>
      <c r="P144" s="13">
        <v>0</v>
      </c>
      <c r="Q144" s="13">
        <v>44055.06</v>
      </c>
      <c r="R144" s="13">
        <v>1271576.81</v>
      </c>
      <c r="S144" s="13">
        <v>233497.07</v>
      </c>
      <c r="T144" s="13">
        <v>12938.92</v>
      </c>
      <c r="U144" s="13">
        <v>0</v>
      </c>
      <c r="V144" s="13">
        <v>186</v>
      </c>
      <c r="W144" s="13">
        <v>14305.95</v>
      </c>
      <c r="X144" s="533"/>
    </row>
    <row r="145" spans="1:24" x14ac:dyDescent="0.35">
      <c r="A145" s="37" t="str">
        <f>_xlfn.XLOOKUP(B145,master!B:B,master!A:A)</f>
        <v>Other Administrative Expenses</v>
      </c>
      <c r="B145" s="50" t="s">
        <v>374</v>
      </c>
      <c r="C145" s="13"/>
      <c r="D145" s="13"/>
      <c r="E145" s="13"/>
      <c r="F145" s="13"/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-500000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533"/>
    </row>
    <row r="146" spans="1:24" x14ac:dyDescent="0.35">
      <c r="A146" s="37" t="str">
        <f>_xlfn.XLOOKUP(B146,master!B:B,master!A:A)</f>
        <v>Other Administrative Expenses</v>
      </c>
      <c r="B146" s="50" t="s">
        <v>375</v>
      </c>
      <c r="C146" s="13"/>
      <c r="D146" s="13"/>
      <c r="E146" s="13"/>
      <c r="F146" s="13"/>
      <c r="G146" s="13">
        <v>4350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7500</v>
      </c>
      <c r="Q146" s="13">
        <v>7080</v>
      </c>
      <c r="R146" s="13">
        <v>8520.65</v>
      </c>
      <c r="S146" s="13">
        <v>0</v>
      </c>
      <c r="T146" s="13">
        <v>0</v>
      </c>
      <c r="U146" s="13">
        <v>997</v>
      </c>
      <c r="V146" s="13">
        <v>61800</v>
      </c>
      <c r="W146" s="13">
        <v>0</v>
      </c>
      <c r="X146" s="533"/>
    </row>
    <row r="147" spans="1:24" x14ac:dyDescent="0.35">
      <c r="A147" s="37" t="str">
        <f>_xlfn.XLOOKUP(B147,master!B:B,master!A:A)</f>
        <v>Other Administrative Expenses</v>
      </c>
      <c r="B147" s="50" t="s">
        <v>376</v>
      </c>
      <c r="C147" s="13"/>
      <c r="D147" s="13"/>
      <c r="E147" s="13"/>
      <c r="F147" s="13"/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271.67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533"/>
    </row>
    <row r="148" spans="1:24" x14ac:dyDescent="0.35">
      <c r="A148" s="37" t="str">
        <f>_xlfn.XLOOKUP(B148,master!B:B,master!A:A)</f>
        <v>NA</v>
      </c>
      <c r="B148" s="50" t="s">
        <v>678</v>
      </c>
      <c r="C148" s="13"/>
      <c r="D148" s="13"/>
      <c r="E148" s="13"/>
      <c r="F148" s="13"/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500</v>
      </c>
      <c r="W148" s="13">
        <v>0</v>
      </c>
      <c r="X148" s="533"/>
    </row>
    <row r="149" spans="1:24" x14ac:dyDescent="0.35">
      <c r="A149" s="37" t="str">
        <f>_xlfn.XLOOKUP(B149,master!B:B,master!A:A)</f>
        <v>Other Administrative Expenses</v>
      </c>
      <c r="B149" s="50" t="s">
        <v>572</v>
      </c>
      <c r="C149" s="13"/>
      <c r="D149" s="13"/>
      <c r="E149" s="13"/>
      <c r="F149" s="13"/>
      <c r="G149" s="13">
        <v>0</v>
      </c>
      <c r="H149" s="13">
        <v>7200</v>
      </c>
      <c r="I149" s="13">
        <v>0</v>
      </c>
      <c r="J149" s="13">
        <v>0</v>
      </c>
      <c r="K149" s="13">
        <v>0</v>
      </c>
      <c r="L149" s="13">
        <v>0</v>
      </c>
      <c r="M149" s="13">
        <v>890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438</v>
      </c>
      <c r="X149" s="533"/>
    </row>
    <row r="150" spans="1:24" x14ac:dyDescent="0.35">
      <c r="A150" s="37" t="str">
        <f>_xlfn.XLOOKUP(B150,master!B:B,master!A:A)</f>
        <v>Other Administrative Expenses</v>
      </c>
      <c r="B150" s="50" t="s">
        <v>377</v>
      </c>
      <c r="C150" s="13"/>
      <c r="D150" s="13"/>
      <c r="E150" s="13"/>
      <c r="F150" s="13"/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255933</v>
      </c>
      <c r="W150" s="13">
        <v>18824</v>
      </c>
      <c r="X150" s="533"/>
    </row>
    <row r="151" spans="1:24" x14ac:dyDescent="0.35">
      <c r="A151" s="37" t="str">
        <f>_xlfn.XLOOKUP(B151,master!B:B,master!A:A)</f>
        <v>Other Administrative Expenses</v>
      </c>
      <c r="B151" s="50" t="s">
        <v>574</v>
      </c>
      <c r="C151" s="13"/>
      <c r="D151" s="13"/>
      <c r="E151" s="13"/>
      <c r="F151" s="13"/>
      <c r="G151" s="13">
        <v>0</v>
      </c>
      <c r="H151" s="13">
        <v>354468</v>
      </c>
      <c r="I151" s="13">
        <v>0</v>
      </c>
      <c r="J151" s="13">
        <v>0</v>
      </c>
      <c r="K151" s="13">
        <v>0</v>
      </c>
      <c r="L151" s="13">
        <v>0</v>
      </c>
      <c r="M151" s="13">
        <v>2162641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533"/>
    </row>
    <row r="152" spans="1:24" x14ac:dyDescent="0.35">
      <c r="A152" s="37" t="str">
        <f>_xlfn.XLOOKUP(B152,master!B:B,master!A:A)</f>
        <v>Insurance</v>
      </c>
      <c r="B152" s="50" t="s">
        <v>378</v>
      </c>
      <c r="C152" s="13"/>
      <c r="D152" s="13"/>
      <c r="E152" s="13"/>
      <c r="F152" s="13"/>
      <c r="G152" s="13">
        <v>0</v>
      </c>
      <c r="H152" s="13">
        <v>0</v>
      </c>
      <c r="I152" s="13">
        <v>0</v>
      </c>
      <c r="J152" s="13">
        <v>0</v>
      </c>
      <c r="K152" s="13">
        <v>19645</v>
      </c>
      <c r="L152" s="13">
        <v>0</v>
      </c>
      <c r="M152" s="13">
        <v>342799</v>
      </c>
      <c r="N152" s="13">
        <v>0</v>
      </c>
      <c r="O152" s="13">
        <v>0</v>
      </c>
      <c r="P152" s="13">
        <v>142664</v>
      </c>
      <c r="Q152" s="13">
        <v>4690</v>
      </c>
      <c r="R152" s="13">
        <v>70494</v>
      </c>
      <c r="S152" s="13">
        <v>0</v>
      </c>
      <c r="T152" s="13">
        <v>0</v>
      </c>
      <c r="U152" s="13">
        <v>0</v>
      </c>
      <c r="V152" s="13">
        <v>590</v>
      </c>
      <c r="W152" s="13">
        <v>0</v>
      </c>
      <c r="X152" s="533"/>
    </row>
    <row r="153" spans="1:24" x14ac:dyDescent="0.35">
      <c r="A153" s="37" t="str">
        <f>_xlfn.XLOOKUP(B153,master!B:B,master!A:A)</f>
        <v>Other Administrative Expenses</v>
      </c>
      <c r="B153" s="50" t="s">
        <v>766</v>
      </c>
      <c r="C153" s="13"/>
      <c r="D153" s="13"/>
      <c r="E153" s="13"/>
      <c r="F153" s="13"/>
      <c r="G153" s="13">
        <v>45745</v>
      </c>
      <c r="H153" s="13">
        <v>1156964.2</v>
      </c>
      <c r="I153" s="13">
        <v>100000</v>
      </c>
      <c r="J153" s="13">
        <v>0</v>
      </c>
      <c r="K153" s="13">
        <v>0</v>
      </c>
      <c r="L153" s="13">
        <v>12800</v>
      </c>
      <c r="M153" s="13">
        <v>552858.9</v>
      </c>
      <c r="N153" s="13">
        <v>0</v>
      </c>
      <c r="O153" s="13">
        <v>0</v>
      </c>
      <c r="P153" s="13">
        <v>0</v>
      </c>
      <c r="Q153" s="13">
        <v>482151</v>
      </c>
      <c r="R153" s="13">
        <v>1405264.45</v>
      </c>
      <c r="S153" s="13">
        <v>199398.39999999999</v>
      </c>
      <c r="T153" s="13">
        <v>0</v>
      </c>
      <c r="U153" s="13">
        <v>12636</v>
      </c>
      <c r="V153" s="13">
        <v>1416103</v>
      </c>
      <c r="W153" s="13">
        <v>166400</v>
      </c>
      <c r="X153" s="533"/>
    </row>
    <row r="154" spans="1:24" x14ac:dyDescent="0.35">
      <c r="A154" s="37" t="str">
        <f>_xlfn.XLOOKUP(B154,master!B:B,master!A:A)</f>
        <v>Other Administrative Expenses</v>
      </c>
      <c r="B154" s="50" t="s">
        <v>379</v>
      </c>
      <c r="C154" s="13"/>
      <c r="D154" s="13"/>
      <c r="E154" s="13"/>
      <c r="F154" s="13"/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7500</v>
      </c>
      <c r="R154" s="13">
        <v>0</v>
      </c>
      <c r="S154" s="13">
        <v>0</v>
      </c>
      <c r="T154" s="13">
        <v>0</v>
      </c>
      <c r="U154" s="13">
        <v>7500</v>
      </c>
      <c r="V154" s="13">
        <v>28600</v>
      </c>
      <c r="W154" s="13">
        <v>0</v>
      </c>
      <c r="X154" s="533"/>
    </row>
    <row r="155" spans="1:24" x14ac:dyDescent="0.35">
      <c r="A155" s="37" t="str">
        <f>_xlfn.XLOOKUP(B155,master!B:B,master!A:A)</f>
        <v>Other Administrative Expenses</v>
      </c>
      <c r="B155" s="50" t="s">
        <v>661</v>
      </c>
      <c r="C155" s="13"/>
      <c r="D155" s="13"/>
      <c r="E155" s="13"/>
      <c r="F155" s="13"/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34720</v>
      </c>
      <c r="W155" s="13">
        <v>0</v>
      </c>
      <c r="X155" s="533"/>
    </row>
    <row r="156" spans="1:24" x14ac:dyDescent="0.35">
      <c r="A156" s="37" t="str">
        <f>_xlfn.XLOOKUP(B156,master!B:B,master!A:A)</f>
        <v>Other Administrative Expenses</v>
      </c>
      <c r="B156" s="50" t="s">
        <v>575</v>
      </c>
      <c r="C156" s="13"/>
      <c r="D156" s="13"/>
      <c r="E156" s="13"/>
      <c r="F156" s="13"/>
      <c r="G156" s="13">
        <v>0</v>
      </c>
      <c r="H156" s="13">
        <v>-15000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533"/>
    </row>
    <row r="157" spans="1:24" x14ac:dyDescent="0.35">
      <c r="A157" s="37" t="str">
        <f>_xlfn.XLOOKUP(B157,master!B:B,master!A:A)</f>
        <v>Other Administrative Expenses</v>
      </c>
      <c r="B157" s="50" t="s">
        <v>380</v>
      </c>
      <c r="C157" s="13"/>
      <c r="D157" s="13"/>
      <c r="E157" s="13"/>
      <c r="F157" s="13"/>
      <c r="G157" s="13">
        <v>25645</v>
      </c>
      <c r="H157" s="13">
        <v>10152</v>
      </c>
      <c r="I157" s="13">
        <v>0</v>
      </c>
      <c r="J157" s="13">
        <v>0</v>
      </c>
      <c r="K157" s="13">
        <v>0</v>
      </c>
      <c r="L157" s="13">
        <v>0</v>
      </c>
      <c r="M157" s="13">
        <v>3820</v>
      </c>
      <c r="N157" s="13">
        <v>0</v>
      </c>
      <c r="O157" s="13">
        <v>0</v>
      </c>
      <c r="P157" s="13">
        <v>0</v>
      </c>
      <c r="Q157" s="13">
        <v>0</v>
      </c>
      <c r="R157" s="13">
        <v>4125</v>
      </c>
      <c r="S157" s="13">
        <v>2200</v>
      </c>
      <c r="T157" s="13">
        <v>0</v>
      </c>
      <c r="U157" s="13">
        <v>1536</v>
      </c>
      <c r="V157" s="13">
        <v>4440</v>
      </c>
      <c r="W157" s="13">
        <v>400</v>
      </c>
      <c r="X157" s="533"/>
    </row>
    <row r="158" spans="1:24" x14ac:dyDescent="0.35">
      <c r="A158" s="37" t="str">
        <f>_xlfn.XLOOKUP(B158,master!B:B,master!A:A)</f>
        <v>Other Administrative Expenses</v>
      </c>
      <c r="B158" s="50" t="s">
        <v>381</v>
      </c>
      <c r="C158" s="13"/>
      <c r="D158" s="13"/>
      <c r="E158" s="13"/>
      <c r="F158" s="13"/>
      <c r="G158" s="13">
        <v>20100</v>
      </c>
      <c r="H158" s="13">
        <v>1161812.2</v>
      </c>
      <c r="I158" s="13">
        <v>100000</v>
      </c>
      <c r="J158" s="13">
        <v>0</v>
      </c>
      <c r="K158" s="13">
        <v>0</v>
      </c>
      <c r="L158" s="13">
        <v>12800</v>
      </c>
      <c r="M158" s="13">
        <v>549038.9</v>
      </c>
      <c r="N158" s="13">
        <v>0</v>
      </c>
      <c r="O158" s="13">
        <v>0</v>
      </c>
      <c r="P158" s="13">
        <v>0</v>
      </c>
      <c r="Q158" s="13">
        <v>474651</v>
      </c>
      <c r="R158" s="13">
        <v>1401139.45</v>
      </c>
      <c r="S158" s="13">
        <v>197198.4</v>
      </c>
      <c r="T158" s="13">
        <v>0</v>
      </c>
      <c r="U158" s="13">
        <v>3600</v>
      </c>
      <c r="V158" s="13">
        <v>1348343</v>
      </c>
      <c r="W158" s="13">
        <v>166000</v>
      </c>
      <c r="X158" s="533"/>
    </row>
    <row r="159" spans="1:24" x14ac:dyDescent="0.35">
      <c r="A159" s="37" t="str">
        <f>_xlfn.XLOOKUP(B159,master!B:B,master!A:A)</f>
        <v>NA</v>
      </c>
      <c r="B159" s="50" t="s">
        <v>679</v>
      </c>
      <c r="C159" s="13"/>
      <c r="D159" s="13"/>
      <c r="E159" s="13"/>
      <c r="F159" s="13"/>
      <c r="G159" s="13">
        <v>0</v>
      </c>
      <c r="H159" s="13">
        <v>170702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533"/>
    </row>
    <row r="160" spans="1:24" x14ac:dyDescent="0.35">
      <c r="A160" s="37" t="str">
        <f>_xlfn.XLOOKUP(B160,master!B:B,master!A:A)</f>
        <v>Sundry balance written off</v>
      </c>
      <c r="B160" s="50" t="s">
        <v>382</v>
      </c>
      <c r="C160" s="13"/>
      <c r="D160" s="13"/>
      <c r="E160" s="13"/>
      <c r="F160" s="13"/>
      <c r="G160" s="13">
        <v>4500124</v>
      </c>
      <c r="H160" s="13">
        <v>708.7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182.8</v>
      </c>
      <c r="S160" s="13">
        <v>0</v>
      </c>
      <c r="T160" s="13">
        <v>0</v>
      </c>
      <c r="U160" s="13">
        <v>0</v>
      </c>
      <c r="V160" s="13">
        <v>-432</v>
      </c>
      <c r="W160" s="13">
        <v>0</v>
      </c>
      <c r="X160" s="533"/>
    </row>
    <row r="161" spans="1:24" x14ac:dyDescent="0.35">
      <c r="A161" s="37" t="str">
        <f>_xlfn.XLOOKUP(B161,master!B:B,master!A:A)</f>
        <v>Other Administrative Expenses</v>
      </c>
      <c r="B161" s="50" t="s">
        <v>763</v>
      </c>
      <c r="C161" s="13"/>
      <c r="D161" s="13"/>
      <c r="E161" s="13"/>
      <c r="F161" s="13"/>
      <c r="G161" s="13">
        <v>0</v>
      </c>
      <c r="H161" s="13">
        <v>0</v>
      </c>
      <c r="I161" s="13">
        <v>0</v>
      </c>
      <c r="J161" s="13">
        <v>0</v>
      </c>
      <c r="K161" s="13">
        <v>8024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533"/>
    </row>
    <row r="162" spans="1:24" x14ac:dyDescent="0.35">
      <c r="A162" s="37" t="str">
        <f>_xlfn.XLOOKUP(B162,master!B:B,master!A:A)</f>
        <v>Other Administrative Expenses</v>
      </c>
      <c r="B162" s="50" t="s">
        <v>619</v>
      </c>
      <c r="C162" s="13"/>
      <c r="D162" s="13"/>
      <c r="E162" s="13"/>
      <c r="F162" s="13"/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402750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533"/>
    </row>
    <row r="163" spans="1:24" x14ac:dyDescent="0.35">
      <c r="A163" s="37" t="str">
        <f>_xlfn.XLOOKUP(B163,master!B:B,master!A:A)</f>
        <v>Freight Outward and C &amp; F Charges</v>
      </c>
      <c r="B163" s="50" t="s">
        <v>745</v>
      </c>
      <c r="C163" s="13"/>
      <c r="D163" s="13"/>
      <c r="E163" s="13"/>
      <c r="F163" s="13"/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5600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533"/>
    </row>
    <row r="164" spans="1:24" x14ac:dyDescent="0.35">
      <c r="A164" s="37" t="str">
        <f>_xlfn.XLOOKUP(B164,master!B:B,master!A:A)</f>
        <v>Brokerage &amp; commission</v>
      </c>
      <c r="B164" s="50" t="s">
        <v>383</v>
      </c>
      <c r="C164" s="13"/>
      <c r="D164" s="13"/>
      <c r="E164" s="13"/>
      <c r="F164" s="13"/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300000</v>
      </c>
      <c r="W164" s="13">
        <v>0</v>
      </c>
      <c r="X164" s="533"/>
    </row>
    <row r="165" spans="1:24" x14ac:dyDescent="0.35">
      <c r="A165" s="37" t="str">
        <f>_xlfn.XLOOKUP(B165,master!B:B,master!A:A)</f>
        <v>Other Administrative Expenses</v>
      </c>
      <c r="B165" s="50" t="s">
        <v>620</v>
      </c>
      <c r="C165" s="13"/>
      <c r="D165" s="13"/>
      <c r="E165" s="13"/>
      <c r="F165" s="13"/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1000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2000</v>
      </c>
      <c r="U165" s="13">
        <v>0</v>
      </c>
      <c r="V165" s="13">
        <v>0</v>
      </c>
      <c r="W165" s="13">
        <v>0</v>
      </c>
      <c r="X165" s="533"/>
    </row>
    <row r="166" spans="1:24" x14ac:dyDescent="0.35">
      <c r="A166" s="37" t="str">
        <f>_xlfn.XLOOKUP(B166,master!B:B,master!A:A)</f>
        <v>Freight Outward and C &amp; F Charges</v>
      </c>
      <c r="B166" s="50" t="s">
        <v>384</v>
      </c>
      <c r="C166" s="13"/>
      <c r="D166" s="13"/>
      <c r="E166" s="13"/>
      <c r="F166" s="13"/>
      <c r="G166" s="13">
        <v>0</v>
      </c>
      <c r="H166" s="13">
        <v>1641791.15</v>
      </c>
      <c r="I166" s="13">
        <v>9546.56</v>
      </c>
      <c r="J166" s="13">
        <v>0</v>
      </c>
      <c r="K166" s="13">
        <v>0</v>
      </c>
      <c r="L166" s="13">
        <v>0</v>
      </c>
      <c r="M166" s="13">
        <v>2110569.2999999998</v>
      </c>
      <c r="N166" s="13">
        <v>0</v>
      </c>
      <c r="O166" s="13">
        <v>0</v>
      </c>
      <c r="P166" s="13">
        <v>301858.48</v>
      </c>
      <c r="Q166" s="13">
        <v>0</v>
      </c>
      <c r="R166" s="13">
        <v>-1348818.66</v>
      </c>
      <c r="S166" s="13">
        <v>804575.16</v>
      </c>
      <c r="T166" s="13">
        <v>0</v>
      </c>
      <c r="U166" s="13">
        <v>-954339.35</v>
      </c>
      <c r="V166" s="13">
        <v>4669.5</v>
      </c>
      <c r="W166" s="13">
        <v>-1347791.28</v>
      </c>
      <c r="X166" s="533"/>
    </row>
    <row r="167" spans="1:24" x14ac:dyDescent="0.35">
      <c r="A167" s="37" t="str">
        <f>_xlfn.XLOOKUP(B167,master!B:B,master!A:A)</f>
        <v>Freight Outward and C &amp; F Charges</v>
      </c>
      <c r="B167" s="50" t="s">
        <v>577</v>
      </c>
      <c r="C167" s="13"/>
      <c r="D167" s="13"/>
      <c r="E167" s="13"/>
      <c r="F167" s="13"/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5000</v>
      </c>
      <c r="Q167" s="13">
        <v>0</v>
      </c>
      <c r="R167" s="13">
        <v>60000</v>
      </c>
      <c r="S167" s="13">
        <v>24999.86</v>
      </c>
      <c r="T167" s="13">
        <v>0</v>
      </c>
      <c r="U167" s="13">
        <v>2500</v>
      </c>
      <c r="V167" s="13">
        <v>0</v>
      </c>
      <c r="W167" s="13">
        <v>0</v>
      </c>
      <c r="X167" s="533"/>
    </row>
    <row r="168" spans="1:24" x14ac:dyDescent="0.35">
      <c r="A168" s="37" t="str">
        <f>_xlfn.XLOOKUP(B168,master!B:B,master!A:A)</f>
        <v>Sale of Finished Goods</v>
      </c>
      <c r="B168" s="50" t="s">
        <v>385</v>
      </c>
      <c r="C168" s="13"/>
      <c r="D168" s="13"/>
      <c r="E168" s="13"/>
      <c r="F168" s="13"/>
      <c r="G168" s="13">
        <v>0</v>
      </c>
      <c r="H168" s="13">
        <v>275927.5</v>
      </c>
      <c r="I168" s="13">
        <v>0</v>
      </c>
      <c r="J168" s="13">
        <v>0</v>
      </c>
      <c r="K168" s="13">
        <v>0</v>
      </c>
      <c r="L168" s="13">
        <v>988357.5</v>
      </c>
      <c r="M168" s="13">
        <v>68300.73</v>
      </c>
      <c r="N168" s="13">
        <v>0</v>
      </c>
      <c r="O168" s="13">
        <v>0</v>
      </c>
      <c r="P168" s="13">
        <v>579880.12</v>
      </c>
      <c r="Q168" s="13">
        <v>16875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533"/>
    </row>
    <row r="169" spans="1:24" x14ac:dyDescent="0.35">
      <c r="A169" s="37" t="str">
        <f>_xlfn.XLOOKUP(B169,master!B:B,master!A:A)</f>
        <v>Advertising and sales promotion expense</v>
      </c>
      <c r="B169" s="50" t="s">
        <v>578</v>
      </c>
      <c r="C169" s="13"/>
      <c r="D169" s="13"/>
      <c r="E169" s="13"/>
      <c r="F169" s="13"/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16073.88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533"/>
    </row>
    <row r="170" spans="1:24" x14ac:dyDescent="0.35">
      <c r="A170" s="37" t="str">
        <f>_xlfn.XLOOKUP(B170,master!B:B,master!A:A)</f>
        <v>Other Administrative Expenses</v>
      </c>
      <c r="B170" s="50" t="s">
        <v>711</v>
      </c>
      <c r="C170" s="13"/>
      <c r="D170" s="13"/>
      <c r="E170" s="13"/>
      <c r="F170" s="13"/>
      <c r="G170" s="13">
        <v>0</v>
      </c>
      <c r="H170" s="13">
        <v>26071.59</v>
      </c>
      <c r="I170" s="13">
        <v>0</v>
      </c>
      <c r="J170" s="13">
        <v>0</v>
      </c>
      <c r="K170" s="13">
        <v>0</v>
      </c>
      <c r="L170" s="13">
        <v>0</v>
      </c>
      <c r="M170" s="13">
        <v>1328.06</v>
      </c>
      <c r="N170" s="13">
        <v>0</v>
      </c>
      <c r="O170" s="13">
        <v>0</v>
      </c>
      <c r="P170" s="13">
        <v>0</v>
      </c>
      <c r="Q170" s="13">
        <v>0</v>
      </c>
      <c r="R170" s="13">
        <v>8108.17</v>
      </c>
      <c r="S170" s="13">
        <v>6677.23</v>
      </c>
      <c r="T170" s="13">
        <v>0</v>
      </c>
      <c r="U170" s="13">
        <v>238.55</v>
      </c>
      <c r="V170" s="13">
        <v>0</v>
      </c>
      <c r="W170" s="13">
        <v>3328.58</v>
      </c>
      <c r="X170" s="533"/>
    </row>
    <row r="171" spans="1:24" x14ac:dyDescent="0.35">
      <c r="A171" s="37" t="str">
        <f>_xlfn.XLOOKUP(B171,master!B:B,master!A:A)</f>
        <v>Freight Outward and C &amp; F Charges</v>
      </c>
      <c r="B171" s="50" t="s">
        <v>386</v>
      </c>
      <c r="C171" s="13"/>
      <c r="D171" s="13"/>
      <c r="E171" s="13"/>
      <c r="F171" s="13"/>
      <c r="G171" s="13">
        <v>0</v>
      </c>
      <c r="H171" s="13">
        <v>-3234205.41</v>
      </c>
      <c r="I171" s="13">
        <v>0</v>
      </c>
      <c r="J171" s="13">
        <v>0</v>
      </c>
      <c r="K171" s="13">
        <v>0</v>
      </c>
      <c r="L171" s="13">
        <v>0</v>
      </c>
      <c r="M171" s="13">
        <v>-12961022.74</v>
      </c>
      <c r="N171" s="13">
        <v>0</v>
      </c>
      <c r="O171" s="13">
        <v>0</v>
      </c>
      <c r="P171" s="13">
        <v>-66500</v>
      </c>
      <c r="Q171" s="13">
        <v>0</v>
      </c>
      <c r="R171" s="13">
        <v>-154937.5</v>
      </c>
      <c r="S171" s="13">
        <v>-3047853.25</v>
      </c>
      <c r="T171" s="13">
        <v>0</v>
      </c>
      <c r="U171" s="13">
        <v>-1.25</v>
      </c>
      <c r="V171" s="13">
        <v>0</v>
      </c>
      <c r="W171" s="13">
        <v>0</v>
      </c>
      <c r="X171" s="533"/>
    </row>
    <row r="172" spans="1:24" x14ac:dyDescent="0.35">
      <c r="A172" s="37" t="str">
        <f>_xlfn.XLOOKUP(B172,master!B:B,master!A:A)</f>
        <v>Freight Outward and C &amp; F Charges</v>
      </c>
      <c r="B172" s="50" t="s">
        <v>387</v>
      </c>
      <c r="C172" s="13"/>
      <c r="D172" s="13"/>
      <c r="E172" s="13"/>
      <c r="F172" s="13"/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507600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533"/>
    </row>
    <row r="173" spans="1:24" x14ac:dyDescent="0.35">
      <c r="A173" s="37" t="str">
        <f>_xlfn.XLOOKUP(B173,master!B:B,master!A:A)</f>
        <v>Freight Outward and C &amp; F Charges</v>
      </c>
      <c r="B173" s="50" t="s">
        <v>388</v>
      </c>
      <c r="C173" s="13"/>
      <c r="D173" s="13"/>
      <c r="E173" s="13"/>
      <c r="F173" s="13"/>
      <c r="G173" s="13">
        <v>0</v>
      </c>
      <c r="H173" s="13">
        <v>912650</v>
      </c>
      <c r="I173" s="13">
        <v>0</v>
      </c>
      <c r="J173" s="13">
        <v>0</v>
      </c>
      <c r="K173" s="13">
        <v>0</v>
      </c>
      <c r="L173" s="13">
        <v>164930</v>
      </c>
      <c r="M173" s="13">
        <v>845000</v>
      </c>
      <c r="N173" s="13">
        <v>0</v>
      </c>
      <c r="O173" s="13">
        <v>0</v>
      </c>
      <c r="P173" s="13">
        <v>0</v>
      </c>
      <c r="Q173" s="13">
        <v>35000</v>
      </c>
      <c r="R173" s="13">
        <v>0</v>
      </c>
      <c r="S173" s="13">
        <v>4600</v>
      </c>
      <c r="T173" s="13">
        <v>0</v>
      </c>
      <c r="U173" s="13">
        <v>0</v>
      </c>
      <c r="V173" s="13">
        <v>0</v>
      </c>
      <c r="W173" s="13">
        <v>0</v>
      </c>
      <c r="X173" s="533"/>
    </row>
    <row r="174" spans="1:24" x14ac:dyDescent="0.35">
      <c r="A174" s="37" t="str">
        <f>_xlfn.XLOOKUP(B174,master!B:B,master!A:A)</f>
        <v>Freight Outward and C &amp; F Charges</v>
      </c>
      <c r="B174" s="50" t="s">
        <v>389</v>
      </c>
      <c r="C174" s="13"/>
      <c r="D174" s="13"/>
      <c r="E174" s="13"/>
      <c r="F174" s="13"/>
      <c r="G174" s="13">
        <v>0</v>
      </c>
      <c r="H174" s="13">
        <v>2720846.53</v>
      </c>
      <c r="I174" s="13">
        <v>0</v>
      </c>
      <c r="J174" s="13">
        <v>0</v>
      </c>
      <c r="K174" s="13">
        <v>0</v>
      </c>
      <c r="L174" s="13">
        <v>0</v>
      </c>
      <c r="M174" s="13">
        <v>3005998.72</v>
      </c>
      <c r="N174" s="13">
        <v>0</v>
      </c>
      <c r="O174" s="13">
        <v>0</v>
      </c>
      <c r="P174" s="13">
        <v>0</v>
      </c>
      <c r="Q174" s="13">
        <v>0</v>
      </c>
      <c r="R174" s="13">
        <v>3860830.46</v>
      </c>
      <c r="S174" s="13">
        <v>3787500.04</v>
      </c>
      <c r="T174" s="13">
        <v>0</v>
      </c>
      <c r="U174" s="13">
        <v>1297265.6399999999</v>
      </c>
      <c r="V174" s="13">
        <v>0</v>
      </c>
      <c r="W174" s="13">
        <v>2234829.41</v>
      </c>
      <c r="X174" s="533"/>
    </row>
    <row r="175" spans="1:24" x14ac:dyDescent="0.35">
      <c r="A175" s="37" t="str">
        <f>_xlfn.XLOOKUP(B175,master!B:B,master!A:A)</f>
        <v>Freight Outward and C &amp; F Charges</v>
      </c>
      <c r="B175" s="50" t="s">
        <v>390</v>
      </c>
      <c r="C175" s="13"/>
      <c r="D175" s="13"/>
      <c r="E175" s="13"/>
      <c r="F175" s="13"/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834317</v>
      </c>
      <c r="S175" s="13">
        <v>660250</v>
      </c>
      <c r="T175" s="13">
        <v>0</v>
      </c>
      <c r="U175" s="13">
        <v>20000</v>
      </c>
      <c r="V175" s="13">
        <v>0</v>
      </c>
      <c r="W175" s="13">
        <v>0</v>
      </c>
      <c r="X175" s="533"/>
    </row>
    <row r="176" spans="1:24" x14ac:dyDescent="0.35">
      <c r="A176" s="37" t="str">
        <f>_xlfn.XLOOKUP(B176,master!B:B,master!A:A)</f>
        <v>Other Administrative Expenses</v>
      </c>
      <c r="B176" s="50" t="s">
        <v>391</v>
      </c>
      <c r="C176" s="13"/>
      <c r="D176" s="13"/>
      <c r="E176" s="13"/>
      <c r="F176" s="13"/>
      <c r="G176" s="13">
        <v>0</v>
      </c>
      <c r="H176" s="13">
        <v>56550</v>
      </c>
      <c r="I176" s="13">
        <v>4500</v>
      </c>
      <c r="J176" s="13">
        <v>0</v>
      </c>
      <c r="K176" s="13">
        <v>0</v>
      </c>
      <c r="L176" s="13">
        <v>0</v>
      </c>
      <c r="M176" s="13">
        <v>23800</v>
      </c>
      <c r="N176" s="13">
        <v>0</v>
      </c>
      <c r="O176" s="13">
        <v>0</v>
      </c>
      <c r="P176" s="13">
        <v>7600</v>
      </c>
      <c r="Q176" s="13">
        <v>0</v>
      </c>
      <c r="R176" s="13">
        <v>42750</v>
      </c>
      <c r="S176" s="13">
        <v>18700</v>
      </c>
      <c r="T176" s="13">
        <v>0</v>
      </c>
      <c r="U176" s="13">
        <v>48220</v>
      </c>
      <c r="V176" s="13">
        <v>2000</v>
      </c>
      <c r="W176" s="13">
        <v>17100</v>
      </c>
      <c r="X176" s="533"/>
    </row>
    <row r="177" spans="1:24" x14ac:dyDescent="0.35">
      <c r="A177" s="37" t="str">
        <f>_xlfn.XLOOKUP(B177,master!B:B,master!A:A)</f>
        <v>Freight Outward and C &amp; F Charges</v>
      </c>
      <c r="B177" s="50" t="s">
        <v>687</v>
      </c>
      <c r="C177" s="13"/>
      <c r="D177" s="13"/>
      <c r="E177" s="13"/>
      <c r="F177" s="13"/>
      <c r="G177" s="13">
        <v>0</v>
      </c>
      <c r="H177" s="13">
        <v>63027.199999999997</v>
      </c>
      <c r="I177" s="13">
        <v>0</v>
      </c>
      <c r="J177" s="13">
        <v>0</v>
      </c>
      <c r="K177" s="13">
        <v>0</v>
      </c>
      <c r="L177" s="13">
        <v>0</v>
      </c>
      <c r="M177" s="13">
        <v>11457.6</v>
      </c>
      <c r="N177" s="13">
        <v>0</v>
      </c>
      <c r="O177" s="13">
        <v>0</v>
      </c>
      <c r="P177" s="13">
        <v>10706</v>
      </c>
      <c r="Q177" s="13">
        <v>0</v>
      </c>
      <c r="R177" s="13">
        <v>6985.81</v>
      </c>
      <c r="S177" s="13">
        <v>14700</v>
      </c>
      <c r="T177" s="13">
        <v>0</v>
      </c>
      <c r="U177" s="13">
        <v>0</v>
      </c>
      <c r="V177" s="13">
        <v>0</v>
      </c>
      <c r="W177" s="13">
        <v>120281.4</v>
      </c>
      <c r="X177" s="533"/>
    </row>
    <row r="178" spans="1:24" x14ac:dyDescent="0.35">
      <c r="A178" s="37" t="str">
        <f>_xlfn.XLOOKUP(B178,master!B:B,master!A:A)</f>
        <v>Insurance</v>
      </c>
      <c r="B178" s="50" t="s">
        <v>392</v>
      </c>
      <c r="C178" s="13"/>
      <c r="D178" s="13"/>
      <c r="E178" s="13"/>
      <c r="F178" s="13"/>
      <c r="G178" s="13">
        <v>0</v>
      </c>
      <c r="H178" s="13">
        <v>221318</v>
      </c>
      <c r="I178" s="13">
        <v>0</v>
      </c>
      <c r="J178" s="13">
        <v>0</v>
      </c>
      <c r="K178" s="13">
        <v>0</v>
      </c>
      <c r="L178" s="13">
        <v>0</v>
      </c>
      <c r="M178" s="13">
        <v>776350.38</v>
      </c>
      <c r="N178" s="13">
        <v>0</v>
      </c>
      <c r="O178" s="13">
        <v>0</v>
      </c>
      <c r="P178" s="13">
        <v>0</v>
      </c>
      <c r="Q178" s="13">
        <v>0</v>
      </c>
      <c r="R178" s="13">
        <v>357889.21</v>
      </c>
      <c r="S178" s="13">
        <v>0</v>
      </c>
      <c r="T178" s="13">
        <v>0</v>
      </c>
      <c r="U178" s="13">
        <v>0</v>
      </c>
      <c r="V178" s="13">
        <v>0</v>
      </c>
      <c r="W178" s="13">
        <v>283405</v>
      </c>
      <c r="X178" s="533"/>
    </row>
    <row r="179" spans="1:24" x14ac:dyDescent="0.35">
      <c r="A179" s="37" t="str">
        <f>_xlfn.XLOOKUP(B179,master!B:B,master!A:A)</f>
        <v>Insurance</v>
      </c>
      <c r="B179" s="50" t="s">
        <v>393</v>
      </c>
      <c r="C179" s="13"/>
      <c r="D179" s="13"/>
      <c r="E179" s="13"/>
      <c r="F179" s="13"/>
      <c r="G179" s="13">
        <v>0</v>
      </c>
      <c r="H179" s="13">
        <v>-22608.02</v>
      </c>
      <c r="I179" s="13">
        <v>0</v>
      </c>
      <c r="J179" s="13">
        <v>0</v>
      </c>
      <c r="K179" s="13">
        <v>0</v>
      </c>
      <c r="L179" s="13">
        <v>0</v>
      </c>
      <c r="M179" s="13">
        <v>-29971.56</v>
      </c>
      <c r="N179" s="13">
        <v>0</v>
      </c>
      <c r="O179" s="13">
        <v>0</v>
      </c>
      <c r="P179" s="13">
        <v>-2620.5300000000002</v>
      </c>
      <c r="Q179" s="13">
        <v>0</v>
      </c>
      <c r="R179" s="13">
        <v>0</v>
      </c>
      <c r="S179" s="13">
        <v>-13741.96</v>
      </c>
      <c r="T179" s="13">
        <v>0</v>
      </c>
      <c r="U179" s="13">
        <v>0</v>
      </c>
      <c r="V179" s="13">
        <v>0</v>
      </c>
      <c r="W179" s="13">
        <v>0</v>
      </c>
      <c r="X179" s="533"/>
    </row>
    <row r="180" spans="1:24" x14ac:dyDescent="0.35">
      <c r="A180" s="37" t="str">
        <f>_xlfn.XLOOKUP(B180,master!B:B,master!A:A)</f>
        <v>Sale of Finished Goods</v>
      </c>
      <c r="B180" s="50" t="s">
        <v>394</v>
      </c>
      <c r="C180" s="13"/>
      <c r="D180" s="13"/>
      <c r="E180" s="13"/>
      <c r="F180" s="13"/>
      <c r="G180" s="13">
        <v>0</v>
      </c>
      <c r="H180" s="13">
        <v>-0.34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1.46</v>
      </c>
      <c r="R180" s="13">
        <v>0.88</v>
      </c>
      <c r="S180" s="13">
        <v>0</v>
      </c>
      <c r="T180" s="13">
        <v>0</v>
      </c>
      <c r="U180" s="13">
        <v>1.25</v>
      </c>
      <c r="V180" s="13">
        <v>0</v>
      </c>
      <c r="W180" s="13">
        <v>0</v>
      </c>
      <c r="X180" s="533"/>
    </row>
    <row r="181" spans="1:24" x14ac:dyDescent="0.35">
      <c r="A181" s="37" t="str">
        <f>_xlfn.XLOOKUP(B181,master!B:B,master!A:A)</f>
        <v>Advertising and sales promotion expense</v>
      </c>
      <c r="B181" s="50" t="s">
        <v>579</v>
      </c>
      <c r="C181" s="13"/>
      <c r="D181" s="13"/>
      <c r="E181" s="13"/>
      <c r="F181" s="13"/>
      <c r="G181" s="13">
        <v>0</v>
      </c>
      <c r="H181" s="13">
        <v>301670.3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533"/>
    </row>
    <row r="182" spans="1:24" x14ac:dyDescent="0.35">
      <c r="A182" s="37" t="str">
        <f>_xlfn.XLOOKUP(B182,master!B:B,master!A:A)</f>
        <v>Advertising and sales promotion expense</v>
      </c>
      <c r="B182" s="50" t="s">
        <v>580</v>
      </c>
      <c r="C182" s="13"/>
      <c r="D182" s="13"/>
      <c r="E182" s="13"/>
      <c r="F182" s="13"/>
      <c r="G182" s="13">
        <v>0</v>
      </c>
      <c r="H182" s="13">
        <v>3175645.72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533"/>
    </row>
    <row r="183" spans="1:24" x14ac:dyDescent="0.35">
      <c r="A183" s="37" t="str">
        <f>_xlfn.XLOOKUP(B183,master!B:B,master!A:A)</f>
        <v>Advertising and sales promotion expense</v>
      </c>
      <c r="B183" s="50" t="s">
        <v>395</v>
      </c>
      <c r="C183" s="13"/>
      <c r="D183" s="13"/>
      <c r="E183" s="13"/>
      <c r="F183" s="13"/>
      <c r="G183" s="13">
        <v>38207</v>
      </c>
      <c r="H183" s="13">
        <v>33500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37526</v>
      </c>
      <c r="W183" s="13">
        <v>0</v>
      </c>
      <c r="X183" s="533"/>
    </row>
    <row r="184" spans="1:24" x14ac:dyDescent="0.35">
      <c r="A184" s="37" t="str">
        <f>_xlfn.XLOOKUP(B184,master!B:B,master!A:A)</f>
        <v>Travelling expense</v>
      </c>
      <c r="B184" s="50" t="s">
        <v>396</v>
      </c>
      <c r="C184" s="13"/>
      <c r="D184" s="13"/>
      <c r="E184" s="13"/>
      <c r="F184" s="13"/>
      <c r="G184" s="13">
        <v>0</v>
      </c>
      <c r="H184" s="13">
        <v>292325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12504</v>
      </c>
      <c r="S184" s="13">
        <v>0</v>
      </c>
      <c r="T184" s="13">
        <v>0</v>
      </c>
      <c r="U184" s="13">
        <v>0</v>
      </c>
      <c r="V184" s="13">
        <v>373722.72</v>
      </c>
      <c r="W184" s="13">
        <v>0</v>
      </c>
      <c r="X184" s="533"/>
    </row>
    <row r="185" spans="1:24" x14ac:dyDescent="0.35">
      <c r="A185" s="37" t="str">
        <f>_xlfn.XLOOKUP(B185,master!B:B,master!A:A)</f>
        <v>Export incentives</v>
      </c>
      <c r="B185" s="50" t="s">
        <v>581</v>
      </c>
      <c r="C185" s="13"/>
      <c r="D185" s="13"/>
      <c r="E185" s="13"/>
      <c r="F185" s="13"/>
      <c r="G185" s="13">
        <v>0</v>
      </c>
      <c r="H185" s="13">
        <v>-21065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533"/>
    </row>
    <row r="186" spans="1:24" x14ac:dyDescent="0.35">
      <c r="A186" s="37" t="str">
        <f>_xlfn.XLOOKUP(B186,master!B:B,master!A:A)</f>
        <v>Sale of Finished Goods</v>
      </c>
      <c r="B186" s="50" t="s">
        <v>397</v>
      </c>
      <c r="C186" s="13"/>
      <c r="D186" s="13"/>
      <c r="E186" s="13"/>
      <c r="F186" s="13"/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-1244533</v>
      </c>
      <c r="R186" s="13">
        <v>-88955432.170000002</v>
      </c>
      <c r="S186" s="13">
        <v>-9223371.6500000004</v>
      </c>
      <c r="T186" s="13">
        <v>0</v>
      </c>
      <c r="U186" s="13">
        <v>-3580103.28</v>
      </c>
      <c r="V186" s="13">
        <v>0</v>
      </c>
      <c r="W186" s="13">
        <v>-21756070.149999999</v>
      </c>
      <c r="X186" s="533"/>
    </row>
    <row r="187" spans="1:24" x14ac:dyDescent="0.35">
      <c r="A187" s="37" t="str">
        <f>_xlfn.XLOOKUP(B187,master!B:B,master!A:A)</f>
        <v>Sale of Finished Goods</v>
      </c>
      <c r="B187" s="50" t="s">
        <v>398</v>
      </c>
      <c r="C187" s="13"/>
      <c r="D187" s="13"/>
      <c r="E187" s="13"/>
      <c r="F187" s="13"/>
      <c r="G187" s="13">
        <v>0</v>
      </c>
      <c r="H187" s="13">
        <v>-1525800</v>
      </c>
      <c r="I187" s="13">
        <v>-731585</v>
      </c>
      <c r="J187" s="13">
        <v>0</v>
      </c>
      <c r="K187" s="13">
        <v>0</v>
      </c>
      <c r="L187" s="13">
        <v>0</v>
      </c>
      <c r="M187" s="13">
        <v>-5535434</v>
      </c>
      <c r="N187" s="13">
        <v>0</v>
      </c>
      <c r="O187" s="13">
        <v>0</v>
      </c>
      <c r="P187" s="13">
        <v>0</v>
      </c>
      <c r="Q187" s="13">
        <v>-16822442.199999999</v>
      </c>
      <c r="R187" s="13">
        <v>-13714212</v>
      </c>
      <c r="S187" s="13">
        <v>-1078476</v>
      </c>
      <c r="T187" s="13">
        <v>0</v>
      </c>
      <c r="U187" s="13">
        <v>0</v>
      </c>
      <c r="V187" s="13">
        <v>0</v>
      </c>
      <c r="W187" s="13">
        <v>-2743620</v>
      </c>
      <c r="X187" s="533"/>
    </row>
    <row r="188" spans="1:24" x14ac:dyDescent="0.35">
      <c r="A188" s="37" t="str">
        <f>_xlfn.XLOOKUP(B188,master!B:B,master!A:A)</f>
        <v>Sale of finished goods</v>
      </c>
      <c r="B188" s="50" t="s">
        <v>718</v>
      </c>
      <c r="C188" s="13"/>
      <c r="D188" s="13"/>
      <c r="E188" s="13"/>
      <c r="F188" s="13"/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-13766162.76</v>
      </c>
      <c r="S188" s="13">
        <v>0</v>
      </c>
      <c r="T188" s="13">
        <v>0</v>
      </c>
      <c r="U188" s="13">
        <v>-22495679.399999999</v>
      </c>
      <c r="V188" s="13">
        <v>0</v>
      </c>
      <c r="W188" s="13">
        <v>0</v>
      </c>
      <c r="X188" s="533"/>
    </row>
    <row r="189" spans="1:24" x14ac:dyDescent="0.35">
      <c r="A189" s="37" t="str">
        <f>_xlfn.XLOOKUP(B189,master!B:B,master!A:A)</f>
        <v>Sale of finished goods</v>
      </c>
      <c r="B189" s="50" t="s">
        <v>399</v>
      </c>
      <c r="C189" s="13"/>
      <c r="D189" s="13"/>
      <c r="E189" s="13"/>
      <c r="F189" s="13"/>
      <c r="G189" s="13">
        <v>0</v>
      </c>
      <c r="H189" s="13">
        <v>-190124849.97</v>
      </c>
      <c r="I189" s="13">
        <v>-3036115.7</v>
      </c>
      <c r="J189" s="13">
        <v>0</v>
      </c>
      <c r="K189" s="13">
        <v>-20253113.379999999</v>
      </c>
      <c r="L189" s="13">
        <v>0</v>
      </c>
      <c r="M189" s="13">
        <v>-162624125.47</v>
      </c>
      <c r="N189" s="13">
        <v>0</v>
      </c>
      <c r="O189" s="13">
        <v>0</v>
      </c>
      <c r="P189" s="13">
        <v>0</v>
      </c>
      <c r="Q189" s="13">
        <v>0</v>
      </c>
      <c r="R189" s="13">
        <v>-216039772.56999999</v>
      </c>
      <c r="S189" s="13">
        <v>-97143071.180000007</v>
      </c>
      <c r="T189" s="13">
        <v>0</v>
      </c>
      <c r="U189" s="13">
        <v>-43716157.490000002</v>
      </c>
      <c r="V189" s="13">
        <v>0</v>
      </c>
      <c r="W189" s="13">
        <v>-72580302.769999996</v>
      </c>
      <c r="X189" s="533"/>
    </row>
    <row r="190" spans="1:24" x14ac:dyDescent="0.35">
      <c r="A190" s="37" t="str">
        <f>_xlfn.XLOOKUP(B190,master!B:B,master!A:A)</f>
        <v>Sale of Finished Goods</v>
      </c>
      <c r="B190" s="50" t="s">
        <v>401</v>
      </c>
      <c r="C190" s="13"/>
      <c r="D190" s="13"/>
      <c r="E190" s="13"/>
      <c r="F190" s="13"/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-153689335.13999999</v>
      </c>
      <c r="N190" s="13">
        <v>0</v>
      </c>
      <c r="O190" s="13">
        <v>0</v>
      </c>
      <c r="P190" s="13">
        <v>0</v>
      </c>
      <c r="Q190" s="13">
        <v>0</v>
      </c>
      <c r="R190" s="13">
        <v>-22772292.609999999</v>
      </c>
      <c r="S190" s="13">
        <v>-86982041.829999998</v>
      </c>
      <c r="T190" s="13">
        <v>0</v>
      </c>
      <c r="U190" s="13">
        <v>-10325489.640000001</v>
      </c>
      <c r="V190" s="13">
        <v>0</v>
      </c>
      <c r="W190" s="13">
        <v>-2963960.18</v>
      </c>
      <c r="X190" s="533"/>
    </row>
    <row r="191" spans="1:24" x14ac:dyDescent="0.35">
      <c r="A191" s="37" t="str">
        <f>_xlfn.XLOOKUP(B191,master!B:B,master!A:A)</f>
        <v>Sale of Finished Goods</v>
      </c>
      <c r="B191" s="50" t="s">
        <v>684</v>
      </c>
      <c r="C191" s="13"/>
      <c r="D191" s="13"/>
      <c r="E191" s="13"/>
      <c r="F191" s="13"/>
      <c r="G191" s="13">
        <v>0</v>
      </c>
      <c r="H191" s="13">
        <v>-199709848.69999999</v>
      </c>
      <c r="I191" s="13">
        <v>0</v>
      </c>
      <c r="J191" s="13">
        <v>0</v>
      </c>
      <c r="K191" s="13">
        <v>0</v>
      </c>
      <c r="L191" s="13">
        <v>0</v>
      </c>
      <c r="M191" s="13">
        <v>-55162588.039999999</v>
      </c>
      <c r="N191" s="13">
        <v>0</v>
      </c>
      <c r="O191" s="13">
        <v>0</v>
      </c>
      <c r="P191" s="13">
        <v>0</v>
      </c>
      <c r="Q191" s="13">
        <v>0</v>
      </c>
      <c r="R191" s="13">
        <v>-119341311.94</v>
      </c>
      <c r="S191" s="13">
        <v>0</v>
      </c>
      <c r="T191" s="13">
        <v>0</v>
      </c>
      <c r="U191" s="13">
        <v>-132962641.59</v>
      </c>
      <c r="V191" s="13">
        <v>0</v>
      </c>
      <c r="W191" s="13">
        <v>-47680453.049999997</v>
      </c>
      <c r="X191" s="533"/>
    </row>
    <row r="192" spans="1:24" x14ac:dyDescent="0.35">
      <c r="A192" s="37" t="str">
        <f>_xlfn.XLOOKUP(B192,master!B:B,master!A:A)</f>
        <v>Income from Jobwork charges</v>
      </c>
      <c r="B192" s="50" t="s">
        <v>402</v>
      </c>
      <c r="C192" s="13"/>
      <c r="D192" s="13"/>
      <c r="E192" s="13"/>
      <c r="F192" s="13"/>
      <c r="G192" s="13">
        <v>0</v>
      </c>
      <c r="H192" s="13">
        <v>-5460860.9000000004</v>
      </c>
      <c r="I192" s="13">
        <v>0</v>
      </c>
      <c r="J192" s="13">
        <v>0</v>
      </c>
      <c r="K192" s="13">
        <v>0</v>
      </c>
      <c r="L192" s="13">
        <v>0</v>
      </c>
      <c r="M192" s="13">
        <v>-5117576.01</v>
      </c>
      <c r="N192" s="13">
        <v>0</v>
      </c>
      <c r="O192" s="13">
        <v>0</v>
      </c>
      <c r="P192" s="13">
        <v>0</v>
      </c>
      <c r="Q192" s="13">
        <v>-30175223.73</v>
      </c>
      <c r="R192" s="13">
        <v>-13836163.33</v>
      </c>
      <c r="S192" s="13">
        <v>-19636106.329999998</v>
      </c>
      <c r="T192" s="13">
        <v>0</v>
      </c>
      <c r="U192" s="13">
        <v>0</v>
      </c>
      <c r="V192" s="13">
        <v>0</v>
      </c>
      <c r="W192" s="13">
        <v>-32472651.73</v>
      </c>
      <c r="X192" s="533"/>
    </row>
    <row r="193" spans="1:24" x14ac:dyDescent="0.35">
      <c r="A193" s="37" t="str">
        <f>_xlfn.XLOOKUP(B193,master!B:B,master!A:A)</f>
        <v>Rent Income</v>
      </c>
      <c r="B193" s="50" t="s">
        <v>403</v>
      </c>
      <c r="C193" s="13"/>
      <c r="D193" s="13"/>
      <c r="E193" s="13"/>
      <c r="F193" s="13"/>
      <c r="G193" s="13">
        <v>-90000</v>
      </c>
      <c r="H193" s="13">
        <v>-48000</v>
      </c>
      <c r="I193" s="13">
        <v>0</v>
      </c>
      <c r="J193" s="13">
        <v>0</v>
      </c>
      <c r="K193" s="13">
        <v>0</v>
      </c>
      <c r="L193" s="13">
        <v>0</v>
      </c>
      <c r="M193" s="13">
        <v>200000</v>
      </c>
      <c r="N193" s="13">
        <v>0</v>
      </c>
      <c r="O193" s="13">
        <v>0</v>
      </c>
      <c r="P193" s="13">
        <v>0</v>
      </c>
      <c r="Q193" s="13">
        <v>0</v>
      </c>
      <c r="R193" s="13">
        <v>-468026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533"/>
    </row>
    <row r="194" spans="1:24" x14ac:dyDescent="0.35">
      <c r="A194" s="37" t="str">
        <f>_xlfn.XLOOKUP(B194,master!B:B,master!A:A)</f>
        <v>Sale of traded goods</v>
      </c>
      <c r="B194" s="50" t="s">
        <v>582</v>
      </c>
      <c r="C194" s="13"/>
      <c r="D194" s="13"/>
      <c r="E194" s="13"/>
      <c r="F194" s="13"/>
      <c r="G194" s="13">
        <v>0</v>
      </c>
      <c r="H194" s="13">
        <v>-52708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-16901.919999999998</v>
      </c>
      <c r="V194" s="13">
        <v>0</v>
      </c>
      <c r="W194" s="13">
        <v>0</v>
      </c>
      <c r="X194" s="533"/>
    </row>
    <row r="195" spans="1:24" x14ac:dyDescent="0.35">
      <c r="A195" s="37" t="str">
        <f>_xlfn.XLOOKUP(B195,master!B:B,master!A:A)</f>
        <v>Sale of Finished Goods</v>
      </c>
      <c r="B195" s="50" t="s">
        <v>404</v>
      </c>
      <c r="C195" s="13"/>
      <c r="D195" s="13"/>
      <c r="E195" s="13"/>
      <c r="F195" s="13"/>
      <c r="G195" s="13">
        <v>0</v>
      </c>
      <c r="H195" s="13">
        <v>-2836416.86</v>
      </c>
      <c r="I195" s="13">
        <v>-92273</v>
      </c>
      <c r="J195" s="13">
        <v>0</v>
      </c>
      <c r="K195" s="13">
        <v>-21093304.379999999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-19046303.57</v>
      </c>
      <c r="S195" s="13">
        <v>-12710962.140000001</v>
      </c>
      <c r="T195" s="13">
        <v>0</v>
      </c>
      <c r="U195" s="13">
        <v>-899615.12</v>
      </c>
      <c r="V195" s="13">
        <v>0</v>
      </c>
      <c r="W195" s="13">
        <v>0</v>
      </c>
      <c r="X195" s="533"/>
    </row>
    <row r="196" spans="1:24" x14ac:dyDescent="0.35">
      <c r="A196" s="37" t="str">
        <f>_xlfn.XLOOKUP(B196,master!B:B,master!A:A)</f>
        <v>Sale of Traded Goods</v>
      </c>
      <c r="B196" s="50" t="s">
        <v>405</v>
      </c>
      <c r="C196" s="13"/>
      <c r="D196" s="13"/>
      <c r="E196" s="13"/>
      <c r="F196" s="13"/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-48280.4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533"/>
    </row>
    <row r="197" spans="1:24" x14ac:dyDescent="0.35">
      <c r="A197" s="37" t="str">
        <f>_xlfn.XLOOKUP(B197,master!B:B,master!A:A)</f>
        <v>Sale of Traded Goods</v>
      </c>
      <c r="B197" s="50" t="s">
        <v>406</v>
      </c>
      <c r="C197" s="13"/>
      <c r="D197" s="13"/>
      <c r="E197" s="13"/>
      <c r="F197" s="13"/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-24071221.050000001</v>
      </c>
      <c r="S197" s="13">
        <v>-4485725.0599999996</v>
      </c>
      <c r="T197" s="13">
        <v>0</v>
      </c>
      <c r="U197" s="13">
        <v>-15600</v>
      </c>
      <c r="V197" s="13">
        <v>0</v>
      </c>
      <c r="W197" s="13">
        <v>0</v>
      </c>
      <c r="X197" s="533"/>
    </row>
    <row r="198" spans="1:24" x14ac:dyDescent="0.35">
      <c r="A198" s="37" t="str">
        <f>_xlfn.XLOOKUP(B198,master!B:B,master!A:A)</f>
        <v>Sale of Traded Goods</v>
      </c>
      <c r="B198" s="50" t="s">
        <v>407</v>
      </c>
      <c r="C198" s="13"/>
      <c r="D198" s="13"/>
      <c r="E198" s="13"/>
      <c r="F198" s="13"/>
      <c r="G198" s="13">
        <v>-322383200</v>
      </c>
      <c r="H198" s="13">
        <v>0</v>
      </c>
      <c r="I198" s="13">
        <v>0</v>
      </c>
      <c r="J198" s="13">
        <v>0</v>
      </c>
      <c r="K198" s="13">
        <v>0</v>
      </c>
      <c r="L198" s="13">
        <v>-141349600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-25095750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533"/>
    </row>
    <row r="199" spans="1:24" x14ac:dyDescent="0.35">
      <c r="A199" s="37" t="str">
        <f>_xlfn.XLOOKUP(B199,master!B:B,master!A:A)</f>
        <v>Sale of Traded Goods</v>
      </c>
      <c r="B199" s="50" t="s">
        <v>408</v>
      </c>
      <c r="C199" s="13"/>
      <c r="D199" s="13"/>
      <c r="E199" s="13"/>
      <c r="F199" s="13"/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-60900</v>
      </c>
      <c r="N199" s="13">
        <v>0</v>
      </c>
      <c r="O199" s="13">
        <v>0</v>
      </c>
      <c r="P199" s="13">
        <v>0</v>
      </c>
      <c r="Q199" s="13">
        <v>0</v>
      </c>
      <c r="R199" s="13">
        <v>-4145642</v>
      </c>
      <c r="S199" s="13">
        <v>-394739.88</v>
      </c>
      <c r="T199" s="13">
        <v>0</v>
      </c>
      <c r="U199" s="13">
        <v>-1780</v>
      </c>
      <c r="V199" s="13">
        <v>0</v>
      </c>
      <c r="W199" s="13">
        <v>0</v>
      </c>
      <c r="X199" s="533"/>
    </row>
    <row r="200" spans="1:24" x14ac:dyDescent="0.35">
      <c r="A200" s="37" t="str">
        <f>_xlfn.XLOOKUP(B200,master!B:B,master!A:A)</f>
        <v>Sale of traded goods</v>
      </c>
      <c r="B200" s="50" t="s">
        <v>409</v>
      </c>
      <c r="C200" s="13"/>
      <c r="D200" s="13"/>
      <c r="E200" s="13"/>
      <c r="F200" s="13"/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-75520606.120000005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533"/>
    </row>
    <row r="201" spans="1:24" x14ac:dyDescent="0.35">
      <c r="A201" s="37" t="str">
        <f>_xlfn.XLOOKUP(B201,master!B:B,master!A:A)</f>
        <v>Sale of traded goods</v>
      </c>
      <c r="B201" s="50" t="s">
        <v>410</v>
      </c>
      <c r="C201" s="13"/>
      <c r="D201" s="13"/>
      <c r="E201" s="13"/>
      <c r="F201" s="13"/>
      <c r="G201" s="13">
        <v>0</v>
      </c>
      <c r="H201" s="13">
        <v>-69712182.689999998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-109653554.41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-4876506.24</v>
      </c>
      <c r="W201" s="13">
        <v>-36388072.600000001</v>
      </c>
      <c r="X201" s="533"/>
    </row>
    <row r="202" spans="1:24" x14ac:dyDescent="0.35">
      <c r="A202" s="37" t="str">
        <f>_xlfn.XLOOKUP(B202,master!B:B,master!A:A)</f>
        <v>Sale of Traded Goods</v>
      </c>
      <c r="B202" s="50" t="s">
        <v>411</v>
      </c>
      <c r="C202" s="13"/>
      <c r="D202" s="13"/>
      <c r="E202" s="13"/>
      <c r="F202" s="13"/>
      <c r="G202" s="13">
        <v>-3060000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-1274150.2</v>
      </c>
      <c r="T202" s="13">
        <v>0</v>
      </c>
      <c r="U202" s="13">
        <v>0</v>
      </c>
      <c r="V202" s="13">
        <v>0</v>
      </c>
      <c r="W202" s="13">
        <v>-1762500</v>
      </c>
      <c r="X202" s="533"/>
    </row>
    <row r="203" spans="1:24" x14ac:dyDescent="0.35">
      <c r="A203" s="37" t="str">
        <f>_xlfn.XLOOKUP(B203,master!B:B,master!A:A)</f>
        <v>Sale of Traded Goods</v>
      </c>
      <c r="B203" s="50" t="s">
        <v>412</v>
      </c>
      <c r="C203" s="13"/>
      <c r="D203" s="13"/>
      <c r="E203" s="13"/>
      <c r="F203" s="13"/>
      <c r="G203" s="13">
        <v>-58328360</v>
      </c>
      <c r="H203" s="13">
        <v>-352286.2</v>
      </c>
      <c r="I203" s="13">
        <v>0</v>
      </c>
      <c r="J203" s="13">
        <v>0</v>
      </c>
      <c r="K203" s="13">
        <v>-81600</v>
      </c>
      <c r="L203" s="13">
        <v>-74776173.650000006</v>
      </c>
      <c r="M203" s="13">
        <v>-4738980.08</v>
      </c>
      <c r="N203" s="13">
        <v>0</v>
      </c>
      <c r="O203" s="13">
        <v>0</v>
      </c>
      <c r="P203" s="13">
        <v>0</v>
      </c>
      <c r="Q203" s="13">
        <v>0</v>
      </c>
      <c r="R203" s="13">
        <v>-81882015.299999997</v>
      </c>
      <c r="S203" s="13">
        <v>-15487314.310000001</v>
      </c>
      <c r="T203" s="13">
        <v>0</v>
      </c>
      <c r="U203" s="13">
        <v>-3132369.07</v>
      </c>
      <c r="V203" s="13">
        <v>0</v>
      </c>
      <c r="W203" s="13">
        <v>-3650346.45</v>
      </c>
      <c r="X203" s="533"/>
    </row>
    <row r="204" spans="1:24" x14ac:dyDescent="0.35">
      <c r="A204" s="37" t="str">
        <f>_xlfn.XLOOKUP(B204,master!B:B,master!A:A)</f>
        <v>Sale of Finished Goods</v>
      </c>
      <c r="B204" s="50" t="s">
        <v>413</v>
      </c>
      <c r="C204" s="13"/>
      <c r="D204" s="13"/>
      <c r="E204" s="13"/>
      <c r="F204" s="13"/>
      <c r="G204" s="13">
        <v>0</v>
      </c>
      <c r="H204" s="13">
        <v>-345250</v>
      </c>
      <c r="I204" s="13">
        <v>0</v>
      </c>
      <c r="J204" s="13">
        <v>0</v>
      </c>
      <c r="K204" s="13">
        <v>0</v>
      </c>
      <c r="L204" s="13">
        <v>0</v>
      </c>
      <c r="M204" s="13">
        <v>-393330</v>
      </c>
      <c r="N204" s="13">
        <v>0</v>
      </c>
      <c r="O204" s="13">
        <v>0</v>
      </c>
      <c r="P204" s="13">
        <v>-128150</v>
      </c>
      <c r="Q204" s="13">
        <v>-389680</v>
      </c>
      <c r="R204" s="13">
        <v>-849930</v>
      </c>
      <c r="S204" s="13">
        <v>-174100</v>
      </c>
      <c r="T204" s="13">
        <v>0</v>
      </c>
      <c r="U204" s="13">
        <v>-738096</v>
      </c>
      <c r="V204" s="13">
        <v>0</v>
      </c>
      <c r="W204" s="13">
        <v>-83500</v>
      </c>
      <c r="X204" s="533"/>
    </row>
    <row r="205" spans="1:24" x14ac:dyDescent="0.35">
      <c r="A205" s="37" t="str">
        <f>_xlfn.XLOOKUP(B205,master!B:B,master!A:A)</f>
        <v>Commission Income</v>
      </c>
      <c r="B205" s="50" t="s">
        <v>414</v>
      </c>
      <c r="C205" s="13"/>
      <c r="D205" s="13"/>
      <c r="E205" s="13"/>
      <c r="F205" s="13"/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-2609055.1800000002</v>
      </c>
      <c r="U205" s="13">
        <v>0</v>
      </c>
      <c r="V205" s="13">
        <v>0</v>
      </c>
      <c r="W205" s="13">
        <v>0</v>
      </c>
      <c r="X205" s="533"/>
    </row>
    <row r="206" spans="1:24" x14ac:dyDescent="0.35">
      <c r="A206" s="37" t="str">
        <f>_xlfn.XLOOKUP(B206,master!B:B,master!A:A)</f>
        <v>Wind mill income</v>
      </c>
      <c r="B206" s="50" t="s">
        <v>415</v>
      </c>
      <c r="C206" s="13"/>
      <c r="D206" s="13"/>
      <c r="E206" s="13"/>
      <c r="F206" s="13"/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-600297</v>
      </c>
      <c r="S206" s="13">
        <v>-2050025</v>
      </c>
      <c r="T206" s="13">
        <v>0</v>
      </c>
      <c r="U206" s="13">
        <v>0</v>
      </c>
      <c r="V206" s="13">
        <v>0</v>
      </c>
      <c r="W206" s="13">
        <v>0</v>
      </c>
      <c r="X206" s="533"/>
    </row>
    <row r="207" spans="1:24" x14ac:dyDescent="0.35">
      <c r="A207" s="37" t="str">
        <f>_xlfn.XLOOKUP(B207,master!B:B,master!A:A)</f>
        <v>Miscellaneous income</v>
      </c>
      <c r="B207" s="50" t="s">
        <v>416</v>
      </c>
      <c r="C207" s="13"/>
      <c r="D207" s="13"/>
      <c r="E207" s="13"/>
      <c r="F207" s="13"/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8.6300000000000008</v>
      </c>
      <c r="N207" s="13">
        <v>0</v>
      </c>
      <c r="O207" s="13">
        <v>0</v>
      </c>
      <c r="P207" s="13">
        <v>-845</v>
      </c>
      <c r="Q207" s="13">
        <v>0</v>
      </c>
      <c r="R207" s="13">
        <v>-61100</v>
      </c>
      <c r="S207" s="13">
        <v>0</v>
      </c>
      <c r="T207" s="13">
        <v>0</v>
      </c>
      <c r="U207" s="13">
        <v>0</v>
      </c>
      <c r="V207" s="13">
        <v>-100</v>
      </c>
      <c r="W207" s="13">
        <v>0</v>
      </c>
      <c r="X207" s="533"/>
    </row>
    <row r="208" spans="1:24" x14ac:dyDescent="0.35">
      <c r="A208" s="37" t="str">
        <f>_xlfn.XLOOKUP(B208,master!B:B,master!A:A)</f>
        <v>- on fixed deposits with Banks</v>
      </c>
      <c r="B208" s="50" t="s">
        <v>621</v>
      </c>
      <c r="C208" s="13"/>
      <c r="D208" s="13"/>
      <c r="E208" s="13"/>
      <c r="F208" s="13"/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-107873</v>
      </c>
      <c r="S208" s="13">
        <v>0</v>
      </c>
      <c r="T208" s="13">
        <v>0</v>
      </c>
      <c r="U208" s="13">
        <v>0</v>
      </c>
      <c r="V208" s="13">
        <v>0</v>
      </c>
      <c r="W208" s="13">
        <v>-733435</v>
      </c>
      <c r="X208" s="533"/>
    </row>
    <row r="209" spans="1:24" x14ac:dyDescent="0.35">
      <c r="A209" s="37" t="str">
        <f>_xlfn.XLOOKUP(B209,master!B:B,master!A:A)</f>
        <v>Interest Received From Customers</v>
      </c>
      <c r="B209" s="50" t="s">
        <v>555</v>
      </c>
      <c r="C209" s="13"/>
      <c r="D209" s="13"/>
      <c r="E209" s="13"/>
      <c r="F209" s="13"/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-950958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-3822116</v>
      </c>
      <c r="U209" s="13">
        <v>0</v>
      </c>
      <c r="V209" s="13">
        <v>0</v>
      </c>
      <c r="W209" s="13">
        <v>0</v>
      </c>
      <c r="X209" s="533"/>
    </row>
    <row r="210" spans="1:24" x14ac:dyDescent="0.35">
      <c r="A210" s="37" t="str">
        <f>_xlfn.XLOOKUP(B210,master!B:B,master!A:A)</f>
        <v>Sundry balance written off</v>
      </c>
      <c r="B210" s="532" t="s">
        <v>420</v>
      </c>
      <c r="C210" s="533"/>
      <c r="D210" s="533"/>
      <c r="E210" s="533"/>
      <c r="F210" s="533"/>
      <c r="G210" s="533">
        <v>0</v>
      </c>
      <c r="H210" s="533">
        <v>-1272</v>
      </c>
      <c r="I210" s="533">
        <v>0</v>
      </c>
      <c r="J210" s="533">
        <v>-7617</v>
      </c>
      <c r="K210" s="533">
        <v>0</v>
      </c>
      <c r="L210" s="533">
        <v>0</v>
      </c>
      <c r="M210" s="533">
        <v>0</v>
      </c>
      <c r="N210" s="533">
        <v>0</v>
      </c>
      <c r="O210" s="533">
        <v>0</v>
      </c>
      <c r="P210" s="533">
        <v>0</v>
      </c>
      <c r="Q210" s="533">
        <v>0</v>
      </c>
      <c r="R210" s="533">
        <v>-5477.21</v>
      </c>
      <c r="S210" s="533">
        <v>-315368</v>
      </c>
      <c r="T210" s="533">
        <v>0</v>
      </c>
      <c r="U210" s="533">
        <v>0</v>
      </c>
      <c r="V210" s="533">
        <v>2475</v>
      </c>
      <c r="W210" s="533">
        <v>0</v>
      </c>
      <c r="X210" s="533"/>
    </row>
    <row r="211" spans="1:24" x14ac:dyDescent="0.35">
      <c r="A211" s="37" t="str">
        <f>_xlfn.XLOOKUP(B211,master!B:B,master!A:A)</f>
        <v>Commission income</v>
      </c>
      <c r="B211" s="532" t="s">
        <v>583</v>
      </c>
      <c r="C211" s="533"/>
      <c r="D211" s="533"/>
      <c r="E211" s="533"/>
      <c r="F211" s="533"/>
      <c r="G211" s="533">
        <v>0</v>
      </c>
      <c r="H211" s="533">
        <v>0</v>
      </c>
      <c r="I211" s="533">
        <v>0</v>
      </c>
      <c r="J211" s="533">
        <v>0</v>
      </c>
      <c r="K211" s="533">
        <v>0</v>
      </c>
      <c r="L211" s="533">
        <v>0</v>
      </c>
      <c r="M211" s="533">
        <v>0</v>
      </c>
      <c r="N211" s="533">
        <v>0</v>
      </c>
      <c r="O211" s="533">
        <v>0</v>
      </c>
      <c r="P211" s="533">
        <v>0</v>
      </c>
      <c r="Q211" s="533">
        <v>0</v>
      </c>
      <c r="R211" s="533">
        <v>0</v>
      </c>
      <c r="S211" s="533">
        <v>0</v>
      </c>
      <c r="T211" s="533">
        <v>-37239</v>
      </c>
      <c r="U211" s="533">
        <v>0</v>
      </c>
      <c r="V211" s="533">
        <v>0</v>
      </c>
      <c r="W211" s="533">
        <v>0</v>
      </c>
      <c r="X211" s="533"/>
    </row>
    <row r="212" spans="1:24" x14ac:dyDescent="0.35">
      <c r="A212" s="37">
        <f>_xlfn.XLOOKUP(B212,master!B:B,master!A:A)</f>
        <v>0</v>
      </c>
      <c r="B212" s="532"/>
      <c r="C212" s="533"/>
      <c r="D212" s="533"/>
      <c r="E212" s="533"/>
      <c r="F212" s="533"/>
      <c r="G212" s="533"/>
      <c r="H212" s="533"/>
      <c r="I212" s="533"/>
      <c r="J212" s="533"/>
      <c r="K212" s="533"/>
      <c r="L212" s="533"/>
      <c r="M212" s="533"/>
      <c r="N212" s="533"/>
      <c r="O212" s="533"/>
      <c r="P212" s="533"/>
      <c r="Q212" s="533"/>
      <c r="R212" s="533"/>
      <c r="S212" s="533"/>
      <c r="T212" s="533"/>
      <c r="U212" s="533"/>
      <c r="V212" s="533"/>
      <c r="W212" s="533"/>
      <c r="X212" s="533"/>
    </row>
    <row r="213" spans="1:24" x14ac:dyDescent="0.35">
      <c r="A213" s="37">
        <f>_xlfn.XLOOKUP(B213,master!B:B,master!A:A)</f>
        <v>0</v>
      </c>
      <c r="B213" s="532"/>
      <c r="C213" s="533"/>
      <c r="D213" s="533"/>
      <c r="E213" s="533"/>
      <c r="F213" s="533"/>
      <c r="G213" s="533"/>
      <c r="H213" s="533"/>
      <c r="I213" s="533"/>
      <c r="J213" s="533"/>
      <c r="K213" s="533"/>
      <c r="L213" s="533"/>
      <c r="M213" s="533"/>
      <c r="N213" s="533"/>
      <c r="O213" s="533"/>
      <c r="P213" s="533"/>
      <c r="Q213" s="533"/>
      <c r="R213" s="533"/>
      <c r="S213" s="533"/>
      <c r="T213" s="533"/>
      <c r="U213" s="533"/>
      <c r="V213" s="533"/>
      <c r="W213" s="533"/>
      <c r="X213" s="533"/>
    </row>
    <row r="214" spans="1:24" x14ac:dyDescent="0.35">
      <c r="A214" s="37">
        <f>_xlfn.XLOOKUP(B214,master!B:B,master!A:A)</f>
        <v>0</v>
      </c>
      <c r="B214" s="532"/>
      <c r="C214" s="533"/>
      <c r="D214" s="533"/>
      <c r="E214" s="533"/>
      <c r="F214" s="533"/>
      <c r="G214" s="533"/>
      <c r="H214" s="533"/>
      <c r="I214" s="533"/>
      <c r="J214" s="533"/>
      <c r="K214" s="533"/>
      <c r="L214" s="533"/>
      <c r="M214" s="533"/>
      <c r="N214" s="533"/>
      <c r="O214" s="533"/>
      <c r="P214" s="533"/>
      <c r="Q214" s="533"/>
      <c r="R214" s="533"/>
      <c r="S214" s="533"/>
      <c r="T214" s="533"/>
      <c r="U214" s="533"/>
      <c r="V214" s="533"/>
      <c r="W214" s="533"/>
      <c r="X214" s="533"/>
    </row>
    <row r="215" spans="1:24" x14ac:dyDescent="0.35">
      <c r="A215" s="37">
        <f>_xlfn.XLOOKUP(B215,master!B:B,master!A:A)</f>
        <v>0</v>
      </c>
      <c r="B215" s="532"/>
      <c r="C215" s="533"/>
      <c r="D215" s="533"/>
      <c r="E215" s="533"/>
      <c r="F215" s="533"/>
      <c r="G215" s="533"/>
      <c r="H215" s="533"/>
      <c r="I215" s="533"/>
      <c r="J215" s="533"/>
      <c r="K215" s="533"/>
      <c r="L215" s="533"/>
      <c r="M215" s="533"/>
      <c r="N215" s="533"/>
      <c r="O215" s="533"/>
      <c r="P215" s="533"/>
      <c r="Q215" s="533"/>
      <c r="R215" s="533"/>
      <c r="S215" s="533"/>
      <c r="T215" s="533"/>
      <c r="U215" s="533"/>
      <c r="V215" s="533"/>
      <c r="W215" s="533"/>
      <c r="X215" s="533"/>
    </row>
    <row r="216" spans="1:24" x14ac:dyDescent="0.35">
      <c r="A216" s="37">
        <f>_xlfn.XLOOKUP(B216,master!B:B,master!A:A)</f>
        <v>0</v>
      </c>
      <c r="B216" s="532"/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3"/>
      <c r="O216" s="533"/>
      <c r="P216" s="533"/>
      <c r="Q216" s="533"/>
      <c r="R216" s="533"/>
      <c r="S216" s="533"/>
      <c r="T216" s="533"/>
      <c r="U216" s="533"/>
      <c r="V216" s="533"/>
      <c r="W216" s="533"/>
      <c r="X216" s="533"/>
    </row>
    <row r="217" spans="1:24" x14ac:dyDescent="0.35">
      <c r="A217" s="37">
        <f>_xlfn.XLOOKUP(B217,master!B:B,master!A:A)</f>
        <v>0</v>
      </c>
      <c r="B217" s="532"/>
      <c r="C217" s="533"/>
      <c r="D217" s="533"/>
      <c r="E217" s="533"/>
      <c r="F217" s="533"/>
      <c r="G217" s="533"/>
      <c r="H217" s="533"/>
      <c r="I217" s="533"/>
      <c r="J217" s="533"/>
      <c r="K217" s="533"/>
      <c r="L217" s="533"/>
      <c r="M217" s="533"/>
      <c r="N217" s="533"/>
      <c r="O217" s="533"/>
      <c r="P217" s="533"/>
      <c r="Q217" s="533"/>
      <c r="R217" s="533"/>
      <c r="S217" s="533"/>
      <c r="T217" s="533"/>
      <c r="U217" s="533"/>
      <c r="V217" s="533"/>
      <c r="W217" s="533"/>
      <c r="X217" s="533"/>
    </row>
    <row r="218" spans="1:24" x14ac:dyDescent="0.35">
      <c r="A218" s="37">
        <f>_xlfn.XLOOKUP(B218,master!B:B,master!A:A)</f>
        <v>0</v>
      </c>
      <c r="B218" s="532"/>
      <c r="C218" s="533"/>
      <c r="D218" s="533"/>
      <c r="E218" s="533"/>
      <c r="F218" s="533"/>
      <c r="G218" s="533"/>
      <c r="H218" s="533"/>
      <c r="I218" s="533"/>
      <c r="J218" s="533"/>
      <c r="K218" s="533"/>
      <c r="L218" s="533"/>
      <c r="M218" s="533"/>
      <c r="N218" s="533"/>
      <c r="O218" s="533"/>
      <c r="P218" s="533"/>
      <c r="Q218" s="533"/>
      <c r="R218" s="533"/>
      <c r="S218" s="533"/>
      <c r="T218" s="533"/>
      <c r="U218" s="533"/>
      <c r="V218" s="533"/>
      <c r="W218" s="533"/>
      <c r="X218" s="533"/>
    </row>
    <row r="219" spans="1:24" x14ac:dyDescent="0.35">
      <c r="A219" s="37">
        <f>_xlfn.XLOOKUP(B219,master!B:B,master!A:A)</f>
        <v>0</v>
      </c>
      <c r="B219" s="532"/>
      <c r="C219" s="533"/>
      <c r="D219" s="533"/>
      <c r="E219" s="533"/>
      <c r="F219" s="533"/>
      <c r="G219" s="533"/>
      <c r="H219" s="533"/>
      <c r="I219" s="533"/>
      <c r="J219" s="533"/>
      <c r="K219" s="533"/>
      <c r="L219" s="533"/>
      <c r="M219" s="533"/>
      <c r="N219" s="533"/>
      <c r="O219" s="533"/>
      <c r="P219" s="533"/>
      <c r="Q219" s="533"/>
      <c r="R219" s="533"/>
      <c r="S219" s="533"/>
      <c r="T219" s="533"/>
      <c r="U219" s="533"/>
      <c r="V219" s="533"/>
      <c r="W219" s="533"/>
      <c r="X219" s="533"/>
    </row>
    <row r="220" spans="1:24" x14ac:dyDescent="0.35">
      <c r="A220" s="37">
        <f>_xlfn.XLOOKUP(B220,master!B:B,master!A:A)</f>
        <v>0</v>
      </c>
      <c r="B220" s="532"/>
      <c r="C220" s="533"/>
      <c r="D220" s="533"/>
      <c r="E220" s="533"/>
      <c r="F220" s="533"/>
      <c r="G220" s="533"/>
      <c r="H220" s="533"/>
      <c r="I220" s="533"/>
      <c r="J220" s="533"/>
      <c r="K220" s="533"/>
      <c r="L220" s="533"/>
      <c r="M220" s="533"/>
      <c r="N220" s="533"/>
      <c r="O220" s="533"/>
      <c r="P220" s="533"/>
      <c r="Q220" s="533"/>
      <c r="R220" s="533"/>
      <c r="S220" s="533"/>
      <c r="T220" s="533"/>
      <c r="U220" s="533"/>
      <c r="V220" s="533"/>
      <c r="W220" s="533"/>
      <c r="X220" s="533"/>
    </row>
    <row r="221" spans="1:24" x14ac:dyDescent="0.35">
      <c r="A221" s="37">
        <f>_xlfn.XLOOKUP(B221,master!B:B,master!A:A)</f>
        <v>0</v>
      </c>
      <c r="B221" s="532"/>
      <c r="C221" s="533"/>
      <c r="D221" s="533"/>
      <c r="E221" s="533"/>
      <c r="F221" s="533"/>
      <c r="G221" s="533"/>
      <c r="H221" s="533"/>
      <c r="I221" s="533"/>
      <c r="J221" s="533"/>
      <c r="K221" s="533"/>
      <c r="L221" s="533"/>
      <c r="M221" s="533"/>
      <c r="N221" s="533"/>
      <c r="O221" s="533"/>
      <c r="P221" s="533"/>
      <c r="Q221" s="533"/>
      <c r="R221" s="533"/>
      <c r="S221" s="533"/>
      <c r="T221" s="533"/>
      <c r="U221" s="533"/>
      <c r="V221" s="533"/>
      <c r="W221" s="533"/>
      <c r="X221" s="533"/>
    </row>
    <row r="222" spans="1:24" x14ac:dyDescent="0.35">
      <c r="A222" s="37">
        <f>_xlfn.XLOOKUP(B222,master!B:B,master!A:A)</f>
        <v>0</v>
      </c>
      <c r="B222" s="532"/>
      <c r="C222" s="533"/>
      <c r="D222" s="533"/>
      <c r="E222" s="533"/>
      <c r="F222" s="533"/>
      <c r="G222" s="533"/>
      <c r="H222" s="533"/>
      <c r="I222" s="533"/>
      <c r="J222" s="533"/>
      <c r="K222" s="533"/>
      <c r="L222" s="533"/>
      <c r="M222" s="533"/>
      <c r="N222" s="533"/>
      <c r="O222" s="533"/>
      <c r="P222" s="533"/>
      <c r="Q222" s="533"/>
      <c r="R222" s="533"/>
      <c r="S222" s="533"/>
      <c r="T222" s="533"/>
      <c r="U222" s="533"/>
      <c r="V222" s="533"/>
      <c r="W222" s="533"/>
      <c r="X222" s="533"/>
    </row>
    <row r="223" spans="1:24" x14ac:dyDescent="0.35">
      <c r="A223" s="37">
        <f>_xlfn.XLOOKUP(B223,master!B:B,master!A:A)</f>
        <v>0</v>
      </c>
      <c r="B223" s="532"/>
      <c r="C223" s="533"/>
      <c r="D223" s="533"/>
      <c r="E223" s="533"/>
      <c r="F223" s="533"/>
      <c r="G223" s="533"/>
      <c r="H223" s="533"/>
      <c r="I223" s="533"/>
      <c r="J223" s="533"/>
      <c r="K223" s="533"/>
      <c r="L223" s="533"/>
      <c r="M223" s="533"/>
      <c r="N223" s="533"/>
      <c r="O223" s="533"/>
      <c r="P223" s="533"/>
      <c r="Q223" s="533"/>
      <c r="R223" s="533"/>
      <c r="S223" s="533"/>
      <c r="T223" s="533"/>
      <c r="U223" s="533"/>
      <c r="V223" s="533"/>
      <c r="W223" s="533"/>
      <c r="X223" s="533"/>
    </row>
    <row r="224" spans="1:24" x14ac:dyDescent="0.35">
      <c r="A224" s="37">
        <f>_xlfn.XLOOKUP(B224,master!B:B,master!A:A)</f>
        <v>0</v>
      </c>
      <c r="B224" s="532"/>
      <c r="C224" s="533"/>
      <c r="D224" s="533"/>
      <c r="E224" s="533"/>
      <c r="F224" s="533"/>
      <c r="G224" s="533"/>
      <c r="H224" s="533"/>
      <c r="I224" s="533"/>
      <c r="J224" s="533"/>
      <c r="K224" s="533"/>
      <c r="L224" s="533"/>
      <c r="M224" s="533"/>
      <c r="N224" s="533"/>
      <c r="O224" s="533"/>
      <c r="P224" s="533"/>
      <c r="Q224" s="533"/>
      <c r="R224" s="533"/>
      <c r="S224" s="533"/>
      <c r="T224" s="533"/>
      <c r="U224" s="533"/>
      <c r="V224" s="533"/>
      <c r="W224" s="533"/>
      <c r="X224" s="533"/>
    </row>
    <row r="225" spans="1:23" x14ac:dyDescent="0.35">
      <c r="A225" s="37">
        <f>_xlfn.XLOOKUP(B225,master!B:B,master!A:A)</f>
        <v>0</v>
      </c>
      <c r="B225" s="532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3"/>
      <c r="O225" s="533"/>
      <c r="P225" s="533"/>
      <c r="Q225" s="533"/>
      <c r="R225" s="533"/>
      <c r="S225" s="533"/>
      <c r="T225" s="533"/>
      <c r="U225" s="533"/>
      <c r="V225" s="533"/>
      <c r="W225" s="533"/>
    </row>
    <row r="226" spans="1:23" x14ac:dyDescent="0.35">
      <c r="A226" s="37">
        <f>_xlfn.XLOOKUP(B226,master!B:B,master!A:A)</f>
        <v>0</v>
      </c>
      <c r="B226" s="532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3"/>
      <c r="O226" s="533"/>
      <c r="P226" s="533"/>
      <c r="Q226" s="533"/>
      <c r="R226" s="533"/>
      <c r="S226" s="533"/>
      <c r="T226" s="533"/>
      <c r="U226" s="533"/>
      <c r="V226" s="533"/>
      <c r="W226" s="533"/>
    </row>
    <row r="227" spans="1:23" x14ac:dyDescent="0.35">
      <c r="A227" s="37">
        <f>_xlfn.XLOOKUP(B227,master!B:B,master!A:A)</f>
        <v>0</v>
      </c>
      <c r="B227" s="532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3"/>
      <c r="O227" s="533"/>
      <c r="P227" s="533"/>
      <c r="Q227" s="533"/>
      <c r="R227" s="533"/>
      <c r="S227" s="533"/>
      <c r="T227" s="533"/>
      <c r="U227" s="533"/>
      <c r="V227" s="533"/>
      <c r="W227" s="533"/>
    </row>
    <row r="228" spans="1:23" x14ac:dyDescent="0.35">
      <c r="A228" s="37">
        <f>_xlfn.XLOOKUP(B228,master!B:B,master!A:A)</f>
        <v>0</v>
      </c>
      <c r="B228" s="532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3"/>
      <c r="O228" s="533"/>
      <c r="P228" s="533"/>
      <c r="Q228" s="533"/>
      <c r="R228" s="533"/>
      <c r="S228" s="533"/>
      <c r="T228" s="533"/>
      <c r="U228" s="533"/>
      <c r="V228" s="533"/>
      <c r="W228" s="533"/>
    </row>
    <row r="229" spans="1:23" x14ac:dyDescent="0.35">
      <c r="A229" s="37">
        <f>_xlfn.XLOOKUP(B229,master!B:B,master!A:A)</f>
        <v>0</v>
      </c>
      <c r="B229" s="532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3"/>
      <c r="O229" s="533"/>
      <c r="P229" s="533"/>
      <c r="Q229" s="533"/>
      <c r="R229" s="533"/>
      <c r="S229" s="533"/>
      <c r="T229" s="533"/>
      <c r="U229" s="533"/>
      <c r="V229" s="533"/>
      <c r="W229" s="533"/>
    </row>
    <row r="230" spans="1:23" x14ac:dyDescent="0.35">
      <c r="A230" s="37">
        <f>_xlfn.XLOOKUP(B230,master!B:B,master!A:A)</f>
        <v>0</v>
      </c>
      <c r="B230" s="532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3"/>
      <c r="O230" s="533"/>
      <c r="P230" s="533"/>
      <c r="Q230" s="533"/>
      <c r="R230" s="533"/>
      <c r="S230" s="533"/>
      <c r="T230" s="533"/>
      <c r="U230" s="533"/>
      <c r="V230" s="533"/>
      <c r="W230" s="533"/>
    </row>
    <row r="231" spans="1:23" x14ac:dyDescent="0.35">
      <c r="A231" s="37">
        <f>_xlfn.XLOOKUP(B231,master!B:B,master!A:A)</f>
        <v>0</v>
      </c>
      <c r="B231" s="532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3"/>
      <c r="O231" s="533"/>
      <c r="P231" s="533"/>
      <c r="Q231" s="533"/>
      <c r="R231" s="533"/>
      <c r="S231" s="533"/>
      <c r="T231" s="533"/>
      <c r="U231" s="533"/>
      <c r="V231" s="533"/>
      <c r="W231" s="533"/>
    </row>
    <row r="232" spans="1:23" x14ac:dyDescent="0.35">
      <c r="A232" s="37">
        <f>_xlfn.XLOOKUP(B232,master!B:B,master!A:A)</f>
        <v>0</v>
      </c>
      <c r="B232" s="532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3"/>
      <c r="W232" s="533"/>
    </row>
    <row r="233" spans="1:23" x14ac:dyDescent="0.35">
      <c r="A233" s="37">
        <f>_xlfn.XLOOKUP(B233,master!B:B,master!A:A)</f>
        <v>0</v>
      </c>
      <c r="B233" s="532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3"/>
      <c r="O233" s="533"/>
      <c r="P233" s="533"/>
      <c r="Q233" s="533"/>
      <c r="R233" s="533"/>
      <c r="S233" s="533"/>
      <c r="T233" s="533"/>
      <c r="U233" s="533"/>
      <c r="V233" s="533"/>
      <c r="W233" s="533"/>
    </row>
    <row r="234" spans="1:23" x14ac:dyDescent="0.35">
      <c r="A234" s="37">
        <f>_xlfn.XLOOKUP(B234,master!B:B,master!A:A)</f>
        <v>0</v>
      </c>
      <c r="B234" s="532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</row>
    <row r="235" spans="1:23" x14ac:dyDescent="0.35">
      <c r="A235" s="37">
        <f>_xlfn.XLOOKUP(B235,master!B:B,master!A:A)</f>
        <v>0</v>
      </c>
      <c r="B235" s="532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3"/>
      <c r="O235" s="533"/>
      <c r="P235" s="533"/>
      <c r="Q235" s="533"/>
      <c r="R235" s="533"/>
      <c r="S235" s="533"/>
      <c r="T235" s="533"/>
      <c r="U235" s="533"/>
      <c r="V235" s="533"/>
      <c r="W235" s="533"/>
    </row>
    <row r="236" spans="1:23" x14ac:dyDescent="0.35">
      <c r="A236" s="37">
        <f>_xlfn.XLOOKUP(B236,master!B:B,master!A:A)</f>
        <v>0</v>
      </c>
      <c r="B236" s="532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</row>
    <row r="237" spans="1:23" x14ac:dyDescent="0.35">
      <c r="A237" s="37">
        <f>_xlfn.XLOOKUP(B237,master!B:B,master!A:A)</f>
        <v>0</v>
      </c>
      <c r="B237" s="532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3"/>
      <c r="O237" s="533"/>
      <c r="P237" s="533"/>
      <c r="Q237" s="533"/>
      <c r="R237" s="533"/>
      <c r="S237" s="533"/>
      <c r="T237" s="533"/>
      <c r="U237" s="533"/>
      <c r="V237" s="533"/>
      <c r="W237" s="533"/>
    </row>
    <row r="238" spans="1:23" x14ac:dyDescent="0.35">
      <c r="A238" s="37">
        <f>_xlfn.XLOOKUP(B238,master!B:B,master!A:A)</f>
        <v>0</v>
      </c>
      <c r="B238" s="532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3"/>
      <c r="O238" s="533"/>
      <c r="P238" s="533"/>
      <c r="Q238" s="533"/>
      <c r="R238" s="533"/>
      <c r="S238" s="533"/>
      <c r="T238" s="533"/>
      <c r="U238" s="533"/>
      <c r="V238" s="533"/>
      <c r="W238" s="533"/>
    </row>
    <row r="239" spans="1:23" x14ac:dyDescent="0.35">
      <c r="A239" s="37">
        <f>_xlfn.XLOOKUP(B239,master!B:B,master!A:A)</f>
        <v>0</v>
      </c>
      <c r="B239" s="532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3"/>
      <c r="O239" s="533"/>
      <c r="P239" s="533"/>
      <c r="Q239" s="533"/>
      <c r="R239" s="533"/>
      <c r="S239" s="533"/>
      <c r="T239" s="533"/>
      <c r="U239" s="533"/>
      <c r="V239" s="533"/>
      <c r="W239" s="533"/>
    </row>
    <row r="240" spans="1:23" x14ac:dyDescent="0.35">
      <c r="A240" s="37">
        <f>_xlfn.XLOOKUP(B240,master!B:B,master!A:A)</f>
        <v>0</v>
      </c>
      <c r="B240" s="532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</row>
    <row r="241" spans="1:23" x14ac:dyDescent="0.35">
      <c r="A241" s="37">
        <f>_xlfn.XLOOKUP(B241,master!B:B,master!A:A)</f>
        <v>0</v>
      </c>
      <c r="B241" s="532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3"/>
      <c r="O241" s="533"/>
      <c r="P241" s="533"/>
      <c r="Q241" s="533"/>
      <c r="R241" s="533"/>
      <c r="S241" s="533"/>
      <c r="T241" s="533"/>
      <c r="U241" s="533"/>
      <c r="V241" s="533"/>
      <c r="W241" s="533"/>
    </row>
    <row r="242" spans="1:23" x14ac:dyDescent="0.35">
      <c r="A242" s="37">
        <f>_xlfn.XLOOKUP(B242,master!B:B,master!A:A)</f>
        <v>0</v>
      </c>
      <c r="B242" s="532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3"/>
      <c r="O242" s="533"/>
      <c r="P242" s="533"/>
      <c r="Q242" s="533"/>
      <c r="R242" s="533"/>
      <c r="S242" s="533"/>
      <c r="T242" s="533"/>
      <c r="U242" s="533"/>
      <c r="V242" s="533"/>
      <c r="W242" s="533"/>
    </row>
    <row r="243" spans="1:23" x14ac:dyDescent="0.35">
      <c r="A243" s="37">
        <f>_xlfn.XLOOKUP(B243,master!B:B,master!A:A)</f>
        <v>0</v>
      </c>
      <c r="B243" s="532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3"/>
      <c r="W243" s="533"/>
    </row>
    <row r="244" spans="1:23" x14ac:dyDescent="0.35">
      <c r="B244" s="532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533"/>
      <c r="U244" s="533"/>
      <c r="V244" s="533"/>
      <c r="W244" s="533"/>
    </row>
    <row r="245" spans="1:23" x14ac:dyDescent="0.35">
      <c r="A245" s="534" t="s">
        <v>533</v>
      </c>
      <c r="B245" s="535"/>
    </row>
    <row r="246" spans="1:23" x14ac:dyDescent="0.35">
      <c r="A246" s="47" t="str">
        <f>_xlfn.XLOOKUP(B246,[3]master!B:B,[3]master!A:A)</f>
        <v>Add: Purchase expenses</v>
      </c>
      <c r="B246" s="536" t="s">
        <v>557</v>
      </c>
      <c r="H246" s="37">
        <f>_xlfn.XLOOKUP(B246,[4]Sheet1!$A:$A,[4]Sheet1!$C:$C,0)</f>
        <v>0</v>
      </c>
      <c r="I246" s="37">
        <f>_xlfn.XLOOKUP(B246,[4]Sheet1!$A:$A,[4]Sheet1!$D:$D,0)</f>
        <v>0</v>
      </c>
      <c r="M246" s="37">
        <f>_xlfn.XLOOKUP(B246,'[5]May- 26'!$A:$A,'[5]May- 26'!$B:$B,0)</f>
        <v>0</v>
      </c>
      <c r="P246" s="37">
        <f>_xlfn.XLOOKUP(B246,'[6]May-26'!$A:$A,'[6]May-26'!$B:$B,0)</f>
        <v>0</v>
      </c>
      <c r="Q246" s="37">
        <f>_xlfn.XLOOKUP(B246,'[7]May-26'!$A:$A,'[7]May-26'!$B:$B,0)</f>
        <v>297000</v>
      </c>
      <c r="R246" s="37">
        <f>_xlfn.XLOOKUP(B246,[8]Sheet1!$B:$B,[8]Sheet1!$C:$C,0)</f>
        <v>0</v>
      </c>
      <c r="S246" s="37">
        <f>_xlfn.XLOOKUP(B246,[9]PROV!$A:$A,[9]PROV!$B:$B,0)</f>
        <v>0</v>
      </c>
      <c r="U246" s="37">
        <f>_xlfn.XLOOKUP(B246,'[10]May-2026'!$A:$A,'[10]May-2026'!$B:$B,0)</f>
        <v>0</v>
      </c>
    </row>
    <row r="247" spans="1:23" x14ac:dyDescent="0.35">
      <c r="A247" s="47" t="str">
        <f>_xlfn.XLOOKUP(B247,[3]master!B:B,[3]master!A:A)</f>
        <v>Add: Purchase expenses</v>
      </c>
      <c r="B247" s="537" t="s">
        <v>261</v>
      </c>
      <c r="H247" s="37">
        <f>_xlfn.XLOOKUP(B247,[4]Sheet1!$A:$A,[4]Sheet1!$C:$C,0)</f>
        <v>0</v>
      </c>
      <c r="I247" s="37">
        <f>_xlfn.XLOOKUP(B247,[4]Sheet1!$A:$A,[4]Sheet1!$D:$D,0)</f>
        <v>0</v>
      </c>
      <c r="M247" s="37">
        <f>_xlfn.XLOOKUP(B247,'[5]May- 26'!$A:$A,'[5]May- 26'!$B:$B,0)</f>
        <v>0</v>
      </c>
      <c r="P247" s="37">
        <f>_xlfn.XLOOKUP(B247,'[6]May-26'!$A:$A,'[6]May-26'!$B:$B,0)</f>
        <v>0</v>
      </c>
      <c r="Q247" s="37">
        <f>_xlfn.XLOOKUP(B247,'[7]May-26'!$A:$A,'[7]May-26'!$B:$B,0)</f>
        <v>0</v>
      </c>
      <c r="R247" s="37">
        <f>_xlfn.XLOOKUP(B247,[8]Sheet1!$B:$B,[8]Sheet1!$C:$C,0)</f>
        <v>0</v>
      </c>
      <c r="S247" s="37">
        <f>_xlfn.XLOOKUP(B247,[9]PROV!$A:$A,[9]PROV!$B:$B,0)</f>
        <v>0</v>
      </c>
      <c r="U247" s="37">
        <f>_xlfn.XLOOKUP(B247,'[10]May-2026'!$A:$A,'[10]May-2026'!$B:$B,0)</f>
        <v>0</v>
      </c>
    </row>
    <row r="248" spans="1:23" x14ac:dyDescent="0.35">
      <c r="A248" s="37" t="str">
        <f>_xlfn.XLOOKUP(B248,[3]master!B:B,[3]master!A:A)</f>
        <v>Add: Purchase of raw materials</v>
      </c>
      <c r="B248" s="533" t="s">
        <v>301</v>
      </c>
      <c r="H248" s="37">
        <f>_xlfn.XLOOKUP(B248,[4]Sheet1!$A:$A,[4]Sheet1!$C:$C,0)</f>
        <v>0</v>
      </c>
      <c r="I248" s="37">
        <f>_xlfn.XLOOKUP(B248,[4]Sheet1!$A:$A,[4]Sheet1!$D:$D,0)</f>
        <v>0</v>
      </c>
      <c r="M248" s="37">
        <f>_xlfn.XLOOKUP(B248,'[5]May- 26'!$A:$A,'[5]May- 26'!$B:$B,0)</f>
        <v>0</v>
      </c>
      <c r="P248" s="37">
        <f>_xlfn.XLOOKUP(B248,'[6]May-26'!$A:$A,'[6]May-26'!$B:$B,0)</f>
        <v>0</v>
      </c>
      <c r="Q248" s="37">
        <f>_xlfn.XLOOKUP(B248,'[7]May-26'!$A:$A,'[7]May-26'!$B:$B,0)</f>
        <v>0</v>
      </c>
      <c r="R248" s="37">
        <f>_xlfn.XLOOKUP(B248,[8]Sheet1!$B:$B,[8]Sheet1!$C:$C,0)</f>
        <v>0</v>
      </c>
      <c r="S248" s="37">
        <f>_xlfn.XLOOKUP(B248,[9]PROV!$A:$A,[9]PROV!$B:$B,0)</f>
        <v>0</v>
      </c>
      <c r="U248" s="37">
        <f>_xlfn.XLOOKUP(B248,'[10]May-2026'!$A:$A,'[10]May-2026'!$B:$B,0)</f>
        <v>0</v>
      </c>
    </row>
    <row r="249" spans="1:23" x14ac:dyDescent="0.35">
      <c r="A249" s="47" t="str">
        <f>_xlfn.XLOOKUP(B249,[3]master!B:B,[3]master!A:A)</f>
        <v xml:space="preserve">Salaries, wages and  bonus </v>
      </c>
      <c r="B249" s="537" t="s">
        <v>353</v>
      </c>
      <c r="H249" s="37">
        <f>_xlfn.XLOOKUP(B249,[4]Sheet1!$A:$A,[4]Sheet1!$C:$C,0)</f>
        <v>2600000</v>
      </c>
      <c r="I249" s="37">
        <f>_xlfn.XLOOKUP(B249,[4]Sheet1!$A:$A,[4]Sheet1!$D:$D,0)</f>
        <v>450000</v>
      </c>
      <c r="M249" s="37">
        <f>_xlfn.XLOOKUP(B249,'[5]May- 26'!$A:$A,'[5]May- 26'!$B:$B,0)</f>
        <v>14561624</v>
      </c>
      <c r="P249" s="37">
        <f>_xlfn.XLOOKUP(B249,'[6]May-26'!$A:$A,'[6]May-26'!$B:$B,0)</f>
        <v>150000</v>
      </c>
      <c r="Q249" s="37">
        <f>_xlfn.XLOOKUP(B249,'[7]May-26'!$A:$A,'[7]May-26'!$B:$B,0)</f>
        <v>4500000</v>
      </c>
      <c r="R249" s="37">
        <f>_xlfn.XLOOKUP(B249,[8]Sheet1!$B:$B,[8]Sheet1!$C:$C,0)</f>
        <v>5794851</v>
      </c>
      <c r="S249" s="37">
        <f>_xlfn.XLOOKUP(B249,[9]PROV!$A:$A,[9]PROV!$B:$B,0)</f>
        <v>9372319</v>
      </c>
      <c r="U249" s="37">
        <f>_xlfn.XLOOKUP(B249,'[10]May-2026'!$A:$A,'[10]May-2026'!$B:$B,0)</f>
        <v>0</v>
      </c>
      <c r="V249" s="37">
        <v>2500000</v>
      </c>
    </row>
    <row r="250" spans="1:23" x14ac:dyDescent="0.35">
      <c r="A250" s="47" t="str">
        <f>_xlfn.XLOOKUP(B250,[3]master!B:B,[3]master!A:A)</f>
        <v>Staff welfare expenses</v>
      </c>
      <c r="B250" s="537" t="s">
        <v>355</v>
      </c>
      <c r="H250" s="37">
        <f>_xlfn.XLOOKUP(B250,[4]Sheet1!$A:$A,[4]Sheet1!$C:$C,0)</f>
        <v>11046</v>
      </c>
      <c r="I250" s="37">
        <f>_xlfn.XLOOKUP(B250,[4]Sheet1!$A:$A,[4]Sheet1!$D:$D,0)</f>
        <v>0</v>
      </c>
      <c r="M250" s="37">
        <f>_xlfn.XLOOKUP(B250,'[5]May- 26'!$A:$A,'[5]May- 26'!$B:$B,0)</f>
        <v>0</v>
      </c>
      <c r="P250" s="37">
        <f>_xlfn.XLOOKUP(B250,'[6]May-26'!$A:$A,'[6]May-26'!$B:$B,0)</f>
        <v>0</v>
      </c>
      <c r="Q250" s="37">
        <f>_xlfn.XLOOKUP(B250,'[7]May-26'!$A:$A,'[7]May-26'!$B:$B,0)</f>
        <v>0</v>
      </c>
      <c r="R250" s="37">
        <f>_xlfn.XLOOKUP(B250,[8]Sheet1!$B:$B,[8]Sheet1!$C:$C,0)</f>
        <v>65741</v>
      </c>
      <c r="S250" s="37">
        <f>_xlfn.XLOOKUP(B250,[9]PROV!$A:$A,[9]PROV!$B:$B,0)</f>
        <v>0</v>
      </c>
      <c r="U250" s="37">
        <f>_xlfn.XLOOKUP(B250,'[10]May-2026'!$A:$A,'[10]May-2026'!$B:$B,0)</f>
        <v>0</v>
      </c>
    </row>
    <row r="251" spans="1:23" x14ac:dyDescent="0.35">
      <c r="A251" s="47" t="str">
        <f>_xlfn.XLOOKUP(B251,[3]master!B:B,[3]master!A:A)</f>
        <v>Staff welfare expenses</v>
      </c>
      <c r="B251" s="537" t="s">
        <v>356</v>
      </c>
      <c r="H251" s="37">
        <f>_xlfn.XLOOKUP(B251,[4]Sheet1!$A:$A,[4]Sheet1!$C:$C,0)</f>
        <v>170000</v>
      </c>
      <c r="I251" s="37">
        <f>_xlfn.XLOOKUP(B251,[4]Sheet1!$A:$A,[4]Sheet1!$D:$D,0)</f>
        <v>0</v>
      </c>
      <c r="M251" s="37">
        <f>_xlfn.XLOOKUP(B251,'[5]May- 26'!$A:$A,'[5]May- 26'!$B:$B,0)</f>
        <v>297440</v>
      </c>
      <c r="P251" s="37">
        <f>_xlfn.XLOOKUP(B251,'[6]May-26'!$A:$A,'[6]May-26'!$B:$B,0)</f>
        <v>0</v>
      </c>
      <c r="Q251" s="37">
        <f>_xlfn.XLOOKUP(B251,'[7]May-26'!$A:$A,'[7]May-26'!$B:$B,0)</f>
        <v>35000</v>
      </c>
      <c r="R251" s="37">
        <f>_xlfn.XLOOKUP(B251,[8]Sheet1!$B:$B,[8]Sheet1!$C:$C,0)</f>
        <v>109133</v>
      </c>
      <c r="S251" s="37">
        <f>_xlfn.XLOOKUP(B251,[9]PROV!$A:$A,[9]PROV!$B:$B,0)</f>
        <v>0</v>
      </c>
      <c r="U251" s="37">
        <f>_xlfn.XLOOKUP(B251,'[10]May-2026'!$A:$A,'[10]May-2026'!$B:$B,0)</f>
        <v>0</v>
      </c>
    </row>
    <row r="252" spans="1:23" x14ac:dyDescent="0.35">
      <c r="A252" s="47" t="str">
        <f>_xlfn.XLOOKUP(B252,[3]master!B:B,[3]master!A:A)</f>
        <v>Power and fuel</v>
      </c>
      <c r="B252" s="537" t="s">
        <v>268</v>
      </c>
      <c r="H252" s="37">
        <f>_xlfn.XLOOKUP(B252,[4]Sheet1!$A:$A,[4]Sheet1!$C:$C,0)</f>
        <v>2336144</v>
      </c>
      <c r="I252" s="37">
        <f>_xlfn.XLOOKUP(B252,[4]Sheet1!$A:$A,[4]Sheet1!$D:$D,0)</f>
        <v>0</v>
      </c>
      <c r="M252" s="37">
        <f>_xlfn.XLOOKUP(B252,'[5]May- 26'!$A:$A,'[5]May- 26'!$B:$B,0)</f>
        <v>3994704</v>
      </c>
      <c r="P252" s="37">
        <f>_xlfn.XLOOKUP(B252,'[6]May-26'!$A:$A,'[6]May-26'!$B:$B,0)</f>
        <v>0</v>
      </c>
      <c r="Q252" s="37">
        <f>_xlfn.XLOOKUP(B252,'[7]May-26'!$A:$A,'[7]May-26'!$B:$B,0)</f>
        <v>0</v>
      </c>
      <c r="R252" s="37">
        <f>_xlfn.XLOOKUP(B252,[8]Sheet1!$B:$B,[8]Sheet1!$C:$C,0)</f>
        <v>9449522</v>
      </c>
      <c r="S252" s="37">
        <f>_xlfn.XLOOKUP(B252,[9]PROV!$A:$A,[9]PROV!$B:$B,0)</f>
        <v>0</v>
      </c>
      <c r="U252" s="37">
        <f>_xlfn.XLOOKUP(B252,'[10]May-2026'!$A:$A,'[10]May-2026'!$B:$B,0)</f>
        <v>0</v>
      </c>
      <c r="W252" s="567">
        <v>1900000</v>
      </c>
    </row>
    <row r="253" spans="1:23" x14ac:dyDescent="0.35">
      <c r="A253" s="47" t="str">
        <f>_xlfn.XLOOKUP(B253,[3]master!B:B,[3]master!A:A)</f>
        <v>Labour charges</v>
      </c>
      <c r="B253" s="537" t="s">
        <v>267</v>
      </c>
      <c r="H253" s="37">
        <f>_xlfn.XLOOKUP(B253,[4]Sheet1!$A:$A,[4]Sheet1!$C:$C,0)</f>
        <v>2639832</v>
      </c>
      <c r="I253" s="37">
        <f>_xlfn.XLOOKUP(B253,[4]Sheet1!$A:$A,[4]Sheet1!$D:$D,0)</f>
        <v>71584</v>
      </c>
      <c r="M253" s="37">
        <f>_xlfn.XLOOKUP(B253,'[5]May- 26'!$A:$A,'[5]May- 26'!$B:$B,0)</f>
        <v>5335438</v>
      </c>
      <c r="P253" s="37">
        <f>_xlfn.XLOOKUP(B253,'[6]May-26'!$A:$A,'[6]May-26'!$B:$B,0)</f>
        <v>0</v>
      </c>
      <c r="Q253" s="37">
        <f>_xlfn.XLOOKUP(B253,'[7]May-26'!$A:$A,'[7]May-26'!$B:$B,0)</f>
        <v>10000000</v>
      </c>
      <c r="R253" s="37">
        <f>_xlfn.XLOOKUP(B253,[8]Sheet1!$B:$B,[8]Sheet1!$C:$C,0)</f>
        <v>6821460</v>
      </c>
      <c r="S253" s="37">
        <f>_xlfn.XLOOKUP(B253,[9]PROV!$A:$A,[9]PROV!$B:$B,0)</f>
        <v>6926989</v>
      </c>
      <c r="U253" s="37">
        <f>_xlfn.XLOOKUP(B253,'[10]May-2026'!$A:$A,'[10]May-2026'!$B:$B,0)</f>
        <v>7142306.0999999996</v>
      </c>
      <c r="W253" s="567">
        <v>6744231</v>
      </c>
    </row>
    <row r="254" spans="1:23" x14ac:dyDescent="0.35">
      <c r="A254" s="47" t="str">
        <f>_xlfn.XLOOKUP(B254,[3]master!B:B,[3]master!A:A)</f>
        <v>Other Administrative Expenses</v>
      </c>
      <c r="B254" s="537" t="s">
        <v>280</v>
      </c>
      <c r="H254" s="37">
        <f>_xlfn.XLOOKUP(B254,[4]Sheet1!$A:$A,[4]Sheet1!$C:$C,0)</f>
        <v>0</v>
      </c>
      <c r="I254" s="37">
        <f>_xlfn.XLOOKUP(B254,[4]Sheet1!$A:$A,[4]Sheet1!$D:$D,0)</f>
        <v>0</v>
      </c>
      <c r="M254" s="37">
        <f>_xlfn.XLOOKUP(B254,'[5]May- 26'!$A:$A,'[5]May- 26'!$B:$B,0)</f>
        <v>196417</v>
      </c>
      <c r="P254" s="37">
        <f>_xlfn.XLOOKUP(B254,'[6]May-26'!$A:$A,'[6]May-26'!$B:$B,0)</f>
        <v>250</v>
      </c>
      <c r="Q254" s="37">
        <f>_xlfn.XLOOKUP(B254,'[7]May-26'!$A:$A,'[7]May-26'!$B:$B,0)</f>
        <v>298000</v>
      </c>
      <c r="R254" s="37">
        <f>_xlfn.XLOOKUP(B254,[8]Sheet1!$B:$B,[8]Sheet1!$C:$C,0)</f>
        <v>952504</v>
      </c>
      <c r="S254" s="37">
        <f>_xlfn.XLOOKUP(B254,[9]PROV!$A:$A,[9]PROV!$B:$B,0)</f>
        <v>0</v>
      </c>
      <c r="U254" s="37">
        <f>_xlfn.XLOOKUP(B254,'[10]May-2026'!$A:$A,'[10]May-2026'!$B:$B,0)</f>
        <v>127490</v>
      </c>
    </row>
    <row r="255" spans="1:23" x14ac:dyDescent="0.35">
      <c r="A255" s="47" t="str">
        <f>_xlfn.XLOOKUP(B255,[3]master!B:B,[3]master!A:A)</f>
        <v>Other Administrative Expenses</v>
      </c>
      <c r="B255" s="537" t="s">
        <v>319</v>
      </c>
      <c r="H255" s="37">
        <f>_xlfn.XLOOKUP(B255,[4]Sheet1!$A:$A,[4]Sheet1!$C:$C,0)</f>
        <v>196240</v>
      </c>
      <c r="I255" s="37">
        <f>_xlfn.XLOOKUP(B255,[4]Sheet1!$A:$A,[4]Sheet1!$D:$D,0)</f>
        <v>0</v>
      </c>
      <c r="M255" s="37">
        <f>_xlfn.XLOOKUP(B255,'[5]May- 26'!$A:$A,'[5]May- 26'!$B:$B,0)</f>
        <v>254855</v>
      </c>
      <c r="P255" s="37">
        <f>_xlfn.XLOOKUP(B255,'[6]May-26'!$A:$A,'[6]May-26'!$B:$B,0)</f>
        <v>34000</v>
      </c>
      <c r="Q255" s="37">
        <f>_xlfn.XLOOKUP(B255,'[7]May-26'!$A:$A,'[7]May-26'!$B:$B,0)</f>
        <v>150000</v>
      </c>
      <c r="R255" s="37">
        <f>_xlfn.XLOOKUP(B255,[8]Sheet1!$B:$B,[8]Sheet1!$C:$C,0)</f>
        <v>150258</v>
      </c>
      <c r="S255" s="37">
        <f>_xlfn.XLOOKUP(B255,[9]PROV!$A:$A,[9]PROV!$B:$B,0)</f>
        <v>235000</v>
      </c>
      <c r="U255" s="37">
        <f>_xlfn.XLOOKUP(B255,'[10]May-2026'!$A:$A,'[10]May-2026'!$B:$B,0)</f>
        <v>0</v>
      </c>
    </row>
    <row r="256" spans="1:23" x14ac:dyDescent="0.35">
      <c r="A256" s="47" t="str">
        <f>_xlfn.XLOOKUP(B256,[3]master!B:B,[3]master!A:A)</f>
        <v>Conveyance, vehicle running and traveling expenses</v>
      </c>
      <c r="B256" s="537" t="s">
        <v>328</v>
      </c>
      <c r="H256" s="37">
        <f>_xlfn.XLOOKUP(B256,[4]Sheet1!$A:$A,[4]Sheet1!$C:$C,0)</f>
        <v>0</v>
      </c>
      <c r="I256" s="37">
        <f>_xlfn.XLOOKUP(B256,[4]Sheet1!$A:$A,[4]Sheet1!$D:$D,0)</f>
        <v>0</v>
      </c>
      <c r="M256" s="37">
        <f>_xlfn.XLOOKUP(B256,'[5]May- 26'!$A:$A,'[5]May- 26'!$B:$B,0)</f>
        <v>37000</v>
      </c>
      <c r="P256" s="37">
        <f>_xlfn.XLOOKUP(B256,'[6]May-26'!$A:$A,'[6]May-26'!$B:$B,0)</f>
        <v>0</v>
      </c>
      <c r="Q256" s="37">
        <f>_xlfn.XLOOKUP(B256,'[7]May-26'!$A:$A,'[7]May-26'!$B:$B,0)</f>
        <v>400000</v>
      </c>
      <c r="R256" s="37">
        <f>_xlfn.XLOOKUP(B256,[8]Sheet1!$B:$B,[8]Sheet1!$C:$C,0)</f>
        <v>23000</v>
      </c>
      <c r="S256" s="37">
        <f>_xlfn.XLOOKUP(B256,[9]PROV!$A:$A,[9]PROV!$B:$B,0)</f>
        <v>0</v>
      </c>
      <c r="U256" s="37">
        <f>_xlfn.XLOOKUP(B256,'[10]May-2026'!$A:$A,'[10]May-2026'!$B:$B,0)</f>
        <v>0</v>
      </c>
    </row>
    <row r="257" spans="1:23" x14ac:dyDescent="0.35">
      <c r="A257" s="47" t="str">
        <f>_xlfn.XLOOKUP(B257,[3]master!B:B,[3]master!A:A)</f>
        <v>Conveyance, vehicle running and traveling expenses</v>
      </c>
      <c r="B257" s="537" t="s">
        <v>551</v>
      </c>
      <c r="H257" s="37">
        <f>_xlfn.XLOOKUP(B257,[4]Sheet1!$A:$A,[4]Sheet1!$C:$C,0)</f>
        <v>0</v>
      </c>
      <c r="I257" s="37">
        <f>_xlfn.XLOOKUP(B257,[4]Sheet1!$A:$A,[4]Sheet1!$D:$D,0)</f>
        <v>0</v>
      </c>
      <c r="M257" s="37">
        <f>_xlfn.XLOOKUP(B257,'[5]May- 26'!$A:$A,'[5]May- 26'!$B:$B,0)</f>
        <v>160000</v>
      </c>
      <c r="P257" s="37">
        <f>_xlfn.XLOOKUP(B257,'[6]May-26'!$A:$A,'[6]May-26'!$B:$B,0)</f>
        <v>0</v>
      </c>
      <c r="Q257" s="37">
        <f>_xlfn.XLOOKUP(B257,'[7]May-26'!$A:$A,'[7]May-26'!$B:$B,0)</f>
        <v>0</v>
      </c>
      <c r="R257" s="37">
        <f>_xlfn.XLOOKUP(B257,[8]Sheet1!$B:$B,[8]Sheet1!$C:$C,0)</f>
        <v>90000</v>
      </c>
      <c r="S257" s="37">
        <f>_xlfn.XLOOKUP(B257,[9]PROV!$A:$A,[9]PROV!$B:$B,0)</f>
        <v>0</v>
      </c>
      <c r="U257" s="37">
        <f>_xlfn.XLOOKUP(B257,'[10]May-2026'!$A:$A,'[10]May-2026'!$B:$B,0)</f>
        <v>0</v>
      </c>
    </row>
    <row r="258" spans="1:23" x14ac:dyDescent="0.35">
      <c r="A258" s="47" t="str">
        <f>_xlfn.XLOOKUP(B258,[3]master!B:B,[3]master!A:A)</f>
        <v>Wind mill income</v>
      </c>
      <c r="B258" s="537" t="s">
        <v>415</v>
      </c>
      <c r="H258" s="37">
        <f>_xlfn.XLOOKUP(B258,[4]Sheet1!$A:$A,[4]Sheet1!$C:$C,0)</f>
        <v>0</v>
      </c>
      <c r="I258" s="37">
        <f>_xlfn.XLOOKUP(B258,[4]Sheet1!$A:$A,[4]Sheet1!$D:$D,0)</f>
        <v>0</v>
      </c>
      <c r="M258" s="37">
        <f>_xlfn.XLOOKUP(B258,'[5]May- 26'!$A:$A,'[5]May- 26'!$B:$B,0)</f>
        <v>0</v>
      </c>
      <c r="P258" s="37">
        <f>_xlfn.XLOOKUP(B258,'[6]May-26'!$A:$A,'[6]May-26'!$B:$B,0)</f>
        <v>0</v>
      </c>
      <c r="Q258" s="37">
        <f>_xlfn.XLOOKUP(B258,'[7]May-26'!$A:$A,'[7]May-26'!$B:$B,0)</f>
        <v>0</v>
      </c>
      <c r="R258" s="37">
        <f>_xlfn.XLOOKUP(B258,[8]Sheet1!$B:$B,[8]Sheet1!$C:$C,0)</f>
        <v>-1260319</v>
      </c>
      <c r="S258" s="37">
        <f>_xlfn.XLOOKUP(B258,[9]PROV!$A:$A,[9]PROV!$B:$B,0)</f>
        <v>0</v>
      </c>
      <c r="U258" s="37">
        <f>_xlfn.XLOOKUP(B258,'[10]May-2026'!$A:$A,'[10]May-2026'!$B:$B,0)</f>
        <v>0</v>
      </c>
    </row>
    <row r="259" spans="1:23" x14ac:dyDescent="0.35">
      <c r="A259" s="47" t="str">
        <f>_xlfn.XLOOKUP(B259,[3]master!B:B,[3]master!A:A)</f>
        <v>Freight Outward and C &amp; F Charges</v>
      </c>
      <c r="B259" s="538" t="s">
        <v>389</v>
      </c>
      <c r="H259" s="37">
        <f>_xlfn.XLOOKUP(B259,[4]Sheet1!$A:$A,[4]Sheet1!$C:$C,0)</f>
        <v>2642466</v>
      </c>
      <c r="I259" s="37">
        <f>_xlfn.XLOOKUP(B259,[4]Sheet1!$A:$A,[4]Sheet1!$D:$D,0)</f>
        <v>0</v>
      </c>
      <c r="M259" s="37">
        <f>_xlfn.XLOOKUP(B259,'[5]May- 26'!$A:$A,'[5]May- 26'!$B:$B,0)</f>
        <v>2109578</v>
      </c>
      <c r="P259" s="37">
        <f>_xlfn.XLOOKUP(B259,'[6]May-26'!$A:$A,'[6]May-26'!$B:$B,0)</f>
        <v>0</v>
      </c>
      <c r="Q259" s="37">
        <f>_xlfn.XLOOKUP(B259,'[7]May-26'!$A:$A,'[7]May-26'!$B:$B,0)</f>
        <v>0</v>
      </c>
      <c r="R259" s="37">
        <f>_xlfn.XLOOKUP(B259,[8]Sheet1!$B:$B,[8]Sheet1!$C:$C,0)</f>
        <v>0</v>
      </c>
      <c r="S259" s="37">
        <f>_xlfn.XLOOKUP(B259,[9]PROV!$A:$A,[9]PROV!$B:$B,0)</f>
        <v>1000000</v>
      </c>
      <c r="U259" s="37">
        <f>_xlfn.XLOOKUP(B259,'[10]May-2026'!$A:$A,'[10]May-2026'!$B:$B,0)</f>
        <v>908700</v>
      </c>
      <c r="W259" s="567">
        <v>225000</v>
      </c>
    </row>
    <row r="260" spans="1:23" x14ac:dyDescent="0.35">
      <c r="A260" s="47" t="str">
        <f>_xlfn.XLOOKUP(B260,[3]master!B:B,[3]master!A:A)</f>
        <v>Other Administrative Expenses</v>
      </c>
      <c r="B260" s="539" t="s">
        <v>381</v>
      </c>
      <c r="H260" s="37">
        <f>_xlfn.XLOOKUP(B260,[4]Sheet1!$A:$A,[4]Sheet1!$C:$C,0)</f>
        <v>828910</v>
      </c>
      <c r="I260" s="37">
        <f>_xlfn.XLOOKUP(B260,[4]Sheet1!$A:$A,[4]Sheet1!$D:$D,0)</f>
        <v>50000</v>
      </c>
      <c r="M260" s="37">
        <f>_xlfn.XLOOKUP(B260,'[5]May- 26'!$A:$A,'[5]May- 26'!$B:$B,0)</f>
        <v>401900</v>
      </c>
      <c r="P260" s="37">
        <f>_xlfn.XLOOKUP(B260,'[6]May-26'!$A:$A,'[6]May-26'!$B:$B,0)</f>
        <v>0</v>
      </c>
      <c r="Q260" s="37">
        <f>_xlfn.XLOOKUP(B260,'[7]May-26'!$A:$A,'[7]May-26'!$B:$B,0)</f>
        <v>395000</v>
      </c>
      <c r="R260" s="37">
        <f>_xlfn.XLOOKUP(B260,[8]Sheet1!$B:$B,[8]Sheet1!$C:$C,0)</f>
        <v>125000</v>
      </c>
      <c r="S260" s="37">
        <f>_xlfn.XLOOKUP(B260,[9]PROV!$A:$A,[9]PROV!$B:$B,0)</f>
        <v>0</v>
      </c>
      <c r="U260" s="37">
        <f>_xlfn.XLOOKUP(B260,'[10]May-2026'!$A:$A,'[10]May-2026'!$B:$B,0)</f>
        <v>0</v>
      </c>
    </row>
    <row r="261" spans="1:23" x14ac:dyDescent="0.35">
      <c r="A261" s="47" t="str">
        <f>_xlfn.XLOOKUP(B261,[3]master!B:B,[3]master!A:A)</f>
        <v>Other Administrative Expenses</v>
      </c>
      <c r="B261" s="539" t="s">
        <v>379</v>
      </c>
      <c r="H261" s="37">
        <f>_xlfn.XLOOKUP(B261,[4]Sheet1!$A:$A,[4]Sheet1!$C:$C,0)</f>
        <v>0</v>
      </c>
      <c r="I261" s="37">
        <f>_xlfn.XLOOKUP(B261,[4]Sheet1!$A:$A,[4]Sheet1!$D:$D,0)</f>
        <v>0</v>
      </c>
      <c r="M261" s="37">
        <f>_xlfn.XLOOKUP(B261,'[5]May- 26'!$A:$A,'[5]May- 26'!$B:$B,0)</f>
        <v>0</v>
      </c>
      <c r="P261" s="37">
        <f>_xlfn.XLOOKUP(B261,'[6]May-26'!$A:$A,'[6]May-26'!$B:$B,0)</f>
        <v>0</v>
      </c>
      <c r="Q261" s="37">
        <f>_xlfn.XLOOKUP(B261,'[7]May-26'!$A:$A,'[7]May-26'!$B:$B,0)</f>
        <v>7500</v>
      </c>
      <c r="R261" s="37">
        <f>_xlfn.XLOOKUP(B261,[8]Sheet1!$B:$B,[8]Sheet1!$C:$C,0)</f>
        <v>0</v>
      </c>
      <c r="S261" s="37">
        <f>_xlfn.XLOOKUP(B261,[9]PROV!$A:$A,[9]PROV!$B:$B,0)</f>
        <v>0</v>
      </c>
      <c r="U261" s="37">
        <f>_xlfn.XLOOKUP(B261,'[10]May-2026'!$A:$A,'[10]May-2026'!$B:$B,0)</f>
        <v>7500</v>
      </c>
    </row>
    <row r="262" spans="1:23" x14ac:dyDescent="0.35">
      <c r="A262" s="47" t="str">
        <f>_xlfn.XLOOKUP(B262,[3]master!B:B,[3]master!A:A)</f>
        <v>Contribution to provident and other funds</v>
      </c>
      <c r="B262" s="539" t="s">
        <v>331</v>
      </c>
      <c r="H262" s="37">
        <f>_xlfn.XLOOKUP(B262,[4]Sheet1!$A:$A,[4]Sheet1!$C:$C,0)</f>
        <v>98000</v>
      </c>
      <c r="I262" s="37">
        <f>_xlfn.XLOOKUP(B262,[4]Sheet1!$A:$A,[4]Sheet1!$D:$D,0)</f>
        <v>8000</v>
      </c>
      <c r="M262" s="37">
        <f>_xlfn.XLOOKUP(B262,'[5]May- 26'!$A:$A,'[5]May- 26'!$B:$B,0)</f>
        <v>0</v>
      </c>
      <c r="P262" s="37">
        <f>_xlfn.XLOOKUP(B262,'[6]May-26'!$A:$A,'[6]May-26'!$B:$B,0)</f>
        <v>0</v>
      </c>
      <c r="Q262" s="37">
        <f>_xlfn.XLOOKUP(B262,'[7]May-26'!$A:$A,'[7]May-26'!$B:$B,0)</f>
        <v>145000</v>
      </c>
      <c r="R262" s="37">
        <f>_xlfn.XLOOKUP(B262,[8]Sheet1!$B:$B,[8]Sheet1!$C:$C,0)</f>
        <v>0</v>
      </c>
      <c r="S262" s="37">
        <f>_xlfn.XLOOKUP(B262,[9]PROV!$A:$A,[9]PROV!$B:$B,0)</f>
        <v>0</v>
      </c>
      <c r="U262" s="37">
        <f>_xlfn.XLOOKUP(B262,'[10]May-2026'!$A:$A,'[10]May-2026'!$B:$B,0)</f>
        <v>33466</v>
      </c>
    </row>
    <row r="263" spans="1:23" x14ac:dyDescent="0.35">
      <c r="A263" s="47" t="str">
        <f>_xlfn.XLOOKUP(B263,[3]master!B:B,[3]master!A:A)</f>
        <v>Other Administrative Expenses</v>
      </c>
      <c r="B263" s="539" t="s">
        <v>311</v>
      </c>
      <c r="H263" s="37">
        <f>_xlfn.XLOOKUP(B263,[4]Sheet1!$A:$A,[4]Sheet1!$C:$C,0)</f>
        <v>0</v>
      </c>
      <c r="I263" s="37">
        <f>_xlfn.XLOOKUP(B263,[4]Sheet1!$A:$A,[4]Sheet1!$D:$D,0)</f>
        <v>0</v>
      </c>
      <c r="M263" s="37">
        <f>_xlfn.XLOOKUP(B263,'[5]May- 26'!$A:$A,'[5]May- 26'!$B:$B,0)</f>
        <v>0</v>
      </c>
      <c r="P263" s="37">
        <f>_xlfn.XLOOKUP(B263,'[6]May-26'!$A:$A,'[6]May-26'!$B:$B,0)</f>
        <v>707</v>
      </c>
      <c r="Q263" s="37">
        <f>_xlfn.XLOOKUP(B263,'[7]May-26'!$A:$A,'[7]May-26'!$B:$B,0)</f>
        <v>22000</v>
      </c>
      <c r="R263" s="37">
        <f>_xlfn.XLOOKUP(B263,[8]Sheet1!$B:$B,[8]Sheet1!$C:$C,0)</f>
        <v>0</v>
      </c>
      <c r="S263" s="37">
        <f>_xlfn.XLOOKUP(B263,[9]PROV!$A:$A,[9]PROV!$B:$B,0)</f>
        <v>0</v>
      </c>
      <c r="U263" s="37">
        <f>_xlfn.XLOOKUP(B263,'[10]May-2026'!$A:$A,'[10]May-2026'!$B:$B,0)</f>
        <v>0</v>
      </c>
    </row>
    <row r="264" spans="1:23" x14ac:dyDescent="0.35">
      <c r="A264" s="47" t="str">
        <f>_xlfn.XLOOKUP(B264,[3]master!B:B,[3]master!A:A)</f>
        <v>Freight Outward and C &amp; F Charges</v>
      </c>
      <c r="B264" s="537" t="s">
        <v>278</v>
      </c>
      <c r="H264" s="37">
        <f>_xlfn.XLOOKUP(B264,[4]Sheet1!$A:$A,[4]Sheet1!$C:$C,0)</f>
        <v>23660</v>
      </c>
      <c r="I264" s="37">
        <f>_xlfn.XLOOKUP(B264,[4]Sheet1!$A:$A,[4]Sheet1!$D:$D,0)</f>
        <v>0</v>
      </c>
      <c r="M264" s="37">
        <f>_xlfn.XLOOKUP(B264,'[5]May- 26'!$A:$A,'[5]May- 26'!$B:$B,0)</f>
        <v>20000</v>
      </c>
      <c r="P264" s="37">
        <f>_xlfn.XLOOKUP(B264,'[6]May-26'!$A:$A,'[6]May-26'!$B:$B,0)</f>
        <v>0</v>
      </c>
      <c r="Q264" s="37">
        <f>_xlfn.XLOOKUP(B264,'[7]May-26'!$A:$A,'[7]May-26'!$B:$B,0)</f>
        <v>100000</v>
      </c>
      <c r="R264" s="37">
        <f>_xlfn.XLOOKUP(B264,[8]Sheet1!$B:$B,[8]Sheet1!$C:$C,0)</f>
        <v>0</v>
      </c>
      <c r="S264" s="37">
        <f>_xlfn.XLOOKUP(B264,[9]PROV!$A:$A,[9]PROV!$B:$B,0)</f>
        <v>91523</v>
      </c>
      <c r="U264" s="37">
        <f>_xlfn.XLOOKUP(B264,'[10]May-2026'!$A:$A,'[10]May-2026'!$B:$B,0)</f>
        <v>0</v>
      </c>
    </row>
    <row r="265" spans="1:23" x14ac:dyDescent="0.35">
      <c r="A265" s="47" t="str">
        <f>_xlfn.XLOOKUP(B265,[3]master!B:B,[3]master!A:A)</f>
        <v>Add: Purchase of Stores, Spares &amp; Consumables</v>
      </c>
      <c r="B265" s="537" t="s">
        <v>295</v>
      </c>
      <c r="H265" s="37">
        <f>_xlfn.XLOOKUP(B265,[4]Sheet1!$A:$A,[4]Sheet1!$C:$C,0)</f>
        <v>0</v>
      </c>
      <c r="I265" s="37">
        <f>_xlfn.XLOOKUP(B265,[4]Sheet1!$A:$A,[4]Sheet1!$D:$D,0)</f>
        <v>0</v>
      </c>
      <c r="M265" s="37">
        <f>_xlfn.XLOOKUP(B265,'[5]May- 26'!$A:$A,'[5]May- 26'!$B:$B,0)</f>
        <v>0</v>
      </c>
      <c r="P265" s="37">
        <f>_xlfn.XLOOKUP(B265,'[6]May-26'!$A:$A,'[6]May-26'!$B:$B,0)</f>
        <v>0</v>
      </c>
      <c r="Q265" s="37">
        <f>_xlfn.XLOOKUP(B265,'[7]May-26'!$A:$A,'[7]May-26'!$B:$B,0)</f>
        <v>0</v>
      </c>
      <c r="R265" s="37">
        <f>_xlfn.XLOOKUP(B265,[8]Sheet1!$B:$B,[8]Sheet1!$C:$C,0)</f>
        <v>0</v>
      </c>
      <c r="S265" s="37">
        <f>_xlfn.XLOOKUP(B265,[9]PROV!$A:$A,[9]PROV!$B:$B,0)</f>
        <v>0</v>
      </c>
      <c r="U265" s="37">
        <f>_xlfn.XLOOKUP(B265,'[10]May-2026'!$A:$A,'[10]May-2026'!$B:$B,0)</f>
        <v>0</v>
      </c>
    </row>
    <row r="266" spans="1:23" x14ac:dyDescent="0.35">
      <c r="A266" s="47" t="str">
        <f>_xlfn.XLOOKUP(B266,[3]master!B:B,[3]master!A:A)</f>
        <v>Conveyance, vehicle running and traveling expenses</v>
      </c>
      <c r="B266" s="537" t="s">
        <v>302</v>
      </c>
      <c r="H266" s="37">
        <f>_xlfn.XLOOKUP(B266,[4]Sheet1!$A:$A,[4]Sheet1!$C:$C,0)</f>
        <v>11864</v>
      </c>
      <c r="I266" s="37">
        <f>_xlfn.XLOOKUP(B266,[4]Sheet1!$A:$A,[4]Sheet1!$D:$D,0)</f>
        <v>2000</v>
      </c>
      <c r="M266" s="37">
        <f>_xlfn.XLOOKUP(B266,'[5]May- 26'!$A:$A,'[5]May- 26'!$B:$B,0)</f>
        <v>0</v>
      </c>
      <c r="P266" s="37">
        <f>_xlfn.XLOOKUP(B266,'[6]May-26'!$A:$A,'[6]May-26'!$B:$B,0)</f>
        <v>0</v>
      </c>
      <c r="Q266" s="37">
        <f>_xlfn.XLOOKUP(B266,'[7]May-26'!$A:$A,'[7]May-26'!$B:$B,0)</f>
        <v>0</v>
      </c>
      <c r="R266" s="37">
        <f>_xlfn.XLOOKUP(B266,[8]Sheet1!$B:$B,[8]Sheet1!$C:$C,0)</f>
        <v>0</v>
      </c>
      <c r="S266" s="37">
        <f>_xlfn.XLOOKUP(B266,[9]PROV!$A:$A,[9]PROV!$B:$B,0)</f>
        <v>0</v>
      </c>
      <c r="U266" s="37">
        <f>_xlfn.XLOOKUP(B266,'[10]May-2026'!$A:$A,'[10]May-2026'!$B:$B,0)</f>
        <v>0</v>
      </c>
    </row>
    <row r="267" spans="1:23" x14ac:dyDescent="0.35">
      <c r="A267" s="47" t="str">
        <f>_xlfn.XLOOKUP(B267,[3]master!B:B,[3]master!A:A)</f>
        <v>Other Administrative Expenses</v>
      </c>
      <c r="B267" s="537" t="s">
        <v>315</v>
      </c>
      <c r="H267" s="37">
        <f>_xlfn.XLOOKUP(B267,[4]Sheet1!$A:$A,[4]Sheet1!$C:$C,0)</f>
        <v>1700</v>
      </c>
      <c r="I267" s="37">
        <f>_xlfn.XLOOKUP(B267,[4]Sheet1!$A:$A,[4]Sheet1!$D:$D,0)</f>
        <v>0</v>
      </c>
      <c r="M267" s="37">
        <f>_xlfn.XLOOKUP(B267,'[5]May- 26'!$A:$A,'[5]May- 26'!$B:$B,0)</f>
        <v>0</v>
      </c>
      <c r="P267" s="37">
        <f>_xlfn.XLOOKUP(B267,'[6]May-26'!$A:$A,'[6]May-26'!$B:$B,0)</f>
        <v>0</v>
      </c>
      <c r="Q267" s="37">
        <f>_xlfn.XLOOKUP(B267,'[7]May-26'!$A:$A,'[7]May-26'!$B:$B,0)</f>
        <v>27716</v>
      </c>
      <c r="R267" s="37">
        <f>_xlfn.XLOOKUP(B267,[8]Sheet1!$B:$B,[8]Sheet1!$C:$C,0)</f>
        <v>0</v>
      </c>
      <c r="S267" s="37">
        <f>_xlfn.XLOOKUP(B267,[9]PROV!$A:$A,[9]PROV!$B:$B,0)</f>
        <v>0</v>
      </c>
      <c r="U267" s="37">
        <f>_xlfn.XLOOKUP(B267,'[10]May-2026'!$A:$A,'[10]May-2026'!$B:$B,0)</f>
        <v>0</v>
      </c>
    </row>
    <row r="268" spans="1:23" ht="12.75" customHeight="1" x14ac:dyDescent="0.35">
      <c r="A268" s="47" t="str">
        <f>_xlfn.XLOOKUP(B268,[3]master!B:B,[3]master!A:A)</f>
        <v>Other Administrative Expenses</v>
      </c>
      <c r="B268" s="537" t="s">
        <v>316</v>
      </c>
      <c r="H268" s="37">
        <f>_xlfn.XLOOKUP(B268,[4]Sheet1!$A:$A,[4]Sheet1!$C:$C,0)</f>
        <v>6000</v>
      </c>
      <c r="I268" s="37">
        <f>_xlfn.XLOOKUP(B268,[4]Sheet1!$A:$A,[4]Sheet1!$D:$D,0)</f>
        <v>0</v>
      </c>
      <c r="M268" s="37">
        <f>_xlfn.XLOOKUP(B268,'[5]May- 26'!$A:$A,'[5]May- 26'!$B:$B,0)</f>
        <v>0</v>
      </c>
      <c r="P268" s="37">
        <f>_xlfn.XLOOKUP(B268,'[6]May-26'!$A:$A,'[6]May-26'!$B:$B,0)</f>
        <v>0</v>
      </c>
      <c r="Q268" s="37">
        <f>_xlfn.XLOOKUP(B268,'[7]May-26'!$A:$A,'[7]May-26'!$B:$B,0)</f>
        <v>9000</v>
      </c>
      <c r="R268" s="37">
        <f>_xlfn.XLOOKUP(B268,[8]Sheet1!$B:$B,[8]Sheet1!$C:$C,0)</f>
        <v>0</v>
      </c>
      <c r="S268" s="37">
        <f>_xlfn.XLOOKUP(B268,[9]PROV!$A:$A,[9]PROV!$B:$B,0)</f>
        <v>0</v>
      </c>
      <c r="U268" s="37">
        <f>_xlfn.XLOOKUP(B268,'[10]May-2026'!$A:$A,'[10]May-2026'!$B:$B,0)</f>
        <v>0</v>
      </c>
    </row>
    <row r="269" spans="1:23" x14ac:dyDescent="0.35">
      <c r="A269" s="47" t="str">
        <f>_xlfn.XLOOKUP(B269,[3]master!B:B,[3]master!A:A)</f>
        <v>Other Administrative Expenses</v>
      </c>
      <c r="B269" s="537" t="s">
        <v>327</v>
      </c>
      <c r="H269" s="37">
        <f>_xlfn.XLOOKUP(B269,[4]Sheet1!$A:$A,[4]Sheet1!$C:$C,0)</f>
        <v>0</v>
      </c>
      <c r="I269" s="37">
        <f>_xlfn.XLOOKUP(B269,[4]Sheet1!$A:$A,[4]Sheet1!$D:$D,0)</f>
        <v>0</v>
      </c>
      <c r="M269" s="37">
        <f>_xlfn.XLOOKUP(B269,'[5]May- 26'!$A:$A,'[5]May- 26'!$B:$B,0)</f>
        <v>881909</v>
      </c>
      <c r="P269" s="37">
        <f>_xlfn.XLOOKUP(B269,'[6]May-26'!$A:$A,'[6]May-26'!$B:$B,0)</f>
        <v>0</v>
      </c>
      <c r="Q269" s="37">
        <f>_xlfn.XLOOKUP(B269,'[7]May-26'!$A:$A,'[7]May-26'!$B:$B,0)</f>
        <v>167730</v>
      </c>
      <c r="R269" s="37">
        <f>_xlfn.XLOOKUP(B269,[8]Sheet1!$B:$B,[8]Sheet1!$C:$C,0)</f>
        <v>0</v>
      </c>
      <c r="S269" s="37">
        <f>_xlfn.XLOOKUP(B269,[9]PROV!$A:$A,[9]PROV!$B:$B,0)</f>
        <v>0</v>
      </c>
      <c r="U269" s="37">
        <f>_xlfn.XLOOKUP(B269,'[10]May-2026'!$A:$A,'[10]May-2026'!$B:$B,0)</f>
        <v>0</v>
      </c>
    </row>
    <row r="270" spans="1:23" x14ac:dyDescent="0.35">
      <c r="A270" s="47" t="str">
        <f>_xlfn.XLOOKUP(B270,[3]master!B:B,[3]master!A:A)</f>
        <v xml:space="preserve">Salaries, wages and  bonus </v>
      </c>
      <c r="B270" s="537" t="s">
        <v>350</v>
      </c>
      <c r="H270" s="37">
        <f>_xlfn.XLOOKUP(B270,[4]Sheet1!$A:$A,[4]Sheet1!$C:$C,0)</f>
        <v>0</v>
      </c>
      <c r="I270" s="37">
        <f>_xlfn.XLOOKUP(B270,[4]Sheet1!$A:$A,[4]Sheet1!$D:$D,0)</f>
        <v>0</v>
      </c>
      <c r="M270" s="37">
        <f>_xlfn.XLOOKUP(B270,'[5]May- 26'!$A:$A,'[5]May- 26'!$B:$B,0)</f>
        <v>0</v>
      </c>
      <c r="P270" s="37">
        <f>_xlfn.XLOOKUP(B270,'[6]May-26'!$A:$A,'[6]May-26'!$B:$B,0)</f>
        <v>0</v>
      </c>
      <c r="Q270" s="37">
        <f>_xlfn.XLOOKUP(B270,'[7]May-26'!$A:$A,'[7]May-26'!$B:$B,0)</f>
        <v>0</v>
      </c>
      <c r="R270" s="37">
        <f>_xlfn.XLOOKUP(B270,[8]Sheet1!$B:$B,[8]Sheet1!$C:$C,0)</f>
        <v>0</v>
      </c>
      <c r="S270" s="37">
        <f>_xlfn.XLOOKUP(B270,[9]PROV!$A:$A,[9]PROV!$B:$B,0)</f>
        <v>0</v>
      </c>
      <c r="U270" s="37">
        <f>_xlfn.XLOOKUP(B270,'[10]May-2026'!$A:$A,'[10]May-2026'!$B:$B,0)</f>
        <v>0</v>
      </c>
    </row>
    <row r="271" spans="1:23" x14ac:dyDescent="0.35">
      <c r="A271" s="47" t="str">
        <f>_xlfn.XLOOKUP(B271,[3]master!B:B,[3]master!A:A)</f>
        <v>Freight Outward and C &amp; F Charges</v>
      </c>
      <c r="B271" s="537" t="s">
        <v>388</v>
      </c>
      <c r="H271" s="37">
        <f>_xlfn.XLOOKUP(B271,[4]Sheet1!$A:$A,[4]Sheet1!$C:$C,0)</f>
        <v>342750</v>
      </c>
      <c r="I271" s="37">
        <f>_xlfn.XLOOKUP(B271,[4]Sheet1!$A:$A,[4]Sheet1!$D:$D,0)</f>
        <v>0</v>
      </c>
      <c r="M271" s="37">
        <f>_xlfn.XLOOKUP(B271,'[5]May- 26'!$A:$A,'[5]May- 26'!$B:$B,0)</f>
        <v>505500</v>
      </c>
      <c r="P271" s="37">
        <f>_xlfn.XLOOKUP(B271,'[6]May-26'!$A:$A,'[6]May-26'!$B:$B,0)</f>
        <v>0</v>
      </c>
      <c r="Q271" s="37">
        <f>_xlfn.XLOOKUP(B271,'[7]May-26'!$A:$A,'[7]May-26'!$B:$B,0)</f>
        <v>45000</v>
      </c>
      <c r="R271" s="37">
        <f>_xlfn.XLOOKUP(B271,[8]Sheet1!$B:$B,[8]Sheet1!$C:$C,0)</f>
        <v>0</v>
      </c>
      <c r="S271" s="37">
        <f>_xlfn.XLOOKUP(B271,[9]PROV!$A:$A,[9]PROV!$B:$B,0)</f>
        <v>1000000</v>
      </c>
      <c r="U271" s="37">
        <f>_xlfn.XLOOKUP(B271,'[10]May-2026'!$A:$A,'[10]May-2026'!$B:$B,0)</f>
        <v>0</v>
      </c>
    </row>
    <row r="272" spans="1:23" x14ac:dyDescent="0.35">
      <c r="A272" s="47" t="str">
        <f>_xlfn.XLOOKUP(B272,[3]master!B:B,[3]master!A:A)</f>
        <v>Contribution to provident and other funds</v>
      </c>
      <c r="B272" s="537" t="s">
        <v>552</v>
      </c>
      <c r="H272" s="37">
        <f>_xlfn.XLOOKUP(B272,[4]Sheet1!$A:$A,[4]Sheet1!$C:$C,0)</f>
        <v>0</v>
      </c>
      <c r="I272" s="37">
        <f>_xlfn.XLOOKUP(B272,[4]Sheet1!$A:$A,[4]Sheet1!$D:$D,0)</f>
        <v>0</v>
      </c>
      <c r="M272" s="37">
        <f>_xlfn.XLOOKUP(B272,'[5]May- 26'!$A:$A,'[5]May- 26'!$B:$B,0)</f>
        <v>0</v>
      </c>
      <c r="P272" s="37">
        <f>_xlfn.XLOOKUP(B272,'[6]May-26'!$A:$A,'[6]May-26'!$B:$B,0)</f>
        <v>0</v>
      </c>
      <c r="Q272" s="37">
        <f>_xlfn.XLOOKUP(B272,'[7]May-26'!$A:$A,'[7]May-26'!$B:$B,0)</f>
        <v>0</v>
      </c>
      <c r="R272" s="37">
        <f>_xlfn.XLOOKUP(B272,[8]Sheet1!$B:$B,[8]Sheet1!$C:$C,0)</f>
        <v>0</v>
      </c>
      <c r="S272" s="37">
        <f>_xlfn.XLOOKUP(B272,[9]PROV!$A:$A,[9]PROV!$B:$B,0)</f>
        <v>0</v>
      </c>
      <c r="U272" s="37">
        <f>_xlfn.XLOOKUP(B272,'[10]May-2026'!$A:$A,'[10]May-2026'!$B:$B,0)</f>
        <v>0</v>
      </c>
    </row>
    <row r="273" spans="1:21" x14ac:dyDescent="0.35">
      <c r="A273" s="47" t="str">
        <f>_xlfn.XLOOKUP(B273,[3]master!B:B,[3]master!A:A)</f>
        <v>Other Administrative Expenses</v>
      </c>
      <c r="B273" s="537" t="s">
        <v>306</v>
      </c>
      <c r="H273" s="37">
        <f>_xlfn.XLOOKUP(B273,[4]Sheet1!$A:$A,[4]Sheet1!$C:$C,0)</f>
        <v>0</v>
      </c>
      <c r="I273" s="37">
        <f>_xlfn.XLOOKUP(B273,[4]Sheet1!$A:$A,[4]Sheet1!$D:$D,0)</f>
        <v>0</v>
      </c>
      <c r="M273" s="37">
        <f>_xlfn.XLOOKUP(B273,'[5]May- 26'!$A:$A,'[5]May- 26'!$B:$B,0)</f>
        <v>0</v>
      </c>
      <c r="P273" s="37">
        <f>_xlfn.XLOOKUP(B273,'[6]May-26'!$A:$A,'[6]May-26'!$B:$B,0)</f>
        <v>0</v>
      </c>
      <c r="Q273" s="37">
        <f>_xlfn.XLOOKUP(B273,'[7]May-26'!$A:$A,'[7]May-26'!$B:$B,0)</f>
        <v>0</v>
      </c>
      <c r="R273" s="37">
        <f>_xlfn.XLOOKUP(B273,[8]Sheet1!$B:$B,[8]Sheet1!$C:$C,0)</f>
        <v>0</v>
      </c>
      <c r="S273" s="37">
        <f>_xlfn.XLOOKUP(B273,[9]PROV!$A:$A,[9]PROV!$B:$B,0)</f>
        <v>0</v>
      </c>
      <c r="U273" s="37">
        <f>_xlfn.XLOOKUP(B273,'[10]May-2026'!$A:$A,'[10]May-2026'!$B:$B,0)</f>
        <v>0</v>
      </c>
    </row>
    <row r="274" spans="1:21" x14ac:dyDescent="0.35">
      <c r="A274" s="47" t="str">
        <f>_xlfn.XLOOKUP(B274,[3]master!B:B,[3]master!A:A)</f>
        <v>Gratuity Expenses</v>
      </c>
      <c r="B274" s="537" t="s">
        <v>346</v>
      </c>
      <c r="H274" s="37">
        <f>_xlfn.XLOOKUP(B274,[4]Sheet1!$A:$A,[4]Sheet1!$C:$C,0)</f>
        <v>0</v>
      </c>
      <c r="I274" s="37">
        <f>_xlfn.XLOOKUP(B274,[4]Sheet1!$A:$A,[4]Sheet1!$D:$D,0)</f>
        <v>0</v>
      </c>
      <c r="M274" s="37">
        <f>_xlfn.XLOOKUP(B274,'[5]May- 26'!$A:$A,'[5]May- 26'!$B:$B,0)</f>
        <v>0</v>
      </c>
      <c r="P274" s="37">
        <f>_xlfn.XLOOKUP(B274,'[6]May-26'!$A:$A,'[6]May-26'!$B:$B,0)</f>
        <v>0</v>
      </c>
      <c r="Q274" s="37">
        <f>_xlfn.XLOOKUP(B274,'[7]May-26'!$A:$A,'[7]May-26'!$B:$B,0)</f>
        <v>0</v>
      </c>
      <c r="R274" s="37">
        <f>_xlfn.XLOOKUP(B274,[8]Sheet1!$B:$B,[8]Sheet1!$C:$C,0)</f>
        <v>0</v>
      </c>
      <c r="S274" s="37">
        <f>_xlfn.XLOOKUP(B274,[9]PROV!$A:$A,[9]PROV!$B:$B,0)</f>
        <v>0</v>
      </c>
      <c r="U274" s="37">
        <f>_xlfn.XLOOKUP(B274,'[10]May-2026'!$A:$A,'[10]May-2026'!$B:$B,0)</f>
        <v>0</v>
      </c>
    </row>
    <row r="275" spans="1:21" x14ac:dyDescent="0.35">
      <c r="A275" s="47" t="str">
        <f>_xlfn.XLOOKUP(B275,[3]master!B:B,[3]master!A:A)</f>
        <v xml:space="preserve">Jobwork charges </v>
      </c>
      <c r="B275" s="537" t="s">
        <v>277</v>
      </c>
      <c r="H275" s="37">
        <f>_xlfn.XLOOKUP(B275,[4]Sheet1!$A:$A,[4]Sheet1!$C:$C,0)</f>
        <v>9662240</v>
      </c>
      <c r="I275" s="37">
        <f>_xlfn.XLOOKUP(B275,[4]Sheet1!$A:$A,[4]Sheet1!$D:$D,0)</f>
        <v>932</v>
      </c>
      <c r="M275" s="37">
        <f>_xlfn.XLOOKUP(B275,'[5]May- 26'!$A:$A,'[5]May- 26'!$B:$B,0)</f>
        <v>9884517</v>
      </c>
      <c r="P275" s="37">
        <f>_xlfn.XLOOKUP(B275,'[6]May-26'!$A:$A,'[6]May-26'!$B:$B,0)</f>
        <v>0</v>
      </c>
      <c r="Q275" s="37">
        <f>_xlfn.XLOOKUP(B275,'[7]May-26'!$A:$A,'[7]May-26'!$B:$B,0)</f>
        <v>35000</v>
      </c>
      <c r="R275" s="37">
        <f>_xlfn.XLOOKUP(B275,[8]Sheet1!$B:$B,[8]Sheet1!$C:$C,0)</f>
        <v>0</v>
      </c>
      <c r="S275" s="37">
        <f>_xlfn.XLOOKUP(B275,[9]PROV!$A:$A,[9]PROV!$B:$B,0)</f>
        <v>0</v>
      </c>
      <c r="U275" s="37">
        <f>_xlfn.XLOOKUP(B275,'[10]May-2026'!$A:$A,'[10]May-2026'!$B:$B,0)</f>
        <v>0</v>
      </c>
    </row>
    <row r="276" spans="1:21" x14ac:dyDescent="0.35">
      <c r="A276" s="47" t="str">
        <f>_xlfn.XLOOKUP(B276,[3]master!B:B,[3]master!A:A)</f>
        <v>Other Administrative Expenses</v>
      </c>
      <c r="B276" s="537" t="s">
        <v>323</v>
      </c>
      <c r="H276" s="37">
        <f>_xlfn.XLOOKUP(B276,[4]Sheet1!$A:$A,[4]Sheet1!$C:$C,0)</f>
        <v>0</v>
      </c>
      <c r="I276" s="37">
        <f>_xlfn.XLOOKUP(B276,[4]Sheet1!$A:$A,[4]Sheet1!$D:$D,0)</f>
        <v>0</v>
      </c>
      <c r="M276" s="37">
        <f>_xlfn.XLOOKUP(B276,'[5]May- 26'!$A:$A,'[5]May- 26'!$B:$B,0)</f>
        <v>0</v>
      </c>
      <c r="P276" s="37">
        <f>_xlfn.XLOOKUP(B276,'[6]May-26'!$A:$A,'[6]May-26'!$B:$B,0)</f>
        <v>0</v>
      </c>
      <c r="Q276" s="37">
        <f>_xlfn.XLOOKUP(B276,'[7]May-26'!$A:$A,'[7]May-26'!$B:$B,0)</f>
        <v>39500</v>
      </c>
      <c r="R276" s="37">
        <f>_xlfn.XLOOKUP(B276,[8]Sheet1!$B:$B,[8]Sheet1!$C:$C,0)</f>
        <v>0</v>
      </c>
      <c r="S276" s="37">
        <f>_xlfn.XLOOKUP(B276,[9]PROV!$A:$A,[9]PROV!$B:$B,0)</f>
        <v>0</v>
      </c>
      <c r="U276" s="37">
        <f>_xlfn.XLOOKUP(B276,'[10]May-2026'!$A:$A,'[10]May-2026'!$B:$B,0)</f>
        <v>3560</v>
      </c>
    </row>
    <row r="277" spans="1:21" x14ac:dyDescent="0.35">
      <c r="A277" s="47" t="str">
        <f>_xlfn.XLOOKUP(B277,[3]master!B:B,[3]master!A:A)</f>
        <v>Insurance</v>
      </c>
      <c r="B277" s="537" t="s">
        <v>275</v>
      </c>
      <c r="H277" s="37">
        <f>_xlfn.XLOOKUP(B277,[4]Sheet1!$A:$A,[4]Sheet1!$C:$C,0)</f>
        <v>0</v>
      </c>
      <c r="I277" s="37">
        <f>_xlfn.XLOOKUP(B277,[4]Sheet1!$A:$A,[4]Sheet1!$D:$D,0)</f>
        <v>0</v>
      </c>
      <c r="M277" s="37">
        <f>_xlfn.XLOOKUP(B277,'[5]May- 26'!$A:$A,'[5]May- 26'!$B:$B,0)</f>
        <v>0</v>
      </c>
      <c r="P277" s="37">
        <f>_xlfn.XLOOKUP(B277,'[6]May-26'!$A:$A,'[6]May-26'!$B:$B,0)</f>
        <v>0</v>
      </c>
      <c r="Q277" s="37">
        <f>_xlfn.XLOOKUP(B277,'[7]May-26'!$A:$A,'[7]May-26'!$B:$B,0)</f>
        <v>0</v>
      </c>
      <c r="R277" s="37">
        <f>_xlfn.XLOOKUP(B277,[8]Sheet1!$B:$B,[8]Sheet1!$C:$C,0)</f>
        <v>0</v>
      </c>
      <c r="S277" s="37">
        <f>_xlfn.XLOOKUP(B277,[9]PROV!$A:$A,[9]PROV!$B:$B,0)</f>
        <v>0</v>
      </c>
      <c r="U277" s="37">
        <f>_xlfn.XLOOKUP(B277,'[10]May-2026'!$A:$A,'[10]May-2026'!$B:$B,0)</f>
        <v>0</v>
      </c>
    </row>
    <row r="278" spans="1:21" x14ac:dyDescent="0.35">
      <c r="A278" s="47" t="str">
        <f>_xlfn.XLOOKUP(B278,[3]master!B:B,[3]master!A:A)</f>
        <v>Freight Outward and C &amp; F Charges</v>
      </c>
      <c r="B278" s="537" t="s">
        <v>536</v>
      </c>
      <c r="H278" s="37">
        <f>_xlfn.XLOOKUP(B278,[4]Sheet1!$A:$A,[4]Sheet1!$C:$C,0)</f>
        <v>0</v>
      </c>
      <c r="I278" s="37">
        <f>_xlfn.XLOOKUP(B278,[4]Sheet1!$A:$A,[4]Sheet1!$D:$D,0)</f>
        <v>0</v>
      </c>
      <c r="M278" s="37">
        <f>_xlfn.XLOOKUP(B278,'[5]May- 26'!$A:$A,'[5]May- 26'!$B:$B,0)</f>
        <v>329800</v>
      </c>
      <c r="P278" s="37">
        <f>_xlfn.XLOOKUP(B278,'[6]May-26'!$A:$A,'[6]May-26'!$B:$B,0)</f>
        <v>406500</v>
      </c>
      <c r="Q278" s="37">
        <f>_xlfn.XLOOKUP(B278,'[7]May-26'!$A:$A,'[7]May-26'!$B:$B,0)</f>
        <v>0</v>
      </c>
      <c r="R278" s="37">
        <f>_xlfn.XLOOKUP(B278,[8]Sheet1!$B:$B,[8]Sheet1!$C:$C,0)</f>
        <v>258636</v>
      </c>
      <c r="S278" s="37">
        <f>_xlfn.XLOOKUP(B278,[9]PROV!$A:$A,[9]PROV!$B:$B,0)</f>
        <v>0</v>
      </c>
      <c r="U278" s="37">
        <f>_xlfn.XLOOKUP(B278,'[10]May-2026'!$A:$A,'[10]May-2026'!$B:$B,0)</f>
        <v>497315</v>
      </c>
    </row>
    <row r="279" spans="1:21" x14ac:dyDescent="0.35">
      <c r="A279" s="47" t="str">
        <f>_xlfn.XLOOKUP(B279,[3]master!B:B,[3]master!A:A)</f>
        <v>Other Manufacturing Expenses</v>
      </c>
      <c r="B279" s="537" t="s">
        <v>270</v>
      </c>
      <c r="H279" s="37">
        <f>_xlfn.XLOOKUP(B279,[4]Sheet1!$A:$A,[4]Sheet1!$C:$C,0)</f>
        <v>0</v>
      </c>
      <c r="I279" s="37">
        <f>_xlfn.XLOOKUP(B279,[4]Sheet1!$A:$A,[4]Sheet1!$D:$D,0)</f>
        <v>0</v>
      </c>
      <c r="M279" s="37">
        <f>_xlfn.XLOOKUP(B279,'[5]May- 26'!$A:$A,'[5]May- 26'!$B:$B,0)</f>
        <v>0</v>
      </c>
      <c r="P279" s="37">
        <f>_xlfn.XLOOKUP(B279,'[6]May-26'!$A:$A,'[6]May-26'!$B:$B,0)</f>
        <v>-229285</v>
      </c>
      <c r="Q279" s="37">
        <f>_xlfn.XLOOKUP(B279,'[7]May-26'!$A:$A,'[7]May-26'!$B:$B,0)</f>
        <v>0</v>
      </c>
      <c r="R279" s="37">
        <f>_xlfn.XLOOKUP(B279,[8]Sheet1!$B:$B,[8]Sheet1!$C:$C,0)</f>
        <v>0</v>
      </c>
      <c r="S279" s="37">
        <f>_xlfn.XLOOKUP(B279,[9]PROV!$A:$A,[9]PROV!$B:$B,0)</f>
        <v>0</v>
      </c>
      <c r="U279" s="37">
        <f>_xlfn.XLOOKUP(B279,'[10]May-2026'!$A:$A,'[10]May-2026'!$B:$B,0)</f>
        <v>0</v>
      </c>
    </row>
    <row r="280" spans="1:21" x14ac:dyDescent="0.35">
      <c r="A280" s="47" t="str">
        <f>_xlfn.XLOOKUP(B280,[3]master!B:B,[3]master!A:A)</f>
        <v>Insurance</v>
      </c>
      <c r="B280" s="537" t="s">
        <v>308</v>
      </c>
      <c r="H280" s="37">
        <f>_xlfn.XLOOKUP(B280,[4]Sheet1!$A:$A,[4]Sheet1!$C:$C,0)</f>
        <v>0</v>
      </c>
      <c r="I280" s="37">
        <f>_xlfn.XLOOKUP(B280,[4]Sheet1!$A:$A,[4]Sheet1!$D:$D,0)</f>
        <v>0</v>
      </c>
      <c r="M280" s="37">
        <f>_xlfn.XLOOKUP(B280,'[5]May- 26'!$A:$A,'[5]May- 26'!$B:$B,0)</f>
        <v>0</v>
      </c>
      <c r="P280" s="37">
        <f>_xlfn.XLOOKUP(B280,'[6]May-26'!$A:$A,'[6]May-26'!$B:$B,0)</f>
        <v>-100000</v>
      </c>
      <c r="Q280" s="37">
        <f>_xlfn.XLOOKUP(B280,'[7]May-26'!$A:$A,'[7]May-26'!$B:$B,0)</f>
        <v>0</v>
      </c>
      <c r="R280" s="37">
        <f>_xlfn.XLOOKUP(B280,[8]Sheet1!$B:$B,[8]Sheet1!$C:$C,0)</f>
        <v>0</v>
      </c>
      <c r="S280" s="37">
        <f>_xlfn.XLOOKUP(B280,[9]PROV!$A:$A,[9]PROV!$B:$B,0)</f>
        <v>0</v>
      </c>
      <c r="U280" s="37">
        <f>_xlfn.XLOOKUP(B280,'[10]May-2026'!$A:$A,'[10]May-2026'!$B:$B,0)</f>
        <v>0</v>
      </c>
    </row>
    <row r="281" spans="1:21" x14ac:dyDescent="0.35">
      <c r="A281" s="47" t="str">
        <f>_xlfn.XLOOKUP(B281,[3]master!B:B,[3]master!A:A)</f>
        <v>Freight Outward and C &amp; F Charges</v>
      </c>
      <c r="B281" s="537" t="s">
        <v>386</v>
      </c>
      <c r="H281" s="37">
        <f>_xlfn.XLOOKUP(B281,[4]Sheet1!$A:$A,[4]Sheet1!$C:$C,0)</f>
        <v>0</v>
      </c>
      <c r="I281" s="37">
        <f>_xlfn.XLOOKUP(B281,[4]Sheet1!$A:$A,[4]Sheet1!$D:$D,0)</f>
        <v>0</v>
      </c>
      <c r="M281" s="37">
        <f>_xlfn.XLOOKUP(B281,'[5]May- 26'!$A:$A,'[5]May- 26'!$B:$B,0)</f>
        <v>0</v>
      </c>
      <c r="P281" s="37">
        <f>_xlfn.XLOOKUP(B281,'[6]May-26'!$A:$A,'[6]May-26'!$B:$B,0)</f>
        <v>0</v>
      </c>
      <c r="Q281" s="37">
        <f>_xlfn.XLOOKUP(B281,'[7]May-26'!$A:$A,'[7]May-26'!$B:$B,0)</f>
        <v>0</v>
      </c>
      <c r="R281" s="37">
        <f>_xlfn.XLOOKUP(B281,[8]Sheet1!$B:$B,[8]Sheet1!$C:$C,0)</f>
        <v>0</v>
      </c>
      <c r="S281" s="37">
        <f>_xlfn.XLOOKUP(B281,[9]PROV!$A:$A,[9]PROV!$B:$B,0)</f>
        <v>0</v>
      </c>
      <c r="U281" s="37">
        <f>_xlfn.XLOOKUP(B281,'[10]May-2026'!$A:$A,'[10]May-2026'!$B:$B,0)</f>
        <v>0</v>
      </c>
    </row>
    <row r="282" spans="1:21" x14ac:dyDescent="0.35">
      <c r="A282" s="47" t="str">
        <f>_xlfn.XLOOKUP(B282,[3]master!B:B,[3]master!A:A)</f>
        <v>Other Administrative Expenses</v>
      </c>
      <c r="B282" s="537" t="s">
        <v>391</v>
      </c>
      <c r="H282" s="37">
        <f>_xlfn.XLOOKUP(B282,[4]Sheet1!$A:$A,[4]Sheet1!$C:$C,0)</f>
        <v>0</v>
      </c>
      <c r="I282" s="37">
        <f>_xlfn.XLOOKUP(B282,[4]Sheet1!$A:$A,[4]Sheet1!$D:$D,0)</f>
        <v>0</v>
      </c>
      <c r="M282" s="37">
        <f>_xlfn.XLOOKUP(B282,'[5]May- 26'!$A:$A,'[5]May- 26'!$B:$B,0)</f>
        <v>123206</v>
      </c>
      <c r="P282" s="37">
        <f>_xlfn.XLOOKUP(B282,'[6]May-26'!$A:$A,'[6]May-26'!$B:$B,0)</f>
        <v>9500</v>
      </c>
      <c r="Q282" s="37">
        <f>_xlfn.XLOOKUP(B282,'[7]May-26'!$A:$A,'[7]May-26'!$B:$B,0)</f>
        <v>0</v>
      </c>
      <c r="R282" s="37">
        <f>_xlfn.XLOOKUP(B282,[8]Sheet1!$B:$B,[8]Sheet1!$C:$C,0)</f>
        <v>0</v>
      </c>
      <c r="S282" s="37">
        <f>_xlfn.XLOOKUP(B282,[9]PROV!$A:$A,[9]PROV!$B:$B,0)</f>
        <v>0</v>
      </c>
      <c r="U282" s="37">
        <f>_xlfn.XLOOKUP(B282,'[10]May-2026'!$A:$A,'[10]May-2026'!$B:$B,0)</f>
        <v>0</v>
      </c>
    </row>
    <row r="283" spans="1:21" x14ac:dyDescent="0.35">
      <c r="A283" s="47" t="str">
        <f>_xlfn.XLOOKUP(B283,[3]master!B:B,[3]master!A:A)</f>
        <v>Other Administrative Expenses</v>
      </c>
      <c r="B283" s="47" t="s">
        <v>266</v>
      </c>
      <c r="H283" s="37">
        <f>_xlfn.XLOOKUP(B283,[4]Sheet1!$A:$A,[4]Sheet1!$C:$C,0)</f>
        <v>0</v>
      </c>
      <c r="I283" s="37">
        <f>_xlfn.XLOOKUP(B283,[4]Sheet1!$A:$A,[4]Sheet1!$D:$D,0)</f>
        <v>0</v>
      </c>
      <c r="M283" s="37">
        <f>_xlfn.XLOOKUP(B283,'[5]May- 26'!$A:$A,'[5]May- 26'!$B:$B,0)</f>
        <v>54600</v>
      </c>
      <c r="P283" s="37">
        <f>_xlfn.XLOOKUP(B283,'[6]May-26'!$A:$A,'[6]May-26'!$B:$B,0)</f>
        <v>0</v>
      </c>
      <c r="Q283" s="37">
        <f>_xlfn.XLOOKUP(B283,'[7]May-26'!$A:$A,'[7]May-26'!$B:$B,0)</f>
        <v>0</v>
      </c>
      <c r="R283" s="37">
        <f>_xlfn.XLOOKUP(B283,[8]Sheet1!$B:$B,[8]Sheet1!$C:$C,0)</f>
        <v>0</v>
      </c>
      <c r="S283" s="37">
        <f>_xlfn.XLOOKUP(B283,[9]PROV!$A:$A,[9]PROV!$B:$B,0)</f>
        <v>0</v>
      </c>
      <c r="U283" s="37">
        <f>_xlfn.XLOOKUP(B283,'[10]May-2026'!$A:$A,'[10]May-2026'!$B:$B,0)</f>
        <v>0</v>
      </c>
    </row>
    <row r="284" spans="1:21" x14ac:dyDescent="0.35">
      <c r="A284" s="47" t="str">
        <f>_xlfn.XLOOKUP(B284,[3]master!B:B,[3]master!A:A)</f>
        <v>Other Manufacturing Expenses</v>
      </c>
      <c r="B284" s="47" t="s">
        <v>282</v>
      </c>
      <c r="H284" s="37">
        <f>_xlfn.XLOOKUP(B284,[4]Sheet1!$A:$A,[4]Sheet1!$C:$C,0)</f>
        <v>162590</v>
      </c>
      <c r="I284" s="37">
        <f>_xlfn.XLOOKUP(B284,[4]Sheet1!$A:$A,[4]Sheet1!$D:$D,0)</f>
        <v>16300</v>
      </c>
      <c r="M284" s="37">
        <f>_xlfn.XLOOKUP(B284,'[5]May- 26'!$A:$A,'[5]May- 26'!$B:$B,0)</f>
        <v>0</v>
      </c>
      <c r="P284" s="37">
        <f>_xlfn.XLOOKUP(B284,'[6]May-26'!$A:$A,'[6]May-26'!$B:$B,0)</f>
        <v>0</v>
      </c>
      <c r="Q284" s="37">
        <f>_xlfn.XLOOKUP(B284,'[7]May-26'!$A:$A,'[7]May-26'!$B:$B,0)</f>
        <v>0</v>
      </c>
      <c r="R284" s="37">
        <f>_xlfn.XLOOKUP(B284,[8]Sheet1!$B:$B,[8]Sheet1!$C:$C,0)</f>
        <v>0</v>
      </c>
      <c r="S284" s="37">
        <f>_xlfn.XLOOKUP(B284,[9]PROV!$A:$A,[9]PROV!$B:$B,0)</f>
        <v>0</v>
      </c>
      <c r="U284" s="37">
        <f>_xlfn.XLOOKUP(B284,'[10]May-2026'!$A:$A,'[10]May-2026'!$B:$B,0)</f>
        <v>0</v>
      </c>
    </row>
    <row r="285" spans="1:21" x14ac:dyDescent="0.35">
      <c r="A285" s="47" t="str">
        <f>_xlfn.XLOOKUP(B285,[3]master!B:B,[3]master!A:A)</f>
        <v>Other Manufacturing Expenses</v>
      </c>
      <c r="B285" s="47" t="s">
        <v>307</v>
      </c>
      <c r="H285" s="37">
        <f>_xlfn.XLOOKUP(B285,[4]Sheet1!$A:$A,[4]Sheet1!$C:$C,0)</f>
        <v>0</v>
      </c>
      <c r="I285" s="37">
        <f>_xlfn.XLOOKUP(B285,[4]Sheet1!$A:$A,[4]Sheet1!$D:$D,0)</f>
        <v>0</v>
      </c>
      <c r="M285" s="37">
        <f>_xlfn.XLOOKUP(B285,'[5]May- 26'!$A:$A,'[5]May- 26'!$B:$B,0)</f>
        <v>494052</v>
      </c>
      <c r="P285" s="37">
        <f>_xlfn.XLOOKUP(B285,'[6]May-26'!$A:$A,'[6]May-26'!$B:$B,0)</f>
        <v>0</v>
      </c>
      <c r="Q285" s="37">
        <f>_xlfn.XLOOKUP(B285,'[7]May-26'!$A:$A,'[7]May-26'!$B:$B,0)</f>
        <v>0</v>
      </c>
      <c r="R285" s="37">
        <f>_xlfn.XLOOKUP(B285,[8]Sheet1!$B:$B,[8]Sheet1!$C:$C,0)</f>
        <v>0</v>
      </c>
      <c r="S285" s="37">
        <f>_xlfn.XLOOKUP(B285,[9]PROV!$A:$A,[9]PROV!$B:$B,0)</f>
        <v>310000</v>
      </c>
      <c r="U285" s="37">
        <f>_xlfn.XLOOKUP(B285,'[10]May-2026'!$A:$A,'[10]May-2026'!$B:$B,0)</f>
        <v>17600</v>
      </c>
    </row>
    <row r="286" spans="1:21" x14ac:dyDescent="0.35">
      <c r="A286" s="47" t="str">
        <f>_xlfn.XLOOKUP(B286,[3]master!B:B,[3]master!A:A)</f>
        <v>Other Manufacturing Expenses</v>
      </c>
      <c r="B286" s="47" t="s">
        <v>324</v>
      </c>
      <c r="H286" s="37">
        <f>_xlfn.XLOOKUP(B286,[4]Sheet1!$A:$A,[4]Sheet1!$C:$C,0)</f>
        <v>0</v>
      </c>
      <c r="I286" s="37">
        <f>_xlfn.XLOOKUP(B286,[4]Sheet1!$A:$A,[4]Sheet1!$D:$D,0)</f>
        <v>0</v>
      </c>
      <c r="M286" s="37">
        <f>_xlfn.XLOOKUP(B286,'[5]May- 26'!$A:$A,'[5]May- 26'!$B:$B,0)</f>
        <v>0</v>
      </c>
      <c r="P286" s="37">
        <f>_xlfn.XLOOKUP(B286,'[6]May-26'!$A:$A,'[6]May-26'!$B:$B,0)</f>
        <v>0</v>
      </c>
      <c r="Q286" s="37">
        <f>_xlfn.XLOOKUP(B286,'[7]May-26'!$A:$A,'[7]May-26'!$B:$B,0)</f>
        <v>0</v>
      </c>
      <c r="R286" s="37">
        <f>_xlfn.XLOOKUP(B286,[8]Sheet1!$B:$B,[8]Sheet1!$C:$C,0)</f>
        <v>0</v>
      </c>
      <c r="S286" s="37">
        <f>_xlfn.XLOOKUP(B286,[9]PROV!$A:$A,[9]PROV!$B:$B,0)</f>
        <v>0</v>
      </c>
      <c r="U286" s="37">
        <f>_xlfn.XLOOKUP(B286,'[10]May-2026'!$A:$A,'[10]May-2026'!$B:$B,0)</f>
        <v>0</v>
      </c>
    </row>
    <row r="287" spans="1:21" x14ac:dyDescent="0.35">
      <c r="A287" s="47" t="str">
        <f>_xlfn.XLOOKUP(B287,[3]master!B:B,[3]master!A:A)</f>
        <v>Contribution to provident and other funds</v>
      </c>
      <c r="B287" s="47" t="s">
        <v>330</v>
      </c>
      <c r="H287" s="37">
        <f>_xlfn.XLOOKUP(B287,[4]Sheet1!$A:$A,[4]Sheet1!$C:$C,0)</f>
        <v>0</v>
      </c>
      <c r="I287" s="37">
        <f>_xlfn.XLOOKUP(B287,[4]Sheet1!$A:$A,[4]Sheet1!$D:$D,0)</f>
        <v>0</v>
      </c>
      <c r="M287" s="37">
        <f>_xlfn.XLOOKUP(B287,'[5]May- 26'!$A:$A,'[5]May- 26'!$B:$B,0)</f>
        <v>0</v>
      </c>
      <c r="P287" s="37">
        <f>_xlfn.XLOOKUP(B287,'[6]May-26'!$A:$A,'[6]May-26'!$B:$B,0)</f>
        <v>0</v>
      </c>
      <c r="Q287" s="37">
        <f>_xlfn.XLOOKUP(B287,'[7]May-26'!$A:$A,'[7]May-26'!$B:$B,0)</f>
        <v>0</v>
      </c>
      <c r="R287" s="37">
        <f>_xlfn.XLOOKUP(B287,[8]Sheet1!$B:$B,[8]Sheet1!$C:$C,0)</f>
        <v>0</v>
      </c>
      <c r="S287" s="37">
        <f>_xlfn.XLOOKUP(B287,[9]PROV!$A:$A,[9]PROV!$B:$B,0)</f>
        <v>0</v>
      </c>
      <c r="U287" s="37">
        <f>_xlfn.XLOOKUP(B287,'[10]May-2026'!$A:$A,'[10]May-2026'!$B:$B,0)</f>
        <v>0</v>
      </c>
    </row>
    <row r="288" spans="1:21" x14ac:dyDescent="0.35">
      <c r="A288" s="47" t="str">
        <f>_xlfn.XLOOKUP(B288,[3]master!B:B,[3]master!A:A)</f>
        <v>Contribution to provident and other funds</v>
      </c>
      <c r="B288" s="47" t="s">
        <v>345</v>
      </c>
      <c r="H288" s="37">
        <f>_xlfn.XLOOKUP(B288,[4]Sheet1!$A:$A,[4]Sheet1!$C:$C,0)</f>
        <v>12000</v>
      </c>
      <c r="I288" s="37">
        <f>_xlfn.XLOOKUP(B288,[4]Sheet1!$A:$A,[4]Sheet1!$D:$D,0)</f>
        <v>15000</v>
      </c>
      <c r="M288" s="37">
        <f>_xlfn.XLOOKUP(B288,'[5]May- 26'!$A:$A,'[5]May- 26'!$B:$B,0)</f>
        <v>0</v>
      </c>
      <c r="P288" s="37">
        <f>_xlfn.XLOOKUP(B288,'[6]May-26'!$A:$A,'[6]May-26'!$B:$B,0)</f>
        <v>0</v>
      </c>
      <c r="Q288" s="37">
        <f>_xlfn.XLOOKUP(B288,'[7]May-26'!$A:$A,'[7]May-26'!$B:$B,0)</f>
        <v>0</v>
      </c>
      <c r="R288" s="37">
        <f>_xlfn.XLOOKUP(B288,[8]Sheet1!$B:$B,[8]Sheet1!$C:$C,0)</f>
        <v>0</v>
      </c>
      <c r="S288" s="37">
        <f>_xlfn.XLOOKUP(B288,[9]PROV!$A:$A,[9]PROV!$B:$B,0)</f>
        <v>0</v>
      </c>
      <c r="U288" s="37">
        <f>_xlfn.XLOOKUP(B288,'[10]May-2026'!$A:$A,'[10]May-2026'!$B:$B,0)</f>
        <v>0</v>
      </c>
    </row>
    <row r="289" spans="1:23" x14ac:dyDescent="0.35">
      <c r="A289" s="47" t="str">
        <f>_xlfn.XLOOKUP(B289,[3]master!B:B,[3]master!A:A)</f>
        <v>Staff welfare expenses</v>
      </c>
      <c r="B289" s="47" t="s">
        <v>359</v>
      </c>
      <c r="H289" s="37">
        <f>_xlfn.XLOOKUP(B289,[4]Sheet1!$A:$A,[4]Sheet1!$C:$C,0)</f>
        <v>5500</v>
      </c>
      <c r="I289" s="37">
        <f>_xlfn.XLOOKUP(B289,[4]Sheet1!$A:$A,[4]Sheet1!$D:$D,0)</f>
        <v>0</v>
      </c>
      <c r="M289" s="37">
        <f>_xlfn.XLOOKUP(B289,'[5]May- 26'!$A:$A,'[5]May- 26'!$B:$B,0)</f>
        <v>42875</v>
      </c>
      <c r="P289" s="37">
        <f>_xlfn.XLOOKUP(B289,'[6]May-26'!$A:$A,'[6]May-26'!$B:$B,0)</f>
        <v>0</v>
      </c>
      <c r="Q289" s="37">
        <f>_xlfn.XLOOKUP(B289,'[7]May-26'!$A:$A,'[7]May-26'!$B:$B,0)</f>
        <v>0</v>
      </c>
      <c r="R289" s="37">
        <f>_xlfn.XLOOKUP(B289,[8]Sheet1!$B:$B,[8]Sheet1!$C:$C,0)</f>
        <v>0</v>
      </c>
      <c r="S289" s="37">
        <f>_xlfn.XLOOKUP(B289,[9]PROV!$A:$A,[9]PROV!$B:$B,0)</f>
        <v>0</v>
      </c>
      <c r="U289" s="37">
        <f>_xlfn.XLOOKUP(B289,'[10]May-2026'!$A:$A,'[10]May-2026'!$B:$B,0)</f>
        <v>0</v>
      </c>
    </row>
    <row r="290" spans="1:23" x14ac:dyDescent="0.35">
      <c r="A290" s="47" t="str">
        <f>_xlfn.XLOOKUP(B290,[3]master!B:B,[3]master!A:A)</f>
        <v>Exchange Rate Difference</v>
      </c>
      <c r="B290" s="47" t="s">
        <v>365</v>
      </c>
      <c r="H290" s="37">
        <f>_xlfn.XLOOKUP(B290,[4]Sheet1!$A:$A,[4]Sheet1!$C:$C,0)</f>
        <v>0</v>
      </c>
      <c r="I290" s="37">
        <f>_xlfn.XLOOKUP(B290,[4]Sheet1!$A:$A,[4]Sheet1!$D:$D,0)</f>
        <v>0</v>
      </c>
      <c r="M290" s="37">
        <f>_xlfn.XLOOKUP(B290,'[5]May- 26'!$A:$A,'[5]May- 26'!$B:$B,0)</f>
        <v>0</v>
      </c>
      <c r="P290" s="37">
        <f>_xlfn.XLOOKUP(B290,'[6]May-26'!$A:$A,'[6]May-26'!$B:$B,0)</f>
        <v>0</v>
      </c>
      <c r="Q290" s="37">
        <f>_xlfn.XLOOKUP(B290,'[7]May-26'!$A:$A,'[7]May-26'!$B:$B,0)</f>
        <v>0</v>
      </c>
      <c r="R290" s="37">
        <f>_xlfn.XLOOKUP(B290,[8]Sheet1!$B:$B,[8]Sheet1!$C:$C,0)</f>
        <v>0</v>
      </c>
      <c r="S290" s="37">
        <f>_xlfn.XLOOKUP(B290,[9]PROV!$A:$A,[9]PROV!$B:$B,0)</f>
        <v>0</v>
      </c>
      <c r="U290" s="37">
        <f>_xlfn.XLOOKUP(B290,'[10]May-2026'!$A:$A,'[10]May-2026'!$B:$B,0)</f>
        <v>0</v>
      </c>
    </row>
    <row r="291" spans="1:23" x14ac:dyDescent="0.35">
      <c r="A291" s="47" t="str">
        <f>_xlfn.XLOOKUP(B291,[3]master!B:B,[3]master!A:A)</f>
        <v>Other Administrative Expenses</v>
      </c>
      <c r="B291" s="47" t="s">
        <v>269</v>
      </c>
      <c r="H291" s="37">
        <f>_xlfn.XLOOKUP(B291,[4]Sheet1!$A:$A,[4]Sheet1!$C:$C,0)</f>
        <v>0</v>
      </c>
      <c r="I291" s="37">
        <f>_xlfn.XLOOKUP(B291,[4]Sheet1!$A:$A,[4]Sheet1!$D:$D,0)</f>
        <v>0</v>
      </c>
      <c r="M291" s="37">
        <f>_xlfn.XLOOKUP(B291,'[5]May- 26'!$A:$A,'[5]May- 26'!$B:$B,0)</f>
        <v>1307900</v>
      </c>
      <c r="P291" s="37">
        <f>_xlfn.XLOOKUP(B291,'[6]May-26'!$A:$A,'[6]May-26'!$B:$B,0)</f>
        <v>0</v>
      </c>
      <c r="Q291" s="37">
        <f>_xlfn.XLOOKUP(B291,'[7]May-26'!$A:$A,'[7]May-26'!$B:$B,0)</f>
        <v>0</v>
      </c>
      <c r="R291" s="37">
        <f>_xlfn.XLOOKUP(B291,[8]Sheet1!$B:$B,[8]Sheet1!$C:$C,0)</f>
        <v>0</v>
      </c>
      <c r="S291" s="37">
        <f>_xlfn.XLOOKUP(B291,[9]PROV!$A:$A,[9]PROV!$B:$B,0)</f>
        <v>0</v>
      </c>
      <c r="U291" s="37">
        <f>_xlfn.XLOOKUP(B291,'[10]May-2026'!$A:$A,'[10]May-2026'!$B:$B,0)</f>
        <v>0</v>
      </c>
    </row>
    <row r="292" spans="1:23" x14ac:dyDescent="0.35">
      <c r="A292" s="47" t="str">
        <f>_xlfn.XLOOKUP(B292,[3]master!B:B,[3]master!A:A)</f>
        <v>Other Manufacturing Expenses</v>
      </c>
      <c r="B292" s="47" t="s">
        <v>272</v>
      </c>
      <c r="H292" s="37">
        <f>_xlfn.XLOOKUP(B292,[4]Sheet1!$A:$A,[4]Sheet1!$C:$C,0)</f>
        <v>0</v>
      </c>
      <c r="I292" s="37">
        <f>_xlfn.XLOOKUP(B292,[4]Sheet1!$A:$A,[4]Sheet1!$D:$D,0)</f>
        <v>0</v>
      </c>
      <c r="M292" s="37">
        <f>_xlfn.XLOOKUP(B292,'[5]May- 26'!$A:$A,'[5]May- 26'!$B:$B,0)</f>
        <v>0</v>
      </c>
      <c r="P292" s="37">
        <f>_xlfn.XLOOKUP(B292,'[6]May-26'!$A:$A,'[6]May-26'!$B:$B,0)</f>
        <v>0</v>
      </c>
      <c r="Q292" s="37">
        <f>_xlfn.XLOOKUP(B292,'[7]May-26'!$A:$A,'[7]May-26'!$B:$B,0)</f>
        <v>0</v>
      </c>
      <c r="R292" s="37">
        <f>_xlfn.XLOOKUP(B292,[8]Sheet1!$B:$B,[8]Sheet1!$C:$C,0)</f>
        <v>0</v>
      </c>
      <c r="S292" s="37">
        <f>_xlfn.XLOOKUP(B292,[9]PROV!$A:$A,[9]PROV!$B:$B,0)</f>
        <v>0</v>
      </c>
      <c r="U292" s="37">
        <f>_xlfn.XLOOKUP(B292,'[10]May-2026'!$A:$A,'[10]May-2026'!$B:$B,0)</f>
        <v>0</v>
      </c>
    </row>
    <row r="293" spans="1:23" x14ac:dyDescent="0.35">
      <c r="A293" s="47" t="str">
        <f>_xlfn.XLOOKUP(B293,[3]master!B:B,[3]master!A:A)</f>
        <v>Rent Income</v>
      </c>
      <c r="B293" s="47" t="s">
        <v>403</v>
      </c>
      <c r="H293" s="37">
        <f>_xlfn.XLOOKUP(B293,[4]Sheet1!$A:$A,[4]Sheet1!$C:$C,0)</f>
        <v>0</v>
      </c>
      <c r="I293" s="37">
        <f>_xlfn.XLOOKUP(B293,[4]Sheet1!$A:$A,[4]Sheet1!$D:$D,0)</f>
        <v>0</v>
      </c>
      <c r="M293" s="37">
        <f>_xlfn.XLOOKUP(B293,'[5]May- 26'!$A:$A,'[5]May- 26'!$B:$B,0)</f>
        <v>0</v>
      </c>
      <c r="P293" s="37">
        <f>_xlfn.XLOOKUP(B293,'[6]May-26'!$A:$A,'[6]May-26'!$B:$B,0)</f>
        <v>0</v>
      </c>
      <c r="Q293" s="37">
        <f>_xlfn.XLOOKUP(B293,'[7]May-26'!$A:$A,'[7]May-26'!$B:$B,0)</f>
        <v>0</v>
      </c>
      <c r="R293" s="37">
        <f>_xlfn.XLOOKUP(B293,[8]Sheet1!$B:$B,[8]Sheet1!$C:$C,0)</f>
        <v>0</v>
      </c>
      <c r="S293" s="37">
        <f>_xlfn.XLOOKUP(B293,[9]PROV!$A:$A,[9]PROV!$B:$B,0)</f>
        <v>0</v>
      </c>
      <c r="U293" s="37">
        <f>_xlfn.XLOOKUP(B293,'[10]May-2026'!$A:$A,'[10]May-2026'!$B:$B,0)</f>
        <v>0</v>
      </c>
    </row>
    <row r="294" spans="1:23" x14ac:dyDescent="0.35">
      <c r="A294" s="47" t="str">
        <f>_xlfn.XLOOKUP(B294,[3]master!B:B,[3]master!A:A)</f>
        <v>Other Administrative Expenses</v>
      </c>
      <c r="B294" s="47" t="s">
        <v>553</v>
      </c>
      <c r="H294" s="37">
        <f>_xlfn.XLOOKUP(B294,[4]Sheet1!$A:$A,[4]Sheet1!$C:$C,0)</f>
        <v>0</v>
      </c>
      <c r="I294" s="37">
        <f>_xlfn.XLOOKUP(B294,[4]Sheet1!$A:$A,[4]Sheet1!$D:$D,0)</f>
        <v>0</v>
      </c>
      <c r="M294" s="37">
        <f>_xlfn.XLOOKUP(B294,'[5]May- 26'!$A:$A,'[5]May- 26'!$B:$B,0)</f>
        <v>0</v>
      </c>
      <c r="P294" s="37">
        <f>_xlfn.XLOOKUP(B294,'[6]May-26'!$A:$A,'[6]May-26'!$B:$B,0)</f>
        <v>0</v>
      </c>
      <c r="Q294" s="37">
        <f>_xlfn.XLOOKUP(B294,'[7]May-26'!$A:$A,'[7]May-26'!$B:$B,0)</f>
        <v>0</v>
      </c>
      <c r="R294" s="37">
        <f>_xlfn.XLOOKUP(B294,[8]Sheet1!$B:$B,[8]Sheet1!$C:$C,0)</f>
        <v>0</v>
      </c>
      <c r="S294" s="37">
        <f>_xlfn.XLOOKUP(B294,[9]PROV!$A:$A,[9]PROV!$B:$B,0)</f>
        <v>0</v>
      </c>
      <c r="U294" s="37">
        <f>_xlfn.XLOOKUP(B294,'[10]May-2026'!$A:$A,'[10]May-2026'!$B:$B,0)</f>
        <v>0</v>
      </c>
    </row>
    <row r="295" spans="1:23" x14ac:dyDescent="0.35">
      <c r="A295" s="47" t="str">
        <f>_xlfn.XLOOKUP(B295,[3]master!B:B,[3]master!A:A)</f>
        <v>Commission Income</v>
      </c>
      <c r="B295" s="540" t="s">
        <v>414</v>
      </c>
      <c r="H295" s="37">
        <f>_xlfn.XLOOKUP(B295,[4]Sheet1!$A:$A,[4]Sheet1!$C:$C,0)</f>
        <v>0</v>
      </c>
      <c r="I295" s="37">
        <f>_xlfn.XLOOKUP(B295,[4]Sheet1!$A:$A,[4]Sheet1!$D:$D,0)</f>
        <v>0</v>
      </c>
      <c r="M295" s="37">
        <f>_xlfn.XLOOKUP(B295,'[5]May- 26'!$A:$A,'[5]May- 26'!$B:$B,0)</f>
        <v>0</v>
      </c>
      <c r="P295" s="37">
        <f>_xlfn.XLOOKUP(B295,'[6]May-26'!$A:$A,'[6]May-26'!$B:$B,0)</f>
        <v>0</v>
      </c>
      <c r="Q295" s="37">
        <f>_xlfn.XLOOKUP(B295,'[7]May-26'!$A:$A,'[7]May-26'!$B:$B,0)</f>
        <v>0</v>
      </c>
      <c r="R295" s="37">
        <f>_xlfn.XLOOKUP(B295,[8]Sheet1!$B:$B,[8]Sheet1!$C:$C,0)</f>
        <v>0</v>
      </c>
      <c r="S295" s="37">
        <f>_xlfn.XLOOKUP(B295,[9]PROV!$A:$A,[9]PROV!$B:$B,0)</f>
        <v>0</v>
      </c>
      <c r="U295" s="37">
        <f>_xlfn.XLOOKUP(B295,'[10]May-2026'!$A:$A,'[10]May-2026'!$B:$B,0)</f>
        <v>0</v>
      </c>
    </row>
    <row r="296" spans="1:23" x14ac:dyDescent="0.35">
      <c r="A296" s="47" t="str">
        <f>_xlfn.XLOOKUP(B296,[3]master!B:B,[3]master!A:A)</f>
        <v>Interest Received From Customers</v>
      </c>
      <c r="B296" s="537" t="s">
        <v>555</v>
      </c>
      <c r="H296" s="37">
        <f>_xlfn.XLOOKUP(B296,[4]Sheet1!$A:$A,[4]Sheet1!$C:$C,0)</f>
        <v>0</v>
      </c>
      <c r="I296" s="37">
        <f>_xlfn.XLOOKUP(B296,[4]Sheet1!$A:$A,[4]Sheet1!$D:$D,0)</f>
        <v>0</v>
      </c>
      <c r="M296" s="37">
        <f>_xlfn.XLOOKUP(B296,'[5]May- 26'!$A:$A,'[5]May- 26'!$B:$B,0)</f>
        <v>0</v>
      </c>
      <c r="P296" s="37">
        <f>_xlfn.XLOOKUP(B296,'[6]May-26'!$A:$A,'[6]May-26'!$B:$B,0)</f>
        <v>0</v>
      </c>
      <c r="Q296" s="37">
        <f>_xlfn.XLOOKUP(B296,'[7]May-26'!$A:$A,'[7]May-26'!$B:$B,0)</f>
        <v>0</v>
      </c>
      <c r="R296" s="37">
        <f>_xlfn.XLOOKUP(B296,[8]Sheet1!$B:$B,[8]Sheet1!$C:$C,0)</f>
        <v>0</v>
      </c>
      <c r="S296" s="37">
        <f>_xlfn.XLOOKUP(B296,[9]PROV!$A:$A,[9]PROV!$B:$B,0)</f>
        <v>0</v>
      </c>
      <c r="U296" s="37">
        <f>_xlfn.XLOOKUP(B296,'[10]May-2026'!$A:$A,'[10]May-2026'!$B:$B,0)</f>
        <v>0</v>
      </c>
    </row>
    <row r="297" spans="1:23" x14ac:dyDescent="0.35">
      <c r="A297" s="47" t="str">
        <f>_xlfn.XLOOKUP(B297,[3]master!B:B,[3]master!A:A)</f>
        <v>Other Administrative Expenses</v>
      </c>
      <c r="B297" s="47" t="s">
        <v>374</v>
      </c>
      <c r="H297" s="37">
        <f>_xlfn.XLOOKUP(B297,[4]Sheet1!$A:$A,[4]Sheet1!$C:$C,0)</f>
        <v>0</v>
      </c>
      <c r="I297" s="37">
        <f>_xlfn.XLOOKUP(B297,[4]Sheet1!$A:$A,[4]Sheet1!$D:$D,0)</f>
        <v>0</v>
      </c>
      <c r="M297" s="37">
        <f>_xlfn.XLOOKUP(B297,'[5]May- 26'!$A:$A,'[5]May- 26'!$B:$B,0)</f>
        <v>0</v>
      </c>
      <c r="P297" s="37">
        <f>_xlfn.XLOOKUP(B297,'[6]May-26'!$A:$A,'[6]May-26'!$B:$B,0)</f>
        <v>0</v>
      </c>
      <c r="Q297" s="37">
        <f>_xlfn.XLOOKUP(B297,'[7]May-26'!$A:$A,'[7]May-26'!$B:$B,0)</f>
        <v>0</v>
      </c>
      <c r="R297" s="37">
        <f>_xlfn.XLOOKUP(B297,[8]Sheet1!$B:$B,[8]Sheet1!$C:$C,0)</f>
        <v>0</v>
      </c>
      <c r="S297" s="37">
        <f>_xlfn.XLOOKUP(B297,[9]PROV!$A:$A,[9]PROV!$B:$B,0)</f>
        <v>0</v>
      </c>
      <c r="U297" s="37">
        <f>_xlfn.XLOOKUP(B297,'[10]May-2026'!$A:$A,'[10]May-2026'!$B:$B,0)</f>
        <v>0</v>
      </c>
    </row>
    <row r="298" spans="1:23" x14ac:dyDescent="0.35">
      <c r="A298" s="37" t="str">
        <f>_xlfn.XLOOKUP(B298,[3]master!B:B,[3]master!A:A)</f>
        <v>Freight Outward and C &amp; F Charges</v>
      </c>
      <c r="B298" s="532" t="s">
        <v>577</v>
      </c>
      <c r="H298" s="37">
        <f>_xlfn.XLOOKUP(B298,[4]Sheet1!$A:$A,[4]Sheet1!$C:$C,0)</f>
        <v>0</v>
      </c>
      <c r="I298" s="37">
        <f>_xlfn.XLOOKUP(B298,[4]Sheet1!$A:$A,[4]Sheet1!$D:$D,0)</f>
        <v>0</v>
      </c>
      <c r="M298" s="37">
        <f>_xlfn.XLOOKUP(B298,'[5]May- 26'!$A:$A,'[5]May- 26'!$B:$B,0)</f>
        <v>0</v>
      </c>
      <c r="P298" s="37">
        <f>_xlfn.XLOOKUP(B298,'[6]May-26'!$A:$A,'[6]May-26'!$B:$B,0)</f>
        <v>15000</v>
      </c>
      <c r="Q298" s="37">
        <f>_xlfn.XLOOKUP(B298,'[7]May-26'!$A:$A,'[7]May-26'!$B:$B,0)</f>
        <v>0</v>
      </c>
      <c r="R298" s="37">
        <f>_xlfn.XLOOKUP(B298,[8]Sheet1!$B:$B,[8]Sheet1!$C:$C,0)</f>
        <v>0</v>
      </c>
      <c r="S298" s="37">
        <f>_xlfn.XLOOKUP(B298,[9]PROV!$A:$A,[9]PROV!$B:$B,0)</f>
        <v>0</v>
      </c>
      <c r="U298" s="37">
        <f>_xlfn.XLOOKUP(B298,'[10]May-2026'!$A:$A,'[10]May-2026'!$B:$B,0)</f>
        <v>0</v>
      </c>
    </row>
    <row r="299" spans="1:23" x14ac:dyDescent="0.35">
      <c r="A299" s="37" t="str">
        <f>_xlfn.XLOOKUP(B299,[3]master!B:B,[3]master!A:A)</f>
        <v>Brokerage &amp; commission</v>
      </c>
      <c r="B299" s="532" t="s">
        <v>383</v>
      </c>
      <c r="H299" s="37">
        <f>_xlfn.XLOOKUP(B299,[4]Sheet1!$A:$A,[4]Sheet1!$C:$C,0)</f>
        <v>0</v>
      </c>
      <c r="I299" s="37">
        <f>_xlfn.XLOOKUP(B299,[4]Sheet1!$A:$A,[4]Sheet1!$D:$D,0)</f>
        <v>0</v>
      </c>
      <c r="M299" s="37">
        <f>_xlfn.XLOOKUP(B299,'[5]May- 26'!$A:$A,'[5]May- 26'!$B:$B,0)</f>
        <v>0</v>
      </c>
      <c r="P299" s="37">
        <f>_xlfn.XLOOKUP(B299,'[6]May-26'!$A:$A,'[6]May-26'!$B:$B,0)</f>
        <v>0</v>
      </c>
      <c r="Q299" s="37">
        <f>_xlfn.XLOOKUP(B299,'[7]May-26'!$A:$A,'[7]May-26'!$B:$B,0)</f>
        <v>0</v>
      </c>
      <c r="R299" s="37">
        <f>_xlfn.XLOOKUP(B299,[8]Sheet1!$B:$B,[8]Sheet1!$C:$C,0)</f>
        <v>0</v>
      </c>
      <c r="S299" s="37">
        <f>_xlfn.XLOOKUP(B299,[9]PROV!$A:$A,[9]PROV!$B:$B,0)</f>
        <v>0</v>
      </c>
      <c r="U299" s="37">
        <f>_xlfn.XLOOKUP(B299,'[10]May-2026'!$A:$A,'[10]May-2026'!$B:$B,0)</f>
        <v>0</v>
      </c>
    </row>
    <row r="300" spans="1:23" x14ac:dyDescent="0.35">
      <c r="A300" s="37" t="str">
        <f>_xlfn.XLOOKUP(B300,[3]master!B:B,[3]master!A:A)</f>
        <v>Add: Purchase of raw materials</v>
      </c>
      <c r="B300" s="541" t="s">
        <v>287</v>
      </c>
      <c r="H300" s="37">
        <f>_xlfn.XLOOKUP(B300,[4]Sheet1!$A:$A,[4]Sheet1!$C:$C,0)</f>
        <v>0</v>
      </c>
      <c r="I300" s="37">
        <f>_xlfn.XLOOKUP(B300,[4]Sheet1!$A:$A,[4]Sheet1!$D:$D,0)</f>
        <v>0</v>
      </c>
      <c r="M300" s="37">
        <f>_xlfn.XLOOKUP(B300,'[5]May- 26'!$A:$A,'[5]May- 26'!$B:$B,0)</f>
        <v>0</v>
      </c>
      <c r="P300" s="37">
        <f>_xlfn.XLOOKUP(B300,'[6]May-26'!$A:$A,'[6]May-26'!$B:$B,0)</f>
        <v>0</v>
      </c>
      <c r="Q300" s="37">
        <f>_xlfn.XLOOKUP(B300,'[7]May-26'!$A:$A,'[7]May-26'!$B:$B,0)</f>
        <v>0</v>
      </c>
      <c r="R300" s="37">
        <f>_xlfn.XLOOKUP(B300,[8]Sheet1!$B:$B,[8]Sheet1!$C:$C,0)</f>
        <v>0</v>
      </c>
      <c r="S300" s="37">
        <f>_xlfn.XLOOKUP(B300,[9]PROV!$A:$A,[9]PROV!$B:$B,0)</f>
        <v>0</v>
      </c>
      <c r="U300" s="37">
        <f>_xlfn.XLOOKUP(B300,'[10]May-2026'!$A:$A,'[10]May-2026'!$B:$B,0)</f>
        <v>0</v>
      </c>
    </row>
    <row r="301" spans="1:23" x14ac:dyDescent="0.35">
      <c r="A301" s="37" t="str">
        <f>_xlfn.XLOOKUP(B301,[3]master!B:B,[3]master!A:A)</f>
        <v>Add: Purchase of raw materials</v>
      </c>
      <c r="B301" s="541" t="s">
        <v>292</v>
      </c>
      <c r="H301" s="37">
        <f>_xlfn.XLOOKUP(B301,[4]Sheet1!$A:$A,[4]Sheet1!$C:$C,0)</f>
        <v>0</v>
      </c>
      <c r="I301" s="37">
        <f>_xlfn.XLOOKUP(B301,[4]Sheet1!$A:$A,[4]Sheet1!$D:$D,0)</f>
        <v>0</v>
      </c>
      <c r="M301" s="37">
        <f>_xlfn.XLOOKUP(B301,'[5]May- 26'!$A:$A,'[5]May- 26'!$B:$B,0)</f>
        <v>0</v>
      </c>
      <c r="P301" s="37">
        <f>_xlfn.XLOOKUP(B301,'[6]May-26'!$A:$A,'[6]May-26'!$B:$B,0)</f>
        <v>0</v>
      </c>
      <c r="Q301" s="37">
        <f>_xlfn.XLOOKUP(B301,'[7]May-26'!$A:$A,'[7]May-26'!$B:$B,0)</f>
        <v>0</v>
      </c>
      <c r="R301" s="37">
        <f>_xlfn.XLOOKUP(B301,[8]Sheet1!$B:$B,[8]Sheet1!$C:$C,0)</f>
        <v>0</v>
      </c>
      <c r="S301" s="37">
        <f>_xlfn.XLOOKUP(B301,[9]PROV!$A:$A,[9]PROV!$B:$B,0)</f>
        <v>0</v>
      </c>
      <c r="U301" s="37">
        <f>_xlfn.XLOOKUP(B301,'[10]May-2026'!$A:$A,'[10]May-2026'!$B:$B,0)</f>
        <v>0</v>
      </c>
    </row>
    <row r="302" spans="1:23" ht="15" thickBot="1" x14ac:dyDescent="0.4">
      <c r="A302" s="37" t="s">
        <v>431</v>
      </c>
      <c r="B302" s="541" t="s">
        <v>318</v>
      </c>
      <c r="H302" s="37">
        <f>_xlfn.XLOOKUP(B302,[4]Sheet1!$A:$A,[4]Sheet1!$C:$C,0)</f>
        <v>0</v>
      </c>
      <c r="I302" s="37">
        <f>_xlfn.XLOOKUP(B302,[4]Sheet1!$A:$A,[4]Sheet1!$D:$D,0)</f>
        <v>0</v>
      </c>
      <c r="M302" s="37">
        <f>_xlfn.XLOOKUP(B302,'[5]May- 26'!$A:$A,'[5]May- 26'!$B:$B,0)</f>
        <v>0</v>
      </c>
      <c r="P302" s="37">
        <f>_xlfn.XLOOKUP(B302,'[6]May-26'!$A:$A,'[6]May-26'!$B:$B,0)</f>
        <v>0</v>
      </c>
      <c r="Q302" s="37">
        <f>_xlfn.XLOOKUP(B302,'[7]May-26'!$A:$A,'[7]May-26'!$B:$B,0)</f>
        <v>0</v>
      </c>
      <c r="R302" s="37">
        <f>_xlfn.XLOOKUP(B302,[8]Sheet1!$B:$B,[8]Sheet1!$C:$C,0)</f>
        <v>0</v>
      </c>
      <c r="S302" s="37">
        <f>_xlfn.XLOOKUP(B302,[9]PROV!$A:$A,[9]PROV!$B:$B,0)</f>
        <v>0</v>
      </c>
      <c r="U302" s="37">
        <f>_xlfn.XLOOKUP(B302,'[10]May-2026'!$A:$A,'[10]May-2026'!$B:$B,0)</f>
        <v>0</v>
      </c>
    </row>
    <row r="303" spans="1:23" ht="15" thickBot="1" x14ac:dyDescent="0.4">
      <c r="A303" s="47" t="str">
        <f>_xlfn.XLOOKUP(B303,[3]master!B:B,[3]master!A:A)</f>
        <v>Income from Jobwork charges</v>
      </c>
      <c r="B303" s="532" t="s">
        <v>402</v>
      </c>
      <c r="H303" s="37">
        <f>_xlfn.XLOOKUP(B303,[4]Sheet1!$A:$A,[4]Sheet1!$C:$C,0)</f>
        <v>0</v>
      </c>
      <c r="I303" s="37">
        <f>_xlfn.XLOOKUP(B303,[4]Sheet1!$A:$A,[4]Sheet1!$D:$D,0)</f>
        <v>0</v>
      </c>
      <c r="M303" s="37">
        <f>_xlfn.XLOOKUP(B303,'[5]May- 26'!$A:$A,'[5]May- 26'!$B:$B,0)</f>
        <v>0</v>
      </c>
      <c r="P303" s="37">
        <f>_xlfn.XLOOKUP(B303,'[6]May-26'!$A:$A,'[6]May-26'!$B:$B,0)</f>
        <v>0</v>
      </c>
      <c r="Q303" s="37">
        <f>_xlfn.XLOOKUP(B303,'[7]May-26'!$A:$A,'[7]May-26'!$B:$B,0)</f>
        <v>-25185263.410316199</v>
      </c>
      <c r="R303" s="37">
        <f>_xlfn.XLOOKUP(B303,[8]Sheet1!$B:$B,[8]Sheet1!$C:$C,0)</f>
        <v>0</v>
      </c>
      <c r="S303" s="37">
        <f>_xlfn.XLOOKUP(B303,[9]PROV!$A:$A,[9]PROV!$B:$B,0)</f>
        <v>0</v>
      </c>
      <c r="U303" s="37">
        <f>_xlfn.XLOOKUP(B303,'[10]May-2026'!$A:$A,'[10]May-2026'!$B:$B,0)</f>
        <v>0</v>
      </c>
      <c r="W303" s="563">
        <v>-9419906.3399999999</v>
      </c>
    </row>
    <row r="304" spans="1:23" x14ac:dyDescent="0.35">
      <c r="A304" s="47" t="str">
        <f>_xlfn.XLOOKUP(B304,[3]master!B:B,[3]master!A:A)</f>
        <v>Exchange Rate Difference</v>
      </c>
      <c r="B304" s="532" t="s">
        <v>273</v>
      </c>
      <c r="H304" s="37">
        <f>_xlfn.XLOOKUP(B304,[4]Sheet1!$A:$A,[4]Sheet1!$C:$C,0)</f>
        <v>0</v>
      </c>
      <c r="I304" s="37">
        <f>_xlfn.XLOOKUP(B304,[4]Sheet1!$A:$A,[4]Sheet1!$D:$D,0)</f>
        <v>0</v>
      </c>
      <c r="M304" s="37">
        <f>_xlfn.XLOOKUP(B304,'[5]May- 26'!$A:$A,'[5]May- 26'!$B:$B,0)</f>
        <v>0</v>
      </c>
      <c r="P304" s="37">
        <f>_xlfn.XLOOKUP(B304,'[6]May-26'!$A:$A,'[6]May-26'!$B:$B,0)</f>
        <v>0</v>
      </c>
      <c r="Q304" s="37">
        <f>_xlfn.XLOOKUP(B304,'[7]May-26'!$A:$A,'[7]May-26'!$B:$B,0)</f>
        <v>0</v>
      </c>
      <c r="R304" s="37">
        <f>_xlfn.XLOOKUP(B304,[8]Sheet1!$B:$B,[8]Sheet1!$C:$C,0)</f>
        <v>0</v>
      </c>
      <c r="S304" s="37">
        <f>_xlfn.XLOOKUP(B304,[9]PROV!$A:$A,[9]PROV!$B:$B,0)</f>
        <v>0</v>
      </c>
      <c r="U304" s="37">
        <f>_xlfn.XLOOKUP(B304,'[10]May-2026'!$A:$A,'[10]May-2026'!$B:$B,0)</f>
        <v>0</v>
      </c>
    </row>
    <row r="305" spans="1:21" x14ac:dyDescent="0.35">
      <c r="A305" s="47" t="str">
        <f>_xlfn.XLOOKUP(B305,[3]master!B:B,[3]master!A:A)</f>
        <v xml:space="preserve">Salaries, wages and  bonus </v>
      </c>
      <c r="B305" s="532" t="s">
        <v>344</v>
      </c>
      <c r="H305" s="37">
        <f>_xlfn.XLOOKUP(B305,[4]Sheet1!$A:$A,[4]Sheet1!$C:$C,0)</f>
        <v>0</v>
      </c>
      <c r="I305" s="37">
        <f>_xlfn.XLOOKUP(B305,[4]Sheet1!$A:$A,[4]Sheet1!$D:$D,0)</f>
        <v>0</v>
      </c>
      <c r="M305" s="37">
        <f>_xlfn.XLOOKUP(B305,'[5]May- 26'!$A:$A,'[5]May- 26'!$B:$B,0)</f>
        <v>0</v>
      </c>
      <c r="P305" s="37">
        <f>_xlfn.XLOOKUP(B305,'[6]May-26'!$A:$A,'[6]May-26'!$B:$B,0)</f>
        <v>0</v>
      </c>
      <c r="Q305" s="37">
        <f>_xlfn.XLOOKUP(B305,'[7]May-26'!$A:$A,'[7]May-26'!$B:$B,0)</f>
        <v>500000</v>
      </c>
      <c r="R305" s="37">
        <f>_xlfn.XLOOKUP(B305,[8]Sheet1!$B:$B,[8]Sheet1!$C:$C,0)</f>
        <v>0</v>
      </c>
      <c r="S305" s="37">
        <f>_xlfn.XLOOKUP(B305,[9]PROV!$A:$A,[9]PROV!$B:$B,0)</f>
        <v>0</v>
      </c>
      <c r="U305" s="37">
        <f>_xlfn.XLOOKUP(B305,'[10]May-2026'!$A:$A,'[10]May-2026'!$B:$B,0)</f>
        <v>0</v>
      </c>
    </row>
    <row r="306" spans="1:21" x14ac:dyDescent="0.35">
      <c r="A306" s="47" t="str">
        <f>_xlfn.XLOOKUP(B306,[3]master!B:B,[3]master!A:A)</f>
        <v>Other Administrative Expenses</v>
      </c>
      <c r="B306" s="47" t="s">
        <v>556</v>
      </c>
      <c r="H306" s="37">
        <f>_xlfn.XLOOKUP(B306,[4]Sheet1!$A:$A,[4]Sheet1!$C:$C,0)</f>
        <v>0</v>
      </c>
      <c r="I306" s="37">
        <f>_xlfn.XLOOKUP(B306,[4]Sheet1!$A:$A,[4]Sheet1!$D:$D,0)</f>
        <v>0</v>
      </c>
      <c r="M306" s="37">
        <f>_xlfn.XLOOKUP(B306,'[5]May- 26'!$A:$A,'[5]May- 26'!$B:$B,0)</f>
        <v>0</v>
      </c>
      <c r="P306" s="37">
        <f>_xlfn.XLOOKUP(B306,'[6]May-26'!$A:$A,'[6]May-26'!$B:$B,0)</f>
        <v>0</v>
      </c>
      <c r="Q306" s="37">
        <f>_xlfn.XLOOKUP(B306,'[7]May-26'!$A:$A,'[7]May-26'!$B:$B,0)</f>
        <v>0</v>
      </c>
      <c r="R306" s="37">
        <f>_xlfn.XLOOKUP(B306,[8]Sheet1!$B:$B,[8]Sheet1!$C:$C,0)</f>
        <v>0</v>
      </c>
      <c r="S306" s="37">
        <f>_xlfn.XLOOKUP(B306,[9]PROV!$A:$A,[9]PROV!$B:$B,0)</f>
        <v>0</v>
      </c>
      <c r="U306" s="37">
        <f>_xlfn.XLOOKUP(B306,'[10]May-2026'!$A:$A,'[10]May-2026'!$B:$B,0)</f>
        <v>0</v>
      </c>
    </row>
    <row r="307" spans="1:21" x14ac:dyDescent="0.35">
      <c r="A307" s="47" t="str">
        <f>_xlfn.XLOOKUP(B307,[3]master!B:B,[3]master!A:A)</f>
        <v>Freight Outward and C &amp; F Charges</v>
      </c>
      <c r="B307" s="37" t="s">
        <v>636</v>
      </c>
      <c r="H307" s="37">
        <f>_xlfn.XLOOKUP(B307,[4]Sheet1!$A:$A,[4]Sheet1!$C:$C,0)</f>
        <v>0</v>
      </c>
      <c r="I307" s="37">
        <f>_xlfn.XLOOKUP(B307,[4]Sheet1!$A:$A,[4]Sheet1!$D:$D,0)</f>
        <v>0</v>
      </c>
      <c r="M307" s="37">
        <f>_xlfn.XLOOKUP(B307,'[5]May- 26'!$A:$A,'[5]May- 26'!$B:$B,0)</f>
        <v>0</v>
      </c>
      <c r="P307" s="37">
        <f>_xlfn.XLOOKUP(B307,'[6]May-26'!$A:$A,'[6]May-26'!$B:$B,0)</f>
        <v>0</v>
      </c>
      <c r="Q307" s="37">
        <f>_xlfn.XLOOKUP(B307,'[7]May-26'!$A:$A,'[7]May-26'!$B:$B,0)</f>
        <v>0</v>
      </c>
      <c r="R307" s="37">
        <f>_xlfn.XLOOKUP(B307,[8]Sheet1!$B:$B,[8]Sheet1!$C:$C,0)</f>
        <v>0</v>
      </c>
      <c r="S307" s="37">
        <f>_xlfn.XLOOKUP(B307,[9]PROV!$A:$A,[9]PROV!$B:$B,0)</f>
        <v>1000000</v>
      </c>
      <c r="U307" s="37">
        <f>_xlfn.XLOOKUP(B307,'[10]May-2026'!$A:$A,'[10]May-2026'!$B:$B,0)</f>
        <v>0</v>
      </c>
    </row>
    <row r="308" spans="1:21" x14ac:dyDescent="0.35">
      <c r="A308" s="47" t="str">
        <f>_xlfn.XLOOKUP(B308,[3]master!B:B,[3]master!A:A)</f>
        <v>Other Administrative Expenses</v>
      </c>
      <c r="B308" s="533" t="s">
        <v>309</v>
      </c>
      <c r="H308" s="37">
        <f>_xlfn.XLOOKUP(B308,[4]Sheet1!$A:$A,[4]Sheet1!$C:$C,0)</f>
        <v>0</v>
      </c>
      <c r="I308" s="37">
        <f>_xlfn.XLOOKUP(B308,[4]Sheet1!$A:$A,[4]Sheet1!$D:$D,0)</f>
        <v>0</v>
      </c>
      <c r="M308" s="37">
        <f>_xlfn.XLOOKUP(B308,'[5]May- 26'!$A:$A,'[5]May- 26'!$B:$B,0)</f>
        <v>0</v>
      </c>
      <c r="P308" s="37">
        <f>_xlfn.XLOOKUP(B308,'[6]May-26'!$A:$A,'[6]May-26'!$B:$B,0)</f>
        <v>0</v>
      </c>
      <c r="Q308" s="37">
        <f>_xlfn.XLOOKUP(B308,'[7]May-26'!$A:$A,'[7]May-26'!$B:$B,0)</f>
        <v>0</v>
      </c>
      <c r="R308" s="37">
        <f>_xlfn.XLOOKUP(B308,[8]Sheet1!$B:$B,[8]Sheet1!$C:$C,0)</f>
        <v>0</v>
      </c>
      <c r="S308" s="37">
        <f>_xlfn.XLOOKUP(B308,[9]PROV!$A:$A,[9]PROV!$B:$B,0)</f>
        <v>0</v>
      </c>
      <c r="U308" s="37">
        <f>_xlfn.XLOOKUP(B308,'[10]May-2026'!$A:$A,'[10]May-2026'!$B:$B,0)</f>
        <v>0</v>
      </c>
    </row>
    <row r="309" spans="1:21" x14ac:dyDescent="0.35">
      <c r="A309" s="47" t="str">
        <f>_xlfn.XLOOKUP(B309,[3]master!B:B,[3]master!A:A)</f>
        <v>Staff welfare expenses</v>
      </c>
      <c r="B309" s="533" t="s">
        <v>357</v>
      </c>
      <c r="H309" s="37">
        <f>_xlfn.XLOOKUP(B309,[4]Sheet1!$A:$A,[4]Sheet1!$C:$C,0)</f>
        <v>0</v>
      </c>
      <c r="I309" s="37">
        <f>_xlfn.XLOOKUP(B309,[4]Sheet1!$A:$A,[4]Sheet1!$D:$D,0)</f>
        <v>0</v>
      </c>
      <c r="M309" s="37">
        <f>_xlfn.XLOOKUP(B309,'[5]May- 26'!$A:$A,'[5]May- 26'!$B:$B,0)</f>
        <v>0</v>
      </c>
      <c r="P309" s="37">
        <f>_xlfn.XLOOKUP(B309,'[6]May-26'!$A:$A,'[6]May-26'!$B:$B,0)</f>
        <v>0</v>
      </c>
      <c r="Q309" s="37">
        <f>_xlfn.XLOOKUP(B309,'[7]May-26'!$A:$A,'[7]May-26'!$B:$B,0)</f>
        <v>0</v>
      </c>
      <c r="R309" s="37">
        <f>_xlfn.XLOOKUP(B309,[8]Sheet1!$B:$B,[8]Sheet1!$C:$C,0)</f>
        <v>0</v>
      </c>
      <c r="S309" s="37">
        <f>_xlfn.XLOOKUP(B309,[9]PROV!$A:$A,[9]PROV!$B:$B,0)</f>
        <v>0</v>
      </c>
      <c r="U309" s="37">
        <f>_xlfn.XLOOKUP(B309,'[10]May-2026'!$A:$A,'[10]May-2026'!$B:$B,0)</f>
        <v>0</v>
      </c>
    </row>
    <row r="310" spans="1:21" x14ac:dyDescent="0.35">
      <c r="A310" s="47" t="str">
        <f>_xlfn.XLOOKUP(B310,[3]master!B:B,[3]master!A:A)</f>
        <v>Other Administrative Expenses</v>
      </c>
      <c r="B310" s="533" t="s">
        <v>304</v>
      </c>
      <c r="H310" s="37">
        <f>_xlfn.XLOOKUP(B310,[4]Sheet1!$A:$A,[4]Sheet1!$C:$C,0)</f>
        <v>0</v>
      </c>
      <c r="I310" s="37">
        <f>_xlfn.XLOOKUP(B310,[4]Sheet1!$A:$A,[4]Sheet1!$D:$D,0)</f>
        <v>0</v>
      </c>
      <c r="M310" s="37">
        <f>_xlfn.XLOOKUP(B310,'[5]May- 26'!$A:$A,'[5]May- 26'!$B:$B,0)</f>
        <v>0</v>
      </c>
      <c r="P310" s="37">
        <f>_xlfn.XLOOKUP(B310,'[6]May-26'!$A:$A,'[6]May-26'!$B:$B,0)</f>
        <v>0</v>
      </c>
      <c r="Q310" s="37">
        <f>_xlfn.XLOOKUP(B310,'[7]May-26'!$A:$A,'[7]May-26'!$B:$B,0)</f>
        <v>0</v>
      </c>
      <c r="R310" s="37">
        <f>_xlfn.XLOOKUP(B310,[8]Sheet1!$B:$B,[8]Sheet1!$C:$C,0)</f>
        <v>0</v>
      </c>
      <c r="S310" s="37">
        <f>_xlfn.XLOOKUP(B310,[9]PROV!$A:$A,[9]PROV!$B:$B,0)</f>
        <v>0</v>
      </c>
      <c r="U310" s="37">
        <f>_xlfn.XLOOKUP(B310,'[10]May-2026'!$A:$A,'[10]May-2026'!$B:$B,0)</f>
        <v>0</v>
      </c>
    </row>
    <row r="311" spans="1:21" x14ac:dyDescent="0.35">
      <c r="A311" s="47" t="str">
        <f>_xlfn.XLOOKUP(B311,[3]master!B:B,[3]master!A:A)</f>
        <v>Other Administrative Expenses</v>
      </c>
      <c r="B311" s="533" t="s">
        <v>265</v>
      </c>
      <c r="H311" s="37">
        <f>_xlfn.XLOOKUP(B311,[4]Sheet1!$A:$A,[4]Sheet1!$C:$C,0)</f>
        <v>0</v>
      </c>
      <c r="I311" s="37">
        <f>_xlfn.XLOOKUP(B311,[4]Sheet1!$A:$A,[4]Sheet1!$D:$D,0)</f>
        <v>0</v>
      </c>
      <c r="M311" s="37">
        <f>_xlfn.XLOOKUP(B311,'[5]May- 26'!$A:$A,'[5]May- 26'!$B:$B,0)</f>
        <v>0</v>
      </c>
      <c r="P311" s="37">
        <f>_xlfn.XLOOKUP(B311,'[6]May-26'!$A:$A,'[6]May-26'!$B:$B,0)</f>
        <v>0</v>
      </c>
      <c r="Q311" s="37">
        <f>_xlfn.XLOOKUP(B311,'[7]May-26'!$A:$A,'[7]May-26'!$B:$B,0)</f>
        <v>0</v>
      </c>
      <c r="R311" s="37">
        <f>_xlfn.XLOOKUP(B311,[8]Sheet1!$B:$B,[8]Sheet1!$C:$C,0)</f>
        <v>0</v>
      </c>
      <c r="S311" s="37">
        <f>_xlfn.XLOOKUP(B311,[9]PROV!$A:$A,[9]PROV!$B:$B,0)</f>
        <v>0</v>
      </c>
      <c r="U311" s="37">
        <f>_xlfn.XLOOKUP(B311,'[10]May-2026'!$A:$A,'[10]May-2026'!$B:$B,0)</f>
        <v>0</v>
      </c>
    </row>
    <row r="312" spans="1:21" x14ac:dyDescent="0.35">
      <c r="A312" s="47" t="str">
        <f>_xlfn.XLOOKUP(B312,[3]master!B:B,[3]master!A:A)</f>
        <v xml:space="preserve">Salaries, wages and  bonus </v>
      </c>
      <c r="B312" s="533" t="s">
        <v>349</v>
      </c>
      <c r="H312" s="37">
        <f>_xlfn.XLOOKUP(B312,[4]Sheet1!$A:$A,[4]Sheet1!$C:$C,0)</f>
        <v>0</v>
      </c>
      <c r="I312" s="37">
        <f>_xlfn.XLOOKUP(B312,[4]Sheet1!$A:$A,[4]Sheet1!$D:$D,0)</f>
        <v>0</v>
      </c>
      <c r="M312" s="37">
        <f>_xlfn.XLOOKUP(B312,'[5]May- 26'!$A:$A,'[5]May- 26'!$B:$B,0)</f>
        <v>0</v>
      </c>
      <c r="P312" s="37">
        <f>_xlfn.XLOOKUP(B312,'[6]May-26'!$A:$A,'[6]May-26'!$B:$B,0)</f>
        <v>0</v>
      </c>
      <c r="Q312" s="37">
        <f>_xlfn.XLOOKUP(B312,'[7]May-26'!$A:$A,'[7]May-26'!$B:$B,0)</f>
        <v>0</v>
      </c>
      <c r="R312" s="37">
        <f>_xlfn.XLOOKUP(B312,[8]Sheet1!$B:$B,[8]Sheet1!$C:$C,0)</f>
        <v>0</v>
      </c>
      <c r="S312" s="37">
        <f>_xlfn.XLOOKUP(B312,[9]PROV!$A:$A,[9]PROV!$B:$B,0)</f>
        <v>0</v>
      </c>
      <c r="U312" s="37">
        <f>_xlfn.XLOOKUP(B312,'[10]May-2026'!$A:$A,'[10]May-2026'!$B:$B,0)</f>
        <v>11000</v>
      </c>
    </row>
    <row r="313" spans="1:21" x14ac:dyDescent="0.35">
      <c r="A313" s="47" t="str">
        <f>_xlfn.XLOOKUP(B313,[3]master!B:B,[3]master!A:A)</f>
        <v xml:space="preserve">Salaries, wages and  bonus </v>
      </c>
      <c r="B313" s="37" t="s">
        <v>332</v>
      </c>
      <c r="H313" s="37">
        <f>_xlfn.XLOOKUP(B313,[4]Sheet1!$A:$A,[4]Sheet1!$C:$C,0)</f>
        <v>0</v>
      </c>
      <c r="I313" s="37">
        <f>_xlfn.XLOOKUP(B313,[4]Sheet1!$A:$A,[4]Sheet1!$D:$D,0)</f>
        <v>0</v>
      </c>
      <c r="M313" s="37">
        <f>_xlfn.XLOOKUP(B313,'[5]May- 26'!$A:$A,'[5]May- 26'!$B:$B,0)</f>
        <v>0</v>
      </c>
      <c r="P313" s="37">
        <f>_xlfn.XLOOKUP(B313,'[6]May-26'!$A:$A,'[6]May-26'!$B:$B,0)</f>
        <v>0</v>
      </c>
      <c r="Q313" s="37">
        <f>_xlfn.XLOOKUP(B313,'[7]May-26'!$A:$A,'[7]May-26'!$B:$B,0)</f>
        <v>0</v>
      </c>
      <c r="R313" s="37">
        <f>_xlfn.XLOOKUP(B313,[8]Sheet1!$B:$B,[8]Sheet1!$C:$C,0)</f>
        <v>0</v>
      </c>
      <c r="S313" s="37">
        <f>_xlfn.XLOOKUP(B313,[9]PROV!$A:$A,[9]PROV!$B:$B,0)</f>
        <v>0</v>
      </c>
      <c r="U313" s="37">
        <f>_xlfn.XLOOKUP(B313,'[10]May-2026'!$A:$A,'[10]May-2026'!$B:$B,0)</f>
        <v>0</v>
      </c>
    </row>
    <row r="314" spans="1:21" x14ac:dyDescent="0.35">
      <c r="A314" s="47" t="str">
        <f>_xlfn.XLOOKUP(B314,[3]master!B:B,[3]master!A:A)</f>
        <v xml:space="preserve">Salaries, wages and  bonus </v>
      </c>
      <c r="B314" s="37" t="s">
        <v>333</v>
      </c>
      <c r="H314" s="37">
        <f>_xlfn.XLOOKUP(B314,[4]Sheet1!$A:$A,[4]Sheet1!$C:$C,0)</f>
        <v>0</v>
      </c>
      <c r="I314" s="37">
        <f>_xlfn.XLOOKUP(B314,[4]Sheet1!$A:$A,[4]Sheet1!$D:$D,0)</f>
        <v>0</v>
      </c>
      <c r="M314" s="37">
        <f>_xlfn.XLOOKUP(B314,'[5]May- 26'!$A:$A,'[5]May- 26'!$B:$B,0)</f>
        <v>0</v>
      </c>
      <c r="P314" s="37">
        <f>_xlfn.XLOOKUP(B314,'[6]May-26'!$A:$A,'[6]May-26'!$B:$B,0)</f>
        <v>0</v>
      </c>
      <c r="Q314" s="37">
        <f>_xlfn.XLOOKUP(B314,'[7]May-26'!$A:$A,'[7]May-26'!$B:$B,0)</f>
        <v>0</v>
      </c>
      <c r="R314" s="37">
        <f>_xlfn.XLOOKUP(B314,[8]Sheet1!$B:$B,[8]Sheet1!$C:$C,0)</f>
        <v>0</v>
      </c>
      <c r="S314" s="37">
        <f>_xlfn.XLOOKUP(B314,[9]PROV!$A:$A,[9]PROV!$B:$B,0)</f>
        <v>0</v>
      </c>
      <c r="U314" s="37">
        <f>_xlfn.XLOOKUP(B314,'[10]May-2026'!$A:$A,'[10]May-2026'!$B:$B,0)</f>
        <v>0</v>
      </c>
    </row>
    <row r="315" spans="1:21" x14ac:dyDescent="0.35">
      <c r="A315" s="47" t="str">
        <f>_xlfn.XLOOKUP(B315,[3]master!B:B,[3]master!A:A)</f>
        <v xml:space="preserve">Salaries, wages and  bonus </v>
      </c>
      <c r="B315" s="37" t="s">
        <v>337</v>
      </c>
      <c r="H315" s="37">
        <f>_xlfn.XLOOKUP(B315,[4]Sheet1!$A:$A,[4]Sheet1!$C:$C,0)</f>
        <v>0</v>
      </c>
      <c r="I315" s="37">
        <f>_xlfn.XLOOKUP(B315,[4]Sheet1!$A:$A,[4]Sheet1!$D:$D,0)</f>
        <v>0</v>
      </c>
      <c r="M315" s="37">
        <f>_xlfn.XLOOKUP(B315,'[5]May- 26'!$A:$A,'[5]May- 26'!$B:$B,0)</f>
        <v>0</v>
      </c>
      <c r="P315" s="37">
        <f>_xlfn.XLOOKUP(B315,'[6]May-26'!$A:$A,'[6]May-26'!$B:$B,0)</f>
        <v>0</v>
      </c>
      <c r="Q315" s="37">
        <f>_xlfn.XLOOKUP(B315,'[7]May-26'!$A:$A,'[7]May-26'!$B:$B,0)</f>
        <v>0</v>
      </c>
      <c r="R315" s="37">
        <f>_xlfn.XLOOKUP(B315,[8]Sheet1!$B:$B,[8]Sheet1!$C:$C,0)</f>
        <v>0</v>
      </c>
      <c r="S315" s="37">
        <f>_xlfn.XLOOKUP(B315,[9]PROV!$A:$A,[9]PROV!$B:$B,0)</f>
        <v>0</v>
      </c>
      <c r="U315" s="37">
        <f>_xlfn.XLOOKUP(B315,'[10]May-2026'!$A:$A,'[10]May-2026'!$B:$B,0)</f>
        <v>0</v>
      </c>
    </row>
    <row r="316" spans="1:21" x14ac:dyDescent="0.35">
      <c r="A316" s="47" t="str">
        <f>_xlfn.XLOOKUP(B316,[3]master!B:B,[3]master!A:A)</f>
        <v xml:space="preserve">Salaries, wages and  bonus </v>
      </c>
      <c r="B316" s="37" t="s">
        <v>566</v>
      </c>
      <c r="H316" s="37">
        <f>_xlfn.XLOOKUP(B316,[4]Sheet1!$A:$A,[4]Sheet1!$C:$C,0)</f>
        <v>0</v>
      </c>
      <c r="I316" s="37">
        <f>_xlfn.XLOOKUP(B316,[4]Sheet1!$A:$A,[4]Sheet1!$D:$D,0)</f>
        <v>0</v>
      </c>
      <c r="M316" s="37">
        <f>_xlfn.XLOOKUP(B316,'[5]May- 26'!$A:$A,'[5]May- 26'!$B:$B,0)</f>
        <v>0</v>
      </c>
      <c r="P316" s="37">
        <f>_xlfn.XLOOKUP(B316,'[6]May-26'!$A:$A,'[6]May-26'!$B:$B,0)</f>
        <v>0</v>
      </c>
      <c r="Q316" s="37">
        <f>_xlfn.XLOOKUP(B316,'[7]May-26'!$A:$A,'[7]May-26'!$B:$B,0)</f>
        <v>0</v>
      </c>
      <c r="R316" s="37">
        <f>_xlfn.XLOOKUP(B316,[8]Sheet1!$B:$B,[8]Sheet1!$C:$C,0)</f>
        <v>0</v>
      </c>
      <c r="S316" s="37">
        <f>_xlfn.XLOOKUP(B316,[9]PROV!$A:$A,[9]PROV!$B:$B,0)</f>
        <v>0</v>
      </c>
      <c r="U316" s="37">
        <f>_xlfn.XLOOKUP(B316,'[10]May-2026'!$A:$A,'[10]May-2026'!$B:$B,0)</f>
        <v>0</v>
      </c>
    </row>
    <row r="317" spans="1:21" x14ac:dyDescent="0.35">
      <c r="A317" s="47" t="str">
        <f>_xlfn.XLOOKUP(B317,[3]master!B:B,[3]master!A:A)</f>
        <v xml:space="preserve">Salaries, wages and  bonus </v>
      </c>
      <c r="B317" s="37" t="s">
        <v>338</v>
      </c>
      <c r="H317" s="37">
        <f>_xlfn.XLOOKUP(B317,[4]Sheet1!$A:$A,[4]Sheet1!$C:$C,0)</f>
        <v>0</v>
      </c>
      <c r="I317" s="37">
        <f>_xlfn.XLOOKUP(B317,[4]Sheet1!$A:$A,[4]Sheet1!$D:$D,0)</f>
        <v>0</v>
      </c>
      <c r="M317" s="37">
        <f>_xlfn.XLOOKUP(B317,'[5]May- 26'!$A:$A,'[5]May- 26'!$B:$B,0)</f>
        <v>0</v>
      </c>
      <c r="P317" s="37">
        <f>_xlfn.XLOOKUP(B317,'[6]May-26'!$A:$A,'[6]May-26'!$B:$B,0)</f>
        <v>0</v>
      </c>
      <c r="Q317" s="37">
        <f>_xlfn.XLOOKUP(B317,'[7]May-26'!$A:$A,'[7]May-26'!$B:$B,0)</f>
        <v>0</v>
      </c>
      <c r="R317" s="37">
        <f>_xlfn.XLOOKUP(B317,[8]Sheet1!$B:$B,[8]Sheet1!$C:$C,0)</f>
        <v>0</v>
      </c>
      <c r="S317" s="37">
        <f>_xlfn.XLOOKUP(B317,[9]PROV!$A:$A,[9]PROV!$B:$B,0)</f>
        <v>0</v>
      </c>
      <c r="U317" s="37">
        <f>_xlfn.XLOOKUP(B317,'[10]May-2026'!$A:$A,'[10]May-2026'!$B:$B,0)</f>
        <v>0</v>
      </c>
    </row>
    <row r="318" spans="1:21" x14ac:dyDescent="0.35">
      <c r="A318" s="47" t="str">
        <f>_xlfn.XLOOKUP(B318,[3]master!B:B,[3]master!A:A)</f>
        <v xml:space="preserve">Salaries, wages and  bonus </v>
      </c>
      <c r="B318" s="37" t="s">
        <v>339</v>
      </c>
      <c r="H318" s="37">
        <f>_xlfn.XLOOKUP(B318,[4]Sheet1!$A:$A,[4]Sheet1!$C:$C,0)</f>
        <v>0</v>
      </c>
      <c r="I318" s="37">
        <f>_xlfn.XLOOKUP(B318,[4]Sheet1!$A:$A,[4]Sheet1!$D:$D,0)</f>
        <v>0</v>
      </c>
      <c r="M318" s="37">
        <f>_xlfn.XLOOKUP(B318,'[5]May- 26'!$A:$A,'[5]May- 26'!$B:$B,0)</f>
        <v>0</v>
      </c>
      <c r="P318" s="37">
        <f>_xlfn.XLOOKUP(B318,'[6]May-26'!$A:$A,'[6]May-26'!$B:$B,0)</f>
        <v>0</v>
      </c>
      <c r="Q318" s="37">
        <f>_xlfn.XLOOKUP(B318,'[7]May-26'!$A:$A,'[7]May-26'!$B:$B,0)</f>
        <v>0</v>
      </c>
      <c r="R318" s="37">
        <f>_xlfn.XLOOKUP(B318,[8]Sheet1!$B:$B,[8]Sheet1!$C:$C,0)</f>
        <v>0</v>
      </c>
      <c r="S318" s="37">
        <f>_xlfn.XLOOKUP(B318,[9]PROV!$A:$A,[9]PROV!$B:$B,0)</f>
        <v>0</v>
      </c>
      <c r="U318" s="37">
        <f>_xlfn.XLOOKUP(B318,'[10]May-2026'!$A:$A,'[10]May-2026'!$B:$B,0)</f>
        <v>0</v>
      </c>
    </row>
    <row r="319" spans="1:21" x14ac:dyDescent="0.35">
      <c r="A319" s="47" t="str">
        <f>_xlfn.XLOOKUP(B319,[3]master!B:B,[3]master!A:A)</f>
        <v xml:space="preserve">Salaries, wages and  bonus </v>
      </c>
      <c r="B319" s="37" t="s">
        <v>340</v>
      </c>
      <c r="H319" s="37">
        <f>_xlfn.XLOOKUP(B319,[4]Sheet1!$A:$A,[4]Sheet1!$C:$C,0)</f>
        <v>0</v>
      </c>
      <c r="I319" s="37">
        <f>_xlfn.XLOOKUP(B319,[4]Sheet1!$A:$A,[4]Sheet1!$D:$D,0)</f>
        <v>0</v>
      </c>
      <c r="M319" s="37">
        <f>_xlfn.XLOOKUP(B319,'[5]May- 26'!$A:$A,'[5]May- 26'!$B:$B,0)</f>
        <v>0</v>
      </c>
      <c r="P319" s="37">
        <f>_xlfn.XLOOKUP(B319,'[6]May-26'!$A:$A,'[6]May-26'!$B:$B,0)</f>
        <v>0</v>
      </c>
      <c r="Q319" s="37">
        <f>_xlfn.XLOOKUP(B319,'[7]May-26'!$A:$A,'[7]May-26'!$B:$B,0)</f>
        <v>0</v>
      </c>
      <c r="R319" s="37">
        <f>_xlfn.XLOOKUP(B319,[8]Sheet1!$B:$B,[8]Sheet1!$C:$C,0)</f>
        <v>0</v>
      </c>
      <c r="S319" s="37">
        <f>_xlfn.XLOOKUP(B319,[9]PROV!$A:$A,[9]PROV!$B:$B,0)</f>
        <v>0</v>
      </c>
      <c r="U319" s="37">
        <f>_xlfn.XLOOKUP(B319,'[10]May-2026'!$A:$A,'[10]May-2026'!$B:$B,0)</f>
        <v>0</v>
      </c>
    </row>
    <row r="320" spans="1:21" x14ac:dyDescent="0.35">
      <c r="A320" s="47" t="str">
        <f>_xlfn.XLOOKUP(B320,[3]master!B:B,[3]master!A:A)</f>
        <v xml:space="preserve">Salaries, wages and  bonus </v>
      </c>
      <c r="B320" s="37" t="s">
        <v>341</v>
      </c>
      <c r="H320" s="37">
        <f>_xlfn.XLOOKUP(B320,[4]Sheet1!$A:$A,[4]Sheet1!$C:$C,0)</f>
        <v>0</v>
      </c>
      <c r="I320" s="37">
        <f>_xlfn.XLOOKUP(B320,[4]Sheet1!$A:$A,[4]Sheet1!$D:$D,0)</f>
        <v>0</v>
      </c>
      <c r="M320" s="37">
        <f>_xlfn.XLOOKUP(B320,'[5]May- 26'!$A:$A,'[5]May- 26'!$B:$B,0)</f>
        <v>0</v>
      </c>
      <c r="P320" s="37">
        <f>_xlfn.XLOOKUP(B320,'[6]May-26'!$A:$A,'[6]May-26'!$B:$B,0)</f>
        <v>0</v>
      </c>
      <c r="Q320" s="37">
        <f>_xlfn.XLOOKUP(B320,'[7]May-26'!$A:$A,'[7]May-26'!$B:$B,0)</f>
        <v>0</v>
      </c>
      <c r="R320" s="37">
        <f>_xlfn.XLOOKUP(B320,[8]Sheet1!$B:$B,[8]Sheet1!$C:$C,0)</f>
        <v>0</v>
      </c>
      <c r="S320" s="37">
        <f>_xlfn.XLOOKUP(B320,[9]PROV!$A:$A,[9]PROV!$B:$B,0)</f>
        <v>0</v>
      </c>
      <c r="U320" s="37">
        <f>_xlfn.XLOOKUP(B320,'[10]May-2026'!$A:$A,'[10]May-2026'!$B:$B,0)</f>
        <v>0</v>
      </c>
    </row>
    <row r="321" spans="1:21" x14ac:dyDescent="0.35">
      <c r="A321" s="47" t="str">
        <f>_xlfn.XLOOKUP(B321,[3]master!B:B,[3]master!A:A)</f>
        <v xml:space="preserve">Salaries, wages and  bonus </v>
      </c>
      <c r="B321" s="37" t="s">
        <v>342</v>
      </c>
      <c r="H321" s="37">
        <f>_xlfn.XLOOKUP(B321,[4]Sheet1!$A:$A,[4]Sheet1!$C:$C,0)</f>
        <v>0</v>
      </c>
      <c r="I321" s="37">
        <f>_xlfn.XLOOKUP(B321,[4]Sheet1!$A:$A,[4]Sheet1!$D:$D,0)</f>
        <v>0</v>
      </c>
      <c r="M321" s="37">
        <f>_xlfn.XLOOKUP(B321,'[5]May- 26'!$A:$A,'[5]May- 26'!$B:$B,0)</f>
        <v>0</v>
      </c>
      <c r="P321" s="37">
        <f>_xlfn.XLOOKUP(B321,'[6]May-26'!$A:$A,'[6]May-26'!$B:$B,0)</f>
        <v>0</v>
      </c>
      <c r="Q321" s="37">
        <f>_xlfn.XLOOKUP(B321,'[7]May-26'!$A:$A,'[7]May-26'!$B:$B,0)</f>
        <v>0</v>
      </c>
      <c r="R321" s="37">
        <f>_xlfn.XLOOKUP(B321,[8]Sheet1!$B:$B,[8]Sheet1!$C:$C,0)</f>
        <v>0</v>
      </c>
      <c r="S321" s="37">
        <f>_xlfn.XLOOKUP(B321,[9]PROV!$A:$A,[9]PROV!$B:$B,0)</f>
        <v>0</v>
      </c>
      <c r="U321" s="37">
        <f>_xlfn.XLOOKUP(B321,'[10]May-2026'!$A:$A,'[10]May-2026'!$B:$B,0)</f>
        <v>0</v>
      </c>
    </row>
    <row r="322" spans="1:21" x14ac:dyDescent="0.35">
      <c r="A322" s="47" t="str">
        <f>_xlfn.XLOOKUP(B322,[3]master!B:B,[3]master!A:A)</f>
        <v xml:space="preserve">Salaries, wages and  bonus </v>
      </c>
      <c r="B322" s="37" t="s">
        <v>347</v>
      </c>
      <c r="H322" s="37">
        <f>_xlfn.XLOOKUP(B322,[4]Sheet1!$A:$A,[4]Sheet1!$C:$C,0)</f>
        <v>0</v>
      </c>
      <c r="I322" s="37">
        <f>_xlfn.XLOOKUP(B322,[4]Sheet1!$A:$A,[4]Sheet1!$D:$D,0)</f>
        <v>0</v>
      </c>
      <c r="M322" s="37">
        <f>_xlfn.XLOOKUP(B322,'[5]May- 26'!$A:$A,'[5]May- 26'!$B:$B,0)</f>
        <v>0</v>
      </c>
      <c r="P322" s="37">
        <f>_xlfn.XLOOKUP(B322,'[6]May-26'!$A:$A,'[6]May-26'!$B:$B,0)</f>
        <v>0</v>
      </c>
      <c r="Q322" s="37">
        <f>_xlfn.XLOOKUP(B322,'[7]May-26'!$A:$A,'[7]May-26'!$B:$B,0)</f>
        <v>0</v>
      </c>
      <c r="R322" s="37">
        <f>_xlfn.XLOOKUP(B322,[8]Sheet1!$B:$B,[8]Sheet1!$C:$C,0)</f>
        <v>0</v>
      </c>
      <c r="S322" s="37">
        <f>_xlfn.XLOOKUP(B322,[9]PROV!$A:$A,[9]PROV!$B:$B,0)</f>
        <v>0</v>
      </c>
      <c r="U322" s="37">
        <f>_xlfn.XLOOKUP(B322,'[10]May-2026'!$A:$A,'[10]May-2026'!$B:$B,0)</f>
        <v>0</v>
      </c>
    </row>
    <row r="323" spans="1:21" x14ac:dyDescent="0.35">
      <c r="A323" s="47" t="str">
        <f>_xlfn.XLOOKUP(B323,[3]master!B:B,[3]master!A:A)</f>
        <v>Conveyance, vehicle running and traveling expenses</v>
      </c>
      <c r="B323" s="37" t="s">
        <v>314</v>
      </c>
      <c r="H323" s="37">
        <f>_xlfn.XLOOKUP(B323,[4]Sheet1!$A:$A,[4]Sheet1!$C:$C,0)</f>
        <v>0</v>
      </c>
      <c r="I323" s="37">
        <f>_xlfn.XLOOKUP(B323,[4]Sheet1!$A:$A,[4]Sheet1!$D:$D,0)</f>
        <v>0</v>
      </c>
      <c r="M323" s="37">
        <f>_xlfn.XLOOKUP(B323,'[5]May- 26'!$A:$A,'[5]May- 26'!$B:$B,0)</f>
        <v>0</v>
      </c>
      <c r="P323" s="37">
        <f>_xlfn.XLOOKUP(B323,'[6]May-26'!$A:$A,'[6]May-26'!$B:$B,0)</f>
        <v>0</v>
      </c>
      <c r="Q323" s="37">
        <f>_xlfn.XLOOKUP(B323,'[7]May-26'!$A:$A,'[7]May-26'!$B:$B,0)</f>
        <v>0</v>
      </c>
      <c r="R323" s="37">
        <f>_xlfn.XLOOKUP(B323,[8]Sheet1!$B:$B,[8]Sheet1!$C:$C,0)</f>
        <v>0</v>
      </c>
      <c r="S323" s="37">
        <f>_xlfn.XLOOKUP(B323,[9]PROV!$A:$A,[9]PROV!$B:$B,0)</f>
        <v>0</v>
      </c>
      <c r="U323" s="37">
        <f>_xlfn.XLOOKUP(B323,'[10]May-2026'!$A:$A,'[10]May-2026'!$B:$B,0)</f>
        <v>0</v>
      </c>
    </row>
    <row r="324" spans="1:21" x14ac:dyDescent="0.35">
      <c r="A324" s="47" t="str">
        <f>_xlfn.XLOOKUP(B324,[3]master!B:B,[3]master!A:A)</f>
        <v>Freight Outward and C &amp; F Charges</v>
      </c>
      <c r="B324" s="37" t="s">
        <v>276</v>
      </c>
      <c r="H324" s="37">
        <f>_xlfn.XLOOKUP(B324,[4]Sheet1!$A:$A,[4]Sheet1!$C:$C,0)</f>
        <v>14704</v>
      </c>
      <c r="I324" s="37">
        <f>_xlfn.XLOOKUP(B324,[4]Sheet1!$A:$A,[4]Sheet1!$D:$D,0)</f>
        <v>3805</v>
      </c>
      <c r="M324" s="37">
        <f>_xlfn.XLOOKUP(B324,'[5]May- 26'!$A:$A,'[5]May- 26'!$B:$B,0)</f>
        <v>0</v>
      </c>
      <c r="P324" s="37">
        <f>_xlfn.XLOOKUP(B324,'[6]May-26'!$A:$A,'[6]May-26'!$B:$B,0)</f>
        <v>0</v>
      </c>
      <c r="Q324" s="37">
        <f>_xlfn.XLOOKUP(B324,'[7]May-26'!$A:$A,'[7]May-26'!$B:$B,0)</f>
        <v>195000</v>
      </c>
      <c r="R324" s="37">
        <f>_xlfn.XLOOKUP(B324,[8]Sheet1!$B:$B,[8]Sheet1!$C:$C,0)</f>
        <v>0</v>
      </c>
      <c r="S324" s="37">
        <f>_xlfn.XLOOKUP(B324,[9]PROV!$A:$A,[9]PROV!$B:$B,0)</f>
        <v>0</v>
      </c>
      <c r="U324" s="37">
        <f>_xlfn.XLOOKUP(B324,'[10]May-2026'!$A:$A,'[10]May-2026'!$B:$B,0)</f>
        <v>0</v>
      </c>
    </row>
    <row r="325" spans="1:21" x14ac:dyDescent="0.35">
      <c r="A325" s="37" t="str">
        <f>_xlfn.XLOOKUP(B325,[3]master!B:B,[3]master!A:A)</f>
        <v>Other Administrative Expenses</v>
      </c>
      <c r="B325" s="533" t="s">
        <v>656</v>
      </c>
      <c r="H325" s="37">
        <f>_xlfn.XLOOKUP(B325,[4]Sheet1!$A:$A,[4]Sheet1!$C:$C,0)</f>
        <v>0</v>
      </c>
      <c r="I325" s="37">
        <f>_xlfn.XLOOKUP(B325,[4]Sheet1!$A:$A,[4]Sheet1!$D:$D,0)</f>
        <v>0</v>
      </c>
      <c r="M325" s="37">
        <f>_xlfn.XLOOKUP(B325,'[5]May- 26'!$A:$A,'[5]May- 26'!$B:$B,0)</f>
        <v>398859</v>
      </c>
      <c r="P325" s="37">
        <f>_xlfn.XLOOKUP(B325,'[6]May-26'!$A:$A,'[6]May-26'!$B:$B,0)</f>
        <v>0</v>
      </c>
      <c r="Q325" s="37">
        <f>_xlfn.XLOOKUP(B325,'[7]May-26'!$A:$A,'[7]May-26'!$B:$B,0)</f>
        <v>0</v>
      </c>
      <c r="R325" s="37">
        <f>_xlfn.XLOOKUP(B325,[8]Sheet1!$B:$B,[8]Sheet1!$C:$C,0)</f>
        <v>0</v>
      </c>
      <c r="S325" s="37">
        <f>_xlfn.XLOOKUP(B325,[9]PROV!$A:$A,[9]PROV!$B:$B,0)</f>
        <v>0</v>
      </c>
      <c r="U325" s="37">
        <f>_xlfn.XLOOKUP(B325,'[10]May-2026'!$A:$A,'[10]May-2026'!$B:$B,0)</f>
        <v>0</v>
      </c>
    </row>
    <row r="326" spans="1:21" x14ac:dyDescent="0.35">
      <c r="A326" s="37" t="s">
        <v>431</v>
      </c>
      <c r="B326" s="37" t="s">
        <v>565</v>
      </c>
      <c r="H326" s="37">
        <f>_xlfn.XLOOKUP(B326,[4]Sheet1!$A:$A,[4]Sheet1!$C:$C,0)</f>
        <v>0</v>
      </c>
      <c r="I326" s="37">
        <f>_xlfn.XLOOKUP(B326,[4]Sheet1!$A:$A,[4]Sheet1!$D:$D,0)</f>
        <v>0</v>
      </c>
      <c r="M326" s="37">
        <f>_xlfn.XLOOKUP(B326,'[5]May- 26'!$A:$A,'[5]May- 26'!$B:$B,0)</f>
        <v>0</v>
      </c>
      <c r="P326" s="37">
        <f>_xlfn.XLOOKUP(B326,'[6]May-26'!$A:$A,'[6]May-26'!$B:$B,0)</f>
        <v>0</v>
      </c>
      <c r="Q326" s="37">
        <f>_xlfn.XLOOKUP(B326,'[7]May-26'!$A:$A,'[7]May-26'!$B:$B,0)</f>
        <v>0</v>
      </c>
      <c r="R326" s="37">
        <f>_xlfn.XLOOKUP(B326,[8]Sheet1!$B:$B,[8]Sheet1!$C:$C,0)</f>
        <v>0</v>
      </c>
      <c r="S326" s="37">
        <f>_xlfn.XLOOKUP(B326,[9]PROV!$A:$A,[9]PROV!$B:$B,0)</f>
        <v>0</v>
      </c>
      <c r="U326" s="37">
        <f>_xlfn.XLOOKUP(B326,'[10]May-2026'!$A:$A,'[10]May-2026'!$B:$B,0)</f>
        <v>0</v>
      </c>
    </row>
    <row r="327" spans="1:21" x14ac:dyDescent="0.35">
      <c r="A327" s="37" t="str">
        <f>_xlfn.XLOOKUP(B327,[3]master!B:B,[3]master!A:A)</f>
        <v>Other Manufacturing Expenses</v>
      </c>
      <c r="B327" s="533" t="s">
        <v>279</v>
      </c>
      <c r="H327" s="37">
        <f>_xlfn.XLOOKUP(B327,[4]Sheet1!$A:$A,[4]Sheet1!$C:$C,0)</f>
        <v>0</v>
      </c>
      <c r="I327" s="37">
        <f>_xlfn.XLOOKUP(B327,[4]Sheet1!$A:$A,[4]Sheet1!$D:$D,0)</f>
        <v>0</v>
      </c>
      <c r="M327" s="37">
        <f>_xlfn.XLOOKUP(B327,'[5]May- 26'!$A:$A,'[5]May- 26'!$B:$B,0)</f>
        <v>0</v>
      </c>
      <c r="P327" s="37">
        <f>_xlfn.XLOOKUP(B327,'[6]May-26'!$A:$A,'[6]May-26'!$B:$B,0)</f>
        <v>0</v>
      </c>
      <c r="Q327" s="37">
        <f>_xlfn.XLOOKUP(B327,'[7]May-26'!$A:$A,'[7]May-26'!$B:$B,0)</f>
        <v>0</v>
      </c>
      <c r="R327" s="37">
        <f>_xlfn.XLOOKUP(B327,[8]Sheet1!$B:$B,[8]Sheet1!$C:$C,0)</f>
        <v>0</v>
      </c>
      <c r="S327" s="37">
        <f>_xlfn.XLOOKUP(B327,[9]PROV!$A:$A,[9]PROV!$B:$B,0)</f>
        <v>0</v>
      </c>
      <c r="U327" s="37">
        <f>_xlfn.XLOOKUP(B327,'[10]May-2026'!$A:$A,'[10]May-2026'!$B:$B,0)</f>
        <v>0</v>
      </c>
    </row>
    <row r="328" spans="1:21" x14ac:dyDescent="0.35">
      <c r="A328" s="37" t="str">
        <f>_xlfn.XLOOKUP(B328,[3]master!B:B,[3]master!A:A)</f>
        <v xml:space="preserve">Salaries, wages and  bonus </v>
      </c>
      <c r="B328" s="72" t="s">
        <v>573</v>
      </c>
      <c r="H328" s="37">
        <f>_xlfn.XLOOKUP(B328,[4]Sheet1!$A:$A,[4]Sheet1!$C:$C,0)</f>
        <v>0</v>
      </c>
      <c r="I328" s="37">
        <f>_xlfn.XLOOKUP(B328,[4]Sheet1!$A:$A,[4]Sheet1!$D:$D,0)</f>
        <v>0</v>
      </c>
      <c r="M328" s="37">
        <f>_xlfn.XLOOKUP(B328,'[5]May- 26'!$A:$A,'[5]May- 26'!$B:$B,0)</f>
        <v>0</v>
      </c>
      <c r="P328" s="37">
        <f>_xlfn.XLOOKUP(B328,'[6]May-26'!$A:$A,'[6]May-26'!$B:$B,0)</f>
        <v>0</v>
      </c>
      <c r="Q328" s="37">
        <f>_xlfn.XLOOKUP(B328,'[7]May-26'!$A:$A,'[7]May-26'!$B:$B,0)</f>
        <v>0</v>
      </c>
      <c r="R328" s="37">
        <f>_xlfn.XLOOKUP(B328,[8]Sheet1!$B:$B,[8]Sheet1!$C:$C,0)</f>
        <v>0</v>
      </c>
      <c r="S328" s="37">
        <f>_xlfn.XLOOKUP(B328,[9]PROV!$A:$A,[9]PROV!$B:$B,0)</f>
        <v>0</v>
      </c>
      <c r="U328" s="37">
        <f>_xlfn.XLOOKUP(B328,'[10]May-2026'!$A:$A,'[10]May-2026'!$B:$B,0)</f>
        <v>0</v>
      </c>
    </row>
    <row r="329" spans="1:21" x14ac:dyDescent="0.35">
      <c r="A329" s="37" t="str">
        <f>_xlfn.XLOOKUP(B329,[3]master!B:B,[3]master!A:A)</f>
        <v>Conveyance, vehicle running and traveling expenses</v>
      </c>
      <c r="B329" s="533" t="s">
        <v>326</v>
      </c>
      <c r="H329" s="37">
        <f>_xlfn.XLOOKUP(B329,[4]Sheet1!$A:$A,[4]Sheet1!$C:$C,0)</f>
        <v>0</v>
      </c>
      <c r="I329" s="37">
        <f>_xlfn.XLOOKUP(B329,[4]Sheet1!$A:$A,[4]Sheet1!$D:$D,0)</f>
        <v>0</v>
      </c>
      <c r="M329" s="37">
        <f>_xlfn.XLOOKUP(B329,'[5]May- 26'!$A:$A,'[5]May- 26'!$B:$B,0)</f>
        <v>0</v>
      </c>
      <c r="P329" s="37">
        <f>_xlfn.XLOOKUP(B329,'[6]May-26'!$A:$A,'[6]May-26'!$B:$B,0)</f>
        <v>0</v>
      </c>
      <c r="Q329" s="37">
        <f>_xlfn.XLOOKUP(B329,'[7]May-26'!$A:$A,'[7]May-26'!$B:$B,0)</f>
        <v>0</v>
      </c>
      <c r="R329" s="37">
        <f>_xlfn.XLOOKUP(B329,[8]Sheet1!$B:$B,[8]Sheet1!$C:$C,0)</f>
        <v>0</v>
      </c>
      <c r="S329" s="37">
        <f>_xlfn.XLOOKUP(B329,[9]PROV!$A:$A,[9]PROV!$B:$B,0)</f>
        <v>0</v>
      </c>
      <c r="U329" s="37">
        <f>_xlfn.XLOOKUP(B329,'[10]May-2026'!$A:$A,'[10]May-2026'!$B:$B,0)</f>
        <v>0</v>
      </c>
    </row>
    <row r="330" spans="1:21" x14ac:dyDescent="0.35">
      <c r="A330" s="37" t="str">
        <f>_xlfn.XLOOKUP(B330,[3]master!B:B,[3]master!A:A)</f>
        <v>Insurance</v>
      </c>
      <c r="B330" s="533" t="s">
        <v>392</v>
      </c>
      <c r="H330" s="37">
        <f>_xlfn.XLOOKUP(B330,[4]Sheet1!$A:$A,[4]Sheet1!$C:$C,0)</f>
        <v>0</v>
      </c>
      <c r="I330" s="37">
        <f>_xlfn.XLOOKUP(B330,[4]Sheet1!$A:$A,[4]Sheet1!$D:$D,0)</f>
        <v>0</v>
      </c>
      <c r="M330" s="37">
        <f>_xlfn.XLOOKUP(B330,'[5]May- 26'!$A:$A,'[5]May- 26'!$B:$B,0)</f>
        <v>0</v>
      </c>
      <c r="P330" s="37">
        <f>_xlfn.XLOOKUP(B330,'[6]May-26'!$A:$A,'[6]May-26'!$B:$B,0)</f>
        <v>0</v>
      </c>
      <c r="Q330" s="37">
        <f>_xlfn.XLOOKUP(B330,'[7]May-26'!$A:$A,'[7]May-26'!$B:$B,0)</f>
        <v>0</v>
      </c>
      <c r="R330" s="37">
        <f>_xlfn.XLOOKUP(B330,[8]Sheet1!$B:$B,[8]Sheet1!$C:$C,0)</f>
        <v>0</v>
      </c>
      <c r="S330" s="37">
        <f>_xlfn.XLOOKUP(B330,[9]PROV!$A:$A,[9]PROV!$B:$B,0)</f>
        <v>0</v>
      </c>
      <c r="U330" s="37">
        <f>_xlfn.XLOOKUP(B330,'[10]May-2026'!$A:$A,'[10]May-2026'!$B:$B,0)</f>
        <v>0</v>
      </c>
    </row>
    <row r="331" spans="1:21" x14ac:dyDescent="0.35">
      <c r="A331" s="37" t="str">
        <f>_xlfn.XLOOKUP(B331,[3]master!B:B,[3]master!A:A)</f>
        <v>Insurance</v>
      </c>
      <c r="B331" s="37" t="s">
        <v>378</v>
      </c>
      <c r="H331" s="37">
        <f>_xlfn.XLOOKUP(B331,[4]Sheet1!$A:$A,[4]Sheet1!$C:$C,0)</f>
        <v>0</v>
      </c>
      <c r="I331" s="37">
        <f>_xlfn.XLOOKUP(B331,[4]Sheet1!$A:$A,[4]Sheet1!$D:$D,0)</f>
        <v>0</v>
      </c>
      <c r="M331" s="37">
        <f>_xlfn.XLOOKUP(B331,'[5]May- 26'!$A:$A,'[5]May- 26'!$B:$B,0)</f>
        <v>0</v>
      </c>
      <c r="P331" s="37">
        <f>_xlfn.XLOOKUP(B331,'[6]May-26'!$A:$A,'[6]May-26'!$B:$B,0)</f>
        <v>0</v>
      </c>
      <c r="Q331" s="37">
        <f>_xlfn.XLOOKUP(B331,'[7]May-26'!$A:$A,'[7]May-26'!$B:$B,0)</f>
        <v>6900</v>
      </c>
      <c r="R331" s="37">
        <f>_xlfn.XLOOKUP(B331,[8]Sheet1!$B:$B,[8]Sheet1!$C:$C,0)</f>
        <v>0</v>
      </c>
      <c r="S331" s="37">
        <f>_xlfn.XLOOKUP(B331,[9]PROV!$A:$A,[9]PROV!$B:$B,0)</f>
        <v>0</v>
      </c>
      <c r="U331" s="37">
        <f>_xlfn.XLOOKUP(B331,'[10]May-2026'!$A:$A,'[10]May-2026'!$B:$B,0)</f>
        <v>0</v>
      </c>
    </row>
    <row r="332" spans="1:21" x14ac:dyDescent="0.35">
      <c r="A332" s="37" t="str">
        <f>_xlfn.XLOOKUP(B332,[3]master!B:B,[3]master!A:A)</f>
        <v>Other Administrative Expenses</v>
      </c>
      <c r="B332" s="37" t="s">
        <v>375</v>
      </c>
      <c r="H332" s="37">
        <f>_xlfn.XLOOKUP(B332,[4]Sheet1!$A:$A,[4]Sheet1!$C:$C,0)</f>
        <v>0</v>
      </c>
      <c r="I332" s="37">
        <f>_xlfn.XLOOKUP(B332,[4]Sheet1!$A:$A,[4]Sheet1!$D:$D,0)</f>
        <v>0</v>
      </c>
      <c r="M332" s="37">
        <f>_xlfn.XLOOKUP(B332,'[5]May- 26'!$A:$A,'[5]May- 26'!$B:$B,0)</f>
        <v>0</v>
      </c>
      <c r="P332" s="37">
        <f>_xlfn.XLOOKUP(B332,'[6]May-26'!$A:$A,'[6]May-26'!$B:$B,0)</f>
        <v>0</v>
      </c>
      <c r="Q332" s="37">
        <f>_xlfn.XLOOKUP(B332,'[7]May-26'!$A:$A,'[7]May-26'!$B:$B,0)</f>
        <v>0</v>
      </c>
      <c r="R332" s="37">
        <f>_xlfn.XLOOKUP(B332,[8]Sheet1!$B:$B,[8]Sheet1!$C:$C,0)</f>
        <v>0</v>
      </c>
      <c r="S332" s="37">
        <f>_xlfn.XLOOKUP(B332,[9]PROV!$A:$A,[9]PROV!$B:$B,0)</f>
        <v>0</v>
      </c>
      <c r="U332" s="37">
        <f>_xlfn.XLOOKUP(B332,'[10]May-2026'!$A:$A,'[10]May-2026'!$B:$B,0)</f>
        <v>0</v>
      </c>
    </row>
    <row r="333" spans="1:21" x14ac:dyDescent="0.35">
      <c r="A333" s="37" t="str">
        <f>_xlfn.XLOOKUP(B333,[3]master!B:B,[3]master!A:A)</f>
        <v>Other Manufacturing Expenses</v>
      </c>
      <c r="B333" s="533" t="s">
        <v>281</v>
      </c>
      <c r="H333" s="37">
        <f>_xlfn.XLOOKUP(B333,[4]Sheet1!$A:$A,[4]Sheet1!$C:$C,0)</f>
        <v>0</v>
      </c>
      <c r="I333" s="37">
        <f>_xlfn.XLOOKUP(B333,[4]Sheet1!$A:$A,[4]Sheet1!$D:$D,0)</f>
        <v>0</v>
      </c>
      <c r="M333" s="37">
        <f>_xlfn.XLOOKUP(B333,'[5]May- 26'!$A:$A,'[5]May- 26'!$B:$B,0)</f>
        <v>0</v>
      </c>
      <c r="P333" s="37">
        <f>_xlfn.XLOOKUP(B333,'[6]May-26'!$A:$A,'[6]May-26'!$B:$B,0)</f>
        <v>0</v>
      </c>
      <c r="Q333" s="37">
        <f>_xlfn.XLOOKUP(B333,'[7]May-26'!$A:$A,'[7]May-26'!$B:$B,0)</f>
        <v>0</v>
      </c>
      <c r="R333" s="37">
        <f>_xlfn.XLOOKUP(B333,[8]Sheet1!$B:$B,[8]Sheet1!$C:$C,0)</f>
        <v>0</v>
      </c>
      <c r="S333" s="37">
        <f>_xlfn.XLOOKUP(B333,[9]PROV!$A:$A,[9]PROV!$B:$B,0)</f>
        <v>0</v>
      </c>
      <c r="U333" s="37">
        <f>_xlfn.XLOOKUP(B333,'[10]May-2026'!$A:$A,'[10]May-2026'!$B:$B,0)</f>
        <v>0</v>
      </c>
    </row>
    <row r="334" spans="1:21" x14ac:dyDescent="0.35">
      <c r="A334" s="37" t="str">
        <f>_xlfn.XLOOKUP(B334,[3]master!B:B,[3]master!A:A)</f>
        <v>Miscellaneous income</v>
      </c>
      <c r="B334" s="37" t="s">
        <v>442</v>
      </c>
      <c r="H334" s="37">
        <f>_xlfn.XLOOKUP(B334,[4]Sheet1!$A:$A,[4]Sheet1!$C:$C,0)</f>
        <v>0</v>
      </c>
      <c r="I334" s="37">
        <f>_xlfn.XLOOKUP(B334,[4]Sheet1!$A:$A,[4]Sheet1!$D:$D,0)</f>
        <v>0</v>
      </c>
      <c r="M334" s="37">
        <f>_xlfn.XLOOKUP(B334,'[5]May- 26'!$A:$A,'[5]May- 26'!$B:$B,0)</f>
        <v>0</v>
      </c>
      <c r="P334" s="37">
        <f>_xlfn.XLOOKUP(B334,'[6]May-26'!$A:$A,'[6]May-26'!$B:$B,0)</f>
        <v>0</v>
      </c>
      <c r="Q334" s="37">
        <f>_xlfn.XLOOKUP(B334,'[7]May-26'!$A:$A,'[7]May-26'!$B:$B,0)</f>
        <v>0</v>
      </c>
      <c r="R334" s="37">
        <f>_xlfn.XLOOKUP(B334,[8]Sheet1!$B:$B,[8]Sheet1!$C:$C,0)</f>
        <v>0</v>
      </c>
      <c r="S334" s="37">
        <f>_xlfn.XLOOKUP(B334,[9]PROV!$A:$A,[9]PROV!$B:$B,0)</f>
        <v>0</v>
      </c>
      <c r="U334" s="37">
        <f>_xlfn.XLOOKUP(B334,'[10]May-2026'!$A:$A,'[10]May-2026'!$B:$B,0)</f>
        <v>0</v>
      </c>
    </row>
    <row r="335" spans="1:21" x14ac:dyDescent="0.35">
      <c r="A335" s="37" t="str">
        <f>_xlfn.XLOOKUP(B335,[3]master!B:B,[3]master!A:A)</f>
        <v>Sale of finished goods</v>
      </c>
      <c r="B335" s="533" t="s">
        <v>657</v>
      </c>
      <c r="H335" s="37">
        <f>_xlfn.XLOOKUP(B335,[4]Sheet1!$A:$A,[4]Sheet1!$C:$C,0)</f>
        <v>0</v>
      </c>
      <c r="I335" s="37">
        <f>_xlfn.XLOOKUP(B335,[4]Sheet1!$A:$A,[4]Sheet1!$D:$D,0)</f>
        <v>0</v>
      </c>
      <c r="M335" s="37">
        <f>_xlfn.XLOOKUP(B335,'[5]May- 26'!$A:$A,'[5]May- 26'!$B:$B,0)</f>
        <v>0</v>
      </c>
      <c r="P335" s="37">
        <f>_xlfn.XLOOKUP(B335,'[6]May-26'!$A:$A,'[6]May-26'!$B:$B,0)</f>
        <v>0</v>
      </c>
      <c r="Q335" s="37">
        <f>_xlfn.XLOOKUP(B335,'[7]May-26'!$A:$A,'[7]May-26'!$B:$B,0)</f>
        <v>0</v>
      </c>
      <c r="R335" s="37">
        <f>_xlfn.XLOOKUP(B335,[8]Sheet1!$B:$B,[8]Sheet1!$C:$C,0)</f>
        <v>0</v>
      </c>
      <c r="S335" s="37">
        <f>_xlfn.XLOOKUP(B335,[9]PROV!$A:$A,[9]PROV!$B:$B,0)</f>
        <v>0</v>
      </c>
      <c r="U335" s="37">
        <f>_xlfn.XLOOKUP(B335,'[10]May-2026'!$A:$A,'[10]May-2026'!$B:$B,0)</f>
        <v>0</v>
      </c>
    </row>
    <row r="336" spans="1:21" x14ac:dyDescent="0.35">
      <c r="A336" s="37" t="str">
        <f>_xlfn.XLOOKUP(B336,[3]master!B:B,[3]master!A:A)</f>
        <v>Add: Purchase expenses</v>
      </c>
      <c r="B336" s="542" t="s">
        <v>263</v>
      </c>
      <c r="H336" s="37">
        <f>_xlfn.XLOOKUP(B336,[4]Sheet1!$A:$A,[4]Sheet1!$C:$C,0)</f>
        <v>0</v>
      </c>
      <c r="I336" s="37">
        <f>_xlfn.XLOOKUP(B336,[4]Sheet1!$A:$A,[4]Sheet1!$D:$D,0)</f>
        <v>0</v>
      </c>
      <c r="M336" s="37">
        <f>_xlfn.XLOOKUP(B336,'[5]May- 26'!$A:$A,'[5]May- 26'!$B:$B,0)</f>
        <v>0</v>
      </c>
      <c r="P336" s="37">
        <f>_xlfn.XLOOKUP(B336,'[6]May-26'!$A:$A,'[6]May-26'!$B:$B,0)</f>
        <v>0</v>
      </c>
      <c r="Q336" s="37">
        <f>_xlfn.XLOOKUP(B336,'[7]May-26'!$A:$A,'[7]May-26'!$B:$B,0)</f>
        <v>0</v>
      </c>
      <c r="R336" s="37">
        <f>_xlfn.XLOOKUP(B336,[8]Sheet1!$B:$B,[8]Sheet1!$C:$C,0)</f>
        <v>0</v>
      </c>
      <c r="S336" s="37">
        <f>_xlfn.XLOOKUP(B336,[9]PROV!$A:$A,[9]PROV!$B:$B,0)</f>
        <v>0</v>
      </c>
      <c r="U336" s="37">
        <f>_xlfn.XLOOKUP(B336,'[10]May-2026'!$A:$A,'[10]May-2026'!$B:$B,0)</f>
        <v>0</v>
      </c>
    </row>
    <row r="337" spans="1:37" x14ac:dyDescent="0.35">
      <c r="A337" s="37" t="s">
        <v>431</v>
      </c>
      <c r="B337" s="542" t="s">
        <v>320</v>
      </c>
      <c r="H337" s="37">
        <f>_xlfn.XLOOKUP(B337,[4]Sheet1!$A:$A,[4]Sheet1!$C:$C,0)</f>
        <v>0</v>
      </c>
      <c r="I337" s="37">
        <f>_xlfn.XLOOKUP(B337,[4]Sheet1!$A:$A,[4]Sheet1!$D:$D,0)</f>
        <v>0</v>
      </c>
      <c r="M337" s="37">
        <f>_xlfn.XLOOKUP(B337,'[5]May- 26'!$A:$A,'[5]May- 26'!$B:$B,0)</f>
        <v>0</v>
      </c>
      <c r="P337" s="37">
        <f>_xlfn.XLOOKUP(B337,'[6]May-26'!$A:$A,'[6]May-26'!$B:$B,0)</f>
        <v>0</v>
      </c>
      <c r="Q337" s="37">
        <f>_xlfn.XLOOKUP(B337,'[7]May-26'!$A:$A,'[7]May-26'!$B:$B,0)</f>
        <v>0</v>
      </c>
      <c r="R337" s="37">
        <f>_xlfn.XLOOKUP(B337,[8]Sheet1!$B:$B,[8]Sheet1!$C:$C,0)</f>
        <v>0</v>
      </c>
      <c r="S337" s="37">
        <f>_xlfn.XLOOKUP(B337,[9]PROV!$A:$A,[9]PROV!$B:$B,0)</f>
        <v>0</v>
      </c>
      <c r="U337" s="37">
        <f>_xlfn.XLOOKUP(B337,'[10]May-2026'!$A:$A,'[10]May-2026'!$B:$B,0)</f>
        <v>0</v>
      </c>
    </row>
    <row r="338" spans="1:37" x14ac:dyDescent="0.35">
      <c r="A338" s="37" t="str">
        <f>_xlfn.XLOOKUP(B338,[3]master!B:B,[3]master!A:A)</f>
        <v>Freight Outward and C &amp; F Charges</v>
      </c>
      <c r="B338" s="533" t="s">
        <v>390</v>
      </c>
      <c r="H338" s="37">
        <f>_xlfn.XLOOKUP(B338,[4]Sheet1!$A:$A,[4]Sheet1!$C:$C,0)</f>
        <v>0</v>
      </c>
      <c r="I338" s="37">
        <f>_xlfn.XLOOKUP(B338,[4]Sheet1!$A:$A,[4]Sheet1!$D:$D,0)</f>
        <v>0</v>
      </c>
      <c r="M338" s="37">
        <f>_xlfn.XLOOKUP(B338,'[5]May- 26'!$A:$A,'[5]May- 26'!$B:$B,0)</f>
        <v>0</v>
      </c>
      <c r="P338" s="37">
        <f>_xlfn.XLOOKUP(B338,'[6]May-26'!$A:$A,'[6]May-26'!$B:$B,0)</f>
        <v>0</v>
      </c>
      <c r="Q338" s="37">
        <f>_xlfn.XLOOKUP(B338,'[7]May-26'!$A:$A,'[7]May-26'!$B:$B,0)</f>
        <v>0</v>
      </c>
      <c r="R338" s="37">
        <f>_xlfn.XLOOKUP(B338,[8]Sheet1!$B:$B,[8]Sheet1!$C:$C,0)</f>
        <v>500000</v>
      </c>
      <c r="S338" s="37">
        <f>_xlfn.XLOOKUP(B338,[9]PROV!$A:$A,[9]PROV!$B:$B,0)</f>
        <v>0</v>
      </c>
      <c r="U338" s="37">
        <f>_xlfn.XLOOKUP(B338,'[10]May-2026'!$A:$A,'[10]May-2026'!$B:$B,0)</f>
        <v>3800</v>
      </c>
    </row>
    <row r="339" spans="1:37" x14ac:dyDescent="0.35">
      <c r="A339" s="37" t="str">
        <f>_xlfn.XLOOKUP(B339,[3]master!B:B,[3]master!A:A)</f>
        <v>Freight Outward and C &amp; F Charges</v>
      </c>
      <c r="B339" s="533" t="s">
        <v>384</v>
      </c>
      <c r="H339" s="37">
        <f>_xlfn.XLOOKUP(B339,[4]Sheet1!$A:$A,[4]Sheet1!$C:$C,0)</f>
        <v>0</v>
      </c>
      <c r="I339" s="37">
        <f>_xlfn.XLOOKUP(B339,[4]Sheet1!$A:$A,[4]Sheet1!$D:$D,0)</f>
        <v>0</v>
      </c>
      <c r="M339" s="37">
        <f>_xlfn.XLOOKUP(B339,'[5]May- 26'!$A:$A,'[5]May- 26'!$B:$B,0)</f>
        <v>0</v>
      </c>
      <c r="P339" s="37">
        <f>_xlfn.XLOOKUP(B339,'[6]May-26'!$A:$A,'[6]May-26'!$B:$B,0)</f>
        <v>0</v>
      </c>
      <c r="Q339" s="37">
        <f>_xlfn.XLOOKUP(B339,'[7]May-26'!$A:$A,'[7]May-26'!$B:$B,0)</f>
        <v>0</v>
      </c>
      <c r="R339" s="37">
        <f>_xlfn.XLOOKUP(B339,[8]Sheet1!$B:$B,[8]Sheet1!$C:$C,0)</f>
        <v>0</v>
      </c>
      <c r="S339" s="37">
        <f>_xlfn.XLOOKUP(B339,[9]PROV!$A:$A,[9]PROV!$B:$B,0)</f>
        <v>0</v>
      </c>
      <c r="U339" s="37">
        <f>_xlfn.XLOOKUP(B339,'[10]May-2026'!$A:$A,'[10]May-2026'!$B:$B,0)</f>
        <v>0</v>
      </c>
    </row>
    <row r="340" spans="1:37" x14ac:dyDescent="0.35">
      <c r="A340" s="37" t="str">
        <f>_xlfn.XLOOKUP(B340,[3]master!B:B,[3]master!A:A)</f>
        <v>Add: Purchase of packing materials</v>
      </c>
      <c r="B340" s="533" t="s">
        <v>257</v>
      </c>
      <c r="H340" s="37">
        <f>_xlfn.XLOOKUP(B340,[4]Sheet1!$A:$A,[4]Sheet1!$C:$C,0)</f>
        <v>0</v>
      </c>
      <c r="I340" s="37">
        <f>_xlfn.XLOOKUP(B340,[4]Sheet1!$A:$A,[4]Sheet1!$D:$D,0)</f>
        <v>0</v>
      </c>
      <c r="M340" s="37">
        <f>_xlfn.XLOOKUP(B340,'[5]May- 26'!$A:$A,'[5]May- 26'!$B:$B,0)</f>
        <v>0</v>
      </c>
      <c r="P340" s="37">
        <f>_xlfn.XLOOKUP(B340,'[6]May-26'!$A:$A,'[6]May-26'!$B:$B,0)</f>
        <v>0</v>
      </c>
      <c r="Q340" s="37">
        <f>_xlfn.XLOOKUP(B340,'[7]May-26'!$A:$A,'[7]May-26'!$B:$B,0)</f>
        <v>0</v>
      </c>
      <c r="R340" s="37">
        <f>_xlfn.XLOOKUP(B340,[8]Sheet1!$B:$B,[8]Sheet1!$C:$C,0)</f>
        <v>0</v>
      </c>
      <c r="S340" s="37">
        <f>_xlfn.XLOOKUP(B340,[9]PROV!$A:$A,[9]PROV!$B:$B,0)</f>
        <v>0</v>
      </c>
      <c r="U340" s="37">
        <f>_xlfn.XLOOKUP(B340,'[10]May-2026'!$A:$A,'[10]May-2026'!$B:$B,0)</f>
        <v>0</v>
      </c>
    </row>
    <row r="341" spans="1:37" x14ac:dyDescent="0.35">
      <c r="A341" s="37" t="str">
        <f>_xlfn.XLOOKUP(B341,[3]master!B:B,[3]master!A:A)</f>
        <v>Other Administrative Expenses</v>
      </c>
      <c r="B341" s="533" t="s">
        <v>574</v>
      </c>
      <c r="H341" s="37">
        <f>_xlfn.XLOOKUP(B341,[4]Sheet1!$A:$A,[4]Sheet1!$C:$C,0)</f>
        <v>0</v>
      </c>
      <c r="I341" s="37">
        <f>_xlfn.XLOOKUP(B341,[4]Sheet1!$A:$A,[4]Sheet1!$D:$D,0)</f>
        <v>0</v>
      </c>
      <c r="M341" s="37">
        <f>_xlfn.XLOOKUP(B341,'[5]May- 26'!$A:$A,'[5]May- 26'!$B:$B,0)</f>
        <v>0</v>
      </c>
      <c r="P341" s="37">
        <f>_xlfn.XLOOKUP(B341,'[6]May-26'!$A:$A,'[6]May-26'!$B:$B,0)</f>
        <v>0</v>
      </c>
      <c r="Q341" s="37">
        <f>_xlfn.XLOOKUP(B341,'[7]May-26'!$A:$A,'[7]May-26'!$B:$B,0)</f>
        <v>0</v>
      </c>
      <c r="R341" s="37">
        <f>_xlfn.XLOOKUP(B341,[8]Sheet1!$B:$B,[8]Sheet1!$C:$C,0)</f>
        <v>0</v>
      </c>
      <c r="S341" s="37">
        <f>_xlfn.XLOOKUP(B341,[9]PROV!$A:$A,[9]PROV!$B:$B,0)</f>
        <v>0</v>
      </c>
      <c r="U341" s="37">
        <f>_xlfn.XLOOKUP(B341,'[10]May-2026'!$A:$A,'[10]May-2026'!$B:$B,0)</f>
        <v>0</v>
      </c>
    </row>
    <row r="342" spans="1:37" x14ac:dyDescent="0.35">
      <c r="A342" s="37" t="str">
        <f>_xlfn.XLOOKUP(B342,[3]master!B:B,[3]master!A:A)</f>
        <v>Add: Purchase of raw materials</v>
      </c>
      <c r="B342" s="37" t="s">
        <v>670</v>
      </c>
      <c r="H342" s="37">
        <f>_xlfn.XLOOKUP(B342,[4]Sheet1!$A:$A,[4]Sheet1!$C:$C,0)</f>
        <v>0</v>
      </c>
      <c r="I342" s="37">
        <f>_xlfn.XLOOKUP(B342,[4]Sheet1!$A:$A,[4]Sheet1!$D:$D,0)</f>
        <v>0</v>
      </c>
      <c r="M342" s="37">
        <f>_xlfn.XLOOKUP(B342,'[5]May- 26'!$A:$A,'[5]May- 26'!$B:$B,0)</f>
        <v>0</v>
      </c>
      <c r="P342" s="37">
        <f>_xlfn.XLOOKUP(B342,'[6]May-26'!$A:$A,'[6]May-26'!$B:$B,0)</f>
        <v>0</v>
      </c>
      <c r="Q342" s="37">
        <f>_xlfn.XLOOKUP(B342,'[7]May-26'!$A:$A,'[7]May-26'!$B:$B,0)</f>
        <v>0</v>
      </c>
      <c r="R342" s="37">
        <f>_xlfn.XLOOKUP(B342,[8]Sheet1!$B:$B,[8]Sheet1!$C:$C,0)</f>
        <v>0</v>
      </c>
      <c r="S342" s="37">
        <f>_xlfn.XLOOKUP(B342,[9]PROV!$A:$A,[9]PROV!$B:$B,0)</f>
        <v>0</v>
      </c>
      <c r="U342" s="37">
        <f>_xlfn.XLOOKUP(B342,'[10]May-2026'!$A:$A,'[10]May-2026'!$B:$B,0)</f>
        <v>0</v>
      </c>
    </row>
    <row r="343" spans="1:37" x14ac:dyDescent="0.35">
      <c r="A343" s="37" t="str">
        <f>_xlfn.XLOOKUP(B343,[3]master!B:B,[3]master!A:A)</f>
        <v>Other Administrative Expenses</v>
      </c>
      <c r="B343" s="13" t="s">
        <v>672</v>
      </c>
      <c r="H343" s="37">
        <f>_xlfn.XLOOKUP(B343,[4]Sheet1!$A:$A,[4]Sheet1!$C:$C,0)</f>
        <v>0</v>
      </c>
      <c r="I343" s="37">
        <f>_xlfn.XLOOKUP(B343,[4]Sheet1!$A:$A,[4]Sheet1!$D:$D,0)</f>
        <v>0</v>
      </c>
      <c r="M343" s="37">
        <f>_xlfn.XLOOKUP(B343,'[5]May- 26'!$A:$A,'[5]May- 26'!$B:$B,0)</f>
        <v>0</v>
      </c>
      <c r="P343" s="37">
        <f>_xlfn.XLOOKUP(B343,'[6]May-26'!$A:$A,'[6]May-26'!$B:$B,0)</f>
        <v>0</v>
      </c>
      <c r="Q343" s="37">
        <f>_xlfn.XLOOKUP(B343,'[7]May-26'!$A:$A,'[7]May-26'!$B:$B,0)</f>
        <v>0</v>
      </c>
      <c r="R343" s="37">
        <f>_xlfn.XLOOKUP(B343,[8]Sheet1!$B:$B,[8]Sheet1!$C:$C,0)</f>
        <v>0</v>
      </c>
      <c r="S343" s="37">
        <f>_xlfn.XLOOKUP(B343,[9]PROV!$A:$A,[9]PROV!$B:$B,0)</f>
        <v>0</v>
      </c>
      <c r="U343" s="37">
        <f>_xlfn.XLOOKUP(B343,'[10]May-2026'!$A:$A,'[10]May-2026'!$B:$B,0)</f>
        <v>0</v>
      </c>
    </row>
    <row r="344" spans="1:37" x14ac:dyDescent="0.35">
      <c r="G344" s="37" t="s">
        <v>740</v>
      </c>
      <c r="H344" s="37" t="s">
        <v>740</v>
      </c>
      <c r="I344" s="37" t="s">
        <v>740</v>
      </c>
      <c r="J344" s="37" t="s">
        <v>740</v>
      </c>
      <c r="L344" s="37" t="s">
        <v>740</v>
      </c>
      <c r="M344" s="37" t="s">
        <v>740</v>
      </c>
      <c r="N344" s="37" t="s">
        <v>740</v>
      </c>
      <c r="O344" s="37" t="s">
        <v>740</v>
      </c>
      <c r="P344" s="37" t="s">
        <v>740</v>
      </c>
      <c r="Q344" s="37" t="s">
        <v>740</v>
      </c>
      <c r="R344" s="37" t="s">
        <v>740</v>
      </c>
      <c r="S344" s="37" t="s">
        <v>740</v>
      </c>
      <c r="T344" s="37" t="s">
        <v>740</v>
      </c>
      <c r="U344" s="37" t="s">
        <v>740</v>
      </c>
      <c r="V344" s="37" t="s">
        <v>740</v>
      </c>
      <c r="W344" s="37" t="s">
        <v>740</v>
      </c>
      <c r="X344" s="37" t="s">
        <v>740</v>
      </c>
      <c r="Y344" s="37" t="s">
        <v>740</v>
      </c>
      <c r="Z344" s="37" t="s">
        <v>740</v>
      </c>
      <c r="AA344" s="37" t="s">
        <v>740</v>
      </c>
      <c r="AB344" s="37" t="s">
        <v>740</v>
      </c>
      <c r="AC344" s="37" t="s">
        <v>740</v>
      </c>
      <c r="AD344" s="37" t="s">
        <v>740</v>
      </c>
      <c r="AE344" s="37" t="s">
        <v>740</v>
      </c>
      <c r="AF344" s="37" t="s">
        <v>740</v>
      </c>
      <c r="AG344" s="37" t="s">
        <v>740</v>
      </c>
      <c r="AH344" s="37" t="s">
        <v>740</v>
      </c>
      <c r="AI344" s="37" t="s">
        <v>740</v>
      </c>
      <c r="AJ344" s="37" t="s">
        <v>740</v>
      </c>
      <c r="AK344" s="37" t="s">
        <v>740</v>
      </c>
    </row>
    <row r="348" spans="1:37" x14ac:dyDescent="0.35">
      <c r="G348" s="37">
        <f>SUM(G246:G343)</f>
        <v>0</v>
      </c>
      <c r="H348" s="37">
        <f t="shared" ref="H348:X348" si="0">SUM(H246:H343)</f>
        <v>21765646</v>
      </c>
      <c r="I348" s="37">
        <f t="shared" si="0"/>
        <v>617621</v>
      </c>
      <c r="J348" s="37">
        <f t="shared" si="0"/>
        <v>0</v>
      </c>
      <c r="K348" s="37">
        <f t="shared" si="0"/>
        <v>0</v>
      </c>
      <c r="L348" s="37">
        <f t="shared" si="0"/>
        <v>0</v>
      </c>
      <c r="M348" s="37">
        <f t="shared" si="0"/>
        <v>41392174</v>
      </c>
      <c r="N348" s="37">
        <f t="shared" si="0"/>
        <v>0</v>
      </c>
      <c r="O348" s="37">
        <f t="shared" si="0"/>
        <v>0</v>
      </c>
      <c r="P348" s="37">
        <f t="shared" si="0"/>
        <v>286672</v>
      </c>
      <c r="Q348" s="37">
        <f t="shared" si="0"/>
        <v>-7809917.4103161991</v>
      </c>
      <c r="R348" s="37">
        <f t="shared" si="0"/>
        <v>23079786</v>
      </c>
      <c r="S348" s="37">
        <f t="shared" si="0"/>
        <v>19935831</v>
      </c>
      <c r="T348" s="37">
        <f t="shared" si="0"/>
        <v>0</v>
      </c>
      <c r="U348" s="37">
        <f t="shared" si="0"/>
        <v>8752737.0999999996</v>
      </c>
      <c r="V348" s="37">
        <f t="shared" si="0"/>
        <v>2500000</v>
      </c>
      <c r="W348" s="37">
        <f t="shared" si="0"/>
        <v>-550675.33999999985</v>
      </c>
      <c r="X348" s="37">
        <f t="shared" si="0"/>
        <v>0</v>
      </c>
    </row>
    <row r="355" spans="13:21" x14ac:dyDescent="0.35">
      <c r="P355" s="37">
        <f>_xlfn.XLOOKUP(B355,'[11]Apr-25'!$A:$A,'[11]Apr-25'!$B:$B,0)</f>
        <v>0</v>
      </c>
      <c r="Q355" s="37">
        <f>_xlfn.XLOOKUP(B355,'[12]Apr 25'!$A:$A,'[12]Apr 25'!$B:$B,0)</f>
        <v>0</v>
      </c>
      <c r="S355" s="37">
        <f>_xlfn.XLOOKUP(B355,[13]PROV!$A:$A,[13]PROV!$B:$B,0)</f>
        <v>0</v>
      </c>
    </row>
    <row r="356" spans="13:21" x14ac:dyDescent="0.35">
      <c r="P356" s="37">
        <f>_xlfn.XLOOKUP(B356,'[11]Apr-25'!$A:$A,'[11]Apr-25'!$B:$B,0)</f>
        <v>0</v>
      </c>
      <c r="Q356" s="37">
        <f>_xlfn.XLOOKUP(B356,'[12]Apr 25'!$A:$A,'[12]Apr 25'!$B:$B,0)</f>
        <v>0</v>
      </c>
      <c r="S356" s="37">
        <f>_xlfn.XLOOKUP(B356,[13]PROV!$A:$A,[13]PROV!$B:$B,0)</f>
        <v>0</v>
      </c>
    </row>
    <row r="357" spans="13:21" x14ac:dyDescent="0.35">
      <c r="Q357" s="37">
        <f>_xlfn.XLOOKUP(B357,'[12]Apr 25'!$A:$A,'[12]Apr 25'!$B:$B,0)</f>
        <v>0</v>
      </c>
      <c r="S357" s="37">
        <f>_xlfn.XLOOKUP(B357,[13]PROV!$A:$A,[13]PROV!$B:$B,0)</f>
        <v>0</v>
      </c>
    </row>
    <row r="358" spans="13:21" x14ac:dyDescent="0.35">
      <c r="Q358" s="37">
        <f>_xlfn.XLOOKUP(B358,'[12]Apr 25'!$A:$A,'[12]Apr 25'!$B:$B,0)</f>
        <v>0</v>
      </c>
      <c r="S358" s="37">
        <f>_xlfn.XLOOKUP(B358,[13]PROV!$A:$A,[13]PROV!$B:$B,0)</f>
        <v>0</v>
      </c>
    </row>
    <row r="359" spans="13:21" x14ac:dyDescent="0.35">
      <c r="Q359" s="37">
        <f>_xlfn.XLOOKUP(B359,'[12]Apr 25'!$A:$A,'[12]Apr 25'!$B:$B,0)</f>
        <v>0</v>
      </c>
      <c r="S359" s="37">
        <f>_xlfn.XLOOKUP(B359,[13]PROV!$A:$A,[13]PROV!$B:$B,0)</f>
        <v>0</v>
      </c>
    </row>
    <row r="360" spans="13:21" x14ac:dyDescent="0.35">
      <c r="Q360" s="37">
        <f>_xlfn.XLOOKUP(B360,'[12]Apr 25'!$A:$A,'[12]Apr 25'!$B:$B,0)</f>
        <v>0</v>
      </c>
      <c r="S360" s="37">
        <f>_xlfn.XLOOKUP(B360,[13]PROV!$A:$A,[13]PROV!$B:$B,0)</f>
        <v>0</v>
      </c>
    </row>
    <row r="365" spans="13:21" x14ac:dyDescent="0.35">
      <c r="M365" s="37">
        <f>_xlfn.XLOOKUP(B365,[14]Sheet1!$A:$A,[14]Sheet1!$B:$B,0)</f>
        <v>0</v>
      </c>
      <c r="S365" s="37">
        <f>_xlfn.XLOOKUP(B365,[15]Sheet1!$A:$A,[15]Sheet1!$B:$B,0)</f>
        <v>0</v>
      </c>
      <c r="U365" s="37">
        <f>_xlfn.XLOOKUP(B365,[16]Sheet10!$A:$A,[16]Sheet10!$B:$B,0)</f>
        <v>0</v>
      </c>
    </row>
    <row r="366" spans="13:21" x14ac:dyDescent="0.35">
      <c r="M366" s="37">
        <f>_xlfn.XLOOKUP(B366,[14]Sheet1!$A:$A,[14]Sheet1!$B:$B,0)</f>
        <v>0</v>
      </c>
      <c r="S366" s="37">
        <f>_xlfn.XLOOKUP(B366,[15]Sheet1!$A:$A,[15]Sheet1!$B:$B,0)</f>
        <v>0</v>
      </c>
      <c r="U366" s="37">
        <f>_xlfn.XLOOKUP(B366,[16]Sheet10!$A:$A,[16]Sheet10!$B:$B,0)</f>
        <v>0</v>
      </c>
    </row>
    <row r="367" spans="13:21" x14ac:dyDescent="0.35">
      <c r="M367" s="37">
        <f>_xlfn.XLOOKUP(B367,[14]Sheet1!$A:$A,[14]Sheet1!$B:$B,0)</f>
        <v>0</v>
      </c>
      <c r="S367" s="37">
        <f>_xlfn.XLOOKUP(B367,[15]Sheet1!$A:$A,[15]Sheet1!$B:$B,0)</f>
        <v>0</v>
      </c>
      <c r="U367" s="37">
        <f>_xlfn.XLOOKUP(B367,[16]Sheet10!$A:$A,[16]Sheet10!$B:$B,0)</f>
        <v>0</v>
      </c>
    </row>
    <row r="368" spans="13:21" x14ac:dyDescent="0.35">
      <c r="M368" s="37">
        <f>_xlfn.XLOOKUP(B368,[14]Sheet1!$A:$A,[14]Sheet1!$B:$B,0)</f>
        <v>0</v>
      </c>
      <c r="S368" s="37">
        <f>_xlfn.XLOOKUP(B368,[15]Sheet1!$A:$A,[15]Sheet1!$B:$B,0)</f>
        <v>0</v>
      </c>
      <c r="U368" s="37">
        <f>_xlfn.XLOOKUP(B368,[16]Sheet10!$A:$A,[16]Sheet10!$B:$B,0)</f>
        <v>0</v>
      </c>
    </row>
    <row r="369" spans="13:21" x14ac:dyDescent="0.35">
      <c r="M369" s="37">
        <f>_xlfn.XLOOKUP(B369,[14]Sheet1!$A:$A,[14]Sheet1!$B:$B,0)</f>
        <v>0</v>
      </c>
      <c r="S369" s="37">
        <f>_xlfn.XLOOKUP(B369,[15]Sheet1!$A:$A,[15]Sheet1!$B:$B,0)</f>
        <v>0</v>
      </c>
      <c r="U369" s="37">
        <f>_xlfn.XLOOKUP(B369,[16]Sheet10!$A:$A,[16]Sheet10!$B:$B,0)</f>
        <v>0</v>
      </c>
    </row>
    <row r="370" spans="13:21" x14ac:dyDescent="0.35">
      <c r="M370" s="37">
        <f>_xlfn.XLOOKUP(B370,[14]Sheet1!$A:$A,[14]Sheet1!$B:$B,0)</f>
        <v>0</v>
      </c>
      <c r="S370" s="37">
        <f>_xlfn.XLOOKUP(B370,[15]Sheet1!$A:$A,[15]Sheet1!$B:$B,0)</f>
        <v>0</v>
      </c>
      <c r="U370" s="37">
        <f>_xlfn.XLOOKUP(B370,[16]Sheet10!$A:$A,[16]Sheet10!$B:$B,0)</f>
        <v>0</v>
      </c>
    </row>
    <row r="371" spans="13:21" x14ac:dyDescent="0.35">
      <c r="M371" s="37">
        <f>_xlfn.XLOOKUP(B371,[14]Sheet1!$A:$A,[14]Sheet1!$B:$B,0)</f>
        <v>0</v>
      </c>
      <c r="S371" s="37">
        <f>_xlfn.XLOOKUP(B371,[15]Sheet1!$A:$A,[15]Sheet1!$B:$B,0)</f>
        <v>0</v>
      </c>
      <c r="U371" s="37">
        <f>_xlfn.XLOOKUP(B371,[16]Sheet10!$A:$A,[16]Sheet10!$B:$B,0)</f>
        <v>0</v>
      </c>
    </row>
    <row r="372" spans="13:21" x14ac:dyDescent="0.35">
      <c r="M372" s="37">
        <f>_xlfn.XLOOKUP(B372,[14]Sheet1!$A:$A,[14]Sheet1!$B:$B,0)</f>
        <v>0</v>
      </c>
      <c r="S372" s="37">
        <f>_xlfn.XLOOKUP(B372,[15]Sheet1!$A:$A,[15]Sheet1!$B:$B,0)</f>
        <v>0</v>
      </c>
      <c r="U372" s="37">
        <f>_xlfn.XLOOKUP(B372,[16]Sheet10!$A:$A,[16]Sheet10!$B:$B,0)</f>
        <v>0</v>
      </c>
    </row>
    <row r="373" spans="13:21" x14ac:dyDescent="0.35">
      <c r="M373" s="37">
        <f>_xlfn.XLOOKUP(B373,[14]Sheet1!$A:$A,[14]Sheet1!$B:$B,0)</f>
        <v>0</v>
      </c>
      <c r="S373" s="37">
        <f>_xlfn.XLOOKUP(B373,[15]Sheet1!$A:$A,[15]Sheet1!$B:$B,0)</f>
        <v>0</v>
      </c>
      <c r="U373" s="37">
        <f>_xlfn.XLOOKUP(B373,[16]Sheet10!$A:$A,[16]Sheet10!$B:$B,0)</f>
        <v>0</v>
      </c>
    </row>
    <row r="374" spans="13:21" x14ac:dyDescent="0.35">
      <c r="M374" s="37">
        <f>_xlfn.XLOOKUP(B374,[14]Sheet1!$A:$A,[14]Sheet1!$B:$B,0)</f>
        <v>0</v>
      </c>
      <c r="S374" s="37">
        <f>_xlfn.XLOOKUP(B374,[15]Sheet1!$A:$A,[15]Sheet1!$B:$B,0)</f>
        <v>0</v>
      </c>
      <c r="U374" s="37">
        <f>_xlfn.XLOOKUP(B374,[16]Sheet10!$A:$A,[16]Sheet10!$B:$B,0)</f>
        <v>0</v>
      </c>
    </row>
    <row r="375" spans="13:21" x14ac:dyDescent="0.35">
      <c r="M375" s="37">
        <f>_xlfn.XLOOKUP(B375,[14]Sheet1!$A:$A,[14]Sheet1!$B:$B,0)</f>
        <v>0</v>
      </c>
      <c r="S375" s="37">
        <f>_xlfn.XLOOKUP(B375,[15]Sheet1!$A:$A,[15]Sheet1!$B:$B,0)</f>
        <v>0</v>
      </c>
      <c r="U375" s="37">
        <f>_xlfn.XLOOKUP(B375,[16]Sheet10!$A:$A,[16]Sheet10!$B:$B,0)</f>
        <v>0</v>
      </c>
    </row>
    <row r="376" spans="13:21" x14ac:dyDescent="0.35">
      <c r="M376" s="37">
        <f>_xlfn.XLOOKUP(B376,[14]Sheet1!$A:$A,[14]Sheet1!$B:$B,0)</f>
        <v>0</v>
      </c>
      <c r="S376" s="37">
        <f>_xlfn.XLOOKUP(B376,[15]Sheet1!$A:$A,[15]Sheet1!$B:$B,0)</f>
        <v>0</v>
      </c>
      <c r="U376" s="37">
        <f>_xlfn.XLOOKUP(B376,[16]Sheet10!$A:$A,[16]Sheet10!$B:$B,0)</f>
        <v>0</v>
      </c>
    </row>
    <row r="377" spans="13:21" x14ac:dyDescent="0.35">
      <c r="M377" s="37">
        <f>_xlfn.XLOOKUP(B377,[14]Sheet1!$A:$A,[14]Sheet1!$B:$B,0)</f>
        <v>0</v>
      </c>
      <c r="S377" s="37">
        <f>_xlfn.XLOOKUP(B377,[15]Sheet1!$A:$A,[15]Sheet1!$B:$B,0)</f>
        <v>0</v>
      </c>
      <c r="U377" s="37">
        <f>_xlfn.XLOOKUP(B377,[16]Sheet10!$A:$A,[16]Sheet10!$B:$B,0)</f>
        <v>0</v>
      </c>
    </row>
    <row r="378" spans="13:21" x14ac:dyDescent="0.35">
      <c r="M378" s="37">
        <f>_xlfn.XLOOKUP(B378,[14]Sheet1!$A:$A,[14]Sheet1!$B:$B,0)</f>
        <v>0</v>
      </c>
      <c r="S378" s="37">
        <f>_xlfn.XLOOKUP(B378,[15]Sheet1!$A:$A,[15]Sheet1!$B:$B,0)</f>
        <v>0</v>
      </c>
      <c r="U378" s="37">
        <f>_xlfn.XLOOKUP(B378,[16]Sheet10!$A:$A,[16]Sheet10!$B:$B,0)</f>
        <v>0</v>
      </c>
    </row>
    <row r="379" spans="13:21" x14ac:dyDescent="0.35">
      <c r="M379" s="37">
        <f>_xlfn.XLOOKUP(B379,[14]Sheet1!$A:$A,[14]Sheet1!$B:$B,0)</f>
        <v>0</v>
      </c>
      <c r="S379" s="37">
        <f>_xlfn.XLOOKUP(B379,[15]Sheet1!$A:$A,[15]Sheet1!$B:$B,0)</f>
        <v>0</v>
      </c>
      <c r="U379" s="37">
        <f>_xlfn.XLOOKUP(B379,[16]Sheet10!$A:$A,[16]Sheet10!$B:$B,0)</f>
        <v>0</v>
      </c>
    </row>
    <row r="380" spans="13:21" x14ac:dyDescent="0.35">
      <c r="M380" s="37">
        <f>_xlfn.XLOOKUP(B380,[14]Sheet1!$A:$A,[14]Sheet1!$B:$B,0)</f>
        <v>0</v>
      </c>
      <c r="S380" s="37">
        <f>_xlfn.XLOOKUP(B380,[15]Sheet1!$A:$A,[15]Sheet1!$B:$B,0)</f>
        <v>0</v>
      </c>
      <c r="U380" s="37">
        <f>_xlfn.XLOOKUP(B380,[16]Sheet10!$A:$A,[16]Sheet10!$B:$B,0)</f>
        <v>0</v>
      </c>
    </row>
    <row r="381" spans="13:21" x14ac:dyDescent="0.35">
      <c r="M381" s="37">
        <f>_xlfn.XLOOKUP(B381,[14]Sheet1!$A:$A,[14]Sheet1!$B:$B,0)</f>
        <v>0</v>
      </c>
      <c r="S381" s="37">
        <f>_xlfn.XLOOKUP(B381,[15]Sheet1!$A:$A,[15]Sheet1!$B:$B,0)</f>
        <v>0</v>
      </c>
      <c r="U381" s="37">
        <f>_xlfn.XLOOKUP(B381,[16]Sheet10!$A:$A,[16]Sheet10!$B:$B,0)</f>
        <v>0</v>
      </c>
    </row>
    <row r="382" spans="13:21" x14ac:dyDescent="0.35">
      <c r="M382" s="37">
        <f>_xlfn.XLOOKUP(B382,[14]Sheet1!$A:$A,[14]Sheet1!$B:$B,0)</f>
        <v>0</v>
      </c>
      <c r="S382" s="37">
        <f>_xlfn.XLOOKUP(B382,[15]Sheet1!$A:$A,[15]Sheet1!$B:$B,0)</f>
        <v>0</v>
      </c>
      <c r="U382" s="37">
        <f>_xlfn.XLOOKUP(B382,[16]Sheet10!$A:$A,[16]Sheet10!$B:$B,0)</f>
        <v>0</v>
      </c>
    </row>
    <row r="383" spans="13:21" x14ac:dyDescent="0.35">
      <c r="M383" s="37">
        <f>_xlfn.XLOOKUP(B383,[14]Sheet1!$A:$A,[14]Sheet1!$B:$B,0)</f>
        <v>0</v>
      </c>
      <c r="S383" s="37">
        <f>_xlfn.XLOOKUP(B383,[15]Sheet1!$A:$A,[15]Sheet1!$B:$B,0)</f>
        <v>0</v>
      </c>
      <c r="U383" s="37">
        <f>_xlfn.XLOOKUP(B383,[16]Sheet10!$A:$A,[16]Sheet10!$B:$B,0)</f>
        <v>0</v>
      </c>
    </row>
    <row r="384" spans="13:21" x14ac:dyDescent="0.35">
      <c r="M384" s="37">
        <f>_xlfn.XLOOKUP(B384,[14]Sheet1!$A:$A,[14]Sheet1!$B:$B,0)</f>
        <v>0</v>
      </c>
      <c r="S384" s="37">
        <f>_xlfn.XLOOKUP(B384,[15]Sheet1!$A:$A,[15]Sheet1!$B:$B,0)</f>
        <v>0</v>
      </c>
      <c r="U384" s="37">
        <f>_xlfn.XLOOKUP(B384,[16]Sheet10!$A:$A,[16]Sheet10!$B:$B,0)</f>
        <v>0</v>
      </c>
    </row>
    <row r="385" spans="13:21" x14ac:dyDescent="0.35">
      <c r="M385" s="37">
        <f>_xlfn.XLOOKUP(B385,[14]Sheet1!$A:$A,[14]Sheet1!$B:$B,0)</f>
        <v>0</v>
      </c>
      <c r="S385" s="37">
        <f>_xlfn.XLOOKUP(B385,[15]Sheet1!$A:$A,[15]Sheet1!$B:$B,0)</f>
        <v>0</v>
      </c>
      <c r="U385" s="37">
        <f>_xlfn.XLOOKUP(B385,[16]Sheet10!$A:$A,[16]Sheet10!$B:$B,0)</f>
        <v>0</v>
      </c>
    </row>
    <row r="386" spans="13:21" x14ac:dyDescent="0.35">
      <c r="M386" s="37">
        <f>_xlfn.XLOOKUP(B386,[14]Sheet1!$A:$A,[14]Sheet1!$B:$B,0)</f>
        <v>0</v>
      </c>
      <c r="S386" s="37">
        <f>_xlfn.XLOOKUP(B386,[15]Sheet1!$A:$A,[15]Sheet1!$B:$B,0)</f>
        <v>0</v>
      </c>
      <c r="U386" s="37">
        <f>_xlfn.XLOOKUP(B386,[16]Sheet10!$A:$A,[16]Sheet10!$B:$B,0)</f>
        <v>0</v>
      </c>
    </row>
    <row r="387" spans="13:21" x14ac:dyDescent="0.35">
      <c r="M387" s="37">
        <f>_xlfn.XLOOKUP(B387,[14]Sheet1!$A:$A,[14]Sheet1!$B:$B,0)</f>
        <v>0</v>
      </c>
      <c r="S387" s="37">
        <f>_xlfn.XLOOKUP(B387,[15]Sheet1!$A:$A,[15]Sheet1!$B:$B,0)</f>
        <v>0</v>
      </c>
      <c r="U387" s="37">
        <f>_xlfn.XLOOKUP(B387,[16]Sheet10!$A:$A,[16]Sheet10!$B:$B,0)</f>
        <v>0</v>
      </c>
    </row>
    <row r="388" spans="13:21" x14ac:dyDescent="0.35">
      <c r="M388" s="37">
        <f>_xlfn.XLOOKUP(B388,[14]Sheet1!$A:$A,[14]Sheet1!$B:$B,0)</f>
        <v>0</v>
      </c>
      <c r="S388" s="37">
        <f>_xlfn.XLOOKUP(B388,[15]Sheet1!$A:$A,[15]Sheet1!$B:$B,0)</f>
        <v>0</v>
      </c>
      <c r="U388" s="37">
        <f>_xlfn.XLOOKUP(B388,[16]Sheet10!$A:$A,[16]Sheet10!$B:$B,0)</f>
        <v>0</v>
      </c>
    </row>
    <row r="389" spans="13:21" x14ac:dyDescent="0.35">
      <c r="M389" s="37">
        <f>_xlfn.XLOOKUP(B389,[14]Sheet1!$A:$A,[14]Sheet1!$B:$B,0)</f>
        <v>0</v>
      </c>
      <c r="S389" s="37">
        <f>_xlfn.XLOOKUP(B389,[15]Sheet1!$A:$A,[15]Sheet1!$B:$B,0)</f>
        <v>0</v>
      </c>
      <c r="U389" s="37">
        <f>_xlfn.XLOOKUP(B389,[16]Sheet10!$A:$A,[16]Sheet10!$B:$B,0)</f>
        <v>0</v>
      </c>
    </row>
    <row r="390" spans="13:21" x14ac:dyDescent="0.35">
      <c r="M390" s="37">
        <f>_xlfn.XLOOKUP(B390,[14]Sheet1!$A:$A,[14]Sheet1!$B:$B,0)</f>
        <v>0</v>
      </c>
      <c r="S390" s="37">
        <f>_xlfn.XLOOKUP(B390,[15]Sheet1!$A:$A,[15]Sheet1!$B:$B,0)</f>
        <v>0</v>
      </c>
      <c r="U390" s="37">
        <f>_xlfn.XLOOKUP(B390,[16]Sheet10!$A:$A,[16]Sheet10!$B:$B,0)</f>
        <v>0</v>
      </c>
    </row>
    <row r="391" spans="13:21" x14ac:dyDescent="0.35">
      <c r="M391" s="37">
        <f>_xlfn.XLOOKUP(B391,[14]Sheet1!$A:$A,[14]Sheet1!$B:$B,0)</f>
        <v>0</v>
      </c>
      <c r="S391" s="37">
        <f>_xlfn.XLOOKUP(B391,[15]Sheet1!$A:$A,[15]Sheet1!$B:$B,0)</f>
        <v>0</v>
      </c>
      <c r="U391" s="37">
        <f>_xlfn.XLOOKUP(B391,[16]Sheet10!$A:$A,[16]Sheet10!$B:$B,0)</f>
        <v>0</v>
      </c>
    </row>
    <row r="392" spans="13:21" x14ac:dyDescent="0.35">
      <c r="M392" s="37">
        <f>_xlfn.XLOOKUP(B392,[14]Sheet1!$A:$A,[14]Sheet1!$B:$B,0)</f>
        <v>0</v>
      </c>
      <c r="S392" s="37">
        <f>_xlfn.XLOOKUP(B392,[15]Sheet1!$A:$A,[15]Sheet1!$B:$B,0)</f>
        <v>0</v>
      </c>
      <c r="U392" s="37">
        <f>_xlfn.XLOOKUP(B392,[16]Sheet10!$A:$A,[16]Sheet10!$B:$B,0)</f>
        <v>0</v>
      </c>
    </row>
    <row r="393" spans="13:21" x14ac:dyDescent="0.35">
      <c r="M393" s="37">
        <f>_xlfn.XLOOKUP(B393,[14]Sheet1!$A:$A,[14]Sheet1!$B:$B,0)</f>
        <v>0</v>
      </c>
      <c r="S393" s="37">
        <f>_xlfn.XLOOKUP(B393,[15]Sheet1!$A:$A,[15]Sheet1!$B:$B,0)</f>
        <v>0</v>
      </c>
      <c r="U393" s="37">
        <f>_xlfn.XLOOKUP(B393,[16]Sheet10!$A:$A,[16]Sheet10!$B:$B,0)</f>
        <v>0</v>
      </c>
    </row>
    <row r="394" spans="13:21" x14ac:dyDescent="0.35">
      <c r="M394" s="37">
        <f>_xlfn.XLOOKUP(B394,[14]Sheet1!$A:$A,[14]Sheet1!$B:$B,0)</f>
        <v>0</v>
      </c>
      <c r="S394" s="37">
        <f>_xlfn.XLOOKUP(B394,[15]Sheet1!$A:$A,[15]Sheet1!$B:$B,0)</f>
        <v>0</v>
      </c>
      <c r="U394" s="37">
        <f>_xlfn.XLOOKUP(B394,[16]Sheet10!$A:$A,[16]Sheet10!$B:$B,0)</f>
        <v>0</v>
      </c>
    </row>
    <row r="395" spans="13:21" x14ac:dyDescent="0.35">
      <c r="M395" s="37">
        <f>_xlfn.XLOOKUP(B395,[14]Sheet1!$A:$A,[14]Sheet1!$B:$B,0)</f>
        <v>0</v>
      </c>
      <c r="S395" s="37">
        <f>_xlfn.XLOOKUP(B395,[15]Sheet1!$A:$A,[15]Sheet1!$B:$B,0)</f>
        <v>0</v>
      </c>
      <c r="U395" s="37">
        <f>_xlfn.XLOOKUP(B395,[16]Sheet10!$A:$A,[16]Sheet10!$B:$B,0)</f>
        <v>0</v>
      </c>
    </row>
    <row r="396" spans="13:21" x14ac:dyDescent="0.35">
      <c r="M396" s="37">
        <f>_xlfn.XLOOKUP(B396,[14]Sheet1!$A:$A,[14]Sheet1!$B:$B,0)</f>
        <v>0</v>
      </c>
      <c r="S396" s="37">
        <f>_xlfn.XLOOKUP(B396,[15]Sheet1!$A:$A,[15]Sheet1!$B:$B,0)</f>
        <v>0</v>
      </c>
      <c r="U396" s="37">
        <f>_xlfn.XLOOKUP(B396,[16]Sheet10!$A:$A,[16]Sheet10!$B:$B,0)</f>
        <v>0</v>
      </c>
    </row>
    <row r="397" spans="13:21" x14ac:dyDescent="0.35">
      <c r="M397" s="37">
        <f>_xlfn.XLOOKUP(B397,[14]Sheet1!$A:$A,[14]Sheet1!$B:$B,0)</f>
        <v>0</v>
      </c>
      <c r="S397" s="37">
        <f>_xlfn.XLOOKUP(B397,[15]Sheet1!$A:$A,[15]Sheet1!$B:$B,0)</f>
        <v>0</v>
      </c>
      <c r="U397" s="37">
        <f>_xlfn.XLOOKUP(B397,[16]Sheet10!$A:$A,[16]Sheet10!$B:$B,0)</f>
        <v>0</v>
      </c>
    </row>
    <row r="398" spans="13:21" x14ac:dyDescent="0.35">
      <c r="M398" s="37">
        <f>_xlfn.XLOOKUP(B398,[14]Sheet1!$A:$A,[14]Sheet1!$B:$B,0)</f>
        <v>0</v>
      </c>
      <c r="S398" s="37">
        <f>_xlfn.XLOOKUP(B398,[15]Sheet1!$A:$A,[15]Sheet1!$B:$B,0)</f>
        <v>0</v>
      </c>
      <c r="U398" s="37">
        <f>_xlfn.XLOOKUP(B398,[16]Sheet10!$A:$A,[16]Sheet10!$B:$B,0)</f>
        <v>0</v>
      </c>
    </row>
    <row r="399" spans="13:21" x14ac:dyDescent="0.35">
      <c r="M399" s="37">
        <f>_xlfn.XLOOKUP(B399,[14]Sheet1!$A:$A,[14]Sheet1!$B:$B,0)</f>
        <v>0</v>
      </c>
      <c r="S399" s="37">
        <f>_xlfn.XLOOKUP(B399,[15]Sheet1!$A:$A,[15]Sheet1!$B:$B,0)</f>
        <v>0</v>
      </c>
      <c r="U399" s="37">
        <f>_xlfn.XLOOKUP(B399,[16]Sheet10!$A:$A,[16]Sheet10!$B:$B,0)</f>
        <v>0</v>
      </c>
    </row>
    <row r="400" spans="13:21" x14ac:dyDescent="0.35">
      <c r="M400" s="37">
        <f>_xlfn.XLOOKUP(B400,[14]Sheet1!$A:$A,[14]Sheet1!$B:$B,0)</f>
        <v>0</v>
      </c>
      <c r="S400" s="37">
        <f>_xlfn.XLOOKUP(B400,[15]Sheet1!$A:$A,[15]Sheet1!$B:$B,0)</f>
        <v>0</v>
      </c>
      <c r="U400" s="37">
        <f>_xlfn.XLOOKUP(B400,[16]Sheet10!$A:$A,[16]Sheet10!$B:$B,0)</f>
        <v>0</v>
      </c>
    </row>
    <row r="401" spans="13:21" x14ac:dyDescent="0.35">
      <c r="M401" s="37">
        <f>_xlfn.XLOOKUP(B401,[14]Sheet1!$A:$A,[14]Sheet1!$B:$B,0)</f>
        <v>0</v>
      </c>
      <c r="S401" s="37">
        <f>_xlfn.XLOOKUP(B401,[15]Sheet1!$A:$A,[15]Sheet1!$B:$B,0)</f>
        <v>0</v>
      </c>
      <c r="U401" s="37">
        <f>_xlfn.XLOOKUP(B401,[16]Sheet10!$A:$A,[16]Sheet10!$B:$B,0)</f>
        <v>0</v>
      </c>
    </row>
    <row r="402" spans="13:21" x14ac:dyDescent="0.35">
      <c r="M402" s="37">
        <f>_xlfn.XLOOKUP(B402,[14]Sheet1!$A:$A,[14]Sheet1!$B:$B,0)</f>
        <v>0</v>
      </c>
      <c r="S402" s="37">
        <f>_xlfn.XLOOKUP(B402,[15]Sheet1!$A:$A,[15]Sheet1!$B:$B,0)</f>
        <v>0</v>
      </c>
      <c r="U402" s="37">
        <f>_xlfn.XLOOKUP(B402,[16]Sheet10!$A:$A,[16]Sheet10!$B:$B,0)</f>
        <v>0</v>
      </c>
    </row>
    <row r="403" spans="13:21" x14ac:dyDescent="0.35">
      <c r="S403" s="37">
        <f>_xlfn.XLOOKUP(B403,[15]Sheet1!$A:$A,[15]Sheet1!$B:$B,0)</f>
        <v>0</v>
      </c>
      <c r="U403" s="37">
        <f>_xlfn.XLOOKUP(B403,[16]Sheet10!$A:$A,[16]Sheet10!$B:$B,0)</f>
        <v>0</v>
      </c>
    </row>
    <row r="404" spans="13:21" x14ac:dyDescent="0.35">
      <c r="S404" s="37">
        <f>_xlfn.XLOOKUP(B404,[15]Sheet1!$A:$A,[15]Sheet1!$B:$B,0)</f>
        <v>0</v>
      </c>
      <c r="U404" s="37">
        <f>_xlfn.XLOOKUP(B404,[16]Sheet10!$A:$A,[16]Sheet10!$B:$B,0)</f>
        <v>0</v>
      </c>
    </row>
    <row r="405" spans="13:21" x14ac:dyDescent="0.35">
      <c r="S405" s="37">
        <f>_xlfn.XLOOKUP(B405,[15]Sheet1!$A:$A,[15]Sheet1!$B:$B,0)</f>
        <v>0</v>
      </c>
      <c r="U405" s="37">
        <f>_xlfn.XLOOKUP(B405,[16]Sheet10!$A:$A,[16]Sheet10!$B:$B,0)</f>
        <v>0</v>
      </c>
    </row>
    <row r="406" spans="13:21" x14ac:dyDescent="0.35">
      <c r="S406" s="37">
        <f>_xlfn.XLOOKUP(B406,[15]Sheet1!$A:$A,[15]Sheet1!$B:$B,0)</f>
        <v>0</v>
      </c>
      <c r="U406" s="37">
        <f>_xlfn.XLOOKUP(B406,[16]Sheet10!$A:$A,[16]Sheet10!$B:$B,0)</f>
        <v>0</v>
      </c>
    </row>
    <row r="407" spans="13:21" x14ac:dyDescent="0.35">
      <c r="S407" s="37">
        <f>_xlfn.XLOOKUP(B407,[15]Sheet1!$A:$A,[15]Sheet1!$B:$B,0)</f>
        <v>0</v>
      </c>
      <c r="U407" s="37">
        <f>_xlfn.XLOOKUP(B407,[16]Sheet10!$A:$A,[16]Sheet10!$B:$B,0)</f>
        <v>0</v>
      </c>
    </row>
    <row r="408" spans="13:21" x14ac:dyDescent="0.35">
      <c r="S408" s="37">
        <f>_xlfn.XLOOKUP(B408,[15]Sheet1!$A:$A,[15]Sheet1!$B:$B,0)</f>
        <v>0</v>
      </c>
      <c r="U408" s="37">
        <f>_xlfn.XLOOKUP(B408,[16]Sheet10!$A:$A,[16]Sheet10!$B:$B,0)</f>
        <v>0</v>
      </c>
    </row>
    <row r="409" spans="13:21" x14ac:dyDescent="0.35">
      <c r="S409" s="37">
        <f>_xlfn.XLOOKUP(B409,[15]Sheet1!$A:$A,[15]Sheet1!$B:$B,0)</f>
        <v>0</v>
      </c>
      <c r="U409" s="37">
        <f>_xlfn.XLOOKUP(B409,[16]Sheet10!$A:$A,[16]Sheet10!$B:$B,0)</f>
        <v>0</v>
      </c>
    </row>
  </sheetData>
  <autoFilter ref="A1:W243" xr:uid="{7B73601D-889E-44A4-8A7E-0F62A235A0D8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33B1-4410-4E42-85D7-14ED2039740E}">
  <dimension ref="A1:AK410"/>
  <sheetViews>
    <sheetView workbookViewId="0">
      <pane xSplit="6" ySplit="1" topLeftCell="U244" activePane="bottomRight" state="frozen"/>
      <selection activeCell="O223" sqref="O223"/>
      <selection pane="topRight" activeCell="O223" sqref="O223"/>
      <selection pane="bottomLeft" activeCell="O223" sqref="O223"/>
      <selection pane="bottomRight" activeCell="U250" sqref="U250"/>
    </sheetView>
  </sheetViews>
  <sheetFormatPr defaultColWidth="8.81640625" defaultRowHeight="14.5" x14ac:dyDescent="0.35"/>
  <cols>
    <col min="1" max="1" width="30.08984375" style="37" customWidth="1"/>
    <col min="2" max="2" width="30.453125" style="37" customWidth="1"/>
    <col min="3" max="3" width="8.81640625" style="37" customWidth="1"/>
    <col min="4" max="5" width="15.453125" style="37" customWidth="1"/>
    <col min="6" max="6" width="16.08984375" style="37" customWidth="1"/>
    <col min="7" max="7" width="25.08984375" style="37" bestFit="1" customWidth="1"/>
    <col min="8" max="8" width="26.453125" style="37" bestFit="1" customWidth="1"/>
    <col min="9" max="9" width="35.453125" style="37" bestFit="1" customWidth="1"/>
    <col min="10" max="10" width="36" style="37" bestFit="1" customWidth="1"/>
    <col min="11" max="11" width="36" style="37" customWidth="1"/>
    <col min="12" max="12" width="15.08984375" style="37" bestFit="1" customWidth="1"/>
    <col min="13" max="13" width="29.81640625" style="37" bestFit="1" customWidth="1"/>
    <col min="14" max="14" width="50.1796875" style="37" hidden="1" customWidth="1"/>
    <col min="15" max="15" width="38.1796875" style="37" hidden="1" customWidth="1"/>
    <col min="16" max="16" width="38.81640625" style="37" bestFit="1" customWidth="1"/>
    <col min="17" max="17" width="24" style="37" bestFit="1" customWidth="1"/>
    <col min="18" max="18" width="22.6328125" style="37" bestFit="1" customWidth="1"/>
    <col min="19" max="19" width="30.54296875" style="37" bestFit="1" customWidth="1"/>
    <col min="20" max="20" width="31.08984375" style="37" bestFit="1" customWidth="1"/>
    <col min="21" max="21" width="30.81640625" style="37" bestFit="1" customWidth="1"/>
    <col min="22" max="22" width="27" style="37" bestFit="1" customWidth="1"/>
    <col min="23" max="23" width="26" style="37" bestFit="1" customWidth="1"/>
    <col min="24" max="16384" width="8.81640625" style="37"/>
  </cols>
  <sheetData>
    <row r="1" spans="1:24" ht="15.5" x14ac:dyDescent="0.35">
      <c r="A1" s="530" t="s">
        <v>23</v>
      </c>
      <c r="B1" s="531" t="s">
        <v>1</v>
      </c>
      <c r="C1" s="531" t="s">
        <v>2</v>
      </c>
      <c r="D1" s="531" t="s">
        <v>3</v>
      </c>
      <c r="E1" s="531" t="s">
        <v>4</v>
      </c>
      <c r="F1" s="531" t="s">
        <v>5</v>
      </c>
      <c r="G1" s="531" t="s">
        <v>7</v>
      </c>
      <c r="H1" s="531" t="s">
        <v>8</v>
      </c>
      <c r="I1" s="531" t="s">
        <v>9</v>
      </c>
      <c r="J1" s="531" t="s">
        <v>10</v>
      </c>
      <c r="K1" s="531" t="s">
        <v>741</v>
      </c>
      <c r="L1" s="531" t="s">
        <v>742</v>
      </c>
      <c r="M1" s="531" t="s">
        <v>12</v>
      </c>
      <c r="N1" s="531" t="s">
        <v>13</v>
      </c>
      <c r="O1" s="531" t="s">
        <v>14</v>
      </c>
      <c r="P1" s="531" t="s">
        <v>15</v>
      </c>
      <c r="Q1" s="531" t="s">
        <v>16</v>
      </c>
      <c r="R1" s="531" t="s">
        <v>17</v>
      </c>
      <c r="S1" s="531" t="s">
        <v>18</v>
      </c>
      <c r="T1" s="531" t="s">
        <v>19</v>
      </c>
      <c r="U1" s="531" t="s">
        <v>719</v>
      </c>
      <c r="V1" s="531" t="s">
        <v>21</v>
      </c>
      <c r="W1" s="531" t="s">
        <v>22</v>
      </c>
    </row>
    <row r="2" spans="1:24" x14ac:dyDescent="0.35">
      <c r="A2" s="37" t="str">
        <f>_xlfn.XLOOKUP(B2,master!B:B,master!A:A)</f>
        <v>Add: Purchase expenses</v>
      </c>
      <c r="B2" s="13" t="s">
        <v>256</v>
      </c>
      <c r="C2" s="14"/>
      <c r="D2" s="14"/>
      <c r="E2" s="14"/>
      <c r="F2" s="14"/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-8465.5</v>
      </c>
      <c r="R2" s="14">
        <v>-1594163.39</v>
      </c>
      <c r="S2" s="14">
        <v>-407650</v>
      </c>
      <c r="T2" s="14">
        <v>0</v>
      </c>
      <c r="U2" s="14">
        <v>0</v>
      </c>
      <c r="V2" s="14">
        <v>0</v>
      </c>
      <c r="W2" s="14">
        <v>0</v>
      </c>
      <c r="X2" s="533"/>
    </row>
    <row r="3" spans="1:24" x14ac:dyDescent="0.35">
      <c r="A3" s="37" t="str">
        <f>_xlfn.XLOOKUP(B3,master!B:B,master!A:A)</f>
        <v>Add: Purchase of packing materials</v>
      </c>
      <c r="B3" s="13" t="s">
        <v>257</v>
      </c>
      <c r="C3" s="14"/>
      <c r="D3" s="14"/>
      <c r="E3" s="14"/>
      <c r="F3" s="14"/>
      <c r="G3" s="14">
        <v>0</v>
      </c>
      <c r="H3" s="14">
        <v>-2400</v>
      </c>
      <c r="I3" s="14">
        <v>0</v>
      </c>
      <c r="J3" s="14">
        <v>0</v>
      </c>
      <c r="K3" s="14">
        <v>7150</v>
      </c>
      <c r="L3" s="14">
        <v>0</v>
      </c>
      <c r="M3" s="14">
        <v>100</v>
      </c>
      <c r="N3" s="14">
        <v>0</v>
      </c>
      <c r="O3" s="14">
        <v>0</v>
      </c>
      <c r="P3" s="14">
        <v>-9210</v>
      </c>
      <c r="Q3" s="14">
        <v>3890</v>
      </c>
      <c r="R3" s="14">
        <v>132036.78</v>
      </c>
      <c r="S3" s="14">
        <v>150</v>
      </c>
      <c r="T3" s="14">
        <v>0</v>
      </c>
      <c r="U3" s="14">
        <v>200</v>
      </c>
      <c r="V3" s="14">
        <v>0</v>
      </c>
      <c r="W3" s="14">
        <v>0</v>
      </c>
      <c r="X3" s="533"/>
    </row>
    <row r="4" spans="1:24" x14ac:dyDescent="0.35">
      <c r="A4" s="37" t="str">
        <f>_xlfn.XLOOKUP(B4,master!B:B,master!A:A)</f>
        <v>Add: Purchase expenses</v>
      </c>
      <c r="B4" s="13" t="s">
        <v>259</v>
      </c>
      <c r="C4" s="14"/>
      <c r="D4" s="14"/>
      <c r="E4" s="14"/>
      <c r="F4" s="14"/>
      <c r="G4" s="14">
        <v>0</v>
      </c>
      <c r="H4" s="14">
        <v>11.07</v>
      </c>
      <c r="I4" s="14">
        <v>0.13</v>
      </c>
      <c r="J4" s="14">
        <v>0</v>
      </c>
      <c r="K4" s="14">
        <v>-1.47</v>
      </c>
      <c r="L4" s="14">
        <v>0</v>
      </c>
      <c r="M4" s="14">
        <v>4.72</v>
      </c>
      <c r="N4" s="14">
        <v>0</v>
      </c>
      <c r="O4" s="14">
        <v>0</v>
      </c>
      <c r="P4" s="14">
        <v>2.34</v>
      </c>
      <c r="Q4" s="14">
        <v>1.51</v>
      </c>
      <c r="R4" s="14">
        <v>2.57</v>
      </c>
      <c r="S4" s="14">
        <v>7.87</v>
      </c>
      <c r="T4" s="14">
        <v>0</v>
      </c>
      <c r="U4" s="14">
        <v>-2.83</v>
      </c>
      <c r="V4" s="14">
        <v>0</v>
      </c>
      <c r="W4" s="14">
        <v>2.06</v>
      </c>
      <c r="X4" s="533"/>
    </row>
    <row r="5" spans="1:24" x14ac:dyDescent="0.35">
      <c r="A5" s="37" t="str">
        <f>_xlfn.XLOOKUP(B5,master!B:B,master!A:A)</f>
        <v>Add: Purchase expenses</v>
      </c>
      <c r="B5" s="13" t="s">
        <v>557</v>
      </c>
      <c r="C5" s="14"/>
      <c r="D5" s="14"/>
      <c r="E5" s="14"/>
      <c r="F5" s="14"/>
      <c r="G5" s="14">
        <v>0</v>
      </c>
      <c r="H5" s="14">
        <v>0</v>
      </c>
      <c r="I5" s="14">
        <v>7237.28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121924.74</v>
      </c>
      <c r="S5" s="14">
        <v>0</v>
      </c>
      <c r="T5" s="14">
        <v>0</v>
      </c>
      <c r="U5" s="14">
        <v>4243.54</v>
      </c>
      <c r="V5" s="14">
        <v>0</v>
      </c>
      <c r="W5" s="14">
        <v>0</v>
      </c>
      <c r="X5" s="533"/>
    </row>
    <row r="6" spans="1:24" x14ac:dyDescent="0.35">
      <c r="A6" s="37" t="str">
        <f>_xlfn.XLOOKUP(B6,master!B:B,master!A:A)</f>
        <v>Add: Purchase expenses</v>
      </c>
      <c r="B6" s="13" t="s">
        <v>260</v>
      </c>
      <c r="C6" s="14"/>
      <c r="D6" s="14"/>
      <c r="E6" s="14"/>
      <c r="F6" s="14"/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241195</v>
      </c>
      <c r="S6" s="14">
        <v>0</v>
      </c>
      <c r="T6" s="14">
        <v>0</v>
      </c>
      <c r="U6" s="14">
        <v>37545</v>
      </c>
      <c r="V6" s="14">
        <v>0</v>
      </c>
      <c r="W6" s="14">
        <v>0</v>
      </c>
      <c r="X6" s="533"/>
    </row>
    <row r="7" spans="1:24" x14ac:dyDescent="0.35">
      <c r="A7" s="37" t="str">
        <f>_xlfn.XLOOKUP(B7,master!B:B,master!A:A)</f>
        <v>Add: Purchase expenses</v>
      </c>
      <c r="B7" s="13" t="s">
        <v>261</v>
      </c>
      <c r="C7" s="14"/>
      <c r="D7" s="14"/>
      <c r="E7" s="14"/>
      <c r="F7" s="14"/>
      <c r="G7" s="14">
        <v>0</v>
      </c>
      <c r="H7" s="14">
        <v>20440</v>
      </c>
      <c r="I7" s="14">
        <v>0</v>
      </c>
      <c r="J7" s="14">
        <v>0</v>
      </c>
      <c r="K7" s="14">
        <v>0</v>
      </c>
      <c r="L7" s="14">
        <v>0</v>
      </c>
      <c r="M7" s="14">
        <v>177110</v>
      </c>
      <c r="N7" s="14">
        <v>0</v>
      </c>
      <c r="O7" s="14">
        <v>0</v>
      </c>
      <c r="P7" s="14">
        <v>0</v>
      </c>
      <c r="Q7" s="14">
        <v>17260</v>
      </c>
      <c r="R7" s="14">
        <v>112976</v>
      </c>
      <c r="S7" s="14">
        <v>37228</v>
      </c>
      <c r="T7" s="14">
        <v>0</v>
      </c>
      <c r="U7" s="14">
        <v>7700</v>
      </c>
      <c r="V7" s="14">
        <v>0</v>
      </c>
      <c r="W7" s="14">
        <v>0</v>
      </c>
      <c r="X7" s="533"/>
    </row>
    <row r="8" spans="1:24" x14ac:dyDescent="0.35">
      <c r="A8" s="37" t="str">
        <f>_xlfn.XLOOKUP(B8,master!B:B,master!A:A)</f>
        <v>Add: Purchase expenses</v>
      </c>
      <c r="B8" s="13" t="s">
        <v>262</v>
      </c>
      <c r="C8" s="14"/>
      <c r="D8" s="14"/>
      <c r="E8" s="14"/>
      <c r="F8" s="14"/>
      <c r="G8" s="14">
        <v>0</v>
      </c>
      <c r="H8" s="14">
        <v>372413.03</v>
      </c>
      <c r="I8" s="14">
        <v>160</v>
      </c>
      <c r="J8" s="14">
        <v>0</v>
      </c>
      <c r="K8" s="14">
        <v>0</v>
      </c>
      <c r="L8" s="14">
        <v>0</v>
      </c>
      <c r="M8" s="14">
        <v>62503.7</v>
      </c>
      <c r="N8" s="14">
        <v>0</v>
      </c>
      <c r="O8" s="14">
        <v>0</v>
      </c>
      <c r="P8" s="14">
        <v>0</v>
      </c>
      <c r="Q8" s="14">
        <v>252</v>
      </c>
      <c r="R8" s="14">
        <v>20373.8</v>
      </c>
      <c r="S8" s="14">
        <v>26420.9</v>
      </c>
      <c r="T8" s="14">
        <v>0</v>
      </c>
      <c r="U8" s="14">
        <v>10140</v>
      </c>
      <c r="V8" s="14">
        <v>0</v>
      </c>
      <c r="W8" s="14">
        <v>0</v>
      </c>
      <c r="X8" s="533"/>
    </row>
    <row r="9" spans="1:24" x14ac:dyDescent="0.35">
      <c r="A9" s="37" t="str">
        <f>_xlfn.XLOOKUP(B9,master!B:B,master!A:A)</f>
        <v>Add: Purchase expenses</v>
      </c>
      <c r="B9" s="13" t="s">
        <v>263</v>
      </c>
      <c r="C9" s="14"/>
      <c r="D9" s="14"/>
      <c r="E9" s="14"/>
      <c r="F9" s="14"/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48805.9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533"/>
    </row>
    <row r="10" spans="1:24" x14ac:dyDescent="0.35">
      <c r="A10" s="37" t="str">
        <f>_xlfn.XLOOKUP(B10,master!B:B,master!A:A)</f>
        <v>Other Administrative Expenses</v>
      </c>
      <c r="B10" s="13" t="s">
        <v>558</v>
      </c>
      <c r="C10" s="14"/>
      <c r="D10" s="14"/>
      <c r="E10" s="14"/>
      <c r="F10" s="14"/>
      <c r="G10" s="14">
        <v>0</v>
      </c>
      <c r="H10" s="14">
        <v>9750</v>
      </c>
      <c r="I10" s="14">
        <v>0</v>
      </c>
      <c r="J10" s="14">
        <v>0</v>
      </c>
      <c r="K10" s="14">
        <v>0</v>
      </c>
      <c r="L10" s="14">
        <v>0</v>
      </c>
      <c r="M10" s="14">
        <v>3000</v>
      </c>
      <c r="N10" s="14">
        <v>0</v>
      </c>
      <c r="O10" s="14">
        <v>0</v>
      </c>
      <c r="P10" s="14">
        <v>0</v>
      </c>
      <c r="Q10" s="14">
        <v>0</v>
      </c>
      <c r="R10" s="14">
        <v>1500</v>
      </c>
      <c r="S10" s="14">
        <v>0</v>
      </c>
      <c r="T10" s="14">
        <v>0</v>
      </c>
      <c r="U10" s="14">
        <v>0</v>
      </c>
      <c r="V10" s="14">
        <v>5004.13</v>
      </c>
      <c r="W10" s="14">
        <v>0</v>
      </c>
      <c r="X10" s="533"/>
    </row>
    <row r="11" spans="1:24" x14ac:dyDescent="0.35">
      <c r="A11" s="37" t="str">
        <f>_xlfn.XLOOKUP(B11,master!B:B,master!A:A)</f>
        <v>Add: Purchase of Stores, Spares &amp; Consumables</v>
      </c>
      <c r="B11" s="13" t="s">
        <v>264</v>
      </c>
      <c r="C11" s="14"/>
      <c r="D11" s="14"/>
      <c r="E11" s="14"/>
      <c r="F11" s="14"/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94466</v>
      </c>
      <c r="T11" s="14">
        <v>0</v>
      </c>
      <c r="U11" s="14">
        <v>0</v>
      </c>
      <c r="V11" s="14">
        <v>0</v>
      </c>
      <c r="W11" s="14">
        <v>0</v>
      </c>
      <c r="X11" s="533"/>
    </row>
    <row r="12" spans="1:24" x14ac:dyDescent="0.35">
      <c r="A12" s="37" t="str">
        <f>_xlfn.XLOOKUP(B12,master!B:B,master!A:A)</f>
        <v>Other Administrative Expenses</v>
      </c>
      <c r="B12" s="13" t="s">
        <v>265</v>
      </c>
      <c r="C12" s="14"/>
      <c r="D12" s="14"/>
      <c r="E12" s="14"/>
      <c r="F12" s="14"/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24518</v>
      </c>
      <c r="R12" s="14">
        <v>46924</v>
      </c>
      <c r="S12" s="14">
        <v>89926</v>
      </c>
      <c r="T12" s="14">
        <v>0</v>
      </c>
      <c r="U12" s="14">
        <v>22136</v>
      </c>
      <c r="V12" s="14">
        <v>0</v>
      </c>
      <c r="W12" s="14">
        <v>0</v>
      </c>
      <c r="X12" s="533"/>
    </row>
    <row r="13" spans="1:24" x14ac:dyDescent="0.35">
      <c r="A13" s="37" t="str">
        <f>_xlfn.XLOOKUP(B13,master!B:B,master!A:A)</f>
        <v>Other Administrative Expenses</v>
      </c>
      <c r="B13" s="13" t="s">
        <v>656</v>
      </c>
      <c r="C13" s="14"/>
      <c r="D13" s="14"/>
      <c r="E13" s="14"/>
      <c r="F13" s="14"/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9900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533"/>
    </row>
    <row r="14" spans="1:24" x14ac:dyDescent="0.35">
      <c r="A14" s="37" t="str">
        <f>_xlfn.XLOOKUP(B14,master!B:B,master!A:A)</f>
        <v>Other Administrative Expenses</v>
      </c>
      <c r="B14" s="13" t="s">
        <v>266</v>
      </c>
      <c r="C14" s="14"/>
      <c r="D14" s="14"/>
      <c r="E14" s="14"/>
      <c r="F14" s="14"/>
      <c r="G14" s="14">
        <v>0</v>
      </c>
      <c r="H14" s="14">
        <v>13590</v>
      </c>
      <c r="I14" s="14">
        <v>0</v>
      </c>
      <c r="J14" s="14">
        <v>0</v>
      </c>
      <c r="K14" s="14">
        <v>0</v>
      </c>
      <c r="L14" s="14">
        <v>0</v>
      </c>
      <c r="M14" s="14">
        <v>158050</v>
      </c>
      <c r="N14" s="14">
        <v>0</v>
      </c>
      <c r="O14" s="14">
        <v>0</v>
      </c>
      <c r="P14" s="14">
        <v>0</v>
      </c>
      <c r="Q14" s="14">
        <v>29199</v>
      </c>
      <c r="R14" s="14">
        <v>281037</v>
      </c>
      <c r="S14" s="14">
        <v>4472</v>
      </c>
      <c r="T14" s="14">
        <v>0</v>
      </c>
      <c r="U14" s="14">
        <v>0</v>
      </c>
      <c r="V14" s="14">
        <v>0</v>
      </c>
      <c r="W14" s="14">
        <v>10800.34</v>
      </c>
      <c r="X14" s="533"/>
    </row>
    <row r="15" spans="1:24" x14ac:dyDescent="0.35">
      <c r="A15" s="37" t="str">
        <f>_xlfn.XLOOKUP(B15,master!B:B,master!A:A)</f>
        <v>Labour charges</v>
      </c>
      <c r="B15" s="13" t="s">
        <v>267</v>
      </c>
      <c r="C15" s="14"/>
      <c r="D15" s="14"/>
      <c r="E15" s="14"/>
      <c r="F15" s="14"/>
      <c r="G15" s="14">
        <v>0</v>
      </c>
      <c r="H15" s="14">
        <v>40846</v>
      </c>
      <c r="I15" s="14">
        <v>0</v>
      </c>
      <c r="J15" s="14">
        <v>0</v>
      </c>
      <c r="K15" s="14">
        <v>0</v>
      </c>
      <c r="L15" s="14">
        <v>0</v>
      </c>
      <c r="M15" s="14">
        <v>129973</v>
      </c>
      <c r="N15" s="14">
        <v>0</v>
      </c>
      <c r="O15" s="14">
        <v>0</v>
      </c>
      <c r="P15" s="14">
        <v>0</v>
      </c>
      <c r="Q15" s="14">
        <v>1353791</v>
      </c>
      <c r="R15" s="14">
        <v>0</v>
      </c>
      <c r="S15" s="14">
        <v>148933</v>
      </c>
      <c r="T15" s="14">
        <v>0</v>
      </c>
      <c r="U15" s="14">
        <v>0</v>
      </c>
      <c r="V15" s="14">
        <v>0</v>
      </c>
      <c r="W15" s="14">
        <v>0</v>
      </c>
      <c r="X15" s="533"/>
    </row>
    <row r="16" spans="1:24" x14ac:dyDescent="0.35">
      <c r="A16" s="37" t="str">
        <f>_xlfn.XLOOKUP(B16,master!B:B,master!A:A)</f>
        <v>Power and fuel</v>
      </c>
      <c r="B16" s="13" t="s">
        <v>268</v>
      </c>
      <c r="C16" s="14"/>
      <c r="D16" s="14"/>
      <c r="E16" s="14"/>
      <c r="F16" s="14"/>
      <c r="G16" s="14">
        <v>22585.11</v>
      </c>
      <c r="H16" s="14">
        <v>4549637.5999999996</v>
      </c>
      <c r="I16" s="14">
        <v>0</v>
      </c>
      <c r="J16" s="14">
        <v>0</v>
      </c>
      <c r="K16" s="14">
        <v>5017.8100000000004</v>
      </c>
      <c r="L16" s="14">
        <v>0</v>
      </c>
      <c r="M16" s="14">
        <v>0</v>
      </c>
      <c r="N16" s="14">
        <v>0</v>
      </c>
      <c r="O16" s="14">
        <v>0</v>
      </c>
      <c r="P16" s="14">
        <v>1498</v>
      </c>
      <c r="Q16" s="14">
        <v>2031263</v>
      </c>
      <c r="R16" s="14">
        <v>2581141.4500000002</v>
      </c>
      <c r="S16" s="14">
        <v>4561154</v>
      </c>
      <c r="T16" s="14">
        <v>0</v>
      </c>
      <c r="U16" s="14">
        <v>554101.25</v>
      </c>
      <c r="V16" s="14">
        <v>0</v>
      </c>
      <c r="W16" s="14">
        <v>1914801.88</v>
      </c>
      <c r="X16" s="533"/>
    </row>
    <row r="17" spans="1:24" x14ac:dyDescent="0.35">
      <c r="A17" s="37" t="str">
        <f>_xlfn.XLOOKUP(B17,master!B:B,master!A:A)</f>
        <v>Other Administrative Expenses</v>
      </c>
      <c r="B17" s="13" t="s">
        <v>269</v>
      </c>
      <c r="C17" s="14"/>
      <c r="D17" s="14"/>
      <c r="E17" s="14"/>
      <c r="F17" s="14"/>
      <c r="G17" s="14">
        <v>0</v>
      </c>
      <c r="H17" s="14">
        <v>78000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62500</v>
      </c>
      <c r="R17" s="14">
        <v>20000</v>
      </c>
      <c r="S17" s="14">
        <v>370400</v>
      </c>
      <c r="T17" s="14">
        <v>0</v>
      </c>
      <c r="U17" s="14">
        <v>0</v>
      </c>
      <c r="V17" s="14">
        <v>0</v>
      </c>
      <c r="W17" s="14">
        <v>106800</v>
      </c>
      <c r="X17" s="533"/>
    </row>
    <row r="18" spans="1:24" x14ac:dyDescent="0.35">
      <c r="A18" s="37" t="str">
        <f>_xlfn.XLOOKUP(B18,master!B:B,master!A:A)</f>
        <v>Other Manufacturing Expenses</v>
      </c>
      <c r="B18" s="13" t="s">
        <v>270</v>
      </c>
      <c r="C18" s="14"/>
      <c r="D18" s="14"/>
      <c r="E18" s="14"/>
      <c r="F18" s="14"/>
      <c r="G18" s="14">
        <v>0</v>
      </c>
      <c r="H18" s="14">
        <v>0</v>
      </c>
      <c r="I18" s="14">
        <v>0</v>
      </c>
      <c r="J18" s="14">
        <v>0</v>
      </c>
      <c r="K18" s="14">
        <v>490000</v>
      </c>
      <c r="L18" s="14">
        <v>0</v>
      </c>
      <c r="M18" s="14">
        <v>529456</v>
      </c>
      <c r="N18" s="14">
        <v>0</v>
      </c>
      <c r="O18" s="14">
        <v>0</v>
      </c>
      <c r="P18" s="14">
        <v>0</v>
      </c>
      <c r="Q18" s="14">
        <v>577753</v>
      </c>
      <c r="R18" s="14">
        <v>0</v>
      </c>
      <c r="S18" s="14">
        <v>0</v>
      </c>
      <c r="T18" s="14">
        <v>0</v>
      </c>
      <c r="U18" s="14">
        <v>393750</v>
      </c>
      <c r="V18" s="14">
        <v>0</v>
      </c>
      <c r="W18" s="14">
        <v>0</v>
      </c>
      <c r="X18" s="533"/>
    </row>
    <row r="19" spans="1:24" x14ac:dyDescent="0.35">
      <c r="A19" s="37" t="str">
        <f>_xlfn.XLOOKUP(B19,master!B:B,master!A:A)</f>
        <v>Other Administrative Expenses</v>
      </c>
      <c r="B19" s="13" t="s">
        <v>271</v>
      </c>
      <c r="C19" s="14"/>
      <c r="D19" s="14"/>
      <c r="E19" s="14"/>
      <c r="F19" s="14"/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17364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90939</v>
      </c>
      <c r="U19" s="14">
        <v>0</v>
      </c>
      <c r="V19" s="14">
        <v>0</v>
      </c>
      <c r="W19" s="14">
        <v>0</v>
      </c>
      <c r="X19" s="533"/>
    </row>
    <row r="20" spans="1:24" x14ac:dyDescent="0.35">
      <c r="A20" s="37" t="str">
        <f>_xlfn.XLOOKUP(B20,master!B:B,master!A:A)</f>
        <v>Other Administrative Expenses</v>
      </c>
      <c r="B20" s="13" t="s">
        <v>709</v>
      </c>
      <c r="C20" s="14"/>
      <c r="D20" s="14"/>
      <c r="E20" s="14"/>
      <c r="F20" s="14"/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150000</v>
      </c>
      <c r="T20" s="14">
        <v>0</v>
      </c>
      <c r="U20" s="14">
        <v>146344</v>
      </c>
      <c r="V20" s="14">
        <v>0</v>
      </c>
      <c r="W20" s="14">
        <v>0</v>
      </c>
      <c r="X20" s="533"/>
    </row>
    <row r="21" spans="1:24" x14ac:dyDescent="0.35">
      <c r="A21" s="37" t="str">
        <f>_xlfn.XLOOKUP(B21,master!B:B,master!A:A)</f>
        <v>Other Manufacturing Expenses</v>
      </c>
      <c r="B21" s="13" t="s">
        <v>272</v>
      </c>
      <c r="C21" s="14"/>
      <c r="D21" s="14"/>
      <c r="E21" s="14"/>
      <c r="F21" s="14"/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200000</v>
      </c>
      <c r="N21" s="14">
        <v>0</v>
      </c>
      <c r="O21" s="14">
        <v>0</v>
      </c>
      <c r="P21" s="14">
        <v>0</v>
      </c>
      <c r="Q21" s="14">
        <v>0</v>
      </c>
      <c r="R21" s="14">
        <v>20000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533"/>
    </row>
    <row r="22" spans="1:24" x14ac:dyDescent="0.35">
      <c r="A22" s="37" t="str">
        <f>_xlfn.XLOOKUP(B22,master!B:B,master!A:A)</f>
        <v>Exchange Rate Difference</v>
      </c>
      <c r="B22" s="13" t="s">
        <v>273</v>
      </c>
      <c r="C22" s="14"/>
      <c r="D22" s="14"/>
      <c r="E22" s="14"/>
      <c r="F22" s="14"/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6661440.5899999999</v>
      </c>
      <c r="Q22" s="14">
        <v>0</v>
      </c>
      <c r="R22" s="14">
        <v>1458872.6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533"/>
    </row>
    <row r="23" spans="1:24" x14ac:dyDescent="0.35">
      <c r="A23" s="37" t="str">
        <f>_xlfn.XLOOKUP(B23,master!B:B,master!A:A)</f>
        <v>Freight Outward and C &amp; F Charges</v>
      </c>
      <c r="B23" s="13" t="s">
        <v>276</v>
      </c>
      <c r="C23" s="14"/>
      <c r="D23" s="14"/>
      <c r="E23" s="14"/>
      <c r="F23" s="14"/>
      <c r="G23" s="14">
        <v>0</v>
      </c>
      <c r="H23" s="14">
        <v>16570</v>
      </c>
      <c r="I23" s="14">
        <v>7079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115000</v>
      </c>
      <c r="R23" s="14">
        <v>0</v>
      </c>
      <c r="S23" s="14">
        <v>0</v>
      </c>
      <c r="T23" s="14">
        <v>0</v>
      </c>
      <c r="U23" s="14">
        <v>10300</v>
      </c>
      <c r="V23" s="14">
        <v>0</v>
      </c>
      <c r="W23" s="14">
        <v>11390</v>
      </c>
      <c r="X23" s="533"/>
    </row>
    <row r="24" spans="1:24" x14ac:dyDescent="0.35">
      <c r="A24" s="37" t="str">
        <f>_xlfn.XLOOKUP(B24,master!B:B,master!A:A)</f>
        <v xml:space="preserve">Jobwork charges </v>
      </c>
      <c r="B24" s="13" t="s">
        <v>277</v>
      </c>
      <c r="C24" s="14"/>
      <c r="D24" s="14"/>
      <c r="E24" s="14"/>
      <c r="F24" s="14"/>
      <c r="G24" s="14">
        <v>0</v>
      </c>
      <c r="H24" s="14">
        <v>1235889</v>
      </c>
      <c r="I24" s="14">
        <v>0</v>
      </c>
      <c r="J24" s="14">
        <v>0</v>
      </c>
      <c r="K24" s="14">
        <v>1890911</v>
      </c>
      <c r="L24" s="14">
        <v>0</v>
      </c>
      <c r="M24" s="14">
        <v>11030011.029999999</v>
      </c>
      <c r="N24" s="14">
        <v>0</v>
      </c>
      <c r="O24" s="14">
        <v>0</v>
      </c>
      <c r="P24" s="14">
        <v>26249291</v>
      </c>
      <c r="Q24" s="14">
        <v>55176.42</v>
      </c>
      <c r="R24" s="14">
        <v>12112096.15</v>
      </c>
      <c r="S24" s="14">
        <v>1673485.51</v>
      </c>
      <c r="T24" s="14">
        <v>0</v>
      </c>
      <c r="U24" s="14">
        <v>138506</v>
      </c>
      <c r="V24" s="14">
        <v>0</v>
      </c>
      <c r="W24" s="14">
        <v>378771.79</v>
      </c>
      <c r="X24" s="533"/>
    </row>
    <row r="25" spans="1:24" x14ac:dyDescent="0.35">
      <c r="A25" s="37" t="str">
        <f>_xlfn.XLOOKUP(B25,master!B:B,master!A:A)</f>
        <v>Freight Outward and C &amp; F Charges</v>
      </c>
      <c r="B25" s="13" t="s">
        <v>278</v>
      </c>
      <c r="C25" s="14"/>
      <c r="D25" s="14"/>
      <c r="E25" s="14"/>
      <c r="F25" s="14"/>
      <c r="G25" s="14">
        <v>0</v>
      </c>
      <c r="H25" s="14">
        <v>7080</v>
      </c>
      <c r="I25" s="14">
        <v>0</v>
      </c>
      <c r="J25" s="14">
        <v>0</v>
      </c>
      <c r="K25" s="14">
        <v>0</v>
      </c>
      <c r="L25" s="14">
        <v>5500</v>
      </c>
      <c r="M25" s="14">
        <v>13680</v>
      </c>
      <c r="N25" s="14">
        <v>0</v>
      </c>
      <c r="O25" s="14">
        <v>0</v>
      </c>
      <c r="P25" s="14">
        <v>0</v>
      </c>
      <c r="Q25" s="14">
        <v>52206</v>
      </c>
      <c r="R25" s="14">
        <v>75630</v>
      </c>
      <c r="S25" s="14">
        <v>6110</v>
      </c>
      <c r="T25" s="14">
        <v>0</v>
      </c>
      <c r="U25" s="14">
        <v>0</v>
      </c>
      <c r="V25" s="14">
        <v>0</v>
      </c>
      <c r="W25" s="14">
        <v>2800</v>
      </c>
      <c r="X25" s="533"/>
    </row>
    <row r="26" spans="1:24" x14ac:dyDescent="0.35">
      <c r="A26" s="37" t="str">
        <f>_xlfn.XLOOKUP(B26,master!B:B,master!A:A)</f>
        <v>Other Manufacturing Expenses</v>
      </c>
      <c r="B26" s="13" t="s">
        <v>279</v>
      </c>
      <c r="C26" s="14"/>
      <c r="D26" s="14"/>
      <c r="E26" s="14"/>
      <c r="F26" s="14"/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29000</v>
      </c>
      <c r="R26" s="14">
        <v>357900</v>
      </c>
      <c r="S26" s="14">
        <v>52200</v>
      </c>
      <c r="T26" s="14">
        <v>0</v>
      </c>
      <c r="U26" s="14">
        <v>3300</v>
      </c>
      <c r="V26" s="14">
        <v>0</v>
      </c>
      <c r="W26" s="14">
        <v>0</v>
      </c>
      <c r="X26" s="533"/>
    </row>
    <row r="27" spans="1:24" x14ac:dyDescent="0.35">
      <c r="A27" s="37" t="str">
        <f>_xlfn.XLOOKUP(B27,master!B:B,master!A:A)</f>
        <v>Other Administrative Expenses</v>
      </c>
      <c r="B27" s="13" t="s">
        <v>280</v>
      </c>
      <c r="C27" s="14"/>
      <c r="D27" s="14"/>
      <c r="E27" s="14"/>
      <c r="F27" s="14"/>
      <c r="G27" s="14">
        <v>0</v>
      </c>
      <c r="H27" s="14">
        <v>0</v>
      </c>
      <c r="I27" s="14">
        <v>0</v>
      </c>
      <c r="J27" s="14">
        <v>0</v>
      </c>
      <c r="K27" s="14">
        <v>3430</v>
      </c>
      <c r="L27" s="14">
        <v>0</v>
      </c>
      <c r="M27" s="14">
        <v>96272</v>
      </c>
      <c r="N27" s="14">
        <v>0</v>
      </c>
      <c r="O27" s="14">
        <v>0</v>
      </c>
      <c r="P27" s="14">
        <v>0</v>
      </c>
      <c r="Q27" s="14">
        <v>3800</v>
      </c>
      <c r="R27" s="14">
        <v>0</v>
      </c>
      <c r="S27" s="14">
        <v>62905</v>
      </c>
      <c r="T27" s="14">
        <v>0</v>
      </c>
      <c r="U27" s="14">
        <v>0</v>
      </c>
      <c r="V27" s="14">
        <v>0</v>
      </c>
      <c r="W27" s="14">
        <v>312034</v>
      </c>
      <c r="X27" s="533"/>
    </row>
    <row r="28" spans="1:24" x14ac:dyDescent="0.35">
      <c r="A28" s="37" t="str">
        <f>_xlfn.XLOOKUP(B28,master!B:B,master!A:A)</f>
        <v>Other Manufacturing Expenses</v>
      </c>
      <c r="B28" s="13" t="s">
        <v>281</v>
      </c>
      <c r="C28" s="14"/>
      <c r="D28" s="14"/>
      <c r="E28" s="14"/>
      <c r="F28" s="14"/>
      <c r="G28" s="14">
        <v>0</v>
      </c>
      <c r="H28" s="14">
        <v>3710</v>
      </c>
      <c r="I28" s="14">
        <v>0</v>
      </c>
      <c r="J28" s="14">
        <v>0</v>
      </c>
      <c r="K28" s="14">
        <v>1350</v>
      </c>
      <c r="L28" s="14">
        <v>0</v>
      </c>
      <c r="M28" s="14">
        <v>0</v>
      </c>
      <c r="N28" s="14">
        <v>0</v>
      </c>
      <c r="O28" s="14">
        <v>0</v>
      </c>
      <c r="P28" s="14">
        <v>10820</v>
      </c>
      <c r="Q28" s="14">
        <v>3200</v>
      </c>
      <c r="R28" s="14">
        <v>3500</v>
      </c>
      <c r="S28" s="14">
        <v>30180</v>
      </c>
      <c r="T28" s="14">
        <v>0</v>
      </c>
      <c r="U28" s="14">
        <v>6270</v>
      </c>
      <c r="V28" s="14">
        <v>0</v>
      </c>
      <c r="W28" s="14">
        <v>0</v>
      </c>
      <c r="X28" s="533"/>
    </row>
    <row r="29" spans="1:24" x14ac:dyDescent="0.35">
      <c r="A29" s="37" t="str">
        <f>_xlfn.XLOOKUP(B29,master!B:B,master!A:A)</f>
        <v>Other Manufacturing Expenses</v>
      </c>
      <c r="B29" s="13" t="s">
        <v>282</v>
      </c>
      <c r="C29" s="14"/>
      <c r="D29" s="14"/>
      <c r="E29" s="14"/>
      <c r="F29" s="14"/>
      <c r="G29" s="14">
        <v>0</v>
      </c>
      <c r="H29" s="14">
        <v>249812.8</v>
      </c>
      <c r="I29" s="14">
        <v>28300</v>
      </c>
      <c r="J29" s="14">
        <v>0</v>
      </c>
      <c r="K29" s="14">
        <v>0</v>
      </c>
      <c r="L29" s="14">
        <v>0</v>
      </c>
      <c r="M29" s="14">
        <v>989850.25</v>
      </c>
      <c r="N29" s="14">
        <v>0</v>
      </c>
      <c r="O29" s="14">
        <v>0</v>
      </c>
      <c r="P29" s="14">
        <v>0</v>
      </c>
      <c r="Q29" s="14">
        <v>40837.5</v>
      </c>
      <c r="R29" s="14">
        <v>206743.41</v>
      </c>
      <c r="S29" s="14">
        <v>136931.44</v>
      </c>
      <c r="T29" s="14">
        <v>0</v>
      </c>
      <c r="U29" s="14">
        <v>560</v>
      </c>
      <c r="V29" s="14">
        <v>0</v>
      </c>
      <c r="W29" s="14">
        <v>3000</v>
      </c>
      <c r="X29" s="533"/>
    </row>
    <row r="30" spans="1:24" x14ac:dyDescent="0.35">
      <c r="A30" s="37" t="str">
        <f>_xlfn.XLOOKUP(B30,master!B:B,master!A:A)</f>
        <v>Add: Purchase of packing materials</v>
      </c>
      <c r="B30" s="13" t="s">
        <v>283</v>
      </c>
      <c r="C30" s="14"/>
      <c r="D30" s="14"/>
      <c r="E30" s="14"/>
      <c r="F30" s="14"/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9936</v>
      </c>
      <c r="S30" s="14">
        <v>2448</v>
      </c>
      <c r="T30" s="14">
        <v>0</v>
      </c>
      <c r="U30" s="14">
        <v>0</v>
      </c>
      <c r="V30" s="14">
        <v>0</v>
      </c>
      <c r="W30" s="14">
        <v>0</v>
      </c>
      <c r="X30" s="533"/>
    </row>
    <row r="31" spans="1:24" x14ac:dyDescent="0.35">
      <c r="A31" s="37" t="str">
        <f>_xlfn.XLOOKUP(B31,master!B:B,master!A:A)</f>
        <v>Add: Purchase of raw materials</v>
      </c>
      <c r="B31" s="13" t="s">
        <v>284</v>
      </c>
      <c r="C31" s="14"/>
      <c r="D31" s="14"/>
      <c r="E31" s="14"/>
      <c r="F31" s="14"/>
      <c r="G31" s="14">
        <v>0</v>
      </c>
      <c r="H31" s="14">
        <v>4744169.5</v>
      </c>
      <c r="I31" s="14">
        <v>36446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8036493.8399999999</v>
      </c>
      <c r="S31" s="14">
        <v>30771443.91</v>
      </c>
      <c r="T31" s="14">
        <v>0</v>
      </c>
      <c r="U31" s="14">
        <v>146382.72</v>
      </c>
      <c r="V31" s="14">
        <v>0</v>
      </c>
      <c r="W31" s="14">
        <v>0</v>
      </c>
      <c r="X31" s="533"/>
    </row>
    <row r="32" spans="1:24" x14ac:dyDescent="0.35">
      <c r="A32" s="37" t="str">
        <f>_xlfn.XLOOKUP(B32,master!B:B,master!A:A)</f>
        <v>Add: Purchase of traded goods</v>
      </c>
      <c r="B32" s="13" t="s">
        <v>286</v>
      </c>
      <c r="C32" s="14"/>
      <c r="D32" s="14"/>
      <c r="E32" s="14"/>
      <c r="F32" s="14"/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25000</v>
      </c>
      <c r="S32" s="14">
        <v>32596</v>
      </c>
      <c r="T32" s="14">
        <v>0</v>
      </c>
      <c r="U32" s="14">
        <v>1543316.72</v>
      </c>
      <c r="V32" s="14">
        <v>0</v>
      </c>
      <c r="W32" s="14">
        <v>0</v>
      </c>
      <c r="X32" s="533"/>
    </row>
    <row r="33" spans="1:24" x14ac:dyDescent="0.35">
      <c r="A33" s="37" t="str">
        <f>_xlfn.XLOOKUP(B33,master!B:B,master!A:A)</f>
        <v>Add: Purchase of raw materials</v>
      </c>
      <c r="B33" s="13" t="s">
        <v>287</v>
      </c>
      <c r="C33" s="14"/>
      <c r="D33" s="14"/>
      <c r="E33" s="14"/>
      <c r="F33" s="14"/>
      <c r="G33" s="14">
        <v>3866160.38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25927821.890000001</v>
      </c>
      <c r="N33" s="14">
        <v>0</v>
      </c>
      <c r="O33" s="14">
        <v>0</v>
      </c>
      <c r="P33" s="14">
        <v>0</v>
      </c>
      <c r="Q33" s="14">
        <v>0</v>
      </c>
      <c r="R33" s="14">
        <v>91299735.549999997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533"/>
    </row>
    <row r="34" spans="1:24" x14ac:dyDescent="0.35">
      <c r="A34" s="37" t="str">
        <f>_xlfn.XLOOKUP(B34,master!B:B,master!A:A)</f>
        <v>Add: Purchase of packing materials</v>
      </c>
      <c r="B34" s="13" t="s">
        <v>288</v>
      </c>
      <c r="C34" s="14"/>
      <c r="D34" s="14"/>
      <c r="E34" s="14"/>
      <c r="F34" s="14"/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1002043.3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533"/>
    </row>
    <row r="35" spans="1:24" x14ac:dyDescent="0.35">
      <c r="A35" s="37" t="str">
        <f>_xlfn.XLOOKUP(B35,master!B:B,master!A:A)</f>
        <v>Add: Purchase of packing materials</v>
      </c>
      <c r="B35" s="13" t="s">
        <v>289</v>
      </c>
      <c r="C35" s="14"/>
      <c r="D35" s="14"/>
      <c r="E35" s="14"/>
      <c r="F35" s="14"/>
      <c r="G35" s="14">
        <v>0</v>
      </c>
      <c r="H35" s="14">
        <v>538743</v>
      </c>
      <c r="I35" s="14">
        <v>0</v>
      </c>
      <c r="J35" s="14">
        <v>0</v>
      </c>
      <c r="K35" s="14">
        <v>278506</v>
      </c>
      <c r="L35" s="14">
        <v>0</v>
      </c>
      <c r="M35" s="14">
        <v>1127244.8</v>
      </c>
      <c r="N35" s="14">
        <v>0</v>
      </c>
      <c r="O35" s="14">
        <v>0</v>
      </c>
      <c r="P35" s="14">
        <v>0</v>
      </c>
      <c r="Q35" s="14">
        <v>0</v>
      </c>
      <c r="R35" s="14">
        <v>1356446.7</v>
      </c>
      <c r="S35" s="14">
        <v>240095</v>
      </c>
      <c r="T35" s="14">
        <v>0</v>
      </c>
      <c r="U35" s="14">
        <v>1309673</v>
      </c>
      <c r="V35" s="14">
        <v>0</v>
      </c>
      <c r="W35" s="14">
        <v>335470</v>
      </c>
      <c r="X35" s="533"/>
    </row>
    <row r="36" spans="1:24" x14ac:dyDescent="0.35">
      <c r="A36" s="37" t="str">
        <f>_xlfn.XLOOKUP(B36,master!B:B,master!A:A)</f>
        <v>NA</v>
      </c>
      <c r="B36" s="13" t="s">
        <v>290</v>
      </c>
      <c r="C36" s="14"/>
      <c r="D36" s="14"/>
      <c r="E36" s="14"/>
      <c r="F36" s="14"/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-25737600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533"/>
    </row>
    <row r="37" spans="1:24" x14ac:dyDescent="0.35">
      <c r="A37" s="37" t="str">
        <f>_xlfn.XLOOKUP(B37,master!B:B,master!A:A)</f>
        <v>Add: Purchase of raw materials</v>
      </c>
      <c r="B37" s="13" t="s">
        <v>291</v>
      </c>
      <c r="C37" s="14"/>
      <c r="D37" s="14"/>
      <c r="E37" s="14"/>
      <c r="F37" s="14"/>
      <c r="G37" s="14">
        <v>0</v>
      </c>
      <c r="H37" s="14">
        <v>2001606</v>
      </c>
      <c r="I37" s="14">
        <v>0</v>
      </c>
      <c r="J37" s="14">
        <v>0</v>
      </c>
      <c r="K37" s="14">
        <v>0</v>
      </c>
      <c r="L37" s="14">
        <v>0</v>
      </c>
      <c r="M37" s="14">
        <v>2204024.4</v>
      </c>
      <c r="N37" s="14">
        <v>0</v>
      </c>
      <c r="O37" s="14">
        <v>0</v>
      </c>
      <c r="P37" s="14">
        <v>21662243.129999999</v>
      </c>
      <c r="Q37" s="14">
        <v>1016361.88</v>
      </c>
      <c r="R37" s="14">
        <v>4004995</v>
      </c>
      <c r="S37" s="14">
        <v>440749</v>
      </c>
      <c r="T37" s="14">
        <v>0</v>
      </c>
      <c r="U37" s="14">
        <v>547405</v>
      </c>
      <c r="V37" s="14">
        <v>0</v>
      </c>
      <c r="W37" s="14">
        <v>146200</v>
      </c>
      <c r="X37" s="533"/>
    </row>
    <row r="38" spans="1:24" x14ac:dyDescent="0.35">
      <c r="A38" s="37" t="str">
        <f>_xlfn.XLOOKUP(B38,master!B:B,master!A:A)</f>
        <v>Add: Purchase of raw materials</v>
      </c>
      <c r="B38" s="13" t="s">
        <v>560</v>
      </c>
      <c r="C38" s="14"/>
      <c r="D38" s="14"/>
      <c r="E38" s="14"/>
      <c r="F38" s="14"/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-7718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533"/>
    </row>
    <row r="39" spans="1:24" x14ac:dyDescent="0.35">
      <c r="A39" s="37" t="str">
        <f>_xlfn.XLOOKUP(B39,master!B:B,master!A:A)</f>
        <v>Add: Purchase of raw materials</v>
      </c>
      <c r="B39" s="13" t="s">
        <v>292</v>
      </c>
      <c r="C39" s="14"/>
      <c r="D39" s="14"/>
      <c r="E39" s="14"/>
      <c r="F39" s="14"/>
      <c r="G39" s="14">
        <v>0</v>
      </c>
      <c r="H39" s="14">
        <v>61081091.689999998</v>
      </c>
      <c r="I39" s="14">
        <v>87612.93</v>
      </c>
      <c r="J39" s="14">
        <v>0</v>
      </c>
      <c r="K39" s="14">
        <v>20112235.989999998</v>
      </c>
      <c r="L39" s="14">
        <v>0</v>
      </c>
      <c r="M39" s="14">
        <v>73358142.390000001</v>
      </c>
      <c r="N39" s="14">
        <v>0</v>
      </c>
      <c r="O39" s="14">
        <v>0</v>
      </c>
      <c r="P39" s="14">
        <v>0</v>
      </c>
      <c r="Q39" s="14">
        <v>0</v>
      </c>
      <c r="R39" s="14">
        <v>148561739.31</v>
      </c>
      <c r="S39" s="14">
        <v>40389850.509999998</v>
      </c>
      <c r="T39" s="14">
        <v>0</v>
      </c>
      <c r="U39" s="14">
        <v>87746705.530000001</v>
      </c>
      <c r="V39" s="14">
        <v>0</v>
      </c>
      <c r="W39" s="14">
        <v>71853054.319999993</v>
      </c>
      <c r="X39" s="533"/>
    </row>
    <row r="40" spans="1:24" x14ac:dyDescent="0.35">
      <c r="A40" s="37" t="str">
        <f>_xlfn.XLOOKUP(B40,master!B:B,master!A:A)</f>
        <v>Add: Purchase of Stores, Spares &amp; Consumables</v>
      </c>
      <c r="B40" s="13" t="s">
        <v>293</v>
      </c>
      <c r="C40" s="14"/>
      <c r="D40" s="14"/>
      <c r="E40" s="14"/>
      <c r="F40" s="14"/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23740.14</v>
      </c>
      <c r="R40" s="14">
        <v>373117.61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533"/>
    </row>
    <row r="41" spans="1:24" x14ac:dyDescent="0.35">
      <c r="A41" s="37" t="str">
        <f>_xlfn.XLOOKUP(B41,master!B:B,master!A:A)</f>
        <v>Add: Purchase of Stores, Spares &amp; Consumables</v>
      </c>
      <c r="B41" s="13" t="s">
        <v>294</v>
      </c>
      <c r="C41" s="14"/>
      <c r="D41" s="14"/>
      <c r="E41" s="14"/>
      <c r="F41" s="14"/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7741</v>
      </c>
      <c r="T41" s="14">
        <v>0</v>
      </c>
      <c r="U41" s="14">
        <v>0</v>
      </c>
      <c r="V41" s="14">
        <v>0</v>
      </c>
      <c r="W41" s="14">
        <v>0</v>
      </c>
      <c r="X41" s="533"/>
    </row>
    <row r="42" spans="1:24" x14ac:dyDescent="0.35">
      <c r="A42" s="37" t="str">
        <f>_xlfn.XLOOKUP(B42,master!B:B,master!A:A)</f>
        <v>Add: Purchase of Stores, Spares &amp; Consumables</v>
      </c>
      <c r="B42" s="13" t="s">
        <v>295</v>
      </c>
      <c r="C42" s="14"/>
      <c r="D42" s="14"/>
      <c r="E42" s="14"/>
      <c r="F42" s="14"/>
      <c r="G42" s="14">
        <v>0</v>
      </c>
      <c r="H42" s="14">
        <v>5820</v>
      </c>
      <c r="I42" s="14">
        <v>12500</v>
      </c>
      <c r="J42" s="14">
        <v>0</v>
      </c>
      <c r="K42" s="14">
        <v>0</v>
      </c>
      <c r="L42" s="14">
        <v>0</v>
      </c>
      <c r="M42" s="14">
        <v>1436233.5</v>
      </c>
      <c r="N42" s="14">
        <v>0</v>
      </c>
      <c r="O42" s="14">
        <v>0</v>
      </c>
      <c r="P42" s="14">
        <v>0</v>
      </c>
      <c r="Q42" s="14">
        <v>5587286.25</v>
      </c>
      <c r="R42" s="14">
        <v>530597.05000000005</v>
      </c>
      <c r="S42" s="14">
        <v>360736.95</v>
      </c>
      <c r="T42" s="14">
        <v>0</v>
      </c>
      <c r="U42" s="14">
        <v>18505</v>
      </c>
      <c r="V42" s="14">
        <v>0</v>
      </c>
      <c r="W42" s="14">
        <v>122893.75</v>
      </c>
      <c r="X42" s="533"/>
    </row>
    <row r="43" spans="1:24" x14ac:dyDescent="0.35">
      <c r="A43" s="37" t="str">
        <f>_xlfn.XLOOKUP(B43,master!B:B,master!A:A)</f>
        <v>Add: Purchase of Stores, Spares &amp; Consumables</v>
      </c>
      <c r="B43" s="13" t="s">
        <v>296</v>
      </c>
      <c r="C43" s="14"/>
      <c r="D43" s="14"/>
      <c r="E43" s="14"/>
      <c r="F43" s="14"/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54130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533"/>
    </row>
    <row r="44" spans="1:24" x14ac:dyDescent="0.35">
      <c r="A44" s="37" t="str">
        <f>_xlfn.XLOOKUP(B44,master!B:B,master!A:A)</f>
        <v>Add: Purchase of Stores, Spares &amp; Consumables</v>
      </c>
      <c r="B44" s="13" t="s">
        <v>297</v>
      </c>
      <c r="C44" s="14"/>
      <c r="D44" s="14"/>
      <c r="E44" s="14"/>
      <c r="F44" s="14"/>
      <c r="G44" s="14">
        <v>0</v>
      </c>
      <c r="H44" s="14">
        <v>1471041.86</v>
      </c>
      <c r="I44" s="14">
        <v>3000</v>
      </c>
      <c r="J44" s="14">
        <v>0</v>
      </c>
      <c r="K44" s="14">
        <v>243968</v>
      </c>
      <c r="L44" s="14">
        <v>0</v>
      </c>
      <c r="M44" s="14">
        <v>2376209.9300000002</v>
      </c>
      <c r="N44" s="14">
        <v>0</v>
      </c>
      <c r="O44" s="14">
        <v>0</v>
      </c>
      <c r="P44" s="14">
        <v>0</v>
      </c>
      <c r="Q44" s="14">
        <v>0</v>
      </c>
      <c r="R44" s="14">
        <v>3289512.3</v>
      </c>
      <c r="S44" s="14">
        <v>2319023.11</v>
      </c>
      <c r="T44" s="14">
        <v>0</v>
      </c>
      <c r="U44" s="14">
        <v>1428354.66</v>
      </c>
      <c r="V44" s="14">
        <v>0</v>
      </c>
      <c r="W44" s="14">
        <v>1745585.53</v>
      </c>
      <c r="X44" s="533"/>
    </row>
    <row r="45" spans="1:24" x14ac:dyDescent="0.35">
      <c r="A45" s="37" t="str">
        <f>_xlfn.XLOOKUP(B45,master!B:B,master!A:A)</f>
        <v>Add: Purchase of raw materials</v>
      </c>
      <c r="B45" s="13" t="s">
        <v>298</v>
      </c>
      <c r="C45" s="14"/>
      <c r="D45" s="14"/>
      <c r="E45" s="14"/>
      <c r="F45" s="14"/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33136463.390000001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533"/>
    </row>
    <row r="46" spans="1:24" x14ac:dyDescent="0.35">
      <c r="A46" s="37" t="str">
        <f>_xlfn.XLOOKUP(B46,master!B:B,master!A:A)</f>
        <v>Add: Purchase of raw materials</v>
      </c>
      <c r="B46" s="13" t="s">
        <v>299</v>
      </c>
      <c r="C46" s="14"/>
      <c r="D46" s="14"/>
      <c r="E46" s="14"/>
      <c r="F46" s="14"/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24872596.890000001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91536</v>
      </c>
      <c r="X46" s="533"/>
    </row>
    <row r="47" spans="1:24" x14ac:dyDescent="0.35">
      <c r="A47" s="37" t="str">
        <f>_xlfn.XLOOKUP(B47,master!B:B,master!A:A)</f>
        <v>Add: Purchase of traded goods</v>
      </c>
      <c r="B47" s="13" t="s">
        <v>300</v>
      </c>
      <c r="C47" s="14"/>
      <c r="D47" s="14"/>
      <c r="E47" s="14"/>
      <c r="F47" s="14"/>
      <c r="G47" s="14">
        <v>0</v>
      </c>
      <c r="H47" s="14">
        <v>41600658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4876994.05</v>
      </c>
      <c r="W47" s="14">
        <v>8689966.5600000005</v>
      </c>
      <c r="X47" s="533"/>
    </row>
    <row r="48" spans="1:24" x14ac:dyDescent="0.35">
      <c r="A48" s="37" t="str">
        <f>_xlfn.XLOOKUP(B48,master!B:B,master!A:A)</f>
        <v>Add: Purchase of raw materials</v>
      </c>
      <c r="B48" s="13" t="s">
        <v>301</v>
      </c>
      <c r="C48" s="14"/>
      <c r="D48" s="14"/>
      <c r="E48" s="14"/>
      <c r="F48" s="14"/>
      <c r="G48" s="14">
        <v>0</v>
      </c>
      <c r="H48" s="14">
        <v>108589600</v>
      </c>
      <c r="I48" s="14">
        <v>0</v>
      </c>
      <c r="J48" s="14">
        <v>0</v>
      </c>
      <c r="K48" s="14">
        <v>0</v>
      </c>
      <c r="L48" s="14">
        <v>140495600</v>
      </c>
      <c r="M48" s="14">
        <v>17158400</v>
      </c>
      <c r="N48" s="14">
        <v>0</v>
      </c>
      <c r="O48" s="14">
        <v>0</v>
      </c>
      <c r="P48" s="14">
        <v>14865200</v>
      </c>
      <c r="Q48" s="14">
        <v>12096000</v>
      </c>
      <c r="R48" s="14">
        <v>0</v>
      </c>
      <c r="S48" s="14">
        <v>8579200</v>
      </c>
      <c r="T48" s="14">
        <v>0</v>
      </c>
      <c r="U48" s="14">
        <v>0</v>
      </c>
      <c r="V48" s="14">
        <v>0</v>
      </c>
      <c r="W48" s="14">
        <v>15013600</v>
      </c>
      <c r="X48" s="533"/>
    </row>
    <row r="49" spans="1:24" x14ac:dyDescent="0.35">
      <c r="A49" s="37" t="str">
        <f>_xlfn.XLOOKUP(B49,master!B:B,master!A:A)</f>
        <v>Conveyance, vehicle running and traveling expenses</v>
      </c>
      <c r="B49" s="13" t="s">
        <v>302</v>
      </c>
      <c r="C49" s="14"/>
      <c r="D49" s="14"/>
      <c r="E49" s="14"/>
      <c r="F49" s="14"/>
      <c r="G49" s="14">
        <v>19768</v>
      </c>
      <c r="H49" s="14">
        <v>4006</v>
      </c>
      <c r="I49" s="14">
        <v>2000</v>
      </c>
      <c r="J49" s="14">
        <v>0</v>
      </c>
      <c r="K49" s="14">
        <v>0</v>
      </c>
      <c r="L49" s="14">
        <v>0</v>
      </c>
      <c r="M49" s="14">
        <v>5017</v>
      </c>
      <c r="N49" s="14">
        <v>0</v>
      </c>
      <c r="O49" s="14">
        <v>0</v>
      </c>
      <c r="P49" s="14">
        <v>0</v>
      </c>
      <c r="Q49" s="14">
        <v>40465</v>
      </c>
      <c r="R49" s="14">
        <v>187</v>
      </c>
      <c r="S49" s="14">
        <v>69477</v>
      </c>
      <c r="T49" s="14">
        <v>0</v>
      </c>
      <c r="U49" s="14">
        <v>18680</v>
      </c>
      <c r="V49" s="14">
        <v>112431</v>
      </c>
      <c r="W49" s="14">
        <v>32800</v>
      </c>
      <c r="X49" s="533"/>
    </row>
    <row r="50" spans="1:24" x14ac:dyDescent="0.35">
      <c r="A50" s="37" t="str">
        <f>_xlfn.XLOOKUP(B50,master!B:B,master!A:A)</f>
        <v>Other Administrative Expenses</v>
      </c>
      <c r="B50" s="13" t="s">
        <v>672</v>
      </c>
      <c r="C50" s="14"/>
      <c r="D50" s="14"/>
      <c r="E50" s="14"/>
      <c r="F50" s="14"/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40568.49</v>
      </c>
      <c r="S50" s="14">
        <v>304997</v>
      </c>
      <c r="T50" s="14">
        <v>0</v>
      </c>
      <c r="U50" s="14">
        <v>0</v>
      </c>
      <c r="V50" s="14">
        <v>0</v>
      </c>
      <c r="W50" s="14">
        <v>0</v>
      </c>
      <c r="X50" s="533"/>
    </row>
    <row r="51" spans="1:24" x14ac:dyDescent="0.35">
      <c r="A51" s="37" t="str">
        <f>_xlfn.XLOOKUP(B51,master!B:B,master!A:A)</f>
        <v>Other Administrative Expenses</v>
      </c>
      <c r="B51" s="13" t="s">
        <v>303</v>
      </c>
      <c r="C51" s="14"/>
      <c r="D51" s="14"/>
      <c r="E51" s="14"/>
      <c r="F51" s="14"/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3090</v>
      </c>
      <c r="U51" s="14">
        <v>0</v>
      </c>
      <c r="V51" s="14">
        <v>10000</v>
      </c>
      <c r="W51" s="14">
        <v>0</v>
      </c>
      <c r="X51" s="533"/>
    </row>
    <row r="52" spans="1:24" x14ac:dyDescent="0.35">
      <c r="A52" s="37" t="str">
        <f>_xlfn.XLOOKUP(B52,master!B:B,master!A:A)</f>
        <v>Other Administrative Expenses</v>
      </c>
      <c r="B52" s="13" t="s">
        <v>304</v>
      </c>
      <c r="C52" s="14"/>
      <c r="D52" s="14"/>
      <c r="E52" s="14"/>
      <c r="F52" s="14"/>
      <c r="G52" s="14">
        <v>0</v>
      </c>
      <c r="H52" s="14">
        <v>0</v>
      </c>
      <c r="I52" s="14">
        <v>0</v>
      </c>
      <c r="J52" s="14">
        <v>0</v>
      </c>
      <c r="K52" s="14">
        <v>240</v>
      </c>
      <c r="L52" s="14">
        <v>0</v>
      </c>
      <c r="M52" s="14">
        <v>10000</v>
      </c>
      <c r="N52" s="14">
        <v>0</v>
      </c>
      <c r="O52" s="14">
        <v>0</v>
      </c>
      <c r="P52" s="14">
        <v>0</v>
      </c>
      <c r="Q52" s="14">
        <v>2826</v>
      </c>
      <c r="R52" s="14">
        <v>0</v>
      </c>
      <c r="S52" s="14">
        <v>729426</v>
      </c>
      <c r="T52" s="14">
        <v>0</v>
      </c>
      <c r="U52" s="14">
        <v>0</v>
      </c>
      <c r="V52" s="14">
        <v>14070</v>
      </c>
      <c r="W52" s="14">
        <v>264</v>
      </c>
      <c r="X52" s="533"/>
    </row>
    <row r="53" spans="1:24" x14ac:dyDescent="0.35">
      <c r="A53" s="37" t="str">
        <f>_xlfn.XLOOKUP(B53,master!B:B,master!A:A)</f>
        <v>Other Manufacturing Expenses</v>
      </c>
      <c r="B53" s="13" t="s">
        <v>305</v>
      </c>
      <c r="C53" s="14"/>
      <c r="D53" s="14"/>
      <c r="E53" s="14"/>
      <c r="F53" s="14"/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7497</v>
      </c>
      <c r="U53" s="14">
        <v>0</v>
      </c>
      <c r="V53" s="14">
        <v>0</v>
      </c>
      <c r="W53" s="14">
        <v>0</v>
      </c>
      <c r="X53" s="533"/>
    </row>
    <row r="54" spans="1:24" x14ac:dyDescent="0.35">
      <c r="A54" s="37" t="str">
        <f>_xlfn.XLOOKUP(B54,master!B:B,master!A:A)</f>
        <v>Other Administrative Expenses</v>
      </c>
      <c r="B54" s="13" t="s">
        <v>306</v>
      </c>
      <c r="C54" s="14"/>
      <c r="D54" s="14"/>
      <c r="E54" s="14"/>
      <c r="F54" s="14"/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533"/>
    </row>
    <row r="55" spans="1:24" x14ac:dyDescent="0.35">
      <c r="A55" s="37" t="str">
        <f>_xlfn.XLOOKUP(B55,master!B:B,master!A:A)</f>
        <v>Other Manufacturing Expenses</v>
      </c>
      <c r="B55" s="13" t="s">
        <v>307</v>
      </c>
      <c r="C55" s="14"/>
      <c r="D55" s="14"/>
      <c r="E55" s="14"/>
      <c r="F55" s="14"/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4413</v>
      </c>
      <c r="R55" s="14">
        <v>0</v>
      </c>
      <c r="S55" s="14">
        <v>423929.59999999998</v>
      </c>
      <c r="T55" s="14">
        <v>0</v>
      </c>
      <c r="U55" s="14">
        <v>53600</v>
      </c>
      <c r="V55" s="14">
        <v>0</v>
      </c>
      <c r="W55" s="14">
        <v>0</v>
      </c>
      <c r="X55" s="533"/>
    </row>
    <row r="56" spans="1:24" x14ac:dyDescent="0.35">
      <c r="A56" s="37" t="str">
        <f>_xlfn.XLOOKUP(B56,master!B:B,master!A:A)</f>
        <v>Insurance</v>
      </c>
      <c r="B56" s="13" t="s">
        <v>308</v>
      </c>
      <c r="C56" s="14"/>
      <c r="D56" s="14"/>
      <c r="E56" s="14"/>
      <c r="F56" s="14"/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11023.13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533"/>
    </row>
    <row r="57" spans="1:24" x14ac:dyDescent="0.35">
      <c r="A57" s="37" t="str">
        <f>_xlfn.XLOOKUP(B57,master!B:B,master!A:A)</f>
        <v>Other Administrative Expenses</v>
      </c>
      <c r="B57" s="13" t="s">
        <v>309</v>
      </c>
      <c r="C57" s="14"/>
      <c r="D57" s="14"/>
      <c r="E57" s="14"/>
      <c r="F57" s="14"/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1000</v>
      </c>
      <c r="R57" s="14">
        <v>19410</v>
      </c>
      <c r="S57" s="14">
        <v>4000</v>
      </c>
      <c r="T57" s="14">
        <v>0</v>
      </c>
      <c r="U57" s="14">
        <v>0</v>
      </c>
      <c r="V57" s="14">
        <v>999</v>
      </c>
      <c r="W57" s="14">
        <v>0</v>
      </c>
      <c r="X57" s="533"/>
    </row>
    <row r="58" spans="1:24" x14ac:dyDescent="0.35">
      <c r="A58" s="37" t="str">
        <f>_xlfn.XLOOKUP(B58,master!B:B,master!A:A)</f>
        <v>Other Administrative Expenses</v>
      </c>
      <c r="B58" s="13" t="s">
        <v>310</v>
      </c>
      <c r="C58" s="14"/>
      <c r="D58" s="14"/>
      <c r="E58" s="14"/>
      <c r="F58" s="14"/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4103</v>
      </c>
      <c r="S58" s="14">
        <v>1670</v>
      </c>
      <c r="T58" s="14">
        <v>0</v>
      </c>
      <c r="U58" s="14">
        <v>0</v>
      </c>
      <c r="V58" s="14">
        <v>241946.25</v>
      </c>
      <c r="W58" s="14">
        <v>0</v>
      </c>
      <c r="X58" s="533"/>
    </row>
    <row r="59" spans="1:24" x14ac:dyDescent="0.35">
      <c r="A59" s="37" t="str">
        <f>_xlfn.XLOOKUP(B59,master!B:B,master!A:A)</f>
        <v>Other Administrative Expenses</v>
      </c>
      <c r="B59" s="13" t="s">
        <v>311</v>
      </c>
      <c r="C59" s="14"/>
      <c r="D59" s="14"/>
      <c r="E59" s="14"/>
      <c r="F59" s="14"/>
      <c r="G59" s="14">
        <v>0</v>
      </c>
      <c r="H59" s="14">
        <v>1297</v>
      </c>
      <c r="I59" s="14">
        <v>590</v>
      </c>
      <c r="J59" s="14">
        <v>0</v>
      </c>
      <c r="K59" s="14">
        <v>0</v>
      </c>
      <c r="L59" s="14">
        <v>0</v>
      </c>
      <c r="M59" s="14">
        <v>1411</v>
      </c>
      <c r="N59" s="14">
        <v>0</v>
      </c>
      <c r="O59" s="14">
        <v>0</v>
      </c>
      <c r="P59" s="14">
        <v>0</v>
      </c>
      <c r="Q59" s="14">
        <v>22223</v>
      </c>
      <c r="R59" s="14">
        <v>16531</v>
      </c>
      <c r="S59" s="14">
        <v>1773</v>
      </c>
      <c r="T59" s="14">
        <v>11602</v>
      </c>
      <c r="U59" s="14">
        <v>0</v>
      </c>
      <c r="V59" s="14">
        <v>50870.16</v>
      </c>
      <c r="W59" s="14">
        <v>12730</v>
      </c>
      <c r="X59" s="533"/>
    </row>
    <row r="60" spans="1:24" x14ac:dyDescent="0.35">
      <c r="A60" s="37" t="str">
        <f>_xlfn.XLOOKUP(B60,master!B:B,master!A:A)</f>
        <v>Other Administrative Expenses</v>
      </c>
      <c r="B60" s="13" t="s">
        <v>312</v>
      </c>
      <c r="C60" s="14"/>
      <c r="D60" s="14"/>
      <c r="E60" s="14"/>
      <c r="F60" s="14"/>
      <c r="G60" s="14">
        <v>96405</v>
      </c>
      <c r="H60" s="14">
        <v>3000</v>
      </c>
      <c r="I60" s="14">
        <v>0</v>
      </c>
      <c r="J60" s="14">
        <v>0</v>
      </c>
      <c r="K60" s="14">
        <v>0</v>
      </c>
      <c r="L60" s="14">
        <v>9360</v>
      </c>
      <c r="M60" s="14">
        <v>41160</v>
      </c>
      <c r="N60" s="14">
        <v>0</v>
      </c>
      <c r="O60" s="14">
        <v>0</v>
      </c>
      <c r="P60" s="14">
        <v>0</v>
      </c>
      <c r="Q60" s="14">
        <v>2349</v>
      </c>
      <c r="R60" s="14">
        <v>2100</v>
      </c>
      <c r="S60" s="14">
        <v>0</v>
      </c>
      <c r="T60" s="14">
        <v>25364</v>
      </c>
      <c r="U60" s="14">
        <v>417</v>
      </c>
      <c r="V60" s="14">
        <v>23517</v>
      </c>
      <c r="W60" s="14">
        <v>0</v>
      </c>
      <c r="X60" s="533"/>
    </row>
    <row r="61" spans="1:24" x14ac:dyDescent="0.35">
      <c r="A61" s="37" t="str">
        <f>_xlfn.XLOOKUP(B61,master!B:B,master!A:A)</f>
        <v>Conveyance, vehicle running and traveling expenses</v>
      </c>
      <c r="B61" s="13" t="s">
        <v>313</v>
      </c>
      <c r="C61" s="14"/>
      <c r="D61" s="14"/>
      <c r="E61" s="14"/>
      <c r="F61" s="14"/>
      <c r="G61" s="14">
        <v>2500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16866</v>
      </c>
      <c r="U61" s="14">
        <v>0</v>
      </c>
      <c r="V61" s="14">
        <v>0</v>
      </c>
      <c r="W61" s="14">
        <v>0</v>
      </c>
      <c r="X61" s="533"/>
    </row>
    <row r="62" spans="1:24" x14ac:dyDescent="0.35">
      <c r="A62" s="37" t="str">
        <f>_xlfn.XLOOKUP(B62,master!B:B,master!A:A)</f>
        <v>Conveyance, vehicle running and traveling expenses</v>
      </c>
      <c r="B62" s="13" t="s">
        <v>314</v>
      </c>
      <c r="C62" s="14"/>
      <c r="D62" s="14"/>
      <c r="E62" s="14"/>
      <c r="F62" s="14"/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58296</v>
      </c>
      <c r="N62" s="14">
        <v>0</v>
      </c>
      <c r="O62" s="14">
        <v>0</v>
      </c>
      <c r="P62" s="14">
        <v>0</v>
      </c>
      <c r="Q62" s="14">
        <v>3000</v>
      </c>
      <c r="R62" s="14">
        <v>0</v>
      </c>
      <c r="S62" s="14">
        <v>6535</v>
      </c>
      <c r="T62" s="14">
        <v>2340</v>
      </c>
      <c r="U62" s="14">
        <v>1300</v>
      </c>
      <c r="V62" s="14">
        <v>0</v>
      </c>
      <c r="W62" s="14">
        <v>0</v>
      </c>
      <c r="X62" s="533"/>
    </row>
    <row r="63" spans="1:24" x14ac:dyDescent="0.35">
      <c r="A63" s="37" t="str">
        <f>_xlfn.XLOOKUP(B63,master!B:B,master!A:A)</f>
        <v>Other Administrative Expenses</v>
      </c>
      <c r="B63" s="13" t="s">
        <v>315</v>
      </c>
      <c r="C63" s="14"/>
      <c r="D63" s="14"/>
      <c r="E63" s="14"/>
      <c r="F63" s="14"/>
      <c r="G63" s="14">
        <v>3049</v>
      </c>
      <c r="H63" s="14">
        <v>149760.70000000001</v>
      </c>
      <c r="I63" s="14">
        <v>19855</v>
      </c>
      <c r="J63" s="14">
        <v>0</v>
      </c>
      <c r="K63" s="14">
        <v>445</v>
      </c>
      <c r="L63" s="14">
        <v>0</v>
      </c>
      <c r="M63" s="14">
        <v>400</v>
      </c>
      <c r="N63" s="14">
        <v>0</v>
      </c>
      <c r="O63" s="14">
        <v>0</v>
      </c>
      <c r="P63" s="14">
        <v>0</v>
      </c>
      <c r="Q63" s="14">
        <v>8972</v>
      </c>
      <c r="R63" s="14">
        <v>4730</v>
      </c>
      <c r="S63" s="14">
        <v>7760.2</v>
      </c>
      <c r="T63" s="14">
        <v>1073</v>
      </c>
      <c r="U63" s="14">
        <v>55</v>
      </c>
      <c r="V63" s="14">
        <v>2590</v>
      </c>
      <c r="W63" s="14">
        <v>525972.01</v>
      </c>
      <c r="X63" s="533"/>
    </row>
    <row r="64" spans="1:24" x14ac:dyDescent="0.35">
      <c r="A64" s="37" t="str">
        <f>_xlfn.XLOOKUP(B64,master!B:B,master!A:A)</f>
        <v>Other Administrative Expenses</v>
      </c>
      <c r="B64" s="13" t="s">
        <v>316</v>
      </c>
      <c r="C64" s="14"/>
      <c r="D64" s="14"/>
      <c r="E64" s="14"/>
      <c r="F64" s="14"/>
      <c r="G64" s="14">
        <v>5809</v>
      </c>
      <c r="H64" s="14">
        <v>10190</v>
      </c>
      <c r="I64" s="14">
        <v>0</v>
      </c>
      <c r="J64" s="14">
        <v>0</v>
      </c>
      <c r="K64" s="14">
        <v>100</v>
      </c>
      <c r="L64" s="14">
        <v>0</v>
      </c>
      <c r="M64" s="14">
        <v>33565</v>
      </c>
      <c r="N64" s="14">
        <v>0</v>
      </c>
      <c r="O64" s="14">
        <v>0</v>
      </c>
      <c r="P64" s="14">
        <v>0</v>
      </c>
      <c r="Q64" s="14">
        <v>9173</v>
      </c>
      <c r="R64" s="14">
        <v>7170</v>
      </c>
      <c r="S64" s="14">
        <v>86416.94</v>
      </c>
      <c r="T64" s="14">
        <v>3643.22</v>
      </c>
      <c r="U64" s="14">
        <v>210</v>
      </c>
      <c r="V64" s="14">
        <v>20803.8</v>
      </c>
      <c r="W64" s="14">
        <v>46130.47</v>
      </c>
      <c r="X64" s="533"/>
    </row>
    <row r="65" spans="1:24" x14ac:dyDescent="0.35">
      <c r="A65" s="37" t="str">
        <f>_xlfn.XLOOKUP(B65,master!B:B,master!A:A)</f>
        <v>Other Administrative Expenses</v>
      </c>
      <c r="B65" s="13" t="s">
        <v>317</v>
      </c>
      <c r="C65" s="14"/>
      <c r="D65" s="14"/>
      <c r="E65" s="14"/>
      <c r="F65" s="14"/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78750</v>
      </c>
      <c r="V65" s="14">
        <v>0</v>
      </c>
      <c r="W65" s="14">
        <v>0</v>
      </c>
      <c r="X65" s="533"/>
    </row>
    <row r="66" spans="1:24" x14ac:dyDescent="0.35">
      <c r="A66" s="37" t="str">
        <f>_xlfn.XLOOKUP(B66,master!B:B,master!A:A)</f>
        <v>Miscellaneous income</v>
      </c>
      <c r="B66" s="13" t="s">
        <v>318</v>
      </c>
      <c r="C66" s="14"/>
      <c r="D66" s="14"/>
      <c r="E66" s="14"/>
      <c r="F66" s="14"/>
      <c r="G66" s="14">
        <v>-0.48</v>
      </c>
      <c r="H66" s="14">
        <v>4.7300000000000004</v>
      </c>
      <c r="I66" s="14">
        <v>1.35</v>
      </c>
      <c r="J66" s="14">
        <v>0</v>
      </c>
      <c r="K66" s="14">
        <v>0.21</v>
      </c>
      <c r="L66" s="14">
        <v>2.4</v>
      </c>
      <c r="M66" s="14">
        <v>8.48</v>
      </c>
      <c r="N66" s="14">
        <v>0</v>
      </c>
      <c r="O66" s="14">
        <v>0</v>
      </c>
      <c r="P66" s="14">
        <v>-1.02</v>
      </c>
      <c r="Q66" s="14">
        <v>-0.8</v>
      </c>
      <c r="R66" s="14">
        <v>5.0999999999999996</v>
      </c>
      <c r="S66" s="14">
        <v>-1.26</v>
      </c>
      <c r="T66" s="14">
        <v>0.06</v>
      </c>
      <c r="U66" s="14">
        <v>0.97</v>
      </c>
      <c r="V66" s="14">
        <v>1.42</v>
      </c>
      <c r="W66" s="14">
        <v>4.93</v>
      </c>
      <c r="X66" s="533"/>
    </row>
    <row r="67" spans="1:24" x14ac:dyDescent="0.35">
      <c r="A67" s="37" t="str">
        <f>_xlfn.XLOOKUP(B67,master!B:B,master!A:A)</f>
        <v>Other Administrative Expenses</v>
      </c>
      <c r="B67" s="13" t="s">
        <v>319</v>
      </c>
      <c r="C67" s="14"/>
      <c r="D67" s="14"/>
      <c r="E67" s="14"/>
      <c r="F67" s="14"/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287468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36266</v>
      </c>
      <c r="V67" s="14">
        <v>44516</v>
      </c>
      <c r="W67" s="14">
        <v>0</v>
      </c>
      <c r="X67" s="533"/>
    </row>
    <row r="68" spans="1:24" x14ac:dyDescent="0.35">
      <c r="A68" s="37" t="str">
        <f>_xlfn.XLOOKUP(B68,master!B:B,master!A:A)</f>
        <v>Staff welfare expenses</v>
      </c>
      <c r="B68" s="13" t="s">
        <v>615</v>
      </c>
      <c r="C68" s="14"/>
      <c r="D68" s="14"/>
      <c r="E68" s="14"/>
      <c r="F68" s="14"/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5400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533"/>
    </row>
    <row r="69" spans="1:24" x14ac:dyDescent="0.35">
      <c r="A69" s="37" t="str">
        <f>_xlfn.XLOOKUP(B69,master!B:B,master!A:A)</f>
        <v>Travelling expense</v>
      </c>
      <c r="B69" s="13" t="s">
        <v>320</v>
      </c>
      <c r="C69" s="14"/>
      <c r="D69" s="14"/>
      <c r="E69" s="14"/>
      <c r="F69" s="14"/>
      <c r="G69" s="14">
        <v>13850</v>
      </c>
      <c r="H69" s="14">
        <v>6863</v>
      </c>
      <c r="I69" s="14">
        <v>40242</v>
      </c>
      <c r="J69" s="14">
        <v>0</v>
      </c>
      <c r="K69" s="14">
        <v>0</v>
      </c>
      <c r="L69" s="14">
        <v>0</v>
      </c>
      <c r="M69" s="14">
        <v>275049</v>
      </c>
      <c r="N69" s="14">
        <v>0</v>
      </c>
      <c r="O69" s="14">
        <v>0</v>
      </c>
      <c r="P69" s="14">
        <v>0</v>
      </c>
      <c r="Q69" s="14">
        <v>825</v>
      </c>
      <c r="R69" s="14">
        <v>1322</v>
      </c>
      <c r="S69" s="14">
        <v>0</v>
      </c>
      <c r="T69" s="14">
        <v>0</v>
      </c>
      <c r="U69" s="14">
        <v>0</v>
      </c>
      <c r="V69" s="14">
        <v>941519.28</v>
      </c>
      <c r="W69" s="14">
        <v>0</v>
      </c>
      <c r="X69" s="533"/>
    </row>
    <row r="70" spans="1:24" x14ac:dyDescent="0.35">
      <c r="A70" s="37" t="str">
        <f>_xlfn.XLOOKUP(B70,master!B:B,master!A:A)</f>
        <v>Travelling expense</v>
      </c>
      <c r="B70" s="13" t="s">
        <v>321</v>
      </c>
      <c r="C70" s="14"/>
      <c r="D70" s="14"/>
      <c r="E70" s="14"/>
      <c r="F70" s="14"/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86547.78</v>
      </c>
      <c r="X70" s="533"/>
    </row>
    <row r="71" spans="1:24" x14ac:dyDescent="0.35">
      <c r="A71" s="37" t="str">
        <f>_xlfn.XLOOKUP(B71,master!B:B,master!A:A)</f>
        <v>Other Administrative Expenses</v>
      </c>
      <c r="B71" s="13" t="s">
        <v>699</v>
      </c>
      <c r="C71" s="14"/>
      <c r="D71" s="14"/>
      <c r="E71" s="14"/>
      <c r="F71" s="14"/>
      <c r="G71" s="14">
        <v>0</v>
      </c>
      <c r="H71" s="14">
        <v>9000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533"/>
    </row>
    <row r="72" spans="1:24" x14ac:dyDescent="0.35">
      <c r="A72" s="37" t="str">
        <f>_xlfn.XLOOKUP(B72,master!B:B,master!A:A)</f>
        <v>Other Administrative Expenses</v>
      </c>
      <c r="B72" s="13" t="s">
        <v>322</v>
      </c>
      <c r="C72" s="14"/>
      <c r="D72" s="14"/>
      <c r="E72" s="14"/>
      <c r="F72" s="14"/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58630</v>
      </c>
      <c r="R72" s="14">
        <v>13000</v>
      </c>
      <c r="S72" s="14">
        <v>300465.3</v>
      </c>
      <c r="T72" s="14">
        <v>0</v>
      </c>
      <c r="U72" s="14">
        <v>0</v>
      </c>
      <c r="V72" s="14">
        <v>0</v>
      </c>
      <c r="W72" s="14">
        <v>0</v>
      </c>
      <c r="X72" s="533"/>
    </row>
    <row r="73" spans="1:24" x14ac:dyDescent="0.35">
      <c r="A73" s="37" t="str">
        <f>_xlfn.XLOOKUP(B73,master!B:B,master!A:A)</f>
        <v>Other Administrative Expenses</v>
      </c>
      <c r="B73" s="13" t="s">
        <v>323</v>
      </c>
      <c r="C73" s="14"/>
      <c r="D73" s="14"/>
      <c r="E73" s="14"/>
      <c r="F73" s="14"/>
      <c r="G73" s="14">
        <v>0</v>
      </c>
      <c r="H73" s="14">
        <v>0</v>
      </c>
      <c r="I73" s="14">
        <v>0</v>
      </c>
      <c r="J73" s="14">
        <v>0</v>
      </c>
      <c r="K73" s="14">
        <v>12729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4150</v>
      </c>
      <c r="R73" s="14">
        <v>0</v>
      </c>
      <c r="S73" s="14">
        <v>0</v>
      </c>
      <c r="T73" s="14">
        <v>0</v>
      </c>
      <c r="U73" s="14">
        <v>0</v>
      </c>
      <c r="V73" s="14">
        <v>25000</v>
      </c>
      <c r="W73" s="14">
        <v>1186.45</v>
      </c>
      <c r="X73" s="533"/>
    </row>
    <row r="74" spans="1:24" x14ac:dyDescent="0.35">
      <c r="A74" s="37" t="str">
        <f>_xlfn.XLOOKUP(B74,master!B:B,master!A:A)</f>
        <v>Other Manufacturing Expenses</v>
      </c>
      <c r="B74" s="13" t="s">
        <v>324</v>
      </c>
      <c r="C74" s="14"/>
      <c r="D74" s="14"/>
      <c r="E74" s="14"/>
      <c r="F74" s="14"/>
      <c r="G74" s="14">
        <v>0</v>
      </c>
      <c r="H74" s="14">
        <v>0</v>
      </c>
      <c r="I74" s="14">
        <v>0</v>
      </c>
      <c r="J74" s="14">
        <v>0</v>
      </c>
      <c r="K74" s="14">
        <v>15930</v>
      </c>
      <c r="L74" s="14">
        <v>0</v>
      </c>
      <c r="M74" s="14">
        <v>220688.18</v>
      </c>
      <c r="N74" s="14">
        <v>0</v>
      </c>
      <c r="O74" s="14">
        <v>0</v>
      </c>
      <c r="P74" s="14">
        <v>0</v>
      </c>
      <c r="Q74" s="14">
        <v>0</v>
      </c>
      <c r="R74" s="14">
        <v>293962.38</v>
      </c>
      <c r="S74" s="14">
        <v>12700</v>
      </c>
      <c r="T74" s="14">
        <v>0</v>
      </c>
      <c r="U74" s="14">
        <v>21305</v>
      </c>
      <c r="V74" s="14">
        <v>0</v>
      </c>
      <c r="W74" s="14">
        <v>36368</v>
      </c>
      <c r="X74" s="533"/>
    </row>
    <row r="75" spans="1:24" x14ac:dyDescent="0.35">
      <c r="A75" s="37" t="str">
        <f>_xlfn.XLOOKUP(B75,master!B:B,master!A:A)</f>
        <v>Other Manufacturing Expenses</v>
      </c>
      <c r="B75" s="13" t="s">
        <v>325</v>
      </c>
      <c r="C75" s="14"/>
      <c r="D75" s="14"/>
      <c r="E75" s="14"/>
      <c r="F75" s="14"/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50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47699.31</v>
      </c>
      <c r="X75" s="533"/>
    </row>
    <row r="76" spans="1:24" x14ac:dyDescent="0.35">
      <c r="A76" s="37" t="str">
        <f>_xlfn.XLOOKUP(B76,master!B:B,master!A:A)</f>
        <v>Conveyance, vehicle running and traveling expenses</v>
      </c>
      <c r="B76" s="13" t="s">
        <v>326</v>
      </c>
      <c r="C76" s="14"/>
      <c r="D76" s="14"/>
      <c r="E76" s="14"/>
      <c r="F76" s="14"/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6720</v>
      </c>
      <c r="R76" s="14">
        <v>21130</v>
      </c>
      <c r="S76" s="14">
        <v>10911.84</v>
      </c>
      <c r="T76" s="14">
        <v>0</v>
      </c>
      <c r="U76" s="14">
        <v>50</v>
      </c>
      <c r="V76" s="14">
        <v>0</v>
      </c>
      <c r="W76" s="14">
        <v>2251.6799999999998</v>
      </c>
      <c r="X76" s="533"/>
    </row>
    <row r="77" spans="1:24" x14ac:dyDescent="0.35">
      <c r="A77" s="37" t="str">
        <f>_xlfn.XLOOKUP(B77,master!B:B,master!A:A)</f>
        <v>Other Administrative Expenses</v>
      </c>
      <c r="B77" s="13" t="s">
        <v>327</v>
      </c>
      <c r="C77" s="14"/>
      <c r="D77" s="14"/>
      <c r="E77" s="14"/>
      <c r="F77" s="14"/>
      <c r="G77" s="14">
        <v>0</v>
      </c>
      <c r="H77" s="14">
        <v>19700</v>
      </c>
      <c r="I77" s="14">
        <v>0</v>
      </c>
      <c r="J77" s="14">
        <v>0</v>
      </c>
      <c r="K77" s="14">
        <v>0</v>
      </c>
      <c r="L77" s="14">
        <v>0</v>
      </c>
      <c r="M77" s="14">
        <v>12100</v>
      </c>
      <c r="N77" s="14">
        <v>0</v>
      </c>
      <c r="O77" s="14">
        <v>0</v>
      </c>
      <c r="P77" s="14">
        <v>0</v>
      </c>
      <c r="Q77" s="14">
        <v>25731</v>
      </c>
      <c r="R77" s="14">
        <v>677286.45</v>
      </c>
      <c r="S77" s="14">
        <v>67406</v>
      </c>
      <c r="T77" s="14">
        <v>0</v>
      </c>
      <c r="U77" s="14">
        <v>200</v>
      </c>
      <c r="V77" s="14">
        <v>50018.400000000001</v>
      </c>
      <c r="W77" s="14">
        <v>0</v>
      </c>
      <c r="X77" s="533"/>
    </row>
    <row r="78" spans="1:24" x14ac:dyDescent="0.35">
      <c r="A78" s="37" t="str">
        <f>_xlfn.XLOOKUP(B78,master!B:B,master!A:A)</f>
        <v>Conveyance, vehicle running and traveling expenses</v>
      </c>
      <c r="B78" s="13" t="s">
        <v>328</v>
      </c>
      <c r="C78" s="14"/>
      <c r="D78" s="14"/>
      <c r="E78" s="14"/>
      <c r="F78" s="14"/>
      <c r="G78" s="14">
        <v>0</v>
      </c>
      <c r="H78" s="14">
        <v>110000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5620</v>
      </c>
      <c r="R78" s="14">
        <v>0</v>
      </c>
      <c r="S78" s="14">
        <v>168000</v>
      </c>
      <c r="T78" s="14">
        <v>0</v>
      </c>
      <c r="U78" s="14">
        <v>178360</v>
      </c>
      <c r="V78" s="14">
        <v>0</v>
      </c>
      <c r="W78" s="14">
        <v>0</v>
      </c>
      <c r="X78" s="533"/>
    </row>
    <row r="79" spans="1:24" x14ac:dyDescent="0.35">
      <c r="A79" s="37" t="str">
        <f>_xlfn.XLOOKUP(B79,master!B:B,master!A:A)</f>
        <v>Conveyance, vehicle running and traveling expenses</v>
      </c>
      <c r="B79" s="13" t="s">
        <v>551</v>
      </c>
      <c r="C79" s="14"/>
      <c r="D79" s="14"/>
      <c r="E79" s="14"/>
      <c r="F79" s="14"/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7400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533"/>
    </row>
    <row r="80" spans="1:24" x14ac:dyDescent="0.35">
      <c r="A80" s="37" t="str">
        <f>_xlfn.XLOOKUP(B80,master!B:B,master!A:A)</f>
        <v>Contribution to provident and other funds</v>
      </c>
      <c r="B80" s="13" t="s">
        <v>330</v>
      </c>
      <c r="C80" s="14"/>
      <c r="D80" s="14"/>
      <c r="E80" s="14"/>
      <c r="F80" s="14"/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26644</v>
      </c>
      <c r="N80" s="14">
        <v>0</v>
      </c>
      <c r="O80" s="14">
        <v>0</v>
      </c>
      <c r="P80" s="14">
        <v>0</v>
      </c>
      <c r="Q80" s="14">
        <v>0</v>
      </c>
      <c r="R80" s="14">
        <v>6982</v>
      </c>
      <c r="S80" s="14">
        <v>12958</v>
      </c>
      <c r="T80" s="14">
        <v>0</v>
      </c>
      <c r="U80" s="14">
        <v>0</v>
      </c>
      <c r="V80" s="14">
        <v>790</v>
      </c>
      <c r="W80" s="14">
        <v>0</v>
      </c>
      <c r="X80" s="533"/>
    </row>
    <row r="81" spans="1:24" x14ac:dyDescent="0.35">
      <c r="A81" s="37" t="str">
        <f>_xlfn.XLOOKUP(B81,master!B:B,master!A:A)</f>
        <v>Contribution to provident and other funds</v>
      </c>
      <c r="B81" s="13" t="s">
        <v>331</v>
      </c>
      <c r="C81" s="14"/>
      <c r="D81" s="14"/>
      <c r="E81" s="14"/>
      <c r="F81" s="14"/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665196</v>
      </c>
      <c r="N81" s="14">
        <v>0</v>
      </c>
      <c r="O81" s="14">
        <v>0</v>
      </c>
      <c r="P81" s="14">
        <v>0</v>
      </c>
      <c r="Q81" s="14">
        <v>0</v>
      </c>
      <c r="R81" s="14">
        <v>174183</v>
      </c>
      <c r="S81" s="14">
        <v>323969</v>
      </c>
      <c r="T81" s="14">
        <v>0</v>
      </c>
      <c r="U81" s="14">
        <v>0</v>
      </c>
      <c r="V81" s="14">
        <v>12882</v>
      </c>
      <c r="W81" s="14">
        <v>0</v>
      </c>
      <c r="X81" s="533"/>
    </row>
    <row r="82" spans="1:24" x14ac:dyDescent="0.35">
      <c r="A82" s="37" t="str">
        <f>_xlfn.XLOOKUP(B82,master!B:B,master!A:A)</f>
        <v xml:space="preserve">Salaries, wages and  bonus </v>
      </c>
      <c r="B82" s="13" t="s">
        <v>332</v>
      </c>
      <c r="C82" s="14"/>
      <c r="D82" s="14"/>
      <c r="E82" s="14"/>
      <c r="F82" s="14"/>
      <c r="G82" s="14">
        <v>0</v>
      </c>
      <c r="H82" s="14">
        <v>9023</v>
      </c>
      <c r="I82" s="14">
        <v>4953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533"/>
    </row>
    <row r="83" spans="1:24" x14ac:dyDescent="0.35">
      <c r="A83" s="37" t="str">
        <f>_xlfn.XLOOKUP(B83,master!B:B,master!A:A)</f>
        <v xml:space="preserve">Salaries, wages and  bonus </v>
      </c>
      <c r="B83" s="13" t="s">
        <v>333</v>
      </c>
      <c r="C83" s="14"/>
      <c r="D83" s="14"/>
      <c r="E83" s="14"/>
      <c r="F83" s="14"/>
      <c r="G83" s="14">
        <v>0</v>
      </c>
      <c r="H83" s="14">
        <v>285518</v>
      </c>
      <c r="I83" s="14">
        <v>10927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1332</v>
      </c>
      <c r="T83" s="14">
        <v>0</v>
      </c>
      <c r="U83" s="14">
        <v>157258</v>
      </c>
      <c r="V83" s="14">
        <v>0</v>
      </c>
      <c r="W83" s="14">
        <v>452464.12</v>
      </c>
      <c r="X83" s="533"/>
    </row>
    <row r="84" spans="1:24" x14ac:dyDescent="0.35">
      <c r="A84" s="37" t="str">
        <f>_xlfn.XLOOKUP(B84,master!B:B,master!A:A)</f>
        <v xml:space="preserve">Salaries, wages and  bonus </v>
      </c>
      <c r="B84" s="13" t="s">
        <v>337</v>
      </c>
      <c r="C84" s="14"/>
      <c r="D84" s="14"/>
      <c r="E84" s="14"/>
      <c r="F84" s="14"/>
      <c r="G84" s="14">
        <v>0</v>
      </c>
      <c r="H84" s="14">
        <v>502783</v>
      </c>
      <c r="I84" s="14">
        <v>42454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2308</v>
      </c>
      <c r="T84" s="14">
        <v>0</v>
      </c>
      <c r="U84" s="14">
        <v>262079</v>
      </c>
      <c r="V84" s="14">
        <v>0</v>
      </c>
      <c r="W84" s="14">
        <v>754079</v>
      </c>
      <c r="X84" s="533"/>
    </row>
    <row r="85" spans="1:24" x14ac:dyDescent="0.35">
      <c r="A85" s="37" t="str">
        <f>_xlfn.XLOOKUP(B85,master!B:B,master!A:A)</f>
        <v xml:space="preserve">Salaries, wages and  bonus </v>
      </c>
      <c r="B85" s="13" t="s">
        <v>566</v>
      </c>
      <c r="C85" s="14"/>
      <c r="D85" s="14"/>
      <c r="E85" s="14"/>
      <c r="F85" s="14"/>
      <c r="G85" s="14">
        <v>0</v>
      </c>
      <c r="H85" s="14">
        <v>28876</v>
      </c>
      <c r="I85" s="14">
        <v>12574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533"/>
    </row>
    <row r="86" spans="1:24" x14ac:dyDescent="0.35">
      <c r="A86" s="37" t="str">
        <f>_xlfn.XLOOKUP(B86,master!B:B,master!A:A)</f>
        <v xml:space="preserve">Salaries, wages and  bonus </v>
      </c>
      <c r="B86" s="13" t="s">
        <v>338</v>
      </c>
      <c r="C86" s="14"/>
      <c r="D86" s="14"/>
      <c r="E86" s="14"/>
      <c r="F86" s="14"/>
      <c r="G86" s="14">
        <v>0</v>
      </c>
      <c r="H86" s="14">
        <v>29388</v>
      </c>
      <c r="I86" s="14">
        <v>10557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533"/>
    </row>
    <row r="87" spans="1:24" x14ac:dyDescent="0.35">
      <c r="A87" s="37" t="str">
        <f>_xlfn.XLOOKUP(B87,master!B:B,master!A:A)</f>
        <v xml:space="preserve">Salaries, wages and  bonus </v>
      </c>
      <c r="B87" s="13" t="s">
        <v>339</v>
      </c>
      <c r="C87" s="14"/>
      <c r="D87" s="14"/>
      <c r="E87" s="14"/>
      <c r="F87" s="14"/>
      <c r="G87" s="14">
        <v>0</v>
      </c>
      <c r="H87" s="14">
        <v>660096</v>
      </c>
      <c r="I87" s="14">
        <v>106910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254</v>
      </c>
      <c r="V87" s="14">
        <v>0</v>
      </c>
      <c r="W87" s="14">
        <v>67455</v>
      </c>
      <c r="X87" s="533"/>
    </row>
    <row r="88" spans="1:24" x14ac:dyDescent="0.35">
      <c r="A88" s="37" t="str">
        <f>_xlfn.XLOOKUP(B88,master!B:B,master!A:A)</f>
        <v xml:space="preserve">Salaries, wages and  bonus </v>
      </c>
      <c r="B88" s="13" t="s">
        <v>567</v>
      </c>
      <c r="C88" s="14"/>
      <c r="D88" s="14"/>
      <c r="E88" s="14"/>
      <c r="F88" s="14"/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462</v>
      </c>
      <c r="T88" s="14">
        <v>0</v>
      </c>
      <c r="U88" s="14">
        <v>70431</v>
      </c>
      <c r="V88" s="14">
        <v>0</v>
      </c>
      <c r="W88" s="14">
        <v>166777</v>
      </c>
      <c r="X88" s="533"/>
    </row>
    <row r="89" spans="1:24" x14ac:dyDescent="0.35">
      <c r="A89" s="37" t="str">
        <f>_xlfn.XLOOKUP(B89,master!B:B,master!A:A)</f>
        <v xml:space="preserve">Salaries, wages and  bonus </v>
      </c>
      <c r="B89" s="13" t="s">
        <v>340</v>
      </c>
      <c r="C89" s="14"/>
      <c r="D89" s="14"/>
      <c r="E89" s="14"/>
      <c r="F89" s="14"/>
      <c r="G89" s="14">
        <v>0</v>
      </c>
      <c r="H89" s="14">
        <v>30301</v>
      </c>
      <c r="I89" s="14">
        <v>12613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533"/>
    </row>
    <row r="90" spans="1:24" x14ac:dyDescent="0.35">
      <c r="A90" s="37" t="str">
        <f>_xlfn.XLOOKUP(B90,master!B:B,master!A:A)</f>
        <v xml:space="preserve">Salaries, wages and  bonus </v>
      </c>
      <c r="B90" s="13" t="s">
        <v>341</v>
      </c>
      <c r="C90" s="14"/>
      <c r="D90" s="14"/>
      <c r="E90" s="14"/>
      <c r="F90" s="14"/>
      <c r="G90" s="14">
        <v>0</v>
      </c>
      <c r="H90" s="14">
        <v>37038</v>
      </c>
      <c r="I90" s="14">
        <v>12600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533"/>
    </row>
    <row r="91" spans="1:24" x14ac:dyDescent="0.35">
      <c r="A91" s="37" t="str">
        <f>_xlfn.XLOOKUP(B91,master!B:B,master!A:A)</f>
        <v xml:space="preserve">Salaries, wages and  bonus </v>
      </c>
      <c r="B91" s="13" t="s">
        <v>342</v>
      </c>
      <c r="C91" s="14"/>
      <c r="D91" s="14"/>
      <c r="E91" s="14"/>
      <c r="F91" s="14"/>
      <c r="G91" s="14">
        <v>0</v>
      </c>
      <c r="H91" s="14">
        <v>216606</v>
      </c>
      <c r="I91" s="14">
        <v>7673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734</v>
      </c>
      <c r="T91" s="14">
        <v>0</v>
      </c>
      <c r="U91" s="14">
        <v>104834</v>
      </c>
      <c r="V91" s="14">
        <v>0</v>
      </c>
      <c r="W91" s="14">
        <v>301635.62</v>
      </c>
      <c r="X91" s="533"/>
    </row>
    <row r="92" spans="1:24" x14ac:dyDescent="0.35">
      <c r="A92" s="37" t="str">
        <f>_xlfn.XLOOKUP(B92,master!B:B,master!A:A)</f>
        <v xml:space="preserve">Salaries, wages and  bonus </v>
      </c>
      <c r="B92" s="13" t="s">
        <v>343</v>
      </c>
      <c r="C92" s="14"/>
      <c r="D92" s="14"/>
      <c r="E92" s="14"/>
      <c r="F92" s="14"/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19200</v>
      </c>
      <c r="X92" s="533"/>
    </row>
    <row r="93" spans="1:24" x14ac:dyDescent="0.35">
      <c r="A93" s="37" t="str">
        <f>_xlfn.XLOOKUP(B93,master!B:B,master!A:A)</f>
        <v xml:space="preserve">Salaries, wages and  bonus </v>
      </c>
      <c r="B93" s="13" t="s">
        <v>344</v>
      </c>
      <c r="C93" s="14"/>
      <c r="D93" s="14"/>
      <c r="E93" s="14"/>
      <c r="F93" s="14"/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-8982</v>
      </c>
      <c r="Q93" s="14">
        <v>0</v>
      </c>
      <c r="R93" s="14">
        <v>128635</v>
      </c>
      <c r="S93" s="14">
        <v>17333</v>
      </c>
      <c r="T93" s="14">
        <v>0</v>
      </c>
      <c r="U93" s="14">
        <v>27670</v>
      </c>
      <c r="V93" s="14">
        <v>0</v>
      </c>
      <c r="W93" s="14">
        <v>0</v>
      </c>
      <c r="X93" s="533"/>
    </row>
    <row r="94" spans="1:24" x14ac:dyDescent="0.35">
      <c r="A94" s="37" t="str">
        <f>_xlfn.XLOOKUP(B94,master!B:B,master!A:A)</f>
        <v>Contribution to provident and other funds</v>
      </c>
      <c r="B94" s="13" t="s">
        <v>345</v>
      </c>
      <c r="C94" s="14"/>
      <c r="D94" s="14"/>
      <c r="E94" s="14"/>
      <c r="F94" s="14"/>
      <c r="G94" s="14">
        <v>0</v>
      </c>
      <c r="H94" s="14">
        <v>42885</v>
      </c>
      <c r="I94" s="14">
        <v>0</v>
      </c>
      <c r="J94" s="14">
        <v>0</v>
      </c>
      <c r="K94" s="14">
        <v>0</v>
      </c>
      <c r="L94" s="14">
        <v>0</v>
      </c>
      <c r="M94" s="14">
        <v>321950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533"/>
    </row>
    <row r="95" spans="1:24" x14ac:dyDescent="0.35">
      <c r="A95" s="37" t="str">
        <f>_xlfn.XLOOKUP(B95,master!B:B,master!A:A)</f>
        <v>Gratuity Expenses</v>
      </c>
      <c r="B95" s="13" t="s">
        <v>346</v>
      </c>
      <c r="C95" s="14"/>
      <c r="D95" s="14"/>
      <c r="E95" s="14"/>
      <c r="F95" s="14"/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129974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533"/>
    </row>
    <row r="96" spans="1:24" x14ac:dyDescent="0.35">
      <c r="A96" s="37" t="str">
        <f>_xlfn.XLOOKUP(B96,master!B:B,master!A:A)</f>
        <v xml:space="preserve">Salaries, wages and  bonus </v>
      </c>
      <c r="B96" s="13" t="s">
        <v>347</v>
      </c>
      <c r="C96" s="14"/>
      <c r="D96" s="14"/>
      <c r="E96" s="14"/>
      <c r="F96" s="14"/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11120</v>
      </c>
      <c r="S96" s="14">
        <v>0</v>
      </c>
      <c r="T96" s="14">
        <v>0</v>
      </c>
      <c r="U96" s="14">
        <v>900</v>
      </c>
      <c r="V96" s="14">
        <v>0</v>
      </c>
      <c r="W96" s="14">
        <v>0</v>
      </c>
      <c r="X96" s="533"/>
    </row>
    <row r="97" spans="1:24" x14ac:dyDescent="0.35">
      <c r="A97" s="37" t="str">
        <f>_xlfn.XLOOKUP(B97,master!B:B,master!A:A)</f>
        <v>Staff welfare expenses</v>
      </c>
      <c r="B97" s="13" t="s">
        <v>348</v>
      </c>
      <c r="C97" s="14"/>
      <c r="D97" s="14"/>
      <c r="E97" s="14"/>
      <c r="F97" s="14"/>
      <c r="G97" s="14">
        <v>18000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533"/>
    </row>
    <row r="98" spans="1:24" x14ac:dyDescent="0.35">
      <c r="A98" s="37" t="str">
        <f>_xlfn.XLOOKUP(B98,master!B:B,master!A:A)</f>
        <v xml:space="preserve">Salaries, wages and  bonus </v>
      </c>
      <c r="B98" s="13" t="s">
        <v>349</v>
      </c>
      <c r="C98" s="14"/>
      <c r="D98" s="14"/>
      <c r="E98" s="14"/>
      <c r="F98" s="14"/>
      <c r="G98" s="14">
        <v>0</v>
      </c>
      <c r="H98" s="14">
        <v>291693</v>
      </c>
      <c r="I98" s="14">
        <v>676</v>
      </c>
      <c r="J98" s="14">
        <v>0</v>
      </c>
      <c r="K98" s="14">
        <v>0</v>
      </c>
      <c r="L98" s="14">
        <v>0</v>
      </c>
      <c r="M98" s="14">
        <v>465444</v>
      </c>
      <c r="N98" s="14">
        <v>0</v>
      </c>
      <c r="O98" s="14">
        <v>0</v>
      </c>
      <c r="P98" s="14">
        <v>0</v>
      </c>
      <c r="Q98" s="14">
        <v>284523</v>
      </c>
      <c r="R98" s="14">
        <v>0</v>
      </c>
      <c r="S98" s="14">
        <v>86990</v>
      </c>
      <c r="T98" s="14">
        <v>0</v>
      </c>
      <c r="U98" s="14">
        <v>13750</v>
      </c>
      <c r="V98" s="14">
        <v>0</v>
      </c>
      <c r="W98" s="14">
        <v>74840</v>
      </c>
      <c r="X98" s="533"/>
    </row>
    <row r="99" spans="1:24" x14ac:dyDescent="0.35">
      <c r="A99" s="37" t="str">
        <f>_xlfn.XLOOKUP(B99,master!B:B,master!A:A)</f>
        <v xml:space="preserve">Salaries, wages and  bonus </v>
      </c>
      <c r="B99" s="13" t="s">
        <v>350</v>
      </c>
      <c r="C99" s="14"/>
      <c r="D99" s="14"/>
      <c r="E99" s="14"/>
      <c r="F99" s="14"/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6616</v>
      </c>
      <c r="R99" s="14">
        <v>0</v>
      </c>
      <c r="S99" s="14">
        <v>25581</v>
      </c>
      <c r="T99" s="14">
        <v>0</v>
      </c>
      <c r="U99" s="14">
        <v>0</v>
      </c>
      <c r="V99" s="14">
        <v>0</v>
      </c>
      <c r="W99" s="14">
        <v>0</v>
      </c>
      <c r="X99" s="533"/>
    </row>
    <row r="100" spans="1:24" x14ac:dyDescent="0.35">
      <c r="A100" s="37" t="str">
        <f>_xlfn.XLOOKUP(B100,master!B:B,master!A:A)</f>
        <v xml:space="preserve">Salaries, wages and  bonus </v>
      </c>
      <c r="B100" s="13" t="s">
        <v>352</v>
      </c>
      <c r="C100" s="14"/>
      <c r="D100" s="14"/>
      <c r="E100" s="14"/>
      <c r="F100" s="14"/>
      <c r="G100" s="14">
        <v>0</v>
      </c>
      <c r="H100" s="14">
        <v>-8378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151600</v>
      </c>
      <c r="R100" s="14">
        <v>0</v>
      </c>
      <c r="S100" s="14">
        <v>0</v>
      </c>
      <c r="T100" s="14">
        <v>0</v>
      </c>
      <c r="U100" s="14">
        <v>-500</v>
      </c>
      <c r="V100" s="14">
        <v>0</v>
      </c>
      <c r="W100" s="14">
        <v>-8855</v>
      </c>
      <c r="X100" s="533"/>
    </row>
    <row r="101" spans="1:24" x14ac:dyDescent="0.35">
      <c r="A101" s="37" t="str">
        <f>_xlfn.XLOOKUP(B101,master!B:B,master!A:A)</f>
        <v xml:space="preserve">Salaries, wages and  bonus </v>
      </c>
      <c r="B101" s="13" t="s">
        <v>353</v>
      </c>
      <c r="C101" s="14"/>
      <c r="D101" s="14"/>
      <c r="E101" s="14"/>
      <c r="F101" s="14"/>
      <c r="G101" s="14">
        <v>0</v>
      </c>
      <c r="H101" s="14">
        <v>1454394</v>
      </c>
      <c r="I101" s="14">
        <v>227926</v>
      </c>
      <c r="J101" s="14">
        <v>0</v>
      </c>
      <c r="K101" s="14">
        <v>0</v>
      </c>
      <c r="L101" s="14">
        <v>42670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3508</v>
      </c>
      <c r="T101" s="14">
        <v>242838</v>
      </c>
      <c r="U101" s="14">
        <v>332169</v>
      </c>
      <c r="V101" s="14">
        <v>0</v>
      </c>
      <c r="W101" s="14">
        <v>857502</v>
      </c>
      <c r="X101" s="533"/>
    </row>
    <row r="102" spans="1:24" x14ac:dyDescent="0.35">
      <c r="A102" s="37" t="str">
        <f>_xlfn.XLOOKUP(B102,master!B:B,master!A:A)</f>
        <v xml:space="preserve">Salaries, wages and  bonus </v>
      </c>
      <c r="B102" s="13" t="s">
        <v>354</v>
      </c>
      <c r="C102" s="14"/>
      <c r="D102" s="14"/>
      <c r="E102" s="14"/>
      <c r="F102" s="14"/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117915</v>
      </c>
      <c r="V102" s="14">
        <v>0</v>
      </c>
      <c r="W102" s="14">
        <v>156385</v>
      </c>
      <c r="X102" s="533"/>
    </row>
    <row r="103" spans="1:24" x14ac:dyDescent="0.35">
      <c r="A103" s="37" t="str">
        <f>_xlfn.XLOOKUP(B103,master!B:B,master!A:A)</f>
        <v>Staff welfare expenses</v>
      </c>
      <c r="B103" s="13" t="s">
        <v>355</v>
      </c>
      <c r="C103" s="14"/>
      <c r="D103" s="14"/>
      <c r="E103" s="14"/>
      <c r="F103" s="14"/>
      <c r="G103" s="14">
        <v>7356</v>
      </c>
      <c r="H103" s="14">
        <v>19845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3795</v>
      </c>
      <c r="R103" s="14">
        <v>55196</v>
      </c>
      <c r="S103" s="14">
        <v>26853</v>
      </c>
      <c r="T103" s="14">
        <v>0</v>
      </c>
      <c r="U103" s="14">
        <v>16301</v>
      </c>
      <c r="V103" s="14">
        <v>4984</v>
      </c>
      <c r="W103" s="14">
        <v>0</v>
      </c>
      <c r="X103" s="533"/>
    </row>
    <row r="104" spans="1:24" x14ac:dyDescent="0.35">
      <c r="A104" s="37" t="str">
        <f>_xlfn.XLOOKUP(B104,master!B:B,master!A:A)</f>
        <v>Staff welfare expenses</v>
      </c>
      <c r="B104" s="13" t="s">
        <v>356</v>
      </c>
      <c r="C104" s="14"/>
      <c r="D104" s="14"/>
      <c r="E104" s="14"/>
      <c r="F104" s="14"/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18107</v>
      </c>
      <c r="N104" s="14">
        <v>0</v>
      </c>
      <c r="O104" s="14">
        <v>0</v>
      </c>
      <c r="P104" s="14">
        <v>0</v>
      </c>
      <c r="Q104" s="14">
        <v>7300</v>
      </c>
      <c r="R104" s="14">
        <v>22654</v>
      </c>
      <c r="S104" s="14">
        <v>187043</v>
      </c>
      <c r="T104" s="14">
        <v>0</v>
      </c>
      <c r="U104" s="14">
        <v>0</v>
      </c>
      <c r="V104" s="14">
        <v>0</v>
      </c>
      <c r="W104" s="14">
        <v>-3540</v>
      </c>
      <c r="X104" s="533"/>
    </row>
    <row r="105" spans="1:24" x14ac:dyDescent="0.35">
      <c r="A105" s="37" t="str">
        <f>_xlfn.XLOOKUP(B105,master!B:B,master!A:A)</f>
        <v>Staff welfare expenses</v>
      </c>
      <c r="B105" s="13" t="s">
        <v>357</v>
      </c>
      <c r="C105" s="14"/>
      <c r="D105" s="14"/>
      <c r="E105" s="14"/>
      <c r="F105" s="14"/>
      <c r="G105" s="14">
        <v>12095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76314</v>
      </c>
      <c r="R105" s="14">
        <v>0</v>
      </c>
      <c r="S105" s="14">
        <v>0</v>
      </c>
      <c r="T105" s="14">
        <v>0</v>
      </c>
      <c r="U105" s="14">
        <v>0</v>
      </c>
      <c r="V105" s="14">
        <v>12142</v>
      </c>
      <c r="W105" s="14">
        <v>0</v>
      </c>
      <c r="X105" s="533"/>
    </row>
    <row r="106" spans="1:24" x14ac:dyDescent="0.35">
      <c r="A106" s="37" t="str">
        <f>_xlfn.XLOOKUP(B106,master!B:B,master!A:A)</f>
        <v>Staff welfare expenses</v>
      </c>
      <c r="B106" s="13" t="s">
        <v>358</v>
      </c>
      <c r="C106" s="14"/>
      <c r="D106" s="14"/>
      <c r="E106" s="14"/>
      <c r="F106" s="14"/>
      <c r="G106" s="14">
        <v>0</v>
      </c>
      <c r="H106" s="14">
        <v>-179640</v>
      </c>
      <c r="I106" s="14">
        <v>-4860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533"/>
    </row>
    <row r="107" spans="1:24" x14ac:dyDescent="0.35">
      <c r="A107" s="37" t="str">
        <f>_xlfn.XLOOKUP(B107,master!B:B,master!A:A)</f>
        <v>Staff welfare expenses</v>
      </c>
      <c r="B107" s="13" t="s">
        <v>359</v>
      </c>
      <c r="C107" s="14"/>
      <c r="D107" s="14"/>
      <c r="E107" s="14"/>
      <c r="F107" s="14"/>
      <c r="G107" s="14">
        <v>1668</v>
      </c>
      <c r="H107" s="14">
        <v>5490</v>
      </c>
      <c r="I107" s="14">
        <v>0</v>
      </c>
      <c r="J107" s="14">
        <v>0</v>
      </c>
      <c r="K107" s="14">
        <v>0</v>
      </c>
      <c r="L107" s="14">
        <v>0</v>
      </c>
      <c r="M107" s="14">
        <v>10000</v>
      </c>
      <c r="N107" s="14">
        <v>0</v>
      </c>
      <c r="O107" s="14">
        <v>0</v>
      </c>
      <c r="P107" s="14">
        <v>0</v>
      </c>
      <c r="Q107" s="14">
        <v>13350</v>
      </c>
      <c r="R107" s="14">
        <v>75645</v>
      </c>
      <c r="S107" s="14">
        <v>3650</v>
      </c>
      <c r="T107" s="14">
        <v>0</v>
      </c>
      <c r="U107" s="14">
        <v>2629</v>
      </c>
      <c r="V107" s="14">
        <v>0</v>
      </c>
      <c r="W107" s="14">
        <v>41711</v>
      </c>
      <c r="X107" s="533"/>
    </row>
    <row r="108" spans="1:24" x14ac:dyDescent="0.35">
      <c r="A108" s="37" t="str">
        <f>_xlfn.XLOOKUP(B108,master!B:B,master!A:A)</f>
        <v>Bank Charges &amp; Commission</v>
      </c>
      <c r="B108" s="13" t="s">
        <v>360</v>
      </c>
      <c r="C108" s="14"/>
      <c r="D108" s="14"/>
      <c r="E108" s="14"/>
      <c r="F108" s="14"/>
      <c r="G108" s="14">
        <v>1500</v>
      </c>
      <c r="H108" s="14">
        <v>86815.6</v>
      </c>
      <c r="I108" s="14">
        <v>0</v>
      </c>
      <c r="J108" s="14">
        <v>0</v>
      </c>
      <c r="K108" s="14">
        <v>0</v>
      </c>
      <c r="L108" s="14">
        <v>0</v>
      </c>
      <c r="M108" s="14">
        <v>288578.19</v>
      </c>
      <c r="N108" s="14">
        <v>0</v>
      </c>
      <c r="O108" s="14">
        <v>0</v>
      </c>
      <c r="P108" s="14">
        <v>29464.18</v>
      </c>
      <c r="Q108" s="14">
        <v>0</v>
      </c>
      <c r="R108" s="14">
        <v>618193.51</v>
      </c>
      <c r="S108" s="14">
        <v>40418.65</v>
      </c>
      <c r="T108" s="14">
        <v>0</v>
      </c>
      <c r="U108" s="14">
        <v>8537.7999999999993</v>
      </c>
      <c r="V108" s="14">
        <v>0</v>
      </c>
      <c r="W108" s="14">
        <v>23383.72</v>
      </c>
      <c r="X108" s="533"/>
    </row>
    <row r="109" spans="1:24" x14ac:dyDescent="0.35">
      <c r="A109" s="37" t="str">
        <f>_xlfn.XLOOKUP(B109,master!B:B,master!A:A)</f>
        <v>Bank Charges &amp; Commission</v>
      </c>
      <c r="B109" s="13" t="s">
        <v>690</v>
      </c>
      <c r="C109" s="14"/>
      <c r="D109" s="14"/>
      <c r="E109" s="14"/>
      <c r="F109" s="14"/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17700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533"/>
    </row>
    <row r="110" spans="1:24" x14ac:dyDescent="0.35">
      <c r="A110" s="37" t="str">
        <f>_xlfn.XLOOKUP(B110,master!B:B,master!A:A)</f>
        <v>Bank Charges &amp; Commission</v>
      </c>
      <c r="B110" s="13" t="s">
        <v>660</v>
      </c>
      <c r="C110" s="14"/>
      <c r="D110" s="14"/>
      <c r="E110" s="14"/>
      <c r="F110" s="14"/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11254.8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533"/>
    </row>
    <row r="111" spans="1:24" x14ac:dyDescent="0.35">
      <c r="A111" s="37" t="str">
        <f>_xlfn.XLOOKUP(B111,master!B:B,master!A:A)</f>
        <v>Bank Charges &amp; Commission</v>
      </c>
      <c r="B111" s="13" t="s">
        <v>743</v>
      </c>
      <c r="C111" s="14"/>
      <c r="D111" s="14"/>
      <c r="E111" s="14"/>
      <c r="F111" s="14"/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2360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533"/>
    </row>
    <row r="112" spans="1:24" x14ac:dyDescent="0.35">
      <c r="A112" s="37" t="str">
        <f>_xlfn.XLOOKUP(B112,master!B:B,master!A:A)</f>
        <v>Bank Charges &amp; Commission</v>
      </c>
      <c r="B112" s="13" t="s">
        <v>361</v>
      </c>
      <c r="C112" s="14"/>
      <c r="D112" s="14"/>
      <c r="E112" s="14"/>
      <c r="F112" s="14"/>
      <c r="G112" s="14">
        <v>3190.55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17381.66</v>
      </c>
      <c r="N112" s="14">
        <v>0</v>
      </c>
      <c r="O112" s="14">
        <v>0</v>
      </c>
      <c r="P112" s="14">
        <v>149377.68</v>
      </c>
      <c r="Q112" s="14">
        <v>0</v>
      </c>
      <c r="R112" s="14">
        <v>96219</v>
      </c>
      <c r="S112" s="14">
        <v>0</v>
      </c>
      <c r="T112" s="14">
        <v>0</v>
      </c>
      <c r="U112" s="14">
        <v>0</v>
      </c>
      <c r="V112" s="14">
        <v>0</v>
      </c>
      <c r="W112" s="14">
        <v>3734</v>
      </c>
      <c r="X112" s="533"/>
    </row>
    <row r="113" spans="1:24" x14ac:dyDescent="0.35">
      <c r="A113" s="37" t="str">
        <f>_xlfn.XLOOKUP(B113,master!B:B,master!A:A)</f>
        <v>Bank Charges &amp; Commission</v>
      </c>
      <c r="B113" s="13" t="s">
        <v>362</v>
      </c>
      <c r="C113" s="14"/>
      <c r="D113" s="14"/>
      <c r="E113" s="14"/>
      <c r="F113" s="14"/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2920</v>
      </c>
      <c r="N113" s="14">
        <v>0</v>
      </c>
      <c r="O113" s="14">
        <v>0</v>
      </c>
      <c r="P113" s="14">
        <v>0</v>
      </c>
      <c r="Q113" s="14">
        <v>0</v>
      </c>
      <c r="R113" s="14">
        <v>44283.040000000001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533"/>
    </row>
    <row r="114" spans="1:24" x14ac:dyDescent="0.35">
      <c r="A114" s="37" t="str">
        <f>_xlfn.XLOOKUP(B114,master!B:B,master!A:A)</f>
        <v>Bank Charges &amp; Commission</v>
      </c>
      <c r="B114" s="13" t="s">
        <v>363</v>
      </c>
      <c r="C114" s="14"/>
      <c r="D114" s="14"/>
      <c r="E114" s="14"/>
      <c r="F114" s="14"/>
      <c r="G114" s="14">
        <v>2900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5500</v>
      </c>
      <c r="N114" s="14">
        <v>0</v>
      </c>
      <c r="O114" s="14">
        <v>0</v>
      </c>
      <c r="P114" s="14">
        <v>2000</v>
      </c>
      <c r="Q114" s="14">
        <v>0</v>
      </c>
      <c r="R114" s="14">
        <v>6822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533"/>
    </row>
    <row r="115" spans="1:24" x14ac:dyDescent="0.35">
      <c r="A115" s="37" t="str">
        <f>_xlfn.XLOOKUP(B115,master!B:B,master!A:A)</f>
        <v>Bank Charges &amp; Commission</v>
      </c>
      <c r="B115" s="13" t="s">
        <v>569</v>
      </c>
      <c r="C115" s="14"/>
      <c r="D115" s="14"/>
      <c r="E115" s="14"/>
      <c r="F115" s="14"/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2360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-10000</v>
      </c>
      <c r="X115" s="533"/>
    </row>
    <row r="116" spans="1:24" x14ac:dyDescent="0.35">
      <c r="A116" s="37" t="str">
        <f>_xlfn.XLOOKUP(B116,master!B:B,master!A:A)</f>
        <v>Bank Charges &amp; Commission</v>
      </c>
      <c r="B116" s="13" t="s">
        <v>364</v>
      </c>
      <c r="C116" s="14"/>
      <c r="D116" s="14"/>
      <c r="E116" s="14"/>
      <c r="F116" s="14"/>
      <c r="G116" s="14">
        <v>88679.33</v>
      </c>
      <c r="H116" s="14">
        <v>468643.45</v>
      </c>
      <c r="I116" s="14">
        <v>0</v>
      </c>
      <c r="J116" s="14">
        <v>0</v>
      </c>
      <c r="K116" s="14">
        <v>0</v>
      </c>
      <c r="L116" s="14">
        <v>0</v>
      </c>
      <c r="M116" s="14">
        <v>93951.039999999994</v>
      </c>
      <c r="N116" s="14">
        <v>0</v>
      </c>
      <c r="O116" s="14">
        <v>0</v>
      </c>
      <c r="P116" s="14">
        <v>24831.13</v>
      </c>
      <c r="Q116" s="14">
        <v>4650.1000000000004</v>
      </c>
      <c r="R116" s="14">
        <v>133429.28</v>
      </c>
      <c r="S116" s="14">
        <v>42636.959999999999</v>
      </c>
      <c r="T116" s="14">
        <v>0</v>
      </c>
      <c r="U116" s="14">
        <v>11023.59</v>
      </c>
      <c r="V116" s="14">
        <v>804138.88</v>
      </c>
      <c r="W116" s="14">
        <v>2421.59</v>
      </c>
      <c r="X116" s="533"/>
    </row>
    <row r="117" spans="1:24" x14ac:dyDescent="0.35">
      <c r="A117" s="37" t="str">
        <f>_xlfn.XLOOKUP(B117,master!B:B,master!A:A)</f>
        <v>Exchange Rate Difference</v>
      </c>
      <c r="B117" s="13" t="s">
        <v>365</v>
      </c>
      <c r="C117" s="14"/>
      <c r="D117" s="14"/>
      <c r="E117" s="14"/>
      <c r="F117" s="14"/>
      <c r="G117" s="14">
        <v>-165525.12</v>
      </c>
      <c r="H117" s="14">
        <v>-1501065.46</v>
      </c>
      <c r="I117" s="14">
        <v>0</v>
      </c>
      <c r="J117" s="14">
        <v>0</v>
      </c>
      <c r="K117" s="14">
        <v>0</v>
      </c>
      <c r="L117" s="14">
        <v>0</v>
      </c>
      <c r="M117" s="14">
        <v>-3121621.02</v>
      </c>
      <c r="N117" s="14">
        <v>0</v>
      </c>
      <c r="O117" s="14">
        <v>0</v>
      </c>
      <c r="P117" s="14">
        <v>-8652666.3499999996</v>
      </c>
      <c r="Q117" s="14">
        <v>0</v>
      </c>
      <c r="R117" s="14">
        <v>-3785975.88</v>
      </c>
      <c r="S117" s="14">
        <v>-2817210.44</v>
      </c>
      <c r="T117" s="14">
        <v>0</v>
      </c>
      <c r="U117" s="14">
        <v>-215018.42</v>
      </c>
      <c r="V117" s="14">
        <v>0</v>
      </c>
      <c r="W117" s="14">
        <v>0</v>
      </c>
      <c r="X117" s="533"/>
    </row>
    <row r="118" spans="1:24" x14ac:dyDescent="0.35">
      <c r="A118" s="37" t="str">
        <f>_xlfn.XLOOKUP(B118,master!B:B,master!A:A)</f>
        <v>Bank Charges &amp; Commission</v>
      </c>
      <c r="B118" s="13" t="s">
        <v>570</v>
      </c>
      <c r="C118" s="14"/>
      <c r="D118" s="14"/>
      <c r="E118" s="14"/>
      <c r="F118" s="14"/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11.74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533"/>
    </row>
    <row r="119" spans="1:24" x14ac:dyDescent="0.35">
      <c r="A119" s="37" t="str">
        <f>_xlfn.XLOOKUP(B119,master!B:B,master!A:A)</f>
        <v>Interest on Working Capital &amp; Term Loan</v>
      </c>
      <c r="B119" s="13" t="s">
        <v>366</v>
      </c>
      <c r="C119" s="14"/>
      <c r="D119" s="14"/>
      <c r="E119" s="14"/>
      <c r="F119" s="14"/>
      <c r="G119" s="14">
        <v>0</v>
      </c>
      <c r="H119" s="14">
        <v>66254</v>
      </c>
      <c r="I119" s="14">
        <v>0</v>
      </c>
      <c r="J119" s="14">
        <v>0</v>
      </c>
      <c r="K119" s="14">
        <v>0</v>
      </c>
      <c r="L119" s="14">
        <v>0</v>
      </c>
      <c r="M119" s="14">
        <v>1258341</v>
      </c>
      <c r="N119" s="14">
        <v>0</v>
      </c>
      <c r="O119" s="14">
        <v>0</v>
      </c>
      <c r="P119" s="14">
        <v>0</v>
      </c>
      <c r="Q119" s="14">
        <v>0</v>
      </c>
      <c r="R119" s="14">
        <v>2677417</v>
      </c>
      <c r="S119" s="14">
        <v>0</v>
      </c>
      <c r="T119" s="14">
        <v>0</v>
      </c>
      <c r="U119" s="14">
        <v>0</v>
      </c>
      <c r="V119" s="14">
        <v>0</v>
      </c>
      <c r="W119" s="14">
        <v>102848</v>
      </c>
      <c r="X119" s="533"/>
    </row>
    <row r="120" spans="1:24" x14ac:dyDescent="0.35">
      <c r="A120" s="37" t="str">
        <f>_xlfn.XLOOKUP(B120,master!B:B,master!A:A)</f>
        <v>Interest on Working Capital &amp; Term Loan</v>
      </c>
      <c r="B120" s="13" t="s">
        <v>367</v>
      </c>
      <c r="C120" s="14"/>
      <c r="D120" s="14"/>
      <c r="E120" s="14"/>
      <c r="F120" s="14"/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9911</v>
      </c>
      <c r="Q120" s="14">
        <v>0</v>
      </c>
      <c r="R120" s="14">
        <v>19543.48</v>
      </c>
      <c r="S120" s="14">
        <v>28687.15</v>
      </c>
      <c r="T120" s="14">
        <v>0</v>
      </c>
      <c r="U120" s="14">
        <v>0</v>
      </c>
      <c r="V120" s="14">
        <v>0</v>
      </c>
      <c r="W120" s="14">
        <v>13688.31</v>
      </c>
      <c r="X120" s="533"/>
    </row>
    <row r="121" spans="1:24" x14ac:dyDescent="0.35">
      <c r="A121" s="37" t="str">
        <f>_xlfn.XLOOKUP(B121,master!B:B,master!A:A)</f>
        <v>Bank Charges &amp; Commission</v>
      </c>
      <c r="B121" s="13" t="s">
        <v>368</v>
      </c>
      <c r="C121" s="14"/>
      <c r="D121" s="14"/>
      <c r="E121" s="14"/>
      <c r="F121" s="14"/>
      <c r="G121" s="14">
        <v>0</v>
      </c>
      <c r="H121" s="14">
        <v>145445.15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277475.33</v>
      </c>
      <c r="Q121" s="14">
        <v>0</v>
      </c>
      <c r="R121" s="14">
        <v>406908.72</v>
      </c>
      <c r="S121" s="14">
        <v>453763.51</v>
      </c>
      <c r="T121" s="14">
        <v>0</v>
      </c>
      <c r="U121" s="14">
        <v>47061.279999999999</v>
      </c>
      <c r="V121" s="14">
        <v>0</v>
      </c>
      <c r="W121" s="14">
        <v>0</v>
      </c>
      <c r="X121" s="533"/>
    </row>
    <row r="122" spans="1:24" x14ac:dyDescent="0.35">
      <c r="A122" s="37" t="str">
        <f>_xlfn.XLOOKUP(B122,master!B:B,master!A:A)</f>
        <v>Interest on Working Capital &amp; Term Loan</v>
      </c>
      <c r="B122" s="13" t="s">
        <v>370</v>
      </c>
      <c r="C122" s="14"/>
      <c r="D122" s="14"/>
      <c r="E122" s="14"/>
      <c r="F122" s="14"/>
      <c r="G122" s="14">
        <v>0</v>
      </c>
      <c r="H122" s="14">
        <v>1250779</v>
      </c>
      <c r="I122" s="14">
        <v>0</v>
      </c>
      <c r="J122" s="14">
        <v>0</v>
      </c>
      <c r="K122" s="14">
        <v>0</v>
      </c>
      <c r="L122" s="14">
        <v>0</v>
      </c>
      <c r="M122" s="14">
        <v>2275132.23</v>
      </c>
      <c r="N122" s="14">
        <v>0</v>
      </c>
      <c r="O122" s="14">
        <v>0</v>
      </c>
      <c r="P122" s="14">
        <v>0</v>
      </c>
      <c r="Q122" s="14">
        <v>0</v>
      </c>
      <c r="R122" s="14">
        <v>1094705.94</v>
      </c>
      <c r="S122" s="14">
        <v>0</v>
      </c>
      <c r="T122" s="14">
        <v>0</v>
      </c>
      <c r="U122" s="14">
        <v>0</v>
      </c>
      <c r="V122" s="14">
        <v>0</v>
      </c>
      <c r="W122" s="14">
        <v>1623415</v>
      </c>
      <c r="X122" s="533"/>
    </row>
    <row r="123" spans="1:24" x14ac:dyDescent="0.35">
      <c r="A123" s="37" t="str">
        <f>_xlfn.XLOOKUP(B123,master!B:B,master!A:A)</f>
        <v>Interest on Working Capital &amp; Term Loan</v>
      </c>
      <c r="B123" s="13" t="s">
        <v>371</v>
      </c>
      <c r="C123" s="14"/>
      <c r="D123" s="14"/>
      <c r="E123" s="14"/>
      <c r="F123" s="14"/>
      <c r="G123" s="14">
        <v>0</v>
      </c>
      <c r="H123" s="14">
        <v>168115.59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127230.05</v>
      </c>
      <c r="Q123" s="14">
        <v>0</v>
      </c>
      <c r="R123" s="14">
        <v>256511</v>
      </c>
      <c r="S123" s="14">
        <v>69458.58</v>
      </c>
      <c r="T123" s="14">
        <v>0</v>
      </c>
      <c r="U123" s="14">
        <v>43331.48</v>
      </c>
      <c r="V123" s="14">
        <v>0</v>
      </c>
      <c r="W123" s="14">
        <v>0</v>
      </c>
      <c r="X123" s="533"/>
    </row>
    <row r="124" spans="1:24" x14ac:dyDescent="0.35">
      <c r="A124" s="37" t="str">
        <f>_xlfn.XLOOKUP(B124,master!B:B,master!A:A)</f>
        <v>Interest Expense - Other</v>
      </c>
      <c r="B124" s="13" t="s">
        <v>714</v>
      </c>
      <c r="C124" s="14"/>
      <c r="D124" s="14"/>
      <c r="E124" s="14"/>
      <c r="F124" s="14"/>
      <c r="G124" s="14">
        <v>0</v>
      </c>
      <c r="H124" s="14">
        <v>103.16</v>
      </c>
      <c r="I124" s="14">
        <v>0</v>
      </c>
      <c r="J124" s="14">
        <v>0</v>
      </c>
      <c r="K124" s="14">
        <v>0</v>
      </c>
      <c r="L124" s="14">
        <v>0</v>
      </c>
      <c r="M124" s="14">
        <v>1081387.5900000001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533"/>
    </row>
    <row r="125" spans="1:24" x14ac:dyDescent="0.35">
      <c r="A125" s="37" t="str">
        <f>_xlfn.XLOOKUP(B125,master!B:B,master!A:A)</f>
        <v>Interest on Working Capital &amp; Term Loan</v>
      </c>
      <c r="B125" s="13" t="s">
        <v>372</v>
      </c>
      <c r="C125" s="14"/>
      <c r="D125" s="14"/>
      <c r="E125" s="14"/>
      <c r="F125" s="14"/>
      <c r="G125" s="14">
        <v>0</v>
      </c>
      <c r="H125" s="14">
        <v>2607398</v>
      </c>
      <c r="I125" s="14">
        <v>0</v>
      </c>
      <c r="J125" s="14">
        <v>0</v>
      </c>
      <c r="K125" s="14">
        <v>0</v>
      </c>
      <c r="L125" s="14">
        <v>0</v>
      </c>
      <c r="M125" s="14">
        <v>1096147</v>
      </c>
      <c r="N125" s="14">
        <v>0</v>
      </c>
      <c r="O125" s="14">
        <v>0</v>
      </c>
      <c r="P125" s="14">
        <v>0</v>
      </c>
      <c r="Q125" s="14">
        <v>2039694</v>
      </c>
      <c r="R125" s="14">
        <v>5870147</v>
      </c>
      <c r="S125" s="14">
        <v>0</v>
      </c>
      <c r="T125" s="14">
        <v>2114474.5099999998</v>
      </c>
      <c r="U125" s="14">
        <v>0</v>
      </c>
      <c r="V125" s="14">
        <v>0</v>
      </c>
      <c r="W125" s="14">
        <v>269378.31</v>
      </c>
      <c r="X125" s="533"/>
    </row>
    <row r="126" spans="1:24" x14ac:dyDescent="0.35">
      <c r="A126" s="37" t="str">
        <f>_xlfn.XLOOKUP(B126,master!B:B,master!A:A)</f>
        <v>Interest Expense - Other</v>
      </c>
      <c r="B126" s="13" t="s">
        <v>373</v>
      </c>
      <c r="C126" s="14"/>
      <c r="D126" s="14"/>
      <c r="E126" s="14"/>
      <c r="F126" s="14"/>
      <c r="G126" s="14">
        <v>10500</v>
      </c>
      <c r="H126" s="14">
        <v>103258.99</v>
      </c>
      <c r="I126" s="14">
        <v>0</v>
      </c>
      <c r="J126" s="14">
        <v>0</v>
      </c>
      <c r="K126" s="14">
        <v>0</v>
      </c>
      <c r="L126" s="14">
        <v>0</v>
      </c>
      <c r="M126" s="14">
        <v>137378.57</v>
      </c>
      <c r="N126" s="14">
        <v>0</v>
      </c>
      <c r="O126" s="14">
        <v>0</v>
      </c>
      <c r="P126" s="14">
        <v>0</v>
      </c>
      <c r="Q126" s="14">
        <v>5276</v>
      </c>
      <c r="R126" s="14">
        <v>1106858.3799999999</v>
      </c>
      <c r="S126" s="14">
        <v>11341.85</v>
      </c>
      <c r="T126" s="14">
        <v>12938.92</v>
      </c>
      <c r="U126" s="14">
        <v>0</v>
      </c>
      <c r="V126" s="14">
        <v>0</v>
      </c>
      <c r="W126" s="14">
        <v>330225.64</v>
      </c>
      <c r="X126" s="533"/>
    </row>
    <row r="127" spans="1:24" x14ac:dyDescent="0.35">
      <c r="A127" s="37" t="str">
        <f>_xlfn.XLOOKUP(B127,master!B:B,master!A:A)</f>
        <v>Other Administrative Expenses</v>
      </c>
      <c r="B127" s="13" t="s">
        <v>375</v>
      </c>
      <c r="C127" s="14"/>
      <c r="D127" s="14"/>
      <c r="E127" s="14"/>
      <c r="F127" s="14"/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7500</v>
      </c>
      <c r="Q127" s="14">
        <v>0</v>
      </c>
      <c r="R127" s="14">
        <v>8520.65</v>
      </c>
      <c r="S127" s="14">
        <v>0</v>
      </c>
      <c r="T127" s="14">
        <v>0</v>
      </c>
      <c r="U127" s="14">
        <v>913</v>
      </c>
      <c r="V127" s="14">
        <v>14800</v>
      </c>
      <c r="W127" s="14">
        <v>0</v>
      </c>
      <c r="X127" s="533"/>
    </row>
    <row r="128" spans="1:24" x14ac:dyDescent="0.35">
      <c r="A128" s="37" t="str">
        <f>_xlfn.XLOOKUP(B128,master!B:B,master!A:A)</f>
        <v>Other Administrative Expenses</v>
      </c>
      <c r="B128" s="13" t="s">
        <v>574</v>
      </c>
      <c r="C128" s="14"/>
      <c r="D128" s="14"/>
      <c r="E128" s="14"/>
      <c r="F128" s="14"/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2144300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533"/>
    </row>
    <row r="129" spans="1:24" x14ac:dyDescent="0.35">
      <c r="A129" s="37" t="str">
        <f>_xlfn.XLOOKUP(B129,master!B:B,master!A:A)</f>
        <v>Insurance</v>
      </c>
      <c r="B129" s="13" t="s">
        <v>378</v>
      </c>
      <c r="C129" s="14"/>
      <c r="D129" s="14"/>
      <c r="E129" s="14"/>
      <c r="F129" s="14"/>
      <c r="G129" s="14">
        <v>0</v>
      </c>
      <c r="H129" s="14">
        <v>0</v>
      </c>
      <c r="I129" s="14">
        <v>0</v>
      </c>
      <c r="J129" s="14">
        <v>0</v>
      </c>
      <c r="K129" s="14">
        <v>19645</v>
      </c>
      <c r="L129" s="14">
        <v>0</v>
      </c>
      <c r="M129" s="14">
        <v>0</v>
      </c>
      <c r="N129" s="14">
        <v>0</v>
      </c>
      <c r="O129" s="14">
        <v>0</v>
      </c>
      <c r="P129" s="14">
        <v>142664</v>
      </c>
      <c r="Q129" s="14">
        <v>4690</v>
      </c>
      <c r="R129" s="14">
        <v>0</v>
      </c>
      <c r="S129" s="14">
        <v>0</v>
      </c>
      <c r="T129" s="14">
        <v>0</v>
      </c>
      <c r="U129" s="14">
        <v>0</v>
      </c>
      <c r="V129" s="14">
        <v>590</v>
      </c>
      <c r="W129" s="14">
        <v>0</v>
      </c>
      <c r="X129" s="533"/>
    </row>
    <row r="130" spans="1:24" x14ac:dyDescent="0.35">
      <c r="A130" s="37" t="str">
        <f>_xlfn.XLOOKUP(B130,master!B:B,master!A:A)</f>
        <v>Other Administrative Expenses</v>
      </c>
      <c r="B130" s="13" t="s">
        <v>379</v>
      </c>
      <c r="C130" s="14"/>
      <c r="D130" s="14"/>
      <c r="E130" s="14"/>
      <c r="F130" s="14"/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28600</v>
      </c>
      <c r="W130" s="14">
        <v>0</v>
      </c>
      <c r="X130" s="533"/>
    </row>
    <row r="131" spans="1:24" x14ac:dyDescent="0.35">
      <c r="A131" s="37" t="str">
        <f>_xlfn.XLOOKUP(B131,master!B:B,master!A:A)</f>
        <v>Other Administrative Expenses</v>
      </c>
      <c r="B131" s="13" t="s">
        <v>661</v>
      </c>
      <c r="C131" s="14"/>
      <c r="D131" s="14"/>
      <c r="E131" s="14"/>
      <c r="F131" s="14"/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30000</v>
      </c>
      <c r="W131" s="14">
        <v>0</v>
      </c>
      <c r="X131" s="533"/>
    </row>
    <row r="132" spans="1:24" x14ac:dyDescent="0.35">
      <c r="A132" s="37" t="str">
        <f>_xlfn.XLOOKUP(B132,master!B:B,master!A:A)</f>
        <v>Other Administrative Expenses</v>
      </c>
      <c r="B132" s="13" t="s">
        <v>744</v>
      </c>
      <c r="C132" s="14"/>
      <c r="D132" s="14"/>
      <c r="E132" s="14"/>
      <c r="F132" s="14"/>
      <c r="G132" s="14">
        <v>0</v>
      </c>
      <c r="H132" s="14">
        <v>500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533"/>
    </row>
    <row r="133" spans="1:24" x14ac:dyDescent="0.35">
      <c r="A133" s="37" t="str">
        <f>_xlfn.XLOOKUP(B133,master!B:B,master!A:A)</f>
        <v>Other Administrative Expenses</v>
      </c>
      <c r="B133" s="13" t="s">
        <v>380</v>
      </c>
      <c r="C133" s="14"/>
      <c r="D133" s="14"/>
      <c r="E133" s="14"/>
      <c r="F133" s="14"/>
      <c r="G133" s="14">
        <v>15640</v>
      </c>
      <c r="H133" s="14">
        <v>18140</v>
      </c>
      <c r="I133" s="14">
        <v>0</v>
      </c>
      <c r="J133" s="14">
        <v>0</v>
      </c>
      <c r="K133" s="14">
        <v>0</v>
      </c>
      <c r="L133" s="14">
        <v>0</v>
      </c>
      <c r="M133" s="14">
        <v>2320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2200</v>
      </c>
      <c r="T133" s="14">
        <v>0</v>
      </c>
      <c r="U133" s="14">
        <v>1536</v>
      </c>
      <c r="V133" s="14">
        <v>1800</v>
      </c>
      <c r="W133" s="14">
        <v>400</v>
      </c>
      <c r="X133" s="533"/>
    </row>
    <row r="134" spans="1:24" x14ac:dyDescent="0.35">
      <c r="A134" s="37" t="str">
        <f>_xlfn.XLOOKUP(B134,master!B:B,master!A:A)</f>
        <v>Other Administrative Expenses</v>
      </c>
      <c r="B134" s="13" t="s">
        <v>381</v>
      </c>
      <c r="C134" s="14"/>
      <c r="D134" s="14"/>
      <c r="E134" s="14"/>
      <c r="F134" s="14"/>
      <c r="G134" s="14">
        <v>2100</v>
      </c>
      <c r="H134" s="14">
        <v>555011.6</v>
      </c>
      <c r="I134" s="14">
        <v>50000</v>
      </c>
      <c r="J134" s="14">
        <v>0</v>
      </c>
      <c r="K134" s="14">
        <v>0</v>
      </c>
      <c r="L134" s="14">
        <v>0</v>
      </c>
      <c r="M134" s="14">
        <v>60000</v>
      </c>
      <c r="N134" s="14">
        <v>0</v>
      </c>
      <c r="O134" s="14">
        <v>0</v>
      </c>
      <c r="P134" s="14">
        <v>0</v>
      </c>
      <c r="Q134" s="14">
        <v>46000</v>
      </c>
      <c r="R134" s="14">
        <v>16000</v>
      </c>
      <c r="S134" s="14">
        <v>125996.68</v>
      </c>
      <c r="T134" s="14">
        <v>0</v>
      </c>
      <c r="U134" s="14">
        <v>0</v>
      </c>
      <c r="V134" s="14">
        <v>242875</v>
      </c>
      <c r="W134" s="14">
        <v>29200</v>
      </c>
      <c r="X134" s="533"/>
    </row>
    <row r="135" spans="1:24" x14ac:dyDescent="0.35">
      <c r="A135" s="37" t="str">
        <f>_xlfn.XLOOKUP(B135,master!B:B,master!A:A)</f>
        <v>Sundry balance written off</v>
      </c>
      <c r="B135" s="13" t="s">
        <v>382</v>
      </c>
      <c r="C135" s="14"/>
      <c r="D135" s="14"/>
      <c r="E135" s="14"/>
      <c r="F135" s="14"/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541.79999999999995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533"/>
    </row>
    <row r="136" spans="1:24" x14ac:dyDescent="0.35">
      <c r="A136" s="37" t="str">
        <f>_xlfn.XLOOKUP(B136,master!B:B,master!A:A)</f>
        <v>Other Administrative Expenses</v>
      </c>
      <c r="B136" s="13" t="s">
        <v>619</v>
      </c>
      <c r="C136" s="14"/>
      <c r="D136" s="14"/>
      <c r="E136" s="14"/>
      <c r="F136" s="14"/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40000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533"/>
    </row>
    <row r="137" spans="1:24" x14ac:dyDescent="0.35">
      <c r="A137" s="37" t="str">
        <f>_xlfn.XLOOKUP(B137,master!B:B,master!A:A)</f>
        <v>Freight Outward and C &amp; F Charges</v>
      </c>
      <c r="B137" s="13" t="s">
        <v>745</v>
      </c>
      <c r="C137" s="14"/>
      <c r="D137" s="14"/>
      <c r="E137" s="14"/>
      <c r="F137" s="14"/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4200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533"/>
    </row>
    <row r="138" spans="1:24" x14ac:dyDescent="0.35">
      <c r="A138" s="37" t="str">
        <f>_xlfn.XLOOKUP(B138,master!B:B,master!A:A)</f>
        <v>Freight Outward and C &amp; F Charges</v>
      </c>
      <c r="B138" s="13" t="s">
        <v>384</v>
      </c>
      <c r="C138" s="14"/>
      <c r="D138" s="14"/>
      <c r="E138" s="14"/>
      <c r="F138" s="14"/>
      <c r="G138" s="14">
        <v>0</v>
      </c>
      <c r="H138" s="14">
        <v>671149.74</v>
      </c>
      <c r="I138" s="14">
        <v>9546.56</v>
      </c>
      <c r="J138" s="14">
        <v>0</v>
      </c>
      <c r="K138" s="14">
        <v>0</v>
      </c>
      <c r="L138" s="14">
        <v>0</v>
      </c>
      <c r="M138" s="14">
        <v>972314.89</v>
      </c>
      <c r="N138" s="14">
        <v>0</v>
      </c>
      <c r="O138" s="14">
        <v>0</v>
      </c>
      <c r="P138" s="14">
        <v>24784.49</v>
      </c>
      <c r="Q138" s="14">
        <v>0</v>
      </c>
      <c r="R138" s="14">
        <v>-1219002.27</v>
      </c>
      <c r="S138" s="14">
        <v>410304.6</v>
      </c>
      <c r="T138" s="14">
        <v>0</v>
      </c>
      <c r="U138" s="14">
        <v>-123570.02</v>
      </c>
      <c r="V138" s="14">
        <v>4669.5</v>
      </c>
      <c r="W138" s="14">
        <v>-1087664.51</v>
      </c>
      <c r="X138" s="533"/>
    </row>
    <row r="139" spans="1:24" x14ac:dyDescent="0.35">
      <c r="A139" s="37" t="str">
        <f>_xlfn.XLOOKUP(B139,master!B:B,master!A:A)</f>
        <v>Freight Outward and C &amp; F Charges</v>
      </c>
      <c r="B139" s="13" t="s">
        <v>577</v>
      </c>
      <c r="C139" s="14"/>
      <c r="D139" s="14"/>
      <c r="E139" s="14"/>
      <c r="F139" s="14"/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15000</v>
      </c>
      <c r="S139" s="14">
        <v>4999.8599999999997</v>
      </c>
      <c r="T139" s="14">
        <v>0</v>
      </c>
      <c r="U139" s="14">
        <v>0</v>
      </c>
      <c r="V139" s="14">
        <v>0</v>
      </c>
      <c r="W139" s="14">
        <v>0</v>
      </c>
      <c r="X139" s="533"/>
    </row>
    <row r="140" spans="1:24" x14ac:dyDescent="0.35">
      <c r="A140" s="37" t="str">
        <f>_xlfn.XLOOKUP(B140,master!B:B,master!A:A)</f>
        <v>Sale of Finished Goods</v>
      </c>
      <c r="B140" s="13" t="s">
        <v>385</v>
      </c>
      <c r="C140" s="14"/>
      <c r="D140" s="14"/>
      <c r="E140" s="14"/>
      <c r="F140" s="14"/>
      <c r="G140" s="14">
        <v>0</v>
      </c>
      <c r="H140" s="14">
        <v>22200</v>
      </c>
      <c r="I140" s="14">
        <v>0</v>
      </c>
      <c r="J140" s="14">
        <v>0</v>
      </c>
      <c r="K140" s="14">
        <v>0</v>
      </c>
      <c r="L140" s="14">
        <v>443480</v>
      </c>
      <c r="M140" s="14">
        <v>0</v>
      </c>
      <c r="N140" s="14">
        <v>0</v>
      </c>
      <c r="O140" s="14">
        <v>0</v>
      </c>
      <c r="P140" s="14">
        <v>358523.64</v>
      </c>
      <c r="Q140" s="14">
        <v>16875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533"/>
    </row>
    <row r="141" spans="1:24" x14ac:dyDescent="0.35">
      <c r="A141" s="37" t="str">
        <f>_xlfn.XLOOKUP(B141,master!B:B,master!A:A)</f>
        <v>Advertising and sales promotion expense</v>
      </c>
      <c r="B141" s="13" t="s">
        <v>578</v>
      </c>
      <c r="C141" s="14"/>
      <c r="D141" s="14"/>
      <c r="E141" s="14"/>
      <c r="F141" s="14"/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16073.88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533"/>
    </row>
    <row r="142" spans="1:24" x14ac:dyDescent="0.35">
      <c r="A142" s="37" t="str">
        <f>_xlfn.XLOOKUP(B142,master!B:B,master!A:A)</f>
        <v>Other Administrative Expenses</v>
      </c>
      <c r="B142" s="13" t="s">
        <v>711</v>
      </c>
      <c r="C142" s="14"/>
      <c r="D142" s="14"/>
      <c r="E142" s="14"/>
      <c r="F142" s="14"/>
      <c r="G142" s="14">
        <v>0</v>
      </c>
      <c r="H142" s="14">
        <v>4531.01</v>
      </c>
      <c r="I142" s="14">
        <v>0</v>
      </c>
      <c r="J142" s="14">
        <v>0</v>
      </c>
      <c r="K142" s="14">
        <v>0</v>
      </c>
      <c r="L142" s="14">
        <v>0</v>
      </c>
      <c r="M142" s="14">
        <v>1436.06</v>
      </c>
      <c r="N142" s="14">
        <v>0</v>
      </c>
      <c r="O142" s="14">
        <v>0</v>
      </c>
      <c r="P142" s="14">
        <v>0</v>
      </c>
      <c r="Q142" s="14">
        <v>0</v>
      </c>
      <c r="R142" s="14">
        <v>5724.18</v>
      </c>
      <c r="S142" s="14">
        <v>2624.32</v>
      </c>
      <c r="T142" s="14">
        <v>0</v>
      </c>
      <c r="U142" s="14">
        <v>238.55</v>
      </c>
      <c r="V142" s="14">
        <v>0</v>
      </c>
      <c r="W142" s="14">
        <v>1673.24</v>
      </c>
      <c r="X142" s="533"/>
    </row>
    <row r="143" spans="1:24" x14ac:dyDescent="0.35">
      <c r="A143" s="37" t="str">
        <f>_xlfn.XLOOKUP(B143,master!B:B,master!A:A)</f>
        <v>Freight Outward and C &amp; F Charges</v>
      </c>
      <c r="B143" s="13" t="s">
        <v>386</v>
      </c>
      <c r="C143" s="14"/>
      <c r="D143" s="14"/>
      <c r="E143" s="14"/>
      <c r="F143" s="14"/>
      <c r="G143" s="14">
        <v>0</v>
      </c>
      <c r="H143" s="14">
        <v>-1952521.22</v>
      </c>
      <c r="I143" s="14">
        <v>0</v>
      </c>
      <c r="J143" s="14">
        <v>0</v>
      </c>
      <c r="K143" s="14">
        <v>0</v>
      </c>
      <c r="L143" s="14">
        <v>0</v>
      </c>
      <c r="M143" s="14">
        <v>-1523271.47</v>
      </c>
      <c r="N143" s="14">
        <v>0</v>
      </c>
      <c r="O143" s="14">
        <v>0</v>
      </c>
      <c r="P143" s="14">
        <v>-204000</v>
      </c>
      <c r="Q143" s="14">
        <v>0</v>
      </c>
      <c r="R143" s="14">
        <v>-154937.5</v>
      </c>
      <c r="S143" s="14">
        <v>-1550743.28</v>
      </c>
      <c r="T143" s="14">
        <v>0</v>
      </c>
      <c r="U143" s="14">
        <v>0</v>
      </c>
      <c r="V143" s="14">
        <v>0</v>
      </c>
      <c r="W143" s="14">
        <v>0</v>
      </c>
      <c r="X143" s="533"/>
    </row>
    <row r="144" spans="1:24" x14ac:dyDescent="0.35">
      <c r="A144" s="37" t="str">
        <f>_xlfn.XLOOKUP(B144,master!B:B,master!A:A)</f>
        <v>Freight Outward and C &amp; F Charges</v>
      </c>
      <c r="B144" s="13" t="s">
        <v>387</v>
      </c>
      <c r="C144" s="14"/>
      <c r="D144" s="14"/>
      <c r="E144" s="14"/>
      <c r="F144" s="14"/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174600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533"/>
    </row>
    <row r="145" spans="1:24" x14ac:dyDescent="0.35">
      <c r="A145" s="37" t="str">
        <f>_xlfn.XLOOKUP(B145,master!B:B,master!A:A)</f>
        <v>Freight Outward and C &amp; F Charges</v>
      </c>
      <c r="B145" s="13" t="s">
        <v>388</v>
      </c>
      <c r="C145" s="14"/>
      <c r="D145" s="14"/>
      <c r="E145" s="14"/>
      <c r="F145" s="14"/>
      <c r="G145" s="14">
        <v>0</v>
      </c>
      <c r="H145" s="14">
        <v>569900</v>
      </c>
      <c r="I145" s="14">
        <v>0</v>
      </c>
      <c r="J145" s="14">
        <v>0</v>
      </c>
      <c r="K145" s="14">
        <v>0</v>
      </c>
      <c r="L145" s="14">
        <v>78370</v>
      </c>
      <c r="M145" s="14">
        <v>529500</v>
      </c>
      <c r="N145" s="14">
        <v>0</v>
      </c>
      <c r="O145" s="14">
        <v>0</v>
      </c>
      <c r="P145" s="14">
        <v>0</v>
      </c>
      <c r="Q145" s="14">
        <v>11000</v>
      </c>
      <c r="R145" s="14">
        <v>0</v>
      </c>
      <c r="S145" s="14">
        <v>800</v>
      </c>
      <c r="T145" s="14">
        <v>0</v>
      </c>
      <c r="U145" s="14">
        <v>0</v>
      </c>
      <c r="V145" s="14">
        <v>0</v>
      </c>
      <c r="W145" s="14">
        <v>0</v>
      </c>
      <c r="X145" s="533"/>
    </row>
    <row r="146" spans="1:24" x14ac:dyDescent="0.35">
      <c r="A146" s="37" t="str">
        <f>_xlfn.XLOOKUP(B146,master!B:B,master!A:A)</f>
        <v>Freight Outward and C &amp; F Charges</v>
      </c>
      <c r="B146" s="13" t="s">
        <v>389</v>
      </c>
      <c r="C146" s="14"/>
      <c r="D146" s="14"/>
      <c r="E146" s="14"/>
      <c r="F146" s="14"/>
      <c r="G146" s="14">
        <v>0</v>
      </c>
      <c r="H146" s="14">
        <v>78380</v>
      </c>
      <c r="I146" s="14">
        <v>0</v>
      </c>
      <c r="J146" s="14">
        <v>0</v>
      </c>
      <c r="K146" s="14">
        <v>0</v>
      </c>
      <c r="L146" s="14">
        <v>0</v>
      </c>
      <c r="M146" s="14">
        <v>2100933.6</v>
      </c>
      <c r="N146" s="14">
        <v>0</v>
      </c>
      <c r="O146" s="14">
        <v>0</v>
      </c>
      <c r="P146" s="14">
        <v>0</v>
      </c>
      <c r="Q146" s="14">
        <v>0</v>
      </c>
      <c r="R146" s="14">
        <v>1216831.44</v>
      </c>
      <c r="S146" s="14">
        <v>1403845.2</v>
      </c>
      <c r="T146" s="14">
        <v>0</v>
      </c>
      <c r="U146" s="14">
        <v>249072.3</v>
      </c>
      <c r="V146" s="14">
        <v>0</v>
      </c>
      <c r="W146" s="14">
        <v>1334394.75</v>
      </c>
      <c r="X146" s="533"/>
    </row>
    <row r="147" spans="1:24" x14ac:dyDescent="0.35">
      <c r="A147" s="37" t="str">
        <f>_xlfn.XLOOKUP(B147,master!B:B,master!A:A)</f>
        <v>Freight Outward and C &amp; F Charges</v>
      </c>
      <c r="B147" s="13" t="s">
        <v>390</v>
      </c>
      <c r="C147" s="14"/>
      <c r="D147" s="14"/>
      <c r="E147" s="14"/>
      <c r="F147" s="14"/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18000</v>
      </c>
      <c r="S147" s="14">
        <v>360950</v>
      </c>
      <c r="T147" s="14">
        <v>0</v>
      </c>
      <c r="U147" s="14">
        <v>0</v>
      </c>
      <c r="V147" s="14">
        <v>0</v>
      </c>
      <c r="W147" s="14">
        <v>0</v>
      </c>
      <c r="X147" s="533"/>
    </row>
    <row r="148" spans="1:24" x14ac:dyDescent="0.35">
      <c r="A148" s="37" t="str">
        <f>_xlfn.XLOOKUP(B148,master!B:B,master!A:A)</f>
        <v>Other Administrative Expenses</v>
      </c>
      <c r="B148" s="13" t="s">
        <v>391</v>
      </c>
      <c r="C148" s="14"/>
      <c r="D148" s="14"/>
      <c r="E148" s="14"/>
      <c r="F148" s="14"/>
      <c r="G148" s="14">
        <v>0</v>
      </c>
      <c r="H148" s="14">
        <v>36750</v>
      </c>
      <c r="I148" s="14">
        <v>4500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4750</v>
      </c>
      <c r="S148" s="14">
        <v>0</v>
      </c>
      <c r="T148" s="14">
        <v>0</v>
      </c>
      <c r="U148" s="14">
        <v>21220</v>
      </c>
      <c r="V148" s="14">
        <v>2000</v>
      </c>
      <c r="W148" s="14">
        <v>0</v>
      </c>
      <c r="X148" s="533"/>
    </row>
    <row r="149" spans="1:24" x14ac:dyDescent="0.35">
      <c r="A149" s="37" t="str">
        <f>_xlfn.XLOOKUP(B149,master!B:B,master!A:A)</f>
        <v>Freight Outward and C &amp; F Charges</v>
      </c>
      <c r="B149" s="13" t="s">
        <v>687</v>
      </c>
      <c r="C149" s="14"/>
      <c r="D149" s="14"/>
      <c r="E149" s="14"/>
      <c r="F149" s="14"/>
      <c r="G149" s="14">
        <v>0</v>
      </c>
      <c r="H149" s="14">
        <v>5700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10706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533"/>
    </row>
    <row r="150" spans="1:24" x14ac:dyDescent="0.35">
      <c r="A150" s="37" t="str">
        <f>_xlfn.XLOOKUP(B150,master!B:B,master!A:A)</f>
        <v>Insurance</v>
      </c>
      <c r="B150" s="13" t="s">
        <v>392</v>
      </c>
      <c r="C150" s="14"/>
      <c r="D150" s="14"/>
      <c r="E150" s="14"/>
      <c r="F150" s="14"/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379906.61</v>
      </c>
      <c r="N150" s="14">
        <v>0</v>
      </c>
      <c r="O150" s="14">
        <v>0</v>
      </c>
      <c r="P150" s="14">
        <v>0</v>
      </c>
      <c r="Q150" s="14">
        <v>0</v>
      </c>
      <c r="R150" s="14">
        <v>187341.06</v>
      </c>
      <c r="S150" s="14">
        <v>0</v>
      </c>
      <c r="T150" s="14">
        <v>0</v>
      </c>
      <c r="U150" s="14">
        <v>0</v>
      </c>
      <c r="V150" s="14">
        <v>0</v>
      </c>
      <c r="W150" s="14">
        <v>142167</v>
      </c>
      <c r="X150" s="533"/>
    </row>
    <row r="151" spans="1:24" x14ac:dyDescent="0.35">
      <c r="A151" s="37" t="str">
        <f>_xlfn.XLOOKUP(B151,master!B:B,master!A:A)</f>
        <v>Insurance</v>
      </c>
      <c r="B151" s="13" t="s">
        <v>393</v>
      </c>
      <c r="C151" s="14"/>
      <c r="D151" s="14"/>
      <c r="E151" s="14"/>
      <c r="F151" s="14"/>
      <c r="G151" s="14">
        <v>0</v>
      </c>
      <c r="H151" s="14">
        <v>-8929.23</v>
      </c>
      <c r="I151" s="14">
        <v>0</v>
      </c>
      <c r="J151" s="14">
        <v>0</v>
      </c>
      <c r="K151" s="14">
        <v>0</v>
      </c>
      <c r="L151" s="14">
        <v>0</v>
      </c>
      <c r="M151" s="14">
        <v>-14872.89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-7749.19</v>
      </c>
      <c r="T151" s="14">
        <v>0</v>
      </c>
      <c r="U151" s="14">
        <v>0</v>
      </c>
      <c r="V151" s="14">
        <v>0</v>
      </c>
      <c r="W151" s="14">
        <v>0</v>
      </c>
      <c r="X151" s="533"/>
    </row>
    <row r="152" spans="1:24" x14ac:dyDescent="0.35">
      <c r="A152" s="37" t="str">
        <f>_xlfn.XLOOKUP(B152,master!B:B,master!A:A)</f>
        <v>Sale of Finished Goods</v>
      </c>
      <c r="B152" s="13" t="s">
        <v>394</v>
      </c>
      <c r="C152" s="14"/>
      <c r="D152" s="14"/>
      <c r="E152" s="14"/>
      <c r="F152" s="14"/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1.46</v>
      </c>
      <c r="R152" s="14">
        <v>-0.85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533"/>
    </row>
    <row r="153" spans="1:24" x14ac:dyDescent="0.35">
      <c r="A153" s="37" t="str">
        <f>_xlfn.XLOOKUP(B153,master!B:B,master!A:A)</f>
        <v>Advertising and sales promotion expense</v>
      </c>
      <c r="B153" s="13" t="s">
        <v>579</v>
      </c>
      <c r="C153" s="14"/>
      <c r="D153" s="14"/>
      <c r="E153" s="14"/>
      <c r="F153" s="14"/>
      <c r="G153" s="14">
        <v>0</v>
      </c>
      <c r="H153" s="14">
        <v>147815.5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533"/>
    </row>
    <row r="154" spans="1:24" x14ac:dyDescent="0.35">
      <c r="A154" s="37" t="str">
        <f>_xlfn.XLOOKUP(B154,master!B:B,master!A:A)</f>
        <v>Advertising and sales promotion expense</v>
      </c>
      <c r="B154" s="13" t="s">
        <v>580</v>
      </c>
      <c r="C154" s="14"/>
      <c r="D154" s="14"/>
      <c r="E154" s="14"/>
      <c r="F154" s="14"/>
      <c r="G154" s="14">
        <v>0</v>
      </c>
      <c r="H154" s="14">
        <v>700200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533"/>
    </row>
    <row r="155" spans="1:24" x14ac:dyDescent="0.35">
      <c r="A155" s="37" t="str">
        <f>_xlfn.XLOOKUP(B155,master!B:B,master!A:A)</f>
        <v>Advertising and sales promotion expense</v>
      </c>
      <c r="B155" s="13" t="s">
        <v>395</v>
      </c>
      <c r="C155" s="14"/>
      <c r="D155" s="14"/>
      <c r="E155" s="14"/>
      <c r="F155" s="14"/>
      <c r="G155" s="14">
        <v>31500</v>
      </c>
      <c r="H155" s="14">
        <v>33500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32427</v>
      </c>
      <c r="W155" s="14">
        <v>0</v>
      </c>
      <c r="X155" s="533"/>
    </row>
    <row r="156" spans="1:24" x14ac:dyDescent="0.35">
      <c r="A156" s="37" t="str">
        <f>_xlfn.XLOOKUP(B156,master!B:B,master!A:A)</f>
        <v>Travelling expense</v>
      </c>
      <c r="B156" s="13" t="s">
        <v>396</v>
      </c>
      <c r="C156" s="14"/>
      <c r="D156" s="14"/>
      <c r="E156" s="14"/>
      <c r="F156" s="14"/>
      <c r="G156" s="14">
        <v>0</v>
      </c>
      <c r="H156" s="14">
        <v>10325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533"/>
    </row>
    <row r="157" spans="1:24" x14ac:dyDescent="0.35">
      <c r="A157" s="37" t="str">
        <f>_xlfn.XLOOKUP(B157,master!B:B,master!A:A)</f>
        <v>Export incentives</v>
      </c>
      <c r="B157" s="13" t="s">
        <v>581</v>
      </c>
      <c r="C157" s="14"/>
      <c r="D157" s="14"/>
      <c r="E157" s="14"/>
      <c r="F157" s="14"/>
      <c r="G157" s="14">
        <v>0</v>
      </c>
      <c r="H157" s="14">
        <v>-21065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533"/>
    </row>
    <row r="158" spans="1:24" x14ac:dyDescent="0.35">
      <c r="A158" s="37" t="str">
        <f>_xlfn.XLOOKUP(B158,master!B:B,master!A:A)</f>
        <v>Sale of Finished Goods</v>
      </c>
      <c r="B158" s="13" t="s">
        <v>397</v>
      </c>
      <c r="C158" s="14"/>
      <c r="D158" s="14"/>
      <c r="E158" s="14"/>
      <c r="F158" s="14"/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-128150</v>
      </c>
      <c r="Q158" s="14">
        <v>-236293</v>
      </c>
      <c r="R158" s="14">
        <v>-40580122.939999998</v>
      </c>
      <c r="S158" s="14">
        <v>-195465.60000000001</v>
      </c>
      <c r="T158" s="14">
        <v>0</v>
      </c>
      <c r="U158" s="14">
        <v>0</v>
      </c>
      <c r="V158" s="14">
        <v>0</v>
      </c>
      <c r="W158" s="14">
        <v>-13673810.970000001</v>
      </c>
      <c r="X158" s="533"/>
    </row>
    <row r="159" spans="1:24" x14ac:dyDescent="0.35">
      <c r="A159" s="37" t="str">
        <f>_xlfn.XLOOKUP(B159,master!B:B,master!A:A)</f>
        <v>Sale of Finished Goods</v>
      </c>
      <c r="B159" s="13" t="s">
        <v>398</v>
      </c>
      <c r="C159" s="14"/>
      <c r="D159" s="14"/>
      <c r="E159" s="14"/>
      <c r="F159" s="14"/>
      <c r="G159" s="14">
        <v>0</v>
      </c>
      <c r="H159" s="14">
        <v>-717000</v>
      </c>
      <c r="I159" s="14">
        <v>-435763.5</v>
      </c>
      <c r="J159" s="14">
        <v>0</v>
      </c>
      <c r="K159" s="14">
        <v>0</v>
      </c>
      <c r="L159" s="14">
        <v>0</v>
      </c>
      <c r="M159" s="14">
        <v>-2132234</v>
      </c>
      <c r="N159" s="14">
        <v>0</v>
      </c>
      <c r="O159" s="14">
        <v>0</v>
      </c>
      <c r="P159" s="14">
        <v>0</v>
      </c>
      <c r="Q159" s="14">
        <v>-8382199.2000000002</v>
      </c>
      <c r="R159" s="14">
        <v>-7965000</v>
      </c>
      <c r="S159" s="14">
        <v>-1078476</v>
      </c>
      <c r="T159" s="14">
        <v>0</v>
      </c>
      <c r="U159" s="14">
        <v>0</v>
      </c>
      <c r="V159" s="14">
        <v>0</v>
      </c>
      <c r="W159" s="14">
        <v>-1524480</v>
      </c>
      <c r="X159" s="533"/>
    </row>
    <row r="160" spans="1:24" x14ac:dyDescent="0.35">
      <c r="A160" s="37" t="str">
        <f>_xlfn.XLOOKUP(B160,master!B:B,master!A:A)</f>
        <v>Sale of finished goods</v>
      </c>
      <c r="B160" s="13" t="s">
        <v>718</v>
      </c>
      <c r="C160" s="14"/>
      <c r="D160" s="14"/>
      <c r="E160" s="14"/>
      <c r="F160" s="14"/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-13479057.5</v>
      </c>
      <c r="S160" s="14">
        <v>0</v>
      </c>
      <c r="T160" s="14">
        <v>0</v>
      </c>
      <c r="U160" s="14">
        <v>-17862140.789999999</v>
      </c>
      <c r="V160" s="14">
        <v>0</v>
      </c>
      <c r="W160" s="14">
        <v>0</v>
      </c>
      <c r="X160" s="533"/>
    </row>
    <row r="161" spans="1:24" x14ac:dyDescent="0.35">
      <c r="A161" s="37" t="str">
        <f>_xlfn.XLOOKUP(B161,master!B:B,master!A:A)</f>
        <v>Sale of finished goods</v>
      </c>
      <c r="B161" s="13" t="s">
        <v>399</v>
      </c>
      <c r="C161" s="14"/>
      <c r="D161" s="14"/>
      <c r="E161" s="14"/>
      <c r="F161" s="14"/>
      <c r="G161" s="14">
        <v>0</v>
      </c>
      <c r="H161" s="14">
        <v>-60867289.880000003</v>
      </c>
      <c r="I161" s="14">
        <v>-1502298.7</v>
      </c>
      <c r="J161" s="14">
        <v>0</v>
      </c>
      <c r="K161" s="14">
        <v>-11139147.810000001</v>
      </c>
      <c r="L161" s="14">
        <v>0</v>
      </c>
      <c r="M161" s="14">
        <v>-103779480.76000001</v>
      </c>
      <c r="N161" s="14">
        <v>0</v>
      </c>
      <c r="O161" s="14">
        <v>0</v>
      </c>
      <c r="P161" s="14">
        <v>0</v>
      </c>
      <c r="Q161" s="14">
        <v>0</v>
      </c>
      <c r="R161" s="14">
        <v>-135731351.99000001</v>
      </c>
      <c r="S161" s="14">
        <v>-36063007.969999999</v>
      </c>
      <c r="T161" s="14">
        <v>0</v>
      </c>
      <c r="U161" s="14">
        <v>-24995079.530000001</v>
      </c>
      <c r="V161" s="14">
        <v>0</v>
      </c>
      <c r="W161" s="14">
        <v>-36103992.890000001</v>
      </c>
      <c r="X161" s="533"/>
    </row>
    <row r="162" spans="1:24" x14ac:dyDescent="0.35">
      <c r="A162" s="37" t="str">
        <f>_xlfn.XLOOKUP(B162,master!B:B,master!A:A)</f>
        <v>Sale of Finished Goods</v>
      </c>
      <c r="B162" s="13" t="s">
        <v>401</v>
      </c>
      <c r="C162" s="14"/>
      <c r="D162" s="14"/>
      <c r="E162" s="14"/>
      <c r="F162" s="14"/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-44967399.460000001</v>
      </c>
      <c r="N162" s="14">
        <v>0</v>
      </c>
      <c r="O162" s="14">
        <v>0</v>
      </c>
      <c r="P162" s="14">
        <v>0</v>
      </c>
      <c r="Q162" s="14">
        <v>0</v>
      </c>
      <c r="R162" s="14">
        <v>-13397381.859999999</v>
      </c>
      <c r="S162" s="14">
        <v>-60138540.479999997</v>
      </c>
      <c r="T162" s="14">
        <v>0</v>
      </c>
      <c r="U162" s="14">
        <v>0</v>
      </c>
      <c r="V162" s="14">
        <v>0</v>
      </c>
      <c r="W162" s="14">
        <v>-2963960.18</v>
      </c>
      <c r="X162" s="533"/>
    </row>
    <row r="163" spans="1:24" x14ac:dyDescent="0.35">
      <c r="A163" s="37" t="str">
        <f>_xlfn.XLOOKUP(B163,master!B:B,master!A:A)</f>
        <v>Sale of Finished Goods</v>
      </c>
      <c r="B163" s="13" t="s">
        <v>684</v>
      </c>
      <c r="C163" s="14"/>
      <c r="D163" s="14"/>
      <c r="E163" s="14"/>
      <c r="F163" s="14"/>
      <c r="G163" s="14">
        <v>0</v>
      </c>
      <c r="H163" s="14">
        <v>-79482347.930000007</v>
      </c>
      <c r="I163" s="14">
        <v>0</v>
      </c>
      <c r="J163" s="14">
        <v>0</v>
      </c>
      <c r="K163" s="14">
        <v>0</v>
      </c>
      <c r="L163" s="14">
        <v>0</v>
      </c>
      <c r="M163" s="14">
        <v>-28149041.52</v>
      </c>
      <c r="N163" s="14">
        <v>0</v>
      </c>
      <c r="O163" s="14">
        <v>0</v>
      </c>
      <c r="P163" s="14">
        <v>0</v>
      </c>
      <c r="Q163" s="14">
        <v>0</v>
      </c>
      <c r="R163" s="14">
        <v>-69478851.739999995</v>
      </c>
      <c r="S163" s="14">
        <v>0</v>
      </c>
      <c r="T163" s="14">
        <v>0</v>
      </c>
      <c r="U163" s="14">
        <v>-48048120.899999999</v>
      </c>
      <c r="V163" s="14">
        <v>0</v>
      </c>
      <c r="W163" s="14">
        <v>-28162289.27</v>
      </c>
      <c r="X163" s="533"/>
    </row>
    <row r="164" spans="1:24" x14ac:dyDescent="0.35">
      <c r="A164" s="37" t="str">
        <f>_xlfn.XLOOKUP(B164,master!B:B,master!A:A)</f>
        <v>Income from Jobwork charges</v>
      </c>
      <c r="B164" s="13" t="s">
        <v>402</v>
      </c>
      <c r="C164" s="14"/>
      <c r="D164" s="14"/>
      <c r="E164" s="14"/>
      <c r="F164" s="14"/>
      <c r="G164" s="14">
        <v>0</v>
      </c>
      <c r="H164" s="14">
        <v>-4580924.4000000004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5761.53</v>
      </c>
      <c r="R164" s="14">
        <v>-3393509.1</v>
      </c>
      <c r="S164" s="14">
        <v>-3826534.53</v>
      </c>
      <c r="T164" s="14">
        <v>0</v>
      </c>
      <c r="U164" s="14">
        <v>0</v>
      </c>
      <c r="V164" s="14">
        <v>0</v>
      </c>
      <c r="W164" s="14">
        <v>-9409545.0800000001</v>
      </c>
      <c r="X164" s="533"/>
    </row>
    <row r="165" spans="1:24" x14ac:dyDescent="0.35">
      <c r="A165" s="37" t="str">
        <f>_xlfn.XLOOKUP(B165,master!B:B,master!A:A)</f>
        <v>Rent Income</v>
      </c>
      <c r="B165" s="13" t="s">
        <v>403</v>
      </c>
      <c r="C165" s="14"/>
      <c r="D165" s="14"/>
      <c r="E165" s="14"/>
      <c r="F165" s="14"/>
      <c r="G165" s="14">
        <v>-45000</v>
      </c>
      <c r="H165" s="14">
        <v>-24000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-234013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533"/>
    </row>
    <row r="166" spans="1:24" x14ac:dyDescent="0.35">
      <c r="A166" s="37" t="str">
        <f>_xlfn.XLOOKUP(B166,master!B:B,master!A:A)</f>
        <v>Sale of traded goods</v>
      </c>
      <c r="B166" s="13" t="s">
        <v>582</v>
      </c>
      <c r="C166" s="14"/>
      <c r="D166" s="14"/>
      <c r="E166" s="14"/>
      <c r="F166" s="14"/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-16901.919999999998</v>
      </c>
      <c r="V166" s="14">
        <v>0</v>
      </c>
      <c r="W166" s="14">
        <v>0</v>
      </c>
      <c r="X166" s="533"/>
    </row>
    <row r="167" spans="1:24" x14ac:dyDescent="0.35">
      <c r="A167" s="37" t="str">
        <f>_xlfn.XLOOKUP(B167,master!B:B,master!A:A)</f>
        <v>Sale of Finished Goods</v>
      </c>
      <c r="B167" s="13" t="s">
        <v>404</v>
      </c>
      <c r="C167" s="14"/>
      <c r="D167" s="14"/>
      <c r="E167" s="14"/>
      <c r="F167" s="14"/>
      <c r="G167" s="14">
        <v>0</v>
      </c>
      <c r="H167" s="14">
        <v>-2365997.02</v>
      </c>
      <c r="I167" s="14">
        <v>0</v>
      </c>
      <c r="J167" s="14">
        <v>0</v>
      </c>
      <c r="K167" s="14">
        <v>-4744169.5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-8860222.4499999993</v>
      </c>
      <c r="S167" s="14">
        <v>-3777422.84</v>
      </c>
      <c r="T167" s="14">
        <v>0</v>
      </c>
      <c r="U167" s="14">
        <v>-899615.12</v>
      </c>
      <c r="V167" s="14">
        <v>0</v>
      </c>
      <c r="W167" s="14">
        <v>0</v>
      </c>
      <c r="X167" s="533"/>
    </row>
    <row r="168" spans="1:24" x14ac:dyDescent="0.35">
      <c r="A168" s="37" t="str">
        <f>_xlfn.XLOOKUP(B168,master!B:B,master!A:A)</f>
        <v>Sale of Traded Goods</v>
      </c>
      <c r="B168" s="532" t="s">
        <v>405</v>
      </c>
      <c r="C168" s="533"/>
      <c r="D168" s="533"/>
      <c r="E168" s="533"/>
      <c r="F168" s="533"/>
      <c r="G168" s="533">
        <v>0</v>
      </c>
      <c r="H168" s="533">
        <v>0</v>
      </c>
      <c r="I168" s="533">
        <v>0</v>
      </c>
      <c r="J168" s="533">
        <v>0</v>
      </c>
      <c r="K168" s="533">
        <v>0</v>
      </c>
      <c r="L168" s="533">
        <v>0</v>
      </c>
      <c r="M168" s="533">
        <v>0</v>
      </c>
      <c r="N168" s="533">
        <v>0</v>
      </c>
      <c r="O168" s="533">
        <v>0</v>
      </c>
      <c r="P168" s="533">
        <v>0</v>
      </c>
      <c r="Q168" s="533">
        <v>0</v>
      </c>
      <c r="R168" s="533">
        <v>-4224</v>
      </c>
      <c r="S168" s="533">
        <v>0</v>
      </c>
      <c r="T168" s="533">
        <v>0</v>
      </c>
      <c r="U168" s="533">
        <v>0</v>
      </c>
      <c r="V168" s="533">
        <v>0</v>
      </c>
      <c r="W168" s="533">
        <v>0</v>
      </c>
      <c r="X168" s="533"/>
    </row>
    <row r="169" spans="1:24" x14ac:dyDescent="0.35">
      <c r="A169" s="37" t="str">
        <f>_xlfn.XLOOKUP(B169,master!B:B,master!A:A)</f>
        <v>Sale of Traded Goods</v>
      </c>
      <c r="B169" s="532" t="s">
        <v>406</v>
      </c>
      <c r="C169" s="533"/>
      <c r="D169" s="533"/>
      <c r="E169" s="533"/>
      <c r="F169" s="533"/>
      <c r="G169" s="533">
        <v>0</v>
      </c>
      <c r="H169" s="533">
        <v>0</v>
      </c>
      <c r="I169" s="533">
        <v>0</v>
      </c>
      <c r="J169" s="533">
        <v>0</v>
      </c>
      <c r="K169" s="533">
        <v>0</v>
      </c>
      <c r="L169" s="533">
        <v>0</v>
      </c>
      <c r="M169" s="533">
        <v>0</v>
      </c>
      <c r="N169" s="533">
        <v>0</v>
      </c>
      <c r="O169" s="533">
        <v>0</v>
      </c>
      <c r="P169" s="533">
        <v>0</v>
      </c>
      <c r="Q169" s="533">
        <v>0</v>
      </c>
      <c r="R169" s="533">
        <v>-21911221.050000001</v>
      </c>
      <c r="S169" s="533">
        <v>-4270007</v>
      </c>
      <c r="T169" s="533">
        <v>0</v>
      </c>
      <c r="U169" s="533">
        <v>-15600</v>
      </c>
      <c r="V169" s="533">
        <v>0</v>
      </c>
      <c r="W169" s="533">
        <v>0</v>
      </c>
      <c r="X169" s="533"/>
    </row>
    <row r="170" spans="1:24" x14ac:dyDescent="0.35">
      <c r="A170" s="37" t="str">
        <f>_xlfn.XLOOKUP(B170,master!B:B,master!A:A)</f>
        <v>Sale of Traded Goods</v>
      </c>
      <c r="B170" s="532" t="s">
        <v>407</v>
      </c>
      <c r="C170" s="533"/>
      <c r="D170" s="533"/>
      <c r="E170" s="533"/>
      <c r="F170" s="533"/>
      <c r="G170" s="533">
        <v>0</v>
      </c>
      <c r="H170" s="533">
        <v>0</v>
      </c>
      <c r="I170" s="533">
        <v>0</v>
      </c>
      <c r="J170" s="533">
        <v>0</v>
      </c>
      <c r="K170" s="533">
        <v>0</v>
      </c>
      <c r="L170" s="533">
        <v>-141349600</v>
      </c>
      <c r="M170" s="533">
        <v>0</v>
      </c>
      <c r="N170" s="533">
        <v>0</v>
      </c>
      <c r="O170" s="533">
        <v>0</v>
      </c>
      <c r="P170" s="533">
        <v>0</v>
      </c>
      <c r="Q170" s="533">
        <v>0</v>
      </c>
      <c r="R170" s="533">
        <v>0</v>
      </c>
      <c r="S170" s="533">
        <v>0</v>
      </c>
      <c r="T170" s="533">
        <v>0</v>
      </c>
      <c r="U170" s="533">
        <v>0</v>
      </c>
      <c r="V170" s="533">
        <v>0</v>
      </c>
      <c r="W170" s="533">
        <v>0</v>
      </c>
      <c r="X170" s="533"/>
    </row>
    <row r="171" spans="1:24" x14ac:dyDescent="0.35">
      <c r="A171" s="37" t="str">
        <f>_xlfn.XLOOKUP(B171,master!B:B,master!A:A)</f>
        <v>Sale of Traded Goods</v>
      </c>
      <c r="B171" s="532" t="s">
        <v>408</v>
      </c>
      <c r="C171" s="533"/>
      <c r="D171" s="533"/>
      <c r="E171" s="533"/>
      <c r="F171" s="533"/>
      <c r="G171" s="533">
        <v>0</v>
      </c>
      <c r="H171" s="533">
        <v>0</v>
      </c>
      <c r="I171" s="533">
        <v>0</v>
      </c>
      <c r="J171" s="533">
        <v>0</v>
      </c>
      <c r="K171" s="533">
        <v>0</v>
      </c>
      <c r="L171" s="533">
        <v>0</v>
      </c>
      <c r="M171" s="533">
        <v>-60900</v>
      </c>
      <c r="N171" s="533">
        <v>0</v>
      </c>
      <c r="O171" s="533">
        <v>0</v>
      </c>
      <c r="P171" s="533">
        <v>0</v>
      </c>
      <c r="Q171" s="533">
        <v>0</v>
      </c>
      <c r="R171" s="533">
        <v>-3905275</v>
      </c>
      <c r="S171" s="533">
        <v>-394739.88</v>
      </c>
      <c r="T171" s="533">
        <v>0</v>
      </c>
      <c r="U171" s="533">
        <v>0</v>
      </c>
      <c r="V171" s="533">
        <v>0</v>
      </c>
      <c r="W171" s="533">
        <v>0</v>
      </c>
      <c r="X171" s="533"/>
    </row>
    <row r="172" spans="1:24" x14ac:dyDescent="0.35">
      <c r="A172" s="37" t="str">
        <f>_xlfn.XLOOKUP(B172,master!B:B,master!A:A)</f>
        <v>Sale of traded goods</v>
      </c>
      <c r="B172" s="532" t="s">
        <v>409</v>
      </c>
      <c r="C172" s="533"/>
      <c r="D172" s="533"/>
      <c r="E172" s="533"/>
      <c r="F172" s="533"/>
      <c r="G172" s="533">
        <v>0</v>
      </c>
      <c r="H172" s="533">
        <v>0</v>
      </c>
      <c r="I172" s="533">
        <v>0</v>
      </c>
      <c r="J172" s="533">
        <v>0</v>
      </c>
      <c r="K172" s="533">
        <v>0</v>
      </c>
      <c r="L172" s="533">
        <v>0</v>
      </c>
      <c r="M172" s="533">
        <v>0</v>
      </c>
      <c r="N172" s="533">
        <v>0</v>
      </c>
      <c r="O172" s="533">
        <v>0</v>
      </c>
      <c r="P172" s="533">
        <v>-30148155.100000001</v>
      </c>
      <c r="Q172" s="533">
        <v>0</v>
      </c>
      <c r="R172" s="533">
        <v>0</v>
      </c>
      <c r="S172" s="533">
        <v>0</v>
      </c>
      <c r="T172" s="533">
        <v>0</v>
      </c>
      <c r="U172" s="533">
        <v>0</v>
      </c>
      <c r="V172" s="533">
        <v>0</v>
      </c>
      <c r="W172" s="533">
        <v>0</v>
      </c>
      <c r="X172" s="533"/>
    </row>
    <row r="173" spans="1:24" x14ac:dyDescent="0.35">
      <c r="A173" s="37" t="str">
        <f>_xlfn.XLOOKUP(B173,master!B:B,master!A:A)</f>
        <v>Sale of traded goods</v>
      </c>
      <c r="B173" s="532" t="s">
        <v>410</v>
      </c>
      <c r="C173" s="533"/>
      <c r="D173" s="533"/>
      <c r="E173" s="533"/>
      <c r="F173" s="533"/>
      <c r="G173" s="533">
        <v>0</v>
      </c>
      <c r="H173" s="533">
        <v>-42038873.490000002</v>
      </c>
      <c r="I173" s="533">
        <v>0</v>
      </c>
      <c r="J173" s="533">
        <v>0</v>
      </c>
      <c r="K173" s="533">
        <v>0</v>
      </c>
      <c r="L173" s="533">
        <v>0</v>
      </c>
      <c r="M173" s="533">
        <v>0</v>
      </c>
      <c r="N173" s="533">
        <v>0</v>
      </c>
      <c r="O173" s="533">
        <v>0</v>
      </c>
      <c r="P173" s="533">
        <v>-55167627.210000001</v>
      </c>
      <c r="Q173" s="533">
        <v>0</v>
      </c>
      <c r="R173" s="533">
        <v>0</v>
      </c>
      <c r="S173" s="533">
        <v>0</v>
      </c>
      <c r="T173" s="533">
        <v>0</v>
      </c>
      <c r="U173" s="533">
        <v>0</v>
      </c>
      <c r="V173" s="533">
        <v>-4876506.24</v>
      </c>
      <c r="W173" s="533">
        <v>-8776866.1099999994</v>
      </c>
      <c r="X173" s="533"/>
    </row>
    <row r="174" spans="1:24" x14ac:dyDescent="0.35">
      <c r="A174" s="37" t="str">
        <f>_xlfn.XLOOKUP(B174,master!B:B,master!A:A)</f>
        <v>Sale of Traded Goods</v>
      </c>
      <c r="B174" s="532" t="s">
        <v>411</v>
      </c>
      <c r="C174" s="533"/>
      <c r="D174" s="533"/>
      <c r="E174" s="533"/>
      <c r="F174" s="533"/>
      <c r="G174" s="533">
        <v>0</v>
      </c>
      <c r="H174" s="533">
        <v>0</v>
      </c>
      <c r="I174" s="533">
        <v>0</v>
      </c>
      <c r="J174" s="533">
        <v>0</v>
      </c>
      <c r="K174" s="533">
        <v>0</v>
      </c>
      <c r="L174" s="533">
        <v>0</v>
      </c>
      <c r="M174" s="533">
        <v>0</v>
      </c>
      <c r="N174" s="533">
        <v>0</v>
      </c>
      <c r="O174" s="533">
        <v>0</v>
      </c>
      <c r="P174" s="533">
        <v>0</v>
      </c>
      <c r="Q174" s="533">
        <v>0</v>
      </c>
      <c r="R174" s="533">
        <v>0</v>
      </c>
      <c r="S174" s="533">
        <v>-1274150.2</v>
      </c>
      <c r="T174" s="533">
        <v>0</v>
      </c>
      <c r="U174" s="533">
        <v>0</v>
      </c>
      <c r="V174" s="533">
        <v>0</v>
      </c>
      <c r="W174" s="533">
        <v>-1762500</v>
      </c>
      <c r="X174" s="533"/>
    </row>
    <row r="175" spans="1:24" x14ac:dyDescent="0.35">
      <c r="A175" s="37" t="str">
        <f>_xlfn.XLOOKUP(B175,master!B:B,master!A:A)</f>
        <v>Sale of Traded Goods</v>
      </c>
      <c r="B175" s="532" t="s">
        <v>412</v>
      </c>
      <c r="C175" s="533"/>
      <c r="D175" s="533"/>
      <c r="E175" s="533"/>
      <c r="F175" s="533"/>
      <c r="G175" s="533">
        <v>-7401600</v>
      </c>
      <c r="H175" s="533">
        <v>-1104</v>
      </c>
      <c r="I175" s="533">
        <v>0</v>
      </c>
      <c r="J175" s="533">
        <v>0</v>
      </c>
      <c r="K175" s="533">
        <v>0</v>
      </c>
      <c r="L175" s="533">
        <v>-29738461.649999999</v>
      </c>
      <c r="M175" s="533">
        <v>-4047207.35</v>
      </c>
      <c r="N175" s="533">
        <v>0</v>
      </c>
      <c r="O175" s="533">
        <v>0</v>
      </c>
      <c r="P175" s="533">
        <v>0</v>
      </c>
      <c r="Q175" s="533">
        <v>0</v>
      </c>
      <c r="R175" s="533">
        <v>-13857555.35</v>
      </c>
      <c r="S175" s="533">
        <v>-6050432.5999999996</v>
      </c>
      <c r="T175" s="533">
        <v>0</v>
      </c>
      <c r="U175" s="533">
        <v>-1443203.79</v>
      </c>
      <c r="V175" s="533">
        <v>0</v>
      </c>
      <c r="W175" s="533">
        <v>-2368875.7000000002</v>
      </c>
      <c r="X175" s="533"/>
    </row>
    <row r="176" spans="1:24" x14ac:dyDescent="0.35">
      <c r="A176" s="37" t="str">
        <f>_xlfn.XLOOKUP(B176,master!B:B,master!A:A)</f>
        <v>Sale of Finished Goods</v>
      </c>
      <c r="B176" s="532" t="s">
        <v>413</v>
      </c>
      <c r="C176" s="533"/>
      <c r="D176" s="533"/>
      <c r="E176" s="533"/>
      <c r="F176" s="533"/>
      <c r="G176" s="533">
        <v>0</v>
      </c>
      <c r="H176" s="533">
        <v>-345250</v>
      </c>
      <c r="I176" s="533">
        <v>0</v>
      </c>
      <c r="J176" s="533">
        <v>0</v>
      </c>
      <c r="K176" s="533">
        <v>0</v>
      </c>
      <c r="L176" s="533">
        <v>0</v>
      </c>
      <c r="M176" s="533">
        <v>-35000</v>
      </c>
      <c r="N176" s="533">
        <v>0</v>
      </c>
      <c r="O176" s="533">
        <v>0</v>
      </c>
      <c r="P176" s="533">
        <v>0</v>
      </c>
      <c r="Q176" s="533">
        <v>-277180</v>
      </c>
      <c r="R176" s="533">
        <v>-236430</v>
      </c>
      <c r="S176" s="533">
        <v>-141100</v>
      </c>
      <c r="T176" s="533">
        <v>0</v>
      </c>
      <c r="U176" s="533">
        <v>-398376</v>
      </c>
      <c r="V176" s="533">
        <v>0</v>
      </c>
      <c r="W176" s="533">
        <v>0</v>
      </c>
      <c r="X176" s="533"/>
    </row>
    <row r="177" spans="1:24" x14ac:dyDescent="0.35">
      <c r="A177" s="37" t="str">
        <f>_xlfn.XLOOKUP(B177,master!B:B,master!A:A)</f>
        <v>Commission Income</v>
      </c>
      <c r="B177" s="532" t="s">
        <v>414</v>
      </c>
      <c r="C177" s="533"/>
      <c r="D177" s="533"/>
      <c r="E177" s="533"/>
      <c r="F177" s="533"/>
      <c r="G177" s="533">
        <v>0</v>
      </c>
      <c r="H177" s="533">
        <v>0</v>
      </c>
      <c r="I177" s="533">
        <v>0</v>
      </c>
      <c r="J177" s="533">
        <v>0</v>
      </c>
      <c r="K177" s="533">
        <v>0</v>
      </c>
      <c r="L177" s="533">
        <v>0</v>
      </c>
      <c r="M177" s="533">
        <v>0</v>
      </c>
      <c r="N177" s="533">
        <v>0</v>
      </c>
      <c r="O177" s="533">
        <v>0</v>
      </c>
      <c r="P177" s="533">
        <v>0</v>
      </c>
      <c r="Q177" s="533">
        <v>0</v>
      </c>
      <c r="R177" s="533">
        <v>0</v>
      </c>
      <c r="S177" s="533">
        <v>0</v>
      </c>
      <c r="T177" s="533">
        <v>-1867470.18</v>
      </c>
      <c r="U177" s="533">
        <v>0</v>
      </c>
      <c r="V177" s="533">
        <v>0</v>
      </c>
      <c r="W177" s="533">
        <v>0</v>
      </c>
      <c r="X177" s="533"/>
    </row>
    <row r="178" spans="1:24" x14ac:dyDescent="0.35">
      <c r="A178" s="37" t="str">
        <f>_xlfn.XLOOKUP(B178,master!B:B,master!A:A)</f>
        <v>Wind mill income</v>
      </c>
      <c r="B178" s="544" t="s">
        <v>415</v>
      </c>
      <c r="C178" s="533"/>
      <c r="D178" s="533"/>
      <c r="E178" s="533"/>
      <c r="F178" s="533"/>
      <c r="G178" s="533">
        <v>0</v>
      </c>
      <c r="H178" s="533">
        <v>0</v>
      </c>
      <c r="I178" s="533">
        <v>0</v>
      </c>
      <c r="J178" s="533">
        <v>0</v>
      </c>
      <c r="K178" s="533">
        <v>0</v>
      </c>
      <c r="L178" s="533">
        <v>0</v>
      </c>
      <c r="M178" s="533">
        <v>0</v>
      </c>
      <c r="N178" s="533">
        <v>0</v>
      </c>
      <c r="O178" s="533">
        <v>0</v>
      </c>
      <c r="P178" s="533">
        <v>0</v>
      </c>
      <c r="Q178" s="533">
        <v>0</v>
      </c>
      <c r="R178" s="533">
        <v>0</v>
      </c>
      <c r="S178" s="533">
        <v>-924855</v>
      </c>
      <c r="T178" s="533">
        <v>0</v>
      </c>
      <c r="U178" s="533">
        <v>0</v>
      </c>
      <c r="V178" s="533">
        <v>0</v>
      </c>
      <c r="W178" s="543">
        <v>0</v>
      </c>
      <c r="X178" s="533"/>
    </row>
    <row r="179" spans="1:24" x14ac:dyDescent="0.35">
      <c r="A179" s="37" t="str">
        <f>_xlfn.XLOOKUP(B179,master!B:B,master!A:A)</f>
        <v>Miscellaneous income</v>
      </c>
      <c r="B179" s="532" t="s">
        <v>416</v>
      </c>
      <c r="C179" s="533"/>
      <c r="D179" s="533"/>
      <c r="E179" s="533"/>
      <c r="F179" s="533"/>
      <c r="G179" s="533">
        <v>0</v>
      </c>
      <c r="H179" s="533">
        <v>0</v>
      </c>
      <c r="I179" s="533">
        <v>0</v>
      </c>
      <c r="J179" s="533">
        <v>0</v>
      </c>
      <c r="K179" s="533">
        <v>0</v>
      </c>
      <c r="L179" s="533">
        <v>0</v>
      </c>
      <c r="M179" s="533">
        <v>0</v>
      </c>
      <c r="N179" s="533">
        <v>0</v>
      </c>
      <c r="O179" s="533">
        <v>0</v>
      </c>
      <c r="P179" s="533">
        <v>0</v>
      </c>
      <c r="Q179" s="533">
        <v>0</v>
      </c>
      <c r="R179" s="533">
        <v>0</v>
      </c>
      <c r="S179" s="533">
        <v>0</v>
      </c>
      <c r="T179" s="533">
        <v>0</v>
      </c>
      <c r="U179" s="533">
        <v>0</v>
      </c>
      <c r="V179" s="533">
        <v>-100</v>
      </c>
      <c r="W179" s="533">
        <v>0</v>
      </c>
      <c r="X179" s="533"/>
    </row>
    <row r="180" spans="1:24" x14ac:dyDescent="0.35">
      <c r="A180" s="37" t="str">
        <f>_xlfn.XLOOKUP(B180,master!B:B,master!A:A)</f>
        <v>- on fixed deposits with Banks</v>
      </c>
      <c r="B180" s="532" t="s">
        <v>621</v>
      </c>
      <c r="C180" s="533"/>
      <c r="D180" s="533"/>
      <c r="E180" s="533"/>
      <c r="F180" s="533"/>
      <c r="G180" s="533">
        <v>0</v>
      </c>
      <c r="H180" s="533">
        <v>0</v>
      </c>
      <c r="I180" s="533">
        <v>0</v>
      </c>
      <c r="J180" s="533">
        <v>0</v>
      </c>
      <c r="K180" s="533">
        <v>0</v>
      </c>
      <c r="L180" s="533">
        <v>0</v>
      </c>
      <c r="M180" s="533">
        <v>0</v>
      </c>
      <c r="N180" s="533">
        <v>0</v>
      </c>
      <c r="O180" s="533">
        <v>0</v>
      </c>
      <c r="P180" s="533">
        <v>0</v>
      </c>
      <c r="Q180" s="533">
        <v>0</v>
      </c>
      <c r="R180" s="533">
        <v>-77079</v>
      </c>
      <c r="S180" s="533">
        <v>0</v>
      </c>
      <c r="T180" s="533">
        <v>0</v>
      </c>
      <c r="U180" s="533">
        <v>0</v>
      </c>
      <c r="V180" s="533">
        <v>0</v>
      </c>
      <c r="W180" s="533">
        <v>-117025</v>
      </c>
      <c r="X180" s="533"/>
    </row>
    <row r="181" spans="1:24" x14ac:dyDescent="0.35">
      <c r="A181" s="37" t="str">
        <f>_xlfn.XLOOKUP(B181,master!B:B,master!A:A)</f>
        <v>Interest Received From Customers</v>
      </c>
      <c r="B181" s="532" t="s">
        <v>555</v>
      </c>
      <c r="C181" s="533"/>
      <c r="D181" s="533"/>
      <c r="E181" s="533"/>
      <c r="F181" s="533"/>
      <c r="G181" s="533">
        <v>0</v>
      </c>
      <c r="H181" s="533">
        <v>0</v>
      </c>
      <c r="I181" s="533">
        <v>0</v>
      </c>
      <c r="J181" s="533">
        <v>0</v>
      </c>
      <c r="K181" s="533">
        <v>0</v>
      </c>
      <c r="L181" s="533">
        <v>-191027</v>
      </c>
      <c r="M181" s="533">
        <v>0</v>
      </c>
      <c r="N181" s="533">
        <v>0</v>
      </c>
      <c r="O181" s="533">
        <v>0</v>
      </c>
      <c r="P181" s="533">
        <v>0</v>
      </c>
      <c r="Q181" s="533">
        <v>0</v>
      </c>
      <c r="R181" s="533">
        <v>0</v>
      </c>
      <c r="S181" s="533">
        <v>0</v>
      </c>
      <c r="T181" s="533">
        <v>-2227221</v>
      </c>
      <c r="U181" s="533">
        <v>0</v>
      </c>
      <c r="V181" s="533">
        <v>0</v>
      </c>
      <c r="W181" s="533">
        <v>0</v>
      </c>
      <c r="X181" s="533"/>
    </row>
    <row r="182" spans="1:24" x14ac:dyDescent="0.35">
      <c r="A182" s="37" t="str">
        <f>_xlfn.XLOOKUP(B182,master!B:B,master!A:A)</f>
        <v>Sundry balance written off</v>
      </c>
      <c r="B182" s="532" t="s">
        <v>420</v>
      </c>
      <c r="C182" s="533"/>
      <c r="D182" s="533"/>
      <c r="E182" s="533"/>
      <c r="F182" s="533"/>
      <c r="G182" s="533">
        <v>0</v>
      </c>
      <c r="H182" s="533">
        <v>0</v>
      </c>
      <c r="I182" s="533">
        <v>0</v>
      </c>
      <c r="J182" s="533">
        <v>-7617</v>
      </c>
      <c r="K182" s="533">
        <v>0</v>
      </c>
      <c r="L182" s="533">
        <v>0</v>
      </c>
      <c r="M182" s="533">
        <v>0</v>
      </c>
      <c r="N182" s="533">
        <v>0</v>
      </c>
      <c r="O182" s="533">
        <v>0</v>
      </c>
      <c r="P182" s="533">
        <v>0</v>
      </c>
      <c r="Q182" s="533">
        <v>0</v>
      </c>
      <c r="R182" s="533">
        <v>0</v>
      </c>
      <c r="S182" s="533">
        <v>0</v>
      </c>
      <c r="T182" s="533">
        <v>0</v>
      </c>
      <c r="U182" s="533">
        <v>0</v>
      </c>
      <c r="V182" s="533">
        <v>0</v>
      </c>
      <c r="W182" s="533">
        <v>0</v>
      </c>
      <c r="X182" s="533"/>
    </row>
    <row r="183" spans="1:24" x14ac:dyDescent="0.35">
      <c r="A183" s="37" t="str">
        <f>_xlfn.XLOOKUP(B183,master!B:B,master!A:A)</f>
        <v>Commission income</v>
      </c>
      <c r="B183" s="532" t="s">
        <v>583</v>
      </c>
      <c r="C183" s="533"/>
      <c r="D183" s="533"/>
      <c r="E183" s="533"/>
      <c r="F183" s="533"/>
      <c r="G183" s="533">
        <v>0</v>
      </c>
      <c r="H183" s="533">
        <v>0</v>
      </c>
      <c r="I183" s="533">
        <v>0</v>
      </c>
      <c r="J183" s="533">
        <v>0</v>
      </c>
      <c r="K183" s="533">
        <v>0</v>
      </c>
      <c r="L183" s="533">
        <v>0</v>
      </c>
      <c r="M183" s="533">
        <v>0</v>
      </c>
      <c r="N183" s="533">
        <v>0</v>
      </c>
      <c r="O183" s="533">
        <v>0</v>
      </c>
      <c r="P183" s="533">
        <v>0</v>
      </c>
      <c r="Q183" s="533">
        <v>0</v>
      </c>
      <c r="R183" s="533">
        <v>0</v>
      </c>
      <c r="S183" s="533">
        <v>0</v>
      </c>
      <c r="T183" s="533">
        <v>-37239</v>
      </c>
      <c r="U183" s="533">
        <v>0</v>
      </c>
      <c r="V183" s="533">
        <v>0</v>
      </c>
      <c r="W183" s="533">
        <v>0</v>
      </c>
      <c r="X183" s="533"/>
    </row>
    <row r="184" spans="1:24" x14ac:dyDescent="0.35">
      <c r="A184" s="37">
        <f>_xlfn.XLOOKUP(B184,master!B:B,master!A:A)</f>
        <v>0</v>
      </c>
      <c r="B184" s="532"/>
      <c r="C184" s="533"/>
      <c r="D184" s="533"/>
      <c r="E184" s="533"/>
      <c r="F184" s="533"/>
      <c r="G184" s="533"/>
      <c r="H184" s="533"/>
      <c r="I184" s="533"/>
      <c r="J184" s="533"/>
      <c r="K184" s="533"/>
      <c r="L184" s="533"/>
      <c r="M184" s="533"/>
      <c r="N184" s="533"/>
      <c r="O184" s="533"/>
      <c r="P184" s="533"/>
      <c r="Q184" s="533"/>
      <c r="R184" s="533"/>
      <c r="S184" s="533"/>
      <c r="T184" s="533"/>
      <c r="U184" s="533"/>
      <c r="V184" s="533"/>
      <c r="W184" s="533"/>
      <c r="X184" s="533"/>
    </row>
    <row r="185" spans="1:24" x14ac:dyDescent="0.35">
      <c r="A185" s="37">
        <f>_xlfn.XLOOKUP(B185,master!B:B,master!A:A)</f>
        <v>0</v>
      </c>
      <c r="B185" s="532"/>
      <c r="C185" s="533"/>
      <c r="D185" s="533"/>
      <c r="E185" s="533"/>
      <c r="F185" s="533"/>
      <c r="G185" s="533"/>
      <c r="H185" s="533"/>
      <c r="I185" s="533"/>
      <c r="J185" s="533"/>
      <c r="K185" s="533"/>
      <c r="L185" s="533"/>
      <c r="M185" s="533"/>
      <c r="N185" s="533"/>
      <c r="O185" s="533"/>
      <c r="P185" s="533"/>
      <c r="Q185" s="533"/>
      <c r="R185" s="533"/>
      <c r="S185" s="533"/>
      <c r="T185" s="533"/>
      <c r="U185" s="533"/>
      <c r="V185" s="533"/>
      <c r="W185" s="533"/>
      <c r="X185" s="533"/>
    </row>
    <row r="186" spans="1:24" x14ac:dyDescent="0.35">
      <c r="A186" s="37">
        <f>_xlfn.XLOOKUP(B186,master!B:B,master!A:A)</f>
        <v>0</v>
      </c>
      <c r="B186" s="532"/>
      <c r="C186" s="533"/>
      <c r="D186" s="533"/>
      <c r="E186" s="533"/>
      <c r="F186" s="533"/>
      <c r="G186" s="533"/>
      <c r="H186" s="533"/>
      <c r="I186" s="533"/>
      <c r="J186" s="533"/>
      <c r="K186" s="533"/>
      <c r="L186" s="533"/>
      <c r="M186" s="533"/>
      <c r="N186" s="533"/>
      <c r="O186" s="533"/>
      <c r="P186" s="533"/>
      <c r="Q186" s="533"/>
      <c r="R186" s="533"/>
      <c r="S186" s="533"/>
      <c r="T186" s="533"/>
      <c r="U186" s="533"/>
      <c r="V186" s="533"/>
      <c r="W186" s="533"/>
      <c r="X186" s="533"/>
    </row>
    <row r="187" spans="1:24" x14ac:dyDescent="0.35">
      <c r="A187" s="37">
        <f>_xlfn.XLOOKUP(B187,master!B:B,master!A:A)</f>
        <v>0</v>
      </c>
      <c r="B187" s="532"/>
      <c r="C187" s="533"/>
      <c r="D187" s="533"/>
      <c r="E187" s="533"/>
      <c r="F187" s="533"/>
      <c r="G187" s="533"/>
      <c r="H187" s="533"/>
      <c r="I187" s="533"/>
      <c r="J187" s="533"/>
      <c r="K187" s="533"/>
      <c r="L187" s="533"/>
      <c r="M187" s="533"/>
      <c r="N187" s="533"/>
      <c r="O187" s="533"/>
      <c r="P187" s="533"/>
      <c r="Q187" s="533"/>
      <c r="R187" s="533"/>
      <c r="S187" s="533"/>
      <c r="T187" s="533"/>
      <c r="U187" s="533"/>
      <c r="V187" s="533"/>
      <c r="W187" s="533"/>
      <c r="X187" s="533"/>
    </row>
    <row r="188" spans="1:24" x14ac:dyDescent="0.35">
      <c r="A188" s="37">
        <f>_xlfn.XLOOKUP(B188,master!B:B,master!A:A)</f>
        <v>0</v>
      </c>
      <c r="B188" s="532"/>
      <c r="C188" s="533"/>
      <c r="D188" s="533"/>
      <c r="E188" s="533"/>
      <c r="F188" s="533"/>
      <c r="G188" s="533"/>
      <c r="H188" s="533"/>
      <c r="I188" s="533"/>
      <c r="J188" s="533"/>
      <c r="K188" s="533"/>
      <c r="L188" s="533"/>
      <c r="M188" s="533"/>
      <c r="N188" s="533"/>
      <c r="O188" s="533"/>
      <c r="P188" s="533"/>
      <c r="Q188" s="533"/>
      <c r="R188" s="533"/>
      <c r="S188" s="533"/>
      <c r="T188" s="533"/>
      <c r="U188" s="533"/>
      <c r="V188" s="533"/>
      <c r="W188" s="533"/>
      <c r="X188" s="533"/>
    </row>
    <row r="189" spans="1:24" x14ac:dyDescent="0.35">
      <c r="A189" s="37">
        <f>_xlfn.XLOOKUP(B189,master!B:B,master!A:A)</f>
        <v>0</v>
      </c>
      <c r="B189" s="532"/>
      <c r="C189" s="533"/>
      <c r="D189" s="533"/>
      <c r="E189" s="533"/>
      <c r="F189" s="533"/>
      <c r="G189" s="533"/>
      <c r="H189" s="533"/>
      <c r="I189" s="533"/>
      <c r="J189" s="533"/>
      <c r="K189" s="533"/>
      <c r="L189" s="533"/>
      <c r="M189" s="533"/>
      <c r="N189" s="533"/>
      <c r="O189" s="533"/>
      <c r="P189" s="533"/>
      <c r="Q189" s="533"/>
      <c r="R189" s="533"/>
      <c r="S189" s="533"/>
      <c r="T189" s="533"/>
      <c r="U189" s="533"/>
      <c r="V189" s="533"/>
      <c r="W189" s="533"/>
      <c r="X189" s="533"/>
    </row>
    <row r="190" spans="1:24" x14ac:dyDescent="0.35">
      <c r="A190" s="37">
        <f>_xlfn.XLOOKUP(B190,master!B:B,master!A:A)</f>
        <v>0</v>
      </c>
      <c r="B190" s="532"/>
      <c r="C190" s="533"/>
      <c r="D190" s="533"/>
      <c r="E190" s="533"/>
      <c r="F190" s="533"/>
      <c r="G190" s="533"/>
      <c r="H190" s="533"/>
      <c r="I190" s="533"/>
      <c r="J190" s="533"/>
      <c r="K190" s="533"/>
      <c r="L190" s="533"/>
      <c r="M190" s="533"/>
      <c r="N190" s="533"/>
      <c r="O190" s="533"/>
      <c r="P190" s="533"/>
      <c r="Q190" s="533"/>
      <c r="R190" s="533"/>
      <c r="S190" s="533"/>
      <c r="T190" s="533"/>
      <c r="U190" s="533"/>
      <c r="V190" s="533"/>
      <c r="W190" s="533"/>
      <c r="X190" s="533"/>
    </row>
    <row r="191" spans="1:24" x14ac:dyDescent="0.35">
      <c r="A191" s="37">
        <f>_xlfn.XLOOKUP(B191,master!B:B,master!A:A)</f>
        <v>0</v>
      </c>
      <c r="B191" s="532"/>
      <c r="C191" s="533"/>
      <c r="D191" s="533"/>
      <c r="E191" s="533"/>
      <c r="F191" s="533"/>
      <c r="G191" s="533"/>
      <c r="H191" s="533"/>
      <c r="I191" s="533"/>
      <c r="J191" s="533"/>
      <c r="K191" s="533"/>
      <c r="L191" s="533"/>
      <c r="M191" s="533"/>
      <c r="N191" s="533"/>
      <c r="O191" s="533"/>
      <c r="P191" s="533"/>
      <c r="Q191" s="533"/>
      <c r="R191" s="533"/>
      <c r="S191" s="533"/>
      <c r="T191" s="533"/>
      <c r="U191" s="533"/>
      <c r="V191" s="533"/>
      <c r="W191" s="533"/>
      <c r="X191" s="533"/>
    </row>
    <row r="192" spans="1:24" x14ac:dyDescent="0.35">
      <c r="A192" s="37">
        <f>_xlfn.XLOOKUP(B192,master!B:B,master!A:A)</f>
        <v>0</v>
      </c>
      <c r="B192" s="532"/>
      <c r="C192" s="533"/>
      <c r="D192" s="533"/>
      <c r="E192" s="533"/>
      <c r="F192" s="533"/>
      <c r="G192" s="533"/>
      <c r="H192" s="533"/>
      <c r="I192" s="533"/>
      <c r="J192" s="533"/>
      <c r="K192" s="533"/>
      <c r="L192" s="533"/>
      <c r="M192" s="533"/>
      <c r="N192" s="533"/>
      <c r="O192" s="533"/>
      <c r="P192" s="533"/>
      <c r="Q192" s="533"/>
      <c r="R192" s="533"/>
      <c r="S192" s="533"/>
      <c r="T192" s="533"/>
      <c r="U192" s="533"/>
      <c r="V192" s="533"/>
      <c r="W192" s="533"/>
      <c r="X192" s="533"/>
    </row>
    <row r="193" spans="1:24" x14ac:dyDescent="0.35">
      <c r="A193" s="37">
        <f>_xlfn.XLOOKUP(B193,master!B:B,master!A:A)</f>
        <v>0</v>
      </c>
      <c r="B193" s="532"/>
      <c r="C193" s="533"/>
      <c r="D193" s="533"/>
      <c r="E193" s="533"/>
      <c r="F193" s="533"/>
      <c r="G193" s="533"/>
      <c r="H193" s="533"/>
      <c r="I193" s="533"/>
      <c r="J193" s="533"/>
      <c r="K193" s="533"/>
      <c r="L193" s="533"/>
      <c r="M193" s="533"/>
      <c r="N193" s="533"/>
      <c r="O193" s="533"/>
      <c r="P193" s="533"/>
      <c r="Q193" s="533"/>
      <c r="R193" s="533"/>
      <c r="S193" s="533"/>
      <c r="T193" s="533"/>
      <c r="U193" s="533"/>
      <c r="V193" s="533"/>
      <c r="W193" s="533"/>
      <c r="X193" s="533"/>
    </row>
    <row r="194" spans="1:24" x14ac:dyDescent="0.35">
      <c r="A194" s="37">
        <f>_xlfn.XLOOKUP(B194,master!B:B,master!A:A)</f>
        <v>0</v>
      </c>
      <c r="B194" s="532"/>
      <c r="C194" s="533"/>
      <c r="D194" s="533"/>
      <c r="E194" s="533"/>
      <c r="F194" s="533"/>
      <c r="G194" s="533"/>
      <c r="H194" s="533"/>
      <c r="I194" s="533"/>
      <c r="J194" s="533"/>
      <c r="K194" s="533"/>
      <c r="L194" s="533"/>
      <c r="M194" s="533"/>
      <c r="N194" s="533"/>
      <c r="O194" s="533"/>
      <c r="P194" s="533"/>
      <c r="Q194" s="533"/>
      <c r="R194" s="533"/>
      <c r="S194" s="533"/>
      <c r="T194" s="533"/>
      <c r="U194" s="533"/>
      <c r="V194" s="533"/>
      <c r="W194" s="533"/>
      <c r="X194" s="533"/>
    </row>
    <row r="195" spans="1:24" x14ac:dyDescent="0.35">
      <c r="A195" s="37">
        <f>_xlfn.XLOOKUP(B195,master!B:B,master!A:A)</f>
        <v>0</v>
      </c>
      <c r="B195" s="532"/>
      <c r="C195" s="533"/>
      <c r="D195" s="533"/>
      <c r="E195" s="533"/>
      <c r="F195" s="533"/>
      <c r="G195" s="533"/>
      <c r="H195" s="533"/>
      <c r="I195" s="533"/>
      <c r="J195" s="533"/>
      <c r="K195" s="533"/>
      <c r="L195" s="533"/>
      <c r="M195" s="533"/>
      <c r="N195" s="533"/>
      <c r="O195" s="533"/>
      <c r="P195" s="533"/>
      <c r="Q195" s="533"/>
      <c r="R195" s="533"/>
      <c r="S195" s="533"/>
      <c r="T195" s="533"/>
      <c r="U195" s="533"/>
      <c r="V195" s="533"/>
      <c r="W195" s="533"/>
      <c r="X195" s="533"/>
    </row>
    <row r="196" spans="1:24" x14ac:dyDescent="0.35">
      <c r="A196" s="37">
        <f>_xlfn.XLOOKUP(B196,master!B:B,master!A:A)</f>
        <v>0</v>
      </c>
      <c r="B196" s="532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</row>
    <row r="197" spans="1:24" x14ac:dyDescent="0.35">
      <c r="A197" s="37">
        <f>_xlfn.XLOOKUP(B197,master!B:B,master!A:A)</f>
        <v>0</v>
      </c>
      <c r="B197" s="532"/>
      <c r="C197" s="533"/>
      <c r="D197" s="533"/>
      <c r="E197" s="533"/>
      <c r="F197" s="533"/>
      <c r="G197" s="533"/>
      <c r="H197" s="533"/>
      <c r="I197" s="533"/>
      <c r="J197" s="533"/>
      <c r="K197" s="533"/>
      <c r="L197" s="533"/>
      <c r="M197" s="533"/>
      <c r="N197" s="533"/>
      <c r="O197" s="533"/>
      <c r="P197" s="533"/>
      <c r="Q197" s="533"/>
      <c r="R197" s="533"/>
      <c r="S197" s="533"/>
      <c r="T197" s="533"/>
      <c r="U197" s="533"/>
      <c r="V197" s="533"/>
      <c r="W197" s="533"/>
      <c r="X197" s="533"/>
    </row>
    <row r="198" spans="1:24" x14ac:dyDescent="0.35">
      <c r="A198" s="37">
        <f>_xlfn.XLOOKUP(B198,master!B:B,master!A:A)</f>
        <v>0</v>
      </c>
      <c r="B198" s="532"/>
      <c r="C198" s="533"/>
      <c r="D198" s="533"/>
      <c r="E198" s="533"/>
      <c r="F198" s="533"/>
      <c r="G198" s="533"/>
      <c r="H198" s="533"/>
      <c r="I198" s="533"/>
      <c r="J198" s="533"/>
      <c r="K198" s="533"/>
      <c r="L198" s="533"/>
      <c r="M198" s="533"/>
      <c r="N198" s="533"/>
      <c r="O198" s="533"/>
      <c r="P198" s="533"/>
      <c r="Q198" s="533"/>
      <c r="R198" s="533"/>
      <c r="S198" s="533"/>
      <c r="T198" s="533"/>
      <c r="U198" s="533"/>
      <c r="V198" s="533"/>
      <c r="W198" s="533"/>
      <c r="X198" s="533"/>
    </row>
    <row r="199" spans="1:24" x14ac:dyDescent="0.35">
      <c r="A199" s="37">
        <f>_xlfn.XLOOKUP(B199,master!B:B,master!A:A)</f>
        <v>0</v>
      </c>
      <c r="B199" s="532"/>
      <c r="C199" s="533"/>
      <c r="D199" s="533"/>
      <c r="E199" s="533"/>
      <c r="F199" s="533"/>
      <c r="G199" s="533"/>
      <c r="H199" s="533"/>
      <c r="I199" s="533"/>
      <c r="J199" s="533"/>
      <c r="K199" s="533"/>
      <c r="L199" s="533"/>
      <c r="M199" s="533"/>
      <c r="N199" s="533"/>
      <c r="O199" s="533"/>
      <c r="P199" s="533"/>
      <c r="Q199" s="533"/>
      <c r="R199" s="533"/>
      <c r="S199" s="533"/>
      <c r="T199" s="533"/>
      <c r="U199" s="533"/>
      <c r="V199" s="533"/>
      <c r="W199" s="533"/>
      <c r="X199" s="533"/>
    </row>
    <row r="200" spans="1:24" x14ac:dyDescent="0.35">
      <c r="A200" s="37">
        <f>_xlfn.XLOOKUP(B200,master!B:B,master!A:A)</f>
        <v>0</v>
      </c>
      <c r="B200" s="532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</row>
    <row r="201" spans="1:24" x14ac:dyDescent="0.35">
      <c r="A201" s="37">
        <f>_xlfn.XLOOKUP(B201,master!B:B,master!A:A)</f>
        <v>0</v>
      </c>
      <c r="B201" s="532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</row>
    <row r="202" spans="1:24" x14ac:dyDescent="0.35">
      <c r="A202" s="37">
        <f>_xlfn.XLOOKUP(B202,master!B:B,master!A:A)</f>
        <v>0</v>
      </c>
      <c r="B202" s="532"/>
      <c r="C202" s="533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</row>
    <row r="203" spans="1:24" x14ac:dyDescent="0.35">
      <c r="A203" s="37">
        <f>_xlfn.XLOOKUP(B203,master!B:B,master!A:A)</f>
        <v>0</v>
      </c>
      <c r="B203" s="532"/>
      <c r="C203" s="533"/>
      <c r="D203" s="533"/>
      <c r="E203" s="533"/>
      <c r="F203" s="533"/>
      <c r="G203" s="533"/>
      <c r="H203" s="533"/>
      <c r="I203" s="533"/>
      <c r="J203" s="533"/>
      <c r="K203" s="533"/>
      <c r="L203" s="533"/>
      <c r="M203" s="533"/>
      <c r="N203" s="533"/>
      <c r="O203" s="533"/>
      <c r="P203" s="533"/>
      <c r="Q203" s="533"/>
      <c r="R203" s="533"/>
      <c r="S203" s="533"/>
      <c r="T203" s="533"/>
      <c r="U203" s="533"/>
      <c r="V203" s="533"/>
      <c r="W203" s="533"/>
      <c r="X203" s="533"/>
    </row>
    <row r="204" spans="1:24" x14ac:dyDescent="0.35">
      <c r="A204" s="37">
        <f>_xlfn.XLOOKUP(B204,master!B:B,master!A:A)</f>
        <v>0</v>
      </c>
      <c r="B204" s="532"/>
      <c r="C204" s="533"/>
      <c r="D204" s="533"/>
      <c r="E204" s="533"/>
      <c r="F204" s="533"/>
      <c r="G204" s="533"/>
      <c r="H204" s="533"/>
      <c r="I204" s="533"/>
      <c r="J204" s="533"/>
      <c r="K204" s="533"/>
      <c r="L204" s="533"/>
      <c r="M204" s="533"/>
      <c r="N204" s="533"/>
      <c r="O204" s="533"/>
      <c r="P204" s="533"/>
      <c r="Q204" s="533"/>
      <c r="R204" s="533"/>
      <c r="S204" s="533"/>
      <c r="T204" s="533"/>
      <c r="U204" s="533"/>
      <c r="V204" s="533"/>
      <c r="W204" s="533"/>
      <c r="X204" s="533"/>
    </row>
    <row r="205" spans="1:24" x14ac:dyDescent="0.35">
      <c r="A205" s="37">
        <f>_xlfn.XLOOKUP(B205,master!B:B,master!A:A)</f>
        <v>0</v>
      </c>
      <c r="B205" s="532"/>
      <c r="C205" s="533"/>
      <c r="D205" s="533"/>
      <c r="E205" s="533"/>
      <c r="F205" s="533"/>
      <c r="G205" s="533"/>
      <c r="H205" s="533"/>
      <c r="I205" s="533"/>
      <c r="J205" s="533"/>
      <c r="K205" s="533"/>
      <c r="L205" s="533"/>
      <c r="M205" s="533"/>
      <c r="N205" s="533"/>
      <c r="O205" s="533"/>
      <c r="P205" s="533"/>
      <c r="Q205" s="533"/>
      <c r="R205" s="533"/>
      <c r="S205" s="533"/>
      <c r="T205" s="533"/>
      <c r="U205" s="533"/>
      <c r="V205" s="533"/>
      <c r="W205" s="533"/>
      <c r="X205" s="533"/>
    </row>
    <row r="206" spans="1:24" x14ac:dyDescent="0.35">
      <c r="A206" s="37">
        <f>_xlfn.XLOOKUP(B206,master!B:B,master!A:A)</f>
        <v>0</v>
      </c>
      <c r="B206" s="532"/>
      <c r="C206" s="533"/>
      <c r="D206" s="533"/>
      <c r="E206" s="533"/>
      <c r="F206" s="533"/>
      <c r="G206" s="533"/>
      <c r="H206" s="533"/>
      <c r="I206" s="533"/>
      <c r="J206" s="533"/>
      <c r="K206" s="533"/>
      <c r="L206" s="533"/>
      <c r="M206" s="533"/>
      <c r="N206" s="533"/>
      <c r="O206" s="533"/>
      <c r="P206" s="533"/>
      <c r="Q206" s="533"/>
      <c r="R206" s="533"/>
      <c r="S206" s="533"/>
      <c r="T206" s="533"/>
      <c r="U206" s="533"/>
      <c r="V206" s="533"/>
      <c r="W206" s="533"/>
      <c r="X206" s="533"/>
    </row>
    <row r="207" spans="1:24" x14ac:dyDescent="0.35">
      <c r="A207" s="37">
        <f>_xlfn.XLOOKUP(B207,master!B:B,master!A:A)</f>
        <v>0</v>
      </c>
      <c r="B207" s="532"/>
      <c r="C207" s="533"/>
      <c r="D207" s="533"/>
      <c r="E207" s="533"/>
      <c r="F207" s="533"/>
      <c r="G207" s="533"/>
      <c r="H207" s="533"/>
      <c r="I207" s="533"/>
      <c r="J207" s="533"/>
      <c r="K207" s="533"/>
      <c r="L207" s="533"/>
      <c r="M207" s="533"/>
      <c r="N207" s="533"/>
      <c r="O207" s="533"/>
      <c r="P207" s="533"/>
      <c r="Q207" s="533"/>
      <c r="R207" s="533"/>
      <c r="S207" s="533"/>
      <c r="T207" s="533"/>
      <c r="U207" s="533"/>
      <c r="V207" s="533"/>
      <c r="W207" s="533"/>
      <c r="X207" s="533"/>
    </row>
    <row r="208" spans="1:24" x14ac:dyDescent="0.35">
      <c r="A208" s="37">
        <f>_xlfn.XLOOKUP(B208,master!B:B,master!A:A)</f>
        <v>0</v>
      </c>
      <c r="B208" s="532"/>
      <c r="C208" s="533"/>
      <c r="D208" s="533"/>
      <c r="E208" s="533"/>
      <c r="F208" s="533"/>
      <c r="G208" s="533"/>
      <c r="H208" s="533"/>
      <c r="I208" s="533"/>
      <c r="J208" s="533"/>
      <c r="K208" s="533"/>
      <c r="L208" s="533"/>
      <c r="M208" s="533"/>
      <c r="N208" s="533"/>
      <c r="O208" s="533"/>
      <c r="P208" s="533"/>
      <c r="Q208" s="533"/>
      <c r="R208" s="533"/>
      <c r="S208" s="533"/>
      <c r="T208" s="533"/>
      <c r="U208" s="533"/>
      <c r="V208" s="533"/>
      <c r="W208" s="533"/>
      <c r="X208" s="533"/>
    </row>
    <row r="209" spans="1:24" x14ac:dyDescent="0.35">
      <c r="A209" s="37">
        <f>_xlfn.XLOOKUP(B209,master!B:B,master!A:A)</f>
        <v>0</v>
      </c>
      <c r="B209" s="532"/>
      <c r="C209" s="533"/>
      <c r="D209" s="533"/>
      <c r="E209" s="533"/>
      <c r="F209" s="533"/>
      <c r="G209" s="533"/>
      <c r="H209" s="533"/>
      <c r="I209" s="533"/>
      <c r="J209" s="533"/>
      <c r="K209" s="533"/>
      <c r="L209" s="533"/>
      <c r="M209" s="533"/>
      <c r="N209" s="533"/>
      <c r="O209" s="533"/>
      <c r="P209" s="533"/>
      <c r="Q209" s="533"/>
      <c r="R209" s="533"/>
      <c r="S209" s="533"/>
      <c r="T209" s="533"/>
      <c r="U209" s="533"/>
      <c r="V209" s="533"/>
      <c r="W209" s="533"/>
      <c r="X209" s="533"/>
    </row>
    <row r="210" spans="1:24" x14ac:dyDescent="0.35">
      <c r="A210" s="37">
        <f>_xlfn.XLOOKUP(B210,master!B:B,master!A:A)</f>
        <v>0</v>
      </c>
      <c r="B210" s="532"/>
      <c r="C210" s="533"/>
      <c r="D210" s="533"/>
      <c r="E210" s="533"/>
      <c r="F210" s="533"/>
      <c r="G210" s="533"/>
      <c r="H210" s="533"/>
      <c r="I210" s="533"/>
      <c r="J210" s="533"/>
      <c r="K210" s="533"/>
      <c r="L210" s="533"/>
      <c r="M210" s="533"/>
      <c r="N210" s="533"/>
      <c r="O210" s="533"/>
      <c r="P210" s="533"/>
      <c r="Q210" s="533"/>
      <c r="R210" s="533"/>
      <c r="S210" s="533"/>
      <c r="T210" s="533"/>
      <c r="U210" s="533"/>
      <c r="V210" s="533"/>
      <c r="W210" s="533"/>
      <c r="X210" s="533"/>
    </row>
    <row r="211" spans="1:24" x14ac:dyDescent="0.35">
      <c r="A211" s="37">
        <f>_xlfn.XLOOKUP(B211,master!B:B,master!A:A)</f>
        <v>0</v>
      </c>
      <c r="B211" s="532"/>
      <c r="C211" s="533"/>
      <c r="D211" s="533"/>
      <c r="E211" s="533"/>
      <c r="F211" s="533"/>
      <c r="G211" s="533"/>
      <c r="H211" s="533"/>
      <c r="I211" s="533"/>
      <c r="J211" s="533"/>
      <c r="K211" s="533"/>
      <c r="L211" s="533"/>
      <c r="M211" s="533"/>
      <c r="N211" s="533"/>
      <c r="O211" s="533"/>
      <c r="P211" s="533"/>
      <c r="Q211" s="533"/>
      <c r="R211" s="533"/>
      <c r="S211" s="533"/>
      <c r="T211" s="533"/>
      <c r="U211" s="533"/>
      <c r="V211" s="533"/>
      <c r="W211" s="533"/>
      <c r="X211" s="533"/>
    </row>
    <row r="212" spans="1:24" x14ac:dyDescent="0.35">
      <c r="A212" s="37">
        <f>_xlfn.XLOOKUP(B212,master!B:B,master!A:A)</f>
        <v>0</v>
      </c>
      <c r="B212" s="532"/>
      <c r="C212" s="533"/>
      <c r="D212" s="533"/>
      <c r="E212" s="533"/>
      <c r="F212" s="533"/>
      <c r="G212" s="533"/>
      <c r="H212" s="533"/>
      <c r="I212" s="533"/>
      <c r="J212" s="533"/>
      <c r="K212" s="533"/>
      <c r="L212" s="533"/>
      <c r="M212" s="533"/>
      <c r="N212" s="533"/>
      <c r="O212" s="533"/>
      <c r="P212" s="533"/>
      <c r="Q212" s="533"/>
      <c r="R212" s="533"/>
      <c r="S212" s="533"/>
      <c r="T212" s="533"/>
      <c r="U212" s="533"/>
      <c r="V212" s="533"/>
      <c r="W212" s="533"/>
      <c r="X212" s="533"/>
    </row>
    <row r="213" spans="1:24" x14ac:dyDescent="0.35">
      <c r="A213" s="37">
        <f>_xlfn.XLOOKUP(B213,master!B:B,master!A:A)</f>
        <v>0</v>
      </c>
      <c r="B213" s="532"/>
      <c r="C213" s="533"/>
      <c r="D213" s="533"/>
      <c r="E213" s="533"/>
      <c r="F213" s="533"/>
      <c r="G213" s="533"/>
      <c r="H213" s="533"/>
      <c r="I213" s="533"/>
      <c r="J213" s="533"/>
      <c r="K213" s="533"/>
      <c r="L213" s="533"/>
      <c r="M213" s="533"/>
      <c r="N213" s="533"/>
      <c r="O213" s="533"/>
      <c r="P213" s="533"/>
      <c r="Q213" s="533"/>
      <c r="R213" s="533"/>
      <c r="S213" s="533"/>
      <c r="T213" s="533"/>
      <c r="U213" s="533"/>
      <c r="V213" s="533"/>
      <c r="W213" s="533"/>
      <c r="X213" s="533"/>
    </row>
    <row r="214" spans="1:24" x14ac:dyDescent="0.35">
      <c r="A214" s="37">
        <f>_xlfn.XLOOKUP(B214,master!B:B,master!A:A)</f>
        <v>0</v>
      </c>
      <c r="B214" s="532"/>
      <c r="C214" s="533"/>
      <c r="D214" s="533"/>
      <c r="E214" s="533"/>
      <c r="F214" s="533"/>
      <c r="G214" s="533"/>
      <c r="H214" s="533"/>
      <c r="I214" s="533"/>
      <c r="J214" s="533"/>
      <c r="K214" s="533"/>
      <c r="L214" s="533"/>
      <c r="M214" s="533"/>
      <c r="N214" s="533"/>
      <c r="O214" s="533"/>
      <c r="P214" s="533"/>
      <c r="Q214" s="533"/>
      <c r="R214" s="533"/>
      <c r="S214" s="533"/>
      <c r="T214" s="533"/>
      <c r="U214" s="533"/>
      <c r="V214" s="533"/>
      <c r="W214" s="533"/>
      <c r="X214" s="533"/>
    </row>
    <row r="215" spans="1:24" x14ac:dyDescent="0.35">
      <c r="A215" s="37">
        <f>_xlfn.XLOOKUP(B215,master!B:B,master!A:A)</f>
        <v>0</v>
      </c>
      <c r="B215" s="532"/>
      <c r="C215" s="533"/>
      <c r="D215" s="533"/>
      <c r="E215" s="533"/>
      <c r="F215" s="533"/>
      <c r="G215" s="533"/>
      <c r="H215" s="533"/>
      <c r="I215" s="533"/>
      <c r="J215" s="533"/>
      <c r="K215" s="533"/>
      <c r="L215" s="533"/>
      <c r="M215" s="533"/>
      <c r="N215" s="533"/>
      <c r="O215" s="533"/>
      <c r="P215" s="533"/>
      <c r="Q215" s="533"/>
      <c r="R215" s="533"/>
      <c r="S215" s="533"/>
      <c r="T215" s="533"/>
      <c r="U215" s="533"/>
      <c r="V215" s="533"/>
      <c r="W215" s="533"/>
      <c r="X215" s="533"/>
    </row>
    <row r="216" spans="1:24" x14ac:dyDescent="0.35">
      <c r="A216" s="37">
        <f>_xlfn.XLOOKUP(B216,master!B:B,master!A:A)</f>
        <v>0</v>
      </c>
      <c r="B216" s="532"/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3"/>
      <c r="O216" s="533"/>
      <c r="P216" s="533"/>
      <c r="Q216" s="533"/>
      <c r="R216" s="533"/>
      <c r="S216" s="533"/>
      <c r="T216" s="533"/>
      <c r="U216" s="533"/>
      <c r="V216" s="533"/>
      <c r="W216" s="533"/>
      <c r="X216" s="533"/>
    </row>
    <row r="217" spans="1:24" x14ac:dyDescent="0.35">
      <c r="A217" s="37">
        <f>_xlfn.XLOOKUP(B217,master!B:B,master!A:A)</f>
        <v>0</v>
      </c>
      <c r="B217" s="532"/>
      <c r="C217" s="533"/>
      <c r="D217" s="533"/>
      <c r="E217" s="533"/>
      <c r="F217" s="533"/>
      <c r="G217" s="533"/>
      <c r="H217" s="533"/>
      <c r="I217" s="533"/>
      <c r="J217" s="533"/>
      <c r="K217" s="533"/>
      <c r="L217" s="533"/>
      <c r="M217" s="533"/>
      <c r="N217" s="533"/>
      <c r="O217" s="533"/>
      <c r="P217" s="533"/>
      <c r="Q217" s="533"/>
      <c r="R217" s="533"/>
      <c r="S217" s="533"/>
      <c r="T217" s="533"/>
      <c r="U217" s="533"/>
      <c r="V217" s="533"/>
      <c r="W217" s="533"/>
      <c r="X217" s="533"/>
    </row>
    <row r="218" spans="1:24" x14ac:dyDescent="0.35">
      <c r="A218" s="37">
        <f>_xlfn.XLOOKUP(B218,master!B:B,master!A:A)</f>
        <v>0</v>
      </c>
      <c r="B218" s="532"/>
      <c r="C218" s="533"/>
      <c r="D218" s="533"/>
      <c r="E218" s="533"/>
      <c r="F218" s="533"/>
      <c r="G218" s="533"/>
      <c r="H218" s="533"/>
      <c r="I218" s="533"/>
      <c r="J218" s="533"/>
      <c r="K218" s="533"/>
      <c r="L218" s="533"/>
      <c r="M218" s="533"/>
      <c r="N218" s="533"/>
      <c r="O218" s="533"/>
      <c r="P218" s="533"/>
      <c r="Q218" s="533"/>
      <c r="R218" s="533"/>
      <c r="S218" s="533"/>
      <c r="T218" s="533"/>
      <c r="U218" s="533"/>
      <c r="V218" s="533"/>
      <c r="W218" s="533"/>
      <c r="X218" s="533"/>
    </row>
    <row r="219" spans="1:24" x14ac:dyDescent="0.35">
      <c r="A219" s="37">
        <f>_xlfn.XLOOKUP(B219,master!B:B,master!A:A)</f>
        <v>0</v>
      </c>
      <c r="B219" s="532"/>
      <c r="C219" s="533"/>
      <c r="D219" s="533"/>
      <c r="E219" s="533"/>
      <c r="F219" s="533"/>
      <c r="G219" s="533"/>
      <c r="H219" s="533"/>
      <c r="I219" s="533"/>
      <c r="J219" s="533"/>
      <c r="K219" s="533"/>
      <c r="L219" s="533"/>
      <c r="M219" s="533"/>
      <c r="N219" s="533"/>
      <c r="O219" s="533"/>
      <c r="P219" s="533"/>
      <c r="Q219" s="533"/>
      <c r="R219" s="533"/>
      <c r="S219" s="533"/>
      <c r="T219" s="533"/>
      <c r="U219" s="533"/>
      <c r="V219" s="533"/>
      <c r="W219" s="533"/>
      <c r="X219" s="533"/>
    </row>
    <row r="220" spans="1:24" x14ac:dyDescent="0.35">
      <c r="A220" s="37">
        <f>_xlfn.XLOOKUP(B220,master!B:B,master!A:A)</f>
        <v>0</v>
      </c>
      <c r="B220" s="532"/>
      <c r="C220" s="533"/>
      <c r="D220" s="533"/>
      <c r="E220" s="533"/>
      <c r="F220" s="533"/>
      <c r="G220" s="533"/>
      <c r="H220" s="533"/>
      <c r="I220" s="533"/>
      <c r="J220" s="533"/>
      <c r="K220" s="533"/>
      <c r="L220" s="533"/>
      <c r="M220" s="533"/>
      <c r="N220" s="533"/>
      <c r="O220" s="533"/>
      <c r="P220" s="533"/>
      <c r="Q220" s="533"/>
      <c r="R220" s="533"/>
      <c r="S220" s="533"/>
      <c r="T220" s="533"/>
      <c r="U220" s="533"/>
      <c r="V220" s="533"/>
      <c r="W220" s="533"/>
      <c r="X220" s="533"/>
    </row>
    <row r="221" spans="1:24" x14ac:dyDescent="0.35">
      <c r="A221" s="37">
        <f>_xlfn.XLOOKUP(B221,master!B:B,master!A:A)</f>
        <v>0</v>
      </c>
      <c r="B221" s="532"/>
      <c r="C221" s="533"/>
      <c r="D221" s="533"/>
      <c r="E221" s="533"/>
      <c r="F221" s="533"/>
      <c r="G221" s="533"/>
      <c r="H221" s="533"/>
      <c r="I221" s="533"/>
      <c r="J221" s="533"/>
      <c r="K221" s="533"/>
      <c r="L221" s="533"/>
      <c r="M221" s="533"/>
      <c r="N221" s="533"/>
      <c r="O221" s="533"/>
      <c r="P221" s="533"/>
      <c r="Q221" s="533"/>
      <c r="R221" s="533"/>
      <c r="S221" s="533"/>
      <c r="T221" s="533"/>
      <c r="U221" s="533"/>
      <c r="V221" s="533"/>
      <c r="W221" s="533"/>
      <c r="X221" s="533"/>
    </row>
    <row r="222" spans="1:24" x14ac:dyDescent="0.35">
      <c r="A222" s="37">
        <f>_xlfn.XLOOKUP(B222,master!B:B,master!A:A)</f>
        <v>0</v>
      </c>
      <c r="B222" s="532"/>
      <c r="C222" s="533"/>
      <c r="D222" s="533"/>
      <c r="E222" s="533"/>
      <c r="F222" s="533"/>
      <c r="G222" s="533"/>
      <c r="H222" s="533"/>
      <c r="I222" s="533"/>
      <c r="J222" s="533"/>
      <c r="K222" s="533"/>
      <c r="L222" s="533"/>
      <c r="M222" s="533"/>
      <c r="N222" s="533"/>
      <c r="O222" s="533"/>
      <c r="P222" s="533"/>
      <c r="Q222" s="533"/>
      <c r="R222" s="533"/>
      <c r="S222" s="533"/>
      <c r="T222" s="533"/>
      <c r="U222" s="533"/>
      <c r="V222" s="533"/>
      <c r="W222" s="533"/>
      <c r="X222" s="533"/>
    </row>
    <row r="223" spans="1:24" x14ac:dyDescent="0.35">
      <c r="A223" s="37">
        <f>_xlfn.XLOOKUP(B223,master!B:B,master!A:A)</f>
        <v>0</v>
      </c>
      <c r="B223" s="532"/>
      <c r="C223" s="533"/>
      <c r="D223" s="533"/>
      <c r="E223" s="533"/>
      <c r="F223" s="533"/>
      <c r="G223" s="533"/>
      <c r="H223" s="533"/>
      <c r="I223" s="533"/>
      <c r="J223" s="533"/>
      <c r="K223" s="533"/>
      <c r="L223" s="533"/>
      <c r="M223" s="533"/>
      <c r="N223" s="533"/>
      <c r="O223" s="533"/>
      <c r="P223" s="533"/>
      <c r="Q223" s="533"/>
      <c r="R223" s="533"/>
      <c r="S223" s="533"/>
      <c r="T223" s="533"/>
      <c r="U223" s="533"/>
      <c r="V223" s="533"/>
      <c r="W223" s="533"/>
      <c r="X223" s="533"/>
    </row>
    <row r="224" spans="1:24" x14ac:dyDescent="0.35">
      <c r="A224" s="37">
        <f>_xlfn.XLOOKUP(B224,master!B:B,master!A:A)</f>
        <v>0</v>
      </c>
      <c r="B224" s="532"/>
      <c r="C224" s="533"/>
      <c r="D224" s="533"/>
      <c r="E224" s="533"/>
      <c r="F224" s="533"/>
      <c r="G224" s="533"/>
      <c r="H224" s="533"/>
      <c r="I224" s="533"/>
      <c r="J224" s="533"/>
      <c r="K224" s="533"/>
      <c r="L224" s="533"/>
      <c r="M224" s="533"/>
      <c r="N224" s="533"/>
      <c r="O224" s="533"/>
      <c r="P224" s="533"/>
      <c r="Q224" s="533"/>
      <c r="R224" s="533"/>
      <c r="S224" s="533"/>
      <c r="T224" s="533"/>
      <c r="U224" s="533"/>
      <c r="V224" s="533"/>
      <c r="W224" s="533"/>
      <c r="X224" s="533"/>
    </row>
    <row r="225" spans="1:24" x14ac:dyDescent="0.35">
      <c r="A225" s="37">
        <f>_xlfn.XLOOKUP(B225,master!B:B,master!A:A)</f>
        <v>0</v>
      </c>
      <c r="B225" s="532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3"/>
      <c r="O225" s="533"/>
      <c r="P225" s="533"/>
      <c r="Q225" s="533"/>
      <c r="R225" s="533"/>
      <c r="S225" s="533"/>
      <c r="T225" s="533"/>
      <c r="U225" s="533"/>
      <c r="V225" s="533"/>
      <c r="W225" s="533"/>
      <c r="X225" s="533"/>
    </row>
    <row r="226" spans="1:24" x14ac:dyDescent="0.35">
      <c r="A226" s="37">
        <f>_xlfn.XLOOKUP(B226,master!B:B,master!A:A)</f>
        <v>0</v>
      </c>
      <c r="B226" s="532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3"/>
      <c r="O226" s="533"/>
      <c r="P226" s="533"/>
      <c r="Q226" s="533"/>
      <c r="R226" s="533"/>
      <c r="S226" s="533"/>
      <c r="T226" s="533"/>
      <c r="U226" s="533"/>
      <c r="V226" s="533"/>
      <c r="W226" s="533"/>
    </row>
    <row r="227" spans="1:24" x14ac:dyDescent="0.35">
      <c r="A227" s="37">
        <f>_xlfn.XLOOKUP(B227,master!B:B,master!A:A)</f>
        <v>0</v>
      </c>
      <c r="B227" s="532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3"/>
      <c r="O227" s="533"/>
      <c r="P227" s="533"/>
      <c r="Q227" s="533"/>
      <c r="R227" s="533"/>
      <c r="S227" s="533"/>
      <c r="T227" s="533"/>
      <c r="U227" s="533"/>
      <c r="V227" s="533"/>
      <c r="W227" s="533"/>
    </row>
    <row r="228" spans="1:24" x14ac:dyDescent="0.35">
      <c r="A228" s="37">
        <f>_xlfn.XLOOKUP(B228,master!B:B,master!A:A)</f>
        <v>0</v>
      </c>
      <c r="B228" s="532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3"/>
      <c r="O228" s="533"/>
      <c r="P228" s="533"/>
      <c r="Q228" s="533"/>
      <c r="R228" s="533"/>
      <c r="S228" s="533"/>
      <c r="T228" s="533"/>
      <c r="U228" s="533"/>
      <c r="V228" s="533"/>
      <c r="W228" s="533"/>
    </row>
    <row r="229" spans="1:24" x14ac:dyDescent="0.35">
      <c r="A229" s="37">
        <f>_xlfn.XLOOKUP(B229,master!B:B,master!A:A)</f>
        <v>0</v>
      </c>
      <c r="B229" s="532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3"/>
      <c r="O229" s="533"/>
      <c r="P229" s="533"/>
      <c r="Q229" s="533"/>
      <c r="R229" s="533"/>
      <c r="S229" s="533"/>
      <c r="T229" s="533"/>
      <c r="U229" s="533"/>
      <c r="V229" s="533"/>
      <c r="W229" s="533"/>
    </row>
    <row r="230" spans="1:24" x14ac:dyDescent="0.35">
      <c r="A230" s="37">
        <f>_xlfn.XLOOKUP(B230,master!B:B,master!A:A)</f>
        <v>0</v>
      </c>
      <c r="B230" s="532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3"/>
      <c r="O230" s="533"/>
      <c r="P230" s="533"/>
      <c r="Q230" s="533"/>
      <c r="R230" s="533"/>
      <c r="S230" s="533"/>
      <c r="T230" s="533"/>
      <c r="U230" s="533"/>
      <c r="V230" s="533"/>
      <c r="W230" s="533"/>
    </row>
    <row r="231" spans="1:24" x14ac:dyDescent="0.35">
      <c r="A231" s="37">
        <f>_xlfn.XLOOKUP(B231,master!B:B,master!A:A)</f>
        <v>0</v>
      </c>
      <c r="B231" s="532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3"/>
      <c r="O231" s="533"/>
      <c r="P231" s="533"/>
      <c r="Q231" s="533"/>
      <c r="R231" s="533"/>
      <c r="S231" s="533"/>
      <c r="T231" s="533"/>
      <c r="U231" s="533"/>
      <c r="V231" s="533"/>
      <c r="W231" s="533"/>
    </row>
    <row r="232" spans="1:24" x14ac:dyDescent="0.35">
      <c r="A232" s="37">
        <f>_xlfn.XLOOKUP(B232,master!B:B,master!A:A)</f>
        <v>0</v>
      </c>
      <c r="B232" s="532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3"/>
      <c r="W232" s="533"/>
    </row>
    <row r="233" spans="1:24" x14ac:dyDescent="0.35">
      <c r="A233" s="37">
        <f>_xlfn.XLOOKUP(B233,master!B:B,master!A:A)</f>
        <v>0</v>
      </c>
      <c r="B233" s="532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3"/>
      <c r="O233" s="533"/>
      <c r="P233" s="533"/>
      <c r="Q233" s="533"/>
      <c r="R233" s="533"/>
      <c r="S233" s="533"/>
      <c r="T233" s="533"/>
      <c r="U233" s="533"/>
      <c r="V233" s="533"/>
      <c r="W233" s="533"/>
    </row>
    <row r="234" spans="1:24" x14ac:dyDescent="0.35">
      <c r="A234" s="37">
        <f>_xlfn.XLOOKUP(B234,master!B:B,master!A:A)</f>
        <v>0</v>
      </c>
      <c r="B234" s="532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</row>
    <row r="235" spans="1:24" x14ac:dyDescent="0.35">
      <c r="A235" s="37">
        <f>_xlfn.XLOOKUP(B235,master!B:B,master!A:A)</f>
        <v>0</v>
      </c>
      <c r="B235" s="532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3"/>
      <c r="O235" s="533"/>
      <c r="P235" s="533"/>
      <c r="Q235" s="533"/>
      <c r="R235" s="533"/>
      <c r="S235" s="533"/>
      <c r="T235" s="533"/>
      <c r="U235" s="533"/>
      <c r="V235" s="533"/>
      <c r="W235" s="533"/>
    </row>
    <row r="236" spans="1:24" x14ac:dyDescent="0.35">
      <c r="A236" s="37">
        <f>_xlfn.XLOOKUP(B236,master!B:B,master!A:A)</f>
        <v>0</v>
      </c>
      <c r="B236" s="532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</row>
    <row r="237" spans="1:24" x14ac:dyDescent="0.35">
      <c r="A237" s="37">
        <f>_xlfn.XLOOKUP(B237,master!B:B,master!A:A)</f>
        <v>0</v>
      </c>
      <c r="B237" s="532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3"/>
      <c r="O237" s="533"/>
      <c r="P237" s="533"/>
      <c r="Q237" s="533"/>
      <c r="R237" s="533"/>
      <c r="S237" s="533"/>
      <c r="T237" s="533"/>
      <c r="U237" s="533"/>
      <c r="V237" s="533"/>
      <c r="W237" s="533"/>
    </row>
    <row r="238" spans="1:24" x14ac:dyDescent="0.35">
      <c r="A238" s="37">
        <f>_xlfn.XLOOKUP(B238,master!B:B,master!A:A)</f>
        <v>0</v>
      </c>
      <c r="B238" s="532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3"/>
      <c r="O238" s="533"/>
      <c r="P238" s="533"/>
      <c r="Q238" s="533"/>
      <c r="R238" s="533"/>
      <c r="S238" s="533"/>
      <c r="T238" s="533"/>
      <c r="U238" s="533"/>
      <c r="V238" s="533"/>
      <c r="W238" s="533"/>
    </row>
    <row r="239" spans="1:24" x14ac:dyDescent="0.35">
      <c r="A239" s="37">
        <f>_xlfn.XLOOKUP(B239,master!B:B,master!A:A)</f>
        <v>0</v>
      </c>
      <c r="B239" s="532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3"/>
      <c r="O239" s="533"/>
      <c r="P239" s="533"/>
      <c r="Q239" s="533"/>
      <c r="R239" s="533"/>
      <c r="S239" s="533"/>
      <c r="T239" s="533"/>
      <c r="U239" s="533"/>
      <c r="V239" s="533"/>
      <c r="W239" s="533"/>
    </row>
    <row r="240" spans="1:24" x14ac:dyDescent="0.35">
      <c r="A240" s="37">
        <f>_xlfn.XLOOKUP(B240,master!B:B,master!A:A)</f>
        <v>0</v>
      </c>
      <c r="B240" s="532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</row>
    <row r="241" spans="1:23" x14ac:dyDescent="0.35">
      <c r="A241" s="37">
        <f>_xlfn.XLOOKUP(B241,master!B:B,master!A:A)</f>
        <v>0</v>
      </c>
      <c r="B241" s="532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3"/>
      <c r="O241" s="533"/>
      <c r="P241" s="533"/>
      <c r="Q241" s="533"/>
      <c r="R241" s="533"/>
      <c r="S241" s="533"/>
      <c r="T241" s="533"/>
      <c r="U241" s="533"/>
      <c r="V241" s="533"/>
      <c r="W241" s="533"/>
    </row>
    <row r="242" spans="1:23" x14ac:dyDescent="0.35">
      <c r="A242" s="37">
        <f>_xlfn.XLOOKUP(B242,master!B:B,master!A:A)</f>
        <v>0</v>
      </c>
      <c r="B242" s="532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3"/>
      <c r="O242" s="533"/>
      <c r="P242" s="533"/>
      <c r="Q242" s="533"/>
      <c r="R242" s="533"/>
      <c r="S242" s="533"/>
      <c r="T242" s="533"/>
      <c r="U242" s="533"/>
      <c r="V242" s="533"/>
      <c r="W242" s="533"/>
    </row>
    <row r="243" spans="1:23" x14ac:dyDescent="0.35">
      <c r="A243" s="37">
        <f>_xlfn.XLOOKUP(B243,master!B:B,master!A:A)</f>
        <v>0</v>
      </c>
      <c r="B243" s="532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3"/>
      <c r="W243" s="533"/>
    </row>
    <row r="244" spans="1:23" x14ac:dyDescent="0.35">
      <c r="A244" s="37">
        <f>_xlfn.XLOOKUP(B244,master!B:B,master!A:A)</f>
        <v>0</v>
      </c>
      <c r="B244" s="532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533"/>
      <c r="U244" s="533"/>
      <c r="V244" s="533"/>
      <c r="W244" s="533"/>
    </row>
    <row r="245" spans="1:23" x14ac:dyDescent="0.35">
      <c r="B245" s="532"/>
      <c r="C245" s="533"/>
      <c r="D245" s="533"/>
      <c r="E245" s="533"/>
      <c r="F245" s="533"/>
      <c r="G245" s="533"/>
      <c r="H245" s="533"/>
      <c r="I245" s="533"/>
      <c r="J245" s="533"/>
      <c r="K245" s="533"/>
      <c r="L245" s="533"/>
      <c r="M245" s="533"/>
      <c r="N245" s="533"/>
      <c r="O245" s="533"/>
      <c r="P245" s="533"/>
      <c r="Q245" s="533"/>
      <c r="R245" s="533"/>
      <c r="S245" s="533"/>
      <c r="T245" s="533"/>
      <c r="U245" s="533"/>
      <c r="V245" s="533"/>
      <c r="W245" s="533"/>
    </row>
    <row r="246" spans="1:23" x14ac:dyDescent="0.35">
      <c r="A246" s="534" t="s">
        <v>533</v>
      </c>
      <c r="B246" s="535"/>
    </row>
    <row r="247" spans="1:23" x14ac:dyDescent="0.35">
      <c r="A247" s="47" t="str">
        <f>_xlfn.XLOOKUP(B247,[3]master!B:B,[3]master!A:A)</f>
        <v>Add: Purchase expenses</v>
      </c>
      <c r="B247" s="536" t="s">
        <v>557</v>
      </c>
      <c r="H247" s="37">
        <f>_xlfn.XLOOKUP(B247,[17]Sheet1!$A:$A,[17]Sheet1!$C:$C,0)</f>
        <v>0</v>
      </c>
      <c r="I247" s="37">
        <f>_xlfn.XLOOKUP(B247,[17]Sheet1!$A:$A,[17]Sheet1!$D:$D,0)</f>
        <v>0</v>
      </c>
      <c r="M247" s="37">
        <f>_xlfn.XLOOKUP(B247,'[18]feb-26'!$A:$A,'[18]feb-26'!$B:$B,0)</f>
        <v>0</v>
      </c>
      <c r="P247" s="37">
        <f>_xlfn.XLOOKUP(B247,'[19]Apr-26'!$A:$A,'[19]Apr-26'!$B:$B,0)</f>
        <v>0</v>
      </c>
      <c r="Q247" s="37">
        <f>_xlfn.XLOOKUP(B247,'[20]Apr 26'!$A:$A,'[20]Apr 26'!$B:$B,0)</f>
        <v>0</v>
      </c>
      <c r="R247" s="37">
        <f>_xlfn.XLOOKUP(B247,[21]Sheet1!$B:$B,[21]Sheet1!$C:$C,0)</f>
        <v>0</v>
      </c>
      <c r="S247" s="37">
        <f>_xlfn.XLOOKUP(B247,[22]provision!$A:$A,[22]provision!$B:$B,0)</f>
        <v>0</v>
      </c>
      <c r="U247" s="37">
        <f>_xlfn.XLOOKUP(B247,[23]prov!$A:$A,[23]prov!$B:$B,0)</f>
        <v>0</v>
      </c>
    </row>
    <row r="248" spans="1:23" x14ac:dyDescent="0.35">
      <c r="A248" s="47" t="str">
        <f>_xlfn.XLOOKUP(B248,[3]master!B:B,[3]master!A:A)</f>
        <v>Add: Purchase expenses</v>
      </c>
      <c r="B248" s="537" t="s">
        <v>261</v>
      </c>
      <c r="H248" s="37">
        <f>_xlfn.XLOOKUP(B248,[17]Sheet1!$A:$A,[17]Sheet1!$C:$C,0)</f>
        <v>20440</v>
      </c>
      <c r="I248" s="37">
        <f>_xlfn.XLOOKUP(B248,[17]Sheet1!$A:$A,[17]Sheet1!$D:$D,0)</f>
        <v>0</v>
      </c>
      <c r="M248" s="37">
        <f>_xlfn.XLOOKUP(B248,'[18]feb-26'!$A:$A,'[18]feb-26'!$B:$B,0)</f>
        <v>0</v>
      </c>
      <c r="P248" s="37">
        <f>_xlfn.XLOOKUP(B248,'[19]Apr-26'!$A:$A,'[19]Apr-26'!$B:$B,0)</f>
        <v>0</v>
      </c>
      <c r="Q248" s="37">
        <f>_xlfn.XLOOKUP(B248,'[20]Apr 26'!$A:$A,'[20]Apr 26'!$B:$B,0)</f>
        <v>0</v>
      </c>
      <c r="R248" s="37">
        <f>_xlfn.XLOOKUP(B248,[21]Sheet1!$B:$B,[21]Sheet1!$C:$C,0)</f>
        <v>0</v>
      </c>
      <c r="S248" s="37">
        <f>_xlfn.XLOOKUP(B248,[22]provision!$A:$A,[22]provision!$B:$B,0)</f>
        <v>0</v>
      </c>
      <c r="U248" s="37">
        <f>_xlfn.XLOOKUP(B248,[23]prov!$A:$A,[23]prov!$B:$B,0)</f>
        <v>0</v>
      </c>
    </row>
    <row r="249" spans="1:23" x14ac:dyDescent="0.35">
      <c r="A249" s="37" t="str">
        <f>_xlfn.XLOOKUP(B249,[3]master!B:B,[3]master!A:A)</f>
        <v>Add: Purchase of raw materials</v>
      </c>
      <c r="B249" s="533" t="s">
        <v>301</v>
      </c>
      <c r="H249" s="37">
        <f>_xlfn.XLOOKUP(B249,[17]Sheet1!$A:$A,[17]Sheet1!$C:$C,0)</f>
        <v>0</v>
      </c>
      <c r="I249" s="37">
        <f>_xlfn.XLOOKUP(B249,[17]Sheet1!$A:$A,[17]Sheet1!$D:$D,0)</f>
        <v>0</v>
      </c>
      <c r="M249" s="37">
        <f>_xlfn.XLOOKUP(B249,'[18]feb-26'!$A:$A,'[18]feb-26'!$B:$B,0)</f>
        <v>0</v>
      </c>
      <c r="P249" s="37">
        <f>_xlfn.XLOOKUP(B249,'[19]Apr-26'!$A:$A,'[19]Apr-26'!$B:$B,0)</f>
        <v>0</v>
      </c>
      <c r="Q249" s="37">
        <f>_xlfn.XLOOKUP(B249,'[20]Apr 26'!$A:$A,'[20]Apr 26'!$B:$B,0)</f>
        <v>0</v>
      </c>
      <c r="R249" s="37">
        <f>_xlfn.XLOOKUP(B249,[21]Sheet1!$B:$B,[21]Sheet1!$C:$C,0)</f>
        <v>0</v>
      </c>
      <c r="S249" s="37">
        <f>_xlfn.XLOOKUP(B249,[22]provision!$A:$A,[22]provision!$B:$B,0)</f>
        <v>0</v>
      </c>
      <c r="U249" s="37">
        <f>_xlfn.XLOOKUP(B249,[23]prov!$A:$A,[23]prov!$B:$B,0)</f>
        <v>0</v>
      </c>
    </row>
    <row r="250" spans="1:23" x14ac:dyDescent="0.35">
      <c r="A250" s="47" t="str">
        <f>_xlfn.XLOOKUP(B250,[3]master!B:B,[3]master!A:A)</f>
        <v xml:space="preserve">Salaries, wages and  bonus </v>
      </c>
      <c r="B250" s="537" t="s">
        <v>353</v>
      </c>
      <c r="H250" s="37">
        <f>_xlfn.XLOOKUP(B250,[17]Sheet1!$A:$A,[17]Sheet1!$C:$C,0)</f>
        <v>2500000</v>
      </c>
      <c r="I250" s="37">
        <f>_xlfn.XLOOKUP(B250,[17]Sheet1!$A:$A,[17]Sheet1!$D:$D,0)</f>
        <v>450000</v>
      </c>
      <c r="M250" s="37">
        <f>_xlfn.XLOOKUP(B250,'[18]feb-26'!$A:$A,'[18]feb-26'!$B:$B,0)</f>
        <v>14933704</v>
      </c>
      <c r="P250" s="37">
        <f>_xlfn.XLOOKUP(B250,'[19]Apr-26'!$A:$A,'[19]Apr-26'!$B:$B,0)</f>
        <v>112692</v>
      </c>
      <c r="Q250" s="37">
        <f>_xlfn.XLOOKUP(B250,'[20]Apr 26'!$A:$A,'[20]Apr 26'!$B:$B,0)</f>
        <v>3840000</v>
      </c>
      <c r="R250" s="37">
        <f>_xlfn.XLOOKUP(B250,[21]Sheet1!$B:$B,[21]Sheet1!$C:$C,0)</f>
        <v>5905866</v>
      </c>
      <c r="S250" s="37">
        <f>_xlfn.XLOOKUP(B250,[22]provision!$A:$A,[22]provision!$B:$B,0)</f>
        <v>17399872</v>
      </c>
      <c r="U250" s="37">
        <f>_xlfn.XLOOKUP(B250,[23]prov!$A:$A,[23]prov!$B:$B,0)</f>
        <v>0</v>
      </c>
      <c r="V250" s="37">
        <v>2500000</v>
      </c>
    </row>
    <row r="251" spans="1:23" x14ac:dyDescent="0.35">
      <c r="A251" s="47" t="str">
        <f>_xlfn.XLOOKUP(B251,[3]master!B:B,[3]master!A:A)</f>
        <v>Staff welfare expenses</v>
      </c>
      <c r="B251" s="537" t="s">
        <v>355</v>
      </c>
      <c r="H251" s="37">
        <f>_xlfn.XLOOKUP(B251,[17]Sheet1!$A:$A,[17]Sheet1!$C:$C,0)</f>
        <v>19845</v>
      </c>
      <c r="I251" s="37">
        <f>_xlfn.XLOOKUP(B251,[17]Sheet1!$A:$A,[17]Sheet1!$D:$D,0)</f>
        <v>0</v>
      </c>
      <c r="M251" s="37">
        <f>_xlfn.XLOOKUP(B251,'[18]feb-26'!$A:$A,'[18]feb-26'!$B:$B,0)</f>
        <v>0</v>
      </c>
      <c r="P251" s="37">
        <f>_xlfn.XLOOKUP(B251,'[19]Apr-26'!$A:$A,'[19]Apr-26'!$B:$B,0)</f>
        <v>0</v>
      </c>
      <c r="Q251" s="37">
        <f>_xlfn.XLOOKUP(B251,'[20]Apr 26'!$A:$A,'[20]Apr 26'!$B:$B,0)</f>
        <v>-21780</v>
      </c>
      <c r="R251" s="37">
        <f>_xlfn.XLOOKUP(B251,[21]Sheet1!$B:$B,[21]Sheet1!$C:$C,0)</f>
        <v>81405</v>
      </c>
      <c r="S251" s="37">
        <f>_xlfn.XLOOKUP(B251,[22]provision!$A:$A,[22]provision!$B:$B,0)</f>
        <v>0</v>
      </c>
      <c r="U251" s="37">
        <f>_xlfn.XLOOKUP(B251,[23]prov!$A:$A,[23]prov!$B:$B,0)</f>
        <v>0</v>
      </c>
    </row>
    <row r="252" spans="1:23" x14ac:dyDescent="0.35">
      <c r="A252" s="47" t="str">
        <f>_xlfn.XLOOKUP(B252,[3]master!B:B,[3]master!A:A)</f>
        <v>Staff welfare expenses</v>
      </c>
      <c r="B252" s="537" t="s">
        <v>356</v>
      </c>
      <c r="H252" s="37">
        <f>_xlfn.XLOOKUP(B252,[17]Sheet1!$A:$A,[17]Sheet1!$C:$C,0)</f>
        <v>140000</v>
      </c>
      <c r="I252" s="37">
        <f>_xlfn.XLOOKUP(B252,[17]Sheet1!$A:$A,[17]Sheet1!$D:$D,0)</f>
        <v>0</v>
      </c>
      <c r="M252" s="37">
        <f>_xlfn.XLOOKUP(B252,'[18]feb-26'!$A:$A,'[18]feb-26'!$B:$B,0)</f>
        <v>235000</v>
      </c>
      <c r="P252" s="37">
        <f>_xlfn.XLOOKUP(B252,'[19]Apr-26'!$A:$A,'[19]Apr-26'!$B:$B,0)</f>
        <v>0</v>
      </c>
      <c r="Q252" s="37">
        <f>_xlfn.XLOOKUP(B252,'[20]Apr 26'!$A:$A,'[20]Apr 26'!$B:$B,0)</f>
        <v>45000</v>
      </c>
      <c r="R252" s="37">
        <f>_xlfn.XLOOKUP(B252,[21]Sheet1!$B:$B,[21]Sheet1!$C:$C,0)</f>
        <v>133130</v>
      </c>
      <c r="S252" s="37">
        <f>_xlfn.XLOOKUP(B252,[22]provision!$A:$A,[22]provision!$B:$B,0)</f>
        <v>0</v>
      </c>
      <c r="U252" s="37">
        <f>_xlfn.XLOOKUP(B252,[23]prov!$A:$A,[23]prov!$B:$B,0)</f>
        <v>0</v>
      </c>
    </row>
    <row r="253" spans="1:23" x14ac:dyDescent="0.35">
      <c r="A253" s="47" t="str">
        <f>_xlfn.XLOOKUP(B253,[3]master!B:B,[3]master!A:A)</f>
        <v>Power and fuel</v>
      </c>
      <c r="B253" s="537" t="s">
        <v>268</v>
      </c>
      <c r="H253" s="37">
        <f>_xlfn.XLOOKUP(B253,[17]Sheet1!$A:$A,[17]Sheet1!$C:$C,0)</f>
        <v>3919720</v>
      </c>
      <c r="I253" s="37">
        <f>_xlfn.XLOOKUP(B253,[17]Sheet1!$A:$A,[17]Sheet1!$D:$D,0)</f>
        <v>0</v>
      </c>
      <c r="M253" s="37">
        <f>_xlfn.XLOOKUP(B253,'[18]feb-26'!$A:$A,'[18]feb-26'!$B:$B,0)</f>
        <v>3576447</v>
      </c>
      <c r="P253" s="37">
        <f>_xlfn.XLOOKUP(B253,'[19]Apr-26'!$A:$A,'[19]Apr-26'!$B:$B,0)</f>
        <v>0</v>
      </c>
      <c r="Q253" s="37">
        <f>_xlfn.XLOOKUP(B253,'[20]Apr 26'!$A:$A,'[20]Apr 26'!$B:$B,0)</f>
        <v>0</v>
      </c>
      <c r="R253" s="37">
        <f>_xlfn.XLOOKUP(B253,[21]Sheet1!$B:$B,[21]Sheet1!$C:$C,0)</f>
        <v>8715453</v>
      </c>
      <c r="S253" s="37">
        <f>_xlfn.XLOOKUP(B253,[22]provision!$A:$A,[22]provision!$B:$B,0)</f>
        <v>0</v>
      </c>
      <c r="U253" s="37">
        <f>_xlfn.XLOOKUP(B253,[23]prov!$A:$A,[23]prov!$B:$B,0)</f>
        <v>0</v>
      </c>
      <c r="W253" s="567">
        <v>2000000</v>
      </c>
    </row>
    <row r="254" spans="1:23" x14ac:dyDescent="0.35">
      <c r="A254" s="47" t="str">
        <f>_xlfn.XLOOKUP(B254,[3]master!B:B,[3]master!A:A)</f>
        <v>Labour charges</v>
      </c>
      <c r="B254" s="537" t="s">
        <v>267</v>
      </c>
      <c r="H254" s="37">
        <f>_xlfn.XLOOKUP(B254,[17]Sheet1!$A:$A,[17]Sheet1!$C:$C,0)</f>
        <v>2671000</v>
      </c>
      <c r="I254" s="37">
        <f>_xlfn.XLOOKUP(B254,[17]Sheet1!$A:$A,[17]Sheet1!$D:$D,0)</f>
        <v>54540</v>
      </c>
      <c r="M254" s="37">
        <f>_xlfn.XLOOKUP(B254,'[18]feb-26'!$A:$A,'[18]feb-26'!$B:$B,0)</f>
        <v>4554417</v>
      </c>
      <c r="P254" s="37">
        <f>_xlfn.XLOOKUP(B254,'[19]Apr-26'!$A:$A,'[19]Apr-26'!$B:$B,0)</f>
        <v>0</v>
      </c>
      <c r="Q254" s="37">
        <v>7900000</v>
      </c>
      <c r="R254" s="37">
        <f>_xlfn.XLOOKUP(B254,[21]Sheet1!$B:$B,[21]Sheet1!$C:$C,0)</f>
        <v>6286205</v>
      </c>
      <c r="S254" s="37">
        <f>_xlfn.XLOOKUP(B254,[22]provision!$A:$A,[22]provision!$B:$B,0)</f>
        <v>0</v>
      </c>
      <c r="U254" s="37">
        <f>_xlfn.XLOOKUP(B254,[23]prov!$A:$A,[23]prov!$B:$B,0)</f>
        <v>7206230</v>
      </c>
      <c r="W254" s="567">
        <v>7660768</v>
      </c>
    </row>
    <row r="255" spans="1:23" x14ac:dyDescent="0.35">
      <c r="A255" s="47" t="str">
        <f>_xlfn.XLOOKUP(B255,[3]master!B:B,[3]master!A:A)</f>
        <v>Other Administrative Expenses</v>
      </c>
      <c r="B255" s="537" t="s">
        <v>280</v>
      </c>
      <c r="H255" s="37">
        <f>_xlfn.XLOOKUP(B255,[17]Sheet1!$A:$A,[17]Sheet1!$C:$C,0)</f>
        <v>0</v>
      </c>
      <c r="I255" s="37">
        <f>_xlfn.XLOOKUP(B255,[17]Sheet1!$A:$A,[17]Sheet1!$D:$D,0)</f>
        <v>0</v>
      </c>
      <c r="M255" s="37">
        <f>_xlfn.XLOOKUP(B255,'[18]feb-26'!$A:$A,'[18]feb-26'!$B:$B,0)</f>
        <v>104358</v>
      </c>
      <c r="P255" s="37">
        <f>_xlfn.XLOOKUP(B255,'[19]Apr-26'!$A:$A,'[19]Apr-26'!$B:$B,0)</f>
        <v>500</v>
      </c>
      <c r="Q255" s="37">
        <f>_xlfn.XLOOKUP(B255,'[20]Apr 26'!$A:$A,'[20]Apr 26'!$B:$B,0)</f>
        <v>250000</v>
      </c>
      <c r="R255" s="37">
        <f>_xlfn.XLOOKUP(B255,[21]Sheet1!$B:$B,[21]Sheet1!$C:$C,0)</f>
        <v>863400</v>
      </c>
      <c r="S255" s="37">
        <f>_xlfn.XLOOKUP(B255,[22]provision!$A:$A,[22]provision!$B:$B,0)</f>
        <v>0</v>
      </c>
      <c r="U255" s="37">
        <f>_xlfn.XLOOKUP(B255,[23]prov!$A:$A,[23]prov!$B:$B,0)</f>
        <v>103500</v>
      </c>
    </row>
    <row r="256" spans="1:23" x14ac:dyDescent="0.35">
      <c r="A256" s="47" t="str">
        <f>_xlfn.XLOOKUP(B256,[3]master!B:B,[3]master!A:A)</f>
        <v>Other Administrative Expenses</v>
      </c>
      <c r="B256" s="537" t="s">
        <v>319</v>
      </c>
      <c r="H256" s="37">
        <f>_xlfn.XLOOKUP(B256,[17]Sheet1!$A:$A,[17]Sheet1!$C:$C,0)</f>
        <v>124000</v>
      </c>
      <c r="I256" s="37">
        <f>_xlfn.XLOOKUP(B256,[17]Sheet1!$A:$A,[17]Sheet1!$D:$D,0)</f>
        <v>0</v>
      </c>
      <c r="M256" s="37">
        <f>_xlfn.XLOOKUP(B256,'[18]feb-26'!$A:$A,'[18]feb-26'!$B:$B,0)</f>
        <v>270400</v>
      </c>
      <c r="P256" s="37">
        <f>_xlfn.XLOOKUP(B256,'[19]Apr-26'!$A:$A,'[19]Apr-26'!$B:$B,0)</f>
        <v>29000</v>
      </c>
      <c r="Q256" s="37">
        <f>_xlfn.XLOOKUP(B256,'[20]Apr 26'!$A:$A,'[20]Apr 26'!$B:$B,0)</f>
        <v>152000</v>
      </c>
      <c r="R256" s="37">
        <f>_xlfn.XLOOKUP(B256,[21]Sheet1!$B:$B,[21]Sheet1!$C:$C,0)</f>
        <v>136000</v>
      </c>
      <c r="S256" s="37">
        <f>_xlfn.XLOOKUP(B256,[22]provision!$A:$A,[22]provision!$B:$B,0)</f>
        <v>0</v>
      </c>
      <c r="U256" s="37">
        <f>_xlfn.XLOOKUP(B256,[23]prov!$A:$A,[23]prov!$B:$B,0)</f>
        <v>0</v>
      </c>
    </row>
    <row r="257" spans="1:23" x14ac:dyDescent="0.35">
      <c r="A257" s="47" t="str">
        <f>_xlfn.XLOOKUP(B257,[3]master!B:B,[3]master!A:A)</f>
        <v>Conveyance, vehicle running and traveling expenses</v>
      </c>
      <c r="B257" s="537" t="s">
        <v>328</v>
      </c>
      <c r="H257" s="37">
        <f>_xlfn.XLOOKUP(B257,[17]Sheet1!$A:$A,[17]Sheet1!$C:$C,0)</f>
        <v>0</v>
      </c>
      <c r="I257" s="37">
        <f>_xlfn.XLOOKUP(B257,[17]Sheet1!$A:$A,[17]Sheet1!$D:$D,0)</f>
        <v>0</v>
      </c>
      <c r="M257" s="37">
        <f>_xlfn.XLOOKUP(B257,'[18]feb-26'!$A:$A,'[18]feb-26'!$B:$B,0)</f>
        <v>35000</v>
      </c>
      <c r="P257" s="37">
        <f>_xlfn.XLOOKUP(B257,'[19]Apr-26'!$A:$A,'[19]Apr-26'!$B:$B,0)</f>
        <v>0</v>
      </c>
      <c r="Q257" s="37">
        <f>_xlfn.XLOOKUP(B257,'[20]Apr 26'!$A:$A,'[20]Apr 26'!$B:$B,0)</f>
        <v>350000</v>
      </c>
      <c r="R257" s="37">
        <f>_xlfn.XLOOKUP(B257,[21]Sheet1!$B:$B,[21]Sheet1!$C:$C,0)</f>
        <v>23000</v>
      </c>
      <c r="S257" s="37">
        <f>_xlfn.XLOOKUP(B257,[22]provision!$A:$A,[22]provision!$B:$B,0)</f>
        <v>0</v>
      </c>
      <c r="U257" s="37">
        <f>_xlfn.XLOOKUP(B257,[23]prov!$A:$A,[23]prov!$B:$B,0)</f>
        <v>0</v>
      </c>
    </row>
    <row r="258" spans="1:23" x14ac:dyDescent="0.35">
      <c r="A258" s="47" t="str">
        <f>_xlfn.XLOOKUP(B258,[3]master!B:B,[3]master!A:A)</f>
        <v>Conveyance, vehicle running and traveling expenses</v>
      </c>
      <c r="B258" s="537" t="s">
        <v>551</v>
      </c>
      <c r="H258" s="37">
        <f>_xlfn.XLOOKUP(B258,[17]Sheet1!$A:$A,[17]Sheet1!$C:$C,0)</f>
        <v>0</v>
      </c>
      <c r="I258" s="37">
        <f>_xlfn.XLOOKUP(B258,[17]Sheet1!$A:$A,[17]Sheet1!$D:$D,0)</f>
        <v>0</v>
      </c>
      <c r="M258" s="37">
        <f>_xlfn.XLOOKUP(B258,'[18]feb-26'!$A:$A,'[18]feb-26'!$B:$B,0)</f>
        <v>160000</v>
      </c>
      <c r="P258" s="37">
        <f>_xlfn.XLOOKUP(B258,'[19]Apr-26'!$A:$A,'[19]Apr-26'!$B:$B,0)</f>
        <v>0</v>
      </c>
      <c r="Q258" s="37">
        <f>_xlfn.XLOOKUP(B258,'[20]Apr 26'!$A:$A,'[20]Apr 26'!$B:$B,0)</f>
        <v>0</v>
      </c>
      <c r="R258" s="37">
        <f>_xlfn.XLOOKUP(B258,[21]Sheet1!$B:$B,[21]Sheet1!$C:$C,0)</f>
        <v>90000</v>
      </c>
      <c r="S258" s="37">
        <f>_xlfn.XLOOKUP(B258,[22]provision!$A:$A,[22]provision!$B:$B,0)</f>
        <v>0</v>
      </c>
      <c r="U258" s="37">
        <f>_xlfn.XLOOKUP(B258,[23]prov!$A:$A,[23]prov!$B:$B,0)</f>
        <v>0</v>
      </c>
    </row>
    <row r="259" spans="1:23" x14ac:dyDescent="0.35">
      <c r="A259" s="47" t="str">
        <f>_xlfn.XLOOKUP(B259,[3]master!B:B,[3]master!A:A)</f>
        <v>Wind mill income</v>
      </c>
      <c r="B259" s="537" t="s">
        <v>415</v>
      </c>
      <c r="H259" s="37">
        <f>_xlfn.XLOOKUP(B259,[17]Sheet1!$A:$A,[17]Sheet1!$C:$C,0)</f>
        <v>0</v>
      </c>
      <c r="I259" s="37">
        <f>_xlfn.XLOOKUP(B259,[17]Sheet1!$A:$A,[17]Sheet1!$D:$D,0)</f>
        <v>0</v>
      </c>
      <c r="M259" s="37">
        <f>_xlfn.XLOOKUP(B259,'[18]feb-26'!$A:$A,'[18]feb-26'!$B:$B,0)</f>
        <v>0</v>
      </c>
      <c r="P259" s="37">
        <f>_xlfn.XLOOKUP(B259,'[19]Apr-26'!$A:$A,'[19]Apr-26'!$B:$B,0)</f>
        <v>0</v>
      </c>
      <c r="Q259" s="37">
        <f>_xlfn.XLOOKUP(B259,'[20]Apr 26'!$A:$A,'[20]Apr 26'!$B:$B,0)</f>
        <v>0</v>
      </c>
      <c r="R259" s="37">
        <f>_xlfn.XLOOKUP(B259,[21]Sheet1!$B:$B,[21]Sheet1!$C:$C,0)</f>
        <v>-600297</v>
      </c>
      <c r="S259" s="37">
        <f>_xlfn.XLOOKUP(B259,[22]provision!$A:$A,[22]provision!$B:$B,0)</f>
        <v>0</v>
      </c>
      <c r="U259" s="37">
        <f>_xlfn.XLOOKUP(B259,[23]prov!$A:$A,[23]prov!$B:$B,0)</f>
        <v>0</v>
      </c>
    </row>
    <row r="260" spans="1:23" x14ac:dyDescent="0.35">
      <c r="A260" s="47" t="str">
        <f>_xlfn.XLOOKUP(B260,[3]master!B:B,[3]master!A:A)</f>
        <v>Freight Outward and C &amp; F Charges</v>
      </c>
      <c r="B260" s="538" t="s">
        <v>389</v>
      </c>
      <c r="H260" s="37">
        <f>_xlfn.XLOOKUP(B260,[17]Sheet1!$A:$A,[17]Sheet1!$C:$C,0)</f>
        <v>78380</v>
      </c>
      <c r="I260" s="37">
        <f>_xlfn.XLOOKUP(B260,[17]Sheet1!$A:$A,[17]Sheet1!$D:$D,0)</f>
        <v>0</v>
      </c>
      <c r="M260" s="37">
        <f>_xlfn.XLOOKUP(B260,'[18]feb-26'!$A:$A,'[18]feb-26'!$B:$B,0)</f>
        <v>1000000</v>
      </c>
      <c r="P260" s="37">
        <f>_xlfn.XLOOKUP(B260,'[19]Apr-26'!$A:$A,'[19]Apr-26'!$B:$B,0)</f>
        <v>0</v>
      </c>
      <c r="Q260" s="37">
        <f>_xlfn.XLOOKUP(B260,'[20]Apr 26'!$A:$A,'[20]Apr 26'!$B:$B,0)</f>
        <v>0</v>
      </c>
      <c r="R260" s="37">
        <f>_xlfn.XLOOKUP(B260,[21]Sheet1!$B:$B,[21]Sheet1!$C:$C,0)</f>
        <v>0</v>
      </c>
      <c r="S260" s="37">
        <f>_xlfn.XLOOKUP(B260,[22]provision!$A:$A,[22]provision!$B:$B,0)</f>
        <v>0</v>
      </c>
      <c r="U260" s="37">
        <f>_xlfn.XLOOKUP(B260,[23]prov!$A:$A,[23]prov!$B:$B,0)</f>
        <v>287000</v>
      </c>
      <c r="W260" s="567">
        <v>185000</v>
      </c>
    </row>
    <row r="261" spans="1:23" x14ac:dyDescent="0.35">
      <c r="A261" s="47" t="str">
        <f>_xlfn.XLOOKUP(B261,[3]master!B:B,[3]master!A:A)</f>
        <v>Other Administrative Expenses</v>
      </c>
      <c r="B261" s="539" t="s">
        <v>381</v>
      </c>
      <c r="H261" s="37">
        <f>_xlfn.XLOOKUP(B261,[17]Sheet1!$A:$A,[17]Sheet1!$C:$C,0)</f>
        <v>555000</v>
      </c>
      <c r="I261" s="37">
        <f>_xlfn.XLOOKUP(B261,[17]Sheet1!$A:$A,[17]Sheet1!$D:$D,0)</f>
        <v>50000</v>
      </c>
      <c r="M261" s="37">
        <f>_xlfn.XLOOKUP(B261,'[18]feb-26'!$A:$A,'[18]feb-26'!$B:$B,0)</f>
        <v>609145</v>
      </c>
      <c r="P261" s="37">
        <f>_xlfn.XLOOKUP(B261,'[19]Apr-26'!$A:$A,'[19]Apr-26'!$B:$B,0)</f>
        <v>0</v>
      </c>
      <c r="Q261" s="37">
        <f>_xlfn.XLOOKUP(B261,'[20]Apr 26'!$A:$A,'[20]Apr 26'!$B:$B,0)</f>
        <v>380000</v>
      </c>
      <c r="R261" s="37">
        <f>_xlfn.XLOOKUP(B261,[21]Sheet1!$B:$B,[21]Sheet1!$C:$C,0)</f>
        <v>125000</v>
      </c>
      <c r="S261" s="37">
        <f>_xlfn.XLOOKUP(B261,[22]provision!$A:$A,[22]provision!$B:$B,0)</f>
        <v>0</v>
      </c>
      <c r="U261" s="37">
        <f>_xlfn.XLOOKUP(B261,[23]prov!$A:$A,[23]prov!$B:$B,0)</f>
        <v>3600</v>
      </c>
    </row>
    <row r="262" spans="1:23" x14ac:dyDescent="0.35">
      <c r="A262" s="47" t="str">
        <f>_xlfn.XLOOKUP(B262,[3]master!B:B,[3]master!A:A)</f>
        <v>Other Administrative Expenses</v>
      </c>
      <c r="B262" s="539" t="s">
        <v>379</v>
      </c>
      <c r="H262" s="37">
        <f>_xlfn.XLOOKUP(B262,[17]Sheet1!$A:$A,[17]Sheet1!$C:$C,0)</f>
        <v>0</v>
      </c>
      <c r="I262" s="37">
        <f>_xlfn.XLOOKUP(B262,[17]Sheet1!$A:$A,[17]Sheet1!$D:$D,0)</f>
        <v>0</v>
      </c>
      <c r="M262" s="37">
        <f>_xlfn.XLOOKUP(B262,'[18]feb-26'!$A:$A,'[18]feb-26'!$B:$B,0)</f>
        <v>0</v>
      </c>
      <c r="P262" s="37">
        <f>_xlfn.XLOOKUP(B262,'[19]Apr-26'!$A:$A,'[19]Apr-26'!$B:$B,0)</f>
        <v>0</v>
      </c>
      <c r="Q262" s="37">
        <f>_xlfn.XLOOKUP(B262,'[20]Apr 26'!$A:$A,'[20]Apr 26'!$B:$B,0)</f>
        <v>7500</v>
      </c>
      <c r="R262" s="37">
        <f>_xlfn.XLOOKUP(B262,[21]Sheet1!$B:$B,[21]Sheet1!$C:$C,0)</f>
        <v>0</v>
      </c>
      <c r="S262" s="37">
        <f>_xlfn.XLOOKUP(B262,[22]provision!$A:$A,[22]provision!$B:$B,0)</f>
        <v>0</v>
      </c>
      <c r="U262" s="37">
        <f>_xlfn.XLOOKUP(B262,[23]prov!$A:$A,[23]prov!$B:$B,0)</f>
        <v>7500</v>
      </c>
    </row>
    <row r="263" spans="1:23" x14ac:dyDescent="0.35">
      <c r="A263" s="47" t="str">
        <f>_xlfn.XLOOKUP(B263,[3]master!B:B,[3]master!A:A)</f>
        <v>Contribution to provident and other funds</v>
      </c>
      <c r="B263" s="539" t="s">
        <v>331</v>
      </c>
      <c r="H263" s="37">
        <f>_xlfn.XLOOKUP(B263,[17]Sheet1!$A:$A,[17]Sheet1!$C:$C,0)</f>
        <v>95000</v>
      </c>
      <c r="I263" s="37">
        <f>_xlfn.XLOOKUP(B263,[17]Sheet1!$A:$A,[17]Sheet1!$D:$D,0)</f>
        <v>7500</v>
      </c>
      <c r="M263" s="37">
        <f>_xlfn.XLOOKUP(B263,'[18]feb-26'!$A:$A,'[18]feb-26'!$B:$B,0)</f>
        <v>0</v>
      </c>
      <c r="P263" s="37">
        <f>_xlfn.XLOOKUP(B263,'[19]Apr-26'!$A:$A,'[19]Apr-26'!$B:$B,0)</f>
        <v>0</v>
      </c>
      <c r="Q263" s="37">
        <f>_xlfn.XLOOKUP(B263,'[20]Apr 26'!$A:$A,'[20]Apr 26'!$B:$B,0)</f>
        <v>140366</v>
      </c>
      <c r="R263" s="37">
        <f>_xlfn.XLOOKUP(B263,[21]Sheet1!$B:$B,[21]Sheet1!$C:$C,0)</f>
        <v>0</v>
      </c>
      <c r="S263" s="37">
        <f>_xlfn.XLOOKUP(B263,[22]provision!$A:$A,[22]provision!$B:$B,0)</f>
        <v>0</v>
      </c>
      <c r="U263" s="37">
        <f>_xlfn.XLOOKUP(B263,[23]prov!$A:$A,[23]prov!$B:$B,0)</f>
        <v>35405</v>
      </c>
    </row>
    <row r="264" spans="1:23" x14ac:dyDescent="0.35">
      <c r="A264" s="47" t="str">
        <f>_xlfn.XLOOKUP(B264,[3]master!B:B,[3]master!A:A)</f>
        <v>Other Administrative Expenses</v>
      </c>
      <c r="B264" s="539" t="s">
        <v>311</v>
      </c>
      <c r="H264" s="37">
        <f>_xlfn.XLOOKUP(B264,[17]Sheet1!$A:$A,[17]Sheet1!$C:$C,0)</f>
        <v>0</v>
      </c>
      <c r="I264" s="37">
        <f>_xlfn.XLOOKUP(B264,[17]Sheet1!$A:$A,[17]Sheet1!$D:$D,0)</f>
        <v>0</v>
      </c>
      <c r="M264" s="37">
        <f>_xlfn.XLOOKUP(B264,'[18]feb-26'!$A:$A,'[18]feb-26'!$B:$B,0)</f>
        <v>0</v>
      </c>
      <c r="P264" s="37">
        <f>_xlfn.XLOOKUP(B264,'[19]Apr-26'!$A:$A,'[19]Apr-26'!$B:$B,0)</f>
        <v>707</v>
      </c>
      <c r="Q264" s="37">
        <f>_xlfn.XLOOKUP(B264,'[20]Apr 26'!$A:$A,'[20]Apr 26'!$B:$B,0)</f>
        <v>25000</v>
      </c>
      <c r="R264" s="37">
        <f>_xlfn.XLOOKUP(B264,[21]Sheet1!$B:$B,[21]Sheet1!$C:$C,0)</f>
        <v>0</v>
      </c>
      <c r="S264" s="37">
        <f>_xlfn.XLOOKUP(B264,[22]provision!$A:$A,[22]provision!$B:$B,0)</f>
        <v>0</v>
      </c>
      <c r="U264" s="37">
        <f>_xlfn.XLOOKUP(B264,[23]prov!$A:$A,[23]prov!$B:$B,0)</f>
        <v>0</v>
      </c>
    </row>
    <row r="265" spans="1:23" x14ac:dyDescent="0.35">
      <c r="A265" s="47" t="str">
        <f>_xlfn.XLOOKUP(B265,[3]master!B:B,[3]master!A:A)</f>
        <v>Freight Outward and C &amp; F Charges</v>
      </c>
      <c r="B265" s="537" t="s">
        <v>278</v>
      </c>
      <c r="H265" s="37">
        <f>_xlfn.XLOOKUP(B265,[17]Sheet1!$A:$A,[17]Sheet1!$C:$C,0)</f>
        <v>7080</v>
      </c>
      <c r="I265" s="37">
        <f>_xlfn.XLOOKUP(B265,[17]Sheet1!$A:$A,[17]Sheet1!$D:$D,0)</f>
        <v>0</v>
      </c>
      <c r="M265" s="37">
        <f>_xlfn.XLOOKUP(B265,'[18]feb-26'!$A:$A,'[18]feb-26'!$B:$B,0)</f>
        <v>14280</v>
      </c>
      <c r="P265" s="37">
        <f>_xlfn.XLOOKUP(B265,'[19]Apr-26'!$A:$A,'[19]Apr-26'!$B:$B,0)</f>
        <v>0</v>
      </c>
      <c r="Q265" s="37">
        <f>_xlfn.XLOOKUP(B265,'[20]Apr 26'!$A:$A,'[20]Apr 26'!$B:$B,0)</f>
        <v>45000</v>
      </c>
      <c r="R265" s="37">
        <f>_xlfn.XLOOKUP(B265,[21]Sheet1!$B:$B,[21]Sheet1!$C:$C,0)</f>
        <v>0</v>
      </c>
      <c r="S265" s="37">
        <f>_xlfn.XLOOKUP(B265,[22]provision!$A:$A,[22]provision!$B:$B,0)</f>
        <v>69895</v>
      </c>
      <c r="U265" s="37">
        <f>_xlfn.XLOOKUP(B265,[23]prov!$A:$A,[23]prov!$B:$B,0)</f>
        <v>0</v>
      </c>
    </row>
    <row r="266" spans="1:23" x14ac:dyDescent="0.35">
      <c r="A266" s="47" t="str">
        <f>_xlfn.XLOOKUP(B266,[3]master!B:B,[3]master!A:A)</f>
        <v>Add: Purchase of Stores, Spares &amp; Consumables</v>
      </c>
      <c r="B266" s="537" t="s">
        <v>295</v>
      </c>
      <c r="H266" s="37">
        <f>_xlfn.XLOOKUP(B266,[17]Sheet1!$A:$A,[17]Sheet1!$C:$C,0)</f>
        <v>0</v>
      </c>
      <c r="I266" s="37">
        <f>_xlfn.XLOOKUP(B266,[17]Sheet1!$A:$A,[17]Sheet1!$D:$D,0)</f>
        <v>0</v>
      </c>
      <c r="M266" s="37">
        <f>_xlfn.XLOOKUP(B266,'[18]feb-26'!$A:$A,'[18]feb-26'!$B:$B,0)</f>
        <v>0</v>
      </c>
      <c r="P266" s="37">
        <f>_xlfn.XLOOKUP(B266,'[19]Apr-26'!$A:$A,'[19]Apr-26'!$B:$B,0)</f>
        <v>0</v>
      </c>
      <c r="Q266" s="37">
        <f>_xlfn.XLOOKUP(B266,'[20]Apr 26'!$A:$A,'[20]Apr 26'!$B:$B,0)</f>
        <v>0</v>
      </c>
      <c r="R266" s="37">
        <f>_xlfn.XLOOKUP(B266,[21]Sheet1!$B:$B,[21]Sheet1!$C:$C,0)</f>
        <v>0</v>
      </c>
      <c r="S266" s="37">
        <f>_xlfn.XLOOKUP(B266,[22]provision!$A:$A,[22]provision!$B:$B,0)</f>
        <v>0</v>
      </c>
      <c r="U266" s="37">
        <f>_xlfn.XLOOKUP(B266,[23]prov!$A:$A,[23]prov!$B:$B,0)</f>
        <v>0</v>
      </c>
    </row>
    <row r="267" spans="1:23" x14ac:dyDescent="0.35">
      <c r="A267" s="47" t="str">
        <f>_xlfn.XLOOKUP(B267,[3]master!B:B,[3]master!A:A)</f>
        <v>Conveyance, vehicle running and traveling expenses</v>
      </c>
      <c r="B267" s="537" t="s">
        <v>302</v>
      </c>
      <c r="H267" s="37">
        <f>_xlfn.XLOOKUP(B267,[17]Sheet1!$A:$A,[17]Sheet1!$C:$C,0)</f>
        <v>4000</v>
      </c>
      <c r="I267" s="37">
        <f>_xlfn.XLOOKUP(B267,[17]Sheet1!$A:$A,[17]Sheet1!$D:$D,0)</f>
        <v>2000</v>
      </c>
      <c r="M267" s="37">
        <f>_xlfn.XLOOKUP(B267,'[18]feb-26'!$A:$A,'[18]feb-26'!$B:$B,0)</f>
        <v>0</v>
      </c>
      <c r="P267" s="37">
        <f>_xlfn.XLOOKUP(B267,'[19]Apr-26'!$A:$A,'[19]Apr-26'!$B:$B,0)</f>
        <v>0</v>
      </c>
      <c r="Q267" s="37">
        <f>_xlfn.XLOOKUP(B267,'[20]Apr 26'!$A:$A,'[20]Apr 26'!$B:$B,0)</f>
        <v>0</v>
      </c>
      <c r="R267" s="37">
        <f>_xlfn.XLOOKUP(B267,[21]Sheet1!$B:$B,[21]Sheet1!$C:$C,0)</f>
        <v>0</v>
      </c>
      <c r="S267" s="37">
        <f>_xlfn.XLOOKUP(B267,[22]provision!$A:$A,[22]provision!$B:$B,0)</f>
        <v>0</v>
      </c>
      <c r="U267" s="37">
        <f>_xlfn.XLOOKUP(B267,[23]prov!$A:$A,[23]prov!$B:$B,0)</f>
        <v>0</v>
      </c>
    </row>
    <row r="268" spans="1:23" x14ac:dyDescent="0.35">
      <c r="A268" s="47" t="str">
        <f>_xlfn.XLOOKUP(B268,[3]master!B:B,[3]master!A:A)</f>
        <v>Other Administrative Expenses</v>
      </c>
      <c r="B268" s="537" t="s">
        <v>315</v>
      </c>
      <c r="H268" s="37">
        <f>_xlfn.XLOOKUP(B268,[17]Sheet1!$A:$A,[17]Sheet1!$C:$C,0)</f>
        <v>149760</v>
      </c>
      <c r="I268" s="37">
        <f>_xlfn.XLOOKUP(B268,[17]Sheet1!$A:$A,[17]Sheet1!$D:$D,0)</f>
        <v>19855</v>
      </c>
      <c r="M268" s="37">
        <f>_xlfn.XLOOKUP(B268,'[18]feb-26'!$A:$A,'[18]feb-26'!$B:$B,0)</f>
        <v>0</v>
      </c>
      <c r="P268" s="37">
        <f>_xlfn.XLOOKUP(B268,'[19]Apr-26'!$A:$A,'[19]Apr-26'!$B:$B,0)</f>
        <v>0</v>
      </c>
      <c r="Q268" s="37">
        <f>_xlfn.XLOOKUP(B268,'[20]Apr 26'!$A:$A,'[20]Apr 26'!$B:$B,0)</f>
        <v>12000</v>
      </c>
      <c r="R268" s="37">
        <f>_xlfn.XLOOKUP(B268,[21]Sheet1!$B:$B,[21]Sheet1!$C:$C,0)</f>
        <v>0</v>
      </c>
      <c r="S268" s="37">
        <f>_xlfn.XLOOKUP(B268,[22]provision!$A:$A,[22]provision!$B:$B,0)</f>
        <v>0</v>
      </c>
      <c r="U268" s="37">
        <f>_xlfn.XLOOKUP(B268,[23]prov!$A:$A,[23]prov!$B:$B,0)</f>
        <v>0</v>
      </c>
    </row>
    <row r="269" spans="1:23" ht="12.75" customHeight="1" x14ac:dyDescent="0.35">
      <c r="A269" s="47" t="str">
        <f>_xlfn.XLOOKUP(B269,[3]master!B:B,[3]master!A:A)</f>
        <v>Other Administrative Expenses</v>
      </c>
      <c r="B269" s="537" t="s">
        <v>316</v>
      </c>
      <c r="H269" s="37">
        <f>_xlfn.XLOOKUP(B269,[17]Sheet1!$A:$A,[17]Sheet1!$C:$C,0)</f>
        <v>10190</v>
      </c>
      <c r="I269" s="37">
        <f>_xlfn.XLOOKUP(B269,[17]Sheet1!$A:$A,[17]Sheet1!$D:$D,0)</f>
        <v>0</v>
      </c>
      <c r="M269" s="37">
        <f>_xlfn.XLOOKUP(B269,'[18]feb-26'!$A:$A,'[18]feb-26'!$B:$B,0)</f>
        <v>0</v>
      </c>
      <c r="P269" s="37">
        <f>_xlfn.XLOOKUP(B269,'[19]Apr-26'!$A:$A,'[19]Apr-26'!$B:$B,0)</f>
        <v>0</v>
      </c>
      <c r="Q269" s="37">
        <f>_xlfn.XLOOKUP(B269,'[20]Apr 26'!$A:$A,'[20]Apr 26'!$B:$B,0)</f>
        <v>15000</v>
      </c>
      <c r="R269" s="37">
        <f>_xlfn.XLOOKUP(B269,[21]Sheet1!$B:$B,[21]Sheet1!$C:$C,0)</f>
        <v>0</v>
      </c>
      <c r="S269" s="37">
        <f>_xlfn.XLOOKUP(B269,[22]provision!$A:$A,[22]provision!$B:$B,0)</f>
        <v>0</v>
      </c>
      <c r="U269" s="37">
        <f>_xlfn.XLOOKUP(B269,[23]prov!$A:$A,[23]prov!$B:$B,0)</f>
        <v>0</v>
      </c>
    </row>
    <row r="270" spans="1:23" x14ac:dyDescent="0.35">
      <c r="A270" s="47" t="str">
        <f>_xlfn.XLOOKUP(B270,[3]master!B:B,[3]master!A:A)</f>
        <v>Other Administrative Expenses</v>
      </c>
      <c r="B270" s="537" t="s">
        <v>327</v>
      </c>
      <c r="H270" s="37">
        <f>_xlfn.XLOOKUP(B270,[17]Sheet1!$A:$A,[17]Sheet1!$C:$C,0)</f>
        <v>0</v>
      </c>
      <c r="I270" s="37">
        <f>_xlfn.XLOOKUP(B270,[17]Sheet1!$A:$A,[17]Sheet1!$D:$D,0)</f>
        <v>0</v>
      </c>
      <c r="M270" s="37">
        <f>_xlfn.XLOOKUP(B270,'[18]feb-26'!$A:$A,'[18]feb-26'!$B:$B,0)</f>
        <v>170042</v>
      </c>
      <c r="P270" s="37">
        <f>_xlfn.XLOOKUP(B270,'[19]Apr-26'!$A:$A,'[19]Apr-26'!$B:$B,0)</f>
        <v>0</v>
      </c>
      <c r="Q270" s="37">
        <f>_xlfn.XLOOKUP(B270,'[20]Apr 26'!$A:$A,'[20]Apr 26'!$B:$B,0)</f>
        <v>0</v>
      </c>
      <c r="R270" s="37">
        <f>_xlfn.XLOOKUP(B270,[21]Sheet1!$B:$B,[21]Sheet1!$C:$C,0)</f>
        <v>0</v>
      </c>
      <c r="S270" s="37">
        <f>_xlfn.XLOOKUP(B270,[22]provision!$A:$A,[22]provision!$B:$B,0)</f>
        <v>0</v>
      </c>
      <c r="U270" s="37">
        <f>_xlfn.XLOOKUP(B270,[23]prov!$A:$A,[23]prov!$B:$B,0)</f>
        <v>0</v>
      </c>
    </row>
    <row r="271" spans="1:23" x14ac:dyDescent="0.35">
      <c r="A271" s="47" t="str">
        <f>_xlfn.XLOOKUP(B271,[3]master!B:B,[3]master!A:A)</f>
        <v xml:space="preserve">Salaries, wages and  bonus </v>
      </c>
      <c r="B271" s="537" t="s">
        <v>350</v>
      </c>
      <c r="H271" s="37">
        <f>_xlfn.XLOOKUP(B271,[17]Sheet1!$A:$A,[17]Sheet1!$C:$C,0)</f>
        <v>0</v>
      </c>
      <c r="I271" s="37">
        <f>_xlfn.XLOOKUP(B271,[17]Sheet1!$A:$A,[17]Sheet1!$D:$D,0)</f>
        <v>0</v>
      </c>
      <c r="M271" s="37">
        <f>_xlfn.XLOOKUP(B271,'[18]feb-26'!$A:$A,'[18]feb-26'!$B:$B,0)</f>
        <v>0</v>
      </c>
      <c r="P271" s="37">
        <f>_xlfn.XLOOKUP(B271,'[19]Apr-26'!$A:$A,'[19]Apr-26'!$B:$B,0)</f>
        <v>0</v>
      </c>
      <c r="Q271" s="37">
        <f>_xlfn.XLOOKUP(B271,'[20]Apr 26'!$A:$A,'[20]Apr 26'!$B:$B,0)</f>
        <v>0</v>
      </c>
      <c r="R271" s="37">
        <f>_xlfn.XLOOKUP(B271,[21]Sheet1!$B:$B,[21]Sheet1!$C:$C,0)</f>
        <v>0</v>
      </c>
      <c r="S271" s="37">
        <f>_xlfn.XLOOKUP(B271,[22]provision!$A:$A,[22]provision!$B:$B,0)</f>
        <v>0</v>
      </c>
      <c r="U271" s="37">
        <f>_xlfn.XLOOKUP(B271,[23]prov!$A:$A,[23]prov!$B:$B,0)</f>
        <v>0</v>
      </c>
    </row>
    <row r="272" spans="1:23" x14ac:dyDescent="0.35">
      <c r="A272" s="47" t="str">
        <f>_xlfn.XLOOKUP(B272,[3]master!B:B,[3]master!A:A)</f>
        <v>Freight Outward and C &amp; F Charges</v>
      </c>
      <c r="B272" s="537" t="s">
        <v>388</v>
      </c>
      <c r="H272" s="37">
        <f>_xlfn.XLOOKUP(B272,[17]Sheet1!$A:$A,[17]Sheet1!$C:$C,0)</f>
        <v>570000</v>
      </c>
      <c r="I272" s="37">
        <f>_xlfn.XLOOKUP(B272,[17]Sheet1!$A:$A,[17]Sheet1!$D:$D,0)</f>
        <v>0</v>
      </c>
      <c r="M272" s="37">
        <f>_xlfn.XLOOKUP(B272,'[18]feb-26'!$A:$A,'[18]feb-26'!$B:$B,0)</f>
        <v>279000</v>
      </c>
      <c r="P272" s="37">
        <f>_xlfn.XLOOKUP(B272,'[19]Apr-26'!$A:$A,'[19]Apr-26'!$B:$B,0)</f>
        <v>0</v>
      </c>
      <c r="Q272" s="37">
        <f>_xlfn.XLOOKUP(B272,'[20]Apr 26'!$A:$A,'[20]Apr 26'!$B:$B,0)</f>
        <v>0</v>
      </c>
      <c r="R272" s="37">
        <f>_xlfn.XLOOKUP(B272,[21]Sheet1!$B:$B,[21]Sheet1!$C:$C,0)</f>
        <v>0</v>
      </c>
      <c r="S272" s="37">
        <f>_xlfn.XLOOKUP(B272,[22]provision!$A:$A,[22]provision!$B:$B,0)</f>
        <v>700000</v>
      </c>
      <c r="U272" s="37">
        <f>_xlfn.XLOOKUP(B272,[23]prov!$A:$A,[23]prov!$B:$B,0)</f>
        <v>0</v>
      </c>
    </row>
    <row r="273" spans="1:21" x14ac:dyDescent="0.35">
      <c r="A273" s="47" t="str">
        <f>_xlfn.XLOOKUP(B273,[3]master!B:B,[3]master!A:A)</f>
        <v>Contribution to provident and other funds</v>
      </c>
      <c r="B273" s="537" t="s">
        <v>552</v>
      </c>
      <c r="H273" s="37">
        <f>_xlfn.XLOOKUP(B273,[17]Sheet1!$A:$A,[17]Sheet1!$C:$C,0)</f>
        <v>0</v>
      </c>
      <c r="I273" s="37">
        <f>_xlfn.XLOOKUP(B273,[17]Sheet1!$A:$A,[17]Sheet1!$D:$D,0)</f>
        <v>0</v>
      </c>
      <c r="M273" s="37">
        <f>_xlfn.XLOOKUP(B273,'[18]feb-26'!$A:$A,'[18]feb-26'!$B:$B,0)</f>
        <v>0</v>
      </c>
      <c r="P273" s="37">
        <f>_xlfn.XLOOKUP(B273,'[19]Apr-26'!$A:$A,'[19]Apr-26'!$B:$B,0)</f>
        <v>0</v>
      </c>
      <c r="Q273" s="37">
        <f>_xlfn.XLOOKUP(B273,'[20]Apr 26'!$A:$A,'[20]Apr 26'!$B:$B,0)</f>
        <v>0</v>
      </c>
      <c r="R273" s="37">
        <f>_xlfn.XLOOKUP(B273,[21]Sheet1!$B:$B,[21]Sheet1!$C:$C,0)</f>
        <v>0</v>
      </c>
      <c r="S273" s="37">
        <f>_xlfn.XLOOKUP(B273,[22]provision!$A:$A,[22]provision!$B:$B,0)</f>
        <v>0</v>
      </c>
      <c r="U273" s="37">
        <f>_xlfn.XLOOKUP(B273,[23]prov!$A:$A,[23]prov!$B:$B,0)</f>
        <v>0</v>
      </c>
    </row>
    <row r="274" spans="1:21" x14ac:dyDescent="0.35">
      <c r="A274" s="47" t="str">
        <f>_xlfn.XLOOKUP(B274,[3]master!B:B,[3]master!A:A)</f>
        <v>Other Administrative Expenses</v>
      </c>
      <c r="B274" s="537" t="s">
        <v>306</v>
      </c>
      <c r="H274" s="37">
        <f>_xlfn.XLOOKUP(B274,[17]Sheet1!$A:$A,[17]Sheet1!$C:$C,0)</f>
        <v>0</v>
      </c>
      <c r="I274" s="37">
        <f>_xlfn.XLOOKUP(B274,[17]Sheet1!$A:$A,[17]Sheet1!$D:$D,0)</f>
        <v>0</v>
      </c>
      <c r="M274" s="37">
        <f>_xlfn.XLOOKUP(B274,'[18]feb-26'!$A:$A,'[18]feb-26'!$B:$B,0)</f>
        <v>0</v>
      </c>
      <c r="P274" s="37">
        <f>_xlfn.XLOOKUP(B274,'[19]Apr-26'!$A:$A,'[19]Apr-26'!$B:$B,0)</f>
        <v>0</v>
      </c>
      <c r="Q274" s="37">
        <f>_xlfn.XLOOKUP(B274,'[20]Apr 26'!$A:$A,'[20]Apr 26'!$B:$B,0)</f>
        <v>5000</v>
      </c>
      <c r="R274" s="37">
        <f>_xlfn.XLOOKUP(B274,[21]Sheet1!$B:$B,[21]Sheet1!$C:$C,0)</f>
        <v>0</v>
      </c>
      <c r="S274" s="37">
        <f>_xlfn.XLOOKUP(B274,[22]provision!$A:$A,[22]provision!$B:$B,0)</f>
        <v>0</v>
      </c>
      <c r="U274" s="37">
        <f>_xlfn.XLOOKUP(B274,[23]prov!$A:$A,[23]prov!$B:$B,0)</f>
        <v>0</v>
      </c>
    </row>
    <row r="275" spans="1:21" x14ac:dyDescent="0.35">
      <c r="A275" s="47" t="str">
        <f>_xlfn.XLOOKUP(B275,[3]master!B:B,[3]master!A:A)</f>
        <v>Gratuity Expenses</v>
      </c>
      <c r="B275" s="537" t="s">
        <v>346</v>
      </c>
      <c r="H275" s="37">
        <f>_xlfn.XLOOKUP(B275,[17]Sheet1!$A:$A,[17]Sheet1!$C:$C,0)</f>
        <v>0</v>
      </c>
      <c r="I275" s="37">
        <f>_xlfn.XLOOKUP(B275,[17]Sheet1!$A:$A,[17]Sheet1!$D:$D,0)</f>
        <v>0</v>
      </c>
      <c r="M275" s="37">
        <f>_xlfn.XLOOKUP(B275,'[18]feb-26'!$A:$A,'[18]feb-26'!$B:$B,0)</f>
        <v>0</v>
      </c>
      <c r="P275" s="37">
        <f>_xlfn.XLOOKUP(B275,'[19]Apr-26'!$A:$A,'[19]Apr-26'!$B:$B,0)</f>
        <v>0</v>
      </c>
      <c r="Q275" s="37">
        <f>_xlfn.XLOOKUP(B275,'[20]Apr 26'!$A:$A,'[20]Apr 26'!$B:$B,0)</f>
        <v>0</v>
      </c>
      <c r="R275" s="37">
        <f>_xlfn.XLOOKUP(B275,[21]Sheet1!$B:$B,[21]Sheet1!$C:$C,0)</f>
        <v>0</v>
      </c>
      <c r="S275" s="37">
        <f>_xlfn.XLOOKUP(B275,[22]provision!$A:$A,[22]provision!$B:$B,0)</f>
        <v>0</v>
      </c>
      <c r="U275" s="37">
        <f>_xlfn.XLOOKUP(B275,[23]prov!$A:$A,[23]prov!$B:$B,0)</f>
        <v>0</v>
      </c>
    </row>
    <row r="276" spans="1:21" x14ac:dyDescent="0.35">
      <c r="A276" s="47" t="str">
        <f>_xlfn.XLOOKUP(B276,[3]master!B:B,[3]master!A:A)</f>
        <v xml:space="preserve">Jobwork charges </v>
      </c>
      <c r="B276" s="537" t="s">
        <v>277</v>
      </c>
      <c r="H276" s="37">
        <f>_xlfn.XLOOKUP(B276,[17]Sheet1!$A:$A,[17]Sheet1!$C:$C,0)</f>
        <v>1235889</v>
      </c>
      <c r="I276" s="37">
        <f>_xlfn.XLOOKUP(B276,[17]Sheet1!$A:$A,[17]Sheet1!$D:$D,0)</f>
        <v>0</v>
      </c>
      <c r="M276" s="37">
        <f>_xlfn.XLOOKUP(B276,'[18]feb-26'!$A:$A,'[18]feb-26'!$B:$B,0)</f>
        <v>4954774</v>
      </c>
      <c r="P276" s="37">
        <f>_xlfn.XLOOKUP(B276,'[19]Apr-26'!$A:$A,'[19]Apr-26'!$B:$B,0)</f>
        <v>0</v>
      </c>
      <c r="Q276" s="37">
        <f>_xlfn.XLOOKUP(B276,'[20]Apr 26'!$A:$A,'[20]Apr 26'!$B:$B,0)</f>
        <v>35000</v>
      </c>
      <c r="R276" s="37">
        <f>_xlfn.XLOOKUP(B276,[21]Sheet1!$B:$B,[21]Sheet1!$C:$C,0)</f>
        <v>0</v>
      </c>
      <c r="S276" s="37">
        <f>_xlfn.XLOOKUP(B276,[22]provision!$A:$A,[22]provision!$B:$B,0)</f>
        <v>0</v>
      </c>
      <c r="U276" s="37">
        <f>_xlfn.XLOOKUP(B276,[23]prov!$A:$A,[23]prov!$B:$B,0)</f>
        <v>0</v>
      </c>
    </row>
    <row r="277" spans="1:21" x14ac:dyDescent="0.35">
      <c r="A277" s="47" t="str">
        <f>_xlfn.XLOOKUP(B277,[3]master!B:B,[3]master!A:A)</f>
        <v>Other Administrative Expenses</v>
      </c>
      <c r="B277" s="537" t="s">
        <v>323</v>
      </c>
      <c r="H277" s="37">
        <f>_xlfn.XLOOKUP(B277,[17]Sheet1!$A:$A,[17]Sheet1!$C:$C,0)</f>
        <v>0</v>
      </c>
      <c r="I277" s="37">
        <f>_xlfn.XLOOKUP(B277,[17]Sheet1!$A:$A,[17]Sheet1!$D:$D,0)</f>
        <v>0</v>
      </c>
      <c r="M277" s="37">
        <f>_xlfn.XLOOKUP(B277,'[18]feb-26'!$A:$A,'[18]feb-26'!$B:$B,0)</f>
        <v>0</v>
      </c>
      <c r="P277" s="37">
        <f>_xlfn.XLOOKUP(B277,'[19]Apr-26'!$A:$A,'[19]Apr-26'!$B:$B,0)</f>
        <v>0</v>
      </c>
      <c r="Q277" s="37">
        <f>_xlfn.XLOOKUP(B277,'[20]Apr 26'!$A:$A,'[20]Apr 26'!$B:$B,0)</f>
        <v>68000</v>
      </c>
      <c r="R277" s="37">
        <f>_xlfn.XLOOKUP(B277,[21]Sheet1!$B:$B,[21]Sheet1!$C:$C,0)</f>
        <v>0</v>
      </c>
      <c r="S277" s="37">
        <f>_xlfn.XLOOKUP(B277,[22]provision!$A:$A,[22]provision!$B:$B,0)</f>
        <v>0</v>
      </c>
      <c r="U277" s="37">
        <f>_xlfn.XLOOKUP(B277,[23]prov!$A:$A,[23]prov!$B:$B,0)</f>
        <v>4400</v>
      </c>
    </row>
    <row r="278" spans="1:21" x14ac:dyDescent="0.35">
      <c r="A278" s="47" t="str">
        <f>_xlfn.XLOOKUP(B278,[3]master!B:B,[3]master!A:A)</f>
        <v>Insurance</v>
      </c>
      <c r="B278" s="537" t="s">
        <v>275</v>
      </c>
      <c r="H278" s="37">
        <f>_xlfn.XLOOKUP(B278,[17]Sheet1!$A:$A,[17]Sheet1!$C:$C,0)</f>
        <v>0</v>
      </c>
      <c r="I278" s="37">
        <f>_xlfn.XLOOKUP(B278,[17]Sheet1!$A:$A,[17]Sheet1!$D:$D,0)</f>
        <v>0</v>
      </c>
      <c r="M278" s="37">
        <f>_xlfn.XLOOKUP(B278,'[18]feb-26'!$A:$A,'[18]feb-26'!$B:$B,0)</f>
        <v>0</v>
      </c>
      <c r="P278" s="37">
        <f>_xlfn.XLOOKUP(B278,'[19]Apr-26'!$A:$A,'[19]Apr-26'!$B:$B,0)</f>
        <v>0</v>
      </c>
      <c r="Q278" s="37">
        <f>_xlfn.XLOOKUP(B278,'[20]Apr 26'!$A:$A,'[20]Apr 26'!$B:$B,0)</f>
        <v>0</v>
      </c>
      <c r="R278" s="37">
        <f>_xlfn.XLOOKUP(B278,[21]Sheet1!$B:$B,[21]Sheet1!$C:$C,0)</f>
        <v>0</v>
      </c>
      <c r="S278" s="37">
        <f>_xlfn.XLOOKUP(B278,[22]provision!$A:$A,[22]provision!$B:$B,0)</f>
        <v>0</v>
      </c>
      <c r="U278" s="37">
        <f>_xlfn.XLOOKUP(B278,[23]prov!$A:$A,[23]prov!$B:$B,0)</f>
        <v>0</v>
      </c>
    </row>
    <row r="279" spans="1:21" x14ac:dyDescent="0.35">
      <c r="A279" s="47" t="str">
        <f>_xlfn.XLOOKUP(B279,[3]master!B:B,[3]master!A:A)</f>
        <v>Freight Outward and C &amp; F Charges</v>
      </c>
      <c r="B279" s="537" t="s">
        <v>536</v>
      </c>
      <c r="H279" s="37">
        <f>_xlfn.XLOOKUP(B279,[17]Sheet1!$A:$A,[17]Sheet1!$C:$C,0)</f>
        <v>0</v>
      </c>
      <c r="I279" s="37">
        <f>_xlfn.XLOOKUP(B279,[17]Sheet1!$A:$A,[17]Sheet1!$D:$D,0)</f>
        <v>0</v>
      </c>
      <c r="M279" s="37">
        <f>_xlfn.XLOOKUP(B279,'[18]feb-26'!$A:$A,'[18]feb-26'!$B:$B,0)</f>
        <v>160059</v>
      </c>
      <c r="P279" s="37">
        <f>_xlfn.XLOOKUP(B279,'[19]Apr-26'!$A:$A,'[19]Apr-26'!$B:$B,0)</f>
        <v>269520</v>
      </c>
      <c r="Q279" s="37">
        <f>_xlfn.XLOOKUP(B279,'[20]Apr 26'!$A:$A,'[20]Apr 26'!$B:$B,0)</f>
        <v>0</v>
      </c>
      <c r="R279" s="37">
        <f>_xlfn.XLOOKUP(B279,[21]Sheet1!$B:$B,[21]Sheet1!$C:$C,0)</f>
        <v>843210</v>
      </c>
      <c r="S279" s="37">
        <f>_xlfn.XLOOKUP(B279,[22]provision!$A:$A,[22]provision!$B:$B,0)</f>
        <v>700000</v>
      </c>
      <c r="U279" s="37">
        <f>_xlfn.XLOOKUP(B279,[23]prov!$A:$A,[23]prov!$B:$B,0)</f>
        <v>155000</v>
      </c>
    </row>
    <row r="280" spans="1:21" x14ac:dyDescent="0.35">
      <c r="A280" s="47" t="str">
        <f>_xlfn.XLOOKUP(B280,[3]master!B:B,[3]master!A:A)</f>
        <v>Other Manufacturing Expenses</v>
      </c>
      <c r="B280" s="537" t="s">
        <v>270</v>
      </c>
      <c r="H280" s="37">
        <f>_xlfn.XLOOKUP(B280,[17]Sheet1!$A:$A,[17]Sheet1!$C:$C,0)</f>
        <v>0</v>
      </c>
      <c r="I280" s="37">
        <f>_xlfn.XLOOKUP(B280,[17]Sheet1!$A:$A,[17]Sheet1!$D:$D,0)</f>
        <v>0</v>
      </c>
      <c r="M280" s="37">
        <f>_xlfn.XLOOKUP(B280,'[18]feb-26'!$A:$A,'[18]feb-26'!$B:$B,0)</f>
        <v>0</v>
      </c>
      <c r="P280" s="37">
        <f>_xlfn.XLOOKUP(B280,'[19]Apr-26'!$A:$A,'[19]Apr-26'!$B:$B,0)</f>
        <v>352971</v>
      </c>
      <c r="Q280" s="37">
        <f>_xlfn.XLOOKUP(B280,'[20]Apr 26'!$A:$A,'[20]Apr 26'!$B:$B,0)</f>
        <v>-477908</v>
      </c>
      <c r="R280" s="37">
        <f>_xlfn.XLOOKUP(B280,[21]Sheet1!$B:$B,[21]Sheet1!$C:$C,0)</f>
        <v>0</v>
      </c>
      <c r="S280" s="37">
        <f>_xlfn.XLOOKUP(B280,[22]provision!$A:$A,[22]provision!$B:$B,0)</f>
        <v>0</v>
      </c>
      <c r="U280" s="37">
        <f>_xlfn.XLOOKUP(B280,[23]prov!$A:$A,[23]prov!$B:$B,0)</f>
        <v>0</v>
      </c>
    </row>
    <row r="281" spans="1:21" x14ac:dyDescent="0.35">
      <c r="A281" s="47" t="str">
        <f>_xlfn.XLOOKUP(B281,[3]master!B:B,[3]master!A:A)</f>
        <v>Insurance</v>
      </c>
      <c r="B281" s="537" t="s">
        <v>308</v>
      </c>
      <c r="H281" s="37">
        <f>_xlfn.XLOOKUP(B281,[17]Sheet1!$A:$A,[17]Sheet1!$C:$C,0)</f>
        <v>0</v>
      </c>
      <c r="I281" s="37">
        <f>_xlfn.XLOOKUP(B281,[17]Sheet1!$A:$A,[17]Sheet1!$D:$D,0)</f>
        <v>0</v>
      </c>
      <c r="M281" s="37">
        <f>_xlfn.XLOOKUP(B281,'[18]feb-26'!$A:$A,'[18]feb-26'!$B:$B,0)</f>
        <v>0</v>
      </c>
      <c r="P281" s="37">
        <f>_xlfn.XLOOKUP(B281,'[19]Apr-26'!$A:$A,'[19]Apr-26'!$B:$B,0)</f>
        <v>0</v>
      </c>
      <c r="Q281" s="37">
        <f>_xlfn.XLOOKUP(B281,'[20]Apr 26'!$A:$A,'[20]Apr 26'!$B:$B,0)</f>
        <v>0</v>
      </c>
      <c r="R281" s="37">
        <f>_xlfn.XLOOKUP(B281,[21]Sheet1!$B:$B,[21]Sheet1!$C:$C,0)</f>
        <v>0</v>
      </c>
      <c r="S281" s="37">
        <f>_xlfn.XLOOKUP(B281,[22]provision!$A:$A,[22]provision!$B:$B,0)</f>
        <v>0</v>
      </c>
      <c r="U281" s="37">
        <f>_xlfn.XLOOKUP(B281,[23]prov!$A:$A,[23]prov!$B:$B,0)</f>
        <v>0</v>
      </c>
    </row>
    <row r="282" spans="1:21" x14ac:dyDescent="0.35">
      <c r="A282" s="47" t="str">
        <f>_xlfn.XLOOKUP(B282,[3]master!B:B,[3]master!A:A)</f>
        <v>Freight Outward and C &amp; F Charges</v>
      </c>
      <c r="B282" s="537" t="s">
        <v>386</v>
      </c>
      <c r="H282" s="37">
        <f>_xlfn.XLOOKUP(B282,[17]Sheet1!$A:$A,[17]Sheet1!$C:$C,0)</f>
        <v>0</v>
      </c>
      <c r="I282" s="37">
        <f>_xlfn.XLOOKUP(B282,[17]Sheet1!$A:$A,[17]Sheet1!$D:$D,0)</f>
        <v>0</v>
      </c>
      <c r="M282" s="37">
        <f>_xlfn.XLOOKUP(B282,'[18]feb-26'!$A:$A,'[18]feb-26'!$B:$B,0)</f>
        <v>0</v>
      </c>
      <c r="P282" s="37">
        <f>_xlfn.XLOOKUP(B282,'[19]Apr-26'!$A:$A,'[19]Apr-26'!$B:$B,0)</f>
        <v>0</v>
      </c>
      <c r="Q282" s="37">
        <f>_xlfn.XLOOKUP(B282,'[20]Apr 26'!$A:$A,'[20]Apr 26'!$B:$B,0)</f>
        <v>0</v>
      </c>
      <c r="R282" s="37">
        <f>_xlfn.XLOOKUP(B282,[21]Sheet1!$B:$B,[21]Sheet1!$C:$C,0)</f>
        <v>0</v>
      </c>
      <c r="S282" s="37">
        <f>_xlfn.XLOOKUP(B282,[22]provision!$A:$A,[22]provision!$B:$B,0)</f>
        <v>0</v>
      </c>
      <c r="U282" s="37">
        <f>_xlfn.XLOOKUP(B282,[23]prov!$A:$A,[23]prov!$B:$B,0)</f>
        <v>0</v>
      </c>
    </row>
    <row r="283" spans="1:21" x14ac:dyDescent="0.35">
      <c r="A283" s="47" t="str">
        <f>_xlfn.XLOOKUP(B283,[3]master!B:B,[3]master!A:A)</f>
        <v>Other Administrative Expenses</v>
      </c>
      <c r="B283" s="537" t="s">
        <v>391</v>
      </c>
      <c r="H283" s="37">
        <f>_xlfn.XLOOKUP(B283,[17]Sheet1!$A:$A,[17]Sheet1!$C:$C,0)</f>
        <v>0</v>
      </c>
      <c r="I283" s="37">
        <f>_xlfn.XLOOKUP(B283,[17]Sheet1!$A:$A,[17]Sheet1!$D:$D,0)</f>
        <v>0</v>
      </c>
      <c r="M283" s="37">
        <f>_xlfn.XLOOKUP(B283,'[18]feb-26'!$A:$A,'[18]feb-26'!$B:$B,0)</f>
        <v>20060</v>
      </c>
      <c r="P283" s="37">
        <f>_xlfn.XLOOKUP(B283,'[19]Apr-26'!$A:$A,'[19]Apr-26'!$B:$B,0)</f>
        <v>0</v>
      </c>
      <c r="Q283" s="37">
        <f>_xlfn.XLOOKUP(B283,'[20]Apr 26'!$A:$A,'[20]Apr 26'!$B:$B,0)</f>
        <v>0</v>
      </c>
      <c r="R283" s="37">
        <f>_xlfn.XLOOKUP(B283,[21]Sheet1!$B:$B,[21]Sheet1!$C:$C,0)</f>
        <v>0</v>
      </c>
      <c r="S283" s="37">
        <f>_xlfn.XLOOKUP(B283,[22]provision!$A:$A,[22]provision!$B:$B,0)</f>
        <v>0</v>
      </c>
      <c r="U283" s="37">
        <f>_xlfn.XLOOKUP(B283,[23]prov!$A:$A,[23]prov!$B:$B,0)</f>
        <v>0</v>
      </c>
    </row>
    <row r="284" spans="1:21" x14ac:dyDescent="0.35">
      <c r="A284" s="47" t="str">
        <f>_xlfn.XLOOKUP(B284,[3]master!B:B,[3]master!A:A)</f>
        <v>Other Administrative Expenses</v>
      </c>
      <c r="B284" s="47" t="s">
        <v>266</v>
      </c>
      <c r="H284" s="37">
        <f>_xlfn.XLOOKUP(B284,[17]Sheet1!$A:$A,[17]Sheet1!$C:$C,0)</f>
        <v>0</v>
      </c>
      <c r="I284" s="37">
        <f>_xlfn.XLOOKUP(B284,[17]Sheet1!$A:$A,[17]Sheet1!$D:$D,0)</f>
        <v>0</v>
      </c>
      <c r="M284" s="37">
        <f>_xlfn.XLOOKUP(B284,'[18]feb-26'!$A:$A,'[18]feb-26'!$B:$B,0)</f>
        <v>600</v>
      </c>
      <c r="P284" s="37">
        <f>_xlfn.XLOOKUP(B284,'[19]Apr-26'!$A:$A,'[19]Apr-26'!$B:$B,0)</f>
        <v>8550</v>
      </c>
      <c r="Q284" s="37">
        <f>_xlfn.XLOOKUP(B284,'[20]Apr 26'!$A:$A,'[20]Apr 26'!$B:$B,0)</f>
        <v>5000</v>
      </c>
      <c r="R284" s="37">
        <f>_xlfn.XLOOKUP(B284,[21]Sheet1!$B:$B,[21]Sheet1!$C:$C,0)</f>
        <v>0</v>
      </c>
      <c r="S284" s="37">
        <f>_xlfn.XLOOKUP(B284,[22]provision!$A:$A,[22]provision!$B:$B,0)</f>
        <v>0</v>
      </c>
      <c r="U284" s="37">
        <f>_xlfn.XLOOKUP(B284,[23]prov!$A:$A,[23]prov!$B:$B,0)</f>
        <v>0</v>
      </c>
    </row>
    <row r="285" spans="1:21" x14ac:dyDescent="0.35">
      <c r="A285" s="47" t="str">
        <f>_xlfn.XLOOKUP(B285,[3]master!B:B,[3]master!A:A)</f>
        <v>Other Manufacturing Expenses</v>
      </c>
      <c r="B285" s="47" t="s">
        <v>282</v>
      </c>
      <c r="H285" s="37">
        <f>_xlfn.XLOOKUP(B285,[17]Sheet1!$A:$A,[17]Sheet1!$C:$C,0)</f>
        <v>249812</v>
      </c>
      <c r="I285" s="37">
        <f>_xlfn.XLOOKUP(B285,[17]Sheet1!$A:$A,[17]Sheet1!$D:$D,0)</f>
        <v>28300</v>
      </c>
      <c r="M285" s="37">
        <f>_xlfn.XLOOKUP(B285,'[18]feb-26'!$A:$A,'[18]feb-26'!$B:$B,0)</f>
        <v>0</v>
      </c>
      <c r="P285" s="37">
        <f>_xlfn.XLOOKUP(B285,'[19]Apr-26'!$A:$A,'[19]Apr-26'!$B:$B,0)</f>
        <v>0</v>
      </c>
      <c r="Q285" s="37">
        <f>_xlfn.XLOOKUP(B285,'[20]Apr 26'!$A:$A,'[20]Apr 26'!$B:$B,0)</f>
        <v>150000</v>
      </c>
      <c r="R285" s="37">
        <f>_xlfn.XLOOKUP(B285,[21]Sheet1!$B:$B,[21]Sheet1!$C:$C,0)</f>
        <v>0</v>
      </c>
      <c r="S285" s="37">
        <f>_xlfn.XLOOKUP(B285,[22]provision!$A:$A,[22]provision!$B:$B,0)</f>
        <v>0</v>
      </c>
      <c r="U285" s="37">
        <f>_xlfn.XLOOKUP(B285,[23]prov!$A:$A,[23]prov!$B:$B,0)</f>
        <v>38422</v>
      </c>
    </row>
    <row r="286" spans="1:21" x14ac:dyDescent="0.35">
      <c r="A286" s="47" t="str">
        <f>_xlfn.XLOOKUP(B286,[3]master!B:B,[3]master!A:A)</f>
        <v>Other Manufacturing Expenses</v>
      </c>
      <c r="B286" s="47" t="s">
        <v>307</v>
      </c>
      <c r="H286" s="37">
        <f>_xlfn.XLOOKUP(B286,[17]Sheet1!$A:$A,[17]Sheet1!$C:$C,0)</f>
        <v>0</v>
      </c>
      <c r="I286" s="37">
        <f>_xlfn.XLOOKUP(B286,[17]Sheet1!$A:$A,[17]Sheet1!$D:$D,0)</f>
        <v>0</v>
      </c>
      <c r="M286" s="37">
        <f>_xlfn.XLOOKUP(B286,'[18]feb-26'!$A:$A,'[18]feb-26'!$B:$B,0)</f>
        <v>434328</v>
      </c>
      <c r="P286" s="37">
        <f>_xlfn.XLOOKUP(B286,'[19]Apr-26'!$A:$A,'[19]Apr-26'!$B:$B,0)</f>
        <v>0</v>
      </c>
      <c r="Q286" s="37">
        <f>_xlfn.XLOOKUP(B286,'[20]Apr 26'!$A:$A,'[20]Apr 26'!$B:$B,0)</f>
        <v>0</v>
      </c>
      <c r="R286" s="37">
        <f>_xlfn.XLOOKUP(B286,[21]Sheet1!$B:$B,[21]Sheet1!$C:$C,0)</f>
        <v>0</v>
      </c>
      <c r="S286" s="37">
        <f>_xlfn.XLOOKUP(B286,[22]provision!$A:$A,[22]provision!$B:$B,0)</f>
        <v>310000</v>
      </c>
      <c r="U286" s="37">
        <f>_xlfn.XLOOKUP(B286,[23]prov!$A:$A,[23]prov!$B:$B,0)</f>
        <v>0</v>
      </c>
    </row>
    <row r="287" spans="1:21" x14ac:dyDescent="0.35">
      <c r="A287" s="47" t="str">
        <f>_xlfn.XLOOKUP(B287,[3]master!B:B,[3]master!A:A)</f>
        <v>Other Manufacturing Expenses</v>
      </c>
      <c r="B287" s="47" t="s">
        <v>324</v>
      </c>
      <c r="H287" s="37">
        <f>_xlfn.XLOOKUP(B287,[17]Sheet1!$A:$A,[17]Sheet1!$C:$C,0)</f>
        <v>0</v>
      </c>
      <c r="I287" s="37">
        <f>_xlfn.XLOOKUP(B287,[17]Sheet1!$A:$A,[17]Sheet1!$D:$D,0)</f>
        <v>0</v>
      </c>
      <c r="M287" s="37">
        <f>_xlfn.XLOOKUP(B287,'[18]feb-26'!$A:$A,'[18]feb-26'!$B:$B,0)</f>
        <v>0</v>
      </c>
      <c r="P287" s="37">
        <f>_xlfn.XLOOKUP(B287,'[19]Apr-26'!$A:$A,'[19]Apr-26'!$B:$B,0)</f>
        <v>0</v>
      </c>
      <c r="Q287" s="37">
        <f>_xlfn.XLOOKUP(B287,'[20]Apr 26'!$A:$A,'[20]Apr 26'!$B:$B,0)</f>
        <v>0</v>
      </c>
      <c r="R287" s="37">
        <f>_xlfn.XLOOKUP(B287,[21]Sheet1!$B:$B,[21]Sheet1!$C:$C,0)</f>
        <v>0</v>
      </c>
      <c r="S287" s="37">
        <f>_xlfn.XLOOKUP(B287,[22]provision!$A:$A,[22]provision!$B:$B,0)</f>
        <v>0</v>
      </c>
      <c r="U287" s="37">
        <f>_xlfn.XLOOKUP(B287,[23]prov!$A:$A,[23]prov!$B:$B,0)</f>
        <v>0</v>
      </c>
    </row>
    <row r="288" spans="1:21" x14ac:dyDescent="0.35">
      <c r="A288" s="47" t="str">
        <f>_xlfn.XLOOKUP(B288,[3]master!B:B,[3]master!A:A)</f>
        <v>Contribution to provident and other funds</v>
      </c>
      <c r="B288" s="47" t="s">
        <v>330</v>
      </c>
      <c r="H288" s="37">
        <f>_xlfn.XLOOKUP(B288,[17]Sheet1!$A:$A,[17]Sheet1!$C:$C,0)</f>
        <v>0</v>
      </c>
      <c r="I288" s="37">
        <f>_xlfn.XLOOKUP(B288,[17]Sheet1!$A:$A,[17]Sheet1!$D:$D,0)</f>
        <v>0</v>
      </c>
      <c r="M288" s="37">
        <f>_xlfn.XLOOKUP(B288,'[18]feb-26'!$A:$A,'[18]feb-26'!$B:$B,0)</f>
        <v>0</v>
      </c>
      <c r="P288" s="37">
        <f>_xlfn.XLOOKUP(B288,'[19]Apr-26'!$A:$A,'[19]Apr-26'!$B:$B,0)</f>
        <v>0</v>
      </c>
      <c r="Q288" s="37">
        <f>_xlfn.XLOOKUP(B288,'[20]Apr 26'!$A:$A,'[20]Apr 26'!$B:$B,0)</f>
        <v>0</v>
      </c>
      <c r="R288" s="37">
        <f>_xlfn.XLOOKUP(B288,[21]Sheet1!$B:$B,[21]Sheet1!$C:$C,0)</f>
        <v>0</v>
      </c>
      <c r="S288" s="37">
        <f>_xlfn.XLOOKUP(B288,[22]provision!$A:$A,[22]provision!$B:$B,0)</f>
        <v>0</v>
      </c>
      <c r="U288" s="37">
        <f>_xlfn.XLOOKUP(B288,[23]prov!$A:$A,[23]prov!$B:$B,0)</f>
        <v>0</v>
      </c>
    </row>
    <row r="289" spans="1:23" x14ac:dyDescent="0.35">
      <c r="A289" s="47" t="str">
        <f>_xlfn.XLOOKUP(B289,[3]master!B:B,[3]master!A:A)</f>
        <v>Contribution to provident and other funds</v>
      </c>
      <c r="B289" s="47" t="s">
        <v>345</v>
      </c>
      <c r="H289" s="37">
        <f>_xlfn.XLOOKUP(B289,[17]Sheet1!$A:$A,[17]Sheet1!$C:$C,0)</f>
        <v>10000</v>
      </c>
      <c r="I289" s="37">
        <f>_xlfn.XLOOKUP(B289,[17]Sheet1!$A:$A,[17]Sheet1!$D:$D,0)</f>
        <v>1000</v>
      </c>
      <c r="M289" s="37">
        <f>_xlfn.XLOOKUP(B289,'[18]feb-26'!$A:$A,'[18]feb-26'!$B:$B,0)</f>
        <v>0</v>
      </c>
      <c r="P289" s="37">
        <f>_xlfn.XLOOKUP(B289,'[19]Apr-26'!$A:$A,'[19]Apr-26'!$B:$B,0)</f>
        <v>0</v>
      </c>
      <c r="Q289" s="37">
        <f>_xlfn.XLOOKUP(B289,'[20]Apr 26'!$A:$A,'[20]Apr 26'!$B:$B,0)</f>
        <v>0</v>
      </c>
      <c r="R289" s="37">
        <f>_xlfn.XLOOKUP(B289,[21]Sheet1!$B:$B,[21]Sheet1!$C:$C,0)</f>
        <v>0</v>
      </c>
      <c r="S289" s="37">
        <f>_xlfn.XLOOKUP(B289,[22]provision!$A:$A,[22]provision!$B:$B,0)</f>
        <v>0</v>
      </c>
      <c r="U289" s="37">
        <f>_xlfn.XLOOKUP(B289,[23]prov!$A:$A,[23]prov!$B:$B,0)</f>
        <v>0</v>
      </c>
    </row>
    <row r="290" spans="1:23" x14ac:dyDescent="0.35">
      <c r="A290" s="47" t="str">
        <f>_xlfn.XLOOKUP(B290,[3]master!B:B,[3]master!A:A)</f>
        <v>Staff welfare expenses</v>
      </c>
      <c r="B290" s="47" t="s">
        <v>359</v>
      </c>
      <c r="H290" s="37">
        <f>_xlfn.XLOOKUP(B290,[17]Sheet1!$A:$A,[17]Sheet1!$C:$C,0)</f>
        <v>5490</v>
      </c>
      <c r="I290" s="37">
        <f>_xlfn.XLOOKUP(B290,[17]Sheet1!$A:$A,[17]Sheet1!$D:$D,0)</f>
        <v>0</v>
      </c>
      <c r="M290" s="37">
        <f>_xlfn.XLOOKUP(B290,'[18]feb-26'!$A:$A,'[18]feb-26'!$B:$B,0)</f>
        <v>0</v>
      </c>
      <c r="P290" s="37">
        <f>_xlfn.XLOOKUP(B290,'[19]Apr-26'!$A:$A,'[19]Apr-26'!$B:$B,0)</f>
        <v>0</v>
      </c>
      <c r="Q290" s="37">
        <f>_xlfn.XLOOKUP(B290,'[20]Apr 26'!$A:$A,'[20]Apr 26'!$B:$B,0)</f>
        <v>0</v>
      </c>
      <c r="R290" s="37">
        <f>_xlfn.XLOOKUP(B290,[21]Sheet1!$B:$B,[21]Sheet1!$C:$C,0)</f>
        <v>0</v>
      </c>
      <c r="S290" s="37">
        <f>_xlfn.XLOOKUP(B290,[22]provision!$A:$A,[22]provision!$B:$B,0)</f>
        <v>0</v>
      </c>
      <c r="U290" s="37">
        <f>_xlfn.XLOOKUP(B290,[23]prov!$A:$A,[23]prov!$B:$B,0)</f>
        <v>27800</v>
      </c>
    </row>
    <row r="291" spans="1:23" x14ac:dyDescent="0.35">
      <c r="A291" s="47" t="str">
        <f>_xlfn.XLOOKUP(B291,[3]master!B:B,[3]master!A:A)</f>
        <v>Exchange Rate Difference</v>
      </c>
      <c r="B291" s="47" t="s">
        <v>365</v>
      </c>
      <c r="H291" s="37">
        <f>_xlfn.XLOOKUP(B291,[17]Sheet1!$A:$A,[17]Sheet1!$C:$C,0)</f>
        <v>0</v>
      </c>
      <c r="I291" s="37">
        <f>_xlfn.XLOOKUP(B291,[17]Sheet1!$A:$A,[17]Sheet1!$D:$D,0)</f>
        <v>0</v>
      </c>
      <c r="M291" s="37">
        <f>_xlfn.XLOOKUP(B291,'[18]feb-26'!$A:$A,'[18]feb-26'!$B:$B,0)</f>
        <v>0</v>
      </c>
      <c r="P291" s="37">
        <f>_xlfn.XLOOKUP(B291,'[19]Apr-26'!$A:$A,'[19]Apr-26'!$B:$B,0)</f>
        <v>0</v>
      </c>
      <c r="Q291" s="37">
        <f>_xlfn.XLOOKUP(B291,'[20]Apr 26'!$A:$A,'[20]Apr 26'!$B:$B,0)</f>
        <v>0</v>
      </c>
      <c r="R291" s="37">
        <f>_xlfn.XLOOKUP(B291,[21]Sheet1!$B:$B,[21]Sheet1!$C:$C,0)</f>
        <v>0</v>
      </c>
      <c r="S291" s="37">
        <f>_xlfn.XLOOKUP(B291,[22]provision!$A:$A,[22]provision!$B:$B,0)</f>
        <v>0</v>
      </c>
      <c r="U291" s="37">
        <f>_xlfn.XLOOKUP(B291,[23]prov!$A:$A,[23]prov!$B:$B,0)</f>
        <v>0</v>
      </c>
    </row>
    <row r="292" spans="1:23" x14ac:dyDescent="0.35">
      <c r="A292" s="47" t="str">
        <f>_xlfn.XLOOKUP(B292,[3]master!B:B,[3]master!A:A)</f>
        <v>Other Administrative Expenses</v>
      </c>
      <c r="B292" s="47" t="s">
        <v>269</v>
      </c>
      <c r="H292" s="37">
        <f>_xlfn.XLOOKUP(B292,[17]Sheet1!$A:$A,[17]Sheet1!$C:$C,0)</f>
        <v>0</v>
      </c>
      <c r="I292" s="37">
        <f>_xlfn.XLOOKUP(B292,[17]Sheet1!$A:$A,[17]Sheet1!$D:$D,0)</f>
        <v>0</v>
      </c>
      <c r="M292" s="37">
        <f>_xlfn.XLOOKUP(B292,'[18]feb-26'!$A:$A,'[18]feb-26'!$B:$B,0)</f>
        <v>1265900</v>
      </c>
      <c r="P292" s="37">
        <f>_xlfn.XLOOKUP(B292,'[19]Apr-26'!$A:$A,'[19]Apr-26'!$B:$B,0)</f>
        <v>0</v>
      </c>
      <c r="Q292" s="37">
        <f>_xlfn.XLOOKUP(B292,'[20]Apr 26'!$A:$A,'[20]Apr 26'!$B:$B,0)</f>
        <v>0</v>
      </c>
      <c r="R292" s="37">
        <f>_xlfn.XLOOKUP(B292,[21]Sheet1!$B:$B,[21]Sheet1!$C:$C,0)</f>
        <v>0</v>
      </c>
      <c r="S292" s="37">
        <f>_xlfn.XLOOKUP(B292,[22]provision!$A:$A,[22]provision!$B:$B,0)</f>
        <v>0</v>
      </c>
      <c r="U292" s="37">
        <f>_xlfn.XLOOKUP(B292,[23]prov!$A:$A,[23]prov!$B:$B,0)</f>
        <v>0</v>
      </c>
    </row>
    <row r="293" spans="1:23" x14ac:dyDescent="0.35">
      <c r="A293" s="47" t="str">
        <f>_xlfn.XLOOKUP(B293,[3]master!B:B,[3]master!A:A)</f>
        <v>Other Manufacturing Expenses</v>
      </c>
      <c r="B293" s="47" t="s">
        <v>272</v>
      </c>
      <c r="H293" s="37">
        <f>_xlfn.XLOOKUP(B293,[17]Sheet1!$A:$A,[17]Sheet1!$C:$C,0)</f>
        <v>0</v>
      </c>
      <c r="I293" s="37">
        <f>_xlfn.XLOOKUP(B293,[17]Sheet1!$A:$A,[17]Sheet1!$D:$D,0)</f>
        <v>0</v>
      </c>
      <c r="M293" s="37">
        <f>_xlfn.XLOOKUP(B293,'[18]feb-26'!$A:$A,'[18]feb-26'!$B:$B,0)</f>
        <v>0</v>
      </c>
      <c r="P293" s="37">
        <f>_xlfn.XLOOKUP(B293,'[19]Apr-26'!$A:$A,'[19]Apr-26'!$B:$B,0)</f>
        <v>0</v>
      </c>
      <c r="Q293" s="37">
        <f>_xlfn.XLOOKUP(B293,'[20]Apr 26'!$A:$A,'[20]Apr 26'!$B:$B,0)</f>
        <v>0</v>
      </c>
      <c r="R293" s="37">
        <f>_xlfn.XLOOKUP(B293,[21]Sheet1!$B:$B,[21]Sheet1!$C:$C,0)</f>
        <v>0</v>
      </c>
      <c r="S293" s="37">
        <f>_xlfn.XLOOKUP(B293,[22]provision!$A:$A,[22]provision!$B:$B,0)</f>
        <v>0</v>
      </c>
      <c r="U293" s="37">
        <f>_xlfn.XLOOKUP(B293,[23]prov!$A:$A,[23]prov!$B:$B,0)</f>
        <v>0</v>
      </c>
    </row>
    <row r="294" spans="1:23" x14ac:dyDescent="0.35">
      <c r="A294" s="47" t="str">
        <f>_xlfn.XLOOKUP(B294,[3]master!B:B,[3]master!A:A)</f>
        <v>Rent Income</v>
      </c>
      <c r="B294" s="47" t="s">
        <v>403</v>
      </c>
      <c r="H294" s="37">
        <f>_xlfn.XLOOKUP(B294,[17]Sheet1!$A:$A,[17]Sheet1!$C:$C,0)</f>
        <v>0</v>
      </c>
      <c r="I294" s="37">
        <f>_xlfn.XLOOKUP(B294,[17]Sheet1!$A:$A,[17]Sheet1!$D:$D,0)</f>
        <v>0</v>
      </c>
      <c r="M294" s="37">
        <f>_xlfn.XLOOKUP(B294,'[18]feb-26'!$A:$A,'[18]feb-26'!$B:$B,0)</f>
        <v>0</v>
      </c>
      <c r="P294" s="37">
        <f>_xlfn.XLOOKUP(B294,'[19]Apr-26'!$A:$A,'[19]Apr-26'!$B:$B,0)</f>
        <v>0</v>
      </c>
      <c r="Q294" s="37">
        <f>_xlfn.XLOOKUP(B294,'[20]Apr 26'!$A:$A,'[20]Apr 26'!$B:$B,0)</f>
        <v>0</v>
      </c>
      <c r="R294" s="37">
        <f>_xlfn.XLOOKUP(B294,[21]Sheet1!$B:$B,[21]Sheet1!$C:$C,0)</f>
        <v>0</v>
      </c>
      <c r="S294" s="37">
        <f>_xlfn.XLOOKUP(B294,[22]provision!$A:$A,[22]provision!$B:$B,0)</f>
        <v>0</v>
      </c>
      <c r="U294" s="37">
        <f>_xlfn.XLOOKUP(B294,[23]prov!$A:$A,[23]prov!$B:$B,0)</f>
        <v>0</v>
      </c>
    </row>
    <row r="295" spans="1:23" x14ac:dyDescent="0.35">
      <c r="A295" s="47" t="str">
        <f>_xlfn.XLOOKUP(B295,[3]master!B:B,[3]master!A:A)</f>
        <v>Other Administrative Expenses</v>
      </c>
      <c r="B295" s="47" t="s">
        <v>553</v>
      </c>
      <c r="H295" s="37">
        <f>_xlfn.XLOOKUP(B295,[17]Sheet1!$A:$A,[17]Sheet1!$C:$C,0)</f>
        <v>0</v>
      </c>
      <c r="I295" s="37">
        <f>_xlfn.XLOOKUP(B295,[17]Sheet1!$A:$A,[17]Sheet1!$D:$D,0)</f>
        <v>0</v>
      </c>
      <c r="M295" s="37">
        <f>_xlfn.XLOOKUP(B295,'[18]feb-26'!$A:$A,'[18]feb-26'!$B:$B,0)</f>
        <v>0</v>
      </c>
      <c r="P295" s="37">
        <f>_xlfn.XLOOKUP(B295,'[19]Apr-26'!$A:$A,'[19]Apr-26'!$B:$B,0)</f>
        <v>0</v>
      </c>
      <c r="Q295" s="37">
        <f>_xlfn.XLOOKUP(B295,'[20]Apr 26'!$A:$A,'[20]Apr 26'!$B:$B,0)</f>
        <v>0</v>
      </c>
      <c r="R295" s="37">
        <f>_xlfn.XLOOKUP(B295,[21]Sheet1!$B:$B,[21]Sheet1!$C:$C,0)</f>
        <v>0</v>
      </c>
      <c r="S295" s="37">
        <f>_xlfn.XLOOKUP(B295,[22]provision!$A:$A,[22]provision!$B:$B,0)</f>
        <v>0</v>
      </c>
      <c r="U295" s="37">
        <f>_xlfn.XLOOKUP(B295,[23]prov!$A:$A,[23]prov!$B:$B,0)</f>
        <v>0</v>
      </c>
    </row>
    <row r="296" spans="1:23" x14ac:dyDescent="0.35">
      <c r="A296" s="47" t="str">
        <f>_xlfn.XLOOKUP(B296,[3]master!B:B,[3]master!A:A)</f>
        <v>Commission Income</v>
      </c>
      <c r="B296" s="540" t="s">
        <v>414</v>
      </c>
      <c r="H296" s="37">
        <f>_xlfn.XLOOKUP(B296,[17]Sheet1!$A:$A,[17]Sheet1!$C:$C,0)</f>
        <v>0</v>
      </c>
      <c r="I296" s="37">
        <f>_xlfn.XLOOKUP(B296,[17]Sheet1!$A:$A,[17]Sheet1!$D:$D,0)</f>
        <v>0</v>
      </c>
      <c r="M296" s="37">
        <f>_xlfn.XLOOKUP(B296,'[18]feb-26'!$A:$A,'[18]feb-26'!$B:$B,0)</f>
        <v>0</v>
      </c>
      <c r="P296" s="37">
        <f>_xlfn.XLOOKUP(B296,'[19]Apr-26'!$A:$A,'[19]Apr-26'!$B:$B,0)</f>
        <v>0</v>
      </c>
      <c r="Q296" s="37">
        <f>_xlfn.XLOOKUP(B296,'[20]Apr 26'!$A:$A,'[20]Apr 26'!$B:$B,0)</f>
        <v>0</v>
      </c>
      <c r="R296" s="37">
        <f>_xlfn.XLOOKUP(B296,[21]Sheet1!$B:$B,[21]Sheet1!$C:$C,0)</f>
        <v>0</v>
      </c>
      <c r="S296" s="37">
        <f>_xlfn.XLOOKUP(B296,[22]provision!$A:$A,[22]provision!$B:$B,0)</f>
        <v>0</v>
      </c>
      <c r="U296" s="37">
        <f>_xlfn.XLOOKUP(B296,[23]prov!$A:$A,[23]prov!$B:$B,0)</f>
        <v>0</v>
      </c>
    </row>
    <row r="297" spans="1:23" x14ac:dyDescent="0.35">
      <c r="A297" s="47" t="str">
        <f>_xlfn.XLOOKUP(B297,[3]master!B:B,[3]master!A:A)</f>
        <v>Interest Received From Customers</v>
      </c>
      <c r="B297" s="537" t="s">
        <v>555</v>
      </c>
      <c r="H297" s="37">
        <f>_xlfn.XLOOKUP(B297,[17]Sheet1!$A:$A,[17]Sheet1!$C:$C,0)</f>
        <v>0</v>
      </c>
      <c r="I297" s="37">
        <f>_xlfn.XLOOKUP(B297,[17]Sheet1!$A:$A,[17]Sheet1!$D:$D,0)</f>
        <v>0</v>
      </c>
      <c r="M297" s="37">
        <f>_xlfn.XLOOKUP(B297,'[18]feb-26'!$A:$A,'[18]feb-26'!$B:$B,0)</f>
        <v>0</v>
      </c>
      <c r="P297" s="37">
        <f>_xlfn.XLOOKUP(B297,'[19]Apr-26'!$A:$A,'[19]Apr-26'!$B:$B,0)</f>
        <v>0</v>
      </c>
      <c r="Q297" s="37">
        <f>_xlfn.XLOOKUP(B297,'[20]Apr 26'!$A:$A,'[20]Apr 26'!$B:$B,0)</f>
        <v>0</v>
      </c>
      <c r="R297" s="37">
        <f>_xlfn.XLOOKUP(B297,[21]Sheet1!$B:$B,[21]Sheet1!$C:$C,0)</f>
        <v>0</v>
      </c>
      <c r="S297" s="37">
        <f>_xlfn.XLOOKUP(B297,[22]provision!$A:$A,[22]provision!$B:$B,0)</f>
        <v>0</v>
      </c>
      <c r="U297" s="37">
        <f>_xlfn.XLOOKUP(B297,[23]prov!$A:$A,[23]prov!$B:$B,0)</f>
        <v>0</v>
      </c>
    </row>
    <row r="298" spans="1:23" x14ac:dyDescent="0.35">
      <c r="A298" s="47" t="str">
        <f>_xlfn.XLOOKUP(B298,[3]master!B:B,[3]master!A:A)</f>
        <v>Other Administrative Expenses</v>
      </c>
      <c r="B298" s="47" t="s">
        <v>374</v>
      </c>
      <c r="H298" s="37">
        <f>_xlfn.XLOOKUP(B298,[17]Sheet1!$A:$A,[17]Sheet1!$C:$C,0)</f>
        <v>0</v>
      </c>
      <c r="I298" s="37">
        <f>_xlfn.XLOOKUP(B298,[17]Sheet1!$A:$A,[17]Sheet1!$D:$D,0)</f>
        <v>0</v>
      </c>
      <c r="M298" s="37">
        <f>_xlfn.XLOOKUP(B298,'[18]feb-26'!$A:$A,'[18]feb-26'!$B:$B,0)</f>
        <v>0</v>
      </c>
      <c r="P298" s="37">
        <f>_xlfn.XLOOKUP(B298,'[19]Apr-26'!$A:$A,'[19]Apr-26'!$B:$B,0)</f>
        <v>0</v>
      </c>
      <c r="Q298" s="37">
        <f>_xlfn.XLOOKUP(B298,'[20]Apr 26'!$A:$A,'[20]Apr 26'!$B:$B,0)</f>
        <v>0</v>
      </c>
      <c r="R298" s="37">
        <f>_xlfn.XLOOKUP(B298,[21]Sheet1!$B:$B,[21]Sheet1!$C:$C,0)</f>
        <v>0</v>
      </c>
      <c r="S298" s="37">
        <f>_xlfn.XLOOKUP(B298,[22]provision!$A:$A,[22]provision!$B:$B,0)</f>
        <v>0</v>
      </c>
      <c r="U298" s="37">
        <f>_xlfn.XLOOKUP(B298,[23]prov!$A:$A,[23]prov!$B:$B,0)</f>
        <v>0</v>
      </c>
    </row>
    <row r="299" spans="1:23" x14ac:dyDescent="0.35">
      <c r="A299" s="37" t="str">
        <f>_xlfn.XLOOKUP(B299,[3]master!B:B,[3]master!A:A)</f>
        <v>Freight Outward and C &amp; F Charges</v>
      </c>
      <c r="B299" s="532" t="s">
        <v>577</v>
      </c>
      <c r="H299" s="37">
        <f>_xlfn.XLOOKUP(B299,[17]Sheet1!$A:$A,[17]Sheet1!$C:$C,0)</f>
        <v>0</v>
      </c>
      <c r="I299" s="37">
        <f>_xlfn.XLOOKUP(B299,[17]Sheet1!$A:$A,[17]Sheet1!$D:$D,0)</f>
        <v>0</v>
      </c>
      <c r="M299" s="37">
        <f>_xlfn.XLOOKUP(B299,'[18]feb-26'!$A:$A,'[18]feb-26'!$B:$B,0)</f>
        <v>0</v>
      </c>
      <c r="P299" s="37">
        <f>_xlfn.XLOOKUP(B299,'[19]Apr-26'!$A:$A,'[19]Apr-26'!$B:$B,0)</f>
        <v>0</v>
      </c>
      <c r="Q299" s="37">
        <f>_xlfn.XLOOKUP(B299,'[20]Apr 26'!$A:$A,'[20]Apr 26'!$B:$B,0)</f>
        <v>0</v>
      </c>
      <c r="R299" s="37">
        <f>_xlfn.XLOOKUP(B299,[21]Sheet1!$B:$B,[21]Sheet1!$C:$C,0)</f>
        <v>0</v>
      </c>
      <c r="S299" s="37">
        <f>_xlfn.XLOOKUP(B299,[22]provision!$A:$A,[22]provision!$B:$B,0)</f>
        <v>0</v>
      </c>
      <c r="U299" s="37">
        <f>_xlfn.XLOOKUP(B299,[23]prov!$A:$A,[23]prov!$B:$B,0)</f>
        <v>0</v>
      </c>
    </row>
    <row r="300" spans="1:23" x14ac:dyDescent="0.35">
      <c r="A300" s="37" t="str">
        <f>_xlfn.XLOOKUP(B300,[3]master!B:B,[3]master!A:A)</f>
        <v>Brokerage &amp; commission</v>
      </c>
      <c r="B300" s="532" t="s">
        <v>383</v>
      </c>
      <c r="H300" s="37">
        <f>_xlfn.XLOOKUP(B300,[17]Sheet1!$A:$A,[17]Sheet1!$C:$C,0)</f>
        <v>0</v>
      </c>
      <c r="I300" s="37">
        <f>_xlfn.XLOOKUP(B300,[17]Sheet1!$A:$A,[17]Sheet1!$D:$D,0)</f>
        <v>0</v>
      </c>
      <c r="M300" s="37">
        <f>_xlfn.XLOOKUP(B300,'[18]feb-26'!$A:$A,'[18]feb-26'!$B:$B,0)</f>
        <v>0</v>
      </c>
      <c r="P300" s="37">
        <f>_xlfn.XLOOKUP(B300,'[19]Apr-26'!$A:$A,'[19]Apr-26'!$B:$B,0)</f>
        <v>0</v>
      </c>
      <c r="Q300" s="37">
        <f>_xlfn.XLOOKUP(B300,'[20]Apr 26'!$A:$A,'[20]Apr 26'!$B:$B,0)</f>
        <v>0</v>
      </c>
      <c r="R300" s="37">
        <f>_xlfn.XLOOKUP(B300,[21]Sheet1!$B:$B,[21]Sheet1!$C:$C,0)</f>
        <v>0</v>
      </c>
      <c r="S300" s="37">
        <f>_xlfn.XLOOKUP(B300,[22]provision!$A:$A,[22]provision!$B:$B,0)</f>
        <v>0</v>
      </c>
      <c r="U300" s="37">
        <f>_xlfn.XLOOKUP(B300,[23]prov!$A:$A,[23]prov!$B:$B,0)</f>
        <v>0</v>
      </c>
    </row>
    <row r="301" spans="1:23" x14ac:dyDescent="0.35">
      <c r="A301" s="37" t="str">
        <f>_xlfn.XLOOKUP(B301,[3]master!B:B,[3]master!A:A)</f>
        <v>Add: Purchase of raw materials</v>
      </c>
      <c r="B301" s="541" t="s">
        <v>287</v>
      </c>
      <c r="H301" s="37">
        <f>_xlfn.XLOOKUP(B301,[17]Sheet1!$A:$A,[17]Sheet1!$C:$C,0)</f>
        <v>0</v>
      </c>
      <c r="I301" s="37">
        <f>_xlfn.XLOOKUP(B301,[17]Sheet1!$A:$A,[17]Sheet1!$D:$D,0)</f>
        <v>0</v>
      </c>
      <c r="M301" s="37">
        <f>_xlfn.XLOOKUP(B301,'[18]feb-26'!$A:$A,'[18]feb-26'!$B:$B,0)</f>
        <v>0</v>
      </c>
      <c r="P301" s="37">
        <f>_xlfn.XLOOKUP(B301,'[19]Apr-26'!$A:$A,'[19]Apr-26'!$B:$B,0)</f>
        <v>0</v>
      </c>
      <c r="Q301" s="37">
        <f>_xlfn.XLOOKUP(B301,'[20]Apr 26'!$A:$A,'[20]Apr 26'!$B:$B,0)</f>
        <v>0</v>
      </c>
      <c r="R301" s="37">
        <f>_xlfn.XLOOKUP(B301,[21]Sheet1!$B:$B,[21]Sheet1!$C:$C,0)</f>
        <v>0</v>
      </c>
      <c r="S301" s="37">
        <f>_xlfn.XLOOKUP(B301,[22]provision!$A:$A,[22]provision!$B:$B,0)</f>
        <v>0</v>
      </c>
      <c r="U301" s="37">
        <f>_xlfn.XLOOKUP(B301,[23]prov!$A:$A,[23]prov!$B:$B,0)</f>
        <v>0</v>
      </c>
    </row>
    <row r="302" spans="1:23" x14ac:dyDescent="0.35">
      <c r="A302" s="37" t="str">
        <f>_xlfn.XLOOKUP(B302,[3]master!B:B,[3]master!A:A)</f>
        <v>Add: Purchase of raw materials</v>
      </c>
      <c r="B302" s="541" t="s">
        <v>292</v>
      </c>
      <c r="H302" s="37">
        <f>_xlfn.XLOOKUP(B302,[17]Sheet1!$A:$A,[17]Sheet1!$C:$C,0)</f>
        <v>0</v>
      </c>
      <c r="I302" s="37">
        <f>_xlfn.XLOOKUP(B302,[17]Sheet1!$A:$A,[17]Sheet1!$D:$D,0)</f>
        <v>0</v>
      </c>
      <c r="M302" s="37">
        <f>_xlfn.XLOOKUP(B302,'[18]feb-26'!$A:$A,'[18]feb-26'!$B:$B,0)</f>
        <v>0</v>
      </c>
      <c r="P302" s="37">
        <f>_xlfn.XLOOKUP(B302,'[19]Apr-26'!$A:$A,'[19]Apr-26'!$B:$B,0)</f>
        <v>0</v>
      </c>
      <c r="Q302" s="37">
        <f>_xlfn.XLOOKUP(B302,'[20]Apr 26'!$A:$A,'[20]Apr 26'!$B:$B,0)</f>
        <v>0</v>
      </c>
      <c r="R302" s="37">
        <f>_xlfn.XLOOKUP(B302,[21]Sheet1!$B:$B,[21]Sheet1!$C:$C,0)</f>
        <v>0</v>
      </c>
      <c r="S302" s="37">
        <f>_xlfn.XLOOKUP(B302,[22]provision!$A:$A,[22]provision!$B:$B,0)</f>
        <v>0</v>
      </c>
      <c r="U302" s="37">
        <f>_xlfn.XLOOKUP(B302,[23]prov!$A:$A,[23]prov!$B:$B,0)</f>
        <v>0</v>
      </c>
    </row>
    <row r="303" spans="1:23" ht="15" thickBot="1" x14ac:dyDescent="0.4">
      <c r="A303" s="37" t="s">
        <v>431</v>
      </c>
      <c r="B303" s="541" t="s">
        <v>318</v>
      </c>
      <c r="H303" s="37">
        <f>_xlfn.XLOOKUP(B303,[17]Sheet1!$A:$A,[17]Sheet1!$C:$C,0)</f>
        <v>0</v>
      </c>
      <c r="I303" s="37">
        <f>_xlfn.XLOOKUP(B303,[17]Sheet1!$A:$A,[17]Sheet1!$D:$D,0)</f>
        <v>0</v>
      </c>
      <c r="M303" s="37">
        <f>_xlfn.XLOOKUP(B303,'[18]feb-26'!$A:$A,'[18]feb-26'!$B:$B,0)</f>
        <v>0</v>
      </c>
      <c r="P303" s="37">
        <f>_xlfn.XLOOKUP(B303,'[19]Apr-26'!$A:$A,'[19]Apr-26'!$B:$B,0)</f>
        <v>0</v>
      </c>
      <c r="Q303" s="37">
        <f>_xlfn.XLOOKUP(B303,'[20]Apr 26'!$A:$A,'[20]Apr 26'!$B:$B,0)</f>
        <v>0</v>
      </c>
      <c r="R303" s="37">
        <f>_xlfn.XLOOKUP(B303,[21]Sheet1!$B:$B,[21]Sheet1!$C:$C,0)</f>
        <v>0</v>
      </c>
      <c r="S303" s="37">
        <f>_xlfn.XLOOKUP(B303,[22]provision!$A:$A,[22]provision!$B:$B,0)</f>
        <v>0</v>
      </c>
      <c r="U303" s="37">
        <f>_xlfn.XLOOKUP(B303,[23]prov!$A:$A,[23]prov!$B:$B,0)</f>
        <v>0</v>
      </c>
    </row>
    <row r="304" spans="1:23" ht="15" thickBot="1" x14ac:dyDescent="0.4">
      <c r="A304" s="47" t="str">
        <f>_xlfn.XLOOKUP(B304,[3]master!B:B,[3]master!A:A)</f>
        <v>Income from Jobwork charges</v>
      </c>
      <c r="B304" s="532" t="s">
        <v>402</v>
      </c>
      <c r="H304" s="37">
        <f>_xlfn.XLOOKUP(B304,[17]Sheet1!$A:$A,[17]Sheet1!$C:$C,0)</f>
        <v>0</v>
      </c>
      <c r="I304" s="37">
        <f>_xlfn.XLOOKUP(B304,[17]Sheet1!$A:$A,[17]Sheet1!$D:$D,0)</f>
        <v>0</v>
      </c>
      <c r="M304" s="37">
        <f>_xlfn.XLOOKUP(B304,'[18]feb-26'!$A:$A,'[18]feb-26'!$B:$B,0)</f>
        <v>0</v>
      </c>
      <c r="P304" s="37">
        <f>_xlfn.XLOOKUP(B304,'[19]Apr-26'!$A:$A,'[19]Apr-26'!$B:$B,0)</f>
        <v>0</v>
      </c>
      <c r="Q304" s="37">
        <f>_xlfn.XLOOKUP(B304,'[20]Apr 26'!$A:$A,'[20]Apr 26'!$B:$B,0)</f>
        <v>-28176333.295086101</v>
      </c>
      <c r="R304" s="37">
        <f>_xlfn.XLOOKUP(B304,[21]Sheet1!$B:$B,[21]Sheet1!$C:$C,0)</f>
        <v>0</v>
      </c>
      <c r="S304" s="37">
        <f>_xlfn.XLOOKUP(B304,[22]provision!$A:$A,[22]provision!$B:$B,0)</f>
        <v>0</v>
      </c>
      <c r="U304" s="37">
        <f>_xlfn.XLOOKUP(B304,[23]prov!$A:$A,[23]prov!$B:$B,0)</f>
        <v>0</v>
      </c>
      <c r="W304" s="563">
        <v>-8947680</v>
      </c>
    </row>
    <row r="305" spans="1:21" x14ac:dyDescent="0.35">
      <c r="A305" s="47" t="str">
        <f>_xlfn.XLOOKUP(B305,[3]master!B:B,[3]master!A:A)</f>
        <v>Exchange Rate Difference</v>
      </c>
      <c r="B305" s="532" t="s">
        <v>273</v>
      </c>
      <c r="H305" s="37">
        <f>_xlfn.XLOOKUP(B305,[17]Sheet1!$A:$A,[17]Sheet1!$C:$C,0)</f>
        <v>0</v>
      </c>
      <c r="I305" s="37">
        <f>_xlfn.XLOOKUP(B305,[17]Sheet1!$A:$A,[17]Sheet1!$D:$D,0)</f>
        <v>0</v>
      </c>
      <c r="M305" s="37">
        <f>_xlfn.XLOOKUP(B305,'[18]feb-26'!$A:$A,'[18]feb-26'!$B:$B,0)</f>
        <v>0</v>
      </c>
      <c r="P305" s="37">
        <f>_xlfn.XLOOKUP(B305,'[19]Apr-26'!$A:$A,'[19]Apr-26'!$B:$B,0)</f>
        <v>0</v>
      </c>
      <c r="Q305" s="37">
        <f>_xlfn.XLOOKUP(B305,'[20]Apr 26'!$A:$A,'[20]Apr 26'!$B:$B,0)</f>
        <v>0</v>
      </c>
      <c r="R305" s="37">
        <f>_xlfn.XLOOKUP(B305,[21]Sheet1!$B:$B,[21]Sheet1!$C:$C,0)</f>
        <v>0</v>
      </c>
      <c r="S305" s="37">
        <f>_xlfn.XLOOKUP(B305,[22]provision!$A:$A,[22]provision!$B:$B,0)</f>
        <v>0</v>
      </c>
      <c r="U305" s="37">
        <f>_xlfn.XLOOKUP(B305,[23]prov!$A:$A,[23]prov!$B:$B,0)</f>
        <v>0</v>
      </c>
    </row>
    <row r="306" spans="1:21" x14ac:dyDescent="0.35">
      <c r="A306" s="47" t="str">
        <f>_xlfn.XLOOKUP(B306,[3]master!B:B,[3]master!A:A)</f>
        <v xml:space="preserve">Salaries, wages and  bonus </v>
      </c>
      <c r="B306" s="532" t="s">
        <v>344</v>
      </c>
      <c r="H306" s="37">
        <f>_xlfn.XLOOKUP(B306,[17]Sheet1!$A:$A,[17]Sheet1!$C:$C,0)</f>
        <v>0</v>
      </c>
      <c r="I306" s="37">
        <f>_xlfn.XLOOKUP(B306,[17]Sheet1!$A:$A,[17]Sheet1!$D:$D,0)</f>
        <v>0</v>
      </c>
      <c r="M306" s="37">
        <f>_xlfn.XLOOKUP(B306,'[18]feb-26'!$A:$A,'[18]feb-26'!$B:$B,0)</f>
        <v>0</v>
      </c>
      <c r="P306" s="37">
        <f>_xlfn.XLOOKUP(B306,'[19]Apr-26'!$A:$A,'[19]Apr-26'!$B:$B,0)</f>
        <v>0</v>
      </c>
      <c r="Q306" s="37">
        <f>_xlfn.XLOOKUP(B306,'[20]Apr 26'!$A:$A,'[20]Apr 26'!$B:$B,0)</f>
        <v>250000</v>
      </c>
      <c r="R306" s="37">
        <f>_xlfn.XLOOKUP(B306,[21]Sheet1!$B:$B,[21]Sheet1!$C:$C,0)</f>
        <v>0</v>
      </c>
      <c r="S306" s="37">
        <f>_xlfn.XLOOKUP(B306,[22]provision!$A:$A,[22]provision!$B:$B,0)</f>
        <v>0</v>
      </c>
      <c r="U306" s="37">
        <f>_xlfn.XLOOKUP(B306,[23]prov!$A:$A,[23]prov!$B:$B,0)</f>
        <v>0</v>
      </c>
    </row>
    <row r="307" spans="1:21" x14ac:dyDescent="0.35">
      <c r="A307" s="47" t="str">
        <f>_xlfn.XLOOKUP(B307,[3]master!B:B,[3]master!A:A)</f>
        <v>Other Administrative Expenses</v>
      </c>
      <c r="B307" s="47" t="s">
        <v>556</v>
      </c>
      <c r="H307" s="37">
        <f>_xlfn.XLOOKUP(B307,[17]Sheet1!$A:$A,[17]Sheet1!$C:$C,0)</f>
        <v>0</v>
      </c>
      <c r="I307" s="37">
        <f>_xlfn.XLOOKUP(B307,[17]Sheet1!$A:$A,[17]Sheet1!$D:$D,0)</f>
        <v>0</v>
      </c>
      <c r="M307" s="37">
        <f>_xlfn.XLOOKUP(B307,'[18]feb-26'!$A:$A,'[18]feb-26'!$B:$B,0)</f>
        <v>0</v>
      </c>
      <c r="P307" s="37">
        <f>_xlfn.XLOOKUP(B307,'[19]Apr-26'!$A:$A,'[19]Apr-26'!$B:$B,0)</f>
        <v>0</v>
      </c>
      <c r="Q307" s="37">
        <f>_xlfn.XLOOKUP(B307,'[20]Apr 26'!$A:$A,'[20]Apr 26'!$B:$B,0)</f>
        <v>0</v>
      </c>
      <c r="R307" s="37">
        <f>_xlfn.XLOOKUP(B307,[21]Sheet1!$B:$B,[21]Sheet1!$C:$C,0)</f>
        <v>0</v>
      </c>
      <c r="S307" s="37">
        <f>_xlfn.XLOOKUP(B307,[22]provision!$A:$A,[22]provision!$B:$B,0)</f>
        <v>0</v>
      </c>
      <c r="U307" s="37">
        <f>_xlfn.XLOOKUP(B307,[23]prov!$A:$A,[23]prov!$B:$B,0)</f>
        <v>0</v>
      </c>
    </row>
    <row r="308" spans="1:21" x14ac:dyDescent="0.35">
      <c r="A308" s="47" t="str">
        <f>_xlfn.XLOOKUP(B308,[3]master!B:B,[3]master!A:A)</f>
        <v>Freight Outward and C &amp; F Charges</v>
      </c>
      <c r="B308" s="37" t="s">
        <v>636</v>
      </c>
      <c r="H308" s="37">
        <f>_xlfn.XLOOKUP(B308,[17]Sheet1!$A:$A,[17]Sheet1!$C:$C,0)</f>
        <v>0</v>
      </c>
      <c r="I308" s="37">
        <f>_xlfn.XLOOKUP(B308,[17]Sheet1!$A:$A,[17]Sheet1!$D:$D,0)</f>
        <v>0</v>
      </c>
      <c r="M308" s="37">
        <f>_xlfn.XLOOKUP(B308,'[18]feb-26'!$A:$A,'[18]feb-26'!$B:$B,0)</f>
        <v>0</v>
      </c>
      <c r="P308" s="37">
        <f>_xlfn.XLOOKUP(B308,'[19]Apr-26'!$A:$A,'[19]Apr-26'!$B:$B,0)</f>
        <v>450000</v>
      </c>
      <c r="Q308" s="37">
        <f>_xlfn.XLOOKUP(B308,'[20]Apr 26'!$A:$A,'[20]Apr 26'!$B:$B,0)</f>
        <v>0</v>
      </c>
      <c r="R308" s="37">
        <f>_xlfn.XLOOKUP(B308,[21]Sheet1!$B:$B,[21]Sheet1!$C:$C,0)</f>
        <v>0</v>
      </c>
      <c r="S308" s="37">
        <f>_xlfn.XLOOKUP(B308,[22]provision!$A:$A,[22]provision!$B:$B,0)</f>
        <v>700000</v>
      </c>
      <c r="U308" s="37">
        <f>_xlfn.XLOOKUP(B308,[23]prov!$A:$A,[23]prov!$B:$B,0)</f>
        <v>0</v>
      </c>
    </row>
    <row r="309" spans="1:21" x14ac:dyDescent="0.35">
      <c r="A309" s="47" t="str">
        <f>_xlfn.XLOOKUP(B309,[3]master!B:B,[3]master!A:A)</f>
        <v>Other Administrative Expenses</v>
      </c>
      <c r="B309" s="533" t="s">
        <v>309</v>
      </c>
      <c r="H309" s="37">
        <f>_xlfn.XLOOKUP(B309,[17]Sheet1!$A:$A,[17]Sheet1!$C:$C,0)</f>
        <v>0</v>
      </c>
      <c r="I309" s="37">
        <f>_xlfn.XLOOKUP(B309,[17]Sheet1!$A:$A,[17]Sheet1!$D:$D,0)</f>
        <v>0</v>
      </c>
      <c r="M309" s="37">
        <f>_xlfn.XLOOKUP(B309,'[18]feb-26'!$A:$A,'[18]feb-26'!$B:$B,0)</f>
        <v>0</v>
      </c>
      <c r="P309" s="37">
        <f>_xlfn.XLOOKUP(B309,'[19]Apr-26'!$A:$A,'[19]Apr-26'!$B:$B,0)</f>
        <v>0</v>
      </c>
      <c r="Q309" s="37">
        <f>_xlfn.XLOOKUP(B309,'[20]Apr 26'!$A:$A,'[20]Apr 26'!$B:$B,0)</f>
        <v>-14908</v>
      </c>
      <c r="R309" s="37">
        <f>_xlfn.XLOOKUP(B309,[21]Sheet1!$B:$B,[21]Sheet1!$C:$C,0)</f>
        <v>0</v>
      </c>
      <c r="S309" s="37">
        <f>_xlfn.XLOOKUP(B309,[22]provision!$A:$A,[22]provision!$B:$B,0)</f>
        <v>0</v>
      </c>
      <c r="U309" s="37">
        <f>_xlfn.XLOOKUP(B309,[23]prov!$A:$A,[23]prov!$B:$B,0)</f>
        <v>0</v>
      </c>
    </row>
    <row r="310" spans="1:21" x14ac:dyDescent="0.35">
      <c r="A310" s="47" t="str">
        <f>_xlfn.XLOOKUP(B310,[3]master!B:B,[3]master!A:A)</f>
        <v>Staff welfare expenses</v>
      </c>
      <c r="B310" s="533" t="s">
        <v>357</v>
      </c>
      <c r="H310" s="37">
        <f>_xlfn.XLOOKUP(B310,[17]Sheet1!$A:$A,[17]Sheet1!$C:$C,0)</f>
        <v>0</v>
      </c>
      <c r="I310" s="37">
        <f>_xlfn.XLOOKUP(B310,[17]Sheet1!$A:$A,[17]Sheet1!$D:$D,0)</f>
        <v>0</v>
      </c>
      <c r="M310" s="37">
        <f>_xlfn.XLOOKUP(B310,'[18]feb-26'!$A:$A,'[18]feb-26'!$B:$B,0)</f>
        <v>0</v>
      </c>
      <c r="P310" s="37">
        <f>_xlfn.XLOOKUP(B310,'[19]Apr-26'!$A:$A,'[19]Apr-26'!$B:$B,0)</f>
        <v>0</v>
      </c>
      <c r="Q310" s="37">
        <f>_xlfn.XLOOKUP(B310,'[20]Apr 26'!$A:$A,'[20]Apr 26'!$B:$B,0)</f>
        <v>0</v>
      </c>
      <c r="R310" s="37">
        <f>_xlfn.XLOOKUP(B310,[21]Sheet1!$B:$B,[21]Sheet1!$C:$C,0)</f>
        <v>0</v>
      </c>
      <c r="S310" s="37">
        <f>_xlfn.XLOOKUP(B310,[22]provision!$A:$A,[22]provision!$B:$B,0)</f>
        <v>0</v>
      </c>
      <c r="U310" s="37">
        <f>_xlfn.XLOOKUP(B310,[23]prov!$A:$A,[23]prov!$B:$B,0)</f>
        <v>0</v>
      </c>
    </row>
    <row r="311" spans="1:21" x14ac:dyDescent="0.35">
      <c r="A311" s="47" t="str">
        <f>_xlfn.XLOOKUP(B311,[3]master!B:B,[3]master!A:A)</f>
        <v>Other Administrative Expenses</v>
      </c>
      <c r="B311" s="533" t="s">
        <v>304</v>
      </c>
      <c r="H311" s="37">
        <f>_xlfn.XLOOKUP(B311,[17]Sheet1!$A:$A,[17]Sheet1!$C:$C,0)</f>
        <v>0</v>
      </c>
      <c r="I311" s="37">
        <f>_xlfn.XLOOKUP(B311,[17]Sheet1!$A:$A,[17]Sheet1!$D:$D,0)</f>
        <v>0</v>
      </c>
      <c r="M311" s="37">
        <f>_xlfn.XLOOKUP(B311,'[18]feb-26'!$A:$A,'[18]feb-26'!$B:$B,0)</f>
        <v>0</v>
      </c>
      <c r="P311" s="37">
        <f>_xlfn.XLOOKUP(B311,'[19]Apr-26'!$A:$A,'[19]Apr-26'!$B:$B,0)</f>
        <v>0</v>
      </c>
      <c r="Q311" s="37">
        <f>_xlfn.XLOOKUP(B311,'[20]Apr 26'!$A:$A,'[20]Apr 26'!$B:$B,0)</f>
        <v>0</v>
      </c>
      <c r="R311" s="37">
        <f>_xlfn.XLOOKUP(B311,[21]Sheet1!$B:$B,[21]Sheet1!$C:$C,0)</f>
        <v>0</v>
      </c>
      <c r="S311" s="37">
        <f>_xlfn.XLOOKUP(B311,[22]provision!$A:$A,[22]provision!$B:$B,0)</f>
        <v>0</v>
      </c>
      <c r="U311" s="37">
        <f>_xlfn.XLOOKUP(B311,[23]prov!$A:$A,[23]prov!$B:$B,0)</f>
        <v>0</v>
      </c>
    </row>
    <row r="312" spans="1:21" x14ac:dyDescent="0.35">
      <c r="A312" s="47" t="str">
        <f>_xlfn.XLOOKUP(B312,[3]master!B:B,[3]master!A:A)</f>
        <v>Other Administrative Expenses</v>
      </c>
      <c r="B312" s="533" t="s">
        <v>265</v>
      </c>
      <c r="H312" s="37">
        <f>_xlfn.XLOOKUP(B312,[17]Sheet1!$A:$A,[17]Sheet1!$C:$C,0)</f>
        <v>0</v>
      </c>
      <c r="I312" s="37">
        <f>_xlfn.XLOOKUP(B312,[17]Sheet1!$A:$A,[17]Sheet1!$D:$D,0)</f>
        <v>0</v>
      </c>
      <c r="M312" s="37">
        <f>_xlfn.XLOOKUP(B312,'[18]feb-26'!$A:$A,'[18]feb-26'!$B:$B,0)</f>
        <v>0</v>
      </c>
      <c r="P312" s="37">
        <f>_xlfn.XLOOKUP(B312,'[19]Apr-26'!$A:$A,'[19]Apr-26'!$B:$B,0)</f>
        <v>0</v>
      </c>
      <c r="Q312" s="37">
        <f>_xlfn.XLOOKUP(B312,'[20]Apr 26'!$A:$A,'[20]Apr 26'!$B:$B,0)</f>
        <v>0</v>
      </c>
      <c r="R312" s="37">
        <f>_xlfn.XLOOKUP(B312,[21]Sheet1!$B:$B,[21]Sheet1!$C:$C,0)</f>
        <v>0</v>
      </c>
      <c r="S312" s="37">
        <f>_xlfn.XLOOKUP(B312,[22]provision!$A:$A,[22]provision!$B:$B,0)</f>
        <v>0</v>
      </c>
      <c r="U312" s="37">
        <f>_xlfn.XLOOKUP(B312,[23]prov!$A:$A,[23]prov!$B:$B,0)</f>
        <v>0</v>
      </c>
    </row>
    <row r="313" spans="1:21" x14ac:dyDescent="0.35">
      <c r="A313" s="47" t="str">
        <f>_xlfn.XLOOKUP(B313,[3]master!B:B,[3]master!A:A)</f>
        <v xml:space="preserve">Salaries, wages and  bonus </v>
      </c>
      <c r="B313" s="533" t="s">
        <v>349</v>
      </c>
      <c r="H313" s="37">
        <f>_xlfn.XLOOKUP(B313,[17]Sheet1!$A:$A,[17]Sheet1!$C:$C,0)</f>
        <v>0</v>
      </c>
      <c r="I313" s="37">
        <f>_xlfn.XLOOKUP(B313,[17]Sheet1!$A:$A,[17]Sheet1!$D:$D,0)</f>
        <v>0</v>
      </c>
      <c r="M313" s="37">
        <f>_xlfn.XLOOKUP(B313,'[18]feb-26'!$A:$A,'[18]feb-26'!$B:$B,0)</f>
        <v>0</v>
      </c>
      <c r="P313" s="37">
        <f>_xlfn.XLOOKUP(B313,'[19]Apr-26'!$A:$A,'[19]Apr-26'!$B:$B,0)</f>
        <v>0</v>
      </c>
      <c r="Q313" s="37">
        <f>_xlfn.XLOOKUP(B313,'[20]Apr 26'!$A:$A,'[20]Apr 26'!$B:$B,0)</f>
        <v>0</v>
      </c>
      <c r="R313" s="37">
        <f>_xlfn.XLOOKUP(B313,[21]Sheet1!$B:$B,[21]Sheet1!$C:$C,0)</f>
        <v>0</v>
      </c>
      <c r="S313" s="37">
        <f>_xlfn.XLOOKUP(B313,[22]provision!$A:$A,[22]provision!$B:$B,0)</f>
        <v>0</v>
      </c>
      <c r="U313" s="37">
        <f>_xlfn.XLOOKUP(B313,[23]prov!$A:$A,[23]prov!$B:$B,0)</f>
        <v>11000</v>
      </c>
    </row>
    <row r="314" spans="1:21" x14ac:dyDescent="0.35">
      <c r="A314" s="47" t="str">
        <f>_xlfn.XLOOKUP(B314,[3]master!B:B,[3]master!A:A)</f>
        <v xml:space="preserve">Salaries, wages and  bonus </v>
      </c>
      <c r="B314" s="37" t="s">
        <v>332</v>
      </c>
      <c r="H314" s="37">
        <f>_xlfn.XLOOKUP(B314,[17]Sheet1!$A:$A,[17]Sheet1!$C:$C,0)</f>
        <v>0</v>
      </c>
      <c r="I314" s="37">
        <f>_xlfn.XLOOKUP(B314,[17]Sheet1!$A:$A,[17]Sheet1!$D:$D,0)</f>
        <v>0</v>
      </c>
      <c r="M314" s="37">
        <f>_xlfn.XLOOKUP(B314,'[18]feb-26'!$A:$A,'[18]feb-26'!$B:$B,0)</f>
        <v>0</v>
      </c>
      <c r="P314" s="37">
        <f>_xlfn.XLOOKUP(B314,'[19]Apr-26'!$A:$A,'[19]Apr-26'!$B:$B,0)</f>
        <v>0</v>
      </c>
      <c r="Q314" s="37">
        <f>_xlfn.XLOOKUP(B314,'[20]Apr 26'!$A:$A,'[20]Apr 26'!$B:$B,0)</f>
        <v>0</v>
      </c>
      <c r="R314" s="37">
        <f>_xlfn.XLOOKUP(B314,[21]Sheet1!$B:$B,[21]Sheet1!$C:$C,0)</f>
        <v>0</v>
      </c>
      <c r="S314" s="37">
        <f>_xlfn.XLOOKUP(B314,[22]provision!$A:$A,[22]provision!$B:$B,0)</f>
        <v>0</v>
      </c>
      <c r="U314" s="37">
        <f>_xlfn.XLOOKUP(B314,[23]prov!$A:$A,[23]prov!$B:$B,0)</f>
        <v>0</v>
      </c>
    </row>
    <row r="315" spans="1:21" x14ac:dyDescent="0.35">
      <c r="A315" s="47" t="str">
        <f>_xlfn.XLOOKUP(B315,[3]master!B:B,[3]master!A:A)</f>
        <v xml:space="preserve">Salaries, wages and  bonus </v>
      </c>
      <c r="B315" s="37" t="s">
        <v>333</v>
      </c>
      <c r="H315" s="37">
        <f>_xlfn.XLOOKUP(B315,[17]Sheet1!$A:$A,[17]Sheet1!$C:$C,0)</f>
        <v>0</v>
      </c>
      <c r="I315" s="37">
        <f>_xlfn.XLOOKUP(B315,[17]Sheet1!$A:$A,[17]Sheet1!$D:$D,0)</f>
        <v>0</v>
      </c>
      <c r="M315" s="37">
        <f>_xlfn.XLOOKUP(B315,'[18]feb-26'!$A:$A,'[18]feb-26'!$B:$B,0)</f>
        <v>0</v>
      </c>
      <c r="P315" s="37">
        <f>_xlfn.XLOOKUP(B315,'[19]Apr-26'!$A:$A,'[19]Apr-26'!$B:$B,0)</f>
        <v>0</v>
      </c>
      <c r="Q315" s="37">
        <f>_xlfn.XLOOKUP(B315,'[20]Apr 26'!$A:$A,'[20]Apr 26'!$B:$B,0)</f>
        <v>0</v>
      </c>
      <c r="R315" s="37">
        <f>_xlfn.XLOOKUP(B315,[21]Sheet1!$B:$B,[21]Sheet1!$C:$C,0)</f>
        <v>0</v>
      </c>
      <c r="S315" s="37">
        <f>_xlfn.XLOOKUP(B315,[22]provision!$A:$A,[22]provision!$B:$B,0)</f>
        <v>0</v>
      </c>
      <c r="U315" s="37">
        <f>_xlfn.XLOOKUP(B315,[23]prov!$A:$A,[23]prov!$B:$B,0)</f>
        <v>0</v>
      </c>
    </row>
    <row r="316" spans="1:21" x14ac:dyDescent="0.35">
      <c r="A316" s="47" t="str">
        <f>_xlfn.XLOOKUP(B316,[3]master!B:B,[3]master!A:A)</f>
        <v xml:space="preserve">Salaries, wages and  bonus </v>
      </c>
      <c r="B316" s="37" t="s">
        <v>337</v>
      </c>
      <c r="H316" s="37">
        <f>_xlfn.XLOOKUP(B316,[17]Sheet1!$A:$A,[17]Sheet1!$C:$C,0)</f>
        <v>0</v>
      </c>
      <c r="I316" s="37">
        <f>_xlfn.XLOOKUP(B316,[17]Sheet1!$A:$A,[17]Sheet1!$D:$D,0)</f>
        <v>0</v>
      </c>
      <c r="M316" s="37">
        <f>_xlfn.XLOOKUP(B316,'[18]feb-26'!$A:$A,'[18]feb-26'!$B:$B,0)</f>
        <v>0</v>
      </c>
      <c r="P316" s="37">
        <f>_xlfn.XLOOKUP(B316,'[19]Apr-26'!$A:$A,'[19]Apr-26'!$B:$B,0)</f>
        <v>0</v>
      </c>
      <c r="Q316" s="37">
        <f>_xlfn.XLOOKUP(B316,'[20]Apr 26'!$A:$A,'[20]Apr 26'!$B:$B,0)</f>
        <v>0</v>
      </c>
      <c r="R316" s="37">
        <f>_xlfn.XLOOKUP(B316,[21]Sheet1!$B:$B,[21]Sheet1!$C:$C,0)</f>
        <v>0</v>
      </c>
      <c r="S316" s="37">
        <f>_xlfn.XLOOKUP(B316,[22]provision!$A:$A,[22]provision!$B:$B,0)</f>
        <v>0</v>
      </c>
      <c r="U316" s="37">
        <f>_xlfn.XLOOKUP(B316,[23]prov!$A:$A,[23]prov!$B:$B,0)</f>
        <v>0</v>
      </c>
    </row>
    <row r="317" spans="1:21" x14ac:dyDescent="0.35">
      <c r="A317" s="47" t="str">
        <f>_xlfn.XLOOKUP(B317,[3]master!B:B,[3]master!A:A)</f>
        <v xml:space="preserve">Salaries, wages and  bonus </v>
      </c>
      <c r="B317" s="37" t="s">
        <v>566</v>
      </c>
      <c r="H317" s="37">
        <f>_xlfn.XLOOKUP(B317,[17]Sheet1!$A:$A,[17]Sheet1!$C:$C,0)</f>
        <v>0</v>
      </c>
      <c r="I317" s="37">
        <f>_xlfn.XLOOKUP(B317,[17]Sheet1!$A:$A,[17]Sheet1!$D:$D,0)</f>
        <v>0</v>
      </c>
      <c r="M317" s="37">
        <f>_xlfn.XLOOKUP(B317,'[18]feb-26'!$A:$A,'[18]feb-26'!$B:$B,0)</f>
        <v>0</v>
      </c>
      <c r="P317" s="37">
        <f>_xlfn.XLOOKUP(B317,'[19]Apr-26'!$A:$A,'[19]Apr-26'!$B:$B,0)</f>
        <v>0</v>
      </c>
      <c r="Q317" s="37">
        <f>_xlfn.XLOOKUP(B317,'[20]Apr 26'!$A:$A,'[20]Apr 26'!$B:$B,0)</f>
        <v>0</v>
      </c>
      <c r="R317" s="37">
        <f>_xlfn.XLOOKUP(B317,[21]Sheet1!$B:$B,[21]Sheet1!$C:$C,0)</f>
        <v>0</v>
      </c>
      <c r="S317" s="37">
        <f>_xlfn.XLOOKUP(B317,[22]provision!$A:$A,[22]provision!$B:$B,0)</f>
        <v>0</v>
      </c>
      <c r="U317" s="37">
        <f>_xlfn.XLOOKUP(B317,[23]prov!$A:$A,[23]prov!$B:$B,0)</f>
        <v>0</v>
      </c>
    </row>
    <row r="318" spans="1:21" x14ac:dyDescent="0.35">
      <c r="A318" s="47" t="str">
        <f>_xlfn.XLOOKUP(B318,[3]master!B:B,[3]master!A:A)</f>
        <v xml:space="preserve">Salaries, wages and  bonus </v>
      </c>
      <c r="B318" s="37" t="s">
        <v>338</v>
      </c>
      <c r="H318" s="37">
        <f>_xlfn.XLOOKUP(B318,[17]Sheet1!$A:$A,[17]Sheet1!$C:$C,0)</f>
        <v>0</v>
      </c>
      <c r="I318" s="37">
        <f>_xlfn.XLOOKUP(B318,[17]Sheet1!$A:$A,[17]Sheet1!$D:$D,0)</f>
        <v>0</v>
      </c>
      <c r="M318" s="37">
        <f>_xlfn.XLOOKUP(B318,'[18]feb-26'!$A:$A,'[18]feb-26'!$B:$B,0)</f>
        <v>0</v>
      </c>
      <c r="P318" s="37">
        <f>_xlfn.XLOOKUP(B318,'[19]Apr-26'!$A:$A,'[19]Apr-26'!$B:$B,0)</f>
        <v>0</v>
      </c>
      <c r="Q318" s="37">
        <f>_xlfn.XLOOKUP(B318,'[20]Apr 26'!$A:$A,'[20]Apr 26'!$B:$B,0)</f>
        <v>0</v>
      </c>
      <c r="R318" s="37">
        <f>_xlfn.XLOOKUP(B318,[21]Sheet1!$B:$B,[21]Sheet1!$C:$C,0)</f>
        <v>0</v>
      </c>
      <c r="S318" s="37">
        <f>_xlfn.XLOOKUP(B318,[22]provision!$A:$A,[22]provision!$B:$B,0)</f>
        <v>0</v>
      </c>
      <c r="U318" s="37">
        <f>_xlfn.XLOOKUP(B318,[23]prov!$A:$A,[23]prov!$B:$B,0)</f>
        <v>0</v>
      </c>
    </row>
    <row r="319" spans="1:21" x14ac:dyDescent="0.35">
      <c r="A319" s="47" t="str">
        <f>_xlfn.XLOOKUP(B319,[3]master!B:B,[3]master!A:A)</f>
        <v xml:space="preserve">Salaries, wages and  bonus </v>
      </c>
      <c r="B319" s="37" t="s">
        <v>339</v>
      </c>
      <c r="H319" s="37">
        <f>_xlfn.XLOOKUP(B319,[17]Sheet1!$A:$A,[17]Sheet1!$C:$C,0)</f>
        <v>0</v>
      </c>
      <c r="I319" s="37">
        <f>_xlfn.XLOOKUP(B319,[17]Sheet1!$A:$A,[17]Sheet1!$D:$D,0)</f>
        <v>0</v>
      </c>
      <c r="M319" s="37">
        <f>_xlfn.XLOOKUP(B319,'[18]feb-26'!$A:$A,'[18]feb-26'!$B:$B,0)</f>
        <v>0</v>
      </c>
      <c r="P319" s="37">
        <f>_xlfn.XLOOKUP(B319,'[19]Apr-26'!$A:$A,'[19]Apr-26'!$B:$B,0)</f>
        <v>0</v>
      </c>
      <c r="Q319" s="37">
        <f>_xlfn.XLOOKUP(B319,'[20]Apr 26'!$A:$A,'[20]Apr 26'!$B:$B,0)</f>
        <v>0</v>
      </c>
      <c r="R319" s="37">
        <f>_xlfn.XLOOKUP(B319,[21]Sheet1!$B:$B,[21]Sheet1!$C:$C,0)</f>
        <v>0</v>
      </c>
      <c r="S319" s="37">
        <f>_xlfn.XLOOKUP(B319,[22]provision!$A:$A,[22]provision!$B:$B,0)</f>
        <v>0</v>
      </c>
      <c r="U319" s="37">
        <f>_xlfn.XLOOKUP(B319,[23]prov!$A:$A,[23]prov!$B:$B,0)</f>
        <v>0</v>
      </c>
    </row>
    <row r="320" spans="1:21" x14ac:dyDescent="0.35">
      <c r="A320" s="47" t="str">
        <f>_xlfn.XLOOKUP(B320,[3]master!B:B,[3]master!A:A)</f>
        <v xml:space="preserve">Salaries, wages and  bonus </v>
      </c>
      <c r="B320" s="37" t="s">
        <v>340</v>
      </c>
      <c r="H320" s="37">
        <f>_xlfn.XLOOKUP(B320,[17]Sheet1!$A:$A,[17]Sheet1!$C:$C,0)</f>
        <v>0</v>
      </c>
      <c r="I320" s="37">
        <f>_xlfn.XLOOKUP(B320,[17]Sheet1!$A:$A,[17]Sheet1!$D:$D,0)</f>
        <v>0</v>
      </c>
      <c r="M320" s="37">
        <f>_xlfn.XLOOKUP(B320,'[18]feb-26'!$A:$A,'[18]feb-26'!$B:$B,0)</f>
        <v>0</v>
      </c>
      <c r="P320" s="37">
        <f>_xlfn.XLOOKUP(B320,'[19]Apr-26'!$A:$A,'[19]Apr-26'!$B:$B,0)</f>
        <v>0</v>
      </c>
      <c r="Q320" s="37">
        <f>_xlfn.XLOOKUP(B320,'[20]Apr 26'!$A:$A,'[20]Apr 26'!$B:$B,0)</f>
        <v>0</v>
      </c>
      <c r="R320" s="37">
        <f>_xlfn.XLOOKUP(B320,[21]Sheet1!$B:$B,[21]Sheet1!$C:$C,0)</f>
        <v>0</v>
      </c>
      <c r="S320" s="37">
        <f>_xlfn.XLOOKUP(B320,[22]provision!$A:$A,[22]provision!$B:$B,0)</f>
        <v>0</v>
      </c>
      <c r="U320" s="37">
        <f>_xlfn.XLOOKUP(B320,[23]prov!$A:$A,[23]prov!$B:$B,0)</f>
        <v>0</v>
      </c>
    </row>
    <row r="321" spans="1:21" x14ac:dyDescent="0.35">
      <c r="A321" s="47" t="str">
        <f>_xlfn.XLOOKUP(B321,[3]master!B:B,[3]master!A:A)</f>
        <v xml:space="preserve">Salaries, wages and  bonus </v>
      </c>
      <c r="B321" s="37" t="s">
        <v>341</v>
      </c>
      <c r="H321" s="37">
        <f>_xlfn.XLOOKUP(B321,[17]Sheet1!$A:$A,[17]Sheet1!$C:$C,0)</f>
        <v>0</v>
      </c>
      <c r="I321" s="37">
        <f>_xlfn.XLOOKUP(B321,[17]Sheet1!$A:$A,[17]Sheet1!$D:$D,0)</f>
        <v>0</v>
      </c>
      <c r="M321" s="37">
        <f>_xlfn.XLOOKUP(B321,'[18]feb-26'!$A:$A,'[18]feb-26'!$B:$B,0)</f>
        <v>0</v>
      </c>
      <c r="P321" s="37">
        <f>_xlfn.XLOOKUP(B321,'[19]Apr-26'!$A:$A,'[19]Apr-26'!$B:$B,0)</f>
        <v>0</v>
      </c>
      <c r="Q321" s="37">
        <f>_xlfn.XLOOKUP(B321,'[20]Apr 26'!$A:$A,'[20]Apr 26'!$B:$B,0)</f>
        <v>0</v>
      </c>
      <c r="R321" s="37">
        <f>_xlfn.XLOOKUP(B321,[21]Sheet1!$B:$B,[21]Sheet1!$C:$C,0)</f>
        <v>0</v>
      </c>
      <c r="S321" s="37">
        <f>_xlfn.XLOOKUP(B321,[22]provision!$A:$A,[22]provision!$B:$B,0)</f>
        <v>0</v>
      </c>
      <c r="U321" s="37">
        <f>_xlfn.XLOOKUP(B321,[23]prov!$A:$A,[23]prov!$B:$B,0)</f>
        <v>0</v>
      </c>
    </row>
    <row r="322" spans="1:21" x14ac:dyDescent="0.35">
      <c r="A322" s="47" t="str">
        <f>_xlfn.XLOOKUP(B322,[3]master!B:B,[3]master!A:A)</f>
        <v xml:space="preserve">Salaries, wages and  bonus </v>
      </c>
      <c r="B322" s="37" t="s">
        <v>342</v>
      </c>
      <c r="H322" s="37">
        <f>_xlfn.XLOOKUP(B322,[17]Sheet1!$A:$A,[17]Sheet1!$C:$C,0)</f>
        <v>0</v>
      </c>
      <c r="I322" s="37">
        <f>_xlfn.XLOOKUP(B322,[17]Sheet1!$A:$A,[17]Sheet1!$D:$D,0)</f>
        <v>0</v>
      </c>
      <c r="M322" s="37">
        <f>_xlfn.XLOOKUP(B322,'[18]feb-26'!$A:$A,'[18]feb-26'!$B:$B,0)</f>
        <v>0</v>
      </c>
      <c r="P322" s="37">
        <f>_xlfn.XLOOKUP(B322,'[19]Apr-26'!$A:$A,'[19]Apr-26'!$B:$B,0)</f>
        <v>0</v>
      </c>
      <c r="Q322" s="37">
        <f>_xlfn.XLOOKUP(B322,'[20]Apr 26'!$A:$A,'[20]Apr 26'!$B:$B,0)</f>
        <v>0</v>
      </c>
      <c r="R322" s="37">
        <f>_xlfn.XLOOKUP(B322,[21]Sheet1!$B:$B,[21]Sheet1!$C:$C,0)</f>
        <v>0</v>
      </c>
      <c r="S322" s="37">
        <f>_xlfn.XLOOKUP(B322,[22]provision!$A:$A,[22]provision!$B:$B,0)</f>
        <v>0</v>
      </c>
      <c r="U322" s="37">
        <f>_xlfn.XLOOKUP(B322,[23]prov!$A:$A,[23]prov!$B:$B,0)</f>
        <v>0</v>
      </c>
    </row>
    <row r="323" spans="1:21" x14ac:dyDescent="0.35">
      <c r="A323" s="47" t="str">
        <f>_xlfn.XLOOKUP(B323,[3]master!B:B,[3]master!A:A)</f>
        <v xml:space="preserve">Salaries, wages and  bonus </v>
      </c>
      <c r="B323" s="37" t="s">
        <v>347</v>
      </c>
      <c r="H323" s="37">
        <f>_xlfn.XLOOKUP(B323,[17]Sheet1!$A:$A,[17]Sheet1!$C:$C,0)</f>
        <v>0</v>
      </c>
      <c r="I323" s="37">
        <f>_xlfn.XLOOKUP(B323,[17]Sheet1!$A:$A,[17]Sheet1!$D:$D,0)</f>
        <v>0</v>
      </c>
      <c r="M323" s="37">
        <f>_xlfn.XLOOKUP(B323,'[18]feb-26'!$A:$A,'[18]feb-26'!$B:$B,0)</f>
        <v>0</v>
      </c>
      <c r="P323" s="37">
        <f>_xlfn.XLOOKUP(B323,'[19]Apr-26'!$A:$A,'[19]Apr-26'!$B:$B,0)</f>
        <v>0</v>
      </c>
      <c r="Q323" s="37">
        <f>_xlfn.XLOOKUP(B323,'[20]Apr 26'!$A:$A,'[20]Apr 26'!$B:$B,0)</f>
        <v>0</v>
      </c>
      <c r="R323" s="37">
        <f>_xlfn.XLOOKUP(B323,[21]Sheet1!$B:$B,[21]Sheet1!$C:$C,0)</f>
        <v>0</v>
      </c>
      <c r="S323" s="37">
        <f>_xlfn.XLOOKUP(B323,[22]provision!$A:$A,[22]provision!$B:$B,0)</f>
        <v>0</v>
      </c>
      <c r="U323" s="37">
        <f>_xlfn.XLOOKUP(B323,[23]prov!$A:$A,[23]prov!$B:$B,0)</f>
        <v>0</v>
      </c>
    </row>
    <row r="324" spans="1:21" x14ac:dyDescent="0.35">
      <c r="A324" s="47" t="str">
        <f>_xlfn.XLOOKUP(B324,[3]master!B:B,[3]master!A:A)</f>
        <v>Conveyance, vehicle running and traveling expenses</v>
      </c>
      <c r="B324" s="37" t="s">
        <v>314</v>
      </c>
      <c r="H324" s="37">
        <f>_xlfn.XLOOKUP(B324,[17]Sheet1!$A:$A,[17]Sheet1!$C:$C,0)</f>
        <v>0</v>
      </c>
      <c r="I324" s="37">
        <f>_xlfn.XLOOKUP(B324,[17]Sheet1!$A:$A,[17]Sheet1!$D:$D,0)</f>
        <v>0</v>
      </c>
      <c r="M324" s="37">
        <f>_xlfn.XLOOKUP(B324,'[18]feb-26'!$A:$A,'[18]feb-26'!$B:$B,0)</f>
        <v>0</v>
      </c>
      <c r="P324" s="37">
        <f>_xlfn.XLOOKUP(B324,'[19]Apr-26'!$A:$A,'[19]Apr-26'!$B:$B,0)</f>
        <v>0</v>
      </c>
      <c r="Q324" s="37">
        <f>_xlfn.XLOOKUP(B324,'[20]Apr 26'!$A:$A,'[20]Apr 26'!$B:$B,0)</f>
        <v>0</v>
      </c>
      <c r="R324" s="37">
        <f>_xlfn.XLOOKUP(B324,[21]Sheet1!$B:$B,[21]Sheet1!$C:$C,0)</f>
        <v>0</v>
      </c>
      <c r="S324" s="37">
        <f>_xlfn.XLOOKUP(B324,[22]provision!$A:$A,[22]provision!$B:$B,0)</f>
        <v>0</v>
      </c>
      <c r="U324" s="37">
        <f>_xlfn.XLOOKUP(B324,[23]prov!$A:$A,[23]prov!$B:$B,0)</f>
        <v>0</v>
      </c>
    </row>
    <row r="325" spans="1:21" x14ac:dyDescent="0.35">
      <c r="A325" s="47" t="str">
        <f>_xlfn.XLOOKUP(B325,[3]master!B:B,[3]master!A:A)</f>
        <v>Freight Outward and C &amp; F Charges</v>
      </c>
      <c r="B325" s="37" t="s">
        <v>276</v>
      </c>
      <c r="H325" s="37">
        <f>_xlfn.XLOOKUP(B325,[17]Sheet1!$A:$A,[17]Sheet1!$C:$C,0)</f>
        <v>16570</v>
      </c>
      <c r="I325" s="37">
        <f>_xlfn.XLOOKUP(B325,[17]Sheet1!$A:$A,[17]Sheet1!$D:$D,0)</f>
        <v>7079</v>
      </c>
      <c r="M325" s="37">
        <f>_xlfn.XLOOKUP(B325,'[18]feb-26'!$A:$A,'[18]feb-26'!$B:$B,0)</f>
        <v>0</v>
      </c>
      <c r="P325" s="37">
        <f>_xlfn.XLOOKUP(B325,'[19]Apr-26'!$A:$A,'[19]Apr-26'!$B:$B,0)</f>
        <v>0</v>
      </c>
      <c r="Q325" s="37">
        <f>_xlfn.XLOOKUP(B325,'[20]Apr 26'!$A:$A,'[20]Apr 26'!$B:$B,0)</f>
        <v>33000</v>
      </c>
      <c r="R325" s="37">
        <f>_xlfn.XLOOKUP(B325,[21]Sheet1!$B:$B,[21]Sheet1!$C:$C,0)</f>
        <v>0</v>
      </c>
      <c r="S325" s="37">
        <f>_xlfn.XLOOKUP(B325,[22]provision!$A:$A,[22]provision!$B:$B,0)</f>
        <v>0</v>
      </c>
      <c r="U325" s="37">
        <f>_xlfn.XLOOKUP(B325,[23]prov!$A:$A,[23]prov!$B:$B,0)</f>
        <v>0</v>
      </c>
    </row>
    <row r="326" spans="1:21" x14ac:dyDescent="0.35">
      <c r="A326" s="37" t="str">
        <f>_xlfn.XLOOKUP(B326,[3]master!B:B,[3]master!A:A)</f>
        <v>Other Administrative Expenses</v>
      </c>
      <c r="B326" s="533" t="s">
        <v>656</v>
      </c>
      <c r="H326" s="37">
        <f>_xlfn.XLOOKUP(B326,[17]Sheet1!$A:$A,[17]Sheet1!$C:$C,0)</f>
        <v>0</v>
      </c>
      <c r="I326" s="37">
        <f>_xlfn.XLOOKUP(B326,[17]Sheet1!$A:$A,[17]Sheet1!$D:$D,0)</f>
        <v>0</v>
      </c>
      <c r="M326" s="37">
        <f>_xlfn.XLOOKUP(B326,'[18]feb-26'!$A:$A,'[18]feb-26'!$B:$B,0)</f>
        <v>0</v>
      </c>
      <c r="P326" s="37">
        <f>_xlfn.XLOOKUP(B326,'[19]Apr-26'!$A:$A,'[19]Apr-26'!$B:$B,0)</f>
        <v>0</v>
      </c>
      <c r="Q326" s="37">
        <f>_xlfn.XLOOKUP(B326,'[20]Apr 26'!$A:$A,'[20]Apr 26'!$B:$B,0)</f>
        <v>0</v>
      </c>
      <c r="R326" s="37">
        <f>_xlfn.XLOOKUP(B326,[21]Sheet1!$B:$B,[21]Sheet1!$C:$C,0)</f>
        <v>0</v>
      </c>
      <c r="S326" s="37">
        <f>_xlfn.XLOOKUP(B326,[22]provision!$A:$A,[22]provision!$B:$B,0)</f>
        <v>0</v>
      </c>
      <c r="U326" s="37">
        <f>_xlfn.XLOOKUP(B326,[23]prov!$A:$A,[23]prov!$B:$B,0)</f>
        <v>0</v>
      </c>
    </row>
    <row r="327" spans="1:21" x14ac:dyDescent="0.35">
      <c r="A327" s="37" t="s">
        <v>431</v>
      </c>
      <c r="B327" s="37" t="s">
        <v>565</v>
      </c>
      <c r="H327" s="37">
        <f>_xlfn.XLOOKUP(B327,[17]Sheet1!$A:$A,[17]Sheet1!$C:$C,0)</f>
        <v>0</v>
      </c>
      <c r="I327" s="37">
        <f>_xlfn.XLOOKUP(B327,[17]Sheet1!$A:$A,[17]Sheet1!$D:$D,0)</f>
        <v>0</v>
      </c>
      <c r="M327" s="37">
        <f>_xlfn.XLOOKUP(B327,'[18]feb-26'!$A:$A,'[18]feb-26'!$B:$B,0)</f>
        <v>0</v>
      </c>
      <c r="P327" s="37">
        <f>_xlfn.XLOOKUP(B327,'[19]Apr-26'!$A:$A,'[19]Apr-26'!$B:$B,0)</f>
        <v>0</v>
      </c>
      <c r="Q327" s="37">
        <f>_xlfn.XLOOKUP(B327,'[20]Apr 26'!$A:$A,'[20]Apr 26'!$B:$B,0)</f>
        <v>0</v>
      </c>
      <c r="R327" s="37">
        <f>_xlfn.XLOOKUP(B327,[21]Sheet1!$B:$B,[21]Sheet1!$C:$C,0)</f>
        <v>0</v>
      </c>
      <c r="S327" s="37">
        <f>_xlfn.XLOOKUP(B327,[22]provision!$A:$A,[22]provision!$B:$B,0)</f>
        <v>0</v>
      </c>
      <c r="U327" s="37">
        <f>_xlfn.XLOOKUP(B327,[23]prov!$A:$A,[23]prov!$B:$B,0)</f>
        <v>0</v>
      </c>
    </row>
    <row r="328" spans="1:21" x14ac:dyDescent="0.35">
      <c r="A328" s="37" t="str">
        <f>_xlfn.XLOOKUP(B328,[3]master!B:B,[3]master!A:A)</f>
        <v>Other Manufacturing Expenses</v>
      </c>
      <c r="B328" s="533" t="s">
        <v>279</v>
      </c>
      <c r="H328" s="37">
        <f>_xlfn.XLOOKUP(B328,[17]Sheet1!$A:$A,[17]Sheet1!$C:$C,0)</f>
        <v>0</v>
      </c>
      <c r="I328" s="37">
        <f>_xlfn.XLOOKUP(B328,[17]Sheet1!$A:$A,[17]Sheet1!$D:$D,0)</f>
        <v>0</v>
      </c>
      <c r="M328" s="37">
        <f>_xlfn.XLOOKUP(B328,'[18]feb-26'!$A:$A,'[18]feb-26'!$B:$B,0)</f>
        <v>0</v>
      </c>
      <c r="P328" s="37">
        <f>_xlfn.XLOOKUP(B328,'[19]Apr-26'!$A:$A,'[19]Apr-26'!$B:$B,0)</f>
        <v>0</v>
      </c>
      <c r="Q328" s="37">
        <f>_xlfn.XLOOKUP(B328,'[20]Apr 26'!$A:$A,'[20]Apr 26'!$B:$B,0)</f>
        <v>0</v>
      </c>
      <c r="R328" s="37">
        <f>_xlfn.XLOOKUP(B328,[21]Sheet1!$B:$B,[21]Sheet1!$C:$C,0)</f>
        <v>0</v>
      </c>
      <c r="S328" s="37">
        <f>_xlfn.XLOOKUP(B328,[22]provision!$A:$A,[22]provision!$B:$B,0)</f>
        <v>0</v>
      </c>
      <c r="U328" s="37">
        <f>_xlfn.XLOOKUP(B328,[23]prov!$A:$A,[23]prov!$B:$B,0)</f>
        <v>0</v>
      </c>
    </row>
    <row r="329" spans="1:21" x14ac:dyDescent="0.35">
      <c r="A329" s="37" t="str">
        <f>_xlfn.XLOOKUP(B329,[3]master!B:B,[3]master!A:A)</f>
        <v xml:space="preserve">Salaries, wages and  bonus </v>
      </c>
      <c r="B329" s="72" t="s">
        <v>573</v>
      </c>
      <c r="H329" s="37">
        <f>_xlfn.XLOOKUP(B329,[17]Sheet1!$A:$A,[17]Sheet1!$C:$C,0)</f>
        <v>0</v>
      </c>
      <c r="I329" s="37">
        <f>_xlfn.XLOOKUP(B329,[17]Sheet1!$A:$A,[17]Sheet1!$D:$D,0)</f>
        <v>0</v>
      </c>
      <c r="M329" s="37">
        <f>_xlfn.XLOOKUP(B329,'[18]feb-26'!$A:$A,'[18]feb-26'!$B:$B,0)</f>
        <v>0</v>
      </c>
      <c r="P329" s="37">
        <f>_xlfn.XLOOKUP(B329,'[19]Apr-26'!$A:$A,'[19]Apr-26'!$B:$B,0)</f>
        <v>0</v>
      </c>
      <c r="Q329" s="37">
        <f>_xlfn.XLOOKUP(B329,'[20]Apr 26'!$A:$A,'[20]Apr 26'!$B:$B,0)</f>
        <v>-131528</v>
      </c>
      <c r="R329" s="37">
        <f>_xlfn.XLOOKUP(B329,[21]Sheet1!$B:$B,[21]Sheet1!$C:$C,0)</f>
        <v>0</v>
      </c>
      <c r="S329" s="37">
        <f>_xlfn.XLOOKUP(B329,[22]provision!$A:$A,[22]provision!$B:$B,0)</f>
        <v>0</v>
      </c>
      <c r="U329" s="37">
        <f>_xlfn.XLOOKUP(B329,[23]prov!$A:$A,[23]prov!$B:$B,0)</f>
        <v>0</v>
      </c>
    </row>
    <row r="330" spans="1:21" x14ac:dyDescent="0.35">
      <c r="A330" s="37" t="str">
        <f>_xlfn.XLOOKUP(B330,[3]master!B:B,[3]master!A:A)</f>
        <v>Conveyance, vehicle running and traveling expenses</v>
      </c>
      <c r="B330" s="533" t="s">
        <v>326</v>
      </c>
      <c r="H330" s="37">
        <f>_xlfn.XLOOKUP(B330,[17]Sheet1!$A:$A,[17]Sheet1!$C:$C,0)</f>
        <v>0</v>
      </c>
      <c r="I330" s="37">
        <f>_xlfn.XLOOKUP(B330,[17]Sheet1!$A:$A,[17]Sheet1!$D:$D,0)</f>
        <v>0</v>
      </c>
      <c r="M330" s="37">
        <f>_xlfn.XLOOKUP(B330,'[18]feb-26'!$A:$A,'[18]feb-26'!$B:$B,0)</f>
        <v>0</v>
      </c>
      <c r="P330" s="37">
        <f>_xlfn.XLOOKUP(B330,'[19]Apr-26'!$A:$A,'[19]Apr-26'!$B:$B,0)</f>
        <v>0</v>
      </c>
      <c r="Q330" s="37">
        <f>_xlfn.XLOOKUP(B330,'[20]Apr 26'!$A:$A,'[20]Apr 26'!$B:$B,0)</f>
        <v>0</v>
      </c>
      <c r="R330" s="37">
        <f>_xlfn.XLOOKUP(B330,[21]Sheet1!$B:$B,[21]Sheet1!$C:$C,0)</f>
        <v>0</v>
      </c>
      <c r="S330" s="37">
        <f>_xlfn.XLOOKUP(B330,[22]provision!$A:$A,[22]provision!$B:$B,0)</f>
        <v>0</v>
      </c>
      <c r="U330" s="37">
        <f>_xlfn.XLOOKUP(B330,[23]prov!$A:$A,[23]prov!$B:$B,0)</f>
        <v>0</v>
      </c>
    </row>
    <row r="331" spans="1:21" x14ac:dyDescent="0.35">
      <c r="A331" s="37" t="str">
        <f>_xlfn.XLOOKUP(B331,[3]master!B:B,[3]master!A:A)</f>
        <v>Insurance</v>
      </c>
      <c r="B331" s="533" t="s">
        <v>392</v>
      </c>
      <c r="H331" s="37">
        <f>_xlfn.XLOOKUP(B331,[17]Sheet1!$A:$A,[17]Sheet1!$C:$C,0)</f>
        <v>0</v>
      </c>
      <c r="I331" s="37">
        <f>_xlfn.XLOOKUP(B331,[17]Sheet1!$A:$A,[17]Sheet1!$D:$D,0)</f>
        <v>0</v>
      </c>
      <c r="M331" s="37">
        <f>_xlfn.XLOOKUP(B331,'[18]feb-26'!$A:$A,'[18]feb-26'!$B:$B,0)</f>
        <v>0</v>
      </c>
      <c r="P331" s="37">
        <f>_xlfn.XLOOKUP(B331,'[19]Apr-26'!$A:$A,'[19]Apr-26'!$B:$B,0)</f>
        <v>0</v>
      </c>
      <c r="Q331" s="37">
        <f>_xlfn.XLOOKUP(B331,'[20]Apr 26'!$A:$A,'[20]Apr 26'!$B:$B,0)</f>
        <v>0</v>
      </c>
      <c r="R331" s="37">
        <f>_xlfn.XLOOKUP(B331,[21]Sheet1!$B:$B,[21]Sheet1!$C:$C,0)</f>
        <v>0</v>
      </c>
      <c r="S331" s="37">
        <f>_xlfn.XLOOKUP(B331,[22]provision!$A:$A,[22]provision!$B:$B,0)</f>
        <v>0</v>
      </c>
      <c r="U331" s="37">
        <f>_xlfn.XLOOKUP(B331,[23]prov!$A:$A,[23]prov!$B:$B,0)</f>
        <v>0</v>
      </c>
    </row>
    <row r="332" spans="1:21" x14ac:dyDescent="0.35">
      <c r="A332" s="37" t="str">
        <f>_xlfn.XLOOKUP(B332,[3]master!B:B,[3]master!A:A)</f>
        <v>Insurance</v>
      </c>
      <c r="B332" s="37" t="s">
        <v>378</v>
      </c>
      <c r="H332" s="37">
        <f>_xlfn.XLOOKUP(B332,[17]Sheet1!$A:$A,[17]Sheet1!$C:$C,0)</f>
        <v>0</v>
      </c>
      <c r="I332" s="37">
        <f>_xlfn.XLOOKUP(B332,[17]Sheet1!$A:$A,[17]Sheet1!$D:$D,0)</f>
        <v>0</v>
      </c>
      <c r="M332" s="37">
        <f>_xlfn.XLOOKUP(B332,'[18]feb-26'!$A:$A,'[18]feb-26'!$B:$B,0)</f>
        <v>0</v>
      </c>
      <c r="P332" s="37">
        <f>_xlfn.XLOOKUP(B332,'[19]Apr-26'!$A:$A,'[19]Apr-26'!$B:$B,0)</f>
        <v>-100000</v>
      </c>
      <c r="Q332" s="37">
        <f>_xlfn.XLOOKUP(B332,'[20]Apr 26'!$A:$A,'[20]Apr 26'!$B:$B,0)</f>
        <v>0</v>
      </c>
      <c r="R332" s="37">
        <f>_xlfn.XLOOKUP(B332,[21]Sheet1!$B:$B,[21]Sheet1!$C:$C,0)</f>
        <v>0</v>
      </c>
      <c r="S332" s="37">
        <f>_xlfn.XLOOKUP(B332,[22]provision!$A:$A,[22]provision!$B:$B,0)</f>
        <v>0</v>
      </c>
      <c r="U332" s="37">
        <f>_xlfn.XLOOKUP(B332,[23]prov!$A:$A,[23]prov!$B:$B,0)</f>
        <v>0</v>
      </c>
    </row>
    <row r="333" spans="1:21" x14ac:dyDescent="0.35">
      <c r="A333" s="37" t="str">
        <f>_xlfn.XLOOKUP(B333,[3]master!B:B,[3]master!A:A)</f>
        <v>Other Administrative Expenses</v>
      </c>
      <c r="B333" s="37" t="s">
        <v>375</v>
      </c>
      <c r="H333" s="37">
        <f>_xlfn.XLOOKUP(B333,[17]Sheet1!$A:$A,[17]Sheet1!$C:$C,0)</f>
        <v>0</v>
      </c>
      <c r="I333" s="37">
        <f>_xlfn.XLOOKUP(B333,[17]Sheet1!$A:$A,[17]Sheet1!$D:$D,0)</f>
        <v>0</v>
      </c>
      <c r="M333" s="37">
        <f>_xlfn.XLOOKUP(B333,'[18]feb-26'!$A:$A,'[18]feb-26'!$B:$B,0)</f>
        <v>0</v>
      </c>
      <c r="P333" s="37">
        <f>_xlfn.XLOOKUP(B333,'[19]Apr-26'!$A:$A,'[19]Apr-26'!$B:$B,0)</f>
        <v>0</v>
      </c>
      <c r="Q333" s="37">
        <f>_xlfn.XLOOKUP(B333,'[20]Apr 26'!$A:$A,'[20]Apr 26'!$B:$B,0)</f>
        <v>0</v>
      </c>
      <c r="R333" s="37">
        <f>_xlfn.XLOOKUP(B333,[21]Sheet1!$B:$B,[21]Sheet1!$C:$C,0)</f>
        <v>0</v>
      </c>
      <c r="S333" s="37">
        <f>_xlfn.XLOOKUP(B333,[22]provision!$A:$A,[22]provision!$B:$B,0)</f>
        <v>0</v>
      </c>
      <c r="U333" s="37">
        <f>_xlfn.XLOOKUP(B333,[23]prov!$A:$A,[23]prov!$B:$B,0)</f>
        <v>0</v>
      </c>
    </row>
    <row r="334" spans="1:21" x14ac:dyDescent="0.35">
      <c r="A334" s="37" t="str">
        <f>_xlfn.XLOOKUP(B334,[3]master!B:B,[3]master!A:A)</f>
        <v>Other Manufacturing Expenses</v>
      </c>
      <c r="B334" s="533" t="s">
        <v>281</v>
      </c>
      <c r="H334" s="37">
        <f>_xlfn.XLOOKUP(B334,[17]Sheet1!$A:$A,[17]Sheet1!$C:$C,0)</f>
        <v>0</v>
      </c>
      <c r="I334" s="37">
        <f>_xlfn.XLOOKUP(B334,[17]Sheet1!$A:$A,[17]Sheet1!$D:$D,0)</f>
        <v>0</v>
      </c>
      <c r="M334" s="37">
        <f>_xlfn.XLOOKUP(B334,'[18]feb-26'!$A:$A,'[18]feb-26'!$B:$B,0)</f>
        <v>0</v>
      </c>
      <c r="P334" s="37">
        <f>_xlfn.XLOOKUP(B334,'[19]Apr-26'!$A:$A,'[19]Apr-26'!$B:$B,0)</f>
        <v>0</v>
      </c>
      <c r="Q334" s="37">
        <f>_xlfn.XLOOKUP(B334,'[20]Apr 26'!$A:$A,'[20]Apr 26'!$B:$B,0)</f>
        <v>0</v>
      </c>
      <c r="R334" s="37">
        <f>_xlfn.XLOOKUP(B334,[21]Sheet1!$B:$B,[21]Sheet1!$C:$C,0)</f>
        <v>0</v>
      </c>
      <c r="S334" s="37">
        <f>_xlfn.XLOOKUP(B334,[22]provision!$A:$A,[22]provision!$B:$B,0)</f>
        <v>0</v>
      </c>
      <c r="U334" s="37">
        <f>_xlfn.XLOOKUP(B334,[23]prov!$A:$A,[23]prov!$B:$B,0)</f>
        <v>0</v>
      </c>
    </row>
    <row r="335" spans="1:21" x14ac:dyDescent="0.35">
      <c r="A335" s="37" t="str">
        <f>_xlfn.XLOOKUP(B335,[3]master!B:B,[3]master!A:A)</f>
        <v>Miscellaneous income</v>
      </c>
      <c r="B335" s="37" t="s">
        <v>442</v>
      </c>
      <c r="H335" s="37">
        <f>_xlfn.XLOOKUP(B335,[17]Sheet1!$A:$A,[17]Sheet1!$C:$C,0)</f>
        <v>0</v>
      </c>
      <c r="I335" s="37">
        <f>_xlfn.XLOOKUP(B335,[17]Sheet1!$A:$A,[17]Sheet1!$D:$D,0)</f>
        <v>0</v>
      </c>
      <c r="M335" s="37">
        <f>_xlfn.XLOOKUP(B335,'[18]feb-26'!$A:$A,'[18]feb-26'!$B:$B,0)</f>
        <v>0</v>
      </c>
      <c r="P335" s="37">
        <f>_xlfn.XLOOKUP(B335,'[19]Apr-26'!$A:$A,'[19]Apr-26'!$B:$B,0)</f>
        <v>0</v>
      </c>
      <c r="Q335" s="37">
        <f>_xlfn.XLOOKUP(B335,'[20]Apr 26'!$A:$A,'[20]Apr 26'!$B:$B,0)</f>
        <v>0</v>
      </c>
      <c r="R335" s="37">
        <f>_xlfn.XLOOKUP(B335,[21]Sheet1!$B:$B,[21]Sheet1!$C:$C,0)</f>
        <v>0</v>
      </c>
      <c r="S335" s="37">
        <f>_xlfn.XLOOKUP(B335,[22]provision!$A:$A,[22]provision!$B:$B,0)</f>
        <v>0</v>
      </c>
      <c r="U335" s="37">
        <f>_xlfn.XLOOKUP(B335,[23]prov!$A:$A,[23]prov!$B:$B,0)</f>
        <v>0</v>
      </c>
    </row>
    <row r="336" spans="1:21" x14ac:dyDescent="0.35">
      <c r="A336" s="37" t="str">
        <f>_xlfn.XLOOKUP(B336,[3]master!B:B,[3]master!A:A)</f>
        <v>Sale of finished goods</v>
      </c>
      <c r="B336" s="533" t="s">
        <v>657</v>
      </c>
      <c r="H336" s="37">
        <f>_xlfn.XLOOKUP(B336,[17]Sheet1!$A:$A,[17]Sheet1!$C:$C,0)</f>
        <v>0</v>
      </c>
      <c r="I336" s="37">
        <f>_xlfn.XLOOKUP(B336,[17]Sheet1!$A:$A,[17]Sheet1!$D:$D,0)</f>
        <v>0</v>
      </c>
      <c r="M336" s="37">
        <f>_xlfn.XLOOKUP(B336,'[18]feb-26'!$A:$A,'[18]feb-26'!$B:$B,0)</f>
        <v>0</v>
      </c>
      <c r="P336" s="37">
        <f>_xlfn.XLOOKUP(B336,'[19]Apr-26'!$A:$A,'[19]Apr-26'!$B:$B,0)</f>
        <v>0</v>
      </c>
      <c r="Q336" s="37">
        <f>_xlfn.XLOOKUP(B336,'[20]Apr 26'!$A:$A,'[20]Apr 26'!$B:$B,0)</f>
        <v>0</v>
      </c>
      <c r="R336" s="37">
        <f>_xlfn.XLOOKUP(B336,[21]Sheet1!$B:$B,[21]Sheet1!$C:$C,0)</f>
        <v>0</v>
      </c>
      <c r="S336" s="37">
        <f>_xlfn.XLOOKUP(B336,[22]provision!$A:$A,[22]provision!$B:$B,0)</f>
        <v>0</v>
      </c>
      <c r="U336" s="37">
        <f>_xlfn.XLOOKUP(B336,[23]prov!$A:$A,[23]prov!$B:$B,0)</f>
        <v>0</v>
      </c>
    </row>
    <row r="337" spans="1:37" x14ac:dyDescent="0.35">
      <c r="A337" s="37" t="str">
        <f>_xlfn.XLOOKUP(B337,[3]master!B:B,[3]master!A:A)</f>
        <v>Add: Purchase expenses</v>
      </c>
      <c r="B337" s="542" t="s">
        <v>263</v>
      </c>
      <c r="H337" s="37">
        <f>_xlfn.XLOOKUP(B337,[17]Sheet1!$A:$A,[17]Sheet1!$C:$C,0)</f>
        <v>0</v>
      </c>
      <c r="I337" s="37">
        <f>_xlfn.XLOOKUP(B337,[17]Sheet1!$A:$A,[17]Sheet1!$D:$D,0)</f>
        <v>0</v>
      </c>
      <c r="M337" s="37">
        <f>_xlfn.XLOOKUP(B337,'[18]feb-26'!$A:$A,'[18]feb-26'!$B:$B,0)</f>
        <v>0</v>
      </c>
      <c r="P337" s="37">
        <f>_xlfn.XLOOKUP(B337,'[19]Apr-26'!$A:$A,'[19]Apr-26'!$B:$B,0)</f>
        <v>0</v>
      </c>
      <c r="Q337" s="37">
        <f>_xlfn.XLOOKUP(B337,'[20]Apr 26'!$A:$A,'[20]Apr 26'!$B:$B,0)</f>
        <v>0</v>
      </c>
      <c r="R337" s="37">
        <f>_xlfn.XLOOKUP(B337,[21]Sheet1!$B:$B,[21]Sheet1!$C:$C,0)</f>
        <v>0</v>
      </c>
      <c r="S337" s="37">
        <f>_xlfn.XLOOKUP(B337,[22]provision!$A:$A,[22]provision!$B:$B,0)</f>
        <v>0</v>
      </c>
      <c r="U337" s="37">
        <f>_xlfn.XLOOKUP(B337,[23]prov!$A:$A,[23]prov!$B:$B,0)</f>
        <v>0</v>
      </c>
    </row>
    <row r="338" spans="1:37" x14ac:dyDescent="0.35">
      <c r="A338" s="37" t="s">
        <v>431</v>
      </c>
      <c r="B338" s="542" t="s">
        <v>320</v>
      </c>
      <c r="H338" s="37">
        <f>_xlfn.XLOOKUP(B338,[17]Sheet1!$A:$A,[17]Sheet1!$C:$C,0)</f>
        <v>0</v>
      </c>
      <c r="I338" s="37">
        <f>_xlfn.XLOOKUP(B338,[17]Sheet1!$A:$A,[17]Sheet1!$D:$D,0)</f>
        <v>0</v>
      </c>
      <c r="M338" s="37">
        <f>_xlfn.XLOOKUP(B338,'[18]feb-26'!$A:$A,'[18]feb-26'!$B:$B,0)</f>
        <v>0</v>
      </c>
      <c r="P338" s="37">
        <f>_xlfn.XLOOKUP(B338,'[19]Apr-26'!$A:$A,'[19]Apr-26'!$B:$B,0)</f>
        <v>0</v>
      </c>
      <c r="Q338" s="37">
        <f>_xlfn.XLOOKUP(B338,'[20]Apr 26'!$A:$A,'[20]Apr 26'!$B:$B,0)</f>
        <v>0</v>
      </c>
      <c r="R338" s="37">
        <f>_xlfn.XLOOKUP(B338,[21]Sheet1!$B:$B,[21]Sheet1!$C:$C,0)</f>
        <v>0</v>
      </c>
      <c r="S338" s="37">
        <f>_xlfn.XLOOKUP(B338,[22]provision!$A:$A,[22]provision!$B:$B,0)</f>
        <v>0</v>
      </c>
      <c r="U338" s="37">
        <f>_xlfn.XLOOKUP(B338,[23]prov!$A:$A,[23]prov!$B:$B,0)</f>
        <v>0</v>
      </c>
    </row>
    <row r="339" spans="1:37" x14ac:dyDescent="0.35">
      <c r="A339" s="37" t="str">
        <f>_xlfn.XLOOKUP(B339,[3]master!B:B,[3]master!A:A)</f>
        <v>Freight Outward and C &amp; F Charges</v>
      </c>
      <c r="B339" s="533" t="s">
        <v>390</v>
      </c>
      <c r="H339" s="37">
        <f>_xlfn.XLOOKUP(B339,[17]Sheet1!$A:$A,[17]Sheet1!$C:$C,0)</f>
        <v>0</v>
      </c>
      <c r="I339" s="37">
        <f>_xlfn.XLOOKUP(B339,[17]Sheet1!$A:$A,[17]Sheet1!$D:$D,0)</f>
        <v>0</v>
      </c>
      <c r="M339" s="37">
        <f>_xlfn.XLOOKUP(B339,'[18]feb-26'!$A:$A,'[18]feb-26'!$B:$B,0)</f>
        <v>0</v>
      </c>
      <c r="P339" s="37">
        <f>_xlfn.XLOOKUP(B339,'[19]Apr-26'!$A:$A,'[19]Apr-26'!$B:$B,0)</f>
        <v>0</v>
      </c>
      <c r="Q339" s="37">
        <f>_xlfn.XLOOKUP(B339,'[20]Apr 26'!$A:$A,'[20]Apr 26'!$B:$B,0)</f>
        <v>0</v>
      </c>
      <c r="R339" s="37">
        <f>_xlfn.XLOOKUP(B339,[21]Sheet1!$B:$B,[21]Sheet1!$C:$C,0)</f>
        <v>500000</v>
      </c>
      <c r="S339" s="37">
        <f>_xlfn.XLOOKUP(B339,[22]provision!$A:$A,[22]provision!$B:$B,0)</f>
        <v>0</v>
      </c>
      <c r="U339" s="37">
        <f>_xlfn.XLOOKUP(B339,[23]prov!$A:$A,[23]prov!$B:$B,0)</f>
        <v>20000</v>
      </c>
    </row>
    <row r="340" spans="1:37" x14ac:dyDescent="0.35">
      <c r="A340" s="37" t="str">
        <f>_xlfn.XLOOKUP(B340,[3]master!B:B,[3]master!A:A)</f>
        <v>Freight Outward and C &amp; F Charges</v>
      </c>
      <c r="B340" s="533" t="s">
        <v>384</v>
      </c>
      <c r="H340" s="37">
        <f>_xlfn.XLOOKUP(B340,[17]Sheet1!$A:$A,[17]Sheet1!$C:$C,0)</f>
        <v>0</v>
      </c>
      <c r="I340" s="37">
        <f>_xlfn.XLOOKUP(B340,[17]Sheet1!$A:$A,[17]Sheet1!$D:$D,0)</f>
        <v>0</v>
      </c>
      <c r="M340" s="37">
        <f>_xlfn.XLOOKUP(B340,'[18]feb-26'!$A:$A,'[18]feb-26'!$B:$B,0)</f>
        <v>0</v>
      </c>
      <c r="P340" s="37">
        <f>_xlfn.XLOOKUP(B340,'[19]Apr-26'!$A:$A,'[19]Apr-26'!$B:$B,0)</f>
        <v>0</v>
      </c>
      <c r="Q340" s="37">
        <f>_xlfn.XLOOKUP(B340,'[20]Apr 26'!$A:$A,'[20]Apr 26'!$B:$B,0)</f>
        <v>0</v>
      </c>
      <c r="R340" s="37">
        <f>_xlfn.XLOOKUP(B340,[21]Sheet1!$B:$B,[21]Sheet1!$C:$C,0)</f>
        <v>0</v>
      </c>
      <c r="S340" s="37">
        <f>_xlfn.XLOOKUP(B340,[22]provision!$A:$A,[22]provision!$B:$B,0)</f>
        <v>0</v>
      </c>
      <c r="U340" s="37">
        <f>_xlfn.XLOOKUP(B340,[23]prov!$A:$A,[23]prov!$B:$B,0)</f>
        <v>0</v>
      </c>
    </row>
    <row r="341" spans="1:37" x14ac:dyDescent="0.35">
      <c r="A341" s="37" t="str">
        <f>_xlfn.XLOOKUP(B341,[3]master!B:B,[3]master!A:A)</f>
        <v>Add: Purchase of packing materials</v>
      </c>
      <c r="B341" s="533" t="s">
        <v>257</v>
      </c>
      <c r="H341" s="37">
        <f>_xlfn.XLOOKUP(B341,[17]Sheet1!$A:$A,[17]Sheet1!$C:$C,0)</f>
        <v>0</v>
      </c>
      <c r="I341" s="37">
        <f>_xlfn.XLOOKUP(B341,[17]Sheet1!$A:$A,[17]Sheet1!$D:$D,0)</f>
        <v>0</v>
      </c>
      <c r="M341" s="37">
        <f>_xlfn.XLOOKUP(B341,'[18]feb-26'!$A:$A,'[18]feb-26'!$B:$B,0)</f>
        <v>0</v>
      </c>
      <c r="P341" s="37">
        <f>_xlfn.XLOOKUP(B341,'[19]Apr-26'!$A:$A,'[19]Apr-26'!$B:$B,0)</f>
        <v>0</v>
      </c>
      <c r="Q341" s="37">
        <f>_xlfn.XLOOKUP(B341,'[20]Apr 26'!$A:$A,'[20]Apr 26'!$B:$B,0)</f>
        <v>0</v>
      </c>
      <c r="R341" s="37">
        <f>_xlfn.XLOOKUP(B341,[21]Sheet1!$B:$B,[21]Sheet1!$C:$C,0)</f>
        <v>0</v>
      </c>
      <c r="S341" s="37">
        <f>_xlfn.XLOOKUP(B341,[22]provision!$A:$A,[22]provision!$B:$B,0)</f>
        <v>0</v>
      </c>
      <c r="U341" s="37">
        <f>_xlfn.XLOOKUP(B341,[23]prov!$A:$A,[23]prov!$B:$B,0)</f>
        <v>0</v>
      </c>
    </row>
    <row r="342" spans="1:37" x14ac:dyDescent="0.35">
      <c r="A342" s="37" t="str">
        <f>_xlfn.XLOOKUP(B342,[3]master!B:B,[3]master!A:A)</f>
        <v>Other Administrative Expenses</v>
      </c>
      <c r="B342" s="533" t="s">
        <v>574</v>
      </c>
      <c r="H342" s="37">
        <f>_xlfn.XLOOKUP(B342,[17]Sheet1!$A:$A,[17]Sheet1!$C:$C,0)</f>
        <v>0</v>
      </c>
      <c r="I342" s="37">
        <f>_xlfn.XLOOKUP(B342,[17]Sheet1!$A:$A,[17]Sheet1!$D:$D,0)</f>
        <v>0</v>
      </c>
      <c r="M342" s="37">
        <f>_xlfn.XLOOKUP(B342,'[18]feb-26'!$A:$A,'[18]feb-26'!$B:$B,0)</f>
        <v>0</v>
      </c>
      <c r="P342" s="37">
        <f>_xlfn.XLOOKUP(B342,'[19]Apr-26'!$A:$A,'[19]Apr-26'!$B:$B,0)</f>
        <v>0</v>
      </c>
      <c r="Q342" s="37">
        <f>_xlfn.XLOOKUP(B342,'[20]Apr 26'!$A:$A,'[20]Apr 26'!$B:$B,0)</f>
        <v>0</v>
      </c>
      <c r="R342" s="37">
        <f>_xlfn.XLOOKUP(B342,[21]Sheet1!$B:$B,[21]Sheet1!$C:$C,0)</f>
        <v>0</v>
      </c>
      <c r="S342" s="37">
        <f>_xlfn.XLOOKUP(B342,[22]provision!$A:$A,[22]provision!$B:$B,0)</f>
        <v>0</v>
      </c>
      <c r="U342" s="37">
        <f>_xlfn.XLOOKUP(B342,[23]prov!$A:$A,[23]prov!$B:$B,0)</f>
        <v>0</v>
      </c>
    </row>
    <row r="343" spans="1:37" x14ac:dyDescent="0.35">
      <c r="A343" s="37" t="str">
        <f>_xlfn.XLOOKUP(B343,[3]master!B:B,[3]master!A:A)</f>
        <v>Add: Purchase of raw materials</v>
      </c>
      <c r="B343" s="37" t="s">
        <v>670</v>
      </c>
      <c r="H343" s="37">
        <f>_xlfn.XLOOKUP(B343,[17]Sheet1!$A:$A,[17]Sheet1!$C:$C,0)</f>
        <v>0</v>
      </c>
      <c r="I343" s="37">
        <f>_xlfn.XLOOKUP(B343,[17]Sheet1!$A:$A,[17]Sheet1!$D:$D,0)</f>
        <v>0</v>
      </c>
      <c r="M343" s="37">
        <f>_xlfn.XLOOKUP(B343,'[18]feb-26'!$A:$A,'[18]feb-26'!$B:$B,0)</f>
        <v>0</v>
      </c>
      <c r="P343" s="37">
        <f>_xlfn.XLOOKUP(B343,'[19]Apr-26'!$A:$A,'[19]Apr-26'!$B:$B,0)</f>
        <v>0</v>
      </c>
      <c r="Q343" s="37">
        <f>_xlfn.XLOOKUP(B343,'[20]Apr 26'!$A:$A,'[20]Apr 26'!$B:$B,0)</f>
        <v>0</v>
      </c>
      <c r="R343" s="37">
        <f>_xlfn.XLOOKUP(B343,[21]Sheet1!$B:$B,[21]Sheet1!$C:$C,0)</f>
        <v>0</v>
      </c>
      <c r="S343" s="37">
        <f>_xlfn.XLOOKUP(B343,[22]provision!$A:$A,[22]provision!$B:$B,0)</f>
        <v>0</v>
      </c>
      <c r="U343" s="37">
        <f>_xlfn.XLOOKUP(B343,[23]prov!$A:$A,[23]prov!$B:$B,0)</f>
        <v>0</v>
      </c>
    </row>
    <row r="344" spans="1:37" x14ac:dyDescent="0.35">
      <c r="A344" s="37" t="str">
        <f>_xlfn.XLOOKUP(B344,[3]master!B:B,[3]master!A:A)</f>
        <v>Other Administrative Expenses</v>
      </c>
      <c r="B344" s="13" t="s">
        <v>672</v>
      </c>
      <c r="H344" s="37">
        <f>_xlfn.XLOOKUP(B344,[17]Sheet1!$A:$A,[17]Sheet1!$C:$C,0)</f>
        <v>0</v>
      </c>
      <c r="I344" s="37">
        <f>_xlfn.XLOOKUP(B344,[17]Sheet1!$A:$A,[17]Sheet1!$D:$D,0)</f>
        <v>0</v>
      </c>
      <c r="M344" s="37">
        <f>_xlfn.XLOOKUP(B344,'[18]feb-26'!$A:$A,'[18]feb-26'!$B:$B,0)</f>
        <v>0</v>
      </c>
      <c r="P344" s="37">
        <f>_xlfn.XLOOKUP(B344,'[19]Apr-26'!$A:$A,'[19]Apr-26'!$B:$B,0)</f>
        <v>0</v>
      </c>
      <c r="Q344" s="37">
        <f>_xlfn.XLOOKUP(B344,'[20]Apr 26'!$A:$A,'[20]Apr 26'!$B:$B,0)</f>
        <v>0</v>
      </c>
      <c r="R344" s="37">
        <f>_xlfn.XLOOKUP(B344,[21]Sheet1!$B:$B,[21]Sheet1!$C:$C,0)</f>
        <v>0</v>
      </c>
      <c r="S344" s="37">
        <f>_xlfn.XLOOKUP(B344,[22]provision!$A:$A,[22]provision!$B:$B,0)</f>
        <v>0</v>
      </c>
      <c r="U344" s="37">
        <f>_xlfn.XLOOKUP(B344,[23]prov!$A:$A,[23]prov!$B:$B,0)</f>
        <v>0</v>
      </c>
    </row>
    <row r="345" spans="1:37" x14ac:dyDescent="0.35">
      <c r="G345" s="37" t="s">
        <v>740</v>
      </c>
      <c r="H345" s="37" t="s">
        <v>740</v>
      </c>
      <c r="I345" s="37" t="s">
        <v>740</v>
      </c>
      <c r="J345" s="37" t="s">
        <v>740</v>
      </c>
      <c r="L345" s="37" t="s">
        <v>740</v>
      </c>
      <c r="M345" s="37" t="s">
        <v>740</v>
      </c>
      <c r="N345" s="37" t="s">
        <v>740</v>
      </c>
      <c r="O345" s="37" t="s">
        <v>740</v>
      </c>
      <c r="P345" s="37" t="s">
        <v>740</v>
      </c>
      <c r="Q345" s="37" t="s">
        <v>740</v>
      </c>
      <c r="R345" s="37" t="s">
        <v>740</v>
      </c>
      <c r="S345" s="37" t="s">
        <v>740</v>
      </c>
      <c r="T345" s="37" t="s">
        <v>740</v>
      </c>
      <c r="U345" s="37" t="s">
        <v>740</v>
      </c>
      <c r="V345" s="37" t="s">
        <v>740</v>
      </c>
      <c r="W345" s="37" t="s">
        <v>740</v>
      </c>
      <c r="X345" s="37" t="s">
        <v>740</v>
      </c>
      <c r="Y345" s="37" t="s">
        <v>740</v>
      </c>
      <c r="Z345" s="37" t="s">
        <v>740</v>
      </c>
      <c r="AA345" s="37" t="s">
        <v>740</v>
      </c>
      <c r="AB345" s="37" t="s">
        <v>740</v>
      </c>
      <c r="AC345" s="37" t="s">
        <v>740</v>
      </c>
      <c r="AD345" s="37" t="s">
        <v>740</v>
      </c>
      <c r="AE345" s="37" t="s">
        <v>740</v>
      </c>
      <c r="AF345" s="37" t="s">
        <v>740</v>
      </c>
      <c r="AG345" s="37" t="s">
        <v>740</v>
      </c>
      <c r="AH345" s="37" t="s">
        <v>740</v>
      </c>
      <c r="AI345" s="37" t="s">
        <v>740</v>
      </c>
      <c r="AJ345" s="37" t="s">
        <v>740</v>
      </c>
      <c r="AK345" s="37" t="s">
        <v>740</v>
      </c>
    </row>
    <row r="349" spans="1:37" x14ac:dyDescent="0.35">
      <c r="G349" s="37">
        <f>SUM(G247:G344)</f>
        <v>0</v>
      </c>
      <c r="H349" s="37">
        <f t="shared" ref="H349:X349" si="0">SUM(H247:H344)</f>
        <v>12382176</v>
      </c>
      <c r="I349" s="37">
        <f t="shared" si="0"/>
        <v>620274</v>
      </c>
      <c r="J349" s="37">
        <f t="shared" si="0"/>
        <v>0</v>
      </c>
      <c r="K349" s="37">
        <f t="shared" si="0"/>
        <v>0</v>
      </c>
      <c r="L349" s="37">
        <f t="shared" si="0"/>
        <v>0</v>
      </c>
      <c r="M349" s="37">
        <f t="shared" si="0"/>
        <v>32777514</v>
      </c>
      <c r="N349" s="37">
        <f t="shared" si="0"/>
        <v>0</v>
      </c>
      <c r="O349" s="37">
        <f t="shared" si="0"/>
        <v>0</v>
      </c>
      <c r="P349" s="37">
        <f t="shared" si="0"/>
        <v>1123940</v>
      </c>
      <c r="Q349" s="37">
        <f t="shared" si="0"/>
        <v>-15114591.295086101</v>
      </c>
      <c r="R349" s="37">
        <f t="shared" si="0"/>
        <v>23102372</v>
      </c>
      <c r="S349" s="37">
        <f t="shared" si="0"/>
        <v>19879767</v>
      </c>
      <c r="T349" s="37">
        <f t="shared" si="0"/>
        <v>0</v>
      </c>
      <c r="U349" s="37">
        <f t="shared" si="0"/>
        <v>7899857</v>
      </c>
      <c r="V349" s="37">
        <f t="shared" si="0"/>
        <v>2500000</v>
      </c>
      <c r="W349" s="37">
        <f t="shared" si="0"/>
        <v>898088</v>
      </c>
      <c r="X349" s="37">
        <f t="shared" si="0"/>
        <v>0</v>
      </c>
    </row>
    <row r="356" spans="13:21" x14ac:dyDescent="0.35">
      <c r="P356" s="37">
        <f>_xlfn.XLOOKUP(B356,'[11]Apr-25'!$A:$A,'[11]Apr-25'!$B:$B,0)</f>
        <v>0</v>
      </c>
      <c r="Q356" s="37">
        <f>_xlfn.XLOOKUP(B356,'[12]Apr 25'!$A:$A,'[12]Apr 25'!$B:$B,0)</f>
        <v>0</v>
      </c>
      <c r="S356" s="37">
        <f>_xlfn.XLOOKUP(B356,[13]PROV!$A:$A,[13]PROV!$B:$B,0)</f>
        <v>0</v>
      </c>
    </row>
    <row r="357" spans="13:21" x14ac:dyDescent="0.35">
      <c r="P357" s="37">
        <f>_xlfn.XLOOKUP(B357,'[11]Apr-25'!$A:$A,'[11]Apr-25'!$B:$B,0)</f>
        <v>0</v>
      </c>
      <c r="Q357" s="37">
        <f>_xlfn.XLOOKUP(B357,'[12]Apr 25'!$A:$A,'[12]Apr 25'!$B:$B,0)</f>
        <v>0</v>
      </c>
      <c r="S357" s="37">
        <f>_xlfn.XLOOKUP(B357,[13]PROV!$A:$A,[13]PROV!$B:$B,0)</f>
        <v>0</v>
      </c>
    </row>
    <row r="358" spans="13:21" x14ac:dyDescent="0.35">
      <c r="Q358" s="37">
        <f>_xlfn.XLOOKUP(B358,'[12]Apr 25'!$A:$A,'[12]Apr 25'!$B:$B,0)</f>
        <v>0</v>
      </c>
      <c r="S358" s="37">
        <f>_xlfn.XLOOKUP(B358,[13]PROV!$A:$A,[13]PROV!$B:$B,0)</f>
        <v>0</v>
      </c>
    </row>
    <row r="359" spans="13:21" x14ac:dyDescent="0.35">
      <c r="Q359" s="37">
        <f>_xlfn.XLOOKUP(B359,'[12]Apr 25'!$A:$A,'[12]Apr 25'!$B:$B,0)</f>
        <v>0</v>
      </c>
      <c r="S359" s="37">
        <f>_xlfn.XLOOKUP(B359,[13]PROV!$A:$A,[13]PROV!$B:$B,0)</f>
        <v>0</v>
      </c>
    </row>
    <row r="360" spans="13:21" x14ac:dyDescent="0.35">
      <c r="Q360" s="37">
        <f>_xlfn.XLOOKUP(B360,'[12]Apr 25'!$A:$A,'[12]Apr 25'!$B:$B,0)</f>
        <v>0</v>
      </c>
      <c r="S360" s="37">
        <f>_xlfn.XLOOKUP(B360,[13]PROV!$A:$A,[13]PROV!$B:$B,0)</f>
        <v>0</v>
      </c>
    </row>
    <row r="361" spans="13:21" x14ac:dyDescent="0.35">
      <c r="Q361" s="37">
        <f>_xlfn.XLOOKUP(B361,'[12]Apr 25'!$A:$A,'[12]Apr 25'!$B:$B,0)</f>
        <v>0</v>
      </c>
      <c r="S361" s="37">
        <f>_xlfn.XLOOKUP(B361,[13]PROV!$A:$A,[13]PROV!$B:$B,0)</f>
        <v>0</v>
      </c>
    </row>
    <row r="366" spans="13:21" x14ac:dyDescent="0.35">
      <c r="M366" s="37">
        <f>_xlfn.XLOOKUP(B366,[14]Sheet1!$A:$A,[14]Sheet1!$B:$B,0)</f>
        <v>0</v>
      </c>
      <c r="S366" s="37">
        <f>_xlfn.XLOOKUP(B366,[15]Sheet1!$A:$A,[15]Sheet1!$B:$B,0)</f>
        <v>0</v>
      </c>
      <c r="U366" s="37">
        <f>_xlfn.XLOOKUP(B366,[16]Sheet10!$A:$A,[16]Sheet10!$B:$B,0)</f>
        <v>0</v>
      </c>
    </row>
    <row r="367" spans="13:21" x14ac:dyDescent="0.35">
      <c r="M367" s="37">
        <f>_xlfn.XLOOKUP(B367,[14]Sheet1!$A:$A,[14]Sheet1!$B:$B,0)</f>
        <v>0</v>
      </c>
      <c r="S367" s="37">
        <f>_xlfn.XLOOKUP(B367,[15]Sheet1!$A:$A,[15]Sheet1!$B:$B,0)</f>
        <v>0</v>
      </c>
      <c r="U367" s="37">
        <f>_xlfn.XLOOKUP(B367,[16]Sheet10!$A:$A,[16]Sheet10!$B:$B,0)</f>
        <v>0</v>
      </c>
    </row>
    <row r="368" spans="13:21" x14ac:dyDescent="0.35">
      <c r="M368" s="37">
        <f>_xlfn.XLOOKUP(B368,[14]Sheet1!$A:$A,[14]Sheet1!$B:$B,0)</f>
        <v>0</v>
      </c>
      <c r="S368" s="37">
        <f>_xlfn.XLOOKUP(B368,[15]Sheet1!$A:$A,[15]Sheet1!$B:$B,0)</f>
        <v>0</v>
      </c>
      <c r="U368" s="37">
        <f>_xlfn.XLOOKUP(B368,[16]Sheet10!$A:$A,[16]Sheet10!$B:$B,0)</f>
        <v>0</v>
      </c>
    </row>
    <row r="369" spans="13:21" x14ac:dyDescent="0.35">
      <c r="M369" s="37">
        <f>_xlfn.XLOOKUP(B369,[14]Sheet1!$A:$A,[14]Sheet1!$B:$B,0)</f>
        <v>0</v>
      </c>
      <c r="S369" s="37">
        <f>_xlfn.XLOOKUP(B369,[15]Sheet1!$A:$A,[15]Sheet1!$B:$B,0)</f>
        <v>0</v>
      </c>
      <c r="U369" s="37">
        <f>_xlfn.XLOOKUP(B369,[16]Sheet10!$A:$A,[16]Sheet10!$B:$B,0)</f>
        <v>0</v>
      </c>
    </row>
    <row r="370" spans="13:21" x14ac:dyDescent="0.35">
      <c r="M370" s="37">
        <f>_xlfn.XLOOKUP(B370,[14]Sheet1!$A:$A,[14]Sheet1!$B:$B,0)</f>
        <v>0</v>
      </c>
      <c r="S370" s="37">
        <f>_xlfn.XLOOKUP(B370,[15]Sheet1!$A:$A,[15]Sheet1!$B:$B,0)</f>
        <v>0</v>
      </c>
      <c r="U370" s="37">
        <f>_xlfn.XLOOKUP(B370,[16]Sheet10!$A:$A,[16]Sheet10!$B:$B,0)</f>
        <v>0</v>
      </c>
    </row>
    <row r="371" spans="13:21" x14ac:dyDescent="0.35">
      <c r="M371" s="37">
        <f>_xlfn.XLOOKUP(B371,[14]Sheet1!$A:$A,[14]Sheet1!$B:$B,0)</f>
        <v>0</v>
      </c>
      <c r="S371" s="37">
        <f>_xlfn.XLOOKUP(B371,[15]Sheet1!$A:$A,[15]Sheet1!$B:$B,0)</f>
        <v>0</v>
      </c>
      <c r="U371" s="37">
        <f>_xlfn.XLOOKUP(B371,[16]Sheet10!$A:$A,[16]Sheet10!$B:$B,0)</f>
        <v>0</v>
      </c>
    </row>
    <row r="372" spans="13:21" x14ac:dyDescent="0.35">
      <c r="M372" s="37">
        <f>_xlfn.XLOOKUP(B372,[14]Sheet1!$A:$A,[14]Sheet1!$B:$B,0)</f>
        <v>0</v>
      </c>
      <c r="S372" s="37">
        <f>_xlfn.XLOOKUP(B372,[15]Sheet1!$A:$A,[15]Sheet1!$B:$B,0)</f>
        <v>0</v>
      </c>
      <c r="U372" s="37">
        <f>_xlfn.XLOOKUP(B372,[16]Sheet10!$A:$A,[16]Sheet10!$B:$B,0)</f>
        <v>0</v>
      </c>
    </row>
    <row r="373" spans="13:21" x14ac:dyDescent="0.35">
      <c r="M373" s="37">
        <f>_xlfn.XLOOKUP(B373,[14]Sheet1!$A:$A,[14]Sheet1!$B:$B,0)</f>
        <v>0</v>
      </c>
      <c r="S373" s="37">
        <f>_xlfn.XLOOKUP(B373,[15]Sheet1!$A:$A,[15]Sheet1!$B:$B,0)</f>
        <v>0</v>
      </c>
      <c r="U373" s="37">
        <f>_xlfn.XLOOKUP(B373,[16]Sheet10!$A:$A,[16]Sheet10!$B:$B,0)</f>
        <v>0</v>
      </c>
    </row>
    <row r="374" spans="13:21" x14ac:dyDescent="0.35">
      <c r="M374" s="37">
        <f>_xlfn.XLOOKUP(B374,[14]Sheet1!$A:$A,[14]Sheet1!$B:$B,0)</f>
        <v>0</v>
      </c>
      <c r="S374" s="37">
        <f>_xlfn.XLOOKUP(B374,[15]Sheet1!$A:$A,[15]Sheet1!$B:$B,0)</f>
        <v>0</v>
      </c>
      <c r="U374" s="37">
        <f>_xlfn.XLOOKUP(B374,[16]Sheet10!$A:$A,[16]Sheet10!$B:$B,0)</f>
        <v>0</v>
      </c>
    </row>
    <row r="375" spans="13:21" x14ac:dyDescent="0.35">
      <c r="M375" s="37">
        <f>_xlfn.XLOOKUP(B375,[14]Sheet1!$A:$A,[14]Sheet1!$B:$B,0)</f>
        <v>0</v>
      </c>
      <c r="S375" s="37">
        <f>_xlfn.XLOOKUP(B375,[15]Sheet1!$A:$A,[15]Sheet1!$B:$B,0)</f>
        <v>0</v>
      </c>
      <c r="U375" s="37">
        <f>_xlfn.XLOOKUP(B375,[16]Sheet10!$A:$A,[16]Sheet10!$B:$B,0)</f>
        <v>0</v>
      </c>
    </row>
    <row r="376" spans="13:21" x14ac:dyDescent="0.35">
      <c r="M376" s="37">
        <f>_xlfn.XLOOKUP(B376,[14]Sheet1!$A:$A,[14]Sheet1!$B:$B,0)</f>
        <v>0</v>
      </c>
      <c r="S376" s="37">
        <f>_xlfn.XLOOKUP(B376,[15]Sheet1!$A:$A,[15]Sheet1!$B:$B,0)</f>
        <v>0</v>
      </c>
      <c r="U376" s="37">
        <f>_xlfn.XLOOKUP(B376,[16]Sheet10!$A:$A,[16]Sheet10!$B:$B,0)</f>
        <v>0</v>
      </c>
    </row>
    <row r="377" spans="13:21" x14ac:dyDescent="0.35">
      <c r="M377" s="37">
        <f>_xlfn.XLOOKUP(B377,[14]Sheet1!$A:$A,[14]Sheet1!$B:$B,0)</f>
        <v>0</v>
      </c>
      <c r="S377" s="37">
        <f>_xlfn.XLOOKUP(B377,[15]Sheet1!$A:$A,[15]Sheet1!$B:$B,0)</f>
        <v>0</v>
      </c>
      <c r="U377" s="37">
        <f>_xlfn.XLOOKUP(B377,[16]Sheet10!$A:$A,[16]Sheet10!$B:$B,0)</f>
        <v>0</v>
      </c>
    </row>
    <row r="378" spans="13:21" x14ac:dyDescent="0.35">
      <c r="M378" s="37">
        <f>_xlfn.XLOOKUP(B378,[14]Sheet1!$A:$A,[14]Sheet1!$B:$B,0)</f>
        <v>0</v>
      </c>
      <c r="S378" s="37">
        <f>_xlfn.XLOOKUP(B378,[15]Sheet1!$A:$A,[15]Sheet1!$B:$B,0)</f>
        <v>0</v>
      </c>
      <c r="U378" s="37">
        <f>_xlfn.XLOOKUP(B378,[16]Sheet10!$A:$A,[16]Sheet10!$B:$B,0)</f>
        <v>0</v>
      </c>
    </row>
    <row r="379" spans="13:21" x14ac:dyDescent="0.35">
      <c r="M379" s="37">
        <f>_xlfn.XLOOKUP(B379,[14]Sheet1!$A:$A,[14]Sheet1!$B:$B,0)</f>
        <v>0</v>
      </c>
      <c r="S379" s="37">
        <f>_xlfn.XLOOKUP(B379,[15]Sheet1!$A:$A,[15]Sheet1!$B:$B,0)</f>
        <v>0</v>
      </c>
      <c r="U379" s="37">
        <f>_xlfn.XLOOKUP(B379,[16]Sheet10!$A:$A,[16]Sheet10!$B:$B,0)</f>
        <v>0</v>
      </c>
    </row>
    <row r="380" spans="13:21" x14ac:dyDescent="0.35">
      <c r="M380" s="37">
        <f>_xlfn.XLOOKUP(B380,[14]Sheet1!$A:$A,[14]Sheet1!$B:$B,0)</f>
        <v>0</v>
      </c>
      <c r="S380" s="37">
        <f>_xlfn.XLOOKUP(B380,[15]Sheet1!$A:$A,[15]Sheet1!$B:$B,0)</f>
        <v>0</v>
      </c>
      <c r="U380" s="37">
        <f>_xlfn.XLOOKUP(B380,[16]Sheet10!$A:$A,[16]Sheet10!$B:$B,0)</f>
        <v>0</v>
      </c>
    </row>
    <row r="381" spans="13:21" x14ac:dyDescent="0.35">
      <c r="M381" s="37">
        <f>_xlfn.XLOOKUP(B381,[14]Sheet1!$A:$A,[14]Sheet1!$B:$B,0)</f>
        <v>0</v>
      </c>
      <c r="S381" s="37">
        <f>_xlfn.XLOOKUP(B381,[15]Sheet1!$A:$A,[15]Sheet1!$B:$B,0)</f>
        <v>0</v>
      </c>
      <c r="U381" s="37">
        <f>_xlfn.XLOOKUP(B381,[16]Sheet10!$A:$A,[16]Sheet10!$B:$B,0)</f>
        <v>0</v>
      </c>
    </row>
    <row r="382" spans="13:21" x14ac:dyDescent="0.35">
      <c r="M382" s="37">
        <f>_xlfn.XLOOKUP(B382,[14]Sheet1!$A:$A,[14]Sheet1!$B:$B,0)</f>
        <v>0</v>
      </c>
      <c r="S382" s="37">
        <f>_xlfn.XLOOKUP(B382,[15]Sheet1!$A:$A,[15]Sheet1!$B:$B,0)</f>
        <v>0</v>
      </c>
      <c r="U382" s="37">
        <f>_xlfn.XLOOKUP(B382,[16]Sheet10!$A:$A,[16]Sheet10!$B:$B,0)</f>
        <v>0</v>
      </c>
    </row>
    <row r="383" spans="13:21" x14ac:dyDescent="0.35">
      <c r="M383" s="37">
        <f>_xlfn.XLOOKUP(B383,[14]Sheet1!$A:$A,[14]Sheet1!$B:$B,0)</f>
        <v>0</v>
      </c>
      <c r="S383" s="37">
        <f>_xlfn.XLOOKUP(B383,[15]Sheet1!$A:$A,[15]Sheet1!$B:$B,0)</f>
        <v>0</v>
      </c>
      <c r="U383" s="37">
        <f>_xlfn.XLOOKUP(B383,[16]Sheet10!$A:$A,[16]Sheet10!$B:$B,0)</f>
        <v>0</v>
      </c>
    </row>
    <row r="384" spans="13:21" x14ac:dyDescent="0.35">
      <c r="M384" s="37">
        <f>_xlfn.XLOOKUP(B384,[14]Sheet1!$A:$A,[14]Sheet1!$B:$B,0)</f>
        <v>0</v>
      </c>
      <c r="S384" s="37">
        <f>_xlfn.XLOOKUP(B384,[15]Sheet1!$A:$A,[15]Sheet1!$B:$B,0)</f>
        <v>0</v>
      </c>
      <c r="U384" s="37">
        <f>_xlfn.XLOOKUP(B384,[16]Sheet10!$A:$A,[16]Sheet10!$B:$B,0)</f>
        <v>0</v>
      </c>
    </row>
    <row r="385" spans="13:21" x14ac:dyDescent="0.35">
      <c r="M385" s="37">
        <f>_xlfn.XLOOKUP(B385,[14]Sheet1!$A:$A,[14]Sheet1!$B:$B,0)</f>
        <v>0</v>
      </c>
      <c r="S385" s="37">
        <f>_xlfn.XLOOKUP(B385,[15]Sheet1!$A:$A,[15]Sheet1!$B:$B,0)</f>
        <v>0</v>
      </c>
      <c r="U385" s="37">
        <f>_xlfn.XLOOKUP(B385,[16]Sheet10!$A:$A,[16]Sheet10!$B:$B,0)</f>
        <v>0</v>
      </c>
    </row>
    <row r="386" spans="13:21" x14ac:dyDescent="0.35">
      <c r="M386" s="37">
        <f>_xlfn.XLOOKUP(B386,[14]Sheet1!$A:$A,[14]Sheet1!$B:$B,0)</f>
        <v>0</v>
      </c>
      <c r="S386" s="37">
        <f>_xlfn.XLOOKUP(B386,[15]Sheet1!$A:$A,[15]Sheet1!$B:$B,0)</f>
        <v>0</v>
      </c>
      <c r="U386" s="37">
        <f>_xlfn.XLOOKUP(B386,[16]Sheet10!$A:$A,[16]Sheet10!$B:$B,0)</f>
        <v>0</v>
      </c>
    </row>
    <row r="387" spans="13:21" x14ac:dyDescent="0.35">
      <c r="M387" s="37">
        <f>_xlfn.XLOOKUP(B387,[14]Sheet1!$A:$A,[14]Sheet1!$B:$B,0)</f>
        <v>0</v>
      </c>
      <c r="S387" s="37">
        <f>_xlfn.XLOOKUP(B387,[15]Sheet1!$A:$A,[15]Sheet1!$B:$B,0)</f>
        <v>0</v>
      </c>
      <c r="U387" s="37">
        <f>_xlfn.XLOOKUP(B387,[16]Sheet10!$A:$A,[16]Sheet10!$B:$B,0)</f>
        <v>0</v>
      </c>
    </row>
    <row r="388" spans="13:21" x14ac:dyDescent="0.35">
      <c r="M388" s="37">
        <f>_xlfn.XLOOKUP(B388,[14]Sheet1!$A:$A,[14]Sheet1!$B:$B,0)</f>
        <v>0</v>
      </c>
      <c r="S388" s="37">
        <f>_xlfn.XLOOKUP(B388,[15]Sheet1!$A:$A,[15]Sheet1!$B:$B,0)</f>
        <v>0</v>
      </c>
      <c r="U388" s="37">
        <f>_xlfn.XLOOKUP(B388,[16]Sheet10!$A:$A,[16]Sheet10!$B:$B,0)</f>
        <v>0</v>
      </c>
    </row>
    <row r="389" spans="13:21" x14ac:dyDescent="0.35">
      <c r="M389" s="37">
        <f>_xlfn.XLOOKUP(B389,[14]Sheet1!$A:$A,[14]Sheet1!$B:$B,0)</f>
        <v>0</v>
      </c>
      <c r="S389" s="37">
        <f>_xlfn.XLOOKUP(B389,[15]Sheet1!$A:$A,[15]Sheet1!$B:$B,0)</f>
        <v>0</v>
      </c>
      <c r="U389" s="37">
        <f>_xlfn.XLOOKUP(B389,[16]Sheet10!$A:$A,[16]Sheet10!$B:$B,0)</f>
        <v>0</v>
      </c>
    </row>
    <row r="390" spans="13:21" x14ac:dyDescent="0.35">
      <c r="M390" s="37">
        <f>_xlfn.XLOOKUP(B390,[14]Sheet1!$A:$A,[14]Sheet1!$B:$B,0)</f>
        <v>0</v>
      </c>
      <c r="S390" s="37">
        <f>_xlfn.XLOOKUP(B390,[15]Sheet1!$A:$A,[15]Sheet1!$B:$B,0)</f>
        <v>0</v>
      </c>
      <c r="U390" s="37">
        <f>_xlfn.XLOOKUP(B390,[16]Sheet10!$A:$A,[16]Sheet10!$B:$B,0)</f>
        <v>0</v>
      </c>
    </row>
    <row r="391" spans="13:21" x14ac:dyDescent="0.35">
      <c r="M391" s="37">
        <f>_xlfn.XLOOKUP(B391,[14]Sheet1!$A:$A,[14]Sheet1!$B:$B,0)</f>
        <v>0</v>
      </c>
      <c r="S391" s="37">
        <f>_xlfn.XLOOKUP(B391,[15]Sheet1!$A:$A,[15]Sheet1!$B:$B,0)</f>
        <v>0</v>
      </c>
      <c r="U391" s="37">
        <f>_xlfn.XLOOKUP(B391,[16]Sheet10!$A:$A,[16]Sheet10!$B:$B,0)</f>
        <v>0</v>
      </c>
    </row>
    <row r="392" spans="13:21" x14ac:dyDescent="0.35">
      <c r="M392" s="37">
        <f>_xlfn.XLOOKUP(B392,[14]Sheet1!$A:$A,[14]Sheet1!$B:$B,0)</f>
        <v>0</v>
      </c>
      <c r="S392" s="37">
        <f>_xlfn.XLOOKUP(B392,[15]Sheet1!$A:$A,[15]Sheet1!$B:$B,0)</f>
        <v>0</v>
      </c>
      <c r="U392" s="37">
        <f>_xlfn.XLOOKUP(B392,[16]Sheet10!$A:$A,[16]Sheet10!$B:$B,0)</f>
        <v>0</v>
      </c>
    </row>
    <row r="393" spans="13:21" x14ac:dyDescent="0.35">
      <c r="M393" s="37">
        <f>_xlfn.XLOOKUP(B393,[14]Sheet1!$A:$A,[14]Sheet1!$B:$B,0)</f>
        <v>0</v>
      </c>
      <c r="S393" s="37">
        <f>_xlfn.XLOOKUP(B393,[15]Sheet1!$A:$A,[15]Sheet1!$B:$B,0)</f>
        <v>0</v>
      </c>
      <c r="U393" s="37">
        <f>_xlfn.XLOOKUP(B393,[16]Sheet10!$A:$A,[16]Sheet10!$B:$B,0)</f>
        <v>0</v>
      </c>
    </row>
    <row r="394" spans="13:21" x14ac:dyDescent="0.35">
      <c r="M394" s="37">
        <f>_xlfn.XLOOKUP(B394,[14]Sheet1!$A:$A,[14]Sheet1!$B:$B,0)</f>
        <v>0</v>
      </c>
      <c r="S394" s="37">
        <f>_xlfn.XLOOKUP(B394,[15]Sheet1!$A:$A,[15]Sheet1!$B:$B,0)</f>
        <v>0</v>
      </c>
      <c r="U394" s="37">
        <f>_xlfn.XLOOKUP(B394,[16]Sheet10!$A:$A,[16]Sheet10!$B:$B,0)</f>
        <v>0</v>
      </c>
    </row>
    <row r="395" spans="13:21" x14ac:dyDescent="0.35">
      <c r="M395" s="37">
        <f>_xlfn.XLOOKUP(B395,[14]Sheet1!$A:$A,[14]Sheet1!$B:$B,0)</f>
        <v>0</v>
      </c>
      <c r="S395" s="37">
        <f>_xlfn.XLOOKUP(B395,[15]Sheet1!$A:$A,[15]Sheet1!$B:$B,0)</f>
        <v>0</v>
      </c>
      <c r="U395" s="37">
        <f>_xlfn.XLOOKUP(B395,[16]Sheet10!$A:$A,[16]Sheet10!$B:$B,0)</f>
        <v>0</v>
      </c>
    </row>
    <row r="396" spans="13:21" x14ac:dyDescent="0.35">
      <c r="M396" s="37">
        <f>_xlfn.XLOOKUP(B396,[14]Sheet1!$A:$A,[14]Sheet1!$B:$B,0)</f>
        <v>0</v>
      </c>
      <c r="S396" s="37">
        <f>_xlfn.XLOOKUP(B396,[15]Sheet1!$A:$A,[15]Sheet1!$B:$B,0)</f>
        <v>0</v>
      </c>
      <c r="U396" s="37">
        <f>_xlfn.XLOOKUP(B396,[16]Sheet10!$A:$A,[16]Sheet10!$B:$B,0)</f>
        <v>0</v>
      </c>
    </row>
    <row r="397" spans="13:21" x14ac:dyDescent="0.35">
      <c r="M397" s="37">
        <f>_xlfn.XLOOKUP(B397,[14]Sheet1!$A:$A,[14]Sheet1!$B:$B,0)</f>
        <v>0</v>
      </c>
      <c r="S397" s="37">
        <f>_xlfn.XLOOKUP(B397,[15]Sheet1!$A:$A,[15]Sheet1!$B:$B,0)</f>
        <v>0</v>
      </c>
      <c r="U397" s="37">
        <f>_xlfn.XLOOKUP(B397,[16]Sheet10!$A:$A,[16]Sheet10!$B:$B,0)</f>
        <v>0</v>
      </c>
    </row>
    <row r="398" spans="13:21" x14ac:dyDescent="0.35">
      <c r="M398" s="37">
        <f>_xlfn.XLOOKUP(B398,[14]Sheet1!$A:$A,[14]Sheet1!$B:$B,0)</f>
        <v>0</v>
      </c>
      <c r="S398" s="37">
        <f>_xlfn.XLOOKUP(B398,[15]Sheet1!$A:$A,[15]Sheet1!$B:$B,0)</f>
        <v>0</v>
      </c>
      <c r="U398" s="37">
        <f>_xlfn.XLOOKUP(B398,[16]Sheet10!$A:$A,[16]Sheet10!$B:$B,0)</f>
        <v>0</v>
      </c>
    </row>
    <row r="399" spans="13:21" x14ac:dyDescent="0.35">
      <c r="M399" s="37">
        <f>_xlfn.XLOOKUP(B399,[14]Sheet1!$A:$A,[14]Sheet1!$B:$B,0)</f>
        <v>0</v>
      </c>
      <c r="S399" s="37">
        <f>_xlfn.XLOOKUP(B399,[15]Sheet1!$A:$A,[15]Sheet1!$B:$B,0)</f>
        <v>0</v>
      </c>
      <c r="U399" s="37">
        <f>_xlfn.XLOOKUP(B399,[16]Sheet10!$A:$A,[16]Sheet10!$B:$B,0)</f>
        <v>0</v>
      </c>
    </row>
    <row r="400" spans="13:21" x14ac:dyDescent="0.35">
      <c r="M400" s="37">
        <f>_xlfn.XLOOKUP(B400,[14]Sheet1!$A:$A,[14]Sheet1!$B:$B,0)</f>
        <v>0</v>
      </c>
      <c r="S400" s="37">
        <f>_xlfn.XLOOKUP(B400,[15]Sheet1!$A:$A,[15]Sheet1!$B:$B,0)</f>
        <v>0</v>
      </c>
      <c r="U400" s="37">
        <f>_xlfn.XLOOKUP(B400,[16]Sheet10!$A:$A,[16]Sheet10!$B:$B,0)</f>
        <v>0</v>
      </c>
    </row>
    <row r="401" spans="13:21" x14ac:dyDescent="0.35">
      <c r="M401" s="37">
        <f>_xlfn.XLOOKUP(B401,[14]Sheet1!$A:$A,[14]Sheet1!$B:$B,0)</f>
        <v>0</v>
      </c>
      <c r="S401" s="37">
        <f>_xlfn.XLOOKUP(B401,[15]Sheet1!$A:$A,[15]Sheet1!$B:$B,0)</f>
        <v>0</v>
      </c>
      <c r="U401" s="37">
        <f>_xlfn.XLOOKUP(B401,[16]Sheet10!$A:$A,[16]Sheet10!$B:$B,0)</f>
        <v>0</v>
      </c>
    </row>
    <row r="402" spans="13:21" x14ac:dyDescent="0.35">
      <c r="M402" s="37">
        <f>_xlfn.XLOOKUP(B402,[14]Sheet1!$A:$A,[14]Sheet1!$B:$B,0)</f>
        <v>0</v>
      </c>
      <c r="S402" s="37">
        <f>_xlfn.XLOOKUP(B402,[15]Sheet1!$A:$A,[15]Sheet1!$B:$B,0)</f>
        <v>0</v>
      </c>
      <c r="U402" s="37">
        <f>_xlfn.XLOOKUP(B402,[16]Sheet10!$A:$A,[16]Sheet10!$B:$B,0)</f>
        <v>0</v>
      </c>
    </row>
    <row r="403" spans="13:21" x14ac:dyDescent="0.35">
      <c r="M403" s="37">
        <f>_xlfn.XLOOKUP(B403,[14]Sheet1!$A:$A,[14]Sheet1!$B:$B,0)</f>
        <v>0</v>
      </c>
      <c r="S403" s="37">
        <f>_xlfn.XLOOKUP(B403,[15]Sheet1!$A:$A,[15]Sheet1!$B:$B,0)</f>
        <v>0</v>
      </c>
      <c r="U403" s="37">
        <f>_xlfn.XLOOKUP(B403,[16]Sheet10!$A:$A,[16]Sheet10!$B:$B,0)</f>
        <v>0</v>
      </c>
    </row>
    <row r="404" spans="13:21" x14ac:dyDescent="0.35">
      <c r="S404" s="37">
        <f>_xlfn.XLOOKUP(B404,[15]Sheet1!$A:$A,[15]Sheet1!$B:$B,0)</f>
        <v>0</v>
      </c>
      <c r="U404" s="37">
        <f>_xlfn.XLOOKUP(B404,[16]Sheet10!$A:$A,[16]Sheet10!$B:$B,0)</f>
        <v>0</v>
      </c>
    </row>
    <row r="405" spans="13:21" x14ac:dyDescent="0.35">
      <c r="S405" s="37">
        <f>_xlfn.XLOOKUP(B405,[15]Sheet1!$A:$A,[15]Sheet1!$B:$B,0)</f>
        <v>0</v>
      </c>
      <c r="U405" s="37">
        <f>_xlfn.XLOOKUP(B405,[16]Sheet10!$A:$A,[16]Sheet10!$B:$B,0)</f>
        <v>0</v>
      </c>
    </row>
    <row r="406" spans="13:21" x14ac:dyDescent="0.35">
      <c r="S406" s="37">
        <f>_xlfn.XLOOKUP(B406,[15]Sheet1!$A:$A,[15]Sheet1!$B:$B,0)</f>
        <v>0</v>
      </c>
      <c r="U406" s="37">
        <f>_xlfn.XLOOKUP(B406,[16]Sheet10!$A:$A,[16]Sheet10!$B:$B,0)</f>
        <v>0</v>
      </c>
    </row>
    <row r="407" spans="13:21" x14ac:dyDescent="0.35">
      <c r="S407" s="37">
        <f>_xlfn.XLOOKUP(B407,[15]Sheet1!$A:$A,[15]Sheet1!$B:$B,0)</f>
        <v>0</v>
      </c>
      <c r="U407" s="37">
        <f>_xlfn.XLOOKUP(B407,[16]Sheet10!$A:$A,[16]Sheet10!$B:$B,0)</f>
        <v>0</v>
      </c>
    </row>
    <row r="408" spans="13:21" x14ac:dyDescent="0.35">
      <c r="S408" s="37">
        <f>_xlfn.XLOOKUP(B408,[15]Sheet1!$A:$A,[15]Sheet1!$B:$B,0)</f>
        <v>0</v>
      </c>
      <c r="U408" s="37">
        <f>_xlfn.XLOOKUP(B408,[16]Sheet10!$A:$A,[16]Sheet10!$B:$B,0)</f>
        <v>0</v>
      </c>
    </row>
    <row r="409" spans="13:21" x14ac:dyDescent="0.35">
      <c r="S409" s="37">
        <f>_xlfn.XLOOKUP(B409,[15]Sheet1!$A:$A,[15]Sheet1!$B:$B,0)</f>
        <v>0</v>
      </c>
      <c r="U409" s="37">
        <f>_xlfn.XLOOKUP(B409,[16]Sheet10!$A:$A,[16]Sheet10!$B:$B,0)</f>
        <v>0</v>
      </c>
    </row>
    <row r="410" spans="13:21" x14ac:dyDescent="0.35">
      <c r="S410" s="37">
        <f>_xlfn.XLOOKUP(B410,[15]Sheet1!$A:$A,[15]Sheet1!$B:$B,0)</f>
        <v>0</v>
      </c>
      <c r="U410" s="37">
        <f>_xlfn.XLOOKUP(B410,[16]Sheet10!$A:$A,[16]Sheet10!$B:$B,0)</f>
        <v>0</v>
      </c>
    </row>
  </sheetData>
  <autoFilter ref="A1:W244" xr:uid="{7B73601D-889E-44A4-8A7E-0F62A235A0D8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40E-FE87-44C0-A2AA-7FB738EFD047}">
  <sheetPr>
    <tabColor rgb="FFC00000"/>
  </sheetPr>
  <dimension ref="A1:W365"/>
  <sheetViews>
    <sheetView topLeftCell="A134" workbookViewId="0">
      <selection activeCell="A153" sqref="A153"/>
    </sheetView>
  </sheetViews>
  <sheetFormatPr defaultRowHeight="14.5" x14ac:dyDescent="0.35"/>
  <cols>
    <col min="1" max="2" width="44.54296875" bestFit="1" customWidth="1"/>
    <col min="14" max="15" width="0" hidden="1" customWidth="1"/>
  </cols>
  <sheetData>
    <row r="1" spans="1:2" ht="15.5" x14ac:dyDescent="0.35">
      <c r="A1" t="s">
        <v>23</v>
      </c>
      <c r="B1" s="12" t="s">
        <v>26</v>
      </c>
    </row>
    <row r="2" spans="1:2" x14ac:dyDescent="0.35">
      <c r="A2" t="s">
        <v>423</v>
      </c>
      <c r="B2" s="13" t="s">
        <v>256</v>
      </c>
    </row>
    <row r="3" spans="1:2" x14ac:dyDescent="0.35">
      <c r="A3" t="s">
        <v>439</v>
      </c>
      <c r="B3" s="13" t="s">
        <v>257</v>
      </c>
    </row>
    <row r="4" spans="1:2" x14ac:dyDescent="0.35">
      <c r="A4" t="s">
        <v>681</v>
      </c>
      <c r="B4" s="13" t="s">
        <v>258</v>
      </c>
    </row>
    <row r="5" spans="1:2" x14ac:dyDescent="0.35">
      <c r="A5" t="s">
        <v>423</v>
      </c>
      <c r="B5" s="13" t="s">
        <v>259</v>
      </c>
    </row>
    <row r="6" spans="1:2" x14ac:dyDescent="0.35">
      <c r="A6" t="s">
        <v>423</v>
      </c>
      <c r="B6" s="50" t="s">
        <v>557</v>
      </c>
    </row>
    <row r="7" spans="1:2" x14ac:dyDescent="0.35">
      <c r="A7" t="s">
        <v>423</v>
      </c>
      <c r="B7" s="50" t="s">
        <v>732</v>
      </c>
    </row>
    <row r="8" spans="1:2" x14ac:dyDescent="0.35">
      <c r="A8" t="s">
        <v>423</v>
      </c>
      <c r="B8" s="50" t="s">
        <v>733</v>
      </c>
    </row>
    <row r="9" spans="1:2" x14ac:dyDescent="0.35">
      <c r="A9" t="s">
        <v>423</v>
      </c>
      <c r="B9" s="13" t="s">
        <v>260</v>
      </c>
    </row>
    <row r="10" spans="1:2" x14ac:dyDescent="0.35">
      <c r="A10" t="s">
        <v>423</v>
      </c>
      <c r="B10" s="13" t="s">
        <v>261</v>
      </c>
    </row>
    <row r="11" spans="1:2" x14ac:dyDescent="0.35">
      <c r="A11" t="s">
        <v>423</v>
      </c>
      <c r="B11" s="13" t="s">
        <v>262</v>
      </c>
    </row>
    <row r="12" spans="1:2" x14ac:dyDescent="0.35">
      <c r="A12" t="s">
        <v>423</v>
      </c>
      <c r="B12" s="13" t="s">
        <v>263</v>
      </c>
    </row>
    <row r="13" spans="1:2" x14ac:dyDescent="0.35">
      <c r="A13" t="s">
        <v>421</v>
      </c>
      <c r="B13" s="13" t="s">
        <v>264</v>
      </c>
    </row>
    <row r="14" spans="1:2" x14ac:dyDescent="0.35">
      <c r="A14" t="s">
        <v>431</v>
      </c>
      <c r="B14" s="13" t="s">
        <v>265</v>
      </c>
    </row>
    <row r="15" spans="1:2" x14ac:dyDescent="0.35">
      <c r="A15" t="s">
        <v>431</v>
      </c>
      <c r="B15" s="13" t="s">
        <v>266</v>
      </c>
    </row>
    <row r="16" spans="1:2" x14ac:dyDescent="0.35">
      <c r="A16" t="s">
        <v>434</v>
      </c>
      <c r="B16" s="41" t="s">
        <v>267</v>
      </c>
    </row>
    <row r="17" spans="1:2" x14ac:dyDescent="0.35">
      <c r="A17" t="s">
        <v>435</v>
      </c>
      <c r="B17" s="13" t="s">
        <v>268</v>
      </c>
    </row>
    <row r="18" spans="1:2" x14ac:dyDescent="0.35">
      <c r="A18" t="s">
        <v>431</v>
      </c>
      <c r="B18" s="13" t="s">
        <v>269</v>
      </c>
    </row>
    <row r="19" spans="1:2" x14ac:dyDescent="0.35">
      <c r="A19" t="s">
        <v>422</v>
      </c>
      <c r="B19" s="13" t="s">
        <v>270</v>
      </c>
    </row>
    <row r="20" spans="1:2" x14ac:dyDescent="0.35">
      <c r="A20" t="s">
        <v>431</v>
      </c>
      <c r="B20" s="13" t="s">
        <v>271</v>
      </c>
    </row>
    <row r="21" spans="1:2" x14ac:dyDescent="0.35">
      <c r="A21" t="s">
        <v>422</v>
      </c>
      <c r="B21" s="13" t="s">
        <v>272</v>
      </c>
    </row>
    <row r="22" spans="1:2" x14ac:dyDescent="0.35">
      <c r="A22" t="s">
        <v>436</v>
      </c>
      <c r="B22" s="13" t="s">
        <v>273</v>
      </c>
    </row>
    <row r="23" spans="1:2" x14ac:dyDescent="0.35">
      <c r="A23" t="s">
        <v>423</v>
      </c>
      <c r="B23" s="13" t="s">
        <v>274</v>
      </c>
    </row>
    <row r="24" spans="1:2" x14ac:dyDescent="0.35">
      <c r="A24" t="s">
        <v>437</v>
      </c>
      <c r="B24" s="13" t="s">
        <v>275</v>
      </c>
    </row>
    <row r="25" spans="1:2" x14ac:dyDescent="0.35">
      <c r="A25" t="s">
        <v>428</v>
      </c>
      <c r="B25" s="13" t="s">
        <v>276</v>
      </c>
    </row>
    <row r="26" spans="1:2" x14ac:dyDescent="0.35">
      <c r="A26" t="s">
        <v>438</v>
      </c>
      <c r="B26" s="13" t="s">
        <v>277</v>
      </c>
    </row>
    <row r="27" spans="1:2" x14ac:dyDescent="0.35">
      <c r="A27" t="s">
        <v>428</v>
      </c>
      <c r="B27" s="13" t="s">
        <v>278</v>
      </c>
    </row>
    <row r="28" spans="1:2" x14ac:dyDescent="0.35">
      <c r="A28" t="s">
        <v>422</v>
      </c>
      <c r="B28" s="13" t="s">
        <v>279</v>
      </c>
    </row>
    <row r="29" spans="1:2" x14ac:dyDescent="0.35">
      <c r="A29" t="s">
        <v>431</v>
      </c>
      <c r="B29" s="13" t="s">
        <v>280</v>
      </c>
    </row>
    <row r="30" spans="1:2" x14ac:dyDescent="0.35">
      <c r="A30" t="s">
        <v>422</v>
      </c>
      <c r="B30" s="13" t="s">
        <v>281</v>
      </c>
    </row>
    <row r="31" spans="1:2" x14ac:dyDescent="0.35">
      <c r="A31" t="s">
        <v>422</v>
      </c>
      <c r="B31" s="13" t="s">
        <v>282</v>
      </c>
    </row>
    <row r="32" spans="1:2" x14ac:dyDescent="0.35">
      <c r="A32" t="s">
        <v>439</v>
      </c>
      <c r="B32" s="13" t="s">
        <v>283</v>
      </c>
    </row>
    <row r="33" spans="1:2" x14ac:dyDescent="0.35">
      <c r="A33" t="s">
        <v>425</v>
      </c>
      <c r="B33" s="13" t="s">
        <v>284</v>
      </c>
    </row>
    <row r="34" spans="1:2" x14ac:dyDescent="0.35">
      <c r="A34" t="s">
        <v>421</v>
      </c>
      <c r="B34" s="13" t="s">
        <v>285</v>
      </c>
    </row>
    <row r="35" spans="1:2" x14ac:dyDescent="0.35">
      <c r="A35" t="s">
        <v>424</v>
      </c>
      <c r="B35" s="13" t="s">
        <v>286</v>
      </c>
    </row>
    <row r="36" spans="1:2" x14ac:dyDescent="0.35">
      <c r="A36" t="s">
        <v>425</v>
      </c>
      <c r="B36" s="13" t="s">
        <v>287</v>
      </c>
    </row>
    <row r="37" spans="1:2" x14ac:dyDescent="0.35">
      <c r="A37" t="s">
        <v>439</v>
      </c>
      <c r="B37" s="13" t="s">
        <v>288</v>
      </c>
    </row>
    <row r="38" spans="1:2" x14ac:dyDescent="0.35">
      <c r="A38" t="s">
        <v>439</v>
      </c>
      <c r="B38" s="13" t="s">
        <v>289</v>
      </c>
    </row>
    <row r="39" spans="1:2" x14ac:dyDescent="0.35">
      <c r="A39" t="s">
        <v>681</v>
      </c>
      <c r="B39" s="13" t="s">
        <v>290</v>
      </c>
    </row>
    <row r="40" spans="1:2" x14ac:dyDescent="0.35">
      <c r="A40" t="s">
        <v>425</v>
      </c>
      <c r="B40" s="13" t="s">
        <v>291</v>
      </c>
    </row>
    <row r="41" spans="1:2" x14ac:dyDescent="0.35">
      <c r="A41" t="s">
        <v>425</v>
      </c>
      <c r="B41" s="13" t="s">
        <v>292</v>
      </c>
    </row>
    <row r="42" spans="1:2" x14ac:dyDescent="0.35">
      <c r="A42" t="s">
        <v>421</v>
      </c>
      <c r="B42" s="13" t="s">
        <v>293</v>
      </c>
    </row>
    <row r="43" spans="1:2" x14ac:dyDescent="0.35">
      <c r="A43" t="s">
        <v>421</v>
      </c>
      <c r="B43" s="13" t="s">
        <v>294</v>
      </c>
    </row>
    <row r="44" spans="1:2" x14ac:dyDescent="0.35">
      <c r="A44" t="s">
        <v>421</v>
      </c>
      <c r="B44" s="13" t="s">
        <v>295</v>
      </c>
    </row>
    <row r="45" spans="1:2" x14ac:dyDescent="0.35">
      <c r="A45" t="s">
        <v>421</v>
      </c>
      <c r="B45" s="13" t="s">
        <v>296</v>
      </c>
    </row>
    <row r="46" spans="1:2" x14ac:dyDescent="0.35">
      <c r="A46" t="s">
        <v>421</v>
      </c>
      <c r="B46" s="13" t="s">
        <v>297</v>
      </c>
    </row>
    <row r="47" spans="1:2" x14ac:dyDescent="0.35">
      <c r="A47" t="s">
        <v>425</v>
      </c>
      <c r="B47" s="13" t="s">
        <v>298</v>
      </c>
    </row>
    <row r="48" spans="1:2" x14ac:dyDescent="0.35">
      <c r="A48" t="s">
        <v>425</v>
      </c>
      <c r="B48" s="13" t="s">
        <v>299</v>
      </c>
    </row>
    <row r="49" spans="1:2" x14ac:dyDescent="0.35">
      <c r="A49" t="s">
        <v>424</v>
      </c>
      <c r="B49" s="13" t="s">
        <v>300</v>
      </c>
    </row>
    <row r="50" spans="1:2" x14ac:dyDescent="0.35">
      <c r="A50" t="s">
        <v>425</v>
      </c>
      <c r="B50" s="13" t="s">
        <v>301</v>
      </c>
    </row>
    <row r="51" spans="1:2" x14ac:dyDescent="0.35">
      <c r="A51" t="s">
        <v>440</v>
      </c>
      <c r="B51" s="13" t="s">
        <v>302</v>
      </c>
    </row>
    <row r="52" spans="1:2" x14ac:dyDescent="0.35">
      <c r="A52" t="s">
        <v>431</v>
      </c>
      <c r="B52" s="13" t="s">
        <v>303</v>
      </c>
    </row>
    <row r="53" spans="1:2" x14ac:dyDescent="0.35">
      <c r="A53" t="s">
        <v>431</v>
      </c>
      <c r="B53" s="13" t="s">
        <v>304</v>
      </c>
    </row>
    <row r="54" spans="1:2" x14ac:dyDescent="0.35">
      <c r="A54" t="s">
        <v>422</v>
      </c>
      <c r="B54" s="13" t="s">
        <v>305</v>
      </c>
    </row>
    <row r="55" spans="1:2" x14ac:dyDescent="0.35">
      <c r="A55" t="s">
        <v>431</v>
      </c>
      <c r="B55" s="13" t="s">
        <v>306</v>
      </c>
    </row>
    <row r="56" spans="1:2" x14ac:dyDescent="0.35">
      <c r="A56" t="s">
        <v>422</v>
      </c>
      <c r="B56" s="13" t="s">
        <v>307</v>
      </c>
    </row>
    <row r="57" spans="1:2" x14ac:dyDescent="0.35">
      <c r="A57" t="s">
        <v>437</v>
      </c>
      <c r="B57" s="13" t="s">
        <v>308</v>
      </c>
    </row>
    <row r="58" spans="1:2" x14ac:dyDescent="0.35">
      <c r="A58" t="s">
        <v>431</v>
      </c>
      <c r="B58" s="13" t="s">
        <v>309</v>
      </c>
    </row>
    <row r="59" spans="1:2" x14ac:dyDescent="0.35">
      <c r="A59" t="s">
        <v>431</v>
      </c>
      <c r="B59" s="13" t="s">
        <v>310</v>
      </c>
    </row>
    <row r="60" spans="1:2" x14ac:dyDescent="0.35">
      <c r="A60" t="s">
        <v>431</v>
      </c>
      <c r="B60" s="13" t="s">
        <v>702</v>
      </c>
    </row>
    <row r="61" spans="1:2" x14ac:dyDescent="0.35">
      <c r="A61" t="s">
        <v>431</v>
      </c>
      <c r="B61" s="13" t="s">
        <v>311</v>
      </c>
    </row>
    <row r="62" spans="1:2" x14ac:dyDescent="0.35">
      <c r="A62" t="s">
        <v>431</v>
      </c>
      <c r="B62" s="13" t="s">
        <v>312</v>
      </c>
    </row>
    <row r="63" spans="1:2" x14ac:dyDescent="0.35">
      <c r="A63" t="s">
        <v>440</v>
      </c>
      <c r="B63" s="13" t="s">
        <v>313</v>
      </c>
    </row>
    <row r="64" spans="1:2" x14ac:dyDescent="0.35">
      <c r="A64" t="s">
        <v>440</v>
      </c>
      <c r="B64" s="13" t="s">
        <v>314</v>
      </c>
    </row>
    <row r="65" spans="1:2" x14ac:dyDescent="0.35">
      <c r="A65" t="s">
        <v>431</v>
      </c>
      <c r="B65" s="13" t="s">
        <v>315</v>
      </c>
    </row>
    <row r="66" spans="1:2" x14ac:dyDescent="0.35">
      <c r="A66" t="s">
        <v>428</v>
      </c>
      <c r="B66" s="13" t="s">
        <v>384</v>
      </c>
    </row>
    <row r="67" spans="1:2" x14ac:dyDescent="0.35">
      <c r="A67" t="s">
        <v>431</v>
      </c>
      <c r="B67" s="13" t="s">
        <v>317</v>
      </c>
    </row>
    <row r="68" spans="1:2" x14ac:dyDescent="0.35">
      <c r="A68" t="s">
        <v>442</v>
      </c>
      <c r="B68" s="13" t="s">
        <v>318</v>
      </c>
    </row>
    <row r="69" spans="1:2" x14ac:dyDescent="0.35">
      <c r="A69" t="s">
        <v>431</v>
      </c>
      <c r="B69" s="13" t="s">
        <v>319</v>
      </c>
    </row>
    <row r="70" spans="1:2" x14ac:dyDescent="0.35">
      <c r="A70" t="s">
        <v>443</v>
      </c>
      <c r="B70" s="13" t="s">
        <v>320</v>
      </c>
    </row>
    <row r="71" spans="1:2" x14ac:dyDescent="0.35">
      <c r="A71" t="s">
        <v>443</v>
      </c>
      <c r="B71" s="13" t="s">
        <v>321</v>
      </c>
    </row>
    <row r="72" spans="1:2" x14ac:dyDescent="0.35">
      <c r="A72" t="s">
        <v>431</v>
      </c>
      <c r="B72" s="13" t="s">
        <v>322</v>
      </c>
    </row>
    <row r="73" spans="1:2" x14ac:dyDescent="0.35">
      <c r="A73" t="s">
        <v>431</v>
      </c>
      <c r="B73" s="13" t="s">
        <v>323</v>
      </c>
    </row>
    <row r="74" spans="1:2" x14ac:dyDescent="0.35">
      <c r="A74" t="s">
        <v>422</v>
      </c>
      <c r="B74" s="13" t="s">
        <v>324</v>
      </c>
    </row>
    <row r="75" spans="1:2" x14ac:dyDescent="0.35">
      <c r="A75" t="s">
        <v>422</v>
      </c>
      <c r="B75" s="13" t="s">
        <v>325</v>
      </c>
    </row>
    <row r="76" spans="1:2" x14ac:dyDescent="0.35">
      <c r="A76" t="s">
        <v>440</v>
      </c>
      <c r="B76" s="13" t="s">
        <v>326</v>
      </c>
    </row>
    <row r="77" spans="1:2" x14ac:dyDescent="0.35">
      <c r="A77" t="s">
        <v>431</v>
      </c>
      <c r="B77" s="13" t="s">
        <v>327</v>
      </c>
    </row>
    <row r="78" spans="1:2" x14ac:dyDescent="0.35">
      <c r="A78" t="s">
        <v>440</v>
      </c>
      <c r="B78" s="13" t="s">
        <v>328</v>
      </c>
    </row>
    <row r="79" spans="1:2" x14ac:dyDescent="0.35">
      <c r="A79" s="13" t="s">
        <v>329</v>
      </c>
      <c r="B79" s="13" t="s">
        <v>329</v>
      </c>
    </row>
    <row r="80" spans="1:2" x14ac:dyDescent="0.35">
      <c r="A80" t="s">
        <v>426</v>
      </c>
      <c r="B80" s="13" t="s">
        <v>330</v>
      </c>
    </row>
    <row r="81" spans="1:2" x14ac:dyDescent="0.35">
      <c r="A81" t="s">
        <v>426</v>
      </c>
      <c r="B81" s="13" t="s">
        <v>331</v>
      </c>
    </row>
    <row r="82" spans="1:2" x14ac:dyDescent="0.35">
      <c r="A82" t="s">
        <v>441</v>
      </c>
      <c r="B82" s="13" t="s">
        <v>332</v>
      </c>
    </row>
    <row r="83" spans="1:2" x14ac:dyDescent="0.35">
      <c r="A83" t="s">
        <v>441</v>
      </c>
      <c r="B83" s="13" t="s">
        <v>333</v>
      </c>
    </row>
    <row r="84" spans="1:2" x14ac:dyDescent="0.35">
      <c r="A84" t="s">
        <v>441</v>
      </c>
      <c r="B84" s="13" t="s">
        <v>334</v>
      </c>
    </row>
    <row r="85" spans="1:2" x14ac:dyDescent="0.35">
      <c r="A85" t="s">
        <v>441</v>
      </c>
      <c r="B85" s="13" t="s">
        <v>335</v>
      </c>
    </row>
    <row r="86" spans="1:2" x14ac:dyDescent="0.35">
      <c r="A86" t="s">
        <v>441</v>
      </c>
      <c r="B86" s="13" t="s">
        <v>336</v>
      </c>
    </row>
    <row r="87" spans="1:2" x14ac:dyDescent="0.35">
      <c r="A87" t="s">
        <v>441</v>
      </c>
      <c r="B87" s="13" t="s">
        <v>337</v>
      </c>
    </row>
    <row r="88" spans="1:2" x14ac:dyDescent="0.35">
      <c r="A88" t="s">
        <v>441</v>
      </c>
      <c r="B88" s="13" t="s">
        <v>338</v>
      </c>
    </row>
    <row r="89" spans="1:2" x14ac:dyDescent="0.35">
      <c r="A89" t="s">
        <v>441</v>
      </c>
      <c r="B89" s="13" t="s">
        <v>339</v>
      </c>
    </row>
    <row r="90" spans="1:2" x14ac:dyDescent="0.35">
      <c r="A90" t="s">
        <v>441</v>
      </c>
      <c r="B90" s="13" t="s">
        <v>340</v>
      </c>
    </row>
    <row r="91" spans="1:2" x14ac:dyDescent="0.35">
      <c r="A91" t="s">
        <v>441</v>
      </c>
      <c r="B91" s="13" t="s">
        <v>341</v>
      </c>
    </row>
    <row r="92" spans="1:2" x14ac:dyDescent="0.35">
      <c r="A92" t="s">
        <v>441</v>
      </c>
      <c r="B92" s="13" t="s">
        <v>342</v>
      </c>
    </row>
    <row r="93" spans="1:2" x14ac:dyDescent="0.35">
      <c r="A93" t="s">
        <v>441</v>
      </c>
      <c r="B93" s="13" t="s">
        <v>343</v>
      </c>
    </row>
    <row r="94" spans="1:2" x14ac:dyDescent="0.35">
      <c r="A94" t="s">
        <v>441</v>
      </c>
      <c r="B94" s="13" t="s">
        <v>344</v>
      </c>
    </row>
    <row r="95" spans="1:2" x14ac:dyDescent="0.35">
      <c r="A95" t="s">
        <v>426</v>
      </c>
      <c r="B95" s="13" t="s">
        <v>345</v>
      </c>
    </row>
    <row r="96" spans="1:2" x14ac:dyDescent="0.35">
      <c r="A96" t="s">
        <v>444</v>
      </c>
      <c r="B96" s="13" t="s">
        <v>346</v>
      </c>
    </row>
    <row r="97" spans="1:2" x14ac:dyDescent="0.35">
      <c r="A97" t="s">
        <v>441</v>
      </c>
      <c r="B97" s="13" t="s">
        <v>347</v>
      </c>
    </row>
    <row r="98" spans="1:2" x14ac:dyDescent="0.35">
      <c r="A98" s="15" t="s">
        <v>427</v>
      </c>
      <c r="B98" s="13" t="s">
        <v>348</v>
      </c>
    </row>
    <row r="99" spans="1:2" x14ac:dyDescent="0.35">
      <c r="A99" t="s">
        <v>441</v>
      </c>
      <c r="B99" s="13" t="s">
        <v>349</v>
      </c>
    </row>
    <row r="100" spans="1:2" x14ac:dyDescent="0.35">
      <c r="A100" t="s">
        <v>441</v>
      </c>
      <c r="B100" s="13" t="s">
        <v>350</v>
      </c>
    </row>
    <row r="101" spans="1:2" x14ac:dyDescent="0.35">
      <c r="A101" t="s">
        <v>441</v>
      </c>
      <c r="B101" s="13" t="s">
        <v>351</v>
      </c>
    </row>
    <row r="102" spans="1:2" x14ac:dyDescent="0.35">
      <c r="A102" t="s">
        <v>441</v>
      </c>
      <c r="B102" s="13" t="s">
        <v>352</v>
      </c>
    </row>
    <row r="103" spans="1:2" x14ac:dyDescent="0.35">
      <c r="A103" t="s">
        <v>441</v>
      </c>
      <c r="B103" s="13" t="s">
        <v>353</v>
      </c>
    </row>
    <row r="104" spans="1:2" x14ac:dyDescent="0.35">
      <c r="A104" t="s">
        <v>441</v>
      </c>
      <c r="B104" s="13" t="s">
        <v>354</v>
      </c>
    </row>
    <row r="105" spans="1:2" x14ac:dyDescent="0.35">
      <c r="A105" t="s">
        <v>427</v>
      </c>
      <c r="B105" s="13" t="s">
        <v>355</v>
      </c>
    </row>
    <row r="106" spans="1:2" x14ac:dyDescent="0.35">
      <c r="A106" t="s">
        <v>427</v>
      </c>
      <c r="B106" s="13" t="s">
        <v>356</v>
      </c>
    </row>
    <row r="107" spans="1:2" x14ac:dyDescent="0.35">
      <c r="A107" t="s">
        <v>427</v>
      </c>
      <c r="B107" s="13" t="s">
        <v>357</v>
      </c>
    </row>
    <row r="108" spans="1:2" x14ac:dyDescent="0.35">
      <c r="A108" t="s">
        <v>427</v>
      </c>
      <c r="B108" s="13" t="s">
        <v>358</v>
      </c>
    </row>
    <row r="109" spans="1:2" x14ac:dyDescent="0.35">
      <c r="A109" t="s">
        <v>427</v>
      </c>
      <c r="B109" s="13" t="s">
        <v>359</v>
      </c>
    </row>
    <row r="110" spans="1:2" x14ac:dyDescent="0.35">
      <c r="A110" t="s">
        <v>460</v>
      </c>
      <c r="B110" s="13" t="s">
        <v>692</v>
      </c>
    </row>
    <row r="111" spans="1:2" x14ac:dyDescent="0.35">
      <c r="A111" t="s">
        <v>681</v>
      </c>
      <c r="B111" s="13" t="s">
        <v>693</v>
      </c>
    </row>
    <row r="112" spans="1:2" x14ac:dyDescent="0.35">
      <c r="A112" t="s">
        <v>681</v>
      </c>
      <c r="B112" s="13" t="s">
        <v>703</v>
      </c>
    </row>
    <row r="113" spans="1:2" x14ac:dyDescent="0.35">
      <c r="A113" t="s">
        <v>431</v>
      </c>
      <c r="B113" s="13" t="s">
        <v>694</v>
      </c>
    </row>
    <row r="114" spans="1:2" x14ac:dyDescent="0.35">
      <c r="A114" s="22" t="s">
        <v>529</v>
      </c>
      <c r="B114" s="13" t="s">
        <v>360</v>
      </c>
    </row>
    <row r="115" spans="1:2" x14ac:dyDescent="0.35">
      <c r="A115" s="22" t="s">
        <v>529</v>
      </c>
      <c r="B115" s="13" t="s">
        <v>691</v>
      </c>
    </row>
    <row r="116" spans="1:2" x14ac:dyDescent="0.35">
      <c r="A116" s="22" t="s">
        <v>529</v>
      </c>
      <c r="B116" s="13" t="s">
        <v>690</v>
      </c>
    </row>
    <row r="117" spans="1:2" x14ac:dyDescent="0.35">
      <c r="A117" s="22" t="s">
        <v>529</v>
      </c>
      <c r="B117" s="13" t="s">
        <v>361</v>
      </c>
    </row>
    <row r="118" spans="1:2" x14ac:dyDescent="0.35">
      <c r="A118" s="22" t="s">
        <v>529</v>
      </c>
      <c r="B118" s="13" t="s">
        <v>362</v>
      </c>
    </row>
    <row r="119" spans="1:2" x14ac:dyDescent="0.35">
      <c r="A119" s="22" t="s">
        <v>529</v>
      </c>
      <c r="B119" s="13" t="s">
        <v>743</v>
      </c>
    </row>
    <row r="120" spans="1:2" x14ac:dyDescent="0.35">
      <c r="A120" s="22" t="s">
        <v>529</v>
      </c>
      <c r="B120" s="13" t="s">
        <v>363</v>
      </c>
    </row>
    <row r="121" spans="1:2" x14ac:dyDescent="0.35">
      <c r="A121" s="22" t="s">
        <v>529</v>
      </c>
      <c r="B121" s="13" t="s">
        <v>364</v>
      </c>
    </row>
    <row r="122" spans="1:2" x14ac:dyDescent="0.35">
      <c r="A122" t="s">
        <v>436</v>
      </c>
      <c r="B122" s="13" t="s">
        <v>365</v>
      </c>
    </row>
    <row r="123" spans="1:2" x14ac:dyDescent="0.35">
      <c r="A123" t="s">
        <v>651</v>
      </c>
      <c r="B123" s="13" t="s">
        <v>366</v>
      </c>
    </row>
    <row r="124" spans="1:2" x14ac:dyDescent="0.35">
      <c r="A124" t="s">
        <v>651</v>
      </c>
      <c r="B124" s="13" t="s">
        <v>367</v>
      </c>
    </row>
    <row r="125" spans="1:2" x14ac:dyDescent="0.35">
      <c r="A125" t="s">
        <v>529</v>
      </c>
      <c r="B125" s="13" t="s">
        <v>368</v>
      </c>
    </row>
    <row r="126" spans="1:2" x14ac:dyDescent="0.35">
      <c r="A126" t="s">
        <v>651</v>
      </c>
      <c r="B126" s="13" t="s">
        <v>369</v>
      </c>
    </row>
    <row r="127" spans="1:2" x14ac:dyDescent="0.35">
      <c r="A127" t="s">
        <v>651</v>
      </c>
      <c r="B127" s="13" t="s">
        <v>370</v>
      </c>
    </row>
    <row r="128" spans="1:2" x14ac:dyDescent="0.35">
      <c r="A128" t="s">
        <v>651</v>
      </c>
      <c r="B128" s="13" t="s">
        <v>371</v>
      </c>
    </row>
    <row r="129" spans="1:2" x14ac:dyDescent="0.35">
      <c r="A129" t="s">
        <v>651</v>
      </c>
      <c r="B129" s="13" t="s">
        <v>372</v>
      </c>
    </row>
    <row r="130" spans="1:2" x14ac:dyDescent="0.35">
      <c r="A130" s="13" t="s">
        <v>373</v>
      </c>
      <c r="B130" s="13" t="s">
        <v>373</v>
      </c>
    </row>
    <row r="131" spans="1:2" x14ac:dyDescent="0.35">
      <c r="A131" s="13" t="s">
        <v>373</v>
      </c>
      <c r="B131" s="13" t="s">
        <v>734</v>
      </c>
    </row>
    <row r="132" spans="1:2" x14ac:dyDescent="0.35">
      <c r="A132" t="s">
        <v>431</v>
      </c>
      <c r="B132" s="13" t="s">
        <v>374</v>
      </c>
    </row>
    <row r="133" spans="1:2" x14ac:dyDescent="0.35">
      <c r="A133" t="s">
        <v>431</v>
      </c>
      <c r="B133" s="13" t="s">
        <v>744</v>
      </c>
    </row>
    <row r="134" spans="1:2" x14ac:dyDescent="0.35">
      <c r="A134" t="s">
        <v>431</v>
      </c>
      <c r="B134" s="13" t="s">
        <v>375</v>
      </c>
    </row>
    <row r="135" spans="1:2" x14ac:dyDescent="0.35">
      <c r="A135" t="s">
        <v>431</v>
      </c>
      <c r="B135" s="13" t="s">
        <v>376</v>
      </c>
    </row>
    <row r="136" spans="1:2" x14ac:dyDescent="0.35">
      <c r="A136" t="s">
        <v>431</v>
      </c>
      <c r="B136" s="13" t="s">
        <v>377</v>
      </c>
    </row>
    <row r="137" spans="1:2" x14ac:dyDescent="0.35">
      <c r="A137" t="s">
        <v>437</v>
      </c>
      <c r="B137" s="13" t="s">
        <v>378</v>
      </c>
    </row>
    <row r="138" spans="1:2" x14ac:dyDescent="0.35">
      <c r="A138" t="s">
        <v>431</v>
      </c>
      <c r="B138" s="13" t="s">
        <v>379</v>
      </c>
    </row>
    <row r="139" spans="1:2" x14ac:dyDescent="0.35">
      <c r="A139" t="s">
        <v>431</v>
      </c>
      <c r="B139" s="13" t="s">
        <v>380</v>
      </c>
    </row>
    <row r="140" spans="1:2" x14ac:dyDescent="0.35">
      <c r="A140" t="s">
        <v>431</v>
      </c>
      <c r="B140" s="13" t="s">
        <v>381</v>
      </c>
    </row>
    <row r="141" spans="1:2" x14ac:dyDescent="0.35">
      <c r="A141" t="s">
        <v>445</v>
      </c>
      <c r="B141" s="13" t="s">
        <v>382</v>
      </c>
    </row>
    <row r="142" spans="1:2" x14ac:dyDescent="0.35">
      <c r="A142" t="s">
        <v>446</v>
      </c>
      <c r="B142" s="13" t="s">
        <v>383</v>
      </c>
    </row>
    <row r="143" spans="1:2" x14ac:dyDescent="0.35">
      <c r="A143" t="s">
        <v>428</v>
      </c>
      <c r="B143" s="41" t="s">
        <v>536</v>
      </c>
    </row>
    <row r="144" spans="1:2" x14ac:dyDescent="0.35">
      <c r="A144" t="s">
        <v>428</v>
      </c>
      <c r="B144" s="41" t="s">
        <v>745</v>
      </c>
    </row>
    <row r="145" spans="1:3" x14ac:dyDescent="0.35">
      <c r="A145" t="s">
        <v>447</v>
      </c>
      <c r="B145" s="13" t="s">
        <v>385</v>
      </c>
    </row>
    <row r="146" spans="1:3" x14ac:dyDescent="0.35">
      <c r="A146" s="16" t="s">
        <v>428</v>
      </c>
      <c r="B146" s="13" t="s">
        <v>386</v>
      </c>
    </row>
    <row r="147" spans="1:3" x14ac:dyDescent="0.35">
      <c r="A147" s="16" t="s">
        <v>428</v>
      </c>
      <c r="B147" s="13" t="s">
        <v>387</v>
      </c>
    </row>
    <row r="148" spans="1:3" x14ac:dyDescent="0.35">
      <c r="A148" t="s">
        <v>428</v>
      </c>
      <c r="B148" s="13" t="s">
        <v>388</v>
      </c>
    </row>
    <row r="149" spans="1:3" x14ac:dyDescent="0.35">
      <c r="A149" t="s">
        <v>428</v>
      </c>
      <c r="B149" s="13" t="s">
        <v>389</v>
      </c>
    </row>
    <row r="150" spans="1:3" x14ac:dyDescent="0.35">
      <c r="A150" s="16" t="s">
        <v>428</v>
      </c>
      <c r="B150" s="13" t="s">
        <v>390</v>
      </c>
    </row>
    <row r="151" spans="1:3" x14ac:dyDescent="0.35">
      <c r="A151" t="s">
        <v>431</v>
      </c>
      <c r="B151" s="13" t="s">
        <v>391</v>
      </c>
    </row>
    <row r="152" spans="1:3" x14ac:dyDescent="0.35">
      <c r="A152" t="s">
        <v>431</v>
      </c>
      <c r="B152" s="13" t="s">
        <v>735</v>
      </c>
    </row>
    <row r="153" spans="1:3" x14ac:dyDescent="0.35">
      <c r="A153" t="s">
        <v>431</v>
      </c>
      <c r="B153" s="50" t="s">
        <v>766</v>
      </c>
    </row>
    <row r="154" spans="1:3" x14ac:dyDescent="0.35">
      <c r="A154" t="s">
        <v>431</v>
      </c>
      <c r="B154" s="50" t="s">
        <v>763</v>
      </c>
    </row>
    <row r="155" spans="1:3" x14ac:dyDescent="0.35">
      <c r="A155" t="s">
        <v>437</v>
      </c>
      <c r="B155" s="13" t="s">
        <v>392</v>
      </c>
    </row>
    <row r="156" spans="1:3" x14ac:dyDescent="0.35">
      <c r="A156" t="s">
        <v>437</v>
      </c>
      <c r="B156" s="13" t="s">
        <v>393</v>
      </c>
    </row>
    <row r="157" spans="1:3" x14ac:dyDescent="0.35">
      <c r="A157" t="s">
        <v>447</v>
      </c>
      <c r="B157" s="13" t="s">
        <v>394</v>
      </c>
      <c r="C157" s="13"/>
    </row>
    <row r="158" spans="1:3" x14ac:dyDescent="0.35">
      <c r="A158" t="s">
        <v>448</v>
      </c>
      <c r="B158" s="13" t="s">
        <v>395</v>
      </c>
    </row>
    <row r="159" spans="1:3" x14ac:dyDescent="0.35">
      <c r="A159" t="s">
        <v>443</v>
      </c>
      <c r="B159" s="13" t="s">
        <v>396</v>
      </c>
    </row>
    <row r="160" spans="1:3" x14ac:dyDescent="0.35">
      <c r="A160" t="s">
        <v>447</v>
      </c>
      <c r="B160" s="13" t="s">
        <v>397</v>
      </c>
    </row>
    <row r="161" spans="1:3" x14ac:dyDescent="0.35">
      <c r="A161" t="s">
        <v>447</v>
      </c>
      <c r="B161" s="13" t="s">
        <v>398</v>
      </c>
    </row>
    <row r="162" spans="1:3" x14ac:dyDescent="0.35">
      <c r="A162" t="s">
        <v>429</v>
      </c>
      <c r="B162" s="13" t="s">
        <v>399</v>
      </c>
    </row>
    <row r="163" spans="1:3" x14ac:dyDescent="0.35">
      <c r="A163" t="s">
        <v>429</v>
      </c>
      <c r="B163" s="13" t="s">
        <v>400</v>
      </c>
    </row>
    <row r="164" spans="1:3" x14ac:dyDescent="0.35">
      <c r="A164" t="s">
        <v>447</v>
      </c>
      <c r="B164" s="13" t="s">
        <v>401</v>
      </c>
    </row>
    <row r="165" spans="1:3" x14ac:dyDescent="0.35">
      <c r="A165" t="s">
        <v>449</v>
      </c>
      <c r="B165" s="13" t="s">
        <v>402</v>
      </c>
    </row>
    <row r="166" spans="1:3" x14ac:dyDescent="0.35">
      <c r="A166" t="s">
        <v>403</v>
      </c>
      <c r="B166" s="13" t="s">
        <v>403</v>
      </c>
      <c r="C166" s="13"/>
    </row>
    <row r="167" spans="1:3" x14ac:dyDescent="0.35">
      <c r="A167" t="s">
        <v>447</v>
      </c>
      <c r="B167" s="13" t="s">
        <v>404</v>
      </c>
    </row>
    <row r="168" spans="1:3" x14ac:dyDescent="0.35">
      <c r="A168" t="s">
        <v>450</v>
      </c>
      <c r="B168" s="13" t="s">
        <v>405</v>
      </c>
    </row>
    <row r="169" spans="1:3" x14ac:dyDescent="0.35">
      <c r="A169" t="s">
        <v>450</v>
      </c>
      <c r="B169" s="13" t="s">
        <v>406</v>
      </c>
    </row>
    <row r="170" spans="1:3" x14ac:dyDescent="0.35">
      <c r="A170" t="s">
        <v>450</v>
      </c>
      <c r="B170" s="13" t="s">
        <v>407</v>
      </c>
    </row>
    <row r="171" spans="1:3" x14ac:dyDescent="0.35">
      <c r="A171" t="s">
        <v>450</v>
      </c>
      <c r="B171" s="13" t="s">
        <v>408</v>
      </c>
    </row>
    <row r="172" spans="1:3" x14ac:dyDescent="0.35">
      <c r="A172" t="s">
        <v>430</v>
      </c>
      <c r="B172" s="13" t="s">
        <v>409</v>
      </c>
    </row>
    <row r="173" spans="1:3" x14ac:dyDescent="0.35">
      <c r="A173" t="s">
        <v>430</v>
      </c>
      <c r="B173" s="13" t="s">
        <v>410</v>
      </c>
    </row>
    <row r="174" spans="1:3" x14ac:dyDescent="0.35">
      <c r="A174" t="s">
        <v>450</v>
      </c>
      <c r="B174" s="13" t="s">
        <v>411</v>
      </c>
    </row>
    <row r="175" spans="1:3" x14ac:dyDescent="0.35">
      <c r="A175" t="s">
        <v>450</v>
      </c>
      <c r="B175" s="13" t="s">
        <v>412</v>
      </c>
    </row>
    <row r="176" spans="1:3" x14ac:dyDescent="0.35">
      <c r="A176" t="s">
        <v>447</v>
      </c>
      <c r="B176" s="13" t="s">
        <v>413</v>
      </c>
    </row>
    <row r="177" spans="1:2" x14ac:dyDescent="0.35">
      <c r="A177" t="s">
        <v>414</v>
      </c>
      <c r="B177" s="13" t="s">
        <v>414</v>
      </c>
    </row>
    <row r="178" spans="1:2" x14ac:dyDescent="0.35">
      <c r="A178" t="s">
        <v>451</v>
      </c>
      <c r="B178" s="13" t="s">
        <v>415</v>
      </c>
    </row>
    <row r="179" spans="1:2" x14ac:dyDescent="0.35">
      <c r="A179" t="s">
        <v>442</v>
      </c>
      <c r="B179" s="13" t="s">
        <v>416</v>
      </c>
    </row>
    <row r="180" spans="1:2" x14ac:dyDescent="0.35">
      <c r="A180" t="s">
        <v>431</v>
      </c>
      <c r="B180" s="50" t="s">
        <v>704</v>
      </c>
    </row>
    <row r="181" spans="1:2" x14ac:dyDescent="0.35">
      <c r="A181" t="s">
        <v>431</v>
      </c>
      <c r="B181" s="50" t="s">
        <v>705</v>
      </c>
    </row>
    <row r="182" spans="1:2" x14ac:dyDescent="0.35">
      <c r="A182" s="22" t="s">
        <v>448</v>
      </c>
      <c r="B182" s="50" t="s">
        <v>706</v>
      </c>
    </row>
    <row r="183" spans="1:2" x14ac:dyDescent="0.35">
      <c r="A183" t="s">
        <v>442</v>
      </c>
      <c r="B183" s="50" t="s">
        <v>707</v>
      </c>
    </row>
    <row r="184" spans="1:2" x14ac:dyDescent="0.35">
      <c r="A184" t="s">
        <v>429</v>
      </c>
      <c r="B184" s="13" t="s">
        <v>417</v>
      </c>
    </row>
    <row r="185" spans="1:2" x14ac:dyDescent="0.35">
      <c r="A185" t="s">
        <v>432</v>
      </c>
      <c r="B185" s="13" t="s">
        <v>418</v>
      </c>
    </row>
    <row r="186" spans="1:2" x14ac:dyDescent="0.35">
      <c r="A186" t="s">
        <v>433</v>
      </c>
      <c r="B186" s="13" t="s">
        <v>419</v>
      </c>
    </row>
    <row r="187" spans="1:2" x14ac:dyDescent="0.35">
      <c r="A187" t="s">
        <v>445</v>
      </c>
      <c r="B187" s="13" t="s">
        <v>420</v>
      </c>
    </row>
    <row r="188" spans="1:2" x14ac:dyDescent="0.35">
      <c r="A188" t="s">
        <v>440</v>
      </c>
      <c r="B188" s="41" t="s">
        <v>551</v>
      </c>
    </row>
    <row r="189" spans="1:2" x14ac:dyDescent="0.35">
      <c r="A189" s="24" t="s">
        <v>431</v>
      </c>
      <c r="B189" s="41" t="s">
        <v>316</v>
      </c>
    </row>
    <row r="190" spans="1:2" x14ac:dyDescent="0.35">
      <c r="A190" s="24" t="s">
        <v>431</v>
      </c>
      <c r="B190" s="13" t="s">
        <v>708</v>
      </c>
    </row>
    <row r="191" spans="1:2" x14ac:dyDescent="0.35">
      <c r="A191" s="24" t="s">
        <v>431</v>
      </c>
      <c r="B191" s="13" t="s">
        <v>709</v>
      </c>
    </row>
    <row r="192" spans="1:2" x14ac:dyDescent="0.35">
      <c r="A192" s="24" t="s">
        <v>431</v>
      </c>
      <c r="B192" s="13" t="s">
        <v>710</v>
      </c>
    </row>
    <row r="193" spans="1:2" x14ac:dyDescent="0.35">
      <c r="A193" t="s">
        <v>426</v>
      </c>
      <c r="B193" s="41" t="s">
        <v>552</v>
      </c>
    </row>
    <row r="194" spans="1:2" x14ac:dyDescent="0.35">
      <c r="A194" s="41" t="s">
        <v>555</v>
      </c>
      <c r="B194" s="41" t="s">
        <v>555</v>
      </c>
    </row>
    <row r="195" spans="1:2" x14ac:dyDescent="0.35">
      <c r="A195" s="24" t="s">
        <v>431</v>
      </c>
      <c r="B195" t="s">
        <v>556</v>
      </c>
    </row>
    <row r="196" spans="1:2" x14ac:dyDescent="0.35">
      <c r="A196" s="24" t="s">
        <v>431</v>
      </c>
      <c r="B196" s="50" t="s">
        <v>558</v>
      </c>
    </row>
    <row r="197" spans="1:2" x14ac:dyDescent="0.35">
      <c r="A197" s="24" t="s">
        <v>431</v>
      </c>
      <c r="B197" s="50" t="s">
        <v>559</v>
      </c>
    </row>
    <row r="198" spans="1:2" x14ac:dyDescent="0.35">
      <c r="A198" t="s">
        <v>425</v>
      </c>
      <c r="B198" s="50" t="s">
        <v>560</v>
      </c>
    </row>
    <row r="199" spans="1:2" x14ac:dyDescent="0.35">
      <c r="A199" t="s">
        <v>425</v>
      </c>
      <c r="B199" s="50" t="s">
        <v>561</v>
      </c>
    </row>
    <row r="200" spans="1:2" x14ac:dyDescent="0.35">
      <c r="A200" s="24" t="s">
        <v>431</v>
      </c>
      <c r="B200" s="50" t="s">
        <v>562</v>
      </c>
    </row>
    <row r="201" spans="1:2" x14ac:dyDescent="0.35">
      <c r="A201" s="24" t="s">
        <v>431</v>
      </c>
      <c r="B201" s="50" t="s">
        <v>563</v>
      </c>
    </row>
    <row r="202" spans="1:2" x14ac:dyDescent="0.35">
      <c r="A202" s="24" t="s">
        <v>431</v>
      </c>
      <c r="B202" s="50" t="s">
        <v>564</v>
      </c>
    </row>
    <row r="203" spans="1:2" x14ac:dyDescent="0.35">
      <c r="A203" s="24" t="s">
        <v>431</v>
      </c>
      <c r="B203" s="50" t="s">
        <v>565</v>
      </c>
    </row>
    <row r="204" spans="1:2" x14ac:dyDescent="0.35">
      <c r="A204" s="24" t="s">
        <v>431</v>
      </c>
      <c r="B204" s="50" t="s">
        <v>553</v>
      </c>
    </row>
    <row r="205" spans="1:2" x14ac:dyDescent="0.35">
      <c r="A205" s="24" t="s">
        <v>431</v>
      </c>
      <c r="B205" s="13" t="s">
        <v>711</v>
      </c>
    </row>
    <row r="206" spans="1:2" x14ac:dyDescent="0.35">
      <c r="A206" s="24" t="s">
        <v>441</v>
      </c>
      <c r="B206" s="50" t="s">
        <v>566</v>
      </c>
    </row>
    <row r="207" spans="1:2" x14ac:dyDescent="0.35">
      <c r="A207" s="24" t="s">
        <v>441</v>
      </c>
      <c r="B207" s="50" t="s">
        <v>736</v>
      </c>
    </row>
    <row r="208" spans="1:2" x14ac:dyDescent="0.35">
      <c r="A208" s="24" t="s">
        <v>441</v>
      </c>
      <c r="B208" s="50" t="s">
        <v>567</v>
      </c>
    </row>
    <row r="209" spans="1:2" x14ac:dyDescent="0.35">
      <c r="A209" s="24" t="s">
        <v>441</v>
      </c>
      <c r="B209" s="50" t="s">
        <v>568</v>
      </c>
    </row>
    <row r="210" spans="1:2" x14ac:dyDescent="0.35">
      <c r="A210" s="22" t="s">
        <v>529</v>
      </c>
      <c r="B210" s="50" t="s">
        <v>569</v>
      </c>
    </row>
    <row r="211" spans="1:2" x14ac:dyDescent="0.35">
      <c r="A211" t="s">
        <v>529</v>
      </c>
      <c r="B211" s="50" t="s">
        <v>570</v>
      </c>
    </row>
    <row r="212" spans="1:2" x14ac:dyDescent="0.35">
      <c r="A212" t="s">
        <v>529</v>
      </c>
      <c r="B212" s="13" t="s">
        <v>737</v>
      </c>
    </row>
    <row r="213" spans="1:2" x14ac:dyDescent="0.35">
      <c r="A213" s="22" t="s">
        <v>529</v>
      </c>
      <c r="B213" s="50" t="s">
        <v>571</v>
      </c>
    </row>
    <row r="214" spans="1:2" x14ac:dyDescent="0.35">
      <c r="A214" t="s">
        <v>431</v>
      </c>
      <c r="B214" s="50" t="s">
        <v>572</v>
      </c>
    </row>
    <row r="215" spans="1:2" x14ac:dyDescent="0.35">
      <c r="A215" t="s">
        <v>431</v>
      </c>
      <c r="B215" s="13" t="s">
        <v>738</v>
      </c>
    </row>
    <row r="216" spans="1:2" x14ac:dyDescent="0.35">
      <c r="A216" s="24" t="s">
        <v>441</v>
      </c>
      <c r="B216" s="50" t="s">
        <v>573</v>
      </c>
    </row>
    <row r="217" spans="1:2" x14ac:dyDescent="0.35">
      <c r="A217" s="24" t="s">
        <v>431</v>
      </c>
      <c r="B217" s="50" t="s">
        <v>574</v>
      </c>
    </row>
    <row r="218" spans="1:2" x14ac:dyDescent="0.35">
      <c r="A218" s="24" t="s">
        <v>431</v>
      </c>
      <c r="B218" s="50" t="s">
        <v>575</v>
      </c>
    </row>
    <row r="219" spans="1:2" x14ac:dyDescent="0.35">
      <c r="A219" s="24" t="s">
        <v>431</v>
      </c>
      <c r="B219" s="50" t="s">
        <v>576</v>
      </c>
    </row>
    <row r="220" spans="1:2" x14ac:dyDescent="0.35">
      <c r="A220" s="24" t="s">
        <v>428</v>
      </c>
      <c r="B220" s="50" t="s">
        <v>577</v>
      </c>
    </row>
    <row r="221" spans="1:2" x14ac:dyDescent="0.35">
      <c r="A221" s="22" t="s">
        <v>448</v>
      </c>
      <c r="B221" s="50" t="s">
        <v>578</v>
      </c>
    </row>
    <row r="222" spans="1:2" x14ac:dyDescent="0.35">
      <c r="A222" s="22" t="s">
        <v>448</v>
      </c>
      <c r="B222" s="50" t="s">
        <v>579</v>
      </c>
    </row>
    <row r="223" spans="1:2" x14ac:dyDescent="0.35">
      <c r="A223" t="s">
        <v>442</v>
      </c>
      <c r="B223" s="13" t="s">
        <v>712</v>
      </c>
    </row>
    <row r="224" spans="1:2" x14ac:dyDescent="0.35">
      <c r="A224" t="s">
        <v>442</v>
      </c>
      <c r="B224" s="13" t="s">
        <v>713</v>
      </c>
    </row>
    <row r="225" spans="1:2" x14ac:dyDescent="0.35">
      <c r="A225" s="22" t="s">
        <v>448</v>
      </c>
      <c r="B225" s="50" t="s">
        <v>580</v>
      </c>
    </row>
    <row r="226" spans="1:2" x14ac:dyDescent="0.35">
      <c r="A226" s="24" t="s">
        <v>460</v>
      </c>
      <c r="B226" s="50" t="s">
        <v>581</v>
      </c>
    </row>
    <row r="227" spans="1:2" x14ac:dyDescent="0.35">
      <c r="A227" s="22" t="s">
        <v>430</v>
      </c>
      <c r="B227" s="50" t="s">
        <v>582</v>
      </c>
    </row>
    <row r="228" spans="1:2" x14ac:dyDescent="0.35">
      <c r="A228" s="22" t="s">
        <v>461</v>
      </c>
      <c r="B228" s="50" t="s">
        <v>583</v>
      </c>
    </row>
    <row r="229" spans="1:2" x14ac:dyDescent="0.35">
      <c r="A229" t="s">
        <v>469</v>
      </c>
      <c r="B229" s="13" t="s">
        <v>621</v>
      </c>
    </row>
    <row r="230" spans="1:2" x14ac:dyDescent="0.35">
      <c r="A230" s="288" t="s">
        <v>427</v>
      </c>
      <c r="B230" s="13" t="s">
        <v>615</v>
      </c>
    </row>
    <row r="231" spans="1:2" x14ac:dyDescent="0.35">
      <c r="A231" s="288" t="s">
        <v>441</v>
      </c>
      <c r="B231" s="13" t="s">
        <v>616</v>
      </c>
    </row>
    <row r="232" spans="1:2" x14ac:dyDescent="0.35">
      <c r="A232" s="288" t="s">
        <v>529</v>
      </c>
      <c r="B232" s="13" t="s">
        <v>617</v>
      </c>
    </row>
    <row r="233" spans="1:2" x14ac:dyDescent="0.35">
      <c r="A233" s="13" t="s">
        <v>373</v>
      </c>
      <c r="B233" s="13" t="s">
        <v>714</v>
      </c>
    </row>
    <row r="234" spans="1:2" x14ac:dyDescent="0.35">
      <c r="A234" s="288" t="s">
        <v>431</v>
      </c>
      <c r="B234" s="13" t="s">
        <v>715</v>
      </c>
    </row>
    <row r="235" spans="1:2" x14ac:dyDescent="0.35">
      <c r="A235" s="288" t="s">
        <v>681</v>
      </c>
      <c r="B235" s="13" t="s">
        <v>716</v>
      </c>
    </row>
    <row r="236" spans="1:2" x14ac:dyDescent="0.35">
      <c r="A236" s="288" t="s">
        <v>681</v>
      </c>
      <c r="B236" s="13" t="s">
        <v>618</v>
      </c>
    </row>
    <row r="237" spans="1:2" x14ac:dyDescent="0.35">
      <c r="A237" s="288" t="s">
        <v>431</v>
      </c>
      <c r="B237" s="13" t="s">
        <v>619</v>
      </c>
    </row>
    <row r="238" spans="1:2" x14ac:dyDescent="0.35">
      <c r="A238" s="288" t="s">
        <v>431</v>
      </c>
      <c r="B238" s="13" t="s">
        <v>620</v>
      </c>
    </row>
    <row r="239" spans="1:2" x14ac:dyDescent="0.35">
      <c r="A239" s="288" t="s">
        <v>428</v>
      </c>
      <c r="B239" t="s">
        <v>636</v>
      </c>
    </row>
    <row r="240" spans="1:2" x14ac:dyDescent="0.35">
      <c r="A240" t="s">
        <v>424</v>
      </c>
      <c r="B240" t="s">
        <v>638</v>
      </c>
    </row>
    <row r="241" spans="1:23" x14ac:dyDescent="0.35">
      <c r="A241" t="s">
        <v>431</v>
      </c>
      <c r="B241" s="13" t="s">
        <v>656</v>
      </c>
    </row>
    <row r="242" spans="1:23" x14ac:dyDescent="0.35">
      <c r="A242" t="s">
        <v>429</v>
      </c>
      <c r="B242" s="13" t="s">
        <v>657</v>
      </c>
    </row>
    <row r="243" spans="1:23" x14ac:dyDescent="0.35">
      <c r="A243" t="s">
        <v>329</v>
      </c>
      <c r="B243" s="13" t="s">
        <v>658</v>
      </c>
    </row>
    <row r="244" spans="1:23" x14ac:dyDescent="0.35">
      <c r="A244" t="s">
        <v>427</v>
      </c>
      <c r="B244" s="13" t="s">
        <v>659</v>
      </c>
    </row>
    <row r="245" spans="1:23" x14ac:dyDescent="0.35">
      <c r="A245" t="s">
        <v>529</v>
      </c>
      <c r="B245" s="13" t="s">
        <v>660</v>
      </c>
      <c r="M245">
        <f>_xlfn.XLOOKUP(B245,[24]Sheet1!$A:$A,[24]Sheet1!$B:$B,0)</f>
        <v>0</v>
      </c>
      <c r="P245">
        <f>_xlfn.XLOOKUP(B245,'[11]Apr-25'!$A:$A,'[11]Apr-25'!$B:$B,0)</f>
        <v>0</v>
      </c>
      <c r="Q245">
        <f>_xlfn.XLOOKUP(B245,'[12]Apr 25'!$A:$A,'[12]Apr 25'!$B:$B,0)</f>
        <v>0</v>
      </c>
      <c r="R245">
        <f>_xlfn.XLOOKUP(B245,[25]Sheet1!$B:$B,[25]Sheet1!$C:$C,0)</f>
        <v>0</v>
      </c>
      <c r="S245">
        <f>_xlfn.XLOOKUP(B245,[13]PROV!$A:$A,[13]PROV!$B:$B,0)</f>
        <v>0</v>
      </c>
    </row>
    <row r="246" spans="1:23" x14ac:dyDescent="0.35">
      <c r="A246" t="s">
        <v>431</v>
      </c>
      <c r="B246" s="13" t="s">
        <v>661</v>
      </c>
      <c r="M246">
        <f>_xlfn.XLOOKUP(B246,[24]Sheet1!$A:$A,[24]Sheet1!$B:$B,0)</f>
        <v>0</v>
      </c>
      <c r="P246">
        <f>_xlfn.XLOOKUP(B246,'[11]Apr-25'!$A:$A,'[11]Apr-25'!$B:$B,0)</f>
        <v>0</v>
      </c>
      <c r="Q246">
        <f>_xlfn.XLOOKUP(B246,'[12]Apr 25'!$A:$A,'[12]Apr 25'!$B:$B,0)</f>
        <v>0</v>
      </c>
      <c r="R246">
        <f>_xlfn.XLOOKUP(B246,[25]Sheet1!$B:$B,[25]Sheet1!$C:$C,0)</f>
        <v>0</v>
      </c>
      <c r="S246">
        <f>_xlfn.XLOOKUP(B246,[13]PROV!$A:$A,[13]PROV!$B:$B,0)</f>
        <v>0</v>
      </c>
    </row>
    <row r="247" spans="1:23" x14ac:dyDescent="0.35">
      <c r="A247" t="s">
        <v>681</v>
      </c>
      <c r="B247" s="13" t="s">
        <v>662</v>
      </c>
      <c r="M247">
        <f>_xlfn.XLOOKUP(B247,[24]Sheet1!$A:$A,[24]Sheet1!$B:$B,0)</f>
        <v>0</v>
      </c>
      <c r="P247">
        <f>_xlfn.XLOOKUP(B247,'[11]Apr-25'!$A:$A,'[11]Apr-25'!$B:$B,0)</f>
        <v>0</v>
      </c>
      <c r="Q247">
        <f>_xlfn.XLOOKUP(B247,'[12]Apr 25'!$A:$A,'[12]Apr 25'!$B:$B,0)</f>
        <v>0</v>
      </c>
      <c r="R247">
        <f>_xlfn.XLOOKUP(B247,[25]Sheet1!$B:$B,[25]Sheet1!$C:$C,0)</f>
        <v>0</v>
      </c>
      <c r="S247">
        <f>_xlfn.XLOOKUP(B247,[13]PROV!$A:$A,[13]PROV!$B:$B,0)</f>
        <v>0</v>
      </c>
    </row>
    <row r="248" spans="1:23" x14ac:dyDescent="0.35">
      <c r="A248" t="s">
        <v>469</v>
      </c>
      <c r="B248" s="13" t="s">
        <v>663</v>
      </c>
      <c r="M248">
        <f>_xlfn.XLOOKUP(B248,[24]Sheet1!$A:$A,[24]Sheet1!$B:$B,0)</f>
        <v>0</v>
      </c>
      <c r="P248">
        <f>_xlfn.XLOOKUP(B248,'[11]Apr-25'!$A:$A,'[11]Apr-25'!$B:$B,0)</f>
        <v>0</v>
      </c>
      <c r="Q248">
        <f>_xlfn.XLOOKUP(B248,'[12]Apr 25'!$A:$A,'[12]Apr 25'!$B:$B,0)</f>
        <v>0</v>
      </c>
      <c r="R248">
        <f>_xlfn.XLOOKUP(B248,[25]Sheet1!$B:$B,[25]Sheet1!$C:$C,0)</f>
        <v>0</v>
      </c>
      <c r="S248">
        <f>_xlfn.XLOOKUP(B248,[13]PROV!$A:$A,[13]PROV!$B:$B,0)</f>
        <v>0</v>
      </c>
    </row>
    <row r="249" spans="1:23" x14ac:dyDescent="0.35">
      <c r="A249" t="s">
        <v>681</v>
      </c>
      <c r="B249" s="13" t="s">
        <v>689</v>
      </c>
      <c r="M249">
        <f>_xlfn.XLOOKUP(B249,[24]Sheet1!$A:$A,[24]Sheet1!$B:$B,0)</f>
        <v>0</v>
      </c>
      <c r="P249">
        <f>_xlfn.XLOOKUP(B249,'[11]Apr-25'!$A:$A,'[11]Apr-25'!$B:$B,0)</f>
        <v>0</v>
      </c>
      <c r="Q249">
        <f>_xlfn.XLOOKUP(B249,'[12]Apr 25'!$A:$A,'[12]Apr 25'!$B:$B,0)</f>
        <v>0</v>
      </c>
      <c r="R249">
        <f>_xlfn.XLOOKUP(B249,[25]Sheet1!$B:$B,[25]Sheet1!$C:$C,0)</f>
        <v>0</v>
      </c>
      <c r="S249">
        <f>_xlfn.XLOOKUP(B249,[13]PROV!$A:$A,[13]PROV!$B:$B,0)</f>
        <v>0</v>
      </c>
    </row>
    <row r="250" spans="1:23" x14ac:dyDescent="0.35">
      <c r="A250" t="s">
        <v>425</v>
      </c>
      <c r="B250" s="13" t="s">
        <v>670</v>
      </c>
      <c r="M250">
        <f>_xlfn.XLOOKUP(B250,[24]Sheet1!$A:$A,[24]Sheet1!$B:$B,0)</f>
        <v>0</v>
      </c>
      <c r="P250">
        <f>_xlfn.XLOOKUP(B250,'[11]Apr-25'!$A:$A,'[11]Apr-25'!$B:$B,0)</f>
        <v>0</v>
      </c>
      <c r="Q250">
        <f>_xlfn.XLOOKUP(B250,'[12]Apr 25'!$A:$A,'[12]Apr 25'!$B:$B,0)</f>
        <v>0</v>
      </c>
      <c r="R250">
        <f>_xlfn.XLOOKUP(B250,[25]Sheet1!$B:$B,[25]Sheet1!$C:$C,0)</f>
        <v>0</v>
      </c>
      <c r="S250">
        <f>_xlfn.XLOOKUP(B250,[13]PROV!$A:$A,[13]PROV!$B:$B,0)</f>
        <v>0</v>
      </c>
    </row>
    <row r="251" spans="1:23" x14ac:dyDescent="0.35">
      <c r="A251" t="s">
        <v>431</v>
      </c>
      <c r="B251" s="13" t="s">
        <v>671</v>
      </c>
      <c r="M251">
        <f>_xlfn.XLOOKUP(B251,[24]Sheet1!$A:$A,[24]Sheet1!$B:$B,0)</f>
        <v>0</v>
      </c>
      <c r="P251">
        <f>_xlfn.XLOOKUP(B251,'[11]Apr-25'!$A:$A,'[11]Apr-25'!$B:$B,0)</f>
        <v>0</v>
      </c>
      <c r="Q251">
        <f>_xlfn.XLOOKUP(B251,'[12]Apr 25'!$A:$A,'[12]Apr 25'!$B:$B,0)</f>
        <v>0</v>
      </c>
      <c r="R251">
        <f>_xlfn.XLOOKUP(B251,[25]Sheet1!$B:$B,[25]Sheet1!$C:$C,0)</f>
        <v>0</v>
      </c>
      <c r="S251">
        <f>_xlfn.XLOOKUP(B251,[13]PROV!$A:$A,[13]PROV!$B:$B,0)</f>
        <v>0</v>
      </c>
    </row>
    <row r="252" spans="1:23" x14ac:dyDescent="0.35">
      <c r="A252" t="s">
        <v>431</v>
      </c>
      <c r="B252" s="13" t="s">
        <v>672</v>
      </c>
      <c r="M252">
        <f>_xlfn.XLOOKUP(B252,[24]Sheet1!$A:$A,[24]Sheet1!$B:$B,0)</f>
        <v>0</v>
      </c>
      <c r="P252">
        <f>_xlfn.XLOOKUP(B252,'[11]Apr-25'!$A:$A,'[11]Apr-25'!$B:$B,0)</f>
        <v>0</v>
      </c>
      <c r="Q252">
        <f>_xlfn.XLOOKUP(B252,'[12]Apr 25'!$A:$A,'[12]Apr 25'!$B:$B,0)</f>
        <v>0</v>
      </c>
      <c r="R252">
        <f>_xlfn.XLOOKUP(B252,[25]Sheet1!$B:$B,[25]Sheet1!$C:$C,0)</f>
        <v>0</v>
      </c>
      <c r="S252">
        <f>_xlfn.XLOOKUP(B252,[13]PROV!$A:$A,[13]PROV!$B:$B,0)</f>
        <v>0</v>
      </c>
      <c r="W252">
        <v>7538966</v>
      </c>
    </row>
    <row r="253" spans="1:23" x14ac:dyDescent="0.35">
      <c r="A253" t="s">
        <v>447</v>
      </c>
      <c r="B253" s="13" t="s">
        <v>673</v>
      </c>
      <c r="M253">
        <f>_xlfn.XLOOKUP(B253,[24]Sheet1!$A:$A,[24]Sheet1!$B:$B,0)</f>
        <v>0</v>
      </c>
      <c r="P253">
        <f>_xlfn.XLOOKUP(B253,'[11]Apr-25'!$A:$A,'[11]Apr-25'!$B:$B,0)</f>
        <v>0</v>
      </c>
      <c r="Q253">
        <f>_xlfn.XLOOKUP(B253,'[12]Apr 25'!$A:$A,'[12]Apr 25'!$B:$B,0)</f>
        <v>0</v>
      </c>
      <c r="R253">
        <f>_xlfn.XLOOKUP(B253,[25]Sheet1!$B:$B,[25]Sheet1!$C:$C,0)</f>
        <v>0</v>
      </c>
      <c r="S253">
        <f>_xlfn.XLOOKUP(B253,[13]PROV!$A:$A,[13]PROV!$B:$B,0)</f>
        <v>0</v>
      </c>
    </row>
    <row r="254" spans="1:23" x14ac:dyDescent="0.35">
      <c r="A254" t="s">
        <v>447</v>
      </c>
      <c r="B254" s="13" t="s">
        <v>674</v>
      </c>
      <c r="M254">
        <f>_xlfn.XLOOKUP(B254,[24]Sheet1!$A:$A,[24]Sheet1!$B:$B,0)</f>
        <v>0</v>
      </c>
      <c r="P254">
        <f>_xlfn.XLOOKUP(B254,'[11]Apr-25'!$A:$A,'[11]Apr-25'!$B:$B,0)</f>
        <v>0</v>
      </c>
      <c r="Q254">
        <f>_xlfn.XLOOKUP(B254,'[12]Apr 25'!$A:$A,'[12]Apr 25'!$B:$B,0)</f>
        <v>0</v>
      </c>
      <c r="R254">
        <f>_xlfn.XLOOKUP(B254,[25]Sheet1!$B:$B,[25]Sheet1!$C:$C,0)</f>
        <v>0</v>
      </c>
      <c r="S254">
        <f>_xlfn.XLOOKUP(B254,[13]PROV!$A:$A,[13]PROV!$B:$B,0)</f>
        <v>0</v>
      </c>
    </row>
    <row r="255" spans="1:23" x14ac:dyDescent="0.35">
      <c r="A255" t="s">
        <v>425</v>
      </c>
      <c r="B255" s="13" t="s">
        <v>675</v>
      </c>
      <c r="M255">
        <f>_xlfn.XLOOKUP(B255,[24]Sheet1!$A:$A,[24]Sheet1!$B:$B,0)</f>
        <v>0</v>
      </c>
      <c r="P255">
        <f>_xlfn.XLOOKUP(B255,'[11]Apr-25'!$A:$A,'[11]Apr-25'!$B:$B,0)</f>
        <v>0</v>
      </c>
      <c r="Q255">
        <f>_xlfn.XLOOKUP(B255,'[12]Apr 25'!$A:$A,'[12]Apr 25'!$B:$B,0)</f>
        <v>0</v>
      </c>
      <c r="R255">
        <f>_xlfn.XLOOKUP(B255,[25]Sheet1!$B:$B,[25]Sheet1!$C:$C,0)</f>
        <v>0</v>
      </c>
      <c r="S255">
        <f>_xlfn.XLOOKUP(B255,[13]PROV!$A:$A,[13]PROV!$B:$B,0)</f>
        <v>0</v>
      </c>
    </row>
    <row r="256" spans="1:23" x14ac:dyDescent="0.35">
      <c r="A256" t="s">
        <v>442</v>
      </c>
      <c r="B256" s="13" t="s">
        <v>676</v>
      </c>
      <c r="M256">
        <f>_xlfn.XLOOKUP(B256,[24]Sheet1!$A:$A,[24]Sheet1!$B:$B,0)</f>
        <v>0</v>
      </c>
      <c r="P256">
        <f>_xlfn.XLOOKUP(B256,'[11]Apr-25'!$A:$A,'[11]Apr-25'!$B:$B,0)</f>
        <v>0</v>
      </c>
      <c r="Q256">
        <f>_xlfn.XLOOKUP(B256,'[12]Apr 25'!$A:$A,'[12]Apr 25'!$B:$B,0)</f>
        <v>0</v>
      </c>
      <c r="R256">
        <f>_xlfn.XLOOKUP(B256,[25]Sheet1!$B:$B,[25]Sheet1!$C:$C,0)</f>
        <v>0</v>
      </c>
      <c r="S256">
        <f>_xlfn.XLOOKUP(B256,[13]PROV!$A:$A,[13]PROV!$B:$B,0)</f>
        <v>0</v>
      </c>
    </row>
    <row r="257" spans="1:23" x14ac:dyDescent="0.35">
      <c r="A257" t="s">
        <v>681</v>
      </c>
      <c r="B257" s="50" t="s">
        <v>678</v>
      </c>
      <c r="M257">
        <f>_xlfn.XLOOKUP(B257,[24]Sheet1!$A:$A,[24]Sheet1!$B:$B,0)</f>
        <v>0</v>
      </c>
      <c r="P257">
        <f>_xlfn.XLOOKUP(B257,'[11]Apr-25'!$A:$A,'[11]Apr-25'!$B:$B,0)</f>
        <v>0</v>
      </c>
      <c r="Q257">
        <f>_xlfn.XLOOKUP(B257,'[12]Apr 25'!$A:$A,'[12]Apr 25'!$B:$B,0)</f>
        <v>0</v>
      </c>
      <c r="R257">
        <f>_xlfn.XLOOKUP(B257,[25]Sheet1!$B:$B,[25]Sheet1!$C:$C,0)</f>
        <v>0</v>
      </c>
      <c r="S257">
        <f>_xlfn.XLOOKUP(B257,[13]PROV!$A:$A,[13]PROV!$B:$B,0)</f>
        <v>0</v>
      </c>
    </row>
    <row r="258" spans="1:23" x14ac:dyDescent="0.35">
      <c r="A258" t="s">
        <v>681</v>
      </c>
      <c r="B258" s="50" t="s">
        <v>679</v>
      </c>
      <c r="M258">
        <f>_xlfn.XLOOKUP(B258,[24]Sheet1!$A:$A,[24]Sheet1!$B:$B,0)</f>
        <v>0</v>
      </c>
      <c r="P258">
        <f>_xlfn.XLOOKUP(B258,'[11]Apr-25'!$A:$A,'[11]Apr-25'!$B:$B,0)</f>
        <v>0</v>
      </c>
      <c r="Q258">
        <f>_xlfn.XLOOKUP(B258,'[12]Apr 25'!$A:$A,'[12]Apr 25'!$B:$B,0)</f>
        <v>0</v>
      </c>
      <c r="R258">
        <f>_xlfn.XLOOKUP(B258,[25]Sheet1!$B:$B,[25]Sheet1!$C:$C,0)</f>
        <v>0</v>
      </c>
      <c r="S258">
        <f>_xlfn.XLOOKUP(B258,[13]PROV!$A:$A,[13]PROV!$B:$B,0)</f>
        <v>0</v>
      </c>
      <c r="U258">
        <v>243227.94</v>
      </c>
      <c r="W258">
        <v>150000</v>
      </c>
    </row>
    <row r="259" spans="1:23" x14ac:dyDescent="0.35">
      <c r="A259" t="s">
        <v>436</v>
      </c>
      <c r="B259" s="13" t="s">
        <v>682</v>
      </c>
      <c r="M259">
        <f>_xlfn.XLOOKUP(B259,[24]Sheet1!$A:$A,[24]Sheet1!$B:$B,0)</f>
        <v>0</v>
      </c>
      <c r="P259">
        <f>_xlfn.XLOOKUP(B259,'[11]Apr-25'!$A:$A,'[11]Apr-25'!$B:$B,0)</f>
        <v>0</v>
      </c>
      <c r="Q259">
        <f>_xlfn.XLOOKUP(B259,'[12]Apr 25'!$A:$A,'[12]Apr 25'!$B:$B,0)</f>
        <v>0</v>
      </c>
      <c r="R259">
        <f>_xlfn.XLOOKUP(B259,[25]Sheet1!$B:$B,[25]Sheet1!$C:$C,0)</f>
        <v>0</v>
      </c>
      <c r="S259">
        <f>_xlfn.XLOOKUP(B259,[13]PROV!$A:$A,[13]PROV!$B:$B,0)</f>
        <v>0</v>
      </c>
    </row>
    <row r="260" spans="1:23" x14ac:dyDescent="0.35">
      <c r="A260" s="13" t="s">
        <v>373</v>
      </c>
      <c r="B260" t="s">
        <v>683</v>
      </c>
      <c r="M260">
        <f>_xlfn.XLOOKUP(B260,[24]Sheet1!$A:$A,[24]Sheet1!$B:$B,0)</f>
        <v>0</v>
      </c>
      <c r="P260">
        <f>_xlfn.XLOOKUP(B260,'[11]Apr-25'!$A:$A,'[11]Apr-25'!$B:$B,0)</f>
        <v>0</v>
      </c>
      <c r="Q260">
        <f>_xlfn.XLOOKUP(B260,'[12]Apr 25'!$A:$A,'[12]Apr 25'!$B:$B,0)</f>
        <v>0</v>
      </c>
      <c r="R260">
        <f>_xlfn.XLOOKUP(B260,[25]Sheet1!$B:$B,[25]Sheet1!$C:$C,0)</f>
        <v>0</v>
      </c>
      <c r="S260">
        <f>_xlfn.XLOOKUP(B260,[13]PROV!$A:$A,[13]PROV!$B:$B,0)</f>
        <v>0</v>
      </c>
    </row>
    <row r="261" spans="1:23" x14ac:dyDescent="0.35">
      <c r="A261" t="s">
        <v>447</v>
      </c>
      <c r="B261" s="13" t="s">
        <v>684</v>
      </c>
      <c r="M261">
        <f>_xlfn.XLOOKUP(B261,[24]Sheet1!$A:$A,[24]Sheet1!$B:$B,0)</f>
        <v>0</v>
      </c>
      <c r="P261">
        <f>_xlfn.XLOOKUP(B261,'[11]Apr-25'!$A:$A,'[11]Apr-25'!$B:$B,0)</f>
        <v>0</v>
      </c>
      <c r="Q261">
        <f>_xlfn.XLOOKUP(B261,'[12]Apr 25'!$A:$A,'[12]Apr 25'!$B:$B,0)</f>
        <v>0</v>
      </c>
      <c r="R261">
        <f>_xlfn.XLOOKUP(B261,[25]Sheet1!$B:$B,[25]Sheet1!$C:$C,0)</f>
        <v>0</v>
      </c>
      <c r="S261">
        <f>_xlfn.XLOOKUP(B261,[13]PROV!$A:$A,[13]PROV!$B:$B,0)</f>
        <v>0</v>
      </c>
    </row>
    <row r="262" spans="1:23" x14ac:dyDescent="0.35">
      <c r="A262" s="16" t="s">
        <v>428</v>
      </c>
      <c r="B262" s="13" t="s">
        <v>685</v>
      </c>
      <c r="M262">
        <f>_xlfn.XLOOKUP(B262,[24]Sheet1!$A:$A,[24]Sheet1!$B:$B,0)</f>
        <v>0</v>
      </c>
      <c r="P262">
        <f>_xlfn.XLOOKUP(B262,'[11]Apr-25'!$A:$A,'[11]Apr-25'!$B:$B,0)</f>
        <v>0</v>
      </c>
      <c r="Q262">
        <f>_xlfn.XLOOKUP(B262,'[12]Apr 25'!$A:$A,'[12]Apr 25'!$B:$B,0)</f>
        <v>0</v>
      </c>
      <c r="R262">
        <f>_xlfn.XLOOKUP(B262,[25]Sheet1!$B:$B,[25]Sheet1!$C:$C,0)</f>
        <v>0</v>
      </c>
      <c r="S262">
        <f>_xlfn.XLOOKUP(B262,[13]PROV!$A:$A,[13]PROV!$B:$B,0)</f>
        <v>0</v>
      </c>
    </row>
    <row r="263" spans="1:23" x14ac:dyDescent="0.35">
      <c r="A263" s="13" t="s">
        <v>373</v>
      </c>
      <c r="B263" s="13" t="s">
        <v>686</v>
      </c>
      <c r="M263">
        <f>_xlfn.XLOOKUP(B263,[24]Sheet1!$A:$A,[24]Sheet1!$B:$B,0)</f>
        <v>0</v>
      </c>
      <c r="P263">
        <f>_xlfn.XLOOKUP(B263,'[11]Apr-25'!$A:$A,'[11]Apr-25'!$B:$B,0)</f>
        <v>0</v>
      </c>
      <c r="Q263">
        <f>_xlfn.XLOOKUP(B263,'[12]Apr 25'!$A:$A,'[12]Apr 25'!$B:$B,0)</f>
        <v>0</v>
      </c>
      <c r="R263">
        <f>_xlfn.XLOOKUP(B263,[25]Sheet1!$B:$B,[25]Sheet1!$C:$C,0)</f>
        <v>0</v>
      </c>
      <c r="S263">
        <f>_xlfn.XLOOKUP(B263,[13]PROV!$A:$A,[13]PROV!$B:$B,0)</f>
        <v>0</v>
      </c>
    </row>
    <row r="264" spans="1:23" x14ac:dyDescent="0.35">
      <c r="A264" s="288" t="s">
        <v>428</v>
      </c>
      <c r="B264" s="13" t="s">
        <v>687</v>
      </c>
      <c r="M264">
        <f>_xlfn.XLOOKUP(B264,[24]Sheet1!$A:$A,[24]Sheet1!$B:$B,0)</f>
        <v>0</v>
      </c>
      <c r="P264">
        <f>_xlfn.XLOOKUP(B264,'[11]Apr-25'!$A:$A,'[11]Apr-25'!$B:$B,0)</f>
        <v>0</v>
      </c>
      <c r="Q264">
        <f>_xlfn.XLOOKUP(B264,'[12]Apr 25'!$A:$A,'[12]Apr 25'!$B:$B,0)</f>
        <v>0</v>
      </c>
      <c r="R264">
        <f>_xlfn.XLOOKUP(B264,[25]Sheet1!$B:$B,[25]Sheet1!$C:$C,0)</f>
        <v>0</v>
      </c>
      <c r="S264">
        <f>_xlfn.XLOOKUP(B264,[13]PROV!$A:$A,[13]PROV!$B:$B,0)</f>
        <v>0</v>
      </c>
    </row>
    <row r="265" spans="1:23" x14ac:dyDescent="0.35">
      <c r="A265" t="s">
        <v>431</v>
      </c>
      <c r="B265" s="13" t="s">
        <v>688</v>
      </c>
    </row>
    <row r="266" spans="1:23" x14ac:dyDescent="0.35">
      <c r="A266" t="s">
        <v>681</v>
      </c>
      <c r="B266" t="s">
        <v>680</v>
      </c>
    </row>
    <row r="267" spans="1:23" x14ac:dyDescent="0.35">
      <c r="A267" t="s">
        <v>651</v>
      </c>
      <c r="B267" s="13" t="s">
        <v>739</v>
      </c>
    </row>
    <row r="268" spans="1:23" x14ac:dyDescent="0.35">
      <c r="A268" t="s">
        <v>430</v>
      </c>
      <c r="B268" s="13" t="s">
        <v>677</v>
      </c>
    </row>
    <row r="269" spans="1:23" x14ac:dyDescent="0.35">
      <c r="A269" t="s">
        <v>429</v>
      </c>
      <c r="B269" s="13" t="s">
        <v>648</v>
      </c>
    </row>
    <row r="270" spans="1:23" x14ac:dyDescent="0.35">
      <c r="A270" t="s">
        <v>681</v>
      </c>
      <c r="B270" s="13" t="s">
        <v>717</v>
      </c>
    </row>
    <row r="271" spans="1:23" x14ac:dyDescent="0.35">
      <c r="A271" t="s">
        <v>429</v>
      </c>
      <c r="B271" s="13" t="s">
        <v>718</v>
      </c>
      <c r="M271">
        <f>_xlfn.XLOOKUP(B271,[24]Sheet1!$A:$A,[24]Sheet1!$B:$B,0)</f>
        <v>0</v>
      </c>
      <c r="P271">
        <f>_xlfn.XLOOKUP(B271,'[11]Apr-25'!$A:$A,'[11]Apr-25'!$B:$B,0)</f>
        <v>0</v>
      </c>
      <c r="Q271">
        <f>_xlfn.XLOOKUP(B271,'[12]Apr 25'!$A:$A,'[12]Apr 25'!$B:$B,0)</f>
        <v>0</v>
      </c>
      <c r="R271">
        <f>_xlfn.XLOOKUP(B271,[25]Sheet1!$B:$B,[25]Sheet1!$C:$C,0)</f>
        <v>0</v>
      </c>
      <c r="S271">
        <f>_xlfn.XLOOKUP(B271,[13]PROV!$A:$A,[13]PROV!$B:$B,0)</f>
        <v>0</v>
      </c>
    </row>
    <row r="272" spans="1:23" x14ac:dyDescent="0.35">
      <c r="A272" t="s">
        <v>429</v>
      </c>
      <c r="B272" s="13" t="s">
        <v>649</v>
      </c>
      <c r="M272">
        <f>_xlfn.XLOOKUP(B272,[24]Sheet1!$A:$A,[24]Sheet1!$B:$B,0)</f>
        <v>0</v>
      </c>
      <c r="P272">
        <f>_xlfn.XLOOKUP(B272,'[11]Apr-25'!$A:$A,'[11]Apr-25'!$B:$B,0)</f>
        <v>0</v>
      </c>
      <c r="Q272">
        <f>_xlfn.XLOOKUP(B272,'[12]Apr 25'!$A:$A,'[12]Apr 25'!$B:$B,0)</f>
        <v>0</v>
      </c>
      <c r="R272">
        <f>_xlfn.XLOOKUP(B272,[25]Sheet1!$B:$B,[25]Sheet1!$C:$C,0)</f>
        <v>0</v>
      </c>
      <c r="S272">
        <f>_xlfn.XLOOKUP(B272,[13]PROV!$A:$A,[13]PROV!$B:$B,0)</f>
        <v>0</v>
      </c>
    </row>
    <row r="273" spans="1:21" x14ac:dyDescent="0.35">
      <c r="A273" t="s">
        <v>430</v>
      </c>
      <c r="B273" s="50" t="s">
        <v>701</v>
      </c>
      <c r="M273">
        <f>_xlfn.XLOOKUP(B273,[24]Sheet1!$A:$A,[24]Sheet1!$B:$B,0)</f>
        <v>0</v>
      </c>
      <c r="P273">
        <f>_xlfn.XLOOKUP(B273,'[11]Apr-25'!$A:$A,'[11]Apr-25'!$B:$B,0)</f>
        <v>0</v>
      </c>
      <c r="Q273">
        <f>_xlfn.XLOOKUP(B273,'[12]Apr 25'!$A:$A,'[12]Apr 25'!$B:$B,0)</f>
        <v>0</v>
      </c>
      <c r="R273">
        <f>_xlfn.XLOOKUP(B273,[25]Sheet1!$B:$B,[25]Sheet1!$C:$C,0)</f>
        <v>0</v>
      </c>
      <c r="S273">
        <f>_xlfn.XLOOKUP(B273,[13]PROV!$A:$A,[13]PROV!$B:$B,0)</f>
        <v>0</v>
      </c>
    </row>
    <row r="274" spans="1:21" x14ac:dyDescent="0.35">
      <c r="A274" t="s">
        <v>431</v>
      </c>
      <c r="B274" s="50" t="s">
        <v>699</v>
      </c>
      <c r="M274">
        <f>_xlfn.XLOOKUP(B274,[24]Sheet1!$A:$A,[24]Sheet1!$B:$B,0)</f>
        <v>0</v>
      </c>
      <c r="P274">
        <f>_xlfn.XLOOKUP(B274,'[11]Apr-25'!$A:$A,'[11]Apr-25'!$B:$B,0)</f>
        <v>0</v>
      </c>
      <c r="Q274">
        <f>_xlfn.XLOOKUP(B274,'[12]Apr 25'!$A:$A,'[12]Apr 25'!$B:$B,0)</f>
        <v>0</v>
      </c>
      <c r="R274">
        <f>_xlfn.XLOOKUP(B274,[25]Sheet1!$B:$B,[25]Sheet1!$C:$C,0)</f>
        <v>0</v>
      </c>
      <c r="S274">
        <f>_xlfn.XLOOKUP(B274,[13]PROV!$A:$A,[13]PROV!$B:$B,0)</f>
        <v>0</v>
      </c>
    </row>
    <row r="275" spans="1:21" x14ac:dyDescent="0.35">
      <c r="A275" t="s">
        <v>429</v>
      </c>
      <c r="B275" s="50" t="s">
        <v>700</v>
      </c>
      <c r="M275">
        <f>_xlfn.XLOOKUP(B275,[24]Sheet1!$A:$A,[24]Sheet1!$B:$B,0)</f>
        <v>0</v>
      </c>
      <c r="P275">
        <f>_xlfn.XLOOKUP(B275,'[11]Apr-25'!$A:$A,'[11]Apr-25'!$B:$B,0)</f>
        <v>0</v>
      </c>
      <c r="Q275">
        <f>_xlfn.XLOOKUP(B275,'[12]Apr 25'!$A:$A,'[12]Apr 25'!$B:$B,0)</f>
        <v>0</v>
      </c>
      <c r="R275">
        <f>_xlfn.XLOOKUP(B275,[25]Sheet1!$B:$B,[25]Sheet1!$C:$C,0)</f>
        <v>0</v>
      </c>
      <c r="S275">
        <f>_xlfn.XLOOKUP(B275,[13]PROV!$A:$A,[13]PROV!$B:$B,0)</f>
        <v>0</v>
      </c>
    </row>
    <row r="276" spans="1:21" x14ac:dyDescent="0.35">
      <c r="M276">
        <f>_xlfn.XLOOKUP(B276,[24]Sheet1!$A:$A,[24]Sheet1!$B:$B,0)</f>
        <v>0</v>
      </c>
      <c r="P276">
        <f>_xlfn.XLOOKUP(B276,'[11]Apr-25'!$A:$A,'[11]Apr-25'!$B:$B,0)</f>
        <v>0</v>
      </c>
      <c r="Q276">
        <f>_xlfn.XLOOKUP(B276,'[12]Apr 25'!$A:$A,'[12]Apr 25'!$B:$B,0)</f>
        <v>0</v>
      </c>
      <c r="R276">
        <f>_xlfn.XLOOKUP(B276,[25]Sheet1!$B:$B,[25]Sheet1!$C:$C,0)</f>
        <v>0</v>
      </c>
      <c r="S276">
        <f>_xlfn.XLOOKUP(B276,[13]PROV!$A:$A,[13]PROV!$B:$B,0)</f>
        <v>0</v>
      </c>
    </row>
    <row r="277" spans="1:21" x14ac:dyDescent="0.35">
      <c r="M277">
        <f>_xlfn.XLOOKUP(B277,[24]Sheet1!$A:$A,[24]Sheet1!$B:$B,0)</f>
        <v>0</v>
      </c>
      <c r="P277">
        <f>_xlfn.XLOOKUP(B277,'[11]Apr-25'!$A:$A,'[11]Apr-25'!$B:$B,0)</f>
        <v>0</v>
      </c>
      <c r="Q277">
        <f>_xlfn.XLOOKUP(B277,'[12]Apr 25'!$A:$A,'[12]Apr 25'!$B:$B,0)</f>
        <v>0</v>
      </c>
      <c r="R277">
        <f>_xlfn.XLOOKUP(B277,[25]Sheet1!$B:$B,[25]Sheet1!$C:$C,0)</f>
        <v>0</v>
      </c>
      <c r="S277">
        <f>_xlfn.XLOOKUP(B277,[13]PROV!$A:$A,[13]PROV!$B:$B,0)</f>
        <v>0</v>
      </c>
    </row>
    <row r="278" spans="1:21" x14ac:dyDescent="0.35">
      <c r="M278">
        <f>_xlfn.XLOOKUP(B278,[24]Sheet1!$A:$A,[24]Sheet1!$B:$B,0)</f>
        <v>0</v>
      </c>
      <c r="P278">
        <f>_xlfn.XLOOKUP(B278,'[11]Apr-25'!$A:$A,'[11]Apr-25'!$B:$B,0)</f>
        <v>0</v>
      </c>
      <c r="Q278">
        <f>_xlfn.XLOOKUP(B278,'[12]Apr 25'!$A:$A,'[12]Apr 25'!$B:$B,0)</f>
        <v>0</v>
      </c>
      <c r="R278">
        <f>_xlfn.XLOOKUP(B278,[25]Sheet1!$B:$B,[25]Sheet1!$C:$C,0)</f>
        <v>0</v>
      </c>
      <c r="S278">
        <f>_xlfn.XLOOKUP(B278,[13]PROV!$A:$A,[13]PROV!$B:$B,0)</f>
        <v>0</v>
      </c>
    </row>
    <row r="279" spans="1:21" x14ac:dyDescent="0.35">
      <c r="M279">
        <f>_xlfn.XLOOKUP(B279,[24]Sheet1!$A:$A,[24]Sheet1!$B:$B,0)</f>
        <v>0</v>
      </c>
      <c r="P279">
        <f>_xlfn.XLOOKUP(B279,'[11]Apr-25'!$A:$A,'[11]Apr-25'!$B:$B,0)</f>
        <v>0</v>
      </c>
      <c r="Q279">
        <f>_xlfn.XLOOKUP(B279,'[12]Apr 25'!$A:$A,'[12]Apr 25'!$B:$B,0)</f>
        <v>0</v>
      </c>
      <c r="R279">
        <f>_xlfn.XLOOKUP(B279,[25]Sheet1!$B:$B,[25]Sheet1!$C:$C,0)</f>
        <v>0</v>
      </c>
      <c r="S279">
        <f>_xlfn.XLOOKUP(B279,[13]PROV!$A:$A,[13]PROV!$B:$B,0)</f>
        <v>0</v>
      </c>
    </row>
    <row r="280" spans="1:21" x14ac:dyDescent="0.35">
      <c r="M280">
        <f>_xlfn.XLOOKUP(B280,[24]Sheet1!$A:$A,[24]Sheet1!$B:$B,0)</f>
        <v>0</v>
      </c>
      <c r="P280">
        <f>_xlfn.XLOOKUP(B280,'[11]Apr-25'!$A:$A,'[11]Apr-25'!$B:$B,0)</f>
        <v>0</v>
      </c>
      <c r="Q280">
        <f>_xlfn.XLOOKUP(B280,'[12]Apr 25'!$A:$A,'[12]Apr 25'!$B:$B,0)</f>
        <v>0</v>
      </c>
      <c r="R280">
        <f>_xlfn.XLOOKUP(B280,[25]Sheet1!$B:$B,[25]Sheet1!$C:$C,0)</f>
        <v>0</v>
      </c>
      <c r="S280">
        <f>_xlfn.XLOOKUP(B280,[13]PROV!$A:$A,[13]PROV!$B:$B,0)</f>
        <v>0</v>
      </c>
    </row>
    <row r="281" spans="1:21" x14ac:dyDescent="0.35">
      <c r="M281">
        <f>_xlfn.XLOOKUP(B281,[24]Sheet1!$A:$A,[24]Sheet1!$B:$B,0)</f>
        <v>0</v>
      </c>
      <c r="P281">
        <f>_xlfn.XLOOKUP(B281,'[11]Apr-25'!$A:$A,'[11]Apr-25'!$B:$B,0)</f>
        <v>0</v>
      </c>
      <c r="Q281">
        <f>_xlfn.XLOOKUP(B281,'[12]Apr 25'!$A:$A,'[12]Apr 25'!$B:$B,0)</f>
        <v>0</v>
      </c>
      <c r="R281">
        <f>_xlfn.XLOOKUP(B281,[25]Sheet1!$B:$B,[25]Sheet1!$C:$C,0)</f>
        <v>0</v>
      </c>
      <c r="S281">
        <f>_xlfn.XLOOKUP(B281,[13]PROV!$A:$A,[13]PROV!$B:$B,0)</f>
        <v>0</v>
      </c>
    </row>
    <row r="282" spans="1:21" x14ac:dyDescent="0.35">
      <c r="M282">
        <f>_xlfn.XLOOKUP(B282,[24]Sheet1!$A:$A,[24]Sheet1!$B:$B,0)</f>
        <v>0</v>
      </c>
      <c r="P282">
        <f>_xlfn.XLOOKUP(B282,'[11]Apr-25'!$A:$A,'[11]Apr-25'!$B:$B,0)</f>
        <v>0</v>
      </c>
      <c r="Q282">
        <f>_xlfn.XLOOKUP(B282,'[12]Apr 25'!$A:$A,'[12]Apr 25'!$B:$B,0)</f>
        <v>0</v>
      </c>
      <c r="R282">
        <f>_xlfn.XLOOKUP(B282,[25]Sheet1!$B:$B,[25]Sheet1!$C:$C,0)</f>
        <v>0</v>
      </c>
      <c r="S282">
        <f>_xlfn.XLOOKUP(B282,[13]PROV!$A:$A,[13]PROV!$B:$B,0)</f>
        <v>0</v>
      </c>
    </row>
    <row r="283" spans="1:21" x14ac:dyDescent="0.35">
      <c r="M283">
        <f>_xlfn.XLOOKUP(B283,[24]Sheet1!$A:$A,[24]Sheet1!$B:$B,0)</f>
        <v>0</v>
      </c>
      <c r="P283">
        <f>_xlfn.XLOOKUP(B283,'[11]Apr-25'!$A:$A,'[11]Apr-25'!$B:$B,0)</f>
        <v>0</v>
      </c>
      <c r="Q283">
        <f>_xlfn.XLOOKUP(B283,'[12]Apr 25'!$A:$A,'[12]Apr 25'!$B:$B,0)</f>
        <v>0</v>
      </c>
      <c r="R283">
        <f>_xlfn.XLOOKUP(B283,[25]Sheet1!$B:$B,[25]Sheet1!$C:$C,0)</f>
        <v>0</v>
      </c>
      <c r="S283">
        <f>_xlfn.XLOOKUP(B283,[13]PROV!$A:$A,[13]PROV!$B:$B,0)</f>
        <v>0</v>
      </c>
      <c r="U283">
        <v>63689.599999999999</v>
      </c>
    </row>
    <row r="284" spans="1:21" x14ac:dyDescent="0.35">
      <c r="M284">
        <f>_xlfn.XLOOKUP(B284,[24]Sheet1!$A:$A,[24]Sheet1!$B:$B,0)</f>
        <v>0</v>
      </c>
      <c r="P284">
        <f>_xlfn.XLOOKUP(B284,'[11]Apr-25'!$A:$A,'[11]Apr-25'!$B:$B,0)</f>
        <v>0</v>
      </c>
      <c r="Q284">
        <f>_xlfn.XLOOKUP(B284,'[12]Apr 25'!$A:$A,'[12]Apr 25'!$B:$B,0)</f>
        <v>0</v>
      </c>
      <c r="R284">
        <f>_xlfn.XLOOKUP(B284,[25]Sheet1!$B:$B,[25]Sheet1!$C:$C,0)</f>
        <v>0</v>
      </c>
      <c r="S284">
        <f>_xlfn.XLOOKUP(B284,[13]PROV!$A:$A,[13]PROV!$B:$B,0)</f>
        <v>0</v>
      </c>
    </row>
    <row r="285" spans="1:21" x14ac:dyDescent="0.35">
      <c r="M285">
        <f>_xlfn.XLOOKUP(B285,[24]Sheet1!$A:$A,[24]Sheet1!$B:$B,0)</f>
        <v>0</v>
      </c>
      <c r="P285">
        <f>_xlfn.XLOOKUP(B285,'[11]Apr-25'!$A:$A,'[11]Apr-25'!$B:$B,0)</f>
        <v>0</v>
      </c>
      <c r="Q285">
        <f>_xlfn.XLOOKUP(B285,'[12]Apr 25'!$A:$A,'[12]Apr 25'!$B:$B,0)</f>
        <v>0</v>
      </c>
      <c r="R285">
        <f>_xlfn.XLOOKUP(B285,[25]Sheet1!$B:$B,[25]Sheet1!$C:$C,0)</f>
        <v>0</v>
      </c>
      <c r="S285">
        <f>_xlfn.XLOOKUP(B285,[13]PROV!$A:$A,[13]PROV!$B:$B,0)</f>
        <v>0</v>
      </c>
    </row>
    <row r="286" spans="1:21" x14ac:dyDescent="0.35">
      <c r="M286">
        <f>_xlfn.XLOOKUP(B286,[24]Sheet1!$A:$A,[24]Sheet1!$B:$B,0)</f>
        <v>0</v>
      </c>
      <c r="P286">
        <f>_xlfn.XLOOKUP(B286,'[11]Apr-25'!$A:$A,'[11]Apr-25'!$B:$B,0)</f>
        <v>0</v>
      </c>
      <c r="Q286">
        <f>_xlfn.XLOOKUP(B286,'[12]Apr 25'!$A:$A,'[12]Apr 25'!$B:$B,0)</f>
        <v>0</v>
      </c>
      <c r="R286">
        <f>_xlfn.XLOOKUP(B286,[25]Sheet1!$B:$B,[25]Sheet1!$C:$C,0)</f>
        <v>0</v>
      </c>
      <c r="S286">
        <f>_xlfn.XLOOKUP(B286,[13]PROV!$A:$A,[13]PROV!$B:$B,0)</f>
        <v>0</v>
      </c>
    </row>
    <row r="287" spans="1:21" x14ac:dyDescent="0.35">
      <c r="M287">
        <f>_xlfn.XLOOKUP(B287,[24]Sheet1!$A:$A,[24]Sheet1!$B:$B,0)</f>
        <v>0</v>
      </c>
      <c r="P287">
        <f>_xlfn.XLOOKUP(B287,'[11]Apr-25'!$A:$A,'[11]Apr-25'!$B:$B,0)</f>
        <v>0</v>
      </c>
      <c r="Q287">
        <f>_xlfn.XLOOKUP(B287,'[12]Apr 25'!$A:$A,'[12]Apr 25'!$B:$B,0)</f>
        <v>0</v>
      </c>
      <c r="R287">
        <f>_xlfn.XLOOKUP(B287,[25]Sheet1!$B:$B,[25]Sheet1!$C:$C,0)</f>
        <v>0</v>
      </c>
      <c r="S287">
        <f>_xlfn.XLOOKUP(B287,[13]PROV!$A:$A,[13]PROV!$B:$B,0)</f>
        <v>0</v>
      </c>
    </row>
    <row r="288" spans="1:21" x14ac:dyDescent="0.35">
      <c r="M288">
        <f>_xlfn.XLOOKUP(B288,[24]Sheet1!$A:$A,[24]Sheet1!$B:$B,0)</f>
        <v>0</v>
      </c>
      <c r="P288">
        <f>_xlfn.XLOOKUP(B288,'[11]Apr-25'!$A:$A,'[11]Apr-25'!$B:$B,0)</f>
        <v>0</v>
      </c>
      <c r="Q288">
        <f>_xlfn.XLOOKUP(B288,'[12]Apr 25'!$A:$A,'[12]Apr 25'!$B:$B,0)</f>
        <v>0</v>
      </c>
      <c r="R288">
        <f>_xlfn.XLOOKUP(B288,[25]Sheet1!$B:$B,[25]Sheet1!$C:$C,0)</f>
        <v>0</v>
      </c>
      <c r="S288">
        <f>_xlfn.XLOOKUP(B288,[13]PROV!$A:$A,[13]PROV!$B:$B,0)</f>
        <v>0</v>
      </c>
    </row>
    <row r="289" spans="13:19" x14ac:dyDescent="0.35">
      <c r="M289">
        <f>_xlfn.XLOOKUP(B289,[24]Sheet1!$A:$A,[24]Sheet1!$B:$B,0)</f>
        <v>0</v>
      </c>
      <c r="P289">
        <f>_xlfn.XLOOKUP(B289,'[11]Apr-25'!$A:$A,'[11]Apr-25'!$B:$B,0)</f>
        <v>0</v>
      </c>
      <c r="Q289">
        <f>_xlfn.XLOOKUP(B289,'[12]Apr 25'!$A:$A,'[12]Apr 25'!$B:$B,0)</f>
        <v>0</v>
      </c>
      <c r="R289">
        <f>_xlfn.XLOOKUP(B289,[25]Sheet1!$B:$B,[25]Sheet1!$C:$C,0)</f>
        <v>0</v>
      </c>
      <c r="S289">
        <f>_xlfn.XLOOKUP(B289,[13]PROV!$A:$A,[13]PROV!$B:$B,0)</f>
        <v>0</v>
      </c>
    </row>
    <row r="290" spans="13:19" x14ac:dyDescent="0.35">
      <c r="M290">
        <f>_xlfn.XLOOKUP(B290,[24]Sheet1!$A:$A,[24]Sheet1!$B:$B,0)</f>
        <v>0</v>
      </c>
      <c r="P290">
        <f>_xlfn.XLOOKUP(B290,'[11]Apr-25'!$A:$A,'[11]Apr-25'!$B:$B,0)</f>
        <v>0</v>
      </c>
      <c r="Q290">
        <f>_xlfn.XLOOKUP(B290,'[12]Apr 25'!$A:$A,'[12]Apr 25'!$B:$B,0)</f>
        <v>0</v>
      </c>
      <c r="R290">
        <f>_xlfn.XLOOKUP(B290,[25]Sheet1!$B:$B,[25]Sheet1!$C:$C,0)</f>
        <v>0</v>
      </c>
      <c r="S290">
        <f>_xlfn.XLOOKUP(B290,[13]PROV!$A:$A,[13]PROV!$B:$B,0)</f>
        <v>0</v>
      </c>
    </row>
    <row r="291" spans="13:19" x14ac:dyDescent="0.35">
      <c r="M291">
        <f>_xlfn.XLOOKUP(B291,[24]Sheet1!$A:$A,[24]Sheet1!$B:$B,0)</f>
        <v>0</v>
      </c>
      <c r="P291">
        <f>_xlfn.XLOOKUP(B291,'[11]Apr-25'!$A:$A,'[11]Apr-25'!$B:$B,0)</f>
        <v>0</v>
      </c>
      <c r="Q291">
        <f>_xlfn.XLOOKUP(B291,'[12]Apr 25'!$A:$A,'[12]Apr 25'!$B:$B,0)</f>
        <v>0</v>
      </c>
      <c r="R291">
        <f>_xlfn.XLOOKUP(B291,[25]Sheet1!$B:$B,[25]Sheet1!$C:$C,0)</f>
        <v>0</v>
      </c>
      <c r="S291">
        <f>_xlfn.XLOOKUP(B291,[13]PROV!$A:$A,[13]PROV!$B:$B,0)</f>
        <v>0</v>
      </c>
    </row>
    <row r="292" spans="13:19" x14ac:dyDescent="0.35">
      <c r="M292">
        <f>_xlfn.XLOOKUP(B292,[24]Sheet1!$A:$A,[24]Sheet1!$B:$B,0)</f>
        <v>0</v>
      </c>
      <c r="P292">
        <f>_xlfn.XLOOKUP(B292,'[11]Apr-25'!$A:$A,'[11]Apr-25'!$B:$B,0)</f>
        <v>0</v>
      </c>
      <c r="Q292">
        <f>_xlfn.XLOOKUP(B292,'[12]Apr 25'!$A:$A,'[12]Apr 25'!$B:$B,0)</f>
        <v>0</v>
      </c>
      <c r="R292">
        <f>_xlfn.XLOOKUP(B292,[25]Sheet1!$B:$B,[25]Sheet1!$C:$C,0)</f>
        <v>0</v>
      </c>
      <c r="S292">
        <f>_xlfn.XLOOKUP(B292,[13]PROV!$A:$A,[13]PROV!$B:$B,0)</f>
        <v>0</v>
      </c>
    </row>
    <row r="293" spans="13:19" x14ac:dyDescent="0.35">
      <c r="M293">
        <f>_xlfn.XLOOKUP(B293,[24]Sheet1!$A:$A,[24]Sheet1!$B:$B,0)</f>
        <v>0</v>
      </c>
      <c r="P293">
        <f>_xlfn.XLOOKUP(B293,'[11]Apr-25'!$A:$A,'[11]Apr-25'!$B:$B,0)</f>
        <v>0</v>
      </c>
      <c r="Q293">
        <f>_xlfn.XLOOKUP(B293,'[12]Apr 25'!$A:$A,'[12]Apr 25'!$B:$B,0)</f>
        <v>0</v>
      </c>
      <c r="R293">
        <f>_xlfn.XLOOKUP(B293,[25]Sheet1!$B:$B,[25]Sheet1!$C:$C,0)</f>
        <v>0</v>
      </c>
      <c r="S293">
        <f>_xlfn.XLOOKUP(B293,[13]PROV!$A:$A,[13]PROV!$B:$B,0)</f>
        <v>0</v>
      </c>
    </row>
    <row r="294" spans="13:19" x14ac:dyDescent="0.35">
      <c r="M294">
        <f>_xlfn.XLOOKUP(B294,[24]Sheet1!$A:$A,[24]Sheet1!$B:$B,0)</f>
        <v>0</v>
      </c>
      <c r="P294">
        <f>_xlfn.XLOOKUP(B294,'[11]Apr-25'!$A:$A,'[11]Apr-25'!$B:$B,0)</f>
        <v>0</v>
      </c>
      <c r="Q294">
        <f>_xlfn.XLOOKUP(B294,'[12]Apr 25'!$A:$A,'[12]Apr 25'!$B:$B,0)</f>
        <v>0</v>
      </c>
      <c r="R294">
        <f>_xlfn.XLOOKUP(B294,[25]Sheet1!$B:$B,[25]Sheet1!$C:$C,0)</f>
        <v>0</v>
      </c>
      <c r="S294">
        <f>_xlfn.XLOOKUP(B294,[13]PROV!$A:$A,[13]PROV!$B:$B,0)</f>
        <v>0</v>
      </c>
    </row>
    <row r="295" spans="13:19" x14ac:dyDescent="0.35">
      <c r="M295">
        <f>_xlfn.XLOOKUP(B295,[24]Sheet1!$A:$A,[24]Sheet1!$B:$B,0)</f>
        <v>0</v>
      </c>
      <c r="P295">
        <f>_xlfn.XLOOKUP(B295,'[11]Apr-25'!$A:$A,'[11]Apr-25'!$B:$B,0)</f>
        <v>0</v>
      </c>
      <c r="Q295">
        <f>_xlfn.XLOOKUP(B295,'[12]Apr 25'!$A:$A,'[12]Apr 25'!$B:$B,0)</f>
        <v>0</v>
      </c>
      <c r="R295">
        <f>_xlfn.XLOOKUP(B295,[25]Sheet1!$B:$B,[25]Sheet1!$C:$C,0)</f>
        <v>0</v>
      </c>
      <c r="S295">
        <f>_xlfn.XLOOKUP(B295,[13]PROV!$A:$A,[13]PROV!$B:$B,0)</f>
        <v>0</v>
      </c>
    </row>
    <row r="296" spans="13:19" x14ac:dyDescent="0.35">
      <c r="M296">
        <f>_xlfn.XLOOKUP(B296,[24]Sheet1!$A:$A,[24]Sheet1!$B:$B,0)</f>
        <v>0</v>
      </c>
      <c r="P296">
        <f>_xlfn.XLOOKUP(B296,'[11]Apr-25'!$A:$A,'[11]Apr-25'!$B:$B,0)</f>
        <v>0</v>
      </c>
      <c r="Q296">
        <f>_xlfn.XLOOKUP(B296,'[12]Apr 25'!$A:$A,'[12]Apr 25'!$B:$B,0)</f>
        <v>0</v>
      </c>
      <c r="R296">
        <f>_xlfn.XLOOKUP(B296,[25]Sheet1!$B:$B,[25]Sheet1!$C:$C,0)</f>
        <v>0</v>
      </c>
      <c r="S296">
        <f>_xlfn.XLOOKUP(B296,[13]PROV!$A:$A,[13]PROV!$B:$B,0)</f>
        <v>0</v>
      </c>
    </row>
    <row r="297" spans="13:19" x14ac:dyDescent="0.35">
      <c r="M297">
        <f>_xlfn.XLOOKUP(B297,[24]Sheet1!$A:$A,[24]Sheet1!$B:$B,0)</f>
        <v>0</v>
      </c>
      <c r="P297">
        <f>_xlfn.XLOOKUP(B297,'[11]Apr-25'!$A:$A,'[11]Apr-25'!$B:$B,0)</f>
        <v>0</v>
      </c>
      <c r="Q297">
        <f>_xlfn.XLOOKUP(B297,'[12]Apr 25'!$A:$A,'[12]Apr 25'!$B:$B,0)</f>
        <v>0</v>
      </c>
      <c r="R297">
        <f>_xlfn.XLOOKUP(B297,[25]Sheet1!$B:$B,[25]Sheet1!$C:$C,0)</f>
        <v>0</v>
      </c>
      <c r="S297">
        <f>_xlfn.XLOOKUP(B297,[13]PROV!$A:$A,[13]PROV!$B:$B,0)</f>
        <v>0</v>
      </c>
    </row>
    <row r="298" spans="13:19" x14ac:dyDescent="0.35">
      <c r="M298">
        <f>_xlfn.XLOOKUP(B298,[24]Sheet1!$A:$A,[24]Sheet1!$B:$B,0)</f>
        <v>0</v>
      </c>
      <c r="P298">
        <f>_xlfn.XLOOKUP(B298,'[11]Apr-25'!$A:$A,'[11]Apr-25'!$B:$B,0)</f>
        <v>0</v>
      </c>
      <c r="Q298">
        <f>_xlfn.XLOOKUP(B298,'[12]Apr 25'!$A:$A,'[12]Apr 25'!$B:$B,0)</f>
        <v>0</v>
      </c>
      <c r="R298">
        <f>_xlfn.XLOOKUP(B298,[25]Sheet1!$B:$B,[25]Sheet1!$C:$C,0)</f>
        <v>0</v>
      </c>
      <c r="S298">
        <f>_xlfn.XLOOKUP(B298,[13]PROV!$A:$A,[13]PROV!$B:$B,0)</f>
        <v>0</v>
      </c>
    </row>
    <row r="299" spans="13:19" x14ac:dyDescent="0.35">
      <c r="M299">
        <f>_xlfn.XLOOKUP(B299,[24]Sheet1!$A:$A,[24]Sheet1!$B:$B,0)</f>
        <v>0</v>
      </c>
      <c r="P299">
        <f>_xlfn.XLOOKUP(B299,'[11]Apr-25'!$A:$A,'[11]Apr-25'!$B:$B,0)</f>
        <v>0</v>
      </c>
      <c r="Q299">
        <f>_xlfn.XLOOKUP(B299,'[12]Apr 25'!$A:$A,'[12]Apr 25'!$B:$B,0)</f>
        <v>0</v>
      </c>
      <c r="R299">
        <f>_xlfn.XLOOKUP(B299,[25]Sheet1!$B:$B,[25]Sheet1!$C:$C,0)</f>
        <v>0</v>
      </c>
      <c r="S299">
        <f>_xlfn.XLOOKUP(B299,[13]PROV!$A:$A,[13]PROV!$B:$B,0)</f>
        <v>0</v>
      </c>
    </row>
    <row r="300" spans="13:19" x14ac:dyDescent="0.35">
      <c r="M300">
        <f>_xlfn.XLOOKUP(B300,[24]Sheet1!$A:$A,[24]Sheet1!$B:$B,0)</f>
        <v>0</v>
      </c>
      <c r="P300">
        <f>_xlfn.XLOOKUP(B300,'[11]Apr-25'!$A:$A,'[11]Apr-25'!$B:$B,0)</f>
        <v>0</v>
      </c>
      <c r="Q300">
        <f>_xlfn.XLOOKUP(B300,'[12]Apr 25'!$A:$A,'[12]Apr 25'!$B:$B,0)</f>
        <v>0</v>
      </c>
      <c r="R300">
        <f>_xlfn.XLOOKUP(B300,[25]Sheet1!$B:$B,[25]Sheet1!$C:$C,0)</f>
        <v>0</v>
      </c>
      <c r="S300">
        <f>_xlfn.XLOOKUP(B300,[13]PROV!$A:$A,[13]PROV!$B:$B,0)</f>
        <v>0</v>
      </c>
    </row>
    <row r="301" spans="13:19" x14ac:dyDescent="0.35">
      <c r="M301">
        <f>_xlfn.XLOOKUP(B301,[24]Sheet1!$A:$A,[24]Sheet1!$B:$B,0)</f>
        <v>0</v>
      </c>
      <c r="P301">
        <f>_xlfn.XLOOKUP(B301,'[11]Apr-25'!$A:$A,'[11]Apr-25'!$B:$B,0)</f>
        <v>0</v>
      </c>
      <c r="Q301">
        <f>_xlfn.XLOOKUP(B301,'[12]Apr 25'!$A:$A,'[12]Apr 25'!$B:$B,0)</f>
        <v>0</v>
      </c>
      <c r="R301">
        <f>_xlfn.XLOOKUP(B301,[25]Sheet1!$B:$B,[25]Sheet1!$C:$C,0)</f>
        <v>0</v>
      </c>
      <c r="S301">
        <f>_xlfn.XLOOKUP(B301,[13]PROV!$A:$A,[13]PROV!$B:$B,0)</f>
        <v>0</v>
      </c>
    </row>
    <row r="302" spans="13:19" x14ac:dyDescent="0.35">
      <c r="M302">
        <f>_xlfn.XLOOKUP(B302,[24]Sheet1!$A:$A,[24]Sheet1!$B:$B,0)</f>
        <v>0</v>
      </c>
      <c r="P302">
        <f>_xlfn.XLOOKUP(B302,'[11]Apr-25'!$A:$A,'[11]Apr-25'!$B:$B,0)</f>
        <v>0</v>
      </c>
      <c r="Q302">
        <f>_xlfn.XLOOKUP(B302,'[12]Apr 25'!$A:$A,'[12]Apr 25'!$B:$B,0)</f>
        <v>0</v>
      </c>
      <c r="R302">
        <f>_xlfn.XLOOKUP(B302,[25]Sheet1!$B:$B,[25]Sheet1!$C:$C,0)</f>
        <v>0</v>
      </c>
      <c r="S302">
        <f>_xlfn.XLOOKUP(B302,[13]PROV!$A:$A,[13]PROV!$B:$B,0)</f>
        <v>0</v>
      </c>
    </row>
    <row r="303" spans="13:19" x14ac:dyDescent="0.35">
      <c r="M303">
        <f>_xlfn.XLOOKUP(B303,[24]Sheet1!$A:$A,[24]Sheet1!$B:$B,0)</f>
        <v>0</v>
      </c>
      <c r="P303">
        <f>_xlfn.XLOOKUP(B303,'[11]Apr-25'!$A:$A,'[11]Apr-25'!$B:$B,0)</f>
        <v>0</v>
      </c>
      <c r="Q303">
        <f>_xlfn.XLOOKUP(B303,'[12]Apr 25'!$A:$A,'[12]Apr 25'!$B:$B,0)</f>
        <v>0</v>
      </c>
      <c r="R303">
        <f>_xlfn.XLOOKUP(B303,[25]Sheet1!$B:$B,[25]Sheet1!$C:$C,0)</f>
        <v>0</v>
      </c>
      <c r="S303">
        <f>_xlfn.XLOOKUP(B303,[13]PROV!$A:$A,[13]PROV!$B:$B,0)</f>
        <v>0</v>
      </c>
    </row>
    <row r="304" spans="13:19" x14ac:dyDescent="0.35">
      <c r="M304">
        <f>_xlfn.XLOOKUP(B304,[24]Sheet1!$A:$A,[24]Sheet1!$B:$B,0)</f>
        <v>0</v>
      </c>
      <c r="P304">
        <f>_xlfn.XLOOKUP(B304,'[11]Apr-25'!$A:$A,'[11]Apr-25'!$B:$B,0)</f>
        <v>0</v>
      </c>
      <c r="Q304">
        <f>_xlfn.XLOOKUP(B304,'[12]Apr 25'!$A:$A,'[12]Apr 25'!$B:$B,0)</f>
        <v>0</v>
      </c>
      <c r="R304">
        <f>_xlfn.XLOOKUP(B304,[25]Sheet1!$B:$B,[25]Sheet1!$C:$C,0)</f>
        <v>0</v>
      </c>
      <c r="S304">
        <f>_xlfn.XLOOKUP(B304,[13]PROV!$A:$A,[13]PROV!$B:$B,0)</f>
        <v>0</v>
      </c>
    </row>
    <row r="305" spans="13:23" x14ac:dyDescent="0.35">
      <c r="M305">
        <f>_xlfn.XLOOKUP(B305,[24]Sheet1!$A:$A,[24]Sheet1!$B:$B,0)</f>
        <v>0</v>
      </c>
      <c r="P305">
        <f>_xlfn.XLOOKUP(B305,'[11]Apr-25'!$A:$A,'[11]Apr-25'!$B:$B,0)</f>
        <v>0</v>
      </c>
      <c r="Q305">
        <f>_xlfn.XLOOKUP(B305,'[12]Apr 25'!$A:$A,'[12]Apr 25'!$B:$B,0)</f>
        <v>0</v>
      </c>
      <c r="R305">
        <f>_xlfn.XLOOKUP(B305,[25]Sheet1!$B:$B,[25]Sheet1!$C:$C,0)</f>
        <v>0</v>
      </c>
      <c r="S305">
        <f>_xlfn.XLOOKUP(B305,[13]PROV!$A:$A,[13]PROV!$B:$B,0)</f>
        <v>0</v>
      </c>
    </row>
    <row r="306" spans="13:23" x14ac:dyDescent="0.35">
      <c r="M306">
        <f>_xlfn.XLOOKUP(B306,[24]Sheet1!$A:$A,[24]Sheet1!$B:$B,0)</f>
        <v>0</v>
      </c>
      <c r="P306">
        <f>_xlfn.XLOOKUP(B306,'[11]Apr-25'!$A:$A,'[11]Apr-25'!$B:$B,0)</f>
        <v>0</v>
      </c>
      <c r="Q306">
        <f>_xlfn.XLOOKUP(B306,'[12]Apr 25'!$A:$A,'[12]Apr 25'!$B:$B,0)</f>
        <v>0</v>
      </c>
      <c r="R306">
        <f>_xlfn.XLOOKUP(B306,[25]Sheet1!$B:$B,[25]Sheet1!$C:$C,0)</f>
        <v>0</v>
      </c>
      <c r="S306">
        <f>_xlfn.XLOOKUP(B306,[13]PROV!$A:$A,[13]PROV!$B:$B,0)</f>
        <v>0</v>
      </c>
    </row>
    <row r="307" spans="13:23" x14ac:dyDescent="0.35">
      <c r="M307">
        <f>_xlfn.XLOOKUP(B307,[24]Sheet1!$A:$A,[24]Sheet1!$B:$B,0)</f>
        <v>0</v>
      </c>
      <c r="P307">
        <f>_xlfn.XLOOKUP(B307,'[11]Apr-25'!$A:$A,'[11]Apr-25'!$B:$B,0)</f>
        <v>0</v>
      </c>
      <c r="Q307">
        <f>_xlfn.XLOOKUP(B307,'[12]Apr 25'!$A:$A,'[12]Apr 25'!$B:$B,0)</f>
        <v>0</v>
      </c>
      <c r="R307">
        <f>_xlfn.XLOOKUP(B307,[25]Sheet1!$B:$B,[25]Sheet1!$C:$C,0)</f>
        <v>0</v>
      </c>
      <c r="S307">
        <f>_xlfn.XLOOKUP(B307,[13]PROV!$A:$A,[13]PROV!$B:$B,0)</f>
        <v>0</v>
      </c>
    </row>
    <row r="308" spans="13:23" x14ac:dyDescent="0.35">
      <c r="M308">
        <f>_xlfn.XLOOKUP(B308,[24]Sheet1!$A:$A,[24]Sheet1!$B:$B,0)</f>
        <v>0</v>
      </c>
      <c r="P308">
        <f>_xlfn.XLOOKUP(B308,'[11]Apr-25'!$A:$A,'[11]Apr-25'!$B:$B,0)</f>
        <v>0</v>
      </c>
      <c r="Q308">
        <f>_xlfn.XLOOKUP(B308,'[12]Apr 25'!$A:$A,'[12]Apr 25'!$B:$B,0)</f>
        <v>0</v>
      </c>
      <c r="R308">
        <f>_xlfn.XLOOKUP(B308,[25]Sheet1!$B:$B,[25]Sheet1!$C:$C,0)</f>
        <v>0</v>
      </c>
      <c r="S308">
        <f>_xlfn.XLOOKUP(B308,[13]PROV!$A:$A,[13]PROV!$B:$B,0)</f>
        <v>0</v>
      </c>
      <c r="W308">
        <v>-849100</v>
      </c>
    </row>
    <row r="309" spans="13:23" x14ac:dyDescent="0.35">
      <c r="M309">
        <f>_xlfn.XLOOKUP(B309,[24]Sheet1!$A:$A,[24]Sheet1!$B:$B,0)</f>
        <v>0</v>
      </c>
      <c r="P309">
        <f>_xlfn.XLOOKUP(B309,'[11]Apr-25'!$A:$A,'[11]Apr-25'!$B:$B,0)</f>
        <v>0</v>
      </c>
      <c r="Q309">
        <f>_xlfn.XLOOKUP(B309,'[12]Apr 25'!$A:$A,'[12]Apr 25'!$B:$B,0)</f>
        <v>0</v>
      </c>
      <c r="R309">
        <f>_xlfn.XLOOKUP(B309,[25]Sheet1!$B:$B,[25]Sheet1!$C:$C,0)</f>
        <v>0</v>
      </c>
      <c r="S309">
        <f>_xlfn.XLOOKUP(B309,[13]PROV!$A:$A,[13]PROV!$B:$B,0)</f>
        <v>0</v>
      </c>
    </row>
    <row r="310" spans="13:23" x14ac:dyDescent="0.35">
      <c r="M310">
        <f>_xlfn.XLOOKUP(B310,[24]Sheet1!$A:$A,[24]Sheet1!$B:$B,0)</f>
        <v>0</v>
      </c>
      <c r="P310">
        <f>_xlfn.XLOOKUP(B310,'[11]Apr-25'!$A:$A,'[11]Apr-25'!$B:$B,0)</f>
        <v>0</v>
      </c>
      <c r="Q310">
        <f>_xlfn.XLOOKUP(B310,'[12]Apr 25'!$A:$A,'[12]Apr 25'!$B:$B,0)</f>
        <v>0</v>
      </c>
      <c r="R310">
        <f>_xlfn.XLOOKUP(B310,[25]Sheet1!$B:$B,[25]Sheet1!$C:$C,0)</f>
        <v>0</v>
      </c>
      <c r="S310">
        <f>_xlfn.XLOOKUP(B310,[13]PROV!$A:$A,[13]PROV!$B:$B,0)</f>
        <v>0</v>
      </c>
    </row>
    <row r="311" spans="13:23" x14ac:dyDescent="0.35">
      <c r="M311">
        <f>_xlfn.XLOOKUP(B311,[24]Sheet1!$A:$A,[24]Sheet1!$B:$B,0)</f>
        <v>0</v>
      </c>
      <c r="P311">
        <f>_xlfn.XLOOKUP(B311,'[11]Apr-25'!$A:$A,'[11]Apr-25'!$B:$B,0)</f>
        <v>0</v>
      </c>
      <c r="Q311">
        <f>_xlfn.XLOOKUP(B311,'[12]Apr 25'!$A:$A,'[12]Apr 25'!$B:$B,0)</f>
        <v>0</v>
      </c>
      <c r="R311">
        <f>_xlfn.XLOOKUP(B311,[25]Sheet1!$B:$B,[25]Sheet1!$C:$C,0)</f>
        <v>0</v>
      </c>
      <c r="S311">
        <f>_xlfn.XLOOKUP(B311,[13]PROV!$A:$A,[13]PROV!$B:$B,0)</f>
        <v>0</v>
      </c>
    </row>
    <row r="312" spans="13:23" x14ac:dyDescent="0.35">
      <c r="M312">
        <f>_xlfn.XLOOKUP(B312,[24]Sheet1!$A:$A,[24]Sheet1!$B:$B,0)</f>
        <v>0</v>
      </c>
      <c r="P312">
        <f>_xlfn.XLOOKUP(B312,'[11]Apr-25'!$A:$A,'[11]Apr-25'!$B:$B,0)</f>
        <v>0</v>
      </c>
      <c r="Q312">
        <f>_xlfn.XLOOKUP(B312,'[12]Apr 25'!$A:$A,'[12]Apr 25'!$B:$B,0)</f>
        <v>0</v>
      </c>
      <c r="R312">
        <f>_xlfn.XLOOKUP(B312,[25]Sheet1!$B:$B,[25]Sheet1!$C:$C,0)</f>
        <v>0</v>
      </c>
      <c r="S312">
        <f>_xlfn.XLOOKUP(B312,[13]PROV!$A:$A,[13]PROV!$B:$B,0)</f>
        <v>0</v>
      </c>
    </row>
    <row r="313" spans="13:23" x14ac:dyDescent="0.35">
      <c r="M313">
        <f>_xlfn.XLOOKUP(B313,[24]Sheet1!$A:$A,[24]Sheet1!$B:$B,0)</f>
        <v>0</v>
      </c>
      <c r="P313">
        <f>_xlfn.XLOOKUP(B313,'[11]Apr-25'!$A:$A,'[11]Apr-25'!$B:$B,0)</f>
        <v>0</v>
      </c>
      <c r="Q313">
        <f>_xlfn.XLOOKUP(B313,'[12]Apr 25'!$A:$A,'[12]Apr 25'!$B:$B,0)</f>
        <v>0</v>
      </c>
      <c r="R313">
        <f>_xlfn.XLOOKUP(B313,[25]Sheet1!$B:$B,[25]Sheet1!$C:$C,0)</f>
        <v>0</v>
      </c>
      <c r="S313">
        <f>_xlfn.XLOOKUP(B313,[13]PROV!$A:$A,[13]PROV!$B:$B,0)</f>
        <v>0</v>
      </c>
    </row>
    <row r="314" spans="13:23" x14ac:dyDescent="0.35">
      <c r="M314">
        <f>_xlfn.XLOOKUP(B314,[24]Sheet1!$A:$A,[24]Sheet1!$B:$B,0)</f>
        <v>0</v>
      </c>
      <c r="P314">
        <f>_xlfn.XLOOKUP(B314,'[11]Apr-25'!$A:$A,'[11]Apr-25'!$B:$B,0)</f>
        <v>0</v>
      </c>
      <c r="Q314">
        <f>_xlfn.XLOOKUP(B314,'[12]Apr 25'!$A:$A,'[12]Apr 25'!$B:$B,0)</f>
        <v>0</v>
      </c>
      <c r="R314">
        <f>_xlfn.XLOOKUP(B314,[25]Sheet1!$B:$B,[25]Sheet1!$C:$C,0)</f>
        <v>0</v>
      </c>
      <c r="S314">
        <f>_xlfn.XLOOKUP(B314,[13]PROV!$A:$A,[13]PROV!$B:$B,0)</f>
        <v>0</v>
      </c>
    </row>
    <row r="315" spans="13:23" x14ac:dyDescent="0.35">
      <c r="M315">
        <f>_xlfn.XLOOKUP(B315,[24]Sheet1!$A:$A,[24]Sheet1!$B:$B,0)</f>
        <v>0</v>
      </c>
      <c r="P315">
        <f>_xlfn.XLOOKUP(B315,'[11]Apr-25'!$A:$A,'[11]Apr-25'!$B:$B,0)</f>
        <v>0</v>
      </c>
      <c r="Q315">
        <f>_xlfn.XLOOKUP(B315,'[12]Apr 25'!$A:$A,'[12]Apr 25'!$B:$B,0)</f>
        <v>0</v>
      </c>
      <c r="R315">
        <f>_xlfn.XLOOKUP(B315,[25]Sheet1!$B:$B,[25]Sheet1!$C:$C,0)</f>
        <v>0</v>
      </c>
      <c r="S315">
        <f>_xlfn.XLOOKUP(B315,[13]PROV!$A:$A,[13]PROV!$B:$B,0)</f>
        <v>0</v>
      </c>
    </row>
    <row r="316" spans="13:23" x14ac:dyDescent="0.35">
      <c r="M316">
        <f>_xlfn.XLOOKUP(B316,[24]Sheet1!$A:$A,[24]Sheet1!$B:$B,0)</f>
        <v>0</v>
      </c>
      <c r="P316">
        <f>_xlfn.XLOOKUP(B316,'[11]Apr-25'!$A:$A,'[11]Apr-25'!$B:$B,0)</f>
        <v>0</v>
      </c>
      <c r="Q316">
        <f>_xlfn.XLOOKUP(B316,'[12]Apr 25'!$A:$A,'[12]Apr 25'!$B:$B,0)</f>
        <v>0</v>
      </c>
      <c r="R316">
        <f>_xlfn.XLOOKUP(B316,[25]Sheet1!$B:$B,[25]Sheet1!$C:$C,0)</f>
        <v>0</v>
      </c>
      <c r="S316">
        <f>_xlfn.XLOOKUP(B316,[13]PROV!$A:$A,[13]PROV!$B:$B,0)</f>
        <v>0</v>
      </c>
    </row>
    <row r="317" spans="13:23" x14ac:dyDescent="0.35">
      <c r="M317">
        <f>_xlfn.XLOOKUP(B317,[24]Sheet1!$A:$A,[24]Sheet1!$B:$B,0)</f>
        <v>0</v>
      </c>
      <c r="P317">
        <f>_xlfn.XLOOKUP(B317,'[11]Apr-25'!$A:$A,'[11]Apr-25'!$B:$B,0)</f>
        <v>0</v>
      </c>
      <c r="Q317">
        <f>_xlfn.XLOOKUP(B317,'[12]Apr 25'!$A:$A,'[12]Apr 25'!$B:$B,0)</f>
        <v>0</v>
      </c>
      <c r="R317">
        <f>_xlfn.XLOOKUP(B317,[25]Sheet1!$B:$B,[25]Sheet1!$C:$C,0)</f>
        <v>0</v>
      </c>
      <c r="S317">
        <f>_xlfn.XLOOKUP(B317,[13]PROV!$A:$A,[13]PROV!$B:$B,0)</f>
        <v>0</v>
      </c>
    </row>
    <row r="318" spans="13:23" x14ac:dyDescent="0.35">
      <c r="M318">
        <f>_xlfn.XLOOKUP(B318,[24]Sheet1!$A:$A,[24]Sheet1!$B:$B,0)</f>
        <v>0</v>
      </c>
      <c r="P318">
        <f>_xlfn.XLOOKUP(B318,'[11]Apr-25'!$A:$A,'[11]Apr-25'!$B:$B,0)</f>
        <v>0</v>
      </c>
      <c r="Q318">
        <f>_xlfn.XLOOKUP(B318,'[12]Apr 25'!$A:$A,'[12]Apr 25'!$B:$B,0)</f>
        <v>0</v>
      </c>
      <c r="R318">
        <f>_xlfn.XLOOKUP(B318,[25]Sheet1!$B:$B,[25]Sheet1!$C:$C,0)</f>
        <v>0</v>
      </c>
      <c r="S318">
        <f>_xlfn.XLOOKUP(B318,[13]PROV!$A:$A,[13]PROV!$B:$B,0)</f>
        <v>0</v>
      </c>
    </row>
    <row r="319" spans="13:23" x14ac:dyDescent="0.35">
      <c r="M319">
        <f>_xlfn.XLOOKUP(B319,[24]Sheet1!$A:$A,[24]Sheet1!$B:$B,0)</f>
        <v>0</v>
      </c>
      <c r="P319">
        <f>_xlfn.XLOOKUP(B319,'[11]Apr-25'!$A:$A,'[11]Apr-25'!$B:$B,0)</f>
        <v>0</v>
      </c>
      <c r="Q319">
        <f>_xlfn.XLOOKUP(B319,'[12]Apr 25'!$A:$A,'[12]Apr 25'!$B:$B,0)</f>
        <v>0</v>
      </c>
      <c r="R319">
        <f>_xlfn.XLOOKUP(B319,[25]Sheet1!$B:$B,[25]Sheet1!$C:$C,0)</f>
        <v>0</v>
      </c>
      <c r="S319">
        <f>_xlfn.XLOOKUP(B319,[13]PROV!$A:$A,[13]PROV!$B:$B,0)</f>
        <v>0</v>
      </c>
    </row>
    <row r="320" spans="13:23" x14ac:dyDescent="0.35">
      <c r="M320">
        <f>_xlfn.XLOOKUP(B320,[24]Sheet1!$A:$A,[24]Sheet1!$B:$B,0)</f>
        <v>0</v>
      </c>
      <c r="P320">
        <f>_xlfn.XLOOKUP(B320,'[11]Apr-25'!$A:$A,'[11]Apr-25'!$B:$B,0)</f>
        <v>0</v>
      </c>
      <c r="Q320">
        <f>_xlfn.XLOOKUP(B320,'[12]Apr 25'!$A:$A,'[12]Apr 25'!$B:$B,0)</f>
        <v>0</v>
      </c>
      <c r="R320">
        <f>_xlfn.XLOOKUP(B320,[25]Sheet1!$B:$B,[25]Sheet1!$C:$C,0)</f>
        <v>0</v>
      </c>
      <c r="S320">
        <f>_xlfn.XLOOKUP(B320,[13]PROV!$A:$A,[13]PROV!$B:$B,0)</f>
        <v>0</v>
      </c>
    </row>
    <row r="321" spans="13:19" x14ac:dyDescent="0.35">
      <c r="M321">
        <f>_xlfn.XLOOKUP(B321,[24]Sheet1!$A:$A,[24]Sheet1!$B:$B,0)</f>
        <v>0</v>
      </c>
      <c r="P321">
        <f>_xlfn.XLOOKUP(B321,'[11]Apr-25'!$A:$A,'[11]Apr-25'!$B:$B,0)</f>
        <v>0</v>
      </c>
      <c r="Q321">
        <f>_xlfn.XLOOKUP(B321,'[12]Apr 25'!$A:$A,'[12]Apr 25'!$B:$B,0)</f>
        <v>0</v>
      </c>
      <c r="R321">
        <f>_xlfn.XLOOKUP(B321,[25]Sheet1!$B:$B,[25]Sheet1!$C:$C,0)</f>
        <v>0</v>
      </c>
      <c r="S321">
        <f>_xlfn.XLOOKUP(B321,[13]PROV!$A:$A,[13]PROV!$B:$B,0)</f>
        <v>0</v>
      </c>
    </row>
    <row r="322" spans="13:19" x14ac:dyDescent="0.35">
      <c r="M322">
        <f>_xlfn.XLOOKUP(B322,[24]Sheet1!$A:$A,[24]Sheet1!$B:$B,0)</f>
        <v>0</v>
      </c>
      <c r="P322">
        <f>_xlfn.XLOOKUP(B322,'[11]Apr-25'!$A:$A,'[11]Apr-25'!$B:$B,0)</f>
        <v>0</v>
      </c>
      <c r="Q322">
        <f>_xlfn.XLOOKUP(B322,'[12]Apr 25'!$A:$A,'[12]Apr 25'!$B:$B,0)</f>
        <v>0</v>
      </c>
      <c r="R322">
        <f>_xlfn.XLOOKUP(B322,[25]Sheet1!$B:$B,[25]Sheet1!$C:$C,0)</f>
        <v>0</v>
      </c>
      <c r="S322">
        <f>_xlfn.XLOOKUP(B322,[13]PROV!$A:$A,[13]PROV!$B:$B,0)</f>
        <v>0</v>
      </c>
    </row>
    <row r="323" spans="13:19" x14ac:dyDescent="0.35">
      <c r="M323">
        <f>_xlfn.XLOOKUP(B323,[24]Sheet1!$A:$A,[24]Sheet1!$B:$B,0)</f>
        <v>0</v>
      </c>
      <c r="P323">
        <f>_xlfn.XLOOKUP(B323,'[11]Apr-25'!$A:$A,'[11]Apr-25'!$B:$B,0)</f>
        <v>0</v>
      </c>
      <c r="Q323">
        <f>_xlfn.XLOOKUP(B323,'[12]Apr 25'!$A:$A,'[12]Apr 25'!$B:$B,0)</f>
        <v>0</v>
      </c>
      <c r="R323">
        <f>_xlfn.XLOOKUP(B323,[25]Sheet1!$B:$B,[25]Sheet1!$C:$C,0)</f>
        <v>0</v>
      </c>
      <c r="S323">
        <f>_xlfn.XLOOKUP(B323,[13]PROV!$A:$A,[13]PROV!$B:$B,0)</f>
        <v>0</v>
      </c>
    </row>
    <row r="324" spans="13:19" x14ac:dyDescent="0.35">
      <c r="M324">
        <f>_xlfn.XLOOKUP(B324,[24]Sheet1!$A:$A,[24]Sheet1!$B:$B,0)</f>
        <v>0</v>
      </c>
      <c r="P324">
        <f>_xlfn.XLOOKUP(B324,'[11]Apr-25'!$A:$A,'[11]Apr-25'!$B:$B,0)</f>
        <v>0</v>
      </c>
      <c r="Q324">
        <f>_xlfn.XLOOKUP(B324,'[12]Apr 25'!$A:$A,'[12]Apr 25'!$B:$B,0)</f>
        <v>0</v>
      </c>
      <c r="R324">
        <f>_xlfn.XLOOKUP(B324,[25]Sheet1!$B:$B,[25]Sheet1!$C:$C,0)</f>
        <v>0</v>
      </c>
      <c r="S324">
        <f>_xlfn.XLOOKUP(B324,[13]PROV!$A:$A,[13]PROV!$B:$B,0)</f>
        <v>0</v>
      </c>
    </row>
    <row r="325" spans="13:19" x14ac:dyDescent="0.35">
      <c r="M325">
        <f>_xlfn.XLOOKUP(B325,[24]Sheet1!$A:$A,[24]Sheet1!$B:$B,0)</f>
        <v>0</v>
      </c>
      <c r="P325">
        <f>_xlfn.XLOOKUP(B325,'[11]Apr-25'!$A:$A,'[11]Apr-25'!$B:$B,0)</f>
        <v>0</v>
      </c>
      <c r="Q325">
        <f>_xlfn.XLOOKUP(B325,'[12]Apr 25'!$A:$A,'[12]Apr 25'!$B:$B,0)</f>
        <v>0</v>
      </c>
      <c r="R325">
        <f>_xlfn.XLOOKUP(B325,[25]Sheet1!$B:$B,[25]Sheet1!$C:$C,0)</f>
        <v>0</v>
      </c>
      <c r="S325">
        <f>_xlfn.XLOOKUP(B325,[13]PROV!$A:$A,[13]PROV!$B:$B,0)</f>
        <v>0</v>
      </c>
    </row>
    <row r="326" spans="13:19" x14ac:dyDescent="0.35">
      <c r="M326">
        <f>_xlfn.XLOOKUP(B326,[24]Sheet1!$A:$A,[24]Sheet1!$B:$B,0)</f>
        <v>0</v>
      </c>
      <c r="P326">
        <f>_xlfn.XLOOKUP(B326,'[11]Apr-25'!$A:$A,'[11]Apr-25'!$B:$B,0)</f>
        <v>0</v>
      </c>
      <c r="Q326">
        <f>_xlfn.XLOOKUP(B326,'[12]Apr 25'!$A:$A,'[12]Apr 25'!$B:$B,0)</f>
        <v>0</v>
      </c>
      <c r="R326">
        <f>_xlfn.XLOOKUP(B326,[25]Sheet1!$B:$B,[25]Sheet1!$C:$C,0)</f>
        <v>0</v>
      </c>
      <c r="S326">
        <f>_xlfn.XLOOKUP(B326,[13]PROV!$A:$A,[13]PROV!$B:$B,0)</f>
        <v>0</v>
      </c>
    </row>
    <row r="327" spans="13:19" x14ac:dyDescent="0.35">
      <c r="M327">
        <f>_xlfn.XLOOKUP(B327,[24]Sheet1!$A:$A,[24]Sheet1!$B:$B,0)</f>
        <v>0</v>
      </c>
      <c r="P327">
        <f>_xlfn.XLOOKUP(B327,'[11]Apr-25'!$A:$A,'[11]Apr-25'!$B:$B,0)</f>
        <v>0</v>
      </c>
      <c r="Q327">
        <f>_xlfn.XLOOKUP(B327,'[12]Apr 25'!$A:$A,'[12]Apr 25'!$B:$B,0)</f>
        <v>0</v>
      </c>
      <c r="R327">
        <f>_xlfn.XLOOKUP(B327,[25]Sheet1!$B:$B,[25]Sheet1!$C:$C,0)</f>
        <v>0</v>
      </c>
      <c r="S327">
        <f>_xlfn.XLOOKUP(B327,[13]PROV!$A:$A,[13]PROV!$B:$B,0)</f>
        <v>0</v>
      </c>
    </row>
    <row r="328" spans="13:19" x14ac:dyDescent="0.35">
      <c r="M328">
        <f>_xlfn.XLOOKUP(B328,[24]Sheet1!$A:$A,[24]Sheet1!$B:$B,0)</f>
        <v>0</v>
      </c>
      <c r="P328">
        <f>_xlfn.XLOOKUP(B328,'[11]Apr-25'!$A:$A,'[11]Apr-25'!$B:$B,0)</f>
        <v>0</v>
      </c>
      <c r="Q328">
        <f>_xlfn.XLOOKUP(B328,'[12]Apr 25'!$A:$A,'[12]Apr 25'!$B:$B,0)</f>
        <v>0</v>
      </c>
      <c r="R328">
        <f>_xlfn.XLOOKUP(B328,[25]Sheet1!$B:$B,[25]Sheet1!$C:$C,0)</f>
        <v>0</v>
      </c>
      <c r="S328">
        <f>_xlfn.XLOOKUP(B328,[13]PROV!$A:$A,[13]PROV!$B:$B,0)</f>
        <v>0</v>
      </c>
    </row>
    <row r="329" spans="13:19" x14ac:dyDescent="0.35">
      <c r="M329">
        <f>_xlfn.XLOOKUP(B329,[24]Sheet1!$A:$A,[24]Sheet1!$B:$B,0)</f>
        <v>0</v>
      </c>
      <c r="P329">
        <f>_xlfn.XLOOKUP(B329,'[11]Apr-25'!$A:$A,'[11]Apr-25'!$B:$B,0)</f>
        <v>0</v>
      </c>
      <c r="Q329">
        <f>_xlfn.XLOOKUP(B329,'[12]Apr 25'!$A:$A,'[12]Apr 25'!$B:$B,0)</f>
        <v>0</v>
      </c>
      <c r="R329">
        <f>_xlfn.XLOOKUP(B329,[25]Sheet1!$B:$B,[25]Sheet1!$C:$C,0)</f>
        <v>0</v>
      </c>
      <c r="S329">
        <f>_xlfn.XLOOKUP(B329,[13]PROV!$A:$A,[13]PROV!$B:$B,0)</f>
        <v>0</v>
      </c>
    </row>
    <row r="330" spans="13:19" x14ac:dyDescent="0.35">
      <c r="M330">
        <f>_xlfn.XLOOKUP(B330,[24]Sheet1!$A:$A,[24]Sheet1!$B:$B,0)</f>
        <v>0</v>
      </c>
      <c r="P330">
        <f>_xlfn.XLOOKUP(B330,'[11]Apr-25'!$A:$A,'[11]Apr-25'!$B:$B,0)</f>
        <v>0</v>
      </c>
      <c r="Q330">
        <f>_xlfn.XLOOKUP(B330,'[12]Apr 25'!$A:$A,'[12]Apr 25'!$B:$B,0)</f>
        <v>0</v>
      </c>
      <c r="R330">
        <f>_xlfn.XLOOKUP(B330,[25]Sheet1!$B:$B,[25]Sheet1!$C:$C,0)</f>
        <v>0</v>
      </c>
      <c r="S330">
        <f>_xlfn.XLOOKUP(B330,[13]PROV!$A:$A,[13]PROV!$B:$B,0)</f>
        <v>0</v>
      </c>
    </row>
    <row r="331" spans="13:19" x14ac:dyDescent="0.35">
      <c r="M331">
        <f>_xlfn.XLOOKUP(B331,[24]Sheet1!$A:$A,[24]Sheet1!$B:$B,0)</f>
        <v>0</v>
      </c>
      <c r="P331">
        <f>_xlfn.XLOOKUP(B331,'[11]Apr-25'!$A:$A,'[11]Apr-25'!$B:$B,0)</f>
        <v>0</v>
      </c>
      <c r="Q331">
        <f>_xlfn.XLOOKUP(B331,'[12]Apr 25'!$A:$A,'[12]Apr 25'!$B:$B,0)</f>
        <v>0</v>
      </c>
      <c r="R331">
        <f>_xlfn.XLOOKUP(B331,[25]Sheet1!$B:$B,[25]Sheet1!$C:$C,0)</f>
        <v>0</v>
      </c>
      <c r="S331">
        <f>_xlfn.XLOOKUP(B331,[13]PROV!$A:$A,[13]PROV!$B:$B,0)</f>
        <v>0</v>
      </c>
    </row>
    <row r="332" spans="13:19" x14ac:dyDescent="0.35">
      <c r="M332">
        <f>_xlfn.XLOOKUP(B332,[24]Sheet1!$A:$A,[24]Sheet1!$B:$B,0)</f>
        <v>0</v>
      </c>
      <c r="P332">
        <f>_xlfn.XLOOKUP(B332,'[11]Apr-25'!$A:$A,'[11]Apr-25'!$B:$B,0)</f>
        <v>0</v>
      </c>
      <c r="Q332">
        <f>_xlfn.XLOOKUP(B332,'[12]Apr 25'!$A:$A,'[12]Apr 25'!$B:$B,0)</f>
        <v>0</v>
      </c>
      <c r="R332">
        <f>_xlfn.XLOOKUP(B332,[25]Sheet1!$B:$B,[25]Sheet1!$C:$C,0)</f>
        <v>0</v>
      </c>
      <c r="S332">
        <f>_xlfn.XLOOKUP(B332,[13]PROV!$A:$A,[13]PROV!$B:$B,0)</f>
        <v>0</v>
      </c>
    </row>
    <row r="333" spans="13:19" x14ac:dyDescent="0.35">
      <c r="M333">
        <f>_xlfn.XLOOKUP(B333,[24]Sheet1!$A:$A,[24]Sheet1!$B:$B,0)</f>
        <v>0</v>
      </c>
      <c r="P333">
        <f>_xlfn.XLOOKUP(B333,'[11]Apr-25'!$A:$A,'[11]Apr-25'!$B:$B,0)</f>
        <v>0</v>
      </c>
      <c r="Q333">
        <f>_xlfn.XLOOKUP(B333,'[12]Apr 25'!$A:$A,'[12]Apr 25'!$B:$B,0)</f>
        <v>0</v>
      </c>
      <c r="R333">
        <f>_xlfn.XLOOKUP(B333,[25]Sheet1!$B:$B,[25]Sheet1!$C:$C,0)</f>
        <v>0</v>
      </c>
      <c r="S333">
        <f>_xlfn.XLOOKUP(B333,[13]PROV!$A:$A,[13]PROV!$B:$B,0)</f>
        <v>0</v>
      </c>
    </row>
    <row r="334" spans="13:19" x14ac:dyDescent="0.35">
      <c r="M334">
        <f>_xlfn.XLOOKUP(B334,[24]Sheet1!$A:$A,[24]Sheet1!$B:$B,0)</f>
        <v>0</v>
      </c>
      <c r="P334">
        <f>_xlfn.XLOOKUP(B334,'[11]Apr-25'!$A:$A,'[11]Apr-25'!$B:$B,0)</f>
        <v>0</v>
      </c>
      <c r="Q334">
        <f>_xlfn.XLOOKUP(B334,'[12]Apr 25'!$A:$A,'[12]Apr 25'!$B:$B,0)</f>
        <v>0</v>
      </c>
      <c r="R334">
        <f>_xlfn.XLOOKUP(B334,[25]Sheet1!$B:$B,[25]Sheet1!$C:$C,0)</f>
        <v>0</v>
      </c>
      <c r="S334">
        <f>_xlfn.XLOOKUP(B334,[13]PROV!$A:$A,[13]PROV!$B:$B,0)</f>
        <v>0</v>
      </c>
    </row>
    <row r="335" spans="13:19" x14ac:dyDescent="0.35">
      <c r="M335">
        <f>_xlfn.XLOOKUP(B335,[24]Sheet1!$A:$A,[24]Sheet1!$B:$B,0)</f>
        <v>0</v>
      </c>
      <c r="P335">
        <f>_xlfn.XLOOKUP(B335,'[11]Apr-25'!$A:$A,'[11]Apr-25'!$B:$B,0)</f>
        <v>0</v>
      </c>
      <c r="Q335">
        <f>_xlfn.XLOOKUP(B335,'[12]Apr 25'!$A:$A,'[12]Apr 25'!$B:$B,0)</f>
        <v>0</v>
      </c>
      <c r="R335">
        <f>_xlfn.XLOOKUP(B335,[25]Sheet1!$B:$B,[25]Sheet1!$C:$C,0)</f>
        <v>0</v>
      </c>
      <c r="S335">
        <f>_xlfn.XLOOKUP(B335,[13]PROV!$A:$A,[13]PROV!$B:$B,0)</f>
        <v>0</v>
      </c>
    </row>
    <row r="336" spans="13:19" x14ac:dyDescent="0.35">
      <c r="M336">
        <f>_xlfn.XLOOKUP(B336,[24]Sheet1!$A:$A,[24]Sheet1!$B:$B,0)</f>
        <v>0</v>
      </c>
      <c r="P336">
        <f>_xlfn.XLOOKUP(B336,'[11]Apr-25'!$A:$A,'[11]Apr-25'!$B:$B,0)</f>
        <v>0</v>
      </c>
      <c r="Q336">
        <f>_xlfn.XLOOKUP(B336,'[12]Apr 25'!$A:$A,'[12]Apr 25'!$B:$B,0)</f>
        <v>0</v>
      </c>
      <c r="R336">
        <f>_xlfn.XLOOKUP(B336,[25]Sheet1!$B:$B,[25]Sheet1!$C:$C,0)</f>
        <v>0</v>
      </c>
      <c r="S336">
        <f>_xlfn.XLOOKUP(B336,[13]PROV!$A:$A,[13]PROV!$B:$B,0)</f>
        <v>0</v>
      </c>
    </row>
    <row r="337" spans="13:19" x14ac:dyDescent="0.35">
      <c r="M337">
        <f>_xlfn.XLOOKUP(B337,[24]Sheet1!$A:$A,[24]Sheet1!$B:$B,0)</f>
        <v>0</v>
      </c>
      <c r="P337">
        <f>_xlfn.XLOOKUP(B337,'[11]Apr-25'!$A:$A,'[11]Apr-25'!$B:$B,0)</f>
        <v>0</v>
      </c>
      <c r="Q337">
        <f>_xlfn.XLOOKUP(B337,'[12]Apr 25'!$A:$A,'[12]Apr 25'!$B:$B,0)</f>
        <v>0</v>
      </c>
      <c r="R337">
        <f>_xlfn.XLOOKUP(B337,[25]Sheet1!$B:$B,[25]Sheet1!$C:$C,0)</f>
        <v>0</v>
      </c>
      <c r="S337">
        <f>_xlfn.XLOOKUP(B337,[13]PROV!$A:$A,[13]PROV!$B:$B,0)</f>
        <v>0</v>
      </c>
    </row>
    <row r="338" spans="13:19" x14ac:dyDescent="0.35">
      <c r="M338">
        <f>_xlfn.XLOOKUP(B338,[24]Sheet1!$A:$A,[24]Sheet1!$B:$B,0)</f>
        <v>0</v>
      </c>
      <c r="P338">
        <f>_xlfn.XLOOKUP(B338,'[11]Apr-25'!$A:$A,'[11]Apr-25'!$B:$B,0)</f>
        <v>0</v>
      </c>
      <c r="Q338">
        <f>_xlfn.XLOOKUP(B338,'[12]Apr 25'!$A:$A,'[12]Apr 25'!$B:$B,0)</f>
        <v>0</v>
      </c>
      <c r="R338">
        <f>_xlfn.XLOOKUP(B338,[25]Sheet1!$B:$B,[25]Sheet1!$C:$C,0)</f>
        <v>0</v>
      </c>
      <c r="S338">
        <f>_xlfn.XLOOKUP(B338,[13]PROV!$A:$A,[13]PROV!$B:$B,0)</f>
        <v>0</v>
      </c>
    </row>
    <row r="339" spans="13:19" x14ac:dyDescent="0.35">
      <c r="M339">
        <f>_xlfn.XLOOKUP(B339,[24]Sheet1!$A:$A,[24]Sheet1!$B:$B,0)</f>
        <v>0</v>
      </c>
      <c r="P339">
        <f>_xlfn.XLOOKUP(B339,'[11]Apr-25'!$A:$A,'[11]Apr-25'!$B:$B,0)</f>
        <v>0</v>
      </c>
      <c r="Q339">
        <f>_xlfn.XLOOKUP(B339,'[12]Apr 25'!$A:$A,'[12]Apr 25'!$B:$B,0)</f>
        <v>0</v>
      </c>
      <c r="R339">
        <f>_xlfn.XLOOKUP(B339,[25]Sheet1!$B:$B,[25]Sheet1!$C:$C,0)</f>
        <v>0</v>
      </c>
      <c r="S339">
        <f>_xlfn.XLOOKUP(B339,[13]PROV!$A:$A,[13]PROV!$B:$B,0)</f>
        <v>0</v>
      </c>
    </row>
    <row r="340" spans="13:19" x14ac:dyDescent="0.35">
      <c r="M340">
        <f>_xlfn.XLOOKUP(B340,[24]Sheet1!$A:$A,[24]Sheet1!$B:$B,0)</f>
        <v>0</v>
      </c>
      <c r="P340">
        <f>_xlfn.XLOOKUP(B340,'[11]Apr-25'!$A:$A,'[11]Apr-25'!$B:$B,0)</f>
        <v>0</v>
      </c>
      <c r="Q340">
        <f>_xlfn.XLOOKUP(B340,'[12]Apr 25'!$A:$A,'[12]Apr 25'!$B:$B,0)</f>
        <v>0</v>
      </c>
      <c r="R340">
        <f>_xlfn.XLOOKUP(B340,[25]Sheet1!$B:$B,[25]Sheet1!$C:$C,0)</f>
        <v>0</v>
      </c>
      <c r="S340">
        <f>_xlfn.XLOOKUP(B340,[13]PROV!$A:$A,[13]PROV!$B:$B,0)</f>
        <v>0</v>
      </c>
    </row>
    <row r="341" spans="13:19" x14ac:dyDescent="0.35">
      <c r="M341">
        <f>_xlfn.XLOOKUP(B341,[24]Sheet1!$A:$A,[24]Sheet1!$B:$B,0)</f>
        <v>0</v>
      </c>
      <c r="P341">
        <f>_xlfn.XLOOKUP(B341,'[11]Apr-25'!$A:$A,'[11]Apr-25'!$B:$B,0)</f>
        <v>0</v>
      </c>
      <c r="Q341">
        <f>_xlfn.XLOOKUP(B341,'[12]Apr 25'!$A:$A,'[12]Apr 25'!$B:$B,0)</f>
        <v>0</v>
      </c>
      <c r="R341">
        <f>_xlfn.XLOOKUP(B341,[25]Sheet1!$B:$B,[25]Sheet1!$C:$C,0)</f>
        <v>0</v>
      </c>
      <c r="S341">
        <f>_xlfn.XLOOKUP(B341,[13]PROV!$A:$A,[13]PROV!$B:$B,0)</f>
        <v>0</v>
      </c>
    </row>
    <row r="342" spans="13:19" x14ac:dyDescent="0.35">
      <c r="M342">
        <f>_xlfn.XLOOKUP(B342,[24]Sheet1!$A:$A,[24]Sheet1!$B:$B,0)</f>
        <v>0</v>
      </c>
      <c r="P342">
        <f>_xlfn.XLOOKUP(B342,'[11]Apr-25'!$A:$A,'[11]Apr-25'!$B:$B,0)</f>
        <v>0</v>
      </c>
      <c r="Q342">
        <f>_xlfn.XLOOKUP(B342,'[12]Apr 25'!$A:$A,'[12]Apr 25'!$B:$B,0)</f>
        <v>0</v>
      </c>
      <c r="R342">
        <f>_xlfn.XLOOKUP(B342,[25]Sheet1!$B:$B,[25]Sheet1!$C:$C,0)</f>
        <v>0</v>
      </c>
      <c r="S342">
        <f>_xlfn.XLOOKUP(B342,[13]PROV!$A:$A,[13]PROV!$B:$B,0)</f>
        <v>0</v>
      </c>
    </row>
    <row r="343" spans="13:19" x14ac:dyDescent="0.35">
      <c r="M343">
        <f>_xlfn.XLOOKUP(B343,[24]Sheet1!$A:$A,[24]Sheet1!$B:$B,0)</f>
        <v>0</v>
      </c>
      <c r="P343">
        <f>_xlfn.XLOOKUP(B343,'[11]Apr-25'!$A:$A,'[11]Apr-25'!$B:$B,0)</f>
        <v>0</v>
      </c>
      <c r="Q343">
        <f>_xlfn.XLOOKUP(B343,'[12]Apr 25'!$A:$A,'[12]Apr 25'!$B:$B,0)</f>
        <v>0</v>
      </c>
      <c r="R343">
        <f>_xlfn.XLOOKUP(B343,[25]Sheet1!$B:$B,[25]Sheet1!$C:$C,0)</f>
        <v>0</v>
      </c>
      <c r="S343">
        <f>_xlfn.XLOOKUP(B343,[13]PROV!$A:$A,[13]PROV!$B:$B,0)</f>
        <v>0</v>
      </c>
    </row>
    <row r="344" spans="13:19" x14ac:dyDescent="0.35">
      <c r="M344">
        <f>_xlfn.XLOOKUP(B344,[24]Sheet1!$A:$A,[24]Sheet1!$B:$B,0)</f>
        <v>0</v>
      </c>
      <c r="P344">
        <f>_xlfn.XLOOKUP(B344,'[11]Apr-25'!$A:$A,'[11]Apr-25'!$B:$B,0)</f>
        <v>0</v>
      </c>
      <c r="Q344">
        <f>_xlfn.XLOOKUP(B344,'[12]Apr 25'!$A:$A,'[12]Apr 25'!$B:$B,0)</f>
        <v>0</v>
      </c>
      <c r="R344">
        <f>_xlfn.XLOOKUP(B344,[25]Sheet1!$B:$B,[25]Sheet1!$C:$C,0)</f>
        <v>0</v>
      </c>
      <c r="S344">
        <f>_xlfn.XLOOKUP(B344,[13]PROV!$A:$A,[13]PROV!$B:$B,0)</f>
        <v>0</v>
      </c>
    </row>
    <row r="345" spans="13:19" x14ac:dyDescent="0.35">
      <c r="M345">
        <f>_xlfn.XLOOKUP(B345,[24]Sheet1!$A:$A,[24]Sheet1!$B:$B,0)</f>
        <v>0</v>
      </c>
      <c r="P345">
        <f>_xlfn.XLOOKUP(B345,'[11]Apr-25'!$A:$A,'[11]Apr-25'!$B:$B,0)</f>
        <v>0</v>
      </c>
      <c r="Q345">
        <f>_xlfn.XLOOKUP(B345,'[12]Apr 25'!$A:$A,'[12]Apr 25'!$B:$B,0)</f>
        <v>0</v>
      </c>
      <c r="R345">
        <f>_xlfn.XLOOKUP(B345,[25]Sheet1!$B:$B,[25]Sheet1!$C:$C,0)</f>
        <v>0</v>
      </c>
      <c r="S345">
        <f>_xlfn.XLOOKUP(B345,[13]PROV!$A:$A,[13]PROV!$B:$B,0)</f>
        <v>0</v>
      </c>
    </row>
    <row r="346" spans="13:19" x14ac:dyDescent="0.35">
      <c r="M346">
        <f>_xlfn.XLOOKUP(B346,[24]Sheet1!$A:$A,[24]Sheet1!$B:$B,0)</f>
        <v>0</v>
      </c>
      <c r="P346">
        <f>_xlfn.XLOOKUP(B346,'[11]Apr-25'!$A:$A,'[11]Apr-25'!$B:$B,0)</f>
        <v>0</v>
      </c>
      <c r="Q346">
        <f>_xlfn.XLOOKUP(B346,'[12]Apr 25'!$A:$A,'[12]Apr 25'!$B:$B,0)</f>
        <v>0</v>
      </c>
      <c r="R346">
        <f>_xlfn.XLOOKUP(B346,[25]Sheet1!$B:$B,[25]Sheet1!$C:$C,0)</f>
        <v>0</v>
      </c>
      <c r="S346">
        <f>_xlfn.XLOOKUP(B346,[13]PROV!$A:$A,[13]PROV!$B:$B,0)</f>
        <v>0</v>
      </c>
    </row>
    <row r="347" spans="13:19" x14ac:dyDescent="0.35">
      <c r="M347">
        <f>_xlfn.XLOOKUP(B347,[24]Sheet1!$A:$A,[24]Sheet1!$B:$B,0)</f>
        <v>0</v>
      </c>
      <c r="P347">
        <f>_xlfn.XLOOKUP(B347,'[11]Apr-25'!$A:$A,'[11]Apr-25'!$B:$B,0)</f>
        <v>0</v>
      </c>
      <c r="Q347">
        <f>_xlfn.XLOOKUP(B347,'[12]Apr 25'!$A:$A,'[12]Apr 25'!$B:$B,0)</f>
        <v>0</v>
      </c>
      <c r="R347">
        <f>_xlfn.XLOOKUP(B347,[25]Sheet1!$B:$B,[25]Sheet1!$C:$C,0)</f>
        <v>0</v>
      </c>
      <c r="S347">
        <f>_xlfn.XLOOKUP(B347,[13]PROV!$A:$A,[13]PROV!$B:$B,0)</f>
        <v>0</v>
      </c>
    </row>
    <row r="348" spans="13:19" x14ac:dyDescent="0.35">
      <c r="M348">
        <f>_xlfn.XLOOKUP(B348,[24]Sheet1!$A:$A,[24]Sheet1!$B:$B,0)</f>
        <v>0</v>
      </c>
      <c r="P348">
        <f>_xlfn.XLOOKUP(B348,'[11]Apr-25'!$A:$A,'[11]Apr-25'!$B:$B,0)</f>
        <v>0</v>
      </c>
      <c r="Q348">
        <f>_xlfn.XLOOKUP(B348,'[12]Apr 25'!$A:$A,'[12]Apr 25'!$B:$B,0)</f>
        <v>0</v>
      </c>
      <c r="R348">
        <f>_xlfn.XLOOKUP(B348,[25]Sheet1!$B:$B,[25]Sheet1!$C:$C,0)</f>
        <v>0</v>
      </c>
      <c r="S348">
        <f>_xlfn.XLOOKUP(B348,[13]PROV!$A:$A,[13]PROV!$B:$B,0)</f>
        <v>0</v>
      </c>
    </row>
    <row r="349" spans="13:19" x14ac:dyDescent="0.35">
      <c r="M349">
        <f>_xlfn.XLOOKUP(B349,[24]Sheet1!$A:$A,[24]Sheet1!$B:$B,0)</f>
        <v>0</v>
      </c>
      <c r="P349">
        <f>_xlfn.XLOOKUP(B349,'[11]Apr-25'!$A:$A,'[11]Apr-25'!$B:$B,0)</f>
        <v>0</v>
      </c>
      <c r="Q349">
        <f>_xlfn.XLOOKUP(B349,'[12]Apr 25'!$A:$A,'[12]Apr 25'!$B:$B,0)</f>
        <v>0</v>
      </c>
      <c r="R349">
        <f>_xlfn.XLOOKUP(B349,[25]Sheet1!$B:$B,[25]Sheet1!$C:$C,0)</f>
        <v>0</v>
      </c>
      <c r="S349">
        <f>_xlfn.XLOOKUP(B349,[13]PROV!$A:$A,[13]PROV!$B:$B,0)</f>
        <v>0</v>
      </c>
    </row>
    <row r="350" spans="13:19" x14ac:dyDescent="0.35">
      <c r="M350">
        <f>_xlfn.XLOOKUP(B350,[24]Sheet1!$A:$A,[24]Sheet1!$B:$B,0)</f>
        <v>0</v>
      </c>
      <c r="P350">
        <f>_xlfn.XLOOKUP(B350,'[11]Apr-25'!$A:$A,'[11]Apr-25'!$B:$B,0)</f>
        <v>0</v>
      </c>
      <c r="Q350">
        <f>_xlfn.XLOOKUP(B350,'[12]Apr 25'!$A:$A,'[12]Apr 25'!$B:$B,0)</f>
        <v>0</v>
      </c>
      <c r="R350">
        <f>_xlfn.XLOOKUP(B350,[25]Sheet1!$B:$B,[25]Sheet1!$C:$C,0)</f>
        <v>0</v>
      </c>
      <c r="S350">
        <f>_xlfn.XLOOKUP(B350,[13]PROV!$A:$A,[13]PROV!$B:$B,0)</f>
        <v>0</v>
      </c>
    </row>
    <row r="351" spans="13:19" x14ac:dyDescent="0.35">
      <c r="M351">
        <f>_xlfn.XLOOKUP(B351,[24]Sheet1!$A:$A,[24]Sheet1!$B:$B,0)</f>
        <v>0</v>
      </c>
      <c r="P351">
        <f>_xlfn.XLOOKUP(B351,'[11]Apr-25'!$A:$A,'[11]Apr-25'!$B:$B,0)</f>
        <v>0</v>
      </c>
      <c r="Q351">
        <f>_xlfn.XLOOKUP(B351,'[12]Apr 25'!$A:$A,'[12]Apr 25'!$B:$B,0)</f>
        <v>0</v>
      </c>
      <c r="R351">
        <f>_xlfn.XLOOKUP(B351,[25]Sheet1!$B:$B,[25]Sheet1!$C:$C,0)</f>
        <v>0</v>
      </c>
      <c r="S351">
        <f>_xlfn.XLOOKUP(B351,[13]PROV!$A:$A,[13]PROV!$B:$B,0)</f>
        <v>0</v>
      </c>
    </row>
    <row r="352" spans="13:19" x14ac:dyDescent="0.35">
      <c r="M352">
        <f>_xlfn.XLOOKUP(B352,[24]Sheet1!$A:$A,[24]Sheet1!$B:$B,0)</f>
        <v>0</v>
      </c>
      <c r="P352">
        <f>_xlfn.XLOOKUP(B352,'[11]Apr-25'!$A:$A,'[11]Apr-25'!$B:$B,0)</f>
        <v>0</v>
      </c>
      <c r="Q352">
        <f>_xlfn.XLOOKUP(B352,'[12]Apr 25'!$A:$A,'[12]Apr 25'!$B:$B,0)</f>
        <v>0</v>
      </c>
      <c r="R352">
        <f>_xlfn.XLOOKUP(B352,[25]Sheet1!$B:$B,[25]Sheet1!$C:$C,0)</f>
        <v>0</v>
      </c>
      <c r="S352">
        <f>_xlfn.XLOOKUP(B352,[13]PROV!$A:$A,[13]PROV!$B:$B,0)</f>
        <v>0</v>
      </c>
    </row>
    <row r="353" spans="13:19" x14ac:dyDescent="0.35">
      <c r="M353">
        <f>_xlfn.XLOOKUP(B353,[24]Sheet1!$A:$A,[24]Sheet1!$B:$B,0)</f>
        <v>0</v>
      </c>
      <c r="P353">
        <f>_xlfn.XLOOKUP(B353,'[11]Apr-25'!$A:$A,'[11]Apr-25'!$B:$B,0)</f>
        <v>0</v>
      </c>
      <c r="Q353">
        <f>_xlfn.XLOOKUP(B353,'[12]Apr 25'!$A:$A,'[12]Apr 25'!$B:$B,0)</f>
        <v>0</v>
      </c>
      <c r="R353">
        <f>_xlfn.XLOOKUP(B353,[25]Sheet1!$B:$B,[25]Sheet1!$C:$C,0)</f>
        <v>0</v>
      </c>
      <c r="S353">
        <f>_xlfn.XLOOKUP(B353,[13]PROV!$A:$A,[13]PROV!$B:$B,0)</f>
        <v>0</v>
      </c>
    </row>
    <row r="354" spans="13:19" x14ac:dyDescent="0.35">
      <c r="M354">
        <f>_xlfn.XLOOKUP(B354,[24]Sheet1!$A:$A,[24]Sheet1!$B:$B,0)</f>
        <v>0</v>
      </c>
      <c r="P354">
        <f>_xlfn.XLOOKUP(B354,'[11]Apr-25'!$A:$A,'[11]Apr-25'!$B:$B,0)</f>
        <v>0</v>
      </c>
      <c r="Q354">
        <f>_xlfn.XLOOKUP(B354,'[12]Apr 25'!$A:$A,'[12]Apr 25'!$B:$B,0)</f>
        <v>0</v>
      </c>
      <c r="R354">
        <f>_xlfn.XLOOKUP(B354,[25]Sheet1!$B:$B,[25]Sheet1!$C:$C,0)</f>
        <v>0</v>
      </c>
      <c r="S354">
        <f>_xlfn.XLOOKUP(B354,[13]PROV!$A:$A,[13]PROV!$B:$B,0)</f>
        <v>0</v>
      </c>
    </row>
    <row r="355" spans="13:19" x14ac:dyDescent="0.35">
      <c r="M355">
        <f>_xlfn.XLOOKUP(B355,[24]Sheet1!$A:$A,[24]Sheet1!$B:$B,0)</f>
        <v>0</v>
      </c>
      <c r="P355">
        <f>_xlfn.XLOOKUP(B355,'[11]Apr-25'!$A:$A,'[11]Apr-25'!$B:$B,0)</f>
        <v>0</v>
      </c>
      <c r="Q355">
        <f>_xlfn.XLOOKUP(B355,'[12]Apr 25'!$A:$A,'[12]Apr 25'!$B:$B,0)</f>
        <v>0</v>
      </c>
      <c r="R355">
        <f>_xlfn.XLOOKUP(B355,[25]Sheet1!$B:$B,[25]Sheet1!$C:$C,0)</f>
        <v>0</v>
      </c>
      <c r="S355">
        <f>_xlfn.XLOOKUP(B355,[13]PROV!$A:$A,[13]PROV!$B:$B,0)</f>
        <v>0</v>
      </c>
    </row>
    <row r="356" spans="13:19" x14ac:dyDescent="0.35">
      <c r="M356">
        <f>_xlfn.XLOOKUP(B356,[24]Sheet1!$A:$A,[24]Sheet1!$B:$B,0)</f>
        <v>0</v>
      </c>
      <c r="P356">
        <f>_xlfn.XLOOKUP(B356,'[11]Apr-25'!$A:$A,'[11]Apr-25'!$B:$B,0)</f>
        <v>0</v>
      </c>
      <c r="Q356">
        <f>_xlfn.XLOOKUP(B356,'[12]Apr 25'!$A:$A,'[12]Apr 25'!$B:$B,0)</f>
        <v>0</v>
      </c>
      <c r="R356">
        <f>_xlfn.XLOOKUP(B356,[25]Sheet1!$B:$B,[25]Sheet1!$C:$C,0)</f>
        <v>0</v>
      </c>
      <c r="S356">
        <f>_xlfn.XLOOKUP(B356,[13]PROV!$A:$A,[13]PROV!$B:$B,0)</f>
        <v>0</v>
      </c>
    </row>
    <row r="357" spans="13:19" x14ac:dyDescent="0.35">
      <c r="M357">
        <f>_xlfn.XLOOKUP(B357,[24]Sheet1!$A:$A,[24]Sheet1!$B:$B,0)</f>
        <v>0</v>
      </c>
      <c r="P357">
        <f>_xlfn.XLOOKUP(B357,'[11]Apr-25'!$A:$A,'[11]Apr-25'!$B:$B,0)</f>
        <v>0</v>
      </c>
      <c r="Q357">
        <f>_xlfn.XLOOKUP(B357,'[12]Apr 25'!$A:$A,'[12]Apr 25'!$B:$B,0)</f>
        <v>0</v>
      </c>
      <c r="R357">
        <f>_xlfn.XLOOKUP(B357,[25]Sheet1!$B:$B,[25]Sheet1!$C:$C,0)</f>
        <v>0</v>
      </c>
      <c r="S357">
        <f>_xlfn.XLOOKUP(B357,[13]PROV!$A:$A,[13]PROV!$B:$B,0)</f>
        <v>0</v>
      </c>
    </row>
    <row r="358" spans="13:19" x14ac:dyDescent="0.35">
      <c r="M358">
        <f>_xlfn.XLOOKUP(B358,[24]Sheet1!$A:$A,[24]Sheet1!$B:$B,0)</f>
        <v>0</v>
      </c>
      <c r="P358">
        <f>_xlfn.XLOOKUP(B358,'[11]Apr-25'!$A:$A,'[11]Apr-25'!$B:$B,0)</f>
        <v>0</v>
      </c>
      <c r="Q358">
        <f>_xlfn.XLOOKUP(B358,'[12]Apr 25'!$A:$A,'[12]Apr 25'!$B:$B,0)</f>
        <v>0</v>
      </c>
      <c r="R358">
        <f>_xlfn.XLOOKUP(B358,[25]Sheet1!$B:$B,[25]Sheet1!$C:$C,0)</f>
        <v>0</v>
      </c>
      <c r="S358">
        <f>_xlfn.XLOOKUP(B358,[13]PROV!$A:$A,[13]PROV!$B:$B,0)</f>
        <v>0</v>
      </c>
    </row>
    <row r="359" spans="13:19" x14ac:dyDescent="0.35">
      <c r="M359">
        <f>_xlfn.XLOOKUP(B359,[24]Sheet1!$A:$A,[24]Sheet1!$B:$B,0)</f>
        <v>0</v>
      </c>
      <c r="P359">
        <f>_xlfn.XLOOKUP(B359,'[11]Apr-25'!$A:$A,'[11]Apr-25'!$B:$B,0)</f>
        <v>0</v>
      </c>
      <c r="Q359">
        <f>_xlfn.XLOOKUP(B359,'[12]Apr 25'!$A:$A,'[12]Apr 25'!$B:$B,0)</f>
        <v>0</v>
      </c>
      <c r="S359">
        <f>_xlfn.XLOOKUP(B359,[13]PROV!$A:$A,[13]PROV!$B:$B,0)</f>
        <v>0</v>
      </c>
    </row>
    <row r="360" spans="13:19" x14ac:dyDescent="0.35">
      <c r="P360">
        <f>_xlfn.XLOOKUP(B360,'[11]Apr-25'!$A:$A,'[11]Apr-25'!$B:$B,0)</f>
        <v>0</v>
      </c>
      <c r="Q360">
        <f>_xlfn.XLOOKUP(B360,'[12]Apr 25'!$A:$A,'[12]Apr 25'!$B:$B,0)</f>
        <v>0</v>
      </c>
      <c r="S360">
        <f>_xlfn.XLOOKUP(B360,[13]PROV!$A:$A,[13]PROV!$B:$B,0)</f>
        <v>0</v>
      </c>
    </row>
    <row r="361" spans="13:19" x14ac:dyDescent="0.35">
      <c r="P361">
        <f>_xlfn.XLOOKUP(B361,'[11]Apr-25'!$A:$A,'[11]Apr-25'!$B:$B,0)</f>
        <v>0</v>
      </c>
      <c r="Q361">
        <f>_xlfn.XLOOKUP(B361,'[12]Apr 25'!$A:$A,'[12]Apr 25'!$B:$B,0)</f>
        <v>0</v>
      </c>
      <c r="S361">
        <f>_xlfn.XLOOKUP(B361,[13]PROV!$A:$A,[13]PROV!$B:$B,0)</f>
        <v>0</v>
      </c>
    </row>
    <row r="362" spans="13:19" x14ac:dyDescent="0.35">
      <c r="Q362">
        <f>_xlfn.XLOOKUP(B362,'[12]Apr 25'!$A:$A,'[12]Apr 25'!$B:$B,0)</f>
        <v>0</v>
      </c>
      <c r="S362">
        <f>_xlfn.XLOOKUP(B362,[13]PROV!$A:$A,[13]PROV!$B:$B,0)</f>
        <v>0</v>
      </c>
    </row>
    <row r="363" spans="13:19" x14ac:dyDescent="0.35">
      <c r="Q363">
        <f>_xlfn.XLOOKUP(B363,'[12]Apr 25'!$A:$A,'[12]Apr 25'!$B:$B,0)</f>
        <v>0</v>
      </c>
      <c r="S363">
        <f>_xlfn.XLOOKUP(B363,[13]PROV!$A:$A,[13]PROV!$B:$B,0)</f>
        <v>0</v>
      </c>
    </row>
    <row r="364" spans="13:19" x14ac:dyDescent="0.35">
      <c r="Q364">
        <f>_xlfn.XLOOKUP(B364,'[12]Apr 25'!$A:$A,'[12]Apr 25'!$B:$B,0)</f>
        <v>0</v>
      </c>
      <c r="S364">
        <f>_xlfn.XLOOKUP(B364,[13]PROV!$A:$A,[13]PROV!$B:$B,0)</f>
        <v>0</v>
      </c>
    </row>
    <row r="365" spans="13:19" x14ac:dyDescent="0.35">
      <c r="Q365">
        <f>_xlfn.XLOOKUP(B365,'[12]Apr 25'!$A:$A,'[12]Apr 25'!$B:$B,0)</f>
        <v>0</v>
      </c>
      <c r="S365">
        <f>_xlfn.XLOOKUP(B365,[13]PROV!$A:$A,[13]PROV!$B:$B,0)</f>
        <v>0</v>
      </c>
    </row>
  </sheetData>
  <autoFilter ref="A1:B250" xr:uid="{84E5A40E-FE87-44C0-A2AA-7FB738EFD047}"/>
  <conditionalFormatting sqref="B276:B1048576">
    <cfRule type="duplicateValues" dxfId="14" priority="14"/>
  </conditionalFormatting>
  <conditionalFormatting sqref="B1">
    <cfRule type="duplicateValues" dxfId="13" priority="10"/>
  </conditionalFormatting>
  <conditionalFormatting sqref="A130:A131">
    <cfRule type="duplicateValues" dxfId="12" priority="4"/>
  </conditionalFormatting>
  <conditionalFormatting sqref="A233">
    <cfRule type="duplicateValues" dxfId="11" priority="1"/>
  </conditionalFormatting>
  <conditionalFormatting sqref="A260">
    <cfRule type="duplicateValues" dxfId="10" priority="3"/>
  </conditionalFormatting>
  <conditionalFormatting sqref="A263">
    <cfRule type="duplicateValues" dxfId="9" priority="2"/>
  </conditionalFormatting>
  <conditionalFormatting sqref="B2:B275">
    <cfRule type="duplicateValues" dxfId="8" priority="5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36F4-D4E8-477F-A993-4036D45BAE2B}">
  <sheetPr filterMode="1"/>
  <dimension ref="A4:AF274"/>
  <sheetViews>
    <sheetView topLeftCell="F195" workbookViewId="0">
      <selection activeCell="P267" sqref="P267"/>
    </sheetView>
  </sheetViews>
  <sheetFormatPr defaultRowHeight="14.5" x14ac:dyDescent="0.35"/>
  <cols>
    <col min="1" max="1" width="44.54296875" bestFit="1" customWidth="1"/>
    <col min="2" max="2" width="45" bestFit="1" customWidth="1"/>
    <col min="3" max="3" width="24.1796875" customWidth="1"/>
    <col min="4" max="4" width="16.453125" customWidth="1"/>
    <col min="5" max="5" width="21.1796875" customWidth="1"/>
    <col min="6" max="6" width="18.90625" customWidth="1"/>
    <col min="7" max="7" width="12.54296875" style="37" bestFit="1" customWidth="1"/>
    <col min="8" max="8" width="13.6328125" style="37" bestFit="1" customWidth="1"/>
    <col min="9" max="9" width="11.90625" style="37" bestFit="1" customWidth="1"/>
    <col min="10" max="10" width="13.6328125" style="51" bestFit="1" customWidth="1"/>
    <col min="11" max="11" width="12" style="37" bestFit="1" customWidth="1"/>
    <col min="12" max="12" width="11" style="37" bestFit="1" customWidth="1"/>
    <col min="13" max="13" width="8.81640625" style="37"/>
    <col min="14" max="14" width="12" bestFit="1" customWidth="1"/>
    <col min="15" max="15" width="14.1796875" bestFit="1" customWidth="1"/>
    <col min="16" max="16" width="11" bestFit="1" customWidth="1"/>
    <col min="17" max="17" width="14.6328125" bestFit="1" customWidth="1"/>
    <col min="18" max="21" width="11" bestFit="1" customWidth="1"/>
    <col min="22" max="22" width="12" bestFit="1" customWidth="1"/>
    <col min="23" max="23" width="11" bestFit="1" customWidth="1"/>
  </cols>
  <sheetData>
    <row r="4" spans="1:32" x14ac:dyDescent="0.35">
      <c r="Q4" s="58" t="e">
        <f t="shared" ref="Q4:R4" si="0">Q5-Q6-Q7</f>
        <v>#REF!</v>
      </c>
      <c r="R4" s="58" t="e">
        <f t="shared" si="0"/>
        <v>#REF!</v>
      </c>
      <c r="S4" s="58" t="e">
        <f>S5-S6-S7</f>
        <v>#REF!</v>
      </c>
    </row>
    <row r="5" spans="1:32" x14ac:dyDescent="0.35">
      <c r="B5" t="s">
        <v>554</v>
      </c>
      <c r="G5" s="37" t="e">
        <f>G7+G6</f>
        <v>#REF!</v>
      </c>
      <c r="H5" s="37" t="e">
        <f t="shared" ref="H5:V5" si="1">H7+H6</f>
        <v>#REF!</v>
      </c>
      <c r="I5" s="37" t="e">
        <f t="shared" si="1"/>
        <v>#REF!</v>
      </c>
      <c r="J5" s="37" t="e">
        <f t="shared" si="1"/>
        <v>#REF!</v>
      </c>
      <c r="K5" s="37" t="e">
        <f t="shared" si="1"/>
        <v>#REF!</v>
      </c>
      <c r="L5" s="37" t="e">
        <f t="shared" si="1"/>
        <v>#REF!</v>
      </c>
      <c r="M5" s="37" t="e">
        <f t="shared" si="1"/>
        <v>#REF!</v>
      </c>
      <c r="N5" s="37" t="e">
        <f t="shared" si="1"/>
        <v>#REF!</v>
      </c>
      <c r="O5" s="37" t="e">
        <f t="shared" si="1"/>
        <v>#REF!</v>
      </c>
      <c r="P5" s="37" t="e">
        <f t="shared" si="1"/>
        <v>#REF!</v>
      </c>
      <c r="Q5" s="37" t="e">
        <f t="shared" si="1"/>
        <v>#REF!</v>
      </c>
      <c r="R5" s="37" t="e">
        <f t="shared" si="1"/>
        <v>#REF!</v>
      </c>
      <c r="S5" s="37" t="e">
        <f t="shared" si="1"/>
        <v>#REF!</v>
      </c>
      <c r="T5" s="37" t="e">
        <f t="shared" si="1"/>
        <v>#REF!</v>
      </c>
      <c r="U5" s="37" t="e">
        <f t="shared" si="1"/>
        <v>#REF!</v>
      </c>
      <c r="V5" s="37" t="e">
        <f t="shared" si="1"/>
        <v>#REF!</v>
      </c>
      <c r="W5" t="s">
        <v>613</v>
      </c>
      <c r="X5" s="287" t="e">
        <f>V5/10^5</f>
        <v>#REF!</v>
      </c>
    </row>
    <row r="6" spans="1:32" x14ac:dyDescent="0.35">
      <c r="B6" t="s">
        <v>550</v>
      </c>
      <c r="G6" s="37" t="e">
        <f>#REF!</f>
        <v>#REF!</v>
      </c>
      <c r="H6" s="37" t="e">
        <f>#REF!</f>
        <v>#REF!</v>
      </c>
      <c r="I6" s="37" t="e">
        <f>#REF!</f>
        <v>#REF!</v>
      </c>
      <c r="J6" s="37" t="e">
        <f>#REF!</f>
        <v>#REF!</v>
      </c>
      <c r="K6" s="37" t="e">
        <f>#REF!</f>
        <v>#REF!</v>
      </c>
      <c r="L6" s="37" t="e">
        <f>#REF!</f>
        <v>#REF!</v>
      </c>
      <c r="M6" s="37" t="e">
        <f>#REF!</f>
        <v>#REF!</v>
      </c>
      <c r="N6" s="37" t="e">
        <f>#REF!</f>
        <v>#REF!</v>
      </c>
      <c r="O6" s="37" t="e">
        <f>#REF!</f>
        <v>#REF!</v>
      </c>
      <c r="P6" s="37" t="e">
        <f>#REF!</f>
        <v>#REF!</v>
      </c>
      <c r="Q6" s="37" t="e">
        <f>#REF!</f>
        <v>#REF!</v>
      </c>
      <c r="R6" s="37" t="e">
        <f>#REF!</f>
        <v>#REF!</v>
      </c>
      <c r="S6" s="37" t="e">
        <f>#REF!</f>
        <v>#REF!</v>
      </c>
      <c r="T6" s="37" t="e">
        <f>#REF!</f>
        <v>#REF!</v>
      </c>
      <c r="U6" s="37" t="e">
        <f>#REF!</f>
        <v>#REF!</v>
      </c>
      <c r="V6" s="37" t="e">
        <f>#REF!</f>
        <v>#REF!</v>
      </c>
      <c r="W6" s="58" t="s">
        <v>612</v>
      </c>
      <c r="X6" s="287" t="e">
        <f>V6/10^5</f>
        <v>#REF!</v>
      </c>
    </row>
    <row r="7" spans="1:32" s="37" customFormat="1" x14ac:dyDescent="0.35">
      <c r="G7" s="37">
        <f t="shared" ref="G7:V7" si="2">SUBTOTAL(9,G9:G309)</f>
        <v>0</v>
      </c>
      <c r="H7" s="37" t="e">
        <f t="shared" si="2"/>
        <v>#REF!</v>
      </c>
      <c r="I7" s="37" t="e">
        <f t="shared" si="2"/>
        <v>#REF!</v>
      </c>
      <c r="J7" s="37" t="e">
        <f t="shared" si="2"/>
        <v>#REF!</v>
      </c>
      <c r="K7" s="37" t="e">
        <f t="shared" si="2"/>
        <v>#REF!</v>
      </c>
      <c r="L7" s="37" t="e">
        <f t="shared" si="2"/>
        <v>#REF!</v>
      </c>
      <c r="M7" s="37" t="e">
        <f t="shared" si="2"/>
        <v>#REF!</v>
      </c>
      <c r="N7" s="37" t="e">
        <f t="shared" si="2"/>
        <v>#REF!</v>
      </c>
      <c r="O7" s="37" t="e">
        <f t="shared" si="2"/>
        <v>#REF!</v>
      </c>
      <c r="P7" s="37" t="e">
        <f t="shared" si="2"/>
        <v>#REF!</v>
      </c>
      <c r="Q7" s="37" t="e">
        <f t="shared" si="2"/>
        <v>#REF!</v>
      </c>
      <c r="R7" s="37" t="e">
        <f t="shared" si="2"/>
        <v>#REF!</v>
      </c>
      <c r="S7" s="37" t="e">
        <f t="shared" si="2"/>
        <v>#REF!</v>
      </c>
      <c r="T7" s="37" t="e">
        <f t="shared" si="2"/>
        <v>#REF!</v>
      </c>
      <c r="U7" s="37" t="e">
        <f t="shared" si="2"/>
        <v>#REF!</v>
      </c>
      <c r="V7" s="37" t="e">
        <f t="shared" si="2"/>
        <v>#REF!</v>
      </c>
      <c r="W7" s="37" t="s">
        <v>614</v>
      </c>
      <c r="X7" s="37">
        <v>192.15865273841143</v>
      </c>
      <c r="Z7" s="37" t="e">
        <f>X6-X5-X7</f>
        <v>#REF!</v>
      </c>
    </row>
    <row r="8" spans="1:32" ht="70" customHeight="1" x14ac:dyDescent="0.35">
      <c r="A8" t="s">
        <v>601</v>
      </c>
      <c r="B8" s="12" t="s">
        <v>1</v>
      </c>
      <c r="C8" s="12"/>
      <c r="D8" s="12"/>
      <c r="E8" s="12"/>
      <c r="F8" s="12"/>
      <c r="G8" s="53" t="s">
        <v>7</v>
      </c>
      <c r="H8" s="53" t="s">
        <v>8</v>
      </c>
      <c r="I8" s="53" t="s">
        <v>9</v>
      </c>
      <c r="J8" s="54" t="s">
        <v>10</v>
      </c>
      <c r="K8" s="53" t="s">
        <v>11</v>
      </c>
      <c r="L8" s="53" t="s">
        <v>12</v>
      </c>
      <c r="M8" s="53" t="s">
        <v>13</v>
      </c>
      <c r="N8" s="53" t="s">
        <v>14</v>
      </c>
      <c r="O8" s="53" t="s">
        <v>15</v>
      </c>
      <c r="P8" s="53" t="s">
        <v>16</v>
      </c>
      <c r="Q8" s="53" t="s">
        <v>17</v>
      </c>
      <c r="R8" s="53" t="s">
        <v>18</v>
      </c>
      <c r="S8" s="53" t="s">
        <v>19</v>
      </c>
      <c r="T8" s="53" t="s">
        <v>20</v>
      </c>
      <c r="U8" s="53" t="s">
        <v>21</v>
      </c>
      <c r="V8" s="53" t="s">
        <v>22</v>
      </c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1:32" x14ac:dyDescent="0.35">
      <c r="A9" t="str">
        <f>_xlfn.XLOOKUP(B9,master!B:B,master!A:A)</f>
        <v>Add: Purchase expenses</v>
      </c>
      <c r="B9" s="50" t="s">
        <v>256</v>
      </c>
      <c r="C9" s="50"/>
      <c r="D9" s="50"/>
      <c r="E9" s="50"/>
      <c r="F9" s="50"/>
      <c r="G9" s="37">
        <f>IFERROR(_xlfn.XLOOKUP(B9,#REF!,#REF!),0)</f>
        <v>0</v>
      </c>
      <c r="H9" s="37" t="e">
        <f>_xlfn.XLOOKUP(B9,#REF!,#REF!)</f>
        <v>#REF!</v>
      </c>
      <c r="I9" s="37" t="e">
        <f>_xlfn.XLOOKUP(B9,#REF!,#REF!)</f>
        <v>#REF!</v>
      </c>
      <c r="J9" s="51" t="e">
        <f>_xlfn.XLOOKUP(B9,#REF!,#REF!)</f>
        <v>#REF!</v>
      </c>
      <c r="K9" s="37" t="e">
        <f>_xlfn.XLOOKUP(B9,#REF!,#REF!)</f>
        <v>#REF!</v>
      </c>
      <c r="L9" s="37" t="e">
        <f>_xlfn.XLOOKUP(B9,#REF!,#REF!)</f>
        <v>#REF!</v>
      </c>
      <c r="M9" s="37" t="e">
        <f>_xlfn.XLOOKUP(B9,#REF!,#REF!)</f>
        <v>#REF!</v>
      </c>
      <c r="N9" s="37" t="e">
        <f>_xlfn.XLOOKUP(B9,#REF!,#REF!)</f>
        <v>#REF!</v>
      </c>
      <c r="O9" s="37" t="e">
        <f>_xlfn.XLOOKUP(B9,#REF!,#REF!)</f>
        <v>#REF!</v>
      </c>
      <c r="P9" s="37" t="e">
        <f>_xlfn.XLOOKUP(B9,#REF!,#REF!)</f>
        <v>#REF!</v>
      </c>
      <c r="Q9" s="37" t="e">
        <f>_xlfn.XLOOKUP(B9,#REF!,#REF!)</f>
        <v>#REF!</v>
      </c>
      <c r="R9" s="37" t="e">
        <f>_xlfn.XLOOKUP(B9,#REF!,#REF!)</f>
        <v>#REF!</v>
      </c>
      <c r="S9" s="37" t="e">
        <f>_xlfn.XLOOKUP(B9,#REF!,#REF!)</f>
        <v>#REF!</v>
      </c>
      <c r="T9" s="37" t="e">
        <f>_xlfn.XLOOKUP(B9,#REF!,#REF!)</f>
        <v>#REF!</v>
      </c>
      <c r="U9" s="37" t="e">
        <f>_xlfn.XLOOKUP(B9,#REF!,#REF!)</f>
        <v>#REF!</v>
      </c>
      <c r="V9" s="37" t="e">
        <f>_xlfn.XLOOKUP(B9,#REF!,#REF!)</f>
        <v>#REF!</v>
      </c>
    </row>
    <row r="10" spans="1:32" x14ac:dyDescent="0.35">
      <c r="A10" t="str">
        <f>_xlfn.XLOOKUP(B10,master!B:B,master!A:A)</f>
        <v>Add: Purchase of packing materials</v>
      </c>
      <c r="B10" s="50" t="s">
        <v>257</v>
      </c>
      <c r="C10" s="50"/>
      <c r="D10" s="50"/>
      <c r="E10" s="50"/>
      <c r="F10" s="50"/>
      <c r="G10" s="37">
        <f>IFERROR(_xlfn.XLOOKUP(B10,#REF!,#REF!),0)</f>
        <v>0</v>
      </c>
      <c r="H10" s="37" t="e">
        <f>_xlfn.XLOOKUP(B10,#REF!,#REF!)</f>
        <v>#REF!</v>
      </c>
      <c r="I10" s="37" t="e">
        <f>_xlfn.XLOOKUP(B10,#REF!,#REF!)</f>
        <v>#REF!</v>
      </c>
      <c r="J10" s="51" t="e">
        <f>_xlfn.XLOOKUP(B10,#REF!,#REF!)</f>
        <v>#REF!</v>
      </c>
      <c r="K10" s="37" t="e">
        <f>_xlfn.XLOOKUP(B10,#REF!,#REF!)</f>
        <v>#REF!</v>
      </c>
      <c r="L10" s="37" t="e">
        <f>_xlfn.XLOOKUP(B10,#REF!,#REF!)</f>
        <v>#REF!</v>
      </c>
      <c r="M10" s="37" t="e">
        <f>_xlfn.XLOOKUP(B10,#REF!,#REF!)</f>
        <v>#REF!</v>
      </c>
      <c r="N10" s="37" t="e">
        <f>_xlfn.XLOOKUP(B10,#REF!,#REF!)</f>
        <v>#REF!</v>
      </c>
      <c r="O10" s="37" t="e">
        <f>_xlfn.XLOOKUP(B10,#REF!,#REF!)</f>
        <v>#REF!</v>
      </c>
      <c r="P10" s="37" t="e">
        <f>_xlfn.XLOOKUP(B10,#REF!,#REF!)</f>
        <v>#REF!</v>
      </c>
      <c r="Q10" s="37" t="e">
        <f>_xlfn.XLOOKUP(B10,#REF!,#REF!)</f>
        <v>#REF!</v>
      </c>
      <c r="R10" s="37" t="e">
        <f>_xlfn.XLOOKUP(B10,#REF!,#REF!)</f>
        <v>#REF!</v>
      </c>
      <c r="S10" s="37" t="e">
        <f>_xlfn.XLOOKUP(B10,#REF!,#REF!)</f>
        <v>#REF!</v>
      </c>
      <c r="T10" s="37" t="e">
        <f>_xlfn.XLOOKUP(B10,#REF!,#REF!)</f>
        <v>#REF!</v>
      </c>
      <c r="U10" s="37" t="e">
        <f>_xlfn.XLOOKUP(B10,#REF!,#REF!)</f>
        <v>#REF!</v>
      </c>
      <c r="V10" s="37" t="e">
        <f>_xlfn.XLOOKUP(B10,#REF!,#REF!)</f>
        <v>#REF!</v>
      </c>
    </row>
    <row r="11" spans="1:32" x14ac:dyDescent="0.35">
      <c r="A11" t="str">
        <f>_xlfn.XLOOKUP(B11,master!B:B,master!A:A)</f>
        <v>NA</v>
      </c>
      <c r="B11" s="50" t="s">
        <v>258</v>
      </c>
      <c r="C11" s="50"/>
      <c r="D11" s="50"/>
      <c r="E11" s="50"/>
      <c r="F11" s="50"/>
      <c r="G11" s="37">
        <f>IFERROR(_xlfn.XLOOKUP(B11,#REF!,#REF!),0)</f>
        <v>0</v>
      </c>
      <c r="H11" s="37" t="e">
        <f>_xlfn.XLOOKUP(B11,#REF!,#REF!)</f>
        <v>#REF!</v>
      </c>
      <c r="I11" s="37" t="e">
        <f>_xlfn.XLOOKUP(B11,#REF!,#REF!)</f>
        <v>#REF!</v>
      </c>
      <c r="J11" s="51" t="e">
        <f>_xlfn.XLOOKUP(B11,#REF!,#REF!)</f>
        <v>#REF!</v>
      </c>
      <c r="K11" s="37" t="e">
        <f>_xlfn.XLOOKUP(B11,#REF!,#REF!)</f>
        <v>#REF!</v>
      </c>
      <c r="L11" s="37" t="e">
        <f>_xlfn.XLOOKUP(B11,#REF!,#REF!)</f>
        <v>#REF!</v>
      </c>
      <c r="M11" s="37" t="e">
        <f>_xlfn.XLOOKUP(B11,#REF!,#REF!)</f>
        <v>#REF!</v>
      </c>
      <c r="N11" s="37" t="e">
        <f>_xlfn.XLOOKUP(B11,#REF!,#REF!)</f>
        <v>#REF!</v>
      </c>
      <c r="O11" s="37" t="e">
        <f>_xlfn.XLOOKUP(B11,#REF!,#REF!)</f>
        <v>#REF!</v>
      </c>
      <c r="P11" s="37" t="e">
        <f>_xlfn.XLOOKUP(B11,#REF!,#REF!)</f>
        <v>#REF!</v>
      </c>
      <c r="Q11" s="37" t="e">
        <f>_xlfn.XLOOKUP(B11,#REF!,#REF!)</f>
        <v>#REF!</v>
      </c>
      <c r="R11" s="37" t="e">
        <f>_xlfn.XLOOKUP(B11,#REF!,#REF!)</f>
        <v>#REF!</v>
      </c>
      <c r="S11" s="37" t="e">
        <f>_xlfn.XLOOKUP(B11,#REF!,#REF!)</f>
        <v>#REF!</v>
      </c>
      <c r="T11" s="37" t="e">
        <f>_xlfn.XLOOKUP(B11,#REF!,#REF!)</f>
        <v>#REF!</v>
      </c>
      <c r="U11" s="37" t="e">
        <f>_xlfn.XLOOKUP(B11,#REF!,#REF!)</f>
        <v>#REF!</v>
      </c>
      <c r="V11" s="37" t="e">
        <f>_xlfn.XLOOKUP(B11,#REF!,#REF!)</f>
        <v>#REF!</v>
      </c>
    </row>
    <row r="12" spans="1:32" x14ac:dyDescent="0.35">
      <c r="A12" t="str">
        <f>_xlfn.XLOOKUP(B12,master!B:B,master!A:A)</f>
        <v>Add: Purchase expenses</v>
      </c>
      <c r="B12" s="50" t="s">
        <v>259</v>
      </c>
      <c r="C12" s="50"/>
      <c r="D12" s="50"/>
      <c r="E12" s="50"/>
      <c r="F12" s="50"/>
      <c r="G12" s="37">
        <f>IFERROR(_xlfn.XLOOKUP(B12,#REF!,#REF!),0)</f>
        <v>0</v>
      </c>
      <c r="H12" s="37" t="e">
        <f>_xlfn.XLOOKUP(B12,#REF!,#REF!)</f>
        <v>#REF!</v>
      </c>
      <c r="I12" s="37" t="e">
        <f>_xlfn.XLOOKUP(B12,#REF!,#REF!)</f>
        <v>#REF!</v>
      </c>
      <c r="J12" s="51" t="e">
        <f>_xlfn.XLOOKUP(B12,#REF!,#REF!)</f>
        <v>#REF!</v>
      </c>
      <c r="K12" s="37" t="e">
        <f>_xlfn.XLOOKUP(B12,#REF!,#REF!)</f>
        <v>#REF!</v>
      </c>
      <c r="L12" s="37" t="e">
        <f>_xlfn.XLOOKUP(B12,#REF!,#REF!)</f>
        <v>#REF!</v>
      </c>
      <c r="M12" s="37" t="e">
        <f>_xlfn.XLOOKUP(B12,#REF!,#REF!)</f>
        <v>#REF!</v>
      </c>
      <c r="N12" s="37" t="e">
        <f>_xlfn.XLOOKUP(B12,#REF!,#REF!)</f>
        <v>#REF!</v>
      </c>
      <c r="O12" s="37" t="e">
        <f>_xlfn.XLOOKUP(B12,#REF!,#REF!)</f>
        <v>#REF!</v>
      </c>
      <c r="P12" s="37" t="e">
        <f>_xlfn.XLOOKUP(B12,#REF!,#REF!)</f>
        <v>#REF!</v>
      </c>
      <c r="Q12" s="37" t="e">
        <f>_xlfn.XLOOKUP(B12,#REF!,#REF!)</f>
        <v>#REF!</v>
      </c>
      <c r="R12" s="37" t="e">
        <f>_xlfn.XLOOKUP(B12,#REF!,#REF!)</f>
        <v>#REF!</v>
      </c>
      <c r="S12" s="37" t="e">
        <f>_xlfn.XLOOKUP(B12,#REF!,#REF!)</f>
        <v>#REF!</v>
      </c>
      <c r="T12" s="37" t="e">
        <f>_xlfn.XLOOKUP(B12,#REF!,#REF!)</f>
        <v>#REF!</v>
      </c>
      <c r="U12" s="37" t="e">
        <f>_xlfn.XLOOKUP(B12,#REF!,#REF!)</f>
        <v>#REF!</v>
      </c>
      <c r="V12" s="37" t="e">
        <f>_xlfn.XLOOKUP(B12,#REF!,#REF!)</f>
        <v>#REF!</v>
      </c>
    </row>
    <row r="13" spans="1:32" x14ac:dyDescent="0.35">
      <c r="A13" t="str">
        <f>_xlfn.XLOOKUP(B13,master!B:B,master!A:A)</f>
        <v>Add: Purchase expenses</v>
      </c>
      <c r="B13" s="50" t="s">
        <v>557</v>
      </c>
      <c r="C13" s="50"/>
      <c r="D13" s="50"/>
      <c r="E13" s="50"/>
      <c r="F13" s="50"/>
      <c r="G13" s="37">
        <f>IFERROR(_xlfn.XLOOKUP(B13,#REF!,#REF!),0)</f>
        <v>0</v>
      </c>
      <c r="H13" s="37" t="e">
        <f>_xlfn.XLOOKUP(B13,#REF!,#REF!)</f>
        <v>#REF!</v>
      </c>
      <c r="I13" s="37" t="e">
        <f>_xlfn.XLOOKUP(B13,#REF!,#REF!)</f>
        <v>#REF!</v>
      </c>
      <c r="J13" s="51" t="e">
        <f>_xlfn.XLOOKUP(B13,#REF!,#REF!)</f>
        <v>#REF!</v>
      </c>
      <c r="K13" s="37" t="e">
        <f>_xlfn.XLOOKUP(B13,#REF!,#REF!)</f>
        <v>#REF!</v>
      </c>
      <c r="L13" s="37" t="e">
        <f>_xlfn.XLOOKUP(B13,#REF!,#REF!)</f>
        <v>#REF!</v>
      </c>
      <c r="M13" s="37" t="e">
        <f>_xlfn.XLOOKUP(B13,#REF!,#REF!)</f>
        <v>#REF!</v>
      </c>
      <c r="N13" s="37" t="e">
        <f>_xlfn.XLOOKUP(B13,#REF!,#REF!)</f>
        <v>#REF!</v>
      </c>
      <c r="O13" s="37" t="e">
        <f>_xlfn.XLOOKUP(B13,#REF!,#REF!)</f>
        <v>#REF!</v>
      </c>
      <c r="P13" s="37" t="e">
        <f>_xlfn.XLOOKUP(B13,#REF!,#REF!)</f>
        <v>#REF!</v>
      </c>
      <c r="Q13" s="37" t="e">
        <f>_xlfn.XLOOKUP(B13,#REF!,#REF!)</f>
        <v>#REF!</v>
      </c>
      <c r="R13" s="37" t="e">
        <f>_xlfn.XLOOKUP(B13,#REF!,#REF!)</f>
        <v>#REF!</v>
      </c>
      <c r="S13" s="37" t="e">
        <f>_xlfn.XLOOKUP(B13,#REF!,#REF!)</f>
        <v>#REF!</v>
      </c>
      <c r="T13" s="37" t="e">
        <f>_xlfn.XLOOKUP(B13,#REF!,#REF!)</f>
        <v>#REF!</v>
      </c>
      <c r="U13" s="37" t="e">
        <f>_xlfn.XLOOKUP(B13,#REF!,#REF!)</f>
        <v>#REF!</v>
      </c>
      <c r="V13" s="37" t="e">
        <f>_xlfn.XLOOKUP(B13,#REF!,#REF!)</f>
        <v>#REF!</v>
      </c>
    </row>
    <row r="14" spans="1:32" x14ac:dyDescent="0.35">
      <c r="A14" t="str">
        <f>_xlfn.XLOOKUP(B14,master!B:B,master!A:A)</f>
        <v>Add: Purchase expenses</v>
      </c>
      <c r="B14" s="50" t="s">
        <v>260</v>
      </c>
      <c r="C14" s="50"/>
      <c r="D14" s="50"/>
      <c r="E14" s="50"/>
      <c r="F14" s="50"/>
      <c r="G14" s="37">
        <f>IFERROR(_xlfn.XLOOKUP(B14,#REF!,#REF!),0)</f>
        <v>0</v>
      </c>
      <c r="H14" s="37" t="e">
        <f>_xlfn.XLOOKUP(B14,#REF!,#REF!)</f>
        <v>#REF!</v>
      </c>
      <c r="I14" s="37" t="e">
        <f>_xlfn.XLOOKUP(B14,#REF!,#REF!)</f>
        <v>#REF!</v>
      </c>
      <c r="J14" s="51" t="e">
        <f>_xlfn.XLOOKUP(B14,#REF!,#REF!)</f>
        <v>#REF!</v>
      </c>
      <c r="K14" s="37" t="e">
        <f>_xlfn.XLOOKUP(B14,#REF!,#REF!)</f>
        <v>#REF!</v>
      </c>
      <c r="L14" s="37" t="e">
        <f>_xlfn.XLOOKUP(B14,#REF!,#REF!)</f>
        <v>#REF!</v>
      </c>
      <c r="M14" s="37" t="e">
        <f>_xlfn.XLOOKUP(B14,#REF!,#REF!)</f>
        <v>#REF!</v>
      </c>
      <c r="N14" s="37" t="e">
        <f>_xlfn.XLOOKUP(B14,#REF!,#REF!)</f>
        <v>#REF!</v>
      </c>
      <c r="O14" s="37" t="e">
        <f>_xlfn.XLOOKUP(B14,#REF!,#REF!)</f>
        <v>#REF!</v>
      </c>
      <c r="P14" s="37" t="e">
        <f>_xlfn.XLOOKUP(B14,#REF!,#REF!)</f>
        <v>#REF!</v>
      </c>
      <c r="Q14" s="37" t="e">
        <f>_xlfn.XLOOKUP(B14,#REF!,#REF!)</f>
        <v>#REF!</v>
      </c>
      <c r="R14" s="37" t="e">
        <f>_xlfn.XLOOKUP(B14,#REF!,#REF!)</f>
        <v>#REF!</v>
      </c>
      <c r="S14" s="37" t="e">
        <f>_xlfn.XLOOKUP(B14,#REF!,#REF!)</f>
        <v>#REF!</v>
      </c>
      <c r="T14" s="37" t="e">
        <f>_xlfn.XLOOKUP(B14,#REF!,#REF!)</f>
        <v>#REF!</v>
      </c>
      <c r="U14" s="37" t="e">
        <f>_xlfn.XLOOKUP(B14,#REF!,#REF!)</f>
        <v>#REF!</v>
      </c>
      <c r="V14" s="37" t="e">
        <f>_xlfn.XLOOKUP(B14,#REF!,#REF!)</f>
        <v>#REF!</v>
      </c>
    </row>
    <row r="15" spans="1:32" x14ac:dyDescent="0.35">
      <c r="A15" t="str">
        <f>_xlfn.XLOOKUP(B15,master!B:B,master!A:A)</f>
        <v>Add: Purchase expenses</v>
      </c>
      <c r="B15" s="50" t="s">
        <v>261</v>
      </c>
      <c r="C15" s="50"/>
      <c r="D15" s="50"/>
      <c r="E15" s="50"/>
      <c r="F15" s="50"/>
      <c r="G15" s="37">
        <f>IFERROR(_xlfn.XLOOKUP(B15,#REF!,#REF!),0)</f>
        <v>0</v>
      </c>
      <c r="H15" s="37" t="e">
        <f>_xlfn.XLOOKUP(B15,#REF!,#REF!)</f>
        <v>#REF!</v>
      </c>
      <c r="I15" s="37" t="e">
        <f>_xlfn.XLOOKUP(B15,#REF!,#REF!)</f>
        <v>#REF!</v>
      </c>
      <c r="J15" s="51" t="e">
        <f>_xlfn.XLOOKUP(B15,#REF!,#REF!)</f>
        <v>#REF!</v>
      </c>
      <c r="K15" s="37" t="e">
        <f>_xlfn.XLOOKUP(B15,#REF!,#REF!)</f>
        <v>#REF!</v>
      </c>
      <c r="L15" s="37" t="e">
        <f>_xlfn.XLOOKUP(B15,#REF!,#REF!)</f>
        <v>#REF!</v>
      </c>
      <c r="M15" s="37" t="e">
        <f>_xlfn.XLOOKUP(B15,#REF!,#REF!)</f>
        <v>#REF!</v>
      </c>
      <c r="N15" s="37" t="e">
        <f>_xlfn.XLOOKUP(B15,#REF!,#REF!)</f>
        <v>#REF!</v>
      </c>
      <c r="O15" s="37" t="e">
        <f>_xlfn.XLOOKUP(B15,#REF!,#REF!)</f>
        <v>#REF!</v>
      </c>
      <c r="P15" s="37" t="e">
        <f>_xlfn.XLOOKUP(B15,#REF!,#REF!)</f>
        <v>#REF!</v>
      </c>
      <c r="Q15" s="37" t="e">
        <f>_xlfn.XLOOKUP(B15,#REF!,#REF!)</f>
        <v>#REF!</v>
      </c>
      <c r="R15" s="37" t="e">
        <f>_xlfn.XLOOKUP(B15,#REF!,#REF!)</f>
        <v>#REF!</v>
      </c>
      <c r="S15" s="37" t="e">
        <f>_xlfn.XLOOKUP(B15,#REF!,#REF!)</f>
        <v>#REF!</v>
      </c>
      <c r="T15" s="37" t="e">
        <f>_xlfn.XLOOKUP(B15,#REF!,#REF!)</f>
        <v>#REF!</v>
      </c>
      <c r="U15" s="37" t="e">
        <f>_xlfn.XLOOKUP(B15,#REF!,#REF!)</f>
        <v>#REF!</v>
      </c>
      <c r="V15" s="37" t="e">
        <f>_xlfn.XLOOKUP(B15,#REF!,#REF!)</f>
        <v>#REF!</v>
      </c>
    </row>
    <row r="16" spans="1:32" x14ac:dyDescent="0.35">
      <c r="A16" t="str">
        <f>_xlfn.XLOOKUP(B16,master!B:B,master!A:A)</f>
        <v>Add: Purchase expenses</v>
      </c>
      <c r="B16" s="50" t="s">
        <v>262</v>
      </c>
      <c r="C16" s="50"/>
      <c r="D16" s="50"/>
      <c r="E16" s="50"/>
      <c r="F16" s="50"/>
      <c r="G16" s="37">
        <f>IFERROR(_xlfn.XLOOKUP(B16,#REF!,#REF!),0)</f>
        <v>0</v>
      </c>
      <c r="H16" s="37" t="e">
        <f>_xlfn.XLOOKUP(B16,#REF!,#REF!)</f>
        <v>#REF!</v>
      </c>
      <c r="I16" s="37" t="e">
        <f>_xlfn.XLOOKUP(B16,#REF!,#REF!)</f>
        <v>#REF!</v>
      </c>
      <c r="J16" s="51" t="e">
        <f>_xlfn.XLOOKUP(B16,#REF!,#REF!)</f>
        <v>#REF!</v>
      </c>
      <c r="K16" s="37" t="e">
        <f>_xlfn.XLOOKUP(B16,#REF!,#REF!)</f>
        <v>#REF!</v>
      </c>
      <c r="L16" s="37" t="e">
        <f>_xlfn.XLOOKUP(B16,#REF!,#REF!)</f>
        <v>#REF!</v>
      </c>
      <c r="M16" s="37" t="e">
        <f>_xlfn.XLOOKUP(B16,#REF!,#REF!)</f>
        <v>#REF!</v>
      </c>
      <c r="N16" s="37" t="e">
        <f>_xlfn.XLOOKUP(B16,#REF!,#REF!)</f>
        <v>#REF!</v>
      </c>
      <c r="O16" s="37" t="e">
        <f>_xlfn.XLOOKUP(B16,#REF!,#REF!)</f>
        <v>#REF!</v>
      </c>
      <c r="P16" s="37" t="e">
        <f>_xlfn.XLOOKUP(B16,#REF!,#REF!)</f>
        <v>#REF!</v>
      </c>
      <c r="Q16" s="37" t="e">
        <f>_xlfn.XLOOKUP(B16,#REF!,#REF!)</f>
        <v>#REF!</v>
      </c>
      <c r="R16" s="37" t="e">
        <f>_xlfn.XLOOKUP(B16,#REF!,#REF!)</f>
        <v>#REF!</v>
      </c>
      <c r="S16" s="37" t="e">
        <f>_xlfn.XLOOKUP(B16,#REF!,#REF!)</f>
        <v>#REF!</v>
      </c>
      <c r="T16" s="37" t="e">
        <f>_xlfn.XLOOKUP(B16,#REF!,#REF!)</f>
        <v>#REF!</v>
      </c>
      <c r="U16" s="37" t="e">
        <f>_xlfn.XLOOKUP(B16,#REF!,#REF!)</f>
        <v>#REF!</v>
      </c>
      <c r="V16" s="37" t="e">
        <f>_xlfn.XLOOKUP(B16,#REF!,#REF!)</f>
        <v>#REF!</v>
      </c>
    </row>
    <row r="17" spans="1:22" x14ac:dyDescent="0.35">
      <c r="A17" t="str">
        <f>_xlfn.XLOOKUP(B17,master!B:B,master!A:A)</f>
        <v>Add: Purchase expenses</v>
      </c>
      <c r="B17" s="50" t="s">
        <v>263</v>
      </c>
      <c r="C17" s="50"/>
      <c r="D17" s="50"/>
      <c r="E17" s="50"/>
      <c r="F17" s="50"/>
      <c r="G17" s="37">
        <f>IFERROR(_xlfn.XLOOKUP(B17,#REF!,#REF!),0)</f>
        <v>0</v>
      </c>
      <c r="H17" s="37" t="e">
        <f>_xlfn.XLOOKUP(B17,#REF!,#REF!)</f>
        <v>#REF!</v>
      </c>
      <c r="I17" s="37" t="e">
        <f>_xlfn.XLOOKUP(B17,#REF!,#REF!)</f>
        <v>#REF!</v>
      </c>
      <c r="J17" s="51" t="e">
        <f>_xlfn.XLOOKUP(B17,#REF!,#REF!)</f>
        <v>#REF!</v>
      </c>
      <c r="K17" s="37" t="e">
        <f>_xlfn.XLOOKUP(B17,#REF!,#REF!)</f>
        <v>#REF!</v>
      </c>
      <c r="L17" s="37" t="e">
        <f>_xlfn.XLOOKUP(B17,#REF!,#REF!)</f>
        <v>#REF!</v>
      </c>
      <c r="M17" s="37" t="e">
        <f>_xlfn.XLOOKUP(B17,#REF!,#REF!)</f>
        <v>#REF!</v>
      </c>
      <c r="N17" s="37" t="e">
        <f>_xlfn.XLOOKUP(B17,#REF!,#REF!)</f>
        <v>#REF!</v>
      </c>
      <c r="O17" s="37" t="e">
        <f>_xlfn.XLOOKUP(B17,#REF!,#REF!)</f>
        <v>#REF!</v>
      </c>
      <c r="P17" s="37" t="e">
        <f>_xlfn.XLOOKUP(B17,#REF!,#REF!)</f>
        <v>#REF!</v>
      </c>
      <c r="Q17" s="37" t="e">
        <f>_xlfn.XLOOKUP(B17,#REF!,#REF!)</f>
        <v>#REF!</v>
      </c>
      <c r="R17" s="37" t="e">
        <f>_xlfn.XLOOKUP(B17,#REF!,#REF!)</f>
        <v>#REF!</v>
      </c>
      <c r="S17" s="37" t="e">
        <f>_xlfn.XLOOKUP(B17,#REF!,#REF!)</f>
        <v>#REF!</v>
      </c>
      <c r="T17" s="37" t="e">
        <f>_xlfn.XLOOKUP(B17,#REF!,#REF!)</f>
        <v>#REF!</v>
      </c>
      <c r="U17" s="37" t="e">
        <f>_xlfn.XLOOKUP(B17,#REF!,#REF!)</f>
        <v>#REF!</v>
      </c>
      <c r="V17" s="37" t="e">
        <f>_xlfn.XLOOKUP(B17,#REF!,#REF!)</f>
        <v>#REF!</v>
      </c>
    </row>
    <row r="18" spans="1:22" x14ac:dyDescent="0.35">
      <c r="A18" t="str">
        <f>_xlfn.XLOOKUP(B18,master!B:B,master!A:A)</f>
        <v>Other Administrative Expenses</v>
      </c>
      <c r="B18" s="50" t="s">
        <v>558</v>
      </c>
      <c r="C18" s="50"/>
      <c r="D18" s="50"/>
      <c r="E18" s="50"/>
      <c r="F18" s="50"/>
      <c r="G18" s="37">
        <f>IFERROR(_xlfn.XLOOKUP(B18,#REF!,#REF!),0)</f>
        <v>0</v>
      </c>
      <c r="H18" s="37" t="e">
        <f>_xlfn.XLOOKUP(B18,#REF!,#REF!)</f>
        <v>#REF!</v>
      </c>
      <c r="I18" s="37" t="e">
        <f>_xlfn.XLOOKUP(B18,#REF!,#REF!)</f>
        <v>#REF!</v>
      </c>
      <c r="J18" s="51" t="e">
        <f>_xlfn.XLOOKUP(B18,#REF!,#REF!)</f>
        <v>#REF!</v>
      </c>
      <c r="K18" s="37" t="e">
        <f>_xlfn.XLOOKUP(B18,#REF!,#REF!)</f>
        <v>#REF!</v>
      </c>
      <c r="L18" s="37" t="e">
        <f>_xlfn.XLOOKUP(B18,#REF!,#REF!)</f>
        <v>#REF!</v>
      </c>
      <c r="M18" s="37" t="e">
        <f>_xlfn.XLOOKUP(B18,#REF!,#REF!)</f>
        <v>#REF!</v>
      </c>
      <c r="N18" s="37" t="e">
        <f>_xlfn.XLOOKUP(B18,#REF!,#REF!)</f>
        <v>#REF!</v>
      </c>
      <c r="O18" s="37" t="e">
        <f>_xlfn.XLOOKUP(B18,#REF!,#REF!)</f>
        <v>#REF!</v>
      </c>
      <c r="P18" s="37" t="e">
        <f>_xlfn.XLOOKUP(B18,#REF!,#REF!)</f>
        <v>#REF!</v>
      </c>
      <c r="Q18" s="37" t="e">
        <f>_xlfn.XLOOKUP(B18,#REF!,#REF!)</f>
        <v>#REF!</v>
      </c>
      <c r="R18" s="37" t="e">
        <f>_xlfn.XLOOKUP(B18,#REF!,#REF!)</f>
        <v>#REF!</v>
      </c>
      <c r="S18" s="37" t="e">
        <f>_xlfn.XLOOKUP(B18,#REF!,#REF!)</f>
        <v>#REF!</v>
      </c>
      <c r="T18" s="37" t="e">
        <f>_xlfn.XLOOKUP(B18,#REF!,#REF!)</f>
        <v>#REF!</v>
      </c>
      <c r="U18" s="37" t="e">
        <f>_xlfn.XLOOKUP(B18,#REF!,#REF!)</f>
        <v>#REF!</v>
      </c>
      <c r="V18" s="37" t="e">
        <f>_xlfn.XLOOKUP(B18,#REF!,#REF!)</f>
        <v>#REF!</v>
      </c>
    </row>
    <row r="19" spans="1:22" x14ac:dyDescent="0.35">
      <c r="A19" t="str">
        <f>_xlfn.XLOOKUP(B19,master!B:B,master!A:A)</f>
        <v>Add: Purchase of Stores, Spares &amp; Consumables</v>
      </c>
      <c r="B19" s="50" t="s">
        <v>264</v>
      </c>
      <c r="C19" s="50"/>
      <c r="D19" s="50"/>
      <c r="E19" s="50"/>
      <c r="F19" s="50"/>
      <c r="G19" s="37">
        <f>IFERROR(_xlfn.XLOOKUP(B19,#REF!,#REF!),0)</f>
        <v>0</v>
      </c>
      <c r="H19" s="37" t="e">
        <f>_xlfn.XLOOKUP(B19,#REF!,#REF!)</f>
        <v>#REF!</v>
      </c>
      <c r="I19" s="37" t="e">
        <f>_xlfn.XLOOKUP(B19,#REF!,#REF!)</f>
        <v>#REF!</v>
      </c>
      <c r="J19" s="51" t="e">
        <f>_xlfn.XLOOKUP(B19,#REF!,#REF!)</f>
        <v>#REF!</v>
      </c>
      <c r="K19" s="37" t="e">
        <f>_xlfn.XLOOKUP(B19,#REF!,#REF!)</f>
        <v>#REF!</v>
      </c>
      <c r="L19" s="37" t="e">
        <f>_xlfn.XLOOKUP(B19,#REF!,#REF!)</f>
        <v>#REF!</v>
      </c>
      <c r="M19" s="37" t="e">
        <f>_xlfn.XLOOKUP(B19,#REF!,#REF!)</f>
        <v>#REF!</v>
      </c>
      <c r="N19" s="37" t="e">
        <f>_xlfn.XLOOKUP(B19,#REF!,#REF!)</f>
        <v>#REF!</v>
      </c>
      <c r="O19" s="37" t="e">
        <f>_xlfn.XLOOKUP(B19,#REF!,#REF!)</f>
        <v>#REF!</v>
      </c>
      <c r="P19" s="37" t="e">
        <f>_xlfn.XLOOKUP(B19,#REF!,#REF!)</f>
        <v>#REF!</v>
      </c>
      <c r="Q19" s="37" t="e">
        <f>_xlfn.XLOOKUP(B19,#REF!,#REF!)</f>
        <v>#REF!</v>
      </c>
      <c r="R19" s="37" t="e">
        <f>_xlfn.XLOOKUP(B19,#REF!,#REF!)</f>
        <v>#REF!</v>
      </c>
      <c r="S19" s="37" t="e">
        <f>_xlfn.XLOOKUP(B19,#REF!,#REF!)</f>
        <v>#REF!</v>
      </c>
      <c r="T19" s="37" t="e">
        <f>_xlfn.XLOOKUP(B19,#REF!,#REF!)</f>
        <v>#REF!</v>
      </c>
      <c r="U19" s="37" t="e">
        <f>_xlfn.XLOOKUP(B19,#REF!,#REF!)</f>
        <v>#REF!</v>
      </c>
      <c r="V19" s="37" t="e">
        <f>_xlfn.XLOOKUP(B19,#REF!,#REF!)</f>
        <v>#REF!</v>
      </c>
    </row>
    <row r="20" spans="1:22" x14ac:dyDescent="0.35">
      <c r="A20" t="str">
        <f>_xlfn.XLOOKUP(B20,master!B:B,master!A:A)</f>
        <v>Other Administrative Expenses</v>
      </c>
      <c r="B20" s="50" t="s">
        <v>265</v>
      </c>
      <c r="C20" s="50"/>
      <c r="D20" s="50"/>
      <c r="E20" s="50"/>
      <c r="F20" s="50"/>
      <c r="G20" s="37">
        <f>IFERROR(_xlfn.XLOOKUP(B20,#REF!,#REF!),0)</f>
        <v>0</v>
      </c>
      <c r="H20" s="37" t="e">
        <f>_xlfn.XLOOKUP(B20,#REF!,#REF!)</f>
        <v>#REF!</v>
      </c>
      <c r="I20" s="37" t="e">
        <f>_xlfn.XLOOKUP(B20,#REF!,#REF!)</f>
        <v>#REF!</v>
      </c>
      <c r="J20" s="51" t="e">
        <f>_xlfn.XLOOKUP(B20,#REF!,#REF!)</f>
        <v>#REF!</v>
      </c>
      <c r="K20" s="37" t="e">
        <f>_xlfn.XLOOKUP(B20,#REF!,#REF!)</f>
        <v>#REF!</v>
      </c>
      <c r="L20" s="37" t="e">
        <f>_xlfn.XLOOKUP(B20,#REF!,#REF!)</f>
        <v>#REF!</v>
      </c>
      <c r="M20" s="37" t="e">
        <f>_xlfn.XLOOKUP(B20,#REF!,#REF!)</f>
        <v>#REF!</v>
      </c>
      <c r="N20" s="37" t="e">
        <f>_xlfn.XLOOKUP(B20,#REF!,#REF!)</f>
        <v>#REF!</v>
      </c>
      <c r="O20" s="37" t="e">
        <f>_xlfn.XLOOKUP(B20,#REF!,#REF!)</f>
        <v>#REF!</v>
      </c>
      <c r="P20" s="37" t="e">
        <f>_xlfn.XLOOKUP(B20,#REF!,#REF!)</f>
        <v>#REF!</v>
      </c>
      <c r="Q20" s="37" t="e">
        <f>_xlfn.XLOOKUP(B20,#REF!,#REF!)</f>
        <v>#REF!</v>
      </c>
      <c r="R20" s="37" t="e">
        <f>_xlfn.XLOOKUP(B20,#REF!,#REF!)</f>
        <v>#REF!</v>
      </c>
      <c r="S20" s="37" t="e">
        <f>_xlfn.XLOOKUP(B20,#REF!,#REF!)</f>
        <v>#REF!</v>
      </c>
      <c r="T20" s="37" t="e">
        <f>_xlfn.XLOOKUP(B20,#REF!,#REF!)</f>
        <v>#REF!</v>
      </c>
      <c r="U20" s="37" t="e">
        <f>_xlfn.XLOOKUP(B20,#REF!,#REF!)</f>
        <v>#REF!</v>
      </c>
      <c r="V20" s="37" t="e">
        <f>_xlfn.XLOOKUP(B20,#REF!,#REF!)</f>
        <v>#REF!</v>
      </c>
    </row>
    <row r="21" spans="1:22" x14ac:dyDescent="0.35">
      <c r="A21" t="str">
        <f>_xlfn.XLOOKUP(B21,master!B:B,master!A:A)</f>
        <v>Other Administrative Expenses</v>
      </c>
      <c r="B21" s="50" t="s">
        <v>266</v>
      </c>
      <c r="C21" s="50"/>
      <c r="D21" s="50"/>
      <c r="E21" s="50"/>
      <c r="F21" s="50"/>
      <c r="G21" s="37">
        <f>IFERROR(_xlfn.XLOOKUP(B21,#REF!,#REF!),0)</f>
        <v>0</v>
      </c>
      <c r="H21" s="37" t="e">
        <f>_xlfn.XLOOKUP(B21,#REF!,#REF!)</f>
        <v>#REF!</v>
      </c>
      <c r="I21" s="37" t="e">
        <f>_xlfn.XLOOKUP(B21,#REF!,#REF!)</f>
        <v>#REF!</v>
      </c>
      <c r="J21" s="51" t="e">
        <f>_xlfn.XLOOKUP(B21,#REF!,#REF!)</f>
        <v>#REF!</v>
      </c>
      <c r="K21" s="37" t="e">
        <f>_xlfn.XLOOKUP(B21,#REF!,#REF!)</f>
        <v>#REF!</v>
      </c>
      <c r="L21" s="37" t="e">
        <f>_xlfn.XLOOKUP(B21,#REF!,#REF!)</f>
        <v>#REF!</v>
      </c>
      <c r="M21" s="37" t="e">
        <f>_xlfn.XLOOKUP(B21,#REF!,#REF!)</f>
        <v>#REF!</v>
      </c>
      <c r="N21" s="37" t="e">
        <f>_xlfn.XLOOKUP(B21,#REF!,#REF!)</f>
        <v>#REF!</v>
      </c>
      <c r="O21" s="37" t="e">
        <f>_xlfn.XLOOKUP(B21,#REF!,#REF!)</f>
        <v>#REF!</v>
      </c>
      <c r="P21" s="37" t="e">
        <f>_xlfn.XLOOKUP(B21,#REF!,#REF!)</f>
        <v>#REF!</v>
      </c>
      <c r="Q21" s="37" t="e">
        <f>_xlfn.XLOOKUP(B21,#REF!,#REF!)</f>
        <v>#REF!</v>
      </c>
      <c r="R21" s="37" t="e">
        <f>_xlfn.XLOOKUP(B21,#REF!,#REF!)</f>
        <v>#REF!</v>
      </c>
      <c r="S21" s="37" t="e">
        <f>_xlfn.XLOOKUP(B21,#REF!,#REF!)</f>
        <v>#REF!</v>
      </c>
      <c r="T21" s="37" t="e">
        <f>_xlfn.XLOOKUP(B21,#REF!,#REF!)</f>
        <v>#REF!</v>
      </c>
      <c r="U21" s="37" t="e">
        <f>_xlfn.XLOOKUP(B21,#REF!,#REF!)</f>
        <v>#REF!</v>
      </c>
      <c r="V21" s="37" t="e">
        <f>_xlfn.XLOOKUP(B21,#REF!,#REF!)</f>
        <v>#REF!</v>
      </c>
    </row>
    <row r="22" spans="1:22" x14ac:dyDescent="0.35">
      <c r="A22" t="str">
        <f>_xlfn.XLOOKUP(B22,master!B:B,master!A:A)</f>
        <v>Labour charges</v>
      </c>
      <c r="B22" s="50" t="s">
        <v>267</v>
      </c>
      <c r="C22" s="50"/>
      <c r="D22" s="50"/>
      <c r="E22" s="50"/>
      <c r="F22" s="50"/>
      <c r="G22" s="37">
        <f>IFERROR(_xlfn.XLOOKUP(B22,#REF!,#REF!),0)</f>
        <v>0</v>
      </c>
      <c r="H22" s="37" t="e">
        <f>_xlfn.XLOOKUP(B22,#REF!,#REF!)</f>
        <v>#REF!</v>
      </c>
      <c r="I22" s="37" t="e">
        <f>_xlfn.XLOOKUP(B22,#REF!,#REF!)</f>
        <v>#REF!</v>
      </c>
      <c r="J22" s="51" t="e">
        <f>_xlfn.XLOOKUP(B22,#REF!,#REF!)</f>
        <v>#REF!</v>
      </c>
      <c r="K22" s="37" t="e">
        <f>_xlfn.XLOOKUP(B22,#REF!,#REF!)</f>
        <v>#REF!</v>
      </c>
      <c r="L22" s="37" t="e">
        <f>_xlfn.XLOOKUP(B22,#REF!,#REF!)</f>
        <v>#REF!</v>
      </c>
      <c r="M22" s="37" t="e">
        <f>_xlfn.XLOOKUP(B22,#REF!,#REF!)</f>
        <v>#REF!</v>
      </c>
      <c r="N22" s="37" t="e">
        <f>_xlfn.XLOOKUP(B22,#REF!,#REF!)</f>
        <v>#REF!</v>
      </c>
      <c r="O22" s="37" t="e">
        <f>_xlfn.XLOOKUP(B22,#REF!,#REF!)</f>
        <v>#REF!</v>
      </c>
      <c r="P22" s="37" t="e">
        <f>_xlfn.XLOOKUP(B22,#REF!,#REF!)</f>
        <v>#REF!</v>
      </c>
      <c r="Q22" s="37" t="e">
        <f>_xlfn.XLOOKUP(B22,#REF!,#REF!)</f>
        <v>#REF!</v>
      </c>
      <c r="R22" s="37" t="e">
        <f>_xlfn.XLOOKUP(B22,#REF!,#REF!)</f>
        <v>#REF!</v>
      </c>
      <c r="S22" s="37" t="e">
        <f>_xlfn.XLOOKUP(B22,#REF!,#REF!)</f>
        <v>#REF!</v>
      </c>
      <c r="T22" s="37" t="e">
        <f>_xlfn.XLOOKUP(B22,#REF!,#REF!)</f>
        <v>#REF!</v>
      </c>
      <c r="U22" s="37" t="e">
        <f>_xlfn.XLOOKUP(B22,#REF!,#REF!)</f>
        <v>#REF!</v>
      </c>
      <c r="V22" s="37" t="e">
        <f>_xlfn.XLOOKUP(B22,#REF!,#REF!)</f>
        <v>#REF!</v>
      </c>
    </row>
    <row r="23" spans="1:22" x14ac:dyDescent="0.35">
      <c r="A23" t="str">
        <f>_xlfn.XLOOKUP(B23,master!B:B,master!A:A)</f>
        <v>Other Administrative Expenses</v>
      </c>
      <c r="B23" s="50" t="s">
        <v>559</v>
      </c>
      <c r="C23" s="50"/>
      <c r="D23" s="50"/>
      <c r="E23" s="50"/>
      <c r="F23" s="50"/>
      <c r="G23" s="37">
        <f>IFERROR(_xlfn.XLOOKUP(B23,#REF!,#REF!),0)</f>
        <v>0</v>
      </c>
      <c r="H23" s="37" t="e">
        <f>_xlfn.XLOOKUP(B23,#REF!,#REF!)</f>
        <v>#REF!</v>
      </c>
      <c r="I23" s="37" t="e">
        <f>_xlfn.XLOOKUP(B23,#REF!,#REF!)</f>
        <v>#REF!</v>
      </c>
      <c r="J23" s="51" t="e">
        <f>_xlfn.XLOOKUP(B23,#REF!,#REF!)</f>
        <v>#REF!</v>
      </c>
      <c r="K23" s="37" t="e">
        <f>_xlfn.XLOOKUP(B23,#REF!,#REF!)</f>
        <v>#REF!</v>
      </c>
      <c r="L23" s="37" t="e">
        <f>_xlfn.XLOOKUP(B23,#REF!,#REF!)</f>
        <v>#REF!</v>
      </c>
      <c r="M23" s="37" t="e">
        <f>_xlfn.XLOOKUP(B23,#REF!,#REF!)</f>
        <v>#REF!</v>
      </c>
      <c r="N23" s="37" t="e">
        <f>_xlfn.XLOOKUP(B23,#REF!,#REF!)</f>
        <v>#REF!</v>
      </c>
      <c r="O23" s="37" t="e">
        <f>_xlfn.XLOOKUP(B23,#REF!,#REF!)</f>
        <v>#REF!</v>
      </c>
      <c r="P23" s="37" t="e">
        <f>_xlfn.XLOOKUP(B23,#REF!,#REF!)</f>
        <v>#REF!</v>
      </c>
      <c r="Q23" s="37" t="e">
        <f>_xlfn.XLOOKUP(B23,#REF!,#REF!)</f>
        <v>#REF!</v>
      </c>
      <c r="R23" s="37" t="e">
        <f>_xlfn.XLOOKUP(B23,#REF!,#REF!)</f>
        <v>#REF!</v>
      </c>
      <c r="S23" s="37" t="e">
        <f>_xlfn.XLOOKUP(B23,#REF!,#REF!)</f>
        <v>#REF!</v>
      </c>
      <c r="T23" s="37" t="e">
        <f>_xlfn.XLOOKUP(B23,#REF!,#REF!)</f>
        <v>#REF!</v>
      </c>
      <c r="U23" s="37" t="e">
        <f>_xlfn.XLOOKUP(B23,#REF!,#REF!)</f>
        <v>#REF!</v>
      </c>
      <c r="V23" s="37" t="e">
        <f>_xlfn.XLOOKUP(B23,#REF!,#REF!)</f>
        <v>#REF!</v>
      </c>
    </row>
    <row r="24" spans="1:22" x14ac:dyDescent="0.35">
      <c r="A24" t="str">
        <f>_xlfn.XLOOKUP(B24,master!B:B,master!A:A)</f>
        <v>Power and fuel</v>
      </c>
      <c r="B24" s="50" t="s">
        <v>268</v>
      </c>
      <c r="C24" s="50"/>
      <c r="D24" s="50"/>
      <c r="E24" s="50"/>
      <c r="F24" s="50"/>
      <c r="G24" s="37">
        <f>IFERROR(_xlfn.XLOOKUP(B24,#REF!,#REF!),0)</f>
        <v>0</v>
      </c>
      <c r="H24" s="37" t="e">
        <f>_xlfn.XLOOKUP(B24,#REF!,#REF!)</f>
        <v>#REF!</v>
      </c>
      <c r="I24" s="37" t="e">
        <f>_xlfn.XLOOKUP(B24,#REF!,#REF!)</f>
        <v>#REF!</v>
      </c>
      <c r="J24" s="51" t="e">
        <f>_xlfn.XLOOKUP(B24,#REF!,#REF!)</f>
        <v>#REF!</v>
      </c>
      <c r="K24" s="37" t="e">
        <f>_xlfn.XLOOKUP(B24,#REF!,#REF!)</f>
        <v>#REF!</v>
      </c>
      <c r="L24" s="37" t="e">
        <f>_xlfn.XLOOKUP(B24,#REF!,#REF!)</f>
        <v>#REF!</v>
      </c>
      <c r="M24" s="37" t="e">
        <f>_xlfn.XLOOKUP(B24,#REF!,#REF!)</f>
        <v>#REF!</v>
      </c>
      <c r="N24" s="37" t="e">
        <f>_xlfn.XLOOKUP(B24,#REF!,#REF!)</f>
        <v>#REF!</v>
      </c>
      <c r="O24" s="37" t="e">
        <f>_xlfn.XLOOKUP(B24,#REF!,#REF!)</f>
        <v>#REF!</v>
      </c>
      <c r="P24" s="37" t="e">
        <f>_xlfn.XLOOKUP(B24,#REF!,#REF!)</f>
        <v>#REF!</v>
      </c>
      <c r="Q24" s="37" t="e">
        <f>_xlfn.XLOOKUP(B24,#REF!,#REF!)</f>
        <v>#REF!</v>
      </c>
      <c r="R24" s="37" t="e">
        <f>_xlfn.XLOOKUP(B24,#REF!,#REF!)</f>
        <v>#REF!</v>
      </c>
      <c r="S24" s="37" t="e">
        <f>_xlfn.XLOOKUP(B24,#REF!,#REF!)</f>
        <v>#REF!</v>
      </c>
      <c r="T24" s="37" t="e">
        <f>_xlfn.XLOOKUP(B24,#REF!,#REF!)</f>
        <v>#REF!</v>
      </c>
      <c r="U24" s="37" t="e">
        <f>_xlfn.XLOOKUP(B24,#REF!,#REF!)</f>
        <v>#REF!</v>
      </c>
      <c r="V24" s="37" t="e">
        <f>_xlfn.XLOOKUP(B24,#REF!,#REF!)</f>
        <v>#REF!</v>
      </c>
    </row>
    <row r="25" spans="1:22" x14ac:dyDescent="0.35">
      <c r="A25" t="str">
        <f>_xlfn.XLOOKUP(B25,master!B:B,master!A:A)</f>
        <v>Other Administrative Expenses</v>
      </c>
      <c r="B25" s="50" t="s">
        <v>269</v>
      </c>
      <c r="C25" s="50"/>
      <c r="D25" s="50"/>
      <c r="E25" s="50"/>
      <c r="F25" s="50"/>
      <c r="G25" s="37">
        <f>IFERROR(_xlfn.XLOOKUP(B25,#REF!,#REF!),0)</f>
        <v>0</v>
      </c>
      <c r="H25" s="37" t="e">
        <f>_xlfn.XLOOKUP(B25,#REF!,#REF!)</f>
        <v>#REF!</v>
      </c>
      <c r="I25" s="37" t="e">
        <f>_xlfn.XLOOKUP(B25,#REF!,#REF!)</f>
        <v>#REF!</v>
      </c>
      <c r="J25" s="51" t="e">
        <f>_xlfn.XLOOKUP(B25,#REF!,#REF!)</f>
        <v>#REF!</v>
      </c>
      <c r="K25" s="37" t="e">
        <f>_xlfn.XLOOKUP(B25,#REF!,#REF!)</f>
        <v>#REF!</v>
      </c>
      <c r="L25" s="37" t="e">
        <f>_xlfn.XLOOKUP(B25,#REF!,#REF!)</f>
        <v>#REF!</v>
      </c>
      <c r="M25" s="37" t="e">
        <f>_xlfn.XLOOKUP(B25,#REF!,#REF!)</f>
        <v>#REF!</v>
      </c>
      <c r="N25" s="37" t="e">
        <f>_xlfn.XLOOKUP(B25,#REF!,#REF!)</f>
        <v>#REF!</v>
      </c>
      <c r="O25" s="37" t="e">
        <f>_xlfn.XLOOKUP(B25,#REF!,#REF!)</f>
        <v>#REF!</v>
      </c>
      <c r="P25" s="37" t="e">
        <f>_xlfn.XLOOKUP(B25,#REF!,#REF!)</f>
        <v>#REF!</v>
      </c>
      <c r="Q25" s="37" t="e">
        <f>_xlfn.XLOOKUP(B25,#REF!,#REF!)</f>
        <v>#REF!</v>
      </c>
      <c r="R25" s="37" t="e">
        <f>_xlfn.XLOOKUP(B25,#REF!,#REF!)</f>
        <v>#REF!</v>
      </c>
      <c r="S25" s="37" t="e">
        <f>_xlfn.XLOOKUP(B25,#REF!,#REF!)</f>
        <v>#REF!</v>
      </c>
      <c r="T25" s="37" t="e">
        <f>_xlfn.XLOOKUP(B25,#REF!,#REF!)</f>
        <v>#REF!</v>
      </c>
      <c r="U25" s="37" t="e">
        <f>_xlfn.XLOOKUP(B25,#REF!,#REF!)</f>
        <v>#REF!</v>
      </c>
      <c r="V25" s="37" t="e">
        <f>_xlfn.XLOOKUP(B25,#REF!,#REF!)</f>
        <v>#REF!</v>
      </c>
    </row>
    <row r="26" spans="1:22" x14ac:dyDescent="0.35">
      <c r="A26" t="str">
        <f>_xlfn.XLOOKUP(B26,master!B:B,master!A:A)</f>
        <v>Other Manufacturing Expenses</v>
      </c>
      <c r="B26" s="50" t="s">
        <v>270</v>
      </c>
      <c r="C26" s="50"/>
      <c r="D26" s="50"/>
      <c r="E26" s="50"/>
      <c r="F26" s="50"/>
      <c r="G26" s="37">
        <f>IFERROR(_xlfn.XLOOKUP(B26,#REF!,#REF!),0)</f>
        <v>0</v>
      </c>
      <c r="H26" s="37" t="e">
        <f>_xlfn.XLOOKUP(B26,#REF!,#REF!)</f>
        <v>#REF!</v>
      </c>
      <c r="I26" s="37" t="e">
        <f>_xlfn.XLOOKUP(B26,#REF!,#REF!)</f>
        <v>#REF!</v>
      </c>
      <c r="J26" s="51" t="e">
        <f>_xlfn.XLOOKUP(B26,#REF!,#REF!)</f>
        <v>#REF!</v>
      </c>
      <c r="K26" s="37" t="e">
        <f>_xlfn.XLOOKUP(B26,#REF!,#REF!)</f>
        <v>#REF!</v>
      </c>
      <c r="L26" s="37" t="e">
        <f>_xlfn.XLOOKUP(B26,#REF!,#REF!)</f>
        <v>#REF!</v>
      </c>
      <c r="M26" s="37" t="e">
        <f>_xlfn.XLOOKUP(B26,#REF!,#REF!)</f>
        <v>#REF!</v>
      </c>
      <c r="N26" s="37" t="e">
        <f>_xlfn.XLOOKUP(B26,#REF!,#REF!)</f>
        <v>#REF!</v>
      </c>
      <c r="O26" s="37" t="e">
        <f>_xlfn.XLOOKUP(B26,#REF!,#REF!)</f>
        <v>#REF!</v>
      </c>
      <c r="P26" s="37" t="e">
        <f>_xlfn.XLOOKUP(B26,#REF!,#REF!)</f>
        <v>#REF!</v>
      </c>
      <c r="Q26" s="37" t="e">
        <f>_xlfn.XLOOKUP(B26,#REF!,#REF!)</f>
        <v>#REF!</v>
      </c>
      <c r="R26" s="37" t="e">
        <f>_xlfn.XLOOKUP(B26,#REF!,#REF!)</f>
        <v>#REF!</v>
      </c>
      <c r="S26" s="37" t="e">
        <f>_xlfn.XLOOKUP(B26,#REF!,#REF!)</f>
        <v>#REF!</v>
      </c>
      <c r="T26" s="37" t="e">
        <f>_xlfn.XLOOKUP(B26,#REF!,#REF!)</f>
        <v>#REF!</v>
      </c>
      <c r="U26" s="37" t="e">
        <f>_xlfn.XLOOKUP(B26,#REF!,#REF!)</f>
        <v>#REF!</v>
      </c>
      <c r="V26" s="37" t="e">
        <f>_xlfn.XLOOKUP(B26,#REF!,#REF!)</f>
        <v>#REF!</v>
      </c>
    </row>
    <row r="27" spans="1:22" x14ac:dyDescent="0.35">
      <c r="A27" t="str">
        <f>_xlfn.XLOOKUP(B27,master!B:B,master!A:A)</f>
        <v>Other Administrative Expenses</v>
      </c>
      <c r="B27" s="50" t="s">
        <v>271</v>
      </c>
      <c r="C27" s="50"/>
      <c r="D27" s="50"/>
      <c r="E27" s="50"/>
      <c r="F27" s="50"/>
      <c r="G27" s="37">
        <f>IFERROR(_xlfn.XLOOKUP(B27,#REF!,#REF!),0)</f>
        <v>0</v>
      </c>
      <c r="H27" s="37" t="e">
        <f>_xlfn.XLOOKUP(B27,#REF!,#REF!)</f>
        <v>#REF!</v>
      </c>
      <c r="I27" s="37" t="e">
        <f>_xlfn.XLOOKUP(B27,#REF!,#REF!)</f>
        <v>#REF!</v>
      </c>
      <c r="J27" s="51" t="e">
        <f>_xlfn.XLOOKUP(B27,#REF!,#REF!)</f>
        <v>#REF!</v>
      </c>
      <c r="K27" s="37" t="e">
        <f>_xlfn.XLOOKUP(B27,#REF!,#REF!)</f>
        <v>#REF!</v>
      </c>
      <c r="L27" s="37" t="e">
        <f>_xlfn.XLOOKUP(B27,#REF!,#REF!)</f>
        <v>#REF!</v>
      </c>
      <c r="M27" s="37" t="e">
        <f>_xlfn.XLOOKUP(B27,#REF!,#REF!)</f>
        <v>#REF!</v>
      </c>
      <c r="N27" s="37" t="e">
        <f>_xlfn.XLOOKUP(B27,#REF!,#REF!)</f>
        <v>#REF!</v>
      </c>
      <c r="O27" s="37" t="e">
        <f>_xlfn.XLOOKUP(B27,#REF!,#REF!)</f>
        <v>#REF!</v>
      </c>
      <c r="P27" s="37" t="e">
        <f>_xlfn.XLOOKUP(B27,#REF!,#REF!)</f>
        <v>#REF!</v>
      </c>
      <c r="Q27" s="37" t="e">
        <f>_xlfn.XLOOKUP(B27,#REF!,#REF!)</f>
        <v>#REF!</v>
      </c>
      <c r="R27" s="37" t="e">
        <f>_xlfn.XLOOKUP(B27,#REF!,#REF!)</f>
        <v>#REF!</v>
      </c>
      <c r="S27" s="37" t="e">
        <f>_xlfn.XLOOKUP(B27,#REF!,#REF!)</f>
        <v>#REF!</v>
      </c>
      <c r="T27" s="37" t="e">
        <f>_xlfn.XLOOKUP(B27,#REF!,#REF!)</f>
        <v>#REF!</v>
      </c>
      <c r="U27" s="37" t="e">
        <f>_xlfn.XLOOKUP(B27,#REF!,#REF!)</f>
        <v>#REF!</v>
      </c>
      <c r="V27" s="37" t="e">
        <f>_xlfn.XLOOKUP(B27,#REF!,#REF!)</f>
        <v>#REF!</v>
      </c>
    </row>
    <row r="28" spans="1:22" x14ac:dyDescent="0.35">
      <c r="A28" t="str">
        <f>_xlfn.XLOOKUP(B28,master!B:B,master!A:A)</f>
        <v>Other Manufacturing Expenses</v>
      </c>
      <c r="B28" s="50" t="s">
        <v>272</v>
      </c>
      <c r="C28" s="50"/>
      <c r="D28" s="50"/>
      <c r="E28" s="50"/>
      <c r="F28" s="50"/>
      <c r="G28" s="37">
        <f>IFERROR(_xlfn.XLOOKUP(B28,#REF!,#REF!),0)</f>
        <v>0</v>
      </c>
      <c r="H28" s="37" t="e">
        <f>_xlfn.XLOOKUP(B28,#REF!,#REF!)</f>
        <v>#REF!</v>
      </c>
      <c r="I28" s="37" t="e">
        <f>_xlfn.XLOOKUP(B28,#REF!,#REF!)</f>
        <v>#REF!</v>
      </c>
      <c r="J28" s="51" t="e">
        <f>_xlfn.XLOOKUP(B28,#REF!,#REF!)</f>
        <v>#REF!</v>
      </c>
      <c r="K28" s="37" t="e">
        <f>_xlfn.XLOOKUP(B28,#REF!,#REF!)</f>
        <v>#REF!</v>
      </c>
      <c r="L28" s="37" t="e">
        <f>_xlfn.XLOOKUP(B28,#REF!,#REF!)</f>
        <v>#REF!</v>
      </c>
      <c r="M28" s="37" t="e">
        <f>_xlfn.XLOOKUP(B28,#REF!,#REF!)</f>
        <v>#REF!</v>
      </c>
      <c r="N28" s="37" t="e">
        <f>_xlfn.XLOOKUP(B28,#REF!,#REF!)</f>
        <v>#REF!</v>
      </c>
      <c r="O28" s="37" t="e">
        <f>_xlfn.XLOOKUP(B28,#REF!,#REF!)</f>
        <v>#REF!</v>
      </c>
      <c r="P28" s="37" t="e">
        <f>_xlfn.XLOOKUP(B28,#REF!,#REF!)</f>
        <v>#REF!</v>
      </c>
      <c r="Q28" s="37" t="e">
        <f>_xlfn.XLOOKUP(B28,#REF!,#REF!)</f>
        <v>#REF!</v>
      </c>
      <c r="R28" s="37" t="e">
        <f>_xlfn.XLOOKUP(B28,#REF!,#REF!)</f>
        <v>#REF!</v>
      </c>
      <c r="S28" s="37" t="e">
        <f>_xlfn.XLOOKUP(B28,#REF!,#REF!)</f>
        <v>#REF!</v>
      </c>
      <c r="T28" s="37" t="e">
        <f>_xlfn.XLOOKUP(B28,#REF!,#REF!)</f>
        <v>#REF!</v>
      </c>
      <c r="U28" s="37" t="e">
        <f>_xlfn.XLOOKUP(B28,#REF!,#REF!)</f>
        <v>#REF!</v>
      </c>
      <c r="V28" s="37" t="e">
        <f>_xlfn.XLOOKUP(B28,#REF!,#REF!)</f>
        <v>#REF!</v>
      </c>
    </row>
    <row r="29" spans="1:22" x14ac:dyDescent="0.35">
      <c r="A29" t="str">
        <f>_xlfn.XLOOKUP(B29,master!B:B,master!A:A)</f>
        <v>Exchange Rate Difference</v>
      </c>
      <c r="B29" s="50" t="s">
        <v>273</v>
      </c>
      <c r="C29" s="50"/>
      <c r="D29" s="50"/>
      <c r="E29" s="50"/>
      <c r="F29" s="50"/>
      <c r="G29" s="37">
        <f>IFERROR(_xlfn.XLOOKUP(B29,#REF!,#REF!),0)</f>
        <v>0</v>
      </c>
      <c r="H29" s="37" t="e">
        <f>_xlfn.XLOOKUP(B29,#REF!,#REF!)</f>
        <v>#REF!</v>
      </c>
      <c r="I29" s="37" t="e">
        <f>_xlfn.XLOOKUP(B29,#REF!,#REF!)</f>
        <v>#REF!</v>
      </c>
      <c r="J29" s="51" t="e">
        <f>_xlfn.XLOOKUP(B29,#REF!,#REF!)</f>
        <v>#REF!</v>
      </c>
      <c r="K29" s="37" t="e">
        <f>_xlfn.XLOOKUP(B29,#REF!,#REF!)</f>
        <v>#REF!</v>
      </c>
      <c r="L29" s="37" t="e">
        <f>_xlfn.XLOOKUP(B29,#REF!,#REF!)</f>
        <v>#REF!</v>
      </c>
      <c r="M29" s="37" t="e">
        <f>_xlfn.XLOOKUP(B29,#REF!,#REF!)</f>
        <v>#REF!</v>
      </c>
      <c r="N29" s="37" t="e">
        <f>_xlfn.XLOOKUP(B29,#REF!,#REF!)</f>
        <v>#REF!</v>
      </c>
      <c r="O29" s="37" t="e">
        <f>_xlfn.XLOOKUP(B29,#REF!,#REF!)</f>
        <v>#REF!</v>
      </c>
      <c r="P29" s="37" t="e">
        <f>_xlfn.XLOOKUP(B29,#REF!,#REF!)</f>
        <v>#REF!</v>
      </c>
      <c r="Q29" s="37" t="e">
        <f>_xlfn.XLOOKUP(B29,#REF!,#REF!)</f>
        <v>#REF!</v>
      </c>
      <c r="R29" s="37" t="e">
        <f>_xlfn.XLOOKUP(B29,#REF!,#REF!)</f>
        <v>#REF!</v>
      </c>
      <c r="S29" s="37" t="e">
        <f>_xlfn.XLOOKUP(B29,#REF!,#REF!)</f>
        <v>#REF!</v>
      </c>
      <c r="T29" s="37" t="e">
        <f>_xlfn.XLOOKUP(B29,#REF!,#REF!)</f>
        <v>#REF!</v>
      </c>
      <c r="U29" s="37" t="e">
        <f>_xlfn.XLOOKUP(B29,#REF!,#REF!)</f>
        <v>#REF!</v>
      </c>
      <c r="V29" s="37" t="e">
        <f>_xlfn.XLOOKUP(B29,#REF!,#REF!)</f>
        <v>#REF!</v>
      </c>
    </row>
    <row r="30" spans="1:22" x14ac:dyDescent="0.35">
      <c r="A30" t="str">
        <f>_xlfn.XLOOKUP(B30,master!B:B,master!A:A)</f>
        <v>Add: Purchase expenses</v>
      </c>
      <c r="B30" s="50" t="s">
        <v>274</v>
      </c>
      <c r="C30" s="50"/>
      <c r="D30" s="50"/>
      <c r="E30" s="50"/>
      <c r="F30" s="50"/>
      <c r="G30" s="37">
        <f>IFERROR(_xlfn.XLOOKUP(B30,#REF!,#REF!),0)</f>
        <v>0</v>
      </c>
      <c r="H30" s="37" t="e">
        <f>_xlfn.XLOOKUP(B30,#REF!,#REF!)</f>
        <v>#REF!</v>
      </c>
      <c r="I30" s="37" t="e">
        <f>_xlfn.XLOOKUP(B30,#REF!,#REF!)</f>
        <v>#REF!</v>
      </c>
      <c r="J30" s="51" t="e">
        <f>_xlfn.XLOOKUP(B30,#REF!,#REF!)</f>
        <v>#REF!</v>
      </c>
      <c r="K30" s="37" t="e">
        <f>_xlfn.XLOOKUP(B30,#REF!,#REF!)</f>
        <v>#REF!</v>
      </c>
      <c r="L30" s="37" t="e">
        <f>_xlfn.XLOOKUP(B30,#REF!,#REF!)</f>
        <v>#REF!</v>
      </c>
      <c r="M30" s="37" t="e">
        <f>_xlfn.XLOOKUP(B30,#REF!,#REF!)</f>
        <v>#REF!</v>
      </c>
      <c r="N30" s="37" t="e">
        <f>_xlfn.XLOOKUP(B30,#REF!,#REF!)</f>
        <v>#REF!</v>
      </c>
      <c r="O30" s="37" t="e">
        <f>_xlfn.XLOOKUP(B30,#REF!,#REF!)</f>
        <v>#REF!</v>
      </c>
      <c r="P30" s="37" t="e">
        <f>_xlfn.XLOOKUP(B30,#REF!,#REF!)</f>
        <v>#REF!</v>
      </c>
      <c r="Q30" s="37" t="e">
        <f>_xlfn.XLOOKUP(B30,#REF!,#REF!)</f>
        <v>#REF!</v>
      </c>
      <c r="R30" s="37" t="e">
        <f>_xlfn.XLOOKUP(B30,#REF!,#REF!)</f>
        <v>#REF!</v>
      </c>
      <c r="S30" s="37" t="e">
        <f>_xlfn.XLOOKUP(B30,#REF!,#REF!)</f>
        <v>#REF!</v>
      </c>
      <c r="T30" s="37" t="e">
        <f>_xlfn.XLOOKUP(B30,#REF!,#REF!)</f>
        <v>#REF!</v>
      </c>
      <c r="U30" s="37" t="e">
        <f>_xlfn.XLOOKUP(B30,#REF!,#REF!)</f>
        <v>#REF!</v>
      </c>
      <c r="V30" s="37" t="e">
        <f>_xlfn.XLOOKUP(B30,#REF!,#REF!)</f>
        <v>#REF!</v>
      </c>
    </row>
    <row r="31" spans="1:22" x14ac:dyDescent="0.35">
      <c r="A31" t="str">
        <f>_xlfn.XLOOKUP(B31,master!B:B,master!A:A)</f>
        <v>Insurance</v>
      </c>
      <c r="B31" s="50" t="s">
        <v>275</v>
      </c>
      <c r="C31" s="50"/>
      <c r="D31" s="50"/>
      <c r="E31" s="50"/>
      <c r="F31" s="50"/>
      <c r="G31" s="37">
        <f>IFERROR(_xlfn.XLOOKUP(B31,#REF!,#REF!),0)</f>
        <v>0</v>
      </c>
      <c r="H31" s="37" t="e">
        <f>_xlfn.XLOOKUP(B31,#REF!,#REF!)</f>
        <v>#REF!</v>
      </c>
      <c r="I31" s="37" t="e">
        <f>_xlfn.XLOOKUP(B31,#REF!,#REF!)</f>
        <v>#REF!</v>
      </c>
      <c r="J31" s="51" t="e">
        <f>_xlfn.XLOOKUP(B31,#REF!,#REF!)</f>
        <v>#REF!</v>
      </c>
      <c r="K31" s="37" t="e">
        <f>_xlfn.XLOOKUP(B31,#REF!,#REF!)</f>
        <v>#REF!</v>
      </c>
      <c r="L31" s="37" t="e">
        <f>_xlfn.XLOOKUP(B31,#REF!,#REF!)</f>
        <v>#REF!</v>
      </c>
      <c r="M31" s="37" t="e">
        <f>_xlfn.XLOOKUP(B31,#REF!,#REF!)</f>
        <v>#REF!</v>
      </c>
      <c r="N31" s="37" t="e">
        <f>_xlfn.XLOOKUP(B31,#REF!,#REF!)</f>
        <v>#REF!</v>
      </c>
      <c r="O31" s="37" t="e">
        <f>_xlfn.XLOOKUP(B31,#REF!,#REF!)</f>
        <v>#REF!</v>
      </c>
      <c r="P31" s="37" t="e">
        <f>_xlfn.XLOOKUP(B31,#REF!,#REF!)</f>
        <v>#REF!</v>
      </c>
      <c r="Q31" s="37" t="e">
        <f>_xlfn.XLOOKUP(B31,#REF!,#REF!)</f>
        <v>#REF!</v>
      </c>
      <c r="R31" s="37" t="e">
        <f>_xlfn.XLOOKUP(B31,#REF!,#REF!)</f>
        <v>#REF!</v>
      </c>
      <c r="S31" s="37" t="e">
        <f>_xlfn.XLOOKUP(B31,#REF!,#REF!)</f>
        <v>#REF!</v>
      </c>
      <c r="T31" s="37" t="e">
        <f>_xlfn.XLOOKUP(B31,#REF!,#REF!)</f>
        <v>#REF!</v>
      </c>
      <c r="U31" s="37" t="e">
        <f>_xlfn.XLOOKUP(B31,#REF!,#REF!)</f>
        <v>#REF!</v>
      </c>
      <c r="V31" s="37" t="e">
        <f>_xlfn.XLOOKUP(B31,#REF!,#REF!)</f>
        <v>#REF!</v>
      </c>
    </row>
    <row r="32" spans="1:22" x14ac:dyDescent="0.35">
      <c r="A32" t="str">
        <f>_xlfn.XLOOKUP(B32,master!B:B,master!A:A)</f>
        <v>Freight Outward and C &amp; F Charges</v>
      </c>
      <c r="B32" s="50" t="s">
        <v>276</v>
      </c>
      <c r="C32" s="50"/>
      <c r="D32" s="50"/>
      <c r="E32" s="50"/>
      <c r="F32" s="50"/>
      <c r="G32" s="37">
        <f>IFERROR(_xlfn.XLOOKUP(B32,#REF!,#REF!),0)</f>
        <v>0</v>
      </c>
      <c r="H32" s="37" t="e">
        <f>_xlfn.XLOOKUP(B32,#REF!,#REF!)</f>
        <v>#REF!</v>
      </c>
      <c r="I32" s="37" t="e">
        <f>_xlfn.XLOOKUP(B32,#REF!,#REF!)</f>
        <v>#REF!</v>
      </c>
      <c r="J32" s="51" t="e">
        <f>_xlfn.XLOOKUP(B32,#REF!,#REF!)</f>
        <v>#REF!</v>
      </c>
      <c r="K32" s="37" t="e">
        <f>_xlfn.XLOOKUP(B32,#REF!,#REF!)</f>
        <v>#REF!</v>
      </c>
      <c r="L32" s="37" t="e">
        <f>_xlfn.XLOOKUP(B32,#REF!,#REF!)</f>
        <v>#REF!</v>
      </c>
      <c r="M32" s="37" t="e">
        <f>_xlfn.XLOOKUP(B32,#REF!,#REF!)</f>
        <v>#REF!</v>
      </c>
      <c r="N32" s="37" t="e">
        <f>_xlfn.XLOOKUP(B32,#REF!,#REF!)</f>
        <v>#REF!</v>
      </c>
      <c r="O32" s="37" t="e">
        <f>_xlfn.XLOOKUP(B32,#REF!,#REF!)</f>
        <v>#REF!</v>
      </c>
      <c r="P32" s="37" t="e">
        <f>_xlfn.XLOOKUP(B32,#REF!,#REF!)</f>
        <v>#REF!</v>
      </c>
      <c r="Q32" s="37" t="e">
        <f>_xlfn.XLOOKUP(B32,#REF!,#REF!)</f>
        <v>#REF!</v>
      </c>
      <c r="R32" s="37" t="e">
        <f>_xlfn.XLOOKUP(B32,#REF!,#REF!)</f>
        <v>#REF!</v>
      </c>
      <c r="S32" s="37" t="e">
        <f>_xlfn.XLOOKUP(B32,#REF!,#REF!)</f>
        <v>#REF!</v>
      </c>
      <c r="T32" s="37" t="e">
        <f>_xlfn.XLOOKUP(B32,#REF!,#REF!)</f>
        <v>#REF!</v>
      </c>
      <c r="U32" s="37" t="e">
        <f>_xlfn.XLOOKUP(B32,#REF!,#REF!)</f>
        <v>#REF!</v>
      </c>
      <c r="V32" s="37" t="e">
        <f>_xlfn.XLOOKUP(B32,#REF!,#REF!)</f>
        <v>#REF!</v>
      </c>
    </row>
    <row r="33" spans="1:22" x14ac:dyDescent="0.35">
      <c r="A33" t="str">
        <f>_xlfn.XLOOKUP(B33,master!B:B,master!A:A)</f>
        <v xml:space="preserve">Jobwork charges </v>
      </c>
      <c r="B33" s="50" t="s">
        <v>277</v>
      </c>
      <c r="C33" s="50"/>
      <c r="D33" s="50"/>
      <c r="E33" s="50"/>
      <c r="F33" s="50"/>
      <c r="G33" s="37">
        <f>IFERROR(_xlfn.XLOOKUP(B33,#REF!,#REF!),0)</f>
        <v>0</v>
      </c>
      <c r="H33" s="37" t="e">
        <f>_xlfn.XLOOKUP(B33,#REF!,#REF!)</f>
        <v>#REF!</v>
      </c>
      <c r="I33" s="37" t="e">
        <f>_xlfn.XLOOKUP(B33,#REF!,#REF!)</f>
        <v>#REF!</v>
      </c>
      <c r="J33" s="51" t="e">
        <f>_xlfn.XLOOKUP(B33,#REF!,#REF!)</f>
        <v>#REF!</v>
      </c>
      <c r="K33" s="37" t="e">
        <f>_xlfn.XLOOKUP(B33,#REF!,#REF!)</f>
        <v>#REF!</v>
      </c>
      <c r="L33" s="37" t="e">
        <f>_xlfn.XLOOKUP(B33,#REF!,#REF!)</f>
        <v>#REF!</v>
      </c>
      <c r="M33" s="37" t="e">
        <f>_xlfn.XLOOKUP(B33,#REF!,#REF!)</f>
        <v>#REF!</v>
      </c>
      <c r="N33" s="37" t="e">
        <f>_xlfn.XLOOKUP(B33,#REF!,#REF!)</f>
        <v>#REF!</v>
      </c>
      <c r="O33" s="37" t="e">
        <f>_xlfn.XLOOKUP(B33,#REF!,#REF!)</f>
        <v>#REF!</v>
      </c>
      <c r="P33" s="37" t="e">
        <f>_xlfn.XLOOKUP(B33,#REF!,#REF!)</f>
        <v>#REF!</v>
      </c>
      <c r="Q33" s="37" t="e">
        <f>_xlfn.XLOOKUP(B33,#REF!,#REF!)</f>
        <v>#REF!</v>
      </c>
      <c r="R33" s="37" t="e">
        <f>_xlfn.XLOOKUP(B33,#REF!,#REF!)</f>
        <v>#REF!</v>
      </c>
      <c r="S33" s="37" t="e">
        <f>_xlfn.XLOOKUP(B33,#REF!,#REF!)</f>
        <v>#REF!</v>
      </c>
      <c r="T33" s="37" t="e">
        <f>_xlfn.XLOOKUP(B33,#REF!,#REF!)</f>
        <v>#REF!</v>
      </c>
      <c r="U33" s="37" t="e">
        <f>_xlfn.XLOOKUP(B33,#REF!,#REF!)</f>
        <v>#REF!</v>
      </c>
      <c r="V33" s="37" t="e">
        <f>_xlfn.XLOOKUP(B33,#REF!,#REF!)</f>
        <v>#REF!</v>
      </c>
    </row>
    <row r="34" spans="1:22" x14ac:dyDescent="0.35">
      <c r="A34" t="str">
        <f>_xlfn.XLOOKUP(B34,master!B:B,master!A:A)</f>
        <v>Freight Outward and C &amp; F Charges</v>
      </c>
      <c r="B34" s="50" t="s">
        <v>278</v>
      </c>
      <c r="C34" s="50"/>
      <c r="D34" s="50"/>
      <c r="E34" s="50"/>
      <c r="F34" s="50"/>
      <c r="G34" s="37">
        <f>IFERROR(_xlfn.XLOOKUP(B34,#REF!,#REF!),0)</f>
        <v>0</v>
      </c>
      <c r="H34" s="37" t="e">
        <f>_xlfn.XLOOKUP(B34,#REF!,#REF!)</f>
        <v>#REF!</v>
      </c>
      <c r="I34" s="37" t="e">
        <f>_xlfn.XLOOKUP(B34,#REF!,#REF!)</f>
        <v>#REF!</v>
      </c>
      <c r="J34" s="51" t="e">
        <f>_xlfn.XLOOKUP(B34,#REF!,#REF!)</f>
        <v>#REF!</v>
      </c>
      <c r="K34" s="37" t="e">
        <f>_xlfn.XLOOKUP(B34,#REF!,#REF!)</f>
        <v>#REF!</v>
      </c>
      <c r="L34" s="37" t="e">
        <f>_xlfn.XLOOKUP(B34,#REF!,#REF!)</f>
        <v>#REF!</v>
      </c>
      <c r="M34" s="37" t="e">
        <f>_xlfn.XLOOKUP(B34,#REF!,#REF!)</f>
        <v>#REF!</v>
      </c>
      <c r="N34" s="37" t="e">
        <f>_xlfn.XLOOKUP(B34,#REF!,#REF!)</f>
        <v>#REF!</v>
      </c>
      <c r="O34" s="37" t="e">
        <f>_xlfn.XLOOKUP(B34,#REF!,#REF!)</f>
        <v>#REF!</v>
      </c>
      <c r="P34" s="37" t="e">
        <f>_xlfn.XLOOKUP(B34,#REF!,#REF!)</f>
        <v>#REF!</v>
      </c>
      <c r="Q34" s="37" t="e">
        <f>_xlfn.XLOOKUP(B34,#REF!,#REF!)</f>
        <v>#REF!</v>
      </c>
      <c r="R34" s="37" t="e">
        <f>_xlfn.XLOOKUP(B34,#REF!,#REF!)</f>
        <v>#REF!</v>
      </c>
      <c r="S34" s="37" t="e">
        <f>_xlfn.XLOOKUP(B34,#REF!,#REF!)</f>
        <v>#REF!</v>
      </c>
      <c r="T34" s="37" t="e">
        <f>_xlfn.XLOOKUP(B34,#REF!,#REF!)</f>
        <v>#REF!</v>
      </c>
      <c r="U34" s="37" t="e">
        <f>_xlfn.XLOOKUP(B34,#REF!,#REF!)</f>
        <v>#REF!</v>
      </c>
      <c r="V34" s="37" t="e">
        <f>_xlfn.XLOOKUP(B34,#REF!,#REF!)</f>
        <v>#REF!</v>
      </c>
    </row>
    <row r="35" spans="1:22" x14ac:dyDescent="0.35">
      <c r="A35" t="str">
        <f>_xlfn.XLOOKUP(B35,master!B:B,master!A:A)</f>
        <v>Other Manufacturing Expenses</v>
      </c>
      <c r="B35" s="50" t="s">
        <v>279</v>
      </c>
      <c r="C35" s="50"/>
      <c r="D35" s="50"/>
      <c r="E35" s="50"/>
      <c r="F35" s="50"/>
      <c r="G35" s="37">
        <f>IFERROR(_xlfn.XLOOKUP(B35,#REF!,#REF!),0)</f>
        <v>0</v>
      </c>
      <c r="H35" s="37" t="e">
        <f>_xlfn.XLOOKUP(B35,#REF!,#REF!)</f>
        <v>#REF!</v>
      </c>
      <c r="I35" s="37" t="e">
        <f>_xlfn.XLOOKUP(B35,#REF!,#REF!)</f>
        <v>#REF!</v>
      </c>
      <c r="J35" s="51" t="e">
        <f>_xlfn.XLOOKUP(B35,#REF!,#REF!)</f>
        <v>#REF!</v>
      </c>
      <c r="K35" s="37" t="e">
        <f>_xlfn.XLOOKUP(B35,#REF!,#REF!)</f>
        <v>#REF!</v>
      </c>
      <c r="L35" s="37" t="e">
        <f>_xlfn.XLOOKUP(B35,#REF!,#REF!)</f>
        <v>#REF!</v>
      </c>
      <c r="M35" s="37" t="e">
        <f>_xlfn.XLOOKUP(B35,#REF!,#REF!)</f>
        <v>#REF!</v>
      </c>
      <c r="N35" s="37" t="e">
        <f>_xlfn.XLOOKUP(B35,#REF!,#REF!)</f>
        <v>#REF!</v>
      </c>
      <c r="O35" s="37" t="e">
        <f>_xlfn.XLOOKUP(B35,#REF!,#REF!)</f>
        <v>#REF!</v>
      </c>
      <c r="P35" s="37" t="e">
        <f>_xlfn.XLOOKUP(B35,#REF!,#REF!)</f>
        <v>#REF!</v>
      </c>
      <c r="Q35" s="37" t="e">
        <f>_xlfn.XLOOKUP(B35,#REF!,#REF!)</f>
        <v>#REF!</v>
      </c>
      <c r="R35" s="37" t="e">
        <f>_xlfn.XLOOKUP(B35,#REF!,#REF!)</f>
        <v>#REF!</v>
      </c>
      <c r="S35" s="37" t="e">
        <f>_xlfn.XLOOKUP(B35,#REF!,#REF!)</f>
        <v>#REF!</v>
      </c>
      <c r="T35" s="37" t="e">
        <f>_xlfn.XLOOKUP(B35,#REF!,#REF!)</f>
        <v>#REF!</v>
      </c>
      <c r="U35" s="37" t="e">
        <f>_xlfn.XLOOKUP(B35,#REF!,#REF!)</f>
        <v>#REF!</v>
      </c>
      <c r="V35" s="37" t="e">
        <f>_xlfn.XLOOKUP(B35,#REF!,#REF!)</f>
        <v>#REF!</v>
      </c>
    </row>
    <row r="36" spans="1:22" x14ac:dyDescent="0.35">
      <c r="A36" t="str">
        <f>_xlfn.XLOOKUP(B36,master!B:B,master!A:A)</f>
        <v>Other Administrative Expenses</v>
      </c>
      <c r="B36" s="50" t="s">
        <v>280</v>
      </c>
      <c r="C36" s="50"/>
      <c r="D36" s="50"/>
      <c r="E36" s="50"/>
      <c r="F36" s="50"/>
      <c r="G36" s="37">
        <f>IFERROR(_xlfn.XLOOKUP(B36,#REF!,#REF!),0)</f>
        <v>0</v>
      </c>
      <c r="H36" s="37" t="e">
        <f>_xlfn.XLOOKUP(B36,#REF!,#REF!)</f>
        <v>#REF!</v>
      </c>
      <c r="I36" s="37" t="e">
        <f>_xlfn.XLOOKUP(B36,#REF!,#REF!)</f>
        <v>#REF!</v>
      </c>
      <c r="J36" s="51" t="e">
        <f>_xlfn.XLOOKUP(B36,#REF!,#REF!)</f>
        <v>#REF!</v>
      </c>
      <c r="K36" s="37" t="e">
        <f>_xlfn.XLOOKUP(B36,#REF!,#REF!)</f>
        <v>#REF!</v>
      </c>
      <c r="L36" s="37" t="e">
        <f>_xlfn.XLOOKUP(B36,#REF!,#REF!)</f>
        <v>#REF!</v>
      </c>
      <c r="M36" s="37" t="e">
        <f>_xlfn.XLOOKUP(B36,#REF!,#REF!)</f>
        <v>#REF!</v>
      </c>
      <c r="N36" s="37" t="e">
        <f>_xlfn.XLOOKUP(B36,#REF!,#REF!)</f>
        <v>#REF!</v>
      </c>
      <c r="O36" s="37" t="e">
        <f>_xlfn.XLOOKUP(B36,#REF!,#REF!)</f>
        <v>#REF!</v>
      </c>
      <c r="P36" s="37" t="e">
        <f>_xlfn.XLOOKUP(B36,#REF!,#REF!)</f>
        <v>#REF!</v>
      </c>
      <c r="Q36" s="37" t="e">
        <f>_xlfn.XLOOKUP(B36,#REF!,#REF!)</f>
        <v>#REF!</v>
      </c>
      <c r="R36" s="37" t="e">
        <f>_xlfn.XLOOKUP(B36,#REF!,#REF!)</f>
        <v>#REF!</v>
      </c>
      <c r="S36" s="37" t="e">
        <f>_xlfn.XLOOKUP(B36,#REF!,#REF!)</f>
        <v>#REF!</v>
      </c>
      <c r="T36" s="37" t="e">
        <f>_xlfn.XLOOKUP(B36,#REF!,#REF!)</f>
        <v>#REF!</v>
      </c>
      <c r="U36" s="37" t="e">
        <f>_xlfn.XLOOKUP(B36,#REF!,#REF!)</f>
        <v>#REF!</v>
      </c>
      <c r="V36" s="37" t="e">
        <f>_xlfn.XLOOKUP(B36,#REF!,#REF!)</f>
        <v>#REF!</v>
      </c>
    </row>
    <row r="37" spans="1:22" x14ac:dyDescent="0.35">
      <c r="A37" t="str">
        <f>_xlfn.XLOOKUP(B37,master!B:B,master!A:A)</f>
        <v>Other Manufacturing Expenses</v>
      </c>
      <c r="B37" s="50" t="s">
        <v>281</v>
      </c>
      <c r="C37" s="50"/>
      <c r="D37" s="50"/>
      <c r="E37" s="50"/>
      <c r="F37" s="50"/>
      <c r="G37" s="37">
        <f>IFERROR(_xlfn.XLOOKUP(B37,#REF!,#REF!),0)</f>
        <v>0</v>
      </c>
      <c r="H37" s="37" t="e">
        <f>_xlfn.XLOOKUP(B37,#REF!,#REF!)</f>
        <v>#REF!</v>
      </c>
      <c r="I37" s="37" t="e">
        <f>_xlfn.XLOOKUP(B37,#REF!,#REF!)</f>
        <v>#REF!</v>
      </c>
      <c r="J37" s="51" t="e">
        <f>_xlfn.XLOOKUP(B37,#REF!,#REF!)</f>
        <v>#REF!</v>
      </c>
      <c r="K37" s="37" t="e">
        <f>_xlfn.XLOOKUP(B37,#REF!,#REF!)</f>
        <v>#REF!</v>
      </c>
      <c r="L37" s="37" t="e">
        <f>_xlfn.XLOOKUP(B37,#REF!,#REF!)</f>
        <v>#REF!</v>
      </c>
      <c r="M37" s="37" t="e">
        <f>_xlfn.XLOOKUP(B37,#REF!,#REF!)</f>
        <v>#REF!</v>
      </c>
      <c r="N37" s="37" t="e">
        <f>_xlfn.XLOOKUP(B37,#REF!,#REF!)</f>
        <v>#REF!</v>
      </c>
      <c r="O37" s="37" t="e">
        <f>_xlfn.XLOOKUP(B37,#REF!,#REF!)</f>
        <v>#REF!</v>
      </c>
      <c r="P37" s="37" t="e">
        <f>_xlfn.XLOOKUP(B37,#REF!,#REF!)</f>
        <v>#REF!</v>
      </c>
      <c r="Q37" s="37" t="e">
        <f>_xlfn.XLOOKUP(B37,#REF!,#REF!)</f>
        <v>#REF!</v>
      </c>
      <c r="R37" s="37" t="e">
        <f>_xlfn.XLOOKUP(B37,#REF!,#REF!)</f>
        <v>#REF!</v>
      </c>
      <c r="S37" s="37" t="e">
        <f>_xlfn.XLOOKUP(B37,#REF!,#REF!)</f>
        <v>#REF!</v>
      </c>
      <c r="T37" s="37" t="e">
        <f>_xlfn.XLOOKUP(B37,#REF!,#REF!)</f>
        <v>#REF!</v>
      </c>
      <c r="U37" s="37" t="e">
        <f>_xlfn.XLOOKUP(B37,#REF!,#REF!)</f>
        <v>#REF!</v>
      </c>
      <c r="V37" s="37" t="e">
        <f>_xlfn.XLOOKUP(B37,#REF!,#REF!)</f>
        <v>#REF!</v>
      </c>
    </row>
    <row r="38" spans="1:22" x14ac:dyDescent="0.35">
      <c r="A38" t="str">
        <f>_xlfn.XLOOKUP(B38,master!B:B,master!A:A)</f>
        <v>Other Manufacturing Expenses</v>
      </c>
      <c r="B38" s="50" t="s">
        <v>282</v>
      </c>
      <c r="C38" s="50"/>
      <c r="D38" s="50"/>
      <c r="E38" s="50"/>
      <c r="F38" s="50"/>
      <c r="G38" s="37">
        <f>IFERROR(_xlfn.XLOOKUP(B38,#REF!,#REF!),0)</f>
        <v>0</v>
      </c>
      <c r="H38" s="37" t="e">
        <f>_xlfn.XLOOKUP(B38,#REF!,#REF!)</f>
        <v>#REF!</v>
      </c>
      <c r="I38" s="37" t="e">
        <f>_xlfn.XLOOKUP(B38,#REF!,#REF!)</f>
        <v>#REF!</v>
      </c>
      <c r="J38" s="51" t="e">
        <f>_xlfn.XLOOKUP(B38,#REF!,#REF!)</f>
        <v>#REF!</v>
      </c>
      <c r="K38" s="37" t="e">
        <f>_xlfn.XLOOKUP(B38,#REF!,#REF!)</f>
        <v>#REF!</v>
      </c>
      <c r="L38" s="37" t="e">
        <f>_xlfn.XLOOKUP(B38,#REF!,#REF!)</f>
        <v>#REF!</v>
      </c>
      <c r="M38" s="37" t="e">
        <f>_xlfn.XLOOKUP(B38,#REF!,#REF!)</f>
        <v>#REF!</v>
      </c>
      <c r="N38" s="37" t="e">
        <f>_xlfn.XLOOKUP(B38,#REF!,#REF!)</f>
        <v>#REF!</v>
      </c>
      <c r="O38" s="37" t="e">
        <f>_xlfn.XLOOKUP(B38,#REF!,#REF!)</f>
        <v>#REF!</v>
      </c>
      <c r="P38" s="37" t="e">
        <f>_xlfn.XLOOKUP(B38,#REF!,#REF!)</f>
        <v>#REF!</v>
      </c>
      <c r="Q38" s="37" t="e">
        <f>_xlfn.XLOOKUP(B38,#REF!,#REF!)</f>
        <v>#REF!</v>
      </c>
      <c r="R38" s="37" t="e">
        <f>_xlfn.XLOOKUP(B38,#REF!,#REF!)</f>
        <v>#REF!</v>
      </c>
      <c r="S38" s="37" t="e">
        <f>_xlfn.XLOOKUP(B38,#REF!,#REF!)</f>
        <v>#REF!</v>
      </c>
      <c r="T38" s="37" t="e">
        <f>_xlfn.XLOOKUP(B38,#REF!,#REF!)</f>
        <v>#REF!</v>
      </c>
      <c r="U38" s="37" t="e">
        <f>_xlfn.XLOOKUP(B38,#REF!,#REF!)</f>
        <v>#REF!</v>
      </c>
      <c r="V38" s="37" t="e">
        <f>_xlfn.XLOOKUP(B38,#REF!,#REF!)</f>
        <v>#REF!</v>
      </c>
    </row>
    <row r="39" spans="1:22" x14ac:dyDescent="0.35">
      <c r="A39" t="str">
        <f>_xlfn.XLOOKUP(B39,master!B:B,master!A:A)</f>
        <v>Add: Purchase of packing materials</v>
      </c>
      <c r="B39" s="50" t="s">
        <v>283</v>
      </c>
      <c r="C39" s="50"/>
      <c r="D39" s="50"/>
      <c r="E39" s="50"/>
      <c r="F39" s="50"/>
      <c r="G39" s="37">
        <f>IFERROR(_xlfn.XLOOKUP(B39,#REF!,#REF!),0)</f>
        <v>0</v>
      </c>
      <c r="H39" s="37" t="e">
        <f>_xlfn.XLOOKUP(B39,#REF!,#REF!)</f>
        <v>#REF!</v>
      </c>
      <c r="I39" s="37" t="e">
        <f>_xlfn.XLOOKUP(B39,#REF!,#REF!)</f>
        <v>#REF!</v>
      </c>
      <c r="J39" s="51" t="e">
        <f>_xlfn.XLOOKUP(B39,#REF!,#REF!)</f>
        <v>#REF!</v>
      </c>
      <c r="K39" s="37" t="e">
        <f>_xlfn.XLOOKUP(B39,#REF!,#REF!)</f>
        <v>#REF!</v>
      </c>
      <c r="L39" s="37" t="e">
        <f>_xlfn.XLOOKUP(B39,#REF!,#REF!)</f>
        <v>#REF!</v>
      </c>
      <c r="M39" s="37" t="e">
        <f>_xlfn.XLOOKUP(B39,#REF!,#REF!)</f>
        <v>#REF!</v>
      </c>
      <c r="N39" s="37" t="e">
        <f>_xlfn.XLOOKUP(B39,#REF!,#REF!)</f>
        <v>#REF!</v>
      </c>
      <c r="O39" s="37" t="e">
        <f>_xlfn.XLOOKUP(B39,#REF!,#REF!)</f>
        <v>#REF!</v>
      </c>
      <c r="P39" s="37" t="e">
        <f>_xlfn.XLOOKUP(B39,#REF!,#REF!)</f>
        <v>#REF!</v>
      </c>
      <c r="Q39" s="37" t="e">
        <f>_xlfn.XLOOKUP(B39,#REF!,#REF!)</f>
        <v>#REF!</v>
      </c>
      <c r="R39" s="37" t="e">
        <f>_xlfn.XLOOKUP(B39,#REF!,#REF!)</f>
        <v>#REF!</v>
      </c>
      <c r="S39" s="37" t="e">
        <f>_xlfn.XLOOKUP(B39,#REF!,#REF!)</f>
        <v>#REF!</v>
      </c>
      <c r="T39" s="37" t="e">
        <f>_xlfn.XLOOKUP(B39,#REF!,#REF!)</f>
        <v>#REF!</v>
      </c>
      <c r="U39" s="37" t="e">
        <f>_xlfn.XLOOKUP(B39,#REF!,#REF!)</f>
        <v>#REF!</v>
      </c>
      <c r="V39" s="37" t="e">
        <f>_xlfn.XLOOKUP(B39,#REF!,#REF!)</f>
        <v>#REF!</v>
      </c>
    </row>
    <row r="40" spans="1:22" x14ac:dyDescent="0.35">
      <c r="A40" t="str">
        <f>_xlfn.XLOOKUP(B40,master!B:B,master!A:A)</f>
        <v>Add: Purchase of raw materials</v>
      </c>
      <c r="B40" s="50" t="s">
        <v>284</v>
      </c>
      <c r="C40" s="50"/>
      <c r="D40" s="50"/>
      <c r="E40" s="50"/>
      <c r="F40" s="50"/>
      <c r="G40" s="37">
        <f>IFERROR(_xlfn.XLOOKUP(B40,#REF!,#REF!),0)</f>
        <v>0</v>
      </c>
      <c r="H40" s="37" t="e">
        <f>_xlfn.XLOOKUP(B40,#REF!,#REF!)</f>
        <v>#REF!</v>
      </c>
      <c r="I40" s="37" t="e">
        <f>_xlfn.XLOOKUP(B40,#REF!,#REF!)</f>
        <v>#REF!</v>
      </c>
      <c r="J40" s="51" t="e">
        <f>_xlfn.XLOOKUP(B40,#REF!,#REF!)</f>
        <v>#REF!</v>
      </c>
      <c r="K40" s="37" t="e">
        <f>_xlfn.XLOOKUP(B40,#REF!,#REF!)</f>
        <v>#REF!</v>
      </c>
      <c r="L40" s="37" t="e">
        <f>_xlfn.XLOOKUP(B40,#REF!,#REF!)</f>
        <v>#REF!</v>
      </c>
      <c r="M40" s="37" t="e">
        <f>_xlfn.XLOOKUP(B40,#REF!,#REF!)</f>
        <v>#REF!</v>
      </c>
      <c r="N40" s="37" t="e">
        <f>_xlfn.XLOOKUP(B40,#REF!,#REF!)</f>
        <v>#REF!</v>
      </c>
      <c r="O40" s="37" t="e">
        <f>_xlfn.XLOOKUP(B40,#REF!,#REF!)</f>
        <v>#REF!</v>
      </c>
      <c r="P40" s="37" t="e">
        <f>_xlfn.XLOOKUP(B40,#REF!,#REF!)</f>
        <v>#REF!</v>
      </c>
      <c r="Q40" s="37" t="e">
        <f>_xlfn.XLOOKUP(B40,#REF!,#REF!)</f>
        <v>#REF!</v>
      </c>
      <c r="R40" s="37" t="e">
        <f>_xlfn.XLOOKUP(B40,#REF!,#REF!)</f>
        <v>#REF!</v>
      </c>
      <c r="S40" s="37" t="e">
        <f>_xlfn.XLOOKUP(B40,#REF!,#REF!)</f>
        <v>#REF!</v>
      </c>
      <c r="T40" s="37" t="e">
        <f>_xlfn.XLOOKUP(B40,#REF!,#REF!)</f>
        <v>#REF!</v>
      </c>
      <c r="U40" s="37" t="e">
        <f>_xlfn.XLOOKUP(B40,#REF!,#REF!)</f>
        <v>#REF!</v>
      </c>
      <c r="V40" s="37" t="e">
        <f>_xlfn.XLOOKUP(B40,#REF!,#REF!)</f>
        <v>#REF!</v>
      </c>
    </row>
    <row r="41" spans="1:22" x14ac:dyDescent="0.35">
      <c r="A41" t="str">
        <f>_xlfn.XLOOKUP(B41,master!B:B,master!A:A)</f>
        <v>Add: Purchase of Stores, Spares &amp; Consumables</v>
      </c>
      <c r="B41" s="50" t="s">
        <v>285</v>
      </c>
      <c r="C41" s="50"/>
      <c r="D41" s="50"/>
      <c r="E41" s="50"/>
      <c r="F41" s="50"/>
      <c r="G41" s="37">
        <f>IFERROR(_xlfn.XLOOKUP(B41,#REF!,#REF!),0)</f>
        <v>0</v>
      </c>
      <c r="H41" s="37" t="e">
        <f>_xlfn.XLOOKUP(B41,#REF!,#REF!)</f>
        <v>#REF!</v>
      </c>
      <c r="I41" s="37" t="e">
        <f>_xlfn.XLOOKUP(B41,#REF!,#REF!)</f>
        <v>#REF!</v>
      </c>
      <c r="J41" s="51" t="e">
        <f>_xlfn.XLOOKUP(B41,#REF!,#REF!)</f>
        <v>#REF!</v>
      </c>
      <c r="K41" s="37" t="e">
        <f>_xlfn.XLOOKUP(B41,#REF!,#REF!)</f>
        <v>#REF!</v>
      </c>
      <c r="L41" s="37" t="e">
        <f>_xlfn.XLOOKUP(B41,#REF!,#REF!)</f>
        <v>#REF!</v>
      </c>
      <c r="M41" s="37" t="e">
        <f>_xlfn.XLOOKUP(B41,#REF!,#REF!)</f>
        <v>#REF!</v>
      </c>
      <c r="N41" s="37" t="e">
        <f>_xlfn.XLOOKUP(B41,#REF!,#REF!)</f>
        <v>#REF!</v>
      </c>
      <c r="O41" s="37" t="e">
        <f>_xlfn.XLOOKUP(B41,#REF!,#REF!)</f>
        <v>#REF!</v>
      </c>
      <c r="P41" s="37" t="e">
        <f>_xlfn.XLOOKUP(B41,#REF!,#REF!)</f>
        <v>#REF!</v>
      </c>
      <c r="Q41" s="37" t="e">
        <f>_xlfn.XLOOKUP(B41,#REF!,#REF!)</f>
        <v>#REF!</v>
      </c>
      <c r="R41" s="37" t="e">
        <f>_xlfn.XLOOKUP(B41,#REF!,#REF!)</f>
        <v>#REF!</v>
      </c>
      <c r="S41" s="37" t="e">
        <f>_xlfn.XLOOKUP(B41,#REF!,#REF!)</f>
        <v>#REF!</v>
      </c>
      <c r="T41" s="37" t="e">
        <f>_xlfn.XLOOKUP(B41,#REF!,#REF!)</f>
        <v>#REF!</v>
      </c>
      <c r="U41" s="37" t="e">
        <f>_xlfn.XLOOKUP(B41,#REF!,#REF!)</f>
        <v>#REF!</v>
      </c>
      <c r="V41" s="37" t="e">
        <f>_xlfn.XLOOKUP(B41,#REF!,#REF!)</f>
        <v>#REF!</v>
      </c>
    </row>
    <row r="42" spans="1:22" x14ac:dyDescent="0.35">
      <c r="A42" t="str">
        <f>_xlfn.XLOOKUP(B42,master!B:B,master!A:A)</f>
        <v>Add: Purchase of traded goods</v>
      </c>
      <c r="B42" s="50" t="s">
        <v>286</v>
      </c>
      <c r="C42" s="50"/>
      <c r="D42" s="50"/>
      <c r="E42" s="50"/>
      <c r="F42" s="50"/>
      <c r="G42" s="37">
        <f>IFERROR(_xlfn.XLOOKUP(B42,#REF!,#REF!),0)</f>
        <v>0</v>
      </c>
      <c r="H42" s="37" t="e">
        <f>_xlfn.XLOOKUP(B42,#REF!,#REF!)</f>
        <v>#REF!</v>
      </c>
      <c r="I42" s="37" t="e">
        <f>_xlfn.XLOOKUP(B42,#REF!,#REF!)</f>
        <v>#REF!</v>
      </c>
      <c r="J42" s="51" t="e">
        <f>_xlfn.XLOOKUP(B42,#REF!,#REF!)</f>
        <v>#REF!</v>
      </c>
      <c r="K42" s="37" t="e">
        <f>_xlfn.XLOOKUP(B42,#REF!,#REF!)</f>
        <v>#REF!</v>
      </c>
      <c r="L42" s="37" t="e">
        <f>_xlfn.XLOOKUP(B42,#REF!,#REF!)</f>
        <v>#REF!</v>
      </c>
      <c r="M42" s="37" t="e">
        <f>_xlfn.XLOOKUP(B42,#REF!,#REF!)</f>
        <v>#REF!</v>
      </c>
      <c r="N42" s="37" t="e">
        <f>_xlfn.XLOOKUP(B42,#REF!,#REF!)</f>
        <v>#REF!</v>
      </c>
      <c r="O42" s="37" t="e">
        <f>_xlfn.XLOOKUP(B42,#REF!,#REF!)</f>
        <v>#REF!</v>
      </c>
      <c r="P42" s="37" t="e">
        <f>_xlfn.XLOOKUP(B42,#REF!,#REF!)</f>
        <v>#REF!</v>
      </c>
      <c r="Q42" s="37" t="e">
        <f>_xlfn.XLOOKUP(B42,#REF!,#REF!)</f>
        <v>#REF!</v>
      </c>
      <c r="R42" s="37" t="e">
        <f>_xlfn.XLOOKUP(B42,#REF!,#REF!)</f>
        <v>#REF!</v>
      </c>
      <c r="S42" s="37" t="e">
        <f>_xlfn.XLOOKUP(B42,#REF!,#REF!)</f>
        <v>#REF!</v>
      </c>
      <c r="T42" s="37" t="e">
        <f>_xlfn.XLOOKUP(B42,#REF!,#REF!)</f>
        <v>#REF!</v>
      </c>
      <c r="U42" s="37" t="e">
        <f>_xlfn.XLOOKUP(B42,#REF!,#REF!)</f>
        <v>#REF!</v>
      </c>
      <c r="V42" s="37" t="e">
        <f>_xlfn.XLOOKUP(B42,#REF!,#REF!)</f>
        <v>#REF!</v>
      </c>
    </row>
    <row r="43" spans="1:22" x14ac:dyDescent="0.35">
      <c r="A43" t="str">
        <f>_xlfn.XLOOKUP(B43,master!B:B,master!A:A)</f>
        <v>Add: Purchase of raw materials</v>
      </c>
      <c r="B43" s="50" t="s">
        <v>287</v>
      </c>
      <c r="C43" s="50"/>
      <c r="D43" s="50"/>
      <c r="E43" s="50"/>
      <c r="F43" s="50"/>
      <c r="G43" s="37">
        <f>IFERROR(_xlfn.XLOOKUP(B43,#REF!,#REF!),0)</f>
        <v>0</v>
      </c>
      <c r="H43" s="37" t="e">
        <f>_xlfn.XLOOKUP(B43,#REF!,#REF!)</f>
        <v>#REF!</v>
      </c>
      <c r="I43" s="37" t="e">
        <f>_xlfn.XLOOKUP(B43,#REF!,#REF!)</f>
        <v>#REF!</v>
      </c>
      <c r="J43" s="51" t="e">
        <f>_xlfn.XLOOKUP(B43,#REF!,#REF!)</f>
        <v>#REF!</v>
      </c>
      <c r="K43" s="37" t="e">
        <f>_xlfn.XLOOKUP(B43,#REF!,#REF!)</f>
        <v>#REF!</v>
      </c>
      <c r="L43" s="37" t="e">
        <f>_xlfn.XLOOKUP(B43,#REF!,#REF!)</f>
        <v>#REF!</v>
      </c>
      <c r="M43" s="37" t="e">
        <f>_xlfn.XLOOKUP(B43,#REF!,#REF!)</f>
        <v>#REF!</v>
      </c>
      <c r="N43" s="37" t="e">
        <f>_xlfn.XLOOKUP(B43,#REF!,#REF!)</f>
        <v>#REF!</v>
      </c>
      <c r="O43" s="37" t="e">
        <f>_xlfn.XLOOKUP(B43,#REF!,#REF!)</f>
        <v>#REF!</v>
      </c>
      <c r="P43" s="37" t="e">
        <f>_xlfn.XLOOKUP(B43,#REF!,#REF!)</f>
        <v>#REF!</v>
      </c>
      <c r="Q43" s="37" t="e">
        <f>_xlfn.XLOOKUP(B43,#REF!,#REF!)</f>
        <v>#REF!</v>
      </c>
      <c r="R43" s="37" t="e">
        <f>_xlfn.XLOOKUP(B43,#REF!,#REF!)</f>
        <v>#REF!</v>
      </c>
      <c r="S43" s="37" t="e">
        <f>_xlfn.XLOOKUP(B43,#REF!,#REF!)</f>
        <v>#REF!</v>
      </c>
      <c r="T43" s="37" t="e">
        <f>_xlfn.XLOOKUP(B43,#REF!,#REF!)</f>
        <v>#REF!</v>
      </c>
      <c r="U43" s="37" t="e">
        <f>_xlfn.XLOOKUP(B43,#REF!,#REF!)</f>
        <v>#REF!</v>
      </c>
      <c r="V43" s="37" t="e">
        <f>_xlfn.XLOOKUP(B43,#REF!,#REF!)</f>
        <v>#REF!</v>
      </c>
    </row>
    <row r="44" spans="1:22" x14ac:dyDescent="0.35">
      <c r="A44" t="str">
        <f>_xlfn.XLOOKUP(B44,master!B:B,master!A:A)</f>
        <v>Add: Purchase of packing materials</v>
      </c>
      <c r="B44" s="50" t="s">
        <v>288</v>
      </c>
      <c r="C44" s="50"/>
      <c r="D44" s="50"/>
      <c r="E44" s="50"/>
      <c r="F44" s="50"/>
      <c r="G44" s="37">
        <f>IFERROR(_xlfn.XLOOKUP(B44,#REF!,#REF!),0)</f>
        <v>0</v>
      </c>
      <c r="H44" s="37" t="e">
        <f>_xlfn.XLOOKUP(B44,#REF!,#REF!)</f>
        <v>#REF!</v>
      </c>
      <c r="I44" s="37" t="e">
        <f>_xlfn.XLOOKUP(B44,#REF!,#REF!)</f>
        <v>#REF!</v>
      </c>
      <c r="J44" s="51" t="e">
        <f>_xlfn.XLOOKUP(B44,#REF!,#REF!)</f>
        <v>#REF!</v>
      </c>
      <c r="K44" s="37" t="e">
        <f>_xlfn.XLOOKUP(B44,#REF!,#REF!)</f>
        <v>#REF!</v>
      </c>
      <c r="L44" s="37" t="e">
        <f>_xlfn.XLOOKUP(B44,#REF!,#REF!)</f>
        <v>#REF!</v>
      </c>
      <c r="M44" s="37" t="e">
        <f>_xlfn.XLOOKUP(B44,#REF!,#REF!)</f>
        <v>#REF!</v>
      </c>
      <c r="N44" s="37" t="e">
        <f>_xlfn.XLOOKUP(B44,#REF!,#REF!)</f>
        <v>#REF!</v>
      </c>
      <c r="O44" s="37" t="e">
        <f>_xlfn.XLOOKUP(B44,#REF!,#REF!)</f>
        <v>#REF!</v>
      </c>
      <c r="P44" s="37" t="e">
        <f>_xlfn.XLOOKUP(B44,#REF!,#REF!)</f>
        <v>#REF!</v>
      </c>
      <c r="Q44" s="37" t="e">
        <f>_xlfn.XLOOKUP(B44,#REF!,#REF!)</f>
        <v>#REF!</v>
      </c>
      <c r="R44" s="37" t="e">
        <f>_xlfn.XLOOKUP(B44,#REF!,#REF!)</f>
        <v>#REF!</v>
      </c>
      <c r="S44" s="37" t="e">
        <f>_xlfn.XLOOKUP(B44,#REF!,#REF!)</f>
        <v>#REF!</v>
      </c>
      <c r="T44" s="37" t="e">
        <f>_xlfn.XLOOKUP(B44,#REF!,#REF!)</f>
        <v>#REF!</v>
      </c>
      <c r="U44" s="37" t="e">
        <f>_xlfn.XLOOKUP(B44,#REF!,#REF!)</f>
        <v>#REF!</v>
      </c>
      <c r="V44" s="37" t="e">
        <f>_xlfn.XLOOKUP(B44,#REF!,#REF!)</f>
        <v>#REF!</v>
      </c>
    </row>
    <row r="45" spans="1:22" x14ac:dyDescent="0.35">
      <c r="A45" t="str">
        <f>_xlfn.XLOOKUP(B45,master!B:B,master!A:A)</f>
        <v>Add: Purchase of packing materials</v>
      </c>
      <c r="B45" s="50" t="s">
        <v>289</v>
      </c>
      <c r="C45" s="50"/>
      <c r="D45" s="50"/>
      <c r="E45" s="50"/>
      <c r="F45" s="50"/>
      <c r="G45" s="37">
        <f>IFERROR(_xlfn.XLOOKUP(B45,#REF!,#REF!),0)</f>
        <v>0</v>
      </c>
      <c r="H45" s="37" t="e">
        <f>_xlfn.XLOOKUP(B45,#REF!,#REF!)</f>
        <v>#REF!</v>
      </c>
      <c r="I45" s="37" t="e">
        <f>_xlfn.XLOOKUP(B45,#REF!,#REF!)</f>
        <v>#REF!</v>
      </c>
      <c r="J45" s="51" t="e">
        <f>_xlfn.XLOOKUP(B45,#REF!,#REF!)</f>
        <v>#REF!</v>
      </c>
      <c r="K45" s="37" t="e">
        <f>_xlfn.XLOOKUP(B45,#REF!,#REF!)</f>
        <v>#REF!</v>
      </c>
      <c r="L45" s="37" t="e">
        <f>_xlfn.XLOOKUP(B45,#REF!,#REF!)</f>
        <v>#REF!</v>
      </c>
      <c r="M45" s="37" t="e">
        <f>_xlfn.XLOOKUP(B45,#REF!,#REF!)</f>
        <v>#REF!</v>
      </c>
      <c r="N45" s="37" t="e">
        <f>_xlfn.XLOOKUP(B45,#REF!,#REF!)</f>
        <v>#REF!</v>
      </c>
      <c r="O45" s="37" t="e">
        <f>_xlfn.XLOOKUP(B45,#REF!,#REF!)</f>
        <v>#REF!</v>
      </c>
      <c r="P45" s="37" t="e">
        <f>_xlfn.XLOOKUP(B45,#REF!,#REF!)</f>
        <v>#REF!</v>
      </c>
      <c r="Q45" s="37" t="e">
        <f>_xlfn.XLOOKUP(B45,#REF!,#REF!)</f>
        <v>#REF!</v>
      </c>
      <c r="R45" s="37" t="e">
        <f>_xlfn.XLOOKUP(B45,#REF!,#REF!)</f>
        <v>#REF!</v>
      </c>
      <c r="S45" s="37" t="e">
        <f>_xlfn.XLOOKUP(B45,#REF!,#REF!)</f>
        <v>#REF!</v>
      </c>
      <c r="T45" s="37" t="e">
        <f>_xlfn.XLOOKUP(B45,#REF!,#REF!)</f>
        <v>#REF!</v>
      </c>
      <c r="U45" s="37" t="e">
        <f>_xlfn.XLOOKUP(B45,#REF!,#REF!)</f>
        <v>#REF!</v>
      </c>
      <c r="V45" s="37" t="e">
        <f>_xlfn.XLOOKUP(B45,#REF!,#REF!)</f>
        <v>#REF!</v>
      </c>
    </row>
    <row r="46" spans="1:22" x14ac:dyDescent="0.35">
      <c r="A46" t="str">
        <f>_xlfn.XLOOKUP(B46,master!B:B,master!A:A)</f>
        <v>NA</v>
      </c>
      <c r="B46" s="50" t="s">
        <v>290</v>
      </c>
      <c r="C46" s="50"/>
      <c r="D46" s="50"/>
      <c r="E46" s="50"/>
      <c r="F46" s="50"/>
      <c r="G46" s="37">
        <f>IFERROR(_xlfn.XLOOKUP(B46,#REF!,#REF!),0)</f>
        <v>0</v>
      </c>
      <c r="H46" s="37" t="e">
        <f>_xlfn.XLOOKUP(B46,#REF!,#REF!)</f>
        <v>#REF!</v>
      </c>
      <c r="I46" s="37" t="e">
        <f>_xlfn.XLOOKUP(B46,#REF!,#REF!)</f>
        <v>#REF!</v>
      </c>
      <c r="J46" s="51" t="e">
        <f>_xlfn.XLOOKUP(B46,#REF!,#REF!)</f>
        <v>#REF!</v>
      </c>
      <c r="K46" s="37" t="e">
        <f>_xlfn.XLOOKUP(B46,#REF!,#REF!)</f>
        <v>#REF!</v>
      </c>
      <c r="L46" s="37" t="e">
        <f>_xlfn.XLOOKUP(B46,#REF!,#REF!)</f>
        <v>#REF!</v>
      </c>
      <c r="M46" s="37" t="e">
        <f>_xlfn.XLOOKUP(B46,#REF!,#REF!)</f>
        <v>#REF!</v>
      </c>
      <c r="N46" s="37" t="e">
        <f>_xlfn.XLOOKUP(B46,#REF!,#REF!)</f>
        <v>#REF!</v>
      </c>
      <c r="O46" s="37" t="e">
        <f>_xlfn.XLOOKUP(B46,#REF!,#REF!)</f>
        <v>#REF!</v>
      </c>
      <c r="P46" s="37" t="e">
        <f>_xlfn.XLOOKUP(B46,#REF!,#REF!)</f>
        <v>#REF!</v>
      </c>
      <c r="Q46" s="37" t="e">
        <f>_xlfn.XLOOKUP(B46,#REF!,#REF!)</f>
        <v>#REF!</v>
      </c>
      <c r="R46" s="37" t="e">
        <f>_xlfn.XLOOKUP(B46,#REF!,#REF!)</f>
        <v>#REF!</v>
      </c>
      <c r="S46" s="37" t="e">
        <f>_xlfn.XLOOKUP(B46,#REF!,#REF!)</f>
        <v>#REF!</v>
      </c>
      <c r="T46" s="37" t="e">
        <f>_xlfn.XLOOKUP(B46,#REF!,#REF!)</f>
        <v>#REF!</v>
      </c>
      <c r="U46" s="37" t="e">
        <f>_xlfn.XLOOKUP(B46,#REF!,#REF!)</f>
        <v>#REF!</v>
      </c>
      <c r="V46" s="37" t="e">
        <f>_xlfn.XLOOKUP(B46,#REF!,#REF!)</f>
        <v>#REF!</v>
      </c>
    </row>
    <row r="47" spans="1:22" x14ac:dyDescent="0.35">
      <c r="A47" t="str">
        <f>_xlfn.XLOOKUP(B47,master!B:B,master!A:A)</f>
        <v>Add: Purchase of raw materials</v>
      </c>
      <c r="B47" s="50" t="s">
        <v>291</v>
      </c>
      <c r="C47" s="50"/>
      <c r="D47" s="50"/>
      <c r="E47" s="50"/>
      <c r="F47" s="50"/>
      <c r="G47" s="37">
        <f>IFERROR(_xlfn.XLOOKUP(B47,#REF!,#REF!),0)</f>
        <v>0</v>
      </c>
      <c r="H47" s="37" t="e">
        <f>_xlfn.XLOOKUP(B47,#REF!,#REF!)</f>
        <v>#REF!</v>
      </c>
      <c r="I47" s="37" t="e">
        <f>_xlfn.XLOOKUP(B47,#REF!,#REF!)</f>
        <v>#REF!</v>
      </c>
      <c r="J47" s="51" t="e">
        <f>_xlfn.XLOOKUP(B47,#REF!,#REF!)</f>
        <v>#REF!</v>
      </c>
      <c r="K47" s="37" t="e">
        <f>_xlfn.XLOOKUP(B47,#REF!,#REF!)</f>
        <v>#REF!</v>
      </c>
      <c r="L47" s="37" t="e">
        <f>_xlfn.XLOOKUP(B47,#REF!,#REF!)</f>
        <v>#REF!</v>
      </c>
      <c r="M47" s="37" t="e">
        <f>_xlfn.XLOOKUP(B47,#REF!,#REF!)</f>
        <v>#REF!</v>
      </c>
      <c r="N47" s="37" t="e">
        <f>_xlfn.XLOOKUP(B47,#REF!,#REF!)</f>
        <v>#REF!</v>
      </c>
      <c r="O47" s="37" t="e">
        <f>_xlfn.XLOOKUP(B47,#REF!,#REF!)</f>
        <v>#REF!</v>
      </c>
      <c r="P47" s="37" t="e">
        <f>_xlfn.XLOOKUP(B47,#REF!,#REF!)</f>
        <v>#REF!</v>
      </c>
      <c r="Q47" s="37" t="e">
        <f>_xlfn.XLOOKUP(B47,#REF!,#REF!)</f>
        <v>#REF!</v>
      </c>
      <c r="R47" s="37" t="e">
        <f>_xlfn.XLOOKUP(B47,#REF!,#REF!)</f>
        <v>#REF!</v>
      </c>
      <c r="S47" s="37" t="e">
        <f>_xlfn.XLOOKUP(B47,#REF!,#REF!)</f>
        <v>#REF!</v>
      </c>
      <c r="T47" s="37" t="e">
        <f>_xlfn.XLOOKUP(B47,#REF!,#REF!)</f>
        <v>#REF!</v>
      </c>
      <c r="U47" s="37" t="e">
        <f>_xlfn.XLOOKUP(B47,#REF!,#REF!)</f>
        <v>#REF!</v>
      </c>
      <c r="V47" s="37" t="e">
        <f>_xlfn.XLOOKUP(B47,#REF!,#REF!)</f>
        <v>#REF!</v>
      </c>
    </row>
    <row r="48" spans="1:22" x14ac:dyDescent="0.35">
      <c r="A48" t="str">
        <f>_xlfn.XLOOKUP(B48,master!B:B,master!A:A)</f>
        <v>Add: Purchase of raw materials</v>
      </c>
      <c r="B48" s="50" t="s">
        <v>560</v>
      </c>
      <c r="C48" s="50"/>
      <c r="D48" s="50"/>
      <c r="E48" s="50"/>
      <c r="F48" s="50"/>
      <c r="G48" s="37">
        <f>IFERROR(_xlfn.XLOOKUP(B48,#REF!,#REF!),0)</f>
        <v>0</v>
      </c>
      <c r="H48" s="37" t="e">
        <f>_xlfn.XLOOKUP(B48,#REF!,#REF!)</f>
        <v>#REF!</v>
      </c>
      <c r="I48" s="37" t="e">
        <f>_xlfn.XLOOKUP(B48,#REF!,#REF!)</f>
        <v>#REF!</v>
      </c>
      <c r="J48" s="51" t="e">
        <f>_xlfn.XLOOKUP(B48,#REF!,#REF!)</f>
        <v>#REF!</v>
      </c>
      <c r="K48" s="37" t="e">
        <f>_xlfn.XLOOKUP(B48,#REF!,#REF!)</f>
        <v>#REF!</v>
      </c>
      <c r="L48" s="37" t="e">
        <f>_xlfn.XLOOKUP(B48,#REF!,#REF!)</f>
        <v>#REF!</v>
      </c>
      <c r="M48" s="37" t="e">
        <f>_xlfn.XLOOKUP(B48,#REF!,#REF!)</f>
        <v>#REF!</v>
      </c>
      <c r="N48" s="37" t="e">
        <f>_xlfn.XLOOKUP(B48,#REF!,#REF!)</f>
        <v>#REF!</v>
      </c>
      <c r="O48" s="37" t="e">
        <f>_xlfn.XLOOKUP(B48,#REF!,#REF!)</f>
        <v>#REF!</v>
      </c>
      <c r="P48" s="37" t="e">
        <f>_xlfn.XLOOKUP(B48,#REF!,#REF!)</f>
        <v>#REF!</v>
      </c>
      <c r="Q48" s="37" t="e">
        <f>_xlfn.XLOOKUP(B48,#REF!,#REF!)</f>
        <v>#REF!</v>
      </c>
      <c r="R48" s="37" t="e">
        <f>_xlfn.XLOOKUP(B48,#REF!,#REF!)</f>
        <v>#REF!</v>
      </c>
      <c r="S48" s="37" t="e">
        <f>_xlfn.XLOOKUP(B48,#REF!,#REF!)</f>
        <v>#REF!</v>
      </c>
      <c r="T48" s="37" t="e">
        <f>_xlfn.XLOOKUP(B48,#REF!,#REF!)</f>
        <v>#REF!</v>
      </c>
      <c r="U48" s="37" t="e">
        <f>_xlfn.XLOOKUP(B48,#REF!,#REF!)</f>
        <v>#REF!</v>
      </c>
      <c r="V48" s="37" t="e">
        <f>_xlfn.XLOOKUP(B48,#REF!,#REF!)</f>
        <v>#REF!</v>
      </c>
    </row>
    <row r="49" spans="1:22" x14ac:dyDescent="0.35">
      <c r="A49" t="str">
        <f>_xlfn.XLOOKUP(B49,master!B:B,master!A:A)</f>
        <v>Add: Purchase of raw materials</v>
      </c>
      <c r="B49" s="50" t="s">
        <v>561</v>
      </c>
      <c r="C49" s="50"/>
      <c r="D49" s="50"/>
      <c r="E49" s="50"/>
      <c r="F49" s="50"/>
      <c r="G49" s="37">
        <f>IFERROR(_xlfn.XLOOKUP(B49,#REF!,#REF!),0)</f>
        <v>0</v>
      </c>
      <c r="H49" s="37" t="e">
        <f>_xlfn.XLOOKUP(B49,#REF!,#REF!)</f>
        <v>#REF!</v>
      </c>
      <c r="I49" s="37" t="e">
        <f>_xlfn.XLOOKUP(B49,#REF!,#REF!)</f>
        <v>#REF!</v>
      </c>
      <c r="J49" s="51" t="e">
        <f>_xlfn.XLOOKUP(B49,#REF!,#REF!)</f>
        <v>#REF!</v>
      </c>
      <c r="K49" s="37" t="e">
        <f>_xlfn.XLOOKUP(B49,#REF!,#REF!)</f>
        <v>#REF!</v>
      </c>
      <c r="L49" s="37" t="e">
        <f>_xlfn.XLOOKUP(B49,#REF!,#REF!)</f>
        <v>#REF!</v>
      </c>
      <c r="M49" s="37" t="e">
        <f>_xlfn.XLOOKUP(B49,#REF!,#REF!)</f>
        <v>#REF!</v>
      </c>
      <c r="N49" s="37" t="e">
        <f>_xlfn.XLOOKUP(B49,#REF!,#REF!)</f>
        <v>#REF!</v>
      </c>
      <c r="O49" s="37" t="e">
        <f>_xlfn.XLOOKUP(B49,#REF!,#REF!)</f>
        <v>#REF!</v>
      </c>
      <c r="P49" s="37" t="e">
        <f>_xlfn.XLOOKUP(B49,#REF!,#REF!)</f>
        <v>#REF!</v>
      </c>
      <c r="Q49" s="37" t="e">
        <f>_xlfn.XLOOKUP(B49,#REF!,#REF!)</f>
        <v>#REF!</v>
      </c>
      <c r="R49" s="37" t="e">
        <f>_xlfn.XLOOKUP(B49,#REF!,#REF!)</f>
        <v>#REF!</v>
      </c>
      <c r="S49" s="37" t="e">
        <f>_xlfn.XLOOKUP(B49,#REF!,#REF!)</f>
        <v>#REF!</v>
      </c>
      <c r="T49" s="37" t="e">
        <f>_xlfn.XLOOKUP(B49,#REF!,#REF!)</f>
        <v>#REF!</v>
      </c>
      <c r="U49" s="37" t="e">
        <f>_xlfn.XLOOKUP(B49,#REF!,#REF!)</f>
        <v>#REF!</v>
      </c>
      <c r="V49" s="37" t="e">
        <f>_xlfn.XLOOKUP(B49,#REF!,#REF!)</f>
        <v>#REF!</v>
      </c>
    </row>
    <row r="50" spans="1:22" x14ac:dyDescent="0.35">
      <c r="A50" t="str">
        <f>_xlfn.XLOOKUP(B50,master!B:B,master!A:A)</f>
        <v>Add: Purchase of raw materials</v>
      </c>
      <c r="B50" s="50" t="s">
        <v>292</v>
      </c>
      <c r="C50" s="50"/>
      <c r="D50" s="50"/>
      <c r="E50" s="50"/>
      <c r="F50" s="50"/>
      <c r="G50" s="37">
        <f>IFERROR(_xlfn.XLOOKUP(B50,#REF!,#REF!),0)</f>
        <v>0</v>
      </c>
      <c r="H50" s="37" t="e">
        <f>_xlfn.XLOOKUP(B50,#REF!,#REF!)</f>
        <v>#REF!</v>
      </c>
      <c r="I50" s="37" t="e">
        <f>_xlfn.XLOOKUP(B50,#REF!,#REF!)</f>
        <v>#REF!</v>
      </c>
      <c r="J50" s="51" t="e">
        <f>_xlfn.XLOOKUP(B50,#REF!,#REF!)</f>
        <v>#REF!</v>
      </c>
      <c r="K50" s="37" t="e">
        <f>_xlfn.XLOOKUP(B50,#REF!,#REF!)</f>
        <v>#REF!</v>
      </c>
      <c r="L50" s="37" t="e">
        <f>_xlfn.XLOOKUP(B50,#REF!,#REF!)</f>
        <v>#REF!</v>
      </c>
      <c r="M50" s="37" t="e">
        <f>_xlfn.XLOOKUP(B50,#REF!,#REF!)</f>
        <v>#REF!</v>
      </c>
      <c r="N50" s="37" t="e">
        <f>_xlfn.XLOOKUP(B50,#REF!,#REF!)</f>
        <v>#REF!</v>
      </c>
      <c r="O50" s="37" t="e">
        <f>_xlfn.XLOOKUP(B50,#REF!,#REF!)</f>
        <v>#REF!</v>
      </c>
      <c r="P50" s="37" t="e">
        <f>_xlfn.XLOOKUP(B50,#REF!,#REF!)</f>
        <v>#REF!</v>
      </c>
      <c r="Q50" s="37" t="e">
        <f>_xlfn.XLOOKUP(B50,#REF!,#REF!)</f>
        <v>#REF!</v>
      </c>
      <c r="R50" s="37" t="e">
        <f>_xlfn.XLOOKUP(B50,#REF!,#REF!)</f>
        <v>#REF!</v>
      </c>
      <c r="S50" s="37" t="e">
        <f>_xlfn.XLOOKUP(B50,#REF!,#REF!)</f>
        <v>#REF!</v>
      </c>
      <c r="T50" s="37" t="e">
        <f>_xlfn.XLOOKUP(B50,#REF!,#REF!)</f>
        <v>#REF!</v>
      </c>
      <c r="U50" s="37" t="e">
        <f>_xlfn.XLOOKUP(B50,#REF!,#REF!)</f>
        <v>#REF!</v>
      </c>
      <c r="V50" s="37" t="e">
        <f>_xlfn.XLOOKUP(B50,#REF!,#REF!)</f>
        <v>#REF!</v>
      </c>
    </row>
    <row r="51" spans="1:22" x14ac:dyDescent="0.35">
      <c r="A51" t="str">
        <f>_xlfn.XLOOKUP(B51,master!B:B,master!A:A)</f>
        <v>Add: Purchase of Stores, Spares &amp; Consumables</v>
      </c>
      <c r="B51" s="50" t="s">
        <v>293</v>
      </c>
      <c r="C51" s="50"/>
      <c r="D51" s="50"/>
      <c r="E51" s="50"/>
      <c r="F51" s="50"/>
      <c r="G51" s="37">
        <f>IFERROR(_xlfn.XLOOKUP(B51,#REF!,#REF!),0)</f>
        <v>0</v>
      </c>
      <c r="H51" s="37" t="e">
        <f>_xlfn.XLOOKUP(B51,#REF!,#REF!)</f>
        <v>#REF!</v>
      </c>
      <c r="I51" s="37" t="e">
        <f>_xlfn.XLOOKUP(B51,#REF!,#REF!)</f>
        <v>#REF!</v>
      </c>
      <c r="J51" s="51" t="e">
        <f>_xlfn.XLOOKUP(B51,#REF!,#REF!)</f>
        <v>#REF!</v>
      </c>
      <c r="K51" s="37" t="e">
        <f>_xlfn.XLOOKUP(B51,#REF!,#REF!)</f>
        <v>#REF!</v>
      </c>
      <c r="L51" s="37" t="e">
        <f>_xlfn.XLOOKUP(B51,#REF!,#REF!)</f>
        <v>#REF!</v>
      </c>
      <c r="M51" s="37" t="e">
        <f>_xlfn.XLOOKUP(B51,#REF!,#REF!)</f>
        <v>#REF!</v>
      </c>
      <c r="N51" s="37" t="e">
        <f>_xlfn.XLOOKUP(B51,#REF!,#REF!)</f>
        <v>#REF!</v>
      </c>
      <c r="O51" s="37" t="e">
        <f>_xlfn.XLOOKUP(B51,#REF!,#REF!)</f>
        <v>#REF!</v>
      </c>
      <c r="P51" s="37" t="e">
        <f>_xlfn.XLOOKUP(B51,#REF!,#REF!)</f>
        <v>#REF!</v>
      </c>
      <c r="Q51" s="37" t="e">
        <f>_xlfn.XLOOKUP(B51,#REF!,#REF!)</f>
        <v>#REF!</v>
      </c>
      <c r="R51" s="37" t="e">
        <f>_xlfn.XLOOKUP(B51,#REF!,#REF!)</f>
        <v>#REF!</v>
      </c>
      <c r="S51" s="37" t="e">
        <f>_xlfn.XLOOKUP(B51,#REF!,#REF!)</f>
        <v>#REF!</v>
      </c>
      <c r="T51" s="37" t="e">
        <f>_xlfn.XLOOKUP(B51,#REF!,#REF!)</f>
        <v>#REF!</v>
      </c>
      <c r="U51" s="37" t="e">
        <f>_xlfn.XLOOKUP(B51,#REF!,#REF!)</f>
        <v>#REF!</v>
      </c>
      <c r="V51" s="37" t="e">
        <f>_xlfn.XLOOKUP(B51,#REF!,#REF!)</f>
        <v>#REF!</v>
      </c>
    </row>
    <row r="52" spans="1:22" x14ac:dyDescent="0.35">
      <c r="A52" t="str">
        <f>_xlfn.XLOOKUP(B52,master!B:B,master!A:A)</f>
        <v>Add: Purchase of Stores, Spares &amp; Consumables</v>
      </c>
      <c r="B52" s="50" t="s">
        <v>294</v>
      </c>
      <c r="C52" s="50"/>
      <c r="D52" s="50"/>
      <c r="E52" s="50"/>
      <c r="F52" s="50"/>
      <c r="G52" s="37">
        <f>IFERROR(_xlfn.XLOOKUP(B52,#REF!,#REF!),0)</f>
        <v>0</v>
      </c>
      <c r="H52" s="37" t="e">
        <f>_xlfn.XLOOKUP(B52,#REF!,#REF!)</f>
        <v>#REF!</v>
      </c>
      <c r="I52" s="37" t="e">
        <f>_xlfn.XLOOKUP(B52,#REF!,#REF!)</f>
        <v>#REF!</v>
      </c>
      <c r="J52" s="51" t="e">
        <f>_xlfn.XLOOKUP(B52,#REF!,#REF!)</f>
        <v>#REF!</v>
      </c>
      <c r="K52" s="37" t="e">
        <f>_xlfn.XLOOKUP(B52,#REF!,#REF!)</f>
        <v>#REF!</v>
      </c>
      <c r="L52" s="37" t="e">
        <f>_xlfn.XLOOKUP(B52,#REF!,#REF!)</f>
        <v>#REF!</v>
      </c>
      <c r="M52" s="37" t="e">
        <f>_xlfn.XLOOKUP(B52,#REF!,#REF!)</f>
        <v>#REF!</v>
      </c>
      <c r="N52" s="37" t="e">
        <f>_xlfn.XLOOKUP(B52,#REF!,#REF!)</f>
        <v>#REF!</v>
      </c>
      <c r="O52" s="37" t="e">
        <f>_xlfn.XLOOKUP(B52,#REF!,#REF!)</f>
        <v>#REF!</v>
      </c>
      <c r="P52" s="37" t="e">
        <f>_xlfn.XLOOKUP(B52,#REF!,#REF!)</f>
        <v>#REF!</v>
      </c>
      <c r="Q52" s="37" t="e">
        <f>_xlfn.XLOOKUP(B52,#REF!,#REF!)</f>
        <v>#REF!</v>
      </c>
      <c r="R52" s="37" t="e">
        <f>_xlfn.XLOOKUP(B52,#REF!,#REF!)</f>
        <v>#REF!</v>
      </c>
      <c r="S52" s="37" t="e">
        <f>_xlfn.XLOOKUP(B52,#REF!,#REF!)</f>
        <v>#REF!</v>
      </c>
      <c r="T52" s="37" t="e">
        <f>_xlfn.XLOOKUP(B52,#REF!,#REF!)</f>
        <v>#REF!</v>
      </c>
      <c r="U52" s="37" t="e">
        <f>_xlfn.XLOOKUP(B52,#REF!,#REF!)</f>
        <v>#REF!</v>
      </c>
      <c r="V52" s="37" t="e">
        <f>_xlfn.XLOOKUP(B52,#REF!,#REF!)</f>
        <v>#REF!</v>
      </c>
    </row>
    <row r="53" spans="1:22" x14ac:dyDescent="0.35">
      <c r="A53" t="str">
        <f>_xlfn.XLOOKUP(B53,master!B:B,master!A:A)</f>
        <v>Add: Purchase of Stores, Spares &amp; Consumables</v>
      </c>
      <c r="B53" s="50" t="s">
        <v>295</v>
      </c>
      <c r="C53" s="50"/>
      <c r="D53" s="50"/>
      <c r="E53" s="50"/>
      <c r="F53" s="50"/>
      <c r="G53" s="37">
        <f>IFERROR(_xlfn.XLOOKUP(B53,#REF!,#REF!),0)</f>
        <v>0</v>
      </c>
      <c r="H53" s="37" t="e">
        <f>_xlfn.XLOOKUP(B53,#REF!,#REF!)</f>
        <v>#REF!</v>
      </c>
      <c r="I53" s="37" t="e">
        <f>_xlfn.XLOOKUP(B53,#REF!,#REF!)</f>
        <v>#REF!</v>
      </c>
      <c r="J53" s="51" t="e">
        <f>_xlfn.XLOOKUP(B53,#REF!,#REF!)</f>
        <v>#REF!</v>
      </c>
      <c r="K53" s="37" t="e">
        <f>_xlfn.XLOOKUP(B53,#REF!,#REF!)</f>
        <v>#REF!</v>
      </c>
      <c r="L53" s="37" t="e">
        <f>_xlfn.XLOOKUP(B53,#REF!,#REF!)</f>
        <v>#REF!</v>
      </c>
      <c r="M53" s="37" t="e">
        <f>_xlfn.XLOOKUP(B53,#REF!,#REF!)</f>
        <v>#REF!</v>
      </c>
      <c r="N53" s="37" t="e">
        <f>_xlfn.XLOOKUP(B53,#REF!,#REF!)</f>
        <v>#REF!</v>
      </c>
      <c r="O53" s="37" t="e">
        <f>_xlfn.XLOOKUP(B53,#REF!,#REF!)</f>
        <v>#REF!</v>
      </c>
      <c r="P53" s="37" t="e">
        <f>_xlfn.XLOOKUP(B53,#REF!,#REF!)</f>
        <v>#REF!</v>
      </c>
      <c r="Q53" s="37" t="e">
        <f>_xlfn.XLOOKUP(B53,#REF!,#REF!)</f>
        <v>#REF!</v>
      </c>
      <c r="R53" s="37" t="e">
        <f>_xlfn.XLOOKUP(B53,#REF!,#REF!)</f>
        <v>#REF!</v>
      </c>
      <c r="S53" s="37" t="e">
        <f>_xlfn.XLOOKUP(B53,#REF!,#REF!)</f>
        <v>#REF!</v>
      </c>
      <c r="T53" s="37" t="e">
        <f>_xlfn.XLOOKUP(B53,#REF!,#REF!)</f>
        <v>#REF!</v>
      </c>
      <c r="U53" s="37" t="e">
        <f>_xlfn.XLOOKUP(B53,#REF!,#REF!)</f>
        <v>#REF!</v>
      </c>
      <c r="V53" s="37" t="e">
        <f>_xlfn.XLOOKUP(B53,#REF!,#REF!)</f>
        <v>#REF!</v>
      </c>
    </row>
    <row r="54" spans="1:22" x14ac:dyDescent="0.35">
      <c r="A54" t="str">
        <f>_xlfn.XLOOKUP(B54,master!B:B,master!A:A)</f>
        <v>Add: Purchase of Stores, Spares &amp; Consumables</v>
      </c>
      <c r="B54" s="50" t="s">
        <v>296</v>
      </c>
      <c r="C54" s="50"/>
      <c r="D54" s="50"/>
      <c r="E54" s="50"/>
      <c r="F54" s="50"/>
      <c r="G54" s="37">
        <f>IFERROR(_xlfn.XLOOKUP(B54,#REF!,#REF!),0)</f>
        <v>0</v>
      </c>
      <c r="H54" s="37" t="e">
        <f>_xlfn.XLOOKUP(B54,#REF!,#REF!)</f>
        <v>#REF!</v>
      </c>
      <c r="I54" s="37" t="e">
        <f>_xlfn.XLOOKUP(B54,#REF!,#REF!)</f>
        <v>#REF!</v>
      </c>
      <c r="J54" s="51" t="e">
        <f>_xlfn.XLOOKUP(B54,#REF!,#REF!)</f>
        <v>#REF!</v>
      </c>
      <c r="K54" s="37" t="e">
        <f>_xlfn.XLOOKUP(B54,#REF!,#REF!)</f>
        <v>#REF!</v>
      </c>
      <c r="L54" s="37" t="e">
        <f>_xlfn.XLOOKUP(B54,#REF!,#REF!)</f>
        <v>#REF!</v>
      </c>
      <c r="M54" s="37" t="e">
        <f>_xlfn.XLOOKUP(B54,#REF!,#REF!)</f>
        <v>#REF!</v>
      </c>
      <c r="N54" s="37" t="e">
        <f>_xlfn.XLOOKUP(B54,#REF!,#REF!)</f>
        <v>#REF!</v>
      </c>
      <c r="O54" s="37" t="e">
        <f>_xlfn.XLOOKUP(B54,#REF!,#REF!)</f>
        <v>#REF!</v>
      </c>
      <c r="P54" s="37" t="e">
        <f>_xlfn.XLOOKUP(B54,#REF!,#REF!)</f>
        <v>#REF!</v>
      </c>
      <c r="Q54" s="37" t="e">
        <f>_xlfn.XLOOKUP(B54,#REF!,#REF!)</f>
        <v>#REF!</v>
      </c>
      <c r="R54" s="37" t="e">
        <f>_xlfn.XLOOKUP(B54,#REF!,#REF!)</f>
        <v>#REF!</v>
      </c>
      <c r="S54" s="37" t="e">
        <f>_xlfn.XLOOKUP(B54,#REF!,#REF!)</f>
        <v>#REF!</v>
      </c>
      <c r="T54" s="37" t="e">
        <f>_xlfn.XLOOKUP(B54,#REF!,#REF!)</f>
        <v>#REF!</v>
      </c>
      <c r="U54" s="37" t="e">
        <f>_xlfn.XLOOKUP(B54,#REF!,#REF!)</f>
        <v>#REF!</v>
      </c>
      <c r="V54" s="37" t="e">
        <f>_xlfn.XLOOKUP(B54,#REF!,#REF!)</f>
        <v>#REF!</v>
      </c>
    </row>
    <row r="55" spans="1:22" x14ac:dyDescent="0.35">
      <c r="A55" t="str">
        <f>_xlfn.XLOOKUP(B55,master!B:B,master!A:A)</f>
        <v>Add: Purchase of Stores, Spares &amp; Consumables</v>
      </c>
      <c r="B55" s="50" t="s">
        <v>297</v>
      </c>
      <c r="C55" s="50"/>
      <c r="D55" s="50"/>
      <c r="E55" s="50"/>
      <c r="F55" s="50"/>
      <c r="G55" s="37">
        <f>IFERROR(_xlfn.XLOOKUP(B55,#REF!,#REF!),0)</f>
        <v>0</v>
      </c>
      <c r="H55" s="37" t="e">
        <f>_xlfn.XLOOKUP(B55,#REF!,#REF!)</f>
        <v>#REF!</v>
      </c>
      <c r="I55" s="37" t="e">
        <f>_xlfn.XLOOKUP(B55,#REF!,#REF!)</f>
        <v>#REF!</v>
      </c>
      <c r="J55" s="51" t="e">
        <f>_xlfn.XLOOKUP(B55,#REF!,#REF!)</f>
        <v>#REF!</v>
      </c>
      <c r="K55" s="37" t="e">
        <f>_xlfn.XLOOKUP(B55,#REF!,#REF!)</f>
        <v>#REF!</v>
      </c>
      <c r="L55" s="37" t="e">
        <f>_xlfn.XLOOKUP(B55,#REF!,#REF!)</f>
        <v>#REF!</v>
      </c>
      <c r="M55" s="37" t="e">
        <f>_xlfn.XLOOKUP(B55,#REF!,#REF!)</f>
        <v>#REF!</v>
      </c>
      <c r="N55" s="37" t="e">
        <f>_xlfn.XLOOKUP(B55,#REF!,#REF!)</f>
        <v>#REF!</v>
      </c>
      <c r="O55" s="37" t="e">
        <f>_xlfn.XLOOKUP(B55,#REF!,#REF!)</f>
        <v>#REF!</v>
      </c>
      <c r="P55" s="37" t="e">
        <f>_xlfn.XLOOKUP(B55,#REF!,#REF!)</f>
        <v>#REF!</v>
      </c>
      <c r="Q55" s="37" t="e">
        <f>_xlfn.XLOOKUP(B55,#REF!,#REF!)</f>
        <v>#REF!</v>
      </c>
      <c r="R55" s="37" t="e">
        <f>_xlfn.XLOOKUP(B55,#REF!,#REF!)</f>
        <v>#REF!</v>
      </c>
      <c r="S55" s="37" t="e">
        <f>_xlfn.XLOOKUP(B55,#REF!,#REF!)</f>
        <v>#REF!</v>
      </c>
      <c r="T55" s="37" t="e">
        <f>_xlfn.XLOOKUP(B55,#REF!,#REF!)</f>
        <v>#REF!</v>
      </c>
      <c r="U55" s="37" t="e">
        <f>_xlfn.XLOOKUP(B55,#REF!,#REF!)</f>
        <v>#REF!</v>
      </c>
      <c r="V55" s="37" t="e">
        <f>_xlfn.XLOOKUP(B55,#REF!,#REF!)</f>
        <v>#REF!</v>
      </c>
    </row>
    <row r="56" spans="1:22" x14ac:dyDescent="0.35">
      <c r="A56" t="str">
        <f>_xlfn.XLOOKUP(B56,master!B:B,master!A:A)</f>
        <v>Add: Purchase of raw materials</v>
      </c>
      <c r="B56" s="50" t="s">
        <v>298</v>
      </c>
      <c r="C56" s="50"/>
      <c r="D56" s="50"/>
      <c r="E56" s="50"/>
      <c r="F56" s="50"/>
      <c r="G56" s="37">
        <f>IFERROR(_xlfn.XLOOKUP(B56,#REF!,#REF!),0)</f>
        <v>0</v>
      </c>
      <c r="H56" s="37" t="e">
        <f>_xlfn.XLOOKUP(B56,#REF!,#REF!)</f>
        <v>#REF!</v>
      </c>
      <c r="I56" s="37" t="e">
        <f>_xlfn.XLOOKUP(B56,#REF!,#REF!)</f>
        <v>#REF!</v>
      </c>
      <c r="J56" s="51" t="e">
        <f>_xlfn.XLOOKUP(B56,#REF!,#REF!)</f>
        <v>#REF!</v>
      </c>
      <c r="K56" s="37" t="e">
        <f>_xlfn.XLOOKUP(B56,#REF!,#REF!)</f>
        <v>#REF!</v>
      </c>
      <c r="L56" s="37" t="e">
        <f>_xlfn.XLOOKUP(B56,#REF!,#REF!)</f>
        <v>#REF!</v>
      </c>
      <c r="M56" s="37" t="e">
        <f>_xlfn.XLOOKUP(B56,#REF!,#REF!)</f>
        <v>#REF!</v>
      </c>
      <c r="N56" s="37" t="e">
        <f>_xlfn.XLOOKUP(B56,#REF!,#REF!)</f>
        <v>#REF!</v>
      </c>
      <c r="O56" s="37" t="e">
        <f>_xlfn.XLOOKUP(B56,#REF!,#REF!)</f>
        <v>#REF!</v>
      </c>
      <c r="P56" s="37" t="e">
        <f>_xlfn.XLOOKUP(B56,#REF!,#REF!)</f>
        <v>#REF!</v>
      </c>
      <c r="Q56" s="37" t="e">
        <f>_xlfn.XLOOKUP(B56,#REF!,#REF!)</f>
        <v>#REF!</v>
      </c>
      <c r="R56" s="37" t="e">
        <f>_xlfn.XLOOKUP(B56,#REF!,#REF!)</f>
        <v>#REF!</v>
      </c>
      <c r="S56" s="37" t="e">
        <f>_xlfn.XLOOKUP(B56,#REF!,#REF!)</f>
        <v>#REF!</v>
      </c>
      <c r="T56" s="37" t="e">
        <f>_xlfn.XLOOKUP(B56,#REF!,#REF!)</f>
        <v>#REF!</v>
      </c>
      <c r="U56" s="37" t="e">
        <f>_xlfn.XLOOKUP(B56,#REF!,#REF!)</f>
        <v>#REF!</v>
      </c>
      <c r="V56" s="37" t="e">
        <f>_xlfn.XLOOKUP(B56,#REF!,#REF!)</f>
        <v>#REF!</v>
      </c>
    </row>
    <row r="57" spans="1:22" x14ac:dyDescent="0.35">
      <c r="A57" t="str">
        <f>_xlfn.XLOOKUP(B57,master!B:B,master!A:A)</f>
        <v>Add: Purchase of raw materials</v>
      </c>
      <c r="B57" s="50" t="s">
        <v>299</v>
      </c>
      <c r="C57" s="50"/>
      <c r="D57" s="50"/>
      <c r="E57" s="50"/>
      <c r="F57" s="50"/>
      <c r="G57" s="37">
        <f>IFERROR(_xlfn.XLOOKUP(B57,#REF!,#REF!),0)</f>
        <v>0</v>
      </c>
      <c r="H57" s="37" t="e">
        <f>_xlfn.XLOOKUP(B57,#REF!,#REF!)</f>
        <v>#REF!</v>
      </c>
      <c r="I57" s="37" t="e">
        <f>_xlfn.XLOOKUP(B57,#REF!,#REF!)</f>
        <v>#REF!</v>
      </c>
      <c r="J57" s="51" t="e">
        <f>_xlfn.XLOOKUP(B57,#REF!,#REF!)</f>
        <v>#REF!</v>
      </c>
      <c r="K57" s="37" t="e">
        <f>_xlfn.XLOOKUP(B57,#REF!,#REF!)</f>
        <v>#REF!</v>
      </c>
      <c r="L57" s="37" t="e">
        <f>_xlfn.XLOOKUP(B57,#REF!,#REF!)</f>
        <v>#REF!</v>
      </c>
      <c r="M57" s="37" t="e">
        <f>_xlfn.XLOOKUP(B57,#REF!,#REF!)</f>
        <v>#REF!</v>
      </c>
      <c r="N57" s="37" t="e">
        <f>_xlfn.XLOOKUP(B57,#REF!,#REF!)</f>
        <v>#REF!</v>
      </c>
      <c r="O57" s="37" t="e">
        <f>_xlfn.XLOOKUP(B57,#REF!,#REF!)</f>
        <v>#REF!</v>
      </c>
      <c r="P57" s="37" t="e">
        <f>_xlfn.XLOOKUP(B57,#REF!,#REF!)</f>
        <v>#REF!</v>
      </c>
      <c r="Q57" s="37" t="e">
        <f>_xlfn.XLOOKUP(B57,#REF!,#REF!)</f>
        <v>#REF!</v>
      </c>
      <c r="R57" s="37" t="e">
        <f>_xlfn.XLOOKUP(B57,#REF!,#REF!)</f>
        <v>#REF!</v>
      </c>
      <c r="S57" s="37" t="e">
        <f>_xlfn.XLOOKUP(B57,#REF!,#REF!)</f>
        <v>#REF!</v>
      </c>
      <c r="T57" s="37" t="e">
        <f>_xlfn.XLOOKUP(B57,#REF!,#REF!)</f>
        <v>#REF!</v>
      </c>
      <c r="U57" s="37" t="e">
        <f>_xlfn.XLOOKUP(B57,#REF!,#REF!)</f>
        <v>#REF!</v>
      </c>
      <c r="V57" s="37" t="e">
        <f>_xlfn.XLOOKUP(B57,#REF!,#REF!)</f>
        <v>#REF!</v>
      </c>
    </row>
    <row r="58" spans="1:22" x14ac:dyDescent="0.35">
      <c r="A58" t="str">
        <f>_xlfn.XLOOKUP(B58,master!B:B,master!A:A)</f>
        <v>Add: Purchase of traded goods</v>
      </c>
      <c r="B58" s="50" t="s">
        <v>300</v>
      </c>
      <c r="C58" s="50"/>
      <c r="D58" s="50"/>
      <c r="E58" s="50"/>
      <c r="F58" s="50"/>
      <c r="G58" s="37">
        <f>IFERROR(_xlfn.XLOOKUP(B58,#REF!,#REF!),0)</f>
        <v>0</v>
      </c>
      <c r="H58" s="37" t="e">
        <f>_xlfn.XLOOKUP(B58,#REF!,#REF!)</f>
        <v>#REF!</v>
      </c>
      <c r="I58" s="37" t="e">
        <f>_xlfn.XLOOKUP(B58,#REF!,#REF!)</f>
        <v>#REF!</v>
      </c>
      <c r="J58" s="51" t="e">
        <f>_xlfn.XLOOKUP(B58,#REF!,#REF!)</f>
        <v>#REF!</v>
      </c>
      <c r="K58" s="37" t="e">
        <f>_xlfn.XLOOKUP(B58,#REF!,#REF!)</f>
        <v>#REF!</v>
      </c>
      <c r="L58" s="37" t="e">
        <f>_xlfn.XLOOKUP(B58,#REF!,#REF!)</f>
        <v>#REF!</v>
      </c>
      <c r="M58" s="37" t="e">
        <f>_xlfn.XLOOKUP(B58,#REF!,#REF!)</f>
        <v>#REF!</v>
      </c>
      <c r="N58" s="37" t="e">
        <f>_xlfn.XLOOKUP(B58,#REF!,#REF!)</f>
        <v>#REF!</v>
      </c>
      <c r="O58" s="37" t="e">
        <f>_xlfn.XLOOKUP(B58,#REF!,#REF!)</f>
        <v>#REF!</v>
      </c>
      <c r="P58" s="37" t="e">
        <f>_xlfn.XLOOKUP(B58,#REF!,#REF!)</f>
        <v>#REF!</v>
      </c>
      <c r="Q58" s="37" t="e">
        <f>_xlfn.XLOOKUP(B58,#REF!,#REF!)</f>
        <v>#REF!</v>
      </c>
      <c r="R58" s="37" t="e">
        <f>_xlfn.XLOOKUP(B58,#REF!,#REF!)</f>
        <v>#REF!</v>
      </c>
      <c r="S58" s="37" t="e">
        <f>_xlfn.XLOOKUP(B58,#REF!,#REF!)</f>
        <v>#REF!</v>
      </c>
      <c r="T58" s="37" t="e">
        <f>_xlfn.XLOOKUP(B58,#REF!,#REF!)</f>
        <v>#REF!</v>
      </c>
      <c r="U58" s="37" t="e">
        <f>_xlfn.XLOOKUP(B58,#REF!,#REF!)</f>
        <v>#REF!</v>
      </c>
      <c r="V58" s="37" t="e">
        <f>_xlfn.XLOOKUP(B58,#REF!,#REF!)</f>
        <v>#REF!</v>
      </c>
    </row>
    <row r="59" spans="1:22" x14ac:dyDescent="0.35">
      <c r="A59" t="str">
        <f>_xlfn.XLOOKUP(B59,master!B:B,master!A:A)</f>
        <v>Add: Purchase of raw materials</v>
      </c>
      <c r="B59" s="50" t="s">
        <v>301</v>
      </c>
      <c r="C59" s="50"/>
      <c r="D59" s="50"/>
      <c r="E59" s="50"/>
      <c r="F59" s="50"/>
      <c r="G59" s="37">
        <f>IFERROR(_xlfn.XLOOKUP(B59,#REF!,#REF!),0)</f>
        <v>0</v>
      </c>
      <c r="H59" s="37" t="e">
        <f>_xlfn.XLOOKUP(B59,#REF!,#REF!)</f>
        <v>#REF!</v>
      </c>
      <c r="I59" s="37" t="e">
        <f>_xlfn.XLOOKUP(B59,#REF!,#REF!)</f>
        <v>#REF!</v>
      </c>
      <c r="J59" s="51" t="e">
        <f>_xlfn.XLOOKUP(B59,#REF!,#REF!)</f>
        <v>#REF!</v>
      </c>
      <c r="K59" s="37" t="e">
        <f>_xlfn.XLOOKUP(B59,#REF!,#REF!)</f>
        <v>#REF!</v>
      </c>
      <c r="L59" s="37" t="e">
        <f>_xlfn.XLOOKUP(B59,#REF!,#REF!)</f>
        <v>#REF!</v>
      </c>
      <c r="M59" s="37" t="e">
        <f>_xlfn.XLOOKUP(B59,#REF!,#REF!)</f>
        <v>#REF!</v>
      </c>
      <c r="N59" s="37" t="e">
        <f>_xlfn.XLOOKUP(B59,#REF!,#REF!)</f>
        <v>#REF!</v>
      </c>
      <c r="O59" s="37" t="e">
        <f>_xlfn.XLOOKUP(B59,#REF!,#REF!)</f>
        <v>#REF!</v>
      </c>
      <c r="P59" s="37" t="e">
        <f>_xlfn.XLOOKUP(B59,#REF!,#REF!)</f>
        <v>#REF!</v>
      </c>
      <c r="Q59" s="37" t="e">
        <f>_xlfn.XLOOKUP(B59,#REF!,#REF!)</f>
        <v>#REF!</v>
      </c>
      <c r="R59" s="37" t="e">
        <f>_xlfn.XLOOKUP(B59,#REF!,#REF!)</f>
        <v>#REF!</v>
      </c>
      <c r="S59" s="37" t="e">
        <f>_xlfn.XLOOKUP(B59,#REF!,#REF!)</f>
        <v>#REF!</v>
      </c>
      <c r="T59" s="37" t="e">
        <f>_xlfn.XLOOKUP(B59,#REF!,#REF!)</f>
        <v>#REF!</v>
      </c>
      <c r="U59" s="37" t="e">
        <f>_xlfn.XLOOKUP(B59,#REF!,#REF!)</f>
        <v>#REF!</v>
      </c>
      <c r="V59" s="37" t="e">
        <f>_xlfn.XLOOKUP(B59,#REF!,#REF!)</f>
        <v>#REF!</v>
      </c>
    </row>
    <row r="60" spans="1:22" x14ac:dyDescent="0.35">
      <c r="A60" t="str">
        <f>_xlfn.XLOOKUP(B60,master!B:B,master!A:A)</f>
        <v>Conveyance, vehicle running and traveling expenses</v>
      </c>
      <c r="B60" s="50" t="s">
        <v>302</v>
      </c>
      <c r="C60" s="50"/>
      <c r="D60" s="50"/>
      <c r="E60" s="50"/>
      <c r="F60" s="50"/>
      <c r="G60" s="37">
        <f>IFERROR(_xlfn.XLOOKUP(B60,#REF!,#REF!),0)</f>
        <v>0</v>
      </c>
      <c r="H60" s="37" t="e">
        <f>_xlfn.XLOOKUP(B60,#REF!,#REF!)</f>
        <v>#REF!</v>
      </c>
      <c r="I60" s="37" t="e">
        <f>_xlfn.XLOOKUP(B60,#REF!,#REF!)</f>
        <v>#REF!</v>
      </c>
      <c r="J60" s="51" t="e">
        <f>_xlfn.XLOOKUP(B60,#REF!,#REF!)</f>
        <v>#REF!</v>
      </c>
      <c r="K60" s="37" t="e">
        <f>_xlfn.XLOOKUP(B60,#REF!,#REF!)</f>
        <v>#REF!</v>
      </c>
      <c r="L60" s="37" t="e">
        <f>_xlfn.XLOOKUP(B60,#REF!,#REF!)</f>
        <v>#REF!</v>
      </c>
      <c r="M60" s="37" t="e">
        <f>_xlfn.XLOOKUP(B60,#REF!,#REF!)</f>
        <v>#REF!</v>
      </c>
      <c r="N60" s="37" t="e">
        <f>_xlfn.XLOOKUP(B60,#REF!,#REF!)</f>
        <v>#REF!</v>
      </c>
      <c r="O60" s="37" t="e">
        <f>_xlfn.XLOOKUP(B60,#REF!,#REF!)</f>
        <v>#REF!</v>
      </c>
      <c r="P60" s="37" t="e">
        <f>_xlfn.XLOOKUP(B60,#REF!,#REF!)</f>
        <v>#REF!</v>
      </c>
      <c r="Q60" s="37" t="e">
        <f>_xlfn.XLOOKUP(B60,#REF!,#REF!)</f>
        <v>#REF!</v>
      </c>
      <c r="R60" s="37" t="e">
        <f>_xlfn.XLOOKUP(B60,#REF!,#REF!)</f>
        <v>#REF!</v>
      </c>
      <c r="S60" s="37" t="e">
        <f>_xlfn.XLOOKUP(B60,#REF!,#REF!)</f>
        <v>#REF!</v>
      </c>
      <c r="T60" s="37" t="e">
        <f>_xlfn.XLOOKUP(B60,#REF!,#REF!)</f>
        <v>#REF!</v>
      </c>
      <c r="U60" s="37" t="e">
        <f>_xlfn.XLOOKUP(B60,#REF!,#REF!)</f>
        <v>#REF!</v>
      </c>
      <c r="V60" s="37" t="e">
        <f>_xlfn.XLOOKUP(B60,#REF!,#REF!)</f>
        <v>#REF!</v>
      </c>
    </row>
    <row r="61" spans="1:22" x14ac:dyDescent="0.35">
      <c r="A61" t="str">
        <f>_xlfn.XLOOKUP(B61,master!B:B,master!A:A)</f>
        <v>Other Administrative Expenses</v>
      </c>
      <c r="B61" s="50" t="s">
        <v>303</v>
      </c>
      <c r="C61" s="50"/>
      <c r="D61" s="50"/>
      <c r="E61" s="50"/>
      <c r="F61" s="50"/>
      <c r="G61" s="37">
        <f>IFERROR(_xlfn.XLOOKUP(B61,#REF!,#REF!),0)</f>
        <v>0</v>
      </c>
      <c r="H61" s="37" t="e">
        <f>_xlfn.XLOOKUP(B61,#REF!,#REF!)</f>
        <v>#REF!</v>
      </c>
      <c r="I61" s="37" t="e">
        <f>_xlfn.XLOOKUP(B61,#REF!,#REF!)</f>
        <v>#REF!</v>
      </c>
      <c r="J61" s="51" t="e">
        <f>_xlfn.XLOOKUP(B61,#REF!,#REF!)</f>
        <v>#REF!</v>
      </c>
      <c r="K61" s="37" t="e">
        <f>_xlfn.XLOOKUP(B61,#REF!,#REF!)</f>
        <v>#REF!</v>
      </c>
      <c r="L61" s="37" t="e">
        <f>_xlfn.XLOOKUP(B61,#REF!,#REF!)</f>
        <v>#REF!</v>
      </c>
      <c r="M61" s="37" t="e">
        <f>_xlfn.XLOOKUP(B61,#REF!,#REF!)</f>
        <v>#REF!</v>
      </c>
      <c r="N61" s="37" t="e">
        <f>_xlfn.XLOOKUP(B61,#REF!,#REF!)</f>
        <v>#REF!</v>
      </c>
      <c r="O61" s="37" t="e">
        <f>_xlfn.XLOOKUP(B61,#REF!,#REF!)</f>
        <v>#REF!</v>
      </c>
      <c r="P61" s="37" t="e">
        <f>_xlfn.XLOOKUP(B61,#REF!,#REF!)</f>
        <v>#REF!</v>
      </c>
      <c r="Q61" s="37" t="e">
        <f>_xlfn.XLOOKUP(B61,#REF!,#REF!)</f>
        <v>#REF!</v>
      </c>
      <c r="R61" s="37" t="e">
        <f>_xlfn.XLOOKUP(B61,#REF!,#REF!)</f>
        <v>#REF!</v>
      </c>
      <c r="S61" s="37" t="e">
        <f>_xlfn.XLOOKUP(B61,#REF!,#REF!)</f>
        <v>#REF!</v>
      </c>
      <c r="T61" s="37" t="e">
        <f>_xlfn.XLOOKUP(B61,#REF!,#REF!)</f>
        <v>#REF!</v>
      </c>
      <c r="U61" s="37" t="e">
        <f>_xlfn.XLOOKUP(B61,#REF!,#REF!)</f>
        <v>#REF!</v>
      </c>
      <c r="V61" s="37" t="e">
        <f>_xlfn.XLOOKUP(B61,#REF!,#REF!)</f>
        <v>#REF!</v>
      </c>
    </row>
    <row r="62" spans="1:22" x14ac:dyDescent="0.35">
      <c r="A62" t="str">
        <f>_xlfn.XLOOKUP(B62,master!B:B,master!A:A)</f>
        <v>Other Administrative Expenses</v>
      </c>
      <c r="B62" s="50" t="s">
        <v>304</v>
      </c>
      <c r="C62" s="50"/>
      <c r="D62" s="50"/>
      <c r="E62" s="50"/>
      <c r="F62" s="50"/>
      <c r="G62" s="37">
        <f>IFERROR(_xlfn.XLOOKUP(B62,#REF!,#REF!),0)</f>
        <v>0</v>
      </c>
      <c r="H62" s="37" t="e">
        <f>_xlfn.XLOOKUP(B62,#REF!,#REF!)</f>
        <v>#REF!</v>
      </c>
      <c r="I62" s="37" t="e">
        <f>_xlfn.XLOOKUP(B62,#REF!,#REF!)</f>
        <v>#REF!</v>
      </c>
      <c r="J62" s="51" t="e">
        <f>_xlfn.XLOOKUP(B62,#REF!,#REF!)</f>
        <v>#REF!</v>
      </c>
      <c r="K62" s="37" t="e">
        <f>_xlfn.XLOOKUP(B62,#REF!,#REF!)</f>
        <v>#REF!</v>
      </c>
      <c r="L62" s="37" t="e">
        <f>_xlfn.XLOOKUP(B62,#REF!,#REF!)</f>
        <v>#REF!</v>
      </c>
      <c r="M62" s="37" t="e">
        <f>_xlfn.XLOOKUP(B62,#REF!,#REF!)</f>
        <v>#REF!</v>
      </c>
      <c r="N62" s="37" t="e">
        <f>_xlfn.XLOOKUP(B62,#REF!,#REF!)</f>
        <v>#REF!</v>
      </c>
      <c r="O62" s="37" t="e">
        <f>_xlfn.XLOOKUP(B62,#REF!,#REF!)</f>
        <v>#REF!</v>
      </c>
      <c r="P62" s="37" t="e">
        <f>_xlfn.XLOOKUP(B62,#REF!,#REF!)</f>
        <v>#REF!</v>
      </c>
      <c r="Q62" s="37" t="e">
        <f>_xlfn.XLOOKUP(B62,#REF!,#REF!)</f>
        <v>#REF!</v>
      </c>
      <c r="R62" s="37" t="e">
        <f>_xlfn.XLOOKUP(B62,#REF!,#REF!)</f>
        <v>#REF!</v>
      </c>
      <c r="S62" s="37" t="e">
        <f>_xlfn.XLOOKUP(B62,#REF!,#REF!)</f>
        <v>#REF!</v>
      </c>
      <c r="T62" s="37" t="e">
        <f>_xlfn.XLOOKUP(B62,#REF!,#REF!)</f>
        <v>#REF!</v>
      </c>
      <c r="U62" s="37" t="e">
        <f>_xlfn.XLOOKUP(B62,#REF!,#REF!)</f>
        <v>#REF!</v>
      </c>
      <c r="V62" s="37" t="e">
        <f>_xlfn.XLOOKUP(B62,#REF!,#REF!)</f>
        <v>#REF!</v>
      </c>
    </row>
    <row r="63" spans="1:22" x14ac:dyDescent="0.35">
      <c r="A63" t="str">
        <f>_xlfn.XLOOKUP(B63,master!B:B,master!A:A)</f>
        <v>Other Manufacturing Expenses</v>
      </c>
      <c r="B63" s="50" t="s">
        <v>305</v>
      </c>
      <c r="C63" s="50"/>
      <c r="D63" s="50"/>
      <c r="E63" s="50"/>
      <c r="F63" s="50"/>
      <c r="G63" s="37">
        <f>IFERROR(_xlfn.XLOOKUP(B63,#REF!,#REF!),0)</f>
        <v>0</v>
      </c>
      <c r="H63" s="37" t="e">
        <f>_xlfn.XLOOKUP(B63,#REF!,#REF!)</f>
        <v>#REF!</v>
      </c>
      <c r="I63" s="37" t="e">
        <f>_xlfn.XLOOKUP(B63,#REF!,#REF!)</f>
        <v>#REF!</v>
      </c>
      <c r="J63" s="51" t="e">
        <f>_xlfn.XLOOKUP(B63,#REF!,#REF!)</f>
        <v>#REF!</v>
      </c>
      <c r="K63" s="37" t="e">
        <f>_xlfn.XLOOKUP(B63,#REF!,#REF!)</f>
        <v>#REF!</v>
      </c>
      <c r="L63" s="37" t="e">
        <f>_xlfn.XLOOKUP(B63,#REF!,#REF!)</f>
        <v>#REF!</v>
      </c>
      <c r="M63" s="37" t="e">
        <f>_xlfn.XLOOKUP(B63,#REF!,#REF!)</f>
        <v>#REF!</v>
      </c>
      <c r="N63" s="37" t="e">
        <f>_xlfn.XLOOKUP(B63,#REF!,#REF!)</f>
        <v>#REF!</v>
      </c>
      <c r="O63" s="37" t="e">
        <f>_xlfn.XLOOKUP(B63,#REF!,#REF!)</f>
        <v>#REF!</v>
      </c>
      <c r="P63" s="37" t="e">
        <f>_xlfn.XLOOKUP(B63,#REF!,#REF!)</f>
        <v>#REF!</v>
      </c>
      <c r="Q63" s="37" t="e">
        <f>_xlfn.XLOOKUP(B63,#REF!,#REF!)</f>
        <v>#REF!</v>
      </c>
      <c r="R63" s="37" t="e">
        <f>_xlfn.XLOOKUP(B63,#REF!,#REF!)</f>
        <v>#REF!</v>
      </c>
      <c r="S63" s="37" t="e">
        <f>_xlfn.XLOOKUP(B63,#REF!,#REF!)</f>
        <v>#REF!</v>
      </c>
      <c r="T63" s="37" t="e">
        <f>_xlfn.XLOOKUP(B63,#REF!,#REF!)</f>
        <v>#REF!</v>
      </c>
      <c r="U63" s="37" t="e">
        <f>_xlfn.XLOOKUP(B63,#REF!,#REF!)</f>
        <v>#REF!</v>
      </c>
      <c r="V63" s="37" t="e">
        <f>_xlfn.XLOOKUP(B63,#REF!,#REF!)</f>
        <v>#REF!</v>
      </c>
    </row>
    <row r="64" spans="1:22" x14ac:dyDescent="0.35">
      <c r="A64" t="str">
        <f>_xlfn.XLOOKUP(B64,master!B:B,master!A:A)</f>
        <v>Other Administrative Expenses</v>
      </c>
      <c r="B64" s="50" t="s">
        <v>562</v>
      </c>
      <c r="C64" s="50"/>
      <c r="D64" s="50"/>
      <c r="E64" s="50"/>
      <c r="F64" s="50"/>
      <c r="G64" s="37">
        <f>IFERROR(_xlfn.XLOOKUP(B64,#REF!,#REF!),0)</f>
        <v>0</v>
      </c>
      <c r="H64" s="37" t="e">
        <f>_xlfn.XLOOKUP(B64,#REF!,#REF!)</f>
        <v>#REF!</v>
      </c>
      <c r="I64" s="37" t="e">
        <f>_xlfn.XLOOKUP(B64,#REF!,#REF!)</f>
        <v>#REF!</v>
      </c>
      <c r="J64" s="51" t="e">
        <f>_xlfn.XLOOKUP(B64,#REF!,#REF!)</f>
        <v>#REF!</v>
      </c>
      <c r="K64" s="37" t="e">
        <f>_xlfn.XLOOKUP(B64,#REF!,#REF!)</f>
        <v>#REF!</v>
      </c>
      <c r="L64" s="37" t="e">
        <f>_xlfn.XLOOKUP(B64,#REF!,#REF!)</f>
        <v>#REF!</v>
      </c>
      <c r="M64" s="37" t="e">
        <f>_xlfn.XLOOKUP(B64,#REF!,#REF!)</f>
        <v>#REF!</v>
      </c>
      <c r="N64" s="37" t="e">
        <f>_xlfn.XLOOKUP(B64,#REF!,#REF!)</f>
        <v>#REF!</v>
      </c>
      <c r="O64" s="37" t="e">
        <f>_xlfn.XLOOKUP(B64,#REF!,#REF!)</f>
        <v>#REF!</v>
      </c>
      <c r="P64" s="37" t="e">
        <f>_xlfn.XLOOKUP(B64,#REF!,#REF!)</f>
        <v>#REF!</v>
      </c>
      <c r="Q64" s="37" t="e">
        <f>_xlfn.XLOOKUP(B64,#REF!,#REF!)</f>
        <v>#REF!</v>
      </c>
      <c r="R64" s="37" t="e">
        <f>_xlfn.XLOOKUP(B64,#REF!,#REF!)</f>
        <v>#REF!</v>
      </c>
      <c r="S64" s="37" t="e">
        <f>_xlfn.XLOOKUP(B64,#REF!,#REF!)</f>
        <v>#REF!</v>
      </c>
      <c r="T64" s="37" t="e">
        <f>_xlfn.XLOOKUP(B64,#REF!,#REF!)</f>
        <v>#REF!</v>
      </c>
      <c r="U64" s="37" t="e">
        <f>_xlfn.XLOOKUP(B64,#REF!,#REF!)</f>
        <v>#REF!</v>
      </c>
      <c r="V64" s="37" t="e">
        <f>_xlfn.XLOOKUP(B64,#REF!,#REF!)</f>
        <v>#REF!</v>
      </c>
    </row>
    <row r="65" spans="1:22" x14ac:dyDescent="0.35">
      <c r="A65" t="str">
        <f>_xlfn.XLOOKUP(B65,master!B:B,master!A:A)</f>
        <v>Other Administrative Expenses</v>
      </c>
      <c r="B65" s="50" t="s">
        <v>306</v>
      </c>
      <c r="C65" s="50"/>
      <c r="D65" s="50"/>
      <c r="E65" s="50"/>
      <c r="F65" s="50"/>
      <c r="G65" s="37">
        <f>IFERROR(_xlfn.XLOOKUP(B65,#REF!,#REF!),0)</f>
        <v>0</v>
      </c>
      <c r="H65" s="37" t="e">
        <f>_xlfn.XLOOKUP(B65,#REF!,#REF!)</f>
        <v>#REF!</v>
      </c>
      <c r="I65" s="37" t="e">
        <f>_xlfn.XLOOKUP(B65,#REF!,#REF!)</f>
        <v>#REF!</v>
      </c>
      <c r="J65" s="51" t="e">
        <f>_xlfn.XLOOKUP(B65,#REF!,#REF!)</f>
        <v>#REF!</v>
      </c>
      <c r="K65" s="37" t="e">
        <f>_xlfn.XLOOKUP(B65,#REF!,#REF!)</f>
        <v>#REF!</v>
      </c>
      <c r="L65" s="37" t="e">
        <f>_xlfn.XLOOKUP(B65,#REF!,#REF!)</f>
        <v>#REF!</v>
      </c>
      <c r="M65" s="37" t="e">
        <f>_xlfn.XLOOKUP(B65,#REF!,#REF!)</f>
        <v>#REF!</v>
      </c>
      <c r="N65" s="37" t="e">
        <f>_xlfn.XLOOKUP(B65,#REF!,#REF!)</f>
        <v>#REF!</v>
      </c>
      <c r="O65" s="37" t="e">
        <f>_xlfn.XLOOKUP(B65,#REF!,#REF!)</f>
        <v>#REF!</v>
      </c>
      <c r="P65" s="37" t="e">
        <f>_xlfn.XLOOKUP(B65,#REF!,#REF!)</f>
        <v>#REF!</v>
      </c>
      <c r="Q65" s="37" t="e">
        <f>_xlfn.XLOOKUP(B65,#REF!,#REF!)</f>
        <v>#REF!</v>
      </c>
      <c r="R65" s="37" t="e">
        <f>_xlfn.XLOOKUP(B65,#REF!,#REF!)</f>
        <v>#REF!</v>
      </c>
      <c r="S65" s="37" t="e">
        <f>_xlfn.XLOOKUP(B65,#REF!,#REF!)</f>
        <v>#REF!</v>
      </c>
      <c r="T65" s="37" t="e">
        <f>_xlfn.XLOOKUP(B65,#REF!,#REF!)</f>
        <v>#REF!</v>
      </c>
      <c r="U65" s="37" t="e">
        <f>_xlfn.XLOOKUP(B65,#REF!,#REF!)</f>
        <v>#REF!</v>
      </c>
      <c r="V65" s="37" t="e">
        <f>_xlfn.XLOOKUP(B65,#REF!,#REF!)</f>
        <v>#REF!</v>
      </c>
    </row>
    <row r="66" spans="1:22" x14ac:dyDescent="0.35">
      <c r="A66" t="str">
        <f>_xlfn.XLOOKUP(B66,master!B:B,master!A:A)</f>
        <v>Other Manufacturing Expenses</v>
      </c>
      <c r="B66" s="50" t="s">
        <v>307</v>
      </c>
      <c r="C66" s="50"/>
      <c r="D66" s="50"/>
      <c r="E66" s="50"/>
      <c r="F66" s="50"/>
      <c r="G66" s="37">
        <f>IFERROR(_xlfn.XLOOKUP(B66,#REF!,#REF!),0)</f>
        <v>0</v>
      </c>
      <c r="H66" s="37" t="e">
        <f>_xlfn.XLOOKUP(B66,#REF!,#REF!)</f>
        <v>#REF!</v>
      </c>
      <c r="I66" s="37" t="e">
        <f>_xlfn.XLOOKUP(B66,#REF!,#REF!)</f>
        <v>#REF!</v>
      </c>
      <c r="J66" s="51" t="e">
        <f>_xlfn.XLOOKUP(B66,#REF!,#REF!)</f>
        <v>#REF!</v>
      </c>
      <c r="K66" s="37" t="e">
        <f>_xlfn.XLOOKUP(B66,#REF!,#REF!)</f>
        <v>#REF!</v>
      </c>
      <c r="L66" s="37" t="e">
        <f>_xlfn.XLOOKUP(B66,#REF!,#REF!)</f>
        <v>#REF!</v>
      </c>
      <c r="M66" s="37" t="e">
        <f>_xlfn.XLOOKUP(B66,#REF!,#REF!)</f>
        <v>#REF!</v>
      </c>
      <c r="N66" s="37" t="e">
        <f>_xlfn.XLOOKUP(B66,#REF!,#REF!)</f>
        <v>#REF!</v>
      </c>
      <c r="O66" s="37" t="e">
        <f>_xlfn.XLOOKUP(B66,#REF!,#REF!)</f>
        <v>#REF!</v>
      </c>
      <c r="P66" s="37" t="e">
        <f>_xlfn.XLOOKUP(B66,#REF!,#REF!)</f>
        <v>#REF!</v>
      </c>
      <c r="Q66" s="37" t="e">
        <f>_xlfn.XLOOKUP(B66,#REF!,#REF!)</f>
        <v>#REF!</v>
      </c>
      <c r="R66" s="37" t="e">
        <f>_xlfn.XLOOKUP(B66,#REF!,#REF!)</f>
        <v>#REF!</v>
      </c>
      <c r="S66" s="37" t="e">
        <f>_xlfn.XLOOKUP(B66,#REF!,#REF!)</f>
        <v>#REF!</v>
      </c>
      <c r="T66" s="37" t="e">
        <f>_xlfn.XLOOKUP(B66,#REF!,#REF!)</f>
        <v>#REF!</v>
      </c>
      <c r="U66" s="37" t="e">
        <f>_xlfn.XLOOKUP(B66,#REF!,#REF!)</f>
        <v>#REF!</v>
      </c>
      <c r="V66" s="37" t="e">
        <f>_xlfn.XLOOKUP(B66,#REF!,#REF!)</f>
        <v>#REF!</v>
      </c>
    </row>
    <row r="67" spans="1:22" x14ac:dyDescent="0.35">
      <c r="A67" t="str">
        <f>_xlfn.XLOOKUP(B67,master!B:B,master!A:A)</f>
        <v>Insurance</v>
      </c>
      <c r="B67" s="50" t="s">
        <v>308</v>
      </c>
      <c r="C67" s="50"/>
      <c r="D67" s="50"/>
      <c r="E67" s="50"/>
      <c r="F67" s="50"/>
      <c r="G67" s="37">
        <f>IFERROR(_xlfn.XLOOKUP(B67,#REF!,#REF!),0)</f>
        <v>0</v>
      </c>
      <c r="H67" s="37" t="e">
        <f>_xlfn.XLOOKUP(B67,#REF!,#REF!)</f>
        <v>#REF!</v>
      </c>
      <c r="I67" s="37" t="e">
        <f>_xlfn.XLOOKUP(B67,#REF!,#REF!)</f>
        <v>#REF!</v>
      </c>
      <c r="J67" s="51" t="e">
        <f>_xlfn.XLOOKUP(B67,#REF!,#REF!)</f>
        <v>#REF!</v>
      </c>
      <c r="K67" s="37" t="e">
        <f>_xlfn.XLOOKUP(B67,#REF!,#REF!)</f>
        <v>#REF!</v>
      </c>
      <c r="L67" s="37" t="e">
        <f>_xlfn.XLOOKUP(B67,#REF!,#REF!)</f>
        <v>#REF!</v>
      </c>
      <c r="M67" s="37" t="e">
        <f>_xlfn.XLOOKUP(B67,#REF!,#REF!)</f>
        <v>#REF!</v>
      </c>
      <c r="N67" s="37" t="e">
        <f>_xlfn.XLOOKUP(B67,#REF!,#REF!)</f>
        <v>#REF!</v>
      </c>
      <c r="O67" s="37" t="e">
        <f>_xlfn.XLOOKUP(B67,#REF!,#REF!)</f>
        <v>#REF!</v>
      </c>
      <c r="P67" s="37" t="e">
        <f>_xlfn.XLOOKUP(B67,#REF!,#REF!)</f>
        <v>#REF!</v>
      </c>
      <c r="Q67" s="37" t="e">
        <f>_xlfn.XLOOKUP(B67,#REF!,#REF!)</f>
        <v>#REF!</v>
      </c>
      <c r="R67" s="37" t="e">
        <f>_xlfn.XLOOKUP(B67,#REF!,#REF!)</f>
        <v>#REF!</v>
      </c>
      <c r="S67" s="37" t="e">
        <f>_xlfn.XLOOKUP(B67,#REF!,#REF!)</f>
        <v>#REF!</v>
      </c>
      <c r="T67" s="37" t="e">
        <f>_xlfn.XLOOKUP(B67,#REF!,#REF!)</f>
        <v>#REF!</v>
      </c>
      <c r="U67" s="37" t="e">
        <f>_xlfn.XLOOKUP(B67,#REF!,#REF!)</f>
        <v>#REF!</v>
      </c>
      <c r="V67" s="37" t="e">
        <f>_xlfn.XLOOKUP(B67,#REF!,#REF!)</f>
        <v>#REF!</v>
      </c>
    </row>
    <row r="68" spans="1:22" x14ac:dyDescent="0.35">
      <c r="A68" t="str">
        <f>_xlfn.XLOOKUP(B68,master!B:B,master!A:A)</f>
        <v>Other Administrative Expenses</v>
      </c>
      <c r="B68" s="50" t="s">
        <v>563</v>
      </c>
      <c r="C68" s="50"/>
      <c r="D68" s="50"/>
      <c r="E68" s="50"/>
      <c r="F68" s="50"/>
      <c r="G68" s="37">
        <f>IFERROR(_xlfn.XLOOKUP(B68,#REF!,#REF!),0)</f>
        <v>0</v>
      </c>
      <c r="H68" s="37" t="e">
        <f>_xlfn.XLOOKUP(B68,#REF!,#REF!)</f>
        <v>#REF!</v>
      </c>
      <c r="I68" s="37" t="e">
        <f>_xlfn.XLOOKUP(B68,#REF!,#REF!)</f>
        <v>#REF!</v>
      </c>
      <c r="J68" s="51" t="e">
        <f>_xlfn.XLOOKUP(B68,#REF!,#REF!)</f>
        <v>#REF!</v>
      </c>
      <c r="K68" s="37" t="e">
        <f>_xlfn.XLOOKUP(B68,#REF!,#REF!)</f>
        <v>#REF!</v>
      </c>
      <c r="L68" s="37" t="e">
        <f>_xlfn.XLOOKUP(B68,#REF!,#REF!)</f>
        <v>#REF!</v>
      </c>
      <c r="M68" s="37" t="e">
        <f>_xlfn.XLOOKUP(B68,#REF!,#REF!)</f>
        <v>#REF!</v>
      </c>
      <c r="N68" s="37" t="e">
        <f>_xlfn.XLOOKUP(B68,#REF!,#REF!)</f>
        <v>#REF!</v>
      </c>
      <c r="O68" s="37" t="e">
        <f>_xlfn.XLOOKUP(B68,#REF!,#REF!)</f>
        <v>#REF!</v>
      </c>
      <c r="P68" s="37" t="e">
        <f>_xlfn.XLOOKUP(B68,#REF!,#REF!)</f>
        <v>#REF!</v>
      </c>
      <c r="Q68" s="37" t="e">
        <f>_xlfn.XLOOKUP(B68,#REF!,#REF!)</f>
        <v>#REF!</v>
      </c>
      <c r="R68" s="37" t="e">
        <f>_xlfn.XLOOKUP(B68,#REF!,#REF!)</f>
        <v>#REF!</v>
      </c>
      <c r="S68" s="37" t="e">
        <f>_xlfn.XLOOKUP(B68,#REF!,#REF!)</f>
        <v>#REF!</v>
      </c>
      <c r="T68" s="37" t="e">
        <f>_xlfn.XLOOKUP(B68,#REF!,#REF!)</f>
        <v>#REF!</v>
      </c>
      <c r="U68" s="37" t="e">
        <f>_xlfn.XLOOKUP(B68,#REF!,#REF!)</f>
        <v>#REF!</v>
      </c>
      <c r="V68" s="37" t="e">
        <f>_xlfn.XLOOKUP(B68,#REF!,#REF!)</f>
        <v>#REF!</v>
      </c>
    </row>
    <row r="69" spans="1:22" x14ac:dyDescent="0.35">
      <c r="A69" t="str">
        <f>_xlfn.XLOOKUP(B69,master!B:B,master!A:A)</f>
        <v>Other Administrative Expenses</v>
      </c>
      <c r="B69" s="50" t="s">
        <v>309</v>
      </c>
      <c r="C69" s="50"/>
      <c r="D69" s="50"/>
      <c r="E69" s="50"/>
      <c r="F69" s="50"/>
      <c r="G69" s="37">
        <f>IFERROR(_xlfn.XLOOKUP(B69,#REF!,#REF!),0)</f>
        <v>0</v>
      </c>
      <c r="H69" s="37" t="e">
        <f>_xlfn.XLOOKUP(B69,#REF!,#REF!)</f>
        <v>#REF!</v>
      </c>
      <c r="I69" s="37" t="e">
        <f>_xlfn.XLOOKUP(B69,#REF!,#REF!)</f>
        <v>#REF!</v>
      </c>
      <c r="J69" s="51" t="e">
        <f>_xlfn.XLOOKUP(B69,#REF!,#REF!)</f>
        <v>#REF!</v>
      </c>
      <c r="K69" s="37" t="e">
        <f>_xlfn.XLOOKUP(B69,#REF!,#REF!)</f>
        <v>#REF!</v>
      </c>
      <c r="L69" s="37" t="e">
        <f>_xlfn.XLOOKUP(B69,#REF!,#REF!)</f>
        <v>#REF!</v>
      </c>
      <c r="M69" s="37" t="e">
        <f>_xlfn.XLOOKUP(B69,#REF!,#REF!)</f>
        <v>#REF!</v>
      </c>
      <c r="N69" s="37" t="e">
        <f>_xlfn.XLOOKUP(B69,#REF!,#REF!)</f>
        <v>#REF!</v>
      </c>
      <c r="O69" s="37" t="e">
        <f>_xlfn.XLOOKUP(B69,#REF!,#REF!)</f>
        <v>#REF!</v>
      </c>
      <c r="P69" s="37" t="e">
        <f>_xlfn.XLOOKUP(B69,#REF!,#REF!)</f>
        <v>#REF!</v>
      </c>
      <c r="Q69" s="37" t="e">
        <f>_xlfn.XLOOKUP(B69,#REF!,#REF!)</f>
        <v>#REF!</v>
      </c>
      <c r="R69" s="37" t="e">
        <f>_xlfn.XLOOKUP(B69,#REF!,#REF!)</f>
        <v>#REF!</v>
      </c>
      <c r="S69" s="37" t="e">
        <f>_xlfn.XLOOKUP(B69,#REF!,#REF!)</f>
        <v>#REF!</v>
      </c>
      <c r="T69" s="37" t="e">
        <f>_xlfn.XLOOKUP(B69,#REF!,#REF!)</f>
        <v>#REF!</v>
      </c>
      <c r="U69" s="37" t="e">
        <f>_xlfn.XLOOKUP(B69,#REF!,#REF!)</f>
        <v>#REF!</v>
      </c>
      <c r="V69" s="37" t="e">
        <f>_xlfn.XLOOKUP(B69,#REF!,#REF!)</f>
        <v>#REF!</v>
      </c>
    </row>
    <row r="70" spans="1:22" x14ac:dyDescent="0.35">
      <c r="A70" t="str">
        <f>_xlfn.XLOOKUP(B70,master!B:B,master!A:A)</f>
        <v>Other Administrative Expenses</v>
      </c>
      <c r="B70" s="50" t="s">
        <v>310</v>
      </c>
      <c r="C70" s="50"/>
      <c r="D70" s="50"/>
      <c r="E70" s="50"/>
      <c r="F70" s="50"/>
      <c r="G70" s="37">
        <f>IFERROR(_xlfn.XLOOKUP(B70,#REF!,#REF!),0)</f>
        <v>0</v>
      </c>
      <c r="H70" s="37" t="e">
        <f>_xlfn.XLOOKUP(B70,#REF!,#REF!)</f>
        <v>#REF!</v>
      </c>
      <c r="I70" s="37" t="e">
        <f>_xlfn.XLOOKUP(B70,#REF!,#REF!)</f>
        <v>#REF!</v>
      </c>
      <c r="J70" s="51" t="e">
        <f>_xlfn.XLOOKUP(B70,#REF!,#REF!)</f>
        <v>#REF!</v>
      </c>
      <c r="K70" s="37" t="e">
        <f>_xlfn.XLOOKUP(B70,#REF!,#REF!)</f>
        <v>#REF!</v>
      </c>
      <c r="L70" s="37" t="e">
        <f>_xlfn.XLOOKUP(B70,#REF!,#REF!)</f>
        <v>#REF!</v>
      </c>
      <c r="M70" s="37" t="e">
        <f>_xlfn.XLOOKUP(B70,#REF!,#REF!)</f>
        <v>#REF!</v>
      </c>
      <c r="N70" s="37" t="e">
        <f>_xlfn.XLOOKUP(B70,#REF!,#REF!)</f>
        <v>#REF!</v>
      </c>
      <c r="O70" s="37" t="e">
        <f>_xlfn.XLOOKUP(B70,#REF!,#REF!)</f>
        <v>#REF!</v>
      </c>
      <c r="P70" s="37" t="e">
        <f>_xlfn.XLOOKUP(B70,#REF!,#REF!)</f>
        <v>#REF!</v>
      </c>
      <c r="Q70" s="37" t="e">
        <f>_xlfn.XLOOKUP(B70,#REF!,#REF!)</f>
        <v>#REF!</v>
      </c>
      <c r="R70" s="37" t="e">
        <f>_xlfn.XLOOKUP(B70,#REF!,#REF!)</f>
        <v>#REF!</v>
      </c>
      <c r="S70" s="37" t="e">
        <f>_xlfn.XLOOKUP(B70,#REF!,#REF!)</f>
        <v>#REF!</v>
      </c>
      <c r="T70" s="37" t="e">
        <f>_xlfn.XLOOKUP(B70,#REF!,#REF!)</f>
        <v>#REF!</v>
      </c>
      <c r="U70" s="37" t="e">
        <f>_xlfn.XLOOKUP(B70,#REF!,#REF!)</f>
        <v>#REF!</v>
      </c>
      <c r="V70" s="37" t="e">
        <f>_xlfn.XLOOKUP(B70,#REF!,#REF!)</f>
        <v>#REF!</v>
      </c>
    </row>
    <row r="71" spans="1:22" x14ac:dyDescent="0.35">
      <c r="A71" t="str">
        <f>_xlfn.XLOOKUP(B71,master!B:B,master!A:A)</f>
        <v>Other Administrative Expenses</v>
      </c>
      <c r="B71" s="50" t="s">
        <v>311</v>
      </c>
      <c r="C71" s="50"/>
      <c r="D71" s="50"/>
      <c r="E71" s="50"/>
      <c r="F71" s="50"/>
      <c r="G71" s="37">
        <f>IFERROR(_xlfn.XLOOKUP(B71,#REF!,#REF!),0)</f>
        <v>0</v>
      </c>
      <c r="H71" s="37" t="e">
        <f>_xlfn.XLOOKUP(B71,#REF!,#REF!)</f>
        <v>#REF!</v>
      </c>
      <c r="I71" s="37" t="e">
        <f>_xlfn.XLOOKUP(B71,#REF!,#REF!)</f>
        <v>#REF!</v>
      </c>
      <c r="J71" s="51" t="e">
        <f>_xlfn.XLOOKUP(B71,#REF!,#REF!)</f>
        <v>#REF!</v>
      </c>
      <c r="K71" s="37" t="e">
        <f>_xlfn.XLOOKUP(B71,#REF!,#REF!)</f>
        <v>#REF!</v>
      </c>
      <c r="L71" s="37" t="e">
        <f>_xlfn.XLOOKUP(B71,#REF!,#REF!)</f>
        <v>#REF!</v>
      </c>
      <c r="M71" s="37" t="e">
        <f>_xlfn.XLOOKUP(B71,#REF!,#REF!)</f>
        <v>#REF!</v>
      </c>
      <c r="N71" s="37" t="e">
        <f>_xlfn.XLOOKUP(B71,#REF!,#REF!)</f>
        <v>#REF!</v>
      </c>
      <c r="O71" s="37" t="e">
        <f>_xlfn.XLOOKUP(B71,#REF!,#REF!)</f>
        <v>#REF!</v>
      </c>
      <c r="P71" s="37" t="e">
        <f>_xlfn.XLOOKUP(B71,#REF!,#REF!)</f>
        <v>#REF!</v>
      </c>
      <c r="Q71" s="37" t="e">
        <f>_xlfn.XLOOKUP(B71,#REF!,#REF!)</f>
        <v>#REF!</v>
      </c>
      <c r="R71" s="37" t="e">
        <f>_xlfn.XLOOKUP(B71,#REF!,#REF!)</f>
        <v>#REF!</v>
      </c>
      <c r="S71" s="37" t="e">
        <f>_xlfn.XLOOKUP(B71,#REF!,#REF!)</f>
        <v>#REF!</v>
      </c>
      <c r="T71" s="37" t="e">
        <f>_xlfn.XLOOKUP(B71,#REF!,#REF!)</f>
        <v>#REF!</v>
      </c>
      <c r="U71" s="37" t="e">
        <f>_xlfn.XLOOKUP(B71,#REF!,#REF!)</f>
        <v>#REF!</v>
      </c>
      <c r="V71" s="37" t="e">
        <f>_xlfn.XLOOKUP(B71,#REF!,#REF!)</f>
        <v>#REF!</v>
      </c>
    </row>
    <row r="72" spans="1:22" x14ac:dyDescent="0.35">
      <c r="A72" t="str">
        <f>_xlfn.XLOOKUP(B72,master!B:B,master!A:A)</f>
        <v>Other Administrative Expenses</v>
      </c>
      <c r="B72" s="50" t="s">
        <v>312</v>
      </c>
      <c r="C72" s="50"/>
      <c r="D72" s="50"/>
      <c r="E72" s="50"/>
      <c r="F72" s="50"/>
      <c r="G72" s="37">
        <f>IFERROR(_xlfn.XLOOKUP(B72,#REF!,#REF!),0)</f>
        <v>0</v>
      </c>
      <c r="H72" s="37" t="e">
        <f>_xlfn.XLOOKUP(B72,#REF!,#REF!)</f>
        <v>#REF!</v>
      </c>
      <c r="I72" s="37" t="e">
        <f>_xlfn.XLOOKUP(B72,#REF!,#REF!)</f>
        <v>#REF!</v>
      </c>
      <c r="J72" s="51" t="e">
        <f>_xlfn.XLOOKUP(B72,#REF!,#REF!)</f>
        <v>#REF!</v>
      </c>
      <c r="K72" s="37" t="e">
        <f>_xlfn.XLOOKUP(B72,#REF!,#REF!)</f>
        <v>#REF!</v>
      </c>
      <c r="L72" s="37" t="e">
        <f>_xlfn.XLOOKUP(B72,#REF!,#REF!)</f>
        <v>#REF!</v>
      </c>
      <c r="M72" s="37" t="e">
        <f>_xlfn.XLOOKUP(B72,#REF!,#REF!)</f>
        <v>#REF!</v>
      </c>
      <c r="N72" s="37" t="e">
        <f>_xlfn.XLOOKUP(B72,#REF!,#REF!)</f>
        <v>#REF!</v>
      </c>
      <c r="O72" s="37" t="e">
        <f>_xlfn.XLOOKUP(B72,#REF!,#REF!)</f>
        <v>#REF!</v>
      </c>
      <c r="P72" s="37" t="e">
        <f>_xlfn.XLOOKUP(B72,#REF!,#REF!)</f>
        <v>#REF!</v>
      </c>
      <c r="Q72" s="37" t="e">
        <f>_xlfn.XLOOKUP(B72,#REF!,#REF!)</f>
        <v>#REF!</v>
      </c>
      <c r="R72" s="37" t="e">
        <f>_xlfn.XLOOKUP(B72,#REF!,#REF!)</f>
        <v>#REF!</v>
      </c>
      <c r="S72" s="37" t="e">
        <f>_xlfn.XLOOKUP(B72,#REF!,#REF!)</f>
        <v>#REF!</v>
      </c>
      <c r="T72" s="37" t="e">
        <f>_xlfn.XLOOKUP(B72,#REF!,#REF!)</f>
        <v>#REF!</v>
      </c>
      <c r="U72" s="37" t="e">
        <f>_xlfn.XLOOKUP(B72,#REF!,#REF!)</f>
        <v>#REF!</v>
      </c>
      <c r="V72" s="37" t="e">
        <f>_xlfn.XLOOKUP(B72,#REF!,#REF!)</f>
        <v>#REF!</v>
      </c>
    </row>
    <row r="73" spans="1:22" x14ac:dyDescent="0.35">
      <c r="A73" t="str">
        <f>_xlfn.XLOOKUP(B73,master!B:B,master!A:A)</f>
        <v>Other Administrative Expenses</v>
      </c>
      <c r="B73" s="50" t="s">
        <v>564</v>
      </c>
      <c r="C73" s="50"/>
      <c r="D73" s="50"/>
      <c r="E73" s="50"/>
      <c r="F73" s="50"/>
      <c r="G73" s="37">
        <f>IFERROR(_xlfn.XLOOKUP(B73,#REF!,#REF!),0)</f>
        <v>0</v>
      </c>
      <c r="H73" s="37" t="e">
        <f>_xlfn.XLOOKUP(B73,#REF!,#REF!)</f>
        <v>#REF!</v>
      </c>
      <c r="I73" s="37" t="e">
        <f>_xlfn.XLOOKUP(B73,#REF!,#REF!)</f>
        <v>#REF!</v>
      </c>
      <c r="J73" s="51" t="e">
        <f>_xlfn.XLOOKUP(B73,#REF!,#REF!)</f>
        <v>#REF!</v>
      </c>
      <c r="K73" s="37" t="e">
        <f>_xlfn.XLOOKUP(B73,#REF!,#REF!)</f>
        <v>#REF!</v>
      </c>
      <c r="L73" s="37" t="e">
        <f>_xlfn.XLOOKUP(B73,#REF!,#REF!)</f>
        <v>#REF!</v>
      </c>
      <c r="M73" s="37" t="e">
        <f>_xlfn.XLOOKUP(B73,#REF!,#REF!)</f>
        <v>#REF!</v>
      </c>
      <c r="N73" s="37" t="e">
        <f>_xlfn.XLOOKUP(B73,#REF!,#REF!)</f>
        <v>#REF!</v>
      </c>
      <c r="O73" s="37" t="e">
        <f>_xlfn.XLOOKUP(B73,#REF!,#REF!)</f>
        <v>#REF!</v>
      </c>
      <c r="P73" s="37" t="e">
        <f>_xlfn.XLOOKUP(B73,#REF!,#REF!)</f>
        <v>#REF!</v>
      </c>
      <c r="Q73" s="37" t="e">
        <f>_xlfn.XLOOKUP(B73,#REF!,#REF!)</f>
        <v>#REF!</v>
      </c>
      <c r="R73" s="37" t="e">
        <f>_xlfn.XLOOKUP(B73,#REF!,#REF!)</f>
        <v>#REF!</v>
      </c>
      <c r="S73" s="37" t="e">
        <f>_xlfn.XLOOKUP(B73,#REF!,#REF!)</f>
        <v>#REF!</v>
      </c>
      <c r="T73" s="37" t="e">
        <f>_xlfn.XLOOKUP(B73,#REF!,#REF!)</f>
        <v>#REF!</v>
      </c>
      <c r="U73" s="37" t="e">
        <f>_xlfn.XLOOKUP(B73,#REF!,#REF!)</f>
        <v>#REF!</v>
      </c>
      <c r="V73" s="37" t="e">
        <f>_xlfn.XLOOKUP(B73,#REF!,#REF!)</f>
        <v>#REF!</v>
      </c>
    </row>
    <row r="74" spans="1:22" x14ac:dyDescent="0.35">
      <c r="A74" t="str">
        <f>_xlfn.XLOOKUP(B74,master!B:B,master!A:A)</f>
        <v>Conveyance, vehicle running and traveling expenses</v>
      </c>
      <c r="B74" s="50" t="s">
        <v>313</v>
      </c>
      <c r="C74" s="50"/>
      <c r="D74" s="50"/>
      <c r="E74" s="50"/>
      <c r="F74" s="50"/>
      <c r="G74" s="37">
        <f>IFERROR(_xlfn.XLOOKUP(B74,#REF!,#REF!),0)</f>
        <v>0</v>
      </c>
      <c r="H74" s="37" t="e">
        <f>_xlfn.XLOOKUP(B74,#REF!,#REF!)</f>
        <v>#REF!</v>
      </c>
      <c r="I74" s="37" t="e">
        <f>_xlfn.XLOOKUP(B74,#REF!,#REF!)</f>
        <v>#REF!</v>
      </c>
      <c r="J74" s="51" t="e">
        <f>_xlfn.XLOOKUP(B74,#REF!,#REF!)</f>
        <v>#REF!</v>
      </c>
      <c r="K74" s="37" t="e">
        <f>_xlfn.XLOOKUP(B74,#REF!,#REF!)</f>
        <v>#REF!</v>
      </c>
      <c r="L74" s="37" t="e">
        <f>_xlfn.XLOOKUP(B74,#REF!,#REF!)</f>
        <v>#REF!</v>
      </c>
      <c r="M74" s="37" t="e">
        <f>_xlfn.XLOOKUP(B74,#REF!,#REF!)</f>
        <v>#REF!</v>
      </c>
      <c r="N74" s="37" t="e">
        <f>_xlfn.XLOOKUP(B74,#REF!,#REF!)</f>
        <v>#REF!</v>
      </c>
      <c r="O74" s="37" t="e">
        <f>_xlfn.XLOOKUP(B74,#REF!,#REF!)</f>
        <v>#REF!</v>
      </c>
      <c r="P74" s="37" t="e">
        <f>_xlfn.XLOOKUP(B74,#REF!,#REF!)</f>
        <v>#REF!</v>
      </c>
      <c r="Q74" s="37" t="e">
        <f>_xlfn.XLOOKUP(B74,#REF!,#REF!)</f>
        <v>#REF!</v>
      </c>
      <c r="R74" s="37" t="e">
        <f>_xlfn.XLOOKUP(B74,#REF!,#REF!)</f>
        <v>#REF!</v>
      </c>
      <c r="S74" s="37" t="e">
        <f>_xlfn.XLOOKUP(B74,#REF!,#REF!)</f>
        <v>#REF!</v>
      </c>
      <c r="T74" s="37" t="e">
        <f>_xlfn.XLOOKUP(B74,#REF!,#REF!)</f>
        <v>#REF!</v>
      </c>
      <c r="U74" s="37" t="e">
        <f>_xlfn.XLOOKUP(B74,#REF!,#REF!)</f>
        <v>#REF!</v>
      </c>
      <c r="V74" s="37" t="e">
        <f>_xlfn.XLOOKUP(B74,#REF!,#REF!)</f>
        <v>#REF!</v>
      </c>
    </row>
    <row r="75" spans="1:22" x14ac:dyDescent="0.35">
      <c r="A75" t="str">
        <f>_xlfn.XLOOKUP(B75,master!B:B,master!A:A)</f>
        <v>Conveyance, vehicle running and traveling expenses</v>
      </c>
      <c r="B75" s="50" t="s">
        <v>314</v>
      </c>
      <c r="C75" s="50"/>
      <c r="D75" s="50"/>
      <c r="E75" s="50"/>
      <c r="F75" s="50"/>
      <c r="G75" s="37">
        <f>IFERROR(_xlfn.XLOOKUP(B75,#REF!,#REF!),0)</f>
        <v>0</v>
      </c>
      <c r="H75" s="37" t="e">
        <f>_xlfn.XLOOKUP(B75,#REF!,#REF!)</f>
        <v>#REF!</v>
      </c>
      <c r="I75" s="37" t="e">
        <f>_xlfn.XLOOKUP(B75,#REF!,#REF!)</f>
        <v>#REF!</v>
      </c>
      <c r="J75" s="51" t="e">
        <f>_xlfn.XLOOKUP(B75,#REF!,#REF!)</f>
        <v>#REF!</v>
      </c>
      <c r="K75" s="37" t="e">
        <f>_xlfn.XLOOKUP(B75,#REF!,#REF!)</f>
        <v>#REF!</v>
      </c>
      <c r="L75" s="37" t="e">
        <f>_xlfn.XLOOKUP(B75,#REF!,#REF!)</f>
        <v>#REF!</v>
      </c>
      <c r="M75" s="37" t="e">
        <f>_xlfn.XLOOKUP(B75,#REF!,#REF!)</f>
        <v>#REF!</v>
      </c>
      <c r="N75" s="37" t="e">
        <f>_xlfn.XLOOKUP(B75,#REF!,#REF!)</f>
        <v>#REF!</v>
      </c>
      <c r="O75" s="37" t="e">
        <f>_xlfn.XLOOKUP(B75,#REF!,#REF!)</f>
        <v>#REF!</v>
      </c>
      <c r="P75" s="37" t="e">
        <f>_xlfn.XLOOKUP(B75,#REF!,#REF!)</f>
        <v>#REF!</v>
      </c>
      <c r="Q75" s="37" t="e">
        <f>_xlfn.XLOOKUP(B75,#REF!,#REF!)</f>
        <v>#REF!</v>
      </c>
      <c r="R75" s="37" t="e">
        <f>_xlfn.XLOOKUP(B75,#REF!,#REF!)</f>
        <v>#REF!</v>
      </c>
      <c r="S75" s="37" t="e">
        <f>_xlfn.XLOOKUP(B75,#REF!,#REF!)</f>
        <v>#REF!</v>
      </c>
      <c r="T75" s="37" t="e">
        <f>_xlfn.XLOOKUP(B75,#REF!,#REF!)</f>
        <v>#REF!</v>
      </c>
      <c r="U75" s="37" t="e">
        <f>_xlfn.XLOOKUP(B75,#REF!,#REF!)</f>
        <v>#REF!</v>
      </c>
      <c r="V75" s="37" t="e">
        <f>_xlfn.XLOOKUP(B75,#REF!,#REF!)</f>
        <v>#REF!</v>
      </c>
    </row>
    <row r="76" spans="1:22" x14ac:dyDescent="0.35">
      <c r="A76" t="str">
        <f>_xlfn.XLOOKUP(B76,master!B:B,master!A:A)</f>
        <v>Other Administrative Expenses</v>
      </c>
      <c r="B76" s="50" t="s">
        <v>315</v>
      </c>
      <c r="C76" s="50"/>
      <c r="D76" s="50"/>
      <c r="E76" s="50"/>
      <c r="F76" s="50"/>
      <c r="G76" s="37">
        <f>IFERROR(_xlfn.XLOOKUP(B76,#REF!,#REF!),0)</f>
        <v>0</v>
      </c>
      <c r="H76" s="37" t="e">
        <f>_xlfn.XLOOKUP(B76,#REF!,#REF!)</f>
        <v>#REF!</v>
      </c>
      <c r="I76" s="37" t="e">
        <f>_xlfn.XLOOKUP(B76,#REF!,#REF!)</f>
        <v>#REF!</v>
      </c>
      <c r="J76" s="51" t="e">
        <f>_xlfn.XLOOKUP(B76,#REF!,#REF!)</f>
        <v>#REF!</v>
      </c>
      <c r="K76" s="37" t="e">
        <f>_xlfn.XLOOKUP(B76,#REF!,#REF!)</f>
        <v>#REF!</v>
      </c>
      <c r="L76" s="37" t="e">
        <f>_xlfn.XLOOKUP(B76,#REF!,#REF!)</f>
        <v>#REF!</v>
      </c>
      <c r="M76" s="37" t="e">
        <f>_xlfn.XLOOKUP(B76,#REF!,#REF!)</f>
        <v>#REF!</v>
      </c>
      <c r="N76" s="37" t="e">
        <f>_xlfn.XLOOKUP(B76,#REF!,#REF!)</f>
        <v>#REF!</v>
      </c>
      <c r="O76" s="37" t="e">
        <f>_xlfn.XLOOKUP(B76,#REF!,#REF!)</f>
        <v>#REF!</v>
      </c>
      <c r="P76" s="37" t="e">
        <f>_xlfn.XLOOKUP(B76,#REF!,#REF!)</f>
        <v>#REF!</v>
      </c>
      <c r="Q76" s="37" t="e">
        <f>_xlfn.XLOOKUP(B76,#REF!,#REF!)</f>
        <v>#REF!</v>
      </c>
      <c r="R76" s="37" t="e">
        <f>_xlfn.XLOOKUP(B76,#REF!,#REF!)</f>
        <v>#REF!</v>
      </c>
      <c r="S76" s="37" t="e">
        <f>_xlfn.XLOOKUP(B76,#REF!,#REF!)</f>
        <v>#REF!</v>
      </c>
      <c r="T76" s="37" t="e">
        <f>_xlfn.XLOOKUP(B76,#REF!,#REF!)</f>
        <v>#REF!</v>
      </c>
      <c r="U76" s="37" t="e">
        <f>_xlfn.XLOOKUP(B76,#REF!,#REF!)</f>
        <v>#REF!</v>
      </c>
      <c r="V76" s="37" t="e">
        <f>_xlfn.XLOOKUP(B76,#REF!,#REF!)</f>
        <v>#REF!</v>
      </c>
    </row>
    <row r="77" spans="1:22" x14ac:dyDescent="0.35">
      <c r="A77" t="str">
        <f>_xlfn.XLOOKUP(B77,master!B:B,master!A:A)</f>
        <v>Other Administrative Expenses</v>
      </c>
      <c r="B77" s="50" t="s">
        <v>316</v>
      </c>
      <c r="C77" s="50"/>
      <c r="D77" s="50"/>
      <c r="E77" s="50"/>
      <c r="F77" s="50"/>
      <c r="G77" s="37">
        <f>IFERROR(_xlfn.XLOOKUP(B77,#REF!,#REF!),0)</f>
        <v>0</v>
      </c>
      <c r="H77" s="37" t="e">
        <f>_xlfn.XLOOKUP(B77,#REF!,#REF!)</f>
        <v>#REF!</v>
      </c>
      <c r="I77" s="37" t="e">
        <f>_xlfn.XLOOKUP(B77,#REF!,#REF!)</f>
        <v>#REF!</v>
      </c>
      <c r="J77" s="51" t="e">
        <f>_xlfn.XLOOKUP(B77,#REF!,#REF!)</f>
        <v>#REF!</v>
      </c>
      <c r="K77" s="37" t="e">
        <f>_xlfn.XLOOKUP(B77,#REF!,#REF!)</f>
        <v>#REF!</v>
      </c>
      <c r="L77" s="37" t="e">
        <f>_xlfn.XLOOKUP(B77,#REF!,#REF!)</f>
        <v>#REF!</v>
      </c>
      <c r="M77" s="37" t="e">
        <f>_xlfn.XLOOKUP(B77,#REF!,#REF!)</f>
        <v>#REF!</v>
      </c>
      <c r="N77" s="37" t="e">
        <f>_xlfn.XLOOKUP(B77,#REF!,#REF!)</f>
        <v>#REF!</v>
      </c>
      <c r="O77" s="37" t="e">
        <f>_xlfn.XLOOKUP(B77,#REF!,#REF!)</f>
        <v>#REF!</v>
      </c>
      <c r="P77" s="37" t="e">
        <f>_xlfn.XLOOKUP(B77,#REF!,#REF!)</f>
        <v>#REF!</v>
      </c>
      <c r="Q77" s="37" t="e">
        <f>_xlfn.XLOOKUP(B77,#REF!,#REF!)</f>
        <v>#REF!</v>
      </c>
      <c r="R77" s="37" t="e">
        <f>_xlfn.XLOOKUP(B77,#REF!,#REF!)</f>
        <v>#REF!</v>
      </c>
      <c r="S77" s="37" t="e">
        <f>_xlfn.XLOOKUP(B77,#REF!,#REF!)</f>
        <v>#REF!</v>
      </c>
      <c r="T77" s="37" t="e">
        <f>_xlfn.XLOOKUP(B77,#REF!,#REF!)</f>
        <v>#REF!</v>
      </c>
      <c r="U77" s="37" t="e">
        <f>_xlfn.XLOOKUP(B77,#REF!,#REF!)</f>
        <v>#REF!</v>
      </c>
      <c r="V77" s="37" t="e">
        <f>_xlfn.XLOOKUP(B77,#REF!,#REF!)</f>
        <v>#REF!</v>
      </c>
    </row>
    <row r="78" spans="1:22" x14ac:dyDescent="0.35">
      <c r="A78" t="str">
        <f>_xlfn.XLOOKUP(B78,master!B:B,master!A:A)</f>
        <v>Other Administrative Expenses</v>
      </c>
      <c r="B78" s="50" t="s">
        <v>317</v>
      </c>
      <c r="C78" s="50"/>
      <c r="D78" s="50"/>
      <c r="E78" s="50"/>
      <c r="F78" s="50"/>
      <c r="G78" s="37">
        <f>IFERROR(_xlfn.XLOOKUP(B78,#REF!,#REF!),0)</f>
        <v>0</v>
      </c>
      <c r="H78" s="37" t="e">
        <f>_xlfn.XLOOKUP(B78,#REF!,#REF!)</f>
        <v>#REF!</v>
      </c>
      <c r="I78" s="37" t="e">
        <f>_xlfn.XLOOKUP(B78,#REF!,#REF!)</f>
        <v>#REF!</v>
      </c>
      <c r="J78" s="51" t="e">
        <f>_xlfn.XLOOKUP(B78,#REF!,#REF!)</f>
        <v>#REF!</v>
      </c>
      <c r="K78" s="37" t="e">
        <f>_xlfn.XLOOKUP(B78,#REF!,#REF!)</f>
        <v>#REF!</v>
      </c>
      <c r="L78" s="37" t="e">
        <f>_xlfn.XLOOKUP(B78,#REF!,#REF!)</f>
        <v>#REF!</v>
      </c>
      <c r="M78" s="37" t="e">
        <f>_xlfn.XLOOKUP(B78,#REF!,#REF!)</f>
        <v>#REF!</v>
      </c>
      <c r="N78" s="37" t="e">
        <f>_xlfn.XLOOKUP(B78,#REF!,#REF!)</f>
        <v>#REF!</v>
      </c>
      <c r="O78" s="37" t="e">
        <f>_xlfn.XLOOKUP(B78,#REF!,#REF!)</f>
        <v>#REF!</v>
      </c>
      <c r="P78" s="37" t="e">
        <f>_xlfn.XLOOKUP(B78,#REF!,#REF!)</f>
        <v>#REF!</v>
      </c>
      <c r="Q78" s="37" t="e">
        <f>_xlfn.XLOOKUP(B78,#REF!,#REF!)</f>
        <v>#REF!</v>
      </c>
      <c r="R78" s="37" t="e">
        <f>_xlfn.XLOOKUP(B78,#REF!,#REF!)</f>
        <v>#REF!</v>
      </c>
      <c r="S78" s="37" t="e">
        <f>_xlfn.XLOOKUP(B78,#REF!,#REF!)</f>
        <v>#REF!</v>
      </c>
      <c r="T78" s="37" t="e">
        <f>_xlfn.XLOOKUP(B78,#REF!,#REF!)</f>
        <v>#REF!</v>
      </c>
      <c r="U78" s="37" t="e">
        <f>_xlfn.XLOOKUP(B78,#REF!,#REF!)</f>
        <v>#REF!</v>
      </c>
      <c r="V78" s="37" t="e">
        <f>_xlfn.XLOOKUP(B78,#REF!,#REF!)</f>
        <v>#REF!</v>
      </c>
    </row>
    <row r="79" spans="1:22" x14ac:dyDescent="0.35">
      <c r="A79" t="str">
        <f>_xlfn.XLOOKUP(B79,master!B:B,master!A:A)</f>
        <v>Miscellaneous income</v>
      </c>
      <c r="B79" s="50" t="s">
        <v>318</v>
      </c>
      <c r="C79" s="50"/>
      <c r="D79" s="50"/>
      <c r="E79" s="50"/>
      <c r="F79" s="50"/>
      <c r="G79" s="37">
        <f>IFERROR(_xlfn.XLOOKUP(B79,#REF!,#REF!),0)</f>
        <v>0</v>
      </c>
      <c r="H79" s="37" t="e">
        <f>_xlfn.XLOOKUP(B79,#REF!,#REF!)</f>
        <v>#REF!</v>
      </c>
      <c r="I79" s="37" t="e">
        <f>_xlfn.XLOOKUP(B79,#REF!,#REF!)</f>
        <v>#REF!</v>
      </c>
      <c r="J79" s="51" t="e">
        <f>_xlfn.XLOOKUP(B79,#REF!,#REF!)</f>
        <v>#REF!</v>
      </c>
      <c r="K79" s="37" t="e">
        <f>_xlfn.XLOOKUP(B79,#REF!,#REF!)</f>
        <v>#REF!</v>
      </c>
      <c r="L79" s="37" t="e">
        <f>_xlfn.XLOOKUP(B79,#REF!,#REF!)</f>
        <v>#REF!</v>
      </c>
      <c r="M79" s="37" t="e">
        <f>_xlfn.XLOOKUP(B79,#REF!,#REF!)</f>
        <v>#REF!</v>
      </c>
      <c r="N79" s="37" t="e">
        <f>_xlfn.XLOOKUP(B79,#REF!,#REF!)</f>
        <v>#REF!</v>
      </c>
      <c r="O79" s="37" t="e">
        <f>_xlfn.XLOOKUP(B79,#REF!,#REF!)</f>
        <v>#REF!</v>
      </c>
      <c r="P79" s="37" t="e">
        <f>_xlfn.XLOOKUP(B79,#REF!,#REF!)</f>
        <v>#REF!</v>
      </c>
      <c r="Q79" s="37" t="e">
        <f>_xlfn.XLOOKUP(B79,#REF!,#REF!)</f>
        <v>#REF!</v>
      </c>
      <c r="R79" s="37" t="e">
        <f>_xlfn.XLOOKUP(B79,#REF!,#REF!)</f>
        <v>#REF!</v>
      </c>
      <c r="S79" s="37" t="e">
        <f>_xlfn.XLOOKUP(B79,#REF!,#REF!)</f>
        <v>#REF!</v>
      </c>
      <c r="T79" s="37" t="e">
        <f>_xlfn.XLOOKUP(B79,#REF!,#REF!)</f>
        <v>#REF!</v>
      </c>
      <c r="U79" s="37" t="e">
        <f>_xlfn.XLOOKUP(B79,#REF!,#REF!)</f>
        <v>#REF!</v>
      </c>
      <c r="V79" s="37" t="e">
        <f>_xlfn.XLOOKUP(B79,#REF!,#REF!)</f>
        <v>#REF!</v>
      </c>
    </row>
    <row r="80" spans="1:22" x14ac:dyDescent="0.35">
      <c r="A80" t="str">
        <f>_xlfn.XLOOKUP(B80,master!B:B,master!A:A)</f>
        <v>Other Administrative Expenses</v>
      </c>
      <c r="B80" s="50" t="s">
        <v>319</v>
      </c>
      <c r="C80" s="50"/>
      <c r="D80" s="50"/>
      <c r="E80" s="50"/>
      <c r="F80" s="50"/>
      <c r="G80" s="37">
        <f>IFERROR(_xlfn.XLOOKUP(B80,#REF!,#REF!),0)</f>
        <v>0</v>
      </c>
      <c r="H80" s="37" t="e">
        <f>_xlfn.XLOOKUP(B80,#REF!,#REF!)</f>
        <v>#REF!</v>
      </c>
      <c r="I80" s="37" t="e">
        <f>_xlfn.XLOOKUP(B80,#REF!,#REF!)</f>
        <v>#REF!</v>
      </c>
      <c r="J80" s="51" t="e">
        <f>_xlfn.XLOOKUP(B80,#REF!,#REF!)</f>
        <v>#REF!</v>
      </c>
      <c r="K80" s="37" t="e">
        <f>_xlfn.XLOOKUP(B80,#REF!,#REF!)</f>
        <v>#REF!</v>
      </c>
      <c r="L80" s="37" t="e">
        <f>_xlfn.XLOOKUP(B80,#REF!,#REF!)</f>
        <v>#REF!</v>
      </c>
      <c r="M80" s="37" t="e">
        <f>_xlfn.XLOOKUP(B80,#REF!,#REF!)</f>
        <v>#REF!</v>
      </c>
      <c r="N80" s="37" t="e">
        <f>_xlfn.XLOOKUP(B80,#REF!,#REF!)</f>
        <v>#REF!</v>
      </c>
      <c r="O80" s="37" t="e">
        <f>_xlfn.XLOOKUP(B80,#REF!,#REF!)</f>
        <v>#REF!</v>
      </c>
      <c r="P80" s="37" t="e">
        <f>_xlfn.XLOOKUP(B80,#REF!,#REF!)</f>
        <v>#REF!</v>
      </c>
      <c r="Q80" s="37" t="e">
        <f>_xlfn.XLOOKUP(B80,#REF!,#REF!)</f>
        <v>#REF!</v>
      </c>
      <c r="R80" s="37" t="e">
        <f>_xlfn.XLOOKUP(B80,#REF!,#REF!)</f>
        <v>#REF!</v>
      </c>
      <c r="S80" s="37" t="e">
        <f>_xlfn.XLOOKUP(B80,#REF!,#REF!)</f>
        <v>#REF!</v>
      </c>
      <c r="T80" s="37" t="e">
        <f>_xlfn.XLOOKUP(B80,#REF!,#REF!)</f>
        <v>#REF!</v>
      </c>
      <c r="U80" s="37" t="e">
        <f>_xlfn.XLOOKUP(B80,#REF!,#REF!)</f>
        <v>#REF!</v>
      </c>
      <c r="V80" s="37" t="e">
        <f>_xlfn.XLOOKUP(B80,#REF!,#REF!)</f>
        <v>#REF!</v>
      </c>
    </row>
    <row r="81" spans="1:22" x14ac:dyDescent="0.35">
      <c r="A81" t="str">
        <f>_xlfn.XLOOKUP(B81,master!B:B,master!A:A)</f>
        <v>Other Administrative Expenses</v>
      </c>
      <c r="B81" s="50" t="s">
        <v>565</v>
      </c>
      <c r="C81" s="50"/>
      <c r="D81" s="50"/>
      <c r="E81" s="50"/>
      <c r="F81" s="50"/>
      <c r="G81" s="37">
        <f>IFERROR(_xlfn.XLOOKUP(B81,#REF!,#REF!),0)</f>
        <v>0</v>
      </c>
      <c r="H81" s="37" t="e">
        <f>_xlfn.XLOOKUP(B81,#REF!,#REF!)</f>
        <v>#REF!</v>
      </c>
      <c r="I81" s="37" t="e">
        <f>_xlfn.XLOOKUP(B81,#REF!,#REF!)</f>
        <v>#REF!</v>
      </c>
      <c r="J81" s="51" t="e">
        <f>_xlfn.XLOOKUP(B81,#REF!,#REF!)</f>
        <v>#REF!</v>
      </c>
      <c r="K81" s="37" t="e">
        <f>_xlfn.XLOOKUP(B81,#REF!,#REF!)</f>
        <v>#REF!</v>
      </c>
      <c r="L81" s="37" t="e">
        <f>_xlfn.XLOOKUP(B81,#REF!,#REF!)</f>
        <v>#REF!</v>
      </c>
      <c r="M81" s="37" t="e">
        <f>_xlfn.XLOOKUP(B81,#REF!,#REF!)</f>
        <v>#REF!</v>
      </c>
      <c r="N81" s="37" t="e">
        <f>_xlfn.XLOOKUP(B81,#REF!,#REF!)</f>
        <v>#REF!</v>
      </c>
      <c r="O81" s="37" t="e">
        <f>_xlfn.XLOOKUP(B81,#REF!,#REF!)</f>
        <v>#REF!</v>
      </c>
      <c r="P81" s="37" t="e">
        <f>_xlfn.XLOOKUP(B81,#REF!,#REF!)</f>
        <v>#REF!</v>
      </c>
      <c r="Q81" s="37" t="e">
        <f>_xlfn.XLOOKUP(B81,#REF!,#REF!)</f>
        <v>#REF!</v>
      </c>
      <c r="R81" s="37" t="e">
        <f>_xlfn.XLOOKUP(B81,#REF!,#REF!)</f>
        <v>#REF!</v>
      </c>
      <c r="S81" s="37" t="e">
        <f>_xlfn.XLOOKUP(B81,#REF!,#REF!)</f>
        <v>#REF!</v>
      </c>
      <c r="T81" s="37" t="e">
        <f>_xlfn.XLOOKUP(B81,#REF!,#REF!)</f>
        <v>#REF!</v>
      </c>
      <c r="U81" s="37" t="e">
        <f>_xlfn.XLOOKUP(B81,#REF!,#REF!)</f>
        <v>#REF!</v>
      </c>
      <c r="V81" s="37" t="e">
        <f>_xlfn.XLOOKUP(B81,#REF!,#REF!)</f>
        <v>#REF!</v>
      </c>
    </row>
    <row r="82" spans="1:22" x14ac:dyDescent="0.35">
      <c r="A82" t="str">
        <f>_xlfn.XLOOKUP(B82,master!B:B,master!A:A)</f>
        <v>Travelling expense</v>
      </c>
      <c r="B82" s="50" t="s">
        <v>320</v>
      </c>
      <c r="C82" s="50"/>
      <c r="D82" s="50"/>
      <c r="E82" s="50"/>
      <c r="F82" s="50"/>
      <c r="G82" s="37">
        <f>IFERROR(_xlfn.XLOOKUP(B82,#REF!,#REF!),0)</f>
        <v>0</v>
      </c>
      <c r="H82" s="37" t="e">
        <f>_xlfn.XLOOKUP(B82,#REF!,#REF!)</f>
        <v>#REF!</v>
      </c>
      <c r="I82" s="37" t="e">
        <f>_xlfn.XLOOKUP(B82,#REF!,#REF!)</f>
        <v>#REF!</v>
      </c>
      <c r="J82" s="51" t="e">
        <f>_xlfn.XLOOKUP(B82,#REF!,#REF!)</f>
        <v>#REF!</v>
      </c>
      <c r="K82" s="37" t="e">
        <f>_xlfn.XLOOKUP(B82,#REF!,#REF!)</f>
        <v>#REF!</v>
      </c>
      <c r="L82" s="37" t="e">
        <f>_xlfn.XLOOKUP(B82,#REF!,#REF!)</f>
        <v>#REF!</v>
      </c>
      <c r="M82" s="37" t="e">
        <f>_xlfn.XLOOKUP(B82,#REF!,#REF!)</f>
        <v>#REF!</v>
      </c>
      <c r="N82" s="37" t="e">
        <f>_xlfn.XLOOKUP(B82,#REF!,#REF!)</f>
        <v>#REF!</v>
      </c>
      <c r="O82" s="37" t="e">
        <f>_xlfn.XLOOKUP(B82,#REF!,#REF!)</f>
        <v>#REF!</v>
      </c>
      <c r="P82" s="37" t="e">
        <f>_xlfn.XLOOKUP(B82,#REF!,#REF!)</f>
        <v>#REF!</v>
      </c>
      <c r="Q82" s="37" t="e">
        <f>_xlfn.XLOOKUP(B82,#REF!,#REF!)</f>
        <v>#REF!</v>
      </c>
      <c r="R82" s="37" t="e">
        <f>_xlfn.XLOOKUP(B82,#REF!,#REF!)</f>
        <v>#REF!</v>
      </c>
      <c r="S82" s="37" t="e">
        <f>_xlfn.XLOOKUP(B82,#REF!,#REF!)</f>
        <v>#REF!</v>
      </c>
      <c r="T82" s="37" t="e">
        <f>_xlfn.XLOOKUP(B82,#REF!,#REF!)</f>
        <v>#REF!</v>
      </c>
      <c r="U82" s="37" t="e">
        <f>_xlfn.XLOOKUP(B82,#REF!,#REF!)</f>
        <v>#REF!</v>
      </c>
      <c r="V82" s="37" t="e">
        <f>_xlfn.XLOOKUP(B82,#REF!,#REF!)</f>
        <v>#REF!</v>
      </c>
    </row>
    <row r="83" spans="1:22" x14ac:dyDescent="0.35">
      <c r="A83" t="str">
        <f>_xlfn.XLOOKUP(B83,master!B:B,master!A:A)</f>
        <v>Travelling expense</v>
      </c>
      <c r="B83" s="50" t="s">
        <v>321</v>
      </c>
      <c r="C83" s="50"/>
      <c r="D83" s="50"/>
      <c r="E83" s="50"/>
      <c r="F83" s="50"/>
      <c r="G83" s="37">
        <f>IFERROR(_xlfn.XLOOKUP(B83,#REF!,#REF!),0)</f>
        <v>0</v>
      </c>
      <c r="H83" s="37" t="e">
        <f>_xlfn.XLOOKUP(B83,#REF!,#REF!)</f>
        <v>#REF!</v>
      </c>
      <c r="I83" s="37" t="e">
        <f>_xlfn.XLOOKUP(B83,#REF!,#REF!)</f>
        <v>#REF!</v>
      </c>
      <c r="J83" s="51" t="e">
        <f>_xlfn.XLOOKUP(B83,#REF!,#REF!)</f>
        <v>#REF!</v>
      </c>
      <c r="K83" s="37" t="e">
        <f>_xlfn.XLOOKUP(B83,#REF!,#REF!)</f>
        <v>#REF!</v>
      </c>
      <c r="L83" s="37" t="e">
        <f>_xlfn.XLOOKUP(B83,#REF!,#REF!)</f>
        <v>#REF!</v>
      </c>
      <c r="M83" s="37" t="e">
        <f>_xlfn.XLOOKUP(B83,#REF!,#REF!)</f>
        <v>#REF!</v>
      </c>
      <c r="N83" s="37" t="e">
        <f>_xlfn.XLOOKUP(B83,#REF!,#REF!)</f>
        <v>#REF!</v>
      </c>
      <c r="O83" s="37" t="e">
        <f>_xlfn.XLOOKUP(B83,#REF!,#REF!)</f>
        <v>#REF!</v>
      </c>
      <c r="P83" s="37" t="e">
        <f>_xlfn.XLOOKUP(B83,#REF!,#REF!)</f>
        <v>#REF!</v>
      </c>
      <c r="Q83" s="37" t="e">
        <f>_xlfn.XLOOKUP(B83,#REF!,#REF!)</f>
        <v>#REF!</v>
      </c>
      <c r="R83" s="37" t="e">
        <f>_xlfn.XLOOKUP(B83,#REF!,#REF!)</f>
        <v>#REF!</v>
      </c>
      <c r="S83" s="37" t="e">
        <f>_xlfn.XLOOKUP(B83,#REF!,#REF!)</f>
        <v>#REF!</v>
      </c>
      <c r="T83" s="37" t="e">
        <f>_xlfn.XLOOKUP(B83,#REF!,#REF!)</f>
        <v>#REF!</v>
      </c>
      <c r="U83" s="37" t="e">
        <f>_xlfn.XLOOKUP(B83,#REF!,#REF!)</f>
        <v>#REF!</v>
      </c>
      <c r="V83" s="37" t="e">
        <f>_xlfn.XLOOKUP(B83,#REF!,#REF!)</f>
        <v>#REF!</v>
      </c>
    </row>
    <row r="84" spans="1:22" x14ac:dyDescent="0.35">
      <c r="A84" t="str">
        <f>_xlfn.XLOOKUP(B84,master!B:B,master!A:A)</f>
        <v>Other Administrative Expenses</v>
      </c>
      <c r="B84" s="50" t="s">
        <v>553</v>
      </c>
      <c r="C84" s="50"/>
      <c r="D84" s="50"/>
      <c r="E84" s="50"/>
      <c r="F84" s="50"/>
      <c r="G84" s="37">
        <f>IFERROR(_xlfn.XLOOKUP(B84,#REF!,#REF!),0)</f>
        <v>0</v>
      </c>
      <c r="H84" s="37" t="e">
        <f>_xlfn.XLOOKUP(B84,#REF!,#REF!)</f>
        <v>#REF!</v>
      </c>
      <c r="I84" s="37" t="e">
        <f>_xlfn.XLOOKUP(B84,#REF!,#REF!)</f>
        <v>#REF!</v>
      </c>
      <c r="J84" s="51" t="e">
        <f>_xlfn.XLOOKUP(B84,#REF!,#REF!)</f>
        <v>#REF!</v>
      </c>
      <c r="K84" s="37" t="e">
        <f>_xlfn.XLOOKUP(B84,#REF!,#REF!)</f>
        <v>#REF!</v>
      </c>
      <c r="L84" s="37" t="e">
        <f>_xlfn.XLOOKUP(B84,#REF!,#REF!)</f>
        <v>#REF!</v>
      </c>
      <c r="M84" s="37" t="e">
        <f>_xlfn.XLOOKUP(B84,#REF!,#REF!)</f>
        <v>#REF!</v>
      </c>
      <c r="N84" s="37" t="e">
        <f>_xlfn.XLOOKUP(B84,#REF!,#REF!)</f>
        <v>#REF!</v>
      </c>
      <c r="O84" s="37" t="e">
        <f>_xlfn.XLOOKUP(B84,#REF!,#REF!)</f>
        <v>#REF!</v>
      </c>
      <c r="P84" s="37" t="e">
        <f>_xlfn.XLOOKUP(B84,#REF!,#REF!)</f>
        <v>#REF!</v>
      </c>
      <c r="Q84" s="37" t="e">
        <f>_xlfn.XLOOKUP(B84,#REF!,#REF!)</f>
        <v>#REF!</v>
      </c>
      <c r="R84" s="37" t="e">
        <f>_xlfn.XLOOKUP(B84,#REF!,#REF!)</f>
        <v>#REF!</v>
      </c>
      <c r="S84" s="37" t="e">
        <f>_xlfn.XLOOKUP(B84,#REF!,#REF!)</f>
        <v>#REF!</v>
      </c>
      <c r="T84" s="37" t="e">
        <f>_xlfn.XLOOKUP(B84,#REF!,#REF!)</f>
        <v>#REF!</v>
      </c>
      <c r="U84" s="37" t="e">
        <f>_xlfn.XLOOKUP(B84,#REF!,#REF!)</f>
        <v>#REF!</v>
      </c>
      <c r="V84" s="37" t="e">
        <f>_xlfn.XLOOKUP(B84,#REF!,#REF!)</f>
        <v>#REF!</v>
      </c>
    </row>
    <row r="85" spans="1:22" x14ac:dyDescent="0.35">
      <c r="A85" t="str">
        <f>_xlfn.XLOOKUP(B85,master!B:B,master!A:A)</f>
        <v>Other Administrative Expenses</v>
      </c>
      <c r="B85" s="50" t="s">
        <v>322</v>
      </c>
      <c r="C85" s="50"/>
      <c r="D85" s="50"/>
      <c r="E85" s="50"/>
      <c r="F85" s="50"/>
      <c r="G85" s="37">
        <f>IFERROR(_xlfn.XLOOKUP(B85,#REF!,#REF!),0)</f>
        <v>0</v>
      </c>
      <c r="H85" s="37" t="e">
        <f>_xlfn.XLOOKUP(B85,#REF!,#REF!)</f>
        <v>#REF!</v>
      </c>
      <c r="I85" s="37" t="e">
        <f>_xlfn.XLOOKUP(B85,#REF!,#REF!)</f>
        <v>#REF!</v>
      </c>
      <c r="J85" s="51" t="e">
        <f>_xlfn.XLOOKUP(B85,#REF!,#REF!)</f>
        <v>#REF!</v>
      </c>
      <c r="K85" s="37" t="e">
        <f>_xlfn.XLOOKUP(B85,#REF!,#REF!)</f>
        <v>#REF!</v>
      </c>
      <c r="L85" s="37" t="e">
        <f>_xlfn.XLOOKUP(B85,#REF!,#REF!)</f>
        <v>#REF!</v>
      </c>
      <c r="M85" s="37" t="e">
        <f>_xlfn.XLOOKUP(B85,#REF!,#REF!)</f>
        <v>#REF!</v>
      </c>
      <c r="N85" s="37" t="e">
        <f>_xlfn.XLOOKUP(B85,#REF!,#REF!)</f>
        <v>#REF!</v>
      </c>
      <c r="O85" s="37" t="e">
        <f>_xlfn.XLOOKUP(B85,#REF!,#REF!)</f>
        <v>#REF!</v>
      </c>
      <c r="P85" s="37" t="e">
        <f>_xlfn.XLOOKUP(B85,#REF!,#REF!)</f>
        <v>#REF!</v>
      </c>
      <c r="Q85" s="37" t="e">
        <f>_xlfn.XLOOKUP(B85,#REF!,#REF!)</f>
        <v>#REF!</v>
      </c>
      <c r="R85" s="37" t="e">
        <f>_xlfn.XLOOKUP(B85,#REF!,#REF!)</f>
        <v>#REF!</v>
      </c>
      <c r="S85" s="37" t="e">
        <f>_xlfn.XLOOKUP(B85,#REF!,#REF!)</f>
        <v>#REF!</v>
      </c>
      <c r="T85" s="37" t="e">
        <f>_xlfn.XLOOKUP(B85,#REF!,#REF!)</f>
        <v>#REF!</v>
      </c>
      <c r="U85" s="37" t="e">
        <f>_xlfn.XLOOKUP(B85,#REF!,#REF!)</f>
        <v>#REF!</v>
      </c>
      <c r="V85" s="37" t="e">
        <f>_xlfn.XLOOKUP(B85,#REF!,#REF!)</f>
        <v>#REF!</v>
      </c>
    </row>
    <row r="86" spans="1:22" x14ac:dyDescent="0.35">
      <c r="A86" t="str">
        <f>_xlfn.XLOOKUP(B86,master!B:B,master!A:A)</f>
        <v>Other Administrative Expenses</v>
      </c>
      <c r="B86" s="50" t="s">
        <v>323</v>
      </c>
      <c r="C86" s="50"/>
      <c r="D86" s="50"/>
      <c r="E86" s="50"/>
      <c r="F86" s="50"/>
      <c r="G86" s="37">
        <f>IFERROR(_xlfn.XLOOKUP(B86,#REF!,#REF!),0)</f>
        <v>0</v>
      </c>
      <c r="H86" s="37" t="e">
        <f>_xlfn.XLOOKUP(B86,#REF!,#REF!)</f>
        <v>#REF!</v>
      </c>
      <c r="I86" s="37" t="e">
        <f>_xlfn.XLOOKUP(B86,#REF!,#REF!)</f>
        <v>#REF!</v>
      </c>
      <c r="J86" s="51" t="e">
        <f>_xlfn.XLOOKUP(B86,#REF!,#REF!)</f>
        <v>#REF!</v>
      </c>
      <c r="K86" s="37" t="e">
        <f>_xlfn.XLOOKUP(B86,#REF!,#REF!)</f>
        <v>#REF!</v>
      </c>
      <c r="L86" s="37" t="e">
        <f>_xlfn.XLOOKUP(B86,#REF!,#REF!)</f>
        <v>#REF!</v>
      </c>
      <c r="M86" s="37" t="e">
        <f>_xlfn.XLOOKUP(B86,#REF!,#REF!)</f>
        <v>#REF!</v>
      </c>
      <c r="N86" s="37" t="e">
        <f>_xlfn.XLOOKUP(B86,#REF!,#REF!)</f>
        <v>#REF!</v>
      </c>
      <c r="O86" s="37" t="e">
        <f>_xlfn.XLOOKUP(B86,#REF!,#REF!)</f>
        <v>#REF!</v>
      </c>
      <c r="P86" s="37" t="e">
        <f>_xlfn.XLOOKUP(B86,#REF!,#REF!)</f>
        <v>#REF!</v>
      </c>
      <c r="Q86" s="37" t="e">
        <f>_xlfn.XLOOKUP(B86,#REF!,#REF!)</f>
        <v>#REF!</v>
      </c>
      <c r="R86" s="37" t="e">
        <f>_xlfn.XLOOKUP(B86,#REF!,#REF!)</f>
        <v>#REF!</v>
      </c>
      <c r="S86" s="37" t="e">
        <f>_xlfn.XLOOKUP(B86,#REF!,#REF!)</f>
        <v>#REF!</v>
      </c>
      <c r="T86" s="37" t="e">
        <f>_xlfn.XLOOKUP(B86,#REF!,#REF!)</f>
        <v>#REF!</v>
      </c>
      <c r="U86" s="37" t="e">
        <f>_xlfn.XLOOKUP(B86,#REF!,#REF!)</f>
        <v>#REF!</v>
      </c>
      <c r="V86" s="37" t="e">
        <f>_xlfn.XLOOKUP(B86,#REF!,#REF!)</f>
        <v>#REF!</v>
      </c>
    </row>
    <row r="87" spans="1:22" x14ac:dyDescent="0.35">
      <c r="A87" t="str">
        <f>_xlfn.XLOOKUP(B87,master!B:B,master!A:A)</f>
        <v>Other Manufacturing Expenses</v>
      </c>
      <c r="B87" s="50" t="s">
        <v>324</v>
      </c>
      <c r="C87" s="50"/>
      <c r="D87" s="50"/>
      <c r="E87" s="50"/>
      <c r="F87" s="50"/>
      <c r="G87" s="37">
        <f>IFERROR(_xlfn.XLOOKUP(B87,#REF!,#REF!),0)</f>
        <v>0</v>
      </c>
      <c r="H87" s="37" t="e">
        <f>_xlfn.XLOOKUP(B87,#REF!,#REF!)</f>
        <v>#REF!</v>
      </c>
      <c r="I87" s="37" t="e">
        <f>_xlfn.XLOOKUP(B87,#REF!,#REF!)</f>
        <v>#REF!</v>
      </c>
      <c r="J87" s="51" t="e">
        <f>_xlfn.XLOOKUP(B87,#REF!,#REF!)</f>
        <v>#REF!</v>
      </c>
      <c r="K87" s="37" t="e">
        <f>_xlfn.XLOOKUP(B87,#REF!,#REF!)</f>
        <v>#REF!</v>
      </c>
      <c r="L87" s="37" t="e">
        <f>_xlfn.XLOOKUP(B87,#REF!,#REF!)</f>
        <v>#REF!</v>
      </c>
      <c r="M87" s="37" t="e">
        <f>_xlfn.XLOOKUP(B87,#REF!,#REF!)</f>
        <v>#REF!</v>
      </c>
      <c r="N87" s="37" t="e">
        <f>_xlfn.XLOOKUP(B87,#REF!,#REF!)</f>
        <v>#REF!</v>
      </c>
      <c r="O87" s="37" t="e">
        <f>_xlfn.XLOOKUP(B87,#REF!,#REF!)</f>
        <v>#REF!</v>
      </c>
      <c r="P87" s="37" t="e">
        <f>_xlfn.XLOOKUP(B87,#REF!,#REF!)</f>
        <v>#REF!</v>
      </c>
      <c r="Q87" s="37" t="e">
        <f>_xlfn.XLOOKUP(B87,#REF!,#REF!)</f>
        <v>#REF!</v>
      </c>
      <c r="R87" s="37" t="e">
        <f>_xlfn.XLOOKUP(B87,#REF!,#REF!)</f>
        <v>#REF!</v>
      </c>
      <c r="S87" s="37" t="e">
        <f>_xlfn.XLOOKUP(B87,#REF!,#REF!)</f>
        <v>#REF!</v>
      </c>
      <c r="T87" s="37" t="e">
        <f>_xlfn.XLOOKUP(B87,#REF!,#REF!)</f>
        <v>#REF!</v>
      </c>
      <c r="U87" s="37" t="e">
        <f>_xlfn.XLOOKUP(B87,#REF!,#REF!)</f>
        <v>#REF!</v>
      </c>
      <c r="V87" s="37" t="e">
        <f>_xlfn.XLOOKUP(B87,#REF!,#REF!)</f>
        <v>#REF!</v>
      </c>
    </row>
    <row r="88" spans="1:22" x14ac:dyDescent="0.35">
      <c r="A88" t="str">
        <f>_xlfn.XLOOKUP(B88,master!B:B,master!A:A)</f>
        <v>Other Manufacturing Expenses</v>
      </c>
      <c r="B88" s="50" t="s">
        <v>325</v>
      </c>
      <c r="C88" s="50"/>
      <c r="D88" s="50"/>
      <c r="E88" s="50"/>
      <c r="F88" s="50"/>
      <c r="G88" s="37">
        <f>IFERROR(_xlfn.XLOOKUP(B88,#REF!,#REF!),0)</f>
        <v>0</v>
      </c>
      <c r="H88" s="37" t="e">
        <f>_xlfn.XLOOKUP(B88,#REF!,#REF!)</f>
        <v>#REF!</v>
      </c>
      <c r="I88" s="37" t="e">
        <f>_xlfn.XLOOKUP(B88,#REF!,#REF!)</f>
        <v>#REF!</v>
      </c>
      <c r="J88" s="51" t="e">
        <f>_xlfn.XLOOKUP(B88,#REF!,#REF!)</f>
        <v>#REF!</v>
      </c>
      <c r="K88" s="37" t="e">
        <f>_xlfn.XLOOKUP(B88,#REF!,#REF!)</f>
        <v>#REF!</v>
      </c>
      <c r="L88" s="37" t="e">
        <f>_xlfn.XLOOKUP(B88,#REF!,#REF!)</f>
        <v>#REF!</v>
      </c>
      <c r="M88" s="37" t="e">
        <f>_xlfn.XLOOKUP(B88,#REF!,#REF!)</f>
        <v>#REF!</v>
      </c>
      <c r="N88" s="37" t="e">
        <f>_xlfn.XLOOKUP(B88,#REF!,#REF!)</f>
        <v>#REF!</v>
      </c>
      <c r="O88" s="37" t="e">
        <f>_xlfn.XLOOKUP(B88,#REF!,#REF!)</f>
        <v>#REF!</v>
      </c>
      <c r="P88" s="37" t="e">
        <f>_xlfn.XLOOKUP(B88,#REF!,#REF!)</f>
        <v>#REF!</v>
      </c>
      <c r="Q88" s="37" t="e">
        <f>_xlfn.XLOOKUP(B88,#REF!,#REF!)</f>
        <v>#REF!</v>
      </c>
      <c r="R88" s="37" t="e">
        <f>_xlfn.XLOOKUP(B88,#REF!,#REF!)</f>
        <v>#REF!</v>
      </c>
      <c r="S88" s="37" t="e">
        <f>_xlfn.XLOOKUP(B88,#REF!,#REF!)</f>
        <v>#REF!</v>
      </c>
      <c r="T88" s="37" t="e">
        <f>_xlfn.XLOOKUP(B88,#REF!,#REF!)</f>
        <v>#REF!</v>
      </c>
      <c r="U88" s="37" t="e">
        <f>_xlfn.XLOOKUP(B88,#REF!,#REF!)</f>
        <v>#REF!</v>
      </c>
      <c r="V88" s="37" t="e">
        <f>_xlfn.XLOOKUP(B88,#REF!,#REF!)</f>
        <v>#REF!</v>
      </c>
    </row>
    <row r="89" spans="1:22" x14ac:dyDescent="0.35">
      <c r="A89" t="str">
        <f>_xlfn.XLOOKUP(B89,master!B:B,master!A:A)</f>
        <v>Conveyance, vehicle running and traveling expenses</v>
      </c>
      <c r="B89" s="50" t="s">
        <v>326</v>
      </c>
      <c r="C89" s="50"/>
      <c r="D89" s="50"/>
      <c r="E89" s="50"/>
      <c r="F89" s="50"/>
      <c r="G89" s="37">
        <f>IFERROR(_xlfn.XLOOKUP(B89,#REF!,#REF!),0)</f>
        <v>0</v>
      </c>
      <c r="H89" s="37" t="e">
        <f>_xlfn.XLOOKUP(B89,#REF!,#REF!)</f>
        <v>#REF!</v>
      </c>
      <c r="I89" s="37" t="e">
        <f>_xlfn.XLOOKUP(B89,#REF!,#REF!)</f>
        <v>#REF!</v>
      </c>
      <c r="J89" s="51" t="e">
        <f>_xlfn.XLOOKUP(B89,#REF!,#REF!)</f>
        <v>#REF!</v>
      </c>
      <c r="K89" s="37" t="e">
        <f>_xlfn.XLOOKUP(B89,#REF!,#REF!)</f>
        <v>#REF!</v>
      </c>
      <c r="L89" s="37" t="e">
        <f>_xlfn.XLOOKUP(B89,#REF!,#REF!)</f>
        <v>#REF!</v>
      </c>
      <c r="M89" s="37" t="e">
        <f>_xlfn.XLOOKUP(B89,#REF!,#REF!)</f>
        <v>#REF!</v>
      </c>
      <c r="N89" s="37" t="e">
        <f>_xlfn.XLOOKUP(B89,#REF!,#REF!)</f>
        <v>#REF!</v>
      </c>
      <c r="O89" s="37" t="e">
        <f>_xlfn.XLOOKUP(B89,#REF!,#REF!)</f>
        <v>#REF!</v>
      </c>
      <c r="P89" s="37" t="e">
        <f>_xlfn.XLOOKUP(B89,#REF!,#REF!)</f>
        <v>#REF!</v>
      </c>
      <c r="Q89" s="37" t="e">
        <f>_xlfn.XLOOKUP(B89,#REF!,#REF!)</f>
        <v>#REF!</v>
      </c>
      <c r="R89" s="37" t="e">
        <f>_xlfn.XLOOKUP(B89,#REF!,#REF!)</f>
        <v>#REF!</v>
      </c>
      <c r="S89" s="37" t="e">
        <f>_xlfn.XLOOKUP(B89,#REF!,#REF!)</f>
        <v>#REF!</v>
      </c>
      <c r="T89" s="37" t="e">
        <f>_xlfn.XLOOKUP(B89,#REF!,#REF!)</f>
        <v>#REF!</v>
      </c>
      <c r="U89" s="37" t="e">
        <f>_xlfn.XLOOKUP(B89,#REF!,#REF!)</f>
        <v>#REF!</v>
      </c>
      <c r="V89" s="37" t="e">
        <f>_xlfn.XLOOKUP(B89,#REF!,#REF!)</f>
        <v>#REF!</v>
      </c>
    </row>
    <row r="90" spans="1:22" x14ac:dyDescent="0.35">
      <c r="A90" t="str">
        <f>_xlfn.XLOOKUP(B90,master!B:B,master!A:A)</f>
        <v>Other Administrative Expenses</v>
      </c>
      <c r="B90" s="50" t="s">
        <v>327</v>
      </c>
      <c r="C90" s="50"/>
      <c r="D90" s="50"/>
      <c r="E90" s="50"/>
      <c r="F90" s="50"/>
      <c r="G90" s="37">
        <f>IFERROR(_xlfn.XLOOKUP(B90,#REF!,#REF!),0)</f>
        <v>0</v>
      </c>
      <c r="H90" s="37" t="e">
        <f>_xlfn.XLOOKUP(B90,#REF!,#REF!)</f>
        <v>#REF!</v>
      </c>
      <c r="I90" s="37" t="e">
        <f>_xlfn.XLOOKUP(B90,#REF!,#REF!)</f>
        <v>#REF!</v>
      </c>
      <c r="J90" s="51" t="e">
        <f>_xlfn.XLOOKUP(B90,#REF!,#REF!)</f>
        <v>#REF!</v>
      </c>
      <c r="K90" s="37" t="e">
        <f>_xlfn.XLOOKUP(B90,#REF!,#REF!)</f>
        <v>#REF!</v>
      </c>
      <c r="L90" s="37" t="e">
        <f>_xlfn.XLOOKUP(B90,#REF!,#REF!)</f>
        <v>#REF!</v>
      </c>
      <c r="M90" s="37" t="e">
        <f>_xlfn.XLOOKUP(B90,#REF!,#REF!)</f>
        <v>#REF!</v>
      </c>
      <c r="N90" s="37" t="e">
        <f>_xlfn.XLOOKUP(B90,#REF!,#REF!)</f>
        <v>#REF!</v>
      </c>
      <c r="O90" s="37" t="e">
        <f>_xlfn.XLOOKUP(B90,#REF!,#REF!)</f>
        <v>#REF!</v>
      </c>
      <c r="P90" s="37" t="e">
        <f>_xlfn.XLOOKUP(B90,#REF!,#REF!)</f>
        <v>#REF!</v>
      </c>
      <c r="Q90" s="37" t="e">
        <f>_xlfn.XLOOKUP(B90,#REF!,#REF!)</f>
        <v>#REF!</v>
      </c>
      <c r="R90" s="37" t="e">
        <f>_xlfn.XLOOKUP(B90,#REF!,#REF!)</f>
        <v>#REF!</v>
      </c>
      <c r="S90" s="37" t="e">
        <f>_xlfn.XLOOKUP(B90,#REF!,#REF!)</f>
        <v>#REF!</v>
      </c>
      <c r="T90" s="37" t="e">
        <f>_xlfn.XLOOKUP(B90,#REF!,#REF!)</f>
        <v>#REF!</v>
      </c>
      <c r="U90" s="37" t="e">
        <f>_xlfn.XLOOKUP(B90,#REF!,#REF!)</f>
        <v>#REF!</v>
      </c>
      <c r="V90" s="37" t="e">
        <f>_xlfn.XLOOKUP(B90,#REF!,#REF!)</f>
        <v>#REF!</v>
      </c>
    </row>
    <row r="91" spans="1:22" x14ac:dyDescent="0.35">
      <c r="A91" t="str">
        <f>_xlfn.XLOOKUP(B91,master!B:B,master!A:A)</f>
        <v>Conveyance, vehicle running and traveling expenses</v>
      </c>
      <c r="B91" s="50" t="s">
        <v>328</v>
      </c>
      <c r="C91" s="50"/>
      <c r="D91" s="50"/>
      <c r="E91" s="50"/>
      <c r="F91" s="50"/>
      <c r="G91" s="37">
        <f>IFERROR(_xlfn.XLOOKUP(B91,#REF!,#REF!),0)</f>
        <v>0</v>
      </c>
      <c r="H91" s="37" t="e">
        <f>_xlfn.XLOOKUP(B91,#REF!,#REF!)</f>
        <v>#REF!</v>
      </c>
      <c r="I91" s="37" t="e">
        <f>_xlfn.XLOOKUP(B91,#REF!,#REF!)</f>
        <v>#REF!</v>
      </c>
      <c r="J91" s="51" t="e">
        <f>_xlfn.XLOOKUP(B91,#REF!,#REF!)</f>
        <v>#REF!</v>
      </c>
      <c r="K91" s="37" t="e">
        <f>_xlfn.XLOOKUP(B91,#REF!,#REF!)</f>
        <v>#REF!</v>
      </c>
      <c r="L91" s="37" t="e">
        <f>_xlfn.XLOOKUP(B91,#REF!,#REF!)</f>
        <v>#REF!</v>
      </c>
      <c r="M91" s="37" t="e">
        <f>_xlfn.XLOOKUP(B91,#REF!,#REF!)</f>
        <v>#REF!</v>
      </c>
      <c r="N91" s="37" t="e">
        <f>_xlfn.XLOOKUP(B91,#REF!,#REF!)</f>
        <v>#REF!</v>
      </c>
      <c r="O91" s="37" t="e">
        <f>_xlfn.XLOOKUP(B91,#REF!,#REF!)</f>
        <v>#REF!</v>
      </c>
      <c r="P91" s="37" t="e">
        <f>_xlfn.XLOOKUP(B91,#REF!,#REF!)</f>
        <v>#REF!</v>
      </c>
      <c r="Q91" s="37" t="e">
        <f>_xlfn.XLOOKUP(B91,#REF!,#REF!)</f>
        <v>#REF!</v>
      </c>
      <c r="R91" s="37" t="e">
        <f>_xlfn.XLOOKUP(B91,#REF!,#REF!)</f>
        <v>#REF!</v>
      </c>
      <c r="S91" s="37" t="e">
        <f>_xlfn.XLOOKUP(B91,#REF!,#REF!)</f>
        <v>#REF!</v>
      </c>
      <c r="T91" s="37" t="e">
        <f>_xlfn.XLOOKUP(B91,#REF!,#REF!)</f>
        <v>#REF!</v>
      </c>
      <c r="U91" s="37" t="e">
        <f>_xlfn.XLOOKUP(B91,#REF!,#REF!)</f>
        <v>#REF!</v>
      </c>
      <c r="V91" s="37" t="e">
        <f>_xlfn.XLOOKUP(B91,#REF!,#REF!)</f>
        <v>#REF!</v>
      </c>
    </row>
    <row r="92" spans="1:22" x14ac:dyDescent="0.35">
      <c r="A92" t="str">
        <f>_xlfn.XLOOKUP(B92,master!B:B,master!A:A)</f>
        <v>Conveyance, vehicle running and traveling expenses</v>
      </c>
      <c r="B92" s="50" t="s">
        <v>551</v>
      </c>
      <c r="C92" s="50"/>
      <c r="D92" s="50"/>
      <c r="E92" s="50"/>
      <c r="F92" s="50"/>
      <c r="G92" s="37">
        <f>IFERROR(_xlfn.XLOOKUP(B92,#REF!,#REF!),0)</f>
        <v>0</v>
      </c>
      <c r="H92" s="37" t="e">
        <f>_xlfn.XLOOKUP(B92,#REF!,#REF!)</f>
        <v>#REF!</v>
      </c>
      <c r="I92" s="37" t="e">
        <f>_xlfn.XLOOKUP(B92,#REF!,#REF!)</f>
        <v>#REF!</v>
      </c>
      <c r="J92" s="51" t="e">
        <f>_xlfn.XLOOKUP(B92,#REF!,#REF!)</f>
        <v>#REF!</v>
      </c>
      <c r="K92" s="37" t="e">
        <f>_xlfn.XLOOKUP(B92,#REF!,#REF!)</f>
        <v>#REF!</v>
      </c>
      <c r="L92" s="37" t="e">
        <f>_xlfn.XLOOKUP(B92,#REF!,#REF!)</f>
        <v>#REF!</v>
      </c>
      <c r="M92" s="37" t="e">
        <f>_xlfn.XLOOKUP(B92,#REF!,#REF!)</f>
        <v>#REF!</v>
      </c>
      <c r="N92" s="37" t="e">
        <f>_xlfn.XLOOKUP(B92,#REF!,#REF!)</f>
        <v>#REF!</v>
      </c>
      <c r="O92" s="37" t="e">
        <f>_xlfn.XLOOKUP(B92,#REF!,#REF!)</f>
        <v>#REF!</v>
      </c>
      <c r="P92" s="37" t="e">
        <f>_xlfn.XLOOKUP(B92,#REF!,#REF!)</f>
        <v>#REF!</v>
      </c>
      <c r="Q92" s="37" t="e">
        <f>_xlfn.XLOOKUP(B92,#REF!,#REF!)</f>
        <v>#REF!</v>
      </c>
      <c r="R92" s="37" t="e">
        <f>_xlfn.XLOOKUP(B92,#REF!,#REF!)</f>
        <v>#REF!</v>
      </c>
      <c r="S92" s="37" t="e">
        <f>_xlfn.XLOOKUP(B92,#REF!,#REF!)</f>
        <v>#REF!</v>
      </c>
      <c r="T92" s="37" t="e">
        <f>_xlfn.XLOOKUP(B92,#REF!,#REF!)</f>
        <v>#REF!</v>
      </c>
      <c r="U92" s="37" t="e">
        <f>_xlfn.XLOOKUP(B92,#REF!,#REF!)</f>
        <v>#REF!</v>
      </c>
      <c r="V92" s="37" t="e">
        <f>_xlfn.XLOOKUP(B92,#REF!,#REF!)</f>
        <v>#REF!</v>
      </c>
    </row>
    <row r="93" spans="1:22" x14ac:dyDescent="0.35">
      <c r="A93" t="str">
        <f>_xlfn.XLOOKUP(B93,master!B:B,master!A:A)</f>
        <v>Depreciation Expenses</v>
      </c>
      <c r="B93" s="50" t="s">
        <v>329</v>
      </c>
      <c r="C93" s="50"/>
      <c r="D93" s="50"/>
      <c r="E93" s="50"/>
      <c r="F93" s="50"/>
      <c r="G93" s="37">
        <f>IFERROR(_xlfn.XLOOKUP(B93,#REF!,#REF!),0)</f>
        <v>0</v>
      </c>
      <c r="H93" s="37" t="e">
        <f>_xlfn.XLOOKUP(B93,#REF!,#REF!)</f>
        <v>#REF!</v>
      </c>
      <c r="I93" s="37" t="e">
        <f>_xlfn.XLOOKUP(B93,#REF!,#REF!)</f>
        <v>#REF!</v>
      </c>
      <c r="J93" s="51" t="e">
        <f>_xlfn.XLOOKUP(B93,#REF!,#REF!)</f>
        <v>#REF!</v>
      </c>
      <c r="K93" s="37" t="e">
        <f>_xlfn.XLOOKUP(B93,#REF!,#REF!)</f>
        <v>#REF!</v>
      </c>
      <c r="L93" s="37" t="e">
        <f>_xlfn.XLOOKUP(B93,#REF!,#REF!)</f>
        <v>#REF!</v>
      </c>
      <c r="M93" s="37" t="e">
        <f>_xlfn.XLOOKUP(B93,#REF!,#REF!)</f>
        <v>#REF!</v>
      </c>
      <c r="N93" s="37" t="e">
        <f>_xlfn.XLOOKUP(B93,#REF!,#REF!)</f>
        <v>#REF!</v>
      </c>
      <c r="O93" s="37" t="e">
        <f>_xlfn.XLOOKUP(B93,#REF!,#REF!)</f>
        <v>#REF!</v>
      </c>
      <c r="P93" s="37" t="e">
        <f>_xlfn.XLOOKUP(B93,#REF!,#REF!)</f>
        <v>#REF!</v>
      </c>
      <c r="Q93" s="37" t="e">
        <f>_xlfn.XLOOKUP(B93,#REF!,#REF!)</f>
        <v>#REF!</v>
      </c>
      <c r="R93" s="37" t="e">
        <f>_xlfn.XLOOKUP(B93,#REF!,#REF!)</f>
        <v>#REF!</v>
      </c>
      <c r="S93" s="37" t="e">
        <f>_xlfn.XLOOKUP(B93,#REF!,#REF!)</f>
        <v>#REF!</v>
      </c>
      <c r="T93" s="37" t="e">
        <f>_xlfn.XLOOKUP(B93,#REF!,#REF!)</f>
        <v>#REF!</v>
      </c>
      <c r="U93" s="37" t="e">
        <f>_xlfn.XLOOKUP(B93,#REF!,#REF!)</f>
        <v>#REF!</v>
      </c>
      <c r="V93" s="37" t="e">
        <f>_xlfn.XLOOKUP(B93,#REF!,#REF!)</f>
        <v>#REF!</v>
      </c>
    </row>
    <row r="94" spans="1:22" x14ac:dyDescent="0.35">
      <c r="A94" t="str">
        <f>_xlfn.XLOOKUP(B94,master!B:B,master!A:A)</f>
        <v>Contribution to provident and other funds</v>
      </c>
      <c r="B94" s="50" t="s">
        <v>330</v>
      </c>
      <c r="C94" s="50"/>
      <c r="D94" s="50"/>
      <c r="E94" s="50"/>
      <c r="F94" s="50"/>
      <c r="G94" s="37">
        <f>IFERROR(_xlfn.XLOOKUP(B94,#REF!,#REF!),0)</f>
        <v>0</v>
      </c>
      <c r="H94" s="37" t="e">
        <f>_xlfn.XLOOKUP(B94,#REF!,#REF!)</f>
        <v>#REF!</v>
      </c>
      <c r="I94" s="37" t="e">
        <f>_xlfn.XLOOKUP(B94,#REF!,#REF!)</f>
        <v>#REF!</v>
      </c>
      <c r="J94" s="51" t="e">
        <f>_xlfn.XLOOKUP(B94,#REF!,#REF!)</f>
        <v>#REF!</v>
      </c>
      <c r="K94" s="37" t="e">
        <f>_xlfn.XLOOKUP(B94,#REF!,#REF!)</f>
        <v>#REF!</v>
      </c>
      <c r="L94" s="37" t="e">
        <f>_xlfn.XLOOKUP(B94,#REF!,#REF!)</f>
        <v>#REF!</v>
      </c>
      <c r="M94" s="37" t="e">
        <f>_xlfn.XLOOKUP(B94,#REF!,#REF!)</f>
        <v>#REF!</v>
      </c>
      <c r="N94" s="37" t="e">
        <f>_xlfn.XLOOKUP(B94,#REF!,#REF!)</f>
        <v>#REF!</v>
      </c>
      <c r="O94" s="37" t="e">
        <f>_xlfn.XLOOKUP(B94,#REF!,#REF!)</f>
        <v>#REF!</v>
      </c>
      <c r="P94" s="37" t="e">
        <f>_xlfn.XLOOKUP(B94,#REF!,#REF!)</f>
        <v>#REF!</v>
      </c>
      <c r="Q94" s="37" t="e">
        <f>_xlfn.XLOOKUP(B94,#REF!,#REF!)</f>
        <v>#REF!</v>
      </c>
      <c r="R94" s="37" t="e">
        <f>_xlfn.XLOOKUP(B94,#REF!,#REF!)</f>
        <v>#REF!</v>
      </c>
      <c r="S94" s="37" t="e">
        <f>_xlfn.XLOOKUP(B94,#REF!,#REF!)</f>
        <v>#REF!</v>
      </c>
      <c r="T94" s="37" t="e">
        <f>_xlfn.XLOOKUP(B94,#REF!,#REF!)</f>
        <v>#REF!</v>
      </c>
      <c r="U94" s="37" t="e">
        <f>_xlfn.XLOOKUP(B94,#REF!,#REF!)</f>
        <v>#REF!</v>
      </c>
      <c r="V94" s="37" t="e">
        <f>_xlfn.XLOOKUP(B94,#REF!,#REF!)</f>
        <v>#REF!</v>
      </c>
    </row>
    <row r="95" spans="1:22" x14ac:dyDescent="0.35">
      <c r="A95" t="str">
        <f>_xlfn.XLOOKUP(B95,master!B:B,master!A:A)</f>
        <v>Contribution to provident and other funds</v>
      </c>
      <c r="B95" s="50" t="s">
        <v>331</v>
      </c>
      <c r="C95" s="50"/>
      <c r="D95" s="50"/>
      <c r="E95" s="50"/>
      <c r="F95" s="50"/>
      <c r="G95" s="37">
        <f>IFERROR(_xlfn.XLOOKUP(B95,#REF!,#REF!),0)</f>
        <v>0</v>
      </c>
      <c r="H95" s="37" t="e">
        <f>_xlfn.XLOOKUP(B95,#REF!,#REF!)</f>
        <v>#REF!</v>
      </c>
      <c r="I95" s="37" t="e">
        <f>_xlfn.XLOOKUP(B95,#REF!,#REF!)</f>
        <v>#REF!</v>
      </c>
      <c r="J95" s="51" t="e">
        <f>_xlfn.XLOOKUP(B95,#REF!,#REF!)</f>
        <v>#REF!</v>
      </c>
      <c r="K95" s="37" t="e">
        <f>_xlfn.XLOOKUP(B95,#REF!,#REF!)</f>
        <v>#REF!</v>
      </c>
      <c r="L95" s="37" t="e">
        <f>_xlfn.XLOOKUP(B95,#REF!,#REF!)</f>
        <v>#REF!</v>
      </c>
      <c r="M95" s="37" t="e">
        <f>_xlfn.XLOOKUP(B95,#REF!,#REF!)</f>
        <v>#REF!</v>
      </c>
      <c r="N95" s="37" t="e">
        <f>_xlfn.XLOOKUP(B95,#REF!,#REF!)</f>
        <v>#REF!</v>
      </c>
      <c r="O95" s="37" t="e">
        <f>_xlfn.XLOOKUP(B95,#REF!,#REF!)</f>
        <v>#REF!</v>
      </c>
      <c r="P95" s="37" t="e">
        <f>_xlfn.XLOOKUP(B95,#REF!,#REF!)</f>
        <v>#REF!</v>
      </c>
      <c r="Q95" s="37" t="e">
        <f>_xlfn.XLOOKUP(B95,#REF!,#REF!)</f>
        <v>#REF!</v>
      </c>
      <c r="R95" s="37" t="e">
        <f>_xlfn.XLOOKUP(B95,#REF!,#REF!)</f>
        <v>#REF!</v>
      </c>
      <c r="S95" s="37" t="e">
        <f>_xlfn.XLOOKUP(B95,#REF!,#REF!)</f>
        <v>#REF!</v>
      </c>
      <c r="T95" s="37" t="e">
        <f>_xlfn.XLOOKUP(B95,#REF!,#REF!)</f>
        <v>#REF!</v>
      </c>
      <c r="U95" s="37" t="e">
        <f>_xlfn.XLOOKUP(B95,#REF!,#REF!)</f>
        <v>#REF!</v>
      </c>
      <c r="V95" s="37" t="e">
        <f>_xlfn.XLOOKUP(B95,#REF!,#REF!)</f>
        <v>#REF!</v>
      </c>
    </row>
    <row r="96" spans="1:22" x14ac:dyDescent="0.35">
      <c r="A96" t="str">
        <f>_xlfn.XLOOKUP(B96,master!B:B,master!A:A)</f>
        <v xml:space="preserve">Salaries, wages and  bonus </v>
      </c>
      <c r="B96" s="50" t="s">
        <v>332</v>
      </c>
      <c r="C96" s="50"/>
      <c r="D96" s="50"/>
      <c r="E96" s="50"/>
      <c r="F96" s="50"/>
      <c r="G96" s="37">
        <f>IFERROR(_xlfn.XLOOKUP(B96,#REF!,#REF!),0)</f>
        <v>0</v>
      </c>
      <c r="H96" s="37" t="e">
        <f>_xlfn.XLOOKUP(B96,#REF!,#REF!)</f>
        <v>#REF!</v>
      </c>
      <c r="I96" s="37" t="e">
        <f>_xlfn.XLOOKUP(B96,#REF!,#REF!)</f>
        <v>#REF!</v>
      </c>
      <c r="J96" s="51" t="e">
        <f>_xlfn.XLOOKUP(B96,#REF!,#REF!)</f>
        <v>#REF!</v>
      </c>
      <c r="K96" s="37" t="e">
        <f>_xlfn.XLOOKUP(B96,#REF!,#REF!)</f>
        <v>#REF!</v>
      </c>
      <c r="L96" s="37" t="e">
        <f>_xlfn.XLOOKUP(B96,#REF!,#REF!)</f>
        <v>#REF!</v>
      </c>
      <c r="M96" s="37" t="e">
        <f>_xlfn.XLOOKUP(B96,#REF!,#REF!)</f>
        <v>#REF!</v>
      </c>
      <c r="N96" s="37" t="e">
        <f>_xlfn.XLOOKUP(B96,#REF!,#REF!)</f>
        <v>#REF!</v>
      </c>
      <c r="O96" s="37" t="e">
        <f>_xlfn.XLOOKUP(B96,#REF!,#REF!)</f>
        <v>#REF!</v>
      </c>
      <c r="P96" s="37" t="e">
        <f>_xlfn.XLOOKUP(B96,#REF!,#REF!)</f>
        <v>#REF!</v>
      </c>
      <c r="Q96" s="37" t="e">
        <f>_xlfn.XLOOKUP(B96,#REF!,#REF!)</f>
        <v>#REF!</v>
      </c>
      <c r="R96" s="37" t="e">
        <f>_xlfn.XLOOKUP(B96,#REF!,#REF!)</f>
        <v>#REF!</v>
      </c>
      <c r="S96" s="37" t="e">
        <f>_xlfn.XLOOKUP(B96,#REF!,#REF!)</f>
        <v>#REF!</v>
      </c>
      <c r="T96" s="37" t="e">
        <f>_xlfn.XLOOKUP(B96,#REF!,#REF!)</f>
        <v>#REF!</v>
      </c>
      <c r="U96" s="37" t="e">
        <f>_xlfn.XLOOKUP(B96,#REF!,#REF!)</f>
        <v>#REF!</v>
      </c>
      <c r="V96" s="37" t="e">
        <f>_xlfn.XLOOKUP(B96,#REF!,#REF!)</f>
        <v>#REF!</v>
      </c>
    </row>
    <row r="97" spans="1:22" x14ac:dyDescent="0.35">
      <c r="A97" t="str">
        <f>_xlfn.XLOOKUP(B97,master!B:B,master!A:A)</f>
        <v xml:space="preserve">Salaries, wages and  bonus </v>
      </c>
      <c r="B97" s="50" t="s">
        <v>333</v>
      </c>
      <c r="C97" s="50"/>
      <c r="D97" s="50"/>
      <c r="E97" s="50"/>
      <c r="F97" s="50"/>
      <c r="G97" s="37">
        <f>IFERROR(_xlfn.XLOOKUP(B97,#REF!,#REF!),0)</f>
        <v>0</v>
      </c>
      <c r="H97" s="37" t="e">
        <f>_xlfn.XLOOKUP(B97,#REF!,#REF!)</f>
        <v>#REF!</v>
      </c>
      <c r="I97" s="37" t="e">
        <f>_xlfn.XLOOKUP(B97,#REF!,#REF!)</f>
        <v>#REF!</v>
      </c>
      <c r="J97" s="51" t="e">
        <f>_xlfn.XLOOKUP(B97,#REF!,#REF!)</f>
        <v>#REF!</v>
      </c>
      <c r="K97" s="37" t="e">
        <f>_xlfn.XLOOKUP(B97,#REF!,#REF!)</f>
        <v>#REF!</v>
      </c>
      <c r="L97" s="37" t="e">
        <f>_xlfn.XLOOKUP(B97,#REF!,#REF!)</f>
        <v>#REF!</v>
      </c>
      <c r="M97" s="37" t="e">
        <f>_xlfn.XLOOKUP(B97,#REF!,#REF!)</f>
        <v>#REF!</v>
      </c>
      <c r="N97" s="37" t="e">
        <f>_xlfn.XLOOKUP(B97,#REF!,#REF!)</f>
        <v>#REF!</v>
      </c>
      <c r="O97" s="37" t="e">
        <f>_xlfn.XLOOKUP(B97,#REF!,#REF!)</f>
        <v>#REF!</v>
      </c>
      <c r="P97" s="37" t="e">
        <f>_xlfn.XLOOKUP(B97,#REF!,#REF!)</f>
        <v>#REF!</v>
      </c>
      <c r="Q97" s="37" t="e">
        <f>_xlfn.XLOOKUP(B97,#REF!,#REF!)</f>
        <v>#REF!</v>
      </c>
      <c r="R97" s="37" t="e">
        <f>_xlfn.XLOOKUP(B97,#REF!,#REF!)</f>
        <v>#REF!</v>
      </c>
      <c r="S97" s="37" t="e">
        <f>_xlfn.XLOOKUP(B97,#REF!,#REF!)</f>
        <v>#REF!</v>
      </c>
      <c r="T97" s="37" t="e">
        <f>_xlfn.XLOOKUP(B97,#REF!,#REF!)</f>
        <v>#REF!</v>
      </c>
      <c r="U97" s="37" t="e">
        <f>_xlfn.XLOOKUP(B97,#REF!,#REF!)</f>
        <v>#REF!</v>
      </c>
      <c r="V97" s="37" t="e">
        <f>_xlfn.XLOOKUP(B97,#REF!,#REF!)</f>
        <v>#REF!</v>
      </c>
    </row>
    <row r="98" spans="1:22" x14ac:dyDescent="0.35">
      <c r="A98" t="str">
        <f>_xlfn.XLOOKUP(B98,master!B:B,master!A:A)</f>
        <v xml:space="preserve">Salaries, wages and  bonus </v>
      </c>
      <c r="B98" s="50" t="s">
        <v>334</v>
      </c>
      <c r="C98" s="50"/>
      <c r="D98" s="50"/>
      <c r="E98" s="50"/>
      <c r="F98" s="50"/>
      <c r="G98" s="37">
        <f>IFERROR(_xlfn.XLOOKUP(B98,#REF!,#REF!),0)</f>
        <v>0</v>
      </c>
      <c r="H98" s="37" t="e">
        <f>_xlfn.XLOOKUP(B98,#REF!,#REF!)</f>
        <v>#REF!</v>
      </c>
      <c r="I98" s="37" t="e">
        <f>_xlfn.XLOOKUP(B98,#REF!,#REF!)</f>
        <v>#REF!</v>
      </c>
      <c r="J98" s="51" t="e">
        <f>_xlfn.XLOOKUP(B98,#REF!,#REF!)</f>
        <v>#REF!</v>
      </c>
      <c r="K98" s="37" t="e">
        <f>_xlfn.XLOOKUP(B98,#REF!,#REF!)</f>
        <v>#REF!</v>
      </c>
      <c r="L98" s="37" t="e">
        <f>_xlfn.XLOOKUP(B98,#REF!,#REF!)</f>
        <v>#REF!</v>
      </c>
      <c r="M98" s="37" t="e">
        <f>_xlfn.XLOOKUP(B98,#REF!,#REF!)</f>
        <v>#REF!</v>
      </c>
      <c r="N98" s="37" t="e">
        <f>_xlfn.XLOOKUP(B98,#REF!,#REF!)</f>
        <v>#REF!</v>
      </c>
      <c r="O98" s="37" t="e">
        <f>_xlfn.XLOOKUP(B98,#REF!,#REF!)</f>
        <v>#REF!</v>
      </c>
      <c r="P98" s="37" t="e">
        <f>_xlfn.XLOOKUP(B98,#REF!,#REF!)</f>
        <v>#REF!</v>
      </c>
      <c r="Q98" s="37" t="e">
        <f>_xlfn.XLOOKUP(B98,#REF!,#REF!)</f>
        <v>#REF!</v>
      </c>
      <c r="R98" s="37" t="e">
        <f>_xlfn.XLOOKUP(B98,#REF!,#REF!)</f>
        <v>#REF!</v>
      </c>
      <c r="S98" s="37" t="e">
        <f>_xlfn.XLOOKUP(B98,#REF!,#REF!)</f>
        <v>#REF!</v>
      </c>
      <c r="T98" s="37" t="e">
        <f>_xlfn.XLOOKUP(B98,#REF!,#REF!)</f>
        <v>#REF!</v>
      </c>
      <c r="U98" s="37" t="e">
        <f>_xlfn.XLOOKUP(B98,#REF!,#REF!)</f>
        <v>#REF!</v>
      </c>
      <c r="V98" s="37" t="e">
        <f>_xlfn.XLOOKUP(B98,#REF!,#REF!)</f>
        <v>#REF!</v>
      </c>
    </row>
    <row r="99" spans="1:22" x14ac:dyDescent="0.35">
      <c r="A99" t="str">
        <f>_xlfn.XLOOKUP(B99,master!B:B,master!A:A)</f>
        <v xml:space="preserve">Salaries, wages and  bonus </v>
      </c>
      <c r="B99" s="50" t="s">
        <v>335</v>
      </c>
      <c r="C99" s="50"/>
      <c r="D99" s="50"/>
      <c r="E99" s="50"/>
      <c r="F99" s="50"/>
      <c r="G99" s="37">
        <f>IFERROR(_xlfn.XLOOKUP(B99,#REF!,#REF!),0)</f>
        <v>0</v>
      </c>
      <c r="H99" s="37" t="e">
        <f>_xlfn.XLOOKUP(B99,#REF!,#REF!)</f>
        <v>#REF!</v>
      </c>
      <c r="I99" s="37" t="e">
        <f>_xlfn.XLOOKUP(B99,#REF!,#REF!)</f>
        <v>#REF!</v>
      </c>
      <c r="J99" s="51" t="e">
        <f>_xlfn.XLOOKUP(B99,#REF!,#REF!)</f>
        <v>#REF!</v>
      </c>
      <c r="K99" s="37" t="e">
        <f>_xlfn.XLOOKUP(B99,#REF!,#REF!)</f>
        <v>#REF!</v>
      </c>
      <c r="L99" s="37" t="e">
        <f>_xlfn.XLOOKUP(B99,#REF!,#REF!)</f>
        <v>#REF!</v>
      </c>
      <c r="M99" s="37" t="e">
        <f>_xlfn.XLOOKUP(B99,#REF!,#REF!)</f>
        <v>#REF!</v>
      </c>
      <c r="N99" s="37" t="e">
        <f>_xlfn.XLOOKUP(B99,#REF!,#REF!)</f>
        <v>#REF!</v>
      </c>
      <c r="O99" s="37" t="e">
        <f>_xlfn.XLOOKUP(B99,#REF!,#REF!)</f>
        <v>#REF!</v>
      </c>
      <c r="P99" s="37" t="e">
        <f>_xlfn.XLOOKUP(B99,#REF!,#REF!)</f>
        <v>#REF!</v>
      </c>
      <c r="Q99" s="37" t="e">
        <f>_xlfn.XLOOKUP(B99,#REF!,#REF!)</f>
        <v>#REF!</v>
      </c>
      <c r="R99" s="37" t="e">
        <f>_xlfn.XLOOKUP(B99,#REF!,#REF!)</f>
        <v>#REF!</v>
      </c>
      <c r="S99" s="37" t="e">
        <f>_xlfn.XLOOKUP(B99,#REF!,#REF!)</f>
        <v>#REF!</v>
      </c>
      <c r="T99" s="37" t="e">
        <f>_xlfn.XLOOKUP(B99,#REF!,#REF!)</f>
        <v>#REF!</v>
      </c>
      <c r="U99" s="37" t="e">
        <f>_xlfn.XLOOKUP(B99,#REF!,#REF!)</f>
        <v>#REF!</v>
      </c>
      <c r="V99" s="37" t="e">
        <f>_xlfn.XLOOKUP(B99,#REF!,#REF!)</f>
        <v>#REF!</v>
      </c>
    </row>
    <row r="100" spans="1:22" x14ac:dyDescent="0.35">
      <c r="A100" t="str">
        <f>_xlfn.XLOOKUP(B100,master!B:B,master!A:A)</f>
        <v xml:space="preserve">Salaries, wages and  bonus </v>
      </c>
      <c r="B100" s="50" t="s">
        <v>336</v>
      </c>
      <c r="C100" s="50"/>
      <c r="D100" s="50"/>
      <c r="E100" s="50"/>
      <c r="F100" s="50"/>
      <c r="G100" s="37">
        <f>IFERROR(_xlfn.XLOOKUP(B100,#REF!,#REF!),0)</f>
        <v>0</v>
      </c>
      <c r="H100" s="37" t="e">
        <f>_xlfn.XLOOKUP(B100,#REF!,#REF!)</f>
        <v>#REF!</v>
      </c>
      <c r="I100" s="37" t="e">
        <f>_xlfn.XLOOKUP(B100,#REF!,#REF!)</f>
        <v>#REF!</v>
      </c>
      <c r="J100" s="51" t="e">
        <f>_xlfn.XLOOKUP(B100,#REF!,#REF!)</f>
        <v>#REF!</v>
      </c>
      <c r="K100" s="37" t="e">
        <f>_xlfn.XLOOKUP(B100,#REF!,#REF!)</f>
        <v>#REF!</v>
      </c>
      <c r="L100" s="37" t="e">
        <f>_xlfn.XLOOKUP(B100,#REF!,#REF!)</f>
        <v>#REF!</v>
      </c>
      <c r="M100" s="37" t="e">
        <f>_xlfn.XLOOKUP(B100,#REF!,#REF!)</f>
        <v>#REF!</v>
      </c>
      <c r="N100" s="37" t="e">
        <f>_xlfn.XLOOKUP(B100,#REF!,#REF!)</f>
        <v>#REF!</v>
      </c>
      <c r="O100" s="37" t="e">
        <f>_xlfn.XLOOKUP(B100,#REF!,#REF!)</f>
        <v>#REF!</v>
      </c>
      <c r="P100" s="37" t="e">
        <f>_xlfn.XLOOKUP(B100,#REF!,#REF!)</f>
        <v>#REF!</v>
      </c>
      <c r="Q100" s="37" t="e">
        <f>_xlfn.XLOOKUP(B100,#REF!,#REF!)</f>
        <v>#REF!</v>
      </c>
      <c r="R100" s="37" t="e">
        <f>_xlfn.XLOOKUP(B100,#REF!,#REF!)</f>
        <v>#REF!</v>
      </c>
      <c r="S100" s="37" t="e">
        <f>_xlfn.XLOOKUP(B100,#REF!,#REF!)</f>
        <v>#REF!</v>
      </c>
      <c r="T100" s="37" t="e">
        <f>_xlfn.XLOOKUP(B100,#REF!,#REF!)</f>
        <v>#REF!</v>
      </c>
      <c r="U100" s="37" t="e">
        <f>_xlfn.XLOOKUP(B100,#REF!,#REF!)</f>
        <v>#REF!</v>
      </c>
      <c r="V100" s="37" t="e">
        <f>_xlfn.XLOOKUP(B100,#REF!,#REF!)</f>
        <v>#REF!</v>
      </c>
    </row>
    <row r="101" spans="1:22" x14ac:dyDescent="0.35">
      <c r="A101" t="str">
        <f>_xlfn.XLOOKUP(B101,master!B:B,master!A:A)</f>
        <v xml:space="preserve">Salaries, wages and  bonus </v>
      </c>
      <c r="B101" s="50" t="s">
        <v>337</v>
      </c>
      <c r="C101" s="50"/>
      <c r="D101" s="50"/>
      <c r="E101" s="50"/>
      <c r="F101" s="50"/>
      <c r="G101" s="37">
        <f>IFERROR(_xlfn.XLOOKUP(B101,#REF!,#REF!),0)</f>
        <v>0</v>
      </c>
      <c r="H101" s="37" t="e">
        <f>_xlfn.XLOOKUP(B101,#REF!,#REF!)</f>
        <v>#REF!</v>
      </c>
      <c r="I101" s="37" t="e">
        <f>_xlfn.XLOOKUP(B101,#REF!,#REF!)</f>
        <v>#REF!</v>
      </c>
      <c r="J101" s="51" t="e">
        <f>_xlfn.XLOOKUP(B101,#REF!,#REF!)</f>
        <v>#REF!</v>
      </c>
      <c r="K101" s="37" t="e">
        <f>_xlfn.XLOOKUP(B101,#REF!,#REF!)</f>
        <v>#REF!</v>
      </c>
      <c r="L101" s="37" t="e">
        <f>_xlfn.XLOOKUP(B101,#REF!,#REF!)</f>
        <v>#REF!</v>
      </c>
      <c r="M101" s="37" t="e">
        <f>_xlfn.XLOOKUP(B101,#REF!,#REF!)</f>
        <v>#REF!</v>
      </c>
      <c r="N101" s="37" t="e">
        <f>_xlfn.XLOOKUP(B101,#REF!,#REF!)</f>
        <v>#REF!</v>
      </c>
      <c r="O101" s="37" t="e">
        <f>_xlfn.XLOOKUP(B101,#REF!,#REF!)</f>
        <v>#REF!</v>
      </c>
      <c r="P101" s="37" t="e">
        <f>_xlfn.XLOOKUP(B101,#REF!,#REF!)</f>
        <v>#REF!</v>
      </c>
      <c r="Q101" s="37" t="e">
        <f>_xlfn.XLOOKUP(B101,#REF!,#REF!)</f>
        <v>#REF!</v>
      </c>
      <c r="R101" s="37" t="e">
        <f>_xlfn.XLOOKUP(B101,#REF!,#REF!)</f>
        <v>#REF!</v>
      </c>
      <c r="S101" s="37" t="e">
        <f>_xlfn.XLOOKUP(B101,#REF!,#REF!)</f>
        <v>#REF!</v>
      </c>
      <c r="T101" s="37" t="e">
        <f>_xlfn.XLOOKUP(B101,#REF!,#REF!)</f>
        <v>#REF!</v>
      </c>
      <c r="U101" s="37" t="e">
        <f>_xlfn.XLOOKUP(B101,#REF!,#REF!)</f>
        <v>#REF!</v>
      </c>
      <c r="V101" s="37" t="e">
        <f>_xlfn.XLOOKUP(B101,#REF!,#REF!)</f>
        <v>#REF!</v>
      </c>
    </row>
    <row r="102" spans="1:22" x14ac:dyDescent="0.35">
      <c r="A102" t="str">
        <f>_xlfn.XLOOKUP(B102,master!B:B,master!A:A)</f>
        <v xml:space="preserve">Salaries, wages and  bonus </v>
      </c>
      <c r="B102" s="50" t="s">
        <v>566</v>
      </c>
      <c r="C102" s="50"/>
      <c r="D102" s="50"/>
      <c r="E102" s="50"/>
      <c r="F102" s="50"/>
      <c r="G102" s="37">
        <f>IFERROR(_xlfn.XLOOKUP(B102,#REF!,#REF!),0)</f>
        <v>0</v>
      </c>
      <c r="H102" s="37" t="e">
        <f>_xlfn.XLOOKUP(B102,#REF!,#REF!)</f>
        <v>#REF!</v>
      </c>
      <c r="I102" s="37" t="e">
        <f>_xlfn.XLOOKUP(B102,#REF!,#REF!)</f>
        <v>#REF!</v>
      </c>
      <c r="J102" s="51" t="e">
        <f>_xlfn.XLOOKUP(B102,#REF!,#REF!)</f>
        <v>#REF!</v>
      </c>
      <c r="K102" s="37" t="e">
        <f>_xlfn.XLOOKUP(B102,#REF!,#REF!)</f>
        <v>#REF!</v>
      </c>
      <c r="L102" s="37" t="e">
        <f>_xlfn.XLOOKUP(B102,#REF!,#REF!)</f>
        <v>#REF!</v>
      </c>
      <c r="M102" s="37" t="e">
        <f>_xlfn.XLOOKUP(B102,#REF!,#REF!)</f>
        <v>#REF!</v>
      </c>
      <c r="N102" s="37" t="e">
        <f>_xlfn.XLOOKUP(B102,#REF!,#REF!)</f>
        <v>#REF!</v>
      </c>
      <c r="O102" s="37" t="e">
        <f>_xlfn.XLOOKUP(B102,#REF!,#REF!)</f>
        <v>#REF!</v>
      </c>
      <c r="P102" s="37" t="e">
        <f>_xlfn.XLOOKUP(B102,#REF!,#REF!)</f>
        <v>#REF!</v>
      </c>
      <c r="Q102" s="37" t="e">
        <f>_xlfn.XLOOKUP(B102,#REF!,#REF!)</f>
        <v>#REF!</v>
      </c>
      <c r="R102" s="37" t="e">
        <f>_xlfn.XLOOKUP(B102,#REF!,#REF!)</f>
        <v>#REF!</v>
      </c>
      <c r="S102" s="37" t="e">
        <f>_xlfn.XLOOKUP(B102,#REF!,#REF!)</f>
        <v>#REF!</v>
      </c>
      <c r="T102" s="37" t="e">
        <f>_xlfn.XLOOKUP(B102,#REF!,#REF!)</f>
        <v>#REF!</v>
      </c>
      <c r="U102" s="37" t="e">
        <f>_xlfn.XLOOKUP(B102,#REF!,#REF!)</f>
        <v>#REF!</v>
      </c>
      <c r="V102" s="37" t="e">
        <f>_xlfn.XLOOKUP(B102,#REF!,#REF!)</f>
        <v>#REF!</v>
      </c>
    </row>
    <row r="103" spans="1:22" x14ac:dyDescent="0.35">
      <c r="A103" t="str">
        <f>_xlfn.XLOOKUP(B103,master!B:B,master!A:A)</f>
        <v xml:space="preserve">Salaries, wages and  bonus </v>
      </c>
      <c r="B103" s="50" t="s">
        <v>338</v>
      </c>
      <c r="C103" s="50"/>
      <c r="D103" s="50"/>
      <c r="E103" s="50"/>
      <c r="F103" s="50"/>
      <c r="G103" s="37">
        <f>IFERROR(_xlfn.XLOOKUP(B103,#REF!,#REF!),0)</f>
        <v>0</v>
      </c>
      <c r="H103" s="37" t="e">
        <f>_xlfn.XLOOKUP(B103,#REF!,#REF!)</f>
        <v>#REF!</v>
      </c>
      <c r="I103" s="37" t="e">
        <f>_xlfn.XLOOKUP(B103,#REF!,#REF!)</f>
        <v>#REF!</v>
      </c>
      <c r="J103" s="51" t="e">
        <f>_xlfn.XLOOKUP(B103,#REF!,#REF!)</f>
        <v>#REF!</v>
      </c>
      <c r="K103" s="37" t="e">
        <f>_xlfn.XLOOKUP(B103,#REF!,#REF!)</f>
        <v>#REF!</v>
      </c>
      <c r="L103" s="37" t="e">
        <f>_xlfn.XLOOKUP(B103,#REF!,#REF!)</f>
        <v>#REF!</v>
      </c>
      <c r="M103" s="37" t="e">
        <f>_xlfn.XLOOKUP(B103,#REF!,#REF!)</f>
        <v>#REF!</v>
      </c>
      <c r="N103" s="37" t="e">
        <f>_xlfn.XLOOKUP(B103,#REF!,#REF!)</f>
        <v>#REF!</v>
      </c>
      <c r="O103" s="37" t="e">
        <f>_xlfn.XLOOKUP(B103,#REF!,#REF!)</f>
        <v>#REF!</v>
      </c>
      <c r="P103" s="37" t="e">
        <f>_xlfn.XLOOKUP(B103,#REF!,#REF!)</f>
        <v>#REF!</v>
      </c>
      <c r="Q103" s="37" t="e">
        <f>_xlfn.XLOOKUP(B103,#REF!,#REF!)</f>
        <v>#REF!</v>
      </c>
      <c r="R103" s="37" t="e">
        <f>_xlfn.XLOOKUP(B103,#REF!,#REF!)</f>
        <v>#REF!</v>
      </c>
      <c r="S103" s="37" t="e">
        <f>_xlfn.XLOOKUP(B103,#REF!,#REF!)</f>
        <v>#REF!</v>
      </c>
      <c r="T103" s="37" t="e">
        <f>_xlfn.XLOOKUP(B103,#REF!,#REF!)</f>
        <v>#REF!</v>
      </c>
      <c r="U103" s="37" t="e">
        <f>_xlfn.XLOOKUP(B103,#REF!,#REF!)</f>
        <v>#REF!</v>
      </c>
      <c r="V103" s="37" t="e">
        <f>_xlfn.XLOOKUP(B103,#REF!,#REF!)</f>
        <v>#REF!</v>
      </c>
    </row>
    <row r="104" spans="1:22" x14ac:dyDescent="0.35">
      <c r="A104" t="str">
        <f>_xlfn.XLOOKUP(B104,master!B:B,master!A:A)</f>
        <v xml:space="preserve">Salaries, wages and  bonus </v>
      </c>
      <c r="B104" s="50" t="s">
        <v>339</v>
      </c>
      <c r="C104" s="50"/>
      <c r="D104" s="50"/>
      <c r="E104" s="50"/>
      <c r="F104" s="50"/>
      <c r="G104" s="37">
        <f>IFERROR(_xlfn.XLOOKUP(B104,#REF!,#REF!),0)</f>
        <v>0</v>
      </c>
      <c r="H104" s="37" t="e">
        <f>_xlfn.XLOOKUP(B104,#REF!,#REF!)</f>
        <v>#REF!</v>
      </c>
      <c r="I104" s="37" t="e">
        <f>_xlfn.XLOOKUP(B104,#REF!,#REF!)</f>
        <v>#REF!</v>
      </c>
      <c r="J104" s="51" t="e">
        <f>_xlfn.XLOOKUP(B104,#REF!,#REF!)</f>
        <v>#REF!</v>
      </c>
      <c r="K104" s="37" t="e">
        <f>_xlfn.XLOOKUP(B104,#REF!,#REF!)</f>
        <v>#REF!</v>
      </c>
      <c r="L104" s="37" t="e">
        <f>_xlfn.XLOOKUP(B104,#REF!,#REF!)</f>
        <v>#REF!</v>
      </c>
      <c r="M104" s="37" t="e">
        <f>_xlfn.XLOOKUP(B104,#REF!,#REF!)</f>
        <v>#REF!</v>
      </c>
      <c r="N104" s="37" t="e">
        <f>_xlfn.XLOOKUP(B104,#REF!,#REF!)</f>
        <v>#REF!</v>
      </c>
      <c r="O104" s="37" t="e">
        <f>_xlfn.XLOOKUP(B104,#REF!,#REF!)</f>
        <v>#REF!</v>
      </c>
      <c r="P104" s="37" t="e">
        <f>_xlfn.XLOOKUP(B104,#REF!,#REF!)</f>
        <v>#REF!</v>
      </c>
      <c r="Q104" s="37" t="e">
        <f>_xlfn.XLOOKUP(B104,#REF!,#REF!)</f>
        <v>#REF!</v>
      </c>
      <c r="R104" s="37" t="e">
        <f>_xlfn.XLOOKUP(B104,#REF!,#REF!)</f>
        <v>#REF!</v>
      </c>
      <c r="S104" s="37" t="e">
        <f>_xlfn.XLOOKUP(B104,#REF!,#REF!)</f>
        <v>#REF!</v>
      </c>
      <c r="T104" s="37" t="e">
        <f>_xlfn.XLOOKUP(B104,#REF!,#REF!)</f>
        <v>#REF!</v>
      </c>
      <c r="U104" s="37" t="e">
        <f>_xlfn.XLOOKUP(B104,#REF!,#REF!)</f>
        <v>#REF!</v>
      </c>
      <c r="V104" s="37" t="e">
        <f>_xlfn.XLOOKUP(B104,#REF!,#REF!)</f>
        <v>#REF!</v>
      </c>
    </row>
    <row r="105" spans="1:22" x14ac:dyDescent="0.35">
      <c r="A105" t="str">
        <f>_xlfn.XLOOKUP(B105,master!B:B,master!A:A)</f>
        <v xml:space="preserve">Salaries, wages and  bonus </v>
      </c>
      <c r="B105" s="50" t="s">
        <v>567</v>
      </c>
      <c r="C105" s="50"/>
      <c r="D105" s="50"/>
      <c r="E105" s="50"/>
      <c r="F105" s="50"/>
      <c r="G105" s="37">
        <f>IFERROR(_xlfn.XLOOKUP(B105,#REF!,#REF!),0)</f>
        <v>0</v>
      </c>
      <c r="H105" s="37" t="e">
        <f>_xlfn.XLOOKUP(B105,#REF!,#REF!)</f>
        <v>#REF!</v>
      </c>
      <c r="I105" s="37" t="e">
        <f>_xlfn.XLOOKUP(B105,#REF!,#REF!)</f>
        <v>#REF!</v>
      </c>
      <c r="J105" s="51" t="e">
        <f>_xlfn.XLOOKUP(B105,#REF!,#REF!)</f>
        <v>#REF!</v>
      </c>
      <c r="K105" s="37" t="e">
        <f>_xlfn.XLOOKUP(B105,#REF!,#REF!)</f>
        <v>#REF!</v>
      </c>
      <c r="L105" s="37" t="e">
        <f>_xlfn.XLOOKUP(B105,#REF!,#REF!)</f>
        <v>#REF!</v>
      </c>
      <c r="M105" s="37" t="e">
        <f>_xlfn.XLOOKUP(B105,#REF!,#REF!)</f>
        <v>#REF!</v>
      </c>
      <c r="N105" s="37" t="e">
        <f>_xlfn.XLOOKUP(B105,#REF!,#REF!)</f>
        <v>#REF!</v>
      </c>
      <c r="O105" s="37" t="e">
        <f>_xlfn.XLOOKUP(B105,#REF!,#REF!)</f>
        <v>#REF!</v>
      </c>
      <c r="P105" s="37" t="e">
        <f>_xlfn.XLOOKUP(B105,#REF!,#REF!)</f>
        <v>#REF!</v>
      </c>
      <c r="Q105" s="37" t="e">
        <f>_xlfn.XLOOKUP(B105,#REF!,#REF!)</f>
        <v>#REF!</v>
      </c>
      <c r="R105" s="37" t="e">
        <f>_xlfn.XLOOKUP(B105,#REF!,#REF!)</f>
        <v>#REF!</v>
      </c>
      <c r="S105" s="37" t="e">
        <f>_xlfn.XLOOKUP(B105,#REF!,#REF!)</f>
        <v>#REF!</v>
      </c>
      <c r="T105" s="37" t="e">
        <f>_xlfn.XLOOKUP(B105,#REF!,#REF!)</f>
        <v>#REF!</v>
      </c>
      <c r="U105" s="37" t="e">
        <f>_xlfn.XLOOKUP(B105,#REF!,#REF!)</f>
        <v>#REF!</v>
      </c>
      <c r="V105" s="37" t="e">
        <f>_xlfn.XLOOKUP(B105,#REF!,#REF!)</f>
        <v>#REF!</v>
      </c>
    </row>
    <row r="106" spans="1:22" x14ac:dyDescent="0.35">
      <c r="A106" t="str">
        <f>_xlfn.XLOOKUP(B106,master!B:B,master!A:A)</f>
        <v xml:space="preserve">Salaries, wages and  bonus </v>
      </c>
      <c r="B106" s="50" t="s">
        <v>340</v>
      </c>
      <c r="C106" s="50"/>
      <c r="D106" s="50"/>
      <c r="E106" s="50"/>
      <c r="F106" s="50"/>
      <c r="G106" s="37">
        <f>IFERROR(_xlfn.XLOOKUP(B106,#REF!,#REF!),0)</f>
        <v>0</v>
      </c>
      <c r="H106" s="37" t="e">
        <f>_xlfn.XLOOKUP(B106,#REF!,#REF!)</f>
        <v>#REF!</v>
      </c>
      <c r="I106" s="37" t="e">
        <f>_xlfn.XLOOKUP(B106,#REF!,#REF!)</f>
        <v>#REF!</v>
      </c>
      <c r="J106" s="51" t="e">
        <f>_xlfn.XLOOKUP(B106,#REF!,#REF!)</f>
        <v>#REF!</v>
      </c>
      <c r="K106" s="37" t="e">
        <f>_xlfn.XLOOKUP(B106,#REF!,#REF!)</f>
        <v>#REF!</v>
      </c>
      <c r="L106" s="37" t="e">
        <f>_xlfn.XLOOKUP(B106,#REF!,#REF!)</f>
        <v>#REF!</v>
      </c>
      <c r="M106" s="37" t="e">
        <f>_xlfn.XLOOKUP(B106,#REF!,#REF!)</f>
        <v>#REF!</v>
      </c>
      <c r="N106" s="37" t="e">
        <f>_xlfn.XLOOKUP(B106,#REF!,#REF!)</f>
        <v>#REF!</v>
      </c>
      <c r="O106" s="37" t="e">
        <f>_xlfn.XLOOKUP(B106,#REF!,#REF!)</f>
        <v>#REF!</v>
      </c>
      <c r="P106" s="37" t="e">
        <f>_xlfn.XLOOKUP(B106,#REF!,#REF!)</f>
        <v>#REF!</v>
      </c>
      <c r="Q106" s="37" t="e">
        <f>_xlfn.XLOOKUP(B106,#REF!,#REF!)</f>
        <v>#REF!</v>
      </c>
      <c r="R106" s="37" t="e">
        <f>_xlfn.XLOOKUP(B106,#REF!,#REF!)</f>
        <v>#REF!</v>
      </c>
      <c r="S106" s="37" t="e">
        <f>_xlfn.XLOOKUP(B106,#REF!,#REF!)</f>
        <v>#REF!</v>
      </c>
      <c r="T106" s="37" t="e">
        <f>_xlfn.XLOOKUP(B106,#REF!,#REF!)</f>
        <v>#REF!</v>
      </c>
      <c r="U106" s="37" t="e">
        <f>_xlfn.XLOOKUP(B106,#REF!,#REF!)</f>
        <v>#REF!</v>
      </c>
      <c r="V106" s="37" t="e">
        <f>_xlfn.XLOOKUP(B106,#REF!,#REF!)</f>
        <v>#REF!</v>
      </c>
    </row>
    <row r="107" spans="1:22" x14ac:dyDescent="0.35">
      <c r="A107" t="str">
        <f>_xlfn.XLOOKUP(B107,master!B:B,master!A:A)</f>
        <v xml:space="preserve">Salaries, wages and  bonus </v>
      </c>
      <c r="B107" s="50" t="s">
        <v>341</v>
      </c>
      <c r="C107" s="50"/>
      <c r="D107" s="50"/>
      <c r="E107" s="50"/>
      <c r="F107" s="50"/>
      <c r="G107" s="37">
        <f>IFERROR(_xlfn.XLOOKUP(B107,#REF!,#REF!),0)</f>
        <v>0</v>
      </c>
      <c r="H107" s="37" t="e">
        <f>_xlfn.XLOOKUP(B107,#REF!,#REF!)</f>
        <v>#REF!</v>
      </c>
      <c r="I107" s="37" t="e">
        <f>_xlfn.XLOOKUP(B107,#REF!,#REF!)</f>
        <v>#REF!</v>
      </c>
      <c r="J107" s="51" t="e">
        <f>_xlfn.XLOOKUP(B107,#REF!,#REF!)</f>
        <v>#REF!</v>
      </c>
      <c r="K107" s="37" t="e">
        <f>_xlfn.XLOOKUP(B107,#REF!,#REF!)</f>
        <v>#REF!</v>
      </c>
      <c r="L107" s="37" t="e">
        <f>_xlfn.XLOOKUP(B107,#REF!,#REF!)</f>
        <v>#REF!</v>
      </c>
      <c r="M107" s="37" t="e">
        <f>_xlfn.XLOOKUP(B107,#REF!,#REF!)</f>
        <v>#REF!</v>
      </c>
      <c r="N107" s="37" t="e">
        <f>_xlfn.XLOOKUP(B107,#REF!,#REF!)</f>
        <v>#REF!</v>
      </c>
      <c r="O107" s="37" t="e">
        <f>_xlfn.XLOOKUP(B107,#REF!,#REF!)</f>
        <v>#REF!</v>
      </c>
      <c r="P107" s="37" t="e">
        <f>_xlfn.XLOOKUP(B107,#REF!,#REF!)</f>
        <v>#REF!</v>
      </c>
      <c r="Q107" s="37" t="e">
        <f>_xlfn.XLOOKUP(B107,#REF!,#REF!)</f>
        <v>#REF!</v>
      </c>
      <c r="R107" s="37" t="e">
        <f>_xlfn.XLOOKUP(B107,#REF!,#REF!)</f>
        <v>#REF!</v>
      </c>
      <c r="S107" s="37" t="e">
        <f>_xlfn.XLOOKUP(B107,#REF!,#REF!)</f>
        <v>#REF!</v>
      </c>
      <c r="T107" s="37" t="e">
        <f>_xlfn.XLOOKUP(B107,#REF!,#REF!)</f>
        <v>#REF!</v>
      </c>
      <c r="U107" s="37" t="e">
        <f>_xlfn.XLOOKUP(B107,#REF!,#REF!)</f>
        <v>#REF!</v>
      </c>
      <c r="V107" s="37" t="e">
        <f>_xlfn.XLOOKUP(B107,#REF!,#REF!)</f>
        <v>#REF!</v>
      </c>
    </row>
    <row r="108" spans="1:22" x14ac:dyDescent="0.35">
      <c r="A108" t="str">
        <f>_xlfn.XLOOKUP(B108,master!B:B,master!A:A)</f>
        <v xml:space="preserve">Salaries, wages and  bonus </v>
      </c>
      <c r="B108" s="50" t="s">
        <v>342</v>
      </c>
      <c r="C108" s="50"/>
      <c r="D108" s="50"/>
      <c r="E108" s="50"/>
      <c r="F108" s="50"/>
      <c r="G108" s="37">
        <f>IFERROR(_xlfn.XLOOKUP(B108,#REF!,#REF!),0)</f>
        <v>0</v>
      </c>
      <c r="H108" s="37" t="e">
        <f>_xlfn.XLOOKUP(B108,#REF!,#REF!)</f>
        <v>#REF!</v>
      </c>
      <c r="I108" s="37" t="e">
        <f>_xlfn.XLOOKUP(B108,#REF!,#REF!)</f>
        <v>#REF!</v>
      </c>
      <c r="J108" s="51" t="e">
        <f>_xlfn.XLOOKUP(B108,#REF!,#REF!)</f>
        <v>#REF!</v>
      </c>
      <c r="K108" s="37" t="e">
        <f>_xlfn.XLOOKUP(B108,#REF!,#REF!)</f>
        <v>#REF!</v>
      </c>
      <c r="L108" s="37" t="e">
        <f>_xlfn.XLOOKUP(B108,#REF!,#REF!)</f>
        <v>#REF!</v>
      </c>
      <c r="M108" s="37" t="e">
        <f>_xlfn.XLOOKUP(B108,#REF!,#REF!)</f>
        <v>#REF!</v>
      </c>
      <c r="N108" s="37" t="e">
        <f>_xlfn.XLOOKUP(B108,#REF!,#REF!)</f>
        <v>#REF!</v>
      </c>
      <c r="O108" s="37" t="e">
        <f>_xlfn.XLOOKUP(B108,#REF!,#REF!)</f>
        <v>#REF!</v>
      </c>
      <c r="P108" s="37" t="e">
        <f>_xlfn.XLOOKUP(B108,#REF!,#REF!)</f>
        <v>#REF!</v>
      </c>
      <c r="Q108" s="37" t="e">
        <f>_xlfn.XLOOKUP(B108,#REF!,#REF!)</f>
        <v>#REF!</v>
      </c>
      <c r="R108" s="37" t="e">
        <f>_xlfn.XLOOKUP(B108,#REF!,#REF!)</f>
        <v>#REF!</v>
      </c>
      <c r="S108" s="37" t="e">
        <f>_xlfn.XLOOKUP(B108,#REF!,#REF!)</f>
        <v>#REF!</v>
      </c>
      <c r="T108" s="37" t="e">
        <f>_xlfn.XLOOKUP(B108,#REF!,#REF!)</f>
        <v>#REF!</v>
      </c>
      <c r="U108" s="37" t="e">
        <f>_xlfn.XLOOKUP(B108,#REF!,#REF!)</f>
        <v>#REF!</v>
      </c>
      <c r="V108" s="37" t="e">
        <f>_xlfn.XLOOKUP(B108,#REF!,#REF!)</f>
        <v>#REF!</v>
      </c>
    </row>
    <row r="109" spans="1:22" x14ac:dyDescent="0.35">
      <c r="A109" t="str">
        <f>_xlfn.XLOOKUP(B109,master!B:B,master!A:A)</f>
        <v xml:space="preserve">Salaries, wages and  bonus </v>
      </c>
      <c r="B109" s="50" t="s">
        <v>343</v>
      </c>
      <c r="C109" s="50"/>
      <c r="D109" s="50"/>
      <c r="E109" s="50"/>
      <c r="F109" s="50"/>
      <c r="G109" s="37">
        <f>IFERROR(_xlfn.XLOOKUP(B109,#REF!,#REF!),0)</f>
        <v>0</v>
      </c>
      <c r="H109" s="37" t="e">
        <f>_xlfn.XLOOKUP(B109,#REF!,#REF!)</f>
        <v>#REF!</v>
      </c>
      <c r="I109" s="37" t="e">
        <f>_xlfn.XLOOKUP(B109,#REF!,#REF!)</f>
        <v>#REF!</v>
      </c>
      <c r="J109" s="51" t="e">
        <f>_xlfn.XLOOKUP(B109,#REF!,#REF!)</f>
        <v>#REF!</v>
      </c>
      <c r="K109" s="37" t="e">
        <f>_xlfn.XLOOKUP(B109,#REF!,#REF!)</f>
        <v>#REF!</v>
      </c>
      <c r="L109" s="37" t="e">
        <f>_xlfn.XLOOKUP(B109,#REF!,#REF!)</f>
        <v>#REF!</v>
      </c>
      <c r="M109" s="37" t="e">
        <f>_xlfn.XLOOKUP(B109,#REF!,#REF!)</f>
        <v>#REF!</v>
      </c>
      <c r="N109" s="37" t="e">
        <f>_xlfn.XLOOKUP(B109,#REF!,#REF!)</f>
        <v>#REF!</v>
      </c>
      <c r="O109" s="37" t="e">
        <f>_xlfn.XLOOKUP(B109,#REF!,#REF!)</f>
        <v>#REF!</v>
      </c>
      <c r="P109" s="37" t="e">
        <f>_xlfn.XLOOKUP(B109,#REF!,#REF!)</f>
        <v>#REF!</v>
      </c>
      <c r="Q109" s="37" t="e">
        <f>_xlfn.XLOOKUP(B109,#REF!,#REF!)</f>
        <v>#REF!</v>
      </c>
      <c r="R109" s="37" t="e">
        <f>_xlfn.XLOOKUP(B109,#REF!,#REF!)</f>
        <v>#REF!</v>
      </c>
      <c r="S109" s="37" t="e">
        <f>_xlfn.XLOOKUP(B109,#REF!,#REF!)</f>
        <v>#REF!</v>
      </c>
      <c r="T109" s="37" t="e">
        <f>_xlfn.XLOOKUP(B109,#REF!,#REF!)</f>
        <v>#REF!</v>
      </c>
      <c r="U109" s="37" t="e">
        <f>_xlfn.XLOOKUP(B109,#REF!,#REF!)</f>
        <v>#REF!</v>
      </c>
      <c r="V109" s="37" t="e">
        <f>_xlfn.XLOOKUP(B109,#REF!,#REF!)</f>
        <v>#REF!</v>
      </c>
    </row>
    <row r="110" spans="1:22" x14ac:dyDescent="0.35">
      <c r="A110" t="str">
        <f>_xlfn.XLOOKUP(B110,master!B:B,master!A:A)</f>
        <v xml:space="preserve">Salaries, wages and  bonus </v>
      </c>
      <c r="B110" s="50" t="s">
        <v>344</v>
      </c>
      <c r="C110" s="50"/>
      <c r="D110" s="50"/>
      <c r="E110" s="50"/>
      <c r="F110" s="50"/>
      <c r="G110" s="37">
        <f>IFERROR(_xlfn.XLOOKUP(B110,#REF!,#REF!),0)</f>
        <v>0</v>
      </c>
      <c r="H110" s="37" t="e">
        <f>_xlfn.XLOOKUP(B110,#REF!,#REF!)</f>
        <v>#REF!</v>
      </c>
      <c r="I110" s="37" t="e">
        <f>_xlfn.XLOOKUP(B110,#REF!,#REF!)</f>
        <v>#REF!</v>
      </c>
      <c r="J110" s="51" t="e">
        <f>_xlfn.XLOOKUP(B110,#REF!,#REF!)</f>
        <v>#REF!</v>
      </c>
      <c r="K110" s="37" t="e">
        <f>_xlfn.XLOOKUP(B110,#REF!,#REF!)</f>
        <v>#REF!</v>
      </c>
      <c r="L110" s="37" t="e">
        <f>_xlfn.XLOOKUP(B110,#REF!,#REF!)</f>
        <v>#REF!</v>
      </c>
      <c r="M110" s="37" t="e">
        <f>_xlfn.XLOOKUP(B110,#REF!,#REF!)</f>
        <v>#REF!</v>
      </c>
      <c r="N110" s="37" t="e">
        <f>_xlfn.XLOOKUP(B110,#REF!,#REF!)</f>
        <v>#REF!</v>
      </c>
      <c r="O110" s="37" t="e">
        <f>_xlfn.XLOOKUP(B110,#REF!,#REF!)</f>
        <v>#REF!</v>
      </c>
      <c r="P110" s="37" t="e">
        <f>_xlfn.XLOOKUP(B110,#REF!,#REF!)</f>
        <v>#REF!</v>
      </c>
      <c r="Q110" s="37" t="e">
        <f>_xlfn.XLOOKUP(B110,#REF!,#REF!)</f>
        <v>#REF!</v>
      </c>
      <c r="R110" s="37" t="e">
        <f>_xlfn.XLOOKUP(B110,#REF!,#REF!)</f>
        <v>#REF!</v>
      </c>
      <c r="S110" s="37" t="e">
        <f>_xlfn.XLOOKUP(B110,#REF!,#REF!)</f>
        <v>#REF!</v>
      </c>
      <c r="T110" s="37" t="e">
        <f>_xlfn.XLOOKUP(B110,#REF!,#REF!)</f>
        <v>#REF!</v>
      </c>
      <c r="U110" s="37" t="e">
        <f>_xlfn.XLOOKUP(B110,#REF!,#REF!)</f>
        <v>#REF!</v>
      </c>
      <c r="V110" s="37" t="e">
        <f>_xlfn.XLOOKUP(B110,#REF!,#REF!)</f>
        <v>#REF!</v>
      </c>
    </row>
    <row r="111" spans="1:22" x14ac:dyDescent="0.35">
      <c r="A111" t="str">
        <f>_xlfn.XLOOKUP(B111,master!B:B,master!A:A)</f>
        <v>Contribution to provident and other funds</v>
      </c>
      <c r="B111" s="50" t="s">
        <v>345</v>
      </c>
      <c r="C111" s="50"/>
      <c r="D111" s="50"/>
      <c r="E111" s="50"/>
      <c r="F111" s="50"/>
      <c r="G111" s="37">
        <f>IFERROR(_xlfn.XLOOKUP(B111,#REF!,#REF!),0)</f>
        <v>0</v>
      </c>
      <c r="H111" s="37" t="e">
        <f>_xlfn.XLOOKUP(B111,#REF!,#REF!)</f>
        <v>#REF!</v>
      </c>
      <c r="I111" s="37" t="e">
        <f>_xlfn.XLOOKUP(B111,#REF!,#REF!)</f>
        <v>#REF!</v>
      </c>
      <c r="J111" s="51" t="e">
        <f>_xlfn.XLOOKUP(B111,#REF!,#REF!)</f>
        <v>#REF!</v>
      </c>
      <c r="K111" s="37" t="e">
        <f>_xlfn.XLOOKUP(B111,#REF!,#REF!)</f>
        <v>#REF!</v>
      </c>
      <c r="L111" s="37" t="e">
        <f>_xlfn.XLOOKUP(B111,#REF!,#REF!)</f>
        <v>#REF!</v>
      </c>
      <c r="M111" s="37" t="e">
        <f>_xlfn.XLOOKUP(B111,#REF!,#REF!)</f>
        <v>#REF!</v>
      </c>
      <c r="N111" s="37" t="e">
        <f>_xlfn.XLOOKUP(B111,#REF!,#REF!)</f>
        <v>#REF!</v>
      </c>
      <c r="O111" s="37" t="e">
        <f>_xlfn.XLOOKUP(B111,#REF!,#REF!)</f>
        <v>#REF!</v>
      </c>
      <c r="P111" s="37" t="e">
        <f>_xlfn.XLOOKUP(B111,#REF!,#REF!)</f>
        <v>#REF!</v>
      </c>
      <c r="Q111" s="37" t="e">
        <f>_xlfn.XLOOKUP(B111,#REF!,#REF!)</f>
        <v>#REF!</v>
      </c>
      <c r="R111" s="37" t="e">
        <f>_xlfn.XLOOKUP(B111,#REF!,#REF!)</f>
        <v>#REF!</v>
      </c>
      <c r="S111" s="37" t="e">
        <f>_xlfn.XLOOKUP(B111,#REF!,#REF!)</f>
        <v>#REF!</v>
      </c>
      <c r="T111" s="37" t="e">
        <f>_xlfn.XLOOKUP(B111,#REF!,#REF!)</f>
        <v>#REF!</v>
      </c>
      <c r="U111" s="37" t="e">
        <f>_xlfn.XLOOKUP(B111,#REF!,#REF!)</f>
        <v>#REF!</v>
      </c>
      <c r="V111" s="37" t="e">
        <f>_xlfn.XLOOKUP(B111,#REF!,#REF!)</f>
        <v>#REF!</v>
      </c>
    </row>
    <row r="112" spans="1:22" x14ac:dyDescent="0.35">
      <c r="A112" t="str">
        <f>_xlfn.XLOOKUP(B112,master!B:B,master!A:A)</f>
        <v>Gratuity Expenses</v>
      </c>
      <c r="B112" s="50" t="s">
        <v>346</v>
      </c>
      <c r="C112" s="50"/>
      <c r="D112" s="50"/>
      <c r="E112" s="50"/>
      <c r="F112" s="50"/>
      <c r="G112" s="37">
        <f>IFERROR(_xlfn.XLOOKUP(B112,#REF!,#REF!),0)</f>
        <v>0</v>
      </c>
      <c r="H112" s="37" t="e">
        <f>_xlfn.XLOOKUP(B112,#REF!,#REF!)</f>
        <v>#REF!</v>
      </c>
      <c r="I112" s="37" t="e">
        <f>_xlfn.XLOOKUP(B112,#REF!,#REF!)</f>
        <v>#REF!</v>
      </c>
      <c r="J112" s="51" t="e">
        <f>_xlfn.XLOOKUP(B112,#REF!,#REF!)</f>
        <v>#REF!</v>
      </c>
      <c r="K112" s="37" t="e">
        <f>_xlfn.XLOOKUP(B112,#REF!,#REF!)</f>
        <v>#REF!</v>
      </c>
      <c r="L112" s="37" t="e">
        <f>_xlfn.XLOOKUP(B112,#REF!,#REF!)</f>
        <v>#REF!</v>
      </c>
      <c r="M112" s="37" t="e">
        <f>_xlfn.XLOOKUP(B112,#REF!,#REF!)</f>
        <v>#REF!</v>
      </c>
      <c r="N112" s="37" t="e">
        <f>_xlfn.XLOOKUP(B112,#REF!,#REF!)</f>
        <v>#REF!</v>
      </c>
      <c r="O112" s="37" t="e">
        <f>_xlfn.XLOOKUP(B112,#REF!,#REF!)</f>
        <v>#REF!</v>
      </c>
      <c r="P112" s="37" t="e">
        <f>_xlfn.XLOOKUP(B112,#REF!,#REF!)</f>
        <v>#REF!</v>
      </c>
      <c r="Q112" s="37" t="e">
        <f>_xlfn.XLOOKUP(B112,#REF!,#REF!)</f>
        <v>#REF!</v>
      </c>
      <c r="R112" s="37" t="e">
        <f>_xlfn.XLOOKUP(B112,#REF!,#REF!)</f>
        <v>#REF!</v>
      </c>
      <c r="S112" s="37" t="e">
        <f>_xlfn.XLOOKUP(B112,#REF!,#REF!)</f>
        <v>#REF!</v>
      </c>
      <c r="T112" s="37" t="e">
        <f>_xlfn.XLOOKUP(B112,#REF!,#REF!)</f>
        <v>#REF!</v>
      </c>
      <c r="U112" s="37" t="e">
        <f>_xlfn.XLOOKUP(B112,#REF!,#REF!)</f>
        <v>#REF!</v>
      </c>
      <c r="V112" s="37" t="e">
        <f>_xlfn.XLOOKUP(B112,#REF!,#REF!)</f>
        <v>#REF!</v>
      </c>
    </row>
    <row r="113" spans="1:22" x14ac:dyDescent="0.35">
      <c r="A113" t="str">
        <f>_xlfn.XLOOKUP(B113,master!B:B,master!A:A)</f>
        <v xml:space="preserve">Salaries, wages and  bonus </v>
      </c>
      <c r="B113" s="50" t="s">
        <v>347</v>
      </c>
      <c r="C113" s="50"/>
      <c r="D113" s="50"/>
      <c r="E113" s="50"/>
      <c r="F113" s="50"/>
      <c r="G113" s="37">
        <f>IFERROR(_xlfn.XLOOKUP(B113,#REF!,#REF!),0)</f>
        <v>0</v>
      </c>
      <c r="H113" s="37" t="e">
        <f>_xlfn.XLOOKUP(B113,#REF!,#REF!)</f>
        <v>#REF!</v>
      </c>
      <c r="I113" s="37" t="e">
        <f>_xlfn.XLOOKUP(B113,#REF!,#REF!)</f>
        <v>#REF!</v>
      </c>
      <c r="J113" s="51" t="e">
        <f>_xlfn.XLOOKUP(B113,#REF!,#REF!)</f>
        <v>#REF!</v>
      </c>
      <c r="K113" s="37" t="e">
        <f>_xlfn.XLOOKUP(B113,#REF!,#REF!)</f>
        <v>#REF!</v>
      </c>
      <c r="L113" s="37" t="e">
        <f>_xlfn.XLOOKUP(B113,#REF!,#REF!)</f>
        <v>#REF!</v>
      </c>
      <c r="M113" s="37" t="e">
        <f>_xlfn.XLOOKUP(B113,#REF!,#REF!)</f>
        <v>#REF!</v>
      </c>
      <c r="N113" s="37" t="e">
        <f>_xlfn.XLOOKUP(B113,#REF!,#REF!)</f>
        <v>#REF!</v>
      </c>
      <c r="O113" s="37" t="e">
        <f>_xlfn.XLOOKUP(B113,#REF!,#REF!)</f>
        <v>#REF!</v>
      </c>
      <c r="P113" s="37" t="e">
        <f>_xlfn.XLOOKUP(B113,#REF!,#REF!)</f>
        <v>#REF!</v>
      </c>
      <c r="Q113" s="37" t="e">
        <f>_xlfn.XLOOKUP(B113,#REF!,#REF!)</f>
        <v>#REF!</v>
      </c>
      <c r="R113" s="37" t="e">
        <f>_xlfn.XLOOKUP(B113,#REF!,#REF!)</f>
        <v>#REF!</v>
      </c>
      <c r="S113" s="37" t="e">
        <f>_xlfn.XLOOKUP(B113,#REF!,#REF!)</f>
        <v>#REF!</v>
      </c>
      <c r="T113" s="37" t="e">
        <f>_xlfn.XLOOKUP(B113,#REF!,#REF!)</f>
        <v>#REF!</v>
      </c>
      <c r="U113" s="37" t="e">
        <f>_xlfn.XLOOKUP(B113,#REF!,#REF!)</f>
        <v>#REF!</v>
      </c>
      <c r="V113" s="37" t="e">
        <f>_xlfn.XLOOKUP(B113,#REF!,#REF!)</f>
        <v>#REF!</v>
      </c>
    </row>
    <row r="114" spans="1:22" x14ac:dyDescent="0.35">
      <c r="A114" t="str">
        <f>_xlfn.XLOOKUP(B114,master!B:B,master!A:A)</f>
        <v>Staff welfare expenses</v>
      </c>
      <c r="B114" s="50" t="s">
        <v>348</v>
      </c>
      <c r="C114" s="50"/>
      <c r="D114" s="50"/>
      <c r="E114" s="50"/>
      <c r="F114" s="50"/>
      <c r="G114" s="37">
        <f>IFERROR(_xlfn.XLOOKUP(B114,#REF!,#REF!),0)</f>
        <v>0</v>
      </c>
      <c r="H114" s="37" t="e">
        <f>_xlfn.XLOOKUP(B114,#REF!,#REF!)</f>
        <v>#REF!</v>
      </c>
      <c r="I114" s="37" t="e">
        <f>_xlfn.XLOOKUP(B114,#REF!,#REF!)</f>
        <v>#REF!</v>
      </c>
      <c r="J114" s="51" t="e">
        <f>_xlfn.XLOOKUP(B114,#REF!,#REF!)</f>
        <v>#REF!</v>
      </c>
      <c r="K114" s="37" t="e">
        <f>_xlfn.XLOOKUP(B114,#REF!,#REF!)</f>
        <v>#REF!</v>
      </c>
      <c r="L114" s="37" t="e">
        <f>_xlfn.XLOOKUP(B114,#REF!,#REF!)</f>
        <v>#REF!</v>
      </c>
      <c r="M114" s="37" t="e">
        <f>_xlfn.XLOOKUP(B114,#REF!,#REF!)</f>
        <v>#REF!</v>
      </c>
      <c r="N114" s="37" t="e">
        <f>_xlfn.XLOOKUP(B114,#REF!,#REF!)</f>
        <v>#REF!</v>
      </c>
      <c r="O114" s="37" t="e">
        <f>_xlfn.XLOOKUP(B114,#REF!,#REF!)</f>
        <v>#REF!</v>
      </c>
      <c r="P114" s="37" t="e">
        <f>_xlfn.XLOOKUP(B114,#REF!,#REF!)</f>
        <v>#REF!</v>
      </c>
      <c r="Q114" s="37" t="e">
        <f>_xlfn.XLOOKUP(B114,#REF!,#REF!)</f>
        <v>#REF!</v>
      </c>
      <c r="R114" s="37" t="e">
        <f>_xlfn.XLOOKUP(B114,#REF!,#REF!)</f>
        <v>#REF!</v>
      </c>
      <c r="S114" s="37" t="e">
        <f>_xlfn.XLOOKUP(B114,#REF!,#REF!)</f>
        <v>#REF!</v>
      </c>
      <c r="T114" s="37" t="e">
        <f>_xlfn.XLOOKUP(B114,#REF!,#REF!)</f>
        <v>#REF!</v>
      </c>
      <c r="U114" s="37" t="e">
        <f>_xlfn.XLOOKUP(B114,#REF!,#REF!)</f>
        <v>#REF!</v>
      </c>
      <c r="V114" s="37" t="e">
        <f>_xlfn.XLOOKUP(B114,#REF!,#REF!)</f>
        <v>#REF!</v>
      </c>
    </row>
    <row r="115" spans="1:22" x14ac:dyDescent="0.35">
      <c r="A115" t="str">
        <f>_xlfn.XLOOKUP(B115,master!B:B,master!A:A)</f>
        <v xml:space="preserve">Salaries, wages and  bonus </v>
      </c>
      <c r="B115" s="50" t="s">
        <v>349</v>
      </c>
      <c r="C115" s="50"/>
      <c r="D115" s="50"/>
      <c r="E115" s="50"/>
      <c r="F115" s="50"/>
      <c r="G115" s="37">
        <f>IFERROR(_xlfn.XLOOKUP(B115,#REF!,#REF!),0)</f>
        <v>0</v>
      </c>
      <c r="H115" s="37" t="e">
        <f>_xlfn.XLOOKUP(B115,#REF!,#REF!)</f>
        <v>#REF!</v>
      </c>
      <c r="I115" s="37" t="e">
        <f>_xlfn.XLOOKUP(B115,#REF!,#REF!)</f>
        <v>#REF!</v>
      </c>
      <c r="J115" s="51" t="e">
        <f>_xlfn.XLOOKUP(B115,#REF!,#REF!)</f>
        <v>#REF!</v>
      </c>
      <c r="K115" s="37" t="e">
        <f>_xlfn.XLOOKUP(B115,#REF!,#REF!)</f>
        <v>#REF!</v>
      </c>
      <c r="L115" s="37" t="e">
        <f>_xlfn.XLOOKUP(B115,#REF!,#REF!)</f>
        <v>#REF!</v>
      </c>
      <c r="M115" s="37" t="e">
        <f>_xlfn.XLOOKUP(B115,#REF!,#REF!)</f>
        <v>#REF!</v>
      </c>
      <c r="N115" s="37" t="e">
        <f>_xlfn.XLOOKUP(B115,#REF!,#REF!)</f>
        <v>#REF!</v>
      </c>
      <c r="O115" s="37" t="e">
        <f>_xlfn.XLOOKUP(B115,#REF!,#REF!)</f>
        <v>#REF!</v>
      </c>
      <c r="P115" s="37" t="e">
        <f>_xlfn.XLOOKUP(B115,#REF!,#REF!)</f>
        <v>#REF!</v>
      </c>
      <c r="Q115" s="37" t="e">
        <f>_xlfn.XLOOKUP(B115,#REF!,#REF!)</f>
        <v>#REF!</v>
      </c>
      <c r="R115" s="37" t="e">
        <f>_xlfn.XLOOKUP(B115,#REF!,#REF!)</f>
        <v>#REF!</v>
      </c>
      <c r="S115" s="37" t="e">
        <f>_xlfn.XLOOKUP(B115,#REF!,#REF!)</f>
        <v>#REF!</v>
      </c>
      <c r="T115" s="37" t="e">
        <f>_xlfn.XLOOKUP(B115,#REF!,#REF!)</f>
        <v>#REF!</v>
      </c>
      <c r="U115" s="37" t="e">
        <f>_xlfn.XLOOKUP(B115,#REF!,#REF!)</f>
        <v>#REF!</v>
      </c>
      <c r="V115" s="37" t="e">
        <f>_xlfn.XLOOKUP(B115,#REF!,#REF!)</f>
        <v>#REF!</v>
      </c>
    </row>
    <row r="116" spans="1:22" x14ac:dyDescent="0.35">
      <c r="A116" t="str">
        <f>_xlfn.XLOOKUP(B116,master!B:B,master!A:A)</f>
        <v xml:space="preserve">Salaries, wages and  bonus </v>
      </c>
      <c r="B116" s="50" t="s">
        <v>350</v>
      </c>
      <c r="C116" s="50"/>
      <c r="D116" s="50"/>
      <c r="E116" s="50"/>
      <c r="F116" s="50"/>
      <c r="G116" s="37">
        <f>IFERROR(_xlfn.XLOOKUP(B116,#REF!,#REF!),0)</f>
        <v>0</v>
      </c>
      <c r="H116" s="37" t="e">
        <f>_xlfn.XLOOKUP(B116,#REF!,#REF!)</f>
        <v>#REF!</v>
      </c>
      <c r="I116" s="37" t="e">
        <f>_xlfn.XLOOKUP(B116,#REF!,#REF!)</f>
        <v>#REF!</v>
      </c>
      <c r="J116" s="51" t="e">
        <f>_xlfn.XLOOKUP(B116,#REF!,#REF!)</f>
        <v>#REF!</v>
      </c>
      <c r="K116" s="37" t="e">
        <f>_xlfn.XLOOKUP(B116,#REF!,#REF!)</f>
        <v>#REF!</v>
      </c>
      <c r="L116" s="37" t="e">
        <f>_xlfn.XLOOKUP(B116,#REF!,#REF!)</f>
        <v>#REF!</v>
      </c>
      <c r="M116" s="37" t="e">
        <f>_xlfn.XLOOKUP(B116,#REF!,#REF!)</f>
        <v>#REF!</v>
      </c>
      <c r="N116" s="37" t="e">
        <f>_xlfn.XLOOKUP(B116,#REF!,#REF!)</f>
        <v>#REF!</v>
      </c>
      <c r="O116" s="37" t="e">
        <f>_xlfn.XLOOKUP(B116,#REF!,#REF!)</f>
        <v>#REF!</v>
      </c>
      <c r="P116" s="37" t="e">
        <f>_xlfn.XLOOKUP(B116,#REF!,#REF!)</f>
        <v>#REF!</v>
      </c>
      <c r="Q116" s="37" t="e">
        <f>_xlfn.XLOOKUP(B116,#REF!,#REF!)</f>
        <v>#REF!</v>
      </c>
      <c r="R116" s="37" t="e">
        <f>_xlfn.XLOOKUP(B116,#REF!,#REF!)</f>
        <v>#REF!</v>
      </c>
      <c r="S116" s="37" t="e">
        <f>_xlfn.XLOOKUP(B116,#REF!,#REF!)</f>
        <v>#REF!</v>
      </c>
      <c r="T116" s="37" t="e">
        <f>_xlfn.XLOOKUP(B116,#REF!,#REF!)</f>
        <v>#REF!</v>
      </c>
      <c r="U116" s="37" t="e">
        <f>_xlfn.XLOOKUP(B116,#REF!,#REF!)</f>
        <v>#REF!</v>
      </c>
      <c r="V116" s="37" t="e">
        <f>_xlfn.XLOOKUP(B116,#REF!,#REF!)</f>
        <v>#REF!</v>
      </c>
    </row>
    <row r="117" spans="1:22" x14ac:dyDescent="0.35">
      <c r="A117" t="str">
        <f>_xlfn.XLOOKUP(B117,master!B:B,master!A:A)</f>
        <v xml:space="preserve">Salaries, wages and  bonus </v>
      </c>
      <c r="B117" s="50" t="s">
        <v>351</v>
      </c>
      <c r="C117" s="50"/>
      <c r="D117" s="50"/>
      <c r="E117" s="50"/>
      <c r="F117" s="50"/>
      <c r="G117" s="37">
        <f>IFERROR(_xlfn.XLOOKUP(B117,#REF!,#REF!),0)</f>
        <v>0</v>
      </c>
      <c r="H117" s="37" t="e">
        <f>_xlfn.XLOOKUP(B117,#REF!,#REF!)</f>
        <v>#REF!</v>
      </c>
      <c r="I117" s="37" t="e">
        <f>_xlfn.XLOOKUP(B117,#REF!,#REF!)</f>
        <v>#REF!</v>
      </c>
      <c r="J117" s="51" t="e">
        <f>_xlfn.XLOOKUP(B117,#REF!,#REF!)</f>
        <v>#REF!</v>
      </c>
      <c r="K117" s="37" t="e">
        <f>_xlfn.XLOOKUP(B117,#REF!,#REF!)</f>
        <v>#REF!</v>
      </c>
      <c r="L117" s="37" t="e">
        <f>_xlfn.XLOOKUP(B117,#REF!,#REF!)</f>
        <v>#REF!</v>
      </c>
      <c r="M117" s="37" t="e">
        <f>_xlfn.XLOOKUP(B117,#REF!,#REF!)</f>
        <v>#REF!</v>
      </c>
      <c r="N117" s="37" t="e">
        <f>_xlfn.XLOOKUP(B117,#REF!,#REF!)</f>
        <v>#REF!</v>
      </c>
      <c r="O117" s="37" t="e">
        <f>_xlfn.XLOOKUP(B117,#REF!,#REF!)</f>
        <v>#REF!</v>
      </c>
      <c r="P117" s="37" t="e">
        <f>_xlfn.XLOOKUP(B117,#REF!,#REF!)</f>
        <v>#REF!</v>
      </c>
      <c r="Q117" s="37" t="e">
        <f>_xlfn.XLOOKUP(B117,#REF!,#REF!)</f>
        <v>#REF!</v>
      </c>
      <c r="R117" s="37" t="e">
        <f>_xlfn.XLOOKUP(B117,#REF!,#REF!)</f>
        <v>#REF!</v>
      </c>
      <c r="S117" s="37" t="e">
        <f>_xlfn.XLOOKUP(B117,#REF!,#REF!)</f>
        <v>#REF!</v>
      </c>
      <c r="T117" s="37" t="e">
        <f>_xlfn.XLOOKUP(B117,#REF!,#REF!)</f>
        <v>#REF!</v>
      </c>
      <c r="U117" s="37" t="e">
        <f>_xlfn.XLOOKUP(B117,#REF!,#REF!)</f>
        <v>#REF!</v>
      </c>
      <c r="V117" s="37" t="e">
        <f>_xlfn.XLOOKUP(B117,#REF!,#REF!)</f>
        <v>#REF!</v>
      </c>
    </row>
    <row r="118" spans="1:22" x14ac:dyDescent="0.35">
      <c r="A118" t="str">
        <f>_xlfn.XLOOKUP(B118,master!B:B,master!A:A)</f>
        <v xml:space="preserve">Salaries, wages and  bonus </v>
      </c>
      <c r="B118" s="50" t="s">
        <v>352</v>
      </c>
      <c r="C118" s="50"/>
      <c r="D118" s="50"/>
      <c r="E118" s="50"/>
      <c r="F118" s="50"/>
      <c r="G118" s="37">
        <f>IFERROR(_xlfn.XLOOKUP(B118,#REF!,#REF!),0)</f>
        <v>0</v>
      </c>
      <c r="H118" s="37" t="e">
        <f>_xlfn.XLOOKUP(B118,#REF!,#REF!)</f>
        <v>#REF!</v>
      </c>
      <c r="I118" s="37" t="e">
        <f>_xlfn.XLOOKUP(B118,#REF!,#REF!)</f>
        <v>#REF!</v>
      </c>
      <c r="J118" s="51" t="e">
        <f>_xlfn.XLOOKUP(B118,#REF!,#REF!)</f>
        <v>#REF!</v>
      </c>
      <c r="K118" s="37" t="e">
        <f>_xlfn.XLOOKUP(B118,#REF!,#REF!)</f>
        <v>#REF!</v>
      </c>
      <c r="L118" s="37" t="e">
        <f>_xlfn.XLOOKUP(B118,#REF!,#REF!)</f>
        <v>#REF!</v>
      </c>
      <c r="M118" s="37" t="e">
        <f>_xlfn.XLOOKUP(B118,#REF!,#REF!)</f>
        <v>#REF!</v>
      </c>
      <c r="N118" s="37" t="e">
        <f>_xlfn.XLOOKUP(B118,#REF!,#REF!)</f>
        <v>#REF!</v>
      </c>
      <c r="O118" s="37" t="e">
        <f>_xlfn.XLOOKUP(B118,#REF!,#REF!)</f>
        <v>#REF!</v>
      </c>
      <c r="P118" s="37" t="e">
        <f>_xlfn.XLOOKUP(B118,#REF!,#REF!)</f>
        <v>#REF!</v>
      </c>
      <c r="Q118" s="37" t="e">
        <f>_xlfn.XLOOKUP(B118,#REF!,#REF!)</f>
        <v>#REF!</v>
      </c>
      <c r="R118" s="37" t="e">
        <f>_xlfn.XLOOKUP(B118,#REF!,#REF!)</f>
        <v>#REF!</v>
      </c>
      <c r="S118" s="37" t="e">
        <f>_xlfn.XLOOKUP(B118,#REF!,#REF!)</f>
        <v>#REF!</v>
      </c>
      <c r="T118" s="37" t="e">
        <f>_xlfn.XLOOKUP(B118,#REF!,#REF!)</f>
        <v>#REF!</v>
      </c>
      <c r="U118" s="37" t="e">
        <f>_xlfn.XLOOKUP(B118,#REF!,#REF!)</f>
        <v>#REF!</v>
      </c>
      <c r="V118" s="37" t="e">
        <f>_xlfn.XLOOKUP(B118,#REF!,#REF!)</f>
        <v>#REF!</v>
      </c>
    </row>
    <row r="119" spans="1:22" x14ac:dyDescent="0.35">
      <c r="A119" t="str">
        <f>_xlfn.XLOOKUP(B119,master!B:B,master!A:A)</f>
        <v xml:space="preserve">Salaries, wages and  bonus </v>
      </c>
      <c r="B119" s="50" t="s">
        <v>353</v>
      </c>
      <c r="C119" s="50"/>
      <c r="D119" s="50"/>
      <c r="E119" s="50"/>
      <c r="F119" s="50"/>
      <c r="G119" s="37">
        <f>IFERROR(_xlfn.XLOOKUP(B119,#REF!,#REF!),0)</f>
        <v>0</v>
      </c>
      <c r="H119" s="37" t="e">
        <f>_xlfn.XLOOKUP(B119,#REF!,#REF!)</f>
        <v>#REF!</v>
      </c>
      <c r="I119" s="37" t="e">
        <f>_xlfn.XLOOKUP(B119,#REF!,#REF!)</f>
        <v>#REF!</v>
      </c>
      <c r="J119" s="51" t="e">
        <f>_xlfn.XLOOKUP(B119,#REF!,#REF!)</f>
        <v>#REF!</v>
      </c>
      <c r="K119" s="37" t="e">
        <f>_xlfn.XLOOKUP(B119,#REF!,#REF!)</f>
        <v>#REF!</v>
      </c>
      <c r="L119" s="37" t="e">
        <f>_xlfn.XLOOKUP(B119,#REF!,#REF!)</f>
        <v>#REF!</v>
      </c>
      <c r="M119" s="37" t="e">
        <f>_xlfn.XLOOKUP(B119,#REF!,#REF!)</f>
        <v>#REF!</v>
      </c>
      <c r="N119" s="37" t="e">
        <f>_xlfn.XLOOKUP(B119,#REF!,#REF!)</f>
        <v>#REF!</v>
      </c>
      <c r="O119" s="37" t="e">
        <f>_xlfn.XLOOKUP(B119,#REF!,#REF!)</f>
        <v>#REF!</v>
      </c>
      <c r="P119" s="37" t="e">
        <f>_xlfn.XLOOKUP(B119,#REF!,#REF!)</f>
        <v>#REF!</v>
      </c>
      <c r="Q119" s="37" t="e">
        <f>_xlfn.XLOOKUP(B119,#REF!,#REF!)</f>
        <v>#REF!</v>
      </c>
      <c r="R119" s="37" t="e">
        <f>_xlfn.XLOOKUP(B119,#REF!,#REF!)</f>
        <v>#REF!</v>
      </c>
      <c r="S119" s="37" t="e">
        <f>_xlfn.XLOOKUP(B119,#REF!,#REF!)</f>
        <v>#REF!</v>
      </c>
      <c r="T119" s="37" t="e">
        <f>_xlfn.XLOOKUP(B119,#REF!,#REF!)</f>
        <v>#REF!</v>
      </c>
      <c r="U119" s="37" t="e">
        <f>_xlfn.XLOOKUP(B119,#REF!,#REF!)</f>
        <v>#REF!</v>
      </c>
      <c r="V119" s="37" t="e">
        <f>_xlfn.XLOOKUP(B119,#REF!,#REF!)</f>
        <v>#REF!</v>
      </c>
    </row>
    <row r="120" spans="1:22" x14ac:dyDescent="0.35">
      <c r="A120" t="str">
        <f>_xlfn.XLOOKUP(B120,master!B:B,master!A:A)</f>
        <v xml:space="preserve">Salaries, wages and  bonus </v>
      </c>
      <c r="B120" s="50" t="s">
        <v>568</v>
      </c>
      <c r="C120" s="50"/>
      <c r="D120" s="50"/>
      <c r="E120" s="50"/>
      <c r="F120" s="50"/>
      <c r="G120" s="37">
        <f>IFERROR(_xlfn.XLOOKUP(B120,#REF!,#REF!),0)</f>
        <v>0</v>
      </c>
      <c r="H120" s="37" t="e">
        <f>_xlfn.XLOOKUP(B120,#REF!,#REF!)</f>
        <v>#REF!</v>
      </c>
      <c r="I120" s="37" t="e">
        <f>_xlfn.XLOOKUP(B120,#REF!,#REF!)</f>
        <v>#REF!</v>
      </c>
      <c r="J120" s="51" t="e">
        <f>_xlfn.XLOOKUP(B120,#REF!,#REF!)</f>
        <v>#REF!</v>
      </c>
      <c r="K120" s="37" t="e">
        <f>_xlfn.XLOOKUP(B120,#REF!,#REF!)</f>
        <v>#REF!</v>
      </c>
      <c r="L120" s="37" t="e">
        <f>_xlfn.XLOOKUP(B120,#REF!,#REF!)</f>
        <v>#REF!</v>
      </c>
      <c r="M120" s="37" t="e">
        <f>_xlfn.XLOOKUP(B120,#REF!,#REF!)</f>
        <v>#REF!</v>
      </c>
      <c r="N120" s="37" t="e">
        <f>_xlfn.XLOOKUP(B120,#REF!,#REF!)</f>
        <v>#REF!</v>
      </c>
      <c r="O120" s="37" t="e">
        <f>_xlfn.XLOOKUP(B120,#REF!,#REF!)</f>
        <v>#REF!</v>
      </c>
      <c r="P120" s="37" t="e">
        <f>_xlfn.XLOOKUP(B120,#REF!,#REF!)</f>
        <v>#REF!</v>
      </c>
      <c r="Q120" s="37" t="e">
        <f>_xlfn.XLOOKUP(B120,#REF!,#REF!)</f>
        <v>#REF!</v>
      </c>
      <c r="R120" s="37" t="e">
        <f>_xlfn.XLOOKUP(B120,#REF!,#REF!)</f>
        <v>#REF!</v>
      </c>
      <c r="S120" s="37" t="e">
        <f>_xlfn.XLOOKUP(B120,#REF!,#REF!)</f>
        <v>#REF!</v>
      </c>
      <c r="T120" s="37" t="e">
        <f>_xlfn.XLOOKUP(B120,#REF!,#REF!)</f>
        <v>#REF!</v>
      </c>
      <c r="U120" s="37" t="e">
        <f>_xlfn.XLOOKUP(B120,#REF!,#REF!)</f>
        <v>#REF!</v>
      </c>
      <c r="V120" s="37" t="e">
        <f>_xlfn.XLOOKUP(B120,#REF!,#REF!)</f>
        <v>#REF!</v>
      </c>
    </row>
    <row r="121" spans="1:22" x14ac:dyDescent="0.35">
      <c r="A121" t="str">
        <f>_xlfn.XLOOKUP(B121,master!B:B,master!A:A)</f>
        <v xml:space="preserve">Salaries, wages and  bonus </v>
      </c>
      <c r="B121" s="50" t="s">
        <v>354</v>
      </c>
      <c r="C121" s="50"/>
      <c r="D121" s="50"/>
      <c r="E121" s="50"/>
      <c r="F121" s="50"/>
      <c r="G121" s="37">
        <f>IFERROR(_xlfn.XLOOKUP(B121,#REF!,#REF!),0)</f>
        <v>0</v>
      </c>
      <c r="H121" s="37" t="e">
        <f>_xlfn.XLOOKUP(B121,#REF!,#REF!)</f>
        <v>#REF!</v>
      </c>
      <c r="I121" s="37" t="e">
        <f>_xlfn.XLOOKUP(B121,#REF!,#REF!)</f>
        <v>#REF!</v>
      </c>
      <c r="J121" s="51" t="e">
        <f>_xlfn.XLOOKUP(B121,#REF!,#REF!)</f>
        <v>#REF!</v>
      </c>
      <c r="K121" s="37" t="e">
        <f>_xlfn.XLOOKUP(B121,#REF!,#REF!)</f>
        <v>#REF!</v>
      </c>
      <c r="L121" s="37" t="e">
        <f>_xlfn.XLOOKUP(B121,#REF!,#REF!)</f>
        <v>#REF!</v>
      </c>
      <c r="M121" s="37" t="e">
        <f>_xlfn.XLOOKUP(B121,#REF!,#REF!)</f>
        <v>#REF!</v>
      </c>
      <c r="N121" s="37" t="e">
        <f>_xlfn.XLOOKUP(B121,#REF!,#REF!)</f>
        <v>#REF!</v>
      </c>
      <c r="O121" s="37" t="e">
        <f>_xlfn.XLOOKUP(B121,#REF!,#REF!)</f>
        <v>#REF!</v>
      </c>
      <c r="P121" s="37" t="e">
        <f>_xlfn.XLOOKUP(B121,#REF!,#REF!)</f>
        <v>#REF!</v>
      </c>
      <c r="Q121" s="37" t="e">
        <f>_xlfn.XLOOKUP(B121,#REF!,#REF!)</f>
        <v>#REF!</v>
      </c>
      <c r="R121" s="37" t="e">
        <f>_xlfn.XLOOKUP(B121,#REF!,#REF!)</f>
        <v>#REF!</v>
      </c>
      <c r="S121" s="37" t="e">
        <f>_xlfn.XLOOKUP(B121,#REF!,#REF!)</f>
        <v>#REF!</v>
      </c>
      <c r="T121" s="37" t="e">
        <f>_xlfn.XLOOKUP(B121,#REF!,#REF!)</f>
        <v>#REF!</v>
      </c>
      <c r="U121" s="37" t="e">
        <f>_xlfn.XLOOKUP(B121,#REF!,#REF!)</f>
        <v>#REF!</v>
      </c>
      <c r="V121" s="37" t="e">
        <f>_xlfn.XLOOKUP(B121,#REF!,#REF!)</f>
        <v>#REF!</v>
      </c>
    </row>
    <row r="122" spans="1:22" x14ac:dyDescent="0.35">
      <c r="A122" t="str">
        <f>_xlfn.XLOOKUP(B122,master!B:B,master!A:A)</f>
        <v>Staff welfare expenses</v>
      </c>
      <c r="B122" s="50" t="s">
        <v>355</v>
      </c>
      <c r="C122" s="50"/>
      <c r="D122" s="50"/>
      <c r="E122" s="50"/>
      <c r="F122" s="50"/>
      <c r="G122" s="37">
        <f>IFERROR(_xlfn.XLOOKUP(B122,#REF!,#REF!),0)</f>
        <v>0</v>
      </c>
      <c r="H122" s="37" t="e">
        <f>_xlfn.XLOOKUP(B122,#REF!,#REF!)</f>
        <v>#REF!</v>
      </c>
      <c r="I122" s="37" t="e">
        <f>_xlfn.XLOOKUP(B122,#REF!,#REF!)</f>
        <v>#REF!</v>
      </c>
      <c r="J122" s="51" t="e">
        <f>_xlfn.XLOOKUP(B122,#REF!,#REF!)</f>
        <v>#REF!</v>
      </c>
      <c r="K122" s="37" t="e">
        <f>_xlfn.XLOOKUP(B122,#REF!,#REF!)</f>
        <v>#REF!</v>
      </c>
      <c r="L122" s="37" t="e">
        <f>_xlfn.XLOOKUP(B122,#REF!,#REF!)</f>
        <v>#REF!</v>
      </c>
      <c r="M122" s="37" t="e">
        <f>_xlfn.XLOOKUP(B122,#REF!,#REF!)</f>
        <v>#REF!</v>
      </c>
      <c r="N122" s="37" t="e">
        <f>_xlfn.XLOOKUP(B122,#REF!,#REF!)</f>
        <v>#REF!</v>
      </c>
      <c r="O122" s="37" t="e">
        <f>_xlfn.XLOOKUP(B122,#REF!,#REF!)</f>
        <v>#REF!</v>
      </c>
      <c r="P122" s="37" t="e">
        <f>_xlfn.XLOOKUP(B122,#REF!,#REF!)</f>
        <v>#REF!</v>
      </c>
      <c r="Q122" s="37" t="e">
        <f>_xlfn.XLOOKUP(B122,#REF!,#REF!)</f>
        <v>#REF!</v>
      </c>
      <c r="R122" s="37" t="e">
        <f>_xlfn.XLOOKUP(B122,#REF!,#REF!)</f>
        <v>#REF!</v>
      </c>
      <c r="S122" s="37" t="e">
        <f>_xlfn.XLOOKUP(B122,#REF!,#REF!)</f>
        <v>#REF!</v>
      </c>
      <c r="T122" s="37" t="e">
        <f>_xlfn.XLOOKUP(B122,#REF!,#REF!)</f>
        <v>#REF!</v>
      </c>
      <c r="U122" s="37" t="e">
        <f>_xlfn.XLOOKUP(B122,#REF!,#REF!)</f>
        <v>#REF!</v>
      </c>
      <c r="V122" s="37" t="e">
        <f>_xlfn.XLOOKUP(B122,#REF!,#REF!)</f>
        <v>#REF!</v>
      </c>
    </row>
    <row r="123" spans="1:22" x14ac:dyDescent="0.35">
      <c r="A123" t="str">
        <f>_xlfn.XLOOKUP(B123,master!B:B,master!A:A)</f>
        <v>Staff welfare expenses</v>
      </c>
      <c r="B123" s="50" t="s">
        <v>356</v>
      </c>
      <c r="C123" s="50"/>
      <c r="D123" s="50"/>
      <c r="E123" s="50"/>
      <c r="F123" s="50"/>
      <c r="G123" s="37">
        <f>IFERROR(_xlfn.XLOOKUP(B123,#REF!,#REF!),0)</f>
        <v>0</v>
      </c>
      <c r="H123" s="37" t="e">
        <f>_xlfn.XLOOKUP(B123,#REF!,#REF!)</f>
        <v>#REF!</v>
      </c>
      <c r="I123" s="37" t="e">
        <f>_xlfn.XLOOKUP(B123,#REF!,#REF!)</f>
        <v>#REF!</v>
      </c>
      <c r="J123" s="51" t="e">
        <f>_xlfn.XLOOKUP(B123,#REF!,#REF!)</f>
        <v>#REF!</v>
      </c>
      <c r="K123" s="37" t="e">
        <f>_xlfn.XLOOKUP(B123,#REF!,#REF!)</f>
        <v>#REF!</v>
      </c>
      <c r="L123" s="37" t="e">
        <f>_xlfn.XLOOKUP(B123,#REF!,#REF!)</f>
        <v>#REF!</v>
      </c>
      <c r="M123" s="37" t="e">
        <f>_xlfn.XLOOKUP(B123,#REF!,#REF!)</f>
        <v>#REF!</v>
      </c>
      <c r="N123" s="37" t="e">
        <f>_xlfn.XLOOKUP(B123,#REF!,#REF!)</f>
        <v>#REF!</v>
      </c>
      <c r="O123" s="37" t="e">
        <f>_xlfn.XLOOKUP(B123,#REF!,#REF!)</f>
        <v>#REF!</v>
      </c>
      <c r="P123" s="37" t="e">
        <f>_xlfn.XLOOKUP(B123,#REF!,#REF!)</f>
        <v>#REF!</v>
      </c>
      <c r="Q123" s="37" t="e">
        <f>_xlfn.XLOOKUP(B123,#REF!,#REF!)</f>
        <v>#REF!</v>
      </c>
      <c r="R123" s="37" t="e">
        <f>_xlfn.XLOOKUP(B123,#REF!,#REF!)</f>
        <v>#REF!</v>
      </c>
      <c r="S123" s="37" t="e">
        <f>_xlfn.XLOOKUP(B123,#REF!,#REF!)</f>
        <v>#REF!</v>
      </c>
      <c r="T123" s="37" t="e">
        <f>_xlfn.XLOOKUP(B123,#REF!,#REF!)</f>
        <v>#REF!</v>
      </c>
      <c r="U123" s="37" t="e">
        <f>_xlfn.XLOOKUP(B123,#REF!,#REF!)</f>
        <v>#REF!</v>
      </c>
      <c r="V123" s="37" t="e">
        <f>_xlfn.XLOOKUP(B123,#REF!,#REF!)</f>
        <v>#REF!</v>
      </c>
    </row>
    <row r="124" spans="1:22" x14ac:dyDescent="0.35">
      <c r="A124" t="str">
        <f>_xlfn.XLOOKUP(B124,master!B:B,master!A:A)</f>
        <v>Staff welfare expenses</v>
      </c>
      <c r="B124" s="50" t="s">
        <v>357</v>
      </c>
      <c r="C124" s="50"/>
      <c r="D124" s="50"/>
      <c r="E124" s="50"/>
      <c r="F124" s="50"/>
      <c r="G124" s="37">
        <f>IFERROR(_xlfn.XLOOKUP(B124,#REF!,#REF!),0)</f>
        <v>0</v>
      </c>
      <c r="H124" s="37" t="e">
        <f>_xlfn.XLOOKUP(B124,#REF!,#REF!)</f>
        <v>#REF!</v>
      </c>
      <c r="I124" s="37" t="e">
        <f>_xlfn.XLOOKUP(B124,#REF!,#REF!)</f>
        <v>#REF!</v>
      </c>
      <c r="J124" s="51" t="e">
        <f>_xlfn.XLOOKUP(B124,#REF!,#REF!)</f>
        <v>#REF!</v>
      </c>
      <c r="K124" s="37" t="e">
        <f>_xlfn.XLOOKUP(B124,#REF!,#REF!)</f>
        <v>#REF!</v>
      </c>
      <c r="L124" s="37" t="e">
        <f>_xlfn.XLOOKUP(B124,#REF!,#REF!)</f>
        <v>#REF!</v>
      </c>
      <c r="M124" s="37" t="e">
        <f>_xlfn.XLOOKUP(B124,#REF!,#REF!)</f>
        <v>#REF!</v>
      </c>
      <c r="N124" s="37" t="e">
        <f>_xlfn.XLOOKUP(B124,#REF!,#REF!)</f>
        <v>#REF!</v>
      </c>
      <c r="O124" s="37" t="e">
        <f>_xlfn.XLOOKUP(B124,#REF!,#REF!)</f>
        <v>#REF!</v>
      </c>
      <c r="P124" s="37" t="e">
        <f>_xlfn.XLOOKUP(B124,#REF!,#REF!)</f>
        <v>#REF!</v>
      </c>
      <c r="Q124" s="37" t="e">
        <f>_xlfn.XLOOKUP(B124,#REF!,#REF!)</f>
        <v>#REF!</v>
      </c>
      <c r="R124" s="37" t="e">
        <f>_xlfn.XLOOKUP(B124,#REF!,#REF!)</f>
        <v>#REF!</v>
      </c>
      <c r="S124" s="37" t="e">
        <f>_xlfn.XLOOKUP(B124,#REF!,#REF!)</f>
        <v>#REF!</v>
      </c>
      <c r="T124" s="37" t="e">
        <f>_xlfn.XLOOKUP(B124,#REF!,#REF!)</f>
        <v>#REF!</v>
      </c>
      <c r="U124" s="37" t="e">
        <f>_xlfn.XLOOKUP(B124,#REF!,#REF!)</f>
        <v>#REF!</v>
      </c>
      <c r="V124" s="37" t="e">
        <f>_xlfn.XLOOKUP(B124,#REF!,#REF!)</f>
        <v>#REF!</v>
      </c>
    </row>
    <row r="125" spans="1:22" x14ac:dyDescent="0.35">
      <c r="A125" t="str">
        <f>_xlfn.XLOOKUP(B125,master!B:B,master!A:A)</f>
        <v>Staff welfare expenses</v>
      </c>
      <c r="B125" s="50" t="s">
        <v>358</v>
      </c>
      <c r="C125" s="50"/>
      <c r="D125" s="50"/>
      <c r="E125" s="50"/>
      <c r="F125" s="50"/>
      <c r="G125" s="37">
        <f>IFERROR(_xlfn.XLOOKUP(B125,#REF!,#REF!),0)</f>
        <v>0</v>
      </c>
      <c r="H125" s="37" t="e">
        <f>_xlfn.XLOOKUP(B125,#REF!,#REF!)</f>
        <v>#REF!</v>
      </c>
      <c r="I125" s="37" t="e">
        <f>_xlfn.XLOOKUP(B125,#REF!,#REF!)</f>
        <v>#REF!</v>
      </c>
      <c r="J125" s="51" t="e">
        <f>_xlfn.XLOOKUP(B125,#REF!,#REF!)</f>
        <v>#REF!</v>
      </c>
      <c r="K125" s="37" t="e">
        <f>_xlfn.XLOOKUP(B125,#REF!,#REF!)</f>
        <v>#REF!</v>
      </c>
      <c r="L125" s="37" t="e">
        <f>_xlfn.XLOOKUP(B125,#REF!,#REF!)</f>
        <v>#REF!</v>
      </c>
      <c r="M125" s="37" t="e">
        <f>_xlfn.XLOOKUP(B125,#REF!,#REF!)</f>
        <v>#REF!</v>
      </c>
      <c r="N125" s="37" t="e">
        <f>_xlfn.XLOOKUP(B125,#REF!,#REF!)</f>
        <v>#REF!</v>
      </c>
      <c r="O125" s="37" t="e">
        <f>_xlfn.XLOOKUP(B125,#REF!,#REF!)</f>
        <v>#REF!</v>
      </c>
      <c r="P125" s="37" t="e">
        <f>_xlfn.XLOOKUP(B125,#REF!,#REF!)</f>
        <v>#REF!</v>
      </c>
      <c r="Q125" s="37" t="e">
        <f>_xlfn.XLOOKUP(B125,#REF!,#REF!)</f>
        <v>#REF!</v>
      </c>
      <c r="R125" s="37" t="e">
        <f>_xlfn.XLOOKUP(B125,#REF!,#REF!)</f>
        <v>#REF!</v>
      </c>
      <c r="S125" s="37" t="e">
        <f>_xlfn.XLOOKUP(B125,#REF!,#REF!)</f>
        <v>#REF!</v>
      </c>
      <c r="T125" s="37" t="e">
        <f>_xlfn.XLOOKUP(B125,#REF!,#REF!)</f>
        <v>#REF!</v>
      </c>
      <c r="U125" s="37" t="e">
        <f>_xlfn.XLOOKUP(B125,#REF!,#REF!)</f>
        <v>#REF!</v>
      </c>
      <c r="V125" s="37" t="e">
        <f>_xlfn.XLOOKUP(B125,#REF!,#REF!)</f>
        <v>#REF!</v>
      </c>
    </row>
    <row r="126" spans="1:22" x14ac:dyDescent="0.35">
      <c r="A126" t="str">
        <f>_xlfn.XLOOKUP(B126,master!B:B,master!A:A)</f>
        <v>Staff welfare expenses</v>
      </c>
      <c r="B126" s="50" t="s">
        <v>359</v>
      </c>
      <c r="C126" s="50"/>
      <c r="D126" s="50"/>
      <c r="E126" s="50"/>
      <c r="F126" s="50"/>
      <c r="G126" s="37">
        <f>IFERROR(_xlfn.XLOOKUP(B126,#REF!,#REF!),0)</f>
        <v>0</v>
      </c>
      <c r="H126" s="37" t="e">
        <f>_xlfn.XLOOKUP(B126,#REF!,#REF!)</f>
        <v>#REF!</v>
      </c>
      <c r="I126" s="37" t="e">
        <f>_xlfn.XLOOKUP(B126,#REF!,#REF!)</f>
        <v>#REF!</v>
      </c>
      <c r="J126" s="51" t="e">
        <f>_xlfn.XLOOKUP(B126,#REF!,#REF!)</f>
        <v>#REF!</v>
      </c>
      <c r="K126" s="37" t="e">
        <f>_xlfn.XLOOKUP(B126,#REF!,#REF!)</f>
        <v>#REF!</v>
      </c>
      <c r="L126" s="37" t="e">
        <f>_xlfn.XLOOKUP(B126,#REF!,#REF!)</f>
        <v>#REF!</v>
      </c>
      <c r="M126" s="37" t="e">
        <f>_xlfn.XLOOKUP(B126,#REF!,#REF!)</f>
        <v>#REF!</v>
      </c>
      <c r="N126" s="37" t="e">
        <f>_xlfn.XLOOKUP(B126,#REF!,#REF!)</f>
        <v>#REF!</v>
      </c>
      <c r="O126" s="37" t="e">
        <f>_xlfn.XLOOKUP(B126,#REF!,#REF!)</f>
        <v>#REF!</v>
      </c>
      <c r="P126" s="37" t="e">
        <f>_xlfn.XLOOKUP(B126,#REF!,#REF!)</f>
        <v>#REF!</v>
      </c>
      <c r="Q126" s="37" t="e">
        <f>_xlfn.XLOOKUP(B126,#REF!,#REF!)</f>
        <v>#REF!</v>
      </c>
      <c r="R126" s="37" t="e">
        <f>_xlfn.XLOOKUP(B126,#REF!,#REF!)</f>
        <v>#REF!</v>
      </c>
      <c r="S126" s="37" t="e">
        <f>_xlfn.XLOOKUP(B126,#REF!,#REF!)</f>
        <v>#REF!</v>
      </c>
      <c r="T126" s="37" t="e">
        <f>_xlfn.XLOOKUP(B126,#REF!,#REF!)</f>
        <v>#REF!</v>
      </c>
      <c r="U126" s="37" t="e">
        <f>_xlfn.XLOOKUP(B126,#REF!,#REF!)</f>
        <v>#REF!</v>
      </c>
      <c r="V126" s="37" t="e">
        <f>_xlfn.XLOOKUP(B126,#REF!,#REF!)</f>
        <v>#REF!</v>
      </c>
    </row>
    <row r="127" spans="1:22" x14ac:dyDescent="0.35">
      <c r="A127" t="str">
        <f>_xlfn.XLOOKUP(B127,master!B:B,master!A:A)</f>
        <v>Bank Charges &amp; Commission</v>
      </c>
      <c r="B127" s="50" t="s">
        <v>360</v>
      </c>
      <c r="C127" s="50"/>
      <c r="D127" s="50"/>
      <c r="E127" s="50"/>
      <c r="F127" s="50"/>
      <c r="G127" s="37">
        <f>IFERROR(_xlfn.XLOOKUP(B127,#REF!,#REF!),0)</f>
        <v>0</v>
      </c>
      <c r="H127" s="37" t="e">
        <f>_xlfn.XLOOKUP(B127,#REF!,#REF!)</f>
        <v>#REF!</v>
      </c>
      <c r="I127" s="37" t="e">
        <f>_xlfn.XLOOKUP(B127,#REF!,#REF!)</f>
        <v>#REF!</v>
      </c>
      <c r="J127" s="51" t="e">
        <f>_xlfn.XLOOKUP(B127,#REF!,#REF!)</f>
        <v>#REF!</v>
      </c>
      <c r="K127" s="37" t="e">
        <f>_xlfn.XLOOKUP(B127,#REF!,#REF!)</f>
        <v>#REF!</v>
      </c>
      <c r="L127" s="37" t="e">
        <f>_xlfn.XLOOKUP(B127,#REF!,#REF!)</f>
        <v>#REF!</v>
      </c>
      <c r="M127" s="37" t="e">
        <f>_xlfn.XLOOKUP(B127,#REF!,#REF!)</f>
        <v>#REF!</v>
      </c>
      <c r="N127" s="37" t="e">
        <f>_xlfn.XLOOKUP(B127,#REF!,#REF!)</f>
        <v>#REF!</v>
      </c>
      <c r="O127" s="37" t="e">
        <f>_xlfn.XLOOKUP(B127,#REF!,#REF!)</f>
        <v>#REF!</v>
      </c>
      <c r="P127" s="37" t="e">
        <f>_xlfn.XLOOKUP(B127,#REF!,#REF!)</f>
        <v>#REF!</v>
      </c>
      <c r="Q127" s="37" t="e">
        <f>_xlfn.XLOOKUP(B127,#REF!,#REF!)</f>
        <v>#REF!</v>
      </c>
      <c r="R127" s="37" t="e">
        <f>_xlfn.XLOOKUP(B127,#REF!,#REF!)</f>
        <v>#REF!</v>
      </c>
      <c r="S127" s="37" t="e">
        <f>_xlfn.XLOOKUP(B127,#REF!,#REF!)</f>
        <v>#REF!</v>
      </c>
      <c r="T127" s="37" t="e">
        <f>_xlfn.XLOOKUP(B127,#REF!,#REF!)</f>
        <v>#REF!</v>
      </c>
      <c r="U127" s="37" t="e">
        <f>_xlfn.XLOOKUP(B127,#REF!,#REF!)</f>
        <v>#REF!</v>
      </c>
      <c r="V127" s="37" t="e">
        <f>_xlfn.XLOOKUP(B127,#REF!,#REF!)</f>
        <v>#REF!</v>
      </c>
    </row>
    <row r="128" spans="1:22" x14ac:dyDescent="0.35">
      <c r="A128" t="str">
        <f>_xlfn.XLOOKUP(B128,master!B:B,master!A:A)</f>
        <v>Bank Charges &amp; Commission</v>
      </c>
      <c r="B128" s="50" t="s">
        <v>361</v>
      </c>
      <c r="C128" s="50"/>
      <c r="D128" s="50"/>
      <c r="E128" s="50"/>
      <c r="F128" s="50"/>
      <c r="G128" s="37">
        <f>IFERROR(_xlfn.XLOOKUP(B128,#REF!,#REF!),0)</f>
        <v>0</v>
      </c>
      <c r="H128" s="37" t="e">
        <f>_xlfn.XLOOKUP(B128,#REF!,#REF!)</f>
        <v>#REF!</v>
      </c>
      <c r="I128" s="37" t="e">
        <f>_xlfn.XLOOKUP(B128,#REF!,#REF!)</f>
        <v>#REF!</v>
      </c>
      <c r="J128" s="51" t="e">
        <f>_xlfn.XLOOKUP(B128,#REF!,#REF!)</f>
        <v>#REF!</v>
      </c>
      <c r="K128" s="37" t="e">
        <f>_xlfn.XLOOKUP(B128,#REF!,#REF!)</f>
        <v>#REF!</v>
      </c>
      <c r="L128" s="37" t="e">
        <f>_xlfn.XLOOKUP(B128,#REF!,#REF!)</f>
        <v>#REF!</v>
      </c>
      <c r="M128" s="37" t="e">
        <f>_xlfn.XLOOKUP(B128,#REF!,#REF!)</f>
        <v>#REF!</v>
      </c>
      <c r="N128" s="37" t="e">
        <f>_xlfn.XLOOKUP(B128,#REF!,#REF!)</f>
        <v>#REF!</v>
      </c>
      <c r="O128" s="37" t="e">
        <f>_xlfn.XLOOKUP(B128,#REF!,#REF!)</f>
        <v>#REF!</v>
      </c>
      <c r="P128" s="37" t="e">
        <f>_xlfn.XLOOKUP(B128,#REF!,#REF!)</f>
        <v>#REF!</v>
      </c>
      <c r="Q128" s="37" t="e">
        <f>_xlfn.XLOOKUP(B128,#REF!,#REF!)</f>
        <v>#REF!</v>
      </c>
      <c r="R128" s="37" t="e">
        <f>_xlfn.XLOOKUP(B128,#REF!,#REF!)</f>
        <v>#REF!</v>
      </c>
      <c r="S128" s="37" t="e">
        <f>_xlfn.XLOOKUP(B128,#REF!,#REF!)</f>
        <v>#REF!</v>
      </c>
      <c r="T128" s="37" t="e">
        <f>_xlfn.XLOOKUP(B128,#REF!,#REF!)</f>
        <v>#REF!</v>
      </c>
      <c r="U128" s="37" t="e">
        <f>_xlfn.XLOOKUP(B128,#REF!,#REF!)</f>
        <v>#REF!</v>
      </c>
      <c r="V128" s="37" t="e">
        <f>_xlfn.XLOOKUP(B128,#REF!,#REF!)</f>
        <v>#REF!</v>
      </c>
    </row>
    <row r="129" spans="1:22" x14ac:dyDescent="0.35">
      <c r="A129" t="str">
        <f>_xlfn.XLOOKUP(B129,master!B:B,master!A:A)</f>
        <v>Bank Charges &amp; Commission</v>
      </c>
      <c r="B129" s="50" t="s">
        <v>362</v>
      </c>
      <c r="C129" s="50"/>
      <c r="D129" s="50"/>
      <c r="E129" s="50"/>
      <c r="F129" s="50"/>
      <c r="G129" s="37">
        <f>IFERROR(_xlfn.XLOOKUP(B129,#REF!,#REF!),0)</f>
        <v>0</v>
      </c>
      <c r="H129" s="37" t="e">
        <f>_xlfn.XLOOKUP(B129,#REF!,#REF!)</f>
        <v>#REF!</v>
      </c>
      <c r="I129" s="37" t="e">
        <f>_xlfn.XLOOKUP(B129,#REF!,#REF!)</f>
        <v>#REF!</v>
      </c>
      <c r="J129" s="51" t="e">
        <f>_xlfn.XLOOKUP(B129,#REF!,#REF!)</f>
        <v>#REF!</v>
      </c>
      <c r="K129" s="37" t="e">
        <f>_xlfn.XLOOKUP(B129,#REF!,#REF!)</f>
        <v>#REF!</v>
      </c>
      <c r="L129" s="37" t="e">
        <f>_xlfn.XLOOKUP(B129,#REF!,#REF!)</f>
        <v>#REF!</v>
      </c>
      <c r="M129" s="37" t="e">
        <f>_xlfn.XLOOKUP(B129,#REF!,#REF!)</f>
        <v>#REF!</v>
      </c>
      <c r="N129" s="37" t="e">
        <f>_xlfn.XLOOKUP(B129,#REF!,#REF!)</f>
        <v>#REF!</v>
      </c>
      <c r="O129" s="37" t="e">
        <f>_xlfn.XLOOKUP(B129,#REF!,#REF!)</f>
        <v>#REF!</v>
      </c>
      <c r="P129" s="37" t="e">
        <f>_xlfn.XLOOKUP(B129,#REF!,#REF!)</f>
        <v>#REF!</v>
      </c>
      <c r="Q129" s="37" t="e">
        <f>_xlfn.XLOOKUP(B129,#REF!,#REF!)</f>
        <v>#REF!</v>
      </c>
      <c r="R129" s="37" t="e">
        <f>_xlfn.XLOOKUP(B129,#REF!,#REF!)</f>
        <v>#REF!</v>
      </c>
      <c r="S129" s="37" t="e">
        <f>_xlfn.XLOOKUP(B129,#REF!,#REF!)</f>
        <v>#REF!</v>
      </c>
      <c r="T129" s="37" t="e">
        <f>_xlfn.XLOOKUP(B129,#REF!,#REF!)</f>
        <v>#REF!</v>
      </c>
      <c r="U129" s="37" t="e">
        <f>_xlfn.XLOOKUP(B129,#REF!,#REF!)</f>
        <v>#REF!</v>
      </c>
      <c r="V129" s="37" t="e">
        <f>_xlfn.XLOOKUP(B129,#REF!,#REF!)</f>
        <v>#REF!</v>
      </c>
    </row>
    <row r="130" spans="1:22" x14ac:dyDescent="0.35">
      <c r="A130" t="str">
        <f>_xlfn.XLOOKUP(B130,master!B:B,master!A:A)</f>
        <v>Bank Charges &amp; Commission</v>
      </c>
      <c r="B130" s="50" t="s">
        <v>363</v>
      </c>
      <c r="C130" s="50"/>
      <c r="D130" s="50"/>
      <c r="E130" s="50"/>
      <c r="F130" s="50"/>
      <c r="G130" s="37">
        <f>IFERROR(_xlfn.XLOOKUP(B130,#REF!,#REF!),0)</f>
        <v>0</v>
      </c>
      <c r="H130" s="37" t="e">
        <f>_xlfn.XLOOKUP(B130,#REF!,#REF!)</f>
        <v>#REF!</v>
      </c>
      <c r="I130" s="37" t="e">
        <f>_xlfn.XLOOKUP(B130,#REF!,#REF!)</f>
        <v>#REF!</v>
      </c>
      <c r="J130" s="51" t="e">
        <f>_xlfn.XLOOKUP(B130,#REF!,#REF!)</f>
        <v>#REF!</v>
      </c>
      <c r="K130" s="37" t="e">
        <f>_xlfn.XLOOKUP(B130,#REF!,#REF!)</f>
        <v>#REF!</v>
      </c>
      <c r="L130" s="37" t="e">
        <f>_xlfn.XLOOKUP(B130,#REF!,#REF!)</f>
        <v>#REF!</v>
      </c>
      <c r="M130" s="37" t="e">
        <f>_xlfn.XLOOKUP(B130,#REF!,#REF!)</f>
        <v>#REF!</v>
      </c>
      <c r="N130" s="37" t="e">
        <f>_xlfn.XLOOKUP(B130,#REF!,#REF!)</f>
        <v>#REF!</v>
      </c>
      <c r="O130" s="37" t="e">
        <f>_xlfn.XLOOKUP(B130,#REF!,#REF!)</f>
        <v>#REF!</v>
      </c>
      <c r="P130" s="37" t="e">
        <f>_xlfn.XLOOKUP(B130,#REF!,#REF!)</f>
        <v>#REF!</v>
      </c>
      <c r="Q130" s="37" t="e">
        <f>_xlfn.XLOOKUP(B130,#REF!,#REF!)</f>
        <v>#REF!</v>
      </c>
      <c r="R130" s="37" t="e">
        <f>_xlfn.XLOOKUP(B130,#REF!,#REF!)</f>
        <v>#REF!</v>
      </c>
      <c r="S130" s="37" t="e">
        <f>_xlfn.XLOOKUP(B130,#REF!,#REF!)</f>
        <v>#REF!</v>
      </c>
      <c r="T130" s="37" t="e">
        <f>_xlfn.XLOOKUP(B130,#REF!,#REF!)</f>
        <v>#REF!</v>
      </c>
      <c r="U130" s="37" t="e">
        <f>_xlfn.XLOOKUP(B130,#REF!,#REF!)</f>
        <v>#REF!</v>
      </c>
      <c r="V130" s="37" t="e">
        <f>_xlfn.XLOOKUP(B130,#REF!,#REF!)</f>
        <v>#REF!</v>
      </c>
    </row>
    <row r="131" spans="1:22" x14ac:dyDescent="0.35">
      <c r="A131" t="str">
        <f>_xlfn.XLOOKUP(B131,master!B:B,master!A:A)</f>
        <v>Bank Charges &amp; Commission</v>
      </c>
      <c r="B131" s="50" t="s">
        <v>569</v>
      </c>
      <c r="C131" s="50"/>
      <c r="D131" s="50"/>
      <c r="E131" s="50"/>
      <c r="F131" s="50"/>
      <c r="G131" s="37">
        <f>IFERROR(_xlfn.XLOOKUP(B131,#REF!,#REF!),0)</f>
        <v>0</v>
      </c>
      <c r="H131" s="37" t="e">
        <f>_xlfn.XLOOKUP(B131,#REF!,#REF!)</f>
        <v>#REF!</v>
      </c>
      <c r="I131" s="37" t="e">
        <f>_xlfn.XLOOKUP(B131,#REF!,#REF!)</f>
        <v>#REF!</v>
      </c>
      <c r="J131" s="51" t="e">
        <f>_xlfn.XLOOKUP(B131,#REF!,#REF!)</f>
        <v>#REF!</v>
      </c>
      <c r="K131" s="37" t="e">
        <f>_xlfn.XLOOKUP(B131,#REF!,#REF!)</f>
        <v>#REF!</v>
      </c>
      <c r="L131" s="37" t="e">
        <f>_xlfn.XLOOKUP(B131,#REF!,#REF!)</f>
        <v>#REF!</v>
      </c>
      <c r="M131" s="37" t="e">
        <f>_xlfn.XLOOKUP(B131,#REF!,#REF!)</f>
        <v>#REF!</v>
      </c>
      <c r="N131" s="37" t="e">
        <f>_xlfn.XLOOKUP(B131,#REF!,#REF!)</f>
        <v>#REF!</v>
      </c>
      <c r="O131" s="37" t="e">
        <f>_xlfn.XLOOKUP(B131,#REF!,#REF!)</f>
        <v>#REF!</v>
      </c>
      <c r="P131" s="37" t="e">
        <f>_xlfn.XLOOKUP(B131,#REF!,#REF!)</f>
        <v>#REF!</v>
      </c>
      <c r="Q131" s="37" t="e">
        <f>_xlfn.XLOOKUP(B131,#REF!,#REF!)</f>
        <v>#REF!</v>
      </c>
      <c r="R131" s="37" t="e">
        <f>_xlfn.XLOOKUP(B131,#REF!,#REF!)</f>
        <v>#REF!</v>
      </c>
      <c r="S131" s="37" t="e">
        <f>_xlfn.XLOOKUP(B131,#REF!,#REF!)</f>
        <v>#REF!</v>
      </c>
      <c r="T131" s="37" t="e">
        <f>_xlfn.XLOOKUP(B131,#REF!,#REF!)</f>
        <v>#REF!</v>
      </c>
      <c r="U131" s="37" t="e">
        <f>_xlfn.XLOOKUP(B131,#REF!,#REF!)</f>
        <v>#REF!</v>
      </c>
      <c r="V131" s="37" t="e">
        <f>_xlfn.XLOOKUP(B131,#REF!,#REF!)</f>
        <v>#REF!</v>
      </c>
    </row>
    <row r="132" spans="1:22" x14ac:dyDescent="0.35">
      <c r="A132" t="str">
        <f>_xlfn.XLOOKUP(B132,master!B:B,master!A:A)</f>
        <v>Bank Charges &amp; Commission</v>
      </c>
      <c r="B132" s="50" t="s">
        <v>364</v>
      </c>
      <c r="C132" s="50"/>
      <c r="D132" s="50"/>
      <c r="E132" s="50"/>
      <c r="F132" s="50"/>
      <c r="G132" s="37">
        <f>IFERROR(_xlfn.XLOOKUP(B132,#REF!,#REF!),0)</f>
        <v>0</v>
      </c>
      <c r="H132" s="37" t="e">
        <f>_xlfn.XLOOKUP(B132,#REF!,#REF!)</f>
        <v>#REF!</v>
      </c>
      <c r="I132" s="37" t="e">
        <f>_xlfn.XLOOKUP(B132,#REF!,#REF!)</f>
        <v>#REF!</v>
      </c>
      <c r="J132" s="51" t="e">
        <f>_xlfn.XLOOKUP(B132,#REF!,#REF!)</f>
        <v>#REF!</v>
      </c>
      <c r="K132" s="37" t="e">
        <f>_xlfn.XLOOKUP(B132,#REF!,#REF!)</f>
        <v>#REF!</v>
      </c>
      <c r="L132" s="37" t="e">
        <f>_xlfn.XLOOKUP(B132,#REF!,#REF!)</f>
        <v>#REF!</v>
      </c>
      <c r="M132" s="37" t="e">
        <f>_xlfn.XLOOKUP(B132,#REF!,#REF!)</f>
        <v>#REF!</v>
      </c>
      <c r="N132" s="37" t="e">
        <f>_xlfn.XLOOKUP(B132,#REF!,#REF!)</f>
        <v>#REF!</v>
      </c>
      <c r="O132" s="37" t="e">
        <f>_xlfn.XLOOKUP(B132,#REF!,#REF!)</f>
        <v>#REF!</v>
      </c>
      <c r="P132" s="37" t="e">
        <f>_xlfn.XLOOKUP(B132,#REF!,#REF!)</f>
        <v>#REF!</v>
      </c>
      <c r="Q132" s="37" t="e">
        <f>_xlfn.XLOOKUP(B132,#REF!,#REF!)</f>
        <v>#REF!</v>
      </c>
      <c r="R132" s="37" t="e">
        <f>_xlfn.XLOOKUP(B132,#REF!,#REF!)</f>
        <v>#REF!</v>
      </c>
      <c r="S132" s="37" t="e">
        <f>_xlfn.XLOOKUP(B132,#REF!,#REF!)</f>
        <v>#REF!</v>
      </c>
      <c r="T132" s="37" t="e">
        <f>_xlfn.XLOOKUP(B132,#REF!,#REF!)</f>
        <v>#REF!</v>
      </c>
      <c r="U132" s="37" t="e">
        <f>_xlfn.XLOOKUP(B132,#REF!,#REF!)</f>
        <v>#REF!</v>
      </c>
      <c r="V132" s="37" t="e">
        <f>_xlfn.XLOOKUP(B132,#REF!,#REF!)</f>
        <v>#REF!</v>
      </c>
    </row>
    <row r="133" spans="1:22" x14ac:dyDescent="0.35">
      <c r="A133" t="str">
        <f>_xlfn.XLOOKUP(B133,master!B:B,master!A:A)</f>
        <v>Exchange Rate Difference</v>
      </c>
      <c r="B133" s="50" t="s">
        <v>365</v>
      </c>
      <c r="C133" s="50"/>
      <c r="D133" s="50"/>
      <c r="E133" s="50"/>
      <c r="F133" s="50"/>
      <c r="G133" s="37">
        <f>IFERROR(_xlfn.XLOOKUP(B133,#REF!,#REF!),0)</f>
        <v>0</v>
      </c>
      <c r="H133" s="37" t="e">
        <f>_xlfn.XLOOKUP(B133,#REF!,#REF!)</f>
        <v>#REF!</v>
      </c>
      <c r="I133" s="37" t="e">
        <f>_xlfn.XLOOKUP(B133,#REF!,#REF!)</f>
        <v>#REF!</v>
      </c>
      <c r="J133" s="51" t="e">
        <f>_xlfn.XLOOKUP(B133,#REF!,#REF!)</f>
        <v>#REF!</v>
      </c>
      <c r="K133" s="37" t="e">
        <f>_xlfn.XLOOKUP(B133,#REF!,#REF!)</f>
        <v>#REF!</v>
      </c>
      <c r="L133" s="37" t="e">
        <f>_xlfn.XLOOKUP(B133,#REF!,#REF!)</f>
        <v>#REF!</v>
      </c>
      <c r="M133" s="37" t="e">
        <f>_xlfn.XLOOKUP(B133,#REF!,#REF!)</f>
        <v>#REF!</v>
      </c>
      <c r="N133" s="37" t="e">
        <f>_xlfn.XLOOKUP(B133,#REF!,#REF!)</f>
        <v>#REF!</v>
      </c>
      <c r="O133" s="37" t="e">
        <f>_xlfn.XLOOKUP(B133,#REF!,#REF!)</f>
        <v>#REF!</v>
      </c>
      <c r="P133" s="37" t="e">
        <f>_xlfn.XLOOKUP(B133,#REF!,#REF!)</f>
        <v>#REF!</v>
      </c>
      <c r="Q133" s="37" t="e">
        <f>_xlfn.XLOOKUP(B133,#REF!,#REF!)</f>
        <v>#REF!</v>
      </c>
      <c r="R133" s="37" t="e">
        <f>_xlfn.XLOOKUP(B133,#REF!,#REF!)</f>
        <v>#REF!</v>
      </c>
      <c r="S133" s="37" t="e">
        <f>_xlfn.XLOOKUP(B133,#REF!,#REF!)</f>
        <v>#REF!</v>
      </c>
      <c r="T133" s="37" t="e">
        <f>_xlfn.XLOOKUP(B133,#REF!,#REF!)</f>
        <v>#REF!</v>
      </c>
      <c r="U133" s="37" t="e">
        <f>_xlfn.XLOOKUP(B133,#REF!,#REF!)</f>
        <v>#REF!</v>
      </c>
      <c r="V133" s="37" t="e">
        <f>_xlfn.XLOOKUP(B133,#REF!,#REF!)</f>
        <v>#REF!</v>
      </c>
    </row>
    <row r="134" spans="1:22" x14ac:dyDescent="0.35">
      <c r="A134" t="str">
        <f>_xlfn.XLOOKUP(B134,master!B:B,master!A:A)</f>
        <v>Bank Charges &amp; Commission</v>
      </c>
      <c r="B134" s="50" t="s">
        <v>570</v>
      </c>
      <c r="C134" s="50"/>
      <c r="D134" s="50"/>
      <c r="E134" s="50"/>
      <c r="F134" s="50"/>
      <c r="G134" s="37">
        <f>IFERROR(_xlfn.XLOOKUP(B134,#REF!,#REF!),0)</f>
        <v>0</v>
      </c>
      <c r="H134" s="37" t="e">
        <f>_xlfn.XLOOKUP(B134,#REF!,#REF!)</f>
        <v>#REF!</v>
      </c>
      <c r="I134" s="37" t="e">
        <f>_xlfn.XLOOKUP(B134,#REF!,#REF!)</f>
        <v>#REF!</v>
      </c>
      <c r="J134" s="51" t="e">
        <f>_xlfn.XLOOKUP(B134,#REF!,#REF!)</f>
        <v>#REF!</v>
      </c>
      <c r="K134" s="37" t="e">
        <f>_xlfn.XLOOKUP(B134,#REF!,#REF!)</f>
        <v>#REF!</v>
      </c>
      <c r="L134" s="37" t="e">
        <f>_xlfn.XLOOKUP(B134,#REF!,#REF!)</f>
        <v>#REF!</v>
      </c>
      <c r="M134" s="37" t="e">
        <f>_xlfn.XLOOKUP(B134,#REF!,#REF!)</f>
        <v>#REF!</v>
      </c>
      <c r="N134" s="37" t="e">
        <f>_xlfn.XLOOKUP(B134,#REF!,#REF!)</f>
        <v>#REF!</v>
      </c>
      <c r="O134" s="37" t="e">
        <f>_xlfn.XLOOKUP(B134,#REF!,#REF!)</f>
        <v>#REF!</v>
      </c>
      <c r="P134" s="37" t="e">
        <f>_xlfn.XLOOKUP(B134,#REF!,#REF!)</f>
        <v>#REF!</v>
      </c>
      <c r="Q134" s="37" t="e">
        <f>_xlfn.XLOOKUP(B134,#REF!,#REF!)</f>
        <v>#REF!</v>
      </c>
      <c r="R134" s="37" t="e">
        <f>_xlfn.XLOOKUP(B134,#REF!,#REF!)</f>
        <v>#REF!</v>
      </c>
      <c r="S134" s="37" t="e">
        <f>_xlfn.XLOOKUP(B134,#REF!,#REF!)</f>
        <v>#REF!</v>
      </c>
      <c r="T134" s="37" t="e">
        <f>_xlfn.XLOOKUP(B134,#REF!,#REF!)</f>
        <v>#REF!</v>
      </c>
      <c r="U134" s="37" t="e">
        <f>_xlfn.XLOOKUP(B134,#REF!,#REF!)</f>
        <v>#REF!</v>
      </c>
      <c r="V134" s="37" t="e">
        <f>_xlfn.XLOOKUP(B134,#REF!,#REF!)</f>
        <v>#REF!</v>
      </c>
    </row>
    <row r="135" spans="1:22" x14ac:dyDescent="0.35">
      <c r="A135" t="str">
        <f>_xlfn.XLOOKUP(B135,master!B:B,master!A:A)</f>
        <v>Interest on Working Capital &amp; Term Loan</v>
      </c>
      <c r="B135" s="50" t="s">
        <v>366</v>
      </c>
      <c r="C135" s="50"/>
      <c r="D135" s="50"/>
      <c r="E135" s="50"/>
      <c r="F135" s="50"/>
      <c r="G135" s="37">
        <f>IFERROR(_xlfn.XLOOKUP(B135,#REF!,#REF!),0)</f>
        <v>0</v>
      </c>
      <c r="H135" s="37" t="e">
        <f>_xlfn.XLOOKUP(B135,#REF!,#REF!)</f>
        <v>#REF!</v>
      </c>
      <c r="I135" s="37" t="e">
        <f>_xlfn.XLOOKUP(B135,#REF!,#REF!)</f>
        <v>#REF!</v>
      </c>
      <c r="J135" s="51" t="e">
        <f>_xlfn.XLOOKUP(B135,#REF!,#REF!)</f>
        <v>#REF!</v>
      </c>
      <c r="K135" s="37" t="e">
        <f>_xlfn.XLOOKUP(B135,#REF!,#REF!)</f>
        <v>#REF!</v>
      </c>
      <c r="L135" s="37" t="e">
        <f>_xlfn.XLOOKUP(B135,#REF!,#REF!)</f>
        <v>#REF!</v>
      </c>
      <c r="M135" s="37" t="e">
        <f>_xlfn.XLOOKUP(B135,#REF!,#REF!)</f>
        <v>#REF!</v>
      </c>
      <c r="N135" s="37" t="e">
        <f>_xlfn.XLOOKUP(B135,#REF!,#REF!)</f>
        <v>#REF!</v>
      </c>
      <c r="O135" s="37" t="e">
        <f>_xlfn.XLOOKUP(B135,#REF!,#REF!)</f>
        <v>#REF!</v>
      </c>
      <c r="P135" s="37" t="e">
        <f>_xlfn.XLOOKUP(B135,#REF!,#REF!)</f>
        <v>#REF!</v>
      </c>
      <c r="Q135" s="37" t="e">
        <f>_xlfn.XLOOKUP(B135,#REF!,#REF!)</f>
        <v>#REF!</v>
      </c>
      <c r="R135" s="37" t="e">
        <f>_xlfn.XLOOKUP(B135,#REF!,#REF!)</f>
        <v>#REF!</v>
      </c>
      <c r="S135" s="37" t="e">
        <f>_xlfn.XLOOKUP(B135,#REF!,#REF!)</f>
        <v>#REF!</v>
      </c>
      <c r="T135" s="37" t="e">
        <f>_xlfn.XLOOKUP(B135,#REF!,#REF!)</f>
        <v>#REF!</v>
      </c>
      <c r="U135" s="37" t="e">
        <f>_xlfn.XLOOKUP(B135,#REF!,#REF!)</f>
        <v>#REF!</v>
      </c>
      <c r="V135" s="37" t="e">
        <f>_xlfn.XLOOKUP(B135,#REF!,#REF!)</f>
        <v>#REF!</v>
      </c>
    </row>
    <row r="136" spans="1:22" x14ac:dyDescent="0.35">
      <c r="A136" t="str">
        <f>_xlfn.XLOOKUP(B136,master!B:B,master!A:A)</f>
        <v>Interest on Working Capital &amp; Term Loan</v>
      </c>
      <c r="B136" s="50" t="s">
        <v>367</v>
      </c>
      <c r="C136" s="50"/>
      <c r="D136" s="50"/>
      <c r="E136" s="50"/>
      <c r="F136" s="50"/>
      <c r="G136" s="37">
        <f>IFERROR(_xlfn.XLOOKUP(B136,#REF!,#REF!),0)</f>
        <v>0</v>
      </c>
      <c r="H136" s="37" t="e">
        <f>_xlfn.XLOOKUP(B136,#REF!,#REF!)</f>
        <v>#REF!</v>
      </c>
      <c r="I136" s="37" t="e">
        <f>_xlfn.XLOOKUP(B136,#REF!,#REF!)</f>
        <v>#REF!</v>
      </c>
      <c r="J136" s="51" t="e">
        <f>_xlfn.XLOOKUP(B136,#REF!,#REF!)</f>
        <v>#REF!</v>
      </c>
      <c r="K136" s="37" t="e">
        <f>_xlfn.XLOOKUP(B136,#REF!,#REF!)</f>
        <v>#REF!</v>
      </c>
      <c r="L136" s="37" t="e">
        <f>_xlfn.XLOOKUP(B136,#REF!,#REF!)</f>
        <v>#REF!</v>
      </c>
      <c r="M136" s="37" t="e">
        <f>_xlfn.XLOOKUP(B136,#REF!,#REF!)</f>
        <v>#REF!</v>
      </c>
      <c r="N136" s="37" t="e">
        <f>_xlfn.XLOOKUP(B136,#REF!,#REF!)</f>
        <v>#REF!</v>
      </c>
      <c r="O136" s="37" t="e">
        <f>_xlfn.XLOOKUP(B136,#REF!,#REF!)</f>
        <v>#REF!</v>
      </c>
      <c r="P136" s="37" t="e">
        <f>_xlfn.XLOOKUP(B136,#REF!,#REF!)</f>
        <v>#REF!</v>
      </c>
      <c r="Q136" s="37" t="e">
        <f>_xlfn.XLOOKUP(B136,#REF!,#REF!)</f>
        <v>#REF!</v>
      </c>
      <c r="R136" s="37" t="e">
        <f>_xlfn.XLOOKUP(B136,#REF!,#REF!)</f>
        <v>#REF!</v>
      </c>
      <c r="S136" s="37" t="e">
        <f>_xlfn.XLOOKUP(B136,#REF!,#REF!)</f>
        <v>#REF!</v>
      </c>
      <c r="T136" s="37" t="e">
        <f>_xlfn.XLOOKUP(B136,#REF!,#REF!)</f>
        <v>#REF!</v>
      </c>
      <c r="U136" s="37" t="e">
        <f>_xlfn.XLOOKUP(B136,#REF!,#REF!)</f>
        <v>#REF!</v>
      </c>
      <c r="V136" s="37" t="e">
        <f>_xlfn.XLOOKUP(B136,#REF!,#REF!)</f>
        <v>#REF!</v>
      </c>
    </row>
    <row r="137" spans="1:22" x14ac:dyDescent="0.35">
      <c r="A137" t="str">
        <f>_xlfn.XLOOKUP(B137,master!B:B,master!A:A)</f>
        <v>Bank Charges &amp; Commission</v>
      </c>
      <c r="B137" s="50" t="s">
        <v>368</v>
      </c>
      <c r="C137" s="50"/>
      <c r="D137" s="50"/>
      <c r="E137" s="50"/>
      <c r="F137" s="50"/>
      <c r="G137" s="37">
        <f>IFERROR(_xlfn.XLOOKUP(B137,#REF!,#REF!),0)</f>
        <v>0</v>
      </c>
      <c r="H137" s="37" t="e">
        <f>_xlfn.XLOOKUP(B137,#REF!,#REF!)</f>
        <v>#REF!</v>
      </c>
      <c r="I137" s="37" t="e">
        <f>_xlfn.XLOOKUP(B137,#REF!,#REF!)</f>
        <v>#REF!</v>
      </c>
      <c r="J137" s="51" t="e">
        <f>_xlfn.XLOOKUP(B137,#REF!,#REF!)</f>
        <v>#REF!</v>
      </c>
      <c r="K137" s="37" t="e">
        <f>_xlfn.XLOOKUP(B137,#REF!,#REF!)</f>
        <v>#REF!</v>
      </c>
      <c r="L137" s="37" t="e">
        <f>_xlfn.XLOOKUP(B137,#REF!,#REF!)</f>
        <v>#REF!</v>
      </c>
      <c r="M137" s="37" t="e">
        <f>_xlfn.XLOOKUP(B137,#REF!,#REF!)</f>
        <v>#REF!</v>
      </c>
      <c r="N137" s="37" t="e">
        <f>_xlfn.XLOOKUP(B137,#REF!,#REF!)</f>
        <v>#REF!</v>
      </c>
      <c r="O137" s="37" t="e">
        <f>_xlfn.XLOOKUP(B137,#REF!,#REF!)</f>
        <v>#REF!</v>
      </c>
      <c r="P137" s="37" t="e">
        <f>_xlfn.XLOOKUP(B137,#REF!,#REF!)</f>
        <v>#REF!</v>
      </c>
      <c r="Q137" s="37" t="e">
        <f>_xlfn.XLOOKUP(B137,#REF!,#REF!)</f>
        <v>#REF!</v>
      </c>
      <c r="R137" s="37" t="e">
        <f>_xlfn.XLOOKUP(B137,#REF!,#REF!)</f>
        <v>#REF!</v>
      </c>
      <c r="S137" s="37" t="e">
        <f>_xlfn.XLOOKUP(B137,#REF!,#REF!)</f>
        <v>#REF!</v>
      </c>
      <c r="T137" s="37" t="e">
        <f>_xlfn.XLOOKUP(B137,#REF!,#REF!)</f>
        <v>#REF!</v>
      </c>
      <c r="U137" s="37" t="e">
        <f>_xlfn.XLOOKUP(B137,#REF!,#REF!)</f>
        <v>#REF!</v>
      </c>
      <c r="V137" s="37" t="e">
        <f>_xlfn.XLOOKUP(B137,#REF!,#REF!)</f>
        <v>#REF!</v>
      </c>
    </row>
    <row r="138" spans="1:22" x14ac:dyDescent="0.35">
      <c r="A138" t="str">
        <f>_xlfn.XLOOKUP(B138,master!B:B,master!A:A)</f>
        <v>Interest on Working Capital &amp; Term Loan</v>
      </c>
      <c r="B138" s="50" t="s">
        <v>369</v>
      </c>
      <c r="C138" s="50"/>
      <c r="D138" s="50"/>
      <c r="E138" s="50"/>
      <c r="F138" s="50"/>
      <c r="G138" s="37">
        <f>IFERROR(_xlfn.XLOOKUP(B138,#REF!,#REF!),0)</f>
        <v>0</v>
      </c>
      <c r="H138" s="37" t="e">
        <f>_xlfn.XLOOKUP(B138,#REF!,#REF!)</f>
        <v>#REF!</v>
      </c>
      <c r="I138" s="37" t="e">
        <f>_xlfn.XLOOKUP(B138,#REF!,#REF!)</f>
        <v>#REF!</v>
      </c>
      <c r="J138" s="51" t="e">
        <f>_xlfn.XLOOKUP(B138,#REF!,#REF!)</f>
        <v>#REF!</v>
      </c>
      <c r="K138" s="37" t="e">
        <f>_xlfn.XLOOKUP(B138,#REF!,#REF!)</f>
        <v>#REF!</v>
      </c>
      <c r="L138" s="37" t="e">
        <f>_xlfn.XLOOKUP(B138,#REF!,#REF!)</f>
        <v>#REF!</v>
      </c>
      <c r="M138" s="37" t="e">
        <f>_xlfn.XLOOKUP(B138,#REF!,#REF!)</f>
        <v>#REF!</v>
      </c>
      <c r="N138" s="37" t="e">
        <f>_xlfn.XLOOKUP(B138,#REF!,#REF!)</f>
        <v>#REF!</v>
      </c>
      <c r="O138" s="37" t="e">
        <f>_xlfn.XLOOKUP(B138,#REF!,#REF!)</f>
        <v>#REF!</v>
      </c>
      <c r="P138" s="37" t="e">
        <f>_xlfn.XLOOKUP(B138,#REF!,#REF!)</f>
        <v>#REF!</v>
      </c>
      <c r="Q138" s="37" t="e">
        <f>_xlfn.XLOOKUP(B138,#REF!,#REF!)</f>
        <v>#REF!</v>
      </c>
      <c r="R138" s="37" t="e">
        <f>_xlfn.XLOOKUP(B138,#REF!,#REF!)</f>
        <v>#REF!</v>
      </c>
      <c r="S138" s="37" t="e">
        <f>_xlfn.XLOOKUP(B138,#REF!,#REF!)</f>
        <v>#REF!</v>
      </c>
      <c r="T138" s="37" t="e">
        <f>_xlfn.XLOOKUP(B138,#REF!,#REF!)</f>
        <v>#REF!</v>
      </c>
      <c r="U138" s="37" t="e">
        <f>_xlfn.XLOOKUP(B138,#REF!,#REF!)</f>
        <v>#REF!</v>
      </c>
      <c r="V138" s="37" t="e">
        <f>_xlfn.XLOOKUP(B138,#REF!,#REF!)</f>
        <v>#REF!</v>
      </c>
    </row>
    <row r="139" spans="1:22" x14ac:dyDescent="0.35">
      <c r="A139" t="str">
        <f>_xlfn.XLOOKUP(B139,master!B:B,master!A:A)</f>
        <v>Interest on Working Capital &amp; Term Loan</v>
      </c>
      <c r="B139" s="50" t="s">
        <v>370</v>
      </c>
      <c r="C139" s="50"/>
      <c r="D139" s="50"/>
      <c r="E139" s="50"/>
      <c r="F139" s="50"/>
      <c r="G139" s="37">
        <f>IFERROR(_xlfn.XLOOKUP(B139,#REF!,#REF!),0)</f>
        <v>0</v>
      </c>
      <c r="H139" s="37" t="e">
        <f>_xlfn.XLOOKUP(B139,#REF!,#REF!)</f>
        <v>#REF!</v>
      </c>
      <c r="I139" s="37" t="e">
        <f>_xlfn.XLOOKUP(B139,#REF!,#REF!)</f>
        <v>#REF!</v>
      </c>
      <c r="J139" s="51" t="e">
        <f>_xlfn.XLOOKUP(B139,#REF!,#REF!)</f>
        <v>#REF!</v>
      </c>
      <c r="K139" s="37" t="e">
        <f>_xlfn.XLOOKUP(B139,#REF!,#REF!)</f>
        <v>#REF!</v>
      </c>
      <c r="L139" s="37" t="e">
        <f>_xlfn.XLOOKUP(B139,#REF!,#REF!)</f>
        <v>#REF!</v>
      </c>
      <c r="M139" s="37" t="e">
        <f>_xlfn.XLOOKUP(B139,#REF!,#REF!)</f>
        <v>#REF!</v>
      </c>
      <c r="N139" s="37" t="e">
        <f>_xlfn.XLOOKUP(B139,#REF!,#REF!)</f>
        <v>#REF!</v>
      </c>
      <c r="O139" s="37" t="e">
        <f>_xlfn.XLOOKUP(B139,#REF!,#REF!)</f>
        <v>#REF!</v>
      </c>
      <c r="P139" s="37" t="e">
        <f>_xlfn.XLOOKUP(B139,#REF!,#REF!)</f>
        <v>#REF!</v>
      </c>
      <c r="Q139" s="37" t="e">
        <f>_xlfn.XLOOKUP(B139,#REF!,#REF!)</f>
        <v>#REF!</v>
      </c>
      <c r="R139" s="37" t="e">
        <f>_xlfn.XLOOKUP(B139,#REF!,#REF!)</f>
        <v>#REF!</v>
      </c>
      <c r="S139" s="37" t="e">
        <f>_xlfn.XLOOKUP(B139,#REF!,#REF!)</f>
        <v>#REF!</v>
      </c>
      <c r="T139" s="37" t="e">
        <f>_xlfn.XLOOKUP(B139,#REF!,#REF!)</f>
        <v>#REF!</v>
      </c>
      <c r="U139" s="37" t="e">
        <f>_xlfn.XLOOKUP(B139,#REF!,#REF!)</f>
        <v>#REF!</v>
      </c>
      <c r="V139" s="37" t="e">
        <f>_xlfn.XLOOKUP(B139,#REF!,#REF!)</f>
        <v>#REF!</v>
      </c>
    </row>
    <row r="140" spans="1:22" x14ac:dyDescent="0.35">
      <c r="A140" t="str">
        <f>_xlfn.XLOOKUP(B140,master!B:B,master!A:A)</f>
        <v>Interest on Working Capital &amp; Term Loan</v>
      </c>
      <c r="B140" s="50" t="s">
        <v>371</v>
      </c>
      <c r="C140" s="50"/>
      <c r="D140" s="50"/>
      <c r="E140" s="50"/>
      <c r="F140" s="50"/>
      <c r="G140" s="37">
        <f>IFERROR(_xlfn.XLOOKUP(B140,#REF!,#REF!),0)</f>
        <v>0</v>
      </c>
      <c r="H140" s="37" t="e">
        <f>_xlfn.XLOOKUP(B140,#REF!,#REF!)</f>
        <v>#REF!</v>
      </c>
      <c r="I140" s="37" t="e">
        <f>_xlfn.XLOOKUP(B140,#REF!,#REF!)</f>
        <v>#REF!</v>
      </c>
      <c r="J140" s="51" t="e">
        <f>_xlfn.XLOOKUP(B140,#REF!,#REF!)</f>
        <v>#REF!</v>
      </c>
      <c r="K140" s="37" t="e">
        <f>_xlfn.XLOOKUP(B140,#REF!,#REF!)</f>
        <v>#REF!</v>
      </c>
      <c r="L140" s="37" t="e">
        <f>_xlfn.XLOOKUP(B140,#REF!,#REF!)</f>
        <v>#REF!</v>
      </c>
      <c r="M140" s="37" t="e">
        <f>_xlfn.XLOOKUP(B140,#REF!,#REF!)</f>
        <v>#REF!</v>
      </c>
      <c r="N140" s="37" t="e">
        <f>_xlfn.XLOOKUP(B140,#REF!,#REF!)</f>
        <v>#REF!</v>
      </c>
      <c r="O140" s="37" t="e">
        <f>_xlfn.XLOOKUP(B140,#REF!,#REF!)</f>
        <v>#REF!</v>
      </c>
      <c r="P140" s="37" t="e">
        <f>_xlfn.XLOOKUP(B140,#REF!,#REF!)</f>
        <v>#REF!</v>
      </c>
      <c r="Q140" s="37" t="e">
        <f>_xlfn.XLOOKUP(B140,#REF!,#REF!)</f>
        <v>#REF!</v>
      </c>
      <c r="R140" s="37" t="e">
        <f>_xlfn.XLOOKUP(B140,#REF!,#REF!)</f>
        <v>#REF!</v>
      </c>
      <c r="S140" s="37" t="e">
        <f>_xlfn.XLOOKUP(B140,#REF!,#REF!)</f>
        <v>#REF!</v>
      </c>
      <c r="T140" s="37" t="e">
        <f>_xlfn.XLOOKUP(B140,#REF!,#REF!)</f>
        <v>#REF!</v>
      </c>
      <c r="U140" s="37" t="e">
        <f>_xlfn.XLOOKUP(B140,#REF!,#REF!)</f>
        <v>#REF!</v>
      </c>
      <c r="V140" s="37" t="e">
        <f>_xlfn.XLOOKUP(B140,#REF!,#REF!)</f>
        <v>#REF!</v>
      </c>
    </row>
    <row r="141" spans="1:22" x14ac:dyDescent="0.35">
      <c r="A141" t="str">
        <f>_xlfn.XLOOKUP(B141,master!B:B,master!A:A)</f>
        <v>Interest on Working Capital &amp; Term Loan</v>
      </c>
      <c r="B141" s="50" t="s">
        <v>372</v>
      </c>
      <c r="C141" s="50"/>
      <c r="D141" s="50"/>
      <c r="E141" s="50"/>
      <c r="F141" s="50"/>
      <c r="G141" s="37">
        <f>IFERROR(_xlfn.XLOOKUP(B141,#REF!,#REF!),0)</f>
        <v>0</v>
      </c>
      <c r="H141" s="37" t="e">
        <f>_xlfn.XLOOKUP(B141,#REF!,#REF!)</f>
        <v>#REF!</v>
      </c>
      <c r="I141" s="37" t="e">
        <f>_xlfn.XLOOKUP(B141,#REF!,#REF!)</f>
        <v>#REF!</v>
      </c>
      <c r="J141" s="51" t="e">
        <f>_xlfn.XLOOKUP(B141,#REF!,#REF!)</f>
        <v>#REF!</v>
      </c>
      <c r="K141" s="37" t="e">
        <f>_xlfn.XLOOKUP(B141,#REF!,#REF!)</f>
        <v>#REF!</v>
      </c>
      <c r="L141" s="37" t="e">
        <f>_xlfn.XLOOKUP(B141,#REF!,#REF!)</f>
        <v>#REF!</v>
      </c>
      <c r="M141" s="37" t="e">
        <f>_xlfn.XLOOKUP(B141,#REF!,#REF!)</f>
        <v>#REF!</v>
      </c>
      <c r="N141" s="37" t="e">
        <f>_xlfn.XLOOKUP(B141,#REF!,#REF!)</f>
        <v>#REF!</v>
      </c>
      <c r="O141" s="37" t="e">
        <f>_xlfn.XLOOKUP(B141,#REF!,#REF!)</f>
        <v>#REF!</v>
      </c>
      <c r="P141" s="37" t="e">
        <f>_xlfn.XLOOKUP(B141,#REF!,#REF!)+2261424</f>
        <v>#REF!</v>
      </c>
      <c r="Q141" s="37" t="e">
        <f>_xlfn.XLOOKUP(B141,#REF!,#REF!)+5996082</f>
        <v>#REF!</v>
      </c>
      <c r="R141" s="37" t="e">
        <f>_xlfn.XLOOKUP(B141,#REF!,#REF!)</f>
        <v>#REF!</v>
      </c>
      <c r="S141" s="37" t="e">
        <f>_xlfn.XLOOKUP(B141,#REF!,#REF!)</f>
        <v>#REF!</v>
      </c>
      <c r="T141" s="37" t="e">
        <f>_xlfn.XLOOKUP(B141,#REF!,#REF!)</f>
        <v>#REF!</v>
      </c>
      <c r="U141" s="37" t="e">
        <f>_xlfn.XLOOKUP(B141,#REF!,#REF!)</f>
        <v>#REF!</v>
      </c>
      <c r="V141" s="37" t="e">
        <f>_xlfn.XLOOKUP(B141,#REF!,#REF!)+989327</f>
        <v>#REF!</v>
      </c>
    </row>
    <row r="142" spans="1:22" x14ac:dyDescent="0.35">
      <c r="A142" t="str">
        <f>_xlfn.XLOOKUP(B142,master!B:B,master!A:A)</f>
        <v>Interest Expense - Other</v>
      </c>
      <c r="B142" s="50" t="s">
        <v>373</v>
      </c>
      <c r="C142" s="50"/>
      <c r="D142" s="50"/>
      <c r="E142" s="50"/>
      <c r="F142" s="50"/>
      <c r="G142" s="37">
        <f>IFERROR(_xlfn.XLOOKUP(B142,#REF!,#REF!),0)</f>
        <v>0</v>
      </c>
      <c r="H142" s="37" t="e">
        <f>_xlfn.XLOOKUP(B142,#REF!,#REF!)</f>
        <v>#REF!</v>
      </c>
      <c r="I142" s="37" t="e">
        <f>_xlfn.XLOOKUP(B142,#REF!,#REF!)</f>
        <v>#REF!</v>
      </c>
      <c r="J142" s="51" t="e">
        <f>_xlfn.XLOOKUP(B142,#REF!,#REF!)</f>
        <v>#REF!</v>
      </c>
      <c r="K142" s="37" t="e">
        <f>_xlfn.XLOOKUP(B142,#REF!,#REF!)</f>
        <v>#REF!</v>
      </c>
      <c r="L142" s="37" t="e">
        <f>_xlfn.XLOOKUP(B142,#REF!,#REF!)</f>
        <v>#REF!</v>
      </c>
      <c r="M142" s="37" t="e">
        <f>_xlfn.XLOOKUP(B142,#REF!,#REF!)</f>
        <v>#REF!</v>
      </c>
      <c r="N142" s="37" t="e">
        <f>_xlfn.XLOOKUP(B142,#REF!,#REF!)</f>
        <v>#REF!</v>
      </c>
      <c r="O142" s="37" t="e">
        <f>_xlfn.XLOOKUP(B142,#REF!,#REF!)</f>
        <v>#REF!</v>
      </c>
      <c r="P142" s="37" t="e">
        <f>_xlfn.XLOOKUP(B142,#REF!,#REF!)</f>
        <v>#REF!</v>
      </c>
      <c r="Q142" s="37" t="e">
        <f>_xlfn.XLOOKUP(B142,#REF!,#REF!)</f>
        <v>#REF!</v>
      </c>
      <c r="R142" s="37" t="e">
        <f>_xlfn.XLOOKUP(B142,#REF!,#REF!)</f>
        <v>#REF!</v>
      </c>
      <c r="S142" s="37" t="e">
        <f>_xlfn.XLOOKUP(B142,#REF!,#REF!)</f>
        <v>#REF!</v>
      </c>
      <c r="T142" s="37" t="e">
        <f>_xlfn.XLOOKUP(B142,#REF!,#REF!)</f>
        <v>#REF!</v>
      </c>
      <c r="U142" s="37" t="e">
        <f>_xlfn.XLOOKUP(B142,#REF!,#REF!)</f>
        <v>#REF!</v>
      </c>
      <c r="V142" s="37" t="e">
        <f>_xlfn.XLOOKUP(B142,#REF!,#REF!)</f>
        <v>#REF!</v>
      </c>
    </row>
    <row r="143" spans="1:22" x14ac:dyDescent="0.35">
      <c r="A143" t="str">
        <f>_xlfn.XLOOKUP(B143,master!B:B,master!A:A)</f>
        <v>Other Administrative Expenses</v>
      </c>
      <c r="B143" s="50" t="s">
        <v>374</v>
      </c>
      <c r="C143" s="50"/>
      <c r="D143" s="50"/>
      <c r="E143" s="50"/>
      <c r="F143" s="50"/>
      <c r="G143" s="37">
        <f>IFERROR(_xlfn.XLOOKUP(B143,#REF!,#REF!),0)</f>
        <v>0</v>
      </c>
      <c r="H143" s="37" t="e">
        <f>_xlfn.XLOOKUP(B143,#REF!,#REF!)</f>
        <v>#REF!</v>
      </c>
      <c r="I143" s="37" t="e">
        <f>_xlfn.XLOOKUP(B143,#REF!,#REF!)</f>
        <v>#REF!</v>
      </c>
      <c r="J143" s="51" t="e">
        <f>_xlfn.XLOOKUP(B143,#REF!,#REF!)</f>
        <v>#REF!</v>
      </c>
      <c r="K143" s="37" t="e">
        <f>_xlfn.XLOOKUP(B143,#REF!,#REF!)</f>
        <v>#REF!</v>
      </c>
      <c r="L143" s="37" t="e">
        <f>_xlfn.XLOOKUP(B143,#REF!,#REF!)</f>
        <v>#REF!</v>
      </c>
      <c r="M143" s="37" t="e">
        <f>_xlfn.XLOOKUP(B143,#REF!,#REF!)</f>
        <v>#REF!</v>
      </c>
      <c r="N143" s="37" t="e">
        <f>_xlfn.XLOOKUP(B143,#REF!,#REF!)</f>
        <v>#REF!</v>
      </c>
      <c r="O143" s="37" t="e">
        <f>_xlfn.XLOOKUP(B143,#REF!,#REF!)</f>
        <v>#REF!</v>
      </c>
      <c r="P143" s="37" t="e">
        <f>_xlfn.XLOOKUP(B143,#REF!,#REF!)</f>
        <v>#REF!</v>
      </c>
      <c r="Q143" s="37" t="e">
        <f>_xlfn.XLOOKUP(B143,#REF!,#REF!)</f>
        <v>#REF!</v>
      </c>
      <c r="R143" s="37" t="e">
        <f>_xlfn.XLOOKUP(B143,#REF!,#REF!)</f>
        <v>#REF!</v>
      </c>
      <c r="S143" s="37" t="e">
        <f>_xlfn.XLOOKUP(B143,#REF!,#REF!)</f>
        <v>#REF!</v>
      </c>
      <c r="T143" s="37" t="e">
        <f>_xlfn.XLOOKUP(B143,#REF!,#REF!)</f>
        <v>#REF!</v>
      </c>
      <c r="U143" s="37" t="e">
        <f>_xlfn.XLOOKUP(B143,#REF!,#REF!)</f>
        <v>#REF!</v>
      </c>
      <c r="V143" s="37" t="e">
        <f>_xlfn.XLOOKUP(B143,#REF!,#REF!)</f>
        <v>#REF!</v>
      </c>
    </row>
    <row r="144" spans="1:22" x14ac:dyDescent="0.35">
      <c r="A144" t="str">
        <f>_xlfn.XLOOKUP(B144,master!B:B,master!A:A)</f>
        <v>Bank Charges &amp; Commission</v>
      </c>
      <c r="B144" s="50" t="s">
        <v>571</v>
      </c>
      <c r="C144" s="50"/>
      <c r="D144" s="50"/>
      <c r="E144" s="50"/>
      <c r="F144" s="50"/>
      <c r="G144" s="37">
        <f>IFERROR(_xlfn.XLOOKUP(B144,#REF!,#REF!),0)</f>
        <v>0</v>
      </c>
      <c r="H144" s="37" t="e">
        <f>_xlfn.XLOOKUP(B144,#REF!,#REF!)</f>
        <v>#REF!</v>
      </c>
      <c r="I144" s="37" t="e">
        <f>_xlfn.XLOOKUP(B144,#REF!,#REF!)</f>
        <v>#REF!</v>
      </c>
      <c r="J144" s="51" t="e">
        <f>_xlfn.XLOOKUP(B144,#REF!,#REF!)</f>
        <v>#REF!</v>
      </c>
      <c r="K144" s="37" t="e">
        <f>_xlfn.XLOOKUP(B144,#REF!,#REF!)</f>
        <v>#REF!</v>
      </c>
      <c r="L144" s="37" t="e">
        <f>_xlfn.XLOOKUP(B144,#REF!,#REF!)</f>
        <v>#REF!</v>
      </c>
      <c r="M144" s="37" t="e">
        <f>_xlfn.XLOOKUP(B144,#REF!,#REF!)</f>
        <v>#REF!</v>
      </c>
      <c r="N144" s="37" t="e">
        <f>_xlfn.XLOOKUP(B144,#REF!,#REF!)</f>
        <v>#REF!</v>
      </c>
      <c r="O144" s="37" t="e">
        <f>_xlfn.XLOOKUP(B144,#REF!,#REF!)</f>
        <v>#REF!</v>
      </c>
      <c r="P144" s="37" t="e">
        <f>_xlfn.XLOOKUP(B144,#REF!,#REF!)</f>
        <v>#REF!</v>
      </c>
      <c r="Q144" s="37" t="e">
        <f>_xlfn.XLOOKUP(B144,#REF!,#REF!)</f>
        <v>#REF!</v>
      </c>
      <c r="R144" s="37" t="e">
        <f>_xlfn.XLOOKUP(B144,#REF!,#REF!)</f>
        <v>#REF!</v>
      </c>
      <c r="S144" s="37" t="e">
        <f>_xlfn.XLOOKUP(B144,#REF!,#REF!)</f>
        <v>#REF!</v>
      </c>
      <c r="T144" s="37" t="e">
        <f>_xlfn.XLOOKUP(B144,#REF!,#REF!)</f>
        <v>#REF!</v>
      </c>
      <c r="U144" s="37" t="e">
        <f>_xlfn.XLOOKUP(B144,#REF!,#REF!)</f>
        <v>#REF!</v>
      </c>
      <c r="V144" s="37" t="e">
        <f>_xlfn.XLOOKUP(B144,#REF!,#REF!)</f>
        <v>#REF!</v>
      </c>
    </row>
    <row r="145" spans="1:22" x14ac:dyDescent="0.35">
      <c r="A145" t="str">
        <f>_xlfn.XLOOKUP(B145,master!B:B,master!A:A)</f>
        <v>Other Administrative Expenses</v>
      </c>
      <c r="B145" s="50" t="s">
        <v>375</v>
      </c>
      <c r="C145" s="50"/>
      <c r="D145" s="50"/>
      <c r="E145" s="50"/>
      <c r="F145" s="50"/>
      <c r="G145" s="37">
        <f>IFERROR(_xlfn.XLOOKUP(B145,#REF!,#REF!),0)</f>
        <v>0</v>
      </c>
      <c r="H145" s="37" t="e">
        <f>_xlfn.XLOOKUP(B145,#REF!,#REF!)</f>
        <v>#REF!</v>
      </c>
      <c r="I145" s="37" t="e">
        <f>_xlfn.XLOOKUP(B145,#REF!,#REF!)</f>
        <v>#REF!</v>
      </c>
      <c r="J145" s="51" t="e">
        <f>_xlfn.XLOOKUP(B145,#REF!,#REF!)</f>
        <v>#REF!</v>
      </c>
      <c r="K145" s="37" t="e">
        <f>_xlfn.XLOOKUP(B145,#REF!,#REF!)</f>
        <v>#REF!</v>
      </c>
      <c r="L145" s="37" t="e">
        <f>_xlfn.XLOOKUP(B145,#REF!,#REF!)</f>
        <v>#REF!</v>
      </c>
      <c r="M145" s="37" t="e">
        <f>_xlfn.XLOOKUP(B145,#REF!,#REF!)</f>
        <v>#REF!</v>
      </c>
      <c r="N145" s="37" t="e">
        <f>_xlfn.XLOOKUP(B145,#REF!,#REF!)</f>
        <v>#REF!</v>
      </c>
      <c r="O145" s="37" t="e">
        <f>_xlfn.XLOOKUP(B145,#REF!,#REF!)</f>
        <v>#REF!</v>
      </c>
      <c r="P145" s="37" t="e">
        <f>_xlfn.XLOOKUP(B145,#REF!,#REF!)</f>
        <v>#REF!</v>
      </c>
      <c r="Q145" s="37" t="e">
        <f>_xlfn.XLOOKUP(B145,#REF!,#REF!)</f>
        <v>#REF!</v>
      </c>
      <c r="R145" s="37" t="e">
        <f>_xlfn.XLOOKUP(B145,#REF!,#REF!)</f>
        <v>#REF!</v>
      </c>
      <c r="S145" s="37" t="e">
        <f>_xlfn.XLOOKUP(B145,#REF!,#REF!)</f>
        <v>#REF!</v>
      </c>
      <c r="T145" s="37" t="e">
        <f>_xlfn.XLOOKUP(B145,#REF!,#REF!)</f>
        <v>#REF!</v>
      </c>
      <c r="U145" s="37" t="e">
        <f>_xlfn.XLOOKUP(B145,#REF!,#REF!)</f>
        <v>#REF!</v>
      </c>
      <c r="V145" s="37" t="e">
        <f>_xlfn.XLOOKUP(B145,#REF!,#REF!)</f>
        <v>#REF!</v>
      </c>
    </row>
    <row r="146" spans="1:22" x14ac:dyDescent="0.35">
      <c r="A146" t="str">
        <f>_xlfn.XLOOKUP(B146,master!B:B,master!A:A)</f>
        <v>Other Administrative Expenses</v>
      </c>
      <c r="B146" s="50" t="s">
        <v>376</v>
      </c>
      <c r="C146" s="50"/>
      <c r="D146" s="50"/>
      <c r="E146" s="50"/>
      <c r="F146" s="50"/>
      <c r="G146" s="37">
        <f>IFERROR(_xlfn.XLOOKUP(B146,#REF!,#REF!),0)</f>
        <v>0</v>
      </c>
      <c r="H146" s="37" t="e">
        <f>_xlfn.XLOOKUP(B146,#REF!,#REF!)</f>
        <v>#REF!</v>
      </c>
      <c r="I146" s="37" t="e">
        <f>_xlfn.XLOOKUP(B146,#REF!,#REF!)</f>
        <v>#REF!</v>
      </c>
      <c r="J146" s="51" t="e">
        <f>_xlfn.XLOOKUP(B146,#REF!,#REF!)</f>
        <v>#REF!</v>
      </c>
      <c r="K146" s="37" t="e">
        <f>_xlfn.XLOOKUP(B146,#REF!,#REF!)</f>
        <v>#REF!</v>
      </c>
      <c r="L146" s="37" t="e">
        <f>_xlfn.XLOOKUP(B146,#REF!,#REF!)</f>
        <v>#REF!</v>
      </c>
      <c r="M146" s="37" t="e">
        <f>_xlfn.XLOOKUP(B146,#REF!,#REF!)</f>
        <v>#REF!</v>
      </c>
      <c r="N146" s="37" t="e">
        <f>_xlfn.XLOOKUP(B146,#REF!,#REF!)</f>
        <v>#REF!</v>
      </c>
      <c r="O146" s="37" t="e">
        <f>_xlfn.XLOOKUP(B146,#REF!,#REF!)</f>
        <v>#REF!</v>
      </c>
      <c r="P146" s="37" t="e">
        <f>_xlfn.XLOOKUP(B146,#REF!,#REF!)</f>
        <v>#REF!</v>
      </c>
      <c r="Q146" s="37" t="e">
        <f>_xlfn.XLOOKUP(B146,#REF!,#REF!)</f>
        <v>#REF!</v>
      </c>
      <c r="R146" s="37" t="e">
        <f>_xlfn.XLOOKUP(B146,#REF!,#REF!)</f>
        <v>#REF!</v>
      </c>
      <c r="S146" s="37" t="e">
        <f>_xlfn.XLOOKUP(B146,#REF!,#REF!)</f>
        <v>#REF!</v>
      </c>
      <c r="T146" s="37" t="e">
        <f>_xlfn.XLOOKUP(B146,#REF!,#REF!)</f>
        <v>#REF!</v>
      </c>
      <c r="U146" s="37" t="e">
        <f>_xlfn.XLOOKUP(B146,#REF!,#REF!)</f>
        <v>#REF!</v>
      </c>
      <c r="V146" s="37" t="e">
        <f>_xlfn.XLOOKUP(B146,#REF!,#REF!)</f>
        <v>#REF!</v>
      </c>
    </row>
    <row r="147" spans="1:22" x14ac:dyDescent="0.35">
      <c r="A147" t="str">
        <f>_xlfn.XLOOKUP(B147,master!B:B,master!A:A)</f>
        <v>Other Administrative Expenses</v>
      </c>
      <c r="B147" s="50" t="s">
        <v>572</v>
      </c>
      <c r="C147" s="50"/>
      <c r="D147" s="50"/>
      <c r="E147" s="50"/>
      <c r="F147" s="50"/>
      <c r="G147" s="37">
        <f>IFERROR(_xlfn.XLOOKUP(B147,#REF!,#REF!),0)</f>
        <v>0</v>
      </c>
      <c r="H147" s="37" t="e">
        <f>_xlfn.XLOOKUP(B147,#REF!,#REF!)</f>
        <v>#REF!</v>
      </c>
      <c r="I147" s="37" t="e">
        <f>_xlfn.XLOOKUP(B147,#REF!,#REF!)</f>
        <v>#REF!</v>
      </c>
      <c r="J147" s="51" t="e">
        <f>_xlfn.XLOOKUP(B147,#REF!,#REF!)</f>
        <v>#REF!</v>
      </c>
      <c r="K147" s="37" t="e">
        <f>_xlfn.XLOOKUP(B147,#REF!,#REF!)</f>
        <v>#REF!</v>
      </c>
      <c r="L147" s="37" t="e">
        <f>_xlfn.XLOOKUP(B147,#REF!,#REF!)</f>
        <v>#REF!</v>
      </c>
      <c r="M147" s="37" t="e">
        <f>_xlfn.XLOOKUP(B147,#REF!,#REF!)</f>
        <v>#REF!</v>
      </c>
      <c r="N147" s="37" t="e">
        <f>_xlfn.XLOOKUP(B147,#REF!,#REF!)</f>
        <v>#REF!</v>
      </c>
      <c r="O147" s="37" t="e">
        <f>_xlfn.XLOOKUP(B147,#REF!,#REF!)</f>
        <v>#REF!</v>
      </c>
      <c r="P147" s="37" t="e">
        <f>_xlfn.XLOOKUP(B147,#REF!,#REF!)</f>
        <v>#REF!</v>
      </c>
      <c r="Q147" s="37" t="e">
        <f>_xlfn.XLOOKUP(B147,#REF!,#REF!)</f>
        <v>#REF!</v>
      </c>
      <c r="R147" s="37" t="e">
        <f>_xlfn.XLOOKUP(B147,#REF!,#REF!)</f>
        <v>#REF!</v>
      </c>
      <c r="S147" s="37" t="e">
        <f>_xlfn.XLOOKUP(B147,#REF!,#REF!)</f>
        <v>#REF!</v>
      </c>
      <c r="T147" s="37" t="e">
        <f>_xlfn.XLOOKUP(B147,#REF!,#REF!)</f>
        <v>#REF!</v>
      </c>
      <c r="U147" s="37" t="e">
        <f>_xlfn.XLOOKUP(B147,#REF!,#REF!)</f>
        <v>#REF!</v>
      </c>
      <c r="V147" s="37" t="e">
        <f>_xlfn.XLOOKUP(B147,#REF!,#REF!)</f>
        <v>#REF!</v>
      </c>
    </row>
    <row r="148" spans="1:22" x14ac:dyDescent="0.35">
      <c r="A148" t="str">
        <f>_xlfn.XLOOKUP(B148,master!B:B,master!A:A)</f>
        <v xml:space="preserve">Salaries, wages and  bonus </v>
      </c>
      <c r="B148" s="50" t="s">
        <v>573</v>
      </c>
      <c r="C148" s="50"/>
      <c r="D148" s="50"/>
      <c r="E148" s="50"/>
      <c r="F148" s="50"/>
      <c r="G148" s="37">
        <f>IFERROR(_xlfn.XLOOKUP(B148,#REF!,#REF!),0)</f>
        <v>0</v>
      </c>
      <c r="H148" s="37" t="e">
        <f>_xlfn.XLOOKUP(B148,#REF!,#REF!)</f>
        <v>#REF!</v>
      </c>
      <c r="I148" s="37" t="e">
        <f>_xlfn.XLOOKUP(B148,#REF!,#REF!)</f>
        <v>#REF!</v>
      </c>
      <c r="J148" s="51" t="e">
        <f>_xlfn.XLOOKUP(B148,#REF!,#REF!)</f>
        <v>#REF!</v>
      </c>
      <c r="K148" s="37" t="e">
        <f>_xlfn.XLOOKUP(B148,#REF!,#REF!)</f>
        <v>#REF!</v>
      </c>
      <c r="L148" s="37" t="e">
        <f>_xlfn.XLOOKUP(B148,#REF!,#REF!)</f>
        <v>#REF!</v>
      </c>
      <c r="M148" s="37" t="e">
        <f>_xlfn.XLOOKUP(B148,#REF!,#REF!)</f>
        <v>#REF!</v>
      </c>
      <c r="N148" s="37" t="e">
        <f>_xlfn.XLOOKUP(B148,#REF!,#REF!)</f>
        <v>#REF!</v>
      </c>
      <c r="O148" s="37" t="e">
        <f>_xlfn.XLOOKUP(B148,#REF!,#REF!)</f>
        <v>#REF!</v>
      </c>
      <c r="P148" s="37" t="e">
        <f>_xlfn.XLOOKUP(B148,#REF!,#REF!)</f>
        <v>#REF!</v>
      </c>
      <c r="Q148" s="37" t="e">
        <f>_xlfn.XLOOKUP(B148,#REF!,#REF!)</f>
        <v>#REF!</v>
      </c>
      <c r="R148" s="37" t="e">
        <f>_xlfn.XLOOKUP(B148,#REF!,#REF!)</f>
        <v>#REF!</v>
      </c>
      <c r="S148" s="37" t="e">
        <f>_xlfn.XLOOKUP(B148,#REF!,#REF!)</f>
        <v>#REF!</v>
      </c>
      <c r="T148" s="37" t="e">
        <f>_xlfn.XLOOKUP(B148,#REF!,#REF!)</f>
        <v>#REF!</v>
      </c>
      <c r="U148" s="37" t="e">
        <f>_xlfn.XLOOKUP(B148,#REF!,#REF!)</f>
        <v>#REF!</v>
      </c>
      <c r="V148" s="37" t="e">
        <f>_xlfn.XLOOKUP(B148,#REF!,#REF!)</f>
        <v>#REF!</v>
      </c>
    </row>
    <row r="149" spans="1:22" x14ac:dyDescent="0.35">
      <c r="A149" t="str">
        <f>_xlfn.XLOOKUP(B149,master!B:B,master!A:A)</f>
        <v>Other Administrative Expenses</v>
      </c>
      <c r="B149" s="50" t="s">
        <v>377</v>
      </c>
      <c r="C149" s="50"/>
      <c r="D149" s="50"/>
      <c r="E149" s="50"/>
      <c r="F149" s="50"/>
      <c r="G149" s="37">
        <f>IFERROR(_xlfn.XLOOKUP(B149,#REF!,#REF!),0)</f>
        <v>0</v>
      </c>
      <c r="H149" s="37" t="e">
        <f>_xlfn.XLOOKUP(B149,#REF!,#REF!)</f>
        <v>#REF!</v>
      </c>
      <c r="I149" s="37" t="e">
        <f>_xlfn.XLOOKUP(B149,#REF!,#REF!)</f>
        <v>#REF!</v>
      </c>
      <c r="J149" s="51" t="e">
        <f>_xlfn.XLOOKUP(B149,#REF!,#REF!)</f>
        <v>#REF!</v>
      </c>
      <c r="K149" s="37" t="e">
        <f>_xlfn.XLOOKUP(B149,#REF!,#REF!)</f>
        <v>#REF!</v>
      </c>
      <c r="L149" s="37" t="e">
        <f>_xlfn.XLOOKUP(B149,#REF!,#REF!)</f>
        <v>#REF!</v>
      </c>
      <c r="M149" s="37" t="e">
        <f>_xlfn.XLOOKUP(B149,#REF!,#REF!)</f>
        <v>#REF!</v>
      </c>
      <c r="N149" s="37" t="e">
        <f>_xlfn.XLOOKUP(B149,#REF!,#REF!)</f>
        <v>#REF!</v>
      </c>
      <c r="O149" s="37" t="e">
        <f>_xlfn.XLOOKUP(B149,#REF!,#REF!)</f>
        <v>#REF!</v>
      </c>
      <c r="P149" s="37" t="e">
        <f>_xlfn.XLOOKUP(B149,#REF!,#REF!)</f>
        <v>#REF!</v>
      </c>
      <c r="Q149" s="37" t="e">
        <f>_xlfn.XLOOKUP(B149,#REF!,#REF!)</f>
        <v>#REF!</v>
      </c>
      <c r="R149" s="37" t="e">
        <f>_xlfn.XLOOKUP(B149,#REF!,#REF!)</f>
        <v>#REF!</v>
      </c>
      <c r="S149" s="37" t="e">
        <f>_xlfn.XLOOKUP(B149,#REF!,#REF!)</f>
        <v>#REF!</v>
      </c>
      <c r="T149" s="37" t="e">
        <f>_xlfn.XLOOKUP(B149,#REF!,#REF!)</f>
        <v>#REF!</v>
      </c>
      <c r="U149" s="37" t="e">
        <f>_xlfn.XLOOKUP(B149,#REF!,#REF!)</f>
        <v>#REF!</v>
      </c>
      <c r="V149" s="37" t="e">
        <f>_xlfn.XLOOKUP(B149,#REF!,#REF!)</f>
        <v>#REF!</v>
      </c>
    </row>
    <row r="150" spans="1:22" x14ac:dyDescent="0.35">
      <c r="A150" t="str">
        <f>_xlfn.XLOOKUP(B150,master!B:B,master!A:A)</f>
        <v>Other Administrative Expenses</v>
      </c>
      <c r="B150" s="50" t="s">
        <v>574</v>
      </c>
      <c r="C150" s="50"/>
      <c r="D150" s="50"/>
      <c r="E150" s="50"/>
      <c r="F150" s="50"/>
      <c r="G150" s="37">
        <f>IFERROR(_xlfn.XLOOKUP(B150,#REF!,#REF!),0)</f>
        <v>0</v>
      </c>
      <c r="H150" s="37" t="e">
        <f>_xlfn.XLOOKUP(B150,#REF!,#REF!)</f>
        <v>#REF!</v>
      </c>
      <c r="I150" s="37" t="e">
        <f>_xlfn.XLOOKUP(B150,#REF!,#REF!)</f>
        <v>#REF!</v>
      </c>
      <c r="J150" s="51" t="e">
        <f>_xlfn.XLOOKUP(B150,#REF!,#REF!)</f>
        <v>#REF!</v>
      </c>
      <c r="K150" s="37" t="e">
        <f>_xlfn.XLOOKUP(B150,#REF!,#REF!)</f>
        <v>#REF!</v>
      </c>
      <c r="L150" s="37" t="e">
        <f>_xlfn.XLOOKUP(B150,#REF!,#REF!)</f>
        <v>#REF!</v>
      </c>
      <c r="M150" s="37" t="e">
        <f>_xlfn.XLOOKUP(B150,#REF!,#REF!)</f>
        <v>#REF!</v>
      </c>
      <c r="N150" s="37" t="e">
        <f>_xlfn.XLOOKUP(B150,#REF!,#REF!)</f>
        <v>#REF!</v>
      </c>
      <c r="O150" s="37" t="e">
        <f>_xlfn.XLOOKUP(B150,#REF!,#REF!)</f>
        <v>#REF!</v>
      </c>
      <c r="P150" s="37" t="e">
        <f>_xlfn.XLOOKUP(B150,#REF!,#REF!)</f>
        <v>#REF!</v>
      </c>
      <c r="Q150" s="37" t="e">
        <f>_xlfn.XLOOKUP(B150,#REF!,#REF!)</f>
        <v>#REF!</v>
      </c>
      <c r="R150" s="37" t="e">
        <f>_xlfn.XLOOKUP(B150,#REF!,#REF!)</f>
        <v>#REF!</v>
      </c>
      <c r="S150" s="37" t="e">
        <f>_xlfn.XLOOKUP(B150,#REF!,#REF!)</f>
        <v>#REF!</v>
      </c>
      <c r="T150" s="37" t="e">
        <f>_xlfn.XLOOKUP(B150,#REF!,#REF!)</f>
        <v>#REF!</v>
      </c>
      <c r="U150" s="37" t="e">
        <f>_xlfn.XLOOKUP(B150,#REF!,#REF!)</f>
        <v>#REF!</v>
      </c>
      <c r="V150" s="37" t="e">
        <f>_xlfn.XLOOKUP(B150,#REF!,#REF!)</f>
        <v>#REF!</v>
      </c>
    </row>
    <row r="151" spans="1:22" x14ac:dyDescent="0.35">
      <c r="A151" t="str">
        <f>_xlfn.XLOOKUP(B151,master!B:B,master!A:A)</f>
        <v>Insurance</v>
      </c>
      <c r="B151" s="50" t="s">
        <v>378</v>
      </c>
      <c r="C151" s="50"/>
      <c r="D151" s="50"/>
      <c r="E151" s="50"/>
      <c r="F151" s="50"/>
      <c r="G151" s="37">
        <f>IFERROR(_xlfn.XLOOKUP(B151,#REF!,#REF!),0)</f>
        <v>0</v>
      </c>
      <c r="H151" s="37" t="e">
        <f>_xlfn.XLOOKUP(B151,#REF!,#REF!)</f>
        <v>#REF!</v>
      </c>
      <c r="I151" s="37" t="e">
        <f>_xlfn.XLOOKUP(B151,#REF!,#REF!)</f>
        <v>#REF!</v>
      </c>
      <c r="J151" s="51" t="e">
        <f>_xlfn.XLOOKUP(B151,#REF!,#REF!)</f>
        <v>#REF!</v>
      </c>
      <c r="K151" s="37" t="e">
        <f>_xlfn.XLOOKUP(B151,#REF!,#REF!)</f>
        <v>#REF!</v>
      </c>
      <c r="L151" s="37" t="e">
        <f>_xlfn.XLOOKUP(B151,#REF!,#REF!)</f>
        <v>#REF!</v>
      </c>
      <c r="M151" s="37" t="e">
        <f>_xlfn.XLOOKUP(B151,#REF!,#REF!)</f>
        <v>#REF!</v>
      </c>
      <c r="N151" s="37" t="e">
        <f>_xlfn.XLOOKUP(B151,#REF!,#REF!)</f>
        <v>#REF!</v>
      </c>
      <c r="O151" s="37" t="e">
        <f>_xlfn.XLOOKUP(B151,#REF!,#REF!)</f>
        <v>#REF!</v>
      </c>
      <c r="P151" s="37" t="e">
        <f>_xlfn.XLOOKUP(B151,#REF!,#REF!)</f>
        <v>#REF!</v>
      </c>
      <c r="Q151" s="37" t="e">
        <f>_xlfn.XLOOKUP(B151,#REF!,#REF!)</f>
        <v>#REF!</v>
      </c>
      <c r="R151" s="37" t="e">
        <f>_xlfn.XLOOKUP(B151,#REF!,#REF!)</f>
        <v>#REF!</v>
      </c>
      <c r="S151" s="37" t="e">
        <f>_xlfn.XLOOKUP(B151,#REF!,#REF!)</f>
        <v>#REF!</v>
      </c>
      <c r="T151" s="37" t="e">
        <f>_xlfn.XLOOKUP(B151,#REF!,#REF!)</f>
        <v>#REF!</v>
      </c>
      <c r="U151" s="37" t="e">
        <f>_xlfn.XLOOKUP(B151,#REF!,#REF!)</f>
        <v>#REF!</v>
      </c>
      <c r="V151" s="37" t="e">
        <f>_xlfn.XLOOKUP(B151,#REF!,#REF!)</f>
        <v>#REF!</v>
      </c>
    </row>
    <row r="152" spans="1:22" x14ac:dyDescent="0.35">
      <c r="A152" t="str">
        <f>_xlfn.XLOOKUP(B152,master!B:B,master!A:A)</f>
        <v>Other Administrative Expenses</v>
      </c>
      <c r="B152" s="50" t="s">
        <v>379</v>
      </c>
      <c r="C152" s="50"/>
      <c r="D152" s="50"/>
      <c r="E152" s="50"/>
      <c r="F152" s="50"/>
      <c r="G152" s="37">
        <f>IFERROR(_xlfn.XLOOKUP(B152,#REF!,#REF!),0)</f>
        <v>0</v>
      </c>
      <c r="H152" s="37" t="e">
        <f>_xlfn.XLOOKUP(B152,#REF!,#REF!)</f>
        <v>#REF!</v>
      </c>
      <c r="I152" s="37" t="e">
        <f>_xlfn.XLOOKUP(B152,#REF!,#REF!)</f>
        <v>#REF!</v>
      </c>
      <c r="J152" s="51" t="e">
        <f>_xlfn.XLOOKUP(B152,#REF!,#REF!)</f>
        <v>#REF!</v>
      </c>
      <c r="K152" s="37" t="e">
        <f>_xlfn.XLOOKUP(B152,#REF!,#REF!)</f>
        <v>#REF!</v>
      </c>
      <c r="L152" s="37" t="e">
        <f>_xlfn.XLOOKUP(B152,#REF!,#REF!)</f>
        <v>#REF!</v>
      </c>
      <c r="M152" s="37" t="e">
        <f>_xlfn.XLOOKUP(B152,#REF!,#REF!)</f>
        <v>#REF!</v>
      </c>
      <c r="N152" s="37" t="e">
        <f>_xlfn.XLOOKUP(B152,#REF!,#REF!)</f>
        <v>#REF!</v>
      </c>
      <c r="O152" s="37" t="e">
        <f>_xlfn.XLOOKUP(B152,#REF!,#REF!)</f>
        <v>#REF!</v>
      </c>
      <c r="P152" s="37" t="e">
        <f>_xlfn.XLOOKUP(B152,#REF!,#REF!)</f>
        <v>#REF!</v>
      </c>
      <c r="Q152" s="37" t="e">
        <f>_xlfn.XLOOKUP(B152,#REF!,#REF!)</f>
        <v>#REF!</v>
      </c>
      <c r="R152" s="37" t="e">
        <f>_xlfn.XLOOKUP(B152,#REF!,#REF!)</f>
        <v>#REF!</v>
      </c>
      <c r="S152" s="37" t="e">
        <f>_xlfn.XLOOKUP(B152,#REF!,#REF!)</f>
        <v>#REF!</v>
      </c>
      <c r="T152" s="37" t="e">
        <f>_xlfn.XLOOKUP(B152,#REF!,#REF!)</f>
        <v>#REF!</v>
      </c>
      <c r="U152" s="37" t="e">
        <f>_xlfn.XLOOKUP(B152,#REF!,#REF!)</f>
        <v>#REF!</v>
      </c>
      <c r="V152" s="37" t="e">
        <f>_xlfn.XLOOKUP(B152,#REF!,#REF!)</f>
        <v>#REF!</v>
      </c>
    </row>
    <row r="153" spans="1:22" x14ac:dyDescent="0.35">
      <c r="A153" t="str">
        <f>_xlfn.XLOOKUP(B153,master!B:B,master!A:A)</f>
        <v>Other Administrative Expenses</v>
      </c>
      <c r="B153" s="50" t="s">
        <v>575</v>
      </c>
      <c r="C153" s="50"/>
      <c r="D153" s="50"/>
      <c r="E153" s="50"/>
      <c r="F153" s="50"/>
      <c r="G153" s="37">
        <f>IFERROR(_xlfn.XLOOKUP(B153,#REF!,#REF!),0)</f>
        <v>0</v>
      </c>
      <c r="H153" s="37" t="e">
        <f>_xlfn.XLOOKUP(B153,#REF!,#REF!)</f>
        <v>#REF!</v>
      </c>
      <c r="I153" s="37" t="e">
        <f>_xlfn.XLOOKUP(B153,#REF!,#REF!)</f>
        <v>#REF!</v>
      </c>
      <c r="J153" s="51" t="e">
        <f>_xlfn.XLOOKUP(B153,#REF!,#REF!)</f>
        <v>#REF!</v>
      </c>
      <c r="K153" s="37" t="e">
        <f>_xlfn.XLOOKUP(B153,#REF!,#REF!)</f>
        <v>#REF!</v>
      </c>
      <c r="L153" s="37" t="e">
        <f>_xlfn.XLOOKUP(B153,#REF!,#REF!)</f>
        <v>#REF!</v>
      </c>
      <c r="M153" s="37" t="e">
        <f>_xlfn.XLOOKUP(B153,#REF!,#REF!)</f>
        <v>#REF!</v>
      </c>
      <c r="N153" s="37" t="e">
        <f>_xlfn.XLOOKUP(B153,#REF!,#REF!)</f>
        <v>#REF!</v>
      </c>
      <c r="O153" s="37" t="e">
        <f>_xlfn.XLOOKUP(B153,#REF!,#REF!)</f>
        <v>#REF!</v>
      </c>
      <c r="P153" s="37" t="e">
        <f>_xlfn.XLOOKUP(B153,#REF!,#REF!)</f>
        <v>#REF!</v>
      </c>
      <c r="Q153" s="37" t="e">
        <f>_xlfn.XLOOKUP(B153,#REF!,#REF!)</f>
        <v>#REF!</v>
      </c>
      <c r="R153" s="37" t="e">
        <f>_xlfn.XLOOKUP(B153,#REF!,#REF!)</f>
        <v>#REF!</v>
      </c>
      <c r="S153" s="37" t="e">
        <f>_xlfn.XLOOKUP(B153,#REF!,#REF!)</f>
        <v>#REF!</v>
      </c>
      <c r="T153" s="37" t="e">
        <f>_xlfn.XLOOKUP(B153,#REF!,#REF!)</f>
        <v>#REF!</v>
      </c>
      <c r="U153" s="37" t="e">
        <f>_xlfn.XLOOKUP(B153,#REF!,#REF!)</f>
        <v>#REF!</v>
      </c>
      <c r="V153" s="37" t="e">
        <f>_xlfn.XLOOKUP(B153,#REF!,#REF!)</f>
        <v>#REF!</v>
      </c>
    </row>
    <row r="154" spans="1:22" x14ac:dyDescent="0.35">
      <c r="A154" t="str">
        <f>_xlfn.XLOOKUP(B154,master!B:B,master!A:A)</f>
        <v>Other Administrative Expenses</v>
      </c>
      <c r="B154" s="50" t="s">
        <v>380</v>
      </c>
      <c r="C154" s="50"/>
      <c r="D154" s="50"/>
      <c r="E154" s="50"/>
      <c r="F154" s="50"/>
      <c r="G154" s="37">
        <f>IFERROR(_xlfn.XLOOKUP(B154,#REF!,#REF!),0)</f>
        <v>0</v>
      </c>
      <c r="H154" s="37" t="e">
        <f>_xlfn.XLOOKUP(B154,#REF!,#REF!)</f>
        <v>#REF!</v>
      </c>
      <c r="I154" s="37" t="e">
        <f>_xlfn.XLOOKUP(B154,#REF!,#REF!)</f>
        <v>#REF!</v>
      </c>
      <c r="J154" s="51" t="e">
        <f>_xlfn.XLOOKUP(B154,#REF!,#REF!)</f>
        <v>#REF!</v>
      </c>
      <c r="K154" s="37" t="e">
        <f>_xlfn.XLOOKUP(B154,#REF!,#REF!)</f>
        <v>#REF!</v>
      </c>
      <c r="L154" s="37" t="e">
        <f>_xlfn.XLOOKUP(B154,#REF!,#REF!)</f>
        <v>#REF!</v>
      </c>
      <c r="M154" s="37" t="e">
        <f>_xlfn.XLOOKUP(B154,#REF!,#REF!)</f>
        <v>#REF!</v>
      </c>
      <c r="N154" s="37" t="e">
        <f>_xlfn.XLOOKUP(B154,#REF!,#REF!)</f>
        <v>#REF!</v>
      </c>
      <c r="O154" s="37" t="e">
        <f>_xlfn.XLOOKUP(B154,#REF!,#REF!)</f>
        <v>#REF!</v>
      </c>
      <c r="P154" s="37" t="e">
        <f>_xlfn.XLOOKUP(B154,#REF!,#REF!)</f>
        <v>#REF!</v>
      </c>
      <c r="Q154" s="37" t="e">
        <f>_xlfn.XLOOKUP(B154,#REF!,#REF!)</f>
        <v>#REF!</v>
      </c>
      <c r="R154" s="37" t="e">
        <f>_xlfn.XLOOKUP(B154,#REF!,#REF!)</f>
        <v>#REF!</v>
      </c>
      <c r="S154" s="37" t="e">
        <f>_xlfn.XLOOKUP(B154,#REF!,#REF!)</f>
        <v>#REF!</v>
      </c>
      <c r="T154" s="37" t="e">
        <f>_xlfn.XLOOKUP(B154,#REF!,#REF!)</f>
        <v>#REF!</v>
      </c>
      <c r="U154" s="37" t="e">
        <f>_xlfn.XLOOKUP(B154,#REF!,#REF!)</f>
        <v>#REF!</v>
      </c>
      <c r="V154" s="37" t="e">
        <f>_xlfn.XLOOKUP(B154,#REF!,#REF!)</f>
        <v>#REF!</v>
      </c>
    </row>
    <row r="155" spans="1:22" x14ac:dyDescent="0.35">
      <c r="A155" t="str">
        <f>_xlfn.XLOOKUP(B155,master!B:B,master!A:A)</f>
        <v>Other Administrative Expenses</v>
      </c>
      <c r="B155" s="50" t="s">
        <v>381</v>
      </c>
      <c r="C155" s="50"/>
      <c r="D155" s="50"/>
      <c r="E155" s="50"/>
      <c r="F155" s="50"/>
      <c r="G155" s="37">
        <f>IFERROR(_xlfn.XLOOKUP(B155,#REF!,#REF!),0)</f>
        <v>0</v>
      </c>
      <c r="H155" s="37" t="e">
        <f>_xlfn.XLOOKUP(B155,#REF!,#REF!)</f>
        <v>#REF!</v>
      </c>
      <c r="I155" s="37" t="e">
        <f>_xlfn.XLOOKUP(B155,#REF!,#REF!)</f>
        <v>#REF!</v>
      </c>
      <c r="J155" s="51" t="e">
        <f>_xlfn.XLOOKUP(B155,#REF!,#REF!)</f>
        <v>#REF!</v>
      </c>
      <c r="K155" s="37" t="e">
        <f>_xlfn.XLOOKUP(B155,#REF!,#REF!)</f>
        <v>#REF!</v>
      </c>
      <c r="L155" s="37" t="e">
        <f>_xlfn.XLOOKUP(B155,#REF!,#REF!)</f>
        <v>#REF!</v>
      </c>
      <c r="M155" s="37" t="e">
        <f>_xlfn.XLOOKUP(B155,#REF!,#REF!)</f>
        <v>#REF!</v>
      </c>
      <c r="N155" s="37" t="e">
        <f>_xlfn.XLOOKUP(B155,#REF!,#REF!)</f>
        <v>#REF!</v>
      </c>
      <c r="O155" s="37" t="e">
        <f>_xlfn.XLOOKUP(B155,#REF!,#REF!)</f>
        <v>#REF!</v>
      </c>
      <c r="P155" s="37" t="e">
        <f>_xlfn.XLOOKUP(B155,#REF!,#REF!)</f>
        <v>#REF!</v>
      </c>
      <c r="Q155" s="37" t="e">
        <f>_xlfn.XLOOKUP(B155,#REF!,#REF!)</f>
        <v>#REF!</v>
      </c>
      <c r="R155" s="37" t="e">
        <f>_xlfn.XLOOKUP(B155,#REF!,#REF!)</f>
        <v>#REF!</v>
      </c>
      <c r="S155" s="37" t="e">
        <f>_xlfn.XLOOKUP(B155,#REF!,#REF!)</f>
        <v>#REF!</v>
      </c>
      <c r="T155" s="37" t="e">
        <f>_xlfn.XLOOKUP(B155,#REF!,#REF!)</f>
        <v>#REF!</v>
      </c>
      <c r="U155" s="37" t="e">
        <f>_xlfn.XLOOKUP(B155,#REF!,#REF!)</f>
        <v>#REF!</v>
      </c>
      <c r="V155" s="37" t="e">
        <f>_xlfn.XLOOKUP(B155,#REF!,#REF!)</f>
        <v>#REF!</v>
      </c>
    </row>
    <row r="156" spans="1:22" x14ac:dyDescent="0.35">
      <c r="A156" t="str">
        <f>_xlfn.XLOOKUP(B156,master!B:B,master!A:A)</f>
        <v>Sundry balance written off</v>
      </c>
      <c r="B156" s="50" t="s">
        <v>382</v>
      </c>
      <c r="C156" s="50"/>
      <c r="D156" s="50"/>
      <c r="E156" s="50"/>
      <c r="F156" s="50"/>
      <c r="G156" s="37">
        <f>IFERROR(_xlfn.XLOOKUP(B156,#REF!,#REF!),0)</f>
        <v>0</v>
      </c>
      <c r="H156" s="37" t="e">
        <f>_xlfn.XLOOKUP(B156,#REF!,#REF!)</f>
        <v>#REF!</v>
      </c>
      <c r="I156" s="37" t="e">
        <f>_xlfn.XLOOKUP(B156,#REF!,#REF!)</f>
        <v>#REF!</v>
      </c>
      <c r="J156" s="51" t="e">
        <f>_xlfn.XLOOKUP(B156,#REF!,#REF!)</f>
        <v>#REF!</v>
      </c>
      <c r="K156" s="37" t="e">
        <f>_xlfn.XLOOKUP(B156,#REF!,#REF!)</f>
        <v>#REF!</v>
      </c>
      <c r="L156" s="37" t="e">
        <f>_xlfn.XLOOKUP(B156,#REF!,#REF!)</f>
        <v>#REF!</v>
      </c>
      <c r="M156" s="37" t="e">
        <f>_xlfn.XLOOKUP(B156,#REF!,#REF!)</f>
        <v>#REF!</v>
      </c>
      <c r="N156" s="37" t="e">
        <f>_xlfn.XLOOKUP(B156,#REF!,#REF!)</f>
        <v>#REF!</v>
      </c>
      <c r="O156" s="37" t="e">
        <f>_xlfn.XLOOKUP(B156,#REF!,#REF!)</f>
        <v>#REF!</v>
      </c>
      <c r="P156" s="37" t="e">
        <f>_xlfn.XLOOKUP(B156,#REF!,#REF!)</f>
        <v>#REF!</v>
      </c>
      <c r="Q156" s="37" t="e">
        <f>_xlfn.XLOOKUP(B156,#REF!,#REF!)</f>
        <v>#REF!</v>
      </c>
      <c r="R156" s="37" t="e">
        <f>_xlfn.XLOOKUP(B156,#REF!,#REF!)</f>
        <v>#REF!</v>
      </c>
      <c r="S156" s="37" t="e">
        <f>_xlfn.XLOOKUP(B156,#REF!,#REF!)</f>
        <v>#REF!</v>
      </c>
      <c r="T156" s="37" t="e">
        <f>_xlfn.XLOOKUP(B156,#REF!,#REF!)</f>
        <v>#REF!</v>
      </c>
      <c r="U156" s="37" t="e">
        <f>_xlfn.XLOOKUP(B156,#REF!,#REF!)</f>
        <v>#REF!</v>
      </c>
      <c r="V156" s="37" t="e">
        <f>_xlfn.XLOOKUP(B156,#REF!,#REF!)</f>
        <v>#REF!</v>
      </c>
    </row>
    <row r="157" spans="1:22" x14ac:dyDescent="0.35">
      <c r="A157" t="str">
        <f>_xlfn.XLOOKUP(B157,master!B:B,master!A:A)</f>
        <v>Other Administrative Expenses</v>
      </c>
      <c r="B157" s="50" t="s">
        <v>576</v>
      </c>
      <c r="C157" s="50"/>
      <c r="D157" s="50"/>
      <c r="E157" s="50"/>
      <c r="F157" s="50"/>
      <c r="G157" s="37">
        <f>IFERROR(_xlfn.XLOOKUP(B157,#REF!,#REF!),0)</f>
        <v>0</v>
      </c>
      <c r="H157" s="37" t="e">
        <f>_xlfn.XLOOKUP(B157,#REF!,#REF!)</f>
        <v>#REF!</v>
      </c>
      <c r="I157" s="37" t="e">
        <f>_xlfn.XLOOKUP(B157,#REF!,#REF!)</f>
        <v>#REF!</v>
      </c>
      <c r="J157" s="51" t="e">
        <f>_xlfn.XLOOKUP(B157,#REF!,#REF!)</f>
        <v>#REF!</v>
      </c>
      <c r="K157" s="37" t="e">
        <f>_xlfn.XLOOKUP(B157,#REF!,#REF!)</f>
        <v>#REF!</v>
      </c>
      <c r="L157" s="37" t="e">
        <f>_xlfn.XLOOKUP(B157,#REF!,#REF!)</f>
        <v>#REF!</v>
      </c>
      <c r="M157" s="37" t="e">
        <f>_xlfn.XLOOKUP(B157,#REF!,#REF!)</f>
        <v>#REF!</v>
      </c>
      <c r="N157" s="37" t="e">
        <f>_xlfn.XLOOKUP(B157,#REF!,#REF!)</f>
        <v>#REF!</v>
      </c>
      <c r="O157" s="37" t="e">
        <f>_xlfn.XLOOKUP(B157,#REF!,#REF!)</f>
        <v>#REF!</v>
      </c>
      <c r="P157" s="37" t="e">
        <f>_xlfn.XLOOKUP(B157,#REF!,#REF!)</f>
        <v>#REF!</v>
      </c>
      <c r="Q157" s="37" t="e">
        <f>_xlfn.XLOOKUP(B157,#REF!,#REF!)</f>
        <v>#REF!</v>
      </c>
      <c r="R157" s="37" t="e">
        <f>_xlfn.XLOOKUP(B157,#REF!,#REF!)</f>
        <v>#REF!</v>
      </c>
      <c r="S157" s="37" t="e">
        <f>_xlfn.XLOOKUP(B157,#REF!,#REF!)</f>
        <v>#REF!</v>
      </c>
      <c r="T157" s="37" t="e">
        <f>_xlfn.XLOOKUP(B157,#REF!,#REF!)</f>
        <v>#REF!</v>
      </c>
      <c r="U157" s="37" t="e">
        <f>_xlfn.XLOOKUP(B157,#REF!,#REF!)</f>
        <v>#REF!</v>
      </c>
      <c r="V157" s="37" t="e">
        <f>_xlfn.XLOOKUP(B157,#REF!,#REF!)</f>
        <v>#REF!</v>
      </c>
    </row>
    <row r="158" spans="1:22" x14ac:dyDescent="0.35">
      <c r="A158" t="str">
        <f>_xlfn.XLOOKUP(B158,master!B:B,master!A:A)</f>
        <v>Brokerage &amp; commission</v>
      </c>
      <c r="B158" s="50" t="s">
        <v>383</v>
      </c>
      <c r="C158" s="50"/>
      <c r="D158" s="50"/>
      <c r="E158" s="50"/>
      <c r="F158" s="50"/>
      <c r="G158" s="37">
        <f>IFERROR(_xlfn.XLOOKUP(B158,#REF!,#REF!),0)</f>
        <v>0</v>
      </c>
      <c r="H158" s="37" t="e">
        <f>_xlfn.XLOOKUP(B158,#REF!,#REF!)</f>
        <v>#REF!</v>
      </c>
      <c r="I158" s="37" t="e">
        <f>_xlfn.XLOOKUP(B158,#REF!,#REF!)</f>
        <v>#REF!</v>
      </c>
      <c r="J158" s="51" t="e">
        <f>_xlfn.XLOOKUP(B158,#REF!,#REF!)</f>
        <v>#REF!</v>
      </c>
      <c r="K158" s="37" t="e">
        <f>_xlfn.XLOOKUP(B158,#REF!,#REF!)</f>
        <v>#REF!</v>
      </c>
      <c r="L158" s="37" t="e">
        <f>_xlfn.XLOOKUP(B158,#REF!,#REF!)</f>
        <v>#REF!</v>
      </c>
      <c r="M158" s="37" t="e">
        <f>_xlfn.XLOOKUP(B158,#REF!,#REF!)</f>
        <v>#REF!</v>
      </c>
      <c r="N158" s="37" t="e">
        <f>_xlfn.XLOOKUP(B158,#REF!,#REF!)</f>
        <v>#REF!</v>
      </c>
      <c r="O158" s="37" t="e">
        <f>_xlfn.XLOOKUP(B158,#REF!,#REF!)</f>
        <v>#REF!</v>
      </c>
      <c r="P158" s="37" t="e">
        <f>_xlfn.XLOOKUP(B158,#REF!,#REF!)</f>
        <v>#REF!</v>
      </c>
      <c r="Q158" s="37" t="e">
        <f>_xlfn.XLOOKUP(B158,#REF!,#REF!)</f>
        <v>#REF!</v>
      </c>
      <c r="R158" s="37" t="e">
        <f>_xlfn.XLOOKUP(B158,#REF!,#REF!)</f>
        <v>#REF!</v>
      </c>
      <c r="S158" s="37" t="e">
        <f>_xlfn.XLOOKUP(B158,#REF!,#REF!)</f>
        <v>#REF!</v>
      </c>
      <c r="T158" s="37" t="e">
        <f>_xlfn.XLOOKUP(B158,#REF!,#REF!)</f>
        <v>#REF!</v>
      </c>
      <c r="U158" s="37" t="e">
        <f>_xlfn.XLOOKUP(B158,#REF!,#REF!)</f>
        <v>#REF!</v>
      </c>
      <c r="V158" s="37" t="e">
        <f>_xlfn.XLOOKUP(B158,#REF!,#REF!)</f>
        <v>#REF!</v>
      </c>
    </row>
    <row r="159" spans="1:22" x14ac:dyDescent="0.35">
      <c r="A159" t="str">
        <f>_xlfn.XLOOKUP(B159,master!B:B,master!A:A)</f>
        <v>Freight Outward and C &amp; F Charges</v>
      </c>
      <c r="B159" s="50" t="s">
        <v>384</v>
      </c>
      <c r="C159" s="50"/>
      <c r="D159" s="50"/>
      <c r="E159" s="50"/>
      <c r="F159" s="50"/>
      <c r="G159" s="37">
        <f>IFERROR(_xlfn.XLOOKUP(B159,#REF!,#REF!),0)</f>
        <v>0</v>
      </c>
      <c r="H159" s="37" t="e">
        <f>_xlfn.XLOOKUP(B159,#REF!,#REF!)</f>
        <v>#REF!</v>
      </c>
      <c r="I159" s="37" t="e">
        <f>_xlfn.XLOOKUP(B159,#REF!,#REF!)</f>
        <v>#REF!</v>
      </c>
      <c r="J159" s="51" t="e">
        <f>_xlfn.XLOOKUP(B159,#REF!,#REF!)</f>
        <v>#REF!</v>
      </c>
      <c r="K159" s="37" t="e">
        <f>_xlfn.XLOOKUP(B159,#REF!,#REF!)</f>
        <v>#REF!</v>
      </c>
      <c r="L159" s="37" t="e">
        <f>_xlfn.XLOOKUP(B159,#REF!,#REF!)</f>
        <v>#REF!</v>
      </c>
      <c r="M159" s="37" t="e">
        <f>_xlfn.XLOOKUP(B159,#REF!,#REF!)</f>
        <v>#REF!</v>
      </c>
      <c r="N159" s="37" t="e">
        <f>_xlfn.XLOOKUP(B159,#REF!,#REF!)</f>
        <v>#REF!</v>
      </c>
      <c r="O159" s="37" t="e">
        <f>_xlfn.XLOOKUP(B159,#REF!,#REF!)</f>
        <v>#REF!</v>
      </c>
      <c r="P159" s="37" t="e">
        <f>_xlfn.XLOOKUP(B159,#REF!,#REF!)</f>
        <v>#REF!</v>
      </c>
      <c r="Q159" s="37" t="e">
        <f>_xlfn.XLOOKUP(B159,#REF!,#REF!)</f>
        <v>#REF!</v>
      </c>
      <c r="R159" s="37" t="e">
        <f>_xlfn.XLOOKUP(B159,#REF!,#REF!)</f>
        <v>#REF!</v>
      </c>
      <c r="S159" s="37" t="e">
        <f>_xlfn.XLOOKUP(B159,#REF!,#REF!)</f>
        <v>#REF!</v>
      </c>
      <c r="T159" s="37" t="e">
        <f>_xlfn.XLOOKUP(B159,#REF!,#REF!)</f>
        <v>#REF!</v>
      </c>
      <c r="U159" s="37" t="e">
        <f>_xlfn.XLOOKUP(B159,#REF!,#REF!)</f>
        <v>#REF!</v>
      </c>
      <c r="V159" s="37" t="e">
        <f>_xlfn.XLOOKUP(B159,#REF!,#REF!)</f>
        <v>#REF!</v>
      </c>
    </row>
    <row r="160" spans="1:22" x14ac:dyDescent="0.35">
      <c r="A160" t="str">
        <f>_xlfn.XLOOKUP(B160,master!B:B,master!A:A)</f>
        <v>Freight Outward and C &amp; F Charges</v>
      </c>
      <c r="B160" s="50" t="s">
        <v>577</v>
      </c>
      <c r="C160" s="50"/>
      <c r="D160" s="50"/>
      <c r="E160" s="50"/>
      <c r="F160" s="50"/>
      <c r="G160" s="37">
        <f>IFERROR(_xlfn.XLOOKUP(B160,#REF!,#REF!),0)</f>
        <v>0</v>
      </c>
      <c r="H160" s="37" t="e">
        <f>_xlfn.XLOOKUP(B160,#REF!,#REF!)</f>
        <v>#REF!</v>
      </c>
      <c r="I160" s="37" t="e">
        <f>_xlfn.XLOOKUP(B160,#REF!,#REF!)</f>
        <v>#REF!</v>
      </c>
      <c r="J160" s="51" t="e">
        <f>_xlfn.XLOOKUP(B160,#REF!,#REF!)</f>
        <v>#REF!</v>
      </c>
      <c r="K160" s="37" t="e">
        <f>_xlfn.XLOOKUP(B160,#REF!,#REF!)</f>
        <v>#REF!</v>
      </c>
      <c r="L160" s="37" t="e">
        <f>_xlfn.XLOOKUP(B160,#REF!,#REF!)</f>
        <v>#REF!</v>
      </c>
      <c r="M160" s="37" t="e">
        <f>_xlfn.XLOOKUP(B160,#REF!,#REF!)</f>
        <v>#REF!</v>
      </c>
      <c r="N160" s="37" t="e">
        <f>_xlfn.XLOOKUP(B160,#REF!,#REF!)</f>
        <v>#REF!</v>
      </c>
      <c r="O160" s="37" t="e">
        <f>_xlfn.XLOOKUP(B160,#REF!,#REF!)</f>
        <v>#REF!</v>
      </c>
      <c r="P160" s="37" t="e">
        <f>_xlfn.XLOOKUP(B160,#REF!,#REF!)</f>
        <v>#REF!</v>
      </c>
      <c r="Q160" s="37" t="e">
        <f>_xlfn.XLOOKUP(B160,#REF!,#REF!)</f>
        <v>#REF!</v>
      </c>
      <c r="R160" s="37" t="e">
        <f>_xlfn.XLOOKUP(B160,#REF!,#REF!)</f>
        <v>#REF!</v>
      </c>
      <c r="S160" s="37" t="e">
        <f>_xlfn.XLOOKUP(B160,#REF!,#REF!)</f>
        <v>#REF!</v>
      </c>
      <c r="T160" s="37" t="e">
        <f>_xlfn.XLOOKUP(B160,#REF!,#REF!)</f>
        <v>#REF!</v>
      </c>
      <c r="U160" s="37" t="e">
        <f>_xlfn.XLOOKUP(B160,#REF!,#REF!)</f>
        <v>#REF!</v>
      </c>
      <c r="V160" s="37" t="e">
        <f>_xlfn.XLOOKUP(B160,#REF!,#REF!)</f>
        <v>#REF!</v>
      </c>
    </row>
    <row r="161" spans="1:22" x14ac:dyDescent="0.35">
      <c r="A161" t="str">
        <f>_xlfn.XLOOKUP(B161,master!B:B,master!A:A)</f>
        <v>Sale of Finished Goods</v>
      </c>
      <c r="B161" s="50" t="s">
        <v>385</v>
      </c>
      <c r="C161" s="50"/>
      <c r="D161" s="50"/>
      <c r="E161" s="50"/>
      <c r="F161" s="50"/>
      <c r="G161" s="37">
        <f>IFERROR(_xlfn.XLOOKUP(B161,#REF!,#REF!),0)</f>
        <v>0</v>
      </c>
      <c r="H161" s="37" t="e">
        <f>_xlfn.XLOOKUP(B161,#REF!,#REF!)</f>
        <v>#REF!</v>
      </c>
      <c r="I161" s="37" t="e">
        <f>_xlfn.XLOOKUP(B161,#REF!,#REF!)</f>
        <v>#REF!</v>
      </c>
      <c r="J161" s="51" t="e">
        <f>_xlfn.XLOOKUP(B161,#REF!,#REF!)</f>
        <v>#REF!</v>
      </c>
      <c r="K161" s="37" t="e">
        <f>_xlfn.XLOOKUP(B161,#REF!,#REF!)</f>
        <v>#REF!</v>
      </c>
      <c r="L161" s="37" t="e">
        <f>_xlfn.XLOOKUP(B161,#REF!,#REF!)</f>
        <v>#REF!</v>
      </c>
      <c r="M161" s="37" t="e">
        <f>_xlfn.XLOOKUP(B161,#REF!,#REF!)</f>
        <v>#REF!</v>
      </c>
      <c r="N161" s="37" t="e">
        <f>_xlfn.XLOOKUP(B161,#REF!,#REF!)</f>
        <v>#REF!</v>
      </c>
      <c r="O161" s="37" t="e">
        <f>_xlfn.XLOOKUP(B161,#REF!,#REF!)</f>
        <v>#REF!</v>
      </c>
      <c r="P161" s="37" t="e">
        <f>_xlfn.XLOOKUP(B161,#REF!,#REF!)</f>
        <v>#REF!</v>
      </c>
      <c r="Q161" s="37" t="e">
        <f>_xlfn.XLOOKUP(B161,#REF!,#REF!)</f>
        <v>#REF!</v>
      </c>
      <c r="R161" s="37" t="e">
        <f>_xlfn.XLOOKUP(B161,#REF!,#REF!)</f>
        <v>#REF!</v>
      </c>
      <c r="S161" s="37" t="e">
        <f>_xlfn.XLOOKUP(B161,#REF!,#REF!)</f>
        <v>#REF!</v>
      </c>
      <c r="T161" s="37" t="e">
        <f>_xlfn.XLOOKUP(B161,#REF!,#REF!)</f>
        <v>#REF!</v>
      </c>
      <c r="U161" s="37" t="e">
        <f>_xlfn.XLOOKUP(B161,#REF!,#REF!)</f>
        <v>#REF!</v>
      </c>
      <c r="V161" s="37" t="e">
        <f>_xlfn.XLOOKUP(B161,#REF!,#REF!)</f>
        <v>#REF!</v>
      </c>
    </row>
    <row r="162" spans="1:22" x14ac:dyDescent="0.35">
      <c r="A162" t="str">
        <f>_xlfn.XLOOKUP(B162,master!B:B,master!A:A)</f>
        <v>Advertising and sales promotion expense</v>
      </c>
      <c r="B162" s="50" t="s">
        <v>578</v>
      </c>
      <c r="C162" s="50"/>
      <c r="D162" s="50"/>
      <c r="E162" s="50"/>
      <c r="F162" s="50"/>
      <c r="G162" s="37">
        <f>IFERROR(_xlfn.XLOOKUP(B162,#REF!,#REF!),0)</f>
        <v>0</v>
      </c>
      <c r="H162" s="37" t="e">
        <f>_xlfn.XLOOKUP(B162,#REF!,#REF!)</f>
        <v>#REF!</v>
      </c>
      <c r="I162" s="37" t="e">
        <f>_xlfn.XLOOKUP(B162,#REF!,#REF!)</f>
        <v>#REF!</v>
      </c>
      <c r="J162" s="51" t="e">
        <f>_xlfn.XLOOKUP(B162,#REF!,#REF!)</f>
        <v>#REF!</v>
      </c>
      <c r="K162" s="37" t="e">
        <f>_xlfn.XLOOKUP(B162,#REF!,#REF!)</f>
        <v>#REF!</v>
      </c>
      <c r="L162" s="37" t="e">
        <f>_xlfn.XLOOKUP(B162,#REF!,#REF!)</f>
        <v>#REF!</v>
      </c>
      <c r="M162" s="37" t="e">
        <f>_xlfn.XLOOKUP(B162,#REF!,#REF!)</f>
        <v>#REF!</v>
      </c>
      <c r="N162" s="37" t="e">
        <f>_xlfn.XLOOKUP(B162,#REF!,#REF!)</f>
        <v>#REF!</v>
      </c>
      <c r="O162" s="37" t="e">
        <f>_xlfn.XLOOKUP(B162,#REF!,#REF!)</f>
        <v>#REF!</v>
      </c>
      <c r="P162" s="37" t="e">
        <f>_xlfn.XLOOKUP(B162,#REF!,#REF!)</f>
        <v>#REF!</v>
      </c>
      <c r="Q162" s="37" t="e">
        <f>_xlfn.XLOOKUP(B162,#REF!,#REF!)</f>
        <v>#REF!</v>
      </c>
      <c r="R162" s="37" t="e">
        <f>_xlfn.XLOOKUP(B162,#REF!,#REF!)</f>
        <v>#REF!</v>
      </c>
      <c r="S162" s="37" t="e">
        <f>_xlfn.XLOOKUP(B162,#REF!,#REF!)</f>
        <v>#REF!</v>
      </c>
      <c r="T162" s="37" t="e">
        <f>_xlfn.XLOOKUP(B162,#REF!,#REF!)</f>
        <v>#REF!</v>
      </c>
      <c r="U162" s="37" t="e">
        <f>_xlfn.XLOOKUP(B162,#REF!,#REF!)</f>
        <v>#REF!</v>
      </c>
      <c r="V162" s="37" t="e">
        <f>_xlfn.XLOOKUP(B162,#REF!,#REF!)</f>
        <v>#REF!</v>
      </c>
    </row>
    <row r="163" spans="1:22" x14ac:dyDescent="0.35">
      <c r="A163" t="str">
        <f>_xlfn.XLOOKUP(B163,master!B:B,master!A:A)</f>
        <v>Freight Outward and C &amp; F Charges</v>
      </c>
      <c r="B163" s="50" t="s">
        <v>386</v>
      </c>
      <c r="C163" s="50"/>
      <c r="D163" s="50"/>
      <c r="E163" s="50"/>
      <c r="F163" s="50"/>
      <c r="G163" s="37">
        <f>IFERROR(_xlfn.XLOOKUP(B163,#REF!,#REF!),0)</f>
        <v>0</v>
      </c>
      <c r="H163" s="37" t="e">
        <f>_xlfn.XLOOKUP(B163,#REF!,#REF!)</f>
        <v>#REF!</v>
      </c>
      <c r="I163" s="37" t="e">
        <f>_xlfn.XLOOKUP(B163,#REF!,#REF!)</f>
        <v>#REF!</v>
      </c>
      <c r="J163" s="51" t="e">
        <f>_xlfn.XLOOKUP(B163,#REF!,#REF!)</f>
        <v>#REF!</v>
      </c>
      <c r="K163" s="37" t="e">
        <f>_xlfn.XLOOKUP(B163,#REF!,#REF!)</f>
        <v>#REF!</v>
      </c>
      <c r="L163" s="37" t="e">
        <f>_xlfn.XLOOKUP(B163,#REF!,#REF!)</f>
        <v>#REF!</v>
      </c>
      <c r="M163" s="37" t="e">
        <f>_xlfn.XLOOKUP(B163,#REF!,#REF!)</f>
        <v>#REF!</v>
      </c>
      <c r="N163" s="37" t="e">
        <f>_xlfn.XLOOKUP(B163,#REF!,#REF!)</f>
        <v>#REF!</v>
      </c>
      <c r="O163" s="37" t="e">
        <f>_xlfn.XLOOKUP(B163,#REF!,#REF!)</f>
        <v>#REF!</v>
      </c>
      <c r="P163" s="37" t="e">
        <f>_xlfn.XLOOKUP(B163,#REF!,#REF!)</f>
        <v>#REF!</v>
      </c>
      <c r="Q163" s="37" t="e">
        <f>_xlfn.XLOOKUP(B163,#REF!,#REF!)</f>
        <v>#REF!</v>
      </c>
      <c r="R163" s="37" t="e">
        <f>_xlfn.XLOOKUP(B163,#REF!,#REF!)</f>
        <v>#REF!</v>
      </c>
      <c r="S163" s="37" t="e">
        <f>_xlfn.XLOOKUP(B163,#REF!,#REF!)</f>
        <v>#REF!</v>
      </c>
      <c r="T163" s="37" t="e">
        <f>_xlfn.XLOOKUP(B163,#REF!,#REF!)</f>
        <v>#REF!</v>
      </c>
      <c r="U163" s="37" t="e">
        <f>_xlfn.XLOOKUP(B163,#REF!,#REF!)</f>
        <v>#REF!</v>
      </c>
      <c r="V163" s="37" t="e">
        <f>_xlfn.XLOOKUP(B163,#REF!,#REF!)</f>
        <v>#REF!</v>
      </c>
    </row>
    <row r="164" spans="1:22" x14ac:dyDescent="0.35">
      <c r="A164" t="str">
        <f>_xlfn.XLOOKUP(B164,master!B:B,master!A:A)</f>
        <v>Freight Outward and C &amp; F Charges</v>
      </c>
      <c r="B164" s="50" t="s">
        <v>387</v>
      </c>
      <c r="C164" s="50"/>
      <c r="D164" s="50"/>
      <c r="E164" s="50"/>
      <c r="F164" s="50"/>
      <c r="G164" s="37">
        <f>IFERROR(_xlfn.XLOOKUP(B164,#REF!,#REF!),0)</f>
        <v>0</v>
      </c>
      <c r="H164" s="37" t="e">
        <f>_xlfn.XLOOKUP(B164,#REF!,#REF!)</f>
        <v>#REF!</v>
      </c>
      <c r="I164" s="37" t="e">
        <f>_xlfn.XLOOKUP(B164,#REF!,#REF!)</f>
        <v>#REF!</v>
      </c>
      <c r="J164" s="51" t="e">
        <f>_xlfn.XLOOKUP(B164,#REF!,#REF!)</f>
        <v>#REF!</v>
      </c>
      <c r="K164" s="37" t="e">
        <f>_xlfn.XLOOKUP(B164,#REF!,#REF!)</f>
        <v>#REF!</v>
      </c>
      <c r="L164" s="37" t="e">
        <f>_xlfn.XLOOKUP(B164,#REF!,#REF!)</f>
        <v>#REF!</v>
      </c>
      <c r="M164" s="37" t="e">
        <f>_xlfn.XLOOKUP(B164,#REF!,#REF!)</f>
        <v>#REF!</v>
      </c>
      <c r="N164" s="37" t="e">
        <f>_xlfn.XLOOKUP(B164,#REF!,#REF!)</f>
        <v>#REF!</v>
      </c>
      <c r="O164" s="37" t="e">
        <f>_xlfn.XLOOKUP(B164,#REF!,#REF!)</f>
        <v>#REF!</v>
      </c>
      <c r="P164" s="37" t="e">
        <f>_xlfn.XLOOKUP(B164,#REF!,#REF!)</f>
        <v>#REF!</v>
      </c>
      <c r="Q164" s="37" t="e">
        <f>_xlfn.XLOOKUP(B164,#REF!,#REF!)</f>
        <v>#REF!</v>
      </c>
      <c r="R164" s="37" t="e">
        <f>_xlfn.XLOOKUP(B164,#REF!,#REF!)</f>
        <v>#REF!</v>
      </c>
      <c r="S164" s="37" t="e">
        <f>_xlfn.XLOOKUP(B164,#REF!,#REF!)</f>
        <v>#REF!</v>
      </c>
      <c r="T164" s="37" t="e">
        <f>_xlfn.XLOOKUP(B164,#REF!,#REF!)</f>
        <v>#REF!</v>
      </c>
      <c r="U164" s="37" t="e">
        <f>_xlfn.XLOOKUP(B164,#REF!,#REF!)</f>
        <v>#REF!</v>
      </c>
      <c r="V164" s="37" t="e">
        <f>_xlfn.XLOOKUP(B164,#REF!,#REF!)</f>
        <v>#REF!</v>
      </c>
    </row>
    <row r="165" spans="1:22" x14ac:dyDescent="0.35">
      <c r="A165" t="str">
        <f>_xlfn.XLOOKUP(B165,master!B:B,master!A:A)</f>
        <v>Freight Outward and C &amp; F Charges</v>
      </c>
      <c r="B165" s="50" t="s">
        <v>388</v>
      </c>
      <c r="C165" s="50"/>
      <c r="D165" s="50"/>
      <c r="E165" s="50"/>
      <c r="F165" s="50"/>
      <c r="G165" s="37">
        <f>IFERROR(_xlfn.XLOOKUP(B165,#REF!,#REF!),0)</f>
        <v>0</v>
      </c>
      <c r="H165" s="37" t="e">
        <f>_xlfn.XLOOKUP(B165,#REF!,#REF!)</f>
        <v>#REF!</v>
      </c>
      <c r="I165" s="37" t="e">
        <f>_xlfn.XLOOKUP(B165,#REF!,#REF!)</f>
        <v>#REF!</v>
      </c>
      <c r="J165" s="51" t="e">
        <f>_xlfn.XLOOKUP(B165,#REF!,#REF!)</f>
        <v>#REF!</v>
      </c>
      <c r="K165" s="37" t="e">
        <f>_xlfn.XLOOKUP(B165,#REF!,#REF!)</f>
        <v>#REF!</v>
      </c>
      <c r="L165" s="37" t="e">
        <f>_xlfn.XLOOKUP(B165,#REF!,#REF!)</f>
        <v>#REF!</v>
      </c>
      <c r="M165" s="37" t="e">
        <f>_xlfn.XLOOKUP(B165,#REF!,#REF!)</f>
        <v>#REF!</v>
      </c>
      <c r="N165" s="37" t="e">
        <f>_xlfn.XLOOKUP(B165,#REF!,#REF!)</f>
        <v>#REF!</v>
      </c>
      <c r="O165" s="37" t="e">
        <f>_xlfn.XLOOKUP(B165,#REF!,#REF!)</f>
        <v>#REF!</v>
      </c>
      <c r="P165" s="37" t="e">
        <f>_xlfn.XLOOKUP(B165,#REF!,#REF!)</f>
        <v>#REF!</v>
      </c>
      <c r="Q165" s="37" t="e">
        <f>_xlfn.XLOOKUP(B165,#REF!,#REF!)</f>
        <v>#REF!</v>
      </c>
      <c r="R165" s="37" t="e">
        <f>_xlfn.XLOOKUP(B165,#REF!,#REF!)</f>
        <v>#REF!</v>
      </c>
      <c r="S165" s="37" t="e">
        <f>_xlfn.XLOOKUP(B165,#REF!,#REF!)</f>
        <v>#REF!</v>
      </c>
      <c r="T165" s="37" t="e">
        <f>_xlfn.XLOOKUP(B165,#REF!,#REF!)</f>
        <v>#REF!</v>
      </c>
      <c r="U165" s="37" t="e">
        <f>_xlfn.XLOOKUP(B165,#REF!,#REF!)</f>
        <v>#REF!</v>
      </c>
      <c r="V165" s="37" t="e">
        <f>_xlfn.XLOOKUP(B165,#REF!,#REF!)</f>
        <v>#REF!</v>
      </c>
    </row>
    <row r="166" spans="1:22" x14ac:dyDescent="0.35">
      <c r="A166" t="str">
        <f>_xlfn.XLOOKUP(B166,master!B:B,master!A:A)</f>
        <v>Freight Outward and C &amp; F Charges</v>
      </c>
      <c r="B166" s="50" t="s">
        <v>389</v>
      </c>
      <c r="C166" s="50"/>
      <c r="D166" s="50"/>
      <c r="E166" s="50"/>
      <c r="F166" s="50"/>
      <c r="G166" s="37">
        <f>IFERROR(_xlfn.XLOOKUP(B166,#REF!,#REF!),0)</f>
        <v>0</v>
      </c>
      <c r="H166" s="37" t="e">
        <f>_xlfn.XLOOKUP(B166,#REF!,#REF!)</f>
        <v>#REF!</v>
      </c>
      <c r="I166" s="37" t="e">
        <f>_xlfn.XLOOKUP(B166,#REF!,#REF!)</f>
        <v>#REF!</v>
      </c>
      <c r="J166" s="51" t="e">
        <f>_xlfn.XLOOKUP(B166,#REF!,#REF!)</f>
        <v>#REF!</v>
      </c>
      <c r="K166" s="37" t="e">
        <f>_xlfn.XLOOKUP(B166,#REF!,#REF!)</f>
        <v>#REF!</v>
      </c>
      <c r="L166" s="37" t="e">
        <f>_xlfn.XLOOKUP(B166,#REF!,#REF!)</f>
        <v>#REF!</v>
      </c>
      <c r="M166" s="37" t="e">
        <f>_xlfn.XLOOKUP(B166,#REF!,#REF!)</f>
        <v>#REF!</v>
      </c>
      <c r="N166" s="37" t="e">
        <f>_xlfn.XLOOKUP(B166,#REF!,#REF!)</f>
        <v>#REF!</v>
      </c>
      <c r="O166" s="37" t="e">
        <f>_xlfn.XLOOKUP(B166,#REF!,#REF!)</f>
        <v>#REF!</v>
      </c>
      <c r="P166" s="37" t="e">
        <f>_xlfn.XLOOKUP(B166,#REF!,#REF!)</f>
        <v>#REF!</v>
      </c>
      <c r="Q166" s="37" t="e">
        <f>_xlfn.XLOOKUP(B166,#REF!,#REF!)</f>
        <v>#REF!</v>
      </c>
      <c r="R166" s="37" t="e">
        <f>_xlfn.XLOOKUP(B166,#REF!,#REF!)</f>
        <v>#REF!</v>
      </c>
      <c r="S166" s="37" t="e">
        <f>_xlfn.XLOOKUP(B166,#REF!,#REF!)</f>
        <v>#REF!</v>
      </c>
      <c r="T166" s="37" t="e">
        <f>_xlfn.XLOOKUP(B166,#REF!,#REF!)</f>
        <v>#REF!</v>
      </c>
      <c r="U166" s="37" t="e">
        <f>_xlfn.XLOOKUP(B166,#REF!,#REF!)</f>
        <v>#REF!</v>
      </c>
      <c r="V166" s="37" t="e">
        <f>_xlfn.XLOOKUP(B166,#REF!,#REF!)</f>
        <v>#REF!</v>
      </c>
    </row>
    <row r="167" spans="1:22" x14ac:dyDescent="0.35">
      <c r="A167" t="str">
        <f>_xlfn.XLOOKUP(B167,master!B:B,master!A:A)</f>
        <v>Freight Outward and C &amp; F Charges</v>
      </c>
      <c r="B167" s="50" t="s">
        <v>390</v>
      </c>
      <c r="C167" s="50"/>
      <c r="D167" s="50"/>
      <c r="E167" s="50"/>
      <c r="F167" s="50"/>
      <c r="G167" s="37">
        <f>IFERROR(_xlfn.XLOOKUP(B167,#REF!,#REF!),0)</f>
        <v>0</v>
      </c>
      <c r="H167" s="37" t="e">
        <f>_xlfn.XLOOKUP(B167,#REF!,#REF!)</f>
        <v>#REF!</v>
      </c>
      <c r="I167" s="37" t="e">
        <f>_xlfn.XLOOKUP(B167,#REF!,#REF!)</f>
        <v>#REF!</v>
      </c>
      <c r="J167" s="51" t="e">
        <f>_xlfn.XLOOKUP(B167,#REF!,#REF!)</f>
        <v>#REF!</v>
      </c>
      <c r="K167" s="37" t="e">
        <f>_xlfn.XLOOKUP(B167,#REF!,#REF!)</f>
        <v>#REF!</v>
      </c>
      <c r="L167" s="37" t="e">
        <f>_xlfn.XLOOKUP(B167,#REF!,#REF!)</f>
        <v>#REF!</v>
      </c>
      <c r="M167" s="37" t="e">
        <f>_xlfn.XLOOKUP(B167,#REF!,#REF!)</f>
        <v>#REF!</v>
      </c>
      <c r="N167" s="37" t="e">
        <f>_xlfn.XLOOKUP(B167,#REF!,#REF!)</f>
        <v>#REF!</v>
      </c>
      <c r="O167" s="37" t="e">
        <f>_xlfn.XLOOKUP(B167,#REF!,#REF!)</f>
        <v>#REF!</v>
      </c>
      <c r="P167" s="37" t="e">
        <f>_xlfn.XLOOKUP(B167,#REF!,#REF!)</f>
        <v>#REF!</v>
      </c>
      <c r="Q167" s="37" t="e">
        <f>_xlfn.XLOOKUP(B167,#REF!,#REF!)</f>
        <v>#REF!</v>
      </c>
      <c r="R167" s="37" t="e">
        <f>_xlfn.XLOOKUP(B167,#REF!,#REF!)</f>
        <v>#REF!</v>
      </c>
      <c r="S167" s="37" t="e">
        <f>_xlfn.XLOOKUP(B167,#REF!,#REF!)</f>
        <v>#REF!</v>
      </c>
      <c r="T167" s="37" t="e">
        <f>_xlfn.XLOOKUP(B167,#REF!,#REF!)</f>
        <v>#REF!</v>
      </c>
      <c r="U167" s="37" t="e">
        <f>_xlfn.XLOOKUP(B167,#REF!,#REF!)</f>
        <v>#REF!</v>
      </c>
      <c r="V167" s="37" t="e">
        <f>_xlfn.XLOOKUP(B167,#REF!,#REF!)</f>
        <v>#REF!</v>
      </c>
    </row>
    <row r="168" spans="1:22" x14ac:dyDescent="0.35">
      <c r="A168" t="str">
        <f>_xlfn.XLOOKUP(B168,master!B:B,master!A:A)</f>
        <v>Other Administrative Expenses</v>
      </c>
      <c r="B168" s="50" t="s">
        <v>391</v>
      </c>
      <c r="C168" s="50"/>
      <c r="D168" s="50"/>
      <c r="E168" s="50"/>
      <c r="F168" s="50"/>
      <c r="G168" s="37">
        <f>IFERROR(_xlfn.XLOOKUP(B168,#REF!,#REF!),0)</f>
        <v>0</v>
      </c>
      <c r="H168" s="37" t="e">
        <f>_xlfn.XLOOKUP(B168,#REF!,#REF!)</f>
        <v>#REF!</v>
      </c>
      <c r="I168" s="37" t="e">
        <f>_xlfn.XLOOKUP(B168,#REF!,#REF!)</f>
        <v>#REF!</v>
      </c>
      <c r="J168" s="51" t="e">
        <f>_xlfn.XLOOKUP(B168,#REF!,#REF!)</f>
        <v>#REF!</v>
      </c>
      <c r="K168" s="37" t="e">
        <f>_xlfn.XLOOKUP(B168,#REF!,#REF!)</f>
        <v>#REF!</v>
      </c>
      <c r="L168" s="37" t="e">
        <f>_xlfn.XLOOKUP(B168,#REF!,#REF!)</f>
        <v>#REF!</v>
      </c>
      <c r="M168" s="37" t="e">
        <f>_xlfn.XLOOKUP(B168,#REF!,#REF!)</f>
        <v>#REF!</v>
      </c>
      <c r="N168" s="37" t="e">
        <f>_xlfn.XLOOKUP(B168,#REF!,#REF!)</f>
        <v>#REF!</v>
      </c>
      <c r="O168" s="37" t="e">
        <f>_xlfn.XLOOKUP(B168,#REF!,#REF!)</f>
        <v>#REF!</v>
      </c>
      <c r="P168" s="37" t="e">
        <f>_xlfn.XLOOKUP(B168,#REF!,#REF!)</f>
        <v>#REF!</v>
      </c>
      <c r="Q168" s="37" t="e">
        <f>_xlfn.XLOOKUP(B168,#REF!,#REF!)</f>
        <v>#REF!</v>
      </c>
      <c r="R168" s="37" t="e">
        <f>_xlfn.XLOOKUP(B168,#REF!,#REF!)</f>
        <v>#REF!</v>
      </c>
      <c r="S168" s="37" t="e">
        <f>_xlfn.XLOOKUP(B168,#REF!,#REF!)</f>
        <v>#REF!</v>
      </c>
      <c r="T168" s="37" t="e">
        <f>_xlfn.XLOOKUP(B168,#REF!,#REF!)</f>
        <v>#REF!</v>
      </c>
      <c r="U168" s="37" t="e">
        <f>_xlfn.XLOOKUP(B168,#REF!,#REF!)</f>
        <v>#REF!</v>
      </c>
      <c r="V168" s="37" t="e">
        <f>_xlfn.XLOOKUP(B168,#REF!,#REF!)</f>
        <v>#REF!</v>
      </c>
    </row>
    <row r="169" spans="1:22" x14ac:dyDescent="0.35">
      <c r="A169" t="str">
        <f>_xlfn.XLOOKUP(B169,master!B:B,master!A:A)</f>
        <v>Insurance</v>
      </c>
      <c r="B169" s="50" t="s">
        <v>392</v>
      </c>
      <c r="C169" s="50"/>
      <c r="D169" s="50"/>
      <c r="E169" s="50"/>
      <c r="F169" s="50"/>
      <c r="G169" s="37">
        <f>IFERROR(_xlfn.XLOOKUP(B169,#REF!,#REF!),0)</f>
        <v>0</v>
      </c>
      <c r="H169" s="37" t="e">
        <f>_xlfn.XLOOKUP(B169,#REF!,#REF!)</f>
        <v>#REF!</v>
      </c>
      <c r="I169" s="37" t="e">
        <f>_xlfn.XLOOKUP(B169,#REF!,#REF!)</f>
        <v>#REF!</v>
      </c>
      <c r="J169" s="51" t="e">
        <f>_xlfn.XLOOKUP(B169,#REF!,#REF!)</f>
        <v>#REF!</v>
      </c>
      <c r="K169" s="37" t="e">
        <f>_xlfn.XLOOKUP(B169,#REF!,#REF!)</f>
        <v>#REF!</v>
      </c>
      <c r="L169" s="37" t="e">
        <f>_xlfn.XLOOKUP(B169,#REF!,#REF!)</f>
        <v>#REF!</v>
      </c>
      <c r="M169" s="37" t="e">
        <f>_xlfn.XLOOKUP(B169,#REF!,#REF!)</f>
        <v>#REF!</v>
      </c>
      <c r="N169" s="37" t="e">
        <f>_xlfn.XLOOKUP(B169,#REF!,#REF!)</f>
        <v>#REF!</v>
      </c>
      <c r="O169" s="37" t="e">
        <f>_xlfn.XLOOKUP(B169,#REF!,#REF!)</f>
        <v>#REF!</v>
      </c>
      <c r="P169" s="37" t="e">
        <f>_xlfn.XLOOKUP(B169,#REF!,#REF!)</f>
        <v>#REF!</v>
      </c>
      <c r="Q169" s="37" t="e">
        <f>_xlfn.XLOOKUP(B169,#REF!,#REF!)</f>
        <v>#REF!</v>
      </c>
      <c r="R169" s="37" t="e">
        <f>_xlfn.XLOOKUP(B169,#REF!,#REF!)</f>
        <v>#REF!</v>
      </c>
      <c r="S169" s="37" t="e">
        <f>_xlfn.XLOOKUP(B169,#REF!,#REF!)</f>
        <v>#REF!</v>
      </c>
      <c r="T169" s="37" t="e">
        <f>_xlfn.XLOOKUP(B169,#REF!,#REF!)</f>
        <v>#REF!</v>
      </c>
      <c r="U169" s="37" t="e">
        <f>_xlfn.XLOOKUP(B169,#REF!,#REF!)</f>
        <v>#REF!</v>
      </c>
      <c r="V169" s="37" t="e">
        <f>_xlfn.XLOOKUP(B169,#REF!,#REF!)</f>
        <v>#REF!</v>
      </c>
    </row>
    <row r="170" spans="1:22" x14ac:dyDescent="0.35">
      <c r="A170" t="str">
        <f>_xlfn.XLOOKUP(B170,master!B:B,master!A:A)</f>
        <v>Insurance</v>
      </c>
      <c r="B170" s="50" t="s">
        <v>393</v>
      </c>
      <c r="C170" s="50"/>
      <c r="D170" s="50"/>
      <c r="E170" s="50"/>
      <c r="F170" s="50"/>
      <c r="G170" s="37">
        <f>IFERROR(_xlfn.XLOOKUP(B170,#REF!,#REF!),0)</f>
        <v>0</v>
      </c>
      <c r="H170" s="37" t="e">
        <f>_xlfn.XLOOKUP(B170,#REF!,#REF!)</f>
        <v>#REF!</v>
      </c>
      <c r="I170" s="37" t="e">
        <f>_xlfn.XLOOKUP(B170,#REF!,#REF!)</f>
        <v>#REF!</v>
      </c>
      <c r="J170" s="51" t="e">
        <f>_xlfn.XLOOKUP(B170,#REF!,#REF!)</f>
        <v>#REF!</v>
      </c>
      <c r="K170" s="37" t="e">
        <f>_xlfn.XLOOKUP(B170,#REF!,#REF!)</f>
        <v>#REF!</v>
      </c>
      <c r="L170" s="37" t="e">
        <f>_xlfn.XLOOKUP(B170,#REF!,#REF!)</f>
        <v>#REF!</v>
      </c>
      <c r="M170" s="37" t="e">
        <f>_xlfn.XLOOKUP(B170,#REF!,#REF!)</f>
        <v>#REF!</v>
      </c>
      <c r="N170" s="37" t="e">
        <f>_xlfn.XLOOKUP(B170,#REF!,#REF!)</f>
        <v>#REF!</v>
      </c>
      <c r="O170" s="37" t="e">
        <f>_xlfn.XLOOKUP(B170,#REF!,#REF!)</f>
        <v>#REF!</v>
      </c>
      <c r="P170" s="37" t="e">
        <f>_xlfn.XLOOKUP(B170,#REF!,#REF!)</f>
        <v>#REF!</v>
      </c>
      <c r="Q170" s="37" t="e">
        <f>_xlfn.XLOOKUP(B170,#REF!,#REF!)</f>
        <v>#REF!</v>
      </c>
      <c r="R170" s="37" t="e">
        <f>_xlfn.XLOOKUP(B170,#REF!,#REF!)</f>
        <v>#REF!</v>
      </c>
      <c r="S170" s="37" t="e">
        <f>_xlfn.XLOOKUP(B170,#REF!,#REF!)</f>
        <v>#REF!</v>
      </c>
      <c r="T170" s="37" t="e">
        <f>_xlfn.XLOOKUP(B170,#REF!,#REF!)</f>
        <v>#REF!</v>
      </c>
      <c r="U170" s="37" t="e">
        <f>_xlfn.XLOOKUP(B170,#REF!,#REF!)</f>
        <v>#REF!</v>
      </c>
      <c r="V170" s="37" t="e">
        <f>_xlfn.XLOOKUP(B170,#REF!,#REF!)</f>
        <v>#REF!</v>
      </c>
    </row>
    <row r="171" spans="1:22" x14ac:dyDescent="0.35">
      <c r="A171" t="str">
        <f>_xlfn.XLOOKUP(B171,master!B:B,master!A:A)</f>
        <v>Sale of Finished Goods</v>
      </c>
      <c r="B171" s="50" t="s">
        <v>394</v>
      </c>
      <c r="C171" s="50"/>
      <c r="D171" s="50"/>
      <c r="E171" s="50"/>
      <c r="F171" s="50"/>
      <c r="G171" s="37">
        <f>IFERROR(_xlfn.XLOOKUP(B171,#REF!,#REF!),0)</f>
        <v>0</v>
      </c>
      <c r="H171" s="37" t="e">
        <f>_xlfn.XLOOKUP(B171,#REF!,#REF!)</f>
        <v>#REF!</v>
      </c>
      <c r="I171" s="37" t="e">
        <f>_xlfn.XLOOKUP(B171,#REF!,#REF!)</f>
        <v>#REF!</v>
      </c>
      <c r="J171" s="51" t="e">
        <f>_xlfn.XLOOKUP(B171,#REF!,#REF!)</f>
        <v>#REF!</v>
      </c>
      <c r="K171" s="37" t="e">
        <f>_xlfn.XLOOKUP(B171,#REF!,#REF!)</f>
        <v>#REF!</v>
      </c>
      <c r="L171" s="37" t="e">
        <f>_xlfn.XLOOKUP(B171,#REF!,#REF!)</f>
        <v>#REF!</v>
      </c>
      <c r="M171" s="37" t="e">
        <f>_xlfn.XLOOKUP(B171,#REF!,#REF!)</f>
        <v>#REF!</v>
      </c>
      <c r="N171" s="37" t="e">
        <f>_xlfn.XLOOKUP(B171,#REF!,#REF!)</f>
        <v>#REF!</v>
      </c>
      <c r="O171" s="37" t="e">
        <f>_xlfn.XLOOKUP(B171,#REF!,#REF!)</f>
        <v>#REF!</v>
      </c>
      <c r="P171" s="37" t="e">
        <f>_xlfn.XLOOKUP(B171,#REF!,#REF!)</f>
        <v>#REF!</v>
      </c>
      <c r="Q171" s="37" t="e">
        <f>_xlfn.XLOOKUP(B171,#REF!,#REF!)</f>
        <v>#REF!</v>
      </c>
      <c r="R171" s="37" t="e">
        <f>_xlfn.XLOOKUP(B171,#REF!,#REF!)</f>
        <v>#REF!</v>
      </c>
      <c r="S171" s="37" t="e">
        <f>_xlfn.XLOOKUP(B171,#REF!,#REF!)</f>
        <v>#REF!</v>
      </c>
      <c r="T171" s="37" t="e">
        <f>_xlfn.XLOOKUP(B171,#REF!,#REF!)</f>
        <v>#REF!</v>
      </c>
      <c r="U171" s="37" t="e">
        <f>_xlfn.XLOOKUP(B171,#REF!,#REF!)</f>
        <v>#REF!</v>
      </c>
      <c r="V171" s="37" t="e">
        <f>_xlfn.XLOOKUP(B171,#REF!,#REF!)</f>
        <v>#REF!</v>
      </c>
    </row>
    <row r="172" spans="1:22" x14ac:dyDescent="0.35">
      <c r="A172" t="str">
        <f>_xlfn.XLOOKUP(B172,master!B:B,master!A:A)</f>
        <v>Advertising and sales promotion expense</v>
      </c>
      <c r="B172" s="50" t="s">
        <v>579</v>
      </c>
      <c r="C172" s="50"/>
      <c r="D172" s="50"/>
      <c r="E172" s="50"/>
      <c r="F172" s="50"/>
      <c r="G172" s="37">
        <f>IFERROR(_xlfn.XLOOKUP(B172,#REF!,#REF!),0)</f>
        <v>0</v>
      </c>
      <c r="H172" s="37" t="e">
        <f>_xlfn.XLOOKUP(B172,#REF!,#REF!)</f>
        <v>#REF!</v>
      </c>
      <c r="I172" s="37" t="e">
        <f>_xlfn.XLOOKUP(B172,#REF!,#REF!)</f>
        <v>#REF!</v>
      </c>
      <c r="J172" s="51" t="e">
        <f>_xlfn.XLOOKUP(B172,#REF!,#REF!)</f>
        <v>#REF!</v>
      </c>
      <c r="K172" s="37" t="e">
        <f>_xlfn.XLOOKUP(B172,#REF!,#REF!)</f>
        <v>#REF!</v>
      </c>
      <c r="L172" s="37" t="e">
        <f>_xlfn.XLOOKUP(B172,#REF!,#REF!)</f>
        <v>#REF!</v>
      </c>
      <c r="M172" s="37" t="e">
        <f>_xlfn.XLOOKUP(B172,#REF!,#REF!)</f>
        <v>#REF!</v>
      </c>
      <c r="N172" s="37" t="e">
        <f>_xlfn.XLOOKUP(B172,#REF!,#REF!)</f>
        <v>#REF!</v>
      </c>
      <c r="O172" s="37" t="e">
        <f>_xlfn.XLOOKUP(B172,#REF!,#REF!)</f>
        <v>#REF!</v>
      </c>
      <c r="P172" s="37" t="e">
        <f>_xlfn.XLOOKUP(B172,#REF!,#REF!)</f>
        <v>#REF!</v>
      </c>
      <c r="Q172" s="37" t="e">
        <f>_xlfn.XLOOKUP(B172,#REF!,#REF!)</f>
        <v>#REF!</v>
      </c>
      <c r="R172" s="37" t="e">
        <f>_xlfn.XLOOKUP(B172,#REF!,#REF!)</f>
        <v>#REF!</v>
      </c>
      <c r="S172" s="37" t="e">
        <f>_xlfn.XLOOKUP(B172,#REF!,#REF!)</f>
        <v>#REF!</v>
      </c>
      <c r="T172" s="37" t="e">
        <f>_xlfn.XLOOKUP(B172,#REF!,#REF!)</f>
        <v>#REF!</v>
      </c>
      <c r="U172" s="37" t="e">
        <f>_xlfn.XLOOKUP(B172,#REF!,#REF!)</f>
        <v>#REF!</v>
      </c>
      <c r="V172" s="37" t="e">
        <f>_xlfn.XLOOKUP(B172,#REF!,#REF!)</f>
        <v>#REF!</v>
      </c>
    </row>
    <row r="173" spans="1:22" x14ac:dyDescent="0.35">
      <c r="A173" t="str">
        <f>_xlfn.XLOOKUP(B173,master!B:B,master!A:A)</f>
        <v>Advertising and sales promotion expense</v>
      </c>
      <c r="B173" s="50" t="s">
        <v>580</v>
      </c>
      <c r="C173" s="50"/>
      <c r="D173" s="50"/>
      <c r="E173" s="50"/>
      <c r="F173" s="50"/>
      <c r="G173" s="37">
        <f>IFERROR(_xlfn.XLOOKUP(B173,#REF!,#REF!),0)</f>
        <v>0</v>
      </c>
      <c r="H173" s="37" t="e">
        <f>_xlfn.XLOOKUP(B173,#REF!,#REF!)</f>
        <v>#REF!</v>
      </c>
      <c r="I173" s="37" t="e">
        <f>_xlfn.XLOOKUP(B173,#REF!,#REF!)</f>
        <v>#REF!</v>
      </c>
      <c r="J173" s="51" t="e">
        <f>_xlfn.XLOOKUP(B173,#REF!,#REF!)</f>
        <v>#REF!</v>
      </c>
      <c r="K173" s="37" t="e">
        <f>_xlfn.XLOOKUP(B173,#REF!,#REF!)</f>
        <v>#REF!</v>
      </c>
      <c r="L173" s="37" t="e">
        <f>_xlfn.XLOOKUP(B173,#REF!,#REF!)</f>
        <v>#REF!</v>
      </c>
      <c r="M173" s="37" t="e">
        <f>_xlfn.XLOOKUP(B173,#REF!,#REF!)</f>
        <v>#REF!</v>
      </c>
      <c r="N173" s="37" t="e">
        <f>_xlfn.XLOOKUP(B173,#REF!,#REF!)</f>
        <v>#REF!</v>
      </c>
      <c r="O173" s="37" t="e">
        <f>_xlfn.XLOOKUP(B173,#REF!,#REF!)</f>
        <v>#REF!</v>
      </c>
      <c r="P173" s="37" t="e">
        <f>_xlfn.XLOOKUP(B173,#REF!,#REF!)</f>
        <v>#REF!</v>
      </c>
      <c r="Q173" s="37" t="e">
        <f>_xlfn.XLOOKUP(B173,#REF!,#REF!)</f>
        <v>#REF!</v>
      </c>
      <c r="R173" s="37" t="e">
        <f>_xlfn.XLOOKUP(B173,#REF!,#REF!)</f>
        <v>#REF!</v>
      </c>
      <c r="S173" s="37" t="e">
        <f>_xlfn.XLOOKUP(B173,#REF!,#REF!)</f>
        <v>#REF!</v>
      </c>
      <c r="T173" s="37" t="e">
        <f>_xlfn.XLOOKUP(B173,#REF!,#REF!)</f>
        <v>#REF!</v>
      </c>
      <c r="U173" s="37" t="e">
        <f>_xlfn.XLOOKUP(B173,#REF!,#REF!)</f>
        <v>#REF!</v>
      </c>
      <c r="V173" s="37" t="e">
        <f>_xlfn.XLOOKUP(B173,#REF!,#REF!)</f>
        <v>#REF!</v>
      </c>
    </row>
    <row r="174" spans="1:22" x14ac:dyDescent="0.35">
      <c r="A174" t="str">
        <f>_xlfn.XLOOKUP(B174,master!B:B,master!A:A)</f>
        <v>Advertising and sales promotion expense</v>
      </c>
      <c r="B174" s="50" t="s">
        <v>395</v>
      </c>
      <c r="C174" s="50"/>
      <c r="D174" s="50"/>
      <c r="E174" s="50"/>
      <c r="F174" s="50"/>
      <c r="G174" s="37">
        <f>IFERROR(_xlfn.XLOOKUP(B174,#REF!,#REF!),0)</f>
        <v>0</v>
      </c>
      <c r="H174" s="37" t="e">
        <f>_xlfn.XLOOKUP(B174,#REF!,#REF!)</f>
        <v>#REF!</v>
      </c>
      <c r="I174" s="37" t="e">
        <f>_xlfn.XLOOKUP(B174,#REF!,#REF!)</f>
        <v>#REF!</v>
      </c>
      <c r="J174" s="51" t="e">
        <f>_xlfn.XLOOKUP(B174,#REF!,#REF!)</f>
        <v>#REF!</v>
      </c>
      <c r="K174" s="37" t="e">
        <f>_xlfn.XLOOKUP(B174,#REF!,#REF!)</f>
        <v>#REF!</v>
      </c>
      <c r="L174" s="37" t="e">
        <f>_xlfn.XLOOKUP(B174,#REF!,#REF!)</f>
        <v>#REF!</v>
      </c>
      <c r="M174" s="37" t="e">
        <f>_xlfn.XLOOKUP(B174,#REF!,#REF!)</f>
        <v>#REF!</v>
      </c>
      <c r="N174" s="37" t="e">
        <f>_xlfn.XLOOKUP(B174,#REF!,#REF!)</f>
        <v>#REF!</v>
      </c>
      <c r="O174" s="37" t="e">
        <f>_xlfn.XLOOKUP(B174,#REF!,#REF!)</f>
        <v>#REF!</v>
      </c>
      <c r="P174" s="37" t="e">
        <f>_xlfn.XLOOKUP(B174,#REF!,#REF!)</f>
        <v>#REF!</v>
      </c>
      <c r="Q174" s="37" t="e">
        <f>_xlfn.XLOOKUP(B174,#REF!,#REF!)</f>
        <v>#REF!</v>
      </c>
      <c r="R174" s="37" t="e">
        <f>_xlfn.XLOOKUP(B174,#REF!,#REF!)</f>
        <v>#REF!</v>
      </c>
      <c r="S174" s="37" t="e">
        <f>_xlfn.XLOOKUP(B174,#REF!,#REF!)</f>
        <v>#REF!</v>
      </c>
      <c r="T174" s="37" t="e">
        <f>_xlfn.XLOOKUP(B174,#REF!,#REF!)</f>
        <v>#REF!</v>
      </c>
      <c r="U174" s="37" t="e">
        <f>_xlfn.XLOOKUP(B174,#REF!,#REF!)</f>
        <v>#REF!</v>
      </c>
      <c r="V174" s="37" t="e">
        <f>_xlfn.XLOOKUP(B174,#REF!,#REF!)</f>
        <v>#REF!</v>
      </c>
    </row>
    <row r="175" spans="1:22" x14ac:dyDescent="0.35">
      <c r="A175" t="str">
        <f>_xlfn.XLOOKUP(B175,master!B:B,master!A:A)</f>
        <v>Travelling expense</v>
      </c>
      <c r="B175" s="50" t="s">
        <v>396</v>
      </c>
      <c r="C175" s="50"/>
      <c r="D175" s="50"/>
      <c r="E175" s="50"/>
      <c r="F175" s="50"/>
      <c r="G175" s="37">
        <f>IFERROR(_xlfn.XLOOKUP(B175,#REF!,#REF!),0)</f>
        <v>0</v>
      </c>
      <c r="H175" s="37" t="e">
        <f>_xlfn.XLOOKUP(B175,#REF!,#REF!)</f>
        <v>#REF!</v>
      </c>
      <c r="I175" s="37" t="e">
        <f>_xlfn.XLOOKUP(B175,#REF!,#REF!)</f>
        <v>#REF!</v>
      </c>
      <c r="J175" s="51" t="e">
        <f>_xlfn.XLOOKUP(B175,#REF!,#REF!)</f>
        <v>#REF!</v>
      </c>
      <c r="K175" s="37" t="e">
        <f>_xlfn.XLOOKUP(B175,#REF!,#REF!)</f>
        <v>#REF!</v>
      </c>
      <c r="L175" s="37" t="e">
        <f>_xlfn.XLOOKUP(B175,#REF!,#REF!)</f>
        <v>#REF!</v>
      </c>
      <c r="M175" s="37" t="e">
        <f>_xlfn.XLOOKUP(B175,#REF!,#REF!)</f>
        <v>#REF!</v>
      </c>
      <c r="N175" s="37" t="e">
        <f>_xlfn.XLOOKUP(B175,#REF!,#REF!)</f>
        <v>#REF!</v>
      </c>
      <c r="O175" s="37" t="e">
        <f>_xlfn.XLOOKUP(B175,#REF!,#REF!)</f>
        <v>#REF!</v>
      </c>
      <c r="P175" s="37" t="e">
        <f>_xlfn.XLOOKUP(B175,#REF!,#REF!)</f>
        <v>#REF!</v>
      </c>
      <c r="Q175" s="37" t="e">
        <f>_xlfn.XLOOKUP(B175,#REF!,#REF!)</f>
        <v>#REF!</v>
      </c>
      <c r="R175" s="37" t="e">
        <f>_xlfn.XLOOKUP(B175,#REF!,#REF!)</f>
        <v>#REF!</v>
      </c>
      <c r="S175" s="37" t="e">
        <f>_xlfn.XLOOKUP(B175,#REF!,#REF!)</f>
        <v>#REF!</v>
      </c>
      <c r="T175" s="37" t="e">
        <f>_xlfn.XLOOKUP(B175,#REF!,#REF!)</f>
        <v>#REF!</v>
      </c>
      <c r="U175" s="37" t="e">
        <f>_xlfn.XLOOKUP(B175,#REF!,#REF!)</f>
        <v>#REF!</v>
      </c>
      <c r="V175" s="37" t="e">
        <f>_xlfn.XLOOKUP(B175,#REF!,#REF!)</f>
        <v>#REF!</v>
      </c>
    </row>
    <row r="176" spans="1:22" x14ac:dyDescent="0.35">
      <c r="A176" t="str">
        <f>_xlfn.XLOOKUP(B176,master!B:B,master!A:A)</f>
        <v>Export incentives</v>
      </c>
      <c r="B176" s="50" t="s">
        <v>581</v>
      </c>
      <c r="C176" s="50"/>
      <c r="D176" s="50"/>
      <c r="E176" s="50"/>
      <c r="F176" s="50"/>
      <c r="G176" s="37">
        <f>IFERROR(_xlfn.XLOOKUP(B176,#REF!,#REF!),0)</f>
        <v>0</v>
      </c>
      <c r="H176" s="37" t="e">
        <f>_xlfn.XLOOKUP(B176,#REF!,#REF!)</f>
        <v>#REF!</v>
      </c>
      <c r="I176" s="37" t="e">
        <f>_xlfn.XLOOKUP(B176,#REF!,#REF!)</f>
        <v>#REF!</v>
      </c>
      <c r="J176" s="51" t="e">
        <f>_xlfn.XLOOKUP(B176,#REF!,#REF!)</f>
        <v>#REF!</v>
      </c>
      <c r="K176" s="37" t="e">
        <f>_xlfn.XLOOKUP(B176,#REF!,#REF!)</f>
        <v>#REF!</v>
      </c>
      <c r="L176" s="37" t="e">
        <f>_xlfn.XLOOKUP(B176,#REF!,#REF!)</f>
        <v>#REF!</v>
      </c>
      <c r="M176" s="37" t="e">
        <f>_xlfn.XLOOKUP(B176,#REF!,#REF!)</f>
        <v>#REF!</v>
      </c>
      <c r="N176" s="37" t="e">
        <f>_xlfn.XLOOKUP(B176,#REF!,#REF!)</f>
        <v>#REF!</v>
      </c>
      <c r="O176" s="37" t="e">
        <f>_xlfn.XLOOKUP(B176,#REF!,#REF!)</f>
        <v>#REF!</v>
      </c>
      <c r="P176" s="37" t="e">
        <f>_xlfn.XLOOKUP(B176,#REF!,#REF!)</f>
        <v>#REF!</v>
      </c>
      <c r="Q176" s="37" t="e">
        <f>_xlfn.XLOOKUP(B176,#REF!,#REF!)</f>
        <v>#REF!</v>
      </c>
      <c r="R176" s="37" t="e">
        <f>_xlfn.XLOOKUP(B176,#REF!,#REF!)</f>
        <v>#REF!</v>
      </c>
      <c r="S176" s="37" t="e">
        <f>_xlfn.XLOOKUP(B176,#REF!,#REF!)</f>
        <v>#REF!</v>
      </c>
      <c r="T176" s="37" t="e">
        <f>_xlfn.XLOOKUP(B176,#REF!,#REF!)</f>
        <v>#REF!</v>
      </c>
      <c r="U176" s="37" t="e">
        <f>_xlfn.XLOOKUP(B176,#REF!,#REF!)</f>
        <v>#REF!</v>
      </c>
      <c r="V176" s="37" t="e">
        <f>_xlfn.XLOOKUP(B176,#REF!,#REF!)</f>
        <v>#REF!</v>
      </c>
    </row>
    <row r="177" spans="1:22" x14ac:dyDescent="0.35">
      <c r="A177" t="str">
        <f>_xlfn.XLOOKUP(B177,master!B:B,master!A:A)</f>
        <v>Sale of Finished Goods</v>
      </c>
      <c r="B177" s="50" t="s">
        <v>397</v>
      </c>
      <c r="C177" s="50"/>
      <c r="D177" s="50"/>
      <c r="E177" s="50"/>
      <c r="F177" s="50"/>
      <c r="G177" s="37">
        <f>IFERROR(_xlfn.XLOOKUP(B177,#REF!,#REF!),0)</f>
        <v>0</v>
      </c>
      <c r="H177" s="37" t="e">
        <f>_xlfn.XLOOKUP(B177,#REF!,#REF!)</f>
        <v>#REF!</v>
      </c>
      <c r="I177" s="37" t="e">
        <f>_xlfn.XLOOKUP(B177,#REF!,#REF!)</f>
        <v>#REF!</v>
      </c>
      <c r="J177" s="51" t="e">
        <f>_xlfn.XLOOKUP(B177,#REF!,#REF!)</f>
        <v>#REF!</v>
      </c>
      <c r="K177" s="37" t="e">
        <f>_xlfn.XLOOKUP(B177,#REF!,#REF!)</f>
        <v>#REF!</v>
      </c>
      <c r="L177" s="37" t="e">
        <f>_xlfn.XLOOKUP(B177,#REF!,#REF!)</f>
        <v>#REF!</v>
      </c>
      <c r="M177" s="37" t="e">
        <f>_xlfn.XLOOKUP(B177,#REF!,#REF!)</f>
        <v>#REF!</v>
      </c>
      <c r="N177" s="37" t="e">
        <f>_xlfn.XLOOKUP(B177,#REF!,#REF!)</f>
        <v>#REF!</v>
      </c>
      <c r="O177" s="37" t="e">
        <f>_xlfn.XLOOKUP(B177,#REF!,#REF!)</f>
        <v>#REF!</v>
      </c>
      <c r="P177" s="37" t="e">
        <f>_xlfn.XLOOKUP(B177,#REF!,#REF!)</f>
        <v>#REF!</v>
      </c>
      <c r="Q177" s="37" t="e">
        <f>_xlfn.XLOOKUP(B177,#REF!,#REF!)</f>
        <v>#REF!</v>
      </c>
      <c r="R177" s="37" t="e">
        <f>_xlfn.XLOOKUP(B177,#REF!,#REF!)</f>
        <v>#REF!</v>
      </c>
      <c r="S177" s="37" t="e">
        <f>_xlfn.XLOOKUP(B177,#REF!,#REF!)</f>
        <v>#REF!</v>
      </c>
      <c r="T177" s="37" t="e">
        <f>_xlfn.XLOOKUP(B177,#REF!,#REF!)</f>
        <v>#REF!</v>
      </c>
      <c r="U177" s="37" t="e">
        <f>_xlfn.XLOOKUP(B177,#REF!,#REF!)</f>
        <v>#REF!</v>
      </c>
      <c r="V177" s="37" t="e">
        <f>_xlfn.XLOOKUP(B177,#REF!,#REF!)</f>
        <v>#REF!</v>
      </c>
    </row>
    <row r="178" spans="1:22" x14ac:dyDescent="0.35">
      <c r="A178" t="str">
        <f>_xlfn.XLOOKUP(B178,master!B:B,master!A:A)</f>
        <v>Sale of Finished Goods</v>
      </c>
      <c r="B178" s="50" t="s">
        <v>398</v>
      </c>
      <c r="C178" s="50"/>
      <c r="D178" s="50"/>
      <c r="E178" s="50"/>
      <c r="F178" s="50"/>
      <c r="G178" s="37">
        <f>IFERROR(_xlfn.XLOOKUP(B178,#REF!,#REF!),0)</f>
        <v>0</v>
      </c>
      <c r="H178" s="37" t="e">
        <f>_xlfn.XLOOKUP(B178,#REF!,#REF!)</f>
        <v>#REF!</v>
      </c>
      <c r="I178" s="37" t="e">
        <f>_xlfn.XLOOKUP(B178,#REF!,#REF!)</f>
        <v>#REF!</v>
      </c>
      <c r="J178" s="51" t="e">
        <f>_xlfn.XLOOKUP(B178,#REF!,#REF!)</f>
        <v>#REF!</v>
      </c>
      <c r="K178" s="37" t="e">
        <f>_xlfn.XLOOKUP(B178,#REF!,#REF!)</f>
        <v>#REF!</v>
      </c>
      <c r="L178" s="37" t="e">
        <f>_xlfn.XLOOKUP(B178,#REF!,#REF!)</f>
        <v>#REF!</v>
      </c>
      <c r="M178" s="37" t="e">
        <f>_xlfn.XLOOKUP(B178,#REF!,#REF!)</f>
        <v>#REF!</v>
      </c>
      <c r="N178" s="37" t="e">
        <f>_xlfn.XLOOKUP(B178,#REF!,#REF!)</f>
        <v>#REF!</v>
      </c>
      <c r="O178" s="37" t="e">
        <f>_xlfn.XLOOKUP(B178,#REF!,#REF!)</f>
        <v>#REF!</v>
      </c>
      <c r="P178" s="37" t="e">
        <f>_xlfn.XLOOKUP(B178,#REF!,#REF!)</f>
        <v>#REF!</v>
      </c>
      <c r="Q178" s="37" t="e">
        <f>_xlfn.XLOOKUP(B178,#REF!,#REF!)</f>
        <v>#REF!</v>
      </c>
      <c r="R178" s="37" t="e">
        <f>_xlfn.XLOOKUP(B178,#REF!,#REF!)</f>
        <v>#REF!</v>
      </c>
      <c r="S178" s="37" t="e">
        <f>_xlfn.XLOOKUP(B178,#REF!,#REF!)</f>
        <v>#REF!</v>
      </c>
      <c r="T178" s="37" t="e">
        <f>_xlfn.XLOOKUP(B178,#REF!,#REF!)</f>
        <v>#REF!</v>
      </c>
      <c r="U178" s="37" t="e">
        <f>_xlfn.XLOOKUP(B178,#REF!,#REF!)</f>
        <v>#REF!</v>
      </c>
      <c r="V178" s="37" t="e">
        <f>_xlfn.XLOOKUP(B178,#REF!,#REF!)</f>
        <v>#REF!</v>
      </c>
    </row>
    <row r="179" spans="1:22" x14ac:dyDescent="0.35">
      <c r="A179" t="str">
        <f>_xlfn.XLOOKUP(B179,master!B:B,master!A:A)</f>
        <v>Sale of finished goods</v>
      </c>
      <c r="B179" s="50" t="s">
        <v>399</v>
      </c>
      <c r="C179" s="50"/>
      <c r="D179" s="50"/>
      <c r="E179" s="50"/>
      <c r="F179" s="50"/>
      <c r="G179" s="37">
        <f>IFERROR(_xlfn.XLOOKUP(B179,#REF!,#REF!),0)</f>
        <v>0</v>
      </c>
      <c r="H179" s="37" t="e">
        <f>_xlfn.XLOOKUP(B179,#REF!,#REF!)</f>
        <v>#REF!</v>
      </c>
      <c r="I179" s="37" t="e">
        <f>_xlfn.XLOOKUP(B179,#REF!,#REF!)</f>
        <v>#REF!</v>
      </c>
      <c r="J179" s="51" t="e">
        <f>_xlfn.XLOOKUP(B179,#REF!,#REF!)</f>
        <v>#REF!</v>
      </c>
      <c r="K179" s="37" t="e">
        <f>_xlfn.XLOOKUP(B179,#REF!,#REF!)</f>
        <v>#REF!</v>
      </c>
      <c r="L179" s="37" t="e">
        <f>_xlfn.XLOOKUP(B179,#REF!,#REF!)</f>
        <v>#REF!</v>
      </c>
      <c r="M179" s="37" t="e">
        <f>_xlfn.XLOOKUP(B179,#REF!,#REF!)</f>
        <v>#REF!</v>
      </c>
      <c r="N179" s="37" t="e">
        <f>_xlfn.XLOOKUP(B179,#REF!,#REF!)</f>
        <v>#REF!</v>
      </c>
      <c r="O179" s="37" t="e">
        <f>_xlfn.XLOOKUP(B179,#REF!,#REF!)</f>
        <v>#REF!</v>
      </c>
      <c r="P179" s="37" t="e">
        <f>_xlfn.XLOOKUP(B179,#REF!,#REF!)</f>
        <v>#REF!</v>
      </c>
      <c r="Q179" s="37" t="e">
        <f>_xlfn.XLOOKUP(B179,#REF!,#REF!)</f>
        <v>#REF!</v>
      </c>
      <c r="R179" s="37" t="e">
        <f>_xlfn.XLOOKUP(B179,#REF!,#REF!)</f>
        <v>#REF!</v>
      </c>
      <c r="S179" s="37" t="e">
        <f>_xlfn.XLOOKUP(B179,#REF!,#REF!)</f>
        <v>#REF!</v>
      </c>
      <c r="T179" s="37" t="e">
        <f>_xlfn.XLOOKUP(B179,#REF!,#REF!)</f>
        <v>#REF!</v>
      </c>
      <c r="U179" s="37" t="e">
        <f>_xlfn.XLOOKUP(B179,#REF!,#REF!)</f>
        <v>#REF!</v>
      </c>
      <c r="V179" s="37" t="e">
        <f>_xlfn.XLOOKUP(B179,#REF!,#REF!)</f>
        <v>#REF!</v>
      </c>
    </row>
    <row r="180" spans="1:22" s="46" customFormat="1" x14ac:dyDescent="0.35">
      <c r="A180" t="str">
        <f>_xlfn.XLOOKUP(B180,master!B:B,master!A:A)</f>
        <v>Sale of finished goods</v>
      </c>
      <c r="B180" s="50" t="s">
        <v>400</v>
      </c>
      <c r="C180" s="50"/>
      <c r="D180" s="50"/>
      <c r="E180" s="50"/>
      <c r="F180" s="50"/>
      <c r="G180" s="37">
        <f>IFERROR(_xlfn.XLOOKUP(B180,#REF!,#REF!),0)</f>
        <v>0</v>
      </c>
      <c r="H180" s="37" t="e">
        <f>_xlfn.XLOOKUP(B180,#REF!,#REF!)</f>
        <v>#REF!</v>
      </c>
      <c r="I180" s="37" t="e">
        <f>_xlfn.XLOOKUP(B180,#REF!,#REF!)</f>
        <v>#REF!</v>
      </c>
      <c r="J180" s="51" t="e">
        <f>_xlfn.XLOOKUP(B180,#REF!,#REF!)</f>
        <v>#REF!</v>
      </c>
      <c r="K180" s="37" t="e">
        <f>_xlfn.XLOOKUP(B180,#REF!,#REF!)</f>
        <v>#REF!</v>
      </c>
      <c r="L180" s="37" t="e">
        <f>_xlfn.XLOOKUP(B180,#REF!,#REF!)</f>
        <v>#REF!</v>
      </c>
      <c r="M180" s="37" t="e">
        <f>_xlfn.XLOOKUP(B180,#REF!,#REF!)</f>
        <v>#REF!</v>
      </c>
      <c r="N180" s="37" t="e">
        <f>_xlfn.XLOOKUP(B180,#REF!,#REF!)</f>
        <v>#REF!</v>
      </c>
      <c r="O180" s="37" t="e">
        <f>_xlfn.XLOOKUP(B180,#REF!,#REF!)</f>
        <v>#REF!</v>
      </c>
      <c r="P180" s="37" t="e">
        <f>_xlfn.XLOOKUP(B180,#REF!,#REF!)</f>
        <v>#REF!</v>
      </c>
      <c r="Q180" s="37" t="e">
        <f>_xlfn.XLOOKUP(B180,#REF!,#REF!)</f>
        <v>#REF!</v>
      </c>
      <c r="R180" s="37" t="e">
        <f>_xlfn.XLOOKUP(B180,#REF!,#REF!)</f>
        <v>#REF!</v>
      </c>
      <c r="S180" s="37" t="e">
        <f>_xlfn.XLOOKUP(B180,#REF!,#REF!)</f>
        <v>#REF!</v>
      </c>
      <c r="T180" s="37" t="e">
        <f>_xlfn.XLOOKUP(B180,#REF!,#REF!)</f>
        <v>#REF!</v>
      </c>
      <c r="U180" s="37" t="e">
        <f>_xlfn.XLOOKUP(B180,#REF!,#REF!)</f>
        <v>#REF!</v>
      </c>
      <c r="V180" s="37" t="e">
        <f>_xlfn.XLOOKUP(B180,#REF!,#REF!)</f>
        <v>#REF!</v>
      </c>
    </row>
    <row r="181" spans="1:22" x14ac:dyDescent="0.35">
      <c r="A181" t="str">
        <f>_xlfn.XLOOKUP(B181,master!B:B,master!A:A)</f>
        <v>Sale of Finished Goods</v>
      </c>
      <c r="B181" s="50" t="s">
        <v>401</v>
      </c>
      <c r="C181" s="50"/>
      <c r="D181" s="50"/>
      <c r="E181" s="50"/>
      <c r="F181" s="50"/>
      <c r="G181" s="37">
        <f>IFERROR(_xlfn.XLOOKUP(B181,#REF!,#REF!),0)</f>
        <v>0</v>
      </c>
      <c r="H181" s="37" t="e">
        <f>_xlfn.XLOOKUP(B181,#REF!,#REF!)</f>
        <v>#REF!</v>
      </c>
      <c r="I181" s="37" t="e">
        <f>_xlfn.XLOOKUP(B181,#REF!,#REF!)</f>
        <v>#REF!</v>
      </c>
      <c r="J181" s="51" t="e">
        <f>_xlfn.XLOOKUP(B181,#REF!,#REF!)</f>
        <v>#REF!</v>
      </c>
      <c r="K181" s="37" t="e">
        <f>_xlfn.XLOOKUP(B181,#REF!,#REF!)</f>
        <v>#REF!</v>
      </c>
      <c r="L181" s="37" t="e">
        <f>_xlfn.XLOOKUP(B181,#REF!,#REF!)</f>
        <v>#REF!</v>
      </c>
      <c r="M181" s="37" t="e">
        <f>_xlfn.XLOOKUP(B181,#REF!,#REF!)</f>
        <v>#REF!</v>
      </c>
      <c r="N181" s="37" t="e">
        <f>_xlfn.XLOOKUP(B181,#REF!,#REF!)</f>
        <v>#REF!</v>
      </c>
      <c r="O181" s="37" t="e">
        <f>_xlfn.XLOOKUP(B181,#REF!,#REF!)</f>
        <v>#REF!</v>
      </c>
      <c r="P181" s="37" t="e">
        <f>_xlfn.XLOOKUP(B181,#REF!,#REF!)</f>
        <v>#REF!</v>
      </c>
      <c r="Q181" s="37" t="e">
        <f>_xlfn.XLOOKUP(B181,#REF!,#REF!)</f>
        <v>#REF!</v>
      </c>
      <c r="R181" s="37" t="e">
        <f>_xlfn.XLOOKUP(B181,#REF!,#REF!)</f>
        <v>#REF!</v>
      </c>
      <c r="S181" s="37" t="e">
        <f>_xlfn.XLOOKUP(B181,#REF!,#REF!)</f>
        <v>#REF!</v>
      </c>
      <c r="T181" s="37" t="e">
        <f>_xlfn.XLOOKUP(B181,#REF!,#REF!)</f>
        <v>#REF!</v>
      </c>
      <c r="U181" s="37" t="e">
        <f>_xlfn.XLOOKUP(B181,#REF!,#REF!)</f>
        <v>#REF!</v>
      </c>
      <c r="V181" s="37" t="e">
        <f>_xlfn.XLOOKUP(B181,#REF!,#REF!)</f>
        <v>#REF!</v>
      </c>
    </row>
    <row r="182" spans="1:22" x14ac:dyDescent="0.35">
      <c r="A182" t="str">
        <f>_xlfn.XLOOKUP(B182,master!B:B,master!A:A)</f>
        <v>Income from Jobwork charges</v>
      </c>
      <c r="B182" s="50" t="s">
        <v>402</v>
      </c>
      <c r="C182" s="50"/>
      <c r="D182" s="50"/>
      <c r="E182" s="50"/>
      <c r="F182" s="50"/>
      <c r="G182" s="37">
        <f>IFERROR(_xlfn.XLOOKUP(B182,#REF!,#REF!),0)</f>
        <v>0</v>
      </c>
      <c r="H182" s="37" t="e">
        <f>_xlfn.XLOOKUP(B182,#REF!,#REF!)</f>
        <v>#REF!</v>
      </c>
      <c r="I182" s="37" t="e">
        <f>_xlfn.XLOOKUP(B182,#REF!,#REF!)</f>
        <v>#REF!</v>
      </c>
      <c r="J182" s="51" t="e">
        <f>_xlfn.XLOOKUP(B182,#REF!,#REF!)</f>
        <v>#REF!</v>
      </c>
      <c r="K182" s="37" t="e">
        <f>_xlfn.XLOOKUP(B182,#REF!,#REF!)</f>
        <v>#REF!</v>
      </c>
      <c r="L182" s="37" t="e">
        <f>_xlfn.XLOOKUP(B182,#REF!,#REF!)</f>
        <v>#REF!</v>
      </c>
      <c r="M182" s="37" t="e">
        <f>_xlfn.XLOOKUP(B182,#REF!,#REF!)</f>
        <v>#REF!</v>
      </c>
      <c r="N182" s="37" t="e">
        <f>_xlfn.XLOOKUP(B182,#REF!,#REF!)</f>
        <v>#REF!</v>
      </c>
      <c r="O182" s="37" t="e">
        <f>_xlfn.XLOOKUP(B182,#REF!,#REF!)</f>
        <v>#REF!</v>
      </c>
      <c r="P182" s="37" t="e">
        <f>_xlfn.XLOOKUP(B182,#REF!,#REF!)</f>
        <v>#REF!</v>
      </c>
      <c r="Q182" s="37" t="e">
        <f>_xlfn.XLOOKUP(B182,#REF!,#REF!)</f>
        <v>#REF!</v>
      </c>
      <c r="R182" s="37" t="e">
        <f>_xlfn.XLOOKUP(B182,#REF!,#REF!)</f>
        <v>#REF!</v>
      </c>
      <c r="S182" s="37" t="e">
        <f>_xlfn.XLOOKUP(B182,#REF!,#REF!)</f>
        <v>#REF!</v>
      </c>
      <c r="T182" s="37" t="e">
        <f>_xlfn.XLOOKUP(B182,#REF!,#REF!)</f>
        <v>#REF!</v>
      </c>
      <c r="U182" s="37" t="e">
        <f>_xlfn.XLOOKUP(B182,#REF!,#REF!)</f>
        <v>#REF!</v>
      </c>
      <c r="V182" s="37" t="e">
        <f>_xlfn.XLOOKUP(B182,#REF!,#REF!)</f>
        <v>#REF!</v>
      </c>
    </row>
    <row r="183" spans="1:22" x14ac:dyDescent="0.35">
      <c r="A183" t="str">
        <f>_xlfn.XLOOKUP(B183,master!B:B,master!A:A)</f>
        <v>Rent Income</v>
      </c>
      <c r="B183" s="50" t="s">
        <v>403</v>
      </c>
      <c r="C183" s="50"/>
      <c r="D183" s="50"/>
      <c r="E183" s="50"/>
      <c r="F183" s="50"/>
      <c r="G183" s="37">
        <f>IFERROR(_xlfn.XLOOKUP(B183,#REF!,#REF!),0)</f>
        <v>0</v>
      </c>
      <c r="H183" s="37" t="e">
        <f>_xlfn.XLOOKUP(B183,#REF!,#REF!)</f>
        <v>#REF!</v>
      </c>
      <c r="I183" s="37" t="e">
        <f>_xlfn.XLOOKUP(B183,#REF!,#REF!)</f>
        <v>#REF!</v>
      </c>
      <c r="J183" s="51" t="e">
        <f>_xlfn.XLOOKUP(B183,#REF!,#REF!)</f>
        <v>#REF!</v>
      </c>
      <c r="K183" s="37" t="e">
        <f>_xlfn.XLOOKUP(B183,#REF!,#REF!)</f>
        <v>#REF!</v>
      </c>
      <c r="L183" s="37" t="e">
        <f>_xlfn.XLOOKUP(B183,#REF!,#REF!)</f>
        <v>#REF!</v>
      </c>
      <c r="M183" s="37" t="e">
        <f>_xlfn.XLOOKUP(B183,#REF!,#REF!)</f>
        <v>#REF!</v>
      </c>
      <c r="N183" s="37" t="e">
        <f>_xlfn.XLOOKUP(B183,#REF!,#REF!)</f>
        <v>#REF!</v>
      </c>
      <c r="O183" s="37" t="e">
        <f>_xlfn.XLOOKUP(B183,#REF!,#REF!)</f>
        <v>#REF!</v>
      </c>
      <c r="P183" s="37" t="e">
        <f>_xlfn.XLOOKUP(B183,#REF!,#REF!)</f>
        <v>#REF!</v>
      </c>
      <c r="Q183" s="37" t="e">
        <f>_xlfn.XLOOKUP(B183,#REF!,#REF!)</f>
        <v>#REF!</v>
      </c>
      <c r="R183" s="37" t="e">
        <f>_xlfn.XLOOKUP(B183,#REF!,#REF!)</f>
        <v>#REF!</v>
      </c>
      <c r="S183" s="37" t="e">
        <f>_xlfn.XLOOKUP(B183,#REF!,#REF!)</f>
        <v>#REF!</v>
      </c>
      <c r="T183" s="37" t="e">
        <f>_xlfn.XLOOKUP(B183,#REF!,#REF!)</f>
        <v>#REF!</v>
      </c>
      <c r="U183" s="37" t="e">
        <f>_xlfn.XLOOKUP(B183,#REF!,#REF!)</f>
        <v>#REF!</v>
      </c>
      <c r="V183" s="37" t="e">
        <f>_xlfn.XLOOKUP(B183,#REF!,#REF!)</f>
        <v>#REF!</v>
      </c>
    </row>
    <row r="184" spans="1:22" x14ac:dyDescent="0.35">
      <c r="A184" t="str">
        <f>_xlfn.XLOOKUP(B184,master!B:B,master!A:A)</f>
        <v>Sale of traded goods</v>
      </c>
      <c r="B184" s="50" t="s">
        <v>582</v>
      </c>
      <c r="C184" s="50"/>
      <c r="D184" s="50"/>
      <c r="E184" s="50"/>
      <c r="F184" s="50"/>
      <c r="G184" s="37">
        <f>IFERROR(_xlfn.XLOOKUP(B184,#REF!,#REF!),0)</f>
        <v>0</v>
      </c>
      <c r="H184" s="37" t="e">
        <f>_xlfn.XLOOKUP(B184,#REF!,#REF!)</f>
        <v>#REF!</v>
      </c>
      <c r="I184" s="37" t="e">
        <f>_xlfn.XLOOKUP(B184,#REF!,#REF!)</f>
        <v>#REF!</v>
      </c>
      <c r="J184" s="51" t="e">
        <f>_xlfn.XLOOKUP(B184,#REF!,#REF!)</f>
        <v>#REF!</v>
      </c>
      <c r="K184" s="37" t="e">
        <f>_xlfn.XLOOKUP(B184,#REF!,#REF!)</f>
        <v>#REF!</v>
      </c>
      <c r="L184" s="37" t="e">
        <f>_xlfn.XLOOKUP(B184,#REF!,#REF!)</f>
        <v>#REF!</v>
      </c>
      <c r="M184" s="37" t="e">
        <f>_xlfn.XLOOKUP(B184,#REF!,#REF!)</f>
        <v>#REF!</v>
      </c>
      <c r="N184" s="37" t="e">
        <f>_xlfn.XLOOKUP(B184,#REF!,#REF!)</f>
        <v>#REF!</v>
      </c>
      <c r="O184" s="37" t="e">
        <f>_xlfn.XLOOKUP(B184,#REF!,#REF!)</f>
        <v>#REF!</v>
      </c>
      <c r="P184" s="37" t="e">
        <f>_xlfn.XLOOKUP(B184,#REF!,#REF!)</f>
        <v>#REF!</v>
      </c>
      <c r="Q184" s="37" t="e">
        <f>_xlfn.XLOOKUP(B184,#REF!,#REF!)</f>
        <v>#REF!</v>
      </c>
      <c r="R184" s="37" t="e">
        <f>_xlfn.XLOOKUP(B184,#REF!,#REF!)</f>
        <v>#REF!</v>
      </c>
      <c r="S184" s="37" t="e">
        <f>_xlfn.XLOOKUP(B184,#REF!,#REF!)</f>
        <v>#REF!</v>
      </c>
      <c r="T184" s="37" t="e">
        <f>_xlfn.XLOOKUP(B184,#REF!,#REF!)</f>
        <v>#REF!</v>
      </c>
      <c r="U184" s="37" t="e">
        <f>_xlfn.XLOOKUP(B184,#REF!,#REF!)</f>
        <v>#REF!</v>
      </c>
      <c r="V184" s="37" t="e">
        <f>_xlfn.XLOOKUP(B184,#REF!,#REF!)</f>
        <v>#REF!</v>
      </c>
    </row>
    <row r="185" spans="1:22" x14ac:dyDescent="0.35">
      <c r="A185" t="str">
        <f>_xlfn.XLOOKUP(B185,master!B:B,master!A:A)</f>
        <v>Sale of Finished Goods</v>
      </c>
      <c r="B185" s="50" t="s">
        <v>404</v>
      </c>
      <c r="C185" s="50"/>
      <c r="D185" s="50"/>
      <c r="E185" s="50"/>
      <c r="F185" s="50"/>
      <c r="G185" s="37">
        <f>IFERROR(_xlfn.XLOOKUP(B185,#REF!,#REF!),0)</f>
        <v>0</v>
      </c>
      <c r="H185" s="37" t="e">
        <f>_xlfn.XLOOKUP(B185,#REF!,#REF!)</f>
        <v>#REF!</v>
      </c>
      <c r="I185" s="37" t="e">
        <f>_xlfn.XLOOKUP(B185,#REF!,#REF!)</f>
        <v>#REF!</v>
      </c>
      <c r="J185" s="51" t="e">
        <f>_xlfn.XLOOKUP(B185,#REF!,#REF!)</f>
        <v>#REF!</v>
      </c>
      <c r="K185" s="37" t="e">
        <f>_xlfn.XLOOKUP(B185,#REF!,#REF!)</f>
        <v>#REF!</v>
      </c>
      <c r="L185" s="37" t="e">
        <f>_xlfn.XLOOKUP(B185,#REF!,#REF!)</f>
        <v>#REF!</v>
      </c>
      <c r="M185" s="37" t="e">
        <f>_xlfn.XLOOKUP(B185,#REF!,#REF!)</f>
        <v>#REF!</v>
      </c>
      <c r="N185" s="37" t="e">
        <f>_xlfn.XLOOKUP(B185,#REF!,#REF!)</f>
        <v>#REF!</v>
      </c>
      <c r="O185" s="37" t="e">
        <f>_xlfn.XLOOKUP(B185,#REF!,#REF!)</f>
        <v>#REF!</v>
      </c>
      <c r="P185" s="37" t="e">
        <f>_xlfn.XLOOKUP(B185,#REF!,#REF!)</f>
        <v>#REF!</v>
      </c>
      <c r="Q185" s="37" t="e">
        <f>_xlfn.XLOOKUP(B185,#REF!,#REF!)</f>
        <v>#REF!</v>
      </c>
      <c r="R185" s="37" t="e">
        <f>_xlfn.XLOOKUP(B185,#REF!,#REF!)</f>
        <v>#REF!</v>
      </c>
      <c r="S185" s="37" t="e">
        <f>_xlfn.XLOOKUP(B185,#REF!,#REF!)</f>
        <v>#REF!</v>
      </c>
      <c r="T185" s="37" t="e">
        <f>_xlfn.XLOOKUP(B185,#REF!,#REF!)</f>
        <v>#REF!</v>
      </c>
      <c r="U185" s="37" t="e">
        <f>_xlfn.XLOOKUP(B185,#REF!,#REF!)</f>
        <v>#REF!</v>
      </c>
      <c r="V185" s="37" t="e">
        <f>_xlfn.XLOOKUP(B185,#REF!,#REF!)</f>
        <v>#REF!</v>
      </c>
    </row>
    <row r="186" spans="1:22" x14ac:dyDescent="0.35">
      <c r="A186" t="str">
        <f>_xlfn.XLOOKUP(B186,master!B:B,master!A:A)</f>
        <v>Sale of Traded Goods</v>
      </c>
      <c r="B186" s="50" t="s">
        <v>405</v>
      </c>
      <c r="C186" s="50"/>
      <c r="D186" s="50"/>
      <c r="E186" s="50"/>
      <c r="F186" s="50"/>
      <c r="G186" s="37">
        <f>IFERROR(_xlfn.XLOOKUP(B186,#REF!,#REF!),0)</f>
        <v>0</v>
      </c>
      <c r="H186" s="37" t="e">
        <f>_xlfn.XLOOKUP(B186,#REF!,#REF!)</f>
        <v>#REF!</v>
      </c>
      <c r="I186" s="37" t="e">
        <f>_xlfn.XLOOKUP(B186,#REF!,#REF!)</f>
        <v>#REF!</v>
      </c>
      <c r="J186" s="51" t="e">
        <f>_xlfn.XLOOKUP(B186,#REF!,#REF!)</f>
        <v>#REF!</v>
      </c>
      <c r="K186" s="37" t="e">
        <f>_xlfn.XLOOKUP(B186,#REF!,#REF!)</f>
        <v>#REF!</v>
      </c>
      <c r="L186" s="37" t="e">
        <f>_xlfn.XLOOKUP(B186,#REF!,#REF!)</f>
        <v>#REF!</v>
      </c>
      <c r="M186" s="37" t="e">
        <f>_xlfn.XLOOKUP(B186,#REF!,#REF!)</f>
        <v>#REF!</v>
      </c>
      <c r="N186" s="37" t="e">
        <f>_xlfn.XLOOKUP(B186,#REF!,#REF!)</f>
        <v>#REF!</v>
      </c>
      <c r="O186" s="37" t="e">
        <f>_xlfn.XLOOKUP(B186,#REF!,#REF!)</f>
        <v>#REF!</v>
      </c>
      <c r="P186" s="37" t="e">
        <f>_xlfn.XLOOKUP(B186,#REF!,#REF!)</f>
        <v>#REF!</v>
      </c>
      <c r="Q186" s="37" t="e">
        <f>_xlfn.XLOOKUP(B186,#REF!,#REF!)</f>
        <v>#REF!</v>
      </c>
      <c r="R186" s="37" t="e">
        <f>_xlfn.XLOOKUP(B186,#REF!,#REF!)</f>
        <v>#REF!</v>
      </c>
      <c r="S186" s="37" t="e">
        <f>_xlfn.XLOOKUP(B186,#REF!,#REF!)</f>
        <v>#REF!</v>
      </c>
      <c r="T186" s="37" t="e">
        <f>_xlfn.XLOOKUP(B186,#REF!,#REF!)</f>
        <v>#REF!</v>
      </c>
      <c r="U186" s="37" t="e">
        <f>_xlfn.XLOOKUP(B186,#REF!,#REF!)</f>
        <v>#REF!</v>
      </c>
      <c r="V186" s="37" t="e">
        <f>_xlfn.XLOOKUP(B186,#REF!,#REF!)</f>
        <v>#REF!</v>
      </c>
    </row>
    <row r="187" spans="1:22" x14ac:dyDescent="0.35">
      <c r="A187" t="str">
        <f>_xlfn.XLOOKUP(B187,master!B:B,master!A:A)</f>
        <v>Sale of Traded Goods</v>
      </c>
      <c r="B187" s="50" t="s">
        <v>406</v>
      </c>
      <c r="C187" s="50"/>
      <c r="D187" s="50"/>
      <c r="E187" s="50"/>
      <c r="F187" s="50"/>
      <c r="G187" s="37">
        <f>IFERROR(_xlfn.XLOOKUP(B187,#REF!,#REF!),0)</f>
        <v>0</v>
      </c>
      <c r="H187" s="37" t="e">
        <f>_xlfn.XLOOKUP(B187,#REF!,#REF!)</f>
        <v>#REF!</v>
      </c>
      <c r="I187" s="37" t="e">
        <f>_xlfn.XLOOKUP(B187,#REF!,#REF!)</f>
        <v>#REF!</v>
      </c>
      <c r="J187" s="51" t="e">
        <f>_xlfn.XLOOKUP(B187,#REF!,#REF!)</f>
        <v>#REF!</v>
      </c>
      <c r="K187" s="37" t="e">
        <f>_xlfn.XLOOKUP(B187,#REF!,#REF!)</f>
        <v>#REF!</v>
      </c>
      <c r="L187" s="37" t="e">
        <f>_xlfn.XLOOKUP(B187,#REF!,#REF!)</f>
        <v>#REF!</v>
      </c>
      <c r="M187" s="37" t="e">
        <f>_xlfn.XLOOKUP(B187,#REF!,#REF!)</f>
        <v>#REF!</v>
      </c>
      <c r="N187" s="37" t="e">
        <f>_xlfn.XLOOKUP(B187,#REF!,#REF!)</f>
        <v>#REF!</v>
      </c>
      <c r="O187" s="37" t="e">
        <f>_xlfn.XLOOKUP(B187,#REF!,#REF!)</f>
        <v>#REF!</v>
      </c>
      <c r="P187" s="37" t="e">
        <f>_xlfn.XLOOKUP(B187,#REF!,#REF!)</f>
        <v>#REF!</v>
      </c>
      <c r="Q187" s="37" t="e">
        <f>_xlfn.XLOOKUP(B187,#REF!,#REF!)</f>
        <v>#REF!</v>
      </c>
      <c r="R187" s="37" t="e">
        <f>_xlfn.XLOOKUP(B187,#REF!,#REF!)</f>
        <v>#REF!</v>
      </c>
      <c r="S187" s="37" t="e">
        <f>_xlfn.XLOOKUP(B187,#REF!,#REF!)</f>
        <v>#REF!</v>
      </c>
      <c r="T187" s="37" t="e">
        <f>_xlfn.XLOOKUP(B187,#REF!,#REF!)</f>
        <v>#REF!</v>
      </c>
      <c r="U187" s="37" t="e">
        <f>_xlfn.XLOOKUP(B187,#REF!,#REF!)</f>
        <v>#REF!</v>
      </c>
      <c r="V187" s="37" t="e">
        <f>_xlfn.XLOOKUP(B187,#REF!,#REF!)</f>
        <v>#REF!</v>
      </c>
    </row>
    <row r="188" spans="1:22" x14ac:dyDescent="0.35">
      <c r="A188" t="str">
        <f>_xlfn.XLOOKUP(B188,master!B:B,master!A:A)</f>
        <v>Sale of Traded Goods</v>
      </c>
      <c r="B188" s="50" t="s">
        <v>407</v>
      </c>
      <c r="C188" s="50"/>
      <c r="D188" s="50"/>
      <c r="E188" s="50"/>
      <c r="F188" s="50"/>
      <c r="G188" s="37">
        <f>IFERROR(_xlfn.XLOOKUP(B188,#REF!,#REF!),0)</f>
        <v>0</v>
      </c>
      <c r="H188" s="37" t="e">
        <f>_xlfn.XLOOKUP(B188,#REF!,#REF!)</f>
        <v>#REF!</v>
      </c>
      <c r="I188" s="37" t="e">
        <f>_xlfn.XLOOKUP(B188,#REF!,#REF!)</f>
        <v>#REF!</v>
      </c>
      <c r="J188" s="51" t="e">
        <f>_xlfn.XLOOKUP(B188,#REF!,#REF!)</f>
        <v>#REF!</v>
      </c>
      <c r="K188" s="37" t="e">
        <f>_xlfn.XLOOKUP(B188,#REF!,#REF!)</f>
        <v>#REF!</v>
      </c>
      <c r="L188" s="37" t="e">
        <f>_xlfn.XLOOKUP(B188,#REF!,#REF!)</f>
        <v>#REF!</v>
      </c>
      <c r="M188" s="37" t="e">
        <f>_xlfn.XLOOKUP(B188,#REF!,#REF!)</f>
        <v>#REF!</v>
      </c>
      <c r="N188" s="37" t="e">
        <f>_xlfn.XLOOKUP(B188,#REF!,#REF!)</f>
        <v>#REF!</v>
      </c>
      <c r="O188" s="37" t="e">
        <f>_xlfn.XLOOKUP(B188,#REF!,#REF!)</f>
        <v>#REF!</v>
      </c>
      <c r="P188" s="37" t="e">
        <f>_xlfn.XLOOKUP(B188,#REF!,#REF!)</f>
        <v>#REF!</v>
      </c>
      <c r="Q188" s="37" t="e">
        <f>_xlfn.XLOOKUP(B188,#REF!,#REF!)</f>
        <v>#REF!</v>
      </c>
      <c r="R188" s="37" t="e">
        <f>_xlfn.XLOOKUP(B188,#REF!,#REF!)</f>
        <v>#REF!</v>
      </c>
      <c r="S188" s="37" t="e">
        <f>_xlfn.XLOOKUP(B188,#REF!,#REF!)</f>
        <v>#REF!</v>
      </c>
      <c r="T188" s="37" t="e">
        <f>_xlfn.XLOOKUP(B188,#REF!,#REF!)</f>
        <v>#REF!</v>
      </c>
      <c r="U188" s="37" t="e">
        <f>_xlfn.XLOOKUP(B188,#REF!,#REF!)</f>
        <v>#REF!</v>
      </c>
      <c r="V188" s="37" t="e">
        <f>_xlfn.XLOOKUP(B188,#REF!,#REF!)</f>
        <v>#REF!</v>
      </c>
    </row>
    <row r="189" spans="1:22" x14ac:dyDescent="0.35">
      <c r="A189" t="str">
        <f>_xlfn.XLOOKUP(B189,master!B:B,master!A:A)</f>
        <v>Sale of Traded Goods</v>
      </c>
      <c r="B189" s="50" t="s">
        <v>408</v>
      </c>
      <c r="C189" s="50"/>
      <c r="D189" s="50"/>
      <c r="E189" s="50"/>
      <c r="F189" s="50"/>
      <c r="G189" s="37">
        <f>IFERROR(_xlfn.XLOOKUP(B189,#REF!,#REF!),0)</f>
        <v>0</v>
      </c>
      <c r="H189" s="37" t="e">
        <f>_xlfn.XLOOKUP(B189,#REF!,#REF!)</f>
        <v>#REF!</v>
      </c>
      <c r="I189" s="37" t="e">
        <f>_xlfn.XLOOKUP(B189,#REF!,#REF!)</f>
        <v>#REF!</v>
      </c>
      <c r="J189" s="51" t="e">
        <f>_xlfn.XLOOKUP(B189,#REF!,#REF!)</f>
        <v>#REF!</v>
      </c>
      <c r="K189" s="37" t="e">
        <f>_xlfn.XLOOKUP(B189,#REF!,#REF!)</f>
        <v>#REF!</v>
      </c>
      <c r="L189" s="37" t="e">
        <f>_xlfn.XLOOKUP(B189,#REF!,#REF!)</f>
        <v>#REF!</v>
      </c>
      <c r="M189" s="37" t="e">
        <f>_xlfn.XLOOKUP(B189,#REF!,#REF!)</f>
        <v>#REF!</v>
      </c>
      <c r="N189" s="37" t="e">
        <f>_xlfn.XLOOKUP(B189,#REF!,#REF!)</f>
        <v>#REF!</v>
      </c>
      <c r="O189" s="37" t="e">
        <f>_xlfn.XLOOKUP(B189,#REF!,#REF!)</f>
        <v>#REF!</v>
      </c>
      <c r="P189" s="37" t="e">
        <f>_xlfn.XLOOKUP(B189,#REF!,#REF!)</f>
        <v>#REF!</v>
      </c>
      <c r="Q189" s="37" t="e">
        <f>_xlfn.XLOOKUP(B189,#REF!,#REF!)</f>
        <v>#REF!</v>
      </c>
      <c r="R189" s="37" t="e">
        <f>_xlfn.XLOOKUP(B189,#REF!,#REF!)</f>
        <v>#REF!</v>
      </c>
      <c r="S189" s="37" t="e">
        <f>_xlfn.XLOOKUP(B189,#REF!,#REF!)</f>
        <v>#REF!</v>
      </c>
      <c r="T189" s="37" t="e">
        <f>_xlfn.XLOOKUP(B189,#REF!,#REF!)</f>
        <v>#REF!</v>
      </c>
      <c r="U189" s="37" t="e">
        <f>_xlfn.XLOOKUP(B189,#REF!,#REF!)</f>
        <v>#REF!</v>
      </c>
      <c r="V189" s="37" t="e">
        <f>_xlfn.XLOOKUP(B189,#REF!,#REF!)</f>
        <v>#REF!</v>
      </c>
    </row>
    <row r="190" spans="1:22" x14ac:dyDescent="0.35">
      <c r="A190" t="str">
        <f>_xlfn.XLOOKUP(B190,master!B:B,master!A:A)</f>
        <v>Sale of traded goods</v>
      </c>
      <c r="B190" s="50" t="s">
        <v>409</v>
      </c>
      <c r="C190" s="50"/>
      <c r="D190" s="50"/>
      <c r="E190" s="50"/>
      <c r="F190" s="50"/>
      <c r="G190" s="37">
        <f>IFERROR(_xlfn.XLOOKUP(B190,#REF!,#REF!),0)</f>
        <v>0</v>
      </c>
      <c r="H190" s="37" t="e">
        <f>_xlfn.XLOOKUP(B190,#REF!,#REF!)</f>
        <v>#REF!</v>
      </c>
      <c r="I190" s="37" t="e">
        <f>_xlfn.XLOOKUP(B190,#REF!,#REF!)</f>
        <v>#REF!</v>
      </c>
      <c r="J190" s="51" t="e">
        <f>_xlfn.XLOOKUP(B190,#REF!,#REF!)</f>
        <v>#REF!</v>
      </c>
      <c r="K190" s="37" t="e">
        <f>_xlfn.XLOOKUP(B190,#REF!,#REF!)</f>
        <v>#REF!</v>
      </c>
      <c r="L190" s="37" t="e">
        <f>_xlfn.XLOOKUP(B190,#REF!,#REF!)</f>
        <v>#REF!</v>
      </c>
      <c r="M190" s="37" t="e">
        <f>_xlfn.XLOOKUP(B190,#REF!,#REF!)</f>
        <v>#REF!</v>
      </c>
      <c r="N190" s="37" t="e">
        <f>_xlfn.XLOOKUP(B190,#REF!,#REF!)</f>
        <v>#REF!</v>
      </c>
      <c r="O190" s="37" t="e">
        <f>_xlfn.XLOOKUP(B190,#REF!,#REF!)</f>
        <v>#REF!</v>
      </c>
      <c r="P190" s="37" t="e">
        <f>_xlfn.XLOOKUP(B190,#REF!,#REF!)</f>
        <v>#REF!</v>
      </c>
      <c r="Q190" s="37" t="e">
        <f>_xlfn.XLOOKUP(B190,#REF!,#REF!)</f>
        <v>#REF!</v>
      </c>
      <c r="R190" s="37" t="e">
        <f>_xlfn.XLOOKUP(B190,#REF!,#REF!)</f>
        <v>#REF!</v>
      </c>
      <c r="S190" s="37" t="e">
        <f>_xlfn.XLOOKUP(B190,#REF!,#REF!)</f>
        <v>#REF!</v>
      </c>
      <c r="T190" s="37" t="e">
        <f>_xlfn.XLOOKUP(B190,#REF!,#REF!)</f>
        <v>#REF!</v>
      </c>
      <c r="U190" s="37" t="e">
        <f>_xlfn.XLOOKUP(B190,#REF!,#REF!)</f>
        <v>#REF!</v>
      </c>
      <c r="V190" s="37" t="e">
        <f>_xlfn.XLOOKUP(B190,#REF!,#REF!)</f>
        <v>#REF!</v>
      </c>
    </row>
    <row r="191" spans="1:22" x14ac:dyDescent="0.35">
      <c r="A191" t="str">
        <f>_xlfn.XLOOKUP(B191,master!B:B,master!A:A)</f>
        <v>Sale of traded goods</v>
      </c>
      <c r="B191" s="50" t="s">
        <v>410</v>
      </c>
      <c r="C191" s="50"/>
      <c r="D191" s="50"/>
      <c r="E191" s="50"/>
      <c r="F191" s="50"/>
      <c r="G191" s="37">
        <f>IFERROR(_xlfn.XLOOKUP(B191,#REF!,#REF!),0)</f>
        <v>0</v>
      </c>
      <c r="H191" s="37" t="e">
        <f>_xlfn.XLOOKUP(B191,#REF!,#REF!)</f>
        <v>#REF!</v>
      </c>
      <c r="I191" s="37" t="e">
        <f>_xlfn.XLOOKUP(B191,#REF!,#REF!)</f>
        <v>#REF!</v>
      </c>
      <c r="J191" s="51" t="e">
        <f>_xlfn.XLOOKUP(B191,#REF!,#REF!)</f>
        <v>#REF!</v>
      </c>
      <c r="K191" s="37" t="e">
        <f>_xlfn.XLOOKUP(B191,#REF!,#REF!)</f>
        <v>#REF!</v>
      </c>
      <c r="L191" s="37" t="e">
        <f>_xlfn.XLOOKUP(B191,#REF!,#REF!)</f>
        <v>#REF!</v>
      </c>
      <c r="M191" s="37" t="e">
        <f>_xlfn.XLOOKUP(B191,#REF!,#REF!)</f>
        <v>#REF!</v>
      </c>
      <c r="N191" s="37" t="e">
        <f>_xlfn.XLOOKUP(B191,#REF!,#REF!)</f>
        <v>#REF!</v>
      </c>
      <c r="O191" s="37" t="e">
        <f>_xlfn.XLOOKUP(B191,#REF!,#REF!)</f>
        <v>#REF!</v>
      </c>
      <c r="P191" s="37" t="e">
        <f>_xlfn.XLOOKUP(B191,#REF!,#REF!)</f>
        <v>#REF!</v>
      </c>
      <c r="Q191" s="37" t="e">
        <f>_xlfn.XLOOKUP(B191,#REF!,#REF!)</f>
        <v>#REF!</v>
      </c>
      <c r="R191" s="37" t="e">
        <f>_xlfn.XLOOKUP(B191,#REF!,#REF!)</f>
        <v>#REF!</v>
      </c>
      <c r="S191" s="37" t="e">
        <f>_xlfn.XLOOKUP(B191,#REF!,#REF!)</f>
        <v>#REF!</v>
      </c>
      <c r="T191" s="37" t="e">
        <f>_xlfn.XLOOKUP(B191,#REF!,#REF!)</f>
        <v>#REF!</v>
      </c>
      <c r="U191" s="37" t="e">
        <f>_xlfn.XLOOKUP(B191,#REF!,#REF!)</f>
        <v>#REF!</v>
      </c>
      <c r="V191" s="37" t="e">
        <f>_xlfn.XLOOKUP(B191,#REF!,#REF!)</f>
        <v>#REF!</v>
      </c>
    </row>
    <row r="192" spans="1:22" x14ac:dyDescent="0.35">
      <c r="A192" t="str">
        <f>_xlfn.XLOOKUP(B192,master!B:B,master!A:A)</f>
        <v>Sale of Traded Goods</v>
      </c>
      <c r="B192" s="50" t="s">
        <v>411</v>
      </c>
      <c r="C192" s="50"/>
      <c r="D192" s="50"/>
      <c r="E192" s="50"/>
      <c r="F192" s="50"/>
      <c r="G192" s="37">
        <f>IFERROR(_xlfn.XLOOKUP(B192,#REF!,#REF!),0)</f>
        <v>0</v>
      </c>
      <c r="H192" s="37" t="e">
        <f>_xlfn.XLOOKUP(B192,#REF!,#REF!)</f>
        <v>#REF!</v>
      </c>
      <c r="I192" s="37" t="e">
        <f>_xlfn.XLOOKUP(B192,#REF!,#REF!)</f>
        <v>#REF!</v>
      </c>
      <c r="J192" s="51" t="e">
        <f>_xlfn.XLOOKUP(B192,#REF!,#REF!)</f>
        <v>#REF!</v>
      </c>
      <c r="K192" s="37" t="e">
        <f>_xlfn.XLOOKUP(B192,#REF!,#REF!)</f>
        <v>#REF!</v>
      </c>
      <c r="L192" s="37" t="e">
        <f>_xlfn.XLOOKUP(B192,#REF!,#REF!)</f>
        <v>#REF!</v>
      </c>
      <c r="M192" s="37" t="e">
        <f>_xlfn.XLOOKUP(B192,#REF!,#REF!)</f>
        <v>#REF!</v>
      </c>
      <c r="N192" s="37" t="e">
        <f>_xlfn.XLOOKUP(B192,#REF!,#REF!)</f>
        <v>#REF!</v>
      </c>
      <c r="O192" s="37" t="e">
        <f>_xlfn.XLOOKUP(B192,#REF!,#REF!)</f>
        <v>#REF!</v>
      </c>
      <c r="P192" s="37" t="e">
        <f>_xlfn.XLOOKUP(B192,#REF!,#REF!)</f>
        <v>#REF!</v>
      </c>
      <c r="Q192" s="37" t="e">
        <f>_xlfn.XLOOKUP(B192,#REF!,#REF!)</f>
        <v>#REF!</v>
      </c>
      <c r="R192" s="37" t="e">
        <f>_xlfn.XLOOKUP(B192,#REF!,#REF!)</f>
        <v>#REF!</v>
      </c>
      <c r="S192" s="37" t="e">
        <f>_xlfn.XLOOKUP(B192,#REF!,#REF!)</f>
        <v>#REF!</v>
      </c>
      <c r="T192" s="37" t="e">
        <f>_xlfn.XLOOKUP(B192,#REF!,#REF!)</f>
        <v>#REF!</v>
      </c>
      <c r="U192" s="37" t="e">
        <f>_xlfn.XLOOKUP(B192,#REF!,#REF!)</f>
        <v>#REF!</v>
      </c>
      <c r="V192" s="37" t="e">
        <f>_xlfn.XLOOKUP(B192,#REF!,#REF!)</f>
        <v>#REF!</v>
      </c>
    </row>
    <row r="193" spans="1:22" x14ac:dyDescent="0.35">
      <c r="A193" t="str">
        <f>_xlfn.XLOOKUP(B193,master!B:B,master!A:A)</f>
        <v>Sale of Traded Goods</v>
      </c>
      <c r="B193" s="50" t="s">
        <v>412</v>
      </c>
      <c r="C193" s="50"/>
      <c r="D193" s="50"/>
      <c r="E193" s="50"/>
      <c r="F193" s="50"/>
      <c r="G193" s="37">
        <f>IFERROR(_xlfn.XLOOKUP(B193,#REF!,#REF!),0)</f>
        <v>0</v>
      </c>
      <c r="H193" s="37" t="e">
        <f>_xlfn.XLOOKUP(B193,#REF!,#REF!)</f>
        <v>#REF!</v>
      </c>
      <c r="I193" s="37" t="e">
        <f>_xlfn.XLOOKUP(B193,#REF!,#REF!)</f>
        <v>#REF!</v>
      </c>
      <c r="J193" s="51" t="e">
        <f>_xlfn.XLOOKUP(B193,#REF!,#REF!)</f>
        <v>#REF!</v>
      </c>
      <c r="K193" s="37" t="e">
        <f>_xlfn.XLOOKUP(B193,#REF!,#REF!)</f>
        <v>#REF!</v>
      </c>
      <c r="L193" s="37" t="e">
        <f>_xlfn.XLOOKUP(B193,#REF!,#REF!)</f>
        <v>#REF!</v>
      </c>
      <c r="M193" s="37" t="e">
        <f>_xlfn.XLOOKUP(B193,#REF!,#REF!)</f>
        <v>#REF!</v>
      </c>
      <c r="N193" s="37" t="e">
        <f>_xlfn.XLOOKUP(B193,#REF!,#REF!)</f>
        <v>#REF!</v>
      </c>
      <c r="O193" s="37" t="e">
        <f>_xlfn.XLOOKUP(B193,#REF!,#REF!)</f>
        <v>#REF!</v>
      </c>
      <c r="P193" s="37" t="e">
        <f>_xlfn.XLOOKUP(B193,#REF!,#REF!)</f>
        <v>#REF!</v>
      </c>
      <c r="Q193" s="37" t="e">
        <f>_xlfn.XLOOKUP(B193,#REF!,#REF!)</f>
        <v>#REF!</v>
      </c>
      <c r="R193" s="37" t="e">
        <f>_xlfn.XLOOKUP(B193,#REF!,#REF!)</f>
        <v>#REF!</v>
      </c>
      <c r="S193" s="37" t="e">
        <f>_xlfn.XLOOKUP(B193,#REF!,#REF!)</f>
        <v>#REF!</v>
      </c>
      <c r="T193" s="37" t="e">
        <f>_xlfn.XLOOKUP(B193,#REF!,#REF!)</f>
        <v>#REF!</v>
      </c>
      <c r="U193" s="37" t="e">
        <f>_xlfn.XLOOKUP(B193,#REF!,#REF!)</f>
        <v>#REF!</v>
      </c>
      <c r="V193" s="37" t="e">
        <f>_xlfn.XLOOKUP(B193,#REF!,#REF!)</f>
        <v>#REF!</v>
      </c>
    </row>
    <row r="194" spans="1:22" x14ac:dyDescent="0.35">
      <c r="A194" t="str">
        <f>_xlfn.XLOOKUP(B194,master!B:B,master!A:A)</f>
        <v>Sale of Finished Goods</v>
      </c>
      <c r="B194" s="50" t="s">
        <v>413</v>
      </c>
      <c r="C194" s="50"/>
      <c r="D194" s="50"/>
      <c r="E194" s="50"/>
      <c r="F194" s="50"/>
      <c r="G194" s="37">
        <f>IFERROR(_xlfn.XLOOKUP(B194,#REF!,#REF!),0)</f>
        <v>0</v>
      </c>
      <c r="H194" s="37" t="e">
        <f>_xlfn.XLOOKUP(B194,#REF!,#REF!)</f>
        <v>#REF!</v>
      </c>
      <c r="I194" s="37" t="e">
        <f>_xlfn.XLOOKUP(B194,#REF!,#REF!)</f>
        <v>#REF!</v>
      </c>
      <c r="J194" s="51" t="e">
        <f>_xlfn.XLOOKUP(B194,#REF!,#REF!)</f>
        <v>#REF!</v>
      </c>
      <c r="K194" s="37" t="e">
        <f>_xlfn.XLOOKUP(B194,#REF!,#REF!)</f>
        <v>#REF!</v>
      </c>
      <c r="L194" s="37" t="e">
        <f>_xlfn.XLOOKUP(B194,#REF!,#REF!)</f>
        <v>#REF!</v>
      </c>
      <c r="M194" s="37" t="e">
        <f>_xlfn.XLOOKUP(B194,#REF!,#REF!)</f>
        <v>#REF!</v>
      </c>
      <c r="N194" s="37" t="e">
        <f>_xlfn.XLOOKUP(B194,#REF!,#REF!)</f>
        <v>#REF!</v>
      </c>
      <c r="O194" s="37" t="e">
        <f>_xlfn.XLOOKUP(B194,#REF!,#REF!)</f>
        <v>#REF!</v>
      </c>
      <c r="P194" s="37" t="e">
        <f>_xlfn.XLOOKUP(B194,#REF!,#REF!)</f>
        <v>#REF!</v>
      </c>
      <c r="Q194" s="37" t="e">
        <f>_xlfn.XLOOKUP(B194,#REF!,#REF!)</f>
        <v>#REF!</v>
      </c>
      <c r="R194" s="37" t="e">
        <f>_xlfn.XLOOKUP(B194,#REF!,#REF!)</f>
        <v>#REF!</v>
      </c>
      <c r="S194" s="37" t="e">
        <f>_xlfn.XLOOKUP(B194,#REF!,#REF!)</f>
        <v>#REF!</v>
      </c>
      <c r="T194" s="37" t="e">
        <f>_xlfn.XLOOKUP(B194,#REF!,#REF!)</f>
        <v>#REF!</v>
      </c>
      <c r="U194" s="37" t="e">
        <f>_xlfn.XLOOKUP(B194,#REF!,#REF!)</f>
        <v>#REF!</v>
      </c>
      <c r="V194" s="37" t="e">
        <f>_xlfn.XLOOKUP(B194,#REF!,#REF!)</f>
        <v>#REF!</v>
      </c>
    </row>
    <row r="195" spans="1:22" x14ac:dyDescent="0.35">
      <c r="A195" t="str">
        <f>_xlfn.XLOOKUP(B195,master!B:B,master!A:A)</f>
        <v>Commission Income</v>
      </c>
      <c r="B195" s="50" t="s">
        <v>414</v>
      </c>
      <c r="C195" s="50"/>
      <c r="D195" s="50"/>
      <c r="E195" s="50"/>
      <c r="F195" s="50"/>
      <c r="G195" s="37">
        <f>IFERROR(_xlfn.XLOOKUP(B195,#REF!,#REF!),0)</f>
        <v>0</v>
      </c>
      <c r="H195" s="37" t="e">
        <f>_xlfn.XLOOKUP(B195,#REF!,#REF!)</f>
        <v>#REF!</v>
      </c>
      <c r="I195" s="37" t="e">
        <f>_xlfn.XLOOKUP(B195,#REF!,#REF!)</f>
        <v>#REF!</v>
      </c>
      <c r="J195" s="51" t="e">
        <f>_xlfn.XLOOKUP(B195,#REF!,#REF!)</f>
        <v>#REF!</v>
      </c>
      <c r="K195" s="37" t="e">
        <f>_xlfn.XLOOKUP(B195,#REF!,#REF!)</f>
        <v>#REF!</v>
      </c>
      <c r="L195" s="37" t="e">
        <f>_xlfn.XLOOKUP(B195,#REF!,#REF!)</f>
        <v>#REF!</v>
      </c>
      <c r="M195" s="37" t="e">
        <f>_xlfn.XLOOKUP(B195,#REF!,#REF!)</f>
        <v>#REF!</v>
      </c>
      <c r="N195" s="37" t="e">
        <f>_xlfn.XLOOKUP(B195,#REF!,#REF!)</f>
        <v>#REF!</v>
      </c>
      <c r="O195" s="37" t="e">
        <f>_xlfn.XLOOKUP(B195,#REF!,#REF!)</f>
        <v>#REF!</v>
      </c>
      <c r="P195" s="37" t="e">
        <f>_xlfn.XLOOKUP(B195,#REF!,#REF!)</f>
        <v>#REF!</v>
      </c>
      <c r="Q195" s="37" t="e">
        <f>_xlfn.XLOOKUP(B195,#REF!,#REF!)</f>
        <v>#REF!</v>
      </c>
      <c r="R195" s="37" t="e">
        <f>_xlfn.XLOOKUP(B195,#REF!,#REF!)</f>
        <v>#REF!</v>
      </c>
      <c r="S195" s="37" t="e">
        <f>_xlfn.XLOOKUP(B195,#REF!,#REF!)</f>
        <v>#REF!</v>
      </c>
      <c r="T195" s="37" t="e">
        <f>_xlfn.XLOOKUP(B195,#REF!,#REF!)</f>
        <v>#REF!</v>
      </c>
      <c r="U195" s="37" t="e">
        <f>_xlfn.XLOOKUP(B195,#REF!,#REF!)</f>
        <v>#REF!</v>
      </c>
      <c r="V195" s="37" t="e">
        <f>_xlfn.XLOOKUP(B195,#REF!,#REF!)</f>
        <v>#REF!</v>
      </c>
    </row>
    <row r="196" spans="1:22" x14ac:dyDescent="0.35">
      <c r="A196" t="str">
        <f>_xlfn.XLOOKUP(B196,master!B:B,master!A:A)</f>
        <v>Wind mill income</v>
      </c>
      <c r="B196" s="50" t="s">
        <v>415</v>
      </c>
      <c r="C196" s="50"/>
      <c r="D196" s="50"/>
      <c r="E196" s="50"/>
      <c r="F196" s="50"/>
      <c r="G196" s="37">
        <f>IFERROR(_xlfn.XLOOKUP(B196,#REF!,#REF!),0)</f>
        <v>0</v>
      </c>
      <c r="H196" s="37" t="e">
        <f>_xlfn.XLOOKUP(B196,#REF!,#REF!)</f>
        <v>#REF!</v>
      </c>
      <c r="I196" s="37" t="e">
        <f>_xlfn.XLOOKUP(B196,#REF!,#REF!)</f>
        <v>#REF!</v>
      </c>
      <c r="J196" s="51" t="e">
        <f>_xlfn.XLOOKUP(B196,#REF!,#REF!)</f>
        <v>#REF!</v>
      </c>
      <c r="K196" s="37" t="e">
        <f>_xlfn.XLOOKUP(B196,#REF!,#REF!)</f>
        <v>#REF!</v>
      </c>
      <c r="L196" s="37" t="e">
        <f>_xlfn.XLOOKUP(B196,#REF!,#REF!)</f>
        <v>#REF!</v>
      </c>
      <c r="M196" s="37" t="e">
        <f>_xlfn.XLOOKUP(B196,#REF!,#REF!)</f>
        <v>#REF!</v>
      </c>
      <c r="N196" s="37" t="e">
        <f>_xlfn.XLOOKUP(B196,#REF!,#REF!)</f>
        <v>#REF!</v>
      </c>
      <c r="O196" s="37" t="e">
        <f>_xlfn.XLOOKUP(B196,#REF!,#REF!)</f>
        <v>#REF!</v>
      </c>
      <c r="P196" s="37" t="e">
        <f>_xlfn.XLOOKUP(B196,#REF!,#REF!)</f>
        <v>#REF!</v>
      </c>
      <c r="Q196" s="37" t="e">
        <f>_xlfn.XLOOKUP(B196,#REF!,#REF!)</f>
        <v>#REF!</v>
      </c>
      <c r="R196" s="37" t="e">
        <f>_xlfn.XLOOKUP(B196,#REF!,#REF!)</f>
        <v>#REF!</v>
      </c>
      <c r="S196" s="37" t="e">
        <f>_xlfn.XLOOKUP(B196,#REF!,#REF!)</f>
        <v>#REF!</v>
      </c>
      <c r="T196" s="37" t="e">
        <f>_xlfn.XLOOKUP(B196,#REF!,#REF!)</f>
        <v>#REF!</v>
      </c>
      <c r="U196" s="37" t="e">
        <f>_xlfn.XLOOKUP(B196,#REF!,#REF!)</f>
        <v>#REF!</v>
      </c>
      <c r="V196" s="37" t="e">
        <f>_xlfn.XLOOKUP(B196,#REF!,#REF!)</f>
        <v>#REF!</v>
      </c>
    </row>
    <row r="197" spans="1:22" x14ac:dyDescent="0.35">
      <c r="A197" t="str">
        <f>_xlfn.XLOOKUP(B197,master!B:B,master!A:A)</f>
        <v>Miscellaneous income</v>
      </c>
      <c r="B197" s="50" t="s">
        <v>416</v>
      </c>
      <c r="C197" s="50"/>
      <c r="D197" s="50"/>
      <c r="E197" s="50"/>
      <c r="F197" s="50"/>
      <c r="G197" s="37">
        <f>IFERROR(_xlfn.XLOOKUP(B197,#REF!,#REF!),0)</f>
        <v>0</v>
      </c>
      <c r="H197" s="37" t="e">
        <f>_xlfn.XLOOKUP(B197,#REF!,#REF!)</f>
        <v>#REF!</v>
      </c>
      <c r="I197" s="37" t="e">
        <f>_xlfn.XLOOKUP(B197,#REF!,#REF!)</f>
        <v>#REF!</v>
      </c>
      <c r="J197" s="51" t="e">
        <f>_xlfn.XLOOKUP(B197,#REF!,#REF!)</f>
        <v>#REF!</v>
      </c>
      <c r="K197" s="37" t="e">
        <f>_xlfn.XLOOKUP(B197,#REF!,#REF!)</f>
        <v>#REF!</v>
      </c>
      <c r="L197" s="37" t="e">
        <f>_xlfn.XLOOKUP(B197,#REF!,#REF!)</f>
        <v>#REF!</v>
      </c>
      <c r="M197" s="37" t="e">
        <f>_xlfn.XLOOKUP(B197,#REF!,#REF!)</f>
        <v>#REF!</v>
      </c>
      <c r="N197" s="37" t="e">
        <f>_xlfn.XLOOKUP(B197,#REF!,#REF!)</f>
        <v>#REF!</v>
      </c>
      <c r="O197" s="37" t="e">
        <f>_xlfn.XLOOKUP(B197,#REF!,#REF!)</f>
        <v>#REF!</v>
      </c>
      <c r="P197" s="37" t="e">
        <f>_xlfn.XLOOKUP(B197,#REF!,#REF!)</f>
        <v>#REF!</v>
      </c>
      <c r="Q197" s="37" t="e">
        <f>_xlfn.XLOOKUP(B197,#REF!,#REF!)</f>
        <v>#REF!</v>
      </c>
      <c r="R197" s="37" t="e">
        <f>_xlfn.XLOOKUP(B197,#REF!,#REF!)</f>
        <v>#REF!</v>
      </c>
      <c r="S197" s="37" t="e">
        <f>_xlfn.XLOOKUP(B197,#REF!,#REF!)</f>
        <v>#REF!</v>
      </c>
      <c r="T197" s="37" t="e">
        <f>_xlfn.XLOOKUP(B197,#REF!,#REF!)</f>
        <v>#REF!</v>
      </c>
      <c r="U197" s="37" t="e">
        <f>_xlfn.XLOOKUP(B197,#REF!,#REF!)</f>
        <v>#REF!</v>
      </c>
      <c r="V197" s="37" t="e">
        <f>_xlfn.XLOOKUP(B197,#REF!,#REF!)</f>
        <v>#REF!</v>
      </c>
    </row>
    <row r="198" spans="1:22" x14ac:dyDescent="0.35">
      <c r="A198" t="str">
        <f>_xlfn.XLOOKUP(B198,master!B:B,master!A:A)</f>
        <v>Profit on sale of fixed assets</v>
      </c>
      <c r="B198" s="50" t="s">
        <v>418</v>
      </c>
      <c r="C198" s="50"/>
      <c r="D198" s="50"/>
      <c r="E198" s="50"/>
      <c r="F198" s="50"/>
      <c r="G198" s="37">
        <f>IFERROR(_xlfn.XLOOKUP(B198,#REF!,#REF!),0)</f>
        <v>0</v>
      </c>
      <c r="H198" s="37" t="e">
        <f>_xlfn.XLOOKUP(B198,#REF!,#REF!)</f>
        <v>#REF!</v>
      </c>
      <c r="I198" s="37" t="e">
        <f>_xlfn.XLOOKUP(B198,#REF!,#REF!)</f>
        <v>#REF!</v>
      </c>
      <c r="J198" s="51" t="e">
        <f>_xlfn.XLOOKUP(B198,#REF!,#REF!)</f>
        <v>#REF!</v>
      </c>
      <c r="K198" s="37" t="e">
        <f>_xlfn.XLOOKUP(B198,#REF!,#REF!)</f>
        <v>#REF!</v>
      </c>
      <c r="L198" s="37" t="e">
        <f>_xlfn.XLOOKUP(B198,#REF!,#REF!)</f>
        <v>#REF!</v>
      </c>
      <c r="M198" s="37" t="e">
        <f>_xlfn.XLOOKUP(B198,#REF!,#REF!)</f>
        <v>#REF!</v>
      </c>
      <c r="N198" s="37" t="e">
        <f>_xlfn.XLOOKUP(B198,#REF!,#REF!)</f>
        <v>#REF!</v>
      </c>
      <c r="O198" s="37" t="e">
        <f>_xlfn.XLOOKUP(B198,#REF!,#REF!)</f>
        <v>#REF!</v>
      </c>
      <c r="P198" s="37" t="e">
        <f>_xlfn.XLOOKUP(B198,#REF!,#REF!)</f>
        <v>#REF!</v>
      </c>
      <c r="Q198" s="37" t="e">
        <f>_xlfn.XLOOKUP(B198,#REF!,#REF!)</f>
        <v>#REF!</v>
      </c>
      <c r="R198" s="37" t="e">
        <f>_xlfn.XLOOKUP(B198,#REF!,#REF!)</f>
        <v>#REF!</v>
      </c>
      <c r="S198" s="37" t="e">
        <f>_xlfn.XLOOKUP(B198,#REF!,#REF!)</f>
        <v>#REF!</v>
      </c>
      <c r="T198" s="37" t="e">
        <f>_xlfn.XLOOKUP(B198,#REF!,#REF!)</f>
        <v>#REF!</v>
      </c>
      <c r="U198" s="37" t="e">
        <f>_xlfn.XLOOKUP(B198,#REF!,#REF!)</f>
        <v>#REF!</v>
      </c>
      <c r="V198" s="37" t="e">
        <f>_xlfn.XLOOKUP(B198,#REF!,#REF!)</f>
        <v>#REF!</v>
      </c>
    </row>
    <row r="199" spans="1:22" x14ac:dyDescent="0.35">
      <c r="A199" t="str">
        <f>_xlfn.XLOOKUP(B199,master!B:B,master!A:A)</f>
        <v>Interest Received From Customers</v>
      </c>
      <c r="B199" s="50" t="s">
        <v>555</v>
      </c>
      <c r="C199" s="50"/>
      <c r="D199" s="50"/>
      <c r="E199" s="50"/>
      <c r="F199" s="50"/>
      <c r="G199" s="37">
        <f>IFERROR(_xlfn.XLOOKUP(B199,#REF!,#REF!),0)</f>
        <v>0</v>
      </c>
      <c r="H199" s="37" t="e">
        <f>_xlfn.XLOOKUP(B199,#REF!,#REF!)</f>
        <v>#REF!</v>
      </c>
      <c r="I199" s="37" t="e">
        <f>_xlfn.XLOOKUP(B199,#REF!,#REF!)</f>
        <v>#REF!</v>
      </c>
      <c r="J199" s="51" t="e">
        <f>_xlfn.XLOOKUP(B199,#REF!,#REF!)</f>
        <v>#REF!</v>
      </c>
      <c r="K199" s="37" t="e">
        <f>_xlfn.XLOOKUP(B199,#REF!,#REF!)</f>
        <v>#REF!</v>
      </c>
      <c r="L199" s="37" t="e">
        <f>_xlfn.XLOOKUP(B199,#REF!,#REF!)</f>
        <v>#REF!</v>
      </c>
      <c r="M199" s="37" t="e">
        <f>_xlfn.XLOOKUP(B199,#REF!,#REF!)</f>
        <v>#REF!</v>
      </c>
      <c r="N199" s="37" t="e">
        <f>_xlfn.XLOOKUP(B199,#REF!,#REF!)</f>
        <v>#REF!</v>
      </c>
      <c r="O199" s="37" t="e">
        <f>_xlfn.XLOOKUP(B199,#REF!,#REF!)</f>
        <v>#REF!</v>
      </c>
      <c r="P199" s="37" t="e">
        <f>_xlfn.XLOOKUP(B199,#REF!,#REF!)</f>
        <v>#REF!</v>
      </c>
      <c r="Q199" s="37" t="e">
        <f>_xlfn.XLOOKUP(B199,#REF!,#REF!)</f>
        <v>#REF!</v>
      </c>
      <c r="R199" s="37" t="e">
        <f>_xlfn.XLOOKUP(B199,#REF!,#REF!)</f>
        <v>#REF!</v>
      </c>
      <c r="S199" s="37" t="e">
        <f>_xlfn.XLOOKUP(B199,#REF!,#REF!)</f>
        <v>#REF!</v>
      </c>
      <c r="T199" s="37" t="e">
        <f>_xlfn.XLOOKUP(B199,#REF!,#REF!)</f>
        <v>#REF!</v>
      </c>
      <c r="U199" s="37" t="e">
        <f>_xlfn.XLOOKUP(B199,#REF!,#REF!)</f>
        <v>#REF!</v>
      </c>
      <c r="V199" s="37" t="e">
        <f>_xlfn.XLOOKUP(B199,#REF!,#REF!)</f>
        <v>#REF!</v>
      </c>
    </row>
    <row r="200" spans="1:22" x14ac:dyDescent="0.35">
      <c r="A200" t="str">
        <f>_xlfn.XLOOKUP(B200,master!B:B,master!A:A)</f>
        <v>- from others</v>
      </c>
      <c r="B200" s="50" t="s">
        <v>419</v>
      </c>
      <c r="C200" s="50"/>
      <c r="D200" s="50"/>
      <c r="E200" s="50"/>
      <c r="F200" s="50"/>
      <c r="G200" s="37">
        <f>IFERROR(_xlfn.XLOOKUP(B200,#REF!,#REF!),0)</f>
        <v>0</v>
      </c>
      <c r="H200" s="37" t="e">
        <f>_xlfn.XLOOKUP(B200,#REF!,#REF!)</f>
        <v>#REF!</v>
      </c>
      <c r="I200" s="37" t="e">
        <f>_xlfn.XLOOKUP(B200,#REF!,#REF!)</f>
        <v>#REF!</v>
      </c>
      <c r="J200" s="51" t="e">
        <f>_xlfn.XLOOKUP(B200,#REF!,#REF!)</f>
        <v>#REF!</v>
      </c>
      <c r="K200" s="37" t="e">
        <f>_xlfn.XLOOKUP(B200,#REF!,#REF!)</f>
        <v>#REF!</v>
      </c>
      <c r="L200" s="37" t="e">
        <f>_xlfn.XLOOKUP(B200,#REF!,#REF!)</f>
        <v>#REF!</v>
      </c>
      <c r="M200" s="37" t="e">
        <f>_xlfn.XLOOKUP(B200,#REF!,#REF!)</f>
        <v>#REF!</v>
      </c>
      <c r="N200" s="37" t="e">
        <f>_xlfn.XLOOKUP(B200,#REF!,#REF!)</f>
        <v>#REF!</v>
      </c>
      <c r="O200" s="37" t="e">
        <f>_xlfn.XLOOKUP(B200,#REF!,#REF!)</f>
        <v>#REF!</v>
      </c>
      <c r="P200" s="37" t="e">
        <f>_xlfn.XLOOKUP(B200,#REF!,#REF!)</f>
        <v>#REF!</v>
      </c>
      <c r="Q200" s="37" t="e">
        <f>_xlfn.XLOOKUP(B200,#REF!,#REF!)</f>
        <v>#REF!</v>
      </c>
      <c r="R200" s="37" t="e">
        <f>_xlfn.XLOOKUP(B200,#REF!,#REF!)</f>
        <v>#REF!</v>
      </c>
      <c r="S200" s="37" t="e">
        <f>_xlfn.XLOOKUP(B200,#REF!,#REF!)</f>
        <v>#REF!</v>
      </c>
      <c r="T200" s="37" t="e">
        <f>_xlfn.XLOOKUP(B200,#REF!,#REF!)</f>
        <v>#REF!</v>
      </c>
      <c r="U200" s="37" t="e">
        <f>_xlfn.XLOOKUP(B200,#REF!,#REF!)</f>
        <v>#REF!</v>
      </c>
      <c r="V200" s="37" t="e">
        <f>_xlfn.XLOOKUP(B200,#REF!,#REF!)</f>
        <v>#REF!</v>
      </c>
    </row>
    <row r="201" spans="1:22" x14ac:dyDescent="0.35">
      <c r="A201" t="str">
        <f>_xlfn.XLOOKUP(B201,master!B:B,master!A:A)</f>
        <v>Sundry balance written off</v>
      </c>
      <c r="B201" s="50" t="s">
        <v>420</v>
      </c>
      <c r="C201" s="50"/>
      <c r="D201" s="50"/>
      <c r="E201" s="50"/>
      <c r="F201" s="50"/>
      <c r="G201" s="37">
        <f>IFERROR(_xlfn.XLOOKUP(B201,#REF!,#REF!),0)</f>
        <v>0</v>
      </c>
      <c r="H201" s="37" t="e">
        <f>_xlfn.XLOOKUP(B201,#REF!,#REF!)</f>
        <v>#REF!</v>
      </c>
      <c r="I201" s="37" t="e">
        <f>_xlfn.XLOOKUP(B201,#REF!,#REF!)</f>
        <v>#REF!</v>
      </c>
      <c r="J201" s="51" t="e">
        <f>_xlfn.XLOOKUP(B201,#REF!,#REF!)</f>
        <v>#REF!</v>
      </c>
      <c r="K201" s="37" t="e">
        <f>_xlfn.XLOOKUP(B201,#REF!,#REF!)</f>
        <v>#REF!</v>
      </c>
      <c r="L201" s="37" t="e">
        <f>_xlfn.XLOOKUP(B201,#REF!,#REF!)</f>
        <v>#REF!</v>
      </c>
      <c r="M201" s="37" t="e">
        <f>_xlfn.XLOOKUP(B201,#REF!,#REF!)</f>
        <v>#REF!</v>
      </c>
      <c r="N201" s="37" t="e">
        <f>_xlfn.XLOOKUP(B201,#REF!,#REF!)</f>
        <v>#REF!</v>
      </c>
      <c r="O201" s="37" t="e">
        <f>_xlfn.XLOOKUP(B201,#REF!,#REF!)</f>
        <v>#REF!</v>
      </c>
      <c r="P201" s="37" t="e">
        <f>_xlfn.XLOOKUP(B201,#REF!,#REF!)</f>
        <v>#REF!</v>
      </c>
      <c r="Q201" s="37" t="e">
        <f>_xlfn.XLOOKUP(B201,#REF!,#REF!)</f>
        <v>#REF!</v>
      </c>
      <c r="R201" s="37" t="e">
        <f>_xlfn.XLOOKUP(B201,#REF!,#REF!)</f>
        <v>#REF!</v>
      </c>
      <c r="S201" s="37" t="e">
        <f>_xlfn.XLOOKUP(B201,#REF!,#REF!)</f>
        <v>#REF!</v>
      </c>
      <c r="T201" s="37" t="e">
        <f>_xlfn.XLOOKUP(B201,#REF!,#REF!)</f>
        <v>#REF!</v>
      </c>
      <c r="U201" s="37" t="e">
        <f>_xlfn.XLOOKUP(B201,#REF!,#REF!)</f>
        <v>#REF!</v>
      </c>
      <c r="V201" s="37" t="e">
        <f>_xlfn.XLOOKUP(B201,#REF!,#REF!)</f>
        <v>#REF!</v>
      </c>
    </row>
    <row r="202" spans="1:22" x14ac:dyDescent="0.35">
      <c r="A202" t="str">
        <f>_xlfn.XLOOKUP(B202,master!B:B,master!A:A)</f>
        <v>Commission income</v>
      </c>
      <c r="B202" s="50" t="s">
        <v>583</v>
      </c>
      <c r="C202" s="50"/>
      <c r="D202" s="50"/>
      <c r="E202" s="50"/>
      <c r="F202" s="50"/>
      <c r="G202" s="37">
        <f>IFERROR(_xlfn.XLOOKUP(B202,#REF!,#REF!),0)</f>
        <v>0</v>
      </c>
      <c r="H202" s="37" t="e">
        <f>_xlfn.XLOOKUP(B202,#REF!,#REF!)</f>
        <v>#REF!</v>
      </c>
      <c r="I202" s="37" t="e">
        <f>_xlfn.XLOOKUP(B202,#REF!,#REF!)</f>
        <v>#REF!</v>
      </c>
      <c r="J202" s="51" t="e">
        <f>_xlfn.XLOOKUP(B202,#REF!,#REF!)</f>
        <v>#REF!</v>
      </c>
      <c r="K202" s="37" t="e">
        <f>_xlfn.XLOOKUP(B202,#REF!,#REF!)</f>
        <v>#REF!</v>
      </c>
      <c r="L202" s="37" t="e">
        <f>_xlfn.XLOOKUP(B202,#REF!,#REF!)</f>
        <v>#REF!</v>
      </c>
      <c r="M202" s="37" t="e">
        <f>_xlfn.XLOOKUP(B202,#REF!,#REF!)</f>
        <v>#REF!</v>
      </c>
      <c r="N202" s="37" t="e">
        <f>_xlfn.XLOOKUP(B202,#REF!,#REF!)</f>
        <v>#REF!</v>
      </c>
      <c r="O202" s="37" t="e">
        <f>_xlfn.XLOOKUP(B202,#REF!,#REF!)</f>
        <v>#REF!</v>
      </c>
      <c r="P202" s="37" t="e">
        <f>_xlfn.XLOOKUP(B202,#REF!,#REF!)</f>
        <v>#REF!</v>
      </c>
      <c r="Q202" s="37" t="e">
        <f>_xlfn.XLOOKUP(B202,#REF!,#REF!)</f>
        <v>#REF!</v>
      </c>
      <c r="R202" s="37" t="e">
        <f>_xlfn.XLOOKUP(B202,#REF!,#REF!)</f>
        <v>#REF!</v>
      </c>
      <c r="S202" s="37" t="e">
        <f>_xlfn.XLOOKUP(B202,#REF!,#REF!)</f>
        <v>#REF!</v>
      </c>
      <c r="T202" s="37" t="e">
        <f>_xlfn.XLOOKUP(B202,#REF!,#REF!)</f>
        <v>#REF!</v>
      </c>
      <c r="U202" s="37" t="e">
        <f>_xlfn.XLOOKUP(B202,#REF!,#REF!)</f>
        <v>#REF!</v>
      </c>
      <c r="V202" s="37" t="e">
        <f>_xlfn.XLOOKUP(B202,#REF!,#REF!)</f>
        <v>#REF!</v>
      </c>
    </row>
    <row r="203" spans="1:22" x14ac:dyDescent="0.35">
      <c r="B203" s="41"/>
      <c r="C203" s="41"/>
      <c r="D203" s="41"/>
      <c r="E203" s="41"/>
      <c r="F203" s="41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 x14ac:dyDescent="0.35">
      <c r="B204" s="41"/>
      <c r="C204" s="41"/>
      <c r="D204" s="41"/>
      <c r="E204" s="41"/>
      <c r="F204" s="41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 x14ac:dyDescent="0.35">
      <c r="B205" s="41"/>
      <c r="C205" s="41"/>
      <c r="D205" s="41"/>
      <c r="E205" s="41"/>
      <c r="F205" s="41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 x14ac:dyDescent="0.35">
      <c r="B206" s="41"/>
      <c r="C206" s="41"/>
      <c r="D206" s="41"/>
      <c r="E206" s="41"/>
      <c r="F206" s="41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 x14ac:dyDescent="0.35">
      <c r="B207" s="41"/>
      <c r="C207" s="41"/>
      <c r="D207" s="41"/>
      <c r="E207" s="41"/>
      <c r="F207" s="41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 x14ac:dyDescent="0.35">
      <c r="B208" s="41"/>
      <c r="C208" s="41"/>
      <c r="D208" s="41"/>
      <c r="E208" s="41"/>
      <c r="F208" s="41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 x14ac:dyDescent="0.35">
      <c r="B209" s="68"/>
      <c r="C209" s="68"/>
      <c r="D209" s="68"/>
      <c r="E209" s="68"/>
      <c r="F209" s="68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 s="69" customFormat="1" x14ac:dyDescent="0.35">
      <c r="B210" s="70"/>
      <c r="C210" s="70"/>
      <c r="D210" s="70"/>
      <c r="E210" s="70"/>
      <c r="F210" s="70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</row>
    <row r="211" spans="1:22" hidden="1" x14ac:dyDescent="0.35">
      <c r="A211" s="46" t="str">
        <f>_xlfn.XLOOKUP(B211,master!B:B,master!A:A)</f>
        <v>Add: Purchase expenses</v>
      </c>
      <c r="B211" s="63" t="s">
        <v>557</v>
      </c>
      <c r="C211" s="63"/>
      <c r="D211" s="63"/>
      <c r="E211" s="63"/>
      <c r="F211" s="63"/>
      <c r="G211" s="47"/>
      <c r="H211" s="47">
        <f>IFERROR(_xlfn.XLOOKUP(B211,'[26]TB-MAY 23'!$A:$A,'[26]TB-MAY 23'!$F:$F),0)</f>
        <v>0</v>
      </c>
      <c r="I211" s="47">
        <f>IFERROR(_xlfn.XLOOKUP(B211,'[27]TB-MAY-23'!$A:$A,'[27]TB-MAY-23'!$F:$F),0)</f>
        <v>0</v>
      </c>
      <c r="J211" s="64">
        <v>0</v>
      </c>
      <c r="K211" s="47"/>
      <c r="L211" s="47">
        <v>0</v>
      </c>
      <c r="M211" s="47"/>
      <c r="N211" s="47"/>
      <c r="O211" s="47">
        <f>IFERROR(_xlfn.XLOOKUP(B211,'[28]TB May'!$A:$A,'[28]TB May'!$F:$F),0)</f>
        <v>0</v>
      </c>
      <c r="P211" s="47">
        <v>193231</v>
      </c>
      <c r="Q211" s="47">
        <v>4822186</v>
      </c>
      <c r="R211" s="47">
        <v>0</v>
      </c>
      <c r="S211" s="47"/>
      <c r="T211" s="47">
        <v>0</v>
      </c>
      <c r="U211" s="47"/>
      <c r="V211" s="47">
        <v>243291</v>
      </c>
    </row>
    <row r="212" spans="1:22" hidden="1" x14ac:dyDescent="0.35">
      <c r="A212" s="46" t="str">
        <f>_xlfn.XLOOKUP(B212,master!B:B,master!A:A)</f>
        <v>Add: Purchase expenses</v>
      </c>
      <c r="B212" s="65" t="s">
        <v>261</v>
      </c>
      <c r="C212" s="65"/>
      <c r="D212" s="65"/>
      <c r="E212" s="65"/>
      <c r="F212" s="65"/>
      <c r="G212" s="47"/>
      <c r="H212" s="47">
        <f>IFERROR(_xlfn.XLOOKUP(B212,'[26]TB-MAY 23'!$A:$A,'[26]TB-MAY 23'!$F:$F),0)</f>
        <v>0</v>
      </c>
      <c r="I212" s="47">
        <f>IFERROR(_xlfn.XLOOKUP(B212,'[27]TB-MAY-23'!$A:$A,'[27]TB-MAY-23'!$F:$F),0)</f>
        <v>0</v>
      </c>
      <c r="J212" s="64">
        <v>0</v>
      </c>
      <c r="K212" s="47"/>
      <c r="L212" s="47">
        <v>281400</v>
      </c>
      <c r="M212" s="47"/>
      <c r="N212" s="47"/>
      <c r="O212" s="47">
        <f>IFERROR(_xlfn.XLOOKUP(B212,'[28]TB May'!$A:$A,'[28]TB May'!$F:$F),0)</f>
        <v>0</v>
      </c>
      <c r="P212" s="47">
        <v>0</v>
      </c>
      <c r="Q212" s="47">
        <v>500000</v>
      </c>
      <c r="R212" s="47">
        <v>0</v>
      </c>
      <c r="S212" s="47"/>
      <c r="T212" s="47">
        <v>12500</v>
      </c>
      <c r="U212" s="47"/>
      <c r="V212" s="47">
        <v>0</v>
      </c>
    </row>
    <row r="213" spans="1:22" hidden="1" x14ac:dyDescent="0.35">
      <c r="A213" s="46" t="str">
        <f>_xlfn.XLOOKUP(B213,master!B:B,master!A:A)</f>
        <v xml:space="preserve">Salaries, wages and  bonus </v>
      </c>
      <c r="B213" s="65" t="s">
        <v>353</v>
      </c>
      <c r="C213" s="65"/>
      <c r="D213" s="65"/>
      <c r="E213" s="65"/>
      <c r="F213" s="65"/>
      <c r="G213" s="47">
        <v>70000</v>
      </c>
      <c r="H213" s="47">
        <f>IFERROR(_xlfn.XLOOKUP(B213,'[26]TB-MAY 23'!$A:$A,'[26]TB-MAY 23'!$F:$F),0)</f>
        <v>2937696.24</v>
      </c>
      <c r="I213" s="47">
        <f>IFERROR(_xlfn.XLOOKUP(B213,'[27]TB-MAY-23'!$A:$A,'[27]TB-MAY-23'!$F:$F),0)</f>
        <v>470157</v>
      </c>
      <c r="J213" s="64">
        <v>795032</v>
      </c>
      <c r="K213" s="47"/>
      <c r="L213" s="47">
        <v>7861524</v>
      </c>
      <c r="M213" s="47"/>
      <c r="N213" s="47"/>
      <c r="O213" s="47">
        <f>IFERROR(_xlfn.XLOOKUP(B213,'[28]TB May'!$A:$A,'[28]TB May'!$F:$F),0)</f>
        <v>0</v>
      </c>
      <c r="P213" s="47">
        <v>4448794</v>
      </c>
      <c r="Q213" s="47">
        <v>3876313</v>
      </c>
      <c r="R213" s="47">
        <v>5295821</v>
      </c>
      <c r="S213" s="47"/>
      <c r="T213" s="47">
        <v>0</v>
      </c>
      <c r="U213" s="47">
        <v>1000000</v>
      </c>
      <c r="V213" s="47">
        <f>1012000*0</f>
        <v>0</v>
      </c>
    </row>
    <row r="214" spans="1:22" hidden="1" x14ac:dyDescent="0.35">
      <c r="A214" s="46" t="str">
        <f>_xlfn.XLOOKUP(B214,master!B:B,master!A:A)</f>
        <v>Staff welfare expenses</v>
      </c>
      <c r="B214" s="65" t="s">
        <v>355</v>
      </c>
      <c r="C214" s="65"/>
      <c r="D214" s="65"/>
      <c r="E214" s="65"/>
      <c r="F214" s="65"/>
      <c r="G214" s="47"/>
      <c r="H214" s="47">
        <f>IFERROR(_xlfn.XLOOKUP(B214,'[26]TB-MAY 23'!$A:$A,'[26]TB-MAY 23'!$F:$F),0)</f>
        <v>0</v>
      </c>
      <c r="I214" s="47">
        <f>IFERROR(_xlfn.XLOOKUP(B214,'[27]TB-MAY-23'!$A:$A,'[27]TB-MAY-23'!$F:$F),0)</f>
        <v>0</v>
      </c>
      <c r="J214" s="64">
        <v>1980</v>
      </c>
      <c r="K214" s="47"/>
      <c r="L214" s="47">
        <v>0</v>
      </c>
      <c r="M214" s="47"/>
      <c r="N214" s="47"/>
      <c r="O214" s="47">
        <f>IFERROR(_xlfn.XLOOKUP(B214,'[28]TB May'!$A:$A,'[28]TB May'!$F:$F),0)</f>
        <v>0</v>
      </c>
      <c r="P214" s="47">
        <v>-38165</v>
      </c>
      <c r="Q214" s="47">
        <v>30000</v>
      </c>
      <c r="R214" s="47">
        <v>0</v>
      </c>
      <c r="S214" s="47"/>
      <c r="T214" s="47">
        <v>9564</v>
      </c>
      <c r="U214" s="47"/>
      <c r="V214" s="47">
        <v>0</v>
      </c>
    </row>
    <row r="215" spans="1:22" hidden="1" x14ac:dyDescent="0.35">
      <c r="A215" s="46" t="str">
        <f>_xlfn.XLOOKUP(B215,master!B:B,master!A:A)</f>
        <v>Staff welfare expenses</v>
      </c>
      <c r="B215" s="65" t="s">
        <v>356</v>
      </c>
      <c r="C215" s="65"/>
      <c r="D215" s="65"/>
      <c r="E215" s="65"/>
      <c r="F215" s="65"/>
      <c r="G215" s="47"/>
      <c r="H215" s="47">
        <f>IFERROR(_xlfn.XLOOKUP(B215,'[26]TB-MAY 23'!$A:$A,'[26]TB-MAY 23'!$F:$F),0)</f>
        <v>0</v>
      </c>
      <c r="I215" s="47">
        <f>IFERROR(_xlfn.XLOOKUP(B215,'[27]TB-MAY-23'!$A:$A,'[27]TB-MAY-23'!$F:$F),0)</f>
        <v>0</v>
      </c>
      <c r="J215" s="64">
        <v>0</v>
      </c>
      <c r="K215" s="47"/>
      <c r="L215" s="47">
        <v>45000</v>
      </c>
      <c r="M215" s="47"/>
      <c r="N215" s="47"/>
      <c r="O215" s="47">
        <f>IFERROR(_xlfn.XLOOKUP(B215,'[28]TB May'!$A:$A,'[28]TB May'!$F:$F),0)</f>
        <v>0</v>
      </c>
      <c r="P215" s="47">
        <v>36004</v>
      </c>
      <c r="Q215" s="47">
        <v>90000</v>
      </c>
      <c r="R215" s="47">
        <v>0</v>
      </c>
      <c r="S215" s="47"/>
      <c r="T215" s="47">
        <v>0</v>
      </c>
      <c r="U215" s="47"/>
      <c r="V215" s="47">
        <v>0</v>
      </c>
    </row>
    <row r="216" spans="1:22" hidden="1" x14ac:dyDescent="0.35">
      <c r="A216" s="46" t="str">
        <f>_xlfn.XLOOKUP(B216,master!B:B,master!A:A)</f>
        <v>Power and fuel</v>
      </c>
      <c r="B216" s="65" t="s">
        <v>268</v>
      </c>
      <c r="C216" s="65"/>
      <c r="D216" s="65"/>
      <c r="E216" s="65"/>
      <c r="F216" s="65"/>
      <c r="G216" s="47"/>
      <c r="H216" s="47">
        <f>IFERROR(_xlfn.XLOOKUP(B216,'[26]TB-MAY 23'!$A:$A,'[26]TB-MAY 23'!$F:$F),0)</f>
        <v>2508100</v>
      </c>
      <c r="I216" s="47">
        <f>IFERROR(_xlfn.XLOOKUP(B216,'[27]TB-MAY-23'!$A:$A,'[27]TB-MAY-23'!$F:$F),0)</f>
        <v>323870.12</v>
      </c>
      <c r="J216" s="64">
        <v>54648.5</v>
      </c>
      <c r="K216" s="47"/>
      <c r="L216" s="47">
        <v>1650000</v>
      </c>
      <c r="M216" s="47"/>
      <c r="N216" s="47"/>
      <c r="O216" s="47">
        <f>IFERROR(_xlfn.XLOOKUP(B216,'[28]TB May'!$A:$A,'[28]TB May'!$F:$F),0)</f>
        <v>3500</v>
      </c>
      <c r="P216" s="47">
        <v>0</v>
      </c>
      <c r="Q216" s="47">
        <v>6397866.75</v>
      </c>
      <c r="R216" s="47">
        <v>-408991</v>
      </c>
      <c r="S216" s="47"/>
      <c r="T216" s="47">
        <v>0</v>
      </c>
      <c r="U216" s="47"/>
      <c r="V216" s="47">
        <f>2825000*0</f>
        <v>0</v>
      </c>
    </row>
    <row r="217" spans="1:22" hidden="1" x14ac:dyDescent="0.35">
      <c r="A217" s="46" t="str">
        <f>_xlfn.XLOOKUP(B217,master!B:B,master!A:A)</f>
        <v>Labour charges</v>
      </c>
      <c r="B217" s="65" t="s">
        <v>267</v>
      </c>
      <c r="C217" s="65"/>
      <c r="D217" s="65"/>
      <c r="E217" s="65"/>
      <c r="F217" s="65"/>
      <c r="G217" s="47"/>
      <c r="H217" s="47">
        <f>IFERROR(_xlfn.XLOOKUP(B217,'[26]TB-MAY 23'!$A:$A,'[26]TB-MAY 23'!$F:$F),0)</f>
        <v>1229840</v>
      </c>
      <c r="I217" s="47">
        <f>IFERROR(_xlfn.XLOOKUP(B217,'[27]TB-MAY-23'!$A:$A,'[27]TB-MAY-23'!$F:$F),0)</f>
        <v>72860</v>
      </c>
      <c r="J217" s="64">
        <v>0</v>
      </c>
      <c r="K217" s="47"/>
      <c r="L217" s="47">
        <v>5066044</v>
      </c>
      <c r="M217" s="47"/>
      <c r="N217" s="47"/>
      <c r="O217" s="47">
        <f>IFERROR(_xlfn.XLOOKUP(B217,'[28]TB May'!$A:$A,'[28]TB May'!$F:$F),0)</f>
        <v>0</v>
      </c>
      <c r="P217" s="47">
        <v>7664257</v>
      </c>
      <c r="Q217" s="47">
        <v>3000000</v>
      </c>
      <c r="R217" s="47">
        <v>-152587</v>
      </c>
      <c r="S217" s="47"/>
      <c r="T217" s="47">
        <v>4942532</v>
      </c>
      <c r="U217" s="47"/>
      <c r="V217" s="47">
        <v>4847442</v>
      </c>
    </row>
    <row r="218" spans="1:22" hidden="1" x14ac:dyDescent="0.35">
      <c r="A218" s="46" t="str">
        <f>_xlfn.XLOOKUP(B218,master!B:B,master!A:A)</f>
        <v>Other Administrative Expenses</v>
      </c>
      <c r="B218" s="65" t="s">
        <v>280</v>
      </c>
      <c r="C218" s="65"/>
      <c r="D218" s="65"/>
      <c r="E218" s="65"/>
      <c r="F218" s="65"/>
      <c r="G218" s="47"/>
      <c r="H218" s="47">
        <f>IFERROR(_xlfn.XLOOKUP(B218,'[26]TB-MAY 23'!$A:$A,'[26]TB-MAY 23'!$F:$F),0)</f>
        <v>0</v>
      </c>
      <c r="I218" s="47">
        <f>IFERROR(_xlfn.XLOOKUP(B218,'[27]TB-MAY-23'!$A:$A,'[27]TB-MAY-23'!$F:$F),0)</f>
        <v>0</v>
      </c>
      <c r="J218" s="64">
        <v>0</v>
      </c>
      <c r="K218" s="47"/>
      <c r="L218" s="47">
        <v>132650</v>
      </c>
      <c r="M218" s="47"/>
      <c r="N218" s="47"/>
      <c r="O218" s="47">
        <f>IFERROR(_xlfn.XLOOKUP(B218,'[28]TB May'!$A:$A,'[28]TB May'!$F:$F),0)</f>
        <v>885</v>
      </c>
      <c r="P218" s="47">
        <v>201710</v>
      </c>
      <c r="Q218" s="47">
        <v>450000</v>
      </c>
      <c r="R218" s="47">
        <v>0</v>
      </c>
      <c r="S218" s="47"/>
      <c r="T218" s="47">
        <v>375</v>
      </c>
      <c r="U218" s="47"/>
      <c r="V218" s="47">
        <v>0</v>
      </c>
    </row>
    <row r="219" spans="1:22" hidden="1" x14ac:dyDescent="0.35">
      <c r="A219" s="46" t="str">
        <f>_xlfn.XLOOKUP(B219,master!B:B,master!A:A)</f>
        <v>Other Administrative Expenses</v>
      </c>
      <c r="B219" s="65" t="s">
        <v>319</v>
      </c>
      <c r="C219" s="65"/>
      <c r="D219" s="65"/>
      <c r="E219" s="65"/>
      <c r="F219" s="65"/>
      <c r="G219" s="47"/>
      <c r="H219" s="47">
        <f>IFERROR(_xlfn.XLOOKUP(B219,'[26]TB-MAY 23'!$A:$A,'[26]TB-MAY 23'!$F:$F),0)</f>
        <v>0</v>
      </c>
      <c r="I219" s="47">
        <f>IFERROR(_xlfn.XLOOKUP(B219,'[27]TB-MAY-23'!$A:$A,'[27]TB-MAY-23'!$F:$F),0)</f>
        <v>0</v>
      </c>
      <c r="J219" s="64">
        <v>44213</v>
      </c>
      <c r="K219" s="47"/>
      <c r="L219" s="47">
        <v>210289</v>
      </c>
      <c r="M219" s="47"/>
      <c r="N219" s="47"/>
      <c r="O219" s="47">
        <f>IFERROR(_xlfn.XLOOKUP(B219,'[28]TB May'!$A:$A,'[28]TB May'!$F:$F),0)</f>
        <v>23000</v>
      </c>
      <c r="P219" s="47">
        <v>105136</v>
      </c>
      <c r="Q219" s="47">
        <v>75000</v>
      </c>
      <c r="R219" s="47">
        <v>0</v>
      </c>
      <c r="S219" s="47"/>
      <c r="T219" s="47">
        <v>27995</v>
      </c>
      <c r="U219" s="47"/>
      <c r="V219" s="47">
        <v>0</v>
      </c>
    </row>
    <row r="220" spans="1:22" hidden="1" x14ac:dyDescent="0.35">
      <c r="A220" s="46" t="str">
        <f>_xlfn.XLOOKUP(B220,master!B:B,master!A:A)</f>
        <v>Conveyance, vehicle running and traveling expenses</v>
      </c>
      <c r="B220" s="65" t="s">
        <v>328</v>
      </c>
      <c r="C220" s="65"/>
      <c r="D220" s="65"/>
      <c r="E220" s="65"/>
      <c r="F220" s="65"/>
      <c r="G220" s="47"/>
      <c r="H220" s="47">
        <f>IFERROR(_xlfn.XLOOKUP(B220,'[26]TB-MAY 23'!$A:$A,'[26]TB-MAY 23'!$F:$F),0)</f>
        <v>0</v>
      </c>
      <c r="I220" s="47">
        <f>IFERROR(_xlfn.XLOOKUP(B220,'[27]TB-MAY-23'!$A:$A,'[27]TB-MAY-23'!$F:$F),0)</f>
        <v>0</v>
      </c>
      <c r="J220" s="64">
        <v>0</v>
      </c>
      <c r="K220" s="47"/>
      <c r="L220" s="47">
        <v>49500</v>
      </c>
      <c r="M220" s="47"/>
      <c r="N220" s="47"/>
      <c r="O220" s="47">
        <f>IFERROR(_xlfn.XLOOKUP(B220,'[28]TB May'!$A:$A,'[28]TB May'!$F:$F),0)</f>
        <v>0</v>
      </c>
      <c r="P220" s="47">
        <v>333320</v>
      </c>
      <c r="Q220" s="47">
        <v>23000</v>
      </c>
      <c r="R220" s="47">
        <v>0</v>
      </c>
      <c r="S220" s="47"/>
      <c r="T220" s="47">
        <v>152880</v>
      </c>
      <c r="U220" s="47"/>
      <c r="V220" s="47">
        <v>0</v>
      </c>
    </row>
    <row r="221" spans="1:22" hidden="1" x14ac:dyDescent="0.35">
      <c r="A221" s="46" t="str">
        <f>_xlfn.XLOOKUP(B221,master!B:B,master!A:A)</f>
        <v>Conveyance, vehicle running and traveling expenses</v>
      </c>
      <c r="B221" s="65" t="s">
        <v>551</v>
      </c>
      <c r="C221" s="65"/>
      <c r="D221" s="65"/>
      <c r="E221" s="65"/>
      <c r="F221" s="65"/>
      <c r="G221" s="47"/>
      <c r="H221" s="47">
        <f>IFERROR(_xlfn.XLOOKUP(B221,'[26]TB-MAY 23'!$A:$A,'[26]TB-MAY 23'!$F:$F),0)</f>
        <v>0</v>
      </c>
      <c r="I221" s="47">
        <f>IFERROR(_xlfn.XLOOKUP(B221,'[27]TB-MAY-23'!$A:$A,'[27]TB-MAY-23'!$F:$F),0)</f>
        <v>0</v>
      </c>
      <c r="J221" s="64">
        <v>0</v>
      </c>
      <c r="K221" s="47"/>
      <c r="L221" s="47">
        <v>202000</v>
      </c>
      <c r="M221" s="47"/>
      <c r="N221" s="47"/>
      <c r="O221" s="47">
        <f>IFERROR(_xlfn.XLOOKUP(B221,'[28]TB May'!$A:$A,'[28]TB May'!$F:$F),0)</f>
        <v>0</v>
      </c>
      <c r="P221" s="47">
        <v>0</v>
      </c>
      <c r="Q221" s="47">
        <v>90000</v>
      </c>
      <c r="R221" s="47">
        <v>0</v>
      </c>
      <c r="S221" s="47"/>
      <c r="T221" s="47">
        <v>0</v>
      </c>
      <c r="U221" s="47"/>
      <c r="V221" s="47">
        <v>0</v>
      </c>
    </row>
    <row r="222" spans="1:22" hidden="1" x14ac:dyDescent="0.35">
      <c r="A222" s="46" t="str">
        <f>_xlfn.XLOOKUP(B222,master!B:B,master!A:A)</f>
        <v>Wind mill income</v>
      </c>
      <c r="B222" s="65" t="s">
        <v>415</v>
      </c>
      <c r="C222" s="65"/>
      <c r="D222" s="65"/>
      <c r="E222" s="65"/>
      <c r="F222" s="65"/>
      <c r="G222" s="47"/>
      <c r="H222" s="47">
        <f>IFERROR(_xlfn.XLOOKUP(B222,'[26]TB-MAY 23'!$A:$A,'[26]TB-MAY 23'!$F:$F),0)</f>
        <v>0</v>
      </c>
      <c r="I222" s="47">
        <f>IFERROR(_xlfn.XLOOKUP(B222,'[27]TB-MAY-23'!$A:$A,'[27]TB-MAY-23'!$F:$F),0)</f>
        <v>0</v>
      </c>
      <c r="J222" s="64">
        <v>0</v>
      </c>
      <c r="K222" s="47"/>
      <c r="L222" s="47">
        <v>0</v>
      </c>
      <c r="M222" s="47"/>
      <c r="N222" s="47"/>
      <c r="O222" s="47">
        <f>IFERROR(_xlfn.XLOOKUP(B222,'[28]TB May'!$A:$A,'[28]TB May'!$F:$F),0)</f>
        <v>0</v>
      </c>
      <c r="P222" s="47">
        <v>0</v>
      </c>
      <c r="Q222" s="47">
        <v>-661174.59</v>
      </c>
      <c r="R222" s="47">
        <v>-20101</v>
      </c>
      <c r="S222" s="47"/>
      <c r="T222" s="47">
        <v>0</v>
      </c>
      <c r="U222" s="47"/>
      <c r="V222" s="47">
        <v>0</v>
      </c>
    </row>
    <row r="223" spans="1:22" hidden="1" x14ac:dyDescent="0.35">
      <c r="A223" s="46" t="str">
        <f>_xlfn.XLOOKUP(B223,master!B:B,master!A:A)</f>
        <v>Freight Outward and C &amp; F Charges</v>
      </c>
      <c r="B223" s="66" t="s">
        <v>389</v>
      </c>
      <c r="C223" s="289"/>
      <c r="D223" s="289"/>
      <c r="E223" s="289"/>
      <c r="F223" s="289"/>
      <c r="G223" s="47"/>
      <c r="H223" s="47">
        <f>IFERROR(_xlfn.XLOOKUP(B223,'[26]TB-MAY 23'!$A:$A,'[26]TB-MAY 23'!$F:$F),0)</f>
        <v>0</v>
      </c>
      <c r="I223" s="47">
        <f>IFERROR(_xlfn.XLOOKUP(B223,'[27]TB-MAY-23'!$A:$A,'[27]TB-MAY-23'!$F:$F),0)</f>
        <v>0</v>
      </c>
      <c r="J223" s="64">
        <v>0</v>
      </c>
      <c r="K223" s="47"/>
      <c r="L223" s="47">
        <v>0</v>
      </c>
      <c r="M223" s="47"/>
      <c r="N223" s="47"/>
      <c r="O223" s="47">
        <f>IFERROR(_xlfn.XLOOKUP(B223,'[28]TB May'!$A:$A,'[28]TB May'!$F:$F),0)</f>
        <v>0</v>
      </c>
      <c r="P223" s="47">
        <v>0</v>
      </c>
      <c r="Q223" s="47">
        <v>0</v>
      </c>
      <c r="R223" s="47">
        <v>400000</v>
      </c>
      <c r="S223" s="47"/>
      <c r="T223" s="47">
        <v>0</v>
      </c>
      <c r="U223" s="47"/>
      <c r="V223" s="47">
        <v>0</v>
      </c>
    </row>
    <row r="224" spans="1:22" hidden="1" x14ac:dyDescent="0.35">
      <c r="A224" s="46" t="str">
        <f>_xlfn.XLOOKUP(B224,master!B:B,master!A:A)</f>
        <v>Other Administrative Expenses</v>
      </c>
      <c r="B224" s="67" t="s">
        <v>381</v>
      </c>
      <c r="C224" s="67"/>
      <c r="D224" s="67"/>
      <c r="E224" s="67"/>
      <c r="F224" s="67"/>
      <c r="G224" s="47"/>
      <c r="H224" s="47">
        <f>IFERROR(_xlfn.XLOOKUP(B224,'[26]TB-MAY 23'!$A:$A,'[26]TB-MAY 23'!$F:$F),0)</f>
        <v>0</v>
      </c>
      <c r="I224" s="47">
        <f>IFERROR(_xlfn.XLOOKUP(B224,'[27]TB-MAY-23'!$A:$A,'[27]TB-MAY-23'!$F:$F),0)</f>
        <v>0</v>
      </c>
      <c r="J224" s="64">
        <v>0</v>
      </c>
      <c r="K224" s="47"/>
      <c r="L224" s="47">
        <v>0</v>
      </c>
      <c r="M224" s="47"/>
      <c r="N224" s="47"/>
      <c r="O224" s="47">
        <f>IFERROR(_xlfn.XLOOKUP(B224,'[28]TB May'!$A:$A,'[28]TB May'!$F:$F),0)</f>
        <v>0</v>
      </c>
      <c r="P224" s="47">
        <v>45750</v>
      </c>
      <c r="Q224" s="47">
        <v>0</v>
      </c>
      <c r="R224" s="47">
        <v>0</v>
      </c>
      <c r="S224" s="47"/>
      <c r="T224" s="47">
        <v>29000</v>
      </c>
      <c r="U224" s="47"/>
      <c r="V224" s="47">
        <v>0</v>
      </c>
    </row>
    <row r="225" spans="1:22" hidden="1" x14ac:dyDescent="0.35">
      <c r="A225" s="46" t="str">
        <f>_xlfn.XLOOKUP(B225,master!B:B,master!A:A)</f>
        <v>Other Administrative Expenses</v>
      </c>
      <c r="B225" s="67" t="s">
        <v>379</v>
      </c>
      <c r="C225" s="67"/>
      <c r="D225" s="67"/>
      <c r="E225" s="67"/>
      <c r="F225" s="67"/>
      <c r="G225" s="47"/>
      <c r="H225" s="47">
        <f>IFERROR(_xlfn.XLOOKUP(B225,'[26]TB-MAY 23'!$A:$A,'[26]TB-MAY 23'!$F:$F),0)</f>
        <v>0</v>
      </c>
      <c r="I225" s="47">
        <f>IFERROR(_xlfn.XLOOKUP(B225,'[27]TB-MAY-23'!$A:$A,'[27]TB-MAY-23'!$F:$F),0)</f>
        <v>0</v>
      </c>
      <c r="J225" s="64">
        <v>0</v>
      </c>
      <c r="K225" s="47"/>
      <c r="L225" s="47">
        <v>0</v>
      </c>
      <c r="M225" s="47"/>
      <c r="N225" s="47"/>
      <c r="O225" s="47">
        <f>IFERROR(_xlfn.XLOOKUP(B225,'[28]TB May'!$A:$A,'[28]TB May'!$F:$F),0)</f>
        <v>0</v>
      </c>
      <c r="P225" s="47">
        <v>0</v>
      </c>
      <c r="Q225" s="47">
        <v>0</v>
      </c>
      <c r="R225" s="47">
        <v>0</v>
      </c>
      <c r="S225" s="47"/>
      <c r="T225" s="47">
        <v>9000</v>
      </c>
      <c r="U225" s="47"/>
      <c r="V225" s="47">
        <v>0</v>
      </c>
    </row>
    <row r="226" spans="1:22" hidden="1" x14ac:dyDescent="0.35">
      <c r="A226" s="46" t="str">
        <f>_xlfn.XLOOKUP(B226,master!B:B,master!A:A)</f>
        <v>Contribution to provident and other funds</v>
      </c>
      <c r="B226" s="67" t="s">
        <v>331</v>
      </c>
      <c r="C226" s="67"/>
      <c r="D226" s="67"/>
      <c r="E226" s="67"/>
      <c r="F226" s="67"/>
      <c r="G226" s="47"/>
      <c r="H226" s="47">
        <f>IFERROR(_xlfn.XLOOKUP(B226,'[26]TB-MAY 23'!$A:$A,'[26]TB-MAY 23'!$F:$F),0)</f>
        <v>0</v>
      </c>
      <c r="I226" s="47">
        <f>IFERROR(_xlfn.XLOOKUP(B226,'[27]TB-MAY-23'!$A:$A,'[27]TB-MAY-23'!$F:$F),0)</f>
        <v>23100</v>
      </c>
      <c r="J226" s="64">
        <v>32984</v>
      </c>
      <c r="K226" s="47"/>
      <c r="L226" s="47">
        <v>488097</v>
      </c>
      <c r="M226" s="47"/>
      <c r="N226" s="47"/>
      <c r="O226" s="47">
        <f>IFERROR(_xlfn.XLOOKUP(B226,'[28]TB May'!$A:$A,'[28]TB May'!$F:$F),0)</f>
        <v>0</v>
      </c>
      <c r="P226" s="47">
        <v>145000</v>
      </c>
      <c r="Q226" s="47">
        <v>0</v>
      </c>
      <c r="R226" s="47">
        <v>-49268</v>
      </c>
      <c r="S226" s="47"/>
      <c r="T226" s="47">
        <v>39033</v>
      </c>
      <c r="U226" s="47"/>
      <c r="V226" s="47">
        <v>0</v>
      </c>
    </row>
    <row r="227" spans="1:22" hidden="1" x14ac:dyDescent="0.35">
      <c r="A227" s="46" t="str">
        <f>_xlfn.XLOOKUP(B227,master!B:B,master!A:A)</f>
        <v>Other Administrative Expenses</v>
      </c>
      <c r="B227" s="67" t="s">
        <v>311</v>
      </c>
      <c r="C227" s="67"/>
      <c r="D227" s="67"/>
      <c r="E227" s="67"/>
      <c r="F227" s="67"/>
      <c r="G227" s="47"/>
      <c r="H227" s="47">
        <f>IFERROR(_xlfn.XLOOKUP(B227,'[26]TB-MAY 23'!$A:$A,'[26]TB-MAY 23'!$F:$F),0)</f>
        <v>0</v>
      </c>
      <c r="I227" s="47">
        <f>IFERROR(_xlfn.XLOOKUP(B227,'[27]TB-MAY-23'!$A:$A,'[27]TB-MAY-23'!$F:$F),0)</f>
        <v>0</v>
      </c>
      <c r="J227" s="64">
        <v>0</v>
      </c>
      <c r="K227" s="47"/>
      <c r="L227" s="47">
        <v>4186</v>
      </c>
      <c r="M227" s="47"/>
      <c r="N227" s="47"/>
      <c r="O227" s="47">
        <f>IFERROR(_xlfn.XLOOKUP(B227,'[28]TB May'!$A:$A,'[28]TB May'!$F:$F),0)</f>
        <v>707</v>
      </c>
      <c r="P227" s="47">
        <v>17207</v>
      </c>
      <c r="Q227" s="47">
        <v>0</v>
      </c>
      <c r="R227" s="47">
        <v>0</v>
      </c>
      <c r="S227" s="47"/>
      <c r="T227" s="47">
        <v>0</v>
      </c>
      <c r="U227" s="47"/>
      <c r="V227" s="47">
        <v>0</v>
      </c>
    </row>
    <row r="228" spans="1:22" hidden="1" x14ac:dyDescent="0.35">
      <c r="A228" s="46" t="str">
        <f>_xlfn.XLOOKUP(B228,master!B:B,master!A:A)</f>
        <v>Freight Outward and C &amp; F Charges</v>
      </c>
      <c r="B228" s="65" t="s">
        <v>278</v>
      </c>
      <c r="C228" s="65"/>
      <c r="D228" s="65"/>
      <c r="E228" s="65"/>
      <c r="F228" s="65"/>
      <c r="G228" s="47"/>
      <c r="H228" s="47">
        <f>IFERROR(_xlfn.XLOOKUP(B228,'[26]TB-MAY 23'!$A:$A,'[26]TB-MAY 23'!$F:$F),0)</f>
        <v>0</v>
      </c>
      <c r="I228" s="47">
        <f>IFERROR(_xlfn.XLOOKUP(B228,'[27]TB-MAY-23'!$A:$A,'[27]TB-MAY-23'!$F:$F),0)</f>
        <v>0</v>
      </c>
      <c r="J228" s="64">
        <v>0</v>
      </c>
      <c r="K228" s="47"/>
      <c r="L228" s="47">
        <v>0</v>
      </c>
      <c r="M228" s="47"/>
      <c r="N228" s="47"/>
      <c r="O228" s="47">
        <f>IFERROR(_xlfn.XLOOKUP(B228,'[28]TB May'!$A:$A,'[28]TB May'!$F:$F),0)</f>
        <v>0</v>
      </c>
      <c r="P228" s="47">
        <v>33980</v>
      </c>
      <c r="Q228" s="47">
        <v>0</v>
      </c>
      <c r="R228" s="47">
        <v>0</v>
      </c>
      <c r="S228" s="47"/>
      <c r="T228" s="47">
        <v>0</v>
      </c>
      <c r="U228" s="47"/>
      <c r="V228" s="47">
        <v>0</v>
      </c>
    </row>
    <row r="229" spans="1:22" hidden="1" x14ac:dyDescent="0.35">
      <c r="A229" s="46" t="str">
        <f>_xlfn.XLOOKUP(B229,master!B:B,master!A:A)</f>
        <v>Add: Purchase of Stores, Spares &amp; Consumables</v>
      </c>
      <c r="B229" s="65" t="s">
        <v>295</v>
      </c>
      <c r="C229" s="65"/>
      <c r="D229" s="65"/>
      <c r="E229" s="65"/>
      <c r="F229" s="65"/>
      <c r="G229" s="47"/>
      <c r="H229" s="47">
        <f>IFERROR(_xlfn.XLOOKUP(B229,'[26]TB-MAY 23'!$A:$A,'[26]TB-MAY 23'!$F:$F),0)</f>
        <v>0</v>
      </c>
      <c r="I229" s="47">
        <f>IFERROR(_xlfn.XLOOKUP(B229,'[27]TB-MAY-23'!$A:$A,'[27]TB-MAY-23'!$F:$F),0)</f>
        <v>0</v>
      </c>
      <c r="J229" s="64">
        <v>0</v>
      </c>
      <c r="K229" s="47"/>
      <c r="L229" s="47">
        <v>0</v>
      </c>
      <c r="M229" s="47"/>
      <c r="N229" s="47"/>
      <c r="O229" s="47">
        <f>IFERROR(_xlfn.XLOOKUP(B229,'[28]TB May'!$A:$A,'[28]TB May'!$F:$F),0)</f>
        <v>0</v>
      </c>
      <c r="P229" s="47">
        <v>0</v>
      </c>
      <c r="Q229" s="47">
        <v>0</v>
      </c>
      <c r="R229" s="47">
        <v>0</v>
      </c>
      <c r="S229" s="47"/>
      <c r="T229" s="47">
        <v>0</v>
      </c>
      <c r="U229" s="47"/>
      <c r="V229" s="47">
        <v>0</v>
      </c>
    </row>
    <row r="230" spans="1:22" hidden="1" x14ac:dyDescent="0.35">
      <c r="A230" s="46" t="str">
        <f>_xlfn.XLOOKUP(B230,master!B:B,master!A:A)</f>
        <v>Conveyance, vehicle running and traveling expenses</v>
      </c>
      <c r="B230" s="65" t="s">
        <v>302</v>
      </c>
      <c r="C230" s="65"/>
      <c r="D230" s="65"/>
      <c r="E230" s="65"/>
      <c r="F230" s="65"/>
      <c r="G230" s="47"/>
      <c r="H230" s="47">
        <f>IFERROR(_xlfn.XLOOKUP(B230,'[26]TB-MAY 23'!$A:$A,'[26]TB-MAY 23'!$F:$F),0)</f>
        <v>0</v>
      </c>
      <c r="I230" s="47">
        <f>IFERROR(_xlfn.XLOOKUP(B230,'[27]TB-MAY-23'!$A:$A,'[27]TB-MAY-23'!$F:$F),0)</f>
        <v>0</v>
      </c>
      <c r="J230" s="64">
        <v>0</v>
      </c>
      <c r="K230" s="47"/>
      <c r="L230" s="47">
        <v>0</v>
      </c>
      <c r="M230" s="47"/>
      <c r="N230" s="47"/>
      <c r="O230" s="47">
        <f>IFERROR(_xlfn.XLOOKUP(B230,'[28]TB May'!$A:$A,'[28]TB May'!$F:$F),0)</f>
        <v>0</v>
      </c>
      <c r="P230" s="47">
        <v>0</v>
      </c>
      <c r="Q230" s="47">
        <v>0</v>
      </c>
      <c r="R230" s="47">
        <v>0</v>
      </c>
      <c r="S230" s="47"/>
      <c r="T230" s="47">
        <v>0</v>
      </c>
      <c r="U230" s="47"/>
      <c r="V230" s="47">
        <v>0</v>
      </c>
    </row>
    <row r="231" spans="1:22" hidden="1" x14ac:dyDescent="0.35">
      <c r="A231" s="46" t="str">
        <f>_xlfn.XLOOKUP(B231,master!B:B,master!A:A)</f>
        <v>Other Administrative Expenses</v>
      </c>
      <c r="B231" s="65" t="s">
        <v>315</v>
      </c>
      <c r="C231" s="65"/>
      <c r="D231" s="65"/>
      <c r="E231" s="65"/>
      <c r="F231" s="65"/>
      <c r="G231" s="47"/>
      <c r="H231" s="47">
        <f>IFERROR(_xlfn.XLOOKUP(B231,'[26]TB-MAY 23'!$A:$A,'[26]TB-MAY 23'!$F:$F),0)</f>
        <v>0</v>
      </c>
      <c r="I231" s="47">
        <f>IFERROR(_xlfn.XLOOKUP(B231,'[27]TB-MAY-23'!$A:$A,'[27]TB-MAY-23'!$F:$F),0)</f>
        <v>0</v>
      </c>
      <c r="J231" s="64">
        <v>0</v>
      </c>
      <c r="K231" s="47"/>
      <c r="L231" s="47">
        <v>20905</v>
      </c>
      <c r="M231" s="47"/>
      <c r="N231" s="47"/>
      <c r="O231" s="47">
        <f>IFERROR(_xlfn.XLOOKUP(B231,'[28]TB May'!$A:$A,'[28]TB May'!$F:$F),0)</f>
        <v>0</v>
      </c>
      <c r="P231" s="47">
        <v>15000</v>
      </c>
      <c r="Q231" s="47">
        <v>0</v>
      </c>
      <c r="R231" s="47">
        <v>0</v>
      </c>
      <c r="S231" s="47"/>
      <c r="T231" s="47">
        <v>0</v>
      </c>
      <c r="U231" s="47"/>
      <c r="V231" s="47">
        <v>0</v>
      </c>
    </row>
    <row r="232" spans="1:22" hidden="1" x14ac:dyDescent="0.35">
      <c r="A232" s="46" t="str">
        <f>_xlfn.XLOOKUP(B232,master!B:B,master!A:A)</f>
        <v>Other Administrative Expenses</v>
      </c>
      <c r="B232" s="65" t="s">
        <v>316</v>
      </c>
      <c r="C232" s="65"/>
      <c r="D232" s="65"/>
      <c r="E232" s="65"/>
      <c r="F232" s="65"/>
      <c r="G232" s="47"/>
      <c r="H232" s="47">
        <f>IFERROR(_xlfn.XLOOKUP(B232,'[26]TB-MAY 23'!$A:$A,'[26]TB-MAY 23'!$F:$F),0)</f>
        <v>0</v>
      </c>
      <c r="I232" s="47">
        <f>IFERROR(_xlfn.XLOOKUP(B232,'[27]TB-MAY-23'!$A:$A,'[27]TB-MAY-23'!$F:$F),0)</f>
        <v>0</v>
      </c>
      <c r="J232" s="64">
        <v>711</v>
      </c>
      <c r="K232" s="47"/>
      <c r="L232" s="47">
        <v>0</v>
      </c>
      <c r="M232" s="47"/>
      <c r="N232" s="47"/>
      <c r="O232" s="47">
        <f>IFERROR(_xlfn.XLOOKUP(B232,'[28]TB May'!$A:$A,'[28]TB May'!$F:$F),0)</f>
        <v>0</v>
      </c>
      <c r="P232" s="47">
        <v>13500</v>
      </c>
      <c r="Q232" s="47">
        <v>0</v>
      </c>
      <c r="R232" s="47">
        <v>0</v>
      </c>
      <c r="S232" s="47"/>
      <c r="T232" s="47">
        <v>0</v>
      </c>
      <c r="U232" s="47"/>
      <c r="V232" s="47">
        <v>0</v>
      </c>
    </row>
    <row r="233" spans="1:22" hidden="1" x14ac:dyDescent="0.35">
      <c r="A233" s="46" t="str">
        <f>_xlfn.XLOOKUP(B233,master!B:B,master!A:A)</f>
        <v>Other Administrative Expenses</v>
      </c>
      <c r="B233" s="65" t="s">
        <v>327</v>
      </c>
      <c r="C233" s="65"/>
      <c r="D233" s="65"/>
      <c r="E233" s="65"/>
      <c r="F233" s="65"/>
      <c r="G233" s="47"/>
      <c r="H233" s="47">
        <f>IFERROR(_xlfn.XLOOKUP(B233,'[26]TB-MAY 23'!$A:$A,'[26]TB-MAY 23'!$F:$F),0)</f>
        <v>0</v>
      </c>
      <c r="I233" s="47">
        <f>IFERROR(_xlfn.XLOOKUP(B233,'[27]TB-MAY-23'!$A:$A,'[27]TB-MAY-23'!$F:$F),0)</f>
        <v>0</v>
      </c>
      <c r="J233" s="64">
        <v>0</v>
      </c>
      <c r="K233" s="47"/>
      <c r="L233" s="47">
        <v>5040</v>
      </c>
      <c r="M233" s="47"/>
      <c r="N233" s="47"/>
      <c r="O233" s="47">
        <f>IFERROR(_xlfn.XLOOKUP(B233,'[28]TB May'!$A:$A,'[28]TB May'!$F:$F),0)</f>
        <v>0</v>
      </c>
      <c r="P233" s="47">
        <v>229226</v>
      </c>
      <c r="Q233" s="47">
        <v>0</v>
      </c>
      <c r="R233" s="47">
        <v>0</v>
      </c>
      <c r="S233" s="47"/>
      <c r="T233" s="47">
        <v>0</v>
      </c>
      <c r="U233" s="47"/>
      <c r="V233" s="47">
        <v>0</v>
      </c>
    </row>
    <row r="234" spans="1:22" hidden="1" x14ac:dyDescent="0.35">
      <c r="A234" s="46" t="str">
        <f>_xlfn.XLOOKUP(B234,master!B:B,master!A:A)</f>
        <v xml:space="preserve">Salaries, wages and  bonus </v>
      </c>
      <c r="B234" s="65" t="s">
        <v>350</v>
      </c>
      <c r="C234" s="65"/>
      <c r="D234" s="65"/>
      <c r="E234" s="65"/>
      <c r="F234" s="65"/>
      <c r="G234" s="47"/>
      <c r="H234" s="47">
        <f>IFERROR(_xlfn.XLOOKUP(B234,'[26]TB-MAY 23'!$A:$A,'[26]TB-MAY 23'!$F:$F),0)</f>
        <v>0</v>
      </c>
      <c r="I234" s="47">
        <f>IFERROR(_xlfn.XLOOKUP(B234,'[27]TB-MAY-23'!$A:$A,'[27]TB-MAY-23'!$F:$F),0)</f>
        <v>0</v>
      </c>
      <c r="J234" s="64">
        <v>0</v>
      </c>
      <c r="K234" s="47"/>
      <c r="L234" s="47">
        <v>0</v>
      </c>
      <c r="M234" s="47"/>
      <c r="N234" s="46"/>
      <c r="O234" s="47">
        <f>IFERROR(_xlfn.XLOOKUP(B234,'[28]TB May'!$A:$A,'[28]TB May'!$F:$F),0)</f>
        <v>0</v>
      </c>
      <c r="P234" s="47">
        <v>0</v>
      </c>
      <c r="Q234" s="47">
        <v>0</v>
      </c>
      <c r="R234" s="47">
        <v>0</v>
      </c>
      <c r="S234" s="46"/>
      <c r="T234" s="47">
        <v>0</v>
      </c>
      <c r="U234" s="46"/>
      <c r="V234" s="47">
        <v>0</v>
      </c>
    </row>
    <row r="235" spans="1:22" hidden="1" x14ac:dyDescent="0.35">
      <c r="A235" s="46" t="str">
        <f>_xlfn.XLOOKUP(B235,master!B:B,master!A:A)</f>
        <v>Freight Outward and C &amp; F Charges</v>
      </c>
      <c r="B235" s="65" t="s">
        <v>388</v>
      </c>
      <c r="C235" s="65"/>
      <c r="D235" s="65"/>
      <c r="E235" s="65"/>
      <c r="F235" s="65"/>
      <c r="G235" s="47"/>
      <c r="H235" s="47">
        <f>IFERROR(_xlfn.XLOOKUP(B235,'[26]TB-MAY 23'!$A:$A,'[26]TB-MAY 23'!$F:$F),0)</f>
        <v>182409</v>
      </c>
      <c r="I235" s="47">
        <f>IFERROR(_xlfn.XLOOKUP(B235,'[27]TB-MAY-23'!$A:$A,'[27]TB-MAY-23'!$F:$F),0)</f>
        <v>0</v>
      </c>
      <c r="J235" s="64">
        <v>26500</v>
      </c>
      <c r="K235" s="47"/>
      <c r="L235" s="47">
        <v>639750</v>
      </c>
      <c r="M235" s="47"/>
      <c r="N235" s="46"/>
      <c r="O235" s="47">
        <f>IFERROR(_xlfn.XLOOKUP(B235,'[28]TB May'!$A:$A,'[28]TB May'!$F:$F),0)</f>
        <v>0</v>
      </c>
      <c r="P235" s="47">
        <v>15800</v>
      </c>
      <c r="Q235" s="47">
        <v>0</v>
      </c>
      <c r="R235" s="47">
        <v>0</v>
      </c>
      <c r="S235" s="46"/>
      <c r="T235" s="47">
        <v>0</v>
      </c>
      <c r="U235" s="46"/>
      <c r="V235" s="47">
        <v>0</v>
      </c>
    </row>
    <row r="236" spans="1:22" hidden="1" x14ac:dyDescent="0.35">
      <c r="A236" s="46" t="str">
        <f>_xlfn.XLOOKUP(B236,master!B:B,master!A:A)</f>
        <v>Contribution to provident and other funds</v>
      </c>
      <c r="B236" s="65" t="s">
        <v>552</v>
      </c>
      <c r="C236" s="65"/>
      <c r="D236" s="65"/>
      <c r="E236" s="65"/>
      <c r="F236" s="65"/>
      <c r="G236" s="47"/>
      <c r="H236" s="47">
        <f>IFERROR(_xlfn.XLOOKUP(B236,'[26]TB-MAY 23'!$A:$A,'[26]TB-MAY 23'!$F:$F),0)</f>
        <v>0</v>
      </c>
      <c r="I236" s="47">
        <f>IFERROR(_xlfn.XLOOKUP(B236,'[27]TB-MAY-23'!$A:$A,'[27]TB-MAY-23'!$F:$F),0)</f>
        <v>0</v>
      </c>
      <c r="J236" s="64">
        <v>0</v>
      </c>
      <c r="K236" s="47"/>
      <c r="L236" s="47">
        <v>0</v>
      </c>
      <c r="M236" s="47"/>
      <c r="N236" s="46"/>
      <c r="O236" s="47">
        <f>IFERROR(_xlfn.XLOOKUP(B236,'[28]TB May'!$A:$A,'[28]TB May'!$F:$F),0)</f>
        <v>0</v>
      </c>
      <c r="P236" s="47">
        <v>0</v>
      </c>
      <c r="Q236" s="47">
        <v>0</v>
      </c>
      <c r="R236" s="47">
        <v>0</v>
      </c>
      <c r="S236" s="46"/>
      <c r="T236" s="47">
        <v>0</v>
      </c>
      <c r="U236" s="46"/>
      <c r="V236" s="47">
        <v>0</v>
      </c>
    </row>
    <row r="237" spans="1:22" hidden="1" x14ac:dyDescent="0.35">
      <c r="A237" s="46" t="str">
        <f>_xlfn.XLOOKUP(B237,master!B:B,master!A:A)</f>
        <v>Other Administrative Expenses</v>
      </c>
      <c r="B237" s="65" t="s">
        <v>306</v>
      </c>
      <c r="C237" s="65"/>
      <c r="D237" s="65"/>
      <c r="E237" s="65"/>
      <c r="F237" s="65"/>
      <c r="G237" s="47"/>
      <c r="H237" s="47">
        <f>IFERROR(_xlfn.XLOOKUP(B237,'[26]TB-MAY 23'!$A:$A,'[26]TB-MAY 23'!$F:$F),0)</f>
        <v>0</v>
      </c>
      <c r="I237" s="47">
        <f>IFERROR(_xlfn.XLOOKUP(B237,'[27]TB-MAY-23'!$A:$A,'[27]TB-MAY-23'!$F:$F),0)</f>
        <v>0</v>
      </c>
      <c r="J237" s="64">
        <v>0</v>
      </c>
      <c r="K237" s="47"/>
      <c r="L237" s="47">
        <v>0</v>
      </c>
      <c r="M237" s="47"/>
      <c r="N237" s="46"/>
      <c r="O237" s="47">
        <f>IFERROR(_xlfn.XLOOKUP(B237,'[28]TB May'!$A:$A,'[28]TB May'!$F:$F),0)</f>
        <v>0</v>
      </c>
      <c r="P237" s="47">
        <v>0</v>
      </c>
      <c r="Q237" s="47">
        <v>0</v>
      </c>
      <c r="R237" s="47">
        <v>0</v>
      </c>
      <c r="S237" s="46"/>
      <c r="T237" s="47">
        <v>0</v>
      </c>
      <c r="U237" s="46"/>
      <c r="V237" s="47">
        <v>0</v>
      </c>
    </row>
    <row r="238" spans="1:22" hidden="1" x14ac:dyDescent="0.35">
      <c r="A238" s="46" t="str">
        <f>_xlfn.XLOOKUP(B238,master!B:B,master!A:A)</f>
        <v>Gratuity Expenses</v>
      </c>
      <c r="B238" s="65" t="s">
        <v>346</v>
      </c>
      <c r="C238" s="65"/>
      <c r="D238" s="65"/>
      <c r="E238" s="65"/>
      <c r="F238" s="65"/>
      <c r="G238" s="47"/>
      <c r="H238" s="47">
        <f>IFERROR(_xlfn.XLOOKUP(B238,'[26]TB-MAY 23'!$A:$A,'[26]TB-MAY 23'!$F:$F),0)</f>
        <v>0</v>
      </c>
      <c r="I238" s="47">
        <f>IFERROR(_xlfn.XLOOKUP(B238,'[27]TB-MAY-23'!$A:$A,'[27]TB-MAY-23'!$F:$F),0)</f>
        <v>0</v>
      </c>
      <c r="J238" s="64">
        <v>0</v>
      </c>
      <c r="K238" s="47"/>
      <c r="L238" s="47">
        <v>0</v>
      </c>
      <c r="M238" s="47"/>
      <c r="N238" s="46"/>
      <c r="O238" s="47">
        <f>IFERROR(_xlfn.XLOOKUP(B238,'[28]TB May'!$A:$A,'[28]TB May'!$F:$F),0)</f>
        <v>0</v>
      </c>
      <c r="P238" s="47">
        <v>16650</v>
      </c>
      <c r="Q238" s="47">
        <v>0</v>
      </c>
      <c r="R238" s="47">
        <v>0</v>
      </c>
      <c r="S238" s="46"/>
      <c r="T238" s="47">
        <v>0</v>
      </c>
      <c r="U238" s="46"/>
      <c r="V238" s="47">
        <v>0</v>
      </c>
    </row>
    <row r="239" spans="1:22" x14ac:dyDescent="0.35">
      <c r="A239" s="46" t="str">
        <f>_xlfn.XLOOKUP(B239,master!B:B,master!A:A)</f>
        <v xml:space="preserve">Jobwork charges </v>
      </c>
      <c r="B239" s="65" t="s">
        <v>277</v>
      </c>
      <c r="C239" s="65"/>
      <c r="D239" s="65"/>
      <c r="E239" s="65"/>
      <c r="F239" s="65"/>
      <c r="G239" s="47"/>
      <c r="H239" s="47">
        <f>IFERROR(_xlfn.XLOOKUP(B239,'[26]TB-MAY 23'!$A:$A,'[26]TB-MAY 23'!$F:$F),0)</f>
        <v>0</v>
      </c>
      <c r="I239" s="47">
        <f>IFERROR(_xlfn.XLOOKUP(B239,'[27]TB-MAY-23'!$A:$A,'[27]TB-MAY-23'!$F:$F),0)</f>
        <v>0</v>
      </c>
      <c r="J239" s="64">
        <v>0</v>
      </c>
      <c r="K239" s="47"/>
      <c r="L239" s="47">
        <v>73486</v>
      </c>
      <c r="M239" s="47"/>
      <c r="N239" s="46"/>
      <c r="O239" s="47">
        <f>IFERROR(_xlfn.XLOOKUP(B239,'[28]TB May'!$A:$A,'[28]TB May'!$F:$F),0)</f>
        <v>0</v>
      </c>
      <c r="P239" s="47">
        <v>172088</v>
      </c>
      <c r="Q239" s="47">
        <v>0</v>
      </c>
      <c r="R239" s="47">
        <v>0</v>
      </c>
      <c r="S239" s="46"/>
      <c r="T239" s="47">
        <v>0</v>
      </c>
      <c r="U239" s="46"/>
      <c r="V239" s="47">
        <v>0</v>
      </c>
    </row>
    <row r="240" spans="1:22" hidden="1" x14ac:dyDescent="0.35">
      <c r="A240" s="46" t="str">
        <f>_xlfn.XLOOKUP(B240,master!B:B,master!A:A)</f>
        <v>Other Administrative Expenses</v>
      </c>
      <c r="B240" s="65" t="s">
        <v>323</v>
      </c>
      <c r="C240" s="65"/>
      <c r="D240" s="65"/>
      <c r="E240" s="65"/>
      <c r="F240" s="65"/>
      <c r="G240" s="47"/>
      <c r="H240" s="47">
        <f>IFERROR(_xlfn.XLOOKUP(B240,'[26]TB-MAY 23'!$A:$A,'[26]TB-MAY 23'!$F:$F),0)</f>
        <v>0</v>
      </c>
      <c r="I240" s="47">
        <f>IFERROR(_xlfn.XLOOKUP(B240,'[27]TB-MAY-23'!$A:$A,'[27]TB-MAY-23'!$F:$F),0)</f>
        <v>0</v>
      </c>
      <c r="J240" s="64">
        <v>0</v>
      </c>
      <c r="K240" s="47"/>
      <c r="L240" s="47">
        <v>0</v>
      </c>
      <c r="M240" s="47"/>
      <c r="N240" s="46"/>
      <c r="O240" s="47">
        <f>IFERROR(_xlfn.XLOOKUP(B240,'[28]TB May'!$A:$A,'[28]TB May'!$F:$F),0)</f>
        <v>0</v>
      </c>
      <c r="P240" s="47">
        <v>38161</v>
      </c>
      <c r="Q240" s="47">
        <v>0</v>
      </c>
      <c r="R240" s="47">
        <v>0</v>
      </c>
      <c r="S240" s="46"/>
      <c r="T240" s="47">
        <v>0</v>
      </c>
      <c r="U240" s="46"/>
      <c r="V240" s="47">
        <v>0</v>
      </c>
    </row>
    <row r="241" spans="1:22" hidden="1" x14ac:dyDescent="0.35">
      <c r="A241" s="46" t="str">
        <f>_xlfn.XLOOKUP(B241,master!B:B,master!A:A)</f>
        <v>Insurance</v>
      </c>
      <c r="B241" s="65" t="s">
        <v>275</v>
      </c>
      <c r="C241" s="65"/>
      <c r="D241" s="65"/>
      <c r="E241" s="65"/>
      <c r="F241" s="65"/>
      <c r="G241" s="47"/>
      <c r="H241" s="47">
        <f>IFERROR(_xlfn.XLOOKUP(B241,'[26]TB-MAY 23'!$A:$A,'[26]TB-MAY 23'!$F:$F),0)</f>
        <v>0</v>
      </c>
      <c r="I241" s="47">
        <f>IFERROR(_xlfn.XLOOKUP(B241,'[27]TB-MAY-23'!$A:$A,'[27]TB-MAY-23'!$F:$F),0)</f>
        <v>0</v>
      </c>
      <c r="J241" s="64">
        <v>0</v>
      </c>
      <c r="K241" s="47"/>
      <c r="L241" s="47">
        <v>0</v>
      </c>
      <c r="M241" s="47"/>
      <c r="N241" s="46"/>
      <c r="O241" s="47">
        <f>IFERROR(_xlfn.XLOOKUP(B241,'[28]TB May'!$A:$A,'[28]TB May'!$F:$F),0)</f>
        <v>0</v>
      </c>
      <c r="P241" s="47">
        <v>-462392</v>
      </c>
      <c r="Q241" s="47">
        <v>0</v>
      </c>
      <c r="R241" s="47">
        <v>0</v>
      </c>
      <c r="S241" s="46"/>
      <c r="T241" s="47">
        <v>0</v>
      </c>
      <c r="U241" s="46"/>
      <c r="V241" s="47">
        <v>0</v>
      </c>
    </row>
    <row r="242" spans="1:22" hidden="1" x14ac:dyDescent="0.35">
      <c r="A242" s="46" t="str">
        <f>_xlfn.XLOOKUP(B242,master!B:B,master!A:A)</f>
        <v>Freight Outward and C &amp; F Charges</v>
      </c>
      <c r="B242" s="65" t="s">
        <v>536</v>
      </c>
      <c r="C242" s="65"/>
      <c r="D242" s="65"/>
      <c r="E242" s="65"/>
      <c r="F242" s="65"/>
      <c r="G242" s="47"/>
      <c r="H242" s="47">
        <f>IFERROR(_xlfn.XLOOKUP(B242,'[26]TB-MAY 23'!$A:$A,'[26]TB-MAY 23'!$F:$F),0)</f>
        <v>0</v>
      </c>
      <c r="I242" s="47">
        <f>IFERROR(_xlfn.XLOOKUP(B242,'[27]TB-MAY-23'!$A:$A,'[27]TB-MAY-23'!$F:$F),0)</f>
        <v>0</v>
      </c>
      <c r="J242" s="64">
        <v>0</v>
      </c>
      <c r="K242" s="47"/>
      <c r="L242" s="47">
        <v>120428</v>
      </c>
      <c r="M242" s="47"/>
      <c r="N242" s="46"/>
      <c r="O242" s="47">
        <f>IFERROR(_xlfn.XLOOKUP(B242,'[28]TB May'!$A:$A,'[28]TB May'!$F:$F),0)</f>
        <v>47897</v>
      </c>
      <c r="P242" s="47">
        <v>0</v>
      </c>
      <c r="Q242" s="47">
        <v>0</v>
      </c>
      <c r="R242" s="47">
        <v>0</v>
      </c>
      <c r="S242" s="46"/>
      <c r="T242" s="47">
        <v>0</v>
      </c>
      <c r="U242" s="46"/>
      <c r="V242" s="47">
        <v>122580</v>
      </c>
    </row>
    <row r="243" spans="1:22" hidden="1" x14ac:dyDescent="0.35">
      <c r="A243" s="46" t="str">
        <f>_xlfn.XLOOKUP(B243,master!B:B,master!A:A)</f>
        <v>Other Manufacturing Expenses</v>
      </c>
      <c r="B243" s="65" t="s">
        <v>270</v>
      </c>
      <c r="C243" s="65"/>
      <c r="D243" s="65"/>
      <c r="E243" s="65"/>
      <c r="F243" s="65"/>
      <c r="G243" s="47"/>
      <c r="H243" s="47">
        <f>IFERROR(_xlfn.XLOOKUP(B243,'[26]TB-MAY 23'!$A:$A,'[26]TB-MAY 23'!$F:$F),0)</f>
        <v>0</v>
      </c>
      <c r="I243" s="47">
        <f>IFERROR(_xlfn.XLOOKUP(B243,'[27]TB-MAY-23'!$A:$A,'[27]TB-MAY-23'!$F:$F),0)</f>
        <v>0</v>
      </c>
      <c r="J243" s="64">
        <v>0</v>
      </c>
      <c r="K243" s="47"/>
      <c r="L243" s="47">
        <v>0</v>
      </c>
      <c r="M243" s="47"/>
      <c r="N243" s="46"/>
      <c r="O243" s="47">
        <f>IFERROR(_xlfn.XLOOKUP(B243,'[28]TB May'!$A:$A,'[28]TB May'!$F:$F),0)</f>
        <v>-216150</v>
      </c>
      <c r="P243" s="47">
        <v>0</v>
      </c>
      <c r="Q243" s="47">
        <v>0</v>
      </c>
      <c r="R243" s="47">
        <v>0</v>
      </c>
      <c r="S243" s="46"/>
      <c r="T243" s="47">
        <v>0</v>
      </c>
      <c r="U243" s="46"/>
      <c r="V243" s="47">
        <v>0</v>
      </c>
    </row>
    <row r="244" spans="1:22" hidden="1" x14ac:dyDescent="0.35">
      <c r="A244" s="46" t="str">
        <f>_xlfn.XLOOKUP(B244,master!B:B,master!A:A)</f>
        <v>Insurance</v>
      </c>
      <c r="B244" s="65" t="s">
        <v>308</v>
      </c>
      <c r="C244" s="65"/>
      <c r="D244" s="65"/>
      <c r="E244" s="65"/>
      <c r="F244" s="65"/>
      <c r="G244" s="47"/>
      <c r="H244" s="47">
        <f>IFERROR(_xlfn.XLOOKUP(B244,'[26]TB-MAY 23'!$A:$A,'[26]TB-MAY 23'!$F:$F),0)</f>
        <v>0</v>
      </c>
      <c r="I244" s="47">
        <f>IFERROR(_xlfn.XLOOKUP(B244,'[27]TB-MAY-23'!$A:$A,'[27]TB-MAY-23'!$F:$F),0)</f>
        <v>0</v>
      </c>
      <c r="J244" s="64">
        <v>0</v>
      </c>
      <c r="K244" s="47"/>
      <c r="L244" s="47">
        <v>0</v>
      </c>
      <c r="M244" s="47"/>
      <c r="N244" s="46"/>
      <c r="O244" s="47">
        <f>IFERROR(_xlfn.XLOOKUP(B244,'[28]TB May'!$A:$A,'[28]TB May'!$F:$F),0)</f>
        <v>-17881</v>
      </c>
      <c r="P244" s="47">
        <v>0</v>
      </c>
      <c r="Q244" s="47">
        <v>0</v>
      </c>
      <c r="R244" s="47">
        <v>0</v>
      </c>
      <c r="S244" s="46"/>
      <c r="T244" s="47">
        <v>0</v>
      </c>
      <c r="U244" s="46"/>
      <c r="V244" s="47">
        <v>0</v>
      </c>
    </row>
    <row r="245" spans="1:22" hidden="1" x14ac:dyDescent="0.35">
      <c r="A245" s="46" t="str">
        <f>_xlfn.XLOOKUP(B245,master!B:B,master!A:A)</f>
        <v>Freight Outward and C &amp; F Charges</v>
      </c>
      <c r="B245" s="65" t="s">
        <v>386</v>
      </c>
      <c r="C245" s="65"/>
      <c r="D245" s="65"/>
      <c r="E245" s="65"/>
      <c r="F245" s="65"/>
      <c r="G245" s="47"/>
      <c r="H245" s="47">
        <f>IFERROR(_xlfn.XLOOKUP(B245,'[26]TB-MAY 23'!$A:$A,'[26]TB-MAY 23'!$F:$F),0)</f>
        <v>0</v>
      </c>
      <c r="I245" s="47">
        <f>IFERROR(_xlfn.XLOOKUP(B245,'[27]TB-MAY-23'!$A:$A,'[27]TB-MAY-23'!$F:$F),0)</f>
        <v>0</v>
      </c>
      <c r="J245" s="64">
        <v>0</v>
      </c>
      <c r="K245" s="47"/>
      <c r="L245" s="47">
        <v>0</v>
      </c>
      <c r="M245" s="47"/>
      <c r="N245" s="46"/>
      <c r="O245" s="47">
        <f>IFERROR(_xlfn.XLOOKUP(B245,'[28]TB May'!$A:$A,'[28]TB May'!$F:$F),0)</f>
        <v>0</v>
      </c>
      <c r="P245" s="47">
        <v>0</v>
      </c>
      <c r="Q245" s="47">
        <v>0</v>
      </c>
      <c r="R245" s="47">
        <v>0</v>
      </c>
      <c r="S245" s="46"/>
      <c r="T245" s="47">
        <v>0</v>
      </c>
      <c r="U245" s="46"/>
      <c r="V245" s="47">
        <v>0</v>
      </c>
    </row>
    <row r="246" spans="1:22" hidden="1" x14ac:dyDescent="0.35">
      <c r="A246" s="46" t="str">
        <f>_xlfn.XLOOKUP(B246,master!B:B,master!A:A)</f>
        <v>Other Administrative Expenses</v>
      </c>
      <c r="B246" s="65" t="s">
        <v>391</v>
      </c>
      <c r="C246" s="65"/>
      <c r="D246" s="65"/>
      <c r="E246" s="65"/>
      <c r="F246" s="65"/>
      <c r="G246" s="47"/>
      <c r="H246" s="47">
        <f>IFERROR(_xlfn.XLOOKUP(B246,'[26]TB-MAY 23'!$A:$A,'[26]TB-MAY 23'!$F:$F),0)</f>
        <v>0</v>
      </c>
      <c r="I246" s="47">
        <f>IFERROR(_xlfn.XLOOKUP(B246,'[27]TB-MAY-23'!$A:$A,'[27]TB-MAY-23'!$F:$F),0)</f>
        <v>0</v>
      </c>
      <c r="J246" s="64">
        <v>0</v>
      </c>
      <c r="K246" s="47"/>
      <c r="L246" s="47">
        <v>30500</v>
      </c>
      <c r="M246" s="47"/>
      <c r="N246" s="46"/>
      <c r="O246" s="47">
        <f>IFERROR(_xlfn.XLOOKUP(B246,'[28]TB May'!$A:$A,'[28]TB May'!$F:$F),0)</f>
        <v>3800</v>
      </c>
      <c r="P246" s="47">
        <v>0</v>
      </c>
      <c r="Q246" s="47">
        <v>0</v>
      </c>
      <c r="R246" s="47">
        <v>0</v>
      </c>
      <c r="S246" s="46"/>
      <c r="T246" s="47">
        <v>0</v>
      </c>
      <c r="U246" s="46"/>
      <c r="V246" s="47">
        <v>0</v>
      </c>
    </row>
    <row r="247" spans="1:22" hidden="1" x14ac:dyDescent="0.35">
      <c r="A247" s="46" t="str">
        <f>_xlfn.XLOOKUP(B247,master!B:B,master!A:A)</f>
        <v>Other Administrative Expenses</v>
      </c>
      <c r="B247" s="46" t="s">
        <v>266</v>
      </c>
      <c r="C247" s="46"/>
      <c r="D247" s="46"/>
      <c r="E247" s="46"/>
      <c r="F247" s="46"/>
      <c r="G247" s="47"/>
      <c r="H247" s="47">
        <f>IFERROR(_xlfn.XLOOKUP(B247,'[26]TB-MAY 23'!$A:$A,'[26]TB-MAY 23'!$F:$F),0)</f>
        <v>0</v>
      </c>
      <c r="I247" s="47">
        <f>IFERROR(_xlfn.XLOOKUP(B247,'[27]TB-MAY-23'!$A:$A,'[27]TB-MAY-23'!$F:$F),0)</f>
        <v>0</v>
      </c>
      <c r="J247" s="64">
        <v>0</v>
      </c>
      <c r="K247" s="47"/>
      <c r="L247" s="47">
        <v>4719</v>
      </c>
      <c r="M247" s="47"/>
      <c r="N247" s="46"/>
      <c r="O247" s="47">
        <f>IFERROR(_xlfn.XLOOKUP(B247,'[28]TB May'!$A:$A,'[28]TB May'!$F:$F),0)</f>
        <v>0</v>
      </c>
      <c r="P247" s="47">
        <v>-306946</v>
      </c>
      <c r="Q247" s="47">
        <v>0</v>
      </c>
      <c r="R247" s="47">
        <v>0</v>
      </c>
      <c r="S247" s="46"/>
      <c r="T247" s="47">
        <v>0</v>
      </c>
      <c r="U247" s="46"/>
      <c r="V247" s="47">
        <v>0</v>
      </c>
    </row>
    <row r="248" spans="1:22" hidden="1" x14ac:dyDescent="0.35">
      <c r="A248" s="46" t="str">
        <f>_xlfn.XLOOKUP(B248,master!B:B,master!A:A)</f>
        <v>Other Manufacturing Expenses</v>
      </c>
      <c r="B248" s="46" t="s">
        <v>282</v>
      </c>
      <c r="C248" s="46"/>
      <c r="D248" s="46"/>
      <c r="E248" s="46"/>
      <c r="F248" s="46"/>
      <c r="G248" s="47"/>
      <c r="H248" s="47">
        <f>IFERROR(_xlfn.XLOOKUP(B248,'[26]TB-MAY 23'!$A:$A,'[26]TB-MAY 23'!$F:$F),0)</f>
        <v>0</v>
      </c>
      <c r="I248" s="47">
        <f>IFERROR(_xlfn.XLOOKUP(B248,'[27]TB-MAY-23'!$A:$A,'[27]TB-MAY-23'!$F:$F),0)</f>
        <v>23150</v>
      </c>
      <c r="J248" s="64">
        <v>0</v>
      </c>
      <c r="K248" s="47"/>
      <c r="L248" s="47">
        <v>97492</v>
      </c>
      <c r="M248" s="47"/>
      <c r="N248" s="46"/>
      <c r="O248" s="47">
        <f>IFERROR(_xlfn.XLOOKUP(B248,'[28]TB May'!$A:$A,'[28]TB May'!$F:$F),0)</f>
        <v>0</v>
      </c>
      <c r="P248" s="47">
        <v>0</v>
      </c>
      <c r="Q248" s="47">
        <v>0</v>
      </c>
      <c r="R248" s="47">
        <v>0</v>
      </c>
      <c r="S248" s="46"/>
      <c r="T248" s="47">
        <v>0</v>
      </c>
      <c r="U248" s="46"/>
      <c r="V248" s="47">
        <v>0</v>
      </c>
    </row>
    <row r="249" spans="1:22" hidden="1" x14ac:dyDescent="0.35">
      <c r="A249" s="46" t="str">
        <f>_xlfn.XLOOKUP(B249,master!B:B,master!A:A)</f>
        <v>Other Manufacturing Expenses</v>
      </c>
      <c r="B249" s="46" t="s">
        <v>307</v>
      </c>
      <c r="C249" s="46"/>
      <c r="D249" s="46"/>
      <c r="E249" s="46"/>
      <c r="F249" s="46"/>
      <c r="G249" s="47"/>
      <c r="H249" s="47">
        <f>IFERROR(_xlfn.XLOOKUP(B249,'[26]TB-MAY 23'!$A:$A,'[26]TB-MAY 23'!$F:$F),0)</f>
        <v>0</v>
      </c>
      <c r="I249" s="47">
        <f>IFERROR(_xlfn.XLOOKUP(B249,'[27]TB-MAY-23'!$A:$A,'[27]TB-MAY-23'!$F:$F),0)</f>
        <v>0</v>
      </c>
      <c r="J249" s="64">
        <v>0</v>
      </c>
      <c r="K249" s="47"/>
      <c r="L249" s="47">
        <v>537731</v>
      </c>
      <c r="M249" s="47"/>
      <c r="N249" s="46"/>
      <c r="O249" s="47">
        <f>IFERROR(_xlfn.XLOOKUP(B249,'[28]TB May'!$A:$A,'[28]TB May'!$F:$F),0)</f>
        <v>0</v>
      </c>
      <c r="P249" s="47">
        <v>0</v>
      </c>
      <c r="Q249" s="47">
        <v>0</v>
      </c>
      <c r="R249" s="47">
        <v>0</v>
      </c>
      <c r="S249" s="46"/>
      <c r="T249" s="47">
        <v>0</v>
      </c>
      <c r="U249" s="46"/>
      <c r="V249" s="47">
        <v>0</v>
      </c>
    </row>
    <row r="250" spans="1:22" hidden="1" x14ac:dyDescent="0.35">
      <c r="A250" s="46" t="str">
        <f>_xlfn.XLOOKUP(B250,master!B:B,master!A:A)</f>
        <v>Other Manufacturing Expenses</v>
      </c>
      <c r="B250" s="46" t="s">
        <v>324</v>
      </c>
      <c r="C250" s="46"/>
      <c r="D250" s="46"/>
      <c r="E250" s="46"/>
      <c r="F250" s="46"/>
      <c r="G250" s="47"/>
      <c r="H250" s="47">
        <f>IFERROR(_xlfn.XLOOKUP(B250,'[26]TB-MAY 23'!$A:$A,'[26]TB-MAY 23'!$F:$F),0)</f>
        <v>0</v>
      </c>
      <c r="I250" s="47">
        <f>IFERROR(_xlfn.XLOOKUP(B250,'[27]TB-MAY-23'!$A:$A,'[27]TB-MAY-23'!$F:$F),0)</f>
        <v>0</v>
      </c>
      <c r="J250" s="64">
        <v>0</v>
      </c>
      <c r="K250" s="47"/>
      <c r="L250" s="47">
        <v>15138</v>
      </c>
      <c r="M250" s="47"/>
      <c r="N250" s="46"/>
      <c r="O250" s="47">
        <f>IFERROR(_xlfn.XLOOKUP(B250,'[28]TB May'!$A:$A,'[28]TB May'!$F:$F),0)</f>
        <v>0</v>
      </c>
      <c r="P250" s="47">
        <v>0</v>
      </c>
      <c r="Q250" s="47">
        <v>0</v>
      </c>
      <c r="R250" s="47">
        <v>0</v>
      </c>
      <c r="S250" s="46"/>
      <c r="T250" s="47">
        <v>0</v>
      </c>
      <c r="U250" s="46"/>
      <c r="V250" s="47">
        <v>0</v>
      </c>
    </row>
    <row r="251" spans="1:22" hidden="1" x14ac:dyDescent="0.35">
      <c r="A251" s="46" t="str">
        <f>_xlfn.XLOOKUP(B251,master!B:B,master!A:A)</f>
        <v>Contribution to provident and other funds</v>
      </c>
      <c r="B251" s="46" t="s">
        <v>330</v>
      </c>
      <c r="C251" s="46"/>
      <c r="D251" s="46"/>
      <c r="E251" s="46"/>
      <c r="F251" s="46"/>
      <c r="G251" s="47"/>
      <c r="H251" s="47">
        <f>IFERROR(_xlfn.XLOOKUP(B251,'[26]TB-MAY 23'!$A:$A,'[26]TB-MAY 23'!$F:$F),0)</f>
        <v>0</v>
      </c>
      <c r="I251" s="47">
        <f>IFERROR(_xlfn.XLOOKUP(B251,'[27]TB-MAY-23'!$A:$A,'[27]TB-MAY-23'!$F:$F),0)</f>
        <v>0</v>
      </c>
      <c r="J251" s="64">
        <v>0</v>
      </c>
      <c r="K251" s="47"/>
      <c r="L251" s="47">
        <v>11000</v>
      </c>
      <c r="M251" s="47"/>
      <c r="N251" s="46"/>
      <c r="O251" s="47">
        <f>IFERROR(_xlfn.XLOOKUP(B251,'[28]TB May'!$A:$A,'[28]TB May'!$F:$F),0)</f>
        <v>0</v>
      </c>
      <c r="P251" s="47">
        <v>0</v>
      </c>
      <c r="Q251" s="47">
        <v>0</v>
      </c>
      <c r="R251" s="47">
        <v>0</v>
      </c>
      <c r="S251" s="46"/>
      <c r="T251" s="47">
        <v>0</v>
      </c>
      <c r="U251" s="46"/>
      <c r="V251" s="47">
        <v>0</v>
      </c>
    </row>
    <row r="252" spans="1:22" hidden="1" x14ac:dyDescent="0.35">
      <c r="A252" s="46" t="str">
        <f>_xlfn.XLOOKUP(B252,master!B:B,master!A:A)</f>
        <v>Contribution to provident and other funds</v>
      </c>
      <c r="B252" s="46" t="s">
        <v>345</v>
      </c>
      <c r="C252" s="46"/>
      <c r="D252" s="46"/>
      <c r="E252" s="46"/>
      <c r="F252" s="46"/>
      <c r="G252" s="47"/>
      <c r="H252" s="47">
        <f>IFERROR(_xlfn.XLOOKUP(B252,'[26]TB-MAY 23'!$A:$A,'[26]TB-MAY 23'!$F:$F),0)</f>
        <v>0</v>
      </c>
      <c r="I252" s="47">
        <f>IFERROR(_xlfn.XLOOKUP(B252,'[27]TB-MAY-23'!$A:$A,'[27]TB-MAY-23'!$F:$F),0)</f>
        <v>0</v>
      </c>
      <c r="J252" s="64">
        <v>0</v>
      </c>
      <c r="K252" s="47"/>
      <c r="L252" s="47">
        <v>159372.98975000001</v>
      </c>
      <c r="M252" s="47"/>
      <c r="N252" s="46"/>
      <c r="O252" s="47">
        <f>IFERROR(_xlfn.XLOOKUP(B252,'[28]TB May'!$A:$A,'[28]TB May'!$F:$F),0)</f>
        <v>0</v>
      </c>
      <c r="P252" s="47">
        <v>0</v>
      </c>
      <c r="Q252" s="47">
        <v>0</v>
      </c>
      <c r="R252" s="47">
        <v>0</v>
      </c>
      <c r="S252" s="46"/>
      <c r="T252" s="47">
        <v>0</v>
      </c>
      <c r="U252" s="46"/>
      <c r="V252" s="47">
        <v>0</v>
      </c>
    </row>
    <row r="253" spans="1:22" hidden="1" x14ac:dyDescent="0.35">
      <c r="A253" s="46" t="str">
        <f>_xlfn.XLOOKUP(B253,master!B:B,master!A:A)</f>
        <v>Staff welfare expenses</v>
      </c>
      <c r="B253" s="46" t="s">
        <v>359</v>
      </c>
      <c r="C253" s="46"/>
      <c r="D253" s="46"/>
      <c r="E253" s="46"/>
      <c r="F253" s="46"/>
      <c r="G253" s="47"/>
      <c r="H253" s="47">
        <f>IFERROR(_xlfn.XLOOKUP(B253,'[26]TB-MAY 23'!$A:$A,'[26]TB-MAY 23'!$F:$F),0)</f>
        <v>0</v>
      </c>
      <c r="I253" s="47">
        <f>IFERROR(_xlfn.XLOOKUP(B253,'[27]TB-MAY-23'!$A:$A,'[27]TB-MAY-23'!$F:$F),0)</f>
        <v>0</v>
      </c>
      <c r="J253" s="64">
        <v>0</v>
      </c>
      <c r="K253" s="47"/>
      <c r="L253" s="47">
        <v>11250</v>
      </c>
      <c r="M253" s="47"/>
      <c r="N253" s="46"/>
      <c r="O253" s="47">
        <f>IFERROR(_xlfn.XLOOKUP(B253,'[28]TB May'!$A:$A,'[28]TB May'!$F:$F),0)</f>
        <v>0</v>
      </c>
      <c r="P253" s="47">
        <v>0</v>
      </c>
      <c r="Q253" s="47">
        <v>0</v>
      </c>
      <c r="R253" s="47">
        <v>0</v>
      </c>
      <c r="S253" s="46"/>
      <c r="T253" s="47">
        <v>670</v>
      </c>
      <c r="U253" s="46"/>
      <c r="V253" s="47">
        <v>0</v>
      </c>
    </row>
    <row r="254" spans="1:22" hidden="1" x14ac:dyDescent="0.35">
      <c r="A254" s="46" t="str">
        <f>_xlfn.XLOOKUP(B254,master!B:B,master!A:A)</f>
        <v>Exchange Rate Difference</v>
      </c>
      <c r="B254" s="46" t="s">
        <v>365</v>
      </c>
      <c r="C254" s="46"/>
      <c r="D254" s="46"/>
      <c r="E254" s="46"/>
      <c r="F254" s="46"/>
      <c r="G254" s="47"/>
      <c r="H254" s="47">
        <f>IFERROR(_xlfn.XLOOKUP(B254,'[26]TB-MAY 23'!$A:$A,'[26]TB-MAY 23'!$F:$F),0)</f>
        <v>0</v>
      </c>
      <c r="I254" s="47">
        <f>IFERROR(_xlfn.XLOOKUP(B254,'[27]TB-MAY-23'!$A:$A,'[27]TB-MAY-23'!$F:$F),0)</f>
        <v>0</v>
      </c>
      <c r="J254" s="64">
        <v>0</v>
      </c>
      <c r="K254" s="47"/>
      <c r="L254" s="47">
        <v>-3501424.44</v>
      </c>
      <c r="M254" s="47"/>
      <c r="N254" s="46"/>
      <c r="O254" s="47">
        <f>IFERROR(_xlfn.XLOOKUP(B254,'[28]TB May'!$A:$A,'[28]TB May'!$F:$F),0)</f>
        <v>-940363.67</v>
      </c>
      <c r="P254" s="47">
        <v>0</v>
      </c>
      <c r="Q254" s="47">
        <v>0</v>
      </c>
      <c r="R254" s="47">
        <v>0</v>
      </c>
      <c r="S254" s="46"/>
      <c r="T254" s="47">
        <v>0</v>
      </c>
      <c r="U254" s="46"/>
      <c r="V254" s="47">
        <v>0</v>
      </c>
    </row>
    <row r="255" spans="1:22" hidden="1" x14ac:dyDescent="0.35">
      <c r="A255" s="46" t="str">
        <f>_xlfn.XLOOKUP(B255,master!B:B,master!A:A)</f>
        <v>Other Administrative Expenses</v>
      </c>
      <c r="B255" s="46" t="s">
        <v>269</v>
      </c>
      <c r="C255" s="46"/>
      <c r="D255" s="46"/>
      <c r="E255" s="46"/>
      <c r="F255" s="46"/>
      <c r="G255" s="47"/>
      <c r="H255" s="47">
        <f>IFERROR(_xlfn.XLOOKUP(B255,'[26]TB-MAY 23'!$A:$A,'[26]TB-MAY 23'!$F:$F),0)</f>
        <v>0</v>
      </c>
      <c r="I255" s="47">
        <f>IFERROR(_xlfn.XLOOKUP(B255,'[27]TB-MAY-23'!$A:$A,'[27]TB-MAY-23'!$F:$F),0)</f>
        <v>0</v>
      </c>
      <c r="J255" s="64">
        <v>0</v>
      </c>
      <c r="K255" s="47"/>
      <c r="L255" s="47">
        <v>666760</v>
      </c>
      <c r="M255" s="47"/>
      <c r="N255" s="46"/>
      <c r="O255" s="47">
        <f>IFERROR(_xlfn.XLOOKUP(B255,'[28]TB May'!$A:$A,'[28]TB May'!$F:$F),0)</f>
        <v>0</v>
      </c>
      <c r="P255" s="47">
        <v>0</v>
      </c>
      <c r="Q255" s="47">
        <v>0</v>
      </c>
      <c r="R255" s="47">
        <v>0</v>
      </c>
      <c r="S255" s="46"/>
      <c r="T255" s="47">
        <v>0</v>
      </c>
      <c r="U255" s="46"/>
      <c r="V255" s="47">
        <v>0</v>
      </c>
    </row>
    <row r="256" spans="1:22" hidden="1" x14ac:dyDescent="0.35">
      <c r="A256" s="46" t="str">
        <f>_xlfn.XLOOKUP(B256,master!B:B,master!A:A)</f>
        <v>Other Manufacturing Expenses</v>
      </c>
      <c r="B256" s="46" t="s">
        <v>272</v>
      </c>
      <c r="C256" s="46"/>
      <c r="D256" s="46"/>
      <c r="E256" s="46"/>
      <c r="F256" s="46"/>
      <c r="G256" s="47"/>
      <c r="H256" s="47">
        <f>IFERROR(_xlfn.XLOOKUP(B256,'[26]TB-MAY 23'!$A:$A,'[26]TB-MAY 23'!$F:$F),0)</f>
        <v>219969</v>
      </c>
      <c r="I256" s="47">
        <f>IFERROR(_xlfn.XLOOKUP(B256,'[27]TB-MAY-23'!$A:$A,'[27]TB-MAY-23'!$F:$F),0)</f>
        <v>0</v>
      </c>
      <c r="J256" s="64">
        <v>0</v>
      </c>
      <c r="K256" s="47"/>
      <c r="L256" s="47">
        <v>400000</v>
      </c>
      <c r="M256" s="47"/>
      <c r="N256" s="46"/>
      <c r="O256" s="47">
        <f>IFERROR(_xlfn.XLOOKUP(B256,'[28]TB May'!$A:$A,'[28]TB May'!$F:$F),0)</f>
        <v>0</v>
      </c>
      <c r="P256" s="47">
        <v>0</v>
      </c>
      <c r="Q256" s="47">
        <v>0</v>
      </c>
      <c r="R256" s="47">
        <v>0</v>
      </c>
      <c r="S256" s="46"/>
      <c r="T256" s="47">
        <v>0</v>
      </c>
      <c r="U256" s="46"/>
      <c r="V256" s="47">
        <v>0</v>
      </c>
    </row>
    <row r="257" spans="1:22" hidden="1" x14ac:dyDescent="0.35">
      <c r="A257" s="46" t="str">
        <f>_xlfn.XLOOKUP(B257,master!B:B,master!A:A)</f>
        <v>Rent Income</v>
      </c>
      <c r="B257" s="46" t="s">
        <v>403</v>
      </c>
      <c r="C257" s="46"/>
      <c r="D257" s="46"/>
      <c r="E257" s="46"/>
      <c r="F257" s="46"/>
      <c r="G257" s="47"/>
      <c r="H257" s="47">
        <f>IFERROR(_xlfn.XLOOKUP(B257,'[26]TB-MAY 23'!$A:$A,'[26]TB-MAY 23'!$F:$F),0)</f>
        <v>0</v>
      </c>
      <c r="I257" s="47">
        <f>IFERROR(_xlfn.XLOOKUP(B257,'[27]TB-MAY-23'!$A:$A,'[27]TB-MAY-23'!$F:$F),0)</f>
        <v>0</v>
      </c>
      <c r="J257" s="64">
        <v>0</v>
      </c>
      <c r="K257" s="47"/>
      <c r="L257" s="47">
        <v>-33333.32</v>
      </c>
      <c r="M257" s="47"/>
      <c r="N257" s="46"/>
      <c r="O257" s="47">
        <f>IFERROR(_xlfn.XLOOKUP(B257,'[28]TB May'!$A:$A,'[28]TB May'!$F:$F),0)</f>
        <v>0</v>
      </c>
      <c r="P257" s="47">
        <v>0</v>
      </c>
      <c r="Q257" s="47">
        <v>0</v>
      </c>
      <c r="R257" s="47">
        <v>0</v>
      </c>
      <c r="S257" s="46"/>
      <c r="T257" s="47">
        <v>0</v>
      </c>
      <c r="U257" s="46"/>
      <c r="V257" s="47">
        <v>0</v>
      </c>
    </row>
    <row r="258" spans="1:22" hidden="1" x14ac:dyDescent="0.35">
      <c r="A258" s="46" t="str">
        <f>_xlfn.XLOOKUP(B258,master!B:B,master!A:A)</f>
        <v>Other Administrative Expenses</v>
      </c>
      <c r="B258" s="46" t="s">
        <v>553</v>
      </c>
      <c r="C258" s="46"/>
      <c r="D258" s="46"/>
      <c r="E258" s="46"/>
      <c r="F258" s="46"/>
      <c r="G258" s="47"/>
      <c r="H258" s="47">
        <f>IFERROR(_xlfn.XLOOKUP(B258,'[26]TB-MAY 23'!$A:$A,'[26]TB-MAY 23'!$F:$F),0)</f>
        <v>0</v>
      </c>
      <c r="I258" s="47">
        <f>IFERROR(_xlfn.XLOOKUP(B258,'[27]TB-MAY-23'!$A:$A,'[27]TB-MAY-23'!$F:$F),0)</f>
        <v>0</v>
      </c>
      <c r="J258" s="64">
        <v>0</v>
      </c>
      <c r="K258" s="47"/>
      <c r="L258" s="47">
        <v>4500</v>
      </c>
      <c r="M258" s="47"/>
      <c r="N258" s="46"/>
      <c r="O258" s="47">
        <f>IFERROR(_xlfn.XLOOKUP(B258,'[28]TB May'!$A:$A,'[28]TB May'!$F:$F),0)</f>
        <v>0</v>
      </c>
      <c r="P258" s="47">
        <v>0</v>
      </c>
      <c r="Q258" s="47">
        <v>0</v>
      </c>
      <c r="R258" s="47">
        <v>0</v>
      </c>
      <c r="S258" s="46"/>
      <c r="T258" s="47">
        <v>0</v>
      </c>
      <c r="U258" s="46"/>
      <c r="V258" s="47">
        <v>0</v>
      </c>
    </row>
    <row r="259" spans="1:22" hidden="1" x14ac:dyDescent="0.35">
      <c r="A259" s="46" t="str">
        <f>_xlfn.XLOOKUP(B259,master!B:B,master!A:A)</f>
        <v>Commission Income</v>
      </c>
      <c r="B259" s="45" t="s">
        <v>414</v>
      </c>
      <c r="C259" s="45"/>
      <c r="D259" s="45"/>
      <c r="E259" s="45"/>
      <c r="F259" s="45"/>
      <c r="G259" s="47"/>
      <c r="H259" s="47">
        <f>IFERROR(_xlfn.XLOOKUP(B259,'[26]TB-MAY 23'!$A:$A,'[26]TB-MAY 23'!$F:$F),0)</f>
        <v>0</v>
      </c>
      <c r="I259" s="47">
        <f>IFERROR(_xlfn.XLOOKUP(B259,'[27]TB-MAY-23'!$A:$A,'[27]TB-MAY-23'!$F:$F),0)</f>
        <v>0</v>
      </c>
      <c r="J259" s="64">
        <v>0</v>
      </c>
      <c r="K259" s="47"/>
      <c r="L259" s="47">
        <v>0</v>
      </c>
      <c r="M259" s="47"/>
      <c r="N259" s="46"/>
      <c r="O259" s="47">
        <f>IFERROR(_xlfn.XLOOKUP(B259,'[28]TB May'!$A:$A,'[28]TB May'!$F:$F),0)</f>
        <v>0</v>
      </c>
      <c r="P259" s="47">
        <v>0</v>
      </c>
      <c r="Q259" s="47">
        <v>0</v>
      </c>
      <c r="R259" s="47">
        <v>0</v>
      </c>
      <c r="S259" s="46">
        <v>-998812</v>
      </c>
      <c r="T259" s="47">
        <v>0</v>
      </c>
      <c r="U259" s="46"/>
      <c r="V259" s="47">
        <v>0</v>
      </c>
    </row>
    <row r="260" spans="1:22" hidden="1" x14ac:dyDescent="0.35">
      <c r="A260" s="46" t="str">
        <f>_xlfn.XLOOKUP(B260,master!B:B,master!A:A)</f>
        <v>Interest Received From Customers</v>
      </c>
      <c r="B260" s="65" t="s">
        <v>555</v>
      </c>
      <c r="C260" s="65"/>
      <c r="D260" s="65"/>
      <c r="E260" s="65"/>
      <c r="F260" s="65"/>
      <c r="G260" s="47"/>
      <c r="H260" s="47">
        <f>IFERROR(_xlfn.XLOOKUP(B260,'[26]TB-MAY 23'!$A:$A,'[26]TB-MAY 23'!$F:$F),0)</f>
        <v>0</v>
      </c>
      <c r="I260" s="47">
        <f>IFERROR(_xlfn.XLOOKUP(B260,'[27]TB-MAY-23'!$A:$A,'[27]TB-MAY-23'!$F:$F),0)</f>
        <v>0</v>
      </c>
      <c r="J260" s="64">
        <v>0</v>
      </c>
      <c r="K260" s="47"/>
      <c r="L260" s="47">
        <v>0</v>
      </c>
      <c r="M260" s="47"/>
      <c r="N260" s="46"/>
      <c r="O260" s="47">
        <f>IFERROR(_xlfn.XLOOKUP(B260,'[28]TB May'!$A:$A,'[28]TB May'!$F:$F),0)</f>
        <v>0</v>
      </c>
      <c r="P260" s="47">
        <v>0</v>
      </c>
      <c r="Q260" s="47">
        <v>0</v>
      </c>
      <c r="R260" s="47">
        <v>0</v>
      </c>
      <c r="S260" s="46"/>
      <c r="T260" s="47">
        <v>0</v>
      </c>
      <c r="U260" s="46"/>
      <c r="V260" s="47">
        <v>0</v>
      </c>
    </row>
    <row r="261" spans="1:22" hidden="1" x14ac:dyDescent="0.35">
      <c r="A261" s="46" t="str">
        <f>_xlfn.XLOOKUP(B261,master!B:B,master!A:A)</f>
        <v>Other Administrative Expenses</v>
      </c>
      <c r="B261" s="46" t="s">
        <v>374</v>
      </c>
      <c r="C261" s="46"/>
      <c r="D261" s="46"/>
      <c r="E261" s="46"/>
      <c r="F261" s="46"/>
      <c r="G261" s="47"/>
      <c r="H261" s="47">
        <f>IFERROR(_xlfn.XLOOKUP(B261,'[26]TB-MAY 23'!$A:$A,'[26]TB-MAY 23'!$F:$F),0)</f>
        <v>0</v>
      </c>
      <c r="I261" s="47">
        <f>IFERROR(_xlfn.XLOOKUP(B261,'[27]TB-MAY-23'!$A:$A,'[27]TB-MAY-23'!$F:$F),0)</f>
        <v>0</v>
      </c>
      <c r="J261" s="64">
        <v>0</v>
      </c>
      <c r="K261" s="47"/>
      <c r="L261" s="47">
        <v>350000</v>
      </c>
      <c r="M261" s="47"/>
      <c r="N261" s="46"/>
      <c r="O261" s="47">
        <f>IFERROR(_xlfn.XLOOKUP(B261,'[28]TB May'!$A:$A,'[28]TB May'!$F:$F),0)</f>
        <v>0</v>
      </c>
      <c r="P261" s="47">
        <v>0</v>
      </c>
      <c r="Q261" s="47">
        <v>0</v>
      </c>
      <c r="R261" s="47">
        <v>0</v>
      </c>
      <c r="S261" s="46"/>
      <c r="T261" s="47">
        <v>0</v>
      </c>
      <c r="U261" s="46"/>
      <c r="V261" s="47">
        <v>0</v>
      </c>
    </row>
    <row r="262" spans="1:22" hidden="1" x14ac:dyDescent="0.35">
      <c r="A262" t="str">
        <f>_xlfn.XLOOKUP(B262,master!B:B,master!A:A)</f>
        <v>Freight Outward and C &amp; F Charges</v>
      </c>
      <c r="B262" s="50" t="s">
        <v>577</v>
      </c>
      <c r="C262" s="50"/>
      <c r="D262" s="50"/>
      <c r="E262" s="50"/>
      <c r="F262" s="50"/>
      <c r="G262" s="47"/>
      <c r="H262" s="47">
        <f>IFERROR(_xlfn.XLOOKUP(B262,'[26]TB-MAY 23'!$A:$A,'[26]TB-MAY 23'!$F:$F),0)</f>
        <v>0</v>
      </c>
      <c r="I262" s="47">
        <f>IFERROR(_xlfn.XLOOKUP(B262,'[27]TB-MAY-23'!$A:$A,'[27]TB-MAY-23'!$F:$F),0)</f>
        <v>0</v>
      </c>
      <c r="J262" s="64"/>
      <c r="K262" s="47"/>
      <c r="L262" s="47">
        <v>0</v>
      </c>
      <c r="M262" s="47"/>
      <c r="N262" s="46"/>
      <c r="O262" s="47">
        <f>IFERROR(_xlfn.XLOOKUP(B262,'[28]TB May'!$A:$A,'[28]TB May'!$F:$F),0)</f>
        <v>150000</v>
      </c>
      <c r="P262" s="47"/>
      <c r="Q262" s="47"/>
      <c r="R262" s="47"/>
      <c r="S262" s="46"/>
      <c r="T262" s="47"/>
      <c r="U262" s="46"/>
      <c r="V262" s="47"/>
    </row>
    <row r="263" spans="1:22" hidden="1" x14ac:dyDescent="0.35">
      <c r="A263" t="str">
        <f>_xlfn.XLOOKUP(B263,master!B:B,master!A:A)</f>
        <v>Brokerage &amp; commission</v>
      </c>
      <c r="B263" s="50" t="s">
        <v>383</v>
      </c>
      <c r="C263" s="50"/>
      <c r="D263" s="50"/>
      <c r="E263" s="50"/>
      <c r="F263" s="50"/>
      <c r="G263" s="47"/>
      <c r="H263" s="47"/>
      <c r="I263" s="47">
        <f>IFERROR(_xlfn.XLOOKUP(B263,'[27]TB-MAY-23'!$A:$A,'[27]TB-MAY-23'!$F:$F),0)</f>
        <v>0</v>
      </c>
      <c r="J263" s="64"/>
      <c r="K263" s="47"/>
      <c r="L263" s="55">
        <v>295236</v>
      </c>
      <c r="M263" s="47"/>
      <c r="N263" s="46"/>
      <c r="O263" s="47"/>
      <c r="P263" s="47"/>
      <c r="Q263" s="47"/>
      <c r="R263" s="47"/>
      <c r="S263" s="46"/>
      <c r="T263" s="47"/>
      <c r="U263" s="46"/>
      <c r="V263" s="47"/>
    </row>
    <row r="264" spans="1:22" hidden="1" x14ac:dyDescent="0.35">
      <c r="A264" t="str">
        <f>_xlfn.XLOOKUP(B264,master!B:B,master!A:A)</f>
        <v>Add: Purchase of raw materials</v>
      </c>
      <c r="B264" s="128" t="s">
        <v>287</v>
      </c>
      <c r="C264" s="290"/>
      <c r="D264" s="290"/>
      <c r="E264" s="290"/>
      <c r="F264" s="290"/>
      <c r="G264" s="47"/>
      <c r="H264" s="47">
        <f>IFERROR(_xlfn.XLOOKUP(B264,'[26]TB-MAY 23'!$A:$A,'[26]TB-MAY 23'!$F:$F),0)</f>
        <v>4429161</v>
      </c>
      <c r="I264" s="47">
        <f>IFERROR(_xlfn.XLOOKUP(B264,'[27]TB-MAY-23'!$A:$A,'[27]TB-MAY-23'!$F:$F),0)</f>
        <v>0</v>
      </c>
      <c r="J264" s="64"/>
      <c r="K264" s="47"/>
      <c r="L264" s="47">
        <v>0</v>
      </c>
      <c r="M264" s="47"/>
      <c r="N264" s="46"/>
      <c r="O264" s="47"/>
      <c r="P264" s="47"/>
      <c r="Q264" s="47"/>
      <c r="R264" s="47"/>
      <c r="S264" s="46"/>
      <c r="T264" s="47"/>
      <c r="U264" s="46"/>
      <c r="V264" s="47"/>
    </row>
    <row r="265" spans="1:22" hidden="1" x14ac:dyDescent="0.35">
      <c r="A265" t="str">
        <f>_xlfn.XLOOKUP(B265,master!B:B,master!A:A)</f>
        <v>Add: Purchase of raw materials</v>
      </c>
      <c r="B265" s="128" t="s">
        <v>292</v>
      </c>
      <c r="C265" s="290"/>
      <c r="D265" s="290"/>
      <c r="E265" s="290"/>
      <c r="F265" s="290"/>
      <c r="G265" s="47"/>
      <c r="H265" s="47">
        <f>IFERROR(_xlfn.XLOOKUP(B265,'[26]TB-MAY 23'!$A:$A,'[26]TB-MAY 23'!$F:$F),0)</f>
        <v>29070</v>
      </c>
      <c r="I265" s="47">
        <f>IFERROR(_xlfn.XLOOKUP(B265,'[27]TB-MAY-23'!$A:$A,'[27]TB-MAY-23'!$F:$F),0)</f>
        <v>0</v>
      </c>
      <c r="J265" s="64"/>
      <c r="K265" s="47"/>
      <c r="L265" s="47">
        <v>0</v>
      </c>
      <c r="M265" s="47"/>
      <c r="N265" s="46"/>
      <c r="O265" s="47"/>
      <c r="P265" s="47"/>
      <c r="Q265" s="47"/>
      <c r="R265" s="47"/>
      <c r="S265" s="46"/>
      <c r="T265" s="47"/>
      <c r="U265" s="46"/>
      <c r="V265" s="47"/>
    </row>
    <row r="266" spans="1:22" hidden="1" x14ac:dyDescent="0.35">
      <c r="A266" t="s">
        <v>431</v>
      </c>
      <c r="B266" s="128" t="s">
        <v>318</v>
      </c>
      <c r="C266" s="290"/>
      <c r="D266" s="290"/>
      <c r="E266" s="290"/>
      <c r="F266" s="290"/>
      <c r="G266" s="47"/>
      <c r="H266" s="47">
        <f>IFERROR(_xlfn.XLOOKUP(B266,'[26]TB-MAY 23'!$A:$A,'[26]TB-MAY 23'!$F:$F),0)</f>
        <v>9198</v>
      </c>
      <c r="I266" s="47">
        <f>IFERROR(_xlfn.XLOOKUP(B266,'[27]TB-MAY-23'!$A:$A,'[27]TB-MAY-23'!$F:$F),0)</f>
        <v>0</v>
      </c>
      <c r="J266" s="64"/>
      <c r="K266" s="47"/>
      <c r="L266" s="47">
        <v>0</v>
      </c>
      <c r="M266" s="47"/>
      <c r="N266" s="46"/>
      <c r="O266" s="47"/>
      <c r="P266" s="47"/>
      <c r="Q266" s="47"/>
      <c r="R266" s="47"/>
      <c r="S266" s="46"/>
      <c r="T266" s="47"/>
      <c r="U266" s="46"/>
      <c r="V266" s="47"/>
    </row>
    <row r="267" spans="1:22" x14ac:dyDescent="0.35">
      <c r="A267" s="46" t="str">
        <f>_xlfn.XLOOKUP(B267,master!B:B,master!A:A)</f>
        <v>Income from Jobwork charges</v>
      </c>
      <c r="B267" s="50" t="s">
        <v>402</v>
      </c>
      <c r="C267" s="50"/>
      <c r="D267" s="50"/>
      <c r="E267" s="50"/>
      <c r="F267" s="50"/>
      <c r="G267" s="47"/>
      <c r="H267" s="47"/>
      <c r="I267" s="47">
        <f>IFERROR(_xlfn.XLOOKUP(B267,'[27]TB-MAY-23'!$A:$A,'[27]TB-MAY-23'!$F:$F),0)</f>
        <v>0</v>
      </c>
      <c r="J267" s="64"/>
      <c r="K267" s="47"/>
      <c r="L267" s="47">
        <v>0</v>
      </c>
      <c r="M267" s="47"/>
      <c r="N267" s="46"/>
      <c r="O267" s="47"/>
      <c r="P267" s="47">
        <f>-(217420*85)</f>
        <v>-18480700</v>
      </c>
      <c r="Q267" s="47"/>
      <c r="R267" s="47"/>
      <c r="S267" s="46"/>
      <c r="T267" s="47"/>
      <c r="U267" s="46"/>
      <c r="V267" s="47"/>
    </row>
    <row r="268" spans="1:22" hidden="1" x14ac:dyDescent="0.35">
      <c r="A268" s="46" t="str">
        <f>_xlfn.XLOOKUP(B268,master!B:B,master!A:A)</f>
        <v>Exchange Rate Difference</v>
      </c>
      <c r="B268" s="50" t="s">
        <v>273</v>
      </c>
      <c r="C268" s="50"/>
      <c r="D268" s="50"/>
      <c r="E268" s="50"/>
      <c r="F268" s="50"/>
      <c r="G268" s="47"/>
      <c r="H268" s="47"/>
      <c r="I268" s="47">
        <f>IFERROR(_xlfn.XLOOKUP(B268,'[27]TB-MAY-23'!$A:$A,'[27]TB-MAY-23'!$F:$F),0)</f>
        <v>0</v>
      </c>
      <c r="J268" s="64"/>
      <c r="K268" s="47"/>
      <c r="L268" s="47">
        <v>0</v>
      </c>
      <c r="M268" s="47"/>
      <c r="N268" s="46"/>
      <c r="O268" s="47">
        <v>-219352</v>
      </c>
      <c r="P268" s="47"/>
      <c r="Q268" s="47"/>
      <c r="R268" s="47"/>
      <c r="S268" s="46"/>
      <c r="T268" s="47"/>
      <c r="U268" s="46"/>
      <c r="V268" s="47"/>
    </row>
    <row r="269" spans="1:22" hidden="1" x14ac:dyDescent="0.35">
      <c r="A269" s="46" t="str">
        <f>_xlfn.XLOOKUP(B269,master!B:B,master!A:A)</f>
        <v xml:space="preserve">Salaries, wages and  bonus </v>
      </c>
      <c r="B269" s="50" t="s">
        <v>344</v>
      </c>
      <c r="C269" s="50"/>
      <c r="D269" s="50"/>
      <c r="E269" s="50"/>
      <c r="F269" s="50"/>
      <c r="G269" s="47"/>
      <c r="H269" s="47"/>
      <c r="I269" s="47">
        <f>IFERROR(_xlfn.XLOOKUP(B269,'[27]TB-MAY-23'!$A:$A,'[27]TB-MAY-23'!$F:$F),0)</f>
        <v>77912</v>
      </c>
      <c r="J269" s="64"/>
      <c r="K269" s="47"/>
      <c r="L269" s="47">
        <v>0</v>
      </c>
      <c r="M269" s="47"/>
      <c r="N269" s="46"/>
      <c r="O269" s="47"/>
      <c r="P269" s="47"/>
      <c r="Q269" s="47"/>
      <c r="R269" s="47"/>
      <c r="S269" s="46"/>
      <c r="T269" s="47"/>
      <c r="U269" s="46"/>
      <c r="V269" s="47"/>
    </row>
    <row r="270" spans="1:22" hidden="1" x14ac:dyDescent="0.35">
      <c r="A270" s="46" t="str">
        <f>_xlfn.XLOOKUP(B270,master!B:B,master!A:A)</f>
        <v>Other Administrative Expenses</v>
      </c>
      <c r="B270" s="46" t="s">
        <v>556</v>
      </c>
      <c r="C270" s="46"/>
      <c r="D270" s="46"/>
      <c r="E270" s="46"/>
      <c r="F270" s="46"/>
      <c r="G270" s="47"/>
      <c r="H270" s="47">
        <f>IFERROR(_xlfn.XLOOKUP(B270,'[26]TB-MAY 23'!$A:$A,'[26]TB-MAY 23'!$F:$F),0)</f>
        <v>0</v>
      </c>
      <c r="I270" s="47">
        <f>IFERROR(_xlfn.XLOOKUP(B270,'[27]TB-MAY-23'!$A:$A,'[27]TB-MAY-23'!$F:$F),0)</f>
        <v>0</v>
      </c>
      <c r="J270" s="64">
        <v>0</v>
      </c>
      <c r="K270" s="47"/>
      <c r="L270" s="47">
        <v>0</v>
      </c>
      <c r="M270" s="47"/>
      <c r="N270" s="46"/>
      <c r="O270" s="47">
        <f>IFERROR(_xlfn.XLOOKUP(B270,'[28]TB May'!$A:$A,'[28]TB May'!$F:$F),0)</f>
        <v>0</v>
      </c>
      <c r="P270" s="47">
        <v>0</v>
      </c>
      <c r="Q270" s="47">
        <v>0</v>
      </c>
      <c r="R270" s="47">
        <v>0</v>
      </c>
      <c r="S270" s="46"/>
      <c r="T270" s="47">
        <v>0</v>
      </c>
      <c r="U270" s="46"/>
      <c r="V270" s="47">
        <v>0</v>
      </c>
    </row>
    <row r="272" spans="1:22" x14ac:dyDescent="0.35">
      <c r="U272" s="212"/>
    </row>
    <row r="273" spans="2:6" x14ac:dyDescent="0.35">
      <c r="B273" s="50"/>
      <c r="C273" s="50"/>
      <c r="D273" s="50"/>
      <c r="E273" s="50"/>
      <c r="F273" s="50"/>
    </row>
    <row r="274" spans="2:6" x14ac:dyDescent="0.35">
      <c r="B274" s="50"/>
      <c r="C274" s="50"/>
      <c r="D274" s="50"/>
      <c r="E274" s="50"/>
      <c r="F274" s="50"/>
    </row>
  </sheetData>
  <autoFilter ref="A210:AF270" xr:uid="{794B36F4-D4E8-477F-A993-4036D45BAE2B}">
    <filterColumn colId="1">
      <filters>
        <filter val="Job Charges"/>
        <filter val="Job Work Income"/>
      </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CD39-CE64-466D-BC0B-1C8D80231DA0}">
  <dimension ref="A1:Y231"/>
  <sheetViews>
    <sheetView workbookViewId="0">
      <pane ySplit="2" topLeftCell="A11" activePane="bottomLeft" state="frozen"/>
      <selection activeCell="C18" sqref="C18"/>
      <selection pane="bottomLeft" activeCell="C18" sqref="C18"/>
    </sheetView>
  </sheetViews>
  <sheetFormatPr defaultRowHeight="14.5" x14ac:dyDescent="0.35"/>
  <cols>
    <col min="1" max="1" width="10.36328125" bestFit="1" customWidth="1"/>
    <col min="2" max="2" width="38" customWidth="1"/>
    <col min="3" max="3" width="19" customWidth="1"/>
    <col min="4" max="4" width="16.453125" bestFit="1" customWidth="1"/>
    <col min="5" max="6" width="15.81640625" bestFit="1" customWidth="1"/>
    <col min="7" max="7" width="16.453125" bestFit="1" customWidth="1"/>
    <col min="8" max="8" width="31.81640625" bestFit="1" customWidth="1"/>
    <col min="9" max="9" width="22.1796875" bestFit="1" customWidth="1"/>
    <col min="10" max="10" width="22.81640625" bestFit="1" customWidth="1"/>
    <col min="11" max="11" width="30.81640625" bestFit="1" customWidth="1"/>
    <col min="12" max="12" width="31.1796875" bestFit="1" customWidth="1"/>
    <col min="13" max="13" width="13" bestFit="1" customWidth="1"/>
    <col min="14" max="14" width="26" bestFit="1" customWidth="1"/>
    <col min="15" max="15" width="44.36328125" bestFit="1" customWidth="1"/>
    <col min="16" max="16" width="33.81640625" bestFit="1" customWidth="1"/>
    <col min="17" max="17" width="34.1796875" bestFit="1" customWidth="1"/>
    <col min="18" max="18" width="20.90625" bestFit="1" customWidth="1"/>
    <col min="19" max="19" width="19.6328125" bestFit="1" customWidth="1"/>
    <col min="20" max="20" width="26.81640625" bestFit="1" customWidth="1"/>
    <col min="21" max="21" width="27.1796875" bestFit="1" customWidth="1"/>
    <col min="22" max="22" width="26.81640625" bestFit="1" customWidth="1"/>
    <col min="23" max="23" width="23.453125" bestFit="1" customWidth="1"/>
    <col min="24" max="24" width="22.54296875" bestFit="1" customWidth="1"/>
  </cols>
  <sheetData>
    <row r="1" spans="1:25" s="38" customFormat="1" x14ac:dyDescent="0.35">
      <c r="A1" s="38" t="s">
        <v>537</v>
      </c>
      <c r="I1" s="42">
        <f>I188+I3</f>
        <v>-14693</v>
      </c>
      <c r="J1" s="42">
        <f t="shared" ref="J1:X1" si="0">J188+J3</f>
        <v>-4864243.3000000007</v>
      </c>
      <c r="K1" s="42">
        <f t="shared" si="0"/>
        <v>-733642.68</v>
      </c>
      <c r="L1" s="42">
        <f t="shared" si="0"/>
        <v>-4697745.78</v>
      </c>
      <c r="M1" s="42">
        <f t="shared" si="0"/>
        <v>17395506.609999999</v>
      </c>
      <c r="N1" s="42">
        <f t="shared" si="0"/>
        <v>-24264826.849999994</v>
      </c>
      <c r="O1" s="42">
        <f t="shared" si="0"/>
        <v>38519.300000000003</v>
      </c>
      <c r="P1" s="42">
        <f t="shared" si="0"/>
        <v>11.8</v>
      </c>
      <c r="Q1" s="42">
        <f t="shared" si="0"/>
        <v>-12811746.039999992</v>
      </c>
      <c r="R1" s="42">
        <f t="shared" si="0"/>
        <v>-17358532.189999998</v>
      </c>
      <c r="S1" s="42">
        <f t="shared" si="0"/>
        <v>-29823940.639999986</v>
      </c>
      <c r="T1" s="42">
        <f t="shared" si="0"/>
        <v>-17483064.989999995</v>
      </c>
      <c r="U1" s="42">
        <f t="shared" si="0"/>
        <v>563746.37000000011</v>
      </c>
      <c r="V1" s="42">
        <f t="shared" si="0"/>
        <v>-1561479.9200000018</v>
      </c>
      <c r="W1" s="42">
        <f t="shared" si="0"/>
        <v>2261110.5500000007</v>
      </c>
      <c r="X1" s="42">
        <f t="shared" si="0"/>
        <v>-12482925.449999988</v>
      </c>
    </row>
    <row r="2" spans="1:25" ht="15.5" x14ac:dyDescent="0.35">
      <c r="A2" s="12" t="s">
        <v>0</v>
      </c>
      <c r="B2" s="12" t="s">
        <v>1</v>
      </c>
      <c r="C2" s="12" t="s">
        <v>453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/>
    </row>
    <row r="3" spans="1:25" x14ac:dyDescent="0.35">
      <c r="A3" s="1" t="s">
        <v>23</v>
      </c>
      <c r="B3" s="1" t="s">
        <v>28</v>
      </c>
      <c r="C3" s="1"/>
      <c r="D3" s="2">
        <v>0</v>
      </c>
      <c r="E3" s="2">
        <v>755658440.92999995</v>
      </c>
      <c r="F3" s="2">
        <v>17432371.609999999</v>
      </c>
      <c r="G3" s="2">
        <v>738226069.32000005</v>
      </c>
      <c r="H3" s="2">
        <v>0</v>
      </c>
      <c r="I3" s="2">
        <v>110307</v>
      </c>
      <c r="J3" s="2">
        <v>21351104.5</v>
      </c>
      <c r="K3" s="2">
        <v>755949.65</v>
      </c>
      <c r="L3" s="2">
        <v>3417087.34</v>
      </c>
      <c r="M3" s="2">
        <v>39033279.109999999</v>
      </c>
      <c r="N3" s="2">
        <v>91673066.510000005</v>
      </c>
      <c r="O3" s="2">
        <v>38519.300000000003</v>
      </c>
      <c r="P3" s="2">
        <v>11.8</v>
      </c>
      <c r="Q3" s="2">
        <v>73281539.430000007</v>
      </c>
      <c r="R3" s="2">
        <v>13652681.220000001</v>
      </c>
      <c r="S3" s="2">
        <v>205359339.62</v>
      </c>
      <c r="T3" s="2">
        <v>99593087.079999998</v>
      </c>
      <c r="U3" s="2">
        <v>1488006.62</v>
      </c>
      <c r="V3" s="2">
        <v>67755148.510000005</v>
      </c>
      <c r="W3" s="2">
        <v>24166587.59</v>
      </c>
      <c r="X3" s="2">
        <v>96550354.040000007</v>
      </c>
      <c r="Y3" s="1"/>
    </row>
    <row r="4" spans="1:25" x14ac:dyDescent="0.35">
      <c r="A4" s="3" t="s">
        <v>24</v>
      </c>
      <c r="B4" s="5" t="s">
        <v>29</v>
      </c>
      <c r="C4" s="5"/>
      <c r="D4" s="4">
        <v>0</v>
      </c>
      <c r="E4" s="4">
        <v>703893138.42999995</v>
      </c>
      <c r="F4" s="4">
        <v>6285632.1100000003</v>
      </c>
      <c r="G4" s="4">
        <v>697607506.32000005</v>
      </c>
      <c r="H4" s="4">
        <v>0</v>
      </c>
      <c r="I4" s="4">
        <v>0</v>
      </c>
      <c r="J4" s="4">
        <v>19604566.09</v>
      </c>
      <c r="K4" s="4">
        <v>807597.85</v>
      </c>
      <c r="L4" s="4">
        <v>3367832.14</v>
      </c>
      <c r="M4" s="4">
        <v>38687830.770000003</v>
      </c>
      <c r="N4" s="4">
        <v>83400270.120000005</v>
      </c>
      <c r="O4" s="4">
        <v>38519.300000000003</v>
      </c>
      <c r="P4" s="4">
        <v>0</v>
      </c>
      <c r="Q4" s="4">
        <v>71686716.159999996</v>
      </c>
      <c r="R4" s="4">
        <v>13348574.41</v>
      </c>
      <c r="S4" s="4">
        <v>191734938.47</v>
      </c>
      <c r="T4" s="4">
        <v>96680794.930000007</v>
      </c>
      <c r="U4" s="4">
        <v>90939</v>
      </c>
      <c r="V4" s="4">
        <v>66488112.920000002</v>
      </c>
      <c r="W4" s="4">
        <v>21688588.859999999</v>
      </c>
      <c r="X4" s="4">
        <v>89982225.299999997</v>
      </c>
      <c r="Y4" s="3"/>
    </row>
    <row r="5" spans="1:25" x14ac:dyDescent="0.35">
      <c r="A5" s="6" t="s">
        <v>25</v>
      </c>
      <c r="B5" s="8" t="s">
        <v>30</v>
      </c>
      <c r="C5" s="8"/>
      <c r="D5" s="7">
        <v>0</v>
      </c>
      <c r="E5" s="7">
        <v>1262631.8799999999</v>
      </c>
      <c r="F5" s="7">
        <v>747179.62</v>
      </c>
      <c r="G5" s="7">
        <v>515452.26</v>
      </c>
      <c r="H5" s="7">
        <v>0</v>
      </c>
      <c r="I5" s="7">
        <v>0</v>
      </c>
      <c r="J5" s="7">
        <v>12879.48</v>
      </c>
      <c r="K5" s="7">
        <v>1572.72</v>
      </c>
      <c r="L5" s="7">
        <v>811.08</v>
      </c>
      <c r="M5" s="7">
        <v>118210</v>
      </c>
      <c r="N5" s="7">
        <v>232402.12</v>
      </c>
      <c r="O5" s="7">
        <v>0.1</v>
      </c>
      <c r="P5" s="7">
        <v>0</v>
      </c>
      <c r="Q5" s="7">
        <v>0</v>
      </c>
      <c r="R5" s="7">
        <v>68474.960000000006</v>
      </c>
      <c r="S5" s="7">
        <v>-59983.42</v>
      </c>
      <c r="T5" s="7">
        <v>267220.19</v>
      </c>
      <c r="U5" s="7">
        <v>0</v>
      </c>
      <c r="V5" s="7">
        <v>5751.05</v>
      </c>
      <c r="W5" s="7">
        <v>0</v>
      </c>
      <c r="X5" s="7">
        <v>-131886.01999999999</v>
      </c>
      <c r="Y5" s="6"/>
    </row>
    <row r="6" spans="1:25" x14ac:dyDescent="0.35">
      <c r="A6" s="13" t="s">
        <v>26</v>
      </c>
      <c r="B6" s="13" t="s">
        <v>160</v>
      </c>
      <c r="C6" s="13" t="str">
        <f>TRIM(B6)</f>
        <v>Discount &amp; Rate Difference - Purchase</v>
      </c>
      <c r="D6" s="14">
        <v>0</v>
      </c>
      <c r="E6" s="14">
        <v>270</v>
      </c>
      <c r="F6" s="14">
        <v>7387</v>
      </c>
      <c r="G6" s="14">
        <v>-7117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220</v>
      </c>
      <c r="U6" s="14">
        <v>0</v>
      </c>
      <c r="V6" s="14">
        <v>0</v>
      </c>
      <c r="W6" s="14">
        <v>0</v>
      </c>
      <c r="X6" s="14">
        <v>-7337</v>
      </c>
      <c r="Y6" s="13"/>
    </row>
    <row r="7" spans="1:25" x14ac:dyDescent="0.35">
      <c r="A7" s="13" t="s">
        <v>26</v>
      </c>
      <c r="B7" s="13" t="s">
        <v>161</v>
      </c>
      <c r="C7" s="13" t="str">
        <f t="shared" ref="C7:C9" si="1">TRIM(B7)</f>
        <v>Packing Forwading &amp; Cartage Expense</v>
      </c>
      <c r="D7" s="14">
        <v>0</v>
      </c>
      <c r="E7" s="14">
        <v>81457.240000000005</v>
      </c>
      <c r="F7" s="14">
        <v>15000</v>
      </c>
      <c r="G7" s="14">
        <v>66457.240000000005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-3825</v>
      </c>
      <c r="O7" s="14">
        <v>0</v>
      </c>
      <c r="P7" s="14">
        <v>0</v>
      </c>
      <c r="Q7" s="14">
        <v>0</v>
      </c>
      <c r="R7" s="14">
        <v>7858</v>
      </c>
      <c r="S7" s="14">
        <v>62344.24</v>
      </c>
      <c r="T7" s="14">
        <v>80</v>
      </c>
      <c r="U7" s="14">
        <v>0</v>
      </c>
      <c r="V7" s="14">
        <v>0</v>
      </c>
      <c r="W7" s="14">
        <v>0</v>
      </c>
      <c r="X7" s="14">
        <v>0</v>
      </c>
      <c r="Y7" s="13"/>
    </row>
    <row r="8" spans="1:25" x14ac:dyDescent="0.35">
      <c r="A8" s="13" t="s">
        <v>26</v>
      </c>
      <c r="B8" s="13" t="s">
        <v>162</v>
      </c>
      <c r="C8" s="13" t="str">
        <f t="shared" si="1"/>
        <v>Quantity Discount</v>
      </c>
      <c r="D8" s="14">
        <v>0</v>
      </c>
      <c r="E8" s="14">
        <v>26000</v>
      </c>
      <c r="F8" s="14">
        <v>551250</v>
      </c>
      <c r="G8" s="14">
        <v>-525250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-525250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3"/>
    </row>
    <row r="9" spans="1:25" x14ac:dyDescent="0.35">
      <c r="A9" s="13" t="s">
        <v>26</v>
      </c>
      <c r="B9" s="13" t="s">
        <v>163</v>
      </c>
      <c r="C9" s="13" t="str">
        <f t="shared" si="1"/>
        <v>Round Off - Purchases</v>
      </c>
      <c r="D9" s="14">
        <v>0</v>
      </c>
      <c r="E9" s="14">
        <v>121.98</v>
      </c>
      <c r="F9" s="14">
        <v>110.77</v>
      </c>
      <c r="G9" s="14">
        <v>11.21</v>
      </c>
      <c r="H9" s="14">
        <v>0</v>
      </c>
      <c r="I9" s="14">
        <v>0</v>
      </c>
      <c r="J9" s="14">
        <v>2.48</v>
      </c>
      <c r="K9" s="14">
        <v>2.72</v>
      </c>
      <c r="L9" s="14">
        <v>-0.92</v>
      </c>
      <c r="M9" s="14">
        <v>0</v>
      </c>
      <c r="N9" s="14">
        <v>-1.5</v>
      </c>
      <c r="O9" s="14">
        <v>0.1</v>
      </c>
      <c r="P9" s="14">
        <v>0</v>
      </c>
      <c r="Q9" s="14">
        <v>0</v>
      </c>
      <c r="R9" s="14">
        <v>1.96</v>
      </c>
      <c r="S9" s="14">
        <v>-8.91</v>
      </c>
      <c r="T9" s="14">
        <v>5.65</v>
      </c>
      <c r="U9" s="14">
        <v>0</v>
      </c>
      <c r="V9" s="14">
        <v>8.0500000000000007</v>
      </c>
      <c r="W9" s="14">
        <v>0</v>
      </c>
      <c r="X9" s="14">
        <v>1.58</v>
      </c>
      <c r="Y9" s="13"/>
    </row>
    <row r="10" spans="1:25" x14ac:dyDescent="0.35">
      <c r="A10" s="9" t="s">
        <v>27</v>
      </c>
      <c r="B10" s="11" t="s">
        <v>31</v>
      </c>
      <c r="C10" s="11"/>
      <c r="D10" s="10">
        <v>0</v>
      </c>
      <c r="E10" s="10">
        <v>322282.5</v>
      </c>
      <c r="F10" s="10">
        <v>173431.85</v>
      </c>
      <c r="G10" s="10">
        <v>148850.65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2342</v>
      </c>
      <c r="S10" s="10">
        <v>271059.25</v>
      </c>
      <c r="T10" s="10">
        <v>0</v>
      </c>
      <c r="U10" s="10">
        <v>0</v>
      </c>
      <c r="V10" s="10">
        <v>0</v>
      </c>
      <c r="W10" s="10">
        <v>0</v>
      </c>
      <c r="X10" s="10">
        <v>-124550.6</v>
      </c>
      <c r="Y10" s="9"/>
    </row>
    <row r="11" spans="1:25" x14ac:dyDescent="0.35">
      <c r="A11" s="13" t="s">
        <v>26</v>
      </c>
      <c r="B11" s="50" t="s">
        <v>557</v>
      </c>
      <c r="C11" s="13" t="str">
        <f t="shared" ref="C11:C12" si="2">TRIM(B11)</f>
        <v>C &amp; F Charges - Import</v>
      </c>
      <c r="D11" s="14">
        <v>0</v>
      </c>
      <c r="E11" s="14">
        <v>25500</v>
      </c>
      <c r="F11" s="14">
        <v>124550.6</v>
      </c>
      <c r="G11" s="14">
        <v>-99050.6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25500</v>
      </c>
      <c r="T11" s="14">
        <v>0</v>
      </c>
      <c r="U11" s="14">
        <v>0</v>
      </c>
      <c r="V11" s="14">
        <v>0</v>
      </c>
      <c r="W11" s="14">
        <v>0</v>
      </c>
      <c r="X11" s="14">
        <v>-124550.6</v>
      </c>
      <c r="Y11" s="13"/>
    </row>
    <row r="12" spans="1:25" x14ac:dyDescent="0.35">
      <c r="A12" s="13" t="s">
        <v>26</v>
      </c>
      <c r="B12" s="13" t="s">
        <v>164</v>
      </c>
      <c r="C12" s="13" t="str">
        <f t="shared" si="2"/>
        <v>Custom Duty &amp; Charges</v>
      </c>
      <c r="D12" s="14">
        <v>0</v>
      </c>
      <c r="E12" s="14">
        <v>296782.5</v>
      </c>
      <c r="F12" s="14">
        <v>48881.25</v>
      </c>
      <c r="G12" s="14">
        <v>247901.25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2342</v>
      </c>
      <c r="S12" s="14">
        <v>245559.25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3"/>
    </row>
    <row r="13" spans="1:25" x14ac:dyDescent="0.35">
      <c r="A13" s="9" t="s">
        <v>27</v>
      </c>
      <c r="B13" s="11" t="s">
        <v>32</v>
      </c>
      <c r="C13" s="11"/>
      <c r="D13" s="10">
        <v>0</v>
      </c>
      <c r="E13" s="10">
        <v>832500.16</v>
      </c>
      <c r="F13" s="10">
        <v>0</v>
      </c>
      <c r="G13" s="10">
        <v>832500.16</v>
      </c>
      <c r="H13" s="10">
        <v>0</v>
      </c>
      <c r="I13" s="10">
        <v>0</v>
      </c>
      <c r="J13" s="10">
        <v>12877</v>
      </c>
      <c r="K13" s="10">
        <v>1570</v>
      </c>
      <c r="L13" s="10">
        <v>812</v>
      </c>
      <c r="M13" s="10">
        <v>118210</v>
      </c>
      <c r="N13" s="10">
        <v>236228.62</v>
      </c>
      <c r="O13" s="10">
        <v>0</v>
      </c>
      <c r="P13" s="10">
        <v>0</v>
      </c>
      <c r="Q13" s="10">
        <v>0</v>
      </c>
      <c r="R13" s="10">
        <v>58273</v>
      </c>
      <c r="S13" s="10">
        <v>131872</v>
      </c>
      <c r="T13" s="10">
        <v>266914.53999999998</v>
      </c>
      <c r="U13" s="10">
        <v>0</v>
      </c>
      <c r="V13" s="10">
        <v>5743</v>
      </c>
      <c r="W13" s="10">
        <v>0</v>
      </c>
      <c r="X13" s="10">
        <v>0</v>
      </c>
      <c r="Y13" s="9"/>
    </row>
    <row r="14" spans="1:25" x14ac:dyDescent="0.35">
      <c r="A14" s="13" t="s">
        <v>26</v>
      </c>
      <c r="B14" s="13" t="s">
        <v>165</v>
      </c>
      <c r="C14" s="13" t="str">
        <f t="shared" ref="C14:C16" si="3">TRIM(B14)</f>
        <v>Freight Inward Expense (RCM)</v>
      </c>
      <c r="D14" s="14">
        <v>0</v>
      </c>
      <c r="E14" s="14">
        <v>384546.62</v>
      </c>
      <c r="F14" s="14">
        <v>0</v>
      </c>
      <c r="G14" s="14">
        <v>384546.62</v>
      </c>
      <c r="H14" s="14">
        <v>0</v>
      </c>
      <c r="I14" s="14">
        <v>0</v>
      </c>
      <c r="J14" s="14">
        <v>3331</v>
      </c>
      <c r="K14" s="14">
        <v>1120</v>
      </c>
      <c r="L14" s="14">
        <v>0</v>
      </c>
      <c r="M14" s="14">
        <v>118210</v>
      </c>
      <c r="N14" s="14">
        <v>86728.62</v>
      </c>
      <c r="O14" s="14">
        <v>0</v>
      </c>
      <c r="P14" s="14">
        <v>0</v>
      </c>
      <c r="Q14" s="14">
        <v>0</v>
      </c>
      <c r="R14" s="14">
        <v>58273</v>
      </c>
      <c r="S14" s="14">
        <v>57694</v>
      </c>
      <c r="T14" s="14">
        <v>59190</v>
      </c>
      <c r="U14" s="14">
        <v>0</v>
      </c>
      <c r="V14" s="14">
        <v>0</v>
      </c>
      <c r="W14" s="14">
        <v>0</v>
      </c>
      <c r="X14" s="14">
        <v>0</v>
      </c>
      <c r="Y14" s="13"/>
    </row>
    <row r="15" spans="1:25" x14ac:dyDescent="0.35">
      <c r="A15" s="13" t="s">
        <v>26</v>
      </c>
      <c r="B15" s="13" t="s">
        <v>166</v>
      </c>
      <c r="C15" s="13" t="str">
        <f t="shared" si="3"/>
        <v>Freight Inward Expense (With GST)</v>
      </c>
      <c r="D15" s="14">
        <v>0</v>
      </c>
      <c r="E15" s="14">
        <v>378090.54</v>
      </c>
      <c r="F15" s="14">
        <v>0</v>
      </c>
      <c r="G15" s="14">
        <v>378090.54</v>
      </c>
      <c r="H15" s="14">
        <v>0</v>
      </c>
      <c r="I15" s="14">
        <v>0</v>
      </c>
      <c r="J15" s="14">
        <v>9546</v>
      </c>
      <c r="K15" s="14">
        <v>450</v>
      </c>
      <c r="L15" s="14">
        <v>812</v>
      </c>
      <c r="M15" s="14">
        <v>0</v>
      </c>
      <c r="N15" s="14">
        <v>149500</v>
      </c>
      <c r="O15" s="14">
        <v>0</v>
      </c>
      <c r="P15" s="14">
        <v>0</v>
      </c>
      <c r="Q15" s="14">
        <v>0</v>
      </c>
      <c r="R15" s="14">
        <v>0</v>
      </c>
      <c r="S15" s="14">
        <v>4515</v>
      </c>
      <c r="T15" s="14">
        <v>207724.54</v>
      </c>
      <c r="U15" s="14">
        <v>0</v>
      </c>
      <c r="V15" s="14">
        <v>5543</v>
      </c>
      <c r="W15" s="14">
        <v>0</v>
      </c>
      <c r="X15" s="14">
        <v>0</v>
      </c>
      <c r="Y15" s="13"/>
    </row>
    <row r="16" spans="1:25" x14ac:dyDescent="0.35">
      <c r="A16" s="13" t="s">
        <v>26</v>
      </c>
      <c r="B16" s="13" t="s">
        <v>167</v>
      </c>
      <c r="C16" s="13" t="str">
        <f t="shared" si="3"/>
        <v>Freight Inward Expense (Without Gst)</v>
      </c>
      <c r="D16" s="14">
        <v>0</v>
      </c>
      <c r="E16" s="14">
        <v>69863</v>
      </c>
      <c r="F16" s="14">
        <v>0</v>
      </c>
      <c r="G16" s="14">
        <v>69863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69663</v>
      </c>
      <c r="T16" s="14">
        <v>0</v>
      </c>
      <c r="U16" s="14">
        <v>0</v>
      </c>
      <c r="V16" s="14">
        <v>200</v>
      </c>
      <c r="W16" s="14">
        <v>0</v>
      </c>
      <c r="X16" s="14">
        <v>0</v>
      </c>
      <c r="Y16" s="13"/>
    </row>
    <row r="17" spans="1:25" x14ac:dyDescent="0.35">
      <c r="A17" s="6" t="s">
        <v>25</v>
      </c>
      <c r="B17" s="8" t="s">
        <v>33</v>
      </c>
      <c r="C17" s="8"/>
      <c r="D17" s="7">
        <v>0</v>
      </c>
      <c r="E17" s="7">
        <v>54708113.420000002</v>
      </c>
      <c r="F17" s="7">
        <v>3812421.34</v>
      </c>
      <c r="G17" s="7">
        <v>50895692.079999998</v>
      </c>
      <c r="H17" s="7">
        <v>0</v>
      </c>
      <c r="I17" s="7">
        <v>0</v>
      </c>
      <c r="J17" s="7">
        <v>2678222.0699999998</v>
      </c>
      <c r="K17" s="7">
        <v>166767.4</v>
      </c>
      <c r="L17" s="7">
        <v>126375</v>
      </c>
      <c r="M17" s="7">
        <v>58571</v>
      </c>
      <c r="N17" s="7">
        <v>1805397.03</v>
      </c>
      <c r="O17" s="7">
        <v>0</v>
      </c>
      <c r="P17" s="7">
        <v>0</v>
      </c>
      <c r="Q17" s="7">
        <v>17000276.25</v>
      </c>
      <c r="R17" s="7">
        <v>4106024</v>
      </c>
      <c r="S17" s="7">
        <v>12222024.83</v>
      </c>
      <c r="T17" s="7">
        <v>8923260.5600000005</v>
      </c>
      <c r="U17" s="7">
        <v>90939</v>
      </c>
      <c r="V17" s="7">
        <v>1090068.31</v>
      </c>
      <c r="W17" s="7">
        <v>0</v>
      </c>
      <c r="X17" s="7">
        <v>2627766.63</v>
      </c>
      <c r="Y17" s="6"/>
    </row>
    <row r="18" spans="1:25" x14ac:dyDescent="0.35">
      <c r="A18" s="9" t="s">
        <v>27</v>
      </c>
      <c r="B18" s="11" t="s">
        <v>34</v>
      </c>
      <c r="C18" s="11"/>
      <c r="D18" s="10">
        <v>0</v>
      </c>
      <c r="E18" s="10">
        <v>21847343.579999998</v>
      </c>
      <c r="F18" s="10">
        <v>3318302.64</v>
      </c>
      <c r="G18" s="10">
        <v>18529040.940000001</v>
      </c>
      <c r="H18" s="10">
        <v>0</v>
      </c>
      <c r="I18" s="10">
        <v>0</v>
      </c>
      <c r="J18" s="10">
        <v>1325349</v>
      </c>
      <c r="K18" s="10">
        <v>153067.4</v>
      </c>
      <c r="L18" s="10">
        <v>112265</v>
      </c>
      <c r="M18" s="10">
        <v>45862</v>
      </c>
      <c r="N18" s="10">
        <v>1788027.03</v>
      </c>
      <c r="O18" s="10">
        <v>0</v>
      </c>
      <c r="P18" s="10">
        <v>0</v>
      </c>
      <c r="Q18" s="10">
        <v>491837</v>
      </c>
      <c r="R18" s="10">
        <v>3444302</v>
      </c>
      <c r="S18" s="10">
        <v>100692.8</v>
      </c>
      <c r="T18" s="10">
        <v>7995825.7000000002</v>
      </c>
      <c r="U18" s="10">
        <v>90939</v>
      </c>
      <c r="V18" s="10">
        <v>727689.17</v>
      </c>
      <c r="W18" s="10">
        <v>0</v>
      </c>
      <c r="X18" s="10">
        <v>2253184.84</v>
      </c>
      <c r="Y18" s="9"/>
    </row>
    <row r="19" spans="1:25" x14ac:dyDescent="0.35">
      <c r="A19" s="13" t="s">
        <v>26</v>
      </c>
      <c r="B19" s="13" t="s">
        <v>168</v>
      </c>
      <c r="C19" s="13" t="str">
        <f t="shared" ref="C19:C27" si="4">TRIM(B19)</f>
        <v>Consumables, Tools &amp; Spare Expense</v>
      </c>
      <c r="D19" s="14">
        <v>0</v>
      </c>
      <c r="E19" s="14">
        <v>101790</v>
      </c>
      <c r="F19" s="14">
        <v>130</v>
      </c>
      <c r="G19" s="14">
        <v>101660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81690</v>
      </c>
      <c r="U19" s="14">
        <v>0</v>
      </c>
      <c r="V19" s="14">
        <v>19970</v>
      </c>
      <c r="W19" s="14">
        <v>0</v>
      </c>
      <c r="X19" s="14">
        <v>0</v>
      </c>
      <c r="Y19" s="13"/>
    </row>
    <row r="20" spans="1:25" x14ac:dyDescent="0.35">
      <c r="A20" s="13" t="s">
        <v>26</v>
      </c>
      <c r="B20" s="13" t="s">
        <v>169</v>
      </c>
      <c r="C20" s="13" t="str">
        <f t="shared" si="4"/>
        <v>Electricity Exp (Staff Colony)</v>
      </c>
      <c r="D20" s="14">
        <v>0</v>
      </c>
      <c r="E20" s="14">
        <v>120755.94</v>
      </c>
      <c r="F20" s="14">
        <v>1400</v>
      </c>
      <c r="G20" s="14">
        <v>119355.94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7720</v>
      </c>
      <c r="S20" s="14">
        <v>54672</v>
      </c>
      <c r="T20" s="14">
        <v>38915</v>
      </c>
      <c r="U20" s="14">
        <v>0</v>
      </c>
      <c r="V20" s="14">
        <v>18048.939999999999</v>
      </c>
      <c r="W20" s="14">
        <v>0</v>
      </c>
      <c r="X20" s="14">
        <v>0</v>
      </c>
      <c r="Y20" s="13"/>
    </row>
    <row r="21" spans="1:25" x14ac:dyDescent="0.35">
      <c r="A21" s="13" t="s">
        <v>26</v>
      </c>
      <c r="B21" s="13" t="s">
        <v>170</v>
      </c>
      <c r="C21" s="13" t="str">
        <f t="shared" si="4"/>
        <v>Factory Expense</v>
      </c>
      <c r="D21" s="14">
        <v>0</v>
      </c>
      <c r="E21" s="14">
        <v>176757.02</v>
      </c>
      <c r="F21" s="14">
        <v>0</v>
      </c>
      <c r="G21" s="14">
        <v>176757.02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16540</v>
      </c>
      <c r="O21" s="14">
        <v>0</v>
      </c>
      <c r="P21" s="14">
        <v>0</v>
      </c>
      <c r="Q21" s="14">
        <v>0</v>
      </c>
      <c r="R21" s="14">
        <v>5025</v>
      </c>
      <c r="S21" s="14">
        <v>26020.799999999999</v>
      </c>
      <c r="T21" s="14">
        <v>14063.22</v>
      </c>
      <c r="U21" s="14">
        <v>0</v>
      </c>
      <c r="V21" s="14">
        <v>17360</v>
      </c>
      <c r="W21" s="14">
        <v>0</v>
      </c>
      <c r="X21" s="14">
        <v>97748</v>
      </c>
      <c r="Y21" s="13"/>
    </row>
    <row r="22" spans="1:25" x14ac:dyDescent="0.35">
      <c r="A22" s="13" t="s">
        <v>26</v>
      </c>
      <c r="B22" s="13" t="s">
        <v>171</v>
      </c>
      <c r="C22" s="13" t="str">
        <f t="shared" si="4"/>
        <v>Labour Charges</v>
      </c>
      <c r="D22" s="14">
        <v>0</v>
      </c>
      <c r="E22" s="14">
        <v>4691559.4800000004</v>
      </c>
      <c r="F22" s="14">
        <v>13900</v>
      </c>
      <c r="G22" s="14">
        <v>4677659.4800000004</v>
      </c>
      <c r="H22" s="14">
        <v>0</v>
      </c>
      <c r="I22" s="14">
        <v>0</v>
      </c>
      <c r="J22" s="14">
        <v>0</v>
      </c>
      <c r="K22" s="14">
        <v>0</v>
      </c>
      <c r="L22" s="14">
        <v>500</v>
      </c>
      <c r="M22" s="14">
        <v>0</v>
      </c>
      <c r="N22" s="14">
        <v>118727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4558432.4800000004</v>
      </c>
      <c r="U22" s="14">
        <v>0</v>
      </c>
      <c r="V22" s="14">
        <v>0</v>
      </c>
      <c r="W22" s="14">
        <v>0</v>
      </c>
      <c r="X22" s="14">
        <v>0</v>
      </c>
      <c r="Y22" s="13"/>
    </row>
    <row r="23" spans="1:25" x14ac:dyDescent="0.35">
      <c r="A23" s="13" t="s">
        <v>26</v>
      </c>
      <c r="B23" s="13" t="s">
        <v>172</v>
      </c>
      <c r="C23" s="13" t="str">
        <f t="shared" si="4"/>
        <v>Power Expense</v>
      </c>
      <c r="D23" s="14">
        <v>0</v>
      </c>
      <c r="E23" s="14">
        <v>15323681.140000001</v>
      </c>
      <c r="F23" s="14">
        <v>3302872.64</v>
      </c>
      <c r="G23" s="14">
        <v>12020808.5</v>
      </c>
      <c r="H23" s="14">
        <v>0</v>
      </c>
      <c r="I23" s="14">
        <v>0</v>
      </c>
      <c r="J23" s="14">
        <v>1300349</v>
      </c>
      <c r="K23" s="14">
        <v>153067.4</v>
      </c>
      <c r="L23" s="14">
        <v>58765</v>
      </c>
      <c r="M23" s="14">
        <v>0</v>
      </c>
      <c r="N23" s="14">
        <v>1652760.03</v>
      </c>
      <c r="O23" s="14">
        <v>0</v>
      </c>
      <c r="P23" s="14">
        <v>0</v>
      </c>
      <c r="Q23" s="14">
        <v>1787</v>
      </c>
      <c r="R23" s="14">
        <v>3333557</v>
      </c>
      <c r="S23" s="14">
        <v>0</v>
      </c>
      <c r="T23" s="14">
        <v>3130725</v>
      </c>
      <c r="U23" s="14">
        <v>0</v>
      </c>
      <c r="V23" s="14">
        <v>345077.23</v>
      </c>
      <c r="W23" s="14">
        <v>0</v>
      </c>
      <c r="X23" s="14">
        <v>2044720.84</v>
      </c>
      <c r="Y23" s="13"/>
    </row>
    <row r="24" spans="1:25" x14ac:dyDescent="0.35">
      <c r="A24" s="13" t="s">
        <v>26</v>
      </c>
      <c r="B24" s="13" t="s">
        <v>173</v>
      </c>
      <c r="C24" s="13" t="str">
        <f t="shared" si="4"/>
        <v>Rent Expense - Colony</v>
      </c>
      <c r="D24" s="14">
        <v>0</v>
      </c>
      <c r="E24" s="14">
        <v>495482</v>
      </c>
      <c r="F24" s="14">
        <v>0</v>
      </c>
      <c r="G24" s="14">
        <v>495482</v>
      </c>
      <c r="H24" s="14">
        <v>0</v>
      </c>
      <c r="I24" s="14">
        <v>0</v>
      </c>
      <c r="J24" s="14">
        <v>0</v>
      </c>
      <c r="K24" s="14">
        <v>0</v>
      </c>
      <c r="L24" s="14">
        <v>53000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98000</v>
      </c>
      <c r="S24" s="14">
        <v>20000</v>
      </c>
      <c r="T24" s="14">
        <v>172000</v>
      </c>
      <c r="U24" s="14">
        <v>0</v>
      </c>
      <c r="V24" s="14">
        <v>66766</v>
      </c>
      <c r="W24" s="14">
        <v>0</v>
      </c>
      <c r="X24" s="14">
        <v>85716</v>
      </c>
      <c r="Y24" s="13"/>
    </row>
    <row r="25" spans="1:25" x14ac:dyDescent="0.35">
      <c r="A25" s="13" t="s">
        <v>26</v>
      </c>
      <c r="B25" s="13" t="s">
        <v>174</v>
      </c>
      <c r="C25" s="13" t="str">
        <f t="shared" si="4"/>
        <v>Rent Expense - Factory</v>
      </c>
      <c r="D25" s="14">
        <v>0</v>
      </c>
      <c r="E25" s="14">
        <v>775517</v>
      </c>
      <c r="F25" s="14">
        <v>0</v>
      </c>
      <c r="G25" s="14">
        <v>775517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490050</v>
      </c>
      <c r="R25" s="14">
        <v>0</v>
      </c>
      <c r="S25" s="14">
        <v>0</v>
      </c>
      <c r="T25" s="14">
        <v>0</v>
      </c>
      <c r="U25" s="14">
        <v>0</v>
      </c>
      <c r="V25" s="14">
        <v>260467</v>
      </c>
      <c r="W25" s="14">
        <v>0</v>
      </c>
      <c r="X25" s="14">
        <v>25000</v>
      </c>
      <c r="Y25" s="13"/>
    </row>
    <row r="26" spans="1:25" x14ac:dyDescent="0.35">
      <c r="A26" s="13" t="s">
        <v>26</v>
      </c>
      <c r="B26" s="13" t="s">
        <v>175</v>
      </c>
      <c r="C26" s="13" t="str">
        <f t="shared" si="4"/>
        <v>Rent Expense - Godown</v>
      </c>
      <c r="D26" s="14">
        <v>0</v>
      </c>
      <c r="E26" s="14">
        <v>136801</v>
      </c>
      <c r="F26" s="14">
        <v>0</v>
      </c>
      <c r="G26" s="14">
        <v>136801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45862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90939</v>
      </c>
      <c r="V26" s="14">
        <v>0</v>
      </c>
      <c r="W26" s="14">
        <v>0</v>
      </c>
      <c r="X26" s="14">
        <v>0</v>
      </c>
      <c r="Y26" s="13"/>
    </row>
    <row r="27" spans="1:25" x14ac:dyDescent="0.35">
      <c r="A27" s="13" t="s">
        <v>26</v>
      </c>
      <c r="B27" s="13" t="s">
        <v>176</v>
      </c>
      <c r="C27" s="13" t="str">
        <f t="shared" si="4"/>
        <v>Rent Expenses - Machineries</v>
      </c>
      <c r="D27" s="14">
        <v>0</v>
      </c>
      <c r="E27" s="14">
        <v>25000</v>
      </c>
      <c r="F27" s="14">
        <v>0</v>
      </c>
      <c r="G27" s="14">
        <v>25000</v>
      </c>
      <c r="H27" s="14">
        <v>0</v>
      </c>
      <c r="I27" s="14">
        <v>0</v>
      </c>
      <c r="J27" s="14">
        <v>25000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3"/>
    </row>
    <row r="28" spans="1:25" x14ac:dyDescent="0.35">
      <c r="A28" s="9" t="s">
        <v>27</v>
      </c>
      <c r="B28" s="11" t="s">
        <v>35</v>
      </c>
      <c r="C28" s="11"/>
      <c r="D28" s="10">
        <v>0</v>
      </c>
      <c r="E28" s="10">
        <v>32543184.440000001</v>
      </c>
      <c r="F28" s="10">
        <v>486640.7</v>
      </c>
      <c r="G28" s="10">
        <v>32056543.739999998</v>
      </c>
      <c r="H28" s="10">
        <v>0</v>
      </c>
      <c r="I28" s="10">
        <v>0</v>
      </c>
      <c r="J28" s="10">
        <v>1250242.67</v>
      </c>
      <c r="K28" s="10">
        <v>11800</v>
      </c>
      <c r="L28" s="10">
        <v>560</v>
      </c>
      <c r="M28" s="10">
        <v>12709</v>
      </c>
      <c r="N28" s="10">
        <v>1070</v>
      </c>
      <c r="O28" s="10">
        <v>0</v>
      </c>
      <c r="P28" s="10">
        <v>0</v>
      </c>
      <c r="Q28" s="10">
        <v>16508439.25</v>
      </c>
      <c r="R28" s="10">
        <v>634138</v>
      </c>
      <c r="S28" s="10">
        <v>12075532.029999999</v>
      </c>
      <c r="T28" s="10">
        <v>883454.86</v>
      </c>
      <c r="U28" s="10">
        <v>0</v>
      </c>
      <c r="V28" s="10">
        <v>337016.14</v>
      </c>
      <c r="W28" s="10">
        <v>0</v>
      </c>
      <c r="X28" s="10">
        <v>341581.79</v>
      </c>
      <c r="Y28" s="9"/>
    </row>
    <row r="29" spans="1:25" x14ac:dyDescent="0.35">
      <c r="A29" s="13" t="s">
        <v>26</v>
      </c>
      <c r="B29" s="13" t="s">
        <v>177</v>
      </c>
      <c r="C29" s="13" t="str">
        <f t="shared" ref="C29:C37" si="5">TRIM(B29)</f>
        <v>Exchange Rate Difference - Creditor</v>
      </c>
      <c r="D29" s="14">
        <v>0</v>
      </c>
      <c r="E29" s="14">
        <v>347856.42</v>
      </c>
      <c r="F29" s="14">
        <v>462476.7</v>
      </c>
      <c r="G29" s="14">
        <v>-114620.28</v>
      </c>
      <c r="H29" s="14">
        <v>0</v>
      </c>
      <c r="I29" s="14">
        <v>0</v>
      </c>
      <c r="J29" s="14">
        <v>-242649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324602.82</v>
      </c>
      <c r="R29" s="14">
        <v>0</v>
      </c>
      <c r="S29" s="14">
        <v>-196827.7</v>
      </c>
      <c r="T29" s="14">
        <v>253.6</v>
      </c>
      <c r="U29" s="14">
        <v>0</v>
      </c>
      <c r="V29" s="14">
        <v>0</v>
      </c>
      <c r="W29" s="14">
        <v>0</v>
      </c>
      <c r="X29" s="14">
        <v>0</v>
      </c>
      <c r="Y29" s="13"/>
    </row>
    <row r="30" spans="1:25" x14ac:dyDescent="0.35">
      <c r="A30" s="13" t="s">
        <v>26</v>
      </c>
      <c r="B30" s="13" t="s">
        <v>178</v>
      </c>
      <c r="C30" s="13" t="str">
        <f t="shared" si="5"/>
        <v>Freight Expense - Job In</v>
      </c>
      <c r="D30" s="14">
        <v>0</v>
      </c>
      <c r="E30" s="14">
        <v>70</v>
      </c>
      <c r="F30" s="14">
        <v>0</v>
      </c>
      <c r="G30" s="14">
        <v>70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70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3"/>
    </row>
    <row r="31" spans="1:25" x14ac:dyDescent="0.35">
      <c r="A31" s="13" t="s">
        <v>26</v>
      </c>
      <c r="B31" s="13" t="s">
        <v>179</v>
      </c>
      <c r="C31" s="13" t="str">
        <f t="shared" si="5"/>
        <v>Insurance Expenses - Plant</v>
      </c>
      <c r="D31" s="14">
        <v>0</v>
      </c>
      <c r="E31" s="14">
        <v>1990775</v>
      </c>
      <c r="F31" s="14">
        <v>0</v>
      </c>
      <c r="G31" s="14">
        <v>1990775</v>
      </c>
      <c r="H31" s="14">
        <v>0</v>
      </c>
      <c r="I31" s="14">
        <v>0</v>
      </c>
      <c r="J31" s="14">
        <v>1374647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616128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3"/>
    </row>
    <row r="32" spans="1:25" x14ac:dyDescent="0.35">
      <c r="A32" s="13" t="s">
        <v>26</v>
      </c>
      <c r="B32" s="13" t="s">
        <v>180</v>
      </c>
      <c r="C32" s="13" t="str">
        <f t="shared" si="5"/>
        <v>Internal Transportation Expense / Reimbursement</v>
      </c>
      <c r="D32" s="14">
        <v>0</v>
      </c>
      <c r="E32" s="14">
        <v>157492</v>
      </c>
      <c r="F32" s="14">
        <v>5100</v>
      </c>
      <c r="G32" s="14">
        <v>152392</v>
      </c>
      <c r="H32" s="14">
        <v>0</v>
      </c>
      <c r="I32" s="14">
        <v>0</v>
      </c>
      <c r="J32" s="14">
        <v>7312</v>
      </c>
      <c r="K32" s="14">
        <v>11800</v>
      </c>
      <c r="L32" s="14">
        <v>560</v>
      </c>
      <c r="M32" s="14">
        <v>0</v>
      </c>
      <c r="N32" s="14">
        <v>1000</v>
      </c>
      <c r="O32" s="14">
        <v>0</v>
      </c>
      <c r="P32" s="14">
        <v>0</v>
      </c>
      <c r="Q32" s="14">
        <v>0</v>
      </c>
      <c r="R32" s="14">
        <v>11660</v>
      </c>
      <c r="S32" s="14">
        <v>0</v>
      </c>
      <c r="T32" s="14">
        <v>0</v>
      </c>
      <c r="U32" s="14">
        <v>0</v>
      </c>
      <c r="V32" s="14">
        <v>4950</v>
      </c>
      <c r="W32" s="14">
        <v>0</v>
      </c>
      <c r="X32" s="14">
        <v>115110</v>
      </c>
      <c r="Y32" s="13"/>
    </row>
    <row r="33" spans="1:25" x14ac:dyDescent="0.35">
      <c r="A33" s="13" t="s">
        <v>26</v>
      </c>
      <c r="B33" s="13" t="s">
        <v>181</v>
      </c>
      <c r="C33" s="13" t="str">
        <f t="shared" si="5"/>
        <v>Job Charges</v>
      </c>
      <c r="D33" s="14">
        <v>0</v>
      </c>
      <c r="E33" s="14">
        <v>29630339.02</v>
      </c>
      <c r="F33" s="14">
        <v>11929</v>
      </c>
      <c r="G33" s="14">
        <v>29618410.02</v>
      </c>
      <c r="H33" s="14">
        <v>0</v>
      </c>
      <c r="I33" s="14">
        <v>0</v>
      </c>
      <c r="J33" s="14">
        <v>52267.67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16175677.43</v>
      </c>
      <c r="R33" s="14">
        <v>0</v>
      </c>
      <c r="S33" s="14">
        <v>12261729.73</v>
      </c>
      <c r="T33" s="14">
        <v>741877.26</v>
      </c>
      <c r="U33" s="14">
        <v>0</v>
      </c>
      <c r="V33" s="14">
        <v>237286.14</v>
      </c>
      <c r="W33" s="14">
        <v>0</v>
      </c>
      <c r="X33" s="14">
        <v>149571.79</v>
      </c>
      <c r="Y33" s="13"/>
    </row>
    <row r="34" spans="1:25" x14ac:dyDescent="0.35">
      <c r="A34" s="13" t="s">
        <v>26</v>
      </c>
      <c r="B34" s="13" t="s">
        <v>182</v>
      </c>
      <c r="C34" s="13" t="str">
        <f t="shared" si="5"/>
        <v>Loading &amp; Unloading Expense</v>
      </c>
      <c r="D34" s="14">
        <v>0</v>
      </c>
      <c r="E34" s="14">
        <v>112512</v>
      </c>
      <c r="F34" s="14">
        <v>2000</v>
      </c>
      <c r="G34" s="14">
        <v>110512</v>
      </c>
      <c r="H34" s="14">
        <v>0</v>
      </c>
      <c r="I34" s="14">
        <v>0</v>
      </c>
      <c r="J34" s="14">
        <v>1000</v>
      </c>
      <c r="K34" s="14">
        <v>0</v>
      </c>
      <c r="L34" s="14">
        <v>0</v>
      </c>
      <c r="M34" s="14">
        <v>12709</v>
      </c>
      <c r="N34" s="14">
        <v>0</v>
      </c>
      <c r="O34" s="14">
        <v>0</v>
      </c>
      <c r="P34" s="14">
        <v>0</v>
      </c>
      <c r="Q34" s="14">
        <v>2369</v>
      </c>
      <c r="R34" s="14">
        <v>3050</v>
      </c>
      <c r="S34" s="14">
        <v>3880</v>
      </c>
      <c r="T34" s="14">
        <v>82694</v>
      </c>
      <c r="U34" s="14">
        <v>0</v>
      </c>
      <c r="V34" s="14">
        <v>4810</v>
      </c>
      <c r="W34" s="14">
        <v>0</v>
      </c>
      <c r="X34" s="14">
        <v>0</v>
      </c>
      <c r="Y34" s="13"/>
    </row>
    <row r="35" spans="1:25" x14ac:dyDescent="0.35">
      <c r="A35" s="13" t="s">
        <v>26</v>
      </c>
      <c r="B35" s="13" t="s">
        <v>183</v>
      </c>
      <c r="C35" s="13" t="str">
        <f t="shared" si="5"/>
        <v>Testing Charges</v>
      </c>
      <c r="D35" s="14">
        <v>0</v>
      </c>
      <c r="E35" s="14">
        <v>78850</v>
      </c>
      <c r="F35" s="14">
        <v>0</v>
      </c>
      <c r="G35" s="14">
        <v>78850</v>
      </c>
      <c r="H35" s="14">
        <v>0</v>
      </c>
      <c r="I35" s="14">
        <v>0</v>
      </c>
      <c r="J35" s="14">
        <v>62800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3300</v>
      </c>
      <c r="S35" s="14">
        <v>6750</v>
      </c>
      <c r="T35" s="14">
        <v>6000</v>
      </c>
      <c r="U35" s="14">
        <v>0</v>
      </c>
      <c r="V35" s="14">
        <v>0</v>
      </c>
      <c r="W35" s="14">
        <v>0</v>
      </c>
      <c r="X35" s="14">
        <v>0</v>
      </c>
      <c r="Y35" s="13"/>
    </row>
    <row r="36" spans="1:25" x14ac:dyDescent="0.35">
      <c r="A36" s="13" t="s">
        <v>26</v>
      </c>
      <c r="B36" s="13" t="s">
        <v>184</v>
      </c>
      <c r="C36" s="13" t="str">
        <f t="shared" si="5"/>
        <v>Water Charges</v>
      </c>
      <c r="D36" s="14">
        <v>0</v>
      </c>
      <c r="E36" s="14">
        <v>188520</v>
      </c>
      <c r="F36" s="14">
        <v>0</v>
      </c>
      <c r="G36" s="14">
        <v>188520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26920</v>
      </c>
      <c r="U36" s="14">
        <v>0</v>
      </c>
      <c r="V36" s="14">
        <v>84700</v>
      </c>
      <c r="W36" s="14">
        <v>0</v>
      </c>
      <c r="X36" s="14">
        <v>76900</v>
      </c>
      <c r="Y36" s="13"/>
    </row>
    <row r="37" spans="1:25" x14ac:dyDescent="0.35">
      <c r="A37" s="13" t="s">
        <v>26</v>
      </c>
      <c r="B37" s="13" t="s">
        <v>185</v>
      </c>
      <c r="C37" s="13" t="str">
        <f t="shared" si="5"/>
        <v>Weighment Expense</v>
      </c>
      <c r="D37" s="14">
        <v>0</v>
      </c>
      <c r="E37" s="14">
        <v>36770</v>
      </c>
      <c r="F37" s="14">
        <v>5135</v>
      </c>
      <c r="G37" s="14">
        <v>31635</v>
      </c>
      <c r="H37" s="14">
        <v>0</v>
      </c>
      <c r="I37" s="14">
        <v>0</v>
      </c>
      <c r="J37" s="14">
        <v>-5135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5790</v>
      </c>
      <c r="R37" s="14">
        <v>0</v>
      </c>
      <c r="S37" s="14">
        <v>0</v>
      </c>
      <c r="T37" s="14">
        <v>25710</v>
      </c>
      <c r="U37" s="14">
        <v>0</v>
      </c>
      <c r="V37" s="14">
        <v>5270</v>
      </c>
      <c r="W37" s="14">
        <v>0</v>
      </c>
      <c r="X37" s="14">
        <v>0</v>
      </c>
      <c r="Y37" s="13"/>
    </row>
    <row r="38" spans="1:25" x14ac:dyDescent="0.35">
      <c r="A38" s="9" t="s">
        <v>27</v>
      </c>
      <c r="B38" s="11" t="s">
        <v>36</v>
      </c>
      <c r="C38" s="11"/>
      <c r="D38" s="10">
        <v>0</v>
      </c>
      <c r="E38" s="10">
        <v>317585.40000000002</v>
      </c>
      <c r="F38" s="10">
        <v>7478</v>
      </c>
      <c r="G38" s="10">
        <v>310107.40000000002</v>
      </c>
      <c r="H38" s="10">
        <v>0</v>
      </c>
      <c r="I38" s="10">
        <v>0</v>
      </c>
      <c r="J38" s="10">
        <v>102630.39999999999</v>
      </c>
      <c r="K38" s="10">
        <v>1900</v>
      </c>
      <c r="L38" s="10">
        <v>13550</v>
      </c>
      <c r="M38" s="10">
        <v>0</v>
      </c>
      <c r="N38" s="10">
        <v>16300</v>
      </c>
      <c r="O38" s="10">
        <v>0</v>
      </c>
      <c r="P38" s="10">
        <v>0</v>
      </c>
      <c r="Q38" s="10">
        <v>0</v>
      </c>
      <c r="R38" s="10">
        <v>27584</v>
      </c>
      <c r="S38" s="10">
        <v>45800</v>
      </c>
      <c r="T38" s="10">
        <v>43980</v>
      </c>
      <c r="U38" s="10">
        <v>0</v>
      </c>
      <c r="V38" s="10">
        <v>25363</v>
      </c>
      <c r="W38" s="10">
        <v>0</v>
      </c>
      <c r="X38" s="10">
        <v>33000</v>
      </c>
      <c r="Y38" s="9"/>
    </row>
    <row r="39" spans="1:25" x14ac:dyDescent="0.35">
      <c r="A39" s="13" t="s">
        <v>26</v>
      </c>
      <c r="B39" s="13" t="s">
        <v>186</v>
      </c>
      <c r="C39" s="13" t="str">
        <f>TRIM(B39)</f>
        <v>Repairs &amp; Maintenance Exp - Plant &amp; Machinery</v>
      </c>
      <c r="D39" s="14">
        <v>0</v>
      </c>
      <c r="E39" s="14">
        <v>317585.40000000002</v>
      </c>
      <c r="F39" s="14">
        <v>7478</v>
      </c>
      <c r="G39" s="14">
        <v>310107.40000000002</v>
      </c>
      <c r="H39" s="14">
        <v>0</v>
      </c>
      <c r="I39" s="14">
        <v>0</v>
      </c>
      <c r="J39" s="14">
        <v>102630.39999999999</v>
      </c>
      <c r="K39" s="14">
        <v>1900</v>
      </c>
      <c r="L39" s="14">
        <v>13550</v>
      </c>
      <c r="M39" s="14">
        <v>0</v>
      </c>
      <c r="N39" s="14">
        <v>16300</v>
      </c>
      <c r="O39" s="14">
        <v>0</v>
      </c>
      <c r="P39" s="14">
        <v>0</v>
      </c>
      <c r="Q39" s="14">
        <v>0</v>
      </c>
      <c r="R39" s="14">
        <v>27584</v>
      </c>
      <c r="S39" s="14">
        <v>45800</v>
      </c>
      <c r="T39" s="14">
        <v>43980</v>
      </c>
      <c r="U39" s="14">
        <v>0</v>
      </c>
      <c r="V39" s="14">
        <v>25363</v>
      </c>
      <c r="W39" s="14">
        <v>0</v>
      </c>
      <c r="X39" s="14">
        <v>33000</v>
      </c>
      <c r="Y39" s="13"/>
    </row>
    <row r="40" spans="1:25" x14ac:dyDescent="0.35">
      <c r="A40" s="6" t="s">
        <v>25</v>
      </c>
      <c r="B40" s="8" t="s">
        <v>37</v>
      </c>
      <c r="C40" s="8"/>
      <c r="D40" s="7">
        <v>0</v>
      </c>
      <c r="E40" s="7">
        <v>647922393.13</v>
      </c>
      <c r="F40" s="7">
        <v>1726031.15</v>
      </c>
      <c r="G40" s="7">
        <v>646196361.98000002</v>
      </c>
      <c r="H40" s="7">
        <v>0</v>
      </c>
      <c r="I40" s="7">
        <v>0</v>
      </c>
      <c r="J40" s="7">
        <v>16913464.539999999</v>
      </c>
      <c r="K40" s="7">
        <v>639257.73</v>
      </c>
      <c r="L40" s="7">
        <v>3240646.06</v>
      </c>
      <c r="M40" s="7">
        <v>38511049.770000003</v>
      </c>
      <c r="N40" s="7">
        <v>81362470.969999999</v>
      </c>
      <c r="O40" s="7">
        <v>38519.199999999997</v>
      </c>
      <c r="P40" s="7">
        <v>0</v>
      </c>
      <c r="Q40" s="7">
        <v>54686439.909999996</v>
      </c>
      <c r="R40" s="7">
        <v>9174075.4499999993</v>
      </c>
      <c r="S40" s="7">
        <v>179572897.06</v>
      </c>
      <c r="T40" s="7">
        <v>87490314.180000007</v>
      </c>
      <c r="U40" s="7">
        <v>0</v>
      </c>
      <c r="V40" s="7">
        <v>65392293.560000002</v>
      </c>
      <c r="W40" s="7">
        <v>21688588.859999999</v>
      </c>
      <c r="X40" s="7">
        <v>87486344.689999998</v>
      </c>
      <c r="Y40" s="6"/>
    </row>
    <row r="41" spans="1:25" x14ac:dyDescent="0.35">
      <c r="A41" s="9" t="s">
        <v>27</v>
      </c>
      <c r="B41" s="11" t="s">
        <v>38</v>
      </c>
      <c r="C41" s="11"/>
      <c r="D41" s="10">
        <v>0</v>
      </c>
      <c r="E41" s="10">
        <v>87810106.450000003</v>
      </c>
      <c r="F41" s="10">
        <v>0</v>
      </c>
      <c r="G41" s="10">
        <v>87810106.450000003</v>
      </c>
      <c r="H41" s="10">
        <v>0</v>
      </c>
      <c r="I41" s="10">
        <v>0</v>
      </c>
      <c r="J41" s="10">
        <v>0</v>
      </c>
      <c r="K41" s="10">
        <v>6478.95</v>
      </c>
      <c r="L41" s="10">
        <v>15750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18333287.530000001</v>
      </c>
      <c r="T41" s="10">
        <v>26162036.940000001</v>
      </c>
      <c r="U41" s="10">
        <v>0</v>
      </c>
      <c r="V41" s="10">
        <v>43193423.030000001</v>
      </c>
      <c r="W41" s="10">
        <v>0</v>
      </c>
      <c r="X41" s="10">
        <v>99130</v>
      </c>
      <c r="Y41" s="9"/>
    </row>
    <row r="42" spans="1:25" x14ac:dyDescent="0.35">
      <c r="A42" s="13" t="s">
        <v>26</v>
      </c>
      <c r="B42" s="13" t="s">
        <v>187</v>
      </c>
      <c r="C42" s="13" t="str">
        <f t="shared" ref="C42:C45" si="6">TRIM(B42)</f>
        <v>Branch Transfer In - Packing Material</v>
      </c>
      <c r="D42" s="14">
        <v>0</v>
      </c>
      <c r="E42" s="14">
        <v>562762</v>
      </c>
      <c r="F42" s="14">
        <v>0</v>
      </c>
      <c r="G42" s="14">
        <v>562762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440832</v>
      </c>
      <c r="T42" s="14">
        <v>22800</v>
      </c>
      <c r="U42" s="14">
        <v>0</v>
      </c>
      <c r="V42" s="14">
        <v>0</v>
      </c>
      <c r="W42" s="14">
        <v>0</v>
      </c>
      <c r="X42" s="14">
        <v>99130</v>
      </c>
      <c r="Y42" s="13"/>
    </row>
    <row r="43" spans="1:25" x14ac:dyDescent="0.35">
      <c r="A43" s="13" t="s">
        <v>26</v>
      </c>
      <c r="B43" s="13" t="s">
        <v>188</v>
      </c>
      <c r="C43" s="13" t="str">
        <f t="shared" si="6"/>
        <v>Branch Transfer In - Raw Material</v>
      </c>
      <c r="D43" s="14">
        <v>0</v>
      </c>
      <c r="E43" s="14">
        <v>83975453.379999995</v>
      </c>
      <c r="F43" s="14">
        <v>0</v>
      </c>
      <c r="G43" s="14">
        <v>83975453.379999995</v>
      </c>
      <c r="H43" s="14">
        <v>0</v>
      </c>
      <c r="I43" s="14">
        <v>0</v>
      </c>
      <c r="J43" s="14">
        <v>0</v>
      </c>
      <c r="K43" s="14">
        <v>6478.95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17880555.530000001</v>
      </c>
      <c r="T43" s="14">
        <v>26139236.940000001</v>
      </c>
      <c r="U43" s="14">
        <v>0</v>
      </c>
      <c r="V43" s="14">
        <v>39949181.960000001</v>
      </c>
      <c r="W43" s="14">
        <v>0</v>
      </c>
      <c r="X43" s="14">
        <v>0</v>
      </c>
      <c r="Y43" s="13"/>
    </row>
    <row r="44" spans="1:25" x14ac:dyDescent="0.35">
      <c r="A44" s="13" t="s">
        <v>26</v>
      </c>
      <c r="B44" s="13" t="s">
        <v>189</v>
      </c>
      <c r="C44" s="13" t="str">
        <f t="shared" si="6"/>
        <v>Branch Transfer In - Stores, Spares &amp; Consumable</v>
      </c>
      <c r="D44" s="14">
        <v>0</v>
      </c>
      <c r="E44" s="14">
        <v>406581.2</v>
      </c>
      <c r="F44" s="14">
        <v>0</v>
      </c>
      <c r="G44" s="14">
        <v>406581.2</v>
      </c>
      <c r="H44" s="14">
        <v>0</v>
      </c>
      <c r="I44" s="14">
        <v>0</v>
      </c>
      <c r="J44" s="14">
        <v>0</v>
      </c>
      <c r="K44" s="14">
        <v>0</v>
      </c>
      <c r="L44" s="14">
        <v>15750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11900</v>
      </c>
      <c r="T44" s="14">
        <v>0</v>
      </c>
      <c r="U44" s="14">
        <v>0</v>
      </c>
      <c r="V44" s="14">
        <v>378931.20000000001</v>
      </c>
      <c r="W44" s="14">
        <v>0</v>
      </c>
      <c r="X44" s="14">
        <v>0</v>
      </c>
      <c r="Y44" s="13"/>
    </row>
    <row r="45" spans="1:25" x14ac:dyDescent="0.35">
      <c r="A45" s="13" t="s">
        <v>26</v>
      </c>
      <c r="B45" s="13" t="s">
        <v>190</v>
      </c>
      <c r="C45" s="13" t="str">
        <f t="shared" si="6"/>
        <v>Branch Transfer In - Trading</v>
      </c>
      <c r="D45" s="14">
        <v>0</v>
      </c>
      <c r="E45" s="14">
        <v>2865309.87</v>
      </c>
      <c r="F45" s="14">
        <v>0</v>
      </c>
      <c r="G45" s="14">
        <v>2865309.87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2865309.87</v>
      </c>
      <c r="W45" s="14">
        <v>0</v>
      </c>
      <c r="X45" s="14">
        <v>0</v>
      </c>
      <c r="Y45" s="13"/>
    </row>
    <row r="46" spans="1:25" x14ac:dyDescent="0.35">
      <c r="A46" s="9" t="s">
        <v>27</v>
      </c>
      <c r="B46" s="11" t="s">
        <v>39</v>
      </c>
      <c r="C46" s="11"/>
      <c r="D46" s="10">
        <v>0</v>
      </c>
      <c r="E46" s="10">
        <v>95509697.230000004</v>
      </c>
      <c r="F46" s="10">
        <v>0</v>
      </c>
      <c r="G46" s="10">
        <v>95509697.230000004</v>
      </c>
      <c r="H46" s="10">
        <v>0</v>
      </c>
      <c r="I46" s="10">
        <v>0</v>
      </c>
      <c r="J46" s="10">
        <v>13287483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75912529.75</v>
      </c>
      <c r="T46" s="10">
        <v>0</v>
      </c>
      <c r="U46" s="10">
        <v>0</v>
      </c>
      <c r="V46" s="10">
        <v>6309684.4800000004</v>
      </c>
      <c r="W46" s="10">
        <v>0</v>
      </c>
      <c r="X46" s="10">
        <v>0</v>
      </c>
      <c r="Y46" s="9"/>
    </row>
    <row r="47" spans="1:25" x14ac:dyDescent="0.35">
      <c r="A47" s="13" t="s">
        <v>26</v>
      </c>
      <c r="B47" s="13" t="s">
        <v>191</v>
      </c>
      <c r="C47" s="13" t="str">
        <f>TRIM(B47)</f>
        <v>Purchase Raw Material - Direct Import</v>
      </c>
      <c r="D47" s="14">
        <v>0</v>
      </c>
      <c r="E47" s="14">
        <v>95509697.230000004</v>
      </c>
      <c r="F47" s="14">
        <v>0</v>
      </c>
      <c r="G47" s="14">
        <v>95509697.230000004</v>
      </c>
      <c r="H47" s="14">
        <v>0</v>
      </c>
      <c r="I47" s="14">
        <v>0</v>
      </c>
      <c r="J47" s="14">
        <v>13287483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75912529.75</v>
      </c>
      <c r="T47" s="14">
        <v>0</v>
      </c>
      <c r="U47" s="14">
        <v>0</v>
      </c>
      <c r="V47" s="14">
        <v>6309684.4800000004</v>
      </c>
      <c r="W47" s="14">
        <v>0</v>
      </c>
      <c r="X47" s="14">
        <v>0</v>
      </c>
      <c r="Y47" s="13"/>
    </row>
    <row r="48" spans="1:25" x14ac:dyDescent="0.35">
      <c r="A48" s="9" t="s">
        <v>27</v>
      </c>
      <c r="B48" s="11" t="s">
        <v>40</v>
      </c>
      <c r="C48" s="11"/>
      <c r="D48" s="10">
        <v>0</v>
      </c>
      <c r="E48" s="10">
        <v>4836267.6399999997</v>
      </c>
      <c r="F48" s="10">
        <v>15543</v>
      </c>
      <c r="G48" s="10">
        <v>4820724.6399999997</v>
      </c>
      <c r="H48" s="10">
        <v>0</v>
      </c>
      <c r="I48" s="10">
        <v>0</v>
      </c>
      <c r="J48" s="10">
        <v>431774.84</v>
      </c>
      <c r="K48" s="10">
        <v>0</v>
      </c>
      <c r="L48" s="10">
        <v>22800</v>
      </c>
      <c r="M48" s="10">
        <v>0</v>
      </c>
      <c r="N48" s="10">
        <v>811612.67</v>
      </c>
      <c r="O48" s="10">
        <v>0</v>
      </c>
      <c r="P48" s="10">
        <v>0</v>
      </c>
      <c r="Q48" s="10">
        <v>0</v>
      </c>
      <c r="R48" s="10">
        <v>1002561</v>
      </c>
      <c r="S48" s="10">
        <v>528610.42000000004</v>
      </c>
      <c r="T48" s="10">
        <v>940331.71</v>
      </c>
      <c r="U48" s="10">
        <v>0</v>
      </c>
      <c r="V48" s="10">
        <v>828524</v>
      </c>
      <c r="W48" s="10">
        <v>0</v>
      </c>
      <c r="X48" s="10">
        <v>254510</v>
      </c>
      <c r="Y48" s="9"/>
    </row>
    <row r="49" spans="1:25" x14ac:dyDescent="0.35">
      <c r="A49" s="13" t="s">
        <v>26</v>
      </c>
      <c r="B49" s="13" t="s">
        <v>192</v>
      </c>
      <c r="C49" s="13" t="str">
        <f t="shared" ref="C49:C50" si="7">TRIM(B49)</f>
        <v>Purchase Interstate- Packing Material</v>
      </c>
      <c r="D49" s="14">
        <v>0</v>
      </c>
      <c r="E49" s="14">
        <v>1018104</v>
      </c>
      <c r="F49" s="14">
        <v>15543</v>
      </c>
      <c r="G49" s="14">
        <v>1002561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1002561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3"/>
    </row>
    <row r="50" spans="1:25" x14ac:dyDescent="0.35">
      <c r="A50" s="13" t="s">
        <v>26</v>
      </c>
      <c r="B50" s="13" t="s">
        <v>193</v>
      </c>
      <c r="C50" s="13" t="str">
        <f t="shared" si="7"/>
        <v>Purchase Withinstate- Packing Material</v>
      </c>
      <c r="D50" s="14">
        <v>0</v>
      </c>
      <c r="E50" s="14">
        <v>3818163.64</v>
      </c>
      <c r="F50" s="14">
        <v>0</v>
      </c>
      <c r="G50" s="14">
        <v>3818163.64</v>
      </c>
      <c r="H50" s="14">
        <v>0</v>
      </c>
      <c r="I50" s="14">
        <v>0</v>
      </c>
      <c r="J50" s="14">
        <v>431774.84</v>
      </c>
      <c r="K50" s="14">
        <v>0</v>
      </c>
      <c r="L50" s="14">
        <v>22800</v>
      </c>
      <c r="M50" s="14">
        <v>0</v>
      </c>
      <c r="N50" s="14">
        <v>811612.67</v>
      </c>
      <c r="O50" s="14">
        <v>0</v>
      </c>
      <c r="P50" s="14">
        <v>0</v>
      </c>
      <c r="Q50" s="14">
        <v>0</v>
      </c>
      <c r="R50" s="14">
        <v>0</v>
      </c>
      <c r="S50" s="14">
        <v>528610.42000000004</v>
      </c>
      <c r="T50" s="14">
        <v>940331.71</v>
      </c>
      <c r="U50" s="14">
        <v>0</v>
      </c>
      <c r="V50" s="14">
        <v>828524</v>
      </c>
      <c r="W50" s="14">
        <v>0</v>
      </c>
      <c r="X50" s="14">
        <v>254510</v>
      </c>
      <c r="Y50" s="13"/>
    </row>
    <row r="51" spans="1:25" x14ac:dyDescent="0.35">
      <c r="A51" s="9" t="s">
        <v>27</v>
      </c>
      <c r="B51" s="11" t="s">
        <v>41</v>
      </c>
      <c r="C51" s="11"/>
      <c r="D51" s="10">
        <v>0</v>
      </c>
      <c r="E51" s="10">
        <v>306840858.56</v>
      </c>
      <c r="F51" s="10">
        <v>1678671.21</v>
      </c>
      <c r="G51" s="10">
        <v>305162187.35000002</v>
      </c>
      <c r="H51" s="10">
        <v>0</v>
      </c>
      <c r="I51" s="10">
        <v>0</v>
      </c>
      <c r="J51" s="10">
        <v>3067388.3</v>
      </c>
      <c r="K51" s="10">
        <v>602315.18000000005</v>
      </c>
      <c r="L51" s="10">
        <v>3178219.52</v>
      </c>
      <c r="M51" s="10">
        <v>0</v>
      </c>
      <c r="N51" s="10">
        <v>70566457.590000004</v>
      </c>
      <c r="O51" s="10">
        <v>0</v>
      </c>
      <c r="P51" s="10">
        <v>0</v>
      </c>
      <c r="Q51" s="10">
        <v>20438389.18</v>
      </c>
      <c r="R51" s="10">
        <v>288854.01</v>
      </c>
      <c r="S51" s="10">
        <v>83244611.269999996</v>
      </c>
      <c r="T51" s="10">
        <v>54017819.009999998</v>
      </c>
      <c r="U51" s="10">
        <v>0</v>
      </c>
      <c r="V51" s="10">
        <v>2507501.65</v>
      </c>
      <c r="W51" s="10">
        <v>0</v>
      </c>
      <c r="X51" s="10">
        <v>67250631.640000001</v>
      </c>
      <c r="Y51" s="9"/>
    </row>
    <row r="52" spans="1:25" x14ac:dyDescent="0.35">
      <c r="A52" s="13" t="s">
        <v>26</v>
      </c>
      <c r="B52" s="13" t="s">
        <v>194</v>
      </c>
      <c r="C52" s="13" t="str">
        <f t="shared" ref="C52:C54" si="8">TRIM(B52)</f>
        <v>Purchase In Transit</v>
      </c>
      <c r="D52" s="14">
        <v>0</v>
      </c>
      <c r="E52" s="14">
        <v>0</v>
      </c>
      <c r="F52" s="14">
        <v>1651613.21</v>
      </c>
      <c r="G52" s="14">
        <v>-1651613.21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-1000098.42</v>
      </c>
      <c r="O52" s="14">
        <v>0</v>
      </c>
      <c r="P52" s="14">
        <v>0</v>
      </c>
      <c r="Q52" s="14">
        <v>-651514.79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3"/>
    </row>
    <row r="53" spans="1:25" x14ac:dyDescent="0.35">
      <c r="A53" s="13" t="s">
        <v>26</v>
      </c>
      <c r="B53" s="13" t="s">
        <v>195</v>
      </c>
      <c r="C53" s="13" t="str">
        <f t="shared" si="8"/>
        <v>Purchase Interstate - Raw Material</v>
      </c>
      <c r="D53" s="14">
        <v>0</v>
      </c>
      <c r="E53" s="14">
        <v>40647132.329999998</v>
      </c>
      <c r="F53" s="14">
        <v>0</v>
      </c>
      <c r="G53" s="14">
        <v>40647132.329999998</v>
      </c>
      <c r="H53" s="14">
        <v>0</v>
      </c>
      <c r="I53" s="14">
        <v>0</v>
      </c>
      <c r="J53" s="14">
        <v>10450</v>
      </c>
      <c r="K53" s="14">
        <v>59292</v>
      </c>
      <c r="L53" s="14">
        <v>15700</v>
      </c>
      <c r="M53" s="14">
        <v>0</v>
      </c>
      <c r="N53" s="14">
        <v>19400</v>
      </c>
      <c r="O53" s="14">
        <v>0</v>
      </c>
      <c r="P53" s="14">
        <v>0</v>
      </c>
      <c r="Q53" s="14">
        <v>21089903.969999999</v>
      </c>
      <c r="R53" s="14">
        <v>288854.01</v>
      </c>
      <c r="S53" s="14">
        <v>16906028.350000001</v>
      </c>
      <c r="T53" s="14">
        <v>1220274</v>
      </c>
      <c r="U53" s="14">
        <v>0</v>
      </c>
      <c r="V53" s="14">
        <v>882480</v>
      </c>
      <c r="W53" s="14">
        <v>0</v>
      </c>
      <c r="X53" s="14">
        <v>154750</v>
      </c>
      <c r="Y53" s="13"/>
    </row>
    <row r="54" spans="1:25" x14ac:dyDescent="0.35">
      <c r="A54" s="13" t="s">
        <v>26</v>
      </c>
      <c r="B54" s="13" t="s">
        <v>196</v>
      </c>
      <c r="C54" s="13" t="str">
        <f t="shared" si="8"/>
        <v>Purchase Withinstate - Raw Material</v>
      </c>
      <c r="D54" s="14">
        <v>0</v>
      </c>
      <c r="E54" s="14">
        <v>266193726.22999999</v>
      </c>
      <c r="F54" s="14">
        <v>27058</v>
      </c>
      <c r="G54" s="14">
        <v>266166668.22999999</v>
      </c>
      <c r="H54" s="14">
        <v>0</v>
      </c>
      <c r="I54" s="14">
        <v>0</v>
      </c>
      <c r="J54" s="14">
        <v>3056938.3</v>
      </c>
      <c r="K54" s="14">
        <v>543023.18000000005</v>
      </c>
      <c r="L54" s="14">
        <v>3162519.52</v>
      </c>
      <c r="M54" s="14">
        <v>0</v>
      </c>
      <c r="N54" s="14">
        <v>71547156.010000005</v>
      </c>
      <c r="O54" s="14">
        <v>0</v>
      </c>
      <c r="P54" s="14">
        <v>0</v>
      </c>
      <c r="Q54" s="14">
        <v>0</v>
      </c>
      <c r="R54" s="14">
        <v>0</v>
      </c>
      <c r="S54" s="14">
        <v>66338582.920000002</v>
      </c>
      <c r="T54" s="14">
        <v>52797545.009999998</v>
      </c>
      <c r="U54" s="14">
        <v>0</v>
      </c>
      <c r="V54" s="14">
        <v>1625021.65</v>
      </c>
      <c r="W54" s="14">
        <v>0</v>
      </c>
      <c r="X54" s="14">
        <v>67095881.640000001</v>
      </c>
      <c r="Y54" s="13"/>
    </row>
    <row r="55" spans="1:25" x14ac:dyDescent="0.35">
      <c r="A55" s="9" t="s">
        <v>27</v>
      </c>
      <c r="B55" s="11" t="s">
        <v>42</v>
      </c>
      <c r="C55" s="11"/>
      <c r="D55" s="10">
        <v>0</v>
      </c>
      <c r="E55" s="10">
        <v>9741323.9900000002</v>
      </c>
      <c r="F55" s="10">
        <v>31816.94</v>
      </c>
      <c r="G55" s="10">
        <v>9709507.0500000007</v>
      </c>
      <c r="H55" s="10">
        <v>0</v>
      </c>
      <c r="I55" s="10">
        <v>0</v>
      </c>
      <c r="J55" s="10">
        <v>126818.4</v>
      </c>
      <c r="K55" s="10">
        <v>30463.599999999999</v>
      </c>
      <c r="L55" s="10">
        <v>23876.54</v>
      </c>
      <c r="M55" s="10">
        <v>0</v>
      </c>
      <c r="N55" s="10">
        <v>1811950.71</v>
      </c>
      <c r="O55" s="10">
        <v>38519.199999999997</v>
      </c>
      <c r="P55" s="10">
        <v>0</v>
      </c>
      <c r="Q55" s="10">
        <v>0</v>
      </c>
      <c r="R55" s="10">
        <v>3363310.44</v>
      </c>
      <c r="S55" s="10">
        <v>1553858.09</v>
      </c>
      <c r="T55" s="10">
        <v>1402110.79</v>
      </c>
      <c r="U55" s="10">
        <v>0</v>
      </c>
      <c r="V55" s="10">
        <v>451015.05</v>
      </c>
      <c r="W55" s="10">
        <v>0</v>
      </c>
      <c r="X55" s="10">
        <v>907584.23</v>
      </c>
      <c r="Y55" s="9"/>
    </row>
    <row r="56" spans="1:25" x14ac:dyDescent="0.35">
      <c r="A56" s="13" t="s">
        <v>26</v>
      </c>
      <c r="B56" s="13" t="s">
        <v>197</v>
      </c>
      <c r="C56" s="13" t="str">
        <f t="shared" ref="C56:C60" si="9">TRIM(B56)</f>
        <v>Purchase - Import - Stores, Spares &amp; Consumable</v>
      </c>
      <c r="D56" s="14">
        <v>0</v>
      </c>
      <c r="E56" s="14">
        <v>20158.23</v>
      </c>
      <c r="F56" s="14">
        <v>0</v>
      </c>
      <c r="G56" s="14">
        <v>20158.23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20158.23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3"/>
    </row>
    <row r="57" spans="1:25" x14ac:dyDescent="0.35">
      <c r="A57" s="13" t="s">
        <v>26</v>
      </c>
      <c r="B57" s="13" t="s">
        <v>198</v>
      </c>
      <c r="C57" s="13" t="str">
        <f t="shared" si="9"/>
        <v>Purchase - Urd - Stores, Spares &amp; Consumable</v>
      </c>
      <c r="D57" s="14">
        <v>0</v>
      </c>
      <c r="E57" s="14">
        <v>12925</v>
      </c>
      <c r="F57" s="14">
        <v>0</v>
      </c>
      <c r="G57" s="14">
        <v>12925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12925</v>
      </c>
      <c r="U57" s="14">
        <v>0</v>
      </c>
      <c r="V57" s="14">
        <v>0</v>
      </c>
      <c r="W57" s="14">
        <v>0</v>
      </c>
      <c r="X57" s="14">
        <v>0</v>
      </c>
      <c r="Y57" s="13"/>
    </row>
    <row r="58" spans="1:25" x14ac:dyDescent="0.35">
      <c r="A58" s="13" t="s">
        <v>26</v>
      </c>
      <c r="B58" s="13" t="s">
        <v>199</v>
      </c>
      <c r="C58" s="13" t="str">
        <f t="shared" si="9"/>
        <v>Purchase Interstate- Stores, Spares &amp; Consumable</v>
      </c>
      <c r="D58" s="14">
        <v>0</v>
      </c>
      <c r="E58" s="14">
        <v>4093336.04</v>
      </c>
      <c r="F58" s="14">
        <v>17706</v>
      </c>
      <c r="G58" s="14">
        <v>4075630.04</v>
      </c>
      <c r="H58" s="14">
        <v>0</v>
      </c>
      <c r="I58" s="14">
        <v>0</v>
      </c>
      <c r="J58" s="14">
        <v>1801</v>
      </c>
      <c r="K58" s="14">
        <v>0</v>
      </c>
      <c r="L58" s="14">
        <v>0</v>
      </c>
      <c r="M58" s="14">
        <v>0</v>
      </c>
      <c r="N58" s="14">
        <v>223771.49</v>
      </c>
      <c r="O58" s="14">
        <v>0</v>
      </c>
      <c r="P58" s="14">
        <v>0</v>
      </c>
      <c r="Q58" s="14">
        <v>0</v>
      </c>
      <c r="R58" s="14">
        <v>3363310.44</v>
      </c>
      <c r="S58" s="14">
        <v>117641.27</v>
      </c>
      <c r="T58" s="14">
        <v>315949.67</v>
      </c>
      <c r="U58" s="14">
        <v>0</v>
      </c>
      <c r="V58" s="14">
        <v>33799.5</v>
      </c>
      <c r="W58" s="14">
        <v>0</v>
      </c>
      <c r="X58" s="14">
        <v>19356.669999999998</v>
      </c>
      <c r="Y58" s="13"/>
    </row>
    <row r="59" spans="1:25" x14ac:dyDescent="0.35">
      <c r="A59" s="13" t="s">
        <v>26</v>
      </c>
      <c r="B59" s="13" t="s">
        <v>200</v>
      </c>
      <c r="C59" s="13" t="str">
        <f t="shared" si="9"/>
        <v>Purchase Return - Stores, Spares &amp; Consumable</v>
      </c>
      <c r="D59" s="14">
        <v>0</v>
      </c>
      <c r="E59" s="14">
        <v>0</v>
      </c>
      <c r="F59" s="14">
        <v>86</v>
      </c>
      <c r="G59" s="14">
        <v>-86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-86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3"/>
    </row>
    <row r="60" spans="1:25" x14ac:dyDescent="0.35">
      <c r="A60" s="13" t="s">
        <v>26</v>
      </c>
      <c r="B60" s="13" t="s">
        <v>201</v>
      </c>
      <c r="C60" s="13" t="str">
        <f t="shared" si="9"/>
        <v>Purchase Withinstate- Stores, Spares &amp; Consumable</v>
      </c>
      <c r="D60" s="14">
        <v>0</v>
      </c>
      <c r="E60" s="14">
        <v>5614904.7199999997</v>
      </c>
      <c r="F60" s="14">
        <v>14024.94</v>
      </c>
      <c r="G60" s="14">
        <v>5600879.7800000003</v>
      </c>
      <c r="H60" s="14">
        <v>0</v>
      </c>
      <c r="I60" s="14">
        <v>0</v>
      </c>
      <c r="J60" s="14">
        <v>125017.4</v>
      </c>
      <c r="K60" s="14">
        <v>30463.599999999999</v>
      </c>
      <c r="L60" s="14">
        <v>23876.54</v>
      </c>
      <c r="M60" s="14">
        <v>0</v>
      </c>
      <c r="N60" s="14">
        <v>1588179.22</v>
      </c>
      <c r="O60" s="14">
        <v>38519.199999999997</v>
      </c>
      <c r="P60" s="14">
        <v>0</v>
      </c>
      <c r="Q60" s="14">
        <v>0</v>
      </c>
      <c r="R60" s="14">
        <v>0</v>
      </c>
      <c r="S60" s="14">
        <v>1416144.59</v>
      </c>
      <c r="T60" s="14">
        <v>1073236.1200000001</v>
      </c>
      <c r="U60" s="14">
        <v>0</v>
      </c>
      <c r="V60" s="14">
        <v>417215.55</v>
      </c>
      <c r="W60" s="14">
        <v>0</v>
      </c>
      <c r="X60" s="14">
        <v>888227.56</v>
      </c>
      <c r="Y60" s="13"/>
    </row>
    <row r="61" spans="1:25" x14ac:dyDescent="0.35">
      <c r="A61" s="9" t="s">
        <v>27</v>
      </c>
      <c r="B61" s="11" t="s">
        <v>43</v>
      </c>
      <c r="C61" s="11"/>
      <c r="D61" s="10">
        <v>0</v>
      </c>
      <c r="E61" s="10">
        <v>121608139.26000001</v>
      </c>
      <c r="F61" s="10">
        <v>0</v>
      </c>
      <c r="G61" s="10">
        <v>121608139.26000001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38511049.770000003</v>
      </c>
      <c r="N61" s="10">
        <v>0</v>
      </c>
      <c r="O61" s="10">
        <v>0</v>
      </c>
      <c r="P61" s="10">
        <v>0</v>
      </c>
      <c r="Q61" s="10">
        <v>34248050.729999997</v>
      </c>
      <c r="R61" s="10">
        <v>0</v>
      </c>
      <c r="S61" s="10">
        <v>0</v>
      </c>
      <c r="T61" s="10">
        <v>4968015.7300000004</v>
      </c>
      <c r="U61" s="10">
        <v>0</v>
      </c>
      <c r="V61" s="10">
        <v>12102145.35</v>
      </c>
      <c r="W61" s="10">
        <v>21688588.859999999</v>
      </c>
      <c r="X61" s="10">
        <v>10090288.82</v>
      </c>
      <c r="Y61" s="9"/>
    </row>
    <row r="62" spans="1:25" x14ac:dyDescent="0.35">
      <c r="A62" s="13" t="s">
        <v>26</v>
      </c>
      <c r="B62" s="13" t="s">
        <v>202</v>
      </c>
      <c r="C62" s="13" t="str">
        <f t="shared" ref="C62:C64" si="10">TRIM(B62)</f>
        <v>Purchase Interstate - Traded Goods</v>
      </c>
      <c r="D62" s="14">
        <v>0</v>
      </c>
      <c r="E62" s="14">
        <v>34248050.729999997</v>
      </c>
      <c r="F62" s="14">
        <v>0</v>
      </c>
      <c r="G62" s="14">
        <v>34248050.729999997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34248050.729999997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3"/>
    </row>
    <row r="63" spans="1:25" x14ac:dyDescent="0.35">
      <c r="A63" s="13" t="s">
        <v>26</v>
      </c>
      <c r="B63" s="13" t="s">
        <v>203</v>
      </c>
      <c r="C63" s="13" t="str">
        <f t="shared" si="10"/>
        <v>Purchase Withinstate - Traded Goods</v>
      </c>
      <c r="D63" s="14">
        <v>0</v>
      </c>
      <c r="E63" s="14">
        <v>50839035.119999997</v>
      </c>
      <c r="F63" s="14">
        <v>0</v>
      </c>
      <c r="G63" s="14">
        <v>50839035.119999997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38511049.770000003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12102145.35</v>
      </c>
      <c r="W63" s="14">
        <v>0</v>
      </c>
      <c r="X63" s="14">
        <v>225840</v>
      </c>
      <c r="Y63" s="13"/>
    </row>
    <row r="64" spans="1:25" x14ac:dyDescent="0.35">
      <c r="A64" s="13" t="s">
        <v>26</v>
      </c>
      <c r="B64" s="13" t="s">
        <v>204</v>
      </c>
      <c r="C64" s="13" t="str">
        <f t="shared" si="10"/>
        <v>Purchase-Import - Third Party</v>
      </c>
      <c r="D64" s="14">
        <v>0</v>
      </c>
      <c r="E64" s="14">
        <v>36521053.409999996</v>
      </c>
      <c r="F64" s="14">
        <v>0</v>
      </c>
      <c r="G64" s="14">
        <v>36521053.409999996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4968015.7300000004</v>
      </c>
      <c r="U64" s="14">
        <v>0</v>
      </c>
      <c r="V64" s="14">
        <v>0</v>
      </c>
      <c r="W64" s="14">
        <v>21688588.859999999</v>
      </c>
      <c r="X64" s="14">
        <v>9864448.8200000003</v>
      </c>
      <c r="Y64" s="13"/>
    </row>
    <row r="65" spans="1:25" x14ac:dyDescent="0.35">
      <c r="A65" s="9" t="s">
        <v>27</v>
      </c>
      <c r="B65" s="11" t="s">
        <v>44</v>
      </c>
      <c r="C65" s="11"/>
      <c r="D65" s="10">
        <v>0</v>
      </c>
      <c r="E65" s="10">
        <v>21576000</v>
      </c>
      <c r="F65" s="10">
        <v>0</v>
      </c>
      <c r="G65" s="10">
        <v>21576000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8172450</v>
      </c>
      <c r="O65" s="10">
        <v>0</v>
      </c>
      <c r="P65" s="10">
        <v>0</v>
      </c>
      <c r="Q65" s="10">
        <v>0</v>
      </c>
      <c r="R65" s="10">
        <v>4519350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8884200</v>
      </c>
      <c r="Y65" s="9"/>
    </row>
    <row r="66" spans="1:25" x14ac:dyDescent="0.35">
      <c r="A66" s="13" t="s">
        <v>26</v>
      </c>
      <c r="B66" s="13" t="s">
        <v>205</v>
      </c>
      <c r="C66" s="13" t="str">
        <f>TRIM(B66)</f>
        <v>Purchase Raw Material - High Seas</v>
      </c>
      <c r="D66" s="14">
        <v>0</v>
      </c>
      <c r="E66" s="14">
        <v>21576000</v>
      </c>
      <c r="F66" s="14">
        <v>0</v>
      </c>
      <c r="G66" s="14">
        <v>21576000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8172450</v>
      </c>
      <c r="O66" s="14">
        <v>0</v>
      </c>
      <c r="P66" s="14">
        <v>0</v>
      </c>
      <c r="Q66" s="14">
        <v>0</v>
      </c>
      <c r="R66" s="14">
        <v>4519350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8884200</v>
      </c>
      <c r="Y66" s="13"/>
    </row>
    <row r="67" spans="1:25" x14ac:dyDescent="0.35">
      <c r="A67" s="3" t="s">
        <v>24</v>
      </c>
      <c r="B67" s="5" t="s">
        <v>45</v>
      </c>
      <c r="C67" s="5"/>
      <c r="D67" s="4">
        <v>0</v>
      </c>
      <c r="E67" s="4">
        <v>51765302.5</v>
      </c>
      <c r="F67" s="4">
        <v>11146739.5</v>
      </c>
      <c r="G67" s="4">
        <v>40618563</v>
      </c>
      <c r="H67" s="4">
        <v>0</v>
      </c>
      <c r="I67" s="4">
        <v>110307</v>
      </c>
      <c r="J67" s="4">
        <v>1746538.41</v>
      </c>
      <c r="K67" s="4">
        <v>-51648.2</v>
      </c>
      <c r="L67" s="4">
        <v>49255.199999999997</v>
      </c>
      <c r="M67" s="4">
        <v>345448.34</v>
      </c>
      <c r="N67" s="4">
        <v>8272796.3899999997</v>
      </c>
      <c r="O67" s="4">
        <v>0</v>
      </c>
      <c r="P67" s="4">
        <v>11.8</v>
      </c>
      <c r="Q67" s="4">
        <v>1594823.27</v>
      </c>
      <c r="R67" s="4">
        <v>304106.81</v>
      </c>
      <c r="S67" s="4">
        <v>13624401.15</v>
      </c>
      <c r="T67" s="4">
        <v>2912292.15</v>
      </c>
      <c r="U67" s="4">
        <v>1397067.62</v>
      </c>
      <c r="V67" s="4">
        <v>1267035.5900000001</v>
      </c>
      <c r="W67" s="4">
        <v>2477998.73</v>
      </c>
      <c r="X67" s="4">
        <v>6568128.7400000002</v>
      </c>
      <c r="Y67" s="3"/>
    </row>
    <row r="68" spans="1:25" x14ac:dyDescent="0.35">
      <c r="A68" s="6" t="s">
        <v>25</v>
      </c>
      <c r="B68" s="8" t="s">
        <v>46</v>
      </c>
      <c r="C68" s="8"/>
      <c r="D68" s="7">
        <v>0</v>
      </c>
      <c r="E68" s="7">
        <v>5256812.28</v>
      </c>
      <c r="F68" s="7">
        <v>19684.580000000002</v>
      </c>
      <c r="G68" s="7">
        <v>5237127.7</v>
      </c>
      <c r="H68" s="7">
        <v>0</v>
      </c>
      <c r="I68" s="7">
        <v>73459</v>
      </c>
      <c r="J68" s="7">
        <v>49420.1</v>
      </c>
      <c r="K68" s="7">
        <v>26263.8</v>
      </c>
      <c r="L68" s="7">
        <v>63492.2</v>
      </c>
      <c r="M68" s="7">
        <v>10209.34</v>
      </c>
      <c r="N68" s="7">
        <v>941316.38</v>
      </c>
      <c r="O68" s="7">
        <v>0</v>
      </c>
      <c r="P68" s="7">
        <v>0</v>
      </c>
      <c r="Q68" s="7">
        <v>30338.87</v>
      </c>
      <c r="R68" s="7">
        <v>108570</v>
      </c>
      <c r="S68" s="7">
        <v>931090.54</v>
      </c>
      <c r="T68" s="7">
        <v>1099353.03</v>
      </c>
      <c r="U68" s="7">
        <v>43906.64</v>
      </c>
      <c r="V68" s="7">
        <v>123950.32</v>
      </c>
      <c r="W68" s="7">
        <v>1006379.36</v>
      </c>
      <c r="X68" s="7">
        <v>729378.12</v>
      </c>
      <c r="Y68" s="6"/>
    </row>
    <row r="69" spans="1:25" x14ac:dyDescent="0.35">
      <c r="A69" s="13" t="s">
        <v>26</v>
      </c>
      <c r="B69" s="13" t="s">
        <v>206</v>
      </c>
      <c r="C69" s="13" t="str">
        <f t="shared" ref="C69:C88" si="11">TRIM(B69)</f>
        <v>Conveyance Expenses</v>
      </c>
      <c r="D69" s="14">
        <v>0</v>
      </c>
      <c r="E69" s="14">
        <v>105971.5</v>
      </c>
      <c r="F69" s="14">
        <v>2626</v>
      </c>
      <c r="G69" s="14">
        <v>103345.5</v>
      </c>
      <c r="H69" s="14">
        <v>0</v>
      </c>
      <c r="I69" s="14">
        <v>20186</v>
      </c>
      <c r="J69" s="14">
        <v>10454.5</v>
      </c>
      <c r="K69" s="14">
        <v>3134</v>
      </c>
      <c r="L69" s="14">
        <v>250</v>
      </c>
      <c r="M69" s="14">
        <v>0</v>
      </c>
      <c r="N69" s="14">
        <v>14122</v>
      </c>
      <c r="O69" s="14">
        <v>0</v>
      </c>
      <c r="P69" s="14">
        <v>0</v>
      </c>
      <c r="Q69" s="14">
        <v>0</v>
      </c>
      <c r="R69" s="14">
        <v>12090</v>
      </c>
      <c r="S69" s="14">
        <v>250</v>
      </c>
      <c r="T69" s="14">
        <v>35855</v>
      </c>
      <c r="U69" s="14">
        <v>0</v>
      </c>
      <c r="V69" s="14">
        <v>5559</v>
      </c>
      <c r="W69" s="14">
        <v>1445</v>
      </c>
      <c r="X69" s="14">
        <v>0</v>
      </c>
      <c r="Y69" s="13"/>
    </row>
    <row r="70" spans="1:25" x14ac:dyDescent="0.35">
      <c r="A70" s="13" t="s">
        <v>26</v>
      </c>
      <c r="B70" s="13" t="s">
        <v>207</v>
      </c>
      <c r="C70" s="13" t="str">
        <f t="shared" si="11"/>
        <v>Donation &amp; Charity A/C</v>
      </c>
      <c r="D70" s="14">
        <v>0</v>
      </c>
      <c r="E70" s="14">
        <v>12520</v>
      </c>
      <c r="F70" s="14">
        <v>0</v>
      </c>
      <c r="G70" s="14">
        <v>12520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2520</v>
      </c>
      <c r="V70" s="14">
        <v>0</v>
      </c>
      <c r="W70" s="14">
        <v>10000</v>
      </c>
      <c r="X70" s="14">
        <v>0</v>
      </c>
      <c r="Y70" s="13"/>
    </row>
    <row r="71" spans="1:25" x14ac:dyDescent="0.35">
      <c r="A71" s="13" t="s">
        <v>26</v>
      </c>
      <c r="B71" s="13" t="s">
        <v>208</v>
      </c>
      <c r="C71" s="13" t="str">
        <f t="shared" si="11"/>
        <v>Electrical Expense</v>
      </c>
      <c r="D71" s="14">
        <v>0</v>
      </c>
      <c r="E71" s="14">
        <v>5324</v>
      </c>
      <c r="F71" s="14">
        <v>0</v>
      </c>
      <c r="G71" s="14">
        <v>5324</v>
      </c>
      <c r="H71" s="14">
        <v>0</v>
      </c>
      <c r="I71" s="14">
        <v>2709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1500</v>
      </c>
      <c r="S71" s="14">
        <v>0</v>
      </c>
      <c r="T71" s="14">
        <v>0</v>
      </c>
      <c r="U71" s="14">
        <v>1115</v>
      </c>
      <c r="V71" s="14">
        <v>0</v>
      </c>
      <c r="W71" s="14">
        <v>0</v>
      </c>
      <c r="X71" s="14">
        <v>0</v>
      </c>
      <c r="Y71" s="13"/>
    </row>
    <row r="72" spans="1:25" x14ac:dyDescent="0.35">
      <c r="A72" s="13" t="s">
        <v>26</v>
      </c>
      <c r="B72" s="13" t="s">
        <v>209</v>
      </c>
      <c r="C72" s="13" t="str">
        <f t="shared" si="11"/>
        <v>Electricity Exp. (Office)</v>
      </c>
      <c r="D72" s="14">
        <v>0</v>
      </c>
      <c r="E72" s="14">
        <v>52630</v>
      </c>
      <c r="F72" s="14">
        <v>0</v>
      </c>
      <c r="G72" s="14">
        <v>52630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52630</v>
      </c>
      <c r="X72" s="14">
        <v>0</v>
      </c>
      <c r="Y72" s="13"/>
    </row>
    <row r="73" spans="1:25" x14ac:dyDescent="0.35">
      <c r="A73" s="13" t="s">
        <v>26</v>
      </c>
      <c r="B73" s="13" t="s">
        <v>210</v>
      </c>
      <c r="C73" s="13" t="str">
        <f t="shared" si="11"/>
        <v>Garden Mainteance Exp</v>
      </c>
      <c r="D73" s="14">
        <v>0</v>
      </c>
      <c r="E73" s="14">
        <v>3500</v>
      </c>
      <c r="F73" s="14">
        <v>0</v>
      </c>
      <c r="G73" s="14">
        <v>3500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3500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3"/>
    </row>
    <row r="74" spans="1:25" x14ac:dyDescent="0.35">
      <c r="A74" s="13" t="s">
        <v>26</v>
      </c>
      <c r="B74" s="13" t="s">
        <v>211</v>
      </c>
      <c r="C74" s="13" t="str">
        <f t="shared" si="11"/>
        <v>House Keeping Expense</v>
      </c>
      <c r="D74" s="14">
        <v>0</v>
      </c>
      <c r="E74" s="14">
        <v>546133.93999999994</v>
      </c>
      <c r="F74" s="14">
        <v>0</v>
      </c>
      <c r="G74" s="14">
        <v>546133.93999999994</v>
      </c>
      <c r="H74" s="14">
        <v>0</v>
      </c>
      <c r="I74" s="14">
        <v>0</v>
      </c>
      <c r="J74" s="14">
        <v>0</v>
      </c>
      <c r="K74" s="14">
        <v>0</v>
      </c>
      <c r="L74" s="14">
        <v>3000</v>
      </c>
      <c r="M74" s="14">
        <v>0</v>
      </c>
      <c r="N74" s="14">
        <v>59873</v>
      </c>
      <c r="O74" s="14">
        <v>0</v>
      </c>
      <c r="P74" s="14">
        <v>0</v>
      </c>
      <c r="Q74" s="14">
        <v>0</v>
      </c>
      <c r="R74" s="14">
        <v>8522</v>
      </c>
      <c r="S74" s="14">
        <v>0</v>
      </c>
      <c r="T74" s="14">
        <v>445849.94</v>
      </c>
      <c r="U74" s="14">
        <v>0</v>
      </c>
      <c r="V74" s="14">
        <v>0</v>
      </c>
      <c r="W74" s="14">
        <v>28889</v>
      </c>
      <c r="X74" s="14">
        <v>0</v>
      </c>
      <c r="Y74" s="13"/>
    </row>
    <row r="75" spans="1:25" x14ac:dyDescent="0.35">
      <c r="A75" s="13" t="s">
        <v>26</v>
      </c>
      <c r="B75" s="13" t="s">
        <v>212</v>
      </c>
      <c r="C75" s="13" t="str">
        <f t="shared" si="11"/>
        <v>Insurance Exp - Vehicles</v>
      </c>
      <c r="D75" s="14">
        <v>0</v>
      </c>
      <c r="E75" s="14">
        <v>30338</v>
      </c>
      <c r="F75" s="14">
        <v>0</v>
      </c>
      <c r="G75" s="14">
        <v>30338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30338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3"/>
    </row>
    <row r="76" spans="1:25" x14ac:dyDescent="0.35">
      <c r="A76" s="13" t="s">
        <v>26</v>
      </c>
      <c r="B76" s="13" t="s">
        <v>213</v>
      </c>
      <c r="C76" s="13" t="str">
        <f t="shared" si="11"/>
        <v>Membership &amp; Subscription Fees</v>
      </c>
      <c r="D76" s="14">
        <v>0</v>
      </c>
      <c r="E76" s="14">
        <v>14000</v>
      </c>
      <c r="F76" s="14">
        <v>0</v>
      </c>
      <c r="G76" s="14">
        <v>14000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4000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10000</v>
      </c>
      <c r="Y76" s="13"/>
    </row>
    <row r="77" spans="1:25" x14ac:dyDescent="0.35">
      <c r="A77" s="13" t="s">
        <v>26</v>
      </c>
      <c r="B77" s="13" t="s">
        <v>214</v>
      </c>
      <c r="C77" s="13" t="str">
        <f t="shared" si="11"/>
        <v>Miscellaneous Expense</v>
      </c>
      <c r="D77" s="14">
        <v>0</v>
      </c>
      <c r="E77" s="14">
        <v>164548.43</v>
      </c>
      <c r="F77" s="14">
        <v>0</v>
      </c>
      <c r="G77" s="14">
        <v>164548.43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1100</v>
      </c>
      <c r="T77" s="14">
        <v>9200</v>
      </c>
      <c r="U77" s="14">
        <v>0</v>
      </c>
      <c r="V77" s="14">
        <v>0</v>
      </c>
      <c r="W77" s="14">
        <v>154104.79999999999</v>
      </c>
      <c r="X77" s="14">
        <v>143.63</v>
      </c>
      <c r="Y77" s="13"/>
    </row>
    <row r="78" spans="1:25" x14ac:dyDescent="0.35">
      <c r="A78" s="13" t="s">
        <v>26</v>
      </c>
      <c r="B78" s="13" t="s">
        <v>215</v>
      </c>
      <c r="C78" s="13" t="str">
        <f t="shared" si="11"/>
        <v>Mobile &amp; Telephone Expense</v>
      </c>
      <c r="D78" s="14">
        <v>0</v>
      </c>
      <c r="E78" s="14">
        <v>321485.84999999998</v>
      </c>
      <c r="F78" s="14">
        <v>13265</v>
      </c>
      <c r="G78" s="14">
        <v>308220.84999999998</v>
      </c>
      <c r="H78" s="14">
        <v>0</v>
      </c>
      <c r="I78" s="14">
        <v>0</v>
      </c>
      <c r="J78" s="14">
        <v>8867.84</v>
      </c>
      <c r="K78" s="14">
        <v>0</v>
      </c>
      <c r="L78" s="14">
        <v>0</v>
      </c>
      <c r="M78" s="14">
        <v>0</v>
      </c>
      <c r="N78" s="14">
        <v>75985.14</v>
      </c>
      <c r="O78" s="14">
        <v>0</v>
      </c>
      <c r="P78" s="14">
        <v>0</v>
      </c>
      <c r="Q78" s="14">
        <v>0</v>
      </c>
      <c r="R78" s="14">
        <v>10200</v>
      </c>
      <c r="S78" s="14">
        <v>69995.039999999994</v>
      </c>
      <c r="T78" s="14">
        <v>8976.86</v>
      </c>
      <c r="U78" s="14">
        <v>8082</v>
      </c>
      <c r="V78" s="14">
        <v>5593.22</v>
      </c>
      <c r="W78" s="14">
        <v>44626.11</v>
      </c>
      <c r="X78" s="14">
        <v>75894.64</v>
      </c>
      <c r="Y78" s="13"/>
    </row>
    <row r="79" spans="1:25" x14ac:dyDescent="0.35">
      <c r="A79" s="13" t="s">
        <v>26</v>
      </c>
      <c r="B79" s="13" t="s">
        <v>216</v>
      </c>
      <c r="C79" s="13" t="str">
        <f t="shared" si="11"/>
        <v>Office Expenses</v>
      </c>
      <c r="D79" s="14">
        <v>0</v>
      </c>
      <c r="E79" s="14">
        <v>103182</v>
      </c>
      <c r="F79" s="14">
        <v>0</v>
      </c>
      <c r="G79" s="14">
        <v>103182</v>
      </c>
      <c r="H79" s="14">
        <v>0</v>
      </c>
      <c r="I79" s="14">
        <v>31918</v>
      </c>
      <c r="J79" s="14">
        <v>100</v>
      </c>
      <c r="K79" s="14">
        <v>0</v>
      </c>
      <c r="L79" s="14">
        <v>120</v>
      </c>
      <c r="M79" s="14">
        <v>0</v>
      </c>
      <c r="N79" s="14">
        <v>15000</v>
      </c>
      <c r="O79" s="14">
        <v>0</v>
      </c>
      <c r="P79" s="14">
        <v>0</v>
      </c>
      <c r="Q79" s="14">
        <v>0</v>
      </c>
      <c r="R79" s="14">
        <v>1040</v>
      </c>
      <c r="S79" s="14">
        <v>5871</v>
      </c>
      <c r="T79" s="14">
        <v>4590</v>
      </c>
      <c r="U79" s="14">
        <v>25132</v>
      </c>
      <c r="V79" s="14">
        <v>311</v>
      </c>
      <c r="W79" s="14">
        <v>19100</v>
      </c>
      <c r="X79" s="14">
        <v>0</v>
      </c>
      <c r="Y79" s="13"/>
    </row>
    <row r="80" spans="1:25" x14ac:dyDescent="0.35">
      <c r="A80" s="13" t="s">
        <v>26</v>
      </c>
      <c r="B80" s="13" t="s">
        <v>217</v>
      </c>
      <c r="C80" s="13" t="str">
        <f t="shared" si="11"/>
        <v>Petrol &amp; Diesel Expense - Car</v>
      </c>
      <c r="D80" s="14">
        <v>0</v>
      </c>
      <c r="E80" s="14">
        <v>12550</v>
      </c>
      <c r="F80" s="14">
        <v>0</v>
      </c>
      <c r="G80" s="14">
        <v>12550</v>
      </c>
      <c r="H80" s="14">
        <v>0</v>
      </c>
      <c r="I80" s="14">
        <v>12550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3"/>
    </row>
    <row r="81" spans="1:25" x14ac:dyDescent="0.35">
      <c r="A81" s="13" t="s">
        <v>26</v>
      </c>
      <c r="B81" s="13" t="s">
        <v>218</v>
      </c>
      <c r="C81" s="13" t="str">
        <f t="shared" si="11"/>
        <v>Petrol &amp; Diesel Expense - Other Vehicles</v>
      </c>
      <c r="D81" s="14">
        <v>0</v>
      </c>
      <c r="E81" s="14">
        <v>139748</v>
      </c>
      <c r="F81" s="14">
        <v>0</v>
      </c>
      <c r="G81" s="14">
        <v>139748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10208</v>
      </c>
      <c r="N81" s="14">
        <v>3000</v>
      </c>
      <c r="O81" s="14">
        <v>0</v>
      </c>
      <c r="P81" s="14">
        <v>0</v>
      </c>
      <c r="Q81" s="14">
        <v>0</v>
      </c>
      <c r="R81" s="14">
        <v>2940</v>
      </c>
      <c r="S81" s="14">
        <v>0</v>
      </c>
      <c r="T81" s="14">
        <v>119300</v>
      </c>
      <c r="U81" s="14">
        <v>3500</v>
      </c>
      <c r="V81" s="14">
        <v>800</v>
      </c>
      <c r="W81" s="14">
        <v>0</v>
      </c>
      <c r="X81" s="14">
        <v>0</v>
      </c>
      <c r="Y81" s="13"/>
    </row>
    <row r="82" spans="1:25" x14ac:dyDescent="0.35">
      <c r="A82" s="13" t="s">
        <v>26</v>
      </c>
      <c r="B82" s="13" t="s">
        <v>219</v>
      </c>
      <c r="C82" s="13" t="str">
        <f t="shared" si="11"/>
        <v>Postage &amp; Courier Expense</v>
      </c>
      <c r="D82" s="14">
        <v>0</v>
      </c>
      <c r="E82" s="14">
        <v>500324.43</v>
      </c>
      <c r="F82" s="14">
        <v>450</v>
      </c>
      <c r="G82" s="14">
        <v>499874.43</v>
      </c>
      <c r="H82" s="14">
        <v>0</v>
      </c>
      <c r="I82" s="14">
        <v>2000</v>
      </c>
      <c r="J82" s="14">
        <v>0</v>
      </c>
      <c r="K82" s="14">
        <v>23130</v>
      </c>
      <c r="L82" s="14">
        <v>0</v>
      </c>
      <c r="M82" s="14">
        <v>0</v>
      </c>
      <c r="N82" s="14">
        <v>2290</v>
      </c>
      <c r="O82" s="14">
        <v>0</v>
      </c>
      <c r="P82" s="14">
        <v>0</v>
      </c>
      <c r="Q82" s="14">
        <v>0</v>
      </c>
      <c r="R82" s="14">
        <v>1310</v>
      </c>
      <c r="S82" s="14">
        <v>950</v>
      </c>
      <c r="T82" s="14">
        <v>0</v>
      </c>
      <c r="U82" s="14">
        <v>1340</v>
      </c>
      <c r="V82" s="14">
        <v>0</v>
      </c>
      <c r="W82" s="14">
        <v>6624</v>
      </c>
      <c r="X82" s="14">
        <v>462230.43</v>
      </c>
      <c r="Y82" s="13"/>
    </row>
    <row r="83" spans="1:25" x14ac:dyDescent="0.35">
      <c r="A83" s="13" t="s">
        <v>26</v>
      </c>
      <c r="B83" s="13" t="s">
        <v>220</v>
      </c>
      <c r="C83" s="13" t="str">
        <f t="shared" si="11"/>
        <v>Printing &amp; Stationery Expense</v>
      </c>
      <c r="D83" s="14">
        <v>0</v>
      </c>
      <c r="E83" s="14">
        <v>145415.94</v>
      </c>
      <c r="F83" s="14">
        <v>1920</v>
      </c>
      <c r="G83" s="14">
        <v>143495.94</v>
      </c>
      <c r="H83" s="14">
        <v>0</v>
      </c>
      <c r="I83" s="14">
        <v>2146</v>
      </c>
      <c r="J83" s="14">
        <v>20380.490000000002</v>
      </c>
      <c r="K83" s="14">
        <v>0</v>
      </c>
      <c r="L83" s="14">
        <v>2400</v>
      </c>
      <c r="M83" s="14">
        <v>0</v>
      </c>
      <c r="N83" s="14">
        <v>40298.15</v>
      </c>
      <c r="O83" s="14">
        <v>0</v>
      </c>
      <c r="P83" s="14">
        <v>0</v>
      </c>
      <c r="Q83" s="14">
        <v>0</v>
      </c>
      <c r="R83" s="14">
        <v>4750</v>
      </c>
      <c r="S83" s="14">
        <v>1720</v>
      </c>
      <c r="T83" s="14">
        <v>27626.2</v>
      </c>
      <c r="U83" s="14">
        <v>2217.6</v>
      </c>
      <c r="V83" s="14">
        <v>650</v>
      </c>
      <c r="W83" s="14">
        <v>7957</v>
      </c>
      <c r="X83" s="14">
        <v>33350.5</v>
      </c>
      <c r="Y83" s="13"/>
    </row>
    <row r="84" spans="1:25" x14ac:dyDescent="0.35">
      <c r="A84" s="13" t="s">
        <v>26</v>
      </c>
      <c r="B84" s="13" t="s">
        <v>221</v>
      </c>
      <c r="C84" s="13" t="str">
        <f t="shared" si="11"/>
        <v>Rent Expense - Office</v>
      </c>
      <c r="D84" s="14">
        <v>0</v>
      </c>
      <c r="E84" s="14">
        <v>46304.5</v>
      </c>
      <c r="F84" s="14">
        <v>0</v>
      </c>
      <c r="G84" s="14">
        <v>46304.5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46304.5</v>
      </c>
      <c r="W84" s="14">
        <v>0</v>
      </c>
      <c r="X84" s="14">
        <v>0</v>
      </c>
      <c r="Y84" s="13"/>
    </row>
    <row r="85" spans="1:25" x14ac:dyDescent="0.35">
      <c r="A85" s="13" t="s">
        <v>26</v>
      </c>
      <c r="B85" s="13" t="s">
        <v>222</v>
      </c>
      <c r="C85" s="13" t="str">
        <f t="shared" si="11"/>
        <v>Round Off</v>
      </c>
      <c r="D85" s="14">
        <v>0</v>
      </c>
      <c r="E85" s="14">
        <v>54.32</v>
      </c>
      <c r="F85" s="14">
        <v>1193.58</v>
      </c>
      <c r="G85" s="14">
        <v>-1139.26</v>
      </c>
      <c r="H85" s="14">
        <v>0</v>
      </c>
      <c r="I85" s="14">
        <v>0</v>
      </c>
      <c r="J85" s="14">
        <v>-152.72999999999999</v>
      </c>
      <c r="K85" s="14">
        <v>-0.2</v>
      </c>
      <c r="L85" s="14">
        <v>0.2</v>
      </c>
      <c r="M85" s="14">
        <v>1.34</v>
      </c>
      <c r="N85" s="14">
        <v>-1.91</v>
      </c>
      <c r="O85" s="14">
        <v>0</v>
      </c>
      <c r="P85" s="14">
        <v>0</v>
      </c>
      <c r="Q85" s="14">
        <v>0.87</v>
      </c>
      <c r="R85" s="14">
        <v>0</v>
      </c>
      <c r="S85" s="14">
        <v>-988.81</v>
      </c>
      <c r="T85" s="14">
        <v>1.1299999999999999</v>
      </c>
      <c r="U85" s="14">
        <v>0.04</v>
      </c>
      <c r="V85" s="14">
        <v>-0.4</v>
      </c>
      <c r="W85" s="14">
        <v>0.67</v>
      </c>
      <c r="X85" s="14">
        <v>0.54</v>
      </c>
      <c r="Y85" s="13"/>
    </row>
    <row r="86" spans="1:25" x14ac:dyDescent="0.35">
      <c r="A86" s="13" t="s">
        <v>26</v>
      </c>
      <c r="B86" s="13" t="s">
        <v>223</v>
      </c>
      <c r="C86" s="13" t="str">
        <f t="shared" si="11"/>
        <v>Security Expenses</v>
      </c>
      <c r="D86" s="14">
        <v>0</v>
      </c>
      <c r="E86" s="14">
        <v>299866</v>
      </c>
      <c r="F86" s="14">
        <v>0</v>
      </c>
      <c r="G86" s="14">
        <v>299866</v>
      </c>
      <c r="H86" s="14">
        <v>0</v>
      </c>
      <c r="I86" s="14">
        <v>0</v>
      </c>
      <c r="J86" s="14">
        <v>0</v>
      </c>
      <c r="K86" s="14">
        <v>0</v>
      </c>
      <c r="L86" s="14">
        <v>37322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159645</v>
      </c>
      <c r="U86" s="14">
        <v>0</v>
      </c>
      <c r="V86" s="14">
        <v>27983</v>
      </c>
      <c r="W86" s="14">
        <v>30000</v>
      </c>
      <c r="X86" s="14">
        <v>44916</v>
      </c>
      <c r="Y86" s="13"/>
    </row>
    <row r="87" spans="1:25" x14ac:dyDescent="0.35">
      <c r="A87" s="13" t="s">
        <v>26</v>
      </c>
      <c r="B87" s="13" t="s">
        <v>224</v>
      </c>
      <c r="C87" s="13" t="str">
        <f t="shared" si="11"/>
        <v>Travelling Expense</v>
      </c>
      <c r="D87" s="14">
        <v>0</v>
      </c>
      <c r="E87" s="14">
        <v>570439.32999999996</v>
      </c>
      <c r="F87" s="14">
        <v>0</v>
      </c>
      <c r="G87" s="14">
        <v>570439.32999999996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3675</v>
      </c>
      <c r="S87" s="14">
        <v>10630</v>
      </c>
      <c r="T87" s="14">
        <v>0</v>
      </c>
      <c r="U87" s="14">
        <v>0</v>
      </c>
      <c r="V87" s="14">
        <v>0</v>
      </c>
      <c r="W87" s="14">
        <v>553699.32999999996</v>
      </c>
      <c r="X87" s="14">
        <v>2435</v>
      </c>
      <c r="Y87" s="13"/>
    </row>
    <row r="88" spans="1:25" x14ac:dyDescent="0.35">
      <c r="A88" s="13" t="s">
        <v>26</v>
      </c>
      <c r="B88" s="13" t="s">
        <v>225</v>
      </c>
      <c r="C88" s="13" t="str">
        <f t="shared" si="11"/>
        <v>Travelling Expense - Director</v>
      </c>
      <c r="D88" s="14">
        <v>0</v>
      </c>
      <c r="E88" s="14">
        <v>94252.38</v>
      </c>
      <c r="F88" s="14">
        <v>0</v>
      </c>
      <c r="G88" s="14">
        <v>94252.38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12900</v>
      </c>
      <c r="X88" s="14">
        <v>81352.38</v>
      </c>
      <c r="Y88" s="13"/>
    </row>
    <row r="89" spans="1:25" x14ac:dyDescent="0.35">
      <c r="A89" s="9" t="s">
        <v>27</v>
      </c>
      <c r="B89" s="11" t="s">
        <v>47</v>
      </c>
      <c r="C89" s="11"/>
      <c r="D89" s="10">
        <v>0</v>
      </c>
      <c r="E89" s="10">
        <v>2001923.66</v>
      </c>
      <c r="F89" s="10">
        <v>230</v>
      </c>
      <c r="G89" s="10">
        <v>2001693.66</v>
      </c>
      <c r="H89" s="10">
        <v>0</v>
      </c>
      <c r="I89" s="10">
        <v>1950</v>
      </c>
      <c r="J89" s="10">
        <v>9770</v>
      </c>
      <c r="K89" s="10">
        <v>0</v>
      </c>
      <c r="L89" s="10">
        <v>20400</v>
      </c>
      <c r="M89" s="10">
        <v>0</v>
      </c>
      <c r="N89" s="10">
        <v>730750</v>
      </c>
      <c r="O89" s="10">
        <v>0</v>
      </c>
      <c r="P89" s="10">
        <v>0</v>
      </c>
      <c r="Q89" s="10">
        <v>0</v>
      </c>
      <c r="R89" s="10">
        <v>58343</v>
      </c>
      <c r="S89" s="10">
        <v>838063.31</v>
      </c>
      <c r="T89" s="10">
        <v>202208.9</v>
      </c>
      <c r="U89" s="10">
        <v>0</v>
      </c>
      <c r="V89" s="10">
        <v>36750</v>
      </c>
      <c r="W89" s="10">
        <v>84403.45</v>
      </c>
      <c r="X89" s="10">
        <v>19055</v>
      </c>
      <c r="Y89" s="9"/>
    </row>
    <row r="90" spans="1:25" x14ac:dyDescent="0.35">
      <c r="A90" s="13" t="s">
        <v>26</v>
      </c>
      <c r="B90" s="13" t="s">
        <v>226</v>
      </c>
      <c r="C90" s="13" t="str">
        <f t="shared" ref="C90:C95" si="12">TRIM(B90)</f>
        <v>Repairs &amp; Maintenance Exp - Building</v>
      </c>
      <c r="D90" s="14">
        <v>0</v>
      </c>
      <c r="E90" s="14">
        <v>126100.54</v>
      </c>
      <c r="F90" s="14">
        <v>230</v>
      </c>
      <c r="G90" s="14">
        <v>125870.54</v>
      </c>
      <c r="H90" s="14">
        <v>0</v>
      </c>
      <c r="I90" s="14">
        <v>0</v>
      </c>
      <c r="J90" s="14">
        <v>8170</v>
      </c>
      <c r="K90" s="14">
        <v>0</v>
      </c>
      <c r="L90" s="14">
        <v>20240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5000</v>
      </c>
      <c r="S90" s="14">
        <v>0</v>
      </c>
      <c r="T90" s="14">
        <v>92460.54</v>
      </c>
      <c r="U90" s="14">
        <v>0</v>
      </c>
      <c r="V90" s="14">
        <v>0</v>
      </c>
      <c r="W90" s="14">
        <v>0</v>
      </c>
      <c r="X90" s="14">
        <v>0</v>
      </c>
      <c r="Y90" s="13"/>
    </row>
    <row r="91" spans="1:25" x14ac:dyDescent="0.35">
      <c r="A91" s="13" t="s">
        <v>26</v>
      </c>
      <c r="B91" s="13" t="s">
        <v>227</v>
      </c>
      <c r="C91" s="13" t="str">
        <f t="shared" si="12"/>
        <v>Repairs &amp; Maintenance Exp - Computer &amp; Printers</v>
      </c>
      <c r="D91" s="14">
        <v>0</v>
      </c>
      <c r="E91" s="14">
        <v>47727</v>
      </c>
      <c r="F91" s="14">
        <v>0</v>
      </c>
      <c r="G91" s="14">
        <v>47727</v>
      </c>
      <c r="H91" s="14">
        <v>0</v>
      </c>
      <c r="I91" s="14">
        <v>1200</v>
      </c>
      <c r="J91" s="14">
        <v>0</v>
      </c>
      <c r="K91" s="14">
        <v>0</v>
      </c>
      <c r="L91" s="14">
        <v>0</v>
      </c>
      <c r="M91" s="14">
        <v>0</v>
      </c>
      <c r="N91" s="14">
        <v>352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2830</v>
      </c>
      <c r="W91" s="14">
        <v>43345</v>
      </c>
      <c r="X91" s="14">
        <v>0</v>
      </c>
      <c r="Y91" s="13"/>
    </row>
    <row r="92" spans="1:25" x14ac:dyDescent="0.35">
      <c r="A92" s="13" t="s">
        <v>26</v>
      </c>
      <c r="B92" s="13" t="s">
        <v>228</v>
      </c>
      <c r="C92" s="13" t="str">
        <f t="shared" si="12"/>
        <v>Repairs &amp; Maintenance Exp - Electric</v>
      </c>
      <c r="D92" s="14">
        <v>0</v>
      </c>
      <c r="E92" s="14">
        <v>748121.8</v>
      </c>
      <c r="F92" s="14">
        <v>0</v>
      </c>
      <c r="G92" s="14">
        <v>748121.8</v>
      </c>
      <c r="H92" s="14">
        <v>0</v>
      </c>
      <c r="I92" s="14">
        <v>0</v>
      </c>
      <c r="J92" s="14">
        <v>1600</v>
      </c>
      <c r="K92" s="14">
        <v>0</v>
      </c>
      <c r="L92" s="14">
        <v>0</v>
      </c>
      <c r="M92" s="14">
        <v>0</v>
      </c>
      <c r="N92" s="14">
        <v>686908</v>
      </c>
      <c r="O92" s="14">
        <v>0</v>
      </c>
      <c r="P92" s="14">
        <v>0</v>
      </c>
      <c r="Q92" s="14">
        <v>0</v>
      </c>
      <c r="R92" s="14">
        <v>0</v>
      </c>
      <c r="S92" s="14">
        <v>14206</v>
      </c>
      <c r="T92" s="14">
        <v>0</v>
      </c>
      <c r="U92" s="14">
        <v>0</v>
      </c>
      <c r="V92" s="14">
        <v>23980</v>
      </c>
      <c r="W92" s="14">
        <v>2372.8000000000002</v>
      </c>
      <c r="X92" s="14">
        <v>19055</v>
      </c>
      <c r="Y92" s="13"/>
    </row>
    <row r="93" spans="1:25" x14ac:dyDescent="0.35">
      <c r="A93" s="13" t="s">
        <v>26</v>
      </c>
      <c r="B93" s="13" t="s">
        <v>229</v>
      </c>
      <c r="C93" s="13" t="str">
        <f t="shared" si="12"/>
        <v>Repairs &amp; Maintenance Exp - Motor Cars</v>
      </c>
      <c r="D93" s="14">
        <v>0</v>
      </c>
      <c r="E93" s="14">
        <v>750</v>
      </c>
      <c r="F93" s="14">
        <v>0</v>
      </c>
      <c r="G93" s="14">
        <v>750</v>
      </c>
      <c r="H93" s="14">
        <v>0</v>
      </c>
      <c r="I93" s="14">
        <v>750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3"/>
    </row>
    <row r="94" spans="1:25" x14ac:dyDescent="0.35">
      <c r="A94" s="13" t="s">
        <v>26</v>
      </c>
      <c r="B94" s="13" t="s">
        <v>230</v>
      </c>
      <c r="C94" s="13" t="str">
        <f t="shared" si="12"/>
        <v>Repairs &amp; Maintenance Exp - Other Vehicles</v>
      </c>
      <c r="D94" s="14">
        <v>0</v>
      </c>
      <c r="E94" s="14">
        <v>21857.31</v>
      </c>
      <c r="F94" s="14">
        <v>0</v>
      </c>
      <c r="G94" s="14">
        <v>21857.31</v>
      </c>
      <c r="H94" s="14">
        <v>0</v>
      </c>
      <c r="I94" s="14">
        <v>0</v>
      </c>
      <c r="J94" s="14">
        <v>0</v>
      </c>
      <c r="K94" s="14">
        <v>0</v>
      </c>
      <c r="L94" s="14">
        <v>160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710</v>
      </c>
      <c r="S94" s="14">
        <v>2560</v>
      </c>
      <c r="T94" s="14">
        <v>6000</v>
      </c>
      <c r="U94" s="14">
        <v>0</v>
      </c>
      <c r="V94" s="14">
        <v>250</v>
      </c>
      <c r="W94" s="14">
        <v>12177.31</v>
      </c>
      <c r="X94" s="14">
        <v>0</v>
      </c>
      <c r="Y94" s="13"/>
    </row>
    <row r="95" spans="1:25" x14ac:dyDescent="0.35">
      <c r="A95" s="13" t="s">
        <v>26</v>
      </c>
      <c r="B95" s="13" t="s">
        <v>231</v>
      </c>
      <c r="C95" s="13" t="str">
        <f t="shared" si="12"/>
        <v>Repairs &amp; Maintenance Exp - Others</v>
      </c>
      <c r="D95" s="14">
        <v>0</v>
      </c>
      <c r="E95" s="14">
        <v>1057367.01</v>
      </c>
      <c r="F95" s="14">
        <v>0</v>
      </c>
      <c r="G95" s="14">
        <v>1057367.01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43490</v>
      </c>
      <c r="O95" s="14">
        <v>0</v>
      </c>
      <c r="P95" s="14">
        <v>0</v>
      </c>
      <c r="Q95" s="14">
        <v>0</v>
      </c>
      <c r="R95" s="14">
        <v>52633</v>
      </c>
      <c r="S95" s="14">
        <v>821297.31</v>
      </c>
      <c r="T95" s="14">
        <v>103748.36</v>
      </c>
      <c r="U95" s="14">
        <v>0</v>
      </c>
      <c r="V95" s="14">
        <v>9690</v>
      </c>
      <c r="W95" s="14">
        <v>26508.34</v>
      </c>
      <c r="X95" s="14">
        <v>0</v>
      </c>
      <c r="Y95" s="13"/>
    </row>
    <row r="96" spans="1:25" x14ac:dyDescent="0.35">
      <c r="A96" s="9" t="s">
        <v>27</v>
      </c>
      <c r="B96" s="11" t="s">
        <v>48</v>
      </c>
      <c r="C96" s="11"/>
      <c r="D96" s="10">
        <v>0</v>
      </c>
      <c r="E96" s="10">
        <v>86300</v>
      </c>
      <c r="F96" s="10">
        <v>0</v>
      </c>
      <c r="G96" s="10">
        <v>86300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200</v>
      </c>
      <c r="S96" s="10">
        <v>0</v>
      </c>
      <c r="T96" s="10">
        <v>86100</v>
      </c>
      <c r="U96" s="10">
        <v>0</v>
      </c>
      <c r="V96" s="10">
        <v>0</v>
      </c>
      <c r="W96" s="10">
        <v>0</v>
      </c>
      <c r="X96" s="10">
        <v>0</v>
      </c>
      <c r="Y96" s="9"/>
    </row>
    <row r="97" spans="1:25" x14ac:dyDescent="0.35">
      <c r="A97" s="13" t="s">
        <v>26</v>
      </c>
      <c r="B97" s="13" t="s">
        <v>232</v>
      </c>
      <c r="C97" s="13" t="str">
        <f>TRIM(B97)</f>
        <v>Vehicle Hire Charges - RCM</v>
      </c>
      <c r="D97" s="14">
        <v>0</v>
      </c>
      <c r="E97" s="14">
        <v>86300</v>
      </c>
      <c r="F97" s="14">
        <v>0</v>
      </c>
      <c r="G97" s="14">
        <v>86300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200</v>
      </c>
      <c r="S97" s="14">
        <v>0</v>
      </c>
      <c r="T97" s="14">
        <v>86100</v>
      </c>
      <c r="U97" s="14">
        <v>0</v>
      </c>
      <c r="V97" s="14">
        <v>0</v>
      </c>
      <c r="W97" s="14">
        <v>0</v>
      </c>
      <c r="X97" s="14">
        <v>0</v>
      </c>
      <c r="Y97" s="13"/>
    </row>
    <row r="98" spans="1:25" x14ac:dyDescent="0.35">
      <c r="A98" s="6" t="s">
        <v>25</v>
      </c>
      <c r="B98" s="8" t="s">
        <v>49</v>
      </c>
      <c r="C98" s="8"/>
      <c r="D98" s="7">
        <v>0</v>
      </c>
      <c r="E98" s="7">
        <v>737</v>
      </c>
      <c r="F98" s="7">
        <v>0</v>
      </c>
      <c r="G98" s="7">
        <v>737</v>
      </c>
      <c r="H98" s="7">
        <v>0</v>
      </c>
      <c r="I98" s="7">
        <v>0</v>
      </c>
      <c r="J98" s="7">
        <v>737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6"/>
    </row>
    <row r="99" spans="1:25" x14ac:dyDescent="0.35">
      <c r="A99" s="13" t="s">
        <v>26</v>
      </c>
      <c r="B99" s="13" t="s">
        <v>233</v>
      </c>
      <c r="C99" s="13" t="str">
        <f>TRIM(B99)</f>
        <v>Depreciation Expenses</v>
      </c>
      <c r="D99" s="14">
        <v>0</v>
      </c>
      <c r="E99" s="14">
        <v>737</v>
      </c>
      <c r="F99" s="14">
        <v>0</v>
      </c>
      <c r="G99" s="14">
        <v>737</v>
      </c>
      <c r="H99" s="14">
        <v>0</v>
      </c>
      <c r="I99" s="14">
        <v>0</v>
      </c>
      <c r="J99" s="14">
        <v>737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3"/>
    </row>
    <row r="100" spans="1:25" x14ac:dyDescent="0.35">
      <c r="A100" s="6" t="s">
        <v>25</v>
      </c>
      <c r="B100" s="8" t="s">
        <v>50</v>
      </c>
      <c r="C100" s="8"/>
      <c r="D100" s="7">
        <v>0</v>
      </c>
      <c r="E100" s="7">
        <v>5899300.6900000004</v>
      </c>
      <c r="F100" s="7">
        <v>341721</v>
      </c>
      <c r="G100" s="7">
        <v>5557579.6900000004</v>
      </c>
      <c r="H100" s="7">
        <v>0</v>
      </c>
      <c r="I100" s="7">
        <v>24628</v>
      </c>
      <c r="J100" s="7">
        <v>16921</v>
      </c>
      <c r="K100" s="7">
        <v>-77912</v>
      </c>
      <c r="L100" s="7">
        <v>-26237</v>
      </c>
      <c r="M100" s="7">
        <v>126000</v>
      </c>
      <c r="N100" s="7">
        <v>358431</v>
      </c>
      <c r="O100" s="7">
        <v>0</v>
      </c>
      <c r="P100" s="7">
        <v>0</v>
      </c>
      <c r="Q100" s="7">
        <v>0</v>
      </c>
      <c r="R100" s="7">
        <v>79570</v>
      </c>
      <c r="S100" s="7">
        <v>243131.44</v>
      </c>
      <c r="T100" s="7">
        <v>484631.96</v>
      </c>
      <c r="U100" s="7">
        <v>102066</v>
      </c>
      <c r="V100" s="7">
        <v>897765</v>
      </c>
      <c r="W100" s="7">
        <v>13469.32</v>
      </c>
      <c r="X100" s="7">
        <v>3315114.97</v>
      </c>
      <c r="Y100" s="6"/>
    </row>
    <row r="101" spans="1:25" x14ac:dyDescent="0.35">
      <c r="A101" s="9" t="s">
        <v>27</v>
      </c>
      <c r="B101" s="11" t="s">
        <v>51</v>
      </c>
      <c r="C101" s="11"/>
      <c r="D101" s="10">
        <v>0</v>
      </c>
      <c r="E101" s="10">
        <v>683461</v>
      </c>
      <c r="F101" s="10">
        <v>12588</v>
      </c>
      <c r="G101" s="10">
        <v>670873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277288</v>
      </c>
      <c r="O101" s="10">
        <v>0</v>
      </c>
      <c r="P101" s="10">
        <v>0</v>
      </c>
      <c r="Q101" s="10">
        <v>0</v>
      </c>
      <c r="R101" s="10">
        <v>0</v>
      </c>
      <c r="S101" s="10">
        <v>118146</v>
      </c>
      <c r="T101" s="10">
        <v>275439</v>
      </c>
      <c r="U101" s="10">
        <v>0</v>
      </c>
      <c r="V101" s="10">
        <v>0</v>
      </c>
      <c r="W101" s="10">
        <v>0</v>
      </c>
      <c r="X101" s="10">
        <v>0</v>
      </c>
      <c r="Y101" s="9"/>
    </row>
    <row r="102" spans="1:25" x14ac:dyDescent="0.35">
      <c r="A102" s="13" t="s">
        <v>26</v>
      </c>
      <c r="B102" s="13" t="s">
        <v>234</v>
      </c>
      <c r="C102" s="13" t="str">
        <f t="shared" ref="C102:C103" si="13">TRIM(B102)</f>
        <v>P.F. Admin. Charge</v>
      </c>
      <c r="D102" s="14">
        <v>0</v>
      </c>
      <c r="E102" s="14">
        <v>26555</v>
      </c>
      <c r="F102" s="14">
        <v>500</v>
      </c>
      <c r="G102" s="14">
        <v>26055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10688</v>
      </c>
      <c r="O102" s="14">
        <v>0</v>
      </c>
      <c r="P102" s="14">
        <v>0</v>
      </c>
      <c r="Q102" s="14">
        <v>0</v>
      </c>
      <c r="R102" s="14">
        <v>0</v>
      </c>
      <c r="S102" s="14">
        <v>4773</v>
      </c>
      <c r="T102" s="14">
        <v>10594</v>
      </c>
      <c r="U102" s="14">
        <v>0</v>
      </c>
      <c r="V102" s="14">
        <v>0</v>
      </c>
      <c r="W102" s="14">
        <v>0</v>
      </c>
      <c r="X102" s="14">
        <v>0</v>
      </c>
      <c r="Y102" s="13"/>
    </row>
    <row r="103" spans="1:25" x14ac:dyDescent="0.35">
      <c r="A103" s="13" t="s">
        <v>26</v>
      </c>
      <c r="B103" s="13" t="s">
        <v>235</v>
      </c>
      <c r="C103" s="13" t="str">
        <f t="shared" si="13"/>
        <v>P.F. Contribution - Employer</v>
      </c>
      <c r="D103" s="14">
        <v>0</v>
      </c>
      <c r="E103" s="14">
        <v>656906</v>
      </c>
      <c r="F103" s="14">
        <v>12088</v>
      </c>
      <c r="G103" s="14">
        <v>644818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266600</v>
      </c>
      <c r="O103" s="14">
        <v>0</v>
      </c>
      <c r="P103" s="14">
        <v>0</v>
      </c>
      <c r="Q103" s="14">
        <v>0</v>
      </c>
      <c r="R103" s="14">
        <v>0</v>
      </c>
      <c r="S103" s="14">
        <v>113373</v>
      </c>
      <c r="T103" s="14">
        <v>264845</v>
      </c>
      <c r="U103" s="14">
        <v>0</v>
      </c>
      <c r="V103" s="14">
        <v>0</v>
      </c>
      <c r="W103" s="14">
        <v>0</v>
      </c>
      <c r="X103" s="14">
        <v>0</v>
      </c>
      <c r="Y103" s="13"/>
    </row>
    <row r="104" spans="1:25" x14ac:dyDescent="0.35">
      <c r="A104" s="9" t="s">
        <v>27</v>
      </c>
      <c r="B104" s="11" t="s">
        <v>52</v>
      </c>
      <c r="C104" s="11"/>
      <c r="D104" s="10">
        <v>0</v>
      </c>
      <c r="E104" s="10">
        <v>4947628.21</v>
      </c>
      <c r="F104" s="10">
        <v>301050</v>
      </c>
      <c r="G104" s="10">
        <v>4646578.21</v>
      </c>
      <c r="H104" s="10">
        <v>0</v>
      </c>
      <c r="I104" s="10">
        <v>5823</v>
      </c>
      <c r="J104" s="10">
        <v>16921</v>
      </c>
      <c r="K104" s="10">
        <v>-77912</v>
      </c>
      <c r="L104" s="10">
        <v>-18497</v>
      </c>
      <c r="M104" s="10">
        <v>126000</v>
      </c>
      <c r="N104" s="10">
        <v>71249</v>
      </c>
      <c r="O104" s="10">
        <v>0</v>
      </c>
      <c r="P104" s="10">
        <v>0</v>
      </c>
      <c r="Q104" s="10">
        <v>0</v>
      </c>
      <c r="R104" s="10">
        <v>15317</v>
      </c>
      <c r="S104" s="10">
        <v>65043.92</v>
      </c>
      <c r="T104" s="10">
        <v>97365</v>
      </c>
      <c r="U104" s="10">
        <v>102066</v>
      </c>
      <c r="V104" s="10">
        <v>897560</v>
      </c>
      <c r="W104" s="10">
        <v>13469.32</v>
      </c>
      <c r="X104" s="10">
        <v>3332172.97</v>
      </c>
      <c r="Y104" s="9"/>
    </row>
    <row r="105" spans="1:25" x14ac:dyDescent="0.35">
      <c r="A105" s="13" t="s">
        <v>26</v>
      </c>
      <c r="B105" s="13" t="s">
        <v>236</v>
      </c>
      <c r="C105" s="13" t="str">
        <f t="shared" ref="C105:C128" si="14">TRIM(B105)</f>
        <v>Allowance - Books &amp; Periodicals</v>
      </c>
      <c r="D105" s="14">
        <v>0</v>
      </c>
      <c r="E105" s="14">
        <v>12000</v>
      </c>
      <c r="F105" s="14">
        <v>0</v>
      </c>
      <c r="G105" s="14">
        <v>12000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12000</v>
      </c>
      <c r="Y105" s="13"/>
    </row>
    <row r="106" spans="1:25" x14ac:dyDescent="0.35">
      <c r="A106" s="13" t="s">
        <v>26</v>
      </c>
      <c r="B106" s="13" t="s">
        <v>237</v>
      </c>
      <c r="C106" s="13" t="str">
        <f t="shared" si="14"/>
        <v>Allowance - Canteen</v>
      </c>
      <c r="D106" s="14">
        <v>0</v>
      </c>
      <c r="E106" s="14">
        <v>572444.78</v>
      </c>
      <c r="F106" s="14">
        <v>0</v>
      </c>
      <c r="G106" s="14">
        <v>572444.78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1149</v>
      </c>
      <c r="S106" s="14">
        <v>5852</v>
      </c>
      <c r="T106" s="14">
        <v>2105</v>
      </c>
      <c r="U106" s="14">
        <v>0</v>
      </c>
      <c r="V106" s="14">
        <v>139915</v>
      </c>
      <c r="W106" s="14">
        <v>0</v>
      </c>
      <c r="X106" s="14">
        <v>423423.78</v>
      </c>
      <c r="Y106" s="13"/>
    </row>
    <row r="107" spans="1:25" x14ac:dyDescent="0.35">
      <c r="A107" s="13" t="s">
        <v>26</v>
      </c>
      <c r="B107" s="13" t="s">
        <v>238</v>
      </c>
      <c r="C107" s="13" t="str">
        <f t="shared" si="14"/>
        <v>Allowance - Children Education &amp; Hostel</v>
      </c>
      <c r="D107" s="14">
        <v>0</v>
      </c>
      <c r="E107" s="14">
        <v>1000</v>
      </c>
      <c r="F107" s="14">
        <v>0</v>
      </c>
      <c r="G107" s="14">
        <v>1000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1000</v>
      </c>
      <c r="Y107" s="13"/>
    </row>
    <row r="108" spans="1:25" x14ac:dyDescent="0.35">
      <c r="A108" s="13" t="s">
        <v>26</v>
      </c>
      <c r="B108" s="13" t="s">
        <v>239</v>
      </c>
      <c r="C108" s="13" t="str">
        <f t="shared" si="14"/>
        <v>Allowance - Conveyance</v>
      </c>
      <c r="D108" s="14">
        <v>0</v>
      </c>
      <c r="E108" s="14">
        <v>16700</v>
      </c>
      <c r="F108" s="14">
        <v>0</v>
      </c>
      <c r="G108" s="14">
        <v>16700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16700</v>
      </c>
      <c r="Y108" s="13"/>
    </row>
    <row r="109" spans="1:25" x14ac:dyDescent="0.35">
      <c r="A109" s="13" t="s">
        <v>26</v>
      </c>
      <c r="B109" s="13" t="s">
        <v>240</v>
      </c>
      <c r="C109" s="13" t="str">
        <f t="shared" si="14"/>
        <v>Allowance - Driver &amp; Assistant</v>
      </c>
      <c r="D109" s="14">
        <v>0</v>
      </c>
      <c r="E109" s="14">
        <v>22000</v>
      </c>
      <c r="F109" s="14">
        <v>0</v>
      </c>
      <c r="G109" s="14">
        <v>22000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22000</v>
      </c>
      <c r="Y109" s="13"/>
    </row>
    <row r="110" spans="1:25" x14ac:dyDescent="0.35">
      <c r="A110" s="13" t="s">
        <v>26</v>
      </c>
      <c r="B110" s="13" t="s">
        <v>241</v>
      </c>
      <c r="C110" s="13" t="str">
        <f t="shared" si="14"/>
        <v>Allowance - House Rent</v>
      </c>
      <c r="D110" s="14">
        <v>0</v>
      </c>
      <c r="E110" s="14">
        <v>1005746</v>
      </c>
      <c r="F110" s="14">
        <v>0</v>
      </c>
      <c r="G110" s="14">
        <v>1005746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1914</v>
      </c>
      <c r="S110" s="14">
        <v>9753</v>
      </c>
      <c r="T110" s="14">
        <v>3800</v>
      </c>
      <c r="U110" s="14">
        <v>0</v>
      </c>
      <c r="V110" s="14">
        <v>233155</v>
      </c>
      <c r="W110" s="14">
        <v>0</v>
      </c>
      <c r="X110" s="14">
        <v>757124</v>
      </c>
      <c r="Y110" s="13"/>
    </row>
    <row r="111" spans="1:25" x14ac:dyDescent="0.35">
      <c r="A111" s="13" t="s">
        <v>26</v>
      </c>
      <c r="B111" s="13" t="s">
        <v>242</v>
      </c>
      <c r="C111" s="13" t="str">
        <f t="shared" si="14"/>
        <v>Allowance - Medical</v>
      </c>
      <c r="D111" s="14">
        <v>0</v>
      </c>
      <c r="E111" s="14">
        <v>1318</v>
      </c>
      <c r="F111" s="14">
        <v>0</v>
      </c>
      <c r="G111" s="14">
        <v>1318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1318</v>
      </c>
      <c r="Y111" s="13"/>
    </row>
    <row r="112" spans="1:25" x14ac:dyDescent="0.35">
      <c r="A112" s="13" t="s">
        <v>26</v>
      </c>
      <c r="B112" s="13" t="s">
        <v>243</v>
      </c>
      <c r="C112" s="13" t="str">
        <f t="shared" si="14"/>
        <v>Allowance - Other</v>
      </c>
      <c r="D112" s="14">
        <v>0</v>
      </c>
      <c r="E112" s="14">
        <v>110186</v>
      </c>
      <c r="F112" s="14">
        <v>0</v>
      </c>
      <c r="G112" s="14">
        <v>110186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400</v>
      </c>
      <c r="W112" s="14">
        <v>0</v>
      </c>
      <c r="X112" s="14">
        <v>109786</v>
      </c>
      <c r="Y112" s="13"/>
    </row>
    <row r="113" spans="1:25" x14ac:dyDescent="0.35">
      <c r="A113" s="13" t="s">
        <v>26</v>
      </c>
      <c r="B113" s="13" t="s">
        <v>244</v>
      </c>
      <c r="C113" s="13" t="str">
        <f t="shared" si="14"/>
        <v>Allowance - Transport</v>
      </c>
      <c r="D113" s="14">
        <v>0</v>
      </c>
      <c r="E113" s="14">
        <v>1650</v>
      </c>
      <c r="F113" s="14">
        <v>0</v>
      </c>
      <c r="G113" s="14">
        <v>1650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1650</v>
      </c>
      <c r="Y113" s="13"/>
    </row>
    <row r="114" spans="1:25" x14ac:dyDescent="0.35">
      <c r="A114" s="13" t="s">
        <v>26</v>
      </c>
      <c r="B114" s="13" t="s">
        <v>245</v>
      </c>
      <c r="C114" s="13" t="str">
        <f t="shared" si="14"/>
        <v>Allowance - Uniform / Attire</v>
      </c>
      <c r="D114" s="14">
        <v>0</v>
      </c>
      <c r="E114" s="14">
        <v>28000</v>
      </c>
      <c r="F114" s="14">
        <v>0</v>
      </c>
      <c r="G114" s="14">
        <v>28000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28000</v>
      </c>
      <c r="Y114" s="13"/>
    </row>
    <row r="115" spans="1:25" x14ac:dyDescent="0.35">
      <c r="A115" s="13" t="s">
        <v>26</v>
      </c>
      <c r="B115" s="13" t="s">
        <v>246</v>
      </c>
      <c r="C115" s="13" t="str">
        <f t="shared" si="14"/>
        <v>Allowance - Washing</v>
      </c>
      <c r="D115" s="14">
        <v>0</v>
      </c>
      <c r="E115" s="14">
        <v>387194.11</v>
      </c>
      <c r="F115" s="14">
        <v>0</v>
      </c>
      <c r="G115" s="14">
        <v>387194.11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765</v>
      </c>
      <c r="S115" s="14">
        <v>3901.92</v>
      </c>
      <c r="T115" s="14">
        <v>1480</v>
      </c>
      <c r="U115" s="14">
        <v>0</v>
      </c>
      <c r="V115" s="14">
        <v>93264</v>
      </c>
      <c r="W115" s="14">
        <v>0</v>
      </c>
      <c r="X115" s="14">
        <v>287783.19</v>
      </c>
      <c r="Y115" s="13"/>
    </row>
    <row r="116" spans="1:25" x14ac:dyDescent="0.35">
      <c r="A116" s="13" t="s">
        <v>26</v>
      </c>
      <c r="B116" s="13" t="s">
        <v>247</v>
      </c>
      <c r="C116" s="13" t="str">
        <f t="shared" si="14"/>
        <v>Att. Bonus (Salary Part)</v>
      </c>
      <c r="D116" s="14">
        <v>0</v>
      </c>
      <c r="E116" s="14">
        <v>40400</v>
      </c>
      <c r="F116" s="14">
        <v>0</v>
      </c>
      <c r="G116" s="14">
        <v>40400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40400</v>
      </c>
      <c r="Y116" s="13"/>
    </row>
    <row r="117" spans="1:25" x14ac:dyDescent="0.35">
      <c r="A117" s="13" t="s">
        <v>26</v>
      </c>
      <c r="B117" s="13" t="s">
        <v>248</v>
      </c>
      <c r="C117" s="13" t="str">
        <f t="shared" si="14"/>
        <v>Bonus Expense</v>
      </c>
      <c r="D117" s="14">
        <v>0</v>
      </c>
      <c r="E117" s="14">
        <v>40350</v>
      </c>
      <c r="F117" s="14">
        <v>101004</v>
      </c>
      <c r="G117" s="14">
        <v>-60654</v>
      </c>
      <c r="H117" s="14">
        <v>0</v>
      </c>
      <c r="I117" s="14">
        <v>0</v>
      </c>
      <c r="J117" s="14">
        <v>0</v>
      </c>
      <c r="K117" s="14">
        <v>-77912</v>
      </c>
      <c r="L117" s="14">
        <v>-23092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4296</v>
      </c>
      <c r="T117" s="14">
        <v>6182</v>
      </c>
      <c r="U117" s="14">
        <v>0</v>
      </c>
      <c r="V117" s="14">
        <v>27142</v>
      </c>
      <c r="W117" s="14">
        <v>0</v>
      </c>
      <c r="X117" s="14">
        <v>2730</v>
      </c>
      <c r="Y117" s="13"/>
    </row>
    <row r="118" spans="1:25" x14ac:dyDescent="0.35">
      <c r="A118" s="13" t="s">
        <v>26</v>
      </c>
      <c r="B118" s="13" t="s">
        <v>249</v>
      </c>
      <c r="C118" s="13" t="str">
        <f t="shared" si="14"/>
        <v>Employers Contribution to ESI</v>
      </c>
      <c r="D118" s="14">
        <v>0</v>
      </c>
      <c r="E118" s="14">
        <v>166826</v>
      </c>
      <c r="F118" s="14">
        <v>166826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3"/>
    </row>
    <row r="119" spans="1:25" x14ac:dyDescent="0.35">
      <c r="A119" s="13" t="s">
        <v>26</v>
      </c>
      <c r="B119" s="13" t="s">
        <v>250</v>
      </c>
      <c r="C119" s="13" t="str">
        <f t="shared" si="14"/>
        <v>Gratuity Expense</v>
      </c>
      <c r="D119" s="14">
        <v>0</v>
      </c>
      <c r="E119" s="14">
        <v>125111</v>
      </c>
      <c r="F119" s="14">
        <v>0</v>
      </c>
      <c r="G119" s="14">
        <v>125111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32590</v>
      </c>
      <c r="T119" s="14">
        <v>60230</v>
      </c>
      <c r="U119" s="14">
        <v>0</v>
      </c>
      <c r="V119" s="14">
        <v>0</v>
      </c>
      <c r="W119" s="14">
        <v>0</v>
      </c>
      <c r="X119" s="14">
        <v>32291</v>
      </c>
      <c r="Y119" s="13"/>
    </row>
    <row r="120" spans="1:25" x14ac:dyDescent="0.35">
      <c r="A120" s="13" t="s">
        <v>26</v>
      </c>
      <c r="B120" s="13" t="s">
        <v>251</v>
      </c>
      <c r="C120" s="13" t="str">
        <f t="shared" si="14"/>
        <v>Incentive Expense - Attendence</v>
      </c>
      <c r="D120" s="14">
        <v>0</v>
      </c>
      <c r="E120" s="14">
        <v>104403</v>
      </c>
      <c r="F120" s="14">
        <v>0</v>
      </c>
      <c r="G120" s="14">
        <v>104403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13779</v>
      </c>
      <c r="T120" s="14">
        <v>0</v>
      </c>
      <c r="U120" s="14">
        <v>0</v>
      </c>
      <c r="V120" s="14">
        <v>700</v>
      </c>
      <c r="W120" s="14">
        <v>0</v>
      </c>
      <c r="X120" s="14">
        <v>89924</v>
      </c>
      <c r="Y120" s="13"/>
    </row>
    <row r="121" spans="1:25" x14ac:dyDescent="0.35">
      <c r="A121" s="13" t="s">
        <v>26</v>
      </c>
      <c r="B121" s="13" t="s">
        <v>252</v>
      </c>
      <c r="C121" s="13" t="str">
        <f t="shared" si="14"/>
        <v>Incentive Expense - HO</v>
      </c>
      <c r="D121" s="14">
        <v>0</v>
      </c>
      <c r="E121" s="14">
        <v>8000</v>
      </c>
      <c r="F121" s="14">
        <v>0</v>
      </c>
      <c r="G121" s="14">
        <v>8000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8000</v>
      </c>
      <c r="X121" s="14">
        <v>0</v>
      </c>
      <c r="Y121" s="13"/>
    </row>
    <row r="122" spans="1:25" x14ac:dyDescent="0.35">
      <c r="A122" s="13" t="s">
        <v>26</v>
      </c>
      <c r="B122" s="13" t="s">
        <v>253</v>
      </c>
      <c r="C122" s="13" t="str">
        <f t="shared" si="14"/>
        <v>Incentive Expense - Production</v>
      </c>
      <c r="D122" s="14">
        <v>0</v>
      </c>
      <c r="E122" s="14">
        <v>90209</v>
      </c>
      <c r="F122" s="14">
        <v>0</v>
      </c>
      <c r="G122" s="14">
        <v>90209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71249</v>
      </c>
      <c r="O122" s="14">
        <v>0</v>
      </c>
      <c r="P122" s="14">
        <v>0</v>
      </c>
      <c r="Q122" s="14">
        <v>0</v>
      </c>
      <c r="R122" s="14">
        <v>7960</v>
      </c>
      <c r="S122" s="14">
        <v>0</v>
      </c>
      <c r="T122" s="14">
        <v>0</v>
      </c>
      <c r="U122" s="14">
        <v>0</v>
      </c>
      <c r="V122" s="14">
        <v>11000</v>
      </c>
      <c r="W122" s="14">
        <v>0</v>
      </c>
      <c r="X122" s="14">
        <v>0</v>
      </c>
      <c r="Y122" s="13"/>
    </row>
    <row r="123" spans="1:25" x14ac:dyDescent="0.35">
      <c r="A123" s="13" t="s">
        <v>26</v>
      </c>
      <c r="B123" s="13" t="s">
        <v>254</v>
      </c>
      <c r="C123" s="13" t="str">
        <f t="shared" si="14"/>
        <v>Leave Encashment</v>
      </c>
      <c r="D123" s="14">
        <v>0</v>
      </c>
      <c r="E123" s="14">
        <v>13797</v>
      </c>
      <c r="F123" s="14">
        <v>0</v>
      </c>
      <c r="G123" s="14">
        <v>13797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2074</v>
      </c>
      <c r="S123" s="14">
        <v>310</v>
      </c>
      <c r="T123" s="14">
        <v>9978</v>
      </c>
      <c r="U123" s="14">
        <v>0</v>
      </c>
      <c r="V123" s="14">
        <v>0</v>
      </c>
      <c r="W123" s="14">
        <v>0</v>
      </c>
      <c r="X123" s="14">
        <v>1435</v>
      </c>
      <c r="Y123" s="13"/>
    </row>
    <row r="124" spans="1:25" x14ac:dyDescent="0.35">
      <c r="A124" s="13" t="s">
        <v>26</v>
      </c>
      <c r="B124" s="13" t="s">
        <v>255</v>
      </c>
      <c r="C124" s="13" t="str">
        <f t="shared" si="14"/>
        <v>Notice Pay Deduction</v>
      </c>
      <c r="D124" s="14">
        <v>0</v>
      </c>
      <c r="E124" s="14">
        <v>0</v>
      </c>
      <c r="F124" s="14">
        <v>16140</v>
      </c>
      <c r="G124" s="14">
        <v>-16140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-16140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3"/>
    </row>
    <row r="125" spans="1:25" x14ac:dyDescent="0.35">
      <c r="A125" s="13" t="s">
        <v>26</v>
      </c>
      <c r="B125" s="13" t="s">
        <v>91</v>
      </c>
      <c r="C125" s="13" t="str">
        <f t="shared" si="14"/>
        <v>Other Deduction</v>
      </c>
      <c r="D125" s="14">
        <v>0</v>
      </c>
      <c r="E125" s="14">
        <v>0</v>
      </c>
      <c r="F125" s="14">
        <v>17080</v>
      </c>
      <c r="G125" s="14">
        <v>-17080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-8400</v>
      </c>
      <c r="S125" s="14">
        <v>0</v>
      </c>
      <c r="T125" s="14">
        <v>-500</v>
      </c>
      <c r="U125" s="14">
        <v>0</v>
      </c>
      <c r="V125" s="14">
        <v>0</v>
      </c>
      <c r="W125" s="14">
        <v>0</v>
      </c>
      <c r="X125" s="14">
        <v>-8180</v>
      </c>
      <c r="Y125" s="13"/>
    </row>
    <row r="126" spans="1:25" x14ac:dyDescent="0.35">
      <c r="A126" s="13" t="s">
        <v>26</v>
      </c>
      <c r="B126" s="13" t="s">
        <v>92</v>
      </c>
      <c r="C126" s="13" t="str">
        <f t="shared" si="14"/>
        <v>Salaries Expense</v>
      </c>
      <c r="D126" s="14">
        <v>0</v>
      </c>
      <c r="E126" s="14">
        <v>1962918</v>
      </c>
      <c r="F126" s="14">
        <v>0</v>
      </c>
      <c r="G126" s="14">
        <v>1962918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126000</v>
      </c>
      <c r="N126" s="14">
        <v>0</v>
      </c>
      <c r="O126" s="14">
        <v>0</v>
      </c>
      <c r="P126" s="14">
        <v>0</v>
      </c>
      <c r="Q126" s="14">
        <v>0</v>
      </c>
      <c r="R126" s="14">
        <v>3070</v>
      </c>
      <c r="S126" s="14">
        <v>7102</v>
      </c>
      <c r="T126" s="14">
        <v>4640</v>
      </c>
      <c r="U126" s="14">
        <v>102066</v>
      </c>
      <c r="V126" s="14">
        <v>325898</v>
      </c>
      <c r="W126" s="14">
        <v>0</v>
      </c>
      <c r="X126" s="14">
        <v>1394142</v>
      </c>
      <c r="Y126" s="13"/>
    </row>
    <row r="127" spans="1:25" x14ac:dyDescent="0.35">
      <c r="A127" s="13" t="s">
        <v>26</v>
      </c>
      <c r="B127" s="13" t="s">
        <v>93</v>
      </c>
      <c r="C127" s="13" t="str">
        <f t="shared" si="14"/>
        <v>Salary - Over Time</v>
      </c>
      <c r="D127" s="14">
        <v>0</v>
      </c>
      <c r="E127" s="14">
        <v>182685</v>
      </c>
      <c r="F127" s="14">
        <v>0</v>
      </c>
      <c r="G127" s="14">
        <v>182685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64039</v>
      </c>
      <c r="W127" s="14">
        <v>0</v>
      </c>
      <c r="X127" s="14">
        <v>118646</v>
      </c>
      <c r="Y127" s="13"/>
    </row>
    <row r="128" spans="1:25" x14ac:dyDescent="0.35">
      <c r="A128" s="13" t="s">
        <v>26</v>
      </c>
      <c r="B128" s="13" t="s">
        <v>94</v>
      </c>
      <c r="C128" s="13" t="str">
        <f t="shared" si="14"/>
        <v>Staff Welfare Expense</v>
      </c>
      <c r="D128" s="14">
        <v>0</v>
      </c>
      <c r="E128" s="14">
        <v>54690.32</v>
      </c>
      <c r="F128" s="14">
        <v>0</v>
      </c>
      <c r="G128" s="14">
        <v>54690.32</v>
      </c>
      <c r="H128" s="14">
        <v>0</v>
      </c>
      <c r="I128" s="14">
        <v>5823</v>
      </c>
      <c r="J128" s="14">
        <v>16921</v>
      </c>
      <c r="K128" s="14">
        <v>0</v>
      </c>
      <c r="L128" s="14">
        <v>4595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6785</v>
      </c>
      <c r="S128" s="14">
        <v>3600</v>
      </c>
      <c r="T128" s="14">
        <v>9450</v>
      </c>
      <c r="U128" s="14">
        <v>0</v>
      </c>
      <c r="V128" s="14">
        <v>2047</v>
      </c>
      <c r="W128" s="14">
        <v>5469.32</v>
      </c>
      <c r="X128" s="14">
        <v>0</v>
      </c>
      <c r="Y128" s="13"/>
    </row>
    <row r="129" spans="1:25" x14ac:dyDescent="0.35">
      <c r="A129" s="9" t="s">
        <v>27</v>
      </c>
      <c r="B129" s="11" t="s">
        <v>53</v>
      </c>
      <c r="C129" s="11"/>
      <c r="D129" s="10">
        <v>0</v>
      </c>
      <c r="E129" s="10">
        <v>268211.48</v>
      </c>
      <c r="F129" s="10">
        <v>28083</v>
      </c>
      <c r="G129" s="10">
        <v>240128.48</v>
      </c>
      <c r="H129" s="10">
        <v>0</v>
      </c>
      <c r="I129" s="10">
        <v>18805</v>
      </c>
      <c r="J129" s="10">
        <v>0</v>
      </c>
      <c r="K129" s="10">
        <v>0</v>
      </c>
      <c r="L129" s="10">
        <v>-7740</v>
      </c>
      <c r="M129" s="10">
        <v>0</v>
      </c>
      <c r="N129" s="10">
        <v>9894</v>
      </c>
      <c r="O129" s="10">
        <v>0</v>
      </c>
      <c r="P129" s="10">
        <v>0</v>
      </c>
      <c r="Q129" s="10">
        <v>0</v>
      </c>
      <c r="R129" s="10">
        <v>64253</v>
      </c>
      <c r="S129" s="10">
        <v>59941.52</v>
      </c>
      <c r="T129" s="10">
        <v>111827.96</v>
      </c>
      <c r="U129" s="10">
        <v>0</v>
      </c>
      <c r="V129" s="10">
        <v>205</v>
      </c>
      <c r="W129" s="10">
        <v>0</v>
      </c>
      <c r="X129" s="10">
        <v>-17058</v>
      </c>
      <c r="Y129" s="9"/>
    </row>
    <row r="130" spans="1:25" x14ac:dyDescent="0.35">
      <c r="A130" s="13" t="s">
        <v>26</v>
      </c>
      <c r="B130" s="13" t="s">
        <v>95</v>
      </c>
      <c r="C130" s="13" t="str">
        <f t="shared" ref="C130:C133" si="15">TRIM(B130)</f>
        <v>Canteen Expense - Factory</v>
      </c>
      <c r="D130" s="14">
        <v>0</v>
      </c>
      <c r="E130" s="14">
        <v>160869.48000000001</v>
      </c>
      <c r="F130" s="14">
        <v>25483</v>
      </c>
      <c r="G130" s="14">
        <v>135386.48000000001</v>
      </c>
      <c r="H130" s="14">
        <v>0</v>
      </c>
      <c r="I130" s="14">
        <v>0</v>
      </c>
      <c r="J130" s="14">
        <v>0</v>
      </c>
      <c r="K130" s="14">
        <v>0</v>
      </c>
      <c r="L130" s="14">
        <v>-7740</v>
      </c>
      <c r="M130" s="14">
        <v>0</v>
      </c>
      <c r="N130" s="14">
        <v>5475</v>
      </c>
      <c r="O130" s="14">
        <v>0</v>
      </c>
      <c r="P130" s="14">
        <v>0</v>
      </c>
      <c r="Q130" s="14">
        <v>0</v>
      </c>
      <c r="R130" s="14">
        <v>0</v>
      </c>
      <c r="S130" s="14">
        <v>46661.52</v>
      </c>
      <c r="T130" s="14">
        <v>108327.96</v>
      </c>
      <c r="U130" s="14">
        <v>0</v>
      </c>
      <c r="V130" s="14">
        <v>0</v>
      </c>
      <c r="W130" s="14">
        <v>0</v>
      </c>
      <c r="X130" s="14">
        <v>-17338</v>
      </c>
      <c r="Y130" s="13"/>
    </row>
    <row r="131" spans="1:25" x14ac:dyDescent="0.35">
      <c r="A131" s="13" t="s">
        <v>26</v>
      </c>
      <c r="B131" s="13" t="s">
        <v>96</v>
      </c>
      <c r="C131" s="13" t="str">
        <f t="shared" si="15"/>
        <v>Canteen Expense - Office</v>
      </c>
      <c r="D131" s="14">
        <v>0</v>
      </c>
      <c r="E131" s="14">
        <v>77978</v>
      </c>
      <c r="F131" s="14">
        <v>0</v>
      </c>
      <c r="G131" s="14">
        <v>77978</v>
      </c>
      <c r="H131" s="14">
        <v>0</v>
      </c>
      <c r="I131" s="14">
        <v>18805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59173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3"/>
    </row>
    <row r="132" spans="1:25" x14ac:dyDescent="0.35">
      <c r="A132" s="13" t="s">
        <v>26</v>
      </c>
      <c r="B132" s="13" t="s">
        <v>97</v>
      </c>
      <c r="C132" s="13" t="str">
        <f t="shared" si="15"/>
        <v>Meal Coupon Expense</v>
      </c>
      <c r="D132" s="14">
        <v>0</v>
      </c>
      <c r="E132" s="14">
        <v>0</v>
      </c>
      <c r="F132" s="14">
        <v>2600</v>
      </c>
      <c r="G132" s="14">
        <v>-2600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-2600</v>
      </c>
      <c r="Y132" s="13"/>
    </row>
    <row r="133" spans="1:25" x14ac:dyDescent="0.35">
      <c r="A133" s="13" t="s">
        <v>26</v>
      </c>
      <c r="B133" s="13" t="s">
        <v>98</v>
      </c>
      <c r="C133" s="13" t="str">
        <f t="shared" si="15"/>
        <v>Medical Expense</v>
      </c>
      <c r="D133" s="14">
        <v>0</v>
      </c>
      <c r="E133" s="14">
        <v>29364</v>
      </c>
      <c r="F133" s="14">
        <v>0</v>
      </c>
      <c r="G133" s="14">
        <v>29364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4419</v>
      </c>
      <c r="O133" s="14">
        <v>0</v>
      </c>
      <c r="P133" s="14">
        <v>0</v>
      </c>
      <c r="Q133" s="14">
        <v>0</v>
      </c>
      <c r="R133" s="14">
        <v>5080</v>
      </c>
      <c r="S133" s="14">
        <v>13280</v>
      </c>
      <c r="T133" s="14">
        <v>3500</v>
      </c>
      <c r="U133" s="14">
        <v>0</v>
      </c>
      <c r="V133" s="14">
        <v>205</v>
      </c>
      <c r="W133" s="14">
        <v>0</v>
      </c>
      <c r="X133" s="14">
        <v>2880</v>
      </c>
      <c r="Y133" s="13"/>
    </row>
    <row r="134" spans="1:25" x14ac:dyDescent="0.35">
      <c r="A134" s="6" t="s">
        <v>25</v>
      </c>
      <c r="B134" s="8" t="s">
        <v>54</v>
      </c>
      <c r="C134" s="8"/>
      <c r="D134" s="7">
        <v>0</v>
      </c>
      <c r="E134" s="7">
        <v>30338411.829999998</v>
      </c>
      <c r="F134" s="7">
        <v>5858121.5099999998</v>
      </c>
      <c r="G134" s="7">
        <v>24480290.32</v>
      </c>
      <c r="H134" s="7">
        <v>0</v>
      </c>
      <c r="I134" s="7">
        <v>4720</v>
      </c>
      <c r="J134" s="7">
        <v>1161459.71</v>
      </c>
      <c r="K134" s="7">
        <v>0</v>
      </c>
      <c r="L134" s="7">
        <v>0</v>
      </c>
      <c r="M134" s="7">
        <v>177</v>
      </c>
      <c r="N134" s="7">
        <v>7504741.7999999998</v>
      </c>
      <c r="O134" s="7">
        <v>0</v>
      </c>
      <c r="P134" s="7">
        <v>11.8</v>
      </c>
      <c r="Q134" s="7">
        <v>906470.78</v>
      </c>
      <c r="R134" s="7">
        <v>4588.1099999999997</v>
      </c>
      <c r="S134" s="7">
        <v>11524712.710000001</v>
      </c>
      <c r="T134" s="7">
        <v>135300.03</v>
      </c>
      <c r="U134" s="7">
        <v>1251094.98</v>
      </c>
      <c r="V134" s="7">
        <v>13455.21</v>
      </c>
      <c r="W134" s="7">
        <v>-34260.44</v>
      </c>
      <c r="X134" s="7">
        <v>2007818.63</v>
      </c>
      <c r="Y134" s="6"/>
    </row>
    <row r="135" spans="1:25" x14ac:dyDescent="0.35">
      <c r="A135" s="9" t="s">
        <v>27</v>
      </c>
      <c r="B135" s="11" t="s">
        <v>55</v>
      </c>
      <c r="C135" s="11"/>
      <c r="D135" s="10">
        <v>0</v>
      </c>
      <c r="E135" s="10">
        <v>1534225.03</v>
      </c>
      <c r="F135" s="10">
        <v>0</v>
      </c>
      <c r="G135" s="10">
        <v>1534225.03</v>
      </c>
      <c r="H135" s="10">
        <v>0</v>
      </c>
      <c r="I135" s="10">
        <v>4720</v>
      </c>
      <c r="J135" s="10">
        <v>11909.71</v>
      </c>
      <c r="K135" s="10">
        <v>0</v>
      </c>
      <c r="L135" s="10">
        <v>0</v>
      </c>
      <c r="M135" s="10">
        <v>177</v>
      </c>
      <c r="N135" s="10">
        <v>253657.76</v>
      </c>
      <c r="O135" s="10">
        <v>0</v>
      </c>
      <c r="P135" s="10">
        <v>11.8</v>
      </c>
      <c r="Q135" s="10">
        <v>117963.23</v>
      </c>
      <c r="R135" s="10">
        <v>1262.5999999999999</v>
      </c>
      <c r="S135" s="10">
        <v>490422.7</v>
      </c>
      <c r="T135" s="10">
        <v>147329.76999999999</v>
      </c>
      <c r="U135" s="10">
        <v>0</v>
      </c>
      <c r="V135" s="10">
        <v>47266.1</v>
      </c>
      <c r="W135" s="10">
        <v>63405.58</v>
      </c>
      <c r="X135" s="10">
        <v>396098.78</v>
      </c>
      <c r="Y135" s="9"/>
    </row>
    <row r="136" spans="1:25" x14ac:dyDescent="0.35">
      <c r="A136" s="13" t="s">
        <v>26</v>
      </c>
      <c r="B136" s="13" t="s">
        <v>99</v>
      </c>
      <c r="C136" s="13" t="str">
        <f t="shared" ref="C136:C140" si="16">TRIM(B136)</f>
        <v>Bank Charges - Export Collection</v>
      </c>
      <c r="D136" s="14">
        <v>0</v>
      </c>
      <c r="E136" s="14">
        <v>644375.16</v>
      </c>
      <c r="F136" s="14">
        <v>0</v>
      </c>
      <c r="G136" s="14">
        <v>644375.16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190406.46</v>
      </c>
      <c r="O136" s="14">
        <v>0</v>
      </c>
      <c r="P136" s="14">
        <v>0</v>
      </c>
      <c r="Q136" s="14">
        <v>42142.239999999998</v>
      </c>
      <c r="R136" s="14">
        <v>0</v>
      </c>
      <c r="S136" s="14">
        <v>191807.45</v>
      </c>
      <c r="T136" s="14">
        <v>107745.03</v>
      </c>
      <c r="U136" s="14">
        <v>0</v>
      </c>
      <c r="V136" s="14">
        <v>33887.03</v>
      </c>
      <c r="W136" s="14">
        <v>49756.3</v>
      </c>
      <c r="X136" s="14">
        <v>28630.65</v>
      </c>
      <c r="Y136" s="13"/>
    </row>
    <row r="137" spans="1:25" x14ac:dyDescent="0.35">
      <c r="A137" s="13" t="s">
        <v>26</v>
      </c>
      <c r="B137" s="13" t="s">
        <v>100</v>
      </c>
      <c r="C137" s="13" t="str">
        <f t="shared" si="16"/>
        <v>Bank Charges - Import</v>
      </c>
      <c r="D137" s="14">
        <v>0</v>
      </c>
      <c r="E137" s="14">
        <v>153940.56</v>
      </c>
      <c r="F137" s="14">
        <v>0</v>
      </c>
      <c r="G137" s="14">
        <v>153940.56</v>
      </c>
      <c r="H137" s="14">
        <v>0</v>
      </c>
      <c r="I137" s="14">
        <v>0</v>
      </c>
      <c r="J137" s="14">
        <v>600</v>
      </c>
      <c r="K137" s="14">
        <v>0</v>
      </c>
      <c r="L137" s="14">
        <v>0</v>
      </c>
      <c r="M137" s="14">
        <v>0</v>
      </c>
      <c r="N137" s="14">
        <v>4184.74</v>
      </c>
      <c r="O137" s="14">
        <v>0</v>
      </c>
      <c r="P137" s="14">
        <v>0</v>
      </c>
      <c r="Q137" s="14">
        <v>53644.5</v>
      </c>
      <c r="R137" s="14">
        <v>0</v>
      </c>
      <c r="S137" s="14">
        <v>93011.32</v>
      </c>
      <c r="T137" s="14">
        <v>1000</v>
      </c>
      <c r="U137" s="14">
        <v>0</v>
      </c>
      <c r="V137" s="14">
        <v>0</v>
      </c>
      <c r="W137" s="14">
        <v>1500</v>
      </c>
      <c r="X137" s="14">
        <v>0</v>
      </c>
      <c r="Y137" s="13"/>
    </row>
    <row r="138" spans="1:25" x14ac:dyDescent="0.35">
      <c r="A138" s="13" t="s">
        <v>26</v>
      </c>
      <c r="B138" s="13" t="s">
        <v>101</v>
      </c>
      <c r="C138" s="13" t="str">
        <f t="shared" si="16"/>
        <v>Bank Charges - LC</v>
      </c>
      <c r="D138" s="14">
        <v>0</v>
      </c>
      <c r="E138" s="14">
        <v>16474</v>
      </c>
      <c r="F138" s="14">
        <v>0</v>
      </c>
      <c r="G138" s="14">
        <v>16474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1000</v>
      </c>
      <c r="O138" s="14">
        <v>0</v>
      </c>
      <c r="P138" s="14">
        <v>0</v>
      </c>
      <c r="Q138" s="14">
        <v>0</v>
      </c>
      <c r="R138" s="14">
        <v>0</v>
      </c>
      <c r="S138" s="14">
        <v>15474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3"/>
    </row>
    <row r="139" spans="1:25" x14ac:dyDescent="0.35">
      <c r="A139" s="13" t="s">
        <v>26</v>
      </c>
      <c r="B139" s="13" t="s">
        <v>102</v>
      </c>
      <c r="C139" s="13" t="str">
        <f t="shared" si="16"/>
        <v>Bank Charges - Postage &amp; Swift</v>
      </c>
      <c r="D139" s="14">
        <v>0</v>
      </c>
      <c r="E139" s="14">
        <v>25500</v>
      </c>
      <c r="F139" s="14">
        <v>0</v>
      </c>
      <c r="G139" s="14">
        <v>25500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1770</v>
      </c>
      <c r="O139" s="14">
        <v>0</v>
      </c>
      <c r="P139" s="14">
        <v>0</v>
      </c>
      <c r="Q139" s="14">
        <v>1500</v>
      </c>
      <c r="R139" s="14">
        <v>0</v>
      </c>
      <c r="S139" s="14">
        <v>20050</v>
      </c>
      <c r="T139" s="14">
        <v>590</v>
      </c>
      <c r="U139" s="14">
        <v>0</v>
      </c>
      <c r="V139" s="14">
        <v>0</v>
      </c>
      <c r="W139" s="14">
        <v>1090</v>
      </c>
      <c r="X139" s="14">
        <v>500</v>
      </c>
      <c r="Y139" s="13"/>
    </row>
    <row r="140" spans="1:25" x14ac:dyDescent="0.35">
      <c r="A140" s="13" t="s">
        <v>26</v>
      </c>
      <c r="B140" s="13" t="s">
        <v>103</v>
      </c>
      <c r="C140" s="13" t="str">
        <f t="shared" si="16"/>
        <v>Bank Charges- Others</v>
      </c>
      <c r="D140" s="14">
        <v>0</v>
      </c>
      <c r="E140" s="14">
        <v>693935.31</v>
      </c>
      <c r="F140" s="14">
        <v>0</v>
      </c>
      <c r="G140" s="14">
        <v>693935.31</v>
      </c>
      <c r="H140" s="14">
        <v>0</v>
      </c>
      <c r="I140" s="14">
        <v>4720</v>
      </c>
      <c r="J140" s="14">
        <v>11309.71</v>
      </c>
      <c r="K140" s="14">
        <v>0</v>
      </c>
      <c r="L140" s="14">
        <v>0</v>
      </c>
      <c r="M140" s="14">
        <v>177</v>
      </c>
      <c r="N140" s="14">
        <v>56296.56</v>
      </c>
      <c r="O140" s="14">
        <v>0</v>
      </c>
      <c r="P140" s="14">
        <v>11.8</v>
      </c>
      <c r="Q140" s="14">
        <v>20676.490000000002</v>
      </c>
      <c r="R140" s="14">
        <v>1262.5999999999999</v>
      </c>
      <c r="S140" s="14">
        <v>170079.93</v>
      </c>
      <c r="T140" s="14">
        <v>37994.74</v>
      </c>
      <c r="U140" s="14">
        <v>0</v>
      </c>
      <c r="V140" s="14">
        <v>13379.07</v>
      </c>
      <c r="W140" s="14">
        <v>11059.28</v>
      </c>
      <c r="X140" s="14">
        <v>366968.13</v>
      </c>
      <c r="Y140" s="13"/>
    </row>
    <row r="141" spans="1:25" x14ac:dyDescent="0.35">
      <c r="A141" s="9" t="s">
        <v>27</v>
      </c>
      <c r="B141" s="11" t="s">
        <v>56</v>
      </c>
      <c r="C141" s="11"/>
      <c r="D141" s="10">
        <v>0</v>
      </c>
      <c r="E141" s="10">
        <v>4681593.68</v>
      </c>
      <c r="F141" s="10">
        <v>2530775.9300000002</v>
      </c>
      <c r="G141" s="10">
        <v>2150817.75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2087564.23</v>
      </c>
      <c r="O141" s="10">
        <v>0</v>
      </c>
      <c r="P141" s="10">
        <v>0</v>
      </c>
      <c r="Q141" s="10">
        <v>778225.55</v>
      </c>
      <c r="R141" s="10">
        <v>0</v>
      </c>
      <c r="S141" s="10">
        <v>-306164.17</v>
      </c>
      <c r="T141" s="10">
        <v>-267372.79999999999</v>
      </c>
      <c r="U141" s="10">
        <v>0</v>
      </c>
      <c r="V141" s="10">
        <v>-33810.89</v>
      </c>
      <c r="W141" s="10">
        <v>-97666.02</v>
      </c>
      <c r="X141" s="10">
        <v>-9958.15</v>
      </c>
      <c r="Y141" s="9"/>
    </row>
    <row r="142" spans="1:25" x14ac:dyDescent="0.35">
      <c r="A142" s="13" t="s">
        <v>26</v>
      </c>
      <c r="B142" s="13" t="s">
        <v>104</v>
      </c>
      <c r="C142" s="13" t="str">
        <f>TRIM(B142)</f>
        <v>Exchange Rate Difference - Debtors</v>
      </c>
      <c r="D142" s="14">
        <v>0</v>
      </c>
      <c r="E142" s="14">
        <v>4681593.68</v>
      </c>
      <c r="F142" s="14">
        <v>2530775.9300000002</v>
      </c>
      <c r="G142" s="14">
        <v>2150817.75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2087564.23</v>
      </c>
      <c r="O142" s="14">
        <v>0</v>
      </c>
      <c r="P142" s="14">
        <v>0</v>
      </c>
      <c r="Q142" s="14">
        <v>778225.55</v>
      </c>
      <c r="R142" s="14">
        <v>0</v>
      </c>
      <c r="S142" s="14">
        <v>-306164.17</v>
      </c>
      <c r="T142" s="14">
        <v>-267372.79999999999</v>
      </c>
      <c r="U142" s="14">
        <v>0</v>
      </c>
      <c r="V142" s="14">
        <v>-33810.89</v>
      </c>
      <c r="W142" s="14">
        <v>-97666.02</v>
      </c>
      <c r="X142" s="14">
        <v>-9958.15</v>
      </c>
      <c r="Y142" s="13"/>
    </row>
    <row r="143" spans="1:25" x14ac:dyDescent="0.35">
      <c r="A143" s="9" t="s">
        <v>27</v>
      </c>
      <c r="B143" s="11" t="s">
        <v>57</v>
      </c>
      <c r="C143" s="11"/>
      <c r="D143" s="10">
        <v>0</v>
      </c>
      <c r="E143" s="10">
        <v>8999099.4000000004</v>
      </c>
      <c r="F143" s="10">
        <v>3176075</v>
      </c>
      <c r="G143" s="10">
        <v>5823024.4000000004</v>
      </c>
      <c r="H143" s="10">
        <v>0</v>
      </c>
      <c r="I143" s="10">
        <v>0</v>
      </c>
      <c r="J143" s="10">
        <v>1149550</v>
      </c>
      <c r="K143" s="10">
        <v>0</v>
      </c>
      <c r="L143" s="10">
        <v>0</v>
      </c>
      <c r="M143" s="10">
        <v>0</v>
      </c>
      <c r="N143" s="10">
        <v>2823027</v>
      </c>
      <c r="O143" s="10">
        <v>0</v>
      </c>
      <c r="P143" s="10">
        <v>0</v>
      </c>
      <c r="Q143" s="10">
        <v>10282</v>
      </c>
      <c r="R143" s="10">
        <v>0</v>
      </c>
      <c r="S143" s="10">
        <v>1837450</v>
      </c>
      <c r="T143" s="10">
        <v>2715.4</v>
      </c>
      <c r="U143" s="10">
        <v>0</v>
      </c>
      <c r="V143" s="10">
        <v>0</v>
      </c>
      <c r="W143" s="10">
        <v>0</v>
      </c>
      <c r="X143" s="10">
        <v>0</v>
      </c>
      <c r="Y143" s="9"/>
    </row>
    <row r="144" spans="1:25" x14ac:dyDescent="0.35">
      <c r="A144" s="13" t="s">
        <v>26</v>
      </c>
      <c r="B144" s="13" t="s">
        <v>105</v>
      </c>
      <c r="C144" s="13" t="str">
        <f t="shared" ref="C144:C145" si="17">TRIM(B144)</f>
        <v>Interest Expense - Term Loan</v>
      </c>
      <c r="D144" s="14">
        <v>0</v>
      </c>
      <c r="E144" s="14">
        <v>8959883</v>
      </c>
      <c r="F144" s="14">
        <v>3176075</v>
      </c>
      <c r="G144" s="14">
        <v>5783808</v>
      </c>
      <c r="H144" s="14">
        <v>0</v>
      </c>
      <c r="I144" s="14">
        <v>0</v>
      </c>
      <c r="J144" s="14">
        <v>1149550</v>
      </c>
      <c r="K144" s="14">
        <v>0</v>
      </c>
      <c r="L144" s="14">
        <v>0</v>
      </c>
      <c r="M144" s="14">
        <v>0</v>
      </c>
      <c r="N144" s="14">
        <v>2796808</v>
      </c>
      <c r="O144" s="14">
        <v>0</v>
      </c>
      <c r="P144" s="14">
        <v>0</v>
      </c>
      <c r="Q144" s="14">
        <v>0</v>
      </c>
      <c r="R144" s="14">
        <v>0</v>
      </c>
      <c r="S144" s="14">
        <v>1837450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3"/>
    </row>
    <row r="145" spans="1:25" x14ac:dyDescent="0.35">
      <c r="A145" s="13" t="s">
        <v>26</v>
      </c>
      <c r="B145" s="13" t="s">
        <v>106</v>
      </c>
      <c r="C145" s="13" t="str">
        <f t="shared" si="17"/>
        <v>Interest Expense - Vehicle Loan</v>
      </c>
      <c r="D145" s="14">
        <v>0</v>
      </c>
      <c r="E145" s="14">
        <v>39216.400000000001</v>
      </c>
      <c r="F145" s="14">
        <v>0</v>
      </c>
      <c r="G145" s="14">
        <v>39216.400000000001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26219</v>
      </c>
      <c r="O145" s="14">
        <v>0</v>
      </c>
      <c r="P145" s="14">
        <v>0</v>
      </c>
      <c r="Q145" s="14">
        <v>10282</v>
      </c>
      <c r="R145" s="14">
        <v>0</v>
      </c>
      <c r="S145" s="14">
        <v>0</v>
      </c>
      <c r="T145" s="14">
        <v>2715.4</v>
      </c>
      <c r="U145" s="14">
        <v>0</v>
      </c>
      <c r="V145" s="14">
        <v>0</v>
      </c>
      <c r="W145" s="14">
        <v>0</v>
      </c>
      <c r="X145" s="14">
        <v>0</v>
      </c>
      <c r="Y145" s="13"/>
    </row>
    <row r="146" spans="1:25" x14ac:dyDescent="0.35">
      <c r="A146" s="9" t="s">
        <v>27</v>
      </c>
      <c r="B146" s="11" t="s">
        <v>58</v>
      </c>
      <c r="C146" s="11"/>
      <c r="D146" s="10">
        <v>0</v>
      </c>
      <c r="E146" s="10">
        <v>15120168.210000001</v>
      </c>
      <c r="F146" s="10">
        <v>18000.580000000002</v>
      </c>
      <c r="G146" s="10">
        <v>15102167.630000001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2473762.81</v>
      </c>
      <c r="O146" s="10">
        <v>0</v>
      </c>
      <c r="P146" s="10">
        <v>0</v>
      </c>
      <c r="Q146" s="10">
        <v>0</v>
      </c>
      <c r="R146" s="10">
        <v>0</v>
      </c>
      <c r="S146" s="10">
        <v>9503004.1799999997</v>
      </c>
      <c r="T146" s="10">
        <v>252627.66</v>
      </c>
      <c r="U146" s="10">
        <v>1251094.98</v>
      </c>
      <c r="V146" s="10">
        <v>0</v>
      </c>
      <c r="W146" s="10">
        <v>0</v>
      </c>
      <c r="X146" s="10">
        <v>1621678</v>
      </c>
      <c r="Y146" s="9"/>
    </row>
    <row r="147" spans="1:25" x14ac:dyDescent="0.35">
      <c r="A147" s="13" t="s">
        <v>26</v>
      </c>
      <c r="B147" s="13" t="s">
        <v>107</v>
      </c>
      <c r="C147" s="13" t="str">
        <f t="shared" ref="C147:C151" si="18">TRIM(B147)</f>
        <v>Factoring Charges</v>
      </c>
      <c r="D147" s="14">
        <v>0</v>
      </c>
      <c r="E147" s="14">
        <v>924912.62</v>
      </c>
      <c r="F147" s="14">
        <v>0</v>
      </c>
      <c r="G147" s="14">
        <v>924912.62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253114.32</v>
      </c>
      <c r="O147" s="14">
        <v>0</v>
      </c>
      <c r="P147" s="14">
        <v>0</v>
      </c>
      <c r="Q147" s="14">
        <v>0</v>
      </c>
      <c r="R147" s="14">
        <v>0</v>
      </c>
      <c r="S147" s="14">
        <v>577612.41</v>
      </c>
      <c r="T147" s="14">
        <v>94185.89</v>
      </c>
      <c r="U147" s="14">
        <v>0</v>
      </c>
      <c r="V147" s="14">
        <v>0</v>
      </c>
      <c r="W147" s="14">
        <v>0</v>
      </c>
      <c r="X147" s="14">
        <v>0</v>
      </c>
      <c r="Y147" s="13"/>
    </row>
    <row r="148" spans="1:25" x14ac:dyDescent="0.35">
      <c r="A148" s="13" t="s">
        <v>26</v>
      </c>
      <c r="B148" s="13" t="s">
        <v>108</v>
      </c>
      <c r="C148" s="13" t="str">
        <f t="shared" si="18"/>
        <v>Interest Expense - LC</v>
      </c>
      <c r="D148" s="14">
        <v>0</v>
      </c>
      <c r="E148" s="14">
        <v>117332.77</v>
      </c>
      <c r="F148" s="14">
        <v>0</v>
      </c>
      <c r="G148" s="14">
        <v>117332.77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54793.8</v>
      </c>
      <c r="T148" s="14">
        <v>62538.97</v>
      </c>
      <c r="U148" s="14">
        <v>0</v>
      </c>
      <c r="V148" s="14">
        <v>0</v>
      </c>
      <c r="W148" s="14">
        <v>0</v>
      </c>
      <c r="X148" s="14">
        <v>0</v>
      </c>
      <c r="Y148" s="13"/>
    </row>
    <row r="149" spans="1:25" x14ac:dyDescent="0.35">
      <c r="A149" s="13" t="s">
        <v>26</v>
      </c>
      <c r="B149" s="13" t="s">
        <v>109</v>
      </c>
      <c r="C149" s="13" t="str">
        <f t="shared" si="18"/>
        <v>Interest Expense - EPC</v>
      </c>
      <c r="D149" s="14">
        <v>0</v>
      </c>
      <c r="E149" s="14">
        <v>3376999.78</v>
      </c>
      <c r="F149" s="14">
        <v>18000.580000000002</v>
      </c>
      <c r="G149" s="14">
        <v>3358999.2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576044.18999999994</v>
      </c>
      <c r="O149" s="14">
        <v>0</v>
      </c>
      <c r="P149" s="14">
        <v>0</v>
      </c>
      <c r="Q149" s="14">
        <v>0</v>
      </c>
      <c r="R149" s="14">
        <v>0</v>
      </c>
      <c r="S149" s="14">
        <v>1422284.01</v>
      </c>
      <c r="T149" s="14">
        <v>0</v>
      </c>
      <c r="U149" s="14">
        <v>0</v>
      </c>
      <c r="V149" s="14">
        <v>0</v>
      </c>
      <c r="W149" s="14">
        <v>0</v>
      </c>
      <c r="X149" s="14">
        <v>1360671</v>
      </c>
      <c r="Y149" s="13"/>
    </row>
    <row r="150" spans="1:25" x14ac:dyDescent="0.35">
      <c r="A150" s="13" t="s">
        <v>26</v>
      </c>
      <c r="B150" s="13" t="s">
        <v>110</v>
      </c>
      <c r="C150" s="13" t="str">
        <f t="shared" si="18"/>
        <v>Interest Expense - Factoring</v>
      </c>
      <c r="D150" s="14">
        <v>0</v>
      </c>
      <c r="E150" s="14">
        <v>764138.06</v>
      </c>
      <c r="F150" s="14">
        <v>0</v>
      </c>
      <c r="G150" s="14">
        <v>764138.06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250242.3</v>
      </c>
      <c r="O150" s="14">
        <v>0</v>
      </c>
      <c r="P150" s="14">
        <v>0</v>
      </c>
      <c r="Q150" s="14">
        <v>0</v>
      </c>
      <c r="R150" s="14">
        <v>0</v>
      </c>
      <c r="S150" s="14">
        <v>417992.96000000002</v>
      </c>
      <c r="T150" s="14">
        <v>95902.8</v>
      </c>
      <c r="U150" s="14">
        <v>0</v>
      </c>
      <c r="V150" s="14">
        <v>0</v>
      </c>
      <c r="W150" s="14">
        <v>0</v>
      </c>
      <c r="X150" s="14">
        <v>0</v>
      </c>
      <c r="Y150" s="13"/>
    </row>
    <row r="151" spans="1:25" x14ac:dyDescent="0.35">
      <c r="A151" s="13" t="s">
        <v>26</v>
      </c>
      <c r="B151" s="13" t="s">
        <v>111</v>
      </c>
      <c r="C151" s="13" t="str">
        <f t="shared" si="18"/>
        <v>Interest Expense - Working Capital</v>
      </c>
      <c r="D151" s="14">
        <v>0</v>
      </c>
      <c r="E151" s="14">
        <v>9936784.9800000004</v>
      </c>
      <c r="F151" s="14">
        <v>0</v>
      </c>
      <c r="G151" s="14">
        <v>9936784.9800000004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1394362</v>
      </c>
      <c r="O151" s="14">
        <v>0</v>
      </c>
      <c r="P151" s="14">
        <v>0</v>
      </c>
      <c r="Q151" s="14">
        <v>0</v>
      </c>
      <c r="R151" s="14">
        <v>0</v>
      </c>
      <c r="S151" s="14">
        <v>7030321</v>
      </c>
      <c r="T151" s="14">
        <v>0</v>
      </c>
      <c r="U151" s="14">
        <v>1251094.98</v>
      </c>
      <c r="V151" s="14">
        <v>0</v>
      </c>
      <c r="W151" s="14">
        <v>0</v>
      </c>
      <c r="X151" s="14">
        <v>261007</v>
      </c>
      <c r="Y151" s="13"/>
    </row>
    <row r="152" spans="1:25" x14ac:dyDescent="0.35">
      <c r="A152" s="9" t="s">
        <v>27</v>
      </c>
      <c r="B152" s="11" t="s">
        <v>59</v>
      </c>
      <c r="C152" s="11"/>
      <c r="D152" s="10">
        <v>0</v>
      </c>
      <c r="E152" s="10">
        <v>3325.51</v>
      </c>
      <c r="F152" s="10">
        <v>133270</v>
      </c>
      <c r="G152" s="10">
        <v>-129944.49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-133270</v>
      </c>
      <c r="O152" s="10">
        <v>0</v>
      </c>
      <c r="P152" s="10">
        <v>0</v>
      </c>
      <c r="Q152" s="10">
        <v>0</v>
      </c>
      <c r="R152" s="10">
        <v>3325.51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9"/>
    </row>
    <row r="153" spans="1:25" x14ac:dyDescent="0.35">
      <c r="A153" s="13" t="s">
        <v>26</v>
      </c>
      <c r="B153" s="13" t="s">
        <v>112</v>
      </c>
      <c r="C153" s="13" t="str">
        <f>TRIM(B153)</f>
        <v>Interest Expense - Other</v>
      </c>
      <c r="D153" s="14">
        <v>0</v>
      </c>
      <c r="E153" s="14">
        <v>3325.51</v>
      </c>
      <c r="F153" s="14">
        <v>133270</v>
      </c>
      <c r="G153" s="14">
        <v>-129944.49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-133270</v>
      </c>
      <c r="O153" s="14">
        <v>0</v>
      </c>
      <c r="P153" s="14">
        <v>0</v>
      </c>
      <c r="Q153" s="14">
        <v>0</v>
      </c>
      <c r="R153" s="14">
        <v>3325.51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3"/>
    </row>
    <row r="154" spans="1:25" x14ac:dyDescent="0.35">
      <c r="A154" s="6" t="s">
        <v>25</v>
      </c>
      <c r="B154" s="8" t="s">
        <v>60</v>
      </c>
      <c r="C154" s="8"/>
      <c r="D154" s="7">
        <v>0</v>
      </c>
      <c r="E154" s="7">
        <v>1519445.54</v>
      </c>
      <c r="F154" s="7">
        <v>350000</v>
      </c>
      <c r="G154" s="7">
        <v>1169445.54</v>
      </c>
      <c r="H154" s="7">
        <v>0</v>
      </c>
      <c r="I154" s="7">
        <v>7500</v>
      </c>
      <c r="J154" s="7">
        <v>452000</v>
      </c>
      <c r="K154" s="7">
        <v>0</v>
      </c>
      <c r="L154" s="7">
        <v>0</v>
      </c>
      <c r="M154" s="7">
        <v>0</v>
      </c>
      <c r="N154" s="7">
        <v>-345000</v>
      </c>
      <c r="O154" s="7">
        <v>0</v>
      </c>
      <c r="P154" s="7">
        <v>0</v>
      </c>
      <c r="Q154" s="7">
        <v>5000</v>
      </c>
      <c r="R154" s="7">
        <v>4278</v>
      </c>
      <c r="S154" s="7">
        <v>183630.86</v>
      </c>
      <c r="T154" s="7">
        <v>42200</v>
      </c>
      <c r="U154" s="7">
        <v>0</v>
      </c>
      <c r="V154" s="7">
        <v>0</v>
      </c>
      <c r="W154" s="7">
        <v>714836.68</v>
      </c>
      <c r="X154" s="7">
        <v>105000</v>
      </c>
      <c r="Y154" s="6"/>
    </row>
    <row r="155" spans="1:25" x14ac:dyDescent="0.35">
      <c r="A155" s="9" t="s">
        <v>27</v>
      </c>
      <c r="B155" s="11" t="s">
        <v>61</v>
      </c>
      <c r="C155" s="11"/>
      <c r="D155" s="10">
        <v>0</v>
      </c>
      <c r="E155" s="10">
        <v>0</v>
      </c>
      <c r="F155" s="10">
        <v>350000</v>
      </c>
      <c r="G155" s="10">
        <v>-350000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-350000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9"/>
    </row>
    <row r="156" spans="1:25" x14ac:dyDescent="0.35">
      <c r="A156" s="13" t="s">
        <v>26</v>
      </c>
      <c r="B156" s="13" t="s">
        <v>113</v>
      </c>
      <c r="C156" s="13" t="str">
        <f>TRIM(B156)</f>
        <v>Audit Fees - Statutory Audit</v>
      </c>
      <c r="D156" s="14">
        <v>0</v>
      </c>
      <c r="E156" s="14">
        <v>0</v>
      </c>
      <c r="F156" s="14">
        <v>350000</v>
      </c>
      <c r="G156" s="14">
        <v>-350000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-350000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3"/>
    </row>
    <row r="157" spans="1:25" x14ac:dyDescent="0.35">
      <c r="A157" s="9" t="s">
        <v>27</v>
      </c>
      <c r="B157" s="11" t="s">
        <v>62</v>
      </c>
      <c r="C157" s="11"/>
      <c r="D157" s="10">
        <v>0</v>
      </c>
      <c r="E157" s="10">
        <v>66486.8</v>
      </c>
      <c r="F157" s="10">
        <v>0</v>
      </c>
      <c r="G157" s="10">
        <v>66486.8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5000</v>
      </c>
      <c r="R157" s="10">
        <v>0</v>
      </c>
      <c r="S157" s="10">
        <v>12980.8</v>
      </c>
      <c r="T157" s="10">
        <v>0</v>
      </c>
      <c r="U157" s="10">
        <v>0</v>
      </c>
      <c r="V157" s="10">
        <v>0</v>
      </c>
      <c r="W157" s="10">
        <v>48506</v>
      </c>
      <c r="X157" s="10">
        <v>0</v>
      </c>
      <c r="Y157" s="9"/>
    </row>
    <row r="158" spans="1:25" x14ac:dyDescent="0.35">
      <c r="A158" s="13" t="s">
        <v>26</v>
      </c>
      <c r="B158" s="13" t="s">
        <v>114</v>
      </c>
      <c r="C158" s="13" t="str">
        <f t="shared" ref="C158:C160" si="19">TRIM(B158)</f>
        <v>Fees &amp; Taxes</v>
      </c>
      <c r="D158" s="14">
        <v>0</v>
      </c>
      <c r="E158" s="14">
        <v>5000</v>
      </c>
      <c r="F158" s="14">
        <v>0</v>
      </c>
      <c r="G158" s="14">
        <v>5000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5000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3"/>
    </row>
    <row r="159" spans="1:25" x14ac:dyDescent="0.35">
      <c r="A159" s="13" t="s">
        <v>26</v>
      </c>
      <c r="B159" s="13" t="s">
        <v>115</v>
      </c>
      <c r="C159" s="13" t="str">
        <f t="shared" si="19"/>
        <v>GST Expenses</v>
      </c>
      <c r="D159" s="14">
        <v>0</v>
      </c>
      <c r="E159" s="14">
        <v>12980.8</v>
      </c>
      <c r="F159" s="14">
        <v>0</v>
      </c>
      <c r="G159" s="14">
        <v>12980.8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12980.8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3"/>
    </row>
    <row r="160" spans="1:25" x14ac:dyDescent="0.35">
      <c r="A160" s="13" t="s">
        <v>26</v>
      </c>
      <c r="B160" s="13" t="s">
        <v>116</v>
      </c>
      <c r="C160" s="13" t="str">
        <f t="shared" si="19"/>
        <v>Property Tax</v>
      </c>
      <c r="D160" s="14">
        <v>0</v>
      </c>
      <c r="E160" s="14">
        <v>48506</v>
      </c>
      <c r="F160" s="14">
        <v>0</v>
      </c>
      <c r="G160" s="14">
        <v>48506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48506</v>
      </c>
      <c r="X160" s="14">
        <v>0</v>
      </c>
      <c r="Y160" s="13"/>
    </row>
    <row r="161" spans="1:25" x14ac:dyDescent="0.35">
      <c r="A161" s="9" t="s">
        <v>27</v>
      </c>
      <c r="B161" s="11" t="s">
        <v>63</v>
      </c>
      <c r="C161" s="11"/>
      <c r="D161" s="10">
        <v>0</v>
      </c>
      <c r="E161" s="10">
        <v>750</v>
      </c>
      <c r="F161" s="10">
        <v>0</v>
      </c>
      <c r="G161" s="10">
        <v>750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750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9"/>
    </row>
    <row r="162" spans="1:25" x14ac:dyDescent="0.35">
      <c r="A162" s="13" t="s">
        <v>26</v>
      </c>
      <c r="B162" s="13" t="s">
        <v>117</v>
      </c>
      <c r="C162" s="13" t="str">
        <f>TRIM(B162)</f>
        <v>Insurance Expenses - Other</v>
      </c>
      <c r="D162" s="14">
        <v>0</v>
      </c>
      <c r="E162" s="14">
        <v>750</v>
      </c>
      <c r="F162" s="14">
        <v>0</v>
      </c>
      <c r="G162" s="14">
        <v>750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750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3"/>
    </row>
    <row r="163" spans="1:25" x14ac:dyDescent="0.35">
      <c r="A163" s="9" t="s">
        <v>27</v>
      </c>
      <c r="B163" s="11" t="s">
        <v>64</v>
      </c>
      <c r="C163" s="11"/>
      <c r="D163" s="10">
        <v>0</v>
      </c>
      <c r="E163" s="10">
        <v>1451208.68</v>
      </c>
      <c r="F163" s="10">
        <v>0</v>
      </c>
      <c r="G163" s="10">
        <v>1451208.68</v>
      </c>
      <c r="H163" s="10">
        <v>0</v>
      </c>
      <c r="I163" s="10">
        <v>7500</v>
      </c>
      <c r="J163" s="10">
        <v>452000</v>
      </c>
      <c r="K163" s="10">
        <v>0</v>
      </c>
      <c r="L163" s="10">
        <v>0</v>
      </c>
      <c r="M163" s="10">
        <v>0</v>
      </c>
      <c r="N163" s="10">
        <v>5000</v>
      </c>
      <c r="O163" s="10">
        <v>0</v>
      </c>
      <c r="P163" s="10">
        <v>0</v>
      </c>
      <c r="Q163" s="10">
        <v>0</v>
      </c>
      <c r="R163" s="10">
        <v>4278</v>
      </c>
      <c r="S163" s="10">
        <v>168900</v>
      </c>
      <c r="T163" s="10">
        <v>42200</v>
      </c>
      <c r="U163" s="10">
        <v>0</v>
      </c>
      <c r="V163" s="10">
        <v>0</v>
      </c>
      <c r="W163" s="10">
        <v>666330.68000000005</v>
      </c>
      <c r="X163" s="10">
        <v>105000</v>
      </c>
      <c r="Y163" s="9"/>
    </row>
    <row r="164" spans="1:25" x14ac:dyDescent="0.35">
      <c r="A164" s="13" t="s">
        <v>26</v>
      </c>
      <c r="B164" s="13" t="s">
        <v>118</v>
      </c>
      <c r="C164" s="13" t="str">
        <f t="shared" ref="C164:C166" si="20">TRIM(B164)</f>
        <v>Advocate Fees Expense</v>
      </c>
      <c r="D164" s="14">
        <v>0</v>
      </c>
      <c r="E164" s="14">
        <v>164000</v>
      </c>
      <c r="F164" s="14">
        <v>0</v>
      </c>
      <c r="G164" s="14">
        <v>164000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24000</v>
      </c>
      <c r="U164" s="14">
        <v>0</v>
      </c>
      <c r="V164" s="14">
        <v>0</v>
      </c>
      <c r="W164" s="14">
        <v>140000</v>
      </c>
      <c r="X164" s="14">
        <v>0</v>
      </c>
      <c r="Y164" s="13"/>
    </row>
    <row r="165" spans="1:25" x14ac:dyDescent="0.35">
      <c r="A165" s="13" t="s">
        <v>26</v>
      </c>
      <c r="B165" s="13" t="s">
        <v>119</v>
      </c>
      <c r="C165" s="13" t="str">
        <f t="shared" si="20"/>
        <v>Legal Expense</v>
      </c>
      <c r="D165" s="14">
        <v>0</v>
      </c>
      <c r="E165" s="14">
        <v>130604.68</v>
      </c>
      <c r="F165" s="14">
        <v>0</v>
      </c>
      <c r="G165" s="14">
        <v>130604.68</v>
      </c>
      <c r="H165" s="14">
        <v>0</v>
      </c>
      <c r="I165" s="14">
        <v>2500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4278</v>
      </c>
      <c r="S165" s="14">
        <v>0</v>
      </c>
      <c r="T165" s="14">
        <v>200</v>
      </c>
      <c r="U165" s="14">
        <v>0</v>
      </c>
      <c r="V165" s="14">
        <v>0</v>
      </c>
      <c r="W165" s="14">
        <v>123626.68</v>
      </c>
      <c r="X165" s="14">
        <v>0</v>
      </c>
      <c r="Y165" s="13"/>
    </row>
    <row r="166" spans="1:25" x14ac:dyDescent="0.35">
      <c r="A166" s="13" t="s">
        <v>26</v>
      </c>
      <c r="B166" s="13" t="s">
        <v>120</v>
      </c>
      <c r="C166" s="13" t="str">
        <f t="shared" si="20"/>
        <v>Professional &amp; Consultancy Fees</v>
      </c>
      <c r="D166" s="14">
        <v>0</v>
      </c>
      <c r="E166" s="14">
        <v>1156604</v>
      </c>
      <c r="F166" s="14">
        <v>0</v>
      </c>
      <c r="G166" s="14">
        <v>1156604</v>
      </c>
      <c r="H166" s="14">
        <v>0</v>
      </c>
      <c r="I166" s="14">
        <v>5000</v>
      </c>
      <c r="J166" s="14">
        <v>452000</v>
      </c>
      <c r="K166" s="14">
        <v>0</v>
      </c>
      <c r="L166" s="14">
        <v>0</v>
      </c>
      <c r="M166" s="14">
        <v>0</v>
      </c>
      <c r="N166" s="14">
        <v>5000</v>
      </c>
      <c r="O166" s="14">
        <v>0</v>
      </c>
      <c r="P166" s="14">
        <v>0</v>
      </c>
      <c r="Q166" s="14">
        <v>0</v>
      </c>
      <c r="R166" s="14">
        <v>0</v>
      </c>
      <c r="S166" s="14">
        <v>168900</v>
      </c>
      <c r="T166" s="14">
        <v>18000</v>
      </c>
      <c r="U166" s="14">
        <v>0</v>
      </c>
      <c r="V166" s="14">
        <v>0</v>
      </c>
      <c r="W166" s="14">
        <v>402704</v>
      </c>
      <c r="X166" s="14">
        <v>105000</v>
      </c>
      <c r="Y166" s="13"/>
    </row>
    <row r="167" spans="1:25" x14ac:dyDescent="0.35">
      <c r="A167" s="9" t="s">
        <v>27</v>
      </c>
      <c r="B167" s="11" t="s">
        <v>65</v>
      </c>
      <c r="C167" s="11"/>
      <c r="D167" s="10">
        <v>0</v>
      </c>
      <c r="E167" s="10">
        <v>1000.06</v>
      </c>
      <c r="F167" s="10">
        <v>0</v>
      </c>
      <c r="G167" s="10">
        <v>1000.06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1000.06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9"/>
    </row>
    <row r="168" spans="1:25" x14ac:dyDescent="0.35">
      <c r="A168" s="13" t="s">
        <v>26</v>
      </c>
      <c r="B168" s="13" t="s">
        <v>121</v>
      </c>
      <c r="C168" s="13" t="str">
        <f>TRIM(B168)</f>
        <v>Balance Written Off Expense</v>
      </c>
      <c r="D168" s="14">
        <v>0</v>
      </c>
      <c r="E168" s="14">
        <v>1000.06</v>
      </c>
      <c r="F168" s="14">
        <v>0</v>
      </c>
      <c r="G168" s="14">
        <v>1000.06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1000.06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3"/>
    </row>
    <row r="169" spans="1:25" x14ac:dyDescent="0.35">
      <c r="A169" s="6" t="s">
        <v>25</v>
      </c>
      <c r="B169" s="8" t="s">
        <v>66</v>
      </c>
      <c r="C169" s="8"/>
      <c r="D169" s="7">
        <v>0</v>
      </c>
      <c r="E169" s="7">
        <v>8750595.1600000001</v>
      </c>
      <c r="F169" s="7">
        <v>4577212.41</v>
      </c>
      <c r="G169" s="7">
        <v>4173382.75</v>
      </c>
      <c r="H169" s="7">
        <v>0</v>
      </c>
      <c r="I169" s="7">
        <v>0</v>
      </c>
      <c r="J169" s="7">
        <v>66000.600000000006</v>
      </c>
      <c r="K169" s="7">
        <v>0</v>
      </c>
      <c r="L169" s="7">
        <v>12000</v>
      </c>
      <c r="M169" s="7">
        <v>209062</v>
      </c>
      <c r="N169" s="7">
        <v>-186692.79</v>
      </c>
      <c r="O169" s="7">
        <v>0</v>
      </c>
      <c r="P169" s="7">
        <v>0</v>
      </c>
      <c r="Q169" s="7">
        <v>653013.62</v>
      </c>
      <c r="R169" s="7">
        <v>107100.7</v>
      </c>
      <c r="S169" s="7">
        <v>741835.6</v>
      </c>
      <c r="T169" s="7">
        <v>1150807.1299999999</v>
      </c>
      <c r="U169" s="7">
        <v>0</v>
      </c>
      <c r="V169" s="7">
        <v>231865.06</v>
      </c>
      <c r="W169" s="7">
        <v>777573.81</v>
      </c>
      <c r="X169" s="7">
        <v>410817.02</v>
      </c>
      <c r="Y169" s="6"/>
    </row>
    <row r="170" spans="1:25" x14ac:dyDescent="0.35">
      <c r="A170" s="9" t="s">
        <v>27</v>
      </c>
      <c r="B170" s="11" t="s">
        <v>67</v>
      </c>
      <c r="C170" s="11"/>
      <c r="D170" s="10">
        <v>0</v>
      </c>
      <c r="E170" s="10">
        <v>287414.40000000002</v>
      </c>
      <c r="F170" s="10">
        <v>0</v>
      </c>
      <c r="G170" s="10">
        <v>287414.40000000002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287414.40000000002</v>
      </c>
      <c r="U170" s="10">
        <v>0</v>
      </c>
      <c r="V170" s="10">
        <v>0</v>
      </c>
      <c r="W170" s="10">
        <v>0</v>
      </c>
      <c r="X170" s="10">
        <v>0</v>
      </c>
      <c r="Y170" s="9"/>
    </row>
    <row r="171" spans="1:25" x14ac:dyDescent="0.35">
      <c r="A171" s="13" t="s">
        <v>26</v>
      </c>
      <c r="B171" s="13" t="s">
        <v>122</v>
      </c>
      <c r="C171" s="13" t="str">
        <f>TRIM(B171)</f>
        <v>Brokerage &amp; Commission Expense</v>
      </c>
      <c r="D171" s="14">
        <v>0</v>
      </c>
      <c r="E171" s="14">
        <v>287414.40000000002</v>
      </c>
      <c r="F171" s="14">
        <v>0</v>
      </c>
      <c r="G171" s="14">
        <v>287414.40000000002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287414.40000000002</v>
      </c>
      <c r="U171" s="14">
        <v>0</v>
      </c>
      <c r="V171" s="14">
        <v>0</v>
      </c>
      <c r="W171" s="14">
        <v>0</v>
      </c>
      <c r="X171" s="14">
        <v>0</v>
      </c>
      <c r="Y171" s="13"/>
    </row>
    <row r="172" spans="1:25" x14ac:dyDescent="0.35">
      <c r="A172" s="9" t="s">
        <v>27</v>
      </c>
      <c r="B172" s="11" t="s">
        <v>68</v>
      </c>
      <c r="C172" s="11"/>
      <c r="D172" s="10">
        <v>0</v>
      </c>
      <c r="E172" s="10">
        <v>1864182.52</v>
      </c>
      <c r="F172" s="10">
        <v>3072869.09</v>
      </c>
      <c r="G172" s="10">
        <v>-1208686.57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333879.51</v>
      </c>
      <c r="O172" s="10">
        <v>0</v>
      </c>
      <c r="P172" s="10">
        <v>0</v>
      </c>
      <c r="Q172" s="10">
        <v>160240.32999999999</v>
      </c>
      <c r="R172" s="10">
        <v>0</v>
      </c>
      <c r="S172" s="10">
        <v>-1360751.75</v>
      </c>
      <c r="T172" s="10">
        <v>157365.04</v>
      </c>
      <c r="U172" s="10">
        <v>0</v>
      </c>
      <c r="V172" s="10">
        <v>-220562.22</v>
      </c>
      <c r="W172" s="10">
        <v>-81100</v>
      </c>
      <c r="X172" s="10">
        <v>-197757.48</v>
      </c>
      <c r="Y172" s="9"/>
    </row>
    <row r="173" spans="1:25" x14ac:dyDescent="0.35">
      <c r="A173" s="13" t="s">
        <v>26</v>
      </c>
      <c r="B173" s="13" t="s">
        <v>123</v>
      </c>
      <c r="C173" s="13" t="str">
        <f>TRIM(B173)</f>
        <v>C &amp; F Charges - Export</v>
      </c>
      <c r="D173" s="14">
        <v>0</v>
      </c>
      <c r="E173" s="14">
        <v>1864182.52</v>
      </c>
      <c r="F173" s="14">
        <v>3072869.09</v>
      </c>
      <c r="G173" s="14">
        <v>-1208686.57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333879.51</v>
      </c>
      <c r="O173" s="14">
        <v>0</v>
      </c>
      <c r="P173" s="14">
        <v>0</v>
      </c>
      <c r="Q173" s="14">
        <v>160240.32999999999</v>
      </c>
      <c r="R173" s="14">
        <v>0</v>
      </c>
      <c r="S173" s="14">
        <v>-1360751.75</v>
      </c>
      <c r="T173" s="14">
        <v>157365.04</v>
      </c>
      <c r="U173" s="14">
        <v>0</v>
      </c>
      <c r="V173" s="14">
        <v>-220562.22</v>
      </c>
      <c r="W173" s="14">
        <v>-81100</v>
      </c>
      <c r="X173" s="14">
        <v>-197757.48</v>
      </c>
      <c r="Y173" s="13"/>
    </row>
    <row r="174" spans="1:25" x14ac:dyDescent="0.35">
      <c r="A174" s="9" t="s">
        <v>27</v>
      </c>
      <c r="B174" s="11" t="s">
        <v>69</v>
      </c>
      <c r="C174" s="11"/>
      <c r="D174" s="10">
        <v>0</v>
      </c>
      <c r="E174" s="10">
        <v>5653490.9299999997</v>
      </c>
      <c r="F174" s="10">
        <v>1504343.32</v>
      </c>
      <c r="G174" s="10">
        <v>4149147.61</v>
      </c>
      <c r="H174" s="10">
        <v>0</v>
      </c>
      <c r="I174" s="10">
        <v>0</v>
      </c>
      <c r="J174" s="10">
        <v>66000.600000000006</v>
      </c>
      <c r="K174" s="10">
        <v>0</v>
      </c>
      <c r="L174" s="10">
        <v>12000</v>
      </c>
      <c r="M174" s="10">
        <v>209062</v>
      </c>
      <c r="N174" s="10">
        <v>-520572.3</v>
      </c>
      <c r="O174" s="10">
        <v>0</v>
      </c>
      <c r="P174" s="10">
        <v>0</v>
      </c>
      <c r="Q174" s="10">
        <v>492773.29</v>
      </c>
      <c r="R174" s="10">
        <v>107100.7</v>
      </c>
      <c r="S174" s="10">
        <v>2015753.85</v>
      </c>
      <c r="T174" s="10">
        <v>706027.69</v>
      </c>
      <c r="U174" s="10">
        <v>0</v>
      </c>
      <c r="V174" s="10">
        <v>452427.28</v>
      </c>
      <c r="W174" s="10">
        <v>0</v>
      </c>
      <c r="X174" s="10">
        <v>608574.5</v>
      </c>
      <c r="Y174" s="9"/>
    </row>
    <row r="175" spans="1:25" x14ac:dyDescent="0.35">
      <c r="A175" s="13" t="s">
        <v>26</v>
      </c>
      <c r="B175" s="13" t="s">
        <v>124</v>
      </c>
      <c r="C175" s="13" t="str">
        <f t="shared" ref="C175:C184" si="21">TRIM(B175)</f>
        <v>Discount &amp; Rate Difference - Sales</v>
      </c>
      <c r="D175" s="14">
        <v>0</v>
      </c>
      <c r="E175" s="14">
        <v>689475.96</v>
      </c>
      <c r="F175" s="14">
        <v>0</v>
      </c>
      <c r="G175" s="14">
        <v>689475.96</v>
      </c>
      <c r="H175" s="14">
        <v>0</v>
      </c>
      <c r="I175" s="14">
        <v>0</v>
      </c>
      <c r="J175" s="14">
        <v>0.6</v>
      </c>
      <c r="K175" s="14">
        <v>0</v>
      </c>
      <c r="L175" s="14">
        <v>0</v>
      </c>
      <c r="M175" s="14">
        <v>209062</v>
      </c>
      <c r="N175" s="14">
        <v>0</v>
      </c>
      <c r="O175" s="14">
        <v>0</v>
      </c>
      <c r="P175" s="14">
        <v>0</v>
      </c>
      <c r="Q175" s="14">
        <v>468523.29</v>
      </c>
      <c r="R175" s="14">
        <v>0</v>
      </c>
      <c r="S175" s="14">
        <v>0</v>
      </c>
      <c r="T175" s="14">
        <v>11890.07</v>
      </c>
      <c r="U175" s="14">
        <v>0</v>
      </c>
      <c r="V175" s="14">
        <v>0</v>
      </c>
      <c r="W175" s="14">
        <v>0</v>
      </c>
      <c r="X175" s="14">
        <v>0</v>
      </c>
      <c r="Y175" s="13"/>
    </row>
    <row r="176" spans="1:25" x14ac:dyDescent="0.35">
      <c r="A176" s="13" t="s">
        <v>26</v>
      </c>
      <c r="B176" s="13" t="s">
        <v>125</v>
      </c>
      <c r="C176" s="13" t="str">
        <f t="shared" si="21"/>
        <v>Freight Outward Expense - Export</v>
      </c>
      <c r="D176" s="14">
        <v>0</v>
      </c>
      <c r="E176" s="14">
        <v>24250</v>
      </c>
      <c r="F176" s="14">
        <v>1331762.24</v>
      </c>
      <c r="G176" s="14">
        <v>-1307512.24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-943817.57</v>
      </c>
      <c r="O176" s="14">
        <v>0</v>
      </c>
      <c r="P176" s="14">
        <v>0</v>
      </c>
      <c r="Q176" s="14">
        <v>24250</v>
      </c>
      <c r="R176" s="14">
        <v>0</v>
      </c>
      <c r="S176" s="14">
        <v>0</v>
      </c>
      <c r="T176" s="14">
        <v>-387944.67</v>
      </c>
      <c r="U176" s="14">
        <v>0</v>
      </c>
      <c r="V176" s="14">
        <v>0</v>
      </c>
      <c r="W176" s="14">
        <v>0</v>
      </c>
      <c r="X176" s="14">
        <v>0</v>
      </c>
      <c r="Y176" s="13"/>
    </row>
    <row r="177" spans="1:25" x14ac:dyDescent="0.35">
      <c r="A177" s="13" t="s">
        <v>26</v>
      </c>
      <c r="B177" s="13" t="s">
        <v>126</v>
      </c>
      <c r="C177" s="13" t="str">
        <f t="shared" si="21"/>
        <v>Freight Outward Expense (Rcm Inter-State)</v>
      </c>
      <c r="D177" s="14">
        <v>0</v>
      </c>
      <c r="E177" s="14">
        <v>343650</v>
      </c>
      <c r="F177" s="14">
        <v>0</v>
      </c>
      <c r="G177" s="14">
        <v>343650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343650</v>
      </c>
      <c r="U177" s="14">
        <v>0</v>
      </c>
      <c r="V177" s="14">
        <v>0</v>
      </c>
      <c r="W177" s="14">
        <v>0</v>
      </c>
      <c r="X177" s="14">
        <v>0</v>
      </c>
      <c r="Y177" s="13"/>
    </row>
    <row r="178" spans="1:25" x14ac:dyDescent="0.35">
      <c r="A178" s="13" t="s">
        <v>26</v>
      </c>
      <c r="B178" s="13" t="s">
        <v>127</v>
      </c>
      <c r="C178" s="13" t="str">
        <f t="shared" si="21"/>
        <v>Freight Outward Expense (RCM)</v>
      </c>
      <c r="D178" s="14">
        <v>0</v>
      </c>
      <c r="E178" s="14">
        <v>138923</v>
      </c>
      <c r="F178" s="14">
        <v>0</v>
      </c>
      <c r="G178" s="14">
        <v>138923</v>
      </c>
      <c r="H178" s="14">
        <v>0</v>
      </c>
      <c r="I178" s="14">
        <v>0</v>
      </c>
      <c r="J178" s="14">
        <v>66000</v>
      </c>
      <c r="K178" s="14">
        <v>0</v>
      </c>
      <c r="L178" s="14">
        <v>12000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34900</v>
      </c>
      <c r="S178" s="14">
        <v>0</v>
      </c>
      <c r="T178" s="14">
        <v>3000</v>
      </c>
      <c r="U178" s="14">
        <v>0</v>
      </c>
      <c r="V178" s="14">
        <v>0</v>
      </c>
      <c r="W178" s="14">
        <v>0</v>
      </c>
      <c r="X178" s="14">
        <v>23023</v>
      </c>
      <c r="Y178" s="13"/>
    </row>
    <row r="179" spans="1:25" x14ac:dyDescent="0.35">
      <c r="A179" s="13" t="s">
        <v>26</v>
      </c>
      <c r="B179" s="13" t="s">
        <v>128</v>
      </c>
      <c r="C179" s="13" t="str">
        <f t="shared" si="21"/>
        <v>Freight Outward Expense (With GST)</v>
      </c>
      <c r="D179" s="14">
        <v>0</v>
      </c>
      <c r="E179" s="14">
        <v>3583618.58</v>
      </c>
      <c r="F179" s="14">
        <v>145000</v>
      </c>
      <c r="G179" s="14">
        <v>3438618.58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362312.87</v>
      </c>
      <c r="O179" s="14">
        <v>0</v>
      </c>
      <c r="P179" s="14">
        <v>0</v>
      </c>
      <c r="Q179" s="14">
        <v>0</v>
      </c>
      <c r="R179" s="14">
        <v>0</v>
      </c>
      <c r="S179" s="14">
        <v>1652092.26</v>
      </c>
      <c r="T179" s="14">
        <v>400914.67</v>
      </c>
      <c r="U179" s="14">
        <v>0</v>
      </c>
      <c r="V179" s="14">
        <v>437747.28</v>
      </c>
      <c r="W179" s="14">
        <v>0</v>
      </c>
      <c r="X179" s="14">
        <v>585551.5</v>
      </c>
      <c r="Y179" s="13"/>
    </row>
    <row r="180" spans="1:25" x14ac:dyDescent="0.35">
      <c r="A180" s="13" t="s">
        <v>26</v>
      </c>
      <c r="B180" s="13" t="s">
        <v>129</v>
      </c>
      <c r="C180" s="13" t="str">
        <f t="shared" si="21"/>
        <v>Freight outward Expenses (RCM_Withinstate)</v>
      </c>
      <c r="D180" s="14">
        <v>0</v>
      </c>
      <c r="E180" s="14">
        <v>577819</v>
      </c>
      <c r="F180" s="14">
        <v>0</v>
      </c>
      <c r="G180" s="14">
        <v>577819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235504</v>
      </c>
      <c r="T180" s="14">
        <v>327635</v>
      </c>
      <c r="U180" s="14">
        <v>0</v>
      </c>
      <c r="V180" s="14">
        <v>14680</v>
      </c>
      <c r="W180" s="14">
        <v>0</v>
      </c>
      <c r="X180" s="14">
        <v>0</v>
      </c>
      <c r="Y180" s="13"/>
    </row>
    <row r="181" spans="1:25" x14ac:dyDescent="0.35">
      <c r="A181" s="13" t="s">
        <v>26</v>
      </c>
      <c r="B181" s="13" t="s">
        <v>130</v>
      </c>
      <c r="C181" s="13" t="str">
        <f t="shared" si="21"/>
        <v>Fumigation Charges</v>
      </c>
      <c r="D181" s="14">
        <v>0</v>
      </c>
      <c r="E181" s="14">
        <v>14100</v>
      </c>
      <c r="F181" s="14">
        <v>0</v>
      </c>
      <c r="G181" s="14">
        <v>14100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14100</v>
      </c>
      <c r="U181" s="14">
        <v>0</v>
      </c>
      <c r="V181" s="14">
        <v>0</v>
      </c>
      <c r="W181" s="14">
        <v>0</v>
      </c>
      <c r="X181" s="14">
        <v>0</v>
      </c>
      <c r="Y181" s="13"/>
    </row>
    <row r="182" spans="1:25" x14ac:dyDescent="0.35">
      <c r="A182" s="13" t="s">
        <v>26</v>
      </c>
      <c r="B182" s="13" t="s">
        <v>131</v>
      </c>
      <c r="C182" s="13" t="str">
        <f t="shared" si="21"/>
        <v>Insurance Expense - Ecgc - Pc</v>
      </c>
      <c r="D182" s="14">
        <v>0</v>
      </c>
      <c r="E182" s="14">
        <v>251087.35999999999</v>
      </c>
      <c r="F182" s="14">
        <v>0</v>
      </c>
      <c r="G182" s="14">
        <v>251087.35999999999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81292.31</v>
      </c>
      <c r="O182" s="14">
        <v>0</v>
      </c>
      <c r="P182" s="14">
        <v>0</v>
      </c>
      <c r="Q182" s="14">
        <v>0</v>
      </c>
      <c r="R182" s="14">
        <v>41637</v>
      </c>
      <c r="S182" s="14">
        <v>128158.05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3"/>
    </row>
    <row r="183" spans="1:25" x14ac:dyDescent="0.35">
      <c r="A183" s="13" t="s">
        <v>26</v>
      </c>
      <c r="B183" s="13" t="s">
        <v>132</v>
      </c>
      <c r="C183" s="13" t="str">
        <f t="shared" si="21"/>
        <v>Insurance Expenses - Marine</v>
      </c>
      <c r="D183" s="14">
        <v>0</v>
      </c>
      <c r="E183" s="14">
        <v>30564</v>
      </c>
      <c r="F183" s="14">
        <v>27579.919999999998</v>
      </c>
      <c r="G183" s="14">
        <v>2984.08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-20359.91</v>
      </c>
      <c r="O183" s="14">
        <v>0</v>
      </c>
      <c r="P183" s="14">
        <v>0</v>
      </c>
      <c r="Q183" s="14">
        <v>0</v>
      </c>
      <c r="R183" s="14">
        <v>30564</v>
      </c>
      <c r="S183" s="14">
        <v>0</v>
      </c>
      <c r="T183" s="14">
        <v>-7220.01</v>
      </c>
      <c r="U183" s="14">
        <v>0</v>
      </c>
      <c r="V183" s="14">
        <v>0</v>
      </c>
      <c r="W183" s="14">
        <v>0</v>
      </c>
      <c r="X183" s="14">
        <v>0</v>
      </c>
      <c r="Y183" s="13"/>
    </row>
    <row r="184" spans="1:25" x14ac:dyDescent="0.35">
      <c r="A184" s="13" t="s">
        <v>26</v>
      </c>
      <c r="B184" s="13" t="s">
        <v>133</v>
      </c>
      <c r="C184" s="13" t="str">
        <f t="shared" si="21"/>
        <v>Round Off - Sales</v>
      </c>
      <c r="D184" s="14">
        <v>0</v>
      </c>
      <c r="E184" s="14">
        <v>3.03</v>
      </c>
      <c r="F184" s="14">
        <v>1.1599999999999999</v>
      </c>
      <c r="G184" s="14">
        <v>1.87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-0.3</v>
      </c>
      <c r="S184" s="14">
        <v>-0.46</v>
      </c>
      <c r="T184" s="14">
        <v>2.63</v>
      </c>
      <c r="U184" s="14">
        <v>0</v>
      </c>
      <c r="V184" s="14">
        <v>0</v>
      </c>
      <c r="W184" s="14">
        <v>0</v>
      </c>
      <c r="X184" s="14">
        <v>0</v>
      </c>
      <c r="Y184" s="13"/>
    </row>
    <row r="185" spans="1:25" x14ac:dyDescent="0.35">
      <c r="A185" s="9" t="s">
        <v>27</v>
      </c>
      <c r="B185" s="11" t="s">
        <v>70</v>
      </c>
      <c r="C185" s="11"/>
      <c r="D185" s="10">
        <v>0</v>
      </c>
      <c r="E185" s="10">
        <v>945507.31</v>
      </c>
      <c r="F185" s="10">
        <v>0</v>
      </c>
      <c r="G185" s="10">
        <v>945507.31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86833.5</v>
      </c>
      <c r="T185" s="10">
        <v>0</v>
      </c>
      <c r="U185" s="10">
        <v>0</v>
      </c>
      <c r="V185" s="10">
        <v>0</v>
      </c>
      <c r="W185" s="10">
        <v>858673.81</v>
      </c>
      <c r="X185" s="10">
        <v>0</v>
      </c>
      <c r="Y185" s="9"/>
    </row>
    <row r="186" spans="1:25" x14ac:dyDescent="0.35">
      <c r="A186" s="13" t="s">
        <v>26</v>
      </c>
      <c r="B186" s="13" t="s">
        <v>134</v>
      </c>
      <c r="C186" s="13" t="str">
        <f t="shared" ref="C186:C187" si="22">TRIM(B186)</f>
        <v>Sales Promotion Expense</v>
      </c>
      <c r="D186" s="14">
        <v>0</v>
      </c>
      <c r="E186" s="14">
        <v>21500</v>
      </c>
      <c r="F186" s="14">
        <v>0</v>
      </c>
      <c r="G186" s="14">
        <v>21500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10250</v>
      </c>
      <c r="T186" s="14">
        <v>0</v>
      </c>
      <c r="U186" s="14">
        <v>0</v>
      </c>
      <c r="V186" s="14">
        <v>0</v>
      </c>
      <c r="W186" s="14">
        <v>11250</v>
      </c>
      <c r="X186" s="14">
        <v>0</v>
      </c>
      <c r="Y186" s="13"/>
    </row>
    <row r="187" spans="1:25" x14ac:dyDescent="0.35">
      <c r="A187" s="13" t="s">
        <v>26</v>
      </c>
      <c r="B187" s="13" t="s">
        <v>135</v>
      </c>
      <c r="C187" s="13" t="str">
        <f t="shared" si="22"/>
        <v>Travelling Expense - Foreign</v>
      </c>
      <c r="D187" s="14">
        <v>0</v>
      </c>
      <c r="E187" s="14">
        <v>924007.31</v>
      </c>
      <c r="F187" s="14">
        <v>0</v>
      </c>
      <c r="G187" s="14">
        <v>924007.31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76583.5</v>
      </c>
      <c r="T187" s="14">
        <v>0</v>
      </c>
      <c r="U187" s="14">
        <v>0</v>
      </c>
      <c r="V187" s="14">
        <v>0</v>
      </c>
      <c r="W187" s="14">
        <v>847423.81</v>
      </c>
      <c r="X187" s="14">
        <v>0</v>
      </c>
      <c r="Y187" s="13"/>
    </row>
    <row r="188" spans="1:25" x14ac:dyDescent="0.35">
      <c r="A188" s="1" t="s">
        <v>23</v>
      </c>
      <c r="B188" s="1" t="s">
        <v>71</v>
      </c>
      <c r="C188" s="1"/>
      <c r="D188" s="2">
        <v>0</v>
      </c>
      <c r="E188" s="2">
        <v>2365984.0299999998</v>
      </c>
      <c r="F188" s="2">
        <v>846429999.55999994</v>
      </c>
      <c r="G188" s="2">
        <v>-844064015.52999997</v>
      </c>
      <c r="H188" s="2">
        <v>0</v>
      </c>
      <c r="I188" s="2">
        <v>-125000</v>
      </c>
      <c r="J188" s="2">
        <v>-26215347.800000001</v>
      </c>
      <c r="K188" s="2">
        <v>-1489592.33</v>
      </c>
      <c r="L188" s="2">
        <v>-8114833.1200000001</v>
      </c>
      <c r="M188" s="2">
        <v>-21637772.5</v>
      </c>
      <c r="N188" s="2">
        <v>-115937893.36</v>
      </c>
      <c r="O188" s="2">
        <v>0</v>
      </c>
      <c r="P188" s="2">
        <v>0</v>
      </c>
      <c r="Q188" s="2">
        <v>-86093285.469999999</v>
      </c>
      <c r="R188" s="2">
        <v>-31011213.41</v>
      </c>
      <c r="S188" s="2">
        <v>-235183280.25999999</v>
      </c>
      <c r="T188" s="2">
        <v>-117076152.06999999</v>
      </c>
      <c r="U188" s="2">
        <v>-924260.25</v>
      </c>
      <c r="V188" s="2">
        <v>-69316628.430000007</v>
      </c>
      <c r="W188" s="2">
        <v>-21905477.039999999</v>
      </c>
      <c r="X188" s="2">
        <v>-109033279.48999999</v>
      </c>
      <c r="Y188" s="1"/>
    </row>
    <row r="189" spans="1:25" x14ac:dyDescent="0.35">
      <c r="A189" s="3" t="s">
        <v>24</v>
      </c>
      <c r="B189" s="5" t="s">
        <v>72</v>
      </c>
      <c r="C189" s="5"/>
      <c r="D189" s="4">
        <v>0</v>
      </c>
      <c r="E189" s="4">
        <v>2358752.35</v>
      </c>
      <c r="F189" s="4">
        <v>844912891.30999994</v>
      </c>
      <c r="G189" s="4">
        <v>-842554138.96000004</v>
      </c>
      <c r="H189" s="4">
        <v>0</v>
      </c>
      <c r="I189" s="4">
        <v>-125000</v>
      </c>
      <c r="J189" s="4">
        <v>-26215419.800000001</v>
      </c>
      <c r="K189" s="4">
        <v>-1489776.01</v>
      </c>
      <c r="L189" s="4">
        <v>-8114833.1200000001</v>
      </c>
      <c r="M189" s="4">
        <v>-21637772.5</v>
      </c>
      <c r="N189" s="4">
        <v>-115398913.36</v>
      </c>
      <c r="O189" s="4">
        <v>0</v>
      </c>
      <c r="P189" s="4">
        <v>0</v>
      </c>
      <c r="Q189" s="4">
        <v>-86093285.469999999</v>
      </c>
      <c r="R189" s="4">
        <v>-31011213.41</v>
      </c>
      <c r="S189" s="4">
        <v>-235183280.25999999</v>
      </c>
      <c r="T189" s="4">
        <v>-117029260.06999999</v>
      </c>
      <c r="U189" s="4">
        <v>0</v>
      </c>
      <c r="V189" s="4">
        <v>-69316628.430000007</v>
      </c>
      <c r="W189" s="4">
        <v>-21905477.039999999</v>
      </c>
      <c r="X189" s="4">
        <v>-109033279.48999999</v>
      </c>
      <c r="Y189" s="3"/>
    </row>
    <row r="190" spans="1:25" x14ac:dyDescent="0.35">
      <c r="A190" s="6" t="s">
        <v>25</v>
      </c>
      <c r="B190" s="8" t="s">
        <v>73</v>
      </c>
      <c r="C190" s="8"/>
      <c r="D190" s="7">
        <v>0</v>
      </c>
      <c r="E190" s="7">
        <v>2358752.35</v>
      </c>
      <c r="F190" s="7">
        <v>529061059.5</v>
      </c>
      <c r="G190" s="7">
        <v>-526702307.14999998</v>
      </c>
      <c r="H190" s="7">
        <v>0</v>
      </c>
      <c r="I190" s="7">
        <v>0</v>
      </c>
      <c r="J190" s="7">
        <v>-6886179.5599999996</v>
      </c>
      <c r="K190" s="7">
        <v>-1489776.01</v>
      </c>
      <c r="L190" s="7">
        <v>-7931212.3799999999</v>
      </c>
      <c r="M190" s="7">
        <v>0</v>
      </c>
      <c r="N190" s="7">
        <v>-114916608.56</v>
      </c>
      <c r="O190" s="7">
        <v>0</v>
      </c>
      <c r="P190" s="7">
        <v>0</v>
      </c>
      <c r="Q190" s="7">
        <v>-244040</v>
      </c>
      <c r="R190" s="7">
        <v>-7892254.8399999999</v>
      </c>
      <c r="S190" s="7">
        <v>-131699715.76000001</v>
      </c>
      <c r="T190" s="7">
        <v>-102642646.23999999</v>
      </c>
      <c r="U190" s="7">
        <v>0</v>
      </c>
      <c r="V190" s="7">
        <v>-54469187.149999999</v>
      </c>
      <c r="W190" s="7">
        <v>0</v>
      </c>
      <c r="X190" s="7">
        <v>-98530686.650000006</v>
      </c>
      <c r="Y190" s="6"/>
    </row>
    <row r="191" spans="1:25" x14ac:dyDescent="0.35">
      <c r="A191" s="9" t="s">
        <v>27</v>
      </c>
      <c r="B191" s="11" t="s">
        <v>74</v>
      </c>
      <c r="C191" s="11"/>
      <c r="D191" s="10">
        <v>0</v>
      </c>
      <c r="E191" s="10">
        <v>0</v>
      </c>
      <c r="F191" s="10">
        <v>56067047.649999999</v>
      </c>
      <c r="G191" s="10">
        <v>-56067047.649999999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-210600</v>
      </c>
      <c r="O191" s="10">
        <v>0</v>
      </c>
      <c r="P191" s="10">
        <v>0</v>
      </c>
      <c r="Q191" s="10">
        <v>-244040</v>
      </c>
      <c r="R191" s="10">
        <v>-925971.84</v>
      </c>
      <c r="S191" s="10">
        <v>-20576278.989999998</v>
      </c>
      <c r="T191" s="10">
        <v>-11825550.59</v>
      </c>
      <c r="U191" s="10">
        <v>0</v>
      </c>
      <c r="V191" s="10">
        <v>-9137641.1799999997</v>
      </c>
      <c r="W191" s="10">
        <v>0</v>
      </c>
      <c r="X191" s="10">
        <v>-13146965.050000001</v>
      </c>
      <c r="Y191" s="9"/>
    </row>
    <row r="192" spans="1:25" x14ac:dyDescent="0.35">
      <c r="A192" s="13" t="s">
        <v>26</v>
      </c>
      <c r="B192" s="13" t="s">
        <v>136</v>
      </c>
      <c r="C192" s="13" t="str">
        <f>TRIM(B192)</f>
        <v>Sales - Kasez - Mfg - U/B</v>
      </c>
      <c r="D192" s="14">
        <v>0</v>
      </c>
      <c r="E192" s="14">
        <v>0</v>
      </c>
      <c r="F192" s="14">
        <v>56067047.649999999</v>
      </c>
      <c r="G192" s="14">
        <v>-56067047.649999999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-210600</v>
      </c>
      <c r="O192" s="14">
        <v>0</v>
      </c>
      <c r="P192" s="14">
        <v>0</v>
      </c>
      <c r="Q192" s="14">
        <v>-244040</v>
      </c>
      <c r="R192" s="14">
        <v>-925971.84</v>
      </c>
      <c r="S192" s="14">
        <v>-20576278.989999998</v>
      </c>
      <c r="T192" s="14">
        <v>-11825550.59</v>
      </c>
      <c r="U192" s="14">
        <v>0</v>
      </c>
      <c r="V192" s="14">
        <v>-9137641.1799999997</v>
      </c>
      <c r="W192" s="14">
        <v>0</v>
      </c>
      <c r="X192" s="14">
        <v>-13146965.050000001</v>
      </c>
      <c r="Y192" s="13"/>
    </row>
    <row r="193" spans="1:25" x14ac:dyDescent="0.35">
      <c r="A193" s="9" t="s">
        <v>27</v>
      </c>
      <c r="B193" s="11" t="s">
        <v>75</v>
      </c>
      <c r="C193" s="11"/>
      <c r="D193" s="10">
        <v>0</v>
      </c>
      <c r="E193" s="10">
        <v>2132844</v>
      </c>
      <c r="F193" s="10">
        <v>235104098.72999999</v>
      </c>
      <c r="G193" s="10">
        <v>-232971254.72999999</v>
      </c>
      <c r="H193" s="10">
        <v>0</v>
      </c>
      <c r="I193" s="10">
        <v>0</v>
      </c>
      <c r="J193" s="10">
        <v>-6886179.5599999996</v>
      </c>
      <c r="K193" s="10">
        <v>-1489776.01</v>
      </c>
      <c r="L193" s="10">
        <v>-7931212.3799999999</v>
      </c>
      <c r="M193" s="10">
        <v>0</v>
      </c>
      <c r="N193" s="10">
        <v>-47618391.659999996</v>
      </c>
      <c r="O193" s="10">
        <v>0</v>
      </c>
      <c r="P193" s="10">
        <v>0</v>
      </c>
      <c r="Q193" s="10">
        <v>0</v>
      </c>
      <c r="R193" s="10">
        <v>-6966283</v>
      </c>
      <c r="S193" s="10">
        <v>-35647016.759999998</v>
      </c>
      <c r="T193" s="10">
        <v>-57446235.380000003</v>
      </c>
      <c r="U193" s="10">
        <v>0</v>
      </c>
      <c r="V193" s="10">
        <v>-15856334.35</v>
      </c>
      <c r="W193" s="10">
        <v>0</v>
      </c>
      <c r="X193" s="10">
        <v>-53129825.630000003</v>
      </c>
      <c r="Y193" s="9"/>
    </row>
    <row r="194" spans="1:25" x14ac:dyDescent="0.35">
      <c r="A194" s="13" t="s">
        <v>26</v>
      </c>
      <c r="B194" s="13" t="s">
        <v>137</v>
      </c>
      <c r="C194" s="13" t="str">
        <f t="shared" ref="C194:C196" si="23">TRIM(B194)</f>
        <v>Sales - Interstate - Manufactured Goods</v>
      </c>
      <c r="D194" s="14">
        <v>0</v>
      </c>
      <c r="E194" s="14">
        <v>0</v>
      </c>
      <c r="F194" s="14">
        <v>13516525.24</v>
      </c>
      <c r="G194" s="14">
        <v>-13516525.24</v>
      </c>
      <c r="H194" s="14">
        <v>0</v>
      </c>
      <c r="I194" s="14">
        <v>0</v>
      </c>
      <c r="J194" s="14">
        <v>-744276</v>
      </c>
      <c r="K194" s="14">
        <v>-320968</v>
      </c>
      <c r="L194" s="14">
        <v>0</v>
      </c>
      <c r="M194" s="14">
        <v>0</v>
      </c>
      <c r="N194" s="14">
        <v>-487536</v>
      </c>
      <c r="O194" s="14">
        <v>0</v>
      </c>
      <c r="P194" s="14">
        <v>0</v>
      </c>
      <c r="Q194" s="14">
        <v>0</v>
      </c>
      <c r="R194" s="14">
        <v>-6966283</v>
      </c>
      <c r="S194" s="14">
        <v>0</v>
      </c>
      <c r="T194" s="14">
        <v>-3649862.24</v>
      </c>
      <c r="U194" s="14">
        <v>0</v>
      </c>
      <c r="V194" s="14">
        <v>0</v>
      </c>
      <c r="W194" s="14">
        <v>0</v>
      </c>
      <c r="X194" s="14">
        <v>-1347600</v>
      </c>
      <c r="Y194" s="13"/>
    </row>
    <row r="195" spans="1:25" x14ac:dyDescent="0.35">
      <c r="A195" s="13" t="s">
        <v>26</v>
      </c>
      <c r="B195" s="13" t="s">
        <v>138</v>
      </c>
      <c r="C195" s="13" t="str">
        <f t="shared" si="23"/>
        <v>Sales - Within State Manufactured Goods</v>
      </c>
      <c r="D195" s="14">
        <v>0</v>
      </c>
      <c r="E195" s="14">
        <v>30168</v>
      </c>
      <c r="F195" s="14">
        <v>221587573.49000001</v>
      </c>
      <c r="G195" s="14">
        <v>-221557405.49000001</v>
      </c>
      <c r="H195" s="14">
        <v>0</v>
      </c>
      <c r="I195" s="14">
        <v>0</v>
      </c>
      <c r="J195" s="14">
        <v>-6141903.5599999996</v>
      </c>
      <c r="K195" s="14">
        <v>-1168808.01</v>
      </c>
      <c r="L195" s="14">
        <v>-7931212.3799999999</v>
      </c>
      <c r="M195" s="14">
        <v>0</v>
      </c>
      <c r="N195" s="14">
        <v>-47130855.659999996</v>
      </c>
      <c r="O195" s="14">
        <v>0</v>
      </c>
      <c r="P195" s="14">
        <v>0</v>
      </c>
      <c r="Q195" s="14">
        <v>0</v>
      </c>
      <c r="R195" s="14">
        <v>0</v>
      </c>
      <c r="S195" s="14">
        <v>-37749692.759999998</v>
      </c>
      <c r="T195" s="14">
        <v>-53796373.140000001</v>
      </c>
      <c r="U195" s="14">
        <v>0</v>
      </c>
      <c r="V195" s="14">
        <v>-15856334.35</v>
      </c>
      <c r="W195" s="14">
        <v>0</v>
      </c>
      <c r="X195" s="14">
        <v>-51782225.630000003</v>
      </c>
      <c r="Y195" s="13"/>
    </row>
    <row r="196" spans="1:25" x14ac:dyDescent="0.35">
      <c r="A196" s="13" t="s">
        <v>26</v>
      </c>
      <c r="B196" s="13" t="s">
        <v>139</v>
      </c>
      <c r="C196" s="13" t="str">
        <f t="shared" si="23"/>
        <v>Sales Return - Within State</v>
      </c>
      <c r="D196" s="14">
        <v>0</v>
      </c>
      <c r="E196" s="14">
        <v>2102676</v>
      </c>
      <c r="F196" s="14">
        <v>0</v>
      </c>
      <c r="G196" s="14">
        <v>2102676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2102676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3"/>
    </row>
    <row r="197" spans="1:25" x14ac:dyDescent="0.35">
      <c r="A197" s="9" t="s">
        <v>27</v>
      </c>
      <c r="B197" s="11" t="s">
        <v>76</v>
      </c>
      <c r="C197" s="11"/>
      <c r="D197" s="10">
        <v>0</v>
      </c>
      <c r="E197" s="10">
        <v>225908.35</v>
      </c>
      <c r="F197" s="10">
        <v>237889913.12</v>
      </c>
      <c r="G197" s="10">
        <v>-237664004.77000001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-67087616.899999999</v>
      </c>
      <c r="O197" s="10">
        <v>0</v>
      </c>
      <c r="P197" s="10">
        <v>0</v>
      </c>
      <c r="Q197" s="10">
        <v>0</v>
      </c>
      <c r="R197" s="10">
        <v>0</v>
      </c>
      <c r="S197" s="10">
        <v>-75476420.010000005</v>
      </c>
      <c r="T197" s="10">
        <v>-33370860.27</v>
      </c>
      <c r="U197" s="10">
        <v>0</v>
      </c>
      <c r="V197" s="10">
        <v>-29475211.620000001</v>
      </c>
      <c r="W197" s="10">
        <v>0</v>
      </c>
      <c r="X197" s="10">
        <v>-32253895.969999999</v>
      </c>
      <c r="Y197" s="9"/>
    </row>
    <row r="198" spans="1:25" x14ac:dyDescent="0.35">
      <c r="A198" s="13" t="s">
        <v>26</v>
      </c>
      <c r="B198" s="13" t="s">
        <v>140</v>
      </c>
      <c r="C198" s="13" t="str">
        <f>TRIM(B198)</f>
        <v>Sales - Direct Export - Mfg - U/B</v>
      </c>
      <c r="D198" s="14">
        <v>0</v>
      </c>
      <c r="E198" s="14">
        <v>225908.35</v>
      </c>
      <c r="F198" s="14">
        <v>237889913.12</v>
      </c>
      <c r="G198" s="14">
        <v>-237664004.77000001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-67087616.899999999</v>
      </c>
      <c r="O198" s="14">
        <v>0</v>
      </c>
      <c r="P198" s="14">
        <v>0</v>
      </c>
      <c r="Q198" s="14">
        <v>0</v>
      </c>
      <c r="R198" s="14">
        <v>0</v>
      </c>
      <c r="S198" s="14">
        <v>-75476420.010000005</v>
      </c>
      <c r="T198" s="14">
        <v>-33370860.27</v>
      </c>
      <c r="U198" s="14">
        <v>0</v>
      </c>
      <c r="V198" s="14">
        <v>-29475211.620000001</v>
      </c>
      <c r="W198" s="14">
        <v>0</v>
      </c>
      <c r="X198" s="14">
        <v>-32253895.969999999</v>
      </c>
      <c r="Y198" s="13"/>
    </row>
    <row r="199" spans="1:25" x14ac:dyDescent="0.35">
      <c r="A199" s="6" t="s">
        <v>25</v>
      </c>
      <c r="B199" s="8" t="s">
        <v>77</v>
      </c>
      <c r="C199" s="8"/>
      <c r="D199" s="7">
        <v>0</v>
      </c>
      <c r="E199" s="7">
        <v>0</v>
      </c>
      <c r="F199" s="7">
        <v>29130263.460000001</v>
      </c>
      <c r="G199" s="7">
        <v>-29130263.460000001</v>
      </c>
      <c r="H199" s="7">
        <v>0</v>
      </c>
      <c r="I199" s="7">
        <v>-125000</v>
      </c>
      <c r="J199" s="7">
        <v>-5251728.29</v>
      </c>
      <c r="K199" s="7">
        <v>0</v>
      </c>
      <c r="L199" s="7">
        <v>0</v>
      </c>
      <c r="M199" s="7">
        <v>0</v>
      </c>
      <c r="N199" s="7">
        <v>-2220.8000000000002</v>
      </c>
      <c r="O199" s="7">
        <v>0</v>
      </c>
      <c r="P199" s="7">
        <v>0</v>
      </c>
      <c r="Q199" s="7">
        <v>0</v>
      </c>
      <c r="R199" s="7">
        <v>-23118958.57</v>
      </c>
      <c r="S199" s="7">
        <v>-459889.67</v>
      </c>
      <c r="T199" s="7">
        <v>-25000</v>
      </c>
      <c r="U199" s="7">
        <v>0</v>
      </c>
      <c r="V199" s="7">
        <v>0</v>
      </c>
      <c r="W199" s="7">
        <v>0</v>
      </c>
      <c r="X199" s="7">
        <v>-147466.13</v>
      </c>
      <c r="Y199" s="6"/>
    </row>
    <row r="200" spans="1:25" x14ac:dyDescent="0.35">
      <c r="A200" s="9" t="s">
        <v>27</v>
      </c>
      <c r="B200" s="11" t="s">
        <v>78</v>
      </c>
      <c r="C200" s="11"/>
      <c r="D200" s="10">
        <v>0</v>
      </c>
      <c r="E200" s="10">
        <v>0</v>
      </c>
      <c r="F200" s="10">
        <v>29130263.460000001</v>
      </c>
      <c r="G200" s="10">
        <v>-29130263.460000001</v>
      </c>
      <c r="H200" s="10">
        <v>0</v>
      </c>
      <c r="I200" s="10">
        <v>-125000</v>
      </c>
      <c r="J200" s="10">
        <v>-5251728.29</v>
      </c>
      <c r="K200" s="10">
        <v>0</v>
      </c>
      <c r="L200" s="10">
        <v>0</v>
      </c>
      <c r="M200" s="10">
        <v>0</v>
      </c>
      <c r="N200" s="10">
        <v>-2220.8000000000002</v>
      </c>
      <c r="O200" s="10">
        <v>0</v>
      </c>
      <c r="P200" s="10">
        <v>0</v>
      </c>
      <c r="Q200" s="10">
        <v>0</v>
      </c>
      <c r="R200" s="10">
        <v>-23118958.57</v>
      </c>
      <c r="S200" s="10">
        <v>-459889.67</v>
      </c>
      <c r="T200" s="10">
        <v>-25000</v>
      </c>
      <c r="U200" s="10">
        <v>0</v>
      </c>
      <c r="V200" s="10">
        <v>0</v>
      </c>
      <c r="W200" s="10">
        <v>0</v>
      </c>
      <c r="X200" s="10">
        <v>-147466.13</v>
      </c>
      <c r="Y200" s="9"/>
    </row>
    <row r="201" spans="1:25" x14ac:dyDescent="0.35">
      <c r="A201" s="13" t="s">
        <v>26</v>
      </c>
      <c r="B201" s="13" t="s">
        <v>141</v>
      </c>
      <c r="C201" s="13" t="str">
        <f t="shared" ref="C201:C202" si="24">TRIM(B201)</f>
        <v>Job Work Income</v>
      </c>
      <c r="D201" s="14">
        <v>0</v>
      </c>
      <c r="E201" s="14">
        <v>0</v>
      </c>
      <c r="F201" s="14">
        <v>28946250.460000001</v>
      </c>
      <c r="G201" s="14">
        <v>-28946250.460000001</v>
      </c>
      <c r="H201" s="14">
        <v>0</v>
      </c>
      <c r="I201" s="14">
        <v>0</v>
      </c>
      <c r="J201" s="14">
        <v>-5251728.29</v>
      </c>
      <c r="K201" s="14">
        <v>0</v>
      </c>
      <c r="L201" s="14">
        <v>0</v>
      </c>
      <c r="M201" s="14">
        <v>0</v>
      </c>
      <c r="N201" s="14">
        <v>-2220.8000000000002</v>
      </c>
      <c r="O201" s="14">
        <v>0</v>
      </c>
      <c r="P201" s="14">
        <v>0</v>
      </c>
      <c r="Q201" s="14">
        <v>0</v>
      </c>
      <c r="R201" s="14">
        <v>-23118958.57</v>
      </c>
      <c r="S201" s="14">
        <v>-425876.67</v>
      </c>
      <c r="T201" s="14">
        <v>0</v>
      </c>
      <c r="U201" s="14">
        <v>0</v>
      </c>
      <c r="V201" s="14">
        <v>0</v>
      </c>
      <c r="W201" s="14">
        <v>0</v>
      </c>
      <c r="X201" s="14">
        <v>-147466.13</v>
      </c>
      <c r="Y201" s="13"/>
    </row>
    <row r="202" spans="1:25" x14ac:dyDescent="0.35">
      <c r="A202" s="13" t="s">
        <v>26</v>
      </c>
      <c r="B202" s="13" t="s">
        <v>142</v>
      </c>
      <c r="C202" s="13" t="str">
        <f t="shared" si="24"/>
        <v>Rent Income</v>
      </c>
      <c r="D202" s="14">
        <v>0</v>
      </c>
      <c r="E202" s="14">
        <v>0</v>
      </c>
      <c r="F202" s="14">
        <v>184013</v>
      </c>
      <c r="G202" s="14">
        <v>-184013</v>
      </c>
      <c r="H202" s="14">
        <v>0</v>
      </c>
      <c r="I202" s="14">
        <v>-125000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-34013</v>
      </c>
      <c r="T202" s="14">
        <v>-25000</v>
      </c>
      <c r="U202" s="14">
        <v>0</v>
      </c>
      <c r="V202" s="14">
        <v>0</v>
      </c>
      <c r="W202" s="14">
        <v>0</v>
      </c>
      <c r="X202" s="14">
        <v>0</v>
      </c>
      <c r="Y202" s="13"/>
    </row>
    <row r="203" spans="1:25" x14ac:dyDescent="0.35">
      <c r="A203" s="6" t="s">
        <v>25</v>
      </c>
      <c r="B203" s="8" t="s">
        <v>79</v>
      </c>
      <c r="C203" s="8"/>
      <c r="D203" s="7">
        <v>0</v>
      </c>
      <c r="E203" s="7">
        <v>0</v>
      </c>
      <c r="F203" s="7">
        <v>285647423.35000002</v>
      </c>
      <c r="G203" s="7">
        <v>-285647423.35000002</v>
      </c>
      <c r="H203" s="7">
        <v>0</v>
      </c>
      <c r="I203" s="7">
        <v>0</v>
      </c>
      <c r="J203" s="7">
        <v>-14036511.949999999</v>
      </c>
      <c r="K203" s="7">
        <v>0</v>
      </c>
      <c r="L203" s="7">
        <v>-183620.74</v>
      </c>
      <c r="M203" s="7">
        <v>-21637772.5</v>
      </c>
      <c r="N203" s="7">
        <v>-425784</v>
      </c>
      <c r="O203" s="7">
        <v>0</v>
      </c>
      <c r="P203" s="7">
        <v>0</v>
      </c>
      <c r="Q203" s="7">
        <v>-85849245.469999999</v>
      </c>
      <c r="R203" s="7">
        <v>0</v>
      </c>
      <c r="S203" s="7">
        <v>-102800074.83</v>
      </c>
      <c r="T203" s="7">
        <v>-13606368.83</v>
      </c>
      <c r="U203" s="7">
        <v>0</v>
      </c>
      <c r="V203" s="7">
        <v>-14847441.279999999</v>
      </c>
      <c r="W203" s="7">
        <v>-21905477.039999999</v>
      </c>
      <c r="X203" s="7">
        <v>-10355126.710000001</v>
      </c>
      <c r="Y203" s="6"/>
    </row>
    <row r="204" spans="1:25" x14ac:dyDescent="0.35">
      <c r="A204" s="9" t="s">
        <v>27</v>
      </c>
      <c r="B204" s="11" t="s">
        <v>80</v>
      </c>
      <c r="C204" s="11"/>
      <c r="D204" s="10">
        <v>0</v>
      </c>
      <c r="E204" s="10">
        <v>0</v>
      </c>
      <c r="F204" s="10">
        <v>87696816.519999996</v>
      </c>
      <c r="G204" s="10">
        <v>-87696816.519999996</v>
      </c>
      <c r="H204" s="10">
        <v>0</v>
      </c>
      <c r="I204" s="10">
        <v>0</v>
      </c>
      <c r="J204" s="10">
        <v>-22228.95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-66038749.329999998</v>
      </c>
      <c r="T204" s="10">
        <v>-6837895.6200000001</v>
      </c>
      <c r="U204" s="10">
        <v>0</v>
      </c>
      <c r="V204" s="10">
        <v>-14797942.619999999</v>
      </c>
      <c r="W204" s="10">
        <v>0</v>
      </c>
      <c r="X204" s="10">
        <v>0</v>
      </c>
      <c r="Y204" s="9"/>
    </row>
    <row r="205" spans="1:25" x14ac:dyDescent="0.35">
      <c r="A205" s="13" t="s">
        <v>26</v>
      </c>
      <c r="B205" s="13" t="s">
        <v>143</v>
      </c>
      <c r="C205" s="13" t="str">
        <f t="shared" ref="C205:C207" si="25">TRIM(B205)</f>
        <v>Branch Transfer Out - Raw Material</v>
      </c>
      <c r="D205" s="14">
        <v>0</v>
      </c>
      <c r="E205" s="14">
        <v>0</v>
      </c>
      <c r="F205" s="14">
        <v>62086936.780000001</v>
      </c>
      <c r="G205" s="14">
        <v>-62086936.780000001</v>
      </c>
      <c r="H205" s="14">
        <v>0</v>
      </c>
      <c r="I205" s="14">
        <v>0</v>
      </c>
      <c r="J205" s="14">
        <v>-6478.95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-50740113.130000003</v>
      </c>
      <c r="T205" s="14">
        <v>-6837895.6200000001</v>
      </c>
      <c r="U205" s="14">
        <v>0</v>
      </c>
      <c r="V205" s="14">
        <v>-4502449.08</v>
      </c>
      <c r="W205" s="14">
        <v>0</v>
      </c>
      <c r="X205" s="14">
        <v>0</v>
      </c>
      <c r="Y205" s="13"/>
    </row>
    <row r="206" spans="1:25" x14ac:dyDescent="0.35">
      <c r="A206" s="13" t="s">
        <v>26</v>
      </c>
      <c r="B206" s="13" t="s">
        <v>144</v>
      </c>
      <c r="C206" s="13" t="str">
        <f t="shared" si="25"/>
        <v>Branch Transfer Out - Stores, Spares &amp; Consumable</v>
      </c>
      <c r="D206" s="14">
        <v>0</v>
      </c>
      <c r="E206" s="14">
        <v>0</v>
      </c>
      <c r="F206" s="14">
        <v>858313.2</v>
      </c>
      <c r="G206" s="14">
        <v>-858313.2</v>
      </c>
      <c r="H206" s="14">
        <v>0</v>
      </c>
      <c r="I206" s="14">
        <v>0</v>
      </c>
      <c r="J206" s="14">
        <v>-15750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-401731.2</v>
      </c>
      <c r="T206" s="14">
        <v>0</v>
      </c>
      <c r="U206" s="14">
        <v>0</v>
      </c>
      <c r="V206" s="14">
        <v>-440832</v>
      </c>
      <c r="W206" s="14">
        <v>0</v>
      </c>
      <c r="X206" s="14">
        <v>0</v>
      </c>
      <c r="Y206" s="13"/>
    </row>
    <row r="207" spans="1:25" x14ac:dyDescent="0.35">
      <c r="A207" s="13" t="s">
        <v>26</v>
      </c>
      <c r="B207" s="13" t="s">
        <v>145</v>
      </c>
      <c r="C207" s="13" t="str">
        <f t="shared" si="25"/>
        <v>Branch Transfer Out - Trading</v>
      </c>
      <c r="D207" s="14">
        <v>0</v>
      </c>
      <c r="E207" s="14">
        <v>0</v>
      </c>
      <c r="F207" s="14">
        <v>24751566.539999999</v>
      </c>
      <c r="G207" s="14">
        <v>-24751566.539999999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-14896905</v>
      </c>
      <c r="T207" s="14">
        <v>0</v>
      </c>
      <c r="U207" s="14">
        <v>0</v>
      </c>
      <c r="V207" s="14">
        <v>-9854661.5399999991</v>
      </c>
      <c r="W207" s="14">
        <v>0</v>
      </c>
      <c r="X207" s="14">
        <v>0</v>
      </c>
      <c r="Y207" s="13"/>
    </row>
    <row r="208" spans="1:25" x14ac:dyDescent="0.35">
      <c r="A208" s="9" t="s">
        <v>27</v>
      </c>
      <c r="B208" s="11" t="s">
        <v>81</v>
      </c>
      <c r="C208" s="11"/>
      <c r="D208" s="10">
        <v>0</v>
      </c>
      <c r="E208" s="10">
        <v>0</v>
      </c>
      <c r="F208" s="10">
        <v>30644400</v>
      </c>
      <c r="G208" s="10">
        <v>-30644400</v>
      </c>
      <c r="H208" s="10">
        <v>0</v>
      </c>
      <c r="I208" s="10">
        <v>0</v>
      </c>
      <c r="J208" s="10">
        <v>-13587750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-17056650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9"/>
    </row>
    <row r="209" spans="1:25" x14ac:dyDescent="0.35">
      <c r="A209" s="13" t="s">
        <v>26</v>
      </c>
      <c r="B209" s="13" t="s">
        <v>146</v>
      </c>
      <c r="C209" s="13" t="str">
        <f>TRIM(B209)</f>
        <v>Sales - High Seas</v>
      </c>
      <c r="D209" s="14">
        <v>0</v>
      </c>
      <c r="E209" s="14">
        <v>0</v>
      </c>
      <c r="F209" s="14">
        <v>30644400</v>
      </c>
      <c r="G209" s="14">
        <v>-30644400</v>
      </c>
      <c r="H209" s="14">
        <v>0</v>
      </c>
      <c r="I209" s="14">
        <v>0</v>
      </c>
      <c r="J209" s="14">
        <v>-13587750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-17056650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3"/>
    </row>
    <row r="210" spans="1:25" x14ac:dyDescent="0.35">
      <c r="A210" s="9" t="s">
        <v>27</v>
      </c>
      <c r="B210" s="11" t="s">
        <v>82</v>
      </c>
      <c r="C210" s="11"/>
      <c r="D210" s="10">
        <v>0</v>
      </c>
      <c r="E210" s="10">
        <v>0</v>
      </c>
      <c r="F210" s="10">
        <v>81220.5</v>
      </c>
      <c r="G210" s="10">
        <v>-81220.5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-14042.4</v>
      </c>
      <c r="T210" s="10">
        <v>-37.5</v>
      </c>
      <c r="U210" s="10">
        <v>0</v>
      </c>
      <c r="V210" s="10">
        <v>-17949.599999999999</v>
      </c>
      <c r="W210" s="10">
        <v>0</v>
      </c>
      <c r="X210" s="10">
        <v>-49191</v>
      </c>
      <c r="Y210" s="9"/>
    </row>
    <row r="211" spans="1:25" x14ac:dyDescent="0.35">
      <c r="A211" s="13" t="s">
        <v>26</v>
      </c>
      <c r="B211" s="13" t="s">
        <v>147</v>
      </c>
      <c r="C211" s="13" t="str">
        <f>TRIM(B211)</f>
        <v>Sales - Kasez - Trading - U/B</v>
      </c>
      <c r="D211" s="14">
        <v>0</v>
      </c>
      <c r="E211" s="14">
        <v>0</v>
      </c>
      <c r="F211" s="14">
        <v>81220.5</v>
      </c>
      <c r="G211" s="14">
        <v>-81220.5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-14042.4</v>
      </c>
      <c r="T211" s="14">
        <v>-37.5</v>
      </c>
      <c r="U211" s="14">
        <v>0</v>
      </c>
      <c r="V211" s="14">
        <v>-17949.599999999999</v>
      </c>
      <c r="W211" s="14">
        <v>0</v>
      </c>
      <c r="X211" s="14">
        <v>-49191</v>
      </c>
      <c r="Y211" s="13"/>
    </row>
    <row r="212" spans="1:25" x14ac:dyDescent="0.35">
      <c r="A212" s="9" t="s">
        <v>27</v>
      </c>
      <c r="B212" s="11" t="s">
        <v>83</v>
      </c>
      <c r="C212" s="11"/>
      <c r="D212" s="10">
        <v>0</v>
      </c>
      <c r="E212" s="10">
        <v>0</v>
      </c>
      <c r="F212" s="10">
        <v>122735527.53</v>
      </c>
      <c r="G212" s="10">
        <v>-122735527.53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-85849245.469999999</v>
      </c>
      <c r="R212" s="10">
        <v>0</v>
      </c>
      <c r="S212" s="10">
        <v>0</v>
      </c>
      <c r="T212" s="10">
        <v>-5017710.71</v>
      </c>
      <c r="U212" s="10">
        <v>0</v>
      </c>
      <c r="V212" s="10">
        <v>0</v>
      </c>
      <c r="W212" s="10">
        <v>-21905477.039999999</v>
      </c>
      <c r="X212" s="10">
        <v>-9963094.3100000005</v>
      </c>
      <c r="Y212" s="9"/>
    </row>
    <row r="213" spans="1:25" x14ac:dyDescent="0.35">
      <c r="A213" s="13" t="s">
        <v>26</v>
      </c>
      <c r="B213" s="13" t="s">
        <v>148</v>
      </c>
      <c r="C213" s="13" t="str">
        <f t="shared" ref="C213:C214" si="26">TRIM(B213)</f>
        <v>Sales - Export - Trading</v>
      </c>
      <c r="D213" s="14">
        <v>0</v>
      </c>
      <c r="E213" s="14">
        <v>0</v>
      </c>
      <c r="F213" s="14">
        <v>49328177.340000004</v>
      </c>
      <c r="G213" s="14">
        <v>-49328177.340000004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-49328177.340000004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3"/>
    </row>
    <row r="214" spans="1:25" x14ac:dyDescent="0.35">
      <c r="A214" s="13" t="s">
        <v>26</v>
      </c>
      <c r="B214" s="13" t="s">
        <v>149</v>
      </c>
      <c r="C214" s="13" t="str">
        <f t="shared" si="26"/>
        <v>Sales - Export - Third Party</v>
      </c>
      <c r="D214" s="14">
        <v>0</v>
      </c>
      <c r="E214" s="14">
        <v>0</v>
      </c>
      <c r="F214" s="14">
        <v>73407350.189999998</v>
      </c>
      <c r="G214" s="14">
        <v>-73407350.189999998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-36521068.130000003</v>
      </c>
      <c r="R214" s="14">
        <v>0</v>
      </c>
      <c r="S214" s="14">
        <v>0</v>
      </c>
      <c r="T214" s="14">
        <v>-5017710.71</v>
      </c>
      <c r="U214" s="14">
        <v>0</v>
      </c>
      <c r="V214" s="14">
        <v>0</v>
      </c>
      <c r="W214" s="14">
        <v>-21905477.039999999</v>
      </c>
      <c r="X214" s="14">
        <v>-9963094.3100000005</v>
      </c>
      <c r="Y214" s="13"/>
    </row>
    <row r="215" spans="1:25" x14ac:dyDescent="0.35">
      <c r="A215" s="9" t="s">
        <v>27</v>
      </c>
      <c r="B215" s="11" t="s">
        <v>84</v>
      </c>
      <c r="C215" s="11"/>
      <c r="D215" s="10">
        <v>0</v>
      </c>
      <c r="E215" s="10">
        <v>0</v>
      </c>
      <c r="F215" s="10">
        <v>44489458.799999997</v>
      </c>
      <c r="G215" s="10">
        <v>-44489458.799999997</v>
      </c>
      <c r="H215" s="10">
        <v>0</v>
      </c>
      <c r="I215" s="10">
        <v>0</v>
      </c>
      <c r="J215" s="10">
        <v>-426533</v>
      </c>
      <c r="K215" s="10">
        <v>0</v>
      </c>
      <c r="L215" s="10">
        <v>-183620.74</v>
      </c>
      <c r="M215" s="10">
        <v>-21637772.5</v>
      </c>
      <c r="N215" s="10">
        <v>-425784</v>
      </c>
      <c r="O215" s="10">
        <v>0</v>
      </c>
      <c r="P215" s="10">
        <v>0</v>
      </c>
      <c r="Q215" s="10">
        <v>0</v>
      </c>
      <c r="R215" s="10">
        <v>0</v>
      </c>
      <c r="S215" s="10">
        <v>-19690633.100000001</v>
      </c>
      <c r="T215" s="10">
        <v>-1750725</v>
      </c>
      <c r="U215" s="10">
        <v>0</v>
      </c>
      <c r="V215" s="10">
        <v>-31549.06</v>
      </c>
      <c r="W215" s="10">
        <v>0</v>
      </c>
      <c r="X215" s="10">
        <v>-342841.4</v>
      </c>
      <c r="Y215" s="9"/>
    </row>
    <row r="216" spans="1:25" x14ac:dyDescent="0.35">
      <c r="A216" s="13" t="s">
        <v>26</v>
      </c>
      <c r="B216" s="13" t="s">
        <v>150</v>
      </c>
      <c r="C216" s="13" t="str">
        <f t="shared" ref="C216:C217" si="27">TRIM(B216)</f>
        <v>Sales - Interstate - Traded Goods</v>
      </c>
      <c r="D216" s="14">
        <v>0</v>
      </c>
      <c r="E216" s="14">
        <v>0</v>
      </c>
      <c r="F216" s="14">
        <v>50055.6</v>
      </c>
      <c r="G216" s="14">
        <v>-50055.6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-50055.6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3"/>
    </row>
    <row r="217" spans="1:25" x14ac:dyDescent="0.35">
      <c r="A217" s="13" t="s">
        <v>26</v>
      </c>
      <c r="B217" s="13" t="s">
        <v>151</v>
      </c>
      <c r="C217" s="13" t="str">
        <f t="shared" si="27"/>
        <v>Sales - Within State - Traded Goods</v>
      </c>
      <c r="D217" s="14">
        <v>0</v>
      </c>
      <c r="E217" s="14">
        <v>0</v>
      </c>
      <c r="F217" s="14">
        <v>44439403.200000003</v>
      </c>
      <c r="G217" s="14">
        <v>-44439403.200000003</v>
      </c>
      <c r="H217" s="14">
        <v>0</v>
      </c>
      <c r="I217" s="14">
        <v>0</v>
      </c>
      <c r="J217" s="14">
        <v>-426533</v>
      </c>
      <c r="K217" s="14">
        <v>0</v>
      </c>
      <c r="L217" s="14">
        <v>-183620.74</v>
      </c>
      <c r="M217" s="14">
        <v>-21637772.5</v>
      </c>
      <c r="N217" s="14">
        <v>-425784</v>
      </c>
      <c r="O217" s="14">
        <v>0</v>
      </c>
      <c r="P217" s="14">
        <v>0</v>
      </c>
      <c r="Q217" s="14">
        <v>0</v>
      </c>
      <c r="R217" s="14">
        <v>0</v>
      </c>
      <c r="S217" s="14">
        <v>-19640577.5</v>
      </c>
      <c r="T217" s="14">
        <v>-1750725</v>
      </c>
      <c r="U217" s="14">
        <v>0</v>
      </c>
      <c r="V217" s="14">
        <v>-31549.06</v>
      </c>
      <c r="W217" s="14">
        <v>0</v>
      </c>
      <c r="X217" s="14">
        <v>-342841.4</v>
      </c>
      <c r="Y217" s="13"/>
    </row>
    <row r="218" spans="1:25" x14ac:dyDescent="0.35">
      <c r="A218" s="6" t="s">
        <v>25</v>
      </c>
      <c r="B218" s="8" t="s">
        <v>85</v>
      </c>
      <c r="C218" s="8"/>
      <c r="D218" s="7">
        <v>0</v>
      </c>
      <c r="E218" s="7">
        <v>0</v>
      </c>
      <c r="F218" s="7">
        <v>1074145</v>
      </c>
      <c r="G218" s="7">
        <v>-1074145</v>
      </c>
      <c r="H218" s="7">
        <v>0</v>
      </c>
      <c r="I218" s="7">
        <v>0</v>
      </c>
      <c r="J218" s="7">
        <v>-41000</v>
      </c>
      <c r="K218" s="7">
        <v>0</v>
      </c>
      <c r="L218" s="7">
        <v>0</v>
      </c>
      <c r="M218" s="7">
        <v>0</v>
      </c>
      <c r="N218" s="7">
        <v>-54300</v>
      </c>
      <c r="O218" s="7">
        <v>0</v>
      </c>
      <c r="P218" s="7">
        <v>0</v>
      </c>
      <c r="Q218" s="7">
        <v>0</v>
      </c>
      <c r="R218" s="7">
        <v>0</v>
      </c>
      <c r="S218" s="7">
        <v>-223600</v>
      </c>
      <c r="T218" s="7">
        <v>-755245</v>
      </c>
      <c r="U218" s="7">
        <v>0</v>
      </c>
      <c r="V218" s="7">
        <v>0</v>
      </c>
      <c r="W218" s="7">
        <v>0</v>
      </c>
      <c r="X218" s="7">
        <v>0</v>
      </c>
      <c r="Y218" s="6"/>
    </row>
    <row r="219" spans="1:25" x14ac:dyDescent="0.35">
      <c r="A219" s="9" t="s">
        <v>27</v>
      </c>
      <c r="B219" s="11" t="s">
        <v>86</v>
      </c>
      <c r="C219" s="11"/>
      <c r="D219" s="10">
        <v>0</v>
      </c>
      <c r="E219" s="10">
        <v>0</v>
      </c>
      <c r="F219" s="10">
        <v>1074145</v>
      </c>
      <c r="G219" s="10">
        <v>-1074145</v>
      </c>
      <c r="H219" s="10">
        <v>0</v>
      </c>
      <c r="I219" s="10">
        <v>0</v>
      </c>
      <c r="J219" s="10">
        <v>-41000</v>
      </c>
      <c r="K219" s="10">
        <v>0</v>
      </c>
      <c r="L219" s="10">
        <v>0</v>
      </c>
      <c r="M219" s="10">
        <v>0</v>
      </c>
      <c r="N219" s="10">
        <v>-54300</v>
      </c>
      <c r="O219" s="10">
        <v>0</v>
      </c>
      <c r="P219" s="10">
        <v>0</v>
      </c>
      <c r="Q219" s="10">
        <v>0</v>
      </c>
      <c r="R219" s="10">
        <v>0</v>
      </c>
      <c r="S219" s="10">
        <v>-223600</v>
      </c>
      <c r="T219" s="10">
        <v>-755245</v>
      </c>
      <c r="U219" s="10">
        <v>0</v>
      </c>
      <c r="V219" s="10">
        <v>0</v>
      </c>
      <c r="W219" s="10">
        <v>0</v>
      </c>
      <c r="X219" s="10">
        <v>0</v>
      </c>
      <c r="Y219" s="9"/>
    </row>
    <row r="220" spans="1:25" x14ac:dyDescent="0.35">
      <c r="A220" s="13" t="s">
        <v>26</v>
      </c>
      <c r="B220" s="13" t="s">
        <v>152</v>
      </c>
      <c r="C220" s="13" t="str">
        <f>TRIM(B220)</f>
        <v>Sales - Waste &amp; Scrape</v>
      </c>
      <c r="D220" s="14">
        <v>0</v>
      </c>
      <c r="E220" s="14">
        <v>0</v>
      </c>
      <c r="F220" s="14">
        <v>1074145</v>
      </c>
      <c r="G220" s="14">
        <v>-1074145</v>
      </c>
      <c r="H220" s="14">
        <v>0</v>
      </c>
      <c r="I220" s="14">
        <v>0</v>
      </c>
      <c r="J220" s="14">
        <v>-41000</v>
      </c>
      <c r="K220" s="14">
        <v>0</v>
      </c>
      <c r="L220" s="14">
        <v>0</v>
      </c>
      <c r="M220" s="14">
        <v>0</v>
      </c>
      <c r="N220" s="14">
        <v>-54300</v>
      </c>
      <c r="O220" s="14">
        <v>0</v>
      </c>
      <c r="P220" s="14">
        <v>0</v>
      </c>
      <c r="Q220" s="14">
        <v>0</v>
      </c>
      <c r="R220" s="14">
        <v>0</v>
      </c>
      <c r="S220" s="14">
        <v>-223600</v>
      </c>
      <c r="T220" s="14">
        <v>-755245</v>
      </c>
      <c r="U220" s="14">
        <v>0</v>
      </c>
      <c r="V220" s="14">
        <v>0</v>
      </c>
      <c r="W220" s="14">
        <v>0</v>
      </c>
      <c r="X220" s="14">
        <v>0</v>
      </c>
      <c r="Y220" s="13"/>
    </row>
    <row r="221" spans="1:25" x14ac:dyDescent="0.35">
      <c r="A221" s="3" t="s">
        <v>24</v>
      </c>
      <c r="B221" s="5" t="s">
        <v>87</v>
      </c>
      <c r="C221" s="5"/>
      <c r="D221" s="4">
        <v>0</v>
      </c>
      <c r="E221" s="4">
        <v>7231.68</v>
      </c>
      <c r="F221" s="4">
        <v>1517108.25</v>
      </c>
      <c r="G221" s="4">
        <v>-1509876.57</v>
      </c>
      <c r="H221" s="4">
        <v>0</v>
      </c>
      <c r="I221" s="4">
        <v>0</v>
      </c>
      <c r="J221" s="4">
        <v>72</v>
      </c>
      <c r="K221" s="4">
        <v>183.68</v>
      </c>
      <c r="L221" s="4">
        <v>0</v>
      </c>
      <c r="M221" s="4">
        <v>0</v>
      </c>
      <c r="N221" s="4">
        <v>-538980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-46892</v>
      </c>
      <c r="U221" s="4">
        <v>-924260.25</v>
      </c>
      <c r="V221" s="4">
        <v>0</v>
      </c>
      <c r="W221" s="4">
        <v>0</v>
      </c>
      <c r="X221" s="4">
        <v>0</v>
      </c>
      <c r="Y221" s="3"/>
    </row>
    <row r="222" spans="1:25" x14ac:dyDescent="0.35">
      <c r="A222" s="6" t="s">
        <v>25</v>
      </c>
      <c r="B222" s="8" t="s">
        <v>88</v>
      </c>
      <c r="C222" s="8"/>
      <c r="D222" s="7">
        <v>0</v>
      </c>
      <c r="E222" s="7">
        <v>7231.68</v>
      </c>
      <c r="F222" s="7">
        <v>1517108.25</v>
      </c>
      <c r="G222" s="7">
        <v>-1509876.57</v>
      </c>
      <c r="H222" s="7">
        <v>0</v>
      </c>
      <c r="I222" s="7">
        <v>0</v>
      </c>
      <c r="J222" s="7">
        <v>72</v>
      </c>
      <c r="K222" s="7">
        <v>183.68</v>
      </c>
      <c r="L222" s="7">
        <v>0</v>
      </c>
      <c r="M222" s="7">
        <v>0</v>
      </c>
      <c r="N222" s="7">
        <v>-538980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-46892</v>
      </c>
      <c r="U222" s="7">
        <v>-924260.25</v>
      </c>
      <c r="V222" s="7">
        <v>0</v>
      </c>
      <c r="W222" s="7">
        <v>0</v>
      </c>
      <c r="X222" s="7">
        <v>0</v>
      </c>
      <c r="Y222" s="6"/>
    </row>
    <row r="223" spans="1:25" x14ac:dyDescent="0.35">
      <c r="A223" s="13" t="s">
        <v>26</v>
      </c>
      <c r="B223" s="13" t="s">
        <v>153</v>
      </c>
      <c r="C223" s="13" t="str">
        <f t="shared" ref="C223:C227" si="28">TRIM(B223)</f>
        <v>Commission Income</v>
      </c>
      <c r="D223" s="14">
        <v>0</v>
      </c>
      <c r="E223" s="14">
        <v>0</v>
      </c>
      <c r="F223" s="14">
        <v>931236.25</v>
      </c>
      <c r="G223" s="14">
        <v>-931236.25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-931236.25</v>
      </c>
      <c r="V223" s="14">
        <v>0</v>
      </c>
      <c r="W223" s="14">
        <v>0</v>
      </c>
      <c r="X223" s="14">
        <v>0</v>
      </c>
      <c r="Y223" s="13"/>
    </row>
    <row r="224" spans="1:25" x14ac:dyDescent="0.35">
      <c r="A224" s="13" t="s">
        <v>26</v>
      </c>
      <c r="B224" s="13" t="s">
        <v>154</v>
      </c>
      <c r="C224" s="13" t="str">
        <f t="shared" si="28"/>
        <v>Income From Wind Mill</v>
      </c>
      <c r="D224" s="14">
        <v>0</v>
      </c>
      <c r="E224" s="14">
        <v>0</v>
      </c>
      <c r="F224" s="14">
        <v>46892</v>
      </c>
      <c r="G224" s="14">
        <v>-46892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-46892</v>
      </c>
      <c r="U224" s="14">
        <v>0</v>
      </c>
      <c r="V224" s="14">
        <v>0</v>
      </c>
      <c r="W224" s="14">
        <v>0</v>
      </c>
      <c r="X224" s="14">
        <v>0</v>
      </c>
      <c r="Y224" s="13"/>
    </row>
    <row r="225" spans="1:25" x14ac:dyDescent="0.35">
      <c r="A225" s="13" t="s">
        <v>26</v>
      </c>
      <c r="B225" s="13" t="s">
        <v>155</v>
      </c>
      <c r="C225" s="13" t="str">
        <f t="shared" si="28"/>
        <v>Miscellaneous Income</v>
      </c>
      <c r="D225" s="14">
        <v>0</v>
      </c>
      <c r="E225" s="14">
        <v>0</v>
      </c>
      <c r="F225" s="14">
        <v>100000</v>
      </c>
      <c r="G225" s="14">
        <v>-100000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-100000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3"/>
    </row>
    <row r="226" spans="1:25" x14ac:dyDescent="0.35">
      <c r="A226" s="13" t="s">
        <v>26</v>
      </c>
      <c r="B226" s="13" t="s">
        <v>156</v>
      </c>
      <c r="C226" s="13" t="str">
        <f t="shared" si="28"/>
        <v>Price Protection Discount-Income</v>
      </c>
      <c r="D226" s="14">
        <v>0</v>
      </c>
      <c r="E226" s="14">
        <v>0</v>
      </c>
      <c r="F226" s="14">
        <v>438980</v>
      </c>
      <c r="G226" s="14">
        <v>-438980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-438980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3"/>
    </row>
    <row r="227" spans="1:25" x14ac:dyDescent="0.35">
      <c r="A227" s="13" t="s">
        <v>26</v>
      </c>
      <c r="B227" s="13" t="s">
        <v>157</v>
      </c>
      <c r="C227" s="13" t="str">
        <f t="shared" si="28"/>
        <v>Profit Or Loss On Sale Of Fixed Assets</v>
      </c>
      <c r="D227" s="14">
        <v>0</v>
      </c>
      <c r="E227" s="14">
        <v>72</v>
      </c>
      <c r="F227" s="14">
        <v>0</v>
      </c>
      <c r="G227" s="14">
        <v>72</v>
      </c>
      <c r="H227" s="14">
        <v>0</v>
      </c>
      <c r="I227" s="14">
        <v>0</v>
      </c>
      <c r="J227" s="14">
        <v>72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3"/>
    </row>
    <row r="228" spans="1:25" x14ac:dyDescent="0.35">
      <c r="A228" s="9" t="s">
        <v>27</v>
      </c>
      <c r="B228" s="11" t="s">
        <v>89</v>
      </c>
      <c r="C228" s="11"/>
      <c r="D228" s="10">
        <v>0</v>
      </c>
      <c r="E228" s="10">
        <v>6976</v>
      </c>
      <c r="F228" s="10">
        <v>0</v>
      </c>
      <c r="G228" s="10">
        <v>6976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6976</v>
      </c>
      <c r="V228" s="10">
        <v>0</v>
      </c>
      <c r="W228" s="10">
        <v>0</v>
      </c>
      <c r="X228" s="10">
        <v>0</v>
      </c>
      <c r="Y228" s="9"/>
    </row>
    <row r="229" spans="1:25" x14ac:dyDescent="0.35">
      <c r="A229" s="13" t="s">
        <v>26</v>
      </c>
      <c r="B229" s="13" t="s">
        <v>158</v>
      </c>
      <c r="C229" s="13" t="str">
        <f>TRIM(B229)</f>
        <v>Interest Received From Other</v>
      </c>
      <c r="D229" s="14">
        <v>0</v>
      </c>
      <c r="E229" s="14">
        <v>6976</v>
      </c>
      <c r="F229" s="14">
        <v>0</v>
      </c>
      <c r="G229" s="14">
        <v>6976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6976</v>
      </c>
      <c r="V229" s="14">
        <v>0</v>
      </c>
      <c r="W229" s="14">
        <v>0</v>
      </c>
      <c r="X229" s="14">
        <v>0</v>
      </c>
      <c r="Y229" s="13"/>
    </row>
    <row r="230" spans="1:25" x14ac:dyDescent="0.35">
      <c r="A230" s="9" t="s">
        <v>27</v>
      </c>
      <c r="B230" s="11" t="s">
        <v>90</v>
      </c>
      <c r="C230" s="11"/>
      <c r="D230" s="10">
        <v>0</v>
      </c>
      <c r="E230" s="10">
        <v>183.68</v>
      </c>
      <c r="F230" s="10">
        <v>0</v>
      </c>
      <c r="G230" s="10">
        <v>183.68</v>
      </c>
      <c r="H230" s="10">
        <v>0</v>
      </c>
      <c r="I230" s="10">
        <v>0</v>
      </c>
      <c r="J230" s="10">
        <v>0</v>
      </c>
      <c r="K230" s="10">
        <v>183.68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9"/>
    </row>
    <row r="231" spans="1:25" x14ac:dyDescent="0.35">
      <c r="A231" s="13" t="s">
        <v>26</v>
      </c>
      <c r="B231" s="13" t="s">
        <v>159</v>
      </c>
      <c r="C231" s="13" t="str">
        <f>TRIM(B231)</f>
        <v>Balance Written Back Income</v>
      </c>
      <c r="D231" s="14">
        <v>0</v>
      </c>
      <c r="E231" s="14">
        <v>183.68</v>
      </c>
      <c r="F231" s="14">
        <v>0</v>
      </c>
      <c r="G231" s="14">
        <v>183.68</v>
      </c>
      <c r="H231" s="14">
        <v>0</v>
      </c>
      <c r="I231" s="14">
        <v>0</v>
      </c>
      <c r="J231" s="14">
        <v>0</v>
      </c>
      <c r="K231" s="14">
        <v>183.68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3"/>
    </row>
  </sheetData>
  <autoFilter ref="A2:Y231" xr:uid="{327FCD39-CE64-466D-BC0B-1C8D80231DA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2CF4-B2A3-4BC7-A88D-8639F688D4F3}">
  <dimension ref="A2:L48"/>
  <sheetViews>
    <sheetView topLeftCell="A31" workbookViewId="0">
      <selection activeCell="E45" sqref="E45"/>
    </sheetView>
  </sheetViews>
  <sheetFormatPr defaultRowHeight="14.5" x14ac:dyDescent="0.35"/>
  <cols>
    <col min="1" max="1" width="30.6328125" customWidth="1"/>
    <col min="2" max="2" width="15.36328125" bestFit="1" customWidth="1"/>
    <col min="3" max="5" width="13.81640625" bestFit="1" customWidth="1"/>
    <col min="7" max="7" width="44.1796875" bestFit="1" customWidth="1"/>
    <col min="8" max="8" width="15.36328125" style="37" bestFit="1" customWidth="1"/>
    <col min="9" max="10" width="14.81640625" style="37" bestFit="1" customWidth="1"/>
    <col min="11" max="11" width="16.36328125" style="37" bestFit="1" customWidth="1"/>
    <col min="12" max="12" width="9.08984375" bestFit="1" customWidth="1"/>
  </cols>
  <sheetData>
    <row r="2" spans="1:11" x14ac:dyDescent="0.35">
      <c r="A2" s="339" t="s">
        <v>639</v>
      </c>
      <c r="G2" s="339" t="s">
        <v>640</v>
      </c>
    </row>
    <row r="3" spans="1:11" x14ac:dyDescent="0.35">
      <c r="A3" t="s">
        <v>641</v>
      </c>
      <c r="B3" t="s">
        <v>642</v>
      </c>
      <c r="G3" s="293" t="s">
        <v>641</v>
      </c>
      <c r="H3" s="347" t="s">
        <v>642</v>
      </c>
      <c r="I3" s="58"/>
      <c r="J3" s="58"/>
      <c r="K3" s="58"/>
    </row>
    <row r="4" spans="1:11" x14ac:dyDescent="0.35">
      <c r="A4" t="s">
        <v>622</v>
      </c>
      <c r="B4" t="s">
        <v>643</v>
      </c>
      <c r="C4" t="s">
        <v>644</v>
      </c>
      <c r="D4" t="s">
        <v>645</v>
      </c>
      <c r="E4" t="s">
        <v>623</v>
      </c>
      <c r="G4" s="293" t="s">
        <v>622</v>
      </c>
      <c r="H4" s="58" t="s">
        <v>643</v>
      </c>
      <c r="I4" s="58" t="s">
        <v>644</v>
      </c>
      <c r="J4" s="58" t="s">
        <v>645</v>
      </c>
      <c r="K4" s="58" t="s">
        <v>623</v>
      </c>
    </row>
    <row r="5" spans="1:11" x14ac:dyDescent="0.35">
      <c r="A5" s="44" t="s">
        <v>404</v>
      </c>
      <c r="B5" s="58">
        <v>62080457.830000035</v>
      </c>
      <c r="C5" s="58">
        <v>60977877.520000041</v>
      </c>
      <c r="D5" s="58">
        <v>47799020.949999996</v>
      </c>
      <c r="E5" s="58">
        <v>170857356.30000007</v>
      </c>
      <c r="G5" s="44" t="s">
        <v>410</v>
      </c>
      <c r="H5" s="58">
        <v>36521068.131999999</v>
      </c>
      <c r="I5" s="58">
        <v>30649697.260499999</v>
      </c>
      <c r="J5" s="58">
        <v>34040960.625999995</v>
      </c>
      <c r="K5" s="58">
        <v>101211726.0185</v>
      </c>
    </row>
    <row r="6" spans="1:11" x14ac:dyDescent="0.35">
      <c r="A6" s="44" t="s">
        <v>405</v>
      </c>
      <c r="B6" s="58">
        <v>842563.2</v>
      </c>
      <c r="C6" s="58">
        <v>879887.2</v>
      </c>
      <c r="D6" s="58">
        <v>524256</v>
      </c>
      <c r="E6" s="58">
        <v>2246706.4</v>
      </c>
      <c r="G6" s="44" t="s">
        <v>407</v>
      </c>
      <c r="H6" s="58">
        <v>30644400</v>
      </c>
      <c r="I6" s="58">
        <v>58491675</v>
      </c>
      <c r="J6" s="58"/>
      <c r="K6" s="58">
        <v>89136075</v>
      </c>
    </row>
    <row r="7" spans="1:11" x14ac:dyDescent="0.35">
      <c r="A7" s="44" t="s">
        <v>406</v>
      </c>
      <c r="B7" s="58">
        <v>24751566.539999999</v>
      </c>
      <c r="C7" s="58">
        <v>35285600.160000004</v>
      </c>
      <c r="D7" s="58">
        <v>14478169.41</v>
      </c>
      <c r="E7" s="58">
        <v>74515336.109999999</v>
      </c>
      <c r="G7" s="44" t="s">
        <v>398</v>
      </c>
      <c r="H7" s="58">
        <v>6902182.9986969996</v>
      </c>
      <c r="I7" s="58">
        <v>8400508.1938000005</v>
      </c>
      <c r="J7" s="58">
        <v>6042055.1195359994</v>
      </c>
      <c r="K7" s="58">
        <v>21344746.312032998</v>
      </c>
    </row>
    <row r="8" spans="1:11" x14ac:dyDescent="0.35">
      <c r="A8" s="44" t="s">
        <v>623</v>
      </c>
      <c r="B8" s="58">
        <v>87674587.570000038</v>
      </c>
      <c r="C8" s="58">
        <v>97143364.880000055</v>
      </c>
      <c r="D8" s="58">
        <v>62801446.359999999</v>
      </c>
      <c r="E8" s="58">
        <v>247619398.81000006</v>
      </c>
      <c r="G8" s="44" t="s">
        <v>397</v>
      </c>
      <c r="H8" s="58">
        <v>54930475.74000001</v>
      </c>
      <c r="I8" s="58">
        <v>43783311.694000013</v>
      </c>
      <c r="J8" s="58">
        <v>38131738.783</v>
      </c>
      <c r="K8" s="58">
        <v>136845526.21700001</v>
      </c>
    </row>
    <row r="9" spans="1:11" x14ac:dyDescent="0.35">
      <c r="G9" s="44" t="s">
        <v>408</v>
      </c>
      <c r="H9" s="58">
        <v>81220.5</v>
      </c>
      <c r="I9" s="58">
        <v>2283425.4359999998</v>
      </c>
      <c r="J9" s="58">
        <v>282820</v>
      </c>
      <c r="K9" s="58">
        <v>2647465.9359999998</v>
      </c>
    </row>
    <row r="10" spans="1:11" x14ac:dyDescent="0.35">
      <c r="A10" s="340" t="s">
        <v>594</v>
      </c>
      <c r="B10" s="341">
        <f>B5</f>
        <v>62080457.830000035</v>
      </c>
      <c r="C10" s="341">
        <f t="shared" ref="C10:E10" si="0">C5</f>
        <v>60977877.520000041</v>
      </c>
      <c r="D10" s="341">
        <f t="shared" si="0"/>
        <v>47799020.949999996</v>
      </c>
      <c r="E10" s="341">
        <f t="shared" si="0"/>
        <v>170857356.30000007</v>
      </c>
      <c r="G10" s="44" t="s">
        <v>413</v>
      </c>
      <c r="H10" s="58"/>
      <c r="I10" s="58">
        <v>192576.19999999998</v>
      </c>
      <c r="J10" s="58">
        <v>143343.16</v>
      </c>
      <c r="K10" s="58">
        <v>335919.35999999999</v>
      </c>
    </row>
    <row r="11" spans="1:11" x14ac:dyDescent="0.35">
      <c r="A11" s="340" t="s">
        <v>646</v>
      </c>
      <c r="B11" s="341">
        <f>B6+B7</f>
        <v>25594129.739999998</v>
      </c>
      <c r="C11" s="341">
        <f t="shared" ref="C11:E11" si="1">C6+C7</f>
        <v>36165487.360000007</v>
      </c>
      <c r="D11" s="341">
        <f t="shared" si="1"/>
        <v>15002425.41</v>
      </c>
      <c r="E11" s="341">
        <f t="shared" si="1"/>
        <v>76762042.510000005</v>
      </c>
      <c r="G11" s="44" t="s">
        <v>648</v>
      </c>
      <c r="H11" s="58">
        <v>205550076.60000002</v>
      </c>
      <c r="I11" s="58">
        <v>199273736.09000024</v>
      </c>
      <c r="J11" s="58">
        <v>130148052.62000006</v>
      </c>
      <c r="K11" s="58">
        <v>534971865.31000036</v>
      </c>
    </row>
    <row r="12" spans="1:11" x14ac:dyDescent="0.35">
      <c r="G12" s="44" t="s">
        <v>412</v>
      </c>
      <c r="H12" s="58">
        <v>21136290.699999999</v>
      </c>
      <c r="I12" s="58">
        <v>19903263.339999996</v>
      </c>
      <c r="J12" s="58">
        <v>23753304.970000003</v>
      </c>
      <c r="K12" s="58">
        <v>64792859.00999999</v>
      </c>
    </row>
    <row r="13" spans="1:11" x14ac:dyDescent="0.35">
      <c r="A13" s="339" t="s">
        <v>647</v>
      </c>
      <c r="G13" s="44" t="s">
        <v>649</v>
      </c>
      <c r="H13" s="58">
        <v>-2102676</v>
      </c>
      <c r="I13" s="58"/>
      <c r="J13" s="58"/>
      <c r="K13" s="58">
        <v>-2102676</v>
      </c>
    </row>
    <row r="14" spans="1:11" x14ac:dyDescent="0.35">
      <c r="A14" t="s">
        <v>641</v>
      </c>
      <c r="B14" t="s">
        <v>642</v>
      </c>
      <c r="G14" s="44" t="s">
        <v>623</v>
      </c>
      <c r="H14" s="58">
        <v>353663038.67069703</v>
      </c>
      <c r="I14" s="58">
        <v>362978193.21430022</v>
      </c>
      <c r="J14" s="58">
        <v>232542275.27853605</v>
      </c>
      <c r="K14" s="58">
        <v>949183507.16353345</v>
      </c>
    </row>
    <row r="15" spans="1:11" x14ac:dyDescent="0.35">
      <c r="A15" t="s">
        <v>622</v>
      </c>
      <c r="B15" t="s">
        <v>643</v>
      </c>
      <c r="C15" t="s">
        <v>644</v>
      </c>
      <c r="D15" t="s">
        <v>645</v>
      </c>
      <c r="E15" t="s">
        <v>623</v>
      </c>
      <c r="H15" s="287">
        <f>H14/10^5</f>
        <v>3536.6303867069705</v>
      </c>
      <c r="I15" s="287">
        <f t="shared" ref="I15:J15" si="2">I14/10^5</f>
        <v>3629.781932143002</v>
      </c>
      <c r="J15" s="287">
        <f t="shared" si="2"/>
        <v>2325.4227527853604</v>
      </c>
      <c r="K15"/>
    </row>
    <row r="16" spans="1:11" x14ac:dyDescent="0.35">
      <c r="A16" s="44" t="s">
        <v>582</v>
      </c>
      <c r="B16" s="58"/>
      <c r="C16" s="58">
        <v>87504</v>
      </c>
      <c r="D16" s="58">
        <v>38160</v>
      </c>
      <c r="E16" s="58">
        <v>125664</v>
      </c>
      <c r="H16"/>
      <c r="I16" s="287">
        <f>H15+I15</f>
        <v>7166.4123188499725</v>
      </c>
      <c r="J16" s="287">
        <f>I16+J15</f>
        <v>9491.8350716353325</v>
      </c>
      <c r="K16"/>
    </row>
    <row r="17" spans="1:12" x14ac:dyDescent="0.35">
      <c r="A17" s="44" t="s">
        <v>404</v>
      </c>
      <c r="B17" s="58">
        <v>6478.95</v>
      </c>
      <c r="C17" s="58">
        <v>2867216.9899999998</v>
      </c>
      <c r="D17" s="58">
        <v>2101480.1799999997</v>
      </c>
      <c r="E17" s="58">
        <v>4975176.1199999992</v>
      </c>
      <c r="H17"/>
      <c r="I17"/>
      <c r="J17"/>
      <c r="K17"/>
    </row>
    <row r="18" spans="1:12" x14ac:dyDescent="0.35">
      <c r="A18" s="44" t="s">
        <v>405</v>
      </c>
      <c r="B18" s="58">
        <v>15750</v>
      </c>
      <c r="C18" s="58"/>
      <c r="D18" s="58">
        <v>31710</v>
      </c>
      <c r="E18" s="58">
        <v>47460</v>
      </c>
      <c r="H18"/>
      <c r="I18"/>
      <c r="J18"/>
      <c r="K18"/>
    </row>
    <row r="19" spans="1:12" x14ac:dyDescent="0.35">
      <c r="A19" s="44" t="s">
        <v>623</v>
      </c>
      <c r="B19" s="58">
        <v>22228.95</v>
      </c>
      <c r="C19" s="58">
        <v>2954720.9899999998</v>
      </c>
      <c r="D19" s="58">
        <v>2171350.1799999997</v>
      </c>
      <c r="E19" s="58">
        <v>5148300.1199999992</v>
      </c>
    </row>
    <row r="20" spans="1:12" x14ac:dyDescent="0.35">
      <c r="G20" s="340" t="s">
        <v>594</v>
      </c>
      <c r="H20" s="49">
        <f>H7+H8+H11+H13</f>
        <v>265280059.33869702</v>
      </c>
      <c r="I20" s="49">
        <f t="shared" ref="I20:K20" si="3">I7+I8+I11+I13</f>
        <v>251457555.97780025</v>
      </c>
      <c r="J20" s="49">
        <f t="shared" si="3"/>
        <v>174321846.52253607</v>
      </c>
      <c r="K20" s="49">
        <f t="shared" si="3"/>
        <v>691059461.83903337</v>
      </c>
      <c r="L20" s="287">
        <f>K20/10^5</f>
        <v>6910.5946183903334</v>
      </c>
    </row>
    <row r="21" spans="1:12" x14ac:dyDescent="0.35">
      <c r="A21" s="340" t="s">
        <v>594</v>
      </c>
      <c r="B21" s="341">
        <f>B17</f>
        <v>6478.95</v>
      </c>
      <c r="C21" s="341">
        <f t="shared" ref="C21:E21" si="4">C17</f>
        <v>2867216.9899999998</v>
      </c>
      <c r="D21" s="341">
        <f t="shared" si="4"/>
        <v>2101480.1799999997</v>
      </c>
      <c r="E21" s="341">
        <f t="shared" si="4"/>
        <v>4975176.1199999992</v>
      </c>
      <c r="G21" s="340" t="s">
        <v>646</v>
      </c>
      <c r="H21" s="49">
        <f>H14-H20</f>
        <v>88382979.332000017</v>
      </c>
      <c r="I21" s="49">
        <f t="shared" ref="I21:K21" si="5">I14-I20</f>
        <v>111520637.23649997</v>
      </c>
      <c r="J21" s="49">
        <f t="shared" si="5"/>
        <v>58220428.755999982</v>
      </c>
      <c r="K21" s="49">
        <f t="shared" si="5"/>
        <v>258124045.32450008</v>
      </c>
      <c r="L21" s="287">
        <f>K21/10^5</f>
        <v>2581.2404532450009</v>
      </c>
    </row>
    <row r="22" spans="1:12" x14ac:dyDescent="0.35">
      <c r="A22" s="340" t="s">
        <v>646</v>
      </c>
      <c r="B22" s="341">
        <f>B16+B18</f>
        <v>15750</v>
      </c>
      <c r="C22" s="341">
        <f t="shared" ref="C22:E22" si="6">C16+C18</f>
        <v>87504</v>
      </c>
      <c r="D22" s="341">
        <f t="shared" si="6"/>
        <v>69870</v>
      </c>
      <c r="E22" s="341">
        <f t="shared" si="6"/>
        <v>173124</v>
      </c>
      <c r="H22" s="51">
        <f>SUM(H20:H21)/10^5</f>
        <v>3536.6303867069705</v>
      </c>
      <c r="I22" s="51">
        <f t="shared" ref="I22:J22" si="7">SUM(I20:I21)/10^5</f>
        <v>3629.781932143002</v>
      </c>
      <c r="J22" s="51">
        <f t="shared" si="7"/>
        <v>2325.4227527853604</v>
      </c>
    </row>
    <row r="23" spans="1:12" x14ac:dyDescent="0.35">
      <c r="H23" s="37">
        <f>H15-H22</f>
        <v>0</v>
      </c>
      <c r="I23" s="37">
        <f t="shared" ref="I23:J23" si="8">I15-I22</f>
        <v>0</v>
      </c>
      <c r="J23" s="37">
        <f t="shared" si="8"/>
        <v>0</v>
      </c>
    </row>
    <row r="24" spans="1:12" x14ac:dyDescent="0.35">
      <c r="A24" s="342"/>
      <c r="H24" s="37">
        <f>H22</f>
        <v>3536.6303867069705</v>
      </c>
      <c r="I24" s="37">
        <f>H22+I22</f>
        <v>7166.4123188499725</v>
      </c>
      <c r="J24" s="37">
        <f>I24+J22</f>
        <v>9491.8350716353325</v>
      </c>
    </row>
    <row r="32" spans="1:12" x14ac:dyDescent="0.35">
      <c r="A32" t="s">
        <v>653</v>
      </c>
    </row>
    <row r="33" spans="1:5" x14ac:dyDescent="0.35">
      <c r="A33" s="293" t="s">
        <v>641</v>
      </c>
      <c r="B33" s="293" t="s">
        <v>642</v>
      </c>
    </row>
    <row r="34" spans="1:5" x14ac:dyDescent="0.35">
      <c r="A34" s="293" t="s">
        <v>622</v>
      </c>
      <c r="B34" t="s">
        <v>643</v>
      </c>
      <c r="C34" t="s">
        <v>644</v>
      </c>
      <c r="D34" t="s">
        <v>645</v>
      </c>
      <c r="E34" t="s">
        <v>623</v>
      </c>
    </row>
    <row r="35" spans="1:5" x14ac:dyDescent="0.35">
      <c r="A35" s="44" t="s">
        <v>8</v>
      </c>
      <c r="B35" s="58">
        <v>5251728.2851399994</v>
      </c>
      <c r="C35" s="58">
        <v>7420355.1170000006</v>
      </c>
      <c r="D35" s="58">
        <v>5383236.2808000008</v>
      </c>
      <c r="E35" s="58">
        <v>18055319.682939999</v>
      </c>
    </row>
    <row r="36" spans="1:5" x14ac:dyDescent="0.35">
      <c r="A36" s="44" t="s">
        <v>12</v>
      </c>
      <c r="B36" s="58"/>
      <c r="C36" s="58">
        <v>1314309.5176000001</v>
      </c>
      <c r="D36" s="58">
        <v>778111.6</v>
      </c>
      <c r="E36" s="58">
        <v>2092421.1176</v>
      </c>
    </row>
    <row r="37" spans="1:5" x14ac:dyDescent="0.35">
      <c r="A37" s="44" t="s">
        <v>16</v>
      </c>
      <c r="B37" s="58">
        <v>23118958.561000001</v>
      </c>
      <c r="C37" s="58">
        <v>19082092.942000005</v>
      </c>
      <c r="D37" s="58">
        <v>17115931.724999998</v>
      </c>
      <c r="E37" s="58">
        <v>59316983.228</v>
      </c>
    </row>
    <row r="38" spans="1:5" x14ac:dyDescent="0.35">
      <c r="A38" s="44" t="s">
        <v>17</v>
      </c>
      <c r="B38" s="58">
        <v>425876.67</v>
      </c>
      <c r="C38" s="58">
        <v>344500</v>
      </c>
      <c r="D38" s="58">
        <v>314750</v>
      </c>
      <c r="E38" s="58">
        <v>1085126.67</v>
      </c>
    </row>
    <row r="39" spans="1:5" x14ac:dyDescent="0.35">
      <c r="A39" s="44" t="s">
        <v>18</v>
      </c>
      <c r="B39" s="58"/>
      <c r="C39" s="58">
        <v>979215.6</v>
      </c>
      <c r="D39" s="58"/>
      <c r="E39" s="58">
        <v>979215.6</v>
      </c>
    </row>
    <row r="40" spans="1:5" x14ac:dyDescent="0.35">
      <c r="A40" s="44" t="s">
        <v>20</v>
      </c>
      <c r="B40" s="58"/>
      <c r="C40" s="58">
        <v>254567.28</v>
      </c>
      <c r="D40" s="58"/>
      <c r="E40" s="58">
        <v>254567.28</v>
      </c>
    </row>
    <row r="41" spans="1:5" x14ac:dyDescent="0.35">
      <c r="A41" s="44" t="s">
        <v>22</v>
      </c>
      <c r="B41" s="58">
        <v>147466.12900000002</v>
      </c>
      <c r="C41" s="58"/>
      <c r="D41" s="58"/>
      <c r="E41" s="58">
        <v>147466.12900000002</v>
      </c>
    </row>
    <row r="42" spans="1:5" x14ac:dyDescent="0.35">
      <c r="A42" s="44" t="s">
        <v>623</v>
      </c>
      <c r="B42" s="58">
        <v>28944029.645140003</v>
      </c>
      <c r="C42" s="58">
        <v>29395040.45660001</v>
      </c>
      <c r="D42" s="58">
        <v>23592029.605799999</v>
      </c>
      <c r="E42" s="58">
        <v>81931099.707539991</v>
      </c>
    </row>
    <row r="43" spans="1:5" x14ac:dyDescent="0.35">
      <c r="B43" s="287">
        <f>B42/10^5</f>
        <v>289.44029645140006</v>
      </c>
      <c r="C43" s="287">
        <f t="shared" ref="C43:D43" si="9">C42/10^5</f>
        <v>293.95040456600009</v>
      </c>
      <c r="D43" s="287">
        <f t="shared" si="9"/>
        <v>235.92029605799999</v>
      </c>
    </row>
    <row r="44" spans="1:5" x14ac:dyDescent="0.35">
      <c r="A44" s="359" t="s">
        <v>652</v>
      </c>
      <c r="B44" s="38"/>
      <c r="C44" s="360">
        <f>B43+C43</f>
        <v>583.39070101740015</v>
      </c>
      <c r="D44" s="360">
        <f>C44+D43</f>
        <v>819.31099707540011</v>
      </c>
    </row>
    <row r="45" spans="1:5" x14ac:dyDescent="0.35">
      <c r="C45" t="s">
        <v>654</v>
      </c>
      <c r="D45">
        <v>265</v>
      </c>
    </row>
    <row r="46" spans="1:5" x14ac:dyDescent="0.35">
      <c r="D46" s="287">
        <f>D44+D45</f>
        <v>1084.3109970754001</v>
      </c>
    </row>
    <row r="47" spans="1:5" x14ac:dyDescent="0.35">
      <c r="C47" t="s">
        <v>655</v>
      </c>
      <c r="D47">
        <v>19.649999999999999</v>
      </c>
    </row>
    <row r="48" spans="1:5" x14ac:dyDescent="0.35">
      <c r="D48" s="287">
        <f>D46-D47</f>
        <v>1064.6609970754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84ea6b-130b-4594-8d44-f25d28886b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D7047B4DC9774A8C9DEED98D841B0E" ma:contentTypeVersion="7" ma:contentTypeDescription="Create a new document." ma:contentTypeScope="" ma:versionID="65c8dc2c00e38406082f7bea9d0a0de9">
  <xsd:schema xmlns:xsd="http://www.w3.org/2001/XMLSchema" xmlns:xs="http://www.w3.org/2001/XMLSchema" xmlns:p="http://schemas.microsoft.com/office/2006/metadata/properties" xmlns:ns3="3084ea6b-130b-4594-8d44-f25d28886b3a" targetNamespace="http://schemas.microsoft.com/office/2006/metadata/properties" ma:root="true" ma:fieldsID="88768cde4a21c8773aeb009072a258ba" ns3:_="">
    <xsd:import namespace="3084ea6b-130b-4594-8d44-f25d28886b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4ea6b-130b-4594-8d44-f25d28886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58189-2027-4736-9ECF-32E04C7DCE31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084ea6b-130b-4594-8d44-f25d28886b3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CFD73C7-12FE-4339-ADA2-1866FA5A9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8A88F-3B07-45B5-B51E-4710C418C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84ea6b-130b-4594-8d44-f25d28886b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Sheet1</vt:lpstr>
      <vt:lpstr>May-26</vt:lpstr>
      <vt:lpstr>Apr-26</vt:lpstr>
      <vt:lpstr>common exp</vt:lpstr>
      <vt:lpstr>Stock sheet</vt:lpstr>
      <vt:lpstr>05.conso TB</vt:lpstr>
      <vt:lpstr>04.conso TB</vt:lpstr>
      <vt:lpstr>master</vt:lpstr>
      <vt:lpstr>5.conso TB</vt:lpstr>
      <vt:lpstr>4.Group TB</vt:lpstr>
      <vt:lpstr>6.Elimination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Jigar Mehta</cp:lastModifiedBy>
  <dcterms:created xsi:type="dcterms:W3CDTF">2023-05-12T09:58:34Z</dcterms:created>
  <dcterms:modified xsi:type="dcterms:W3CDTF">2026-08-13T10:06:33Z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0x0101006DD7047B4DC9774A8C9DEED98D841B0E</vt:lpwstr>
  </property>
</Properties>
</file>