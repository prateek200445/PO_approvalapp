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ummary" sheetId="3" r:id="rId1"/>
    <sheet name="Master" sheetId="5" r:id="rId2"/>
  </sheets>
  <definedNames>
    <definedName name="_xlnm._FilterDatabase" localSheetId="1" hidden="1">Master!$A$2:$G$852</definedName>
    <definedName name="_xlnm._FilterDatabase" localSheetId="0" hidden="1">Summary!$A$3:$AU$50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2" i="3" l="1"/>
  <c r="AH42" i="3"/>
  <c r="AI41" i="3"/>
  <c r="AH41" i="3"/>
  <c r="AI40" i="3"/>
  <c r="AH40" i="3"/>
  <c r="AI39" i="3"/>
  <c r="AH39" i="3"/>
  <c r="AI38" i="3"/>
  <c r="AH38" i="3"/>
  <c r="AI37" i="3"/>
  <c r="AH37" i="3"/>
  <c r="AI36" i="3"/>
  <c r="AH36" i="3"/>
  <c r="AI35" i="3"/>
  <c r="AH35" i="3"/>
  <c r="AI34" i="3"/>
  <c r="AH34" i="3"/>
  <c r="AI33" i="3"/>
  <c r="AH33" i="3"/>
  <c r="AI32" i="3"/>
  <c r="AH32" i="3"/>
  <c r="AI31" i="3"/>
  <c r="AH31" i="3"/>
  <c r="AI30" i="3"/>
  <c r="AH30" i="3"/>
  <c r="AI29" i="3"/>
  <c r="AH29" i="3"/>
  <c r="AI28" i="3"/>
  <c r="AH28" i="3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I10" i="3"/>
  <c r="AH10" i="3"/>
  <c r="AI9" i="3"/>
  <c r="AH9" i="3"/>
  <c r="AI8" i="3"/>
  <c r="AH8" i="3"/>
  <c r="AI7" i="3"/>
  <c r="AH7" i="3"/>
  <c r="AI6" i="3"/>
  <c r="AH6" i="3"/>
  <c r="AI5" i="3"/>
  <c r="AH5" i="3"/>
  <c r="AG37" i="3"/>
  <c r="AG36" i="3"/>
  <c r="AG35" i="3"/>
  <c r="AG28" i="3"/>
  <c r="AG19" i="3"/>
  <c r="AG18" i="3"/>
  <c r="Y52" i="3" l="1"/>
  <c r="X52" i="3"/>
  <c r="Y51" i="3"/>
  <c r="X51" i="3"/>
  <c r="Y50" i="3"/>
  <c r="Y55" i="3" s="1"/>
  <c r="X50" i="3"/>
  <c r="X55" i="3" s="1"/>
  <c r="AG34" i="3"/>
  <c r="AG30" i="3"/>
  <c r="AG27" i="3"/>
  <c r="AG26" i="3"/>
  <c r="AG22" i="3"/>
  <c r="AG21" i="3"/>
  <c r="AG20" i="3"/>
  <c r="AG13" i="3"/>
  <c r="Z42" i="3" l="1"/>
  <c r="AA42" i="3"/>
  <c r="AB42" i="3"/>
  <c r="W45" i="3" l="1"/>
  <c r="O37" i="3"/>
  <c r="O36" i="3"/>
  <c r="O32" i="3"/>
  <c r="P30" i="3"/>
  <c r="P28" i="3"/>
  <c r="O27" i="3"/>
  <c r="V25" i="3"/>
  <c r="O25" i="3"/>
  <c r="P22" i="3"/>
  <c r="O22" i="3"/>
  <c r="O20" i="3"/>
  <c r="P18" i="3"/>
  <c r="P13" i="3"/>
  <c r="P8" i="3"/>
  <c r="P7" i="3"/>
  <c r="P6" i="3"/>
  <c r="P5" i="3"/>
  <c r="L45" i="3" l="1"/>
  <c r="K45" i="3"/>
  <c r="H13" i="3"/>
  <c r="H45" i="3"/>
  <c r="H18" i="3"/>
  <c r="G447" i="5" l="1"/>
  <c r="A1" i="5" l="1"/>
  <c r="A10" i="3" s="1"/>
  <c r="X38" i="3"/>
  <c r="X40" i="3" l="1"/>
  <c r="D33" i="3" l="1"/>
  <c r="D14" i="3" l="1"/>
  <c r="Q26" i="3" l="1"/>
  <c r="BF40" i="3" l="1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F19" i="3"/>
  <c r="BF18" i="3"/>
  <c r="BF17" i="3"/>
  <c r="BF16" i="3"/>
  <c r="BF15" i="3"/>
  <c r="BF14" i="3"/>
  <c r="BF13" i="3"/>
  <c r="BF12" i="3"/>
  <c r="BF11" i="3"/>
  <c r="BF10" i="3"/>
  <c r="BF9" i="3"/>
  <c r="BF8" i="3"/>
  <c r="BF7" i="3"/>
  <c r="BF6" i="3"/>
  <c r="BF5" i="3"/>
  <c r="BE9" i="3"/>
  <c r="BE8" i="3"/>
  <c r="G1" i="5" l="1"/>
  <c r="D5" i="3" l="1"/>
  <c r="D35" i="3" l="1"/>
  <c r="D6" i="3" l="1"/>
  <c r="D7" i="3"/>
  <c r="D8" i="3"/>
  <c r="D9" i="3"/>
  <c r="D10" i="3"/>
  <c r="D11" i="3"/>
  <c r="D12" i="3"/>
  <c r="D13" i="3"/>
  <c r="D15" i="3"/>
  <c r="D16" i="3"/>
  <c r="D17" i="3"/>
  <c r="D18" i="3"/>
  <c r="D20" i="3"/>
  <c r="D22" i="3"/>
  <c r="D23" i="3"/>
  <c r="D24" i="3"/>
  <c r="D25" i="3"/>
  <c r="D27" i="3"/>
  <c r="D28" i="3"/>
  <c r="D29" i="3"/>
  <c r="D30" i="3"/>
  <c r="D31" i="3"/>
  <c r="D32" i="3"/>
  <c r="D36" i="3"/>
  <c r="D37" i="3"/>
  <c r="D38" i="3"/>
  <c r="D39" i="3"/>
  <c r="Q34" i="3" l="1"/>
  <c r="AW49" i="3" l="1"/>
  <c r="V41" i="3"/>
  <c r="V40" i="3"/>
  <c r="V39" i="3"/>
  <c r="V38" i="3"/>
  <c r="V37" i="3"/>
  <c r="AS33" i="3"/>
  <c r="U41" i="3"/>
  <c r="U40" i="3"/>
  <c r="U39" i="3"/>
  <c r="U38" i="3"/>
  <c r="AS22" i="3"/>
  <c r="AS18" i="3"/>
  <c r="AS7" i="3"/>
  <c r="D4" i="3"/>
  <c r="AS5" i="3"/>
  <c r="AS9" i="3"/>
  <c r="AS12" i="3"/>
  <c r="AS13" i="3"/>
  <c r="AS14" i="3"/>
  <c r="AS17" i="3"/>
  <c r="AS23" i="3"/>
  <c r="AS25" i="3"/>
  <c r="AS28" i="3"/>
  <c r="AS29" i="3"/>
  <c r="AS30" i="3"/>
  <c r="AS31" i="3"/>
  <c r="AS34" i="3"/>
  <c r="AS35" i="3"/>
  <c r="AS40" i="3"/>
  <c r="A21" i="3"/>
  <c r="E42" i="3"/>
  <c r="E46" i="3" s="1"/>
  <c r="F42" i="3"/>
  <c r="F44" i="3" s="1"/>
  <c r="AX42" i="3"/>
  <c r="AX44" i="3" s="1"/>
  <c r="AW42" i="3"/>
  <c r="AW44" i="3" s="1"/>
  <c r="AV42" i="3"/>
  <c r="AV44" i="3" s="1"/>
  <c r="AR42" i="3"/>
  <c r="AR44" i="3" s="1"/>
  <c r="AQ42" i="3"/>
  <c r="AQ44" i="3" s="1"/>
  <c r="AP42" i="3"/>
  <c r="AP44" i="3" s="1"/>
  <c r="AU41" i="3"/>
  <c r="AT41" i="3"/>
  <c r="AU40" i="3"/>
  <c r="AT40" i="3"/>
  <c r="AU39" i="3"/>
  <c r="AT39" i="3"/>
  <c r="AU38" i="3"/>
  <c r="AT38" i="3"/>
  <c r="AU37" i="3"/>
  <c r="AT37" i="3"/>
  <c r="AU36" i="3"/>
  <c r="AT36" i="3"/>
  <c r="AU35" i="3"/>
  <c r="AT35" i="3"/>
  <c r="AU34" i="3"/>
  <c r="AT34" i="3"/>
  <c r="AU33" i="3"/>
  <c r="AT33" i="3"/>
  <c r="AU32" i="3"/>
  <c r="AT32" i="3"/>
  <c r="AU31" i="3"/>
  <c r="AT31" i="3"/>
  <c r="AU30" i="3"/>
  <c r="AT30" i="3"/>
  <c r="AU29" i="3"/>
  <c r="AT29" i="3"/>
  <c r="AU28" i="3"/>
  <c r="AT28" i="3"/>
  <c r="AU27" i="3"/>
  <c r="AT27" i="3"/>
  <c r="AU26" i="3"/>
  <c r="AT26" i="3"/>
  <c r="AU25" i="3"/>
  <c r="AT25" i="3"/>
  <c r="AU24" i="3"/>
  <c r="AT24" i="3"/>
  <c r="AU23" i="3"/>
  <c r="AT23" i="3"/>
  <c r="AU22" i="3"/>
  <c r="AT22" i="3"/>
  <c r="AU21" i="3"/>
  <c r="AT21" i="3"/>
  <c r="AS21" i="3"/>
  <c r="AU20" i="3"/>
  <c r="AT20" i="3"/>
  <c r="AU19" i="3"/>
  <c r="AT19" i="3"/>
  <c r="AS19" i="3"/>
  <c r="AU18" i="3"/>
  <c r="AT18" i="3"/>
  <c r="AU17" i="3"/>
  <c r="AT17" i="3"/>
  <c r="AU16" i="3"/>
  <c r="AT16" i="3"/>
  <c r="AU15" i="3"/>
  <c r="AT15" i="3"/>
  <c r="AU14" i="3"/>
  <c r="AT14" i="3"/>
  <c r="AU13" i="3"/>
  <c r="AT13" i="3"/>
  <c r="AU12" i="3"/>
  <c r="AT12" i="3"/>
  <c r="AU11" i="3"/>
  <c r="AT11" i="3"/>
  <c r="AU10" i="3"/>
  <c r="AT10" i="3"/>
  <c r="AU9" i="3"/>
  <c r="AT9" i="3"/>
  <c r="AU8" i="3"/>
  <c r="AT8" i="3"/>
  <c r="AU7" i="3"/>
  <c r="AT7" i="3"/>
  <c r="AU6" i="3"/>
  <c r="AT6" i="3"/>
  <c r="AU5" i="3"/>
  <c r="AT5" i="3"/>
  <c r="U32" i="3"/>
  <c r="Q35" i="3"/>
  <c r="Y35" i="3" s="1"/>
  <c r="F1" i="5"/>
  <c r="H42" i="3"/>
  <c r="H46" i="3" s="1"/>
  <c r="Q4" i="3"/>
  <c r="Y4" i="3" s="1"/>
  <c r="AE4" i="3" s="1"/>
  <c r="Q5" i="3"/>
  <c r="Y5" i="3" s="1"/>
  <c r="BA5" i="3" s="1"/>
  <c r="Q6" i="3"/>
  <c r="Y6" i="3" s="1"/>
  <c r="BA6" i="3" s="1"/>
  <c r="Q7" i="3"/>
  <c r="Y7" i="3" s="1"/>
  <c r="BA7" i="3" s="1"/>
  <c r="Q8" i="3"/>
  <c r="Y8" i="3" s="1"/>
  <c r="AE8" i="3" s="1"/>
  <c r="Q9" i="3"/>
  <c r="Y9" i="3" s="1"/>
  <c r="Q10" i="3"/>
  <c r="Y10" i="3" s="1"/>
  <c r="BA10" i="3" s="1"/>
  <c r="Q11" i="3"/>
  <c r="Y11" i="3" s="1"/>
  <c r="AE11" i="3" s="1"/>
  <c r="Q12" i="3"/>
  <c r="Y12" i="3" s="1"/>
  <c r="Q13" i="3"/>
  <c r="Y13" i="3" s="1"/>
  <c r="Q14" i="3"/>
  <c r="Y14" i="3" s="1"/>
  <c r="AE14" i="3" s="1"/>
  <c r="Q15" i="3"/>
  <c r="Y15" i="3" s="1"/>
  <c r="AE15" i="3" s="1"/>
  <c r="Q16" i="3"/>
  <c r="Y16" i="3" s="1"/>
  <c r="BA16" i="3" s="1"/>
  <c r="Q17" i="3"/>
  <c r="Y17" i="3" s="1"/>
  <c r="AE17" i="3" s="1"/>
  <c r="Q18" i="3"/>
  <c r="Y18" i="3" s="1"/>
  <c r="Y19" i="3"/>
  <c r="BA19" i="3" s="1"/>
  <c r="Q20" i="3"/>
  <c r="Y20" i="3" s="1"/>
  <c r="Q21" i="3"/>
  <c r="Y21" i="3" s="1"/>
  <c r="AE21" i="3" s="1"/>
  <c r="Q22" i="3"/>
  <c r="Y22" i="3" s="1"/>
  <c r="Q23" i="3"/>
  <c r="Y23" i="3" s="1"/>
  <c r="AE23" i="3" s="1"/>
  <c r="Q24" i="3"/>
  <c r="Y24" i="3" s="1"/>
  <c r="Q25" i="3"/>
  <c r="Y25" i="3" s="1"/>
  <c r="AE25" i="3" s="1"/>
  <c r="Y26" i="3"/>
  <c r="AE26" i="3" s="1"/>
  <c r="Q27" i="3"/>
  <c r="Y27" i="3" s="1"/>
  <c r="AE27" i="3" s="1"/>
  <c r="Q28" i="3"/>
  <c r="Y28" i="3" s="1"/>
  <c r="AE28" i="3" s="1"/>
  <c r="Q29" i="3"/>
  <c r="Y29" i="3" s="1"/>
  <c r="AE29" i="3" s="1"/>
  <c r="Q30" i="3"/>
  <c r="Y30" i="3" s="1"/>
  <c r="BA30" i="3" s="1"/>
  <c r="Q31" i="3"/>
  <c r="Y31" i="3" s="1"/>
  <c r="BA31" i="3" s="1"/>
  <c r="Q32" i="3"/>
  <c r="Y32" i="3" s="1"/>
  <c r="Q33" i="3"/>
  <c r="Y33" i="3" s="1"/>
  <c r="AE33" i="3" s="1"/>
  <c r="Y34" i="3"/>
  <c r="Q36" i="3"/>
  <c r="Y36" i="3" s="1"/>
  <c r="Q37" i="3"/>
  <c r="Y37" i="3" s="1"/>
  <c r="AE37" i="3" s="1"/>
  <c r="Q38" i="3"/>
  <c r="Y38" i="3" s="1"/>
  <c r="Q39" i="3"/>
  <c r="Y39" i="3" s="1"/>
  <c r="AE39" i="3" s="1"/>
  <c r="Q40" i="3"/>
  <c r="Q41" i="3"/>
  <c r="Y41" i="3" s="1"/>
  <c r="X8" i="3"/>
  <c r="AZ8" i="3" s="1"/>
  <c r="X32" i="3"/>
  <c r="AD32" i="3" s="1"/>
  <c r="X4" i="3"/>
  <c r="X5" i="3"/>
  <c r="X6" i="3"/>
  <c r="AD6" i="3" s="1"/>
  <c r="X7" i="3"/>
  <c r="AD7" i="3" s="1"/>
  <c r="X9" i="3"/>
  <c r="AD9" i="3" s="1"/>
  <c r="X10" i="3"/>
  <c r="AD10" i="3" s="1"/>
  <c r="X11" i="3"/>
  <c r="AD11" i="3" s="1"/>
  <c r="X12" i="3"/>
  <c r="AD12" i="3" s="1"/>
  <c r="X13" i="3"/>
  <c r="AD13" i="3" s="1"/>
  <c r="X14" i="3"/>
  <c r="AD14" i="3" s="1"/>
  <c r="X15" i="3"/>
  <c r="AD15" i="3" s="1"/>
  <c r="X16" i="3"/>
  <c r="AD16" i="3" s="1"/>
  <c r="X17" i="3"/>
  <c r="AD17" i="3" s="1"/>
  <c r="X18" i="3"/>
  <c r="AD18" i="3" s="1"/>
  <c r="X19" i="3"/>
  <c r="AZ19" i="3" s="1"/>
  <c r="X20" i="3"/>
  <c r="AD20" i="3" s="1"/>
  <c r="X21" i="3"/>
  <c r="AD21" i="3" s="1"/>
  <c r="X22" i="3"/>
  <c r="AD22" i="3" s="1"/>
  <c r="X23" i="3"/>
  <c r="AD23" i="3" s="1"/>
  <c r="X24" i="3"/>
  <c r="AD24" i="3" s="1"/>
  <c r="X25" i="3"/>
  <c r="AZ25" i="3" s="1"/>
  <c r="X26" i="3"/>
  <c r="AD26" i="3" s="1"/>
  <c r="X27" i="3"/>
  <c r="AD27" i="3" s="1"/>
  <c r="X28" i="3"/>
  <c r="AD28" i="3" s="1"/>
  <c r="X29" i="3"/>
  <c r="AZ29" i="3" s="1"/>
  <c r="X30" i="3"/>
  <c r="AD30" i="3" s="1"/>
  <c r="X31" i="3"/>
  <c r="AD31" i="3" s="1"/>
  <c r="X33" i="3"/>
  <c r="AD33" i="3" s="1"/>
  <c r="X34" i="3"/>
  <c r="AD34" i="3" s="1"/>
  <c r="X35" i="3"/>
  <c r="AD35" i="3" s="1"/>
  <c r="X36" i="3"/>
  <c r="AZ36" i="3" s="1"/>
  <c r="X37" i="3"/>
  <c r="AD37" i="3" s="1"/>
  <c r="AZ38" i="3"/>
  <c r="X39" i="3"/>
  <c r="AD39" i="3" s="1"/>
  <c r="AZ40" i="3"/>
  <c r="X41" i="3"/>
  <c r="AD41" i="3" s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6" i="3"/>
  <c r="V27" i="3"/>
  <c r="V28" i="3"/>
  <c r="V29" i="3"/>
  <c r="V30" i="3"/>
  <c r="V31" i="3"/>
  <c r="V32" i="3"/>
  <c r="V33" i="3"/>
  <c r="V34" i="3"/>
  <c r="V35" i="3"/>
  <c r="V36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3" i="3"/>
  <c r="U34" i="3"/>
  <c r="U35" i="3"/>
  <c r="U36" i="3"/>
  <c r="U37" i="3"/>
  <c r="T42" i="3"/>
  <c r="T46" i="3" s="1"/>
  <c r="S42" i="3"/>
  <c r="S46" i="3" s="1"/>
  <c r="R42" i="3"/>
  <c r="R46" i="3" s="1"/>
  <c r="P42" i="3"/>
  <c r="O42" i="3"/>
  <c r="O44" i="3" s="1"/>
  <c r="N42" i="3"/>
  <c r="N46" i="3" s="1"/>
  <c r="M42" i="3"/>
  <c r="M46" i="3" s="1"/>
  <c r="L42" i="3"/>
  <c r="L46" i="3" s="1"/>
  <c r="K42" i="3"/>
  <c r="J42" i="3"/>
  <c r="J46" i="3" s="1"/>
  <c r="I42" i="3"/>
  <c r="I46" i="3" s="1"/>
  <c r="G42" i="3"/>
  <c r="G46" i="3" s="1"/>
  <c r="AS26" i="3"/>
  <c r="W4" i="3"/>
  <c r="AD4" i="3"/>
  <c r="AF42" i="3"/>
  <c r="AB46" i="3"/>
  <c r="Z44" i="3"/>
  <c r="A20" i="3"/>
  <c r="B27" i="3"/>
  <c r="B21" i="3"/>
  <c r="A28" i="3"/>
  <c r="AS10" i="3"/>
  <c r="W40" i="3" l="1"/>
  <c r="Y40" i="3"/>
  <c r="AE40" i="3" s="1"/>
  <c r="AE13" i="3"/>
  <c r="AE9" i="3"/>
  <c r="H44" i="3"/>
  <c r="P44" i="3"/>
  <c r="O48" i="3"/>
  <c r="AZ5" i="3"/>
  <c r="AC4" i="3"/>
  <c r="K44" i="3"/>
  <c r="AA46" i="3"/>
  <c r="Z46" i="3"/>
  <c r="A41" i="3"/>
  <c r="A18" i="3"/>
  <c r="A31" i="3"/>
  <c r="B4" i="3"/>
  <c r="B16" i="3"/>
  <c r="B39" i="3"/>
  <c r="B18" i="3"/>
  <c r="B23" i="3"/>
  <c r="B11" i="3"/>
  <c r="A12" i="3"/>
  <c r="B29" i="3"/>
  <c r="B30" i="3"/>
  <c r="B10" i="3"/>
  <c r="W38" i="3"/>
  <c r="AC38" i="3" s="1"/>
  <c r="AB44" i="3"/>
  <c r="AE19" i="3"/>
  <c r="B35" i="3"/>
  <c r="B6" i="3"/>
  <c r="B13" i="3"/>
  <c r="B34" i="3"/>
  <c r="A6" i="3"/>
  <c r="A33" i="3"/>
  <c r="A37" i="3"/>
  <c r="O46" i="3"/>
  <c r="F46" i="3"/>
  <c r="AZ13" i="3"/>
  <c r="AD29" i="3"/>
  <c r="AZ21" i="3"/>
  <c r="AZ41" i="3"/>
  <c r="AT42" i="3"/>
  <c r="AA44" i="3"/>
  <c r="W19" i="3"/>
  <c r="AY19" i="3" s="1"/>
  <c r="W41" i="3"/>
  <c r="AC41" i="3" s="1"/>
  <c r="W10" i="3"/>
  <c r="AY10" i="3" s="1"/>
  <c r="W39" i="3"/>
  <c r="AC39" i="3" s="1"/>
  <c r="W24" i="3"/>
  <c r="AC24" i="3" s="1"/>
  <c r="AE20" i="3"/>
  <c r="BA20" i="3"/>
  <c r="BA22" i="3"/>
  <c r="AE22" i="3"/>
  <c r="AE12" i="3"/>
  <c r="BA12" i="3"/>
  <c r="AE34" i="3"/>
  <c r="BA34" i="3"/>
  <c r="AZ34" i="3"/>
  <c r="AZ17" i="3"/>
  <c r="AD25" i="3"/>
  <c r="BA26" i="3"/>
  <c r="AD38" i="3"/>
  <c r="AZ9" i="3"/>
  <c r="AE10" i="3"/>
  <c r="BA39" i="3"/>
  <c r="AU42" i="3"/>
  <c r="E44" i="3"/>
  <c r="A23" i="3"/>
  <c r="B12" i="3"/>
  <c r="B31" i="3"/>
  <c r="B15" i="3"/>
  <c r="A5" i="3"/>
  <c r="B41" i="3"/>
  <c r="A16" i="3"/>
  <c r="B7" i="3"/>
  <c r="B26" i="3"/>
  <c r="W14" i="3"/>
  <c r="AC14" i="3" s="1"/>
  <c r="W17" i="3"/>
  <c r="AC17" i="3" s="1"/>
  <c r="B33" i="3"/>
  <c r="A8" i="3"/>
  <c r="A19" i="3"/>
  <c r="A15" i="3"/>
  <c r="B19" i="3"/>
  <c r="A29" i="3"/>
  <c r="B9" i="3"/>
  <c r="A39" i="3"/>
  <c r="A36" i="3"/>
  <c r="B22" i="3"/>
  <c r="A17" i="3"/>
  <c r="A34" i="3"/>
  <c r="A24" i="3"/>
  <c r="A4" i="3"/>
  <c r="A27" i="3"/>
  <c r="A13" i="3"/>
  <c r="A40" i="3"/>
  <c r="B32" i="3"/>
  <c r="A7" i="3"/>
  <c r="A38" i="3"/>
  <c r="B40" i="3"/>
  <c r="A26" i="3"/>
  <c r="B28" i="3"/>
  <c r="A11" i="3"/>
  <c r="A35" i="3"/>
  <c r="A25" i="3"/>
  <c r="A9" i="3"/>
  <c r="B36" i="3"/>
  <c r="A32" i="3"/>
  <c r="B17" i="3"/>
  <c r="A22" i="3"/>
  <c r="A30" i="3"/>
  <c r="B25" i="3"/>
  <c r="B24" i="3"/>
  <c r="B38" i="3"/>
  <c r="A14" i="3"/>
  <c r="B5" i="3"/>
  <c r="B8" i="3"/>
  <c r="B20" i="3"/>
  <c r="W31" i="3"/>
  <c r="AC31" i="3" s="1"/>
  <c r="W30" i="3"/>
  <c r="AY30" i="3" s="1"/>
  <c r="W21" i="3"/>
  <c r="AC21" i="3" s="1"/>
  <c r="W26" i="3"/>
  <c r="AC26" i="3" s="1"/>
  <c r="U42" i="3"/>
  <c r="U46" i="3" s="1"/>
  <c r="T44" i="3"/>
  <c r="P46" i="3"/>
  <c r="R44" i="3"/>
  <c r="AZ28" i="3"/>
  <c r="AZ32" i="3"/>
  <c r="AD5" i="3"/>
  <c r="BA14" i="3"/>
  <c r="AE30" i="3"/>
  <c r="AZ22" i="3"/>
  <c r="AZ10" i="3"/>
  <c r="AZ39" i="3"/>
  <c r="AZ18" i="3"/>
  <c r="AD8" i="3"/>
  <c r="AE7" i="3"/>
  <c r="BA32" i="3"/>
  <c r="AE32" i="3"/>
  <c r="AE41" i="3"/>
  <c r="BA41" i="3"/>
  <c r="AE35" i="3"/>
  <c r="BA35" i="3"/>
  <c r="AE18" i="3"/>
  <c r="BA18" i="3"/>
  <c r="AZ30" i="3"/>
  <c r="BA28" i="3"/>
  <c r="AE24" i="3"/>
  <c r="BA24" i="3"/>
  <c r="BA37" i="3"/>
  <c r="AZ37" i="3"/>
  <c r="K46" i="3"/>
  <c r="AE31" i="3"/>
  <c r="AE16" i="3"/>
  <c r="AZ12" i="3"/>
  <c r="BA8" i="3"/>
  <c r="I44" i="3"/>
  <c r="AE6" i="3"/>
  <c r="M44" i="3"/>
  <c r="G44" i="3"/>
  <c r="W18" i="3"/>
  <c r="AY18" i="3" s="1"/>
  <c r="AZ20" i="3"/>
  <c r="S44" i="3"/>
  <c r="AZ14" i="3"/>
  <c r="AZ35" i="3"/>
  <c r="AD36" i="3"/>
  <c r="V42" i="3"/>
  <c r="V46" i="3" s="1"/>
  <c r="AD19" i="3"/>
  <c r="AZ26" i="3"/>
  <c r="AE5" i="3"/>
  <c r="AE36" i="3"/>
  <c r="BA36" i="3"/>
  <c r="AE38" i="3"/>
  <c r="BA38" i="3"/>
  <c r="W37" i="3"/>
  <c r="AC37" i="3" s="1"/>
  <c r="N44" i="3"/>
  <c r="BA21" i="3"/>
  <c r="BA29" i="3"/>
  <c r="AZ11" i="3"/>
  <c r="AZ27" i="3"/>
  <c r="BA27" i="3"/>
  <c r="BA33" i="3"/>
  <c r="W36" i="3"/>
  <c r="AY36" i="3" s="1"/>
  <c r="W32" i="3"/>
  <c r="AY32" i="3" s="1"/>
  <c r="W13" i="3"/>
  <c r="AY13" i="3" s="1"/>
  <c r="Q42" i="3"/>
  <c r="L44" i="3"/>
  <c r="J44" i="3"/>
  <c r="BA13" i="3"/>
  <c r="W35" i="3"/>
  <c r="AY35" i="3" s="1"/>
  <c r="W27" i="3"/>
  <c r="AY27" i="3" s="1"/>
  <c r="W16" i="3"/>
  <c r="AC16" i="3" s="1"/>
  <c r="W8" i="3"/>
  <c r="AC8" i="3" s="1"/>
  <c r="W5" i="3"/>
  <c r="AC5" i="3" s="1"/>
  <c r="W20" i="3"/>
  <c r="AY20" i="3" s="1"/>
  <c r="W15" i="3"/>
  <c r="AC15" i="3" s="1"/>
  <c r="W11" i="3"/>
  <c r="AY11" i="3" s="1"/>
  <c r="AS24" i="3"/>
  <c r="AS41" i="3"/>
  <c r="W33" i="3"/>
  <c r="AC33" i="3" s="1"/>
  <c r="BA17" i="3"/>
  <c r="AZ6" i="3"/>
  <c r="BA23" i="3"/>
  <c r="AZ16" i="3"/>
  <c r="AZ33" i="3"/>
  <c r="AD40" i="3"/>
  <c r="BA11" i="3"/>
  <c r="BA15" i="3"/>
  <c r="BA25" i="3"/>
  <c r="BA9" i="3"/>
  <c r="AZ15" i="3"/>
  <c r="AZ23" i="3"/>
  <c r="AZ31" i="3"/>
  <c r="AZ7" i="3"/>
  <c r="AZ24" i="3"/>
  <c r="W28" i="3"/>
  <c r="AY28" i="3" s="1"/>
  <c r="AS37" i="3"/>
  <c r="X42" i="3"/>
  <c r="W7" i="3"/>
  <c r="W9" i="3"/>
  <c r="W23" i="3"/>
  <c r="AS39" i="3"/>
  <c r="AS32" i="3"/>
  <c r="W34" i="3"/>
  <c r="AS15" i="3"/>
  <c r="W29" i="3"/>
  <c r="AS36" i="3"/>
  <c r="AS11" i="3"/>
  <c r="AS27" i="3"/>
  <c r="AS20" i="3"/>
  <c r="D42" i="3"/>
  <c r="D46" i="3" s="1"/>
  <c r="W6" i="3"/>
  <c r="W25" i="3"/>
  <c r="W12" i="3"/>
  <c r="AS38" i="3"/>
  <c r="AS6" i="3"/>
  <c r="AS8" i="3"/>
  <c r="AS16" i="3"/>
  <c r="W22" i="3"/>
  <c r="W42" i="3" l="1"/>
  <c r="W46" i="3" s="1"/>
  <c r="Y42" i="3"/>
  <c r="Y44" i="3" s="1"/>
  <c r="BA40" i="3"/>
  <c r="AY38" i="3"/>
  <c r="AC19" i="3"/>
  <c r="AY39" i="3"/>
  <c r="AY26" i="3"/>
  <c r="AC10" i="3"/>
  <c r="AY21" i="3"/>
  <c r="AY41" i="3"/>
  <c r="AY24" i="3"/>
  <c r="AY16" i="3"/>
  <c r="AY14" i="3"/>
  <c r="AY17" i="3"/>
  <c r="AY31" i="3"/>
  <c r="AC30" i="3"/>
  <c r="AC36" i="3"/>
  <c r="U44" i="3"/>
  <c r="AC20" i="3"/>
  <c r="V44" i="3"/>
  <c r="AY5" i="3"/>
  <c r="AC11" i="3"/>
  <c r="AY15" i="3"/>
  <c r="AC35" i="3"/>
  <c r="AC18" i="3"/>
  <c r="AY37" i="3"/>
  <c r="AE42" i="3"/>
  <c r="AC27" i="3"/>
  <c r="AC32" i="3"/>
  <c r="AD42" i="3"/>
  <c r="AC28" i="3"/>
  <c r="AY33" i="3"/>
  <c r="AC13" i="3"/>
  <c r="AZ42" i="3"/>
  <c r="AZ44" i="3" s="1"/>
  <c r="AY8" i="3"/>
  <c r="BA42" i="3"/>
  <c r="BA44" i="3" s="1"/>
  <c r="Q44" i="3"/>
  <c r="Q46" i="3"/>
  <c r="X44" i="3"/>
  <c r="X46" i="3"/>
  <c r="AY7" i="3"/>
  <c r="AC7" i="3"/>
  <c r="AY9" i="3"/>
  <c r="AC9" i="3"/>
  <c r="AC23" i="3"/>
  <c r="AY23" i="3"/>
  <c r="AY40" i="3"/>
  <c r="AC40" i="3"/>
  <c r="D44" i="3"/>
  <c r="AY34" i="3"/>
  <c r="AC34" i="3"/>
  <c r="AC29" i="3"/>
  <c r="AY29" i="3"/>
  <c r="AS42" i="3"/>
  <c r="AY12" i="3"/>
  <c r="AC12" i="3"/>
  <c r="AY6" i="3"/>
  <c r="AC6" i="3"/>
  <c r="AC22" i="3"/>
  <c r="AY22" i="3"/>
  <c r="AC25" i="3"/>
  <c r="AY25" i="3"/>
  <c r="Y46" i="3" l="1"/>
  <c r="W47" i="3"/>
  <c r="W44" i="3"/>
  <c r="AC42" i="3"/>
  <c r="AY42" i="3"/>
  <c r="AY44" i="3" s="1"/>
</calcChain>
</file>

<file path=xl/comments1.xml><?xml version="1.0" encoding="utf-8"?>
<comments xmlns="http://schemas.openxmlformats.org/spreadsheetml/2006/main">
  <authors>
    <author>excise</author>
    <author>tc={30A78942-199A-49EF-A940-8D7D50A59ECC}</author>
  </authors>
  <commentList>
    <comment ref="N3" authorId="0">
      <text>
        <r>
          <rPr>
            <b/>
            <sz val="9"/>
            <color indexed="81"/>
            <rFont val="Tahoma"/>
            <family val="2"/>
          </rPr>
          <t>excise:</t>
        </r>
        <r>
          <rPr>
            <sz val="9"/>
            <color indexed="81"/>
            <rFont val="Tahoma"/>
            <family val="2"/>
          </rPr>
          <t xml:space="preserve">
iteam wiSE Job File
</t>
        </r>
      </text>
    </comment>
    <comment ref="R3" authorId="1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Party wise &amp; Itemwise job file
</t>
        </r>
      </text>
    </comment>
  </commentList>
</comments>
</file>

<file path=xl/sharedStrings.xml><?xml version="1.0" encoding="utf-8"?>
<sst xmlns="http://schemas.openxmlformats.org/spreadsheetml/2006/main" count="4369" uniqueCount="953">
  <si>
    <t>Opening Stock</t>
  </si>
  <si>
    <t>Factory Owned</t>
  </si>
  <si>
    <t>Factory JW (Others)</t>
  </si>
  <si>
    <t>At JW (Own)</t>
  </si>
  <si>
    <t>Branch Tfr Recd</t>
  </si>
  <si>
    <t>Purchase</t>
  </si>
  <si>
    <t>Recd from JW (Own)</t>
  </si>
  <si>
    <t>Recd For JW (Others)</t>
  </si>
  <si>
    <t>Sales</t>
  </si>
  <si>
    <t>Br Transfer Sent</t>
  </si>
  <si>
    <t>Sent for JW (Own)</t>
  </si>
  <si>
    <t>Return JW(Others)</t>
  </si>
  <si>
    <t>Total Production Own+JW</t>
  </si>
  <si>
    <t>Total Consumption Own+JW</t>
  </si>
  <si>
    <t>Production at JW</t>
  </si>
  <si>
    <t>Consumption At JW</t>
  </si>
  <si>
    <t>Pord of JW</t>
  </si>
  <si>
    <t>Consumption of JW</t>
  </si>
  <si>
    <t>Net Production Own</t>
  </si>
  <si>
    <t>Net Consumption Own</t>
  </si>
  <si>
    <t>Closing Stock -As per Movement Sheet</t>
  </si>
  <si>
    <t>Difference</t>
  </si>
  <si>
    <t>Remark for Difference, If any</t>
  </si>
  <si>
    <t>Details of Items / Products</t>
  </si>
  <si>
    <t>Group</t>
  </si>
  <si>
    <t>Item Name</t>
  </si>
  <si>
    <t>GroupName</t>
  </si>
  <si>
    <t>MainGroupName</t>
  </si>
  <si>
    <t>SubGroupName</t>
  </si>
  <si>
    <t>MB Alok Blue 2095AM Pantone 3125C</t>
  </si>
  <si>
    <t>Granuals</t>
  </si>
  <si>
    <t>RM</t>
  </si>
  <si>
    <t>Masterbatch</t>
  </si>
  <si>
    <t>MB Karnavati  New Chrome Yellow</t>
  </si>
  <si>
    <t>MB Karnavati PO Red</t>
  </si>
  <si>
    <t>MB Karnavati Rishi Green-T</t>
  </si>
  <si>
    <t>PP Granuals</t>
  </si>
  <si>
    <t>HDPE Granuals</t>
  </si>
  <si>
    <t>HDPE Sabic F00952</t>
  </si>
  <si>
    <t>LDPE Granuals</t>
  </si>
  <si>
    <t>LLDPE Granuals</t>
  </si>
  <si>
    <t>MB Karnavati CMC Pink</t>
  </si>
  <si>
    <t>UV Alok NFG AM 13350 20%</t>
  </si>
  <si>
    <t>UV MB</t>
  </si>
  <si>
    <t>MB Karnavati 1213 Green (Panton 361C)</t>
  </si>
  <si>
    <t>MB Clariant CMC PIL 433C(104682)</t>
  </si>
  <si>
    <t>PP IOCL P1110MAS</t>
  </si>
  <si>
    <t>PP Ulsan UH450J</t>
  </si>
  <si>
    <t>PP IOCL 1110MGNP</t>
  </si>
  <si>
    <t>Non Woven Fabric (Felt) 170Gsm.Pati Cut Length- 2" ( 5 Cm )</t>
  </si>
  <si>
    <t>FIBC Accessories</t>
  </si>
  <si>
    <t>Spun Bound Non Woven Fabric  118 Cm 90 Gsm Uncoated</t>
  </si>
  <si>
    <t>Polyester Film</t>
  </si>
  <si>
    <t>Films All</t>
  </si>
  <si>
    <t>MB Karnavati Ambuja Yellow</t>
  </si>
  <si>
    <t>MB Karnavati Super Blue</t>
  </si>
  <si>
    <t>PP Basell 456J OG</t>
  </si>
  <si>
    <t>HDPE RIL E52009</t>
  </si>
  <si>
    <t>LLDPE IOCL 010F18S</t>
  </si>
  <si>
    <t>Filler</t>
  </si>
  <si>
    <t>MB Karnavati Pool Green</t>
  </si>
  <si>
    <t>MB Calco M-Green 070</t>
  </si>
  <si>
    <t>LLDPE RIL JF19010</t>
  </si>
  <si>
    <t>MB Karnavati D. Silver</t>
  </si>
  <si>
    <t>HDPE Gail Y50A010U A</t>
  </si>
  <si>
    <t>MB karnavati White Beige</t>
  </si>
  <si>
    <t>MB Alok Brown Code L-26481</t>
  </si>
  <si>
    <t>LLDPE Exxon 3980 Vistamaxx</t>
  </si>
  <si>
    <t>MB Goldmine Beige Golden Yellow GM707</t>
  </si>
  <si>
    <t>MB JJ Shiny Black BKE0193</t>
  </si>
  <si>
    <t>Non Woven Fabric (Felt) 170Gsm.Pati Cut Length- 2" ( 5 Cm ) (Food Grade Quality)</t>
  </si>
  <si>
    <t>PP Basell 550J</t>
  </si>
  <si>
    <t>LDPE Basell 2420H</t>
  </si>
  <si>
    <t>LDPE Basell 2421H</t>
  </si>
  <si>
    <t>LDPE Borouge FT5230</t>
  </si>
  <si>
    <t>LDPE Dow 722</t>
  </si>
  <si>
    <t>LLDPE Exxon 1018HA</t>
  </si>
  <si>
    <t>Filler Soltex TPT</t>
  </si>
  <si>
    <t>MB Alok Green AM601 Pantone 369U</t>
  </si>
  <si>
    <t>MB Karnavati Site Green 3400</t>
  </si>
  <si>
    <t>PP IOCL 4080MA - PPCP</t>
  </si>
  <si>
    <t>LDPE RIL J24FS040</t>
  </si>
  <si>
    <t>UV Alok FG AM 7730 PP (Without Filler)</t>
  </si>
  <si>
    <t>MB Perfect BLUE BL 3948 (072C)</t>
  </si>
  <si>
    <t>MB Karnavati Olive Green D</t>
  </si>
  <si>
    <t>HDPE IOCL 180M50</t>
  </si>
  <si>
    <t>LLDPE IOCL XFLL</t>
  </si>
  <si>
    <t>UV Soltex NFG PE UVAD2225</t>
  </si>
  <si>
    <t>MB Alok Red AM6716 Pantone Pink 226C</t>
  </si>
  <si>
    <t>PP Zhongjing T30S</t>
  </si>
  <si>
    <t>PP China T3034</t>
  </si>
  <si>
    <t>HDPE OPAL Y5710</t>
  </si>
  <si>
    <t>PP IOCL 1030FG</t>
  </si>
  <si>
    <t>PP IOCL P1350YG</t>
  </si>
  <si>
    <t>Filler Goldmine LL GM 101 MB</t>
  </si>
  <si>
    <t>PP Exxon 5032E5</t>
  </si>
  <si>
    <t>UV Bajaj NFG PE UV04C</t>
  </si>
  <si>
    <t>MB Clariant Processing Aid -1 PE-001</t>
  </si>
  <si>
    <t>MB Clariant Premium Black 3912</t>
  </si>
  <si>
    <t>MB Plastiblend Polyaddit Antistatic 04005</t>
  </si>
  <si>
    <t>PP RIL H350EG</t>
  </si>
  <si>
    <t>HDPE Gail E45A003A</t>
  </si>
  <si>
    <t>HDPE IOCL 012E50</t>
  </si>
  <si>
    <t>LDPE Petchem LFI2047A</t>
  </si>
  <si>
    <t>LDPE Sabic HP0823J</t>
  </si>
  <si>
    <t>LDPE SCG D777C</t>
  </si>
  <si>
    <t>LLDPE Asrene UI2650</t>
  </si>
  <si>
    <t>LLDPE Dow XZ 89210</t>
  </si>
  <si>
    <t>LLDPE Exxon 2018KB</t>
  </si>
  <si>
    <t>LLDPE LG SP310</t>
  </si>
  <si>
    <t>LLDPE Sumitomo FS250B</t>
  </si>
  <si>
    <t>Filler Shri Ambica TPT</t>
  </si>
  <si>
    <t>MB Alok Green AM2287 Pantone 3415C</t>
  </si>
  <si>
    <t>MB Karnavati Jute Brown</t>
  </si>
  <si>
    <t>MB Karnavati Lami. Violet</t>
  </si>
  <si>
    <t>MB Karnavati Super CMC Yellow</t>
  </si>
  <si>
    <t>MB Clariant PHA0-Z0N-EM Antistatic 470011</t>
  </si>
  <si>
    <t>HDPE IOCL 004DP44</t>
  </si>
  <si>
    <t>Filler Karnavati GOM Liner</t>
  </si>
  <si>
    <t>Filler Everplus TPT-75 E110</t>
  </si>
  <si>
    <t>HDPE IOCL 003DB52</t>
  </si>
  <si>
    <t>PP Luban HP2100N</t>
  </si>
  <si>
    <t>MB Goldmine Anti Moisture</t>
  </si>
  <si>
    <t>LDPE Sabic 7019EC 148</t>
  </si>
  <si>
    <t>Multilayer Laminated Film</t>
  </si>
  <si>
    <t>PE Film</t>
  </si>
  <si>
    <t>MB Alok Blue AM10430 Pantone 072C</t>
  </si>
  <si>
    <t>MB Alok Grey AM3230 Pantone 444U</t>
  </si>
  <si>
    <t>MB Plastiblend Polyaddit PPA04001</t>
  </si>
  <si>
    <t>PP Basell 462R</t>
  </si>
  <si>
    <t>PP Basell 462S</t>
  </si>
  <si>
    <t>PP RIL AS160N</t>
  </si>
  <si>
    <t>HDPE Basell SPEC_OG</t>
  </si>
  <si>
    <t>HDPE NCT B1258</t>
  </si>
  <si>
    <t>HDPE RIL F46003</t>
  </si>
  <si>
    <t>LDPE Dow 150E</t>
  </si>
  <si>
    <t>LDPE Dow 410E</t>
  </si>
  <si>
    <t>LDPE RIL 16MA400</t>
  </si>
  <si>
    <t>LDPE Repsol 1970C</t>
  </si>
  <si>
    <t>LLDPE Dow 5400G</t>
  </si>
  <si>
    <t>LLDPE Exxon 1018CA</t>
  </si>
  <si>
    <t>LLDPE Itochu SP 1520</t>
  </si>
  <si>
    <t>LLDPE Itochu SP 1520H</t>
  </si>
  <si>
    <t>LLDPE Sabic MG500026</t>
  </si>
  <si>
    <t>Filler Soltex White02</t>
  </si>
  <si>
    <t>LDPE RIL 22FA002</t>
  </si>
  <si>
    <t>LLDPE Marlex D139FK</t>
  </si>
  <si>
    <t>PP Borouge HC116FB</t>
  </si>
  <si>
    <t>UV Soltex FG Super PE UV20MB</t>
  </si>
  <si>
    <t>MB JJ White WE9381PT</t>
  </si>
  <si>
    <t>HDPE RIL S42005</t>
  </si>
  <si>
    <t>MB Goldmine Yellow(Sanghi)</t>
  </si>
  <si>
    <t>MB Jenil Blue-689</t>
  </si>
  <si>
    <t>HDPE IOCL XEHD</t>
  </si>
  <si>
    <t>PP IOCL 1200MG</t>
  </si>
  <si>
    <t>MB Mix</t>
  </si>
  <si>
    <t>MB Clariant CMC Royal Blue DP 101152</t>
  </si>
  <si>
    <t>MB Karnavati Oswal Green</t>
  </si>
  <si>
    <t>MB Plastiblend Polyaddit Antiblock 04001</t>
  </si>
  <si>
    <t>HDPE Haldia R5801</t>
  </si>
  <si>
    <t>HDPE Haldia T6</t>
  </si>
  <si>
    <t>HDPE RIL HD50GF003</t>
  </si>
  <si>
    <t>LDPE Dow EC7000</t>
  </si>
  <si>
    <t>LDPE Qapco FD0270</t>
  </si>
  <si>
    <t>LDPE RIL 1070LA17</t>
  </si>
  <si>
    <t>LLDPE Arkema LOTADER 4210</t>
  </si>
  <si>
    <t>LLDPE Borouge FB2235</t>
  </si>
  <si>
    <t>LLDPE Dow 2045G</t>
  </si>
  <si>
    <t>LLDPE Exxon 6202 Vistamaxx</t>
  </si>
  <si>
    <t>LLDPE RIL F18010</t>
  </si>
  <si>
    <t>LLDPE RIL M26500</t>
  </si>
  <si>
    <t>LLDPE RIL O21010</t>
  </si>
  <si>
    <t>LLDPE Sabic Film Non</t>
  </si>
  <si>
    <t>HDPE IOCL 020M52</t>
  </si>
  <si>
    <t>LDPE RIL J1005FY20</t>
  </si>
  <si>
    <t>UV Alok NFG AM7751 20% (Transparent Without Filler)</t>
  </si>
  <si>
    <t>UV Alok FG AM10075 UV NOX FGL 100081 20% MF Grade</t>
  </si>
  <si>
    <t>FILLER JJ AF03PL</t>
  </si>
  <si>
    <t>MB JJ SIVATHENE BKCCE 701 BLACK</t>
  </si>
  <si>
    <t>MB Alok Beige AM 2257</t>
  </si>
  <si>
    <t>HDPE IOCL 080M60</t>
  </si>
  <si>
    <t>MB Karnavati Site Green 3490</t>
  </si>
  <si>
    <t>HDPE IOCL 180M50NP</t>
  </si>
  <si>
    <t>HDPE IOCL 080M60NP</t>
  </si>
  <si>
    <t>HDPE IOCL 012DB60</t>
  </si>
  <si>
    <t>Non Woven Fabric (Felt) 200 Gsm.Pati Cut Length- 4" (10 Cm)</t>
  </si>
  <si>
    <t>MB Alok Red AM6847 Pantone 1795U</t>
  </si>
  <si>
    <t>MB Clariant Bonus Green 355C MF 102914</t>
  </si>
  <si>
    <t>MB Clariant TR Deep Blue 645HT1 MF</t>
  </si>
  <si>
    <t>MB Karnavati J Yellow</t>
  </si>
  <si>
    <t>HDPE Basell 5831D</t>
  </si>
  <si>
    <t>HDPE Haldia M5025L</t>
  </si>
  <si>
    <t>LDPE Basell 2426K</t>
  </si>
  <si>
    <t>LDPE RIL 1005FY20</t>
  </si>
  <si>
    <t>LDPE RIL 24FS040</t>
  </si>
  <si>
    <t>LLDPE Borouge FB2239X</t>
  </si>
  <si>
    <t>LLDPE Dow 5400GS</t>
  </si>
  <si>
    <t>LLDPE Haldia 71501S</t>
  </si>
  <si>
    <t>LLDPE Qatar Q1018H</t>
  </si>
  <si>
    <t>LLDPE Sabic 120W</t>
  </si>
  <si>
    <t>LLDPE Sumitomo FS153S</t>
  </si>
  <si>
    <t>EVA Granuals</t>
  </si>
  <si>
    <t>LLDPE IOCL 010L22S</t>
  </si>
  <si>
    <t>UV Stab Imp UV Stabilizer 770</t>
  </si>
  <si>
    <t>UV Arguvin NFG 633 LD</t>
  </si>
  <si>
    <t>MB JJ Siva Slip 2002 PE</t>
  </si>
  <si>
    <t>MB Alok SLIP 21135 ADDNOX</t>
  </si>
  <si>
    <t>PP IOCL 4080MA - PPCPNP</t>
  </si>
  <si>
    <t>MB Clariant Polyclean Purge MB015</t>
  </si>
  <si>
    <t>MB Karnavati Lam Brown Beige</t>
  </si>
  <si>
    <t>MB Karnavati Shiny Black</t>
  </si>
  <si>
    <t>PP Basell 462S-OG</t>
  </si>
  <si>
    <t>PP Basell PB FL-OG</t>
  </si>
  <si>
    <t>LDPE Tasnee 0725N</t>
  </si>
  <si>
    <t>LLDPE borouge FK1828</t>
  </si>
  <si>
    <t>LLDPE Dow 2645G</t>
  </si>
  <si>
    <t>LLDPE Exxon 1018MH</t>
  </si>
  <si>
    <t>LLDPE Exxon 6201RQ</t>
  </si>
  <si>
    <t>LLDPE Hanwha 3304</t>
  </si>
  <si>
    <t>LLDPE LG SP311</t>
  </si>
  <si>
    <t>MB Vivek Bottle Green PE 585</t>
  </si>
  <si>
    <t>UV Soltex NFG PE UV20MB</t>
  </si>
  <si>
    <t>Filler Alpha ASCOM 40 TM</t>
  </si>
  <si>
    <t>LLDPE RIL JF18010</t>
  </si>
  <si>
    <t>Filler 365 Goldfill PX5</t>
  </si>
  <si>
    <t>MB Karnavati Vikram Orange</t>
  </si>
  <si>
    <t>LDPE Sipchem 0823 HA S</t>
  </si>
  <si>
    <t>Filler Everplus E103 Liner</t>
  </si>
  <si>
    <t>UV Stab Imp UV Stabilizer 783</t>
  </si>
  <si>
    <t>MB Karnavati Bright Blue (Pantone 304C)</t>
  </si>
  <si>
    <t>UV Goldmine NFG 20%LL- Pure</t>
  </si>
  <si>
    <t>LLDPE HF1810P Basell</t>
  </si>
  <si>
    <t>PP Aramco HP30EG</t>
  </si>
  <si>
    <t>PP IOCL 3650MN PPCP</t>
  </si>
  <si>
    <t>PP IOCL P1200MG</t>
  </si>
  <si>
    <t>PP IOCL 1350YGNP</t>
  </si>
  <si>
    <t>Filler Everplus Modifier E-105</t>
  </si>
  <si>
    <t>MB Bhavin Pista Green</t>
  </si>
  <si>
    <t>MB Karnavati Leaf Green</t>
  </si>
  <si>
    <t>UV Bhavin FG 408</t>
  </si>
  <si>
    <t>PP Israel Poly MT34EC</t>
  </si>
  <si>
    <t>PP RIL H033MG</t>
  </si>
  <si>
    <t>PP Sumitomo FS2011E</t>
  </si>
  <si>
    <t>HDPE Haldia F5400</t>
  </si>
  <si>
    <t>LDPE Qapco MG-70</t>
  </si>
  <si>
    <t>LDPE Tasnee 1925AS</t>
  </si>
  <si>
    <t>LLDPE Asrene UF1810T</t>
  </si>
  <si>
    <t>LLDPE Dow 2645.11G</t>
  </si>
  <si>
    <t>LLDPE Exxon 1018EA</t>
  </si>
  <si>
    <t>LLDPE IOCL 500M24A</t>
  </si>
  <si>
    <t>Filler PK Modifier Sp71030538</t>
  </si>
  <si>
    <t>MB Anand Coffee Brown</t>
  </si>
  <si>
    <t>MB Anand Polyfilms Navy Blue</t>
  </si>
  <si>
    <t>Filler Everplus E102 PP</t>
  </si>
  <si>
    <t>Filler Omya film 715 DS</t>
  </si>
  <si>
    <t>Filler Everplus E101 LLDPE</t>
  </si>
  <si>
    <t>HDPE Lotte MF5000</t>
  </si>
  <si>
    <t>HDPE OPAL R5410</t>
  </si>
  <si>
    <t>LLDPE IOCL 020F18A</t>
  </si>
  <si>
    <t>PP IOCL 1045RG</t>
  </si>
  <si>
    <t>PP IOCL 1200MC</t>
  </si>
  <si>
    <t>PP IOCL P1030RG</t>
  </si>
  <si>
    <t>MB Clariant CMC Veer HP RED 485B</t>
  </si>
  <si>
    <t>MB Karnavati Bright Red</t>
  </si>
  <si>
    <t>MB Karnavati Light AP Green</t>
  </si>
  <si>
    <t>MB Karnavati Polyplast Blue</t>
  </si>
  <si>
    <t>PP Basell HP561R</t>
  </si>
  <si>
    <t>PP Borouge HC401BF</t>
  </si>
  <si>
    <t>PP Haldia M110</t>
  </si>
  <si>
    <t>PP MRPL HR003N</t>
  </si>
  <si>
    <t>PP Regal Petro RG1102XK</t>
  </si>
  <si>
    <t>PP RIL H026SG</t>
  </si>
  <si>
    <t>PP RIL H200FG</t>
  </si>
  <si>
    <t>HDPE PTT HD5000S</t>
  </si>
  <si>
    <t>HDPE RIL 50MA180</t>
  </si>
  <si>
    <t>LDPE Basell 2427F</t>
  </si>
  <si>
    <t>LDPE Borouge FT5236</t>
  </si>
  <si>
    <t>LDPE Itochu SP1071C</t>
  </si>
  <si>
    <t>LDPE Qapco FD0474</t>
  </si>
  <si>
    <t>LDPE Qapco FE3000</t>
  </si>
  <si>
    <t>LDPE Repsol PE071</t>
  </si>
  <si>
    <t>LDPE Sabic HP2022J</t>
  </si>
  <si>
    <t>LDPE Sabic NPF4N</t>
  </si>
  <si>
    <t>LDPE Sumitomo L705</t>
  </si>
  <si>
    <t>LLDPE Borouge FB2230</t>
  </si>
  <si>
    <t>LLDPE Borouge FB2239</t>
  </si>
  <si>
    <t>LLDPE Dow 5401GT</t>
  </si>
  <si>
    <t>LLDPE Dow Elite5815</t>
  </si>
  <si>
    <t>LLDPE Gail E36A060A</t>
  </si>
  <si>
    <t>LLDPE Itochu SP1510HA</t>
  </si>
  <si>
    <t>LLDPE Qapco Q1018N</t>
  </si>
  <si>
    <t>MB Calco Militery Green 1670</t>
  </si>
  <si>
    <t>UV Alok FG AM4664 20% MF Grade</t>
  </si>
  <si>
    <t>UV Bhavin NFG 406 PP 20%</t>
  </si>
  <si>
    <t>MB JJ SIVA ASLT 101 PE ANTISTATIC</t>
  </si>
  <si>
    <t>mLLDPE Marlex D139FK</t>
  </si>
  <si>
    <t>mLLDPE Granuals</t>
  </si>
  <si>
    <t>PP Anphat T3034</t>
  </si>
  <si>
    <t>MB Deep Light Beige</t>
  </si>
  <si>
    <t>Filler Soltex PTUFF24</t>
  </si>
  <si>
    <t>MB Alok Blue AM -3387 (Pantone Blue 284-U)</t>
  </si>
  <si>
    <t>MB JJ ASLT109 Antistatic</t>
  </si>
  <si>
    <t>UV Agroha NFG ACA-U0009</t>
  </si>
  <si>
    <t>MB Karnavati Kamakshi white</t>
  </si>
  <si>
    <t>PP IOCL 1XLF</t>
  </si>
  <si>
    <t>MB Alok PPA 501 ADDNOX</t>
  </si>
  <si>
    <t>PP IOCL P1250YG</t>
  </si>
  <si>
    <t>BOPP Film</t>
  </si>
  <si>
    <t>MB Karnavati Tarp Navy Blue</t>
  </si>
  <si>
    <t>UV Alok FG AM10645 20%</t>
  </si>
  <si>
    <t>UV Alok NFG AM10350 20%</t>
  </si>
  <si>
    <t>UV Bhavin Coraplast CP UV-OB-03M</t>
  </si>
  <si>
    <t>UV Plastiblend NFG Polyultra 04025B</t>
  </si>
  <si>
    <t>PP Basell HP525J</t>
  </si>
  <si>
    <t>PP Basell H-T30</t>
  </si>
  <si>
    <t>HDPE Gail W52ASR009A</t>
  </si>
  <si>
    <t>LDPE Borouge FT6230</t>
  </si>
  <si>
    <t>LDPE Dow 312E</t>
  </si>
  <si>
    <t>LDPE Ineos 19N430</t>
  </si>
  <si>
    <t>LLDPE ARPC LL0209AA</t>
  </si>
  <si>
    <t>LLDPE Exxon 1018MK</t>
  </si>
  <si>
    <t>Enable Exxon 2005MC</t>
  </si>
  <si>
    <t>Enable Granuals</t>
  </si>
  <si>
    <t>Filler Simandhar Sodium Sulphate Transparent</t>
  </si>
  <si>
    <t>MB Plastiblend Comp CD Black PE 4803</t>
  </si>
  <si>
    <t>HDPE IOCL XMHD</t>
  </si>
  <si>
    <t>UV Alok FG MB 21303 UV NOX FGL 000040  20%  MF Grade</t>
  </si>
  <si>
    <t>LLDPE GAIL F180S0UA</t>
  </si>
  <si>
    <t>MB Chandan Spl Orange TR (Flurocent)</t>
  </si>
  <si>
    <t>MB Chandan Shiny Black</t>
  </si>
  <si>
    <t>MB Anand Ice Green</t>
  </si>
  <si>
    <t>UV JJ NFG Siva 1042</t>
  </si>
  <si>
    <t>LDPE RIL J24FA040</t>
  </si>
  <si>
    <t>LLDPE IOCL XRLL</t>
  </si>
  <si>
    <t>PP IOCL P1030MG</t>
  </si>
  <si>
    <t>HDPE IOCL 010DP45U</t>
  </si>
  <si>
    <t>BOPP Film Printed</t>
  </si>
  <si>
    <t>MB Clariant Dark Orange T164 (PLASTICHEMIX)</t>
  </si>
  <si>
    <t>MB Karnavati Light Green Pantone 349C</t>
  </si>
  <si>
    <t>PP Basell 456J</t>
  </si>
  <si>
    <t>PP HPCL M12RR</t>
  </si>
  <si>
    <t>PP IOCL 1030RG</t>
  </si>
  <si>
    <t>PP RIL H030SG</t>
  </si>
  <si>
    <t>PP RIL SS35N</t>
  </si>
  <si>
    <t>HDPE Basell 5052B</t>
  </si>
  <si>
    <t>HDPE Granual Others</t>
  </si>
  <si>
    <t>HDPE Haldia T9</t>
  </si>
  <si>
    <t>LDPE Qapco LA0710</t>
  </si>
  <si>
    <t>LDPE RIL 23FY005</t>
  </si>
  <si>
    <t>LDPE Titan LDF265YZ</t>
  </si>
  <si>
    <t>LLDPE Aramco F2111BS</t>
  </si>
  <si>
    <t>LLDPE Dow 5401GS</t>
  </si>
  <si>
    <t>LLDPE Exxon 1001AV</t>
  </si>
  <si>
    <t>LLDPE Exxon 6201XR</t>
  </si>
  <si>
    <t>LLDPE Itochu SP 1510</t>
  </si>
  <si>
    <t>LLDPE Itochu SP 1510H</t>
  </si>
  <si>
    <t>LLDPE RIL M24300</t>
  </si>
  <si>
    <t>MB Alok Golden Yellow 28189 Y</t>
  </si>
  <si>
    <t>UV Bhavin FG 404 (PE based)</t>
  </si>
  <si>
    <t>PP IOCL 3XHF</t>
  </si>
  <si>
    <t>PP IOCL 3120MA</t>
  </si>
  <si>
    <t>LLDPE IOCL XMLL/XFLL</t>
  </si>
  <si>
    <t>Filler JJ AF04PV PP</t>
  </si>
  <si>
    <t>UV Goldmine FG</t>
  </si>
  <si>
    <t>UV Agroha FG ACA-U0012</t>
  </si>
  <si>
    <t>PP IOCL 2120MC PPCP</t>
  </si>
  <si>
    <t>PP IOCL 1350EG</t>
  </si>
  <si>
    <t>PP IOCL 1500MG</t>
  </si>
  <si>
    <t>LLDPE IOCL 010F18ANP</t>
  </si>
  <si>
    <t>Non Woven Fabric (Felt)</t>
  </si>
  <si>
    <t>MB Bhavin CP Green CP4A181F</t>
  </si>
  <si>
    <t>PP Basell HOE111NP</t>
  </si>
  <si>
    <t>PP Basell OG</t>
  </si>
  <si>
    <t>PP Borouge BA212EHF</t>
  </si>
  <si>
    <t>PP Exxon 3155</t>
  </si>
  <si>
    <t>PP RIL AM120N</t>
  </si>
  <si>
    <t>PP RIL AS030N</t>
  </si>
  <si>
    <t>HDPE IOCL 010E52</t>
  </si>
  <si>
    <t>HDPE RIL 53EA010</t>
  </si>
  <si>
    <t>HDPE Titan HD5609AA</t>
  </si>
  <si>
    <t>LDPE Basell 2420K</t>
  </si>
  <si>
    <t>LDPE Basell 2426F</t>
  </si>
  <si>
    <t>LDPE Exxon 150AC</t>
  </si>
  <si>
    <t>LLDPE Basell Lucalen A2700M</t>
  </si>
  <si>
    <t>LLDPE Dow TH60</t>
  </si>
  <si>
    <t>LLDPE Exxon 1001BU</t>
  </si>
  <si>
    <t>LLDPE Exxon 1001XV</t>
  </si>
  <si>
    <t>LLDPE Gail F20S009A</t>
  </si>
  <si>
    <t>Enable Exxon 2005ME</t>
  </si>
  <si>
    <t>MB Bhavin Pink CORAPLAST-CP3A27F</t>
  </si>
  <si>
    <t>MB Clariant Rose Pink 152 OPF</t>
  </si>
  <si>
    <t>MB Coraplast  Pista Green</t>
  </si>
  <si>
    <t>MB Mix Masterbatches</t>
  </si>
  <si>
    <t>MB Plastiblend Polyaddit SLIP 04001</t>
  </si>
  <si>
    <t>HDPE IOCL 002DP48</t>
  </si>
  <si>
    <t>LDPE Dow 450E</t>
  </si>
  <si>
    <t>HDPE IOCL 010DP45</t>
  </si>
  <si>
    <t>MB Perfect NET BLACK BK 7021</t>
  </si>
  <si>
    <t>PP Rakha H034EM</t>
  </si>
  <si>
    <t>LDPE Qapco FE8004</t>
  </si>
  <si>
    <t>MB Karnavati PIL Blue Pantone 300U</t>
  </si>
  <si>
    <t>LLDPE GAIL F18S010UA</t>
  </si>
  <si>
    <t>HDPE IOCL 002DF50</t>
  </si>
  <si>
    <t>UV Everplus NFG PE -20 MB E109</t>
  </si>
  <si>
    <t>Filler Calcium Carbonate (Powder)</t>
  </si>
  <si>
    <t>PP Opal RH03</t>
  </si>
  <si>
    <t>MB Goldmine Jute Brown</t>
  </si>
  <si>
    <t>Filler Pinnacle Super 1500 PP</t>
  </si>
  <si>
    <t>PP China S1003</t>
  </si>
  <si>
    <t>MLLDPE LG Lucene HP 1018BI</t>
  </si>
  <si>
    <t>LLDPE IOCL 042R35A</t>
  </si>
  <si>
    <t>PP IOCL 3250MG</t>
  </si>
  <si>
    <t>Non Woven Fabric (Felt) 170Gsm.Pati Cut Length- 4" ( 10 Cm )</t>
  </si>
  <si>
    <t>MB Karnavati Plastgreen G</t>
  </si>
  <si>
    <t>PP IOCL 1110MG</t>
  </si>
  <si>
    <t>PP RIL AM650N</t>
  </si>
  <si>
    <t>PP RIL H350FG</t>
  </si>
  <si>
    <t>HDPE Asrene SM5508</t>
  </si>
  <si>
    <t>LDPE Basell NOG</t>
  </si>
  <si>
    <t>LDPE Hanwha 955</t>
  </si>
  <si>
    <t>LDPE Titan LDC801YY</t>
  </si>
  <si>
    <t>LDPE Titan LDF200GG</t>
  </si>
  <si>
    <t>LLDPE Dow 2685G</t>
  </si>
  <si>
    <t>LLDPE Exxon 1018MA</t>
  </si>
  <si>
    <t>LLDPE RIL F19010</t>
  </si>
  <si>
    <t>Filler Simandhar Classic</t>
  </si>
  <si>
    <t>MB Alok Grey AM4993 Pantone 433C</t>
  </si>
  <si>
    <t>MB Alok Green Pantone 3405C</t>
  </si>
  <si>
    <t>MB RR Silver</t>
  </si>
  <si>
    <t>MB Alok Yellow 116 U (3534)</t>
  </si>
  <si>
    <t>LLDPE OPAL F2001S</t>
  </si>
  <si>
    <t>LLDPE GAIL F180S0UAPC II</t>
  </si>
  <si>
    <t>UV Soltex NFG PE AD2085 Natural</t>
  </si>
  <si>
    <t>MB Karnavati SP10475 White</t>
  </si>
  <si>
    <t>Filler Masterplast PP20%</t>
  </si>
  <si>
    <t>PP IOCL 1XHF</t>
  </si>
  <si>
    <t>PP IOCL P1045RG</t>
  </si>
  <si>
    <t>MB Karnavati Higher Classic Black</t>
  </si>
  <si>
    <t>Filler Skytouch LL Filler MB</t>
  </si>
  <si>
    <t>HDPE IOCL 010DB50</t>
  </si>
  <si>
    <t>MB Karnavati Tape Brown Beige</t>
  </si>
  <si>
    <t>MB Alok Orange AM2886</t>
  </si>
  <si>
    <t>MB Anand Sky Blue 105C</t>
  </si>
  <si>
    <t>PP Borouge HC402BF</t>
  </si>
  <si>
    <t>PP Haldia M325</t>
  </si>
  <si>
    <t>PP Haldia R103</t>
  </si>
  <si>
    <t>PP Sumitomo FY3011E</t>
  </si>
  <si>
    <t>HDPE Gail I50A180A</t>
  </si>
  <si>
    <t>HDPE RIL 53TA010</t>
  </si>
  <si>
    <t>LDPE Asia Polymer C7100</t>
  </si>
  <si>
    <t>LDPE Basell 2421F</t>
  </si>
  <si>
    <t>LDPE Basell 2427K</t>
  </si>
  <si>
    <t>LDPE Basell SPEC_OG</t>
  </si>
  <si>
    <t>LDPE RIL 1035FS20</t>
  </si>
  <si>
    <t>LLDPE Sumitomo FS150A</t>
  </si>
  <si>
    <t>LDPE Basell 2421K</t>
  </si>
  <si>
    <t>MB Bhavin Blue 288C</t>
  </si>
  <si>
    <t>MB Deep GF Yellow</t>
  </si>
  <si>
    <t>MB Plastiblend Clarifying Agent PP 244004210D</t>
  </si>
  <si>
    <t>LDPE Sasol LF 2207M</t>
  </si>
  <si>
    <t>MB Karnavati Excellent Yellow</t>
  </si>
  <si>
    <t>Filler PK SP7103 0017 TPT</t>
  </si>
  <si>
    <t>UV Arguvin NFG 731 LD</t>
  </si>
  <si>
    <t>UV Soltex FG PE AD2082 Super</t>
  </si>
  <si>
    <t>PP Luban HP2100S</t>
  </si>
  <si>
    <t>MB Alok Yellow 3575</t>
  </si>
  <si>
    <t>LLDPE GAIL I26A500UA 50 MFI</t>
  </si>
  <si>
    <t>UV Goldmine NFG (LL30)</t>
  </si>
  <si>
    <t>PP IOCL 3400MN PPCP</t>
  </si>
  <si>
    <t>MB Alok Antiblock 21134</t>
  </si>
  <si>
    <t>PP IOCL P1100FS</t>
  </si>
  <si>
    <t>HDPE IOCL XFHD</t>
  </si>
  <si>
    <t>PP RIL H045SG</t>
  </si>
  <si>
    <t>PP Basell 518P</t>
  </si>
  <si>
    <t>PP MRPL OG-II</t>
  </si>
  <si>
    <t>PP Qurain HT031</t>
  </si>
  <si>
    <t>PP RIL B250EG</t>
  </si>
  <si>
    <t>PP Tasnee H1018</t>
  </si>
  <si>
    <t>PP Tasnee H1030</t>
  </si>
  <si>
    <t>LDPE Basell 2420F</t>
  </si>
  <si>
    <t>LDPE Petlin C150Y</t>
  </si>
  <si>
    <t>LDPE Qapco FB3003</t>
  </si>
  <si>
    <t>LDPE Qapco FB5026</t>
  </si>
  <si>
    <t>LDPE RIL 1020FA20</t>
  </si>
  <si>
    <t>LDPE Sabic HP4027N</t>
  </si>
  <si>
    <t>LLDPE Dow 2085B</t>
  </si>
  <si>
    <t>LLDPE RIL O19010</t>
  </si>
  <si>
    <t>LLDPE Sabic 118W</t>
  </si>
  <si>
    <t>LLDPE Sabic 218W</t>
  </si>
  <si>
    <t>LLDPE SK Global Smart151S</t>
  </si>
  <si>
    <t>MB Calco Militery Green 070</t>
  </si>
  <si>
    <t>UV Arguvin FG 626 LD</t>
  </si>
  <si>
    <t>LLDPE OPAL F2001SNP</t>
  </si>
  <si>
    <t>LDPE OFF GRADE</t>
  </si>
  <si>
    <t>LDPE Dow 582E</t>
  </si>
  <si>
    <t>MB JJ SHIVA PPA03</t>
  </si>
  <si>
    <t>Filler Imported PP4300</t>
  </si>
  <si>
    <t>PP China L5E89</t>
  </si>
  <si>
    <t>MB Karnavati Grey Pantone 433-C</t>
  </si>
  <si>
    <t>PP Luban HP2106N</t>
  </si>
  <si>
    <t>PP Fibrillated Tape Flat 3200 Yellow</t>
  </si>
  <si>
    <t>Yarn All</t>
  </si>
  <si>
    <t>SF</t>
  </si>
  <si>
    <t>PP Yarn</t>
  </si>
  <si>
    <t>PP MF Yarn Twisted 1000 MW</t>
  </si>
  <si>
    <t>PP MF Yarn Twisted 1500 Green</t>
  </si>
  <si>
    <t>PP MF Yarn Twisted 2000 Yellow</t>
  </si>
  <si>
    <t>PP MF Yarn Twisted 3000 Blue</t>
  </si>
  <si>
    <t>PP MF Yarn Twisted 3000 Denier Grey</t>
  </si>
  <si>
    <t>PP MF Yarn Flat</t>
  </si>
  <si>
    <t>PP MF Yarn Twisted 3300 Denier UV NW</t>
  </si>
  <si>
    <t>PP/PE Fabric</t>
  </si>
  <si>
    <t>PP UL Fabric</t>
  </si>
  <si>
    <t>Pp Frame Model No. Op150519</t>
  </si>
  <si>
    <t>Flexitank Accessories</t>
  </si>
  <si>
    <t>PP Fibrillated Tape Flat 3000 Blue</t>
  </si>
  <si>
    <t>PP Fibrillated Tape Twisted</t>
  </si>
  <si>
    <t>PP MF Yarn Flat 2000 Yellow</t>
  </si>
  <si>
    <t>PP MF Yarn Flat 4000 MW</t>
  </si>
  <si>
    <t>PP MF Yarn Twisted 2000 Green</t>
  </si>
  <si>
    <t>PP MF Yarn Twisted 4000 Black</t>
  </si>
  <si>
    <t>PP Fibrillated Tape Twisted 3600 Blue</t>
  </si>
  <si>
    <t>PP Lam Fabric Without UV</t>
  </si>
  <si>
    <t>PP Lam Fabric</t>
  </si>
  <si>
    <t>PP MF Yarn Flat 3000 Denier UV NW</t>
  </si>
  <si>
    <t>PP Fibrillated Tape Flat 3000 Yellow</t>
  </si>
  <si>
    <t>PP Fibrillated Tape Twisted 3200 Black</t>
  </si>
  <si>
    <t>PP MF Yarn Flat 4000 Black</t>
  </si>
  <si>
    <t>PP MF Yarn Twisted 3000 Black</t>
  </si>
  <si>
    <t>PP MF Yarn Twisted 2500 Black</t>
  </si>
  <si>
    <t>PP Fibrillated Tape Twisted 3600 Black</t>
  </si>
  <si>
    <t>PP Fibrillated Tape Twisted 1000 Blue</t>
  </si>
  <si>
    <t>PP MF Yarn Flat 2250 Denier Deep Blue</t>
  </si>
  <si>
    <t>PP MF Yarn Twisted 1000 Denier Red</t>
  </si>
  <si>
    <t>HD UL Fabric Without UV</t>
  </si>
  <si>
    <t>HD UL Fabric</t>
  </si>
  <si>
    <t>PP UL Fabric Without UV</t>
  </si>
  <si>
    <t>PP MF Yarn Twisted 2500 Denier UV Black</t>
  </si>
  <si>
    <t>PP Fibrillated Tape Twisted 3000 MW</t>
  </si>
  <si>
    <t>PP Fibrillated Tape Twisted 3200 Blue</t>
  </si>
  <si>
    <t>PP Fibrillated Tape Twisted 4000 Green</t>
  </si>
  <si>
    <t>PP MF Yarn Flat 2200 Green</t>
  </si>
  <si>
    <t>PP MF Yarn Twisted 2200 MW</t>
  </si>
  <si>
    <t>PP MF Yarn Twisted 4000 Green</t>
  </si>
  <si>
    <t>HD Lam Fabric</t>
  </si>
  <si>
    <t>HD Lam Fabric Without UV</t>
  </si>
  <si>
    <t>Polyester Yarn Flat</t>
  </si>
  <si>
    <t>PP UL Fabric With UV</t>
  </si>
  <si>
    <t>PP MF Yarn Flat 2500 Denier UV NW</t>
  </si>
  <si>
    <t>PP MF Yarn Flat 3000 Denier UV Black</t>
  </si>
  <si>
    <t>PP MF Yarn Flat 3000 Green</t>
  </si>
  <si>
    <t>PP MF Yarn Twisted 3200 Green</t>
  </si>
  <si>
    <t>PP MF Yarn Twisted 4000 Yellow</t>
  </si>
  <si>
    <t>PP Fibrillated Tape Flat 1000 Red</t>
  </si>
  <si>
    <t>PP MF Yarn Flat 2500 Denier Grey</t>
  </si>
  <si>
    <t>PP Fibrillated Tape Twisted 1600 MW</t>
  </si>
  <si>
    <t>RP Granuals</t>
  </si>
  <si>
    <t>PP MF Yarn Flat 2500 Denier UV Black</t>
  </si>
  <si>
    <t>PP MF Yarn Twisted 2000 Denier UV Maya Blue</t>
  </si>
  <si>
    <t>PP MF Yarn Twisted 2250 Denier UV Cherry Red</t>
  </si>
  <si>
    <t>PP MF Yarn Flat 1500 Denier UV NW</t>
  </si>
  <si>
    <t>Pp Flange 3"</t>
  </si>
  <si>
    <t>PP Fibrillated Tape Flat 3200 Blue</t>
  </si>
  <si>
    <t>PP Fibrillated Tape Flat 4000 Blue</t>
  </si>
  <si>
    <t>PP Fibrillated Tape Flat 4000 Yellow</t>
  </si>
  <si>
    <t>PP MF Yarn Flat 1500 Yellow</t>
  </si>
  <si>
    <t>PP MF Yarn Flat 3000 Yellow</t>
  </si>
  <si>
    <t>PP MF Yarn Twisted 2000 MW</t>
  </si>
  <si>
    <t>PP MF Yarn Twisted 2200 Blue</t>
  </si>
  <si>
    <t>PP Fibrillated Tape Twisted 3600 NW</t>
  </si>
  <si>
    <t>PP Fibrillated Tape Twisted 1000 Black</t>
  </si>
  <si>
    <t>Liquid Liner PE 1090</t>
  </si>
  <si>
    <t>Liners</t>
  </si>
  <si>
    <t>Liner for Flexitank</t>
  </si>
  <si>
    <t>Webbing Tie</t>
  </si>
  <si>
    <t>Webbing</t>
  </si>
  <si>
    <t>PP Webbing</t>
  </si>
  <si>
    <t>PP MF Yarn Flat 1000 Denier UV NW</t>
  </si>
  <si>
    <t>PP MF Yarn Flat 1000 Denier UV Deep Blue</t>
  </si>
  <si>
    <t>PP UL Fabric CutPcs Without UV</t>
  </si>
  <si>
    <t>Heating Pad</t>
  </si>
  <si>
    <t>3" Ball Valve-Accessories</t>
  </si>
  <si>
    <t>Flexitank</t>
  </si>
  <si>
    <t>PP Fibrillated Tape Twisted 4000 Black</t>
  </si>
  <si>
    <t>PP Fibrillated Tape Twisted 4000 MW</t>
  </si>
  <si>
    <t>PP MF Yarn Twisted 1500 MW</t>
  </si>
  <si>
    <t>PP MF Yarn Twisted 3200 Black</t>
  </si>
  <si>
    <t>PP MF Yarn Twisted 840 MW</t>
  </si>
  <si>
    <t>PP Fibrillated Tape Twisted 3200 Orange</t>
  </si>
  <si>
    <t>PP MF Yarn Flat 3000 Denier Red</t>
  </si>
  <si>
    <t>PP MF Yarn Twisted 2250 Denier Deep Blue</t>
  </si>
  <si>
    <t>PP MF Yarn Flat 2250 Denier UV NW</t>
  </si>
  <si>
    <t>LDPE/LLDPE Bags/Liner</t>
  </si>
  <si>
    <t>LDPE/LLDPE Bags</t>
  </si>
  <si>
    <t>PP MF Yarn Flat 1000 Denier UV Black</t>
  </si>
  <si>
    <t>PP Fibrillated Tape Twisted 4000 Yellow</t>
  </si>
  <si>
    <t>PP MF Yarn Flat 1000 MW</t>
  </si>
  <si>
    <t>PP MF Yarn Flat 3200 Blue</t>
  </si>
  <si>
    <t>PP MF Yarn Twisted 2500 MW</t>
  </si>
  <si>
    <t>PP MF Yarn Twisted 3200 Blue</t>
  </si>
  <si>
    <t>PE Labels</t>
  </si>
  <si>
    <t>PP Fibrillated Tape Flat 3600 NW</t>
  </si>
  <si>
    <t>PP Fibrillated Tape Flat 1000 Black</t>
  </si>
  <si>
    <t>PP MF Yarn Flat 2500 Denier Red</t>
  </si>
  <si>
    <t>PP MF Yarn Flat 1000 Denier Beige</t>
  </si>
  <si>
    <t>Polyester Yarn Twisted</t>
  </si>
  <si>
    <t>Hose Assembly</t>
  </si>
  <si>
    <t>PP Fibrillated Tape Flat 4000 Black</t>
  </si>
  <si>
    <t>PP MF Yarn Flat 3200 Black</t>
  </si>
  <si>
    <t>PP MF Yarn Flat 840 Yellow</t>
  </si>
  <si>
    <t>PP MF Yarn Twisted 2200 Green</t>
  </si>
  <si>
    <t>PP MF Yarn Twisted 2500 Yellow</t>
  </si>
  <si>
    <t>PP MF Yarn Twisted 840 Green</t>
  </si>
  <si>
    <t>PP MF Yarn Twisted 1000 Cherry Red</t>
  </si>
  <si>
    <t>PP MF Yarn Twisted 1000 Black</t>
  </si>
  <si>
    <t>PP MF Yarn Twisted 2500 Green 355C</t>
  </si>
  <si>
    <t>PP Fibrillated Tape Flat 3600 Red</t>
  </si>
  <si>
    <t>Polyester Yarn 80 D</t>
  </si>
  <si>
    <t>PP MF Yarn Flat 1000 Denier Yellow</t>
  </si>
  <si>
    <t>PP MF Yarn Flat 1000 Denier Red</t>
  </si>
  <si>
    <t>PP MF Yarn Flat 2250 Denier Red</t>
  </si>
  <si>
    <t>PP MF Yarn Twisted 3000 Denier Red</t>
  </si>
  <si>
    <t>Crimp Yarn</t>
  </si>
  <si>
    <t>PP MF Yarn Flat 2000 Denier UV NW</t>
  </si>
  <si>
    <t>PP MF Yarn Flat 2500 Denier UV Green 355C</t>
  </si>
  <si>
    <t>PP MF Yarn Flat 3000 Denier UV Deep Blue</t>
  </si>
  <si>
    <t>PP MF Yarn Twisted 1000 Denier UV NW</t>
  </si>
  <si>
    <t>PP MF Yarn Twisted 3000 Denier UV Black</t>
  </si>
  <si>
    <t>Tape Stock</t>
  </si>
  <si>
    <t>PP Tapes</t>
  </si>
  <si>
    <t>PP Fibrillated Tape Flat</t>
  </si>
  <si>
    <t>PP Fibrillated Tape Flat 3000 Green</t>
  </si>
  <si>
    <t>PP Fibrillated Tape Flat 3200 Black</t>
  </si>
  <si>
    <t>PP Fibrillated Tape Flat 4000 MW</t>
  </si>
  <si>
    <t>PP Fibrillated Tape Twisted 3000 Black</t>
  </si>
  <si>
    <t>PP Fibrillated Tape Twisted 3200 Yellow</t>
  </si>
  <si>
    <t>PP Fibrillated Tape Twisted 4000 Blue</t>
  </si>
  <si>
    <t>PP MF Yarn Flat 3000 Blue</t>
  </si>
  <si>
    <t>PP MF Yarn Flat 3000 MW</t>
  </si>
  <si>
    <t>PP MF Yarn Flat 840 Blue</t>
  </si>
  <si>
    <t>PP MF Yarn Twisted 2200 Yellow</t>
  </si>
  <si>
    <t>PP MF Yarn Twisted 2500 Blue</t>
  </si>
  <si>
    <t>PP MF Yarn Twisted 3000 Green</t>
  </si>
  <si>
    <t>PP MF Yarn Twisted 3000 Yellow</t>
  </si>
  <si>
    <t>PP MF Yarn Twisted 4000 Blue</t>
  </si>
  <si>
    <t>PP Fibrillated Tape Twisted 1000 Green</t>
  </si>
  <si>
    <t>PP Fibrillated Tape Twisted 1000 Red</t>
  </si>
  <si>
    <t>PP MF Yarn Twisted 3000 Denier Green 355C</t>
  </si>
  <si>
    <t>PP MF Yarn Twisted 2500 Denier UV NW</t>
  </si>
  <si>
    <t>PP MF Yarn Twisted 2500 Denier UV Cherry Red</t>
  </si>
  <si>
    <t>Flexitank With Accessaries</t>
  </si>
  <si>
    <t>PP Fibrillated Tape Twisted 3200 MW</t>
  </si>
  <si>
    <t>PP MF Yarn Flat 2200 Blue</t>
  </si>
  <si>
    <t>PP MF Yarn Flat 2200 MW</t>
  </si>
  <si>
    <t>PP MF Yarn Flat 2500 Green</t>
  </si>
  <si>
    <t>PP MF Yarn Twisted 1000 Green</t>
  </si>
  <si>
    <t>PP MF Yarn Twisted 1500 Yellow</t>
  </si>
  <si>
    <t>PP MF Yarn Twisted 3000 MW</t>
  </si>
  <si>
    <t>PP MF Yarn Twisted 840 Blue</t>
  </si>
  <si>
    <t>PP MF Yarn Twisted 840 Yellow</t>
  </si>
  <si>
    <t>DOC Pouch</t>
  </si>
  <si>
    <t>PP MF Yarn Flat 2500 Denier Deep Blue</t>
  </si>
  <si>
    <t>PP MF Yarn Flat 3000 Denier Green 355C</t>
  </si>
  <si>
    <t>PP MF Yarn Twisted 2400 Denier Nw</t>
  </si>
  <si>
    <t>RP Agglo</t>
  </si>
  <si>
    <t>PP MF Yarn Flat 2500 Denier UV Cherry Red</t>
  </si>
  <si>
    <t>PP MF Yarn Flat 2000 MW</t>
  </si>
  <si>
    <t>PP MF Yarn Flat 4000 Yellow</t>
  </si>
  <si>
    <t>PP MF Yarn Twisted 2000 Blue</t>
  </si>
  <si>
    <t>PP MF Yarn Twisted 3200 MW</t>
  </si>
  <si>
    <t>PP Fibrillated Tape Flat 1000 Blue</t>
  </si>
  <si>
    <t>PP MF Yarn Flat 3000 Denier Grey</t>
  </si>
  <si>
    <t>PP MF Yarn Twisted</t>
  </si>
  <si>
    <t>PP/HD Wastage/Scrap</t>
  </si>
  <si>
    <t>Wastage/Scrap</t>
  </si>
  <si>
    <t>PP MF Yarn Twisted 2500 Denier UV Green 355C</t>
  </si>
  <si>
    <t>PP MF Yarn Twisted 3000 Denier UV Cherry Red</t>
  </si>
  <si>
    <t>HD UL Monofilament Fabric</t>
  </si>
  <si>
    <t>PP MF Yarn Flat 4000 Denier UV Royel Blue</t>
  </si>
  <si>
    <t>PP Fibrillated Tape Flat 3000 MW</t>
  </si>
  <si>
    <t>PP Fibrillated Tape Flat 3200 Green</t>
  </si>
  <si>
    <t>PP MF Yarn Flat 1000 Green</t>
  </si>
  <si>
    <t>PP MF Yarn Flat 1500 MW</t>
  </si>
  <si>
    <t>PP MF Yarn Flat 2500 Blue</t>
  </si>
  <si>
    <t>PP MF Yarn Flat 3200 Green</t>
  </si>
  <si>
    <t>PP MF Yarn Flat 3200 Yellow</t>
  </si>
  <si>
    <t>PP MF Yarn Flat 4000 Blue</t>
  </si>
  <si>
    <t>PP MF Yarn Twisted 1000 Blue</t>
  </si>
  <si>
    <t>PP MF Yarn Twisted 2500 Green</t>
  </si>
  <si>
    <t>PP MF Yarn Twisted 3200 Yellow</t>
  </si>
  <si>
    <t>PP Conductive Tape 1100 Black</t>
  </si>
  <si>
    <t>PP Fibrillated Tape Flat 3600 Blue</t>
  </si>
  <si>
    <t>PP Fibrillated Tape Twisted 3200 Gray</t>
  </si>
  <si>
    <t>PP MF Yarn Flat 2500 Denier Beige</t>
  </si>
  <si>
    <t>PP MF Yarn Twisted 1000 Denier Yellow</t>
  </si>
  <si>
    <t>PP MF Yarn Twisted 1000 Denier Green</t>
  </si>
  <si>
    <t>PP MF Yarn Twisted 2250 Denier Red</t>
  </si>
  <si>
    <t>PP MF Yarn Twisted 2500 Denier Deep Blue</t>
  </si>
  <si>
    <t>PP MF Yarn Twisted 2500 Denier Red</t>
  </si>
  <si>
    <t>PP MF Yarn Twisted 1000 Denier Beige</t>
  </si>
  <si>
    <t>PP Braided Rope Red 6 to 8 GPM</t>
  </si>
  <si>
    <t>PP Fibrillated Tape Flat 1600 MW</t>
  </si>
  <si>
    <t>PP MF Yarn Flat 2000 Denier UV Maya Blue</t>
  </si>
  <si>
    <t>PP Lam Fabric CutPcs Without UV</t>
  </si>
  <si>
    <t>PP Fibrillated Tape Flat 3200 MW</t>
  </si>
  <si>
    <t>PP Fibrillated Tape Twisted 3000 Blue</t>
  </si>
  <si>
    <t>PP MF Yarn Flat 2000 Green</t>
  </si>
  <si>
    <t>PP MF Yarn Twisted 1500 Blue</t>
  </si>
  <si>
    <t>PP MF Yarn Flat 2400 MW</t>
  </si>
  <si>
    <t>PP Fibrillated Tape Twisted 1000 MW (MFT)</t>
  </si>
  <si>
    <t>PP Fibrillated Tape Flat 1000 Green</t>
  </si>
  <si>
    <t>PP Lam Fabric With UV</t>
  </si>
  <si>
    <t>Webbing CutPcs</t>
  </si>
  <si>
    <t>PP Braided Rope MW 6 to 8 GPM</t>
  </si>
  <si>
    <t>HD UL Fabric With UV (Raschel Fabric)</t>
  </si>
  <si>
    <t>Airvent (Prv)</t>
  </si>
  <si>
    <t>PP Fibrillated Tape Flat 3000 Black</t>
  </si>
  <si>
    <t>PP Fibrillated Tape Twisted 3000 Green</t>
  </si>
  <si>
    <t>PP Fibrillated Tape Twisted 3000 Yellow</t>
  </si>
  <si>
    <t>PP MF Yarn Flat 1000 Yellow</t>
  </si>
  <si>
    <t>PP MF Yarn Flat 4000 Green</t>
  </si>
  <si>
    <t>PP MF Yarn Twisted 1000 Yellow</t>
  </si>
  <si>
    <t>PP MF Yarn Twisted 4000 MW</t>
  </si>
  <si>
    <t>PP Fibrillated Tape Twisted 3600 Red</t>
  </si>
  <si>
    <t>PP Fibrillated Tape Twisted 3200 Red 187C</t>
  </si>
  <si>
    <t>Polyester Yarn 100D/600 TPM Black</t>
  </si>
  <si>
    <t>HDPE Tapes</t>
  </si>
  <si>
    <t>pp tapes</t>
  </si>
  <si>
    <t>PP MF Yarn Flat 2400 Denier Nw</t>
  </si>
  <si>
    <t>PP MF Yarn Twisted 2500 Denier Grey</t>
  </si>
  <si>
    <t>PP MF Yarn Twisted 2250 Denier UV NW</t>
  </si>
  <si>
    <t>Webbing MF</t>
  </si>
  <si>
    <t>PP MF Yarn Twisted 3000 Denier UV NW</t>
  </si>
  <si>
    <t>PP MF Yarn Twisted 3000 Denier UV Deep Blue</t>
  </si>
  <si>
    <t>PP Fibrillated Tape Flat 4000 Green</t>
  </si>
  <si>
    <t>PP MF Yarn Flat 1000 Blue</t>
  </si>
  <si>
    <t>PP MF Yarn Flat 1500 Green</t>
  </si>
  <si>
    <t>PP MF Yarn Flat 2000 Blue</t>
  </si>
  <si>
    <t>PP MF Yarn Flat 2200 Yellow</t>
  </si>
  <si>
    <t>PP MF Yarn Flat 2500 MW</t>
  </si>
  <si>
    <t>PP MF Yarn Flat 2500 Yellow</t>
  </si>
  <si>
    <t>PP MF Yarn Flat 3000 Black</t>
  </si>
  <si>
    <t>PP Fibrillated Tape Flat 3200 Grey</t>
  </si>
  <si>
    <t>FIBC WIP</t>
  </si>
  <si>
    <t>FG</t>
  </si>
  <si>
    <t>Printed Taffeta/Satin Labels</t>
  </si>
  <si>
    <t>Label Div</t>
  </si>
  <si>
    <t>FIBC Bags With UV With Liner</t>
  </si>
  <si>
    <t>FIBC Bags</t>
  </si>
  <si>
    <t>HD UL Bags With UV</t>
  </si>
  <si>
    <t>Small Bags</t>
  </si>
  <si>
    <t>HDPE Bags</t>
  </si>
  <si>
    <t>HDPE Tarpauline</t>
  </si>
  <si>
    <t>Tarps</t>
  </si>
  <si>
    <t>Tarpauline</t>
  </si>
  <si>
    <t>Pet Strap 16 mm x 0.90 mm Thickness</t>
  </si>
  <si>
    <t>Trading Items</t>
  </si>
  <si>
    <t>PP Lam Bags Without UV</t>
  </si>
  <si>
    <t>PP Bags</t>
  </si>
  <si>
    <t>Small Bags WIP</t>
  </si>
  <si>
    <t>HD Lam Bags Without UV</t>
  </si>
  <si>
    <t>Container Liner</t>
  </si>
  <si>
    <t>FIBC Bags With UV Without Liner</t>
  </si>
  <si>
    <t>HD Lam Bags With UV</t>
  </si>
  <si>
    <t>HD UL Bags Without UV</t>
  </si>
  <si>
    <t>Non Woven Fabric</t>
  </si>
  <si>
    <t>PP Tarpauline</t>
  </si>
  <si>
    <t>Woven Labels</t>
  </si>
  <si>
    <t>PP UL Bags With UV With Liner</t>
  </si>
  <si>
    <t>PP Lam Bags Without UV - Ad Star</t>
  </si>
  <si>
    <t>PP Lam Bags With UV</t>
  </si>
  <si>
    <t>Sub group</t>
  </si>
  <si>
    <t xml:space="preserve">Opening </t>
  </si>
  <si>
    <t>Closing</t>
  </si>
  <si>
    <t>Total</t>
  </si>
  <si>
    <t xml:space="preserve">MB Karnavati Polyplast Blue </t>
  </si>
  <si>
    <t>PP MF Yarn Flat 650 Denier UV NW</t>
  </si>
  <si>
    <t>PP MF Yarn Twisted 2500 Denier Black</t>
  </si>
  <si>
    <t>Asma Green 101999</t>
  </si>
  <si>
    <t>MB Tr. SUPER CHERY RED - 668</t>
  </si>
  <si>
    <t>PP Lami Bags</t>
  </si>
  <si>
    <t>MB Karnavati Beige Pantone 466 -C (PIL Brown)</t>
  </si>
  <si>
    <t>PP IOCL 1030MG</t>
  </si>
  <si>
    <t>PP M12 RR</t>
  </si>
  <si>
    <t>mLLDPE LG Lucene HP 1018BH</t>
  </si>
  <si>
    <t>LLDPE Q1018H</t>
  </si>
  <si>
    <t>Filler Code</t>
  </si>
  <si>
    <t>PP Yarn WIP</t>
  </si>
  <si>
    <t>PP Luban HP1106K</t>
  </si>
  <si>
    <t>LDPE Sasol LF2240PX</t>
  </si>
  <si>
    <t>LLDPE Borouge Anteo FK1826 Slip</t>
  </si>
  <si>
    <t>LLDPE Luban DFDC-7080</t>
  </si>
  <si>
    <t>mLLDPE Luban HPR 1018HA</t>
  </si>
  <si>
    <t>PP MF Yarn Flat 750 GMW</t>
  </si>
  <si>
    <t>PP Advanced Petrochem 1102K</t>
  </si>
  <si>
    <t>MB YELLOW BHAVIN 3955 C</t>
  </si>
  <si>
    <t>MB Clariant Fast Slip Agent (O) PHA0470000</t>
  </si>
  <si>
    <t>PP China PPH T03</t>
  </si>
  <si>
    <t>MB Alok Green AM 4417 Pantone 5477 -C</t>
  </si>
  <si>
    <t>mLLDPE Borouge Anteo FK1826 Slip</t>
  </si>
  <si>
    <t>Filler PIL P20L</t>
  </si>
  <si>
    <t>PP MF Yarn Flat 3200 MW UV</t>
  </si>
  <si>
    <t>Cheese Pipe</t>
  </si>
  <si>
    <t>UV PIL NFG 20LD</t>
  </si>
  <si>
    <t>LDPE Basell NA204000</t>
  </si>
  <si>
    <t>MB Polyfill PIB Compound PT66</t>
  </si>
  <si>
    <t>LDPE RIL J1020FF20</t>
  </si>
  <si>
    <t>LDPE Dow 2027G</t>
  </si>
  <si>
    <t>LDPE Dow Versify 3000</t>
  </si>
  <si>
    <t>LLDPE RIL JD19010</t>
  </si>
  <si>
    <t>MB Alok Green AM 8634 ( Pantone 356 -C)</t>
  </si>
  <si>
    <t>PP MF Yarn Twisted 3000 Denier UV MW</t>
  </si>
  <si>
    <t>HDPE Gail W50A009A</t>
  </si>
  <si>
    <t>MB JJ Conductive Black BKCCE0707 - Multilayer/Monolayer</t>
  </si>
  <si>
    <t>PP MF Yarn Twisted 1260 Denier UV NW</t>
  </si>
  <si>
    <t>PP MF Yarn Flat 840 MW UV</t>
  </si>
  <si>
    <t>PP MF Yarn Flat 2500 Denier UV Blue</t>
  </si>
  <si>
    <t>MB Karnavati Shiny Black Lamination</t>
  </si>
  <si>
    <t>MLLDPE Borouge FK2719</t>
  </si>
  <si>
    <t>UV PIL FG 20LL</t>
  </si>
  <si>
    <t>PP Lam Fabric WIP</t>
  </si>
  <si>
    <t>PP Sumitomo FS3011E</t>
  </si>
  <si>
    <t>MB Karnavati CMC Violet</t>
  </si>
  <si>
    <t>MB Karnavati Hexa brown (Pantone 4256C)</t>
  </si>
  <si>
    <t>LDPE J1007FA20</t>
  </si>
  <si>
    <t>LDPE Granules Others</t>
  </si>
  <si>
    <t>MB Karnavati Opoline Green</t>
  </si>
  <si>
    <t>MB Colman Shiny Black ( RD Black-01 )</t>
  </si>
  <si>
    <t>MB Yellow AM-3575 (ALOK) (Pantone Yellow 3945 -C)</t>
  </si>
  <si>
    <t>MB Karnavati Varana Brown</t>
  </si>
  <si>
    <t xml:space="preserve">MILITRY GREEN 070 </t>
  </si>
  <si>
    <t>PP Luban HP5101SC</t>
  </si>
  <si>
    <t>MB Rajiv Antistatic MB (219020005)</t>
  </si>
  <si>
    <t>Closing Stock - As per Actual (Physical) ERP</t>
  </si>
  <si>
    <t>Opening As per ERP</t>
  </si>
  <si>
    <t>Difference In Opening</t>
  </si>
  <si>
    <t>Closing As per ERP</t>
  </si>
  <si>
    <t>Difference In Closing</t>
  </si>
  <si>
    <t>PP OPAL RH38</t>
  </si>
  <si>
    <t>Light Karnavati Green ( Pantone Green 349-C )</t>
  </si>
  <si>
    <t>PP Yarn Orange 172-C UV/ Twisted</t>
  </si>
  <si>
    <t>UV PIL NFG Natural MFY PP 20%</t>
  </si>
  <si>
    <t>PP MF Yarn Flat 900 Denier Balck</t>
  </si>
  <si>
    <t>MB Colman Shiny Black MFY (CRYSTAL BLACK CP1102)</t>
  </si>
  <si>
    <t>MB Clariant Antiblocking Agent 2(S) PLA0470001</t>
  </si>
  <si>
    <t>Filler Everplus Natural TPT - Sodium Base</t>
  </si>
  <si>
    <t>Craft Paper</t>
  </si>
  <si>
    <t>Webbing WIP</t>
  </si>
  <si>
    <t>Paper Poly Bags</t>
  </si>
  <si>
    <t>Filler Soltex PTUFF23</t>
  </si>
  <si>
    <t>MB Karnavati Florescent Magenta R</t>
  </si>
  <si>
    <t>MB Karnavati AP Green</t>
  </si>
  <si>
    <t>UV JJ NFG 1111PE</t>
  </si>
  <si>
    <t>PP Paper Fabric</t>
  </si>
  <si>
    <t>PP Lam Paper Fabric Without UV</t>
  </si>
  <si>
    <t>PP Lam Bags With UV - Ad Star Paper Bag</t>
  </si>
  <si>
    <t>PP PAPER FABRIC</t>
  </si>
  <si>
    <t>BOPP Fabric WIP</t>
  </si>
  <si>
    <t>FUSION BAG</t>
  </si>
  <si>
    <t>MB Karnavati Bright Red - MF Yarn</t>
  </si>
  <si>
    <t>UV Coraplast FG SP00012760 20%</t>
  </si>
  <si>
    <t>MB Coraplast(Bhavin) Antiblock 20% 226</t>
  </si>
  <si>
    <t>MB Coraplast(Bhavin) Fast Slip 5% SO 105</t>
  </si>
  <si>
    <t>MB Coraplast(Bhavin) Antistatic 320</t>
  </si>
  <si>
    <t>MB Coraplast(Bhavin) PPA 3% 703</t>
  </si>
  <si>
    <t>LDPE Tricolene LDU7915</t>
  </si>
  <si>
    <t>EVA Granules</t>
  </si>
  <si>
    <t>PP Granules Others</t>
  </si>
  <si>
    <t>LLDPE Dow XUS 89770.5 Slip Metallocene</t>
  </si>
  <si>
    <t>PP MF Yarn Flat 1500 BLACK</t>
  </si>
  <si>
    <t>PP MF Yarn Twisted 1200 MW</t>
  </si>
  <si>
    <t>MB Technocrat VCI Cesa Cor 9110</t>
  </si>
  <si>
    <t>UV Karnavati NFG</t>
  </si>
  <si>
    <t>MB Karnavati Sunset Yellow (Pantone 7558C)</t>
  </si>
  <si>
    <t>MB Alok Blue 10363</t>
  </si>
  <si>
    <t>PP RIL H110MA</t>
  </si>
  <si>
    <t>PP MF Yarn Twisted 4000 Denier UV Blue</t>
  </si>
  <si>
    <t>PP Petronas H456JY</t>
  </si>
  <si>
    <t>PP Advanced H312</t>
  </si>
  <si>
    <t>PP Tianjin 1102K</t>
  </si>
  <si>
    <t>PP JINNENG HP550J</t>
  </si>
  <si>
    <t>MB Coraplast Yellow 7563C ( P.C.- SP00017777)</t>
  </si>
  <si>
    <t>mLLDPE Innoplus LL7810D</t>
  </si>
  <si>
    <t>PP Advanced H129</t>
  </si>
  <si>
    <t>PP Sabic 5703P 149</t>
  </si>
  <si>
    <t>PP Advanced H510M</t>
  </si>
  <si>
    <t>PP Dongguan PPH-Y40L</t>
  </si>
  <si>
    <t>LDPE Sumitomo L905</t>
  </si>
  <si>
    <t>UV Arguvin NFG 1415 PP</t>
  </si>
  <si>
    <t>LLDPE Exxon Exceed XP8784MK</t>
  </si>
  <si>
    <t>LLDPE F0120L HMEL</t>
  </si>
  <si>
    <t>PP UL Bags Without UV</t>
  </si>
  <si>
    <t>PP Marlex HGX-030SP</t>
  </si>
  <si>
    <t>MB Argus Antistatic AT 70 LD - PE Liner</t>
  </si>
  <si>
    <t>LLDPE Exxon Exceed 1015MK</t>
  </si>
  <si>
    <t>LLDPE Sabic 118WJ</t>
  </si>
  <si>
    <t>PP MF Yarn Flat 1300 MW</t>
  </si>
  <si>
    <t>MB Om Corporation Conductive Black</t>
  </si>
  <si>
    <t>LDPE Innoplus LD2426F Milk Pouch</t>
  </si>
  <si>
    <t>PP Basell HP500N</t>
  </si>
  <si>
    <t>PP Oriental Fibre Y40</t>
  </si>
  <si>
    <t>PP Ningbo Daxie 1102K</t>
  </si>
  <si>
    <t>MB Satyendra TrueAdd Astat - 007</t>
  </si>
  <si>
    <t>MB Coraplast(Bhavin) Antistatic AST 204</t>
  </si>
  <si>
    <t>MB Karnavati New Chrome Yellow MF</t>
  </si>
  <si>
    <t>MB Alok Yellow AM3534 Pantone 116U</t>
  </si>
  <si>
    <t>mLLDPE EXCEED 1015RK</t>
  </si>
  <si>
    <t>AS PER ERP</t>
  </si>
  <si>
    <t>PP OG X26020</t>
  </si>
  <si>
    <t>PP OG X26021</t>
  </si>
  <si>
    <t>PP OG A26014</t>
  </si>
  <si>
    <t>PP OG X25011</t>
  </si>
  <si>
    <t>PP OG A26013</t>
  </si>
  <si>
    <t>PP OG A25137</t>
  </si>
  <si>
    <t>PP OG A25162</t>
  </si>
  <si>
    <t>PP OG A26023</t>
  </si>
  <si>
    <t>PP OG Y26008</t>
  </si>
  <si>
    <t>PP OG X26005</t>
  </si>
  <si>
    <t>PP OG X26004</t>
  </si>
  <si>
    <t>PP OG A26020</t>
  </si>
  <si>
    <t>PP OG Y25039</t>
  </si>
  <si>
    <t>Filler Satyendra True AFMB003</t>
  </si>
  <si>
    <t>MB Alok AM 46579 Orange MF</t>
  </si>
  <si>
    <t>LLDPE Dow TIFLEX™ 4052G Slip Metallocene</t>
  </si>
  <si>
    <t>Inventory movement fo the month of JUNE-2026</t>
  </si>
  <si>
    <t>PP OPAL MH13</t>
  </si>
  <si>
    <t>PP Polimaxx 1105SC</t>
  </si>
  <si>
    <t>HDPE OPAL P5002</t>
  </si>
  <si>
    <t>Filler Terramag Calcium 20%</t>
  </si>
  <si>
    <t>MB Rudraksh Blue RDS-5440</t>
  </si>
  <si>
    <t>LDPE LOTTE LF512</t>
  </si>
  <si>
    <t>LLDPE Granules Others</t>
  </si>
  <si>
    <t>Mlldpe MO814</t>
  </si>
  <si>
    <t>LLDPE KUNLUN DFDA9047</t>
  </si>
  <si>
    <t>LDPE Exxon Exceed S9272ML</t>
  </si>
  <si>
    <t xml:space="preserve">HIGH SEAS SALE </t>
  </si>
  <si>
    <t>HIGH SEAS PURCHASE</t>
  </si>
  <si>
    <t>STOCK AS ON 01/09/2026</t>
  </si>
  <si>
    <t>PP CHN S2040</t>
  </si>
  <si>
    <t>PP Advance H239G</t>
  </si>
  <si>
    <t>MB Rudraksh Green RDS-5465</t>
  </si>
  <si>
    <t>MB Rudraksh Red MF RDS-5510</t>
  </si>
  <si>
    <t>LLDPE KUNLUN DFDA7042</t>
  </si>
  <si>
    <t>Rate</t>
  </si>
  <si>
    <t>Value</t>
  </si>
  <si>
    <t>Job Value</t>
  </si>
  <si>
    <t>Stock</t>
  </si>
  <si>
    <t>Qty</t>
  </si>
  <si>
    <t xml:space="preserve">FG </t>
  </si>
  <si>
    <t>WIP</t>
  </si>
  <si>
    <t>Packing Material</t>
  </si>
  <si>
    <t>Stores &amp; Consumble</t>
  </si>
  <si>
    <t>Stock Valuation Aug-26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</si>
</sst>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0.000"/>
    <numFmt numFmtId="167" formatCode="_(* #,##0.0_);_(* \(#,##0.0\);_(* &quot;-&quot;??_);_(@_)"/>
    <numFmt numFmtId="168" formatCode="_(* #,##0.0000_);_(* \(#,##0.0000\);_(* &quot;-&quot;??_);_(@_)"/>
    <numFmt numFmtId="169" formatCode="_(* #,##0.000_);_(* \(#,##0.000\);_(* &quot;-&quot;??_);_(@_)"/>
  </numFmts>
  <fonts count="22" x14ac:knownFonts="1">
    <font>
      <sz val="10"/>
      <name val="Arial"/>
      <family val="2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b/>
      <sz val="14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color rgb="FF00B050"/>
      <name val="Calibri Light"/>
      <family val="2"/>
      <scheme val="major"/>
    </font>
    <font>
      <sz val="11"/>
      <color rgb="FF002060"/>
      <name val="Calibri Light"/>
      <family val="2"/>
      <scheme val="major"/>
    </font>
    <font>
      <sz val="11"/>
      <color rgb="FFFFC000"/>
      <name val="Calibri Light"/>
      <family val="2"/>
      <scheme val="major"/>
    </font>
    <font>
      <sz val="10"/>
      <color rgb="FFFF0000"/>
      <name val="Arial"/>
      <family val="2"/>
    </font>
    <font>
      <b/>
      <sz val="11"/>
      <name val="Calibri Light"/>
      <family val="2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ill="0" applyBorder="0" applyAlignment="0" applyProtection="0"/>
    <xf numFmtId="0" fontId="1" fillId="0" borderId="0"/>
    <xf numFmtId="0" fontId="1" fillId="0" borderId="0" applyProtection="0">
      <alignment vertical="center"/>
    </xf>
  </cellStyleXfs>
  <cellXfs count="142">
    <xf numFmtId="0" fontId="0" fillId="0" borderId="0" xfId="0"/>
    <xf numFmtId="0" fontId="4" fillId="2" borderId="0" xfId="0" applyFont="1" applyFill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/>
    <xf numFmtId="16" fontId="6" fillId="2" borderId="0" xfId="0" applyNumberFormat="1" applyFont="1" applyFill="1"/>
    <xf numFmtId="0" fontId="10" fillId="2" borderId="0" xfId="0" applyFont="1" applyFill="1"/>
    <xf numFmtId="0" fontId="2" fillId="0" borderId="0" xfId="0" applyFont="1"/>
    <xf numFmtId="165" fontId="2" fillId="0" borderId="0" xfId="0" applyNumberFormat="1" applyFont="1"/>
    <xf numFmtId="165" fontId="2" fillId="0" borderId="0" xfId="1" applyNumberFormat="1" applyFont="1" applyFill="1"/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2" fillId="0" borderId="1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65" fontId="2" fillId="0" borderId="14" xfId="1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/>
    <xf numFmtId="43" fontId="2" fillId="0" borderId="0" xfId="0" applyNumberFormat="1" applyFont="1"/>
    <xf numFmtId="0" fontId="2" fillId="0" borderId="1" xfId="0" applyFont="1" applyBorder="1"/>
    <xf numFmtId="165" fontId="2" fillId="0" borderId="6" xfId="0" applyNumberFormat="1" applyFont="1" applyBorder="1"/>
    <xf numFmtId="0" fontId="2" fillId="0" borderId="17" xfId="0" applyFont="1" applyBorder="1"/>
    <xf numFmtId="0" fontId="2" fillId="0" borderId="6" xfId="0" applyFont="1" applyBorder="1"/>
    <xf numFmtId="167" fontId="2" fillId="0" borderId="0" xfId="0" applyNumberFormat="1" applyFont="1"/>
    <xf numFmtId="0" fontId="9" fillId="0" borderId="0" xfId="0" applyFont="1"/>
    <xf numFmtId="165" fontId="9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4" fillId="2" borderId="26" xfId="0" applyFont="1" applyFill="1" applyBorder="1" applyAlignment="1">
      <alignment vertical="center"/>
    </xf>
    <xf numFmtId="165" fontId="2" fillId="4" borderId="1" xfId="0" applyNumberFormat="1" applyFont="1" applyFill="1" applyBorder="1"/>
    <xf numFmtId="0" fontId="2" fillId="4" borderId="1" xfId="0" applyFont="1" applyFill="1" applyBorder="1"/>
    <xf numFmtId="165" fontId="2" fillId="4" borderId="2" xfId="1" applyNumberFormat="1" applyFont="1" applyFill="1" applyBorder="1"/>
    <xf numFmtId="165" fontId="2" fillId="4" borderId="14" xfId="1" applyNumberFormat="1" applyFont="1" applyFill="1" applyBorder="1" applyAlignment="1">
      <alignment horizontal="center" vertical="center" wrapText="1"/>
    </xf>
    <xf numFmtId="165" fontId="9" fillId="4" borderId="14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/>
    <xf numFmtId="165" fontId="9" fillId="4" borderId="1" xfId="0" applyNumberFormat="1" applyFont="1" applyFill="1" applyBorder="1"/>
    <xf numFmtId="165" fontId="9" fillId="4" borderId="2" xfId="1" applyNumberFormat="1" applyFont="1" applyFill="1" applyBorder="1"/>
    <xf numFmtId="166" fontId="9" fillId="4" borderId="1" xfId="0" applyNumberFormat="1" applyFont="1" applyFill="1" applyBorder="1"/>
    <xf numFmtId="168" fontId="2" fillId="0" borderId="0" xfId="0" applyNumberFormat="1" applyFont="1"/>
    <xf numFmtId="0" fontId="10" fillId="2" borderId="1" xfId="0" applyFont="1" applyFill="1" applyBorder="1" applyAlignment="1">
      <alignment vertical="center"/>
    </xf>
    <xf numFmtId="165" fontId="9" fillId="3" borderId="2" xfId="1" applyNumberFormat="1" applyFont="1" applyFill="1" applyBorder="1"/>
    <xf numFmtId="0" fontId="14" fillId="3" borderId="0" xfId="0" applyFont="1" applyFill="1" applyAlignment="1">
      <alignment vertical="center" wrapText="1"/>
    </xf>
    <xf numFmtId="168" fontId="14" fillId="3" borderId="0" xfId="0" applyNumberFormat="1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1" xfId="0" applyFill="1" applyBorder="1" applyAlignment="1">
      <alignment vertical="center" wrapText="1"/>
    </xf>
    <xf numFmtId="166" fontId="0" fillId="0" borderId="0" xfId="0" applyNumberFormat="1" applyAlignment="1">
      <alignment vertical="center" wrapText="1"/>
    </xf>
    <xf numFmtId="16" fontId="6" fillId="0" borderId="0" xfId="0" applyNumberFormat="1" applyFont="1"/>
    <xf numFmtId="0" fontId="10" fillId="2" borderId="1" xfId="0" applyFont="1" applyFill="1" applyBorder="1"/>
    <xf numFmtId="0" fontId="15" fillId="0" borderId="0" xfId="0" applyFont="1"/>
    <xf numFmtId="2" fontId="2" fillId="0" borderId="0" xfId="0" applyNumberFormat="1" applyFont="1"/>
    <xf numFmtId="15" fontId="2" fillId="0" borderId="27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65" fontId="11" fillId="0" borderId="14" xfId="1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165" fontId="18" fillId="0" borderId="2" xfId="1" applyNumberFormat="1" applyFont="1" applyFill="1" applyBorder="1"/>
    <xf numFmtId="0" fontId="18" fillId="0" borderId="16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167" fontId="18" fillId="0" borderId="1" xfId="1" applyNumberFormat="1" applyFont="1" applyFill="1" applyBorder="1"/>
    <xf numFmtId="165" fontId="18" fillId="0" borderId="1" xfId="1" applyNumberFormat="1" applyFont="1" applyFill="1" applyBorder="1"/>
    <xf numFmtId="43" fontId="18" fillId="0" borderId="1" xfId="1" applyFont="1" applyFill="1" applyBorder="1"/>
    <xf numFmtId="169" fontId="18" fillId="0" borderId="1" xfId="1" applyNumberFormat="1" applyFont="1" applyFill="1" applyBorder="1"/>
    <xf numFmtId="165" fontId="16" fillId="0" borderId="1" xfId="1" applyNumberFormat="1" applyFont="1" applyFill="1" applyBorder="1"/>
    <xf numFmtId="165" fontId="18" fillId="0" borderId="1" xfId="1" applyNumberFormat="1" applyFont="1" applyFill="1" applyBorder="1" applyAlignment="1">
      <alignment vertical="center" wrapText="1"/>
    </xf>
    <xf numFmtId="0" fontId="18" fillId="0" borderId="1" xfId="0" applyFont="1" applyBorder="1"/>
    <xf numFmtId="0" fontId="18" fillId="0" borderId="5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165" fontId="18" fillId="0" borderId="6" xfId="1" applyNumberFormat="1" applyFont="1" applyFill="1" applyBorder="1"/>
    <xf numFmtId="165" fontId="18" fillId="0" borderId="6" xfId="0" applyNumberFormat="1" applyFont="1" applyBorder="1"/>
    <xf numFmtId="43" fontId="18" fillId="0" borderId="6" xfId="0" applyNumberFormat="1" applyFont="1" applyBorder="1"/>
    <xf numFmtId="0" fontId="18" fillId="0" borderId="2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43" fontId="18" fillId="0" borderId="2" xfId="1" applyFont="1" applyFill="1" applyBorder="1"/>
    <xf numFmtId="0" fontId="18" fillId="0" borderId="22" xfId="0" applyFont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23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8" fillId="0" borderId="20" xfId="0" applyFont="1" applyBorder="1" applyAlignment="1">
      <alignment horizontal="left"/>
    </xf>
    <xf numFmtId="0" fontId="18" fillId="0" borderId="21" xfId="0" applyFont="1" applyBorder="1" applyAlignment="1">
      <alignment horizontal="left"/>
    </xf>
    <xf numFmtId="165" fontId="16" fillId="0" borderId="6" xfId="0" applyNumberFormat="1" applyFont="1" applyBorder="1"/>
    <xf numFmtId="43" fontId="16" fillId="3" borderId="6" xfId="0" applyNumberFormat="1" applyFont="1" applyFill="1" applyBorder="1"/>
    <xf numFmtId="0" fontId="18" fillId="0" borderId="0" xfId="0" applyFont="1"/>
    <xf numFmtId="3" fontId="18" fillId="0" borderId="0" xfId="0" applyNumberFormat="1" applyFont="1"/>
    <xf numFmtId="4" fontId="18" fillId="0" borderId="0" xfId="0" applyNumberFormat="1" applyFont="1"/>
    <xf numFmtId="166" fontId="18" fillId="0" borderId="0" xfId="0" applyNumberFormat="1" applyFont="1"/>
    <xf numFmtId="43" fontId="18" fillId="0" borderId="0" xfId="0" applyNumberFormat="1" applyFont="1"/>
    <xf numFmtId="165" fontId="18" fillId="0" borderId="0" xfId="0" applyNumberFormat="1" applyFont="1"/>
    <xf numFmtId="167" fontId="18" fillId="0" borderId="0" xfId="0" applyNumberFormat="1" applyFont="1"/>
    <xf numFmtId="0" fontId="16" fillId="0" borderId="0" xfId="0" applyFont="1"/>
    <xf numFmtId="0" fontId="18" fillId="0" borderId="25" xfId="0" applyFont="1" applyBorder="1"/>
    <xf numFmtId="2" fontId="18" fillId="0" borderId="1" xfId="0" applyNumberFormat="1" applyFont="1" applyBorder="1"/>
    <xf numFmtId="2" fontId="18" fillId="0" borderId="25" xfId="0" applyNumberFormat="1" applyFont="1" applyBorder="1"/>
    <xf numFmtId="1" fontId="18" fillId="0" borderId="25" xfId="0" applyNumberFormat="1" applyFont="1" applyBorder="1"/>
    <xf numFmtId="0" fontId="18" fillId="0" borderId="0" xfId="0" applyFont="1" applyAlignment="1">
      <alignment horizontal="left"/>
    </xf>
    <xf numFmtId="0" fontId="18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  <xf numFmtId="1" fontId="18" fillId="0" borderId="1" xfId="0" applyNumberFormat="1" applyFont="1" applyBorder="1"/>
    <xf numFmtId="0" fontId="18" fillId="0" borderId="28" xfId="3" applyFont="1" applyBorder="1" applyAlignment="1" applyProtection="1">
      <protection hidden="1"/>
    </xf>
    <xf numFmtId="1" fontId="18" fillId="5" borderId="28" xfId="3" applyNumberFormat="1" applyFont="1" applyFill="1" applyBorder="1" applyAlignment="1"/>
    <xf numFmtId="0" fontId="18" fillId="0" borderId="28" xfId="3" applyFont="1" applyBorder="1" applyAlignment="1" applyProtection="1">
      <alignment horizontal="right"/>
      <protection hidden="1"/>
    </xf>
    <xf numFmtId="43" fontId="18" fillId="0" borderId="1" xfId="0" applyNumberFormat="1" applyFont="1" applyBorder="1"/>
    <xf numFmtId="0" fontId="18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43" fontId="16" fillId="3" borderId="0" xfId="0" applyNumberFormat="1" applyFont="1" applyFill="1" applyAlignment="1">
      <alignment vertical="center" wrapText="1"/>
    </xf>
    <xf numFmtId="165" fontId="19" fillId="0" borderId="0" xfId="0" applyNumberFormat="1" applyFont="1" applyAlignment="1">
      <alignment vertical="center" wrapText="1"/>
    </xf>
    <xf numFmtId="164" fontId="19" fillId="0" borderId="0" xfId="0" applyNumberFormat="1" applyFont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2" fillId="0" borderId="0" xfId="0" applyFont="1" applyBorder="1"/>
    <xf numFmtId="165" fontId="2" fillId="0" borderId="0" xfId="1" applyNumberFormat="1" applyFont="1" applyFill="1" applyBorder="1"/>
    <xf numFmtId="165" fontId="2" fillId="0" borderId="26" xfId="0" applyNumberFormat="1" applyFont="1" applyBorder="1"/>
    <xf numFmtId="0" fontId="2" fillId="0" borderId="29" xfId="0" applyFont="1" applyBorder="1"/>
    <xf numFmtId="165" fontId="18" fillId="0" borderId="1" xfId="1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165" fontId="18" fillId="0" borderId="1" xfId="0" applyNumberFormat="1" applyFont="1" applyBorder="1"/>
    <xf numFmtId="2" fontId="18" fillId="0" borderId="1" xfId="1" applyNumberFormat="1" applyFont="1" applyFill="1" applyBorder="1"/>
    <xf numFmtId="0" fontId="17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21" fillId="2" borderId="1" xfId="0" applyFont="1" applyFill="1" applyBorder="1"/>
    <xf numFmtId="0" fontId="18" fillId="2" borderId="1" xfId="0" applyFont="1" applyFill="1" applyBorder="1"/>
    <xf numFmtId="2" fontId="18" fillId="2" borderId="1" xfId="0" applyNumberFormat="1" applyFont="1" applyFill="1" applyBorder="1"/>
    <xf numFmtId="166" fontId="18" fillId="2" borderId="1" xfId="0" applyNumberFormat="1" applyFont="1" applyFill="1" applyBorder="1"/>
    <xf numFmtId="0" fontId="18" fillId="2" borderId="1" xfId="0" applyFont="1" applyFill="1" applyBorder="1" applyAlignment="1"/>
    <xf numFmtId="2" fontId="21" fillId="2" borderId="1" xfId="0" applyNumberFormat="1" applyFont="1" applyFill="1" applyBorder="1" applyAlignment="1"/>
  </cellXfs>
  <cellStyles count="4">
    <cellStyle name="Comma" xfId="1" builtinId="3"/>
    <cellStyle name="Excel Built-in Normal" xfId="3"/>
    <cellStyle name="Normal" xfId="0" builtinId="0"/>
    <cellStyle name="Normal 2" xfId="2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l 3" id="{B4F58543-C9B5-4602-B297-6FFD19453CCD}" userId="S::pil3@pilo365.onmicrosoft.com::a2fd8f56-c633-480c-8ff0-05ca01fae09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3" dT="2023-12-04T10:45:26.04" personId="{B4F58543-C9B5-4602-B297-6FFD19453CCD}" id="{30A78942-199A-49EF-A940-8D7D50A59ECC}">
    <text xml:space="preserve">Party wise &amp; Itemwise job file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J1048576"/>
  <sheetViews>
    <sheetView tabSelected="1" zoomScaleNormal="100" workbookViewId="0">
      <pane xSplit="3" ySplit="3" topLeftCell="U40" activePane="bottomRight" state="frozen"/>
      <selection pane="topRight" activeCell="D1" sqref="D1"/>
      <selection pane="bottomLeft" activeCell="A4" sqref="A4"/>
      <selection pane="bottomRight" activeCell="W48" sqref="W48:Y48"/>
    </sheetView>
  </sheetViews>
  <sheetFormatPr defaultColWidth="8.7109375" defaultRowHeight="15" x14ac:dyDescent="0.25"/>
  <cols>
    <col min="1" max="1" width="8.42578125" style="9" customWidth="1"/>
    <col min="2" max="2" width="19" style="9" bestFit="1" customWidth="1"/>
    <col min="3" max="3" width="28.140625" style="9" bestFit="1" customWidth="1"/>
    <col min="4" max="4" width="17" style="9" customWidth="1"/>
    <col min="5" max="5" width="15.28515625" style="9" customWidth="1"/>
    <col min="6" max="6" width="11.85546875" style="9" customWidth="1"/>
    <col min="7" max="7" width="12.5703125" style="9" customWidth="1"/>
    <col min="8" max="8" width="14.5703125" style="9" customWidth="1"/>
    <col min="9" max="9" width="11.28515625" style="9" customWidth="1"/>
    <col min="10" max="10" width="14.5703125" style="9" customWidth="1"/>
    <col min="11" max="11" width="14.28515625" style="9" customWidth="1"/>
    <col min="12" max="12" width="15.140625" style="9" customWidth="1"/>
    <col min="13" max="13" width="13" style="9" customWidth="1"/>
    <col min="14" max="14" width="15.28515625" style="9" bestFit="1" customWidth="1"/>
    <col min="15" max="15" width="15.5703125" style="9" customWidth="1"/>
    <col min="16" max="17" width="13.140625" style="9" customWidth="1"/>
    <col min="18" max="18" width="11.28515625" style="9" customWidth="1"/>
    <col min="19" max="20" width="11.85546875" style="9" customWidth="1"/>
    <col min="21" max="22" width="13.140625" style="9" customWidth="1"/>
    <col min="23" max="23" width="14.85546875" style="9" bestFit="1" customWidth="1"/>
    <col min="24" max="24" width="17.42578125" style="9" customWidth="1"/>
    <col min="25" max="25" width="17.5703125" style="9" customWidth="1"/>
    <col min="26" max="26" width="13.140625" style="9" hidden="1" customWidth="1"/>
    <col min="27" max="27" width="15.7109375" style="9" hidden="1" customWidth="1"/>
    <col min="28" max="28" width="13.140625" style="9" hidden="1" customWidth="1"/>
    <col min="29" max="29" width="11.85546875" style="9" hidden="1" customWidth="1"/>
    <col min="30" max="30" width="17.140625" style="9" hidden="1" customWidth="1"/>
    <col min="31" max="31" width="11.28515625" style="9" hidden="1" customWidth="1"/>
    <col min="32" max="32" width="18.42578125" style="9" hidden="1" customWidth="1"/>
    <col min="33" max="33" width="9" style="9" customWidth="1"/>
    <col min="34" max="40" width="18.42578125" style="9" customWidth="1"/>
    <col min="41" max="41" width="10.42578125" style="9" customWidth="1"/>
    <col min="42" max="42" width="11.28515625" style="9" customWidth="1"/>
    <col min="43" max="43" width="9.5703125" style="9" customWidth="1"/>
    <col min="44" max="44" width="10.7109375" style="9" customWidth="1"/>
    <col min="45" max="45" width="15" style="9" customWidth="1"/>
    <col min="46" max="46" width="15.5703125" style="9" customWidth="1"/>
    <col min="47" max="47" width="8.7109375" style="9" customWidth="1"/>
    <col min="48" max="48" width="11.28515625" style="9" customWidth="1"/>
    <col min="49" max="49" width="8.7109375" style="9" customWidth="1"/>
    <col min="50" max="50" width="11.28515625" style="9" customWidth="1"/>
    <col min="51" max="51" width="13.7109375" style="9" customWidth="1"/>
    <col min="52" max="52" width="11.42578125" style="9" customWidth="1"/>
    <col min="53" max="53" width="11.85546875" style="9" customWidth="1"/>
    <col min="54" max="54" width="10.42578125" style="9" customWidth="1"/>
    <col min="55" max="56" width="8.7109375" style="9" customWidth="1"/>
    <col min="57" max="57" width="12.42578125" style="9" customWidth="1"/>
    <col min="58" max="58" width="8.7109375" style="9" customWidth="1"/>
    <col min="59" max="61" width="8.7109375" style="9"/>
    <col min="62" max="62" width="9" style="9" bestFit="1" customWidth="1"/>
    <col min="63" max="16384" width="8.7109375" style="9"/>
  </cols>
  <sheetData>
    <row r="1" spans="1:62" ht="19.5" thickBot="1" x14ac:dyDescent="0.35">
      <c r="A1" s="53" t="s">
        <v>937</v>
      </c>
      <c r="G1" s="10"/>
      <c r="I1" s="56"/>
      <c r="L1" s="33"/>
      <c r="P1" s="10"/>
      <c r="W1" s="11"/>
      <c r="X1" s="11"/>
      <c r="Y1" s="11"/>
      <c r="AP1" s="57">
        <v>45261</v>
      </c>
      <c r="AQ1" s="58"/>
      <c r="AR1" s="58"/>
      <c r="AX1" s="57"/>
      <c r="AY1" s="57"/>
      <c r="AZ1" s="57"/>
      <c r="BA1" s="57"/>
    </row>
    <row r="2" spans="1:62" s="15" customFormat="1" ht="31.5" customHeight="1" thickBot="1" x14ac:dyDescent="0.25">
      <c r="A2" s="12"/>
      <c r="B2" s="12"/>
      <c r="C2" s="13"/>
      <c r="D2" s="67" t="s">
        <v>0</v>
      </c>
      <c r="E2" s="68"/>
      <c r="F2" s="68"/>
      <c r="G2" s="64" t="s">
        <v>924</v>
      </c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6"/>
      <c r="W2" s="62" t="s">
        <v>20</v>
      </c>
      <c r="X2" s="62"/>
      <c r="Y2" s="62"/>
      <c r="Z2" s="63" t="s">
        <v>833</v>
      </c>
      <c r="AA2" s="63"/>
      <c r="AB2" s="63"/>
      <c r="AC2" s="63" t="s">
        <v>21</v>
      </c>
      <c r="AD2" s="63"/>
      <c r="AE2" s="63"/>
      <c r="AF2" s="14"/>
      <c r="AG2" s="123"/>
      <c r="AH2" s="123"/>
      <c r="AI2" s="123"/>
      <c r="AJ2" s="123"/>
      <c r="AK2" s="123"/>
      <c r="AL2" s="123"/>
      <c r="AM2" s="123"/>
      <c r="AN2" s="123"/>
      <c r="AP2" s="59" t="s">
        <v>834</v>
      </c>
      <c r="AQ2" s="59"/>
      <c r="AR2" s="59"/>
      <c r="AS2" s="60" t="s">
        <v>835</v>
      </c>
      <c r="AT2" s="60"/>
      <c r="AU2" s="60"/>
      <c r="AV2" s="59" t="s">
        <v>836</v>
      </c>
      <c r="AW2" s="59"/>
      <c r="AX2" s="59"/>
      <c r="AY2" s="61" t="s">
        <v>837</v>
      </c>
      <c r="AZ2" s="61"/>
      <c r="BA2" s="61"/>
    </row>
    <row r="3" spans="1:62" s="15" customFormat="1" ht="45.75" thickBot="1" x14ac:dyDescent="0.25">
      <c r="A3" s="16" t="s">
        <v>24</v>
      </c>
      <c r="B3" s="16" t="s">
        <v>771</v>
      </c>
      <c r="C3" s="16" t="s">
        <v>23</v>
      </c>
      <c r="D3" s="17" t="s">
        <v>1</v>
      </c>
      <c r="E3" s="18" t="s">
        <v>2</v>
      </c>
      <c r="F3" s="18" t="s">
        <v>3</v>
      </c>
      <c r="G3" s="18" t="s">
        <v>4</v>
      </c>
      <c r="H3" s="18" t="s">
        <v>5</v>
      </c>
      <c r="I3" s="18" t="s">
        <v>6</v>
      </c>
      <c r="J3" s="18" t="s">
        <v>7</v>
      </c>
      <c r="K3" s="18" t="s">
        <v>8</v>
      </c>
      <c r="L3" s="18" t="s">
        <v>9</v>
      </c>
      <c r="M3" s="18" t="s">
        <v>10</v>
      </c>
      <c r="N3" s="18" t="s">
        <v>11</v>
      </c>
      <c r="O3" s="19" t="s">
        <v>12</v>
      </c>
      <c r="P3" s="19" t="s">
        <v>13</v>
      </c>
      <c r="Q3" s="18" t="s">
        <v>14</v>
      </c>
      <c r="R3" s="18" t="s">
        <v>15</v>
      </c>
      <c r="S3" s="19" t="s">
        <v>16</v>
      </c>
      <c r="T3" s="19" t="s">
        <v>17</v>
      </c>
      <c r="U3" s="18" t="s">
        <v>18</v>
      </c>
      <c r="V3" s="18" t="s">
        <v>19</v>
      </c>
      <c r="W3" s="20" t="s">
        <v>1</v>
      </c>
      <c r="X3" s="20" t="s">
        <v>2</v>
      </c>
      <c r="Y3" s="128" t="s">
        <v>3</v>
      </c>
      <c r="Z3" s="129" t="s">
        <v>1</v>
      </c>
      <c r="AA3" s="129" t="s">
        <v>2</v>
      </c>
      <c r="AB3" s="129" t="s">
        <v>3</v>
      </c>
      <c r="AC3" s="129" t="s">
        <v>1</v>
      </c>
      <c r="AD3" s="129" t="s">
        <v>2</v>
      </c>
      <c r="AE3" s="129" t="s">
        <v>3</v>
      </c>
      <c r="AF3" s="130" t="s">
        <v>22</v>
      </c>
      <c r="AG3" s="133" t="s">
        <v>943</v>
      </c>
      <c r="AH3" s="134" t="s">
        <v>944</v>
      </c>
      <c r="AI3" s="134" t="s">
        <v>945</v>
      </c>
      <c r="AJ3" s="123"/>
      <c r="AK3" s="123"/>
      <c r="AL3" s="123"/>
      <c r="AM3" s="123"/>
      <c r="AN3" s="123"/>
      <c r="AO3" s="21"/>
      <c r="AP3" s="38" t="s">
        <v>1</v>
      </c>
      <c r="AQ3" s="38" t="s">
        <v>2</v>
      </c>
      <c r="AR3" s="38" t="s">
        <v>3</v>
      </c>
      <c r="AS3" s="39" t="s">
        <v>1</v>
      </c>
      <c r="AT3" s="39" t="s">
        <v>2</v>
      </c>
      <c r="AU3" s="39" t="s">
        <v>3</v>
      </c>
      <c r="AV3" s="38" t="s">
        <v>1</v>
      </c>
      <c r="AW3" s="38" t="s">
        <v>2</v>
      </c>
      <c r="AX3" s="38" t="s">
        <v>3</v>
      </c>
      <c r="AY3" s="39" t="s">
        <v>1</v>
      </c>
      <c r="AZ3" s="39" t="s">
        <v>2</v>
      </c>
      <c r="BA3" s="39" t="s">
        <v>3</v>
      </c>
    </row>
    <row r="4" spans="1:62" x14ac:dyDescent="0.25">
      <c r="A4" s="69" t="e">
        <f>VLOOKUP(C4,Master!A:D,4,0)</f>
        <v>#N/A</v>
      </c>
      <c r="B4" s="70" t="e">
        <f>VLOOKUP(C4,Master!A:C,3,0)</f>
        <v>#N/A</v>
      </c>
      <c r="C4" s="70" t="s">
        <v>32</v>
      </c>
      <c r="D4" s="71">
        <f>SUMIF(Master!E:E,Summary!C4,Master!F:F)-E4</f>
        <v>0</v>
      </c>
      <c r="E4" s="71">
        <v>0</v>
      </c>
      <c r="F4" s="71">
        <v>0</v>
      </c>
      <c r="G4" s="71"/>
      <c r="H4" s="71"/>
      <c r="I4" s="71"/>
      <c r="J4" s="71"/>
      <c r="K4" s="71"/>
      <c r="L4" s="71"/>
      <c r="M4" s="71"/>
      <c r="N4" s="71"/>
      <c r="O4" s="71"/>
      <c r="P4" s="71"/>
      <c r="Q4" s="71">
        <f>+I4</f>
        <v>0</v>
      </c>
      <c r="R4" s="71"/>
      <c r="S4" s="71"/>
      <c r="T4" s="71"/>
      <c r="U4" s="71">
        <f t="shared" ref="U4:V41" si="0">O4-S4</f>
        <v>0</v>
      </c>
      <c r="V4" s="71">
        <f t="shared" si="0"/>
        <v>0</v>
      </c>
      <c r="W4" s="71">
        <f>SUMIF(Master!E:E,Summary!C4,Master!G:G)</f>
        <v>0</v>
      </c>
      <c r="X4" s="71">
        <f>E4+J4-N4-T4+S4</f>
        <v>0</v>
      </c>
      <c r="Y4" s="75">
        <f>F4-I4+M4-R4+Q4</f>
        <v>0</v>
      </c>
      <c r="Z4" s="76">
        <v>0</v>
      </c>
      <c r="AA4" s="76">
        <v>0</v>
      </c>
      <c r="AB4" s="76">
        <v>0</v>
      </c>
      <c r="AC4" s="131">
        <f>W4-Z4</f>
        <v>0</v>
      </c>
      <c r="AD4" s="131">
        <f>X4-AA4</f>
        <v>0</v>
      </c>
      <c r="AE4" s="131">
        <f>Y4-AB4</f>
        <v>0</v>
      </c>
      <c r="AF4" s="80"/>
      <c r="AG4" s="80"/>
      <c r="AH4" s="80"/>
      <c r="AI4" s="80"/>
      <c r="AJ4" s="124"/>
      <c r="AK4" s="124"/>
      <c r="AL4" s="124"/>
      <c r="AM4" s="124"/>
      <c r="AN4" s="124"/>
      <c r="AP4" s="35"/>
      <c r="AQ4" s="35"/>
      <c r="AR4" s="35"/>
      <c r="AS4" s="40"/>
      <c r="AT4" s="41"/>
      <c r="AU4" s="41"/>
      <c r="AV4" s="36"/>
      <c r="AW4" s="36"/>
      <c r="AX4" s="36"/>
      <c r="AY4" s="40"/>
      <c r="AZ4" s="40"/>
      <c r="BA4" s="41"/>
    </row>
    <row r="5" spans="1:62" x14ac:dyDescent="0.25">
      <c r="A5" s="72" t="str">
        <f>VLOOKUP(C5,Master!A:D,4,0)</f>
        <v>RM</v>
      </c>
      <c r="B5" s="73" t="str">
        <f>VLOOKUP(C5,Master!A:C,3,0)</f>
        <v>Granuals</v>
      </c>
      <c r="C5" s="73" t="s">
        <v>36</v>
      </c>
      <c r="D5" s="74">
        <f>SUMIF(Master!E:E,Summary!C5,Master!F:F)-E5</f>
        <v>976828.63</v>
      </c>
      <c r="E5" s="75">
        <v>25685.500000000029</v>
      </c>
      <c r="F5" s="75">
        <v>415208.10000000009</v>
      </c>
      <c r="G5" s="106">
        <v>15000</v>
      </c>
      <c r="H5" s="107">
        <v>499500</v>
      </c>
      <c r="I5" s="75">
        <v>122250</v>
      </c>
      <c r="J5" s="106">
        <v>140000</v>
      </c>
      <c r="K5" s="106">
        <v>81375</v>
      </c>
      <c r="L5" s="107">
        <v>104225</v>
      </c>
      <c r="M5" s="75">
        <v>262120</v>
      </c>
      <c r="N5" s="75">
        <v>26130</v>
      </c>
      <c r="O5" s="75"/>
      <c r="P5" s="75">
        <f>967468-0.37</f>
        <v>967467.63</v>
      </c>
      <c r="Q5" s="75">
        <f t="shared" ref="Q5:Q41" si="1">+I5</f>
        <v>122250</v>
      </c>
      <c r="R5" s="75">
        <v>352161.69999999995</v>
      </c>
      <c r="S5" s="75"/>
      <c r="T5" s="75">
        <v>27370</v>
      </c>
      <c r="U5" s="75">
        <f t="shared" si="0"/>
        <v>0</v>
      </c>
      <c r="V5" s="75">
        <f t="shared" si="0"/>
        <v>940097.63</v>
      </c>
      <c r="W5" s="107">
        <f>D5+G5+H5+I5-K5-L5-M5-V5+U5</f>
        <v>225760.99999999988</v>
      </c>
      <c r="X5" s="132">
        <f t="shared" ref="X5:X34" si="2">E5+J5-N5-T5+S5</f>
        <v>112185.50000000003</v>
      </c>
      <c r="Y5" s="132">
        <f t="shared" ref="Y5:Y34" si="3">F5-I5+M5-R5+Q5</f>
        <v>325166.40000000014</v>
      </c>
      <c r="Z5" s="76">
        <v>225760.99999999988</v>
      </c>
      <c r="AA5" s="76">
        <v>112185.50000000003</v>
      </c>
      <c r="AB5" s="76">
        <v>325166.40000000014</v>
      </c>
      <c r="AC5" s="131">
        <f t="shared" ref="AC5:AC35" si="4">W5-Z5</f>
        <v>0</v>
      </c>
      <c r="AD5" s="117">
        <f t="shared" ref="AD5:AD35" si="5">X5-AA5</f>
        <v>0</v>
      </c>
      <c r="AE5" s="131">
        <f t="shared" ref="AE5:AE35" si="6">Y5-AB5</f>
        <v>0</v>
      </c>
      <c r="AF5" s="80"/>
      <c r="AG5" s="80">
        <v>122.43</v>
      </c>
      <c r="AH5" s="80">
        <f>W5*AG5</f>
        <v>27639919.229999986</v>
      </c>
      <c r="AI5" s="80">
        <f>Y5*AG5</f>
        <v>39810122.35200002</v>
      </c>
      <c r="AJ5" s="124"/>
      <c r="AK5" s="124"/>
      <c r="AL5" s="124"/>
      <c r="AM5" s="124"/>
      <c r="AN5" s="124"/>
      <c r="AO5" s="50"/>
      <c r="AP5" s="51"/>
      <c r="AQ5" s="51"/>
      <c r="AR5" s="35"/>
      <c r="AS5" s="41">
        <f>+D5-AP5</f>
        <v>976828.63</v>
      </c>
      <c r="AT5" s="41">
        <f>+E5-AQ5</f>
        <v>25685.500000000029</v>
      </c>
      <c r="AU5" s="41">
        <f>+F5-AR5</f>
        <v>415208.10000000009</v>
      </c>
      <c r="AV5" s="36"/>
      <c r="AW5" s="36"/>
      <c r="AX5" s="36"/>
      <c r="AY5" s="43">
        <f>+W5-AV5</f>
        <v>225760.99999999988</v>
      </c>
      <c r="AZ5" s="43">
        <f>+X5-AW5</f>
        <v>112185.50000000003</v>
      </c>
      <c r="BA5" s="43">
        <f>+Y5-AX5</f>
        <v>325166.40000000014</v>
      </c>
      <c r="BE5" s="10">
        <v>1109750</v>
      </c>
      <c r="BF5" s="10">
        <f>+H5-BE5</f>
        <v>-610250</v>
      </c>
      <c r="BH5" s="24"/>
      <c r="BJ5" s="29"/>
    </row>
    <row r="6" spans="1:62" x14ac:dyDescent="0.25">
      <c r="A6" s="72" t="str">
        <f>VLOOKUP(C6,Master!A:D,4,0)</f>
        <v>RM</v>
      </c>
      <c r="B6" s="73" t="str">
        <f>VLOOKUP(C6,Master!A:C,3,0)</f>
        <v>Granuals</v>
      </c>
      <c r="C6" s="73" t="s">
        <v>37</v>
      </c>
      <c r="D6" s="75">
        <f>SUMIF(Master!E:E,Summary!C6,Master!F:F)-E6</f>
        <v>2574.9499999999998</v>
      </c>
      <c r="E6" s="75">
        <v>0</v>
      </c>
      <c r="F6" s="75">
        <v>0</v>
      </c>
      <c r="G6" s="106">
        <v>5000</v>
      </c>
      <c r="H6" s="106">
        <v>22000</v>
      </c>
      <c r="I6" s="75"/>
      <c r="J6" s="106"/>
      <c r="K6" s="106">
        <v>22000</v>
      </c>
      <c r="L6" s="106"/>
      <c r="M6" s="75"/>
      <c r="N6" s="75"/>
      <c r="O6" s="75"/>
      <c r="P6" s="75">
        <f>1375-0.05</f>
        <v>1374.95</v>
      </c>
      <c r="Q6" s="75">
        <f t="shared" si="1"/>
        <v>0</v>
      </c>
      <c r="R6" s="75"/>
      <c r="S6" s="75"/>
      <c r="T6" s="75"/>
      <c r="U6" s="75">
        <f t="shared" si="0"/>
        <v>0</v>
      </c>
      <c r="V6" s="75">
        <f t="shared" si="0"/>
        <v>1374.95</v>
      </c>
      <c r="W6" s="107">
        <f t="shared" ref="W6:W41" si="7">D6+G6+H6+I6-K6-L6-M6-V6+U6</f>
        <v>6200.0000000000009</v>
      </c>
      <c r="X6" s="132">
        <f t="shared" si="2"/>
        <v>0</v>
      </c>
      <c r="Y6" s="132">
        <f t="shared" si="3"/>
        <v>0</v>
      </c>
      <c r="Z6" s="76">
        <v>6200.0000000000009</v>
      </c>
      <c r="AA6" s="76">
        <v>0</v>
      </c>
      <c r="AB6" s="76">
        <v>0</v>
      </c>
      <c r="AC6" s="131">
        <f t="shared" si="4"/>
        <v>0</v>
      </c>
      <c r="AD6" s="131">
        <f t="shared" si="5"/>
        <v>0</v>
      </c>
      <c r="AE6" s="131">
        <f t="shared" si="6"/>
        <v>0</v>
      </c>
      <c r="AF6" s="80"/>
      <c r="AG6" s="80">
        <v>141.07</v>
      </c>
      <c r="AH6" s="80">
        <f t="shared" ref="AH6:AH41" si="8">W6*AG6</f>
        <v>874634.00000000012</v>
      </c>
      <c r="AI6" s="80">
        <f t="shared" ref="AI6:AI41" si="9">Y6*AG6</f>
        <v>0</v>
      </c>
      <c r="AJ6" s="124"/>
      <c r="AK6" s="124"/>
      <c r="AL6" s="124"/>
      <c r="AM6" s="124"/>
      <c r="AN6" s="124"/>
      <c r="AO6" s="50"/>
      <c r="AP6" s="51"/>
      <c r="AQ6" s="51"/>
      <c r="AR6" s="35"/>
      <c r="AS6" s="41">
        <f t="shared" ref="AS6:AS41" si="10">+D6-AP6</f>
        <v>2574.9499999999998</v>
      </c>
      <c r="AT6" s="41">
        <f t="shared" ref="AT6:AT41" si="11">+E6-AQ6</f>
        <v>0</v>
      </c>
      <c r="AU6" s="41">
        <f t="shared" ref="AU6:AU41" si="12">+F6-AR6</f>
        <v>0</v>
      </c>
      <c r="AV6" s="36"/>
      <c r="AW6" s="36"/>
      <c r="AX6" s="36"/>
      <c r="AY6" s="43">
        <f t="shared" ref="AY6:AY41" si="13">+W6-AV6</f>
        <v>6200.0000000000009</v>
      </c>
      <c r="AZ6" s="43">
        <f t="shared" ref="AZ6:AZ41" si="14">+X6-AW6</f>
        <v>0</v>
      </c>
      <c r="BA6" s="43">
        <f t="shared" ref="BA6:BA41" si="15">+Y6-AX6</f>
        <v>0</v>
      </c>
      <c r="BE6" s="10"/>
      <c r="BF6" s="10">
        <f t="shared" ref="BF6:BF40" si="16">+H6-BE6</f>
        <v>22000</v>
      </c>
      <c r="BJ6" s="29"/>
    </row>
    <row r="7" spans="1:62" x14ac:dyDescent="0.25">
      <c r="A7" s="72" t="str">
        <f>VLOOKUP(C7,Master!A:D,4,0)</f>
        <v>RM</v>
      </c>
      <c r="B7" s="73" t="str">
        <f>VLOOKUP(C7,Master!A:C,3,0)</f>
        <v>Granuals</v>
      </c>
      <c r="C7" s="73" t="s">
        <v>39</v>
      </c>
      <c r="D7" s="75">
        <f>SUMIF(Master!E:E,Summary!C7,Master!F:F)-E7</f>
        <v>110405.92499999997</v>
      </c>
      <c r="E7" s="75">
        <v>45.600000000020373</v>
      </c>
      <c r="F7" s="75">
        <v>101302.03</v>
      </c>
      <c r="G7" s="106">
        <v>10000</v>
      </c>
      <c r="H7" s="106">
        <v>50700</v>
      </c>
      <c r="I7" s="80"/>
      <c r="J7" s="108"/>
      <c r="K7" s="106">
        <v>2750</v>
      </c>
      <c r="L7" s="106"/>
      <c r="M7" s="80">
        <v>5000</v>
      </c>
      <c r="N7" s="98"/>
      <c r="O7" s="75"/>
      <c r="P7" s="75">
        <f>91672-0.075</f>
        <v>91671.925000000003</v>
      </c>
      <c r="Q7" s="75">
        <f t="shared" si="1"/>
        <v>0</v>
      </c>
      <c r="R7" s="75">
        <v>24801.3</v>
      </c>
      <c r="S7" s="75"/>
      <c r="T7" s="75"/>
      <c r="U7" s="75">
        <f t="shared" si="0"/>
        <v>0</v>
      </c>
      <c r="V7" s="75">
        <f t="shared" si="0"/>
        <v>91671.925000000003</v>
      </c>
      <c r="W7" s="107">
        <f t="shared" si="7"/>
        <v>71683.999999999985</v>
      </c>
      <c r="X7" s="132">
        <f>E7+J7-N7-T7+S7</f>
        <v>45.600000000020373</v>
      </c>
      <c r="Y7" s="132">
        <f t="shared" si="3"/>
        <v>81500.73</v>
      </c>
      <c r="Z7" s="76">
        <v>71683.999999999985</v>
      </c>
      <c r="AA7" s="76">
        <v>45.600000000020373</v>
      </c>
      <c r="AB7" s="76">
        <v>81500.73</v>
      </c>
      <c r="AC7" s="131">
        <f t="shared" si="4"/>
        <v>0</v>
      </c>
      <c r="AD7" s="131">
        <f t="shared" si="5"/>
        <v>0</v>
      </c>
      <c r="AE7" s="131">
        <f t="shared" si="6"/>
        <v>0</v>
      </c>
      <c r="AF7" s="80"/>
      <c r="AG7" s="80">
        <v>152.59</v>
      </c>
      <c r="AH7" s="80">
        <f t="shared" si="8"/>
        <v>10938261.559999999</v>
      </c>
      <c r="AI7" s="80">
        <f t="shared" si="9"/>
        <v>12436196.390699999</v>
      </c>
      <c r="AJ7" s="124"/>
      <c r="AK7" s="124"/>
      <c r="AL7" s="124"/>
      <c r="AM7" s="124"/>
      <c r="AN7" s="124"/>
      <c r="AO7" s="50"/>
      <c r="AP7" s="51"/>
      <c r="AQ7" s="51"/>
      <c r="AR7" s="35"/>
      <c r="AS7" s="41">
        <f t="shared" si="10"/>
        <v>110405.92499999997</v>
      </c>
      <c r="AT7" s="41">
        <f t="shared" si="11"/>
        <v>45.600000000020373</v>
      </c>
      <c r="AU7" s="41">
        <f t="shared" si="12"/>
        <v>101302.03</v>
      </c>
      <c r="AV7" s="36"/>
      <c r="AW7" s="36"/>
      <c r="AX7" s="36"/>
      <c r="AY7" s="43">
        <f t="shared" si="13"/>
        <v>71683.999999999985</v>
      </c>
      <c r="AZ7" s="43">
        <f t="shared" si="14"/>
        <v>45.600000000020373</v>
      </c>
      <c r="BA7" s="43">
        <f t="shared" si="15"/>
        <v>81500.73</v>
      </c>
      <c r="BE7" s="10">
        <v>100000</v>
      </c>
      <c r="BF7" s="10">
        <f t="shared" si="16"/>
        <v>-49300</v>
      </c>
      <c r="BJ7" s="29"/>
    </row>
    <row r="8" spans="1:62" ht="15.75" thickBot="1" x14ac:dyDescent="0.3">
      <c r="A8" s="72" t="str">
        <f>VLOOKUP(C8,Master!A:D,4,0)</f>
        <v>RM</v>
      </c>
      <c r="B8" s="73" t="str">
        <f>VLOOKUP(C8,Master!A:C,3,0)</f>
        <v>Granuals</v>
      </c>
      <c r="C8" s="73" t="s">
        <v>40</v>
      </c>
      <c r="D8" s="77">
        <f>SUMIF(Master!E:E,Summary!C8,Master!F:F)-E8</f>
        <v>209617.79499999998</v>
      </c>
      <c r="E8" s="75">
        <v>9.0949470177292824E-12</v>
      </c>
      <c r="F8" s="75">
        <v>43288</v>
      </c>
      <c r="G8" s="106"/>
      <c r="H8" s="106">
        <v>140000</v>
      </c>
      <c r="I8" s="75"/>
      <c r="J8" s="106"/>
      <c r="K8" s="106"/>
      <c r="L8" s="106"/>
      <c r="M8" s="75">
        <v>64000</v>
      </c>
      <c r="N8" s="75"/>
      <c r="O8" s="75"/>
      <c r="P8" s="75">
        <f>195997-1.205</f>
        <v>195995.79500000001</v>
      </c>
      <c r="Q8" s="75">
        <f t="shared" si="1"/>
        <v>0</v>
      </c>
      <c r="R8" s="75">
        <v>7726</v>
      </c>
      <c r="S8" s="75"/>
      <c r="T8" s="75"/>
      <c r="U8" s="75">
        <f t="shared" si="0"/>
        <v>0</v>
      </c>
      <c r="V8" s="75">
        <f t="shared" si="0"/>
        <v>195995.79500000001</v>
      </c>
      <c r="W8" s="107">
        <f t="shared" si="7"/>
        <v>89621.999999999971</v>
      </c>
      <c r="X8" s="132">
        <f t="shared" si="2"/>
        <v>9.0949470177292824E-12</v>
      </c>
      <c r="Y8" s="132">
        <f t="shared" si="3"/>
        <v>99562</v>
      </c>
      <c r="Z8" s="76">
        <v>89621.999999999971</v>
      </c>
      <c r="AA8" s="76">
        <v>9.0949470177292824E-12</v>
      </c>
      <c r="AB8" s="76">
        <v>99562</v>
      </c>
      <c r="AC8" s="131">
        <f t="shared" si="4"/>
        <v>0</v>
      </c>
      <c r="AD8" s="131">
        <f t="shared" si="5"/>
        <v>0</v>
      </c>
      <c r="AE8" s="131">
        <f t="shared" si="6"/>
        <v>0</v>
      </c>
      <c r="AF8" s="80"/>
      <c r="AG8" s="80">
        <v>121.5</v>
      </c>
      <c r="AH8" s="80">
        <f t="shared" si="8"/>
        <v>10889072.999999996</v>
      </c>
      <c r="AI8" s="80">
        <f t="shared" si="9"/>
        <v>12096783</v>
      </c>
      <c r="AJ8" s="124"/>
      <c r="AK8" s="124"/>
      <c r="AL8" s="124"/>
      <c r="AM8" s="124"/>
      <c r="AN8" s="124"/>
      <c r="AO8" s="50"/>
      <c r="AP8" s="51"/>
      <c r="AQ8" s="51"/>
      <c r="AR8" s="35"/>
      <c r="AS8" s="41">
        <f t="shared" si="10"/>
        <v>209617.79499999998</v>
      </c>
      <c r="AT8" s="41">
        <f t="shared" si="11"/>
        <v>9.0949470177292824E-12</v>
      </c>
      <c r="AU8" s="41">
        <f t="shared" si="12"/>
        <v>43288</v>
      </c>
      <c r="AV8" s="36"/>
      <c r="AW8" s="36"/>
      <c r="AX8" s="36"/>
      <c r="AY8" s="43">
        <f t="shared" si="13"/>
        <v>89621.999999999971</v>
      </c>
      <c r="AZ8" s="43">
        <f t="shared" si="14"/>
        <v>9.0949470177292824E-12</v>
      </c>
      <c r="BA8" s="43">
        <f t="shared" si="15"/>
        <v>99562</v>
      </c>
      <c r="BE8" s="10">
        <f>125000+24750</f>
        <v>149750</v>
      </c>
      <c r="BF8" s="10">
        <f t="shared" si="16"/>
        <v>-9750</v>
      </c>
      <c r="BJ8" s="29"/>
    </row>
    <row r="9" spans="1:62" x14ac:dyDescent="0.25">
      <c r="A9" s="72" t="str">
        <f>VLOOKUP(C9,Master!A:D,4,0)</f>
        <v>RM</v>
      </c>
      <c r="B9" s="73" t="str">
        <f>VLOOKUP(C9,Master!A:C,3,0)</f>
        <v>Granuals</v>
      </c>
      <c r="C9" s="73" t="s">
        <v>43</v>
      </c>
      <c r="D9" s="75">
        <f>SUMIF(Master!E:E,Summary!C9,Master!F:F)-E9</f>
        <v>50014.220000000008</v>
      </c>
      <c r="E9" s="75">
        <v>0</v>
      </c>
      <c r="F9" s="75">
        <v>63200.2</v>
      </c>
      <c r="G9" s="109">
        <v>18300</v>
      </c>
      <c r="H9" s="109">
        <v>16507</v>
      </c>
      <c r="I9" s="75"/>
      <c r="J9" s="98"/>
      <c r="K9" s="98">
        <v>5650</v>
      </c>
      <c r="L9" s="106"/>
      <c r="M9" s="75">
        <v>8200</v>
      </c>
      <c r="N9" s="75"/>
      <c r="O9" s="75"/>
      <c r="P9" s="75">
        <v>42186.22</v>
      </c>
      <c r="Q9" s="75">
        <f t="shared" si="1"/>
        <v>0</v>
      </c>
      <c r="R9" s="71">
        <v>39718.1</v>
      </c>
      <c r="S9" s="75"/>
      <c r="T9" s="75"/>
      <c r="U9" s="75">
        <f t="shared" si="0"/>
        <v>0</v>
      </c>
      <c r="V9" s="75">
        <f t="shared" si="0"/>
        <v>42186.22</v>
      </c>
      <c r="W9" s="107">
        <f t="shared" si="7"/>
        <v>28785</v>
      </c>
      <c r="X9" s="132">
        <f t="shared" si="2"/>
        <v>0</v>
      </c>
      <c r="Y9" s="132">
        <f t="shared" si="3"/>
        <v>31682.1</v>
      </c>
      <c r="Z9" s="76">
        <v>28785</v>
      </c>
      <c r="AA9" s="76">
        <v>0</v>
      </c>
      <c r="AB9" s="76">
        <v>31682.1</v>
      </c>
      <c r="AC9" s="131">
        <f t="shared" si="4"/>
        <v>0</v>
      </c>
      <c r="AD9" s="131">
        <f t="shared" si="5"/>
        <v>0</v>
      </c>
      <c r="AE9" s="131">
        <f t="shared" si="6"/>
        <v>0</v>
      </c>
      <c r="AF9" s="80"/>
      <c r="AG9" s="80">
        <v>215.68</v>
      </c>
      <c r="AH9" s="80">
        <f t="shared" si="8"/>
        <v>6208348.7999999998</v>
      </c>
      <c r="AI9" s="80">
        <f t="shared" si="9"/>
        <v>6833195.3279999997</v>
      </c>
      <c r="AJ9" s="124"/>
      <c r="AK9" s="124"/>
      <c r="AL9" s="124"/>
      <c r="AM9" s="124"/>
      <c r="AN9" s="124"/>
      <c r="AO9" s="50"/>
      <c r="AP9" s="51"/>
      <c r="AQ9" s="51"/>
      <c r="AR9" s="35"/>
      <c r="AS9" s="41">
        <f t="shared" si="10"/>
        <v>50014.220000000008</v>
      </c>
      <c r="AT9" s="41">
        <f t="shared" si="11"/>
        <v>0</v>
      </c>
      <c r="AU9" s="41">
        <f t="shared" si="12"/>
        <v>63200.2</v>
      </c>
      <c r="AV9" s="36"/>
      <c r="AW9" s="36"/>
      <c r="AX9" s="36"/>
      <c r="AY9" s="43">
        <f t="shared" si="13"/>
        <v>28785</v>
      </c>
      <c r="AZ9" s="43">
        <f t="shared" si="14"/>
        <v>0</v>
      </c>
      <c r="BA9" s="43">
        <f t="shared" si="15"/>
        <v>31682.1</v>
      </c>
      <c r="BC9" s="44"/>
      <c r="BE9" s="10">
        <f>15320.6+30200</f>
        <v>45520.6</v>
      </c>
      <c r="BF9" s="10">
        <f t="shared" si="16"/>
        <v>-29013.599999999999</v>
      </c>
      <c r="BJ9" s="29"/>
    </row>
    <row r="10" spans="1:62" x14ac:dyDescent="0.25">
      <c r="A10" s="72" t="str">
        <f>VLOOKUP(C10,Master!A:D,4,0)</f>
        <v>RM</v>
      </c>
      <c r="B10" s="73" t="str">
        <f>VLOOKUP(C10,Master!A:C,3,0)</f>
        <v>Craft Paper</v>
      </c>
      <c r="C10" s="110" t="s">
        <v>846</v>
      </c>
      <c r="D10" s="75">
        <f>SUMIF(Master!E:E,Summary!C10,Master!F:F)-E10</f>
        <v>22897</v>
      </c>
      <c r="E10" s="75">
        <v>0</v>
      </c>
      <c r="F10" s="75">
        <v>54</v>
      </c>
      <c r="G10" s="75"/>
      <c r="H10" s="75">
        <v>16614</v>
      </c>
      <c r="I10" s="75">
        <v>54</v>
      </c>
      <c r="J10" s="75"/>
      <c r="K10" s="75"/>
      <c r="L10" s="75"/>
      <c r="M10" s="75"/>
      <c r="N10" s="75"/>
      <c r="O10" s="75"/>
      <c r="P10" s="75">
        <v>22518</v>
      </c>
      <c r="Q10" s="75">
        <f t="shared" si="1"/>
        <v>54</v>
      </c>
      <c r="R10" s="75">
        <v>54</v>
      </c>
      <c r="S10" s="75"/>
      <c r="T10" s="75"/>
      <c r="U10" s="75">
        <f t="shared" si="0"/>
        <v>0</v>
      </c>
      <c r="V10" s="75">
        <f t="shared" si="0"/>
        <v>22518</v>
      </c>
      <c r="W10" s="107">
        <f t="shared" si="7"/>
        <v>17047</v>
      </c>
      <c r="X10" s="132">
        <f t="shared" si="2"/>
        <v>0</v>
      </c>
      <c r="Y10" s="132">
        <f t="shared" si="3"/>
        <v>0</v>
      </c>
      <c r="Z10" s="76">
        <v>17047</v>
      </c>
      <c r="AA10" s="76">
        <v>0</v>
      </c>
      <c r="AB10" s="76">
        <v>0</v>
      </c>
      <c r="AC10" s="131">
        <f t="shared" si="4"/>
        <v>0</v>
      </c>
      <c r="AD10" s="131">
        <f t="shared" si="5"/>
        <v>0</v>
      </c>
      <c r="AE10" s="131">
        <f t="shared" si="6"/>
        <v>0</v>
      </c>
      <c r="AF10" s="80"/>
      <c r="AG10" s="107">
        <v>71.87</v>
      </c>
      <c r="AH10" s="80">
        <f t="shared" si="8"/>
        <v>1225167.8900000001</v>
      </c>
      <c r="AI10" s="80">
        <f t="shared" si="9"/>
        <v>0</v>
      </c>
      <c r="AJ10" s="124"/>
      <c r="AK10" s="124"/>
      <c r="AL10" s="124"/>
      <c r="AM10" s="124"/>
      <c r="AN10" s="124"/>
      <c r="AP10" s="35"/>
      <c r="AQ10" s="35"/>
      <c r="AR10" s="35"/>
      <c r="AS10" s="41">
        <f t="shared" si="10"/>
        <v>22897</v>
      </c>
      <c r="AT10" s="41">
        <f t="shared" si="11"/>
        <v>0</v>
      </c>
      <c r="AU10" s="41">
        <f t="shared" si="12"/>
        <v>54</v>
      </c>
      <c r="AV10" s="36"/>
      <c r="AW10" s="36"/>
      <c r="AX10" s="36"/>
      <c r="AY10" s="43">
        <f t="shared" si="13"/>
        <v>17047</v>
      </c>
      <c r="AZ10" s="43">
        <f t="shared" si="14"/>
        <v>0</v>
      </c>
      <c r="BA10" s="43">
        <f t="shared" si="15"/>
        <v>0</v>
      </c>
      <c r="BE10" s="10">
        <v>9078</v>
      </c>
      <c r="BF10" s="10">
        <f t="shared" si="16"/>
        <v>7536</v>
      </c>
      <c r="BJ10" s="29"/>
    </row>
    <row r="11" spans="1:62" x14ac:dyDescent="0.25">
      <c r="A11" s="72" t="str">
        <f>VLOOKUP(C11,Master!A:D,4,0)</f>
        <v>RM</v>
      </c>
      <c r="B11" s="73" t="str">
        <f>VLOOKUP(C11,Master!A:C,3,0)</f>
        <v>Films All</v>
      </c>
      <c r="C11" s="73" t="s">
        <v>52</v>
      </c>
      <c r="D11" s="75">
        <f>SUMIF(Master!E:E,Summary!C11,Master!F:F)-E11</f>
        <v>0</v>
      </c>
      <c r="E11" s="75">
        <v>0</v>
      </c>
      <c r="F11" s="75">
        <v>0</v>
      </c>
      <c r="G11" s="80"/>
      <c r="H11" s="80"/>
      <c r="I11" s="80"/>
      <c r="J11" s="80"/>
      <c r="K11" s="80"/>
      <c r="L11" s="80"/>
      <c r="M11" s="80"/>
      <c r="N11" s="75"/>
      <c r="O11" s="75"/>
      <c r="P11" s="75"/>
      <c r="Q11" s="75">
        <f t="shared" si="1"/>
        <v>0</v>
      </c>
      <c r="R11" s="75"/>
      <c r="S11" s="75"/>
      <c r="T11" s="75"/>
      <c r="U11" s="75">
        <f t="shared" si="0"/>
        <v>0</v>
      </c>
      <c r="V11" s="75">
        <f t="shared" si="0"/>
        <v>0</v>
      </c>
      <c r="W11" s="107">
        <f t="shared" si="7"/>
        <v>0</v>
      </c>
      <c r="X11" s="132">
        <f t="shared" si="2"/>
        <v>0</v>
      </c>
      <c r="Y11" s="132">
        <f t="shared" si="3"/>
        <v>0</v>
      </c>
      <c r="Z11" s="76">
        <v>0</v>
      </c>
      <c r="AA11" s="76">
        <v>0</v>
      </c>
      <c r="AB11" s="76">
        <v>0</v>
      </c>
      <c r="AC11" s="131">
        <f t="shared" si="4"/>
        <v>0</v>
      </c>
      <c r="AD11" s="131">
        <f t="shared" si="5"/>
        <v>0</v>
      </c>
      <c r="AE11" s="131">
        <f t="shared" si="6"/>
        <v>0</v>
      </c>
      <c r="AF11" s="80"/>
      <c r="AG11" s="80">
        <v>0</v>
      </c>
      <c r="AH11" s="80">
        <f t="shared" si="8"/>
        <v>0</v>
      </c>
      <c r="AI11" s="80">
        <f t="shared" si="9"/>
        <v>0</v>
      </c>
      <c r="AJ11" s="124"/>
      <c r="AK11" s="124"/>
      <c r="AL11" s="124"/>
      <c r="AM11" s="124"/>
      <c r="AN11" s="124"/>
      <c r="AP11" s="35"/>
      <c r="AQ11" s="35"/>
      <c r="AR11" s="35"/>
      <c r="AS11" s="41">
        <f t="shared" si="10"/>
        <v>0</v>
      </c>
      <c r="AT11" s="41">
        <f t="shared" si="11"/>
        <v>0</v>
      </c>
      <c r="AU11" s="41">
        <f t="shared" si="12"/>
        <v>0</v>
      </c>
      <c r="AV11" s="36"/>
      <c r="AW11" s="36"/>
      <c r="AX11" s="36"/>
      <c r="AY11" s="43">
        <f t="shared" si="13"/>
        <v>0</v>
      </c>
      <c r="AZ11" s="43">
        <f t="shared" si="14"/>
        <v>0</v>
      </c>
      <c r="BA11" s="43">
        <f t="shared" si="15"/>
        <v>0</v>
      </c>
      <c r="BE11" s="10"/>
      <c r="BF11" s="10">
        <f t="shared" si="16"/>
        <v>0</v>
      </c>
      <c r="BJ11" s="29"/>
    </row>
    <row r="12" spans="1:62" x14ac:dyDescent="0.25">
      <c r="A12" s="72" t="str">
        <f>VLOOKUP(C12,Master!A:D,4,0)</f>
        <v>RM</v>
      </c>
      <c r="B12" s="73" t="str">
        <f>VLOOKUP(C12,Master!A:C,3,0)</f>
        <v>Granuals</v>
      </c>
      <c r="C12" s="73" t="s">
        <v>59</v>
      </c>
      <c r="D12" s="75">
        <f>SUMIF(Master!E:E,Summary!C12,Master!F:F)-E12</f>
        <v>15892.407499999992</v>
      </c>
      <c r="E12" s="75">
        <v>0</v>
      </c>
      <c r="F12" s="75">
        <v>0</v>
      </c>
      <c r="G12" s="110"/>
      <c r="H12" s="109">
        <v>60000</v>
      </c>
      <c r="I12" s="106"/>
      <c r="J12" s="109"/>
      <c r="K12" s="109">
        <v>17500</v>
      </c>
      <c r="L12" s="106"/>
      <c r="M12" s="106"/>
      <c r="N12" s="75"/>
      <c r="O12" s="75"/>
      <c r="P12" s="75">
        <v>55345.406999999999</v>
      </c>
      <c r="Q12" s="75">
        <f t="shared" si="1"/>
        <v>0</v>
      </c>
      <c r="R12" s="75"/>
      <c r="S12" s="75"/>
      <c r="T12" s="75"/>
      <c r="U12" s="75">
        <f t="shared" si="0"/>
        <v>0</v>
      </c>
      <c r="V12" s="75">
        <f t="shared" si="0"/>
        <v>55345.406999999999</v>
      </c>
      <c r="W12" s="107">
        <f t="shared" si="7"/>
        <v>3047.0004999999874</v>
      </c>
      <c r="X12" s="132">
        <f t="shared" si="2"/>
        <v>0</v>
      </c>
      <c r="Y12" s="132">
        <f t="shared" si="3"/>
        <v>0</v>
      </c>
      <c r="Z12" s="76">
        <v>3047.0004999999874</v>
      </c>
      <c r="AA12" s="76">
        <v>0</v>
      </c>
      <c r="AB12" s="76">
        <v>0</v>
      </c>
      <c r="AC12" s="131">
        <f t="shared" si="4"/>
        <v>0</v>
      </c>
      <c r="AD12" s="131">
        <f t="shared" si="5"/>
        <v>0</v>
      </c>
      <c r="AE12" s="131">
        <f t="shared" si="6"/>
        <v>0</v>
      </c>
      <c r="AF12" s="80"/>
      <c r="AG12" s="80">
        <v>39.5</v>
      </c>
      <c r="AH12" s="80">
        <f t="shared" si="8"/>
        <v>120356.5197499995</v>
      </c>
      <c r="AI12" s="80">
        <f t="shared" si="9"/>
        <v>0</v>
      </c>
      <c r="AJ12" s="124"/>
      <c r="AK12" s="124"/>
      <c r="AL12" s="124"/>
      <c r="AM12" s="124"/>
      <c r="AN12" s="124"/>
      <c r="AO12" s="50"/>
      <c r="AP12" s="51"/>
      <c r="AQ12" s="51"/>
      <c r="AR12" s="35"/>
      <c r="AS12" s="41">
        <f t="shared" si="10"/>
        <v>15892.407499999992</v>
      </c>
      <c r="AT12" s="41">
        <f t="shared" si="11"/>
        <v>0</v>
      </c>
      <c r="AU12" s="41">
        <f t="shared" si="12"/>
        <v>0</v>
      </c>
      <c r="AV12" s="36"/>
      <c r="AW12" s="36"/>
      <c r="AX12" s="36"/>
      <c r="AY12" s="43">
        <f t="shared" si="13"/>
        <v>3047.0004999999874</v>
      </c>
      <c r="AZ12" s="43">
        <f t="shared" si="14"/>
        <v>0</v>
      </c>
      <c r="BA12" s="43">
        <f t="shared" si="15"/>
        <v>0</v>
      </c>
      <c r="BE12" s="10">
        <v>60000</v>
      </c>
      <c r="BF12" s="10">
        <f t="shared" si="16"/>
        <v>0</v>
      </c>
      <c r="BJ12" s="29"/>
    </row>
    <row r="13" spans="1:62" x14ac:dyDescent="0.25">
      <c r="A13" s="72" t="str">
        <f>VLOOKUP(C13,Master!A:D,4,0)</f>
        <v>RM</v>
      </c>
      <c r="B13" s="73" t="str">
        <f>VLOOKUP(C13,Master!A:C,3,0)</f>
        <v>Films All</v>
      </c>
      <c r="C13" s="73" t="s">
        <v>125</v>
      </c>
      <c r="D13" s="75">
        <f>SUMIF(Master!E:E,Summary!C13,Master!F:F)-E13</f>
        <v>21659.519999999902</v>
      </c>
      <c r="E13" s="75">
        <v>0</v>
      </c>
      <c r="F13" s="76">
        <v>509.40000000000066</v>
      </c>
      <c r="G13" s="111"/>
      <c r="H13" s="112">
        <f>305.83+2278.45</f>
        <v>2584.2799999999997</v>
      </c>
      <c r="I13" s="80"/>
      <c r="J13" s="80"/>
      <c r="K13" s="113">
        <v>6388.9</v>
      </c>
      <c r="L13" s="113">
        <v>949.7</v>
      </c>
      <c r="M13" s="80"/>
      <c r="N13" s="80"/>
      <c r="O13" s="75">
        <v>303895.09999999998</v>
      </c>
      <c r="P13" s="75">
        <f>310741-0.7</f>
        <v>310740.3</v>
      </c>
      <c r="Q13" s="75">
        <f t="shared" si="1"/>
        <v>0</v>
      </c>
      <c r="R13" s="75">
        <v>314</v>
      </c>
      <c r="S13" s="75"/>
      <c r="T13" s="75"/>
      <c r="U13" s="75">
        <f t="shared" si="0"/>
        <v>303895.09999999998</v>
      </c>
      <c r="V13" s="75">
        <f t="shared" si="0"/>
        <v>310740.3</v>
      </c>
      <c r="W13" s="107">
        <f t="shared" si="7"/>
        <v>10059.999999999884</v>
      </c>
      <c r="X13" s="132">
        <f t="shared" si="2"/>
        <v>0</v>
      </c>
      <c r="Y13" s="132">
        <f t="shared" si="3"/>
        <v>195.40000000000066</v>
      </c>
      <c r="Z13" s="76">
        <v>10059.999999999884</v>
      </c>
      <c r="AA13" s="76">
        <v>0</v>
      </c>
      <c r="AB13" s="76">
        <v>195.40000000000066</v>
      </c>
      <c r="AC13" s="131">
        <f t="shared" si="4"/>
        <v>0</v>
      </c>
      <c r="AD13" s="131">
        <f t="shared" si="5"/>
        <v>0</v>
      </c>
      <c r="AE13" s="131">
        <f t="shared" si="6"/>
        <v>0</v>
      </c>
      <c r="AF13" s="80"/>
      <c r="AG13" s="80">
        <f>+AG8+22</f>
        <v>143.5</v>
      </c>
      <c r="AH13" s="80">
        <f t="shared" si="8"/>
        <v>1443609.9999999832</v>
      </c>
      <c r="AI13" s="80">
        <f t="shared" si="9"/>
        <v>28039.900000000096</v>
      </c>
      <c r="AJ13" s="124"/>
      <c r="AK13" s="124"/>
      <c r="AL13" s="124"/>
      <c r="AM13" s="124"/>
      <c r="AN13" s="124"/>
      <c r="AO13" s="50"/>
      <c r="AP13" s="51"/>
      <c r="AQ13" s="51"/>
      <c r="AR13" s="35"/>
      <c r="AS13" s="41">
        <f t="shared" si="10"/>
        <v>21659.519999999902</v>
      </c>
      <c r="AT13" s="41">
        <f t="shared" si="11"/>
        <v>0</v>
      </c>
      <c r="AU13" s="41">
        <f t="shared" si="12"/>
        <v>509.40000000000066</v>
      </c>
      <c r="AV13" s="36"/>
      <c r="AW13" s="36"/>
      <c r="AX13" s="36"/>
      <c r="AY13" s="43">
        <f t="shared" si="13"/>
        <v>10059.999999999884</v>
      </c>
      <c r="AZ13" s="43">
        <f t="shared" si="14"/>
        <v>0</v>
      </c>
      <c r="BA13" s="43">
        <f t="shared" si="15"/>
        <v>195.40000000000066</v>
      </c>
      <c r="BC13" s="44"/>
      <c r="BE13" s="10">
        <v>95.9</v>
      </c>
      <c r="BF13" s="10">
        <f t="shared" si="16"/>
        <v>2488.3799999999997</v>
      </c>
      <c r="BJ13" s="29"/>
    </row>
    <row r="14" spans="1:62" x14ac:dyDescent="0.25">
      <c r="A14" s="72" t="e">
        <f>VLOOKUP(C14,Master!A:D,4,0)</f>
        <v>#N/A</v>
      </c>
      <c r="B14" s="73" t="s">
        <v>201</v>
      </c>
      <c r="C14" s="73" t="s">
        <v>201</v>
      </c>
      <c r="D14" s="75">
        <f>SUMIF(Master!E:E,Summary!C14,Master!F:F)-E14</f>
        <v>2231.375</v>
      </c>
      <c r="E14" s="75">
        <v>0</v>
      </c>
      <c r="F14" s="75">
        <v>0</v>
      </c>
      <c r="G14" s="107"/>
      <c r="H14" s="107"/>
      <c r="I14" s="80"/>
      <c r="J14" s="113"/>
      <c r="K14" s="80"/>
      <c r="L14" s="80"/>
      <c r="M14" s="98"/>
      <c r="N14" s="75"/>
      <c r="O14" s="75"/>
      <c r="P14" s="75">
        <v>824.375</v>
      </c>
      <c r="Q14" s="75">
        <f t="shared" si="1"/>
        <v>0</v>
      </c>
      <c r="R14" s="75"/>
      <c r="S14" s="75"/>
      <c r="T14" s="75"/>
      <c r="U14" s="75">
        <f t="shared" si="0"/>
        <v>0</v>
      </c>
      <c r="V14" s="75">
        <f t="shared" si="0"/>
        <v>824.375</v>
      </c>
      <c r="W14" s="107">
        <f t="shared" si="7"/>
        <v>1407</v>
      </c>
      <c r="X14" s="132">
        <f t="shared" si="2"/>
        <v>0</v>
      </c>
      <c r="Y14" s="132">
        <f t="shared" si="3"/>
        <v>0</v>
      </c>
      <c r="Z14" s="76">
        <v>1407</v>
      </c>
      <c r="AA14" s="76">
        <v>0</v>
      </c>
      <c r="AB14" s="76">
        <v>0</v>
      </c>
      <c r="AC14" s="131">
        <f t="shared" si="4"/>
        <v>0</v>
      </c>
      <c r="AD14" s="131">
        <f t="shared" si="5"/>
        <v>0</v>
      </c>
      <c r="AE14" s="131">
        <f t="shared" si="6"/>
        <v>0</v>
      </c>
      <c r="AF14" s="80"/>
      <c r="AG14" s="80">
        <v>146</v>
      </c>
      <c r="AH14" s="80">
        <f t="shared" si="8"/>
        <v>205422</v>
      </c>
      <c r="AI14" s="80">
        <f t="shared" si="9"/>
        <v>0</v>
      </c>
      <c r="AJ14" s="124"/>
      <c r="AK14" s="124"/>
      <c r="AL14" s="124"/>
      <c r="AM14" s="124"/>
      <c r="AN14" s="124"/>
      <c r="AP14" s="35">
        <v>462.9</v>
      </c>
      <c r="AQ14" s="35">
        <v>0</v>
      </c>
      <c r="AR14" s="35">
        <v>0</v>
      </c>
      <c r="AS14" s="41">
        <f t="shared" si="10"/>
        <v>1768.4749999999999</v>
      </c>
      <c r="AT14" s="41">
        <f t="shared" si="11"/>
        <v>0</v>
      </c>
      <c r="AU14" s="41">
        <f t="shared" si="12"/>
        <v>0</v>
      </c>
      <c r="AV14" s="36"/>
      <c r="AW14" s="36"/>
      <c r="AX14" s="36"/>
      <c r="AY14" s="43">
        <f t="shared" si="13"/>
        <v>1407</v>
      </c>
      <c r="AZ14" s="43">
        <f t="shared" si="14"/>
        <v>0</v>
      </c>
      <c r="BA14" s="43">
        <f t="shared" si="15"/>
        <v>0</v>
      </c>
      <c r="BE14" s="10">
        <v>500</v>
      </c>
      <c r="BF14" s="10">
        <f t="shared" si="16"/>
        <v>-500</v>
      </c>
      <c r="BJ14" s="29"/>
    </row>
    <row r="15" spans="1:62" x14ac:dyDescent="0.25">
      <c r="A15" s="72" t="str">
        <f>VLOOKUP(C15,Master!A:D,4,0)</f>
        <v>RM</v>
      </c>
      <c r="B15" s="73" t="str">
        <f>VLOOKUP(C15,Master!A:C,3,0)</f>
        <v>Granuals</v>
      </c>
      <c r="C15" s="73" t="s">
        <v>296</v>
      </c>
      <c r="D15" s="75">
        <f>SUMIF(Master!E:E,Summary!C15,Master!F:F)-E15</f>
        <v>0</v>
      </c>
      <c r="E15" s="75">
        <v>0</v>
      </c>
      <c r="F15" s="75">
        <v>0</v>
      </c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>
        <f t="shared" si="1"/>
        <v>0</v>
      </c>
      <c r="R15" s="75"/>
      <c r="S15" s="75"/>
      <c r="T15" s="75"/>
      <c r="U15" s="75">
        <f t="shared" si="0"/>
        <v>0</v>
      </c>
      <c r="V15" s="75">
        <f t="shared" si="0"/>
        <v>0</v>
      </c>
      <c r="W15" s="107">
        <f t="shared" si="7"/>
        <v>0</v>
      </c>
      <c r="X15" s="132">
        <f t="shared" si="2"/>
        <v>0</v>
      </c>
      <c r="Y15" s="132">
        <f t="shared" si="3"/>
        <v>0</v>
      </c>
      <c r="Z15" s="76">
        <v>0</v>
      </c>
      <c r="AA15" s="76">
        <v>0</v>
      </c>
      <c r="AB15" s="76">
        <v>0</v>
      </c>
      <c r="AC15" s="131">
        <f t="shared" si="4"/>
        <v>0</v>
      </c>
      <c r="AD15" s="131">
        <f t="shared" si="5"/>
        <v>0</v>
      </c>
      <c r="AE15" s="131">
        <f t="shared" si="6"/>
        <v>0</v>
      </c>
      <c r="AF15" s="80"/>
      <c r="AG15" s="80">
        <v>0</v>
      </c>
      <c r="AH15" s="80">
        <f t="shared" si="8"/>
        <v>0</v>
      </c>
      <c r="AI15" s="80">
        <f t="shared" si="9"/>
        <v>0</v>
      </c>
      <c r="AJ15" s="124"/>
      <c r="AK15" s="124"/>
      <c r="AL15" s="124"/>
      <c r="AM15" s="124"/>
      <c r="AN15" s="124"/>
      <c r="AP15" s="35"/>
      <c r="AQ15" s="35"/>
      <c r="AR15" s="35"/>
      <c r="AS15" s="41">
        <f t="shared" si="10"/>
        <v>0</v>
      </c>
      <c r="AT15" s="41">
        <f t="shared" si="11"/>
        <v>0</v>
      </c>
      <c r="AU15" s="41">
        <f t="shared" si="12"/>
        <v>0</v>
      </c>
      <c r="AV15" s="36"/>
      <c r="AW15" s="36"/>
      <c r="AX15" s="36"/>
      <c r="AY15" s="43">
        <f t="shared" si="13"/>
        <v>0</v>
      </c>
      <c r="AZ15" s="43">
        <f t="shared" si="14"/>
        <v>0</v>
      </c>
      <c r="BA15" s="43">
        <f t="shared" si="15"/>
        <v>0</v>
      </c>
      <c r="BE15" s="10"/>
      <c r="BF15" s="10">
        <f t="shared" si="16"/>
        <v>0</v>
      </c>
      <c r="BJ15" s="29"/>
    </row>
    <row r="16" spans="1:62" x14ac:dyDescent="0.25">
      <c r="A16" s="72" t="str">
        <f>VLOOKUP(C16,Master!A:D,4,0)</f>
        <v>RM</v>
      </c>
      <c r="B16" s="73" t="str">
        <f>VLOOKUP(C16,Master!A:C,3,0)</f>
        <v>Films All</v>
      </c>
      <c r="C16" s="73" t="s">
        <v>307</v>
      </c>
      <c r="D16" s="75">
        <f>SUMIF(Master!E:E,Summary!C16,Master!F:F)-E16</f>
        <v>5854.9999999999991</v>
      </c>
      <c r="E16" s="75">
        <v>0</v>
      </c>
      <c r="F16" s="74">
        <v>5972.5000000000009</v>
      </c>
      <c r="G16" s="107"/>
      <c r="H16" s="107">
        <v>6120.86</v>
      </c>
      <c r="I16" s="113">
        <v>922</v>
      </c>
      <c r="J16" s="107"/>
      <c r="K16" s="80">
        <v>269.60000000000002</v>
      </c>
      <c r="L16" s="80"/>
      <c r="M16" s="98"/>
      <c r="N16" s="75"/>
      <c r="O16" s="75"/>
      <c r="P16" s="75">
        <v>58.26</v>
      </c>
      <c r="Q16" s="75">
        <f t="shared" si="1"/>
        <v>922</v>
      </c>
      <c r="R16" s="75">
        <v>922</v>
      </c>
      <c r="S16" s="75"/>
      <c r="T16" s="75"/>
      <c r="U16" s="75">
        <f t="shared" si="0"/>
        <v>0</v>
      </c>
      <c r="V16" s="75">
        <f t="shared" si="0"/>
        <v>58.26</v>
      </c>
      <c r="W16" s="107">
        <f t="shared" si="7"/>
        <v>12569.999999999998</v>
      </c>
      <c r="X16" s="132">
        <f t="shared" si="2"/>
        <v>0</v>
      </c>
      <c r="Y16" s="132">
        <f t="shared" si="3"/>
        <v>5050.5000000000009</v>
      </c>
      <c r="Z16" s="76">
        <v>12569.999999999998</v>
      </c>
      <c r="AA16" s="76">
        <v>0</v>
      </c>
      <c r="AB16" s="76">
        <v>5050.5000000000009</v>
      </c>
      <c r="AC16" s="131">
        <f t="shared" si="4"/>
        <v>0</v>
      </c>
      <c r="AD16" s="131">
        <f t="shared" si="5"/>
        <v>0</v>
      </c>
      <c r="AE16" s="131">
        <f t="shared" si="6"/>
        <v>0</v>
      </c>
      <c r="AF16" s="80"/>
      <c r="AG16" s="80">
        <v>186.3</v>
      </c>
      <c r="AH16" s="80">
        <f t="shared" si="8"/>
        <v>2341791</v>
      </c>
      <c r="AI16" s="80">
        <f t="shared" si="9"/>
        <v>940908.15000000026</v>
      </c>
      <c r="AJ16" s="124"/>
      <c r="AK16" s="124"/>
      <c r="AL16" s="124"/>
      <c r="AM16" s="124"/>
      <c r="AN16" s="124"/>
      <c r="AP16" s="35"/>
      <c r="AQ16" s="35"/>
      <c r="AR16" s="35"/>
      <c r="AS16" s="41">
        <f t="shared" si="10"/>
        <v>5854.9999999999991</v>
      </c>
      <c r="AT16" s="41">
        <f t="shared" si="11"/>
        <v>0</v>
      </c>
      <c r="AU16" s="41">
        <f t="shared" si="12"/>
        <v>5972.5000000000009</v>
      </c>
      <c r="AV16" s="36"/>
      <c r="AW16" s="36"/>
      <c r="AX16" s="36"/>
      <c r="AY16" s="43">
        <f t="shared" si="13"/>
        <v>12569.999999999998</v>
      </c>
      <c r="AZ16" s="43">
        <f t="shared" si="14"/>
        <v>0</v>
      </c>
      <c r="BA16" s="43">
        <f t="shared" si="15"/>
        <v>5050.5000000000009</v>
      </c>
      <c r="BE16" s="10">
        <v>4935.38</v>
      </c>
      <c r="BF16" s="10">
        <f t="shared" si="16"/>
        <v>1185.4799999999996</v>
      </c>
      <c r="BJ16" s="29"/>
    </row>
    <row r="17" spans="1:62" x14ac:dyDescent="0.25">
      <c r="A17" s="72" t="str">
        <f>VLOOKUP(C17,Master!A:D,4,0)</f>
        <v>RM</v>
      </c>
      <c r="B17" s="73" t="str">
        <f>VLOOKUP(C17,Master!A:C,3,0)</f>
        <v>Granuals</v>
      </c>
      <c r="C17" s="73" t="s">
        <v>322</v>
      </c>
      <c r="D17" s="75">
        <f>SUMIF(Master!E:E,Summary!C17,Master!F:F)-E17</f>
        <v>0</v>
      </c>
      <c r="E17" s="75">
        <v>0</v>
      </c>
      <c r="F17" s="75">
        <v>0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>
        <f t="shared" si="1"/>
        <v>0</v>
      </c>
      <c r="R17" s="75"/>
      <c r="S17" s="75"/>
      <c r="T17" s="75"/>
      <c r="U17" s="75">
        <f t="shared" si="0"/>
        <v>0</v>
      </c>
      <c r="V17" s="75">
        <f t="shared" si="0"/>
        <v>0</v>
      </c>
      <c r="W17" s="107">
        <f t="shared" si="7"/>
        <v>0</v>
      </c>
      <c r="X17" s="132">
        <f t="shared" si="2"/>
        <v>0</v>
      </c>
      <c r="Y17" s="132">
        <f t="shared" si="3"/>
        <v>0</v>
      </c>
      <c r="Z17" s="76">
        <v>0</v>
      </c>
      <c r="AA17" s="76">
        <v>0</v>
      </c>
      <c r="AB17" s="76">
        <v>0</v>
      </c>
      <c r="AC17" s="131">
        <f t="shared" si="4"/>
        <v>0</v>
      </c>
      <c r="AD17" s="131">
        <f t="shared" si="5"/>
        <v>0</v>
      </c>
      <c r="AE17" s="131">
        <f t="shared" si="6"/>
        <v>0</v>
      </c>
      <c r="AF17" s="80"/>
      <c r="AG17" s="80">
        <v>0</v>
      </c>
      <c r="AH17" s="80">
        <f t="shared" si="8"/>
        <v>0</v>
      </c>
      <c r="AI17" s="80">
        <f t="shared" si="9"/>
        <v>0</v>
      </c>
      <c r="AJ17" s="124"/>
      <c r="AK17" s="124"/>
      <c r="AL17" s="124"/>
      <c r="AM17" s="124"/>
      <c r="AN17" s="124"/>
      <c r="AP17" s="35"/>
      <c r="AQ17" s="35"/>
      <c r="AR17" s="35"/>
      <c r="AS17" s="41">
        <f t="shared" si="10"/>
        <v>0</v>
      </c>
      <c r="AT17" s="41">
        <f t="shared" si="11"/>
        <v>0</v>
      </c>
      <c r="AU17" s="41">
        <f t="shared" si="12"/>
        <v>0</v>
      </c>
      <c r="AV17" s="36"/>
      <c r="AW17" s="36"/>
      <c r="AX17" s="36"/>
      <c r="AY17" s="43">
        <f t="shared" si="13"/>
        <v>0</v>
      </c>
      <c r="AZ17" s="43">
        <f t="shared" si="14"/>
        <v>0</v>
      </c>
      <c r="BA17" s="43">
        <f t="shared" si="15"/>
        <v>0</v>
      </c>
      <c r="BE17" s="10"/>
      <c r="BF17" s="10">
        <f t="shared" si="16"/>
        <v>0</v>
      </c>
      <c r="BJ17" s="29"/>
    </row>
    <row r="18" spans="1:62" x14ac:dyDescent="0.25">
      <c r="A18" s="72" t="str">
        <f>VLOOKUP(C18,Master!A:D,4,0)</f>
        <v>SF</v>
      </c>
      <c r="B18" s="73" t="str">
        <f>VLOOKUP(C18,Master!A:C,3,0)</f>
        <v>Yarn All</v>
      </c>
      <c r="C18" s="73" t="s">
        <v>503</v>
      </c>
      <c r="D18" s="75">
        <f>SUMIF(Master!E:E,Summary!C18,Master!F:F)-E18-D19</f>
        <v>19909.210000000185</v>
      </c>
      <c r="E18" s="75">
        <v>1.9999999967694748E-3</v>
      </c>
      <c r="F18" s="75">
        <v>1977.8099999999704</v>
      </c>
      <c r="G18" s="80"/>
      <c r="H18" s="113">
        <f>3570.8+1017</f>
        <v>4587.8</v>
      </c>
      <c r="I18" s="80"/>
      <c r="J18" s="80"/>
      <c r="K18" s="107">
        <v>64064.75</v>
      </c>
      <c r="L18" s="98">
        <v>24902.34</v>
      </c>
      <c r="M18" s="80">
        <v>2466.1</v>
      </c>
      <c r="N18" s="80"/>
      <c r="O18" s="80">
        <v>221753</v>
      </c>
      <c r="P18" s="80">
        <f>139094-0.18</f>
        <v>139093.82</v>
      </c>
      <c r="Q18" s="75">
        <f t="shared" si="1"/>
        <v>0</v>
      </c>
      <c r="R18" s="75">
        <v>1843.3000000000002</v>
      </c>
      <c r="S18" s="75"/>
      <c r="T18" s="75"/>
      <c r="U18" s="75">
        <f t="shared" si="0"/>
        <v>221753</v>
      </c>
      <c r="V18" s="75">
        <f t="shared" si="0"/>
        <v>139093.82</v>
      </c>
      <c r="W18" s="107">
        <f t="shared" si="7"/>
        <v>15723.000000000175</v>
      </c>
      <c r="X18" s="132">
        <f t="shared" si="2"/>
        <v>1.9999999967694748E-3</v>
      </c>
      <c r="Y18" s="132">
        <f t="shared" si="3"/>
        <v>2600.6099999999706</v>
      </c>
      <c r="Z18" s="76">
        <v>15723.000000000175</v>
      </c>
      <c r="AA18" s="76">
        <v>1.9999999967694748E-3</v>
      </c>
      <c r="AB18" s="76">
        <v>2600.6099999999706</v>
      </c>
      <c r="AC18" s="131">
        <f t="shared" si="4"/>
        <v>0</v>
      </c>
      <c r="AD18" s="131">
        <f t="shared" si="5"/>
        <v>0</v>
      </c>
      <c r="AE18" s="131">
        <f t="shared" si="6"/>
        <v>0</v>
      </c>
      <c r="AF18" s="80"/>
      <c r="AG18" s="107">
        <f>154.09*0.97</f>
        <v>149.46729999999999</v>
      </c>
      <c r="AH18" s="80">
        <f t="shared" si="8"/>
        <v>2350074.3579000258</v>
      </c>
      <c r="AI18" s="80">
        <f t="shared" si="9"/>
        <v>388706.1550529956</v>
      </c>
      <c r="AJ18" s="124"/>
      <c r="AK18" s="124"/>
      <c r="AL18" s="124"/>
      <c r="AM18" s="124"/>
      <c r="AN18" s="124"/>
      <c r="AO18" s="52"/>
      <c r="AP18" s="51"/>
      <c r="AQ18" s="51"/>
      <c r="AR18" s="35"/>
      <c r="AS18" s="41">
        <f t="shared" si="10"/>
        <v>19909.210000000185</v>
      </c>
      <c r="AT18" s="41">
        <f t="shared" si="11"/>
        <v>1.9999999967694748E-3</v>
      </c>
      <c r="AU18" s="41">
        <f t="shared" si="12"/>
        <v>1977.8099999999704</v>
      </c>
      <c r="AV18" s="36"/>
      <c r="AW18" s="36"/>
      <c r="AX18" s="36"/>
      <c r="AY18" s="43">
        <f t="shared" si="13"/>
        <v>15723.000000000175</v>
      </c>
      <c r="AZ18" s="43">
        <f t="shared" si="14"/>
        <v>1.9999999967694748E-3</v>
      </c>
      <c r="BA18" s="43">
        <f t="shared" si="15"/>
        <v>2600.6099999999706</v>
      </c>
      <c r="BE18" s="10">
        <v>4747.2</v>
      </c>
      <c r="BF18" s="10">
        <f t="shared" si="16"/>
        <v>-159.39999999999964</v>
      </c>
      <c r="BJ18" s="29"/>
    </row>
    <row r="19" spans="1:62" x14ac:dyDescent="0.25">
      <c r="A19" s="72" t="e">
        <f>VLOOKUP(C19,Master!A:D,4,0)</f>
        <v>#N/A</v>
      </c>
      <c r="B19" s="73" t="e">
        <f>VLOOKUP(C19,Master!A:C,3,0)</f>
        <v>#N/A</v>
      </c>
      <c r="C19" s="73" t="s">
        <v>787</v>
      </c>
      <c r="D19" s="75">
        <v>7704</v>
      </c>
      <c r="E19" s="75">
        <v>0</v>
      </c>
      <c r="F19" s="75">
        <v>0</v>
      </c>
      <c r="G19" s="75"/>
      <c r="H19" s="75"/>
      <c r="I19" s="75"/>
      <c r="J19" s="75"/>
      <c r="K19" s="75"/>
      <c r="L19" s="75"/>
      <c r="M19" s="75"/>
      <c r="N19" s="75"/>
      <c r="O19" s="75">
        <v>26952.61</v>
      </c>
      <c r="P19" s="75">
        <v>25596.61</v>
      </c>
      <c r="Q19" s="75"/>
      <c r="R19" s="75"/>
      <c r="S19" s="75"/>
      <c r="T19" s="75"/>
      <c r="U19" s="75">
        <f t="shared" si="0"/>
        <v>26952.61</v>
      </c>
      <c r="V19" s="75">
        <f t="shared" si="0"/>
        <v>25596.61</v>
      </c>
      <c r="W19" s="107">
        <f t="shared" si="7"/>
        <v>9060</v>
      </c>
      <c r="X19" s="132">
        <f t="shared" si="2"/>
        <v>0</v>
      </c>
      <c r="Y19" s="132">
        <f t="shared" si="3"/>
        <v>0</v>
      </c>
      <c r="Z19" s="76">
        <v>9060</v>
      </c>
      <c r="AA19" s="76">
        <v>0</v>
      </c>
      <c r="AB19" s="76">
        <v>0</v>
      </c>
      <c r="AC19" s="131">
        <f t="shared" si="4"/>
        <v>0</v>
      </c>
      <c r="AD19" s="131">
        <f t="shared" si="5"/>
        <v>0</v>
      </c>
      <c r="AE19" s="131">
        <f t="shared" si="6"/>
        <v>0</v>
      </c>
      <c r="AF19" s="80"/>
      <c r="AG19" s="107">
        <f>154.09*0.95</f>
        <v>146.38550000000001</v>
      </c>
      <c r="AH19" s="80">
        <f t="shared" si="8"/>
        <v>1326252.6300000001</v>
      </c>
      <c r="AI19" s="80">
        <f t="shared" si="9"/>
        <v>0</v>
      </c>
      <c r="AJ19" s="124"/>
      <c r="AK19" s="124"/>
      <c r="AL19" s="124"/>
      <c r="AM19" s="124"/>
      <c r="AN19" s="124"/>
      <c r="AP19" s="35"/>
      <c r="AQ19" s="35"/>
      <c r="AR19" s="35"/>
      <c r="AS19" s="41">
        <f t="shared" si="10"/>
        <v>7704</v>
      </c>
      <c r="AT19" s="41">
        <f t="shared" si="11"/>
        <v>0</v>
      </c>
      <c r="AU19" s="41">
        <f t="shared" si="12"/>
        <v>0</v>
      </c>
      <c r="AV19" s="36"/>
      <c r="AW19" s="36"/>
      <c r="AX19" s="36"/>
      <c r="AY19" s="43">
        <f t="shared" si="13"/>
        <v>9060</v>
      </c>
      <c r="AZ19" s="43">
        <f t="shared" si="14"/>
        <v>0</v>
      </c>
      <c r="BA19" s="43">
        <f t="shared" si="15"/>
        <v>0</v>
      </c>
      <c r="BE19" s="10"/>
      <c r="BF19" s="10">
        <f t="shared" si="16"/>
        <v>0</v>
      </c>
      <c r="BJ19" s="29"/>
    </row>
    <row r="20" spans="1:62" x14ac:dyDescent="0.25">
      <c r="A20" s="72" t="str">
        <f>VLOOKUP(C20,Master!A:D,4,0)</f>
        <v>SF</v>
      </c>
      <c r="B20" s="73" t="str">
        <f>VLOOKUP(C20,Master!A:C,3,0)</f>
        <v>PP/PE Fabric</v>
      </c>
      <c r="C20" s="73" t="s">
        <v>512</v>
      </c>
      <c r="D20" s="75">
        <f>SUMIF(Master!E:E,Summary!C20,Master!F:F)-E20</f>
        <v>334069.89999999967</v>
      </c>
      <c r="E20" s="75">
        <v>0</v>
      </c>
      <c r="F20" s="75">
        <v>0</v>
      </c>
      <c r="G20" s="113">
        <v>41900.800000000003</v>
      </c>
      <c r="H20" s="113">
        <v>243007.60000000003</v>
      </c>
      <c r="I20" s="80"/>
      <c r="J20" s="75"/>
      <c r="K20" s="80">
        <v>706382.8</v>
      </c>
      <c r="L20" s="80">
        <v>2717</v>
      </c>
      <c r="M20" s="80"/>
      <c r="N20" s="80"/>
      <c r="O20" s="75">
        <f>809523.7+979</f>
        <v>810502.7</v>
      </c>
      <c r="P20" s="75">
        <v>425047.2</v>
      </c>
      <c r="Q20" s="75">
        <f t="shared" si="1"/>
        <v>0</v>
      </c>
      <c r="R20" s="75"/>
      <c r="S20" s="75"/>
      <c r="T20" s="75"/>
      <c r="U20" s="75">
        <f t="shared" si="0"/>
        <v>810502.7</v>
      </c>
      <c r="V20" s="75">
        <f t="shared" si="0"/>
        <v>425047.2</v>
      </c>
      <c r="W20" s="107">
        <f t="shared" si="7"/>
        <v>295333.99999999959</v>
      </c>
      <c r="X20" s="132">
        <f t="shared" si="2"/>
        <v>0</v>
      </c>
      <c r="Y20" s="132">
        <f t="shared" si="3"/>
        <v>0</v>
      </c>
      <c r="Z20" s="76">
        <v>295333.99999999959</v>
      </c>
      <c r="AA20" s="76">
        <v>0</v>
      </c>
      <c r="AB20" s="76">
        <v>0</v>
      </c>
      <c r="AC20" s="131">
        <f t="shared" si="4"/>
        <v>0</v>
      </c>
      <c r="AD20" s="131">
        <f t="shared" si="5"/>
        <v>0</v>
      </c>
      <c r="AE20" s="131">
        <f t="shared" si="6"/>
        <v>0</v>
      </c>
      <c r="AF20" s="80"/>
      <c r="AG20" s="80">
        <f>AG5+20</f>
        <v>142.43</v>
      </c>
      <c r="AH20" s="80">
        <f t="shared" si="8"/>
        <v>42064421.619999945</v>
      </c>
      <c r="AI20" s="80">
        <f t="shared" si="9"/>
        <v>0</v>
      </c>
      <c r="AJ20" s="124"/>
      <c r="AK20" s="124"/>
      <c r="AL20" s="124"/>
      <c r="AM20" s="124"/>
      <c r="AN20" s="124"/>
      <c r="AO20" s="50"/>
      <c r="AP20" s="51"/>
      <c r="AQ20" s="51"/>
      <c r="AR20" s="35"/>
      <c r="AS20" s="41">
        <f t="shared" si="10"/>
        <v>334069.89999999967</v>
      </c>
      <c r="AT20" s="41">
        <f t="shared" si="11"/>
        <v>0</v>
      </c>
      <c r="AU20" s="41">
        <f t="shared" si="12"/>
        <v>0</v>
      </c>
      <c r="AV20" s="36"/>
      <c r="AW20" s="36"/>
      <c r="AX20" s="36"/>
      <c r="AY20" s="43">
        <f t="shared" si="13"/>
        <v>295333.99999999959</v>
      </c>
      <c r="AZ20" s="43">
        <f t="shared" si="14"/>
        <v>0</v>
      </c>
      <c r="BA20" s="43">
        <f t="shared" si="15"/>
        <v>0</v>
      </c>
      <c r="BE20" s="10">
        <v>163864.29999999999</v>
      </c>
      <c r="BF20" s="10">
        <f t="shared" si="16"/>
        <v>79143.300000000047</v>
      </c>
      <c r="BJ20" s="29"/>
    </row>
    <row r="21" spans="1:62" x14ac:dyDescent="0.25">
      <c r="A21" s="72" t="e">
        <f>VLOOKUP(C21,Master!A:D,4,0)</f>
        <v>#N/A</v>
      </c>
      <c r="B21" s="73" t="e">
        <f>VLOOKUP(C21,Master!A:C,3,0)</f>
        <v>#N/A</v>
      </c>
      <c r="C21" s="73" t="s">
        <v>820</v>
      </c>
      <c r="D21" s="75">
        <v>20523</v>
      </c>
      <c r="E21" s="75">
        <v>0</v>
      </c>
      <c r="F21" s="75">
        <v>0</v>
      </c>
      <c r="G21" s="75"/>
      <c r="H21" s="75"/>
      <c r="I21" s="75"/>
      <c r="J21" s="75"/>
      <c r="K21" s="75"/>
      <c r="L21" s="75"/>
      <c r="M21" s="75"/>
      <c r="N21" s="75"/>
      <c r="O21" s="75">
        <v>74095.5</v>
      </c>
      <c r="P21" s="75">
        <v>65193.5</v>
      </c>
      <c r="Q21" s="75">
        <f t="shared" si="1"/>
        <v>0</v>
      </c>
      <c r="R21" s="75"/>
      <c r="S21" s="75"/>
      <c r="T21" s="75"/>
      <c r="U21" s="75">
        <f t="shared" si="0"/>
        <v>74095.5</v>
      </c>
      <c r="V21" s="75">
        <f t="shared" si="0"/>
        <v>65193.5</v>
      </c>
      <c r="W21" s="107">
        <f t="shared" si="7"/>
        <v>29425</v>
      </c>
      <c r="X21" s="132">
        <f t="shared" si="2"/>
        <v>0</v>
      </c>
      <c r="Y21" s="132">
        <f t="shared" si="3"/>
        <v>0</v>
      </c>
      <c r="Z21" s="76">
        <v>29425</v>
      </c>
      <c r="AA21" s="76">
        <v>0</v>
      </c>
      <c r="AB21" s="76">
        <v>0</v>
      </c>
      <c r="AC21" s="131">
        <f t="shared" si="4"/>
        <v>0</v>
      </c>
      <c r="AD21" s="131">
        <f t="shared" si="5"/>
        <v>0</v>
      </c>
      <c r="AE21" s="131">
        <f t="shared" si="6"/>
        <v>0</v>
      </c>
      <c r="AF21" s="80"/>
      <c r="AG21" s="80">
        <f>AG5+25</f>
        <v>147.43</v>
      </c>
      <c r="AH21" s="80">
        <f t="shared" si="8"/>
        <v>4338127.75</v>
      </c>
      <c r="AI21" s="80">
        <f t="shared" si="9"/>
        <v>0</v>
      </c>
      <c r="AJ21" s="124"/>
      <c r="AK21" s="124"/>
      <c r="AL21" s="124"/>
      <c r="AM21" s="124"/>
      <c r="AN21" s="124"/>
      <c r="AP21" s="35"/>
      <c r="AQ21" s="35"/>
      <c r="AR21" s="35"/>
      <c r="AS21" s="41">
        <f t="shared" si="10"/>
        <v>20523</v>
      </c>
      <c r="AT21" s="41">
        <f t="shared" si="11"/>
        <v>0</v>
      </c>
      <c r="AU21" s="41">
        <f t="shared" si="12"/>
        <v>0</v>
      </c>
      <c r="AV21" s="36"/>
      <c r="AW21" s="36"/>
      <c r="AX21" s="36"/>
      <c r="AY21" s="43">
        <f t="shared" si="13"/>
        <v>29425</v>
      </c>
      <c r="AZ21" s="43">
        <f t="shared" si="14"/>
        <v>0</v>
      </c>
      <c r="BA21" s="43">
        <f t="shared" si="15"/>
        <v>0</v>
      </c>
      <c r="BE21" s="10"/>
      <c r="BF21" s="10">
        <f t="shared" si="16"/>
        <v>0</v>
      </c>
      <c r="BJ21" s="29"/>
    </row>
    <row r="22" spans="1:62" x14ac:dyDescent="0.25">
      <c r="A22" s="72" t="str">
        <f>VLOOKUP(C22,Master!A:D,4,0)</f>
        <v>SF</v>
      </c>
      <c r="B22" s="73" t="str">
        <f>VLOOKUP(C22,Master!A:C,3,0)</f>
        <v>PP/PE Fabric</v>
      </c>
      <c r="C22" s="73" t="s">
        <v>523</v>
      </c>
      <c r="D22" s="75">
        <f>SUMIF(Master!E:E,Summary!C22,Master!F:F)-E22-D21</f>
        <v>138341.5</v>
      </c>
      <c r="E22" s="75">
        <v>0</v>
      </c>
      <c r="F22" s="75">
        <v>1.1644019082268642E-12</v>
      </c>
      <c r="G22" s="113"/>
      <c r="H22" s="75">
        <v>26544.400000000001</v>
      </c>
      <c r="I22" s="75"/>
      <c r="J22" s="75"/>
      <c r="K22" s="113">
        <v>317263.5</v>
      </c>
      <c r="L22" s="113">
        <v>707</v>
      </c>
      <c r="M22" s="80"/>
      <c r="N22" s="75">
        <v>27370</v>
      </c>
      <c r="O22" s="75">
        <f>338993+27370</f>
        <v>366363</v>
      </c>
      <c r="P22" s="75">
        <f>79059-0.6</f>
        <v>79058.399999999994</v>
      </c>
      <c r="Q22" s="75">
        <f t="shared" si="1"/>
        <v>0</v>
      </c>
      <c r="R22" s="75"/>
      <c r="S22" s="75">
        <v>27370</v>
      </c>
      <c r="T22" s="75"/>
      <c r="U22" s="75">
        <f t="shared" si="0"/>
        <v>338993</v>
      </c>
      <c r="V22" s="75">
        <f t="shared" si="0"/>
        <v>79058.399999999994</v>
      </c>
      <c r="W22" s="107">
        <f t="shared" si="7"/>
        <v>106850</v>
      </c>
      <c r="X22" s="132">
        <f t="shared" si="2"/>
        <v>0</v>
      </c>
      <c r="Y22" s="132">
        <f t="shared" si="3"/>
        <v>1.1644019082268642E-12</v>
      </c>
      <c r="Z22" s="76">
        <v>106850</v>
      </c>
      <c r="AA22" s="76">
        <v>0</v>
      </c>
      <c r="AB22" s="76">
        <v>1.1644019082268642E-12</v>
      </c>
      <c r="AC22" s="131">
        <f t="shared" si="4"/>
        <v>0</v>
      </c>
      <c r="AD22" s="131">
        <f t="shared" si="5"/>
        <v>0</v>
      </c>
      <c r="AE22" s="131">
        <f t="shared" si="6"/>
        <v>0</v>
      </c>
      <c r="AF22" s="80"/>
      <c r="AG22" s="80">
        <f>AG5+25</f>
        <v>147.43</v>
      </c>
      <c r="AH22" s="80">
        <f t="shared" si="8"/>
        <v>15752895.5</v>
      </c>
      <c r="AI22" s="80">
        <f t="shared" si="9"/>
        <v>1.716677733298866E-10</v>
      </c>
      <c r="AJ22" s="124"/>
      <c r="AK22" s="124"/>
      <c r="AL22" s="124"/>
      <c r="AM22" s="124"/>
      <c r="AN22" s="124"/>
      <c r="AO22" s="50"/>
      <c r="AP22" s="51"/>
      <c r="AQ22" s="51"/>
      <c r="AR22" s="35"/>
      <c r="AS22" s="41">
        <f t="shared" si="10"/>
        <v>138341.5</v>
      </c>
      <c r="AT22" s="41">
        <f t="shared" si="11"/>
        <v>0</v>
      </c>
      <c r="AU22" s="41">
        <f t="shared" si="12"/>
        <v>1.1644019082268642E-12</v>
      </c>
      <c r="AV22" s="36"/>
      <c r="AW22" s="36"/>
      <c r="AX22" s="36"/>
      <c r="AY22" s="43">
        <f t="shared" si="13"/>
        <v>106850</v>
      </c>
      <c r="AZ22" s="43">
        <f t="shared" si="14"/>
        <v>0</v>
      </c>
      <c r="BA22" s="43">
        <f t="shared" si="15"/>
        <v>1.1644019082268642E-12</v>
      </c>
      <c r="BE22" s="10">
        <v>6346</v>
      </c>
      <c r="BF22" s="10">
        <f t="shared" si="16"/>
        <v>20198.400000000001</v>
      </c>
      <c r="BJ22" s="29"/>
    </row>
    <row r="23" spans="1:62" x14ac:dyDescent="0.25">
      <c r="A23" s="72" t="str">
        <f>VLOOKUP(C23,Master!A:D,4,0)</f>
        <v>SF</v>
      </c>
      <c r="B23" s="73" t="str">
        <f>VLOOKUP(C23,Master!A:C,3,0)</f>
        <v>PP/PE Fabric</v>
      </c>
      <c r="C23" s="73" t="s">
        <v>535</v>
      </c>
      <c r="D23" s="75">
        <f>SUMIF(Master!E:E,Summary!C23,Master!F:F)-E23</f>
        <v>0</v>
      </c>
      <c r="E23" s="75">
        <v>0</v>
      </c>
      <c r="F23" s="75">
        <v>0</v>
      </c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>
        <f t="shared" si="1"/>
        <v>0</v>
      </c>
      <c r="R23" s="75"/>
      <c r="S23" s="75"/>
      <c r="T23" s="75"/>
      <c r="U23" s="75">
        <f t="shared" si="0"/>
        <v>0</v>
      </c>
      <c r="V23" s="75">
        <f t="shared" si="0"/>
        <v>0</v>
      </c>
      <c r="W23" s="107">
        <f t="shared" si="7"/>
        <v>0</v>
      </c>
      <c r="X23" s="132">
        <f t="shared" si="2"/>
        <v>0</v>
      </c>
      <c r="Y23" s="132">
        <f t="shared" si="3"/>
        <v>0</v>
      </c>
      <c r="Z23" s="76">
        <v>0</v>
      </c>
      <c r="AA23" s="76">
        <v>0</v>
      </c>
      <c r="AB23" s="76">
        <v>0</v>
      </c>
      <c r="AC23" s="131">
        <f t="shared" si="4"/>
        <v>0</v>
      </c>
      <c r="AD23" s="131">
        <f t="shared" si="5"/>
        <v>0</v>
      </c>
      <c r="AE23" s="131">
        <f t="shared" si="6"/>
        <v>0</v>
      </c>
      <c r="AF23" s="80"/>
      <c r="AG23" s="80">
        <v>0</v>
      </c>
      <c r="AH23" s="80">
        <f t="shared" si="8"/>
        <v>0</v>
      </c>
      <c r="AI23" s="80">
        <f t="shared" si="9"/>
        <v>0</v>
      </c>
      <c r="AJ23" s="124"/>
      <c r="AK23" s="124"/>
      <c r="AL23" s="124"/>
      <c r="AM23" s="124"/>
      <c r="AN23" s="124"/>
      <c r="AP23" s="35"/>
      <c r="AQ23" s="35"/>
      <c r="AR23" s="35"/>
      <c r="AS23" s="41">
        <f t="shared" si="10"/>
        <v>0</v>
      </c>
      <c r="AT23" s="41">
        <f t="shared" si="11"/>
        <v>0</v>
      </c>
      <c r="AU23" s="41">
        <f t="shared" si="12"/>
        <v>0</v>
      </c>
      <c r="AV23" s="36"/>
      <c r="AW23" s="36"/>
      <c r="AX23" s="36"/>
      <c r="AY23" s="43">
        <f t="shared" si="13"/>
        <v>0</v>
      </c>
      <c r="AZ23" s="43">
        <f t="shared" si="14"/>
        <v>0</v>
      </c>
      <c r="BA23" s="43">
        <f t="shared" si="15"/>
        <v>0</v>
      </c>
      <c r="BE23" s="10"/>
      <c r="BF23" s="10">
        <f t="shared" si="16"/>
        <v>0</v>
      </c>
      <c r="BJ23" s="29"/>
    </row>
    <row r="24" spans="1:62" x14ac:dyDescent="0.25">
      <c r="A24" s="72" t="str">
        <f>VLOOKUP(C24,Master!A:D,4,0)</f>
        <v>SF</v>
      </c>
      <c r="B24" s="73" t="str">
        <f>VLOOKUP(C24,Master!A:C,3,0)</f>
        <v>PP/PE Fabric</v>
      </c>
      <c r="C24" s="73" t="s">
        <v>544</v>
      </c>
      <c r="D24" s="75">
        <f>SUMIF(Master!E:E,Summary!C24,Master!F:F)-E24</f>
        <v>0</v>
      </c>
      <c r="E24" s="75">
        <v>0</v>
      </c>
      <c r="F24" s="75">
        <v>0</v>
      </c>
      <c r="G24" s="80"/>
      <c r="H24" s="80"/>
      <c r="I24" s="80"/>
      <c r="J24" s="80"/>
      <c r="K24" s="80"/>
      <c r="L24" s="80"/>
      <c r="M24" s="80"/>
      <c r="N24" s="80"/>
      <c r="O24" s="75"/>
      <c r="P24" s="78"/>
      <c r="Q24" s="75">
        <f t="shared" si="1"/>
        <v>0</v>
      </c>
      <c r="R24" s="75"/>
      <c r="S24" s="75"/>
      <c r="T24" s="75"/>
      <c r="U24" s="75">
        <f t="shared" si="0"/>
        <v>0</v>
      </c>
      <c r="V24" s="75">
        <f t="shared" si="0"/>
        <v>0</v>
      </c>
      <c r="W24" s="107">
        <f t="shared" si="7"/>
        <v>0</v>
      </c>
      <c r="X24" s="132">
        <f t="shared" si="2"/>
        <v>0</v>
      </c>
      <c r="Y24" s="132">
        <f t="shared" si="3"/>
        <v>0</v>
      </c>
      <c r="Z24" s="76">
        <v>0</v>
      </c>
      <c r="AA24" s="76">
        <v>0</v>
      </c>
      <c r="AB24" s="76">
        <v>0</v>
      </c>
      <c r="AC24" s="131">
        <f t="shared" si="4"/>
        <v>0</v>
      </c>
      <c r="AD24" s="131">
        <f t="shared" si="5"/>
        <v>0</v>
      </c>
      <c r="AE24" s="131">
        <f t="shared" si="6"/>
        <v>0</v>
      </c>
      <c r="AF24" s="80"/>
      <c r="AG24" s="80">
        <v>0</v>
      </c>
      <c r="AH24" s="80">
        <f t="shared" si="8"/>
        <v>0</v>
      </c>
      <c r="AI24" s="80">
        <f t="shared" si="9"/>
        <v>0</v>
      </c>
      <c r="AJ24" s="124"/>
      <c r="AK24" s="124"/>
      <c r="AL24" s="124"/>
      <c r="AM24" s="124"/>
      <c r="AN24" s="124"/>
      <c r="AP24" s="35"/>
      <c r="AQ24" s="35"/>
      <c r="AR24" s="35"/>
      <c r="AS24" s="41">
        <f t="shared" si="10"/>
        <v>0</v>
      </c>
      <c r="AT24" s="41">
        <f t="shared" si="11"/>
        <v>0</v>
      </c>
      <c r="AU24" s="41">
        <f t="shared" si="12"/>
        <v>0</v>
      </c>
      <c r="AV24" s="36"/>
      <c r="AW24" s="36"/>
      <c r="AX24" s="36"/>
      <c r="AY24" s="43">
        <f t="shared" si="13"/>
        <v>0</v>
      </c>
      <c r="AZ24" s="43">
        <f t="shared" si="14"/>
        <v>0</v>
      </c>
      <c r="BA24" s="43">
        <f t="shared" si="15"/>
        <v>0</v>
      </c>
      <c r="BE24" s="10"/>
      <c r="BF24" s="10">
        <f t="shared" si="16"/>
        <v>0</v>
      </c>
      <c r="BJ24" s="29"/>
    </row>
    <row r="25" spans="1:62" x14ac:dyDescent="0.25">
      <c r="A25" s="72" t="str">
        <f>VLOOKUP(C25,Master!A:D,4,0)</f>
        <v>SF</v>
      </c>
      <c r="B25" s="73" t="str">
        <f>VLOOKUP(C25,Master!A:C,3,0)</f>
        <v>Granuals</v>
      </c>
      <c r="C25" s="73" t="s">
        <v>556</v>
      </c>
      <c r="D25" s="75">
        <f>SUMIF(Master!E:E,Summary!C25,Master!F:F)-E25</f>
        <v>151808.63499999995</v>
      </c>
      <c r="E25" s="75">
        <v>0</v>
      </c>
      <c r="F25" s="75">
        <v>0</v>
      </c>
      <c r="G25" s="113"/>
      <c r="H25" s="80">
        <v>17500</v>
      </c>
      <c r="I25" s="80">
        <v>70050</v>
      </c>
      <c r="J25" s="80"/>
      <c r="K25" s="80">
        <v>97425</v>
      </c>
      <c r="L25" s="113"/>
      <c r="M25" s="80"/>
      <c r="N25" s="80">
        <v>13375</v>
      </c>
      <c r="O25" s="75">
        <f>130875-17500</f>
        <v>113375</v>
      </c>
      <c r="P25" s="75">
        <v>111822.63499999999</v>
      </c>
      <c r="Q25" s="75">
        <f t="shared" si="1"/>
        <v>70050</v>
      </c>
      <c r="R25" s="75"/>
      <c r="S25" s="75">
        <v>13375</v>
      </c>
      <c r="T25" s="75"/>
      <c r="U25" s="75">
        <f t="shared" si="0"/>
        <v>100000</v>
      </c>
      <c r="V25" s="75">
        <f t="shared" si="0"/>
        <v>111822.63499999999</v>
      </c>
      <c r="W25" s="107">
        <f t="shared" si="7"/>
        <v>130110.99999999996</v>
      </c>
      <c r="X25" s="132">
        <f>E25+J25-N25-T25+S25</f>
        <v>0</v>
      </c>
      <c r="Y25" s="132">
        <f t="shared" si="3"/>
        <v>0</v>
      </c>
      <c r="Z25" s="76">
        <v>130110.99999999996</v>
      </c>
      <c r="AA25" s="76">
        <v>0</v>
      </c>
      <c r="AB25" s="76">
        <v>0</v>
      </c>
      <c r="AC25" s="131">
        <f t="shared" si="4"/>
        <v>0</v>
      </c>
      <c r="AD25" s="131">
        <f t="shared" si="5"/>
        <v>0</v>
      </c>
      <c r="AE25" s="131">
        <f t="shared" si="6"/>
        <v>0</v>
      </c>
      <c r="AF25" s="80"/>
      <c r="AG25" s="80">
        <v>28</v>
      </c>
      <c r="AH25" s="80">
        <f t="shared" si="8"/>
        <v>3643107.9999999986</v>
      </c>
      <c r="AI25" s="80">
        <f t="shared" si="9"/>
        <v>0</v>
      </c>
      <c r="AJ25" s="124"/>
      <c r="AK25" s="124"/>
      <c r="AL25" s="124"/>
      <c r="AM25" s="124"/>
      <c r="AN25" s="124"/>
      <c r="AO25" s="50"/>
      <c r="AP25" s="51"/>
      <c r="AQ25" s="51"/>
      <c r="AR25" s="35"/>
      <c r="AS25" s="41">
        <f t="shared" si="10"/>
        <v>151808.63499999995</v>
      </c>
      <c r="AT25" s="41">
        <f t="shared" si="11"/>
        <v>0</v>
      </c>
      <c r="AU25" s="41">
        <f t="shared" si="12"/>
        <v>0</v>
      </c>
      <c r="AV25" s="36"/>
      <c r="AW25" s="36"/>
      <c r="AX25" s="36"/>
      <c r="AY25" s="43">
        <f t="shared" si="13"/>
        <v>130110.99999999996</v>
      </c>
      <c r="AZ25" s="43">
        <f t="shared" si="14"/>
        <v>0</v>
      </c>
      <c r="BA25" s="43">
        <f t="shared" si="15"/>
        <v>0</v>
      </c>
      <c r="BE25" s="10">
        <v>18025</v>
      </c>
      <c r="BF25" s="10">
        <f t="shared" si="16"/>
        <v>-525</v>
      </c>
      <c r="BJ25" s="29"/>
    </row>
    <row r="26" spans="1:62" x14ac:dyDescent="0.25">
      <c r="A26" s="72" t="e">
        <f>VLOOKUP(C26,Master!A:D,4,0)</f>
        <v>#N/A</v>
      </c>
      <c r="B26" s="73" t="e">
        <f>VLOOKUP(C26,Master!A:C,3,0)</f>
        <v>#N/A</v>
      </c>
      <c r="C26" s="114" t="s">
        <v>847</v>
      </c>
      <c r="D26" s="75">
        <v>4400.0000000000073</v>
      </c>
      <c r="E26" s="75">
        <v>0</v>
      </c>
      <c r="F26" s="75">
        <v>0</v>
      </c>
      <c r="G26" s="75"/>
      <c r="H26" s="75"/>
      <c r="I26" s="75"/>
      <c r="J26" s="75"/>
      <c r="K26" s="75"/>
      <c r="L26" s="75"/>
      <c r="M26" s="75"/>
      <c r="N26" s="75"/>
      <c r="O26" s="75">
        <v>43049.96</v>
      </c>
      <c r="P26" s="75">
        <v>43064.959999999999</v>
      </c>
      <c r="Q26" s="75">
        <f t="shared" si="1"/>
        <v>0</v>
      </c>
      <c r="R26" s="75"/>
      <c r="S26" s="75"/>
      <c r="T26" s="75"/>
      <c r="U26" s="75">
        <f t="shared" si="0"/>
        <v>43049.96</v>
      </c>
      <c r="V26" s="75">
        <f t="shared" si="0"/>
        <v>43064.959999999999</v>
      </c>
      <c r="W26" s="107">
        <f t="shared" si="7"/>
        <v>4385.0000000000073</v>
      </c>
      <c r="X26" s="132">
        <f t="shared" si="2"/>
        <v>0</v>
      </c>
      <c r="Y26" s="132">
        <f t="shared" si="3"/>
        <v>0</v>
      </c>
      <c r="Z26" s="76">
        <v>4385.0000000000073</v>
      </c>
      <c r="AA26" s="76">
        <v>0</v>
      </c>
      <c r="AB26" s="76">
        <v>0</v>
      </c>
      <c r="AC26" s="131">
        <f t="shared" si="4"/>
        <v>0</v>
      </c>
      <c r="AD26" s="131">
        <f t="shared" si="5"/>
        <v>0</v>
      </c>
      <c r="AE26" s="131">
        <f t="shared" si="6"/>
        <v>0</v>
      </c>
      <c r="AF26" s="80"/>
      <c r="AG26" s="80">
        <f>AG5+20</f>
        <v>142.43</v>
      </c>
      <c r="AH26" s="80">
        <f t="shared" si="8"/>
        <v>624555.55000000109</v>
      </c>
      <c r="AI26" s="80">
        <f t="shared" si="9"/>
        <v>0</v>
      </c>
      <c r="AJ26" s="124"/>
      <c r="AK26" s="124"/>
      <c r="AL26" s="124"/>
      <c r="AM26" s="124"/>
      <c r="AN26" s="124"/>
      <c r="AP26" s="35"/>
      <c r="AQ26" s="35"/>
      <c r="AR26" s="35"/>
      <c r="AS26" s="41">
        <f t="shared" si="10"/>
        <v>4400.0000000000073</v>
      </c>
      <c r="AT26" s="41">
        <f t="shared" si="11"/>
        <v>0</v>
      </c>
      <c r="AU26" s="41">
        <f t="shared" si="12"/>
        <v>0</v>
      </c>
      <c r="AV26" s="36"/>
      <c r="AW26" s="36"/>
      <c r="AX26" s="36"/>
      <c r="AY26" s="43">
        <f t="shared" si="13"/>
        <v>4385.0000000000073</v>
      </c>
      <c r="AZ26" s="43">
        <f t="shared" si="14"/>
        <v>0</v>
      </c>
      <c r="BA26" s="43">
        <f t="shared" si="15"/>
        <v>0</v>
      </c>
      <c r="BE26" s="10"/>
      <c r="BF26" s="10">
        <f t="shared" si="16"/>
        <v>0</v>
      </c>
      <c r="BJ26" s="29"/>
    </row>
    <row r="27" spans="1:62" x14ac:dyDescent="0.25">
      <c r="A27" s="72" t="str">
        <f>VLOOKUP(C27,Master!A:D,4,0)</f>
        <v>SF</v>
      </c>
      <c r="B27" s="73" t="str">
        <f>VLOOKUP(C27,Master!A:C,3,0)</f>
        <v>Webbing</v>
      </c>
      <c r="C27" s="73" t="s">
        <v>576</v>
      </c>
      <c r="D27" s="75">
        <f>SUMIF(Master!E:E,Summary!C27,Master!F:F)-E27-D26</f>
        <v>44904.999999999993</v>
      </c>
      <c r="E27" s="75">
        <v>0</v>
      </c>
      <c r="F27" s="75">
        <v>1771.8000000000002</v>
      </c>
      <c r="G27" s="75">
        <v>9048.3000000000011</v>
      </c>
      <c r="H27" s="75">
        <v>4088.4</v>
      </c>
      <c r="I27" s="80"/>
      <c r="J27" s="75"/>
      <c r="K27" s="75">
        <v>126237.38999999998</v>
      </c>
      <c r="L27" s="75"/>
      <c r="M27" s="75"/>
      <c r="N27" s="75"/>
      <c r="O27" s="75">
        <f>143390.8+147</f>
        <v>143537.79999999999</v>
      </c>
      <c r="P27" s="75">
        <v>43239.11</v>
      </c>
      <c r="Q27" s="75">
        <f t="shared" si="1"/>
        <v>0</v>
      </c>
      <c r="R27" s="98">
        <v>839</v>
      </c>
      <c r="S27" s="75"/>
      <c r="T27" s="75"/>
      <c r="U27" s="75">
        <f t="shared" si="0"/>
        <v>143537.79999999999</v>
      </c>
      <c r="V27" s="75">
        <f t="shared" si="0"/>
        <v>43239.11</v>
      </c>
      <c r="W27" s="107">
        <f t="shared" si="7"/>
        <v>32103</v>
      </c>
      <c r="X27" s="132">
        <f>E27+J27-N27-T27+S27</f>
        <v>0</v>
      </c>
      <c r="Y27" s="132">
        <f t="shared" si="3"/>
        <v>932.80000000000018</v>
      </c>
      <c r="Z27" s="76">
        <v>32103</v>
      </c>
      <c r="AA27" s="76">
        <v>0</v>
      </c>
      <c r="AB27" s="76">
        <v>932.80000000000018</v>
      </c>
      <c r="AC27" s="131">
        <f t="shared" si="4"/>
        <v>0</v>
      </c>
      <c r="AD27" s="131">
        <f t="shared" si="5"/>
        <v>0</v>
      </c>
      <c r="AE27" s="131">
        <f t="shared" si="6"/>
        <v>0</v>
      </c>
      <c r="AF27" s="80"/>
      <c r="AG27" s="80">
        <f>AG5+20</f>
        <v>142.43</v>
      </c>
      <c r="AH27" s="80">
        <f t="shared" si="8"/>
        <v>4572430.29</v>
      </c>
      <c r="AI27" s="80">
        <f t="shared" si="9"/>
        <v>132858.70400000003</v>
      </c>
      <c r="AJ27" s="124"/>
      <c r="AK27" s="124"/>
      <c r="AL27" s="124"/>
      <c r="AM27" s="124"/>
      <c r="AN27" s="124"/>
      <c r="AO27" s="50"/>
      <c r="AP27" s="51"/>
      <c r="AQ27" s="51"/>
      <c r="AR27" s="35"/>
      <c r="AS27" s="41">
        <f t="shared" si="10"/>
        <v>44904.999999999993</v>
      </c>
      <c r="AT27" s="41">
        <f t="shared" si="11"/>
        <v>0</v>
      </c>
      <c r="AU27" s="41">
        <f t="shared" si="12"/>
        <v>1771.8000000000002</v>
      </c>
      <c r="AV27" s="36"/>
      <c r="AW27" s="36"/>
      <c r="AX27" s="36"/>
      <c r="AY27" s="43">
        <f t="shared" si="13"/>
        <v>32103</v>
      </c>
      <c r="AZ27" s="43">
        <f t="shared" si="14"/>
        <v>0</v>
      </c>
      <c r="BA27" s="43">
        <f t="shared" si="15"/>
        <v>932.80000000000018</v>
      </c>
      <c r="BE27" s="10">
        <v>19207.599999999999</v>
      </c>
      <c r="BF27" s="10">
        <f t="shared" si="16"/>
        <v>-15119.199999999999</v>
      </c>
      <c r="BJ27" s="29"/>
    </row>
    <row r="28" spans="1:62" x14ac:dyDescent="0.25">
      <c r="A28" s="72" t="str">
        <f>VLOOKUP(C28,Master!A:D,4,0)</f>
        <v>SF</v>
      </c>
      <c r="B28" s="73" t="str">
        <f>VLOOKUP(C28,Master!A:C,3,0)</f>
        <v>Liners</v>
      </c>
      <c r="C28" s="73" t="s">
        <v>593</v>
      </c>
      <c r="D28" s="75">
        <f>SUMIF(Master!E:E,Summary!C28,Master!F:F)-E28</f>
        <v>24896.583000000071</v>
      </c>
      <c r="E28" s="75">
        <v>0</v>
      </c>
      <c r="F28" s="75">
        <v>0</v>
      </c>
      <c r="G28" s="75"/>
      <c r="H28" s="75">
        <v>4001</v>
      </c>
      <c r="I28" s="75">
        <v>294</v>
      </c>
      <c r="J28" s="75"/>
      <c r="K28" s="113">
        <v>192675.06000000003</v>
      </c>
      <c r="L28" s="113">
        <v>25335.7</v>
      </c>
      <c r="M28" s="80"/>
      <c r="N28" s="75"/>
      <c r="O28" s="75">
        <v>240580</v>
      </c>
      <c r="P28" s="75">
        <f>2216-0.177</f>
        <v>2215.8229999999999</v>
      </c>
      <c r="Q28" s="75">
        <f t="shared" si="1"/>
        <v>294</v>
      </c>
      <c r="R28" s="75"/>
      <c r="S28" s="75"/>
      <c r="T28" s="75"/>
      <c r="U28" s="75">
        <f t="shared" si="0"/>
        <v>240580</v>
      </c>
      <c r="V28" s="75">
        <f t="shared" si="0"/>
        <v>2215.8229999999999</v>
      </c>
      <c r="W28" s="107">
        <f t="shared" si="7"/>
        <v>49545.000000000029</v>
      </c>
      <c r="X28" s="132">
        <f t="shared" si="2"/>
        <v>0</v>
      </c>
      <c r="Y28" s="132">
        <f t="shared" si="3"/>
        <v>0</v>
      </c>
      <c r="Z28" s="76">
        <v>49545.000000000029</v>
      </c>
      <c r="AA28" s="76">
        <v>0</v>
      </c>
      <c r="AB28" s="76">
        <v>0</v>
      </c>
      <c r="AC28" s="131">
        <f t="shared" si="4"/>
        <v>0</v>
      </c>
      <c r="AD28" s="131">
        <f t="shared" si="5"/>
        <v>0</v>
      </c>
      <c r="AE28" s="131">
        <f t="shared" si="6"/>
        <v>0</v>
      </c>
      <c r="AF28" s="80"/>
      <c r="AG28" s="107">
        <f>182.02*0.97</f>
        <v>176.55940000000001</v>
      </c>
      <c r="AH28" s="80">
        <f t="shared" si="8"/>
        <v>8747635.4730000049</v>
      </c>
      <c r="AI28" s="80">
        <f t="shared" si="9"/>
        <v>0</v>
      </c>
      <c r="AJ28" s="124"/>
      <c r="AK28" s="124"/>
      <c r="AL28" s="124"/>
      <c r="AM28" s="124"/>
      <c r="AN28" s="124"/>
      <c r="AO28" s="50"/>
      <c r="AP28" s="51"/>
      <c r="AQ28" s="51"/>
      <c r="AR28" s="35"/>
      <c r="AS28" s="41">
        <f t="shared" si="10"/>
        <v>24896.583000000071</v>
      </c>
      <c r="AT28" s="41">
        <f t="shared" si="11"/>
        <v>0</v>
      </c>
      <c r="AU28" s="41">
        <f t="shared" si="12"/>
        <v>0</v>
      </c>
      <c r="AV28" s="36"/>
      <c r="AW28" s="36"/>
      <c r="AX28" s="36"/>
      <c r="AY28" s="43">
        <f t="shared" si="13"/>
        <v>49545.000000000029</v>
      </c>
      <c r="AZ28" s="43">
        <f t="shared" si="14"/>
        <v>0</v>
      </c>
      <c r="BA28" s="43">
        <f t="shared" si="15"/>
        <v>0</v>
      </c>
      <c r="BE28" s="10">
        <v>910</v>
      </c>
      <c r="BF28" s="10">
        <f t="shared" si="16"/>
        <v>3091</v>
      </c>
      <c r="BJ28" s="29"/>
    </row>
    <row r="29" spans="1:62" x14ac:dyDescent="0.25">
      <c r="A29" s="72" t="e">
        <f>VLOOKUP(C29,Master!A:D,4,0)</f>
        <v>#N/A</v>
      </c>
      <c r="B29" s="73" t="e">
        <f>VLOOKUP(C29,Master!A:C,3,0)</f>
        <v>#N/A</v>
      </c>
      <c r="C29" s="110" t="s">
        <v>802</v>
      </c>
      <c r="D29" s="75">
        <f>SUMIF(Master!E:E,Summary!C29,Master!F:F)-E29</f>
        <v>0</v>
      </c>
      <c r="E29" s="75">
        <v>0</v>
      </c>
      <c r="F29" s="75">
        <v>0</v>
      </c>
      <c r="G29" s="79"/>
      <c r="H29" s="75"/>
      <c r="I29" s="75"/>
      <c r="J29" s="75"/>
      <c r="K29" s="75"/>
      <c r="L29" s="75"/>
      <c r="M29" s="75"/>
      <c r="N29" s="75"/>
      <c r="O29" s="75"/>
      <c r="P29" s="75"/>
      <c r="Q29" s="75">
        <f t="shared" si="1"/>
        <v>0</v>
      </c>
      <c r="R29" s="75"/>
      <c r="S29" s="75"/>
      <c r="T29" s="75"/>
      <c r="U29" s="75">
        <f t="shared" si="0"/>
        <v>0</v>
      </c>
      <c r="V29" s="75">
        <f t="shared" si="0"/>
        <v>0</v>
      </c>
      <c r="W29" s="107">
        <f t="shared" si="7"/>
        <v>0</v>
      </c>
      <c r="X29" s="132">
        <f t="shared" si="2"/>
        <v>0</v>
      </c>
      <c r="Y29" s="132">
        <f t="shared" si="3"/>
        <v>0</v>
      </c>
      <c r="Z29" s="76">
        <v>0</v>
      </c>
      <c r="AA29" s="76">
        <v>0</v>
      </c>
      <c r="AB29" s="76">
        <v>0</v>
      </c>
      <c r="AC29" s="131">
        <f t="shared" si="4"/>
        <v>0</v>
      </c>
      <c r="AD29" s="131">
        <f t="shared" si="5"/>
        <v>0</v>
      </c>
      <c r="AE29" s="131">
        <f t="shared" si="6"/>
        <v>0</v>
      </c>
      <c r="AF29" s="80"/>
      <c r="AG29" s="80">
        <v>0</v>
      </c>
      <c r="AH29" s="80">
        <f t="shared" si="8"/>
        <v>0</v>
      </c>
      <c r="AI29" s="80">
        <f t="shared" si="9"/>
        <v>0</v>
      </c>
      <c r="AJ29" s="124"/>
      <c r="AK29" s="124"/>
      <c r="AL29" s="124"/>
      <c r="AM29" s="124"/>
      <c r="AN29" s="124"/>
      <c r="AP29" s="35"/>
      <c r="AQ29" s="35"/>
      <c r="AR29" s="35"/>
      <c r="AS29" s="41">
        <f t="shared" si="10"/>
        <v>0</v>
      </c>
      <c r="AT29" s="41">
        <f t="shared" si="11"/>
        <v>0</v>
      </c>
      <c r="AU29" s="41">
        <f t="shared" si="12"/>
        <v>0</v>
      </c>
      <c r="AV29" s="36"/>
      <c r="AW29" s="36"/>
      <c r="AX29" s="36"/>
      <c r="AY29" s="43">
        <f t="shared" si="13"/>
        <v>0</v>
      </c>
      <c r="AZ29" s="43">
        <f t="shared" si="14"/>
        <v>0</v>
      </c>
      <c r="BA29" s="43">
        <f t="shared" si="15"/>
        <v>0</v>
      </c>
      <c r="BE29" s="10"/>
      <c r="BF29" s="10">
        <f t="shared" si="16"/>
        <v>0</v>
      </c>
      <c r="BJ29" s="29"/>
    </row>
    <row r="30" spans="1:62" x14ac:dyDescent="0.25">
      <c r="A30" s="72" t="str">
        <f>VLOOKUP(C30,Master!A:D,4,0)</f>
        <v>SF</v>
      </c>
      <c r="B30" s="73" t="str">
        <f>VLOOKUP(C30,Master!A:C,3,0)</f>
        <v>Tape Stock</v>
      </c>
      <c r="C30" s="73" t="s">
        <v>629</v>
      </c>
      <c r="D30" s="75">
        <f>SUMIF(Master!E:E,Summary!C30,Master!F:F)-E30</f>
        <v>114532.67249999987</v>
      </c>
      <c r="E30" s="75">
        <v>0</v>
      </c>
      <c r="F30" s="75">
        <v>0</v>
      </c>
      <c r="G30" s="113"/>
      <c r="H30" s="113">
        <v>16760.2</v>
      </c>
      <c r="I30" s="80"/>
      <c r="J30" s="80"/>
      <c r="K30" s="113">
        <v>27214.199999999997</v>
      </c>
      <c r="L30" s="113"/>
      <c r="M30" s="80"/>
      <c r="N30" s="80"/>
      <c r="O30" s="75">
        <v>952236.02500000002</v>
      </c>
      <c r="P30" s="75">
        <f>951813.9-0.202</f>
        <v>951813.69799999997</v>
      </c>
      <c r="Q30" s="75">
        <f t="shared" si="1"/>
        <v>0</v>
      </c>
      <c r="R30" s="75"/>
      <c r="S30" s="75"/>
      <c r="T30" s="75"/>
      <c r="U30" s="75">
        <f t="shared" si="0"/>
        <v>952236.02500000002</v>
      </c>
      <c r="V30" s="75">
        <f t="shared" si="0"/>
        <v>951813.69799999997</v>
      </c>
      <c r="W30" s="107">
        <f t="shared" si="7"/>
        <v>104500.99949999992</v>
      </c>
      <c r="X30" s="132">
        <f t="shared" si="2"/>
        <v>0</v>
      </c>
      <c r="Y30" s="132">
        <f t="shared" si="3"/>
        <v>0</v>
      </c>
      <c r="Z30" s="76">
        <v>104500.99949999992</v>
      </c>
      <c r="AA30" s="76">
        <v>0</v>
      </c>
      <c r="AB30" s="76">
        <v>0</v>
      </c>
      <c r="AC30" s="131">
        <f t="shared" si="4"/>
        <v>0</v>
      </c>
      <c r="AD30" s="131">
        <f t="shared" si="5"/>
        <v>0</v>
      </c>
      <c r="AE30" s="131">
        <f t="shared" si="6"/>
        <v>0</v>
      </c>
      <c r="AF30" s="80"/>
      <c r="AG30" s="80">
        <f>+AG5+10</f>
        <v>132.43</v>
      </c>
      <c r="AH30" s="80">
        <f t="shared" si="8"/>
        <v>13839067.363784989</v>
      </c>
      <c r="AI30" s="80">
        <f t="shared" si="9"/>
        <v>0</v>
      </c>
      <c r="AJ30" s="124"/>
      <c r="AK30" s="124"/>
      <c r="AL30" s="124"/>
      <c r="AM30" s="124"/>
      <c r="AN30" s="124"/>
      <c r="AO30" s="50"/>
      <c r="AP30" s="51"/>
      <c r="AQ30" s="51"/>
      <c r="AR30" s="35"/>
      <c r="AS30" s="41">
        <f t="shared" si="10"/>
        <v>114532.67249999987</v>
      </c>
      <c r="AT30" s="41">
        <f t="shared" si="11"/>
        <v>0</v>
      </c>
      <c r="AU30" s="41">
        <f t="shared" si="12"/>
        <v>0</v>
      </c>
      <c r="AV30" s="36"/>
      <c r="AW30" s="36"/>
      <c r="AX30" s="36"/>
      <c r="AY30" s="43">
        <f t="shared" si="13"/>
        <v>104500.99949999992</v>
      </c>
      <c r="AZ30" s="43">
        <f t="shared" si="14"/>
        <v>0</v>
      </c>
      <c r="BA30" s="43">
        <f t="shared" si="15"/>
        <v>0</v>
      </c>
      <c r="BB30" s="10"/>
      <c r="BE30" s="10">
        <v>9563.7999999999993</v>
      </c>
      <c r="BF30" s="10">
        <f t="shared" si="16"/>
        <v>7196.4000000000015</v>
      </c>
      <c r="BJ30" s="29"/>
    </row>
    <row r="31" spans="1:62" x14ac:dyDescent="0.25">
      <c r="A31" s="72" t="str">
        <f>VLOOKUP(C31,Master!A:D,4,0)</f>
        <v>SF</v>
      </c>
      <c r="B31" s="73" t="str">
        <f>VLOOKUP(C31,Master!A:C,3,0)</f>
        <v>RP Agglo</v>
      </c>
      <c r="C31" s="73" t="s">
        <v>664</v>
      </c>
      <c r="D31" s="75">
        <f>SUMIF(Master!E:E,Summary!C31,Master!F:F)-E31</f>
        <v>0</v>
      </c>
      <c r="E31" s="75">
        <v>0</v>
      </c>
      <c r="F31" s="75">
        <v>0</v>
      </c>
      <c r="G31" s="80"/>
      <c r="H31" s="75"/>
      <c r="I31" s="75"/>
      <c r="J31" s="75"/>
      <c r="K31" s="75"/>
      <c r="L31" s="75"/>
      <c r="M31" s="75"/>
      <c r="N31" s="75"/>
      <c r="O31" s="75"/>
      <c r="P31" s="78"/>
      <c r="Q31" s="75">
        <f t="shared" si="1"/>
        <v>0</v>
      </c>
      <c r="R31" s="75"/>
      <c r="S31" s="75"/>
      <c r="T31" s="75"/>
      <c r="U31" s="75">
        <f t="shared" si="0"/>
        <v>0</v>
      </c>
      <c r="V31" s="75">
        <f t="shared" si="0"/>
        <v>0</v>
      </c>
      <c r="W31" s="107">
        <f t="shared" si="7"/>
        <v>0</v>
      </c>
      <c r="X31" s="132">
        <f t="shared" si="2"/>
        <v>0</v>
      </c>
      <c r="Y31" s="132">
        <f t="shared" si="3"/>
        <v>0</v>
      </c>
      <c r="Z31" s="76">
        <v>0</v>
      </c>
      <c r="AA31" s="76">
        <v>0</v>
      </c>
      <c r="AB31" s="76">
        <v>0</v>
      </c>
      <c r="AC31" s="131">
        <f t="shared" si="4"/>
        <v>0</v>
      </c>
      <c r="AD31" s="131">
        <f t="shared" si="5"/>
        <v>0</v>
      </c>
      <c r="AE31" s="131">
        <f t="shared" si="6"/>
        <v>0</v>
      </c>
      <c r="AF31" s="80"/>
      <c r="AG31" s="80">
        <v>0</v>
      </c>
      <c r="AH31" s="80">
        <f t="shared" si="8"/>
        <v>0</v>
      </c>
      <c r="AI31" s="80">
        <f t="shared" si="9"/>
        <v>0</v>
      </c>
      <c r="AJ31" s="124"/>
      <c r="AK31" s="124"/>
      <c r="AL31" s="124"/>
      <c r="AM31" s="124"/>
      <c r="AN31" s="124"/>
      <c r="AO31" s="50"/>
      <c r="AP31" s="51"/>
      <c r="AQ31" s="51"/>
      <c r="AR31" s="35"/>
      <c r="AS31" s="41">
        <f t="shared" si="10"/>
        <v>0</v>
      </c>
      <c r="AT31" s="41">
        <f t="shared" si="11"/>
        <v>0</v>
      </c>
      <c r="AU31" s="41">
        <f t="shared" si="12"/>
        <v>0</v>
      </c>
      <c r="AV31" s="36"/>
      <c r="AW31" s="36"/>
      <c r="AX31" s="36"/>
      <c r="AY31" s="43">
        <f t="shared" si="13"/>
        <v>0</v>
      </c>
      <c r="AZ31" s="43">
        <f t="shared" si="14"/>
        <v>0</v>
      </c>
      <c r="BA31" s="43">
        <f t="shared" si="15"/>
        <v>0</v>
      </c>
      <c r="BE31" s="10">
        <v>15000</v>
      </c>
      <c r="BF31" s="10">
        <f t="shared" si="16"/>
        <v>-15000</v>
      </c>
      <c r="BJ31" s="29"/>
    </row>
    <row r="32" spans="1:62" x14ac:dyDescent="0.25">
      <c r="A32" s="72" t="str">
        <f>VLOOKUP(C32,Master!A:D,4,0)</f>
        <v>SF</v>
      </c>
      <c r="B32" s="73" t="str">
        <f>VLOOKUP(C32,Master!A:C,3,0)</f>
        <v>Wastage/Scrap</v>
      </c>
      <c r="C32" s="73" t="s">
        <v>674</v>
      </c>
      <c r="D32" s="75">
        <f>SUMIF(Master!E:E,Summary!C32,Master!F:F)-E32</f>
        <v>80153.200000000012</v>
      </c>
      <c r="E32" s="75">
        <v>0</v>
      </c>
      <c r="F32" s="75">
        <v>72940</v>
      </c>
      <c r="G32" s="113"/>
      <c r="H32" s="75">
        <v>45832</v>
      </c>
      <c r="I32" s="80">
        <v>5659</v>
      </c>
      <c r="J32" s="75">
        <v>26715</v>
      </c>
      <c r="K32" s="113">
        <v>12534</v>
      </c>
      <c r="L32" s="113"/>
      <c r="M32" s="80">
        <v>119570</v>
      </c>
      <c r="N32" s="75">
        <v>144</v>
      </c>
      <c r="O32" s="75">
        <f>182727+7628</f>
        <v>190355</v>
      </c>
      <c r="P32" s="75">
        <v>115341.2</v>
      </c>
      <c r="Q32" s="75">
        <f t="shared" si="1"/>
        <v>5659</v>
      </c>
      <c r="R32" s="98">
        <v>71275</v>
      </c>
      <c r="S32" s="75"/>
      <c r="T32" s="75">
        <v>13375</v>
      </c>
      <c r="U32" s="75">
        <f t="shared" si="0"/>
        <v>190355</v>
      </c>
      <c r="V32" s="75">
        <f t="shared" si="0"/>
        <v>101966.2</v>
      </c>
      <c r="W32" s="107">
        <f t="shared" si="7"/>
        <v>87929.000000000015</v>
      </c>
      <c r="X32" s="132">
        <f t="shared" si="2"/>
        <v>13196</v>
      </c>
      <c r="Y32" s="132">
        <f t="shared" si="3"/>
        <v>121235</v>
      </c>
      <c r="Z32" s="76">
        <v>87929.000000000015</v>
      </c>
      <c r="AA32" s="76">
        <v>13196</v>
      </c>
      <c r="AB32" s="76">
        <v>121235</v>
      </c>
      <c r="AC32" s="131">
        <f t="shared" si="4"/>
        <v>0</v>
      </c>
      <c r="AD32" s="131">
        <f t="shared" si="5"/>
        <v>0</v>
      </c>
      <c r="AE32" s="131">
        <f t="shared" si="6"/>
        <v>0</v>
      </c>
      <c r="AF32" s="80"/>
      <c r="AG32" s="80">
        <v>15</v>
      </c>
      <c r="AH32" s="80">
        <f t="shared" si="8"/>
        <v>1318935.0000000002</v>
      </c>
      <c r="AI32" s="80">
        <f t="shared" si="9"/>
        <v>1818525</v>
      </c>
      <c r="AJ32" s="124"/>
      <c r="AK32" s="124"/>
      <c r="AL32" s="124"/>
      <c r="AM32" s="124"/>
      <c r="AN32" s="124"/>
      <c r="AO32" s="50"/>
      <c r="AP32" s="51"/>
      <c r="AQ32" s="51"/>
      <c r="AR32" s="35"/>
      <c r="AS32" s="41">
        <f t="shared" si="10"/>
        <v>80153.200000000012</v>
      </c>
      <c r="AT32" s="41">
        <f t="shared" si="11"/>
        <v>0</v>
      </c>
      <c r="AU32" s="41">
        <f t="shared" si="12"/>
        <v>72940</v>
      </c>
      <c r="AV32" s="36"/>
      <c r="AW32" s="36"/>
      <c r="AX32" s="36"/>
      <c r="AY32" s="43">
        <f t="shared" si="13"/>
        <v>87929.000000000015</v>
      </c>
      <c r="AZ32" s="43">
        <f t="shared" si="14"/>
        <v>13196</v>
      </c>
      <c r="BA32" s="43">
        <f t="shared" si="15"/>
        <v>121235</v>
      </c>
      <c r="BE32" s="10">
        <v>39700</v>
      </c>
      <c r="BF32" s="10">
        <f t="shared" si="16"/>
        <v>6132</v>
      </c>
      <c r="BJ32" s="29"/>
    </row>
    <row r="33" spans="1:62" x14ac:dyDescent="0.25">
      <c r="A33" s="72" t="e">
        <f>VLOOKUP(C33,Master!A:D,4,0)</f>
        <v>#N/A</v>
      </c>
      <c r="B33" s="73" t="e">
        <f>VLOOKUP(C33,Master!A:C,3,0)</f>
        <v>#N/A</v>
      </c>
      <c r="C33" s="115" t="s">
        <v>856</v>
      </c>
      <c r="D33" s="75">
        <f>SUMIF(Master!E:E,Summary!C33,Master!F:F)-E33-D34</f>
        <v>2249</v>
      </c>
      <c r="E33" s="75">
        <v>0</v>
      </c>
      <c r="F33" s="75">
        <v>0</v>
      </c>
      <c r="G33" s="113"/>
      <c r="H33" s="113"/>
      <c r="I33" s="80"/>
      <c r="J33" s="80"/>
      <c r="K33" s="113"/>
      <c r="L33" s="113"/>
      <c r="M33" s="80"/>
      <c r="N33" s="80"/>
      <c r="O33" s="75">
        <v>47181</v>
      </c>
      <c r="P33" s="75">
        <v>49430</v>
      </c>
      <c r="Q33" s="75">
        <f t="shared" si="1"/>
        <v>0</v>
      </c>
      <c r="R33" s="75"/>
      <c r="S33" s="75"/>
      <c r="T33" s="75"/>
      <c r="U33" s="75">
        <f t="shared" si="0"/>
        <v>47181</v>
      </c>
      <c r="V33" s="75">
        <f t="shared" si="0"/>
        <v>49430</v>
      </c>
      <c r="W33" s="107">
        <f t="shared" si="7"/>
        <v>0</v>
      </c>
      <c r="X33" s="132">
        <f t="shared" si="2"/>
        <v>0</v>
      </c>
      <c r="Y33" s="132">
        <f t="shared" si="3"/>
        <v>0</v>
      </c>
      <c r="Z33" s="76">
        <v>0</v>
      </c>
      <c r="AA33" s="76">
        <v>0</v>
      </c>
      <c r="AB33" s="76">
        <v>0</v>
      </c>
      <c r="AC33" s="131">
        <f t="shared" si="4"/>
        <v>0</v>
      </c>
      <c r="AD33" s="131">
        <f t="shared" si="5"/>
        <v>0</v>
      </c>
      <c r="AE33" s="131">
        <f t="shared" si="6"/>
        <v>0</v>
      </c>
      <c r="AF33" s="80"/>
      <c r="AG33" s="80">
        <v>115.46</v>
      </c>
      <c r="AH33" s="80">
        <f t="shared" si="8"/>
        <v>0</v>
      </c>
      <c r="AI33" s="80">
        <f t="shared" si="9"/>
        <v>0</v>
      </c>
      <c r="AJ33" s="124"/>
      <c r="AK33" s="124"/>
      <c r="AL33" s="124"/>
      <c r="AM33" s="124"/>
      <c r="AN33" s="124"/>
      <c r="AP33" s="35"/>
      <c r="AQ33" s="35"/>
      <c r="AR33" s="35"/>
      <c r="AS33" s="41">
        <f t="shared" si="10"/>
        <v>2249</v>
      </c>
      <c r="AT33" s="41">
        <f t="shared" si="11"/>
        <v>0</v>
      </c>
      <c r="AU33" s="41">
        <f t="shared" si="12"/>
        <v>0</v>
      </c>
      <c r="AV33" s="36"/>
      <c r="AW33" s="36"/>
      <c r="AX33" s="36"/>
      <c r="AY33" s="43">
        <f t="shared" si="13"/>
        <v>0</v>
      </c>
      <c r="AZ33" s="43">
        <f t="shared" si="14"/>
        <v>0</v>
      </c>
      <c r="BA33" s="43">
        <f t="shared" si="15"/>
        <v>0</v>
      </c>
      <c r="BE33" s="10"/>
      <c r="BF33" s="10">
        <f t="shared" si="16"/>
        <v>0</v>
      </c>
      <c r="BJ33" s="29"/>
    </row>
    <row r="34" spans="1:62" x14ac:dyDescent="0.25">
      <c r="A34" s="72" t="e">
        <f>VLOOKUP(C34,Master!A:D,4,0)</f>
        <v>#N/A</v>
      </c>
      <c r="B34" s="73" t="e">
        <f>VLOOKUP(C34,Master!A:C,3,0)</f>
        <v>#N/A</v>
      </c>
      <c r="C34" s="116" t="s">
        <v>857</v>
      </c>
      <c r="D34" s="75">
        <v>8486</v>
      </c>
      <c r="E34" s="75">
        <v>0</v>
      </c>
      <c r="F34" s="75">
        <v>0</v>
      </c>
      <c r="G34" s="75"/>
      <c r="H34" s="75"/>
      <c r="I34" s="75"/>
      <c r="J34" s="75"/>
      <c r="K34" s="75"/>
      <c r="L34" s="75"/>
      <c r="M34" s="75"/>
      <c r="N34" s="75"/>
      <c r="O34" s="75">
        <v>49430</v>
      </c>
      <c r="P34" s="75">
        <v>57916</v>
      </c>
      <c r="Q34" s="75">
        <f t="shared" si="1"/>
        <v>0</v>
      </c>
      <c r="R34" s="75"/>
      <c r="S34" s="75"/>
      <c r="T34" s="75"/>
      <c r="U34" s="75">
        <f t="shared" si="0"/>
        <v>49430</v>
      </c>
      <c r="V34" s="75">
        <f t="shared" si="0"/>
        <v>57916</v>
      </c>
      <c r="W34" s="107">
        <f t="shared" si="7"/>
        <v>0</v>
      </c>
      <c r="X34" s="132">
        <f t="shared" si="2"/>
        <v>0</v>
      </c>
      <c r="Y34" s="132">
        <f t="shared" si="3"/>
        <v>0</v>
      </c>
      <c r="Z34" s="76">
        <v>0</v>
      </c>
      <c r="AA34" s="76">
        <v>0</v>
      </c>
      <c r="AB34" s="76">
        <v>0</v>
      </c>
      <c r="AC34" s="131">
        <f t="shared" si="4"/>
        <v>0</v>
      </c>
      <c r="AD34" s="131">
        <f t="shared" si="5"/>
        <v>0</v>
      </c>
      <c r="AE34" s="131">
        <f t="shared" si="6"/>
        <v>0</v>
      </c>
      <c r="AF34" s="80"/>
      <c r="AG34" s="80">
        <f>AG20</f>
        <v>142.43</v>
      </c>
      <c r="AH34" s="80">
        <f t="shared" si="8"/>
        <v>0</v>
      </c>
      <c r="AI34" s="80">
        <f t="shared" si="9"/>
        <v>0</v>
      </c>
      <c r="AJ34" s="124"/>
      <c r="AK34" s="124"/>
      <c r="AL34" s="124"/>
      <c r="AM34" s="124"/>
      <c r="AN34" s="124"/>
      <c r="AP34" s="35"/>
      <c r="AQ34" s="35"/>
      <c r="AR34" s="35"/>
      <c r="AS34" s="41">
        <f t="shared" si="10"/>
        <v>8486</v>
      </c>
      <c r="AT34" s="41">
        <f t="shared" si="11"/>
        <v>0</v>
      </c>
      <c r="AU34" s="41">
        <f t="shared" si="12"/>
        <v>0</v>
      </c>
      <c r="AV34" s="36"/>
      <c r="AW34" s="36"/>
      <c r="AX34" s="36"/>
      <c r="AY34" s="43">
        <f t="shared" si="13"/>
        <v>0</v>
      </c>
      <c r="AZ34" s="43">
        <f t="shared" si="14"/>
        <v>0</v>
      </c>
      <c r="BA34" s="43">
        <f t="shared" si="15"/>
        <v>0</v>
      </c>
      <c r="BE34" s="10"/>
      <c r="BF34" s="10">
        <f t="shared" si="16"/>
        <v>0</v>
      </c>
      <c r="BJ34" s="29"/>
    </row>
    <row r="35" spans="1:62" x14ac:dyDescent="0.25">
      <c r="A35" s="72" t="str">
        <f>VLOOKUP(C35,Master!A:D,4,0)</f>
        <v>FG</v>
      </c>
      <c r="B35" s="73" t="str">
        <f>VLOOKUP(C35,Master!A:C,3,0)</f>
        <v>FIBC Bags</v>
      </c>
      <c r="C35" s="73" t="s">
        <v>748</v>
      </c>
      <c r="D35" s="75">
        <f>SUMIF(Master!E:E,Summary!C35,Master!F:F)-E35-D41</f>
        <v>118386</v>
      </c>
      <c r="E35" s="75">
        <v>0</v>
      </c>
      <c r="F35" s="75">
        <v>4016.25</v>
      </c>
      <c r="G35" s="80">
        <v>16889</v>
      </c>
      <c r="H35" s="80">
        <v>327430.16000000003</v>
      </c>
      <c r="I35" s="80">
        <v>300425.40000000002</v>
      </c>
      <c r="J35" s="75"/>
      <c r="K35" s="117">
        <v>737019.36</v>
      </c>
      <c r="L35" s="80"/>
      <c r="M35" s="80"/>
      <c r="N35" s="75"/>
      <c r="O35" s="75">
        <v>158337</v>
      </c>
      <c r="P35" s="75">
        <v>2530.1999999999998</v>
      </c>
      <c r="Q35" s="75">
        <f t="shared" si="1"/>
        <v>300425.40000000002</v>
      </c>
      <c r="R35" s="75"/>
      <c r="S35" s="75"/>
      <c r="T35" s="75"/>
      <c r="U35" s="75">
        <f t="shared" si="0"/>
        <v>158337</v>
      </c>
      <c r="V35" s="75">
        <f t="shared" si="0"/>
        <v>2530.1999999999998</v>
      </c>
      <c r="W35" s="107">
        <f t="shared" si="7"/>
        <v>181918.00000000006</v>
      </c>
      <c r="X35" s="132">
        <f t="shared" ref="X35:X41" si="17">E35+J35-N35-T35+S35</f>
        <v>0</v>
      </c>
      <c r="Y35" s="132">
        <f t="shared" ref="Y35:Y41" si="18">F35-I35+M35-R35+Q35</f>
        <v>4016.25</v>
      </c>
      <c r="Z35" s="76">
        <v>181918.00000000006</v>
      </c>
      <c r="AA35" s="76">
        <v>0</v>
      </c>
      <c r="AB35" s="76">
        <v>4016.25</v>
      </c>
      <c r="AC35" s="131">
        <f t="shared" si="4"/>
        <v>0</v>
      </c>
      <c r="AD35" s="131">
        <f t="shared" si="5"/>
        <v>0</v>
      </c>
      <c r="AE35" s="131">
        <f t="shared" si="6"/>
        <v>0</v>
      </c>
      <c r="AF35" s="80"/>
      <c r="AG35" s="107">
        <f>222.75*0.95</f>
        <v>211.61249999999998</v>
      </c>
      <c r="AH35" s="80">
        <f t="shared" si="8"/>
        <v>38496122.775000006</v>
      </c>
      <c r="AI35" s="80">
        <f t="shared" si="9"/>
        <v>849888.70312499988</v>
      </c>
      <c r="AJ35" s="124"/>
      <c r="AK35" s="124"/>
      <c r="AL35" s="124"/>
      <c r="AM35" s="124"/>
      <c r="AN35" s="124"/>
      <c r="AP35" s="35"/>
      <c r="AQ35" s="35"/>
      <c r="AR35" s="35"/>
      <c r="AS35" s="41">
        <f t="shared" si="10"/>
        <v>118386</v>
      </c>
      <c r="AT35" s="41">
        <f t="shared" si="11"/>
        <v>0</v>
      </c>
      <c r="AU35" s="41">
        <f t="shared" si="12"/>
        <v>4016.25</v>
      </c>
      <c r="AV35" s="36"/>
      <c r="AW35" s="36"/>
      <c r="AX35" s="36"/>
      <c r="AY35" s="43">
        <f t="shared" si="13"/>
        <v>181918.00000000006</v>
      </c>
      <c r="AZ35" s="43">
        <f t="shared" si="14"/>
        <v>0</v>
      </c>
      <c r="BA35" s="43">
        <f t="shared" si="15"/>
        <v>4016.25</v>
      </c>
      <c r="BE35" s="10">
        <v>413997.2</v>
      </c>
      <c r="BF35" s="10">
        <f t="shared" si="16"/>
        <v>-86567.039999999979</v>
      </c>
      <c r="BJ35" s="29"/>
    </row>
    <row r="36" spans="1:62" x14ac:dyDescent="0.25">
      <c r="A36" s="72" t="str">
        <f>VLOOKUP(C36,Master!A:D,4,0)</f>
        <v>FG</v>
      </c>
      <c r="B36" s="73" t="str">
        <f>VLOOKUP(C36,Master!A:C,3,0)</f>
        <v>Small Bags</v>
      </c>
      <c r="C36" s="73" t="s">
        <v>780</v>
      </c>
      <c r="D36" s="75">
        <f>SUMIF(Master!E:E,Summary!C36,Master!F:F)-E36</f>
        <v>3497.0000000000018</v>
      </c>
      <c r="E36" s="75">
        <v>0</v>
      </c>
      <c r="F36" s="75">
        <v>0</v>
      </c>
      <c r="G36" s="98">
        <v>1004</v>
      </c>
      <c r="H36" s="113"/>
      <c r="I36" s="80"/>
      <c r="J36" s="75"/>
      <c r="K36" s="80">
        <v>12892.800000000001</v>
      </c>
      <c r="L36" s="80"/>
      <c r="M36" s="80"/>
      <c r="N36" s="75"/>
      <c r="O36" s="75">
        <f>17652.529+0.271</f>
        <v>17652.8</v>
      </c>
      <c r="P36" s="75"/>
      <c r="Q36" s="75">
        <f t="shared" si="1"/>
        <v>0</v>
      </c>
      <c r="R36" s="75"/>
      <c r="S36" s="75"/>
      <c r="T36" s="75"/>
      <c r="U36" s="75">
        <f t="shared" si="0"/>
        <v>17652.8</v>
      </c>
      <c r="V36" s="75">
        <f t="shared" si="0"/>
        <v>0</v>
      </c>
      <c r="W36" s="107">
        <f t="shared" si="7"/>
        <v>9261</v>
      </c>
      <c r="X36" s="132">
        <f t="shared" si="17"/>
        <v>0</v>
      </c>
      <c r="Y36" s="132">
        <f t="shared" si="18"/>
        <v>0</v>
      </c>
      <c r="Z36" s="76">
        <v>9261</v>
      </c>
      <c r="AA36" s="76">
        <v>0</v>
      </c>
      <c r="AB36" s="76">
        <v>0</v>
      </c>
      <c r="AC36" s="131">
        <f t="shared" ref="AC36:AC41" si="19">W36-Z36</f>
        <v>0</v>
      </c>
      <c r="AD36" s="131">
        <f t="shared" ref="AD36:AD41" si="20">X36-AA36</f>
        <v>0</v>
      </c>
      <c r="AE36" s="131">
        <f t="shared" ref="AE36:AE41" si="21">Y36-AB36</f>
        <v>0</v>
      </c>
      <c r="AF36" s="80"/>
      <c r="AG36" s="107">
        <f>280.32*0.97</f>
        <v>271.91039999999998</v>
      </c>
      <c r="AH36" s="80">
        <f t="shared" si="8"/>
        <v>2518162.2143999999</v>
      </c>
      <c r="AI36" s="80">
        <f t="shared" si="9"/>
        <v>0</v>
      </c>
      <c r="AJ36" s="124"/>
      <c r="AK36" s="124"/>
      <c r="AL36" s="124"/>
      <c r="AM36" s="124"/>
      <c r="AN36" s="124"/>
      <c r="AP36" s="35"/>
      <c r="AQ36" s="35"/>
      <c r="AR36" s="35"/>
      <c r="AS36" s="41">
        <f t="shared" si="10"/>
        <v>3497.0000000000018</v>
      </c>
      <c r="AT36" s="41">
        <f t="shared" si="11"/>
        <v>0</v>
      </c>
      <c r="AU36" s="41">
        <f t="shared" si="12"/>
        <v>0</v>
      </c>
      <c r="AV36" s="36"/>
      <c r="AW36" s="36"/>
      <c r="AX36" s="36"/>
      <c r="AY36" s="43">
        <f t="shared" si="13"/>
        <v>9261</v>
      </c>
      <c r="AZ36" s="43">
        <f t="shared" si="14"/>
        <v>0</v>
      </c>
      <c r="BA36" s="43">
        <f t="shared" si="15"/>
        <v>0</v>
      </c>
      <c r="BE36" s="10"/>
      <c r="BF36" s="10">
        <f t="shared" si="16"/>
        <v>0</v>
      </c>
      <c r="BJ36" s="29"/>
    </row>
    <row r="37" spans="1:62" x14ac:dyDescent="0.25">
      <c r="A37" s="72" t="e">
        <f>VLOOKUP(C37,Master!A:D,4,0)</f>
        <v>#N/A</v>
      </c>
      <c r="B37" s="110" t="s">
        <v>846</v>
      </c>
      <c r="C37" s="80" t="s">
        <v>848</v>
      </c>
      <c r="D37" s="75">
        <f>SUMIF(Master!E:E,Summary!C37,Master!F:F)-E37</f>
        <v>16358.239999999998</v>
      </c>
      <c r="E37" s="75">
        <v>0</v>
      </c>
      <c r="F37" s="75">
        <v>0</v>
      </c>
      <c r="G37" s="113"/>
      <c r="H37" s="113"/>
      <c r="I37" s="80"/>
      <c r="J37" s="80"/>
      <c r="K37" s="113">
        <v>50542.5</v>
      </c>
      <c r="L37" s="113"/>
      <c r="M37" s="80"/>
      <c r="N37" s="80"/>
      <c r="O37" s="75">
        <f>49512+0.26</f>
        <v>49512.26</v>
      </c>
      <c r="P37" s="75"/>
      <c r="Q37" s="75">
        <f t="shared" si="1"/>
        <v>0</v>
      </c>
      <c r="R37" s="75"/>
      <c r="S37" s="75"/>
      <c r="T37" s="75"/>
      <c r="U37" s="75">
        <f t="shared" si="0"/>
        <v>49512.26</v>
      </c>
      <c r="V37" s="75">
        <f t="shared" si="0"/>
        <v>0</v>
      </c>
      <c r="W37" s="107">
        <f t="shared" si="7"/>
        <v>15328</v>
      </c>
      <c r="X37" s="132">
        <f t="shared" si="17"/>
        <v>0</v>
      </c>
      <c r="Y37" s="132">
        <f t="shared" si="18"/>
        <v>0</v>
      </c>
      <c r="Z37" s="76">
        <v>15328</v>
      </c>
      <c r="AA37" s="76">
        <v>0</v>
      </c>
      <c r="AB37" s="76">
        <v>0</v>
      </c>
      <c r="AC37" s="131">
        <f t="shared" si="19"/>
        <v>0</v>
      </c>
      <c r="AD37" s="131">
        <f t="shared" si="20"/>
        <v>0</v>
      </c>
      <c r="AE37" s="131">
        <f t="shared" si="21"/>
        <v>0</v>
      </c>
      <c r="AF37" s="80"/>
      <c r="AG37" s="107">
        <f>188.34*0.97</f>
        <v>182.68979999999999</v>
      </c>
      <c r="AH37" s="80">
        <f t="shared" si="8"/>
        <v>2800269.2544</v>
      </c>
      <c r="AI37" s="80">
        <f t="shared" si="9"/>
        <v>0</v>
      </c>
      <c r="AJ37" s="124"/>
      <c r="AK37" s="124"/>
      <c r="AL37" s="124"/>
      <c r="AM37" s="124"/>
      <c r="AN37" s="124"/>
      <c r="AP37" s="35"/>
      <c r="AQ37" s="35"/>
      <c r="AR37" s="35"/>
      <c r="AS37" s="41">
        <f t="shared" si="10"/>
        <v>16358.239999999998</v>
      </c>
      <c r="AT37" s="41">
        <f t="shared" si="11"/>
        <v>0</v>
      </c>
      <c r="AU37" s="41">
        <f t="shared" si="12"/>
        <v>0</v>
      </c>
      <c r="AV37" s="36"/>
      <c r="AW37" s="36"/>
      <c r="AX37" s="36"/>
      <c r="AY37" s="43">
        <f t="shared" si="13"/>
        <v>15328</v>
      </c>
      <c r="AZ37" s="43">
        <f t="shared" si="14"/>
        <v>0</v>
      </c>
      <c r="BA37" s="43">
        <f t="shared" si="15"/>
        <v>0</v>
      </c>
      <c r="BE37" s="10"/>
      <c r="BF37" s="10">
        <f t="shared" si="16"/>
        <v>0</v>
      </c>
      <c r="BJ37" s="29"/>
    </row>
    <row r="38" spans="1:62" x14ac:dyDescent="0.25">
      <c r="A38" s="72" t="str">
        <f>VLOOKUP(C38,Master!A:D,4,0)</f>
        <v>FG</v>
      </c>
      <c r="B38" s="73" t="str">
        <f>VLOOKUP(C38,Master!A:C,3,0)</f>
        <v>Trading Items</v>
      </c>
      <c r="C38" s="73" t="s">
        <v>756</v>
      </c>
      <c r="D38" s="75">
        <f>SUMIF(Master!E:E,Summary!C38,Master!F:F)-E38</f>
        <v>0</v>
      </c>
      <c r="E38" s="75">
        <v>0</v>
      </c>
      <c r="F38" s="75">
        <v>0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>
        <f t="shared" si="1"/>
        <v>0</v>
      </c>
      <c r="R38" s="75"/>
      <c r="S38" s="75"/>
      <c r="T38" s="75"/>
      <c r="U38" s="75">
        <f t="shared" si="0"/>
        <v>0</v>
      </c>
      <c r="V38" s="75">
        <f t="shared" si="0"/>
        <v>0</v>
      </c>
      <c r="W38" s="107">
        <f t="shared" si="7"/>
        <v>0</v>
      </c>
      <c r="X38" s="132">
        <f t="shared" si="17"/>
        <v>0</v>
      </c>
      <c r="Y38" s="132">
        <f t="shared" si="18"/>
        <v>0</v>
      </c>
      <c r="Z38" s="76">
        <v>0</v>
      </c>
      <c r="AA38" s="76">
        <v>0</v>
      </c>
      <c r="AB38" s="76">
        <v>0</v>
      </c>
      <c r="AC38" s="131">
        <f t="shared" si="19"/>
        <v>0</v>
      </c>
      <c r="AD38" s="131">
        <f t="shared" si="20"/>
        <v>0</v>
      </c>
      <c r="AE38" s="131">
        <f t="shared" si="21"/>
        <v>0</v>
      </c>
      <c r="AF38" s="80"/>
      <c r="AG38" s="80">
        <v>0</v>
      </c>
      <c r="AH38" s="80">
        <f t="shared" si="8"/>
        <v>0</v>
      </c>
      <c r="AI38" s="80">
        <f t="shared" si="9"/>
        <v>0</v>
      </c>
      <c r="AJ38" s="124"/>
      <c r="AK38" s="124"/>
      <c r="AL38" s="124"/>
      <c r="AM38" s="124"/>
      <c r="AN38" s="124"/>
      <c r="AP38" s="35"/>
      <c r="AQ38" s="35"/>
      <c r="AR38" s="35"/>
      <c r="AS38" s="41">
        <f t="shared" si="10"/>
        <v>0</v>
      </c>
      <c r="AT38" s="41">
        <f t="shared" si="11"/>
        <v>0</v>
      </c>
      <c r="AU38" s="41">
        <f t="shared" si="12"/>
        <v>0</v>
      </c>
      <c r="AV38" s="36"/>
      <c r="AW38" s="36"/>
      <c r="AX38" s="36"/>
      <c r="AY38" s="43">
        <f t="shared" si="13"/>
        <v>0</v>
      </c>
      <c r="AZ38" s="43">
        <f t="shared" si="14"/>
        <v>0</v>
      </c>
      <c r="BA38" s="43">
        <f t="shared" si="15"/>
        <v>0</v>
      </c>
      <c r="BB38" s="55"/>
      <c r="BE38" s="10"/>
      <c r="BF38" s="10">
        <f t="shared" si="16"/>
        <v>0</v>
      </c>
      <c r="BJ38" s="29"/>
    </row>
    <row r="39" spans="1:62" x14ac:dyDescent="0.25">
      <c r="A39" s="72" t="str">
        <f>VLOOKUP(C39,Master!A:D,4,0)</f>
        <v>FG</v>
      </c>
      <c r="B39" s="73" t="str">
        <f>VLOOKUP(C39,Master!A:C,3,0)</f>
        <v>Small Bags</v>
      </c>
      <c r="C39" s="73" t="s">
        <v>758</v>
      </c>
      <c r="D39" s="75">
        <f>SUMIF(Master!E:E,Summary!C39,Master!F:F)-E39</f>
        <v>0</v>
      </c>
      <c r="E39" s="75">
        <v>0</v>
      </c>
      <c r="F39" s="75">
        <v>0</v>
      </c>
      <c r="G39" s="75"/>
      <c r="H39" s="75">
        <v>1745</v>
      </c>
      <c r="I39" s="75"/>
      <c r="J39" s="75"/>
      <c r="K39" s="75">
        <v>1745</v>
      </c>
      <c r="L39" s="75"/>
      <c r="M39" s="75"/>
      <c r="N39" s="75"/>
      <c r="O39" s="75"/>
      <c r="P39" s="75"/>
      <c r="Q39" s="75">
        <f t="shared" si="1"/>
        <v>0</v>
      </c>
      <c r="R39" s="75"/>
      <c r="S39" s="75"/>
      <c r="T39" s="75"/>
      <c r="U39" s="75">
        <f t="shared" si="0"/>
        <v>0</v>
      </c>
      <c r="V39" s="75">
        <f t="shared" si="0"/>
        <v>0</v>
      </c>
      <c r="W39" s="107">
        <f t="shared" si="7"/>
        <v>0</v>
      </c>
      <c r="X39" s="132">
        <f t="shared" si="17"/>
        <v>0</v>
      </c>
      <c r="Y39" s="132">
        <f t="shared" si="18"/>
        <v>0</v>
      </c>
      <c r="Z39" s="76">
        <v>0</v>
      </c>
      <c r="AA39" s="76">
        <v>0</v>
      </c>
      <c r="AB39" s="76">
        <v>0</v>
      </c>
      <c r="AC39" s="131">
        <f t="shared" si="19"/>
        <v>0</v>
      </c>
      <c r="AD39" s="131">
        <f t="shared" si="20"/>
        <v>0</v>
      </c>
      <c r="AE39" s="131">
        <f t="shared" si="21"/>
        <v>0</v>
      </c>
      <c r="AF39" s="80"/>
      <c r="AG39" s="80">
        <v>0</v>
      </c>
      <c r="AH39" s="80">
        <f t="shared" si="8"/>
        <v>0</v>
      </c>
      <c r="AI39" s="80">
        <f t="shared" si="9"/>
        <v>0</v>
      </c>
      <c r="AJ39" s="124"/>
      <c r="AK39" s="124"/>
      <c r="AL39" s="124"/>
      <c r="AM39" s="124"/>
      <c r="AN39" s="124"/>
      <c r="AP39" s="35"/>
      <c r="AQ39" s="35"/>
      <c r="AR39" s="35"/>
      <c r="AS39" s="41">
        <f t="shared" si="10"/>
        <v>0</v>
      </c>
      <c r="AT39" s="41">
        <f t="shared" si="11"/>
        <v>0</v>
      </c>
      <c r="AU39" s="41">
        <f t="shared" si="12"/>
        <v>0</v>
      </c>
      <c r="AV39" s="36"/>
      <c r="AW39" s="36"/>
      <c r="AX39" s="36"/>
      <c r="AY39" s="43">
        <f t="shared" si="13"/>
        <v>0</v>
      </c>
      <c r="AZ39" s="43">
        <f t="shared" si="14"/>
        <v>0</v>
      </c>
      <c r="BA39" s="43">
        <f t="shared" si="15"/>
        <v>0</v>
      </c>
      <c r="BE39" s="10">
        <v>7762</v>
      </c>
      <c r="BF39" s="10">
        <f t="shared" si="16"/>
        <v>-6017</v>
      </c>
      <c r="BJ39" s="29"/>
    </row>
    <row r="40" spans="1:62" x14ac:dyDescent="0.25">
      <c r="A40" s="72" t="str">
        <f>VLOOKUP(C40,Master!A:D,4,0)</f>
        <v>FG</v>
      </c>
      <c r="B40" s="73" t="str">
        <f>VLOOKUP(C40,Master!A:C,3,0)</f>
        <v>Small Bags WIP</v>
      </c>
      <c r="C40" s="73" t="s">
        <v>759</v>
      </c>
      <c r="D40" s="75">
        <v>0</v>
      </c>
      <c r="E40" s="80">
        <v>0</v>
      </c>
      <c r="F40" s="80">
        <v>0</v>
      </c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75">
        <f t="shared" si="1"/>
        <v>0</v>
      </c>
      <c r="R40" s="80"/>
      <c r="S40" s="80"/>
      <c r="T40" s="80"/>
      <c r="U40" s="75">
        <f t="shared" si="0"/>
        <v>0</v>
      </c>
      <c r="V40" s="75">
        <f t="shared" si="0"/>
        <v>0</v>
      </c>
      <c r="W40" s="107">
        <f t="shared" si="7"/>
        <v>0</v>
      </c>
      <c r="X40" s="132">
        <f t="shared" si="17"/>
        <v>0</v>
      </c>
      <c r="Y40" s="132">
        <f t="shared" si="18"/>
        <v>0</v>
      </c>
      <c r="Z40" s="76">
        <v>0</v>
      </c>
      <c r="AA40" s="76">
        <v>0</v>
      </c>
      <c r="AB40" s="76">
        <v>0</v>
      </c>
      <c r="AC40" s="131">
        <f t="shared" si="19"/>
        <v>0</v>
      </c>
      <c r="AD40" s="131">
        <f t="shared" si="20"/>
        <v>0</v>
      </c>
      <c r="AE40" s="131">
        <f t="shared" si="21"/>
        <v>0</v>
      </c>
      <c r="AF40" s="80"/>
      <c r="AG40" s="80">
        <v>0</v>
      </c>
      <c r="AH40" s="80">
        <f t="shared" si="8"/>
        <v>0</v>
      </c>
      <c r="AI40" s="80">
        <f t="shared" si="9"/>
        <v>0</v>
      </c>
      <c r="AJ40" s="124"/>
      <c r="AK40" s="124"/>
      <c r="AL40" s="124"/>
      <c r="AM40" s="124"/>
      <c r="AN40" s="124"/>
      <c r="AP40" s="35"/>
      <c r="AQ40" s="35"/>
      <c r="AR40" s="35"/>
      <c r="AS40" s="41">
        <f t="shared" si="10"/>
        <v>0</v>
      </c>
      <c r="AT40" s="41">
        <f t="shared" si="11"/>
        <v>0</v>
      </c>
      <c r="AU40" s="41">
        <f t="shared" si="12"/>
        <v>0</v>
      </c>
      <c r="AV40" s="36"/>
      <c r="AW40" s="36"/>
      <c r="AX40" s="36"/>
      <c r="AY40" s="43">
        <f t="shared" si="13"/>
        <v>0</v>
      </c>
      <c r="AZ40" s="43">
        <f t="shared" si="14"/>
        <v>0</v>
      </c>
      <c r="BA40" s="43">
        <f t="shared" si="15"/>
        <v>0</v>
      </c>
      <c r="BE40" s="10"/>
      <c r="BF40" s="10">
        <f t="shared" si="16"/>
        <v>0</v>
      </c>
      <c r="BJ40" s="29"/>
    </row>
    <row r="41" spans="1:62" ht="15.75" thickBot="1" x14ac:dyDescent="0.3">
      <c r="A41" s="81" t="e">
        <f>VLOOKUP(C41,Master!A:D,4,0)</f>
        <v>#N/A</v>
      </c>
      <c r="B41" s="82" t="e">
        <f>VLOOKUP(C41,Master!A:C,3,0)</f>
        <v>#N/A</v>
      </c>
      <c r="C41" s="115" t="s">
        <v>858</v>
      </c>
      <c r="D41" s="83">
        <v>16055</v>
      </c>
      <c r="E41" s="84">
        <v>0</v>
      </c>
      <c r="F41" s="84">
        <v>0</v>
      </c>
      <c r="G41" s="84"/>
      <c r="H41" s="84"/>
      <c r="I41" s="84"/>
      <c r="J41" s="84"/>
      <c r="K41" s="85"/>
      <c r="L41" s="84"/>
      <c r="M41" s="84"/>
      <c r="N41" s="84"/>
      <c r="O41" s="84">
        <v>8089</v>
      </c>
      <c r="P41" s="84"/>
      <c r="Q41" s="75">
        <f t="shared" si="1"/>
        <v>0</v>
      </c>
      <c r="R41" s="84"/>
      <c r="S41" s="84"/>
      <c r="T41" s="84"/>
      <c r="U41" s="75">
        <f t="shared" si="0"/>
        <v>8089</v>
      </c>
      <c r="V41" s="75">
        <f t="shared" si="0"/>
        <v>0</v>
      </c>
      <c r="W41" s="107">
        <f t="shared" si="7"/>
        <v>24144</v>
      </c>
      <c r="X41" s="132">
        <f t="shared" si="17"/>
        <v>0</v>
      </c>
      <c r="Y41" s="132">
        <f t="shared" si="18"/>
        <v>0</v>
      </c>
      <c r="Z41" s="76">
        <v>24144</v>
      </c>
      <c r="AA41" s="76">
        <v>0</v>
      </c>
      <c r="AB41" s="76">
        <v>0</v>
      </c>
      <c r="AC41" s="131">
        <f t="shared" si="19"/>
        <v>0</v>
      </c>
      <c r="AD41" s="131">
        <f t="shared" si="20"/>
        <v>0</v>
      </c>
      <c r="AE41" s="131">
        <f t="shared" si="21"/>
        <v>0</v>
      </c>
      <c r="AF41" s="80"/>
      <c r="AG41" s="80">
        <v>153.36000000000001</v>
      </c>
      <c r="AH41" s="80">
        <f t="shared" si="8"/>
        <v>3702723.8400000003</v>
      </c>
      <c r="AI41" s="80">
        <f t="shared" si="9"/>
        <v>0</v>
      </c>
      <c r="AJ41" s="124"/>
      <c r="AK41" s="124"/>
      <c r="AL41" s="124"/>
      <c r="AM41" s="124"/>
      <c r="AN41" s="124"/>
      <c r="AP41" s="35"/>
      <c r="AQ41" s="35"/>
      <c r="AR41" s="35"/>
      <c r="AS41" s="41">
        <f t="shared" si="10"/>
        <v>16055</v>
      </c>
      <c r="AT41" s="41">
        <f t="shared" si="11"/>
        <v>0</v>
      </c>
      <c r="AU41" s="41">
        <f t="shared" si="12"/>
        <v>0</v>
      </c>
      <c r="AV41" s="36"/>
      <c r="AW41" s="36"/>
      <c r="AX41" s="36"/>
      <c r="AY41" s="43">
        <f t="shared" si="13"/>
        <v>24144</v>
      </c>
      <c r="AZ41" s="43">
        <f t="shared" si="14"/>
        <v>0</v>
      </c>
      <c r="BA41" s="43">
        <f t="shared" si="15"/>
        <v>0</v>
      </c>
      <c r="BE41" s="10"/>
      <c r="BF41" s="10"/>
      <c r="BJ41" s="29"/>
    </row>
    <row r="42" spans="1:62" x14ac:dyDescent="0.25">
      <c r="A42" s="86" t="s">
        <v>774</v>
      </c>
      <c r="B42" s="87"/>
      <c r="C42" s="88"/>
      <c r="D42" s="71">
        <f>SUM(D4:D41)</f>
        <v>2524251.7629999998</v>
      </c>
      <c r="E42" s="71">
        <f t="shared" ref="E42:F42" si="22">SUM(E4:E41)</f>
        <v>25731.102000000054</v>
      </c>
      <c r="F42" s="71">
        <f t="shared" si="22"/>
        <v>710240.09000000008</v>
      </c>
      <c r="G42" s="71">
        <f t="shared" ref="G42:BA42" si="23">SUM(G4:G41)</f>
        <v>117142.1</v>
      </c>
      <c r="H42" s="71">
        <f t="shared" si="23"/>
        <v>1505522.6999999997</v>
      </c>
      <c r="I42" s="71">
        <f t="shared" si="23"/>
        <v>499654.40000000002</v>
      </c>
      <c r="J42" s="71">
        <f t="shared" si="23"/>
        <v>166715</v>
      </c>
      <c r="K42" s="71">
        <f t="shared" si="23"/>
        <v>2481929.86</v>
      </c>
      <c r="L42" s="71">
        <f t="shared" si="23"/>
        <v>158836.74</v>
      </c>
      <c r="M42" s="71">
        <f t="shared" si="23"/>
        <v>461356.1</v>
      </c>
      <c r="N42" s="71">
        <f t="shared" si="23"/>
        <v>67019</v>
      </c>
      <c r="O42" s="71">
        <f t="shared" si="23"/>
        <v>3816897.7549999994</v>
      </c>
      <c r="P42" s="71">
        <f t="shared" si="23"/>
        <v>3799546.0179999997</v>
      </c>
      <c r="Q42" s="89">
        <f t="shared" si="23"/>
        <v>499654.40000000002</v>
      </c>
      <c r="R42" s="71">
        <f t="shared" si="23"/>
        <v>499654.39999999991</v>
      </c>
      <c r="S42" s="71">
        <f t="shared" si="23"/>
        <v>40745</v>
      </c>
      <c r="T42" s="71">
        <f t="shared" si="23"/>
        <v>40745</v>
      </c>
      <c r="U42" s="71">
        <f t="shared" si="23"/>
        <v>3776152.7549999994</v>
      </c>
      <c r="V42" s="71">
        <f t="shared" si="23"/>
        <v>3758801.0179999997</v>
      </c>
      <c r="W42" s="89">
        <f t="shared" si="23"/>
        <v>1561799.9999999993</v>
      </c>
      <c r="X42" s="89">
        <f t="shared" si="23"/>
        <v>125427.10200000006</v>
      </c>
      <c r="Y42" s="76">
        <f t="shared" si="23"/>
        <v>671941.79000000015</v>
      </c>
      <c r="Z42" s="75">
        <f t="shared" si="23"/>
        <v>1561799.9999999993</v>
      </c>
      <c r="AA42" s="75">
        <f t="shared" si="23"/>
        <v>125427.10200000006</v>
      </c>
      <c r="AB42" s="75">
        <f t="shared" si="23"/>
        <v>671941.79000000015</v>
      </c>
      <c r="AC42" s="75">
        <f t="shared" si="23"/>
        <v>0</v>
      </c>
      <c r="AD42" s="75">
        <f t="shared" si="23"/>
        <v>0</v>
      </c>
      <c r="AE42" s="75">
        <f t="shared" si="23"/>
        <v>0</v>
      </c>
      <c r="AF42" s="75">
        <f t="shared" si="23"/>
        <v>0</v>
      </c>
      <c r="AG42" s="75"/>
      <c r="AH42" s="76">
        <f t="shared" si="23"/>
        <v>207981365.61823496</v>
      </c>
      <c r="AI42" s="76">
        <f t="shared" si="23"/>
        <v>75335223.682878017</v>
      </c>
      <c r="AJ42" s="125"/>
      <c r="AK42" s="125"/>
      <c r="AL42" s="125"/>
      <c r="AM42" s="125"/>
      <c r="AN42" s="125"/>
      <c r="AP42" s="37">
        <f t="shared" si="23"/>
        <v>462.9</v>
      </c>
      <c r="AQ42" s="37">
        <f t="shared" si="23"/>
        <v>0</v>
      </c>
      <c r="AR42" s="37">
        <f t="shared" si="23"/>
        <v>0</v>
      </c>
      <c r="AS42" s="42">
        <f t="shared" si="23"/>
        <v>2523788.8629999999</v>
      </c>
      <c r="AT42" s="42">
        <f t="shared" si="23"/>
        <v>25731.102000000054</v>
      </c>
      <c r="AU42" s="42">
        <f t="shared" si="23"/>
        <v>710240.09000000008</v>
      </c>
      <c r="AV42" s="37">
        <f t="shared" si="23"/>
        <v>0</v>
      </c>
      <c r="AW42" s="37">
        <f t="shared" si="23"/>
        <v>0</v>
      </c>
      <c r="AX42" s="37">
        <f t="shared" si="23"/>
        <v>0</v>
      </c>
      <c r="AY42" s="46">
        <f t="shared" si="23"/>
        <v>1561799.9999999993</v>
      </c>
      <c r="AZ42" s="46">
        <f t="shared" si="23"/>
        <v>125427.10200000006</v>
      </c>
      <c r="BA42" s="46">
        <f t="shared" si="23"/>
        <v>671941.79000000015</v>
      </c>
    </row>
    <row r="43" spans="1:62" x14ac:dyDescent="0.25">
      <c r="A43" s="90" t="s">
        <v>907</v>
      </c>
      <c r="B43" s="91"/>
      <c r="C43" s="92"/>
      <c r="D43" s="80">
        <v>2610197.6749999998</v>
      </c>
      <c r="E43" s="80">
        <v>-6558.9</v>
      </c>
      <c r="F43" s="80">
        <v>710286.01199999999</v>
      </c>
      <c r="G43" s="118">
        <v>117142.1</v>
      </c>
      <c r="H43" s="118">
        <v>1811522.7</v>
      </c>
      <c r="I43" s="119">
        <v>499654.40000000002</v>
      </c>
      <c r="J43" s="119">
        <v>166715</v>
      </c>
      <c r="K43" s="119">
        <v>2787929.86</v>
      </c>
      <c r="L43" s="119">
        <v>158836.74</v>
      </c>
      <c r="M43" s="119">
        <v>461356.1</v>
      </c>
      <c r="N43" s="119">
        <v>67019</v>
      </c>
      <c r="O43" s="119">
        <v>3842070.12</v>
      </c>
      <c r="P43" s="119">
        <v>3842070.12</v>
      </c>
      <c r="Q43" s="119">
        <v>499654.40000000002</v>
      </c>
      <c r="R43" s="119">
        <v>499654.40000000002</v>
      </c>
      <c r="S43" s="119">
        <v>40745</v>
      </c>
      <c r="T43" s="119">
        <v>40745</v>
      </c>
      <c r="U43" s="119">
        <v>3801325.12</v>
      </c>
      <c r="V43" s="119">
        <v>3801325.12</v>
      </c>
      <c r="W43" s="120">
        <v>1648278.175</v>
      </c>
      <c r="X43" s="120">
        <v>93137.1</v>
      </c>
      <c r="Y43" s="120">
        <v>671987.71200000006</v>
      </c>
      <c r="Z43" s="47">
        <v>1648278.175</v>
      </c>
      <c r="AA43" s="48">
        <v>93137.1</v>
      </c>
      <c r="AB43" s="47">
        <v>671987.71200000006</v>
      </c>
      <c r="AC43" s="126"/>
      <c r="AD43" s="126"/>
      <c r="AE43" s="126"/>
      <c r="AF43" s="127"/>
      <c r="AG43" s="124"/>
      <c r="AH43" s="124"/>
      <c r="AI43" s="124"/>
      <c r="AJ43" s="124"/>
      <c r="AK43" s="124"/>
      <c r="AL43" s="124"/>
      <c r="AM43" s="124"/>
      <c r="AN43" s="124"/>
      <c r="AP43" s="23"/>
      <c r="AQ43" s="23"/>
      <c r="AR43" s="23"/>
      <c r="AS43" s="25"/>
      <c r="AT43" s="25"/>
      <c r="AU43" s="25"/>
      <c r="AV43" s="25"/>
      <c r="AW43" s="25"/>
      <c r="AX43" s="25"/>
      <c r="AY43" s="25"/>
      <c r="AZ43" s="25"/>
      <c r="BA43" s="23"/>
    </row>
    <row r="44" spans="1:62" ht="15.75" thickBot="1" x14ac:dyDescent="0.3">
      <c r="A44" s="93" t="s">
        <v>21</v>
      </c>
      <c r="B44" s="94"/>
      <c r="C44" s="95"/>
      <c r="D44" s="96">
        <f t="shared" ref="D44:F44" si="24">D42-D43</f>
        <v>-85945.912000000011</v>
      </c>
      <c r="E44" s="96">
        <f t="shared" si="24"/>
        <v>32290.002000000051</v>
      </c>
      <c r="F44" s="96">
        <f t="shared" si="24"/>
        <v>-45.921999999904074</v>
      </c>
      <c r="G44" s="96">
        <f t="shared" ref="G44:AB44" si="25">G42-G43</f>
        <v>0</v>
      </c>
      <c r="H44" s="96">
        <f t="shared" si="25"/>
        <v>-306000.00000000023</v>
      </c>
      <c r="I44" s="96">
        <f t="shared" si="25"/>
        <v>0</v>
      </c>
      <c r="J44" s="96">
        <f t="shared" si="25"/>
        <v>0</v>
      </c>
      <c r="K44" s="96">
        <f>K42-K43</f>
        <v>-306000</v>
      </c>
      <c r="L44" s="96">
        <f t="shared" si="25"/>
        <v>0</v>
      </c>
      <c r="M44" s="96">
        <f t="shared" si="25"/>
        <v>0</v>
      </c>
      <c r="N44" s="96">
        <f t="shared" si="25"/>
        <v>0</v>
      </c>
      <c r="O44" s="84">
        <f t="shared" si="25"/>
        <v>-25172.365000000689</v>
      </c>
      <c r="P44" s="84">
        <f t="shared" si="25"/>
        <v>-42524.102000000421</v>
      </c>
      <c r="Q44" s="96">
        <f t="shared" si="25"/>
        <v>0</v>
      </c>
      <c r="R44" s="96">
        <f t="shared" si="25"/>
        <v>0</v>
      </c>
      <c r="S44" s="84">
        <f t="shared" si="25"/>
        <v>0</v>
      </c>
      <c r="T44" s="84">
        <f t="shared" si="25"/>
        <v>0</v>
      </c>
      <c r="U44" s="84">
        <f t="shared" si="25"/>
        <v>-25172.365000000689</v>
      </c>
      <c r="V44" s="84">
        <f t="shared" si="25"/>
        <v>-42524.102000000421</v>
      </c>
      <c r="W44" s="97">
        <f t="shared" si="25"/>
        <v>-86478.175000000745</v>
      </c>
      <c r="X44" s="97">
        <f t="shared" si="25"/>
        <v>32290.002000000051</v>
      </c>
      <c r="Y44" s="97">
        <f t="shared" si="25"/>
        <v>-45.921999999904074</v>
      </c>
      <c r="Z44" s="26">
        <f t="shared" si="25"/>
        <v>-86478.175000000745</v>
      </c>
      <c r="AA44" s="26">
        <f t="shared" si="25"/>
        <v>32290.002000000051</v>
      </c>
      <c r="AB44" s="26">
        <f t="shared" si="25"/>
        <v>-45.921999999904074</v>
      </c>
      <c r="AC44" s="28"/>
      <c r="AD44" s="28"/>
      <c r="AE44" s="28"/>
      <c r="AF44" s="27"/>
      <c r="AG44" s="124"/>
      <c r="AH44" s="124"/>
      <c r="AI44" s="124"/>
      <c r="AJ44" s="124"/>
      <c r="AK44" s="124"/>
      <c r="AL44" s="124"/>
      <c r="AM44" s="124"/>
      <c r="AN44" s="124"/>
      <c r="AP44" s="23">
        <f>+AP42-AP43</f>
        <v>462.9</v>
      </c>
      <c r="AQ44" s="23">
        <f>+AQ42-AQ43</f>
        <v>0</v>
      </c>
      <c r="AR44" s="23">
        <f>+AR42-AR43</f>
        <v>0</v>
      </c>
      <c r="AS44" s="25"/>
      <c r="AT44" s="25"/>
      <c r="AU44" s="25"/>
      <c r="AV44" s="23">
        <f t="shared" ref="AV44:BA44" si="26">+AV42-AV43</f>
        <v>0</v>
      </c>
      <c r="AW44" s="23">
        <f t="shared" si="26"/>
        <v>0</v>
      </c>
      <c r="AX44" s="23">
        <f t="shared" si="26"/>
        <v>0</v>
      </c>
      <c r="AY44" s="23">
        <f t="shared" si="26"/>
        <v>1561799.9999999993</v>
      </c>
      <c r="AZ44" s="23">
        <f t="shared" si="26"/>
        <v>125427.10200000006</v>
      </c>
      <c r="BA44" s="23">
        <f t="shared" si="26"/>
        <v>671941.79000000015</v>
      </c>
    </row>
    <row r="45" spans="1:62" x14ac:dyDescent="0.25">
      <c r="A45" s="98"/>
      <c r="B45" s="98"/>
      <c r="C45" s="98"/>
      <c r="D45" s="99">
        <v>2524253.9994999999</v>
      </c>
      <c r="E45" s="100">
        <v>25731.102000000054</v>
      </c>
      <c r="F45" s="100">
        <v>710240.09000000008</v>
      </c>
      <c r="G45" s="118">
        <v>117142.1</v>
      </c>
      <c r="H45" s="118">
        <f>1508612.7-3090</f>
        <v>1505522.7</v>
      </c>
      <c r="I45" s="118">
        <v>499654.40000000002</v>
      </c>
      <c r="J45" s="118">
        <v>166715</v>
      </c>
      <c r="K45" s="118">
        <f>2583348.81-101418.95</f>
        <v>2481929.86</v>
      </c>
      <c r="L45" s="118">
        <f>158899.74-63</f>
        <v>158836.74</v>
      </c>
      <c r="M45" s="118">
        <v>461356.1</v>
      </c>
      <c r="N45" s="119">
        <v>67019</v>
      </c>
      <c r="O45" s="98">
        <v>3816897.5060000001</v>
      </c>
      <c r="P45" s="98">
        <v>3799546.95</v>
      </c>
      <c r="Q45" s="98">
        <v>499654.40000000002</v>
      </c>
      <c r="R45" s="98">
        <v>499654.40000000002</v>
      </c>
      <c r="S45" s="98">
        <v>40745</v>
      </c>
      <c r="T45" s="101">
        <v>40745</v>
      </c>
      <c r="U45" s="98">
        <v>3776152.5060000005</v>
      </c>
      <c r="V45" s="98">
        <v>3758801.95</v>
      </c>
      <c r="W45" s="102">
        <f>1687227.1855-X42</f>
        <v>1561800.0834999999</v>
      </c>
      <c r="X45" s="102">
        <v>125427.09999999969</v>
      </c>
      <c r="Y45" s="102">
        <v>671941.79000000015</v>
      </c>
      <c r="Z45" s="10">
        <v>1561800.0834999999</v>
      </c>
      <c r="AA45" s="44">
        <v>125427.09999999969</v>
      </c>
      <c r="AB45" s="9">
        <v>671941.79000000015</v>
      </c>
      <c r="AP45" s="10"/>
      <c r="AQ45" s="10"/>
      <c r="AR45" s="10"/>
      <c r="BA45" s="10"/>
    </row>
    <row r="46" spans="1:62" x14ac:dyDescent="0.25">
      <c r="A46" s="98"/>
      <c r="B46" s="98"/>
      <c r="C46" s="98"/>
      <c r="D46" s="103">
        <f t="shared" ref="D46:AB46" si="27">+D42-D45</f>
        <v>-2.236500000115484</v>
      </c>
      <c r="E46" s="103">
        <f t="shared" si="27"/>
        <v>0</v>
      </c>
      <c r="F46" s="103">
        <f t="shared" si="27"/>
        <v>0</v>
      </c>
      <c r="G46" s="103">
        <f t="shared" si="27"/>
        <v>0</v>
      </c>
      <c r="H46" s="102">
        <f t="shared" si="27"/>
        <v>0</v>
      </c>
      <c r="I46" s="103">
        <f t="shared" si="27"/>
        <v>0</v>
      </c>
      <c r="J46" s="103">
        <f t="shared" si="27"/>
        <v>0</v>
      </c>
      <c r="K46" s="102">
        <f t="shared" si="27"/>
        <v>0</v>
      </c>
      <c r="L46" s="103">
        <f t="shared" si="27"/>
        <v>0</v>
      </c>
      <c r="M46" s="103">
        <f t="shared" si="27"/>
        <v>0</v>
      </c>
      <c r="N46" s="103">
        <f t="shared" si="27"/>
        <v>0</v>
      </c>
      <c r="O46" s="102">
        <f t="shared" si="27"/>
        <v>0.24899999937042594</v>
      </c>
      <c r="P46" s="103">
        <f t="shared" si="27"/>
        <v>-0.93200000049546361</v>
      </c>
      <c r="Q46" s="103">
        <f t="shared" si="27"/>
        <v>0</v>
      </c>
      <c r="R46" s="103">
        <f t="shared" si="27"/>
        <v>0</v>
      </c>
      <c r="S46" s="104">
        <f t="shared" si="27"/>
        <v>0</v>
      </c>
      <c r="T46" s="103">
        <f t="shared" si="27"/>
        <v>0</v>
      </c>
      <c r="U46" s="103">
        <f t="shared" si="27"/>
        <v>0.24899999890476465</v>
      </c>
      <c r="V46" s="103">
        <f t="shared" si="27"/>
        <v>-0.93200000049546361</v>
      </c>
      <c r="W46" s="103">
        <f t="shared" si="27"/>
        <v>-8.3500000648200512E-2</v>
      </c>
      <c r="X46" s="102">
        <f t="shared" si="27"/>
        <v>2.0000003714812919E-3</v>
      </c>
      <c r="Y46" s="102">
        <f t="shared" si="27"/>
        <v>0</v>
      </c>
      <c r="Z46" s="10">
        <f t="shared" si="27"/>
        <v>-8.3500000648200512E-2</v>
      </c>
      <c r="AA46" s="24">
        <f t="shared" si="27"/>
        <v>2.0000003714812919E-3</v>
      </c>
      <c r="AB46" s="24">
        <f t="shared" si="27"/>
        <v>0</v>
      </c>
      <c r="AF46" s="9">
        <v>0</v>
      </c>
    </row>
    <row r="47" spans="1:62" x14ac:dyDescent="0.25">
      <c r="A47" s="105"/>
      <c r="B47" s="105"/>
      <c r="C47" s="105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>
        <f>+W42+X42-Master!G1</f>
        <v>0.41499999933876097</v>
      </c>
      <c r="X47" s="103"/>
      <c r="Y47" s="103"/>
      <c r="AC47" s="10"/>
      <c r="AD47" s="10"/>
      <c r="AE47" s="10"/>
    </row>
    <row r="48" spans="1:62" x14ac:dyDescent="0.25">
      <c r="A48" s="30"/>
      <c r="B48" s="30"/>
      <c r="C48" s="30"/>
      <c r="D48" s="10"/>
      <c r="E48" s="10"/>
      <c r="F48" s="10"/>
      <c r="G48" s="10" t="s">
        <v>936</v>
      </c>
      <c r="H48" s="10">
        <v>306000</v>
      </c>
      <c r="I48" s="10"/>
      <c r="J48" s="10" t="s">
        <v>935</v>
      </c>
      <c r="K48" s="10">
        <v>306000</v>
      </c>
      <c r="L48" s="10"/>
      <c r="M48" s="10"/>
      <c r="N48" s="10"/>
      <c r="O48" s="10">
        <f>+O42-P42</f>
        <v>17351.736999999732</v>
      </c>
      <c r="P48" s="10"/>
      <c r="Q48" s="10"/>
      <c r="R48" s="10"/>
      <c r="S48" s="10"/>
      <c r="W48" s="135" t="s">
        <v>952</v>
      </c>
      <c r="X48" s="135"/>
      <c r="Y48" s="135"/>
    </row>
    <row r="49" spans="1:49" x14ac:dyDescent="0.25">
      <c r="A49" s="30"/>
      <c r="B49" s="30"/>
      <c r="C49" s="30"/>
      <c r="D49" s="10"/>
      <c r="F49" s="10"/>
      <c r="H49" s="10"/>
      <c r="K49" s="10"/>
      <c r="P49" s="10"/>
      <c r="W49" s="136" t="s">
        <v>946</v>
      </c>
      <c r="X49" s="136" t="s">
        <v>947</v>
      </c>
      <c r="Y49" s="136" t="s">
        <v>944</v>
      </c>
      <c r="AW49" s="9">
        <f>5724-5824</f>
        <v>-100</v>
      </c>
    </row>
    <row r="50" spans="1:49" x14ac:dyDescent="0.25">
      <c r="B50" s="30"/>
      <c r="C50" s="31"/>
      <c r="H50" s="10"/>
      <c r="K50" s="10"/>
      <c r="P50" s="10"/>
      <c r="W50" s="137" t="s">
        <v>31</v>
      </c>
      <c r="X50" s="138">
        <f>SUM(W5:W17)-W13+Y42-W10</f>
        <v>1111017.7905000001</v>
      </c>
      <c r="Y50" s="138">
        <f>SUM(AH5:AH17)-AH13+AI42-AH10</f>
        <v>134553029.79262799</v>
      </c>
    </row>
    <row r="51" spans="1:49" x14ac:dyDescent="0.25">
      <c r="H51" s="10"/>
      <c r="K51" s="10"/>
      <c r="O51" s="10"/>
      <c r="P51" s="121"/>
      <c r="W51" s="137" t="s">
        <v>948</v>
      </c>
      <c r="X51" s="138">
        <f>SUM(W13:W41)-W14-W19-W21-W26+W10-W34-W16</f>
        <v>1079853.9994999997</v>
      </c>
      <c r="Y51" s="138">
        <f>SUM(AH13:AH41)-AH14-AH19-AH21-AH26+AH10-AH34-AH16</f>
        <v>142474623.57848492</v>
      </c>
    </row>
    <row r="52" spans="1:49" x14ac:dyDescent="0.25">
      <c r="H52" s="10"/>
      <c r="K52" s="10"/>
      <c r="O52" s="32"/>
      <c r="P52" s="32"/>
      <c r="Q52" s="10"/>
      <c r="W52" s="137" t="s">
        <v>949</v>
      </c>
      <c r="X52" s="139">
        <f>W19+W21+W26+W34</f>
        <v>42870.000000000007</v>
      </c>
      <c r="Y52" s="138">
        <f>AH19+AH21+AH26+AH34</f>
        <v>6288935.9300000006</v>
      </c>
    </row>
    <row r="53" spans="1:49" x14ac:dyDescent="0.25">
      <c r="O53" s="122"/>
      <c r="P53" s="32"/>
      <c r="W53" s="137" t="s">
        <v>950</v>
      </c>
      <c r="X53" s="139">
        <v>0</v>
      </c>
      <c r="Y53" s="138">
        <v>606995.28999999992</v>
      </c>
    </row>
    <row r="54" spans="1:49" x14ac:dyDescent="0.25">
      <c r="O54" s="10"/>
      <c r="P54" s="32"/>
      <c r="W54" s="137" t="s">
        <v>951</v>
      </c>
      <c r="X54" s="139">
        <v>0</v>
      </c>
      <c r="Y54" s="138">
        <v>14311907.579999963</v>
      </c>
    </row>
    <row r="55" spans="1:49" x14ac:dyDescent="0.25">
      <c r="P55" s="49"/>
      <c r="W55" s="140" t="s">
        <v>774</v>
      </c>
      <c r="X55" s="141">
        <f>SUM(X50:X54)</f>
        <v>2233741.79</v>
      </c>
      <c r="Y55" s="141">
        <f>SUM(Y50:Y54)</f>
        <v>298235492.17111295</v>
      </c>
    </row>
    <row r="56" spans="1:49" x14ac:dyDescent="0.25">
      <c r="P56" s="49"/>
    </row>
    <row r="57" spans="1:49" x14ac:dyDescent="0.25">
      <c r="P57" s="32"/>
    </row>
    <row r="58" spans="1:49" x14ac:dyDescent="0.25">
      <c r="P58" s="10"/>
    </row>
    <row r="59" spans="1:49" x14ac:dyDescent="0.25">
      <c r="P59" s="32"/>
    </row>
    <row r="60" spans="1:49" x14ac:dyDescent="0.25">
      <c r="P60" s="10"/>
    </row>
    <row r="61" spans="1:49" x14ac:dyDescent="0.25">
      <c r="P61" s="10"/>
    </row>
    <row r="62" spans="1:49" x14ac:dyDescent="0.25">
      <c r="P62" s="49"/>
    </row>
    <row r="63" spans="1:49" x14ac:dyDescent="0.25">
      <c r="P63" s="10"/>
    </row>
    <row r="64" spans="1:49" x14ac:dyDescent="0.25">
      <c r="P64" s="10"/>
    </row>
    <row r="1048576" spans="43:44" x14ac:dyDescent="0.25">
      <c r="AQ1048576" s="10"/>
      <c r="AR1048576" s="10"/>
    </row>
  </sheetData>
  <autoFilter ref="A3:AU50"/>
  <mergeCells count="15">
    <mergeCell ref="W48:Y48"/>
    <mergeCell ref="W2:Y2"/>
    <mergeCell ref="Z2:AB2"/>
    <mergeCell ref="AC2:AE2"/>
    <mergeCell ref="A44:C44"/>
    <mergeCell ref="A43:C43"/>
    <mergeCell ref="A42:C42"/>
    <mergeCell ref="G2:V2"/>
    <mergeCell ref="D2:F2"/>
    <mergeCell ref="AP1:AR1"/>
    <mergeCell ref="AX1:BA1"/>
    <mergeCell ref="AP2:AR2"/>
    <mergeCell ref="AS2:AU2"/>
    <mergeCell ref="AV2:AX2"/>
    <mergeCell ref="AY2:BA2"/>
  </mergeCells>
  <conditionalFormatting sqref="W4:Y41">
    <cfRule type="expression" dxfId="3" priority="1">
      <formula>(W4&lt;0)</formula>
    </cfRule>
  </conditionalFormatting>
  <pageMargins left="0" right="0" top="0" bottom="0" header="0" footer="0"/>
  <pageSetup paperSize="9" scale="37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2"/>
  <sheetViews>
    <sheetView zoomScale="93" zoomScaleNormal="93" workbookViewId="0"/>
  </sheetViews>
  <sheetFormatPr defaultColWidth="8.7109375" defaultRowHeight="12.75" x14ac:dyDescent="0.2"/>
  <cols>
    <col min="1" max="1" width="16.28515625" style="1" bestFit="1" customWidth="1"/>
    <col min="2" max="2" width="62.28515625" style="1" bestFit="1" customWidth="1"/>
    <col min="3" max="3" width="16.28515625" style="1" bestFit="1" customWidth="1"/>
    <col min="4" max="4" width="15.85546875" style="1" bestFit="1" customWidth="1"/>
    <col min="5" max="5" width="16.28515625" style="1" bestFit="1" customWidth="1"/>
    <col min="6" max="6" width="12.42578125" style="1" customWidth="1"/>
    <col min="7" max="7" width="11" style="1" bestFit="1" customWidth="1"/>
    <col min="8" max="16384" width="8.7109375" style="1"/>
  </cols>
  <sheetData>
    <row r="1" spans="1:7" ht="18.75" x14ac:dyDescent="0.3">
      <c r="A1" s="7" t="str">
        <f>+Summary!A1</f>
        <v>STOCK AS ON 01/09/2026</v>
      </c>
      <c r="F1" s="8">
        <f>SUBTOTAL(9,F3:F852)</f>
        <v>2549982.8649999993</v>
      </c>
      <c r="G1" s="8">
        <f>SUBTOTAL(9,G3:G852)</f>
        <v>1687226.6869999999</v>
      </c>
    </row>
    <row r="2" spans="1:7" ht="15" x14ac:dyDescent="0.25">
      <c r="A2" s="4" t="s">
        <v>28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772</v>
      </c>
      <c r="G2" s="4" t="s">
        <v>773</v>
      </c>
    </row>
    <row r="3" spans="1:7" x14ac:dyDescent="0.2">
      <c r="A3" s="2" t="s">
        <v>846</v>
      </c>
      <c r="B3" s="2" t="s">
        <v>846</v>
      </c>
      <c r="C3" s="2" t="s">
        <v>846</v>
      </c>
      <c r="D3" s="2" t="s">
        <v>31</v>
      </c>
      <c r="E3" s="2" t="s">
        <v>846</v>
      </c>
      <c r="F3" s="3">
        <v>22897</v>
      </c>
      <c r="G3" s="3">
        <v>17047</v>
      </c>
    </row>
    <row r="4" spans="1:7" x14ac:dyDescent="0.2">
      <c r="A4" s="2" t="s">
        <v>307</v>
      </c>
      <c r="B4" s="2" t="s">
        <v>307</v>
      </c>
      <c r="C4" s="2" t="s">
        <v>53</v>
      </c>
      <c r="D4" s="2" t="s">
        <v>31</v>
      </c>
      <c r="E4" s="2" t="s">
        <v>307</v>
      </c>
      <c r="F4" s="3">
        <v>5854.9999999999991</v>
      </c>
      <c r="G4" s="3">
        <v>12570</v>
      </c>
    </row>
    <row r="5" spans="1:7" x14ac:dyDescent="0.2">
      <c r="A5" s="2" t="s">
        <v>307</v>
      </c>
      <c r="B5" s="2" t="s">
        <v>336</v>
      </c>
      <c r="C5" s="2" t="s">
        <v>53</v>
      </c>
      <c r="D5" s="2" t="s">
        <v>31</v>
      </c>
      <c r="E5" s="2" t="s">
        <v>307</v>
      </c>
      <c r="F5" s="3"/>
      <c r="G5" s="3"/>
    </row>
    <row r="6" spans="1:7" x14ac:dyDescent="0.2">
      <c r="A6" s="2" t="s">
        <v>322</v>
      </c>
      <c r="B6" s="2" t="s">
        <v>321</v>
      </c>
      <c r="C6" s="2" t="s">
        <v>30</v>
      </c>
      <c r="D6" s="2" t="s">
        <v>31</v>
      </c>
      <c r="E6" s="2" t="s">
        <v>322</v>
      </c>
      <c r="F6" s="3"/>
      <c r="G6" s="3"/>
    </row>
    <row r="7" spans="1:7" x14ac:dyDescent="0.2">
      <c r="A7" s="2" t="s">
        <v>322</v>
      </c>
      <c r="B7" s="2" t="s">
        <v>388</v>
      </c>
      <c r="C7" s="2" t="s">
        <v>30</v>
      </c>
      <c r="D7" s="2" t="s">
        <v>31</v>
      </c>
      <c r="E7" s="2" t="s">
        <v>322</v>
      </c>
      <c r="F7" s="3"/>
      <c r="G7" s="3"/>
    </row>
    <row r="8" spans="1:7" ht="15" x14ac:dyDescent="0.2">
      <c r="A8" s="22" t="s">
        <v>866</v>
      </c>
      <c r="B8" s="22" t="s">
        <v>866</v>
      </c>
      <c r="C8" s="22" t="s">
        <v>201</v>
      </c>
      <c r="D8" s="2" t="s">
        <v>31</v>
      </c>
      <c r="E8" s="22" t="s">
        <v>201</v>
      </c>
      <c r="F8" s="3">
        <v>2231.375</v>
      </c>
      <c r="G8" s="3">
        <v>1407.0250000000001</v>
      </c>
    </row>
    <row r="9" spans="1:7" x14ac:dyDescent="0.2">
      <c r="A9" s="2" t="s">
        <v>50</v>
      </c>
      <c r="B9" s="2" t="s">
        <v>49</v>
      </c>
      <c r="C9" s="2" t="s">
        <v>50</v>
      </c>
      <c r="D9" s="2" t="s">
        <v>31</v>
      </c>
      <c r="E9" s="2" t="s">
        <v>50</v>
      </c>
      <c r="F9" s="3"/>
      <c r="G9" s="3"/>
    </row>
    <row r="10" spans="1:7" x14ac:dyDescent="0.2">
      <c r="A10" s="2" t="s">
        <v>50</v>
      </c>
      <c r="B10" s="2" t="s">
        <v>51</v>
      </c>
      <c r="C10" s="2" t="s">
        <v>50</v>
      </c>
      <c r="D10" s="2" t="s">
        <v>31</v>
      </c>
      <c r="E10" s="2" t="s">
        <v>50</v>
      </c>
      <c r="F10" s="3"/>
      <c r="G10" s="3"/>
    </row>
    <row r="11" spans="1:7" x14ac:dyDescent="0.2">
      <c r="A11" s="2" t="s">
        <v>50</v>
      </c>
      <c r="B11" s="2" t="s">
        <v>70</v>
      </c>
      <c r="C11" s="2" t="s">
        <v>50</v>
      </c>
      <c r="D11" s="2" t="s">
        <v>31</v>
      </c>
      <c r="E11" s="2" t="s">
        <v>50</v>
      </c>
      <c r="F11" s="3"/>
      <c r="G11" s="3"/>
    </row>
    <row r="12" spans="1:7" x14ac:dyDescent="0.2">
      <c r="A12" s="2" t="s">
        <v>50</v>
      </c>
      <c r="B12" s="2" t="s">
        <v>185</v>
      </c>
      <c r="C12" s="2" t="s">
        <v>50</v>
      </c>
      <c r="D12" s="2" t="s">
        <v>31</v>
      </c>
      <c r="E12" s="2" t="s">
        <v>50</v>
      </c>
      <c r="F12" s="3"/>
      <c r="G12" s="3"/>
    </row>
    <row r="13" spans="1:7" x14ac:dyDescent="0.2">
      <c r="A13" s="2" t="s">
        <v>50</v>
      </c>
      <c r="B13" s="2" t="s">
        <v>369</v>
      </c>
      <c r="C13" s="2" t="s">
        <v>50</v>
      </c>
      <c r="D13" s="2" t="s">
        <v>31</v>
      </c>
      <c r="E13" s="2" t="s">
        <v>50</v>
      </c>
      <c r="F13" s="3"/>
      <c r="G13" s="3"/>
    </row>
    <row r="14" spans="1:7" x14ac:dyDescent="0.2">
      <c r="A14" s="2" t="s">
        <v>50</v>
      </c>
      <c r="B14" s="2" t="s">
        <v>412</v>
      </c>
      <c r="C14" s="2" t="s">
        <v>50</v>
      </c>
      <c r="D14" s="2" t="s">
        <v>31</v>
      </c>
      <c r="E14" s="2" t="s">
        <v>50</v>
      </c>
      <c r="F14" s="3"/>
      <c r="G14" s="3"/>
    </row>
    <row r="15" spans="1:7" x14ac:dyDescent="0.2">
      <c r="A15" s="2" t="s">
        <v>748</v>
      </c>
      <c r="B15" s="2" t="s">
        <v>747</v>
      </c>
      <c r="C15" s="2" t="s">
        <v>748</v>
      </c>
      <c r="D15" s="2" t="s">
        <v>744</v>
      </c>
      <c r="E15" s="2" t="s">
        <v>748</v>
      </c>
      <c r="F15" s="3"/>
      <c r="G15" s="3"/>
    </row>
    <row r="16" spans="1:7" x14ac:dyDescent="0.2">
      <c r="A16" s="2" t="s">
        <v>748</v>
      </c>
      <c r="B16" s="2" t="s">
        <v>762</v>
      </c>
      <c r="C16" s="2" t="s">
        <v>748</v>
      </c>
      <c r="D16" s="2" t="s">
        <v>744</v>
      </c>
      <c r="E16" s="2" t="s">
        <v>748</v>
      </c>
      <c r="F16" s="3">
        <v>134441</v>
      </c>
      <c r="G16" s="3">
        <v>206062</v>
      </c>
    </row>
    <row r="17" spans="1:7" x14ac:dyDescent="0.2">
      <c r="A17" s="2" t="s">
        <v>743</v>
      </c>
      <c r="B17" s="2" t="s">
        <v>743</v>
      </c>
      <c r="C17" s="2" t="s">
        <v>743</v>
      </c>
      <c r="D17" s="2" t="s">
        <v>744</v>
      </c>
      <c r="E17" s="2" t="s">
        <v>743</v>
      </c>
      <c r="F17" s="3"/>
      <c r="G17" s="3"/>
    </row>
    <row r="18" spans="1:7" x14ac:dyDescent="0.2">
      <c r="A18" s="2" t="s">
        <v>59</v>
      </c>
      <c r="B18" s="2" t="s">
        <v>845</v>
      </c>
      <c r="C18" s="2" t="s">
        <v>30</v>
      </c>
      <c r="D18" s="2" t="s">
        <v>31</v>
      </c>
      <c r="E18" s="2" t="s">
        <v>59</v>
      </c>
      <c r="F18" s="3"/>
      <c r="G18" s="3"/>
    </row>
    <row r="19" spans="1:7" x14ac:dyDescent="0.2">
      <c r="A19" s="2" t="s">
        <v>59</v>
      </c>
      <c r="B19" s="2" t="s">
        <v>928</v>
      </c>
      <c r="C19" s="2" t="s">
        <v>30</v>
      </c>
      <c r="D19" s="2" t="s">
        <v>31</v>
      </c>
      <c r="E19" s="2" t="s">
        <v>59</v>
      </c>
      <c r="F19" s="3">
        <v>15438.9</v>
      </c>
      <c r="G19" s="3"/>
    </row>
    <row r="20" spans="1:7" x14ac:dyDescent="0.2">
      <c r="A20" s="2" t="s">
        <v>59</v>
      </c>
      <c r="B20" s="2" t="s">
        <v>921</v>
      </c>
      <c r="C20" s="2" t="s">
        <v>30</v>
      </c>
      <c r="D20" s="2" t="s">
        <v>31</v>
      </c>
      <c r="E20" s="2" t="s">
        <v>59</v>
      </c>
      <c r="F20" s="3">
        <v>48.5</v>
      </c>
      <c r="G20" s="3"/>
    </row>
    <row r="21" spans="1:7" x14ac:dyDescent="0.2">
      <c r="A21" s="2" t="s">
        <v>59</v>
      </c>
      <c r="B21" s="2" t="s">
        <v>77</v>
      </c>
      <c r="C21" s="2" t="s">
        <v>30</v>
      </c>
      <c r="D21" s="2" t="s">
        <v>31</v>
      </c>
      <c r="E21" s="2" t="s">
        <v>59</v>
      </c>
      <c r="F21" s="3"/>
      <c r="G21" s="3"/>
    </row>
    <row r="22" spans="1:7" x14ac:dyDescent="0.2">
      <c r="A22" s="2" t="s">
        <v>59</v>
      </c>
      <c r="B22" s="2" t="s">
        <v>94</v>
      </c>
      <c r="C22" s="2" t="s">
        <v>30</v>
      </c>
      <c r="D22" s="2" t="s">
        <v>31</v>
      </c>
      <c r="E22" s="2" t="s">
        <v>59</v>
      </c>
      <c r="F22" s="3"/>
      <c r="G22" s="3"/>
    </row>
    <row r="23" spans="1:7" x14ac:dyDescent="0.2">
      <c r="A23" s="2" t="s">
        <v>59</v>
      </c>
      <c r="B23" s="2" t="s">
        <v>849</v>
      </c>
      <c r="C23" s="2" t="s">
        <v>30</v>
      </c>
      <c r="D23" s="2" t="s">
        <v>31</v>
      </c>
      <c r="E23" s="2" t="s">
        <v>59</v>
      </c>
      <c r="F23" s="3">
        <v>380.00749999999243</v>
      </c>
      <c r="G23" s="3">
        <v>3022</v>
      </c>
    </row>
    <row r="24" spans="1:7" x14ac:dyDescent="0.2">
      <c r="A24" s="2" t="s">
        <v>59</v>
      </c>
      <c r="B24" s="2" t="s">
        <v>111</v>
      </c>
      <c r="C24" s="2" t="s">
        <v>30</v>
      </c>
      <c r="D24" s="2" t="s">
        <v>31</v>
      </c>
      <c r="E24" s="2" t="s">
        <v>59</v>
      </c>
      <c r="F24" s="3"/>
      <c r="G24" s="3"/>
    </row>
    <row r="25" spans="1:7" x14ac:dyDescent="0.2">
      <c r="A25" s="2" t="s">
        <v>59</v>
      </c>
      <c r="B25" s="2" t="s">
        <v>118</v>
      </c>
      <c r="C25" s="2" t="s">
        <v>30</v>
      </c>
      <c r="D25" s="2" t="s">
        <v>31</v>
      </c>
      <c r="E25" s="2" t="s">
        <v>59</v>
      </c>
      <c r="F25" s="3"/>
      <c r="G25" s="3"/>
    </row>
    <row r="26" spans="1:7" x14ac:dyDescent="0.2">
      <c r="A26" s="2" t="s">
        <v>59</v>
      </c>
      <c r="B26" s="2" t="s">
        <v>119</v>
      </c>
      <c r="C26" s="2" t="s">
        <v>30</v>
      </c>
      <c r="D26" s="2" t="s">
        <v>31</v>
      </c>
      <c r="E26" s="2" t="s">
        <v>59</v>
      </c>
      <c r="F26" s="3">
        <v>25</v>
      </c>
      <c r="G26" s="3">
        <v>25</v>
      </c>
    </row>
    <row r="27" spans="1:7" x14ac:dyDescent="0.2">
      <c r="A27" s="2" t="s">
        <v>59</v>
      </c>
      <c r="B27" s="2" t="s">
        <v>144</v>
      </c>
      <c r="C27" s="2" t="s">
        <v>30</v>
      </c>
      <c r="D27" s="2" t="s">
        <v>31</v>
      </c>
      <c r="E27" s="2" t="s">
        <v>59</v>
      </c>
      <c r="F27" s="3"/>
      <c r="G27" s="3"/>
    </row>
    <row r="28" spans="1:7" x14ac:dyDescent="0.2">
      <c r="A28" s="2" t="s">
        <v>59</v>
      </c>
      <c r="B28" s="2" t="s">
        <v>177</v>
      </c>
      <c r="C28" s="2" t="s">
        <v>30</v>
      </c>
      <c r="D28" s="2" t="s">
        <v>31</v>
      </c>
      <c r="E28" s="2" t="s">
        <v>59</v>
      </c>
      <c r="F28" s="3"/>
      <c r="G28" s="3"/>
    </row>
    <row r="29" spans="1:7" x14ac:dyDescent="0.2">
      <c r="A29" s="2" t="s">
        <v>59</v>
      </c>
      <c r="B29" s="2" t="s">
        <v>222</v>
      </c>
      <c r="C29" s="2" t="s">
        <v>30</v>
      </c>
      <c r="D29" s="2" t="s">
        <v>31</v>
      </c>
      <c r="E29" s="2" t="s">
        <v>59</v>
      </c>
      <c r="F29" s="3"/>
      <c r="G29" s="3"/>
    </row>
    <row r="30" spans="1:7" x14ac:dyDescent="0.2">
      <c r="A30" s="2" t="s">
        <v>59</v>
      </c>
      <c r="B30" s="2" t="s">
        <v>224</v>
      </c>
      <c r="C30" s="2" t="s">
        <v>30</v>
      </c>
      <c r="D30" s="2" t="s">
        <v>31</v>
      </c>
      <c r="E30" s="2" t="s">
        <v>59</v>
      </c>
      <c r="F30" s="3"/>
      <c r="G30" s="3"/>
    </row>
    <row r="31" spans="1:7" x14ac:dyDescent="0.2">
      <c r="A31" s="2" t="s">
        <v>59</v>
      </c>
      <c r="B31" s="2" t="s">
        <v>227</v>
      </c>
      <c r="C31" s="2" t="s">
        <v>30</v>
      </c>
      <c r="D31" s="2" t="s">
        <v>31</v>
      </c>
      <c r="E31" s="2" t="s">
        <v>59</v>
      </c>
      <c r="F31" s="3"/>
      <c r="G31" s="3"/>
    </row>
    <row r="32" spans="1:7" x14ac:dyDescent="0.2">
      <c r="A32" s="2" t="s">
        <v>59</v>
      </c>
      <c r="B32" s="2" t="s">
        <v>236</v>
      </c>
      <c r="C32" s="2" t="s">
        <v>30</v>
      </c>
      <c r="D32" s="2" t="s">
        <v>31</v>
      </c>
      <c r="E32" s="2" t="s">
        <v>59</v>
      </c>
      <c r="F32" s="3"/>
      <c r="G32" s="3"/>
    </row>
    <row r="33" spans="1:7" x14ac:dyDescent="0.2">
      <c r="A33" s="2" t="s">
        <v>59</v>
      </c>
      <c r="B33" s="2" t="s">
        <v>250</v>
      </c>
      <c r="C33" s="2" t="s">
        <v>30</v>
      </c>
      <c r="D33" s="2" t="s">
        <v>31</v>
      </c>
      <c r="E33" s="2" t="s">
        <v>59</v>
      </c>
      <c r="F33" s="3"/>
      <c r="G33" s="3"/>
    </row>
    <row r="34" spans="1:7" x14ac:dyDescent="0.2">
      <c r="A34" s="2" t="s">
        <v>59</v>
      </c>
      <c r="B34" s="2" t="s">
        <v>253</v>
      </c>
      <c r="C34" s="2" t="s">
        <v>30</v>
      </c>
      <c r="D34" s="2" t="s">
        <v>31</v>
      </c>
      <c r="E34" s="2" t="s">
        <v>59</v>
      </c>
      <c r="F34" s="3"/>
      <c r="G34" s="3"/>
    </row>
    <row r="35" spans="1:7" x14ac:dyDescent="0.2">
      <c r="A35" s="2" t="s">
        <v>59</v>
      </c>
      <c r="B35" s="2" t="s">
        <v>254</v>
      </c>
      <c r="C35" s="2" t="s">
        <v>30</v>
      </c>
      <c r="D35" s="2" t="s">
        <v>31</v>
      </c>
      <c r="E35" s="2" t="s">
        <v>59</v>
      </c>
      <c r="F35" s="3"/>
      <c r="G35" s="3"/>
    </row>
    <row r="36" spans="1:7" x14ac:dyDescent="0.2">
      <c r="A36" s="2" t="s">
        <v>59</v>
      </c>
      <c r="B36" s="2" t="s">
        <v>255</v>
      </c>
      <c r="C36" s="2" t="s">
        <v>30</v>
      </c>
      <c r="D36" s="2" t="s">
        <v>31</v>
      </c>
      <c r="E36" s="2" t="s">
        <v>59</v>
      </c>
      <c r="F36" s="3"/>
      <c r="G36" s="3"/>
    </row>
    <row r="37" spans="1:7" x14ac:dyDescent="0.2">
      <c r="A37" s="2" t="s">
        <v>59</v>
      </c>
      <c r="B37" s="2" t="s">
        <v>299</v>
      </c>
      <c r="C37" s="2" t="s">
        <v>30</v>
      </c>
      <c r="D37" s="2" t="s">
        <v>31</v>
      </c>
      <c r="E37" s="2" t="s">
        <v>59</v>
      </c>
      <c r="F37" s="3"/>
      <c r="G37" s="3"/>
    </row>
    <row r="38" spans="1:7" x14ac:dyDescent="0.2">
      <c r="A38" s="2" t="s">
        <v>59</v>
      </c>
      <c r="B38" s="2" t="s">
        <v>323</v>
      </c>
      <c r="C38" s="2" t="s">
        <v>30</v>
      </c>
      <c r="D38" s="2" t="s">
        <v>31</v>
      </c>
      <c r="E38" s="2" t="s">
        <v>59</v>
      </c>
      <c r="F38" s="3"/>
      <c r="G38" s="3"/>
    </row>
    <row r="39" spans="1:7" x14ac:dyDescent="0.2">
      <c r="A39" s="2" t="s">
        <v>59</v>
      </c>
      <c r="B39" s="2" t="s">
        <v>362</v>
      </c>
      <c r="C39" s="2" t="s">
        <v>30</v>
      </c>
      <c r="D39" s="2" t="s">
        <v>31</v>
      </c>
      <c r="E39" s="2" t="s">
        <v>59</v>
      </c>
      <c r="F39" s="3"/>
      <c r="G39" s="3"/>
    </row>
    <row r="40" spans="1:7" x14ac:dyDescent="0.2">
      <c r="A40" s="2" t="s">
        <v>59</v>
      </c>
      <c r="B40" s="2" t="s">
        <v>404</v>
      </c>
      <c r="C40" s="2" t="s">
        <v>30</v>
      </c>
      <c r="D40" s="2" t="s">
        <v>31</v>
      </c>
      <c r="E40" s="2" t="s">
        <v>59</v>
      </c>
      <c r="F40" s="3"/>
      <c r="G40" s="3"/>
    </row>
    <row r="41" spans="1:7" x14ac:dyDescent="0.2">
      <c r="A41" s="2" t="s">
        <v>59</v>
      </c>
      <c r="B41" s="2" t="s">
        <v>407</v>
      </c>
      <c r="C41" s="2" t="s">
        <v>30</v>
      </c>
      <c r="D41" s="2" t="s">
        <v>31</v>
      </c>
      <c r="E41" s="2" t="s">
        <v>59</v>
      </c>
      <c r="F41" s="3"/>
      <c r="G41" s="3"/>
    </row>
    <row r="42" spans="1:7" x14ac:dyDescent="0.2">
      <c r="A42" s="2" t="s">
        <v>59</v>
      </c>
      <c r="B42" s="2" t="s">
        <v>425</v>
      </c>
      <c r="C42" s="2" t="s">
        <v>30</v>
      </c>
      <c r="D42" s="2" t="s">
        <v>31</v>
      </c>
      <c r="E42" s="2" t="s">
        <v>59</v>
      </c>
      <c r="F42" s="3"/>
      <c r="G42" s="3"/>
    </row>
    <row r="43" spans="1:7" x14ac:dyDescent="0.2">
      <c r="A43" s="2" t="s">
        <v>59</v>
      </c>
      <c r="B43" s="2" t="s">
        <v>434</v>
      </c>
      <c r="C43" s="2" t="s">
        <v>30</v>
      </c>
      <c r="D43" s="2" t="s">
        <v>31</v>
      </c>
      <c r="E43" s="2" t="s">
        <v>59</v>
      </c>
      <c r="F43" s="3"/>
      <c r="G43" s="3"/>
    </row>
    <row r="44" spans="1:7" x14ac:dyDescent="0.2">
      <c r="A44" s="2" t="s">
        <v>59</v>
      </c>
      <c r="B44" s="2" t="s">
        <v>438</v>
      </c>
      <c r="C44" s="2" t="s">
        <v>30</v>
      </c>
      <c r="D44" s="2" t="s">
        <v>31</v>
      </c>
      <c r="E44" s="2" t="s">
        <v>59</v>
      </c>
      <c r="F44" s="3"/>
      <c r="G44" s="3"/>
    </row>
    <row r="45" spans="1:7" x14ac:dyDescent="0.2">
      <c r="A45" s="2" t="s">
        <v>59</v>
      </c>
      <c r="B45" s="2" t="s">
        <v>461</v>
      </c>
      <c r="C45" s="2" t="s">
        <v>30</v>
      </c>
      <c r="D45" s="2" t="s">
        <v>31</v>
      </c>
      <c r="E45" s="2" t="s">
        <v>59</v>
      </c>
      <c r="F45" s="3"/>
      <c r="G45" s="3"/>
    </row>
    <row r="46" spans="1:7" x14ac:dyDescent="0.2">
      <c r="A46" s="2" t="s">
        <v>59</v>
      </c>
      <c r="B46" s="2" t="s">
        <v>496</v>
      </c>
      <c r="C46" s="2" t="s">
        <v>30</v>
      </c>
      <c r="D46" s="2" t="s">
        <v>31</v>
      </c>
      <c r="E46" s="2" t="s">
        <v>59</v>
      </c>
      <c r="F46" s="3"/>
      <c r="G46" s="3"/>
    </row>
    <row r="47" spans="1:7" x14ac:dyDescent="0.2">
      <c r="A47" s="2" t="s">
        <v>59</v>
      </c>
      <c r="B47" s="2" t="s">
        <v>800</v>
      </c>
      <c r="C47" s="2" t="s">
        <v>30</v>
      </c>
      <c r="D47" s="2" t="s">
        <v>31</v>
      </c>
      <c r="E47" s="2" t="s">
        <v>59</v>
      </c>
      <c r="F47" s="3"/>
      <c r="G47" s="3"/>
    </row>
    <row r="48" spans="1:7" x14ac:dyDescent="0.2">
      <c r="A48" s="2" t="s">
        <v>582</v>
      </c>
      <c r="B48" s="2" t="s">
        <v>582</v>
      </c>
      <c r="C48" s="2" t="s">
        <v>582</v>
      </c>
      <c r="D48" s="2" t="s">
        <v>744</v>
      </c>
      <c r="E48" s="2" t="s">
        <v>582</v>
      </c>
      <c r="F48" s="3"/>
      <c r="G48" s="3"/>
    </row>
    <row r="49" spans="1:7" x14ac:dyDescent="0.2">
      <c r="A49" s="2" t="s">
        <v>514</v>
      </c>
      <c r="B49" s="2" t="s">
        <v>513</v>
      </c>
      <c r="C49" s="2" t="s">
        <v>514</v>
      </c>
      <c r="D49" s="2" t="s">
        <v>502</v>
      </c>
      <c r="E49" s="2" t="s">
        <v>514</v>
      </c>
      <c r="F49" s="3"/>
      <c r="G49" s="3"/>
    </row>
    <row r="50" spans="1:7" x14ac:dyDescent="0.2">
      <c r="A50" s="2" t="s">
        <v>514</v>
      </c>
      <c r="B50" s="2" t="s">
        <v>561</v>
      </c>
      <c r="C50" s="2" t="s">
        <v>514</v>
      </c>
      <c r="D50" s="2" t="s">
        <v>502</v>
      </c>
      <c r="E50" s="2" t="s">
        <v>514</v>
      </c>
      <c r="F50" s="3"/>
      <c r="G50" s="3"/>
    </row>
    <row r="51" spans="1:7" x14ac:dyDescent="0.2">
      <c r="A51" s="2" t="s">
        <v>514</v>
      </c>
      <c r="B51" s="2" t="s">
        <v>580</v>
      </c>
      <c r="C51" s="2" t="s">
        <v>514</v>
      </c>
      <c r="D51" s="2" t="s">
        <v>502</v>
      </c>
      <c r="E51" s="2" t="s">
        <v>514</v>
      </c>
      <c r="F51" s="3"/>
      <c r="G51" s="3"/>
    </row>
    <row r="52" spans="1:7" x14ac:dyDescent="0.2">
      <c r="A52" s="2" t="s">
        <v>514</v>
      </c>
      <c r="B52" s="2" t="s">
        <v>581</v>
      </c>
      <c r="C52" s="2" t="s">
        <v>582</v>
      </c>
      <c r="D52" s="2" t="s">
        <v>502</v>
      </c>
      <c r="E52" s="2" t="s">
        <v>514</v>
      </c>
      <c r="F52" s="3"/>
      <c r="G52" s="3"/>
    </row>
    <row r="53" spans="1:7" x14ac:dyDescent="0.2">
      <c r="A53" s="2" t="s">
        <v>514</v>
      </c>
      <c r="B53" s="2" t="s">
        <v>606</v>
      </c>
      <c r="C53" s="2" t="s">
        <v>514</v>
      </c>
      <c r="D53" s="2" t="s">
        <v>502</v>
      </c>
      <c r="E53" s="2" t="s">
        <v>514</v>
      </c>
      <c r="F53" s="3"/>
      <c r="G53" s="3"/>
    </row>
    <row r="54" spans="1:7" x14ac:dyDescent="0.2">
      <c r="A54" s="2" t="s">
        <v>514</v>
      </c>
      <c r="B54" s="2" t="s">
        <v>650</v>
      </c>
      <c r="C54" s="2" t="s">
        <v>514</v>
      </c>
      <c r="D54" s="2" t="s">
        <v>502</v>
      </c>
      <c r="E54" s="2" t="s">
        <v>514</v>
      </c>
      <c r="F54" s="3"/>
      <c r="G54" s="3"/>
    </row>
    <row r="55" spans="1:7" x14ac:dyDescent="0.2">
      <c r="A55" s="2" t="s">
        <v>514</v>
      </c>
      <c r="B55" s="2" t="s">
        <v>715</v>
      </c>
      <c r="C55" s="2" t="s">
        <v>514</v>
      </c>
      <c r="D55" s="2" t="s">
        <v>502</v>
      </c>
      <c r="E55" s="2" t="s">
        <v>514</v>
      </c>
      <c r="F55" s="3"/>
      <c r="G55" s="3"/>
    </row>
    <row r="56" spans="1:7" x14ac:dyDescent="0.2">
      <c r="A56" s="2" t="s">
        <v>544</v>
      </c>
      <c r="B56" s="2" t="s">
        <v>545</v>
      </c>
      <c r="C56" s="2" t="s">
        <v>511</v>
      </c>
      <c r="D56" s="2" t="s">
        <v>502</v>
      </c>
      <c r="E56" s="2" t="s">
        <v>544</v>
      </c>
      <c r="F56" s="3"/>
      <c r="G56" s="3"/>
    </row>
    <row r="57" spans="1:7" x14ac:dyDescent="0.2">
      <c r="A57" s="2" t="s">
        <v>535</v>
      </c>
      <c r="B57" s="2" t="s">
        <v>677</v>
      </c>
      <c r="C57" s="2" t="s">
        <v>511</v>
      </c>
      <c r="D57" s="2" t="s">
        <v>502</v>
      </c>
      <c r="E57" s="2" t="s">
        <v>535</v>
      </c>
      <c r="F57" s="3"/>
      <c r="G57" s="3"/>
    </row>
    <row r="58" spans="1:7" x14ac:dyDescent="0.2">
      <c r="A58" s="2" t="s">
        <v>535</v>
      </c>
      <c r="B58" s="2" t="s">
        <v>714</v>
      </c>
      <c r="C58" s="2" t="s">
        <v>511</v>
      </c>
      <c r="D58" s="2" t="s">
        <v>502</v>
      </c>
      <c r="E58" s="2" t="s">
        <v>535</v>
      </c>
      <c r="F58" s="3"/>
      <c r="G58" s="3"/>
    </row>
    <row r="59" spans="1:7" x14ac:dyDescent="0.2">
      <c r="A59" s="2" t="s">
        <v>535</v>
      </c>
      <c r="B59" s="2" t="s">
        <v>534</v>
      </c>
      <c r="C59" s="2" t="s">
        <v>511</v>
      </c>
      <c r="D59" s="2" t="s">
        <v>502</v>
      </c>
      <c r="E59" s="2" t="s">
        <v>535</v>
      </c>
      <c r="F59" s="3"/>
      <c r="G59" s="3"/>
    </row>
    <row r="60" spans="1:7" x14ac:dyDescent="0.2">
      <c r="A60" s="2" t="s">
        <v>751</v>
      </c>
      <c r="B60" s="2" t="s">
        <v>749</v>
      </c>
      <c r="C60" s="2" t="s">
        <v>750</v>
      </c>
      <c r="D60" s="2" t="s">
        <v>744</v>
      </c>
      <c r="E60" s="2" t="s">
        <v>751</v>
      </c>
      <c r="F60" s="3"/>
      <c r="G60" s="3"/>
    </row>
    <row r="61" spans="1:7" x14ac:dyDescent="0.2">
      <c r="A61" s="2" t="s">
        <v>751</v>
      </c>
      <c r="B61" s="2" t="s">
        <v>760</v>
      </c>
      <c r="C61" s="2" t="s">
        <v>750</v>
      </c>
      <c r="D61" s="2" t="s">
        <v>744</v>
      </c>
      <c r="E61" s="2" t="s">
        <v>751</v>
      </c>
      <c r="F61" s="3"/>
      <c r="G61" s="3"/>
    </row>
    <row r="62" spans="1:7" x14ac:dyDescent="0.2">
      <c r="A62" s="2" t="s">
        <v>751</v>
      </c>
      <c r="B62" s="2" t="s">
        <v>763</v>
      </c>
      <c r="C62" s="2" t="s">
        <v>750</v>
      </c>
      <c r="D62" s="2" t="s">
        <v>744</v>
      </c>
      <c r="E62" s="2" t="s">
        <v>751</v>
      </c>
      <c r="F62" s="3"/>
      <c r="G62" s="3"/>
    </row>
    <row r="63" spans="1:7" x14ac:dyDescent="0.2">
      <c r="A63" s="2" t="s">
        <v>751</v>
      </c>
      <c r="B63" s="2" t="s">
        <v>764</v>
      </c>
      <c r="C63" s="2" t="s">
        <v>750</v>
      </c>
      <c r="D63" s="2" t="s">
        <v>744</v>
      </c>
      <c r="E63" s="2" t="s">
        <v>751</v>
      </c>
      <c r="F63" s="3"/>
      <c r="G63" s="3"/>
    </row>
    <row r="64" spans="1:7" x14ac:dyDescent="0.2">
      <c r="A64" s="2" t="s">
        <v>37</v>
      </c>
      <c r="B64" s="2" t="s">
        <v>38</v>
      </c>
      <c r="C64" s="2" t="s">
        <v>30</v>
      </c>
      <c r="D64" s="2" t="s">
        <v>31</v>
      </c>
      <c r="E64" s="2" t="s">
        <v>37</v>
      </c>
      <c r="F64" s="3"/>
      <c r="G64" s="3"/>
    </row>
    <row r="65" spans="1:7" x14ac:dyDescent="0.2">
      <c r="A65" s="2" t="s">
        <v>37</v>
      </c>
      <c r="B65" s="2" t="s">
        <v>57</v>
      </c>
      <c r="C65" s="2" t="s">
        <v>30</v>
      </c>
      <c r="D65" s="2" t="s">
        <v>31</v>
      </c>
      <c r="E65" s="2" t="s">
        <v>37</v>
      </c>
      <c r="F65" s="3"/>
      <c r="G65" s="3"/>
    </row>
    <row r="66" spans="1:7" x14ac:dyDescent="0.2">
      <c r="A66" s="2" t="s">
        <v>37</v>
      </c>
      <c r="B66" s="2" t="s">
        <v>64</v>
      </c>
      <c r="C66" s="2" t="s">
        <v>30</v>
      </c>
      <c r="D66" s="2" t="s">
        <v>31</v>
      </c>
      <c r="E66" s="2" t="s">
        <v>37</v>
      </c>
      <c r="F66" s="3"/>
      <c r="G66" s="3"/>
    </row>
    <row r="67" spans="1:7" x14ac:dyDescent="0.2">
      <c r="A67" s="2" t="s">
        <v>37</v>
      </c>
      <c r="B67" s="2" t="s">
        <v>927</v>
      </c>
      <c r="C67" s="2" t="s">
        <v>30</v>
      </c>
      <c r="D67" s="2" t="s">
        <v>31</v>
      </c>
      <c r="E67" s="2" t="s">
        <v>37</v>
      </c>
      <c r="F67" s="3">
        <v>2200</v>
      </c>
      <c r="G67" s="3">
        <v>825</v>
      </c>
    </row>
    <row r="68" spans="1:7" x14ac:dyDescent="0.2">
      <c r="A68" s="2" t="s">
        <v>37</v>
      </c>
      <c r="B68" s="2" t="s">
        <v>91</v>
      </c>
      <c r="C68" s="2" t="s">
        <v>30</v>
      </c>
      <c r="D68" s="2" t="s">
        <v>31</v>
      </c>
      <c r="E68" s="2" t="s">
        <v>37</v>
      </c>
      <c r="F68" s="3"/>
      <c r="G68" s="3"/>
    </row>
    <row r="69" spans="1:7" x14ac:dyDescent="0.2">
      <c r="A69" s="2" t="s">
        <v>37</v>
      </c>
      <c r="B69" s="2" t="s">
        <v>101</v>
      </c>
      <c r="C69" s="2" t="s">
        <v>30</v>
      </c>
      <c r="D69" s="2" t="s">
        <v>31</v>
      </c>
      <c r="E69" s="2" t="s">
        <v>37</v>
      </c>
      <c r="F69" s="3"/>
      <c r="G69" s="3"/>
    </row>
    <row r="70" spans="1:7" x14ac:dyDescent="0.2">
      <c r="A70" s="2" t="s">
        <v>37</v>
      </c>
      <c r="B70" s="2" t="s">
        <v>102</v>
      </c>
      <c r="C70" s="2" t="s">
        <v>30</v>
      </c>
      <c r="D70" s="2" t="s">
        <v>31</v>
      </c>
      <c r="E70" s="2" t="s">
        <v>37</v>
      </c>
      <c r="F70" s="3"/>
      <c r="G70" s="3"/>
    </row>
    <row r="71" spans="1:7" x14ac:dyDescent="0.2">
      <c r="A71" s="2" t="s">
        <v>37</v>
      </c>
      <c r="B71" s="2" t="s">
        <v>117</v>
      </c>
      <c r="C71" s="2" t="s">
        <v>30</v>
      </c>
      <c r="D71" s="2" t="s">
        <v>31</v>
      </c>
      <c r="E71" s="2" t="s">
        <v>37</v>
      </c>
      <c r="F71" s="3"/>
      <c r="G71" s="3"/>
    </row>
    <row r="72" spans="1:7" x14ac:dyDescent="0.2">
      <c r="A72" s="2" t="s">
        <v>37</v>
      </c>
      <c r="B72" s="2" t="s">
        <v>120</v>
      </c>
      <c r="C72" s="2" t="s">
        <v>30</v>
      </c>
      <c r="D72" s="2" t="s">
        <v>31</v>
      </c>
      <c r="E72" s="2" t="s">
        <v>37</v>
      </c>
      <c r="F72" s="3"/>
      <c r="G72" s="3"/>
    </row>
    <row r="73" spans="1:7" x14ac:dyDescent="0.2">
      <c r="A73" s="2" t="s">
        <v>37</v>
      </c>
      <c r="B73" s="2" t="s">
        <v>132</v>
      </c>
      <c r="C73" s="2" t="s">
        <v>30</v>
      </c>
      <c r="D73" s="2" t="s">
        <v>31</v>
      </c>
      <c r="E73" s="2" t="s">
        <v>37</v>
      </c>
      <c r="F73" s="3"/>
      <c r="G73" s="3"/>
    </row>
    <row r="74" spans="1:7" x14ac:dyDescent="0.2">
      <c r="A74" s="2" t="s">
        <v>37</v>
      </c>
      <c r="B74" s="2" t="s">
        <v>133</v>
      </c>
      <c r="C74" s="2" t="s">
        <v>30</v>
      </c>
      <c r="D74" s="2" t="s">
        <v>31</v>
      </c>
      <c r="E74" s="2" t="s">
        <v>37</v>
      </c>
      <c r="F74" s="3"/>
      <c r="G74" s="3"/>
    </row>
    <row r="75" spans="1:7" x14ac:dyDescent="0.2">
      <c r="A75" s="2" t="s">
        <v>37</v>
      </c>
      <c r="B75" s="2" t="s">
        <v>134</v>
      </c>
      <c r="C75" s="2" t="s">
        <v>30</v>
      </c>
      <c r="D75" s="2" t="s">
        <v>31</v>
      </c>
      <c r="E75" s="2" t="s">
        <v>37</v>
      </c>
      <c r="F75" s="3">
        <v>374.95000000000005</v>
      </c>
      <c r="G75" s="3">
        <v>5374.95</v>
      </c>
    </row>
    <row r="76" spans="1:7" x14ac:dyDescent="0.2">
      <c r="A76" s="2" t="s">
        <v>37</v>
      </c>
      <c r="B76" s="2" t="s">
        <v>150</v>
      </c>
      <c r="C76" s="2" t="s">
        <v>30</v>
      </c>
      <c r="D76" s="2" t="s">
        <v>31</v>
      </c>
      <c r="E76" s="2" t="s">
        <v>37</v>
      </c>
      <c r="F76" s="3"/>
      <c r="G76" s="3"/>
    </row>
    <row r="77" spans="1:7" x14ac:dyDescent="0.2">
      <c r="A77" s="2" t="s">
        <v>37</v>
      </c>
      <c r="B77" s="2" t="s">
        <v>153</v>
      </c>
      <c r="C77" s="2" t="s">
        <v>30</v>
      </c>
      <c r="D77" s="2" t="s">
        <v>31</v>
      </c>
      <c r="E77" s="2" t="s">
        <v>37</v>
      </c>
      <c r="F77" s="3"/>
      <c r="G77" s="3"/>
    </row>
    <row r="78" spans="1:7" x14ac:dyDescent="0.2">
      <c r="A78" s="2" t="s">
        <v>37</v>
      </c>
      <c r="B78" s="2" t="s">
        <v>159</v>
      </c>
      <c r="C78" s="2" t="s">
        <v>30</v>
      </c>
      <c r="D78" s="2" t="s">
        <v>31</v>
      </c>
      <c r="E78" s="2" t="s">
        <v>37</v>
      </c>
      <c r="F78" s="3"/>
      <c r="G78" s="3"/>
    </row>
    <row r="79" spans="1:7" x14ac:dyDescent="0.2">
      <c r="A79" s="2" t="s">
        <v>37</v>
      </c>
      <c r="B79" s="2" t="s">
        <v>160</v>
      </c>
      <c r="C79" s="2" t="s">
        <v>30</v>
      </c>
      <c r="D79" s="2" t="s">
        <v>31</v>
      </c>
      <c r="E79" s="2" t="s">
        <v>37</v>
      </c>
      <c r="F79" s="3"/>
      <c r="G79" s="3"/>
    </row>
    <row r="80" spans="1:7" x14ac:dyDescent="0.2">
      <c r="A80" s="2" t="s">
        <v>37</v>
      </c>
      <c r="B80" s="2" t="s">
        <v>161</v>
      </c>
      <c r="C80" s="2" t="s">
        <v>30</v>
      </c>
      <c r="D80" s="2" t="s">
        <v>31</v>
      </c>
      <c r="E80" s="2" t="s">
        <v>37</v>
      </c>
      <c r="F80" s="3"/>
      <c r="G80" s="3"/>
    </row>
    <row r="81" spans="1:7" x14ac:dyDescent="0.2">
      <c r="A81" s="2" t="s">
        <v>37</v>
      </c>
      <c r="B81" s="2" t="s">
        <v>173</v>
      </c>
      <c r="C81" s="2" t="s">
        <v>30</v>
      </c>
      <c r="D81" s="2" t="s">
        <v>31</v>
      </c>
      <c r="E81" s="2" t="s">
        <v>37</v>
      </c>
      <c r="F81" s="3"/>
      <c r="G81" s="3"/>
    </row>
    <row r="82" spans="1:7" x14ac:dyDescent="0.2">
      <c r="A82" s="2" t="s">
        <v>37</v>
      </c>
      <c r="B82" s="2" t="s">
        <v>180</v>
      </c>
      <c r="C82" s="2" t="s">
        <v>30</v>
      </c>
      <c r="D82" s="2" t="s">
        <v>31</v>
      </c>
      <c r="E82" s="2" t="s">
        <v>37</v>
      </c>
      <c r="F82" s="3"/>
      <c r="G82" s="3"/>
    </row>
    <row r="83" spans="1:7" x14ac:dyDescent="0.2">
      <c r="A83" s="2" t="s">
        <v>37</v>
      </c>
      <c r="B83" s="2" t="s">
        <v>182</v>
      </c>
      <c r="C83" s="2" t="s">
        <v>30</v>
      </c>
      <c r="D83" s="2" t="s">
        <v>31</v>
      </c>
      <c r="E83" s="2" t="s">
        <v>37</v>
      </c>
      <c r="F83" s="3"/>
      <c r="G83" s="3"/>
    </row>
    <row r="84" spans="1:7" x14ac:dyDescent="0.2">
      <c r="A84" s="2" t="s">
        <v>37</v>
      </c>
      <c r="B84" s="2" t="s">
        <v>183</v>
      </c>
      <c r="C84" s="2" t="s">
        <v>30</v>
      </c>
      <c r="D84" s="2" t="s">
        <v>31</v>
      </c>
      <c r="E84" s="2" t="s">
        <v>37</v>
      </c>
      <c r="F84" s="3"/>
      <c r="G84" s="3"/>
    </row>
    <row r="85" spans="1:7" x14ac:dyDescent="0.2">
      <c r="A85" s="2" t="s">
        <v>37</v>
      </c>
      <c r="B85" s="2" t="s">
        <v>184</v>
      </c>
      <c r="C85" s="2" t="s">
        <v>30</v>
      </c>
      <c r="D85" s="2" t="s">
        <v>31</v>
      </c>
      <c r="E85" s="2" t="s">
        <v>37</v>
      </c>
      <c r="F85" s="3"/>
      <c r="G85" s="3"/>
    </row>
    <row r="86" spans="1:7" x14ac:dyDescent="0.2">
      <c r="A86" s="2" t="s">
        <v>37</v>
      </c>
      <c r="B86" s="2" t="s">
        <v>190</v>
      </c>
      <c r="C86" s="2" t="s">
        <v>30</v>
      </c>
      <c r="D86" s="2" t="s">
        <v>31</v>
      </c>
      <c r="E86" s="2" t="s">
        <v>37</v>
      </c>
      <c r="F86" s="3"/>
      <c r="G86" s="3"/>
    </row>
    <row r="87" spans="1:7" x14ac:dyDescent="0.2">
      <c r="A87" s="2" t="s">
        <v>37</v>
      </c>
      <c r="B87" s="2" t="s">
        <v>191</v>
      </c>
      <c r="C87" s="2" t="s">
        <v>30</v>
      </c>
      <c r="D87" s="2" t="s">
        <v>31</v>
      </c>
      <c r="E87" s="2" t="s">
        <v>37</v>
      </c>
      <c r="F87" s="3"/>
      <c r="G87" s="3"/>
    </row>
    <row r="88" spans="1:7" x14ac:dyDescent="0.2">
      <c r="A88" s="2" t="s">
        <v>37</v>
      </c>
      <c r="B88" s="2" t="s">
        <v>85</v>
      </c>
      <c r="C88" s="2" t="s">
        <v>30</v>
      </c>
      <c r="D88" s="2" t="s">
        <v>31</v>
      </c>
      <c r="E88" s="2" t="s">
        <v>37</v>
      </c>
      <c r="F88" s="3"/>
      <c r="G88" s="3"/>
    </row>
    <row r="89" spans="1:7" x14ac:dyDescent="0.2">
      <c r="A89" s="2" t="s">
        <v>37</v>
      </c>
      <c r="B89" s="2" t="s">
        <v>243</v>
      </c>
      <c r="C89" s="2" t="s">
        <v>30</v>
      </c>
      <c r="D89" s="2" t="s">
        <v>31</v>
      </c>
      <c r="E89" s="2" t="s">
        <v>37</v>
      </c>
      <c r="F89" s="3"/>
      <c r="G89" s="3"/>
    </row>
    <row r="90" spans="1:7" x14ac:dyDescent="0.2">
      <c r="A90" s="2" t="s">
        <v>37</v>
      </c>
      <c r="B90" s="2" t="s">
        <v>256</v>
      </c>
      <c r="C90" s="2" t="s">
        <v>30</v>
      </c>
      <c r="D90" s="2" t="s">
        <v>31</v>
      </c>
      <c r="E90" s="2" t="s">
        <v>37</v>
      </c>
      <c r="F90" s="3"/>
      <c r="G90" s="3"/>
    </row>
    <row r="91" spans="1:7" x14ac:dyDescent="0.2">
      <c r="A91" s="2" t="s">
        <v>37</v>
      </c>
      <c r="B91" s="2" t="s">
        <v>257</v>
      </c>
      <c r="C91" s="2" t="s">
        <v>30</v>
      </c>
      <c r="D91" s="2" t="s">
        <v>31</v>
      </c>
      <c r="E91" s="2" t="s">
        <v>37</v>
      </c>
      <c r="F91" s="3"/>
      <c r="G91" s="3"/>
    </row>
    <row r="92" spans="1:7" x14ac:dyDescent="0.2">
      <c r="A92" s="2" t="s">
        <v>37</v>
      </c>
      <c r="B92" s="2" t="s">
        <v>273</v>
      </c>
      <c r="C92" s="2" t="s">
        <v>30</v>
      </c>
      <c r="D92" s="2" t="s">
        <v>31</v>
      </c>
      <c r="E92" s="2" t="s">
        <v>37</v>
      </c>
      <c r="F92" s="3"/>
      <c r="G92" s="3"/>
    </row>
    <row r="93" spans="1:7" x14ac:dyDescent="0.2">
      <c r="A93" s="2" t="s">
        <v>37</v>
      </c>
      <c r="B93" s="2" t="s">
        <v>274</v>
      </c>
      <c r="C93" s="2" t="s">
        <v>30</v>
      </c>
      <c r="D93" s="2" t="s">
        <v>31</v>
      </c>
      <c r="E93" s="2" t="s">
        <v>37</v>
      </c>
      <c r="F93" s="3"/>
      <c r="G93" s="3"/>
    </row>
    <row r="94" spans="1:7" x14ac:dyDescent="0.2">
      <c r="A94" s="2" t="s">
        <v>37</v>
      </c>
      <c r="B94" s="2" t="s">
        <v>315</v>
      </c>
      <c r="C94" s="2" t="s">
        <v>30</v>
      </c>
      <c r="D94" s="2" t="s">
        <v>31</v>
      </c>
      <c r="E94" s="2" t="s">
        <v>37</v>
      </c>
      <c r="F94" s="3"/>
      <c r="G94" s="3"/>
    </row>
    <row r="95" spans="1:7" x14ac:dyDescent="0.2">
      <c r="A95" s="2" t="s">
        <v>37</v>
      </c>
      <c r="B95" s="2" t="s">
        <v>325</v>
      </c>
      <c r="C95" s="2" t="s">
        <v>30</v>
      </c>
      <c r="D95" s="2" t="s">
        <v>31</v>
      </c>
      <c r="E95" s="2" t="s">
        <v>37</v>
      </c>
      <c r="F95" s="3"/>
      <c r="G95" s="3"/>
    </row>
    <row r="96" spans="1:7" x14ac:dyDescent="0.2">
      <c r="A96" s="2" t="s">
        <v>37</v>
      </c>
      <c r="B96" s="2" t="s">
        <v>335</v>
      </c>
      <c r="C96" s="2" t="s">
        <v>30</v>
      </c>
      <c r="D96" s="2" t="s">
        <v>31</v>
      </c>
      <c r="E96" s="2" t="s">
        <v>37</v>
      </c>
      <c r="F96" s="3"/>
      <c r="G96" s="3"/>
    </row>
    <row r="97" spans="1:7" x14ac:dyDescent="0.2">
      <c r="A97" s="2" t="s">
        <v>37</v>
      </c>
      <c r="B97" s="2" t="s">
        <v>344</v>
      </c>
      <c r="C97" s="2" t="s">
        <v>30</v>
      </c>
      <c r="D97" s="2" t="s">
        <v>31</v>
      </c>
      <c r="E97" s="2" t="s">
        <v>37</v>
      </c>
      <c r="F97" s="3"/>
      <c r="G97" s="3"/>
    </row>
    <row r="98" spans="1:7" x14ac:dyDescent="0.2">
      <c r="A98" s="2" t="s">
        <v>37</v>
      </c>
      <c r="B98" s="2" t="s">
        <v>345</v>
      </c>
      <c r="C98" s="2" t="s">
        <v>30</v>
      </c>
      <c r="D98" s="2" t="s">
        <v>31</v>
      </c>
      <c r="E98" s="2" t="s">
        <v>37</v>
      </c>
      <c r="F98" s="3"/>
      <c r="G98" s="3"/>
    </row>
    <row r="99" spans="1:7" x14ac:dyDescent="0.2">
      <c r="A99" s="2" t="s">
        <v>37</v>
      </c>
      <c r="B99" s="2" t="s">
        <v>346</v>
      </c>
      <c r="C99" s="2" t="s">
        <v>30</v>
      </c>
      <c r="D99" s="2" t="s">
        <v>31</v>
      </c>
      <c r="E99" s="2" t="s">
        <v>37</v>
      </c>
      <c r="F99" s="3"/>
      <c r="G99" s="3"/>
    </row>
    <row r="100" spans="1:7" x14ac:dyDescent="0.2">
      <c r="A100" s="2" t="s">
        <v>37</v>
      </c>
      <c r="B100" s="2" t="s">
        <v>377</v>
      </c>
      <c r="C100" s="2" t="s">
        <v>30</v>
      </c>
      <c r="D100" s="2" t="s">
        <v>31</v>
      </c>
      <c r="E100" s="2" t="s">
        <v>37</v>
      </c>
      <c r="F100" s="3"/>
      <c r="G100" s="3"/>
    </row>
    <row r="101" spans="1:7" x14ac:dyDescent="0.2">
      <c r="A101" s="2" t="s">
        <v>37</v>
      </c>
      <c r="B101" s="2" t="s">
        <v>378</v>
      </c>
      <c r="C101" s="2" t="s">
        <v>30</v>
      </c>
      <c r="D101" s="2" t="s">
        <v>31</v>
      </c>
      <c r="E101" s="2" t="s">
        <v>37</v>
      </c>
      <c r="F101" s="3"/>
      <c r="G101" s="3"/>
    </row>
    <row r="102" spans="1:7" x14ac:dyDescent="0.2">
      <c r="A102" s="2" t="s">
        <v>37</v>
      </c>
      <c r="B102" s="2" t="s">
        <v>379</v>
      </c>
      <c r="C102" s="2" t="s">
        <v>30</v>
      </c>
      <c r="D102" s="2" t="s">
        <v>31</v>
      </c>
      <c r="E102" s="2" t="s">
        <v>37</v>
      </c>
      <c r="F102" s="3"/>
      <c r="G102" s="3"/>
    </row>
    <row r="103" spans="1:7" x14ac:dyDescent="0.2">
      <c r="A103" s="2" t="s">
        <v>37</v>
      </c>
      <c r="B103" s="2" t="s">
        <v>394</v>
      </c>
      <c r="C103" s="2" t="s">
        <v>30</v>
      </c>
      <c r="D103" s="2" t="s">
        <v>31</v>
      </c>
      <c r="E103" s="2" t="s">
        <v>37</v>
      </c>
      <c r="F103" s="3"/>
      <c r="G103" s="3"/>
    </row>
    <row r="104" spans="1:7" x14ac:dyDescent="0.2">
      <c r="A104" s="2" t="s">
        <v>37</v>
      </c>
      <c r="B104" s="2" t="s">
        <v>396</v>
      </c>
      <c r="C104" s="2" t="s">
        <v>30</v>
      </c>
      <c r="D104" s="2" t="s">
        <v>31</v>
      </c>
      <c r="E104" s="2" t="s">
        <v>37</v>
      </c>
      <c r="F104" s="3"/>
      <c r="G104" s="3"/>
    </row>
    <row r="105" spans="1:7" x14ac:dyDescent="0.2">
      <c r="A105" s="2" t="s">
        <v>37</v>
      </c>
      <c r="B105" s="2" t="s">
        <v>402</v>
      </c>
      <c r="C105" s="2" t="s">
        <v>30</v>
      </c>
      <c r="D105" s="2" t="s">
        <v>31</v>
      </c>
      <c r="E105" s="2" t="s">
        <v>37</v>
      </c>
      <c r="F105" s="3"/>
      <c r="G105" s="3"/>
    </row>
    <row r="106" spans="1:7" x14ac:dyDescent="0.2">
      <c r="A106" s="2" t="s">
        <v>37</v>
      </c>
      <c r="B106" s="2" t="s">
        <v>417</v>
      </c>
      <c r="C106" s="2" t="s">
        <v>30</v>
      </c>
      <c r="D106" s="2" t="s">
        <v>31</v>
      </c>
      <c r="E106" s="2" t="s">
        <v>37</v>
      </c>
      <c r="F106" s="3"/>
      <c r="G106" s="3"/>
    </row>
    <row r="107" spans="1:7" x14ac:dyDescent="0.2">
      <c r="A107" s="2" t="s">
        <v>37</v>
      </c>
      <c r="B107" s="2" t="s">
        <v>439</v>
      </c>
      <c r="C107" s="2" t="s">
        <v>30</v>
      </c>
      <c r="D107" s="2" t="s">
        <v>31</v>
      </c>
      <c r="E107" s="2" t="s">
        <v>37</v>
      </c>
      <c r="F107" s="3"/>
      <c r="G107" s="3"/>
    </row>
    <row r="108" spans="1:7" x14ac:dyDescent="0.2">
      <c r="A108" s="2" t="s">
        <v>37</v>
      </c>
      <c r="B108" s="2" t="s">
        <v>447</v>
      </c>
      <c r="C108" s="2" t="s">
        <v>30</v>
      </c>
      <c r="D108" s="2" t="s">
        <v>31</v>
      </c>
      <c r="E108" s="2" t="s">
        <v>37</v>
      </c>
      <c r="F108" s="3"/>
      <c r="G108" s="3"/>
    </row>
    <row r="109" spans="1:7" x14ac:dyDescent="0.2">
      <c r="A109" s="2" t="s">
        <v>37</v>
      </c>
      <c r="B109" s="2" t="s">
        <v>448</v>
      </c>
      <c r="C109" s="2" t="s">
        <v>30</v>
      </c>
      <c r="D109" s="2" t="s">
        <v>31</v>
      </c>
      <c r="E109" s="2" t="s">
        <v>37</v>
      </c>
      <c r="F109" s="3"/>
      <c r="G109" s="3"/>
    </row>
    <row r="110" spans="1:7" x14ac:dyDescent="0.2">
      <c r="A110" s="2" t="s">
        <v>37</v>
      </c>
      <c r="B110" s="2" t="s">
        <v>471</v>
      </c>
      <c r="C110" s="2" t="s">
        <v>30</v>
      </c>
      <c r="D110" s="2" t="s">
        <v>31</v>
      </c>
      <c r="E110" s="2" t="s">
        <v>37</v>
      </c>
      <c r="F110" s="3"/>
      <c r="G110" s="3"/>
    </row>
    <row r="111" spans="1:7" x14ac:dyDescent="0.2">
      <c r="A111" s="2" t="s">
        <v>37</v>
      </c>
      <c r="B111" s="3" t="s">
        <v>812</v>
      </c>
      <c r="C111" s="2" t="s">
        <v>30</v>
      </c>
      <c r="D111" s="2" t="s">
        <v>31</v>
      </c>
      <c r="E111" s="2" t="s">
        <v>37</v>
      </c>
      <c r="F111" s="3"/>
      <c r="G111" s="3"/>
    </row>
    <row r="112" spans="1:7" x14ac:dyDescent="0.2">
      <c r="A112" s="2" t="s">
        <v>746</v>
      </c>
      <c r="B112" s="2" t="s">
        <v>745</v>
      </c>
      <c r="C112" s="2" t="s">
        <v>746</v>
      </c>
      <c r="D112" s="2" t="s">
        <v>744</v>
      </c>
      <c r="E112" s="2" t="s">
        <v>746</v>
      </c>
      <c r="F112" s="3"/>
      <c r="G112" s="3"/>
    </row>
    <row r="113" spans="1:7" x14ac:dyDescent="0.2">
      <c r="A113" s="2" t="s">
        <v>746</v>
      </c>
      <c r="B113" s="2" t="s">
        <v>767</v>
      </c>
      <c r="C113" s="2" t="s">
        <v>746</v>
      </c>
      <c r="D113" s="2" t="s">
        <v>744</v>
      </c>
      <c r="E113" s="2" t="s">
        <v>746</v>
      </c>
      <c r="F113" s="3"/>
      <c r="G113" s="3"/>
    </row>
    <row r="114" spans="1:7" x14ac:dyDescent="0.2">
      <c r="A114" s="2" t="s">
        <v>39</v>
      </c>
      <c r="B114" s="2" t="s">
        <v>825</v>
      </c>
      <c r="C114" s="2" t="s">
        <v>30</v>
      </c>
      <c r="D114" s="2" t="s">
        <v>31</v>
      </c>
      <c r="E114" s="2" t="s">
        <v>39</v>
      </c>
      <c r="F114" s="3"/>
      <c r="G114" s="3"/>
    </row>
    <row r="115" spans="1:7" x14ac:dyDescent="0.2">
      <c r="A115" s="2" t="s">
        <v>39</v>
      </c>
      <c r="B115" s="2" t="s">
        <v>807</v>
      </c>
      <c r="C115" s="2" t="s">
        <v>30</v>
      </c>
      <c r="D115" s="2" t="s">
        <v>31</v>
      </c>
      <c r="E115" s="2" t="s">
        <v>39</v>
      </c>
      <c r="F115" s="3">
        <v>4125</v>
      </c>
      <c r="G115" s="3">
        <v>4125</v>
      </c>
    </row>
    <row r="116" spans="1:7" x14ac:dyDescent="0.2">
      <c r="A116" s="2" t="s">
        <v>39</v>
      </c>
      <c r="B116" s="2" t="s">
        <v>824</v>
      </c>
      <c r="C116" s="2" t="s">
        <v>30</v>
      </c>
      <c r="D116" s="2" t="s">
        <v>31</v>
      </c>
      <c r="E116" s="2" t="s">
        <v>39</v>
      </c>
      <c r="F116" s="3"/>
      <c r="G116" s="3"/>
    </row>
    <row r="117" spans="1:7" x14ac:dyDescent="0.2">
      <c r="A117" s="2" t="s">
        <v>39</v>
      </c>
      <c r="B117" s="2" t="s">
        <v>806</v>
      </c>
      <c r="C117" s="2" t="s">
        <v>30</v>
      </c>
      <c r="D117" s="2" t="s">
        <v>31</v>
      </c>
      <c r="E117" s="2" t="s">
        <v>39</v>
      </c>
      <c r="F117" s="3"/>
      <c r="G117" s="3"/>
    </row>
    <row r="118" spans="1:7" x14ac:dyDescent="0.2">
      <c r="A118" s="2" t="s">
        <v>39</v>
      </c>
      <c r="B118" s="2" t="s">
        <v>804</v>
      </c>
      <c r="C118" s="2" t="s">
        <v>30</v>
      </c>
      <c r="D118" s="2" t="s">
        <v>31</v>
      </c>
      <c r="E118" s="2" t="s">
        <v>39</v>
      </c>
      <c r="F118" s="3"/>
      <c r="G118" s="3"/>
    </row>
    <row r="119" spans="1:7" x14ac:dyDescent="0.2">
      <c r="A119" s="2" t="s">
        <v>39</v>
      </c>
      <c r="B119" s="2" t="s">
        <v>808</v>
      </c>
      <c r="C119" s="2" t="s">
        <v>30</v>
      </c>
      <c r="D119" s="2" t="s">
        <v>31</v>
      </c>
      <c r="E119" s="2" t="s">
        <v>39</v>
      </c>
      <c r="F119" s="3">
        <v>10500</v>
      </c>
      <c r="G119" s="3">
        <v>8500</v>
      </c>
    </row>
    <row r="120" spans="1:7" x14ac:dyDescent="0.2">
      <c r="A120" s="2" t="s">
        <v>39</v>
      </c>
      <c r="B120" s="2" t="s">
        <v>898</v>
      </c>
      <c r="C120" s="2" t="s">
        <v>30</v>
      </c>
      <c r="D120" s="2" t="s">
        <v>31</v>
      </c>
      <c r="E120" s="2" t="s">
        <v>39</v>
      </c>
      <c r="F120" s="3"/>
      <c r="G120" s="3"/>
    </row>
    <row r="121" spans="1:7" x14ac:dyDescent="0.2">
      <c r="A121" s="2" t="s">
        <v>39</v>
      </c>
      <c r="B121" s="2" t="s">
        <v>930</v>
      </c>
      <c r="C121" s="2" t="s">
        <v>30</v>
      </c>
      <c r="D121" s="2" t="s">
        <v>31</v>
      </c>
      <c r="E121" s="2" t="s">
        <v>39</v>
      </c>
      <c r="F121" s="3">
        <v>20224.400000000001</v>
      </c>
      <c r="G121" s="3">
        <v>6651.3</v>
      </c>
    </row>
    <row r="122" spans="1:7" x14ac:dyDescent="0.2">
      <c r="A122" s="2" t="s">
        <v>39</v>
      </c>
      <c r="B122" s="2" t="s">
        <v>72</v>
      </c>
      <c r="C122" s="2" t="s">
        <v>30</v>
      </c>
      <c r="D122" s="2" t="s">
        <v>31</v>
      </c>
      <c r="E122" s="2" t="s">
        <v>39</v>
      </c>
      <c r="F122" s="3"/>
      <c r="G122" s="3"/>
    </row>
    <row r="123" spans="1:7" x14ac:dyDescent="0.2">
      <c r="A123" s="2" t="s">
        <v>39</v>
      </c>
      <c r="B123" s="2" t="s">
        <v>73</v>
      </c>
      <c r="C123" s="2" t="s">
        <v>30</v>
      </c>
      <c r="D123" s="2" t="s">
        <v>31</v>
      </c>
      <c r="E123" s="2" t="s">
        <v>39</v>
      </c>
      <c r="F123" s="3"/>
      <c r="G123" s="3"/>
    </row>
    <row r="124" spans="1:7" x14ac:dyDescent="0.2">
      <c r="A124" s="2" t="s">
        <v>39</v>
      </c>
      <c r="B124" s="2" t="s">
        <v>74</v>
      </c>
      <c r="C124" s="2" t="s">
        <v>30</v>
      </c>
      <c r="D124" s="2" t="s">
        <v>31</v>
      </c>
      <c r="E124" s="2" t="s">
        <v>39</v>
      </c>
      <c r="F124" s="3"/>
      <c r="G124" s="3"/>
    </row>
    <row r="125" spans="1:7" x14ac:dyDescent="0.2">
      <c r="A125" s="2" t="s">
        <v>39</v>
      </c>
      <c r="B125" s="2" t="s">
        <v>75</v>
      </c>
      <c r="C125" s="2" t="s">
        <v>30</v>
      </c>
      <c r="D125" s="2" t="s">
        <v>31</v>
      </c>
      <c r="E125" s="2" t="s">
        <v>39</v>
      </c>
      <c r="F125" s="3"/>
      <c r="G125" s="3"/>
    </row>
    <row r="126" spans="1:7" x14ac:dyDescent="0.2">
      <c r="A126" s="2" t="s">
        <v>39</v>
      </c>
      <c r="B126" s="2" t="s">
        <v>103</v>
      </c>
      <c r="C126" s="2" t="s">
        <v>30</v>
      </c>
      <c r="D126" s="2" t="s">
        <v>31</v>
      </c>
      <c r="E126" s="2" t="s">
        <v>39</v>
      </c>
      <c r="F126" s="3"/>
      <c r="G126" s="3"/>
    </row>
    <row r="127" spans="1:7" x14ac:dyDescent="0.2">
      <c r="A127" s="2" t="s">
        <v>39</v>
      </c>
      <c r="B127" s="2" t="s">
        <v>104</v>
      </c>
      <c r="C127" s="2" t="s">
        <v>30</v>
      </c>
      <c r="D127" s="2" t="s">
        <v>31</v>
      </c>
      <c r="E127" s="2" t="s">
        <v>39</v>
      </c>
      <c r="F127" s="3"/>
      <c r="G127" s="3"/>
    </row>
    <row r="128" spans="1:7" x14ac:dyDescent="0.2">
      <c r="A128" s="2" t="s">
        <v>39</v>
      </c>
      <c r="B128" s="2" t="s">
        <v>105</v>
      </c>
      <c r="C128" s="2" t="s">
        <v>30</v>
      </c>
      <c r="D128" s="2" t="s">
        <v>31</v>
      </c>
      <c r="E128" s="2" t="s">
        <v>39</v>
      </c>
      <c r="F128" s="3"/>
      <c r="G128" s="3"/>
    </row>
    <row r="129" spans="1:7" x14ac:dyDescent="0.2">
      <c r="A129" s="2" t="s">
        <v>39</v>
      </c>
      <c r="B129" s="2" t="s">
        <v>81</v>
      </c>
      <c r="C129" s="2" t="s">
        <v>30</v>
      </c>
      <c r="D129" s="2" t="s">
        <v>31</v>
      </c>
      <c r="E129" s="2" t="s">
        <v>39</v>
      </c>
      <c r="F129" s="3">
        <v>5450.125</v>
      </c>
      <c r="G129" s="3">
        <v>6500</v>
      </c>
    </row>
    <row r="130" spans="1:7" x14ac:dyDescent="0.2">
      <c r="A130" s="2" t="s">
        <v>39</v>
      </c>
      <c r="B130" s="2" t="s">
        <v>123</v>
      </c>
      <c r="C130" s="2" t="s">
        <v>30</v>
      </c>
      <c r="D130" s="2" t="s">
        <v>31</v>
      </c>
      <c r="E130" s="2" t="s">
        <v>39</v>
      </c>
      <c r="F130" s="3"/>
      <c r="G130" s="3"/>
    </row>
    <row r="131" spans="1:7" x14ac:dyDescent="0.2">
      <c r="A131" s="2" t="s">
        <v>39</v>
      </c>
      <c r="B131" s="2" t="s">
        <v>135</v>
      </c>
      <c r="C131" s="2" t="s">
        <v>30</v>
      </c>
      <c r="D131" s="2" t="s">
        <v>31</v>
      </c>
      <c r="E131" s="2" t="s">
        <v>39</v>
      </c>
      <c r="F131" s="3"/>
      <c r="G131" s="3"/>
    </row>
    <row r="132" spans="1:7" x14ac:dyDescent="0.2">
      <c r="A132" s="2" t="s">
        <v>39</v>
      </c>
      <c r="B132" s="2" t="s">
        <v>136</v>
      </c>
      <c r="C132" s="2" t="s">
        <v>30</v>
      </c>
      <c r="D132" s="2" t="s">
        <v>31</v>
      </c>
      <c r="E132" s="2" t="s">
        <v>39</v>
      </c>
      <c r="F132" s="3"/>
      <c r="G132" s="3"/>
    </row>
    <row r="133" spans="1:7" x14ac:dyDescent="0.2">
      <c r="A133" s="2" t="s">
        <v>39</v>
      </c>
      <c r="B133" s="2" t="s">
        <v>137</v>
      </c>
      <c r="C133" s="2" t="s">
        <v>30</v>
      </c>
      <c r="D133" s="2" t="s">
        <v>31</v>
      </c>
      <c r="E133" s="2" t="s">
        <v>39</v>
      </c>
      <c r="F133" s="3"/>
      <c r="G133" s="3"/>
    </row>
    <row r="134" spans="1:7" x14ac:dyDescent="0.2">
      <c r="A134" s="2" t="s">
        <v>39</v>
      </c>
      <c r="B134" s="2" t="s">
        <v>138</v>
      </c>
      <c r="C134" s="2" t="s">
        <v>30</v>
      </c>
      <c r="D134" s="2" t="s">
        <v>31</v>
      </c>
      <c r="E134" s="2" t="s">
        <v>39</v>
      </c>
      <c r="F134" s="3"/>
      <c r="G134" s="3"/>
    </row>
    <row r="135" spans="1:7" x14ac:dyDescent="0.2">
      <c r="A135" s="2" t="s">
        <v>39</v>
      </c>
      <c r="B135" s="2" t="s">
        <v>145</v>
      </c>
      <c r="C135" s="2" t="s">
        <v>30</v>
      </c>
      <c r="D135" s="2" t="s">
        <v>31</v>
      </c>
      <c r="E135" s="2" t="s">
        <v>39</v>
      </c>
      <c r="F135" s="3"/>
      <c r="G135" s="3"/>
    </row>
    <row r="136" spans="1:7" x14ac:dyDescent="0.2">
      <c r="A136" s="2" t="s">
        <v>39</v>
      </c>
      <c r="B136" s="2" t="s">
        <v>162</v>
      </c>
      <c r="C136" s="2" t="s">
        <v>30</v>
      </c>
      <c r="D136" s="2" t="s">
        <v>31</v>
      </c>
      <c r="E136" s="2" t="s">
        <v>39</v>
      </c>
      <c r="F136" s="3"/>
      <c r="G136" s="3"/>
    </row>
    <row r="137" spans="1:7" x14ac:dyDescent="0.2">
      <c r="A137" s="2" t="s">
        <v>39</v>
      </c>
      <c r="B137" s="2" t="s">
        <v>163</v>
      </c>
      <c r="C137" s="2" t="s">
        <v>30</v>
      </c>
      <c r="D137" s="2" t="s">
        <v>31</v>
      </c>
      <c r="E137" s="2" t="s">
        <v>39</v>
      </c>
      <c r="F137" s="3"/>
      <c r="G137" s="3"/>
    </row>
    <row r="138" spans="1:7" x14ac:dyDescent="0.2">
      <c r="A138" s="2" t="s">
        <v>39</v>
      </c>
      <c r="B138" s="2" t="s">
        <v>164</v>
      </c>
      <c r="C138" s="2" t="s">
        <v>30</v>
      </c>
      <c r="D138" s="2" t="s">
        <v>31</v>
      </c>
      <c r="E138" s="2" t="s">
        <v>39</v>
      </c>
      <c r="F138" s="3">
        <v>250</v>
      </c>
      <c r="G138" s="3"/>
    </row>
    <row r="139" spans="1:7" x14ac:dyDescent="0.2">
      <c r="A139" s="2" t="s">
        <v>39</v>
      </c>
      <c r="B139" s="2" t="s">
        <v>174</v>
      </c>
      <c r="C139" s="2" t="s">
        <v>30</v>
      </c>
      <c r="D139" s="2" t="s">
        <v>31</v>
      </c>
      <c r="E139" s="2" t="s">
        <v>39</v>
      </c>
      <c r="F139" s="3">
        <v>21550</v>
      </c>
      <c r="G139" s="3">
        <v>17675</v>
      </c>
    </row>
    <row r="140" spans="1:7" x14ac:dyDescent="0.2">
      <c r="A140" s="2" t="s">
        <v>39</v>
      </c>
      <c r="B140" s="2" t="s">
        <v>192</v>
      </c>
      <c r="C140" s="2" t="s">
        <v>30</v>
      </c>
      <c r="D140" s="2" t="s">
        <v>31</v>
      </c>
      <c r="E140" s="2" t="s">
        <v>39</v>
      </c>
      <c r="F140" s="3"/>
      <c r="G140" s="3"/>
    </row>
    <row r="141" spans="1:7" x14ac:dyDescent="0.2">
      <c r="A141" s="2" t="s">
        <v>39</v>
      </c>
      <c r="B141" s="2" t="s">
        <v>865</v>
      </c>
      <c r="C141" s="2" t="s">
        <v>30</v>
      </c>
      <c r="D141" s="2" t="s">
        <v>31</v>
      </c>
      <c r="E141" s="2" t="s">
        <v>39</v>
      </c>
      <c r="F141" s="3"/>
      <c r="G141" s="3"/>
    </row>
    <row r="142" spans="1:7" x14ac:dyDescent="0.2">
      <c r="A142" s="2" t="s">
        <v>39</v>
      </c>
      <c r="B142" s="2" t="s">
        <v>193</v>
      </c>
      <c r="C142" s="2" t="s">
        <v>30</v>
      </c>
      <c r="D142" s="2" t="s">
        <v>31</v>
      </c>
      <c r="E142" s="2" t="s">
        <v>39</v>
      </c>
      <c r="F142" s="3"/>
      <c r="G142" s="3"/>
    </row>
    <row r="143" spans="1:7" x14ac:dyDescent="0.2">
      <c r="A143" s="2" t="s">
        <v>39</v>
      </c>
      <c r="B143" s="2" t="s">
        <v>194</v>
      </c>
      <c r="C143" s="2" t="s">
        <v>30</v>
      </c>
      <c r="D143" s="2" t="s">
        <v>31</v>
      </c>
      <c r="E143" s="2" t="s">
        <v>39</v>
      </c>
      <c r="F143" s="3"/>
      <c r="G143" s="3"/>
    </row>
    <row r="144" spans="1:7" x14ac:dyDescent="0.2">
      <c r="A144" s="2" t="s">
        <v>39</v>
      </c>
      <c r="B144" s="2" t="s">
        <v>213</v>
      </c>
      <c r="C144" s="2" t="s">
        <v>30</v>
      </c>
      <c r="D144" s="2" t="s">
        <v>31</v>
      </c>
      <c r="E144" s="2" t="s">
        <v>39</v>
      </c>
      <c r="F144" s="3"/>
      <c r="G144" s="3"/>
    </row>
    <row r="145" spans="1:7" x14ac:dyDescent="0.2">
      <c r="A145" s="2" t="s">
        <v>39</v>
      </c>
      <c r="B145" s="2" t="s">
        <v>226</v>
      </c>
      <c r="C145" s="2" t="s">
        <v>30</v>
      </c>
      <c r="D145" s="2" t="s">
        <v>31</v>
      </c>
      <c r="E145" s="2" t="s">
        <v>39</v>
      </c>
      <c r="F145" s="3"/>
      <c r="G145" s="3"/>
    </row>
    <row r="146" spans="1:7" x14ac:dyDescent="0.2">
      <c r="A146" s="2" t="s">
        <v>39</v>
      </c>
      <c r="B146" s="2" t="s">
        <v>244</v>
      </c>
      <c r="C146" s="2" t="s">
        <v>30</v>
      </c>
      <c r="D146" s="2" t="s">
        <v>31</v>
      </c>
      <c r="E146" s="2" t="s">
        <v>39</v>
      </c>
      <c r="F146" s="3"/>
      <c r="G146" s="3"/>
    </row>
    <row r="147" spans="1:7" x14ac:dyDescent="0.2">
      <c r="A147" s="2" t="s">
        <v>39</v>
      </c>
      <c r="B147" s="2" t="s">
        <v>789</v>
      </c>
      <c r="C147" s="2" t="s">
        <v>30</v>
      </c>
      <c r="D147" s="2" t="s">
        <v>31</v>
      </c>
      <c r="E147" s="2" t="s">
        <v>39</v>
      </c>
      <c r="F147" s="3"/>
      <c r="G147" s="3"/>
    </row>
    <row r="148" spans="1:7" x14ac:dyDescent="0.2">
      <c r="A148" s="2" t="s">
        <v>39</v>
      </c>
      <c r="B148" s="2" t="s">
        <v>245</v>
      </c>
      <c r="C148" s="2" t="s">
        <v>30</v>
      </c>
      <c r="D148" s="2" t="s">
        <v>31</v>
      </c>
      <c r="E148" s="2" t="s">
        <v>39</v>
      </c>
      <c r="F148" s="3"/>
      <c r="G148" s="3"/>
    </row>
    <row r="149" spans="1:7" x14ac:dyDescent="0.2">
      <c r="A149" s="2" t="s">
        <v>39</v>
      </c>
      <c r="B149" s="2" t="s">
        <v>275</v>
      </c>
      <c r="C149" s="2" t="s">
        <v>30</v>
      </c>
      <c r="D149" s="2" t="s">
        <v>31</v>
      </c>
      <c r="E149" s="2" t="s">
        <v>39</v>
      </c>
      <c r="F149" s="3"/>
      <c r="G149" s="3"/>
    </row>
    <row r="150" spans="1:7" x14ac:dyDescent="0.2">
      <c r="A150" s="2" t="s">
        <v>39</v>
      </c>
      <c r="B150" s="2" t="s">
        <v>276</v>
      </c>
      <c r="C150" s="2" t="s">
        <v>30</v>
      </c>
      <c r="D150" s="2" t="s">
        <v>31</v>
      </c>
      <c r="E150" s="2" t="s">
        <v>39</v>
      </c>
      <c r="F150" s="3"/>
      <c r="G150" s="3"/>
    </row>
    <row r="151" spans="1:7" x14ac:dyDescent="0.2">
      <c r="A151" s="2" t="s">
        <v>39</v>
      </c>
      <c r="B151" s="2" t="s">
        <v>277</v>
      </c>
      <c r="C151" s="2" t="s">
        <v>30</v>
      </c>
      <c r="D151" s="2" t="s">
        <v>31</v>
      </c>
      <c r="E151" s="2" t="s">
        <v>39</v>
      </c>
      <c r="F151" s="3"/>
      <c r="G151" s="3"/>
    </row>
    <row r="152" spans="1:7" x14ac:dyDescent="0.2">
      <c r="A152" s="2" t="s">
        <v>39</v>
      </c>
      <c r="B152" s="2" t="s">
        <v>278</v>
      </c>
      <c r="C152" s="2" t="s">
        <v>30</v>
      </c>
      <c r="D152" s="2" t="s">
        <v>31</v>
      </c>
      <c r="E152" s="2" t="s">
        <v>39</v>
      </c>
      <c r="F152" s="3"/>
      <c r="G152" s="3"/>
    </row>
    <row r="153" spans="1:7" x14ac:dyDescent="0.2">
      <c r="A153" s="2" t="s">
        <v>39</v>
      </c>
      <c r="B153" s="2" t="s">
        <v>279</v>
      </c>
      <c r="C153" s="2" t="s">
        <v>30</v>
      </c>
      <c r="D153" s="2" t="s">
        <v>31</v>
      </c>
      <c r="E153" s="2" t="s">
        <v>39</v>
      </c>
      <c r="F153" s="3"/>
      <c r="G153" s="3"/>
    </row>
    <row r="154" spans="1:7" x14ac:dyDescent="0.2">
      <c r="A154" s="2" t="s">
        <v>39</v>
      </c>
      <c r="B154" s="2" t="s">
        <v>280</v>
      </c>
      <c r="C154" s="2" t="s">
        <v>30</v>
      </c>
      <c r="D154" s="2" t="s">
        <v>31</v>
      </c>
      <c r="E154" s="2" t="s">
        <v>39</v>
      </c>
      <c r="F154" s="3"/>
      <c r="G154" s="3"/>
    </row>
    <row r="155" spans="1:7" x14ac:dyDescent="0.2">
      <c r="A155" s="2" t="s">
        <v>39</v>
      </c>
      <c r="B155" s="2" t="s">
        <v>281</v>
      </c>
      <c r="C155" s="2" t="s">
        <v>30</v>
      </c>
      <c r="D155" s="2" t="s">
        <v>31</v>
      </c>
      <c r="E155" s="2" t="s">
        <v>39</v>
      </c>
      <c r="F155" s="3"/>
      <c r="G155" s="3"/>
    </row>
    <row r="156" spans="1:7" x14ac:dyDescent="0.2">
      <c r="A156" s="2" t="s">
        <v>39</v>
      </c>
      <c r="B156" s="2" t="s">
        <v>282</v>
      </c>
      <c r="C156" s="2" t="s">
        <v>30</v>
      </c>
      <c r="D156" s="2" t="s">
        <v>31</v>
      </c>
      <c r="E156" s="2" t="s">
        <v>39</v>
      </c>
      <c r="F156" s="3"/>
      <c r="G156" s="3"/>
    </row>
    <row r="157" spans="1:7" x14ac:dyDescent="0.2">
      <c r="A157" s="2" t="s">
        <v>39</v>
      </c>
      <c r="B157" s="2" t="s">
        <v>283</v>
      </c>
      <c r="C157" s="2" t="s">
        <v>30</v>
      </c>
      <c r="D157" s="2" t="s">
        <v>31</v>
      </c>
      <c r="E157" s="2" t="s">
        <v>39</v>
      </c>
      <c r="F157" s="3">
        <v>34504</v>
      </c>
      <c r="G157" s="3">
        <v>24313</v>
      </c>
    </row>
    <row r="158" spans="1:7" x14ac:dyDescent="0.2">
      <c r="A158" s="2" t="s">
        <v>39</v>
      </c>
      <c r="B158" s="2" t="s">
        <v>316</v>
      </c>
      <c r="C158" s="2" t="s">
        <v>30</v>
      </c>
      <c r="D158" s="2" t="s">
        <v>31</v>
      </c>
      <c r="E158" s="2" t="s">
        <v>39</v>
      </c>
      <c r="F158" s="3"/>
      <c r="G158" s="3"/>
    </row>
    <row r="159" spans="1:7" x14ac:dyDescent="0.2">
      <c r="A159" s="2" t="s">
        <v>39</v>
      </c>
      <c r="B159" s="2" t="s">
        <v>317</v>
      </c>
      <c r="C159" s="2" t="s">
        <v>30</v>
      </c>
      <c r="D159" s="2" t="s">
        <v>31</v>
      </c>
      <c r="E159" s="2" t="s">
        <v>39</v>
      </c>
      <c r="F159" s="3"/>
      <c r="G159" s="3"/>
    </row>
    <row r="160" spans="1:7" x14ac:dyDescent="0.2">
      <c r="A160" s="2" t="s">
        <v>39</v>
      </c>
      <c r="B160" s="2" t="s">
        <v>318</v>
      </c>
      <c r="C160" s="2" t="s">
        <v>30</v>
      </c>
      <c r="D160" s="2" t="s">
        <v>31</v>
      </c>
      <c r="E160" s="2" t="s">
        <v>39</v>
      </c>
      <c r="F160" s="3"/>
      <c r="G160" s="3"/>
    </row>
    <row r="161" spans="1:7" x14ac:dyDescent="0.2">
      <c r="A161" s="2" t="s">
        <v>39</v>
      </c>
      <c r="B161" s="2" t="s">
        <v>887</v>
      </c>
      <c r="C161" s="2" t="s">
        <v>30</v>
      </c>
      <c r="D161" s="2" t="s">
        <v>31</v>
      </c>
      <c r="E161" s="2" t="s">
        <v>39</v>
      </c>
      <c r="F161" s="3"/>
      <c r="G161" s="3"/>
    </row>
    <row r="162" spans="1:7" x14ac:dyDescent="0.2">
      <c r="A162" s="2" t="s">
        <v>39</v>
      </c>
      <c r="B162" s="2" t="s">
        <v>332</v>
      </c>
      <c r="C162" s="2" t="s">
        <v>30</v>
      </c>
      <c r="D162" s="2" t="s">
        <v>31</v>
      </c>
      <c r="E162" s="2" t="s">
        <v>39</v>
      </c>
      <c r="F162" s="3"/>
      <c r="G162" s="3"/>
    </row>
    <row r="163" spans="1:7" x14ac:dyDescent="0.2">
      <c r="A163" s="2" t="s">
        <v>39</v>
      </c>
      <c r="B163" s="2" t="s">
        <v>347</v>
      </c>
      <c r="C163" s="2" t="s">
        <v>30</v>
      </c>
      <c r="D163" s="2" t="s">
        <v>31</v>
      </c>
      <c r="E163" s="2" t="s">
        <v>39</v>
      </c>
      <c r="F163" s="3"/>
      <c r="G163" s="3"/>
    </row>
    <row r="164" spans="1:7" x14ac:dyDescent="0.2">
      <c r="A164" s="2" t="s">
        <v>39</v>
      </c>
      <c r="B164" s="2" t="s">
        <v>348</v>
      </c>
      <c r="C164" s="2" t="s">
        <v>30</v>
      </c>
      <c r="D164" s="2" t="s">
        <v>31</v>
      </c>
      <c r="E164" s="2" t="s">
        <v>39</v>
      </c>
      <c r="F164" s="3"/>
      <c r="G164" s="3"/>
    </row>
    <row r="165" spans="1:7" x14ac:dyDescent="0.2">
      <c r="A165" s="2" t="s">
        <v>39</v>
      </c>
      <c r="B165" s="2" t="s">
        <v>349</v>
      </c>
      <c r="C165" s="2" t="s">
        <v>30</v>
      </c>
      <c r="D165" s="2" t="s">
        <v>31</v>
      </c>
      <c r="E165" s="2" t="s">
        <v>39</v>
      </c>
      <c r="F165" s="3"/>
      <c r="G165" s="3"/>
    </row>
    <row r="166" spans="1:7" x14ac:dyDescent="0.2">
      <c r="A166" s="2" t="s">
        <v>39</v>
      </c>
      <c r="B166" s="2" t="s">
        <v>380</v>
      </c>
      <c r="C166" s="2" t="s">
        <v>30</v>
      </c>
      <c r="D166" s="2" t="s">
        <v>31</v>
      </c>
      <c r="E166" s="2" t="s">
        <v>39</v>
      </c>
      <c r="F166" s="3"/>
      <c r="G166" s="3"/>
    </row>
    <row r="167" spans="1:7" x14ac:dyDescent="0.2">
      <c r="A167" s="2" t="s">
        <v>39</v>
      </c>
      <c r="B167" s="2" t="s">
        <v>381</v>
      </c>
      <c r="C167" s="2" t="s">
        <v>30</v>
      </c>
      <c r="D167" s="2" t="s">
        <v>31</v>
      </c>
      <c r="E167" s="2" t="s">
        <v>39</v>
      </c>
      <c r="F167" s="3"/>
      <c r="G167" s="3"/>
    </row>
    <row r="168" spans="1:7" x14ac:dyDescent="0.2">
      <c r="A168" s="2" t="s">
        <v>39</v>
      </c>
      <c r="B168" s="2" t="s">
        <v>382</v>
      </c>
      <c r="C168" s="2" t="s">
        <v>30</v>
      </c>
      <c r="D168" s="2" t="s">
        <v>31</v>
      </c>
      <c r="E168" s="2" t="s">
        <v>39</v>
      </c>
      <c r="F168" s="3"/>
      <c r="G168" s="3"/>
    </row>
    <row r="169" spans="1:7" x14ac:dyDescent="0.2">
      <c r="A169" s="2" t="s">
        <v>39</v>
      </c>
      <c r="B169" s="2" t="s">
        <v>395</v>
      </c>
      <c r="C169" s="2" t="s">
        <v>30</v>
      </c>
      <c r="D169" s="2" t="s">
        <v>31</v>
      </c>
      <c r="E169" s="2" t="s">
        <v>39</v>
      </c>
      <c r="F169" s="3"/>
      <c r="G169" s="3"/>
    </row>
    <row r="170" spans="1:7" x14ac:dyDescent="0.2">
      <c r="A170" s="2" t="s">
        <v>39</v>
      </c>
      <c r="B170" s="2" t="s">
        <v>399</v>
      </c>
      <c r="C170" s="2" t="s">
        <v>30</v>
      </c>
      <c r="D170" s="2" t="s">
        <v>31</v>
      </c>
      <c r="E170" s="2" t="s">
        <v>39</v>
      </c>
      <c r="F170" s="3"/>
      <c r="G170" s="3"/>
    </row>
    <row r="171" spans="1:7" x14ac:dyDescent="0.2">
      <c r="A171" s="2" t="s">
        <v>39</v>
      </c>
      <c r="B171" s="2" t="s">
        <v>418</v>
      </c>
      <c r="C171" s="2" t="s">
        <v>30</v>
      </c>
      <c r="D171" s="2" t="s">
        <v>31</v>
      </c>
      <c r="E171" s="2" t="s">
        <v>39</v>
      </c>
      <c r="F171" s="3"/>
      <c r="G171" s="3"/>
    </row>
    <row r="172" spans="1:7" x14ac:dyDescent="0.2">
      <c r="A172" s="2" t="s">
        <v>39</v>
      </c>
      <c r="B172" s="2" t="s">
        <v>419</v>
      </c>
      <c r="C172" s="2" t="s">
        <v>30</v>
      </c>
      <c r="D172" s="2" t="s">
        <v>31</v>
      </c>
      <c r="E172" s="2" t="s">
        <v>39</v>
      </c>
      <c r="F172" s="3">
        <v>10698</v>
      </c>
      <c r="G172" s="3">
        <v>3964.8999999999996</v>
      </c>
    </row>
    <row r="173" spans="1:7" x14ac:dyDescent="0.2">
      <c r="A173" s="2" t="s">
        <v>39</v>
      </c>
      <c r="B173" s="2" t="s">
        <v>420</v>
      </c>
      <c r="C173" s="2" t="s">
        <v>30</v>
      </c>
      <c r="D173" s="2" t="s">
        <v>31</v>
      </c>
      <c r="E173" s="2" t="s">
        <v>39</v>
      </c>
      <c r="F173" s="3"/>
      <c r="G173" s="3"/>
    </row>
    <row r="174" spans="1:7" x14ac:dyDescent="0.2">
      <c r="A174" s="2" t="s">
        <v>39</v>
      </c>
      <c r="B174" s="2" t="s">
        <v>421</v>
      </c>
      <c r="C174" s="2" t="s">
        <v>30</v>
      </c>
      <c r="D174" s="2" t="s">
        <v>31</v>
      </c>
      <c r="E174" s="2" t="s">
        <v>39</v>
      </c>
      <c r="F174" s="3"/>
      <c r="G174" s="3"/>
    </row>
    <row r="175" spans="1:7" x14ac:dyDescent="0.2">
      <c r="A175" s="2" t="s">
        <v>39</v>
      </c>
      <c r="B175" s="2" t="s">
        <v>449</v>
      </c>
      <c r="C175" s="2" t="s">
        <v>30</v>
      </c>
      <c r="D175" s="2" t="s">
        <v>31</v>
      </c>
      <c r="E175" s="2" t="s">
        <v>39</v>
      </c>
      <c r="F175" s="3"/>
      <c r="G175" s="3"/>
    </row>
    <row r="176" spans="1:7" x14ac:dyDescent="0.2">
      <c r="A176" s="2" t="s">
        <v>39</v>
      </c>
      <c r="B176" s="2" t="s">
        <v>450</v>
      </c>
      <c r="C176" s="2" t="s">
        <v>30</v>
      </c>
      <c r="D176" s="2" t="s">
        <v>31</v>
      </c>
      <c r="E176" s="2" t="s">
        <v>39</v>
      </c>
      <c r="F176" s="3"/>
      <c r="G176" s="3"/>
    </row>
    <row r="177" spans="1:7" x14ac:dyDescent="0.2">
      <c r="A177" s="2" t="s">
        <v>39</v>
      </c>
      <c r="B177" s="2" t="s">
        <v>451</v>
      </c>
      <c r="C177" s="2" t="s">
        <v>30</v>
      </c>
      <c r="D177" s="2" t="s">
        <v>31</v>
      </c>
      <c r="E177" s="2" t="s">
        <v>39</v>
      </c>
      <c r="F177" s="3"/>
      <c r="G177" s="3"/>
    </row>
    <row r="178" spans="1:7" x14ac:dyDescent="0.2">
      <c r="A178" s="2" t="s">
        <v>39</v>
      </c>
      <c r="B178" s="2" t="s">
        <v>452</v>
      </c>
      <c r="C178" s="2" t="s">
        <v>30</v>
      </c>
      <c r="D178" s="2" t="s">
        <v>31</v>
      </c>
      <c r="E178" s="2" t="s">
        <v>39</v>
      </c>
      <c r="F178" s="3"/>
      <c r="G178" s="3"/>
    </row>
    <row r="179" spans="1:7" x14ac:dyDescent="0.2">
      <c r="A179" s="2" t="s">
        <v>39</v>
      </c>
      <c r="B179" s="2" t="s">
        <v>453</v>
      </c>
      <c r="C179" s="2" t="s">
        <v>30</v>
      </c>
      <c r="D179" s="2" t="s">
        <v>31</v>
      </c>
      <c r="E179" s="2" t="s">
        <v>39</v>
      </c>
      <c r="F179" s="3"/>
      <c r="G179" s="3"/>
    </row>
    <row r="180" spans="1:7" x14ac:dyDescent="0.2">
      <c r="A180" s="2" t="s">
        <v>39</v>
      </c>
      <c r="B180" s="2" t="s">
        <v>455</v>
      </c>
      <c r="C180" s="2" t="s">
        <v>30</v>
      </c>
      <c r="D180" s="2" t="s">
        <v>31</v>
      </c>
      <c r="E180" s="2" t="s">
        <v>39</v>
      </c>
      <c r="F180" s="3"/>
      <c r="G180" s="3"/>
    </row>
    <row r="181" spans="1:7" x14ac:dyDescent="0.2">
      <c r="A181" s="2" t="s">
        <v>39</v>
      </c>
      <c r="B181" s="2" t="s">
        <v>459</v>
      </c>
      <c r="C181" s="2" t="s">
        <v>30</v>
      </c>
      <c r="D181" s="2" t="s">
        <v>31</v>
      </c>
      <c r="E181" s="2" t="s">
        <v>39</v>
      </c>
      <c r="F181" s="3"/>
      <c r="G181" s="3"/>
    </row>
    <row r="182" spans="1:7" x14ac:dyDescent="0.2">
      <c r="A182" s="2" t="s">
        <v>39</v>
      </c>
      <c r="B182" s="2" t="s">
        <v>479</v>
      </c>
      <c r="C182" s="2" t="s">
        <v>30</v>
      </c>
      <c r="D182" s="2" t="s">
        <v>31</v>
      </c>
      <c r="E182" s="2" t="s">
        <v>39</v>
      </c>
      <c r="F182" s="3"/>
      <c r="G182" s="3"/>
    </row>
    <row r="183" spans="1:7" x14ac:dyDescent="0.2">
      <c r="A183" s="2" t="s">
        <v>39</v>
      </c>
      <c r="B183" s="2" t="s">
        <v>480</v>
      </c>
      <c r="C183" s="2" t="s">
        <v>30</v>
      </c>
      <c r="D183" s="2" t="s">
        <v>31</v>
      </c>
      <c r="E183" s="2" t="s">
        <v>39</v>
      </c>
      <c r="F183" s="3"/>
      <c r="G183" s="3"/>
    </row>
    <row r="184" spans="1:7" x14ac:dyDescent="0.2">
      <c r="A184" s="2" t="s">
        <v>39</v>
      </c>
      <c r="B184" s="2" t="s">
        <v>481</v>
      </c>
      <c r="C184" s="2" t="s">
        <v>30</v>
      </c>
      <c r="D184" s="2" t="s">
        <v>31</v>
      </c>
      <c r="E184" s="2" t="s">
        <v>39</v>
      </c>
      <c r="F184" s="3"/>
      <c r="G184" s="3"/>
    </row>
    <row r="185" spans="1:7" x14ac:dyDescent="0.2">
      <c r="A185" s="2" t="s">
        <v>39</v>
      </c>
      <c r="B185" s="2" t="s">
        <v>482</v>
      </c>
      <c r="C185" s="2" t="s">
        <v>30</v>
      </c>
      <c r="D185" s="2" t="s">
        <v>31</v>
      </c>
      <c r="E185" s="2" t="s">
        <v>39</v>
      </c>
      <c r="F185" s="3"/>
      <c r="G185" s="3"/>
    </row>
    <row r="186" spans="1:7" x14ac:dyDescent="0.2">
      <c r="A186" s="2" t="s">
        <v>39</v>
      </c>
      <c r="B186" s="2" t="s">
        <v>483</v>
      </c>
      <c r="C186" s="2" t="s">
        <v>30</v>
      </c>
      <c r="D186" s="2" t="s">
        <v>31</v>
      </c>
      <c r="E186" s="2" t="s">
        <v>39</v>
      </c>
      <c r="F186" s="3"/>
      <c r="G186" s="3"/>
    </row>
    <row r="187" spans="1:7" x14ac:dyDescent="0.2">
      <c r="A187" s="2" t="s">
        <v>39</v>
      </c>
      <c r="B187" s="2" t="s">
        <v>484</v>
      </c>
      <c r="C187" s="2" t="s">
        <v>30</v>
      </c>
      <c r="D187" s="2" t="s">
        <v>31</v>
      </c>
      <c r="E187" s="2" t="s">
        <v>39</v>
      </c>
      <c r="F187" s="3"/>
      <c r="G187" s="3"/>
    </row>
    <row r="188" spans="1:7" x14ac:dyDescent="0.2">
      <c r="A188" s="2" t="s">
        <v>39</v>
      </c>
      <c r="B188" s="2" t="s">
        <v>493</v>
      </c>
      <c r="C188" s="2" t="s">
        <v>30</v>
      </c>
      <c r="D188" s="2" t="s">
        <v>31</v>
      </c>
      <c r="E188" s="2" t="s">
        <v>39</v>
      </c>
      <c r="F188" s="3"/>
      <c r="G188" s="3"/>
    </row>
    <row r="189" spans="1:7" x14ac:dyDescent="0.2">
      <c r="A189" s="2" t="s">
        <v>39</v>
      </c>
      <c r="B189" s="2" t="s">
        <v>494</v>
      </c>
      <c r="C189" s="2" t="s">
        <v>30</v>
      </c>
      <c r="D189" s="2" t="s">
        <v>31</v>
      </c>
      <c r="E189" s="2" t="s">
        <v>39</v>
      </c>
      <c r="F189" s="3"/>
      <c r="G189" s="3"/>
    </row>
    <row r="190" spans="1:7" x14ac:dyDescent="0.2">
      <c r="A190" s="2" t="s">
        <v>593</v>
      </c>
      <c r="B190" s="2" t="s">
        <v>592</v>
      </c>
      <c r="C190" s="2" t="s">
        <v>572</v>
      </c>
      <c r="D190" s="2" t="s">
        <v>502</v>
      </c>
      <c r="E190" s="2" t="s">
        <v>593</v>
      </c>
      <c r="F190" s="3">
        <v>24896.583000000071</v>
      </c>
      <c r="G190" s="3">
        <v>49544.823000000062</v>
      </c>
    </row>
    <row r="191" spans="1:7" x14ac:dyDescent="0.2">
      <c r="A191" s="2" t="s">
        <v>593</v>
      </c>
      <c r="B191" s="2" t="s">
        <v>600</v>
      </c>
      <c r="C191" s="2" t="s">
        <v>572</v>
      </c>
      <c r="D191" s="2" t="s">
        <v>502</v>
      </c>
      <c r="E191" s="2" t="s">
        <v>593</v>
      </c>
      <c r="F191" s="3"/>
      <c r="G191" s="3"/>
    </row>
    <row r="192" spans="1:7" x14ac:dyDescent="0.2">
      <c r="A192" s="2" t="s">
        <v>593</v>
      </c>
      <c r="B192" s="2" t="s">
        <v>660</v>
      </c>
      <c r="C192" s="2" t="s">
        <v>572</v>
      </c>
      <c r="D192" s="2" t="s">
        <v>502</v>
      </c>
      <c r="E192" s="2" t="s">
        <v>593</v>
      </c>
      <c r="F192" s="3"/>
      <c r="G192" s="3"/>
    </row>
    <row r="193" spans="1:7" x14ac:dyDescent="0.2">
      <c r="A193" s="2" t="s">
        <v>573</v>
      </c>
      <c r="B193" s="2" t="s">
        <v>571</v>
      </c>
      <c r="C193" s="2" t="s">
        <v>572</v>
      </c>
      <c r="D193" s="2" t="s">
        <v>502</v>
      </c>
      <c r="E193" s="2" t="s">
        <v>573</v>
      </c>
      <c r="F193" s="3"/>
      <c r="G193" s="3"/>
    </row>
    <row r="194" spans="1:7" x14ac:dyDescent="0.2">
      <c r="A194" s="2" t="s">
        <v>40</v>
      </c>
      <c r="B194" s="2" t="s">
        <v>868</v>
      </c>
      <c r="C194" s="2" t="s">
        <v>30</v>
      </c>
      <c r="D194" s="2" t="s">
        <v>31</v>
      </c>
      <c r="E194" s="2" t="s">
        <v>40</v>
      </c>
      <c r="F194" s="3">
        <v>2125</v>
      </c>
      <c r="G194" s="3">
        <v>2125</v>
      </c>
    </row>
    <row r="195" spans="1:7" x14ac:dyDescent="0.2">
      <c r="A195" s="2" t="s">
        <v>40</v>
      </c>
      <c r="B195" s="2" t="s">
        <v>799</v>
      </c>
      <c r="C195" s="2" t="s">
        <v>30</v>
      </c>
      <c r="D195" s="2" t="s">
        <v>31</v>
      </c>
      <c r="E195" s="2" t="s">
        <v>40</v>
      </c>
      <c r="F195" s="3"/>
      <c r="G195" s="3"/>
    </row>
    <row r="196" spans="1:7" x14ac:dyDescent="0.2">
      <c r="A196" s="2" t="s">
        <v>40</v>
      </c>
      <c r="B196" s="2" t="s">
        <v>809</v>
      </c>
      <c r="C196" s="2" t="s">
        <v>30</v>
      </c>
      <c r="D196" s="2" t="s">
        <v>31</v>
      </c>
      <c r="E196" s="2" t="s">
        <v>40</v>
      </c>
      <c r="F196" s="3"/>
      <c r="G196" s="3"/>
    </row>
    <row r="197" spans="1:7" x14ac:dyDescent="0.2">
      <c r="A197" s="2" t="s">
        <v>40</v>
      </c>
      <c r="B197" s="2" t="s">
        <v>889</v>
      </c>
      <c r="C197" s="2" t="s">
        <v>30</v>
      </c>
      <c r="D197" s="2" t="s">
        <v>31</v>
      </c>
      <c r="E197" s="2" t="s">
        <v>40</v>
      </c>
      <c r="F197" s="3"/>
      <c r="G197" s="3"/>
    </row>
    <row r="198" spans="1:7" x14ac:dyDescent="0.2">
      <c r="A198" s="2" t="s">
        <v>39</v>
      </c>
      <c r="B198" s="2" t="s">
        <v>934</v>
      </c>
      <c r="C198" s="2" t="s">
        <v>30</v>
      </c>
      <c r="D198" s="2" t="s">
        <v>31</v>
      </c>
      <c r="E198" s="2" t="s">
        <v>39</v>
      </c>
      <c r="F198" s="3">
        <v>3150</v>
      </c>
      <c r="G198" s="3"/>
    </row>
    <row r="199" spans="1:7" x14ac:dyDescent="0.2">
      <c r="A199" s="2" t="s">
        <v>40</v>
      </c>
      <c r="B199" s="2" t="s">
        <v>895</v>
      </c>
      <c r="C199" s="2" t="s">
        <v>30</v>
      </c>
      <c r="D199" s="2" t="s">
        <v>31</v>
      </c>
      <c r="E199" s="2" t="s">
        <v>40</v>
      </c>
      <c r="F199" s="3">
        <v>750.49500000000035</v>
      </c>
      <c r="G199" s="3">
        <v>751</v>
      </c>
    </row>
    <row r="200" spans="1:7" x14ac:dyDescent="0.2">
      <c r="A200" s="2" t="s">
        <v>40</v>
      </c>
      <c r="B200" s="2" t="s">
        <v>58</v>
      </c>
      <c r="C200" s="2" t="s">
        <v>30</v>
      </c>
      <c r="D200" s="2" t="s">
        <v>31</v>
      </c>
      <c r="E200" s="2" t="s">
        <v>40</v>
      </c>
      <c r="F200" s="3"/>
      <c r="G200" s="3"/>
    </row>
    <row r="201" spans="1:7" s="8" customFormat="1" x14ac:dyDescent="0.2">
      <c r="A201" s="45" t="s">
        <v>40</v>
      </c>
      <c r="B201" s="45" t="s">
        <v>62</v>
      </c>
      <c r="C201" s="45" t="s">
        <v>30</v>
      </c>
      <c r="D201" s="45" t="s">
        <v>31</v>
      </c>
      <c r="E201" s="45" t="s">
        <v>40</v>
      </c>
      <c r="F201" s="54"/>
      <c r="G201" s="3"/>
    </row>
    <row r="202" spans="1:7" x14ac:dyDescent="0.2">
      <c r="A202" s="2" t="s">
        <v>40</v>
      </c>
      <c r="B202" s="2" t="s">
        <v>882</v>
      </c>
      <c r="C202" s="2" t="s">
        <v>30</v>
      </c>
      <c r="D202" s="2" t="s">
        <v>31</v>
      </c>
      <c r="E202" s="2" t="s">
        <v>40</v>
      </c>
      <c r="F202" s="3"/>
      <c r="G202" s="3"/>
    </row>
    <row r="203" spans="1:7" x14ac:dyDescent="0.2">
      <c r="A203" s="2" t="s">
        <v>40</v>
      </c>
      <c r="B203" s="2" t="s">
        <v>923</v>
      </c>
      <c r="C203" s="2" t="s">
        <v>30</v>
      </c>
      <c r="D203" s="2" t="s">
        <v>31</v>
      </c>
      <c r="E203" s="2" t="s">
        <v>40</v>
      </c>
      <c r="F203" s="3"/>
      <c r="G203" s="3"/>
    </row>
    <row r="204" spans="1:7" x14ac:dyDescent="0.2">
      <c r="A204" s="2" t="s">
        <v>40</v>
      </c>
      <c r="B204" s="2" t="s">
        <v>890</v>
      </c>
      <c r="C204" s="2" t="s">
        <v>30</v>
      </c>
      <c r="D204" s="2" t="s">
        <v>31</v>
      </c>
      <c r="E204" s="2" t="s">
        <v>40</v>
      </c>
      <c r="F204" s="3">
        <v>2050.3000000000029</v>
      </c>
      <c r="G204" s="3">
        <v>825.29999999999927</v>
      </c>
    </row>
    <row r="205" spans="1:7" x14ac:dyDescent="0.2">
      <c r="A205" s="2" t="s">
        <v>40</v>
      </c>
      <c r="B205" s="2" t="s">
        <v>67</v>
      </c>
      <c r="C205" s="2" t="s">
        <v>30</v>
      </c>
      <c r="D205" s="2" t="s">
        <v>31</v>
      </c>
      <c r="E205" s="2" t="s">
        <v>40</v>
      </c>
      <c r="F205" s="3"/>
      <c r="G205" s="3"/>
    </row>
    <row r="206" spans="1:7" x14ac:dyDescent="0.2">
      <c r="A206" s="2" t="s">
        <v>40</v>
      </c>
      <c r="B206" s="2" t="s">
        <v>906</v>
      </c>
      <c r="C206" s="2" t="s">
        <v>30</v>
      </c>
      <c r="D206" s="2" t="s">
        <v>31</v>
      </c>
      <c r="E206" s="2" t="s">
        <v>40</v>
      </c>
      <c r="F206" s="3">
        <v>1350</v>
      </c>
      <c r="G206" s="3">
        <v>1350</v>
      </c>
    </row>
    <row r="207" spans="1:7" x14ac:dyDescent="0.2">
      <c r="A207" s="2" t="s">
        <v>40</v>
      </c>
      <c r="B207" s="2" t="s">
        <v>931</v>
      </c>
      <c r="C207" s="2" t="s">
        <v>30</v>
      </c>
      <c r="D207" s="2" t="s">
        <v>31</v>
      </c>
      <c r="E207" s="2" t="s">
        <v>40</v>
      </c>
      <c r="F207" s="3">
        <v>429</v>
      </c>
      <c r="G207" s="3">
        <v>429</v>
      </c>
    </row>
    <row r="208" spans="1:7" x14ac:dyDescent="0.2">
      <c r="A208" s="2" t="s">
        <v>40</v>
      </c>
      <c r="B208" s="2" t="s">
        <v>932</v>
      </c>
      <c r="C208" s="2" t="s">
        <v>30</v>
      </c>
      <c r="D208" s="2" t="s">
        <v>31</v>
      </c>
      <c r="E208" s="2" t="s">
        <v>40</v>
      </c>
      <c r="F208" s="3">
        <v>6325</v>
      </c>
      <c r="G208" s="3">
        <v>6325</v>
      </c>
    </row>
    <row r="209" spans="1:7" x14ac:dyDescent="0.2">
      <c r="A209" s="2" t="s">
        <v>40</v>
      </c>
      <c r="B209" s="2" t="s">
        <v>76</v>
      </c>
      <c r="C209" s="2" t="s">
        <v>30</v>
      </c>
      <c r="D209" s="2" t="s">
        <v>31</v>
      </c>
      <c r="E209" s="2" t="s">
        <v>40</v>
      </c>
      <c r="F209" s="3"/>
      <c r="G209" s="3"/>
    </row>
    <row r="210" spans="1:7" x14ac:dyDescent="0.2">
      <c r="A210" s="2" t="s">
        <v>40</v>
      </c>
      <c r="B210" s="2" t="s">
        <v>818</v>
      </c>
      <c r="C210" s="2" t="s">
        <v>30</v>
      </c>
      <c r="D210" s="2" t="s">
        <v>31</v>
      </c>
      <c r="E210" s="2" t="s">
        <v>40</v>
      </c>
      <c r="F210" s="3"/>
      <c r="G210" s="3"/>
    </row>
    <row r="211" spans="1:7" x14ac:dyDescent="0.2">
      <c r="A211" s="2" t="s">
        <v>40</v>
      </c>
      <c r="B211" s="2" t="s">
        <v>933</v>
      </c>
      <c r="C211" s="2" t="s">
        <v>30</v>
      </c>
      <c r="D211" s="2" t="s">
        <v>31</v>
      </c>
      <c r="E211" s="2" t="s">
        <v>40</v>
      </c>
      <c r="F211" s="3">
        <v>110094</v>
      </c>
      <c r="G211" s="3">
        <v>30935.025000000001</v>
      </c>
    </row>
    <row r="212" spans="1:7" x14ac:dyDescent="0.2">
      <c r="A212" s="2" t="s">
        <v>40</v>
      </c>
      <c r="B212" s="2" t="s">
        <v>106</v>
      </c>
      <c r="C212" s="2" t="s">
        <v>30</v>
      </c>
      <c r="D212" s="2" t="s">
        <v>31</v>
      </c>
      <c r="E212" s="2" t="s">
        <v>40</v>
      </c>
      <c r="F212" s="3"/>
      <c r="G212" s="3"/>
    </row>
    <row r="213" spans="1:7" x14ac:dyDescent="0.2">
      <c r="A213" s="2" t="s">
        <v>40</v>
      </c>
      <c r="B213" s="2" t="s">
        <v>107</v>
      </c>
      <c r="C213" s="2" t="s">
        <v>30</v>
      </c>
      <c r="D213" s="2" t="s">
        <v>31</v>
      </c>
      <c r="E213" s="2" t="s">
        <v>40</v>
      </c>
      <c r="F213" s="3"/>
      <c r="G213" s="3"/>
    </row>
    <row r="214" spans="1:7" x14ac:dyDescent="0.2">
      <c r="A214" s="2" t="s">
        <v>40</v>
      </c>
      <c r="B214" s="2" t="s">
        <v>108</v>
      </c>
      <c r="C214" s="2" t="s">
        <v>30</v>
      </c>
      <c r="D214" s="2" t="s">
        <v>31</v>
      </c>
      <c r="E214" s="2" t="s">
        <v>40</v>
      </c>
      <c r="F214" s="3"/>
      <c r="G214" s="3"/>
    </row>
    <row r="215" spans="1:7" x14ac:dyDescent="0.2">
      <c r="A215" s="2" t="s">
        <v>40</v>
      </c>
      <c r="B215" s="2" t="s">
        <v>109</v>
      </c>
      <c r="C215" s="2" t="s">
        <v>30</v>
      </c>
      <c r="D215" s="2" t="s">
        <v>31</v>
      </c>
      <c r="E215" s="2" t="s">
        <v>40</v>
      </c>
      <c r="F215" s="3"/>
      <c r="G215" s="3"/>
    </row>
    <row r="216" spans="1:7" x14ac:dyDescent="0.2">
      <c r="A216" s="2" t="s">
        <v>40</v>
      </c>
      <c r="B216" s="2" t="s">
        <v>942</v>
      </c>
      <c r="C216" s="2" t="s">
        <v>30</v>
      </c>
      <c r="D216" s="2" t="s">
        <v>31</v>
      </c>
      <c r="E216" s="2" t="s">
        <v>40</v>
      </c>
      <c r="F216" s="3"/>
      <c r="G216" s="3">
        <v>1275</v>
      </c>
    </row>
    <row r="217" spans="1:7" x14ac:dyDescent="0.2">
      <c r="A217" s="2" t="s">
        <v>40</v>
      </c>
      <c r="B217" s="2" t="s">
        <v>110</v>
      </c>
      <c r="C217" s="2" t="s">
        <v>30</v>
      </c>
      <c r="D217" s="2" t="s">
        <v>31</v>
      </c>
      <c r="E217" s="2" t="s">
        <v>40</v>
      </c>
      <c r="F217" s="3"/>
      <c r="G217" s="3"/>
    </row>
    <row r="218" spans="1:7" x14ac:dyDescent="0.2">
      <c r="A218" s="2" t="s">
        <v>40</v>
      </c>
      <c r="B218" s="2" t="s">
        <v>139</v>
      </c>
      <c r="C218" s="2" t="s">
        <v>30</v>
      </c>
      <c r="D218" s="2" t="s">
        <v>31</v>
      </c>
      <c r="E218" s="2" t="s">
        <v>40</v>
      </c>
      <c r="F218" s="3"/>
      <c r="G218" s="3"/>
    </row>
    <row r="219" spans="1:7" x14ac:dyDescent="0.2">
      <c r="A219" s="2" t="s">
        <v>40</v>
      </c>
      <c r="B219" s="2" t="s">
        <v>140</v>
      </c>
      <c r="C219" s="2" t="s">
        <v>30</v>
      </c>
      <c r="D219" s="2" t="s">
        <v>31</v>
      </c>
      <c r="E219" s="2" t="s">
        <v>40</v>
      </c>
      <c r="F219" s="3"/>
      <c r="G219" s="3"/>
    </row>
    <row r="220" spans="1:7" x14ac:dyDescent="0.2">
      <c r="A220" s="2" t="s">
        <v>40</v>
      </c>
      <c r="B220" s="2" t="s">
        <v>141</v>
      </c>
      <c r="C220" s="2" t="s">
        <v>30</v>
      </c>
      <c r="D220" s="2" t="s">
        <v>31</v>
      </c>
      <c r="E220" s="2" t="s">
        <v>40</v>
      </c>
      <c r="F220" s="3"/>
      <c r="G220" s="3"/>
    </row>
    <row r="221" spans="1:7" x14ac:dyDescent="0.2">
      <c r="A221" s="2" t="s">
        <v>40</v>
      </c>
      <c r="B221" s="2" t="s">
        <v>142</v>
      </c>
      <c r="C221" s="2" t="s">
        <v>30</v>
      </c>
      <c r="D221" s="2" t="s">
        <v>31</v>
      </c>
      <c r="E221" s="2" t="s">
        <v>40</v>
      </c>
      <c r="F221" s="3"/>
      <c r="G221" s="3"/>
    </row>
    <row r="222" spans="1:7" x14ac:dyDescent="0.2">
      <c r="A222" s="2" t="s">
        <v>40</v>
      </c>
      <c r="B222" s="2" t="s">
        <v>143</v>
      </c>
      <c r="C222" s="2" t="s">
        <v>30</v>
      </c>
      <c r="D222" s="2" t="s">
        <v>31</v>
      </c>
      <c r="E222" s="2" t="s">
        <v>40</v>
      </c>
      <c r="F222" s="3"/>
      <c r="G222" s="3"/>
    </row>
    <row r="223" spans="1:7" x14ac:dyDescent="0.2">
      <c r="A223" s="2" t="s">
        <v>40</v>
      </c>
      <c r="B223" s="2" t="s">
        <v>146</v>
      </c>
      <c r="C223" s="2" t="s">
        <v>30</v>
      </c>
      <c r="D223" s="2" t="s">
        <v>31</v>
      </c>
      <c r="E223" s="2" t="s">
        <v>40</v>
      </c>
      <c r="F223" s="3"/>
      <c r="G223" s="3"/>
    </row>
    <row r="224" spans="1:7" x14ac:dyDescent="0.2">
      <c r="A224" s="2" t="s">
        <v>40</v>
      </c>
      <c r="B224" s="2" t="s">
        <v>165</v>
      </c>
      <c r="C224" s="2" t="s">
        <v>30</v>
      </c>
      <c r="D224" s="2" t="s">
        <v>31</v>
      </c>
      <c r="E224" s="2" t="s">
        <v>40</v>
      </c>
      <c r="F224" s="3"/>
      <c r="G224" s="3"/>
    </row>
    <row r="225" spans="1:7" x14ac:dyDescent="0.2">
      <c r="A225" s="2" t="s">
        <v>40</v>
      </c>
      <c r="B225" s="2" t="s">
        <v>166</v>
      </c>
      <c r="C225" s="2" t="s">
        <v>30</v>
      </c>
      <c r="D225" s="2" t="s">
        <v>31</v>
      </c>
      <c r="E225" s="2" t="s">
        <v>40</v>
      </c>
      <c r="F225" s="3"/>
      <c r="G225" s="3"/>
    </row>
    <row r="226" spans="1:7" x14ac:dyDescent="0.2">
      <c r="A226" s="2" t="s">
        <v>40</v>
      </c>
      <c r="B226" s="2" t="s">
        <v>167</v>
      </c>
      <c r="C226" s="2" t="s">
        <v>30</v>
      </c>
      <c r="D226" s="2" t="s">
        <v>31</v>
      </c>
      <c r="E226" s="2" t="s">
        <v>40</v>
      </c>
      <c r="F226" s="3"/>
      <c r="G226" s="3"/>
    </row>
    <row r="227" spans="1:7" x14ac:dyDescent="0.2">
      <c r="A227" s="2" t="s">
        <v>40</v>
      </c>
      <c r="B227" s="2" t="s">
        <v>168</v>
      </c>
      <c r="C227" s="2" t="s">
        <v>30</v>
      </c>
      <c r="D227" s="2" t="s">
        <v>31</v>
      </c>
      <c r="E227" s="2" t="s">
        <v>40</v>
      </c>
      <c r="F227" s="3">
        <v>3569</v>
      </c>
      <c r="G227" s="3">
        <v>2931</v>
      </c>
    </row>
    <row r="228" spans="1:7" x14ac:dyDescent="0.2">
      <c r="A228" s="2" t="s">
        <v>40</v>
      </c>
      <c r="B228" s="2" t="s">
        <v>169</v>
      </c>
      <c r="C228" s="2" t="s">
        <v>30</v>
      </c>
      <c r="D228" s="2" t="s">
        <v>31</v>
      </c>
      <c r="E228" s="2" t="s">
        <v>40</v>
      </c>
      <c r="F228" s="3"/>
      <c r="G228" s="3"/>
    </row>
    <row r="229" spans="1:7" x14ac:dyDescent="0.2">
      <c r="A229" s="2" t="s">
        <v>40</v>
      </c>
      <c r="B229" s="2" t="s">
        <v>170</v>
      </c>
      <c r="C229" s="2" t="s">
        <v>30</v>
      </c>
      <c r="D229" s="2" t="s">
        <v>31</v>
      </c>
      <c r="E229" s="2" t="s">
        <v>40</v>
      </c>
      <c r="F229" s="3"/>
      <c r="G229" s="3"/>
    </row>
    <row r="230" spans="1:7" x14ac:dyDescent="0.2">
      <c r="A230" s="2" t="s">
        <v>40</v>
      </c>
      <c r="B230" s="2" t="s">
        <v>171</v>
      </c>
      <c r="C230" s="2" t="s">
        <v>30</v>
      </c>
      <c r="D230" s="2" t="s">
        <v>31</v>
      </c>
      <c r="E230" s="2" t="s">
        <v>40</v>
      </c>
      <c r="F230" s="3"/>
      <c r="G230" s="3"/>
    </row>
    <row r="231" spans="1:7" x14ac:dyDescent="0.2">
      <c r="A231" s="2" t="s">
        <v>40</v>
      </c>
      <c r="B231" s="2" t="s">
        <v>172</v>
      </c>
      <c r="C231" s="2" t="s">
        <v>30</v>
      </c>
      <c r="D231" s="2" t="s">
        <v>31</v>
      </c>
      <c r="E231" s="2" t="s">
        <v>40</v>
      </c>
      <c r="F231" s="3"/>
      <c r="G231" s="3"/>
    </row>
    <row r="232" spans="1:7" x14ac:dyDescent="0.2">
      <c r="A232" s="2" t="s">
        <v>40</v>
      </c>
      <c r="B232" s="2" t="s">
        <v>195</v>
      </c>
      <c r="C232" s="2" t="s">
        <v>30</v>
      </c>
      <c r="D232" s="2" t="s">
        <v>31</v>
      </c>
      <c r="E232" s="2" t="s">
        <v>40</v>
      </c>
      <c r="F232" s="3"/>
      <c r="G232" s="3"/>
    </row>
    <row r="233" spans="1:7" x14ac:dyDescent="0.2">
      <c r="A233" s="2" t="s">
        <v>40</v>
      </c>
      <c r="B233" s="2" t="s">
        <v>196</v>
      </c>
      <c r="C233" s="2" t="s">
        <v>30</v>
      </c>
      <c r="D233" s="2" t="s">
        <v>31</v>
      </c>
      <c r="E233" s="2" t="s">
        <v>40</v>
      </c>
      <c r="F233" s="3"/>
      <c r="G233" s="3"/>
    </row>
    <row r="234" spans="1:7" x14ac:dyDescent="0.2">
      <c r="A234" s="2" t="s">
        <v>40</v>
      </c>
      <c r="B234" s="2" t="s">
        <v>197</v>
      </c>
      <c r="C234" s="2" t="s">
        <v>30</v>
      </c>
      <c r="D234" s="2" t="s">
        <v>31</v>
      </c>
      <c r="E234" s="2" t="s">
        <v>40</v>
      </c>
      <c r="F234" s="3"/>
      <c r="G234" s="3"/>
    </row>
    <row r="235" spans="1:7" x14ac:dyDescent="0.2">
      <c r="A235" s="2" t="s">
        <v>40</v>
      </c>
      <c r="B235" s="2" t="s">
        <v>894</v>
      </c>
      <c r="C235" s="2" t="s">
        <v>30</v>
      </c>
      <c r="D235" s="2" t="s">
        <v>31</v>
      </c>
      <c r="E235" s="2" t="s">
        <v>40</v>
      </c>
      <c r="F235" s="3"/>
      <c r="G235" s="3"/>
    </row>
    <row r="236" spans="1:7" x14ac:dyDescent="0.2">
      <c r="A236" s="2" t="s">
        <v>40</v>
      </c>
      <c r="B236" s="2" t="s">
        <v>198</v>
      </c>
      <c r="C236" s="2" t="s">
        <v>30</v>
      </c>
      <c r="D236" s="2" t="s">
        <v>31</v>
      </c>
      <c r="E236" s="2" t="s">
        <v>40</v>
      </c>
      <c r="F236" s="3"/>
      <c r="G236" s="3"/>
    </row>
    <row r="237" spans="1:7" x14ac:dyDescent="0.2">
      <c r="A237" s="2" t="s">
        <v>40</v>
      </c>
      <c r="B237" s="2" t="s">
        <v>199</v>
      </c>
      <c r="C237" s="2" t="s">
        <v>30</v>
      </c>
      <c r="D237" s="2" t="s">
        <v>31</v>
      </c>
      <c r="E237" s="2" t="s">
        <v>40</v>
      </c>
      <c r="F237" s="3"/>
      <c r="G237" s="3"/>
    </row>
    <row r="238" spans="1:7" x14ac:dyDescent="0.2">
      <c r="A238" s="2" t="s">
        <v>40</v>
      </c>
      <c r="B238" s="2" t="s">
        <v>200</v>
      </c>
      <c r="C238" s="2" t="s">
        <v>30</v>
      </c>
      <c r="D238" s="2" t="s">
        <v>31</v>
      </c>
      <c r="E238" s="2" t="s">
        <v>40</v>
      </c>
      <c r="F238" s="3"/>
      <c r="G238" s="3"/>
    </row>
    <row r="239" spans="1:7" x14ac:dyDescent="0.2">
      <c r="A239" s="2" t="s">
        <v>40</v>
      </c>
      <c r="B239" s="2" t="s">
        <v>202</v>
      </c>
      <c r="C239" s="2" t="s">
        <v>30</v>
      </c>
      <c r="D239" s="2" t="s">
        <v>31</v>
      </c>
      <c r="E239" s="2" t="s">
        <v>40</v>
      </c>
      <c r="F239" s="3"/>
      <c r="G239" s="3"/>
    </row>
    <row r="240" spans="1:7" x14ac:dyDescent="0.2">
      <c r="A240" s="2" t="s">
        <v>40</v>
      </c>
      <c r="B240" s="2" t="s">
        <v>214</v>
      </c>
      <c r="C240" s="2" t="s">
        <v>30</v>
      </c>
      <c r="D240" s="2" t="s">
        <v>31</v>
      </c>
      <c r="E240" s="2" t="s">
        <v>40</v>
      </c>
      <c r="F240" s="3"/>
      <c r="G240" s="3"/>
    </row>
    <row r="241" spans="1:7" x14ac:dyDescent="0.2">
      <c r="A241" s="2" t="s">
        <v>40</v>
      </c>
      <c r="B241" s="2" t="s">
        <v>215</v>
      </c>
      <c r="C241" s="2" t="s">
        <v>30</v>
      </c>
      <c r="D241" s="2" t="s">
        <v>31</v>
      </c>
      <c r="E241" s="2" t="s">
        <v>40</v>
      </c>
      <c r="F241" s="3"/>
      <c r="G241" s="3"/>
    </row>
    <row r="242" spans="1:7" x14ac:dyDescent="0.2">
      <c r="A242" s="2" t="s">
        <v>40</v>
      </c>
      <c r="B242" s="2" t="s">
        <v>216</v>
      </c>
      <c r="C242" s="2" t="s">
        <v>30</v>
      </c>
      <c r="D242" s="2" t="s">
        <v>31</v>
      </c>
      <c r="E242" s="2" t="s">
        <v>40</v>
      </c>
      <c r="F242" s="3"/>
      <c r="G242" s="3"/>
    </row>
    <row r="243" spans="1:7" x14ac:dyDescent="0.2">
      <c r="A243" s="2" t="s">
        <v>40</v>
      </c>
      <c r="B243" s="2" t="s">
        <v>217</v>
      </c>
      <c r="C243" s="2" t="s">
        <v>30</v>
      </c>
      <c r="D243" s="2" t="s">
        <v>31</v>
      </c>
      <c r="E243" s="2" t="s">
        <v>40</v>
      </c>
      <c r="F243" s="3"/>
      <c r="G243" s="3"/>
    </row>
    <row r="244" spans="1:7" x14ac:dyDescent="0.2">
      <c r="A244" s="2" t="s">
        <v>40</v>
      </c>
      <c r="B244" s="2" t="s">
        <v>218</v>
      </c>
      <c r="C244" s="2" t="s">
        <v>30</v>
      </c>
      <c r="D244" s="2" t="s">
        <v>31</v>
      </c>
      <c r="E244" s="2" t="s">
        <v>40</v>
      </c>
      <c r="F244" s="3"/>
      <c r="G244" s="3"/>
    </row>
    <row r="245" spans="1:7" x14ac:dyDescent="0.2">
      <c r="A245" s="2" t="s">
        <v>40</v>
      </c>
      <c r="B245" s="2" t="s">
        <v>219</v>
      </c>
      <c r="C245" s="2" t="s">
        <v>30</v>
      </c>
      <c r="D245" s="2" t="s">
        <v>31</v>
      </c>
      <c r="E245" s="2" t="s">
        <v>40</v>
      </c>
      <c r="F245" s="3"/>
      <c r="G245" s="3"/>
    </row>
    <row r="246" spans="1:7" x14ac:dyDescent="0.2">
      <c r="A246" s="2" t="s">
        <v>40</v>
      </c>
      <c r="B246" s="2" t="s">
        <v>792</v>
      </c>
      <c r="C246" s="2" t="s">
        <v>30</v>
      </c>
      <c r="D246" s="2" t="s">
        <v>31</v>
      </c>
      <c r="E246" s="2" t="s">
        <v>40</v>
      </c>
      <c r="F246" s="3"/>
      <c r="G246" s="3"/>
    </row>
    <row r="247" spans="1:7" x14ac:dyDescent="0.2">
      <c r="A247" s="2" t="s">
        <v>40</v>
      </c>
      <c r="B247" s="2" t="s">
        <v>223</v>
      </c>
      <c r="C247" s="2" t="s">
        <v>30</v>
      </c>
      <c r="D247" s="2" t="s">
        <v>31</v>
      </c>
      <c r="E247" s="2" t="s">
        <v>40</v>
      </c>
      <c r="F247" s="3"/>
      <c r="G247" s="3"/>
    </row>
    <row r="248" spans="1:7" x14ac:dyDescent="0.2">
      <c r="A248" s="2" t="s">
        <v>40</v>
      </c>
      <c r="B248" s="2" t="s">
        <v>231</v>
      </c>
      <c r="C248" s="2" t="s">
        <v>30</v>
      </c>
      <c r="D248" s="2" t="s">
        <v>31</v>
      </c>
      <c r="E248" s="2" t="s">
        <v>40</v>
      </c>
      <c r="F248" s="3"/>
      <c r="G248" s="3"/>
    </row>
    <row r="249" spans="1:7" x14ac:dyDescent="0.2">
      <c r="A249" s="2" t="s">
        <v>40</v>
      </c>
      <c r="B249" s="2" t="s">
        <v>246</v>
      </c>
      <c r="C249" s="2" t="s">
        <v>30</v>
      </c>
      <c r="D249" s="2" t="s">
        <v>31</v>
      </c>
      <c r="E249" s="2" t="s">
        <v>40</v>
      </c>
      <c r="F249" s="3"/>
      <c r="G249" s="3"/>
    </row>
    <row r="250" spans="1:7" x14ac:dyDescent="0.2">
      <c r="A250" s="2" t="s">
        <v>40</v>
      </c>
      <c r="B250" s="2" t="s">
        <v>247</v>
      </c>
      <c r="C250" s="2" t="s">
        <v>30</v>
      </c>
      <c r="D250" s="2" t="s">
        <v>31</v>
      </c>
      <c r="E250" s="2" t="s">
        <v>40</v>
      </c>
      <c r="F250" s="3"/>
      <c r="G250" s="3"/>
    </row>
    <row r="251" spans="1:7" x14ac:dyDescent="0.2">
      <c r="A251" s="2" t="s">
        <v>40</v>
      </c>
      <c r="B251" s="2" t="s">
        <v>790</v>
      </c>
      <c r="C251" s="2" t="s">
        <v>30</v>
      </c>
      <c r="D251" s="2" t="s">
        <v>31</v>
      </c>
      <c r="E251" s="2" t="s">
        <v>40</v>
      </c>
      <c r="F251" s="3"/>
      <c r="G251" s="3"/>
    </row>
    <row r="252" spans="1:7" x14ac:dyDescent="0.2">
      <c r="A252" s="2" t="s">
        <v>40</v>
      </c>
      <c r="B252" s="2" t="s">
        <v>248</v>
      </c>
      <c r="C252" s="2" t="s">
        <v>30</v>
      </c>
      <c r="D252" s="2" t="s">
        <v>31</v>
      </c>
      <c r="E252" s="2" t="s">
        <v>40</v>
      </c>
      <c r="F252" s="3"/>
      <c r="G252" s="3"/>
    </row>
    <row r="253" spans="1:7" x14ac:dyDescent="0.2">
      <c r="A253" s="2" t="s">
        <v>40</v>
      </c>
      <c r="B253" s="2" t="s">
        <v>791</v>
      </c>
      <c r="C253" s="2" t="s">
        <v>30</v>
      </c>
      <c r="D253" s="2" t="s">
        <v>31</v>
      </c>
      <c r="E253" s="2" t="s">
        <v>40</v>
      </c>
      <c r="F253" s="3"/>
      <c r="G253" s="3"/>
    </row>
    <row r="254" spans="1:7" x14ac:dyDescent="0.2">
      <c r="A254" s="2" t="s">
        <v>40</v>
      </c>
      <c r="B254" s="2" t="s">
        <v>249</v>
      </c>
      <c r="C254" s="2" t="s">
        <v>30</v>
      </c>
      <c r="D254" s="2" t="s">
        <v>31</v>
      </c>
      <c r="E254" s="2" t="s">
        <v>40</v>
      </c>
      <c r="F254" s="3"/>
      <c r="G254" s="3"/>
    </row>
    <row r="255" spans="1:7" x14ac:dyDescent="0.2">
      <c r="A255" s="2" t="s">
        <v>40</v>
      </c>
      <c r="B255" s="2" t="s">
        <v>86</v>
      </c>
      <c r="C255" s="2" t="s">
        <v>30</v>
      </c>
      <c r="D255" s="2" t="s">
        <v>31</v>
      </c>
      <c r="E255" s="2" t="s">
        <v>40</v>
      </c>
      <c r="F255" s="3"/>
      <c r="G255" s="3"/>
    </row>
    <row r="256" spans="1:7" x14ac:dyDescent="0.2">
      <c r="A256" s="2" t="s">
        <v>40</v>
      </c>
      <c r="B256" s="2" t="s">
        <v>258</v>
      </c>
      <c r="C256" s="2" t="s">
        <v>30</v>
      </c>
      <c r="D256" s="2" t="s">
        <v>31</v>
      </c>
      <c r="E256" s="2" t="s">
        <v>40</v>
      </c>
      <c r="F256" s="3"/>
      <c r="G256" s="3"/>
    </row>
    <row r="257" spans="1:7" x14ac:dyDescent="0.2">
      <c r="A257" s="2" t="s">
        <v>40</v>
      </c>
      <c r="B257" s="2" t="s">
        <v>284</v>
      </c>
      <c r="C257" s="2" t="s">
        <v>30</v>
      </c>
      <c r="D257" s="2" t="s">
        <v>31</v>
      </c>
      <c r="E257" s="2" t="s">
        <v>40</v>
      </c>
      <c r="F257" s="3"/>
      <c r="G257" s="3"/>
    </row>
    <row r="258" spans="1:7" x14ac:dyDescent="0.2">
      <c r="A258" s="2" t="s">
        <v>40</v>
      </c>
      <c r="B258" s="2" t="s">
        <v>285</v>
      </c>
      <c r="C258" s="2" t="s">
        <v>30</v>
      </c>
      <c r="D258" s="2" t="s">
        <v>31</v>
      </c>
      <c r="E258" s="2" t="s">
        <v>40</v>
      </c>
      <c r="F258" s="3"/>
      <c r="G258" s="3"/>
    </row>
    <row r="259" spans="1:7" x14ac:dyDescent="0.2">
      <c r="A259" s="2" t="s">
        <v>40</v>
      </c>
      <c r="B259" s="2" t="s">
        <v>286</v>
      </c>
      <c r="C259" s="2" t="s">
        <v>30</v>
      </c>
      <c r="D259" s="2" t="s">
        <v>31</v>
      </c>
      <c r="E259" s="2" t="s">
        <v>40</v>
      </c>
      <c r="F259" s="3"/>
      <c r="G259" s="3"/>
    </row>
    <row r="260" spans="1:7" x14ac:dyDescent="0.2">
      <c r="A260" s="2" t="s">
        <v>40</v>
      </c>
      <c r="B260" s="2" t="s">
        <v>287</v>
      </c>
      <c r="C260" s="2" t="s">
        <v>30</v>
      </c>
      <c r="D260" s="2" t="s">
        <v>31</v>
      </c>
      <c r="E260" s="2" t="s">
        <v>40</v>
      </c>
      <c r="F260" s="3"/>
      <c r="G260" s="3"/>
    </row>
    <row r="261" spans="1:7" x14ac:dyDescent="0.2">
      <c r="A261" s="2" t="s">
        <v>40</v>
      </c>
      <c r="B261" s="2" t="s">
        <v>288</v>
      </c>
      <c r="C261" s="2" t="s">
        <v>30</v>
      </c>
      <c r="D261" s="2" t="s">
        <v>31</v>
      </c>
      <c r="E261" s="2" t="s">
        <v>40</v>
      </c>
      <c r="F261" s="3"/>
      <c r="G261" s="3"/>
    </row>
    <row r="262" spans="1:7" x14ac:dyDescent="0.2">
      <c r="A262" s="2" t="s">
        <v>40</v>
      </c>
      <c r="B262" s="2" t="s">
        <v>289</v>
      </c>
      <c r="C262" s="2" t="s">
        <v>30</v>
      </c>
      <c r="D262" s="2" t="s">
        <v>31</v>
      </c>
      <c r="E262" s="2" t="s">
        <v>40</v>
      </c>
      <c r="F262" s="3">
        <v>82925</v>
      </c>
      <c r="G262" s="3">
        <v>42675</v>
      </c>
    </row>
    <row r="263" spans="1:7" x14ac:dyDescent="0.2">
      <c r="A263" s="2" t="s">
        <v>40</v>
      </c>
      <c r="B263" s="2" t="s">
        <v>290</v>
      </c>
      <c r="C263" s="2" t="s">
        <v>30</v>
      </c>
      <c r="D263" s="2" t="s">
        <v>31</v>
      </c>
      <c r="E263" s="2" t="s">
        <v>40</v>
      </c>
      <c r="F263" s="3"/>
      <c r="G263" s="3"/>
    </row>
    <row r="264" spans="1:7" x14ac:dyDescent="0.2">
      <c r="A264" s="2" t="s">
        <v>40</v>
      </c>
      <c r="B264" s="2" t="s">
        <v>319</v>
      </c>
      <c r="C264" s="2" t="s">
        <v>30</v>
      </c>
      <c r="D264" s="2" t="s">
        <v>31</v>
      </c>
      <c r="E264" s="2" t="s">
        <v>40</v>
      </c>
      <c r="F264" s="3"/>
      <c r="G264" s="3"/>
    </row>
    <row r="265" spans="1:7" x14ac:dyDescent="0.2">
      <c r="A265" s="2" t="s">
        <v>40</v>
      </c>
      <c r="B265" s="2" t="s">
        <v>785</v>
      </c>
      <c r="C265" s="2" t="s">
        <v>30</v>
      </c>
      <c r="D265" s="2" t="s">
        <v>31</v>
      </c>
      <c r="E265" s="2" t="s">
        <v>40</v>
      </c>
      <c r="F265" s="3"/>
      <c r="G265" s="3"/>
    </row>
    <row r="266" spans="1:7" x14ac:dyDescent="0.2">
      <c r="A266" s="2" t="s">
        <v>40</v>
      </c>
      <c r="B266" s="2" t="s">
        <v>320</v>
      </c>
      <c r="C266" s="2" t="s">
        <v>30</v>
      </c>
      <c r="D266" s="2" t="s">
        <v>31</v>
      </c>
      <c r="E266" s="2" t="s">
        <v>40</v>
      </c>
      <c r="F266" s="3"/>
      <c r="G266" s="3"/>
    </row>
    <row r="267" spans="1:7" x14ac:dyDescent="0.2">
      <c r="A267" s="2" t="s">
        <v>40</v>
      </c>
      <c r="B267" s="2" t="s">
        <v>784</v>
      </c>
      <c r="C267" s="2" t="s">
        <v>30</v>
      </c>
      <c r="D267" s="2" t="s">
        <v>31</v>
      </c>
      <c r="E267" s="2" t="s">
        <v>40</v>
      </c>
      <c r="F267" s="3"/>
      <c r="G267" s="3"/>
    </row>
    <row r="268" spans="1:7" x14ac:dyDescent="0.2">
      <c r="A268" s="2" t="s">
        <v>40</v>
      </c>
      <c r="B268" s="2" t="s">
        <v>327</v>
      </c>
      <c r="C268" s="2" t="s">
        <v>30</v>
      </c>
      <c r="D268" s="2" t="s">
        <v>31</v>
      </c>
      <c r="E268" s="2" t="s">
        <v>40</v>
      </c>
      <c r="F268" s="3"/>
      <c r="G268" s="3"/>
    </row>
    <row r="269" spans="1:7" x14ac:dyDescent="0.2">
      <c r="A269" s="2" t="s">
        <v>40</v>
      </c>
      <c r="B269" s="2" t="s">
        <v>333</v>
      </c>
      <c r="C269" s="2" t="s">
        <v>30</v>
      </c>
      <c r="D269" s="2" t="s">
        <v>31</v>
      </c>
      <c r="E269" s="2" t="s">
        <v>40</v>
      </c>
      <c r="F269" s="3"/>
      <c r="G269" s="3"/>
    </row>
    <row r="270" spans="1:7" x14ac:dyDescent="0.2">
      <c r="A270" s="2" t="s">
        <v>40</v>
      </c>
      <c r="B270" s="2" t="s">
        <v>350</v>
      </c>
      <c r="C270" s="2" t="s">
        <v>30</v>
      </c>
      <c r="D270" s="2" t="s">
        <v>31</v>
      </c>
      <c r="E270" s="2" t="s">
        <v>40</v>
      </c>
      <c r="F270" s="3"/>
      <c r="G270" s="3"/>
    </row>
    <row r="271" spans="1:7" x14ac:dyDescent="0.2">
      <c r="A271" s="2" t="s">
        <v>40</v>
      </c>
      <c r="B271" s="2" t="s">
        <v>351</v>
      </c>
      <c r="C271" s="2" t="s">
        <v>30</v>
      </c>
      <c r="D271" s="2" t="s">
        <v>31</v>
      </c>
      <c r="E271" s="2" t="s">
        <v>40</v>
      </c>
      <c r="F271" s="3"/>
      <c r="G271" s="3"/>
    </row>
    <row r="272" spans="1:7" x14ac:dyDescent="0.2">
      <c r="A272" s="2" t="s">
        <v>40</v>
      </c>
      <c r="B272" s="2" t="s">
        <v>352</v>
      </c>
      <c r="C272" s="2" t="s">
        <v>30</v>
      </c>
      <c r="D272" s="2" t="s">
        <v>31</v>
      </c>
      <c r="E272" s="2" t="s">
        <v>40</v>
      </c>
      <c r="F272" s="3"/>
      <c r="G272" s="3"/>
    </row>
    <row r="273" spans="1:7" x14ac:dyDescent="0.2">
      <c r="A273" s="2" t="s">
        <v>40</v>
      </c>
      <c r="B273" s="2" t="s">
        <v>353</v>
      </c>
      <c r="C273" s="2" t="s">
        <v>30</v>
      </c>
      <c r="D273" s="2" t="s">
        <v>31</v>
      </c>
      <c r="E273" s="2" t="s">
        <v>40</v>
      </c>
      <c r="F273" s="3"/>
      <c r="G273" s="3"/>
    </row>
    <row r="274" spans="1:7" x14ac:dyDescent="0.2">
      <c r="A274" s="2" t="s">
        <v>40</v>
      </c>
      <c r="B274" s="2" t="s">
        <v>354</v>
      </c>
      <c r="C274" s="2" t="s">
        <v>30</v>
      </c>
      <c r="D274" s="2" t="s">
        <v>31</v>
      </c>
      <c r="E274" s="2" t="s">
        <v>40</v>
      </c>
      <c r="F274" s="3"/>
      <c r="G274" s="3"/>
    </row>
    <row r="275" spans="1:7" x14ac:dyDescent="0.2">
      <c r="A275" s="2" t="s">
        <v>40</v>
      </c>
      <c r="B275" s="2" t="s">
        <v>355</v>
      </c>
      <c r="C275" s="2" t="s">
        <v>30</v>
      </c>
      <c r="D275" s="2" t="s">
        <v>31</v>
      </c>
      <c r="E275" s="2" t="s">
        <v>40</v>
      </c>
      <c r="F275" s="3"/>
      <c r="G275" s="3"/>
    </row>
    <row r="276" spans="1:7" x14ac:dyDescent="0.2">
      <c r="A276" s="2" t="s">
        <v>40</v>
      </c>
      <c r="B276" s="2" t="s">
        <v>356</v>
      </c>
      <c r="C276" s="2" t="s">
        <v>30</v>
      </c>
      <c r="D276" s="2" t="s">
        <v>31</v>
      </c>
      <c r="E276" s="2" t="s">
        <v>40</v>
      </c>
      <c r="F276" s="3"/>
      <c r="G276" s="3"/>
    </row>
    <row r="277" spans="1:7" x14ac:dyDescent="0.2">
      <c r="A277" s="2" t="s">
        <v>40</v>
      </c>
      <c r="B277" s="2" t="s">
        <v>361</v>
      </c>
      <c r="C277" s="2" t="s">
        <v>30</v>
      </c>
      <c r="D277" s="2" t="s">
        <v>31</v>
      </c>
      <c r="E277" s="2" t="s">
        <v>40</v>
      </c>
      <c r="F277" s="3"/>
      <c r="G277" s="3"/>
    </row>
    <row r="278" spans="1:7" x14ac:dyDescent="0.2">
      <c r="A278" s="2" t="s">
        <v>40</v>
      </c>
      <c r="B278" s="2" t="s">
        <v>368</v>
      </c>
      <c r="C278" s="2" t="s">
        <v>30</v>
      </c>
      <c r="D278" s="2" t="s">
        <v>31</v>
      </c>
      <c r="E278" s="2" t="s">
        <v>40</v>
      </c>
      <c r="F278" s="3"/>
      <c r="G278" s="3"/>
    </row>
    <row r="279" spans="1:7" x14ac:dyDescent="0.2">
      <c r="A279" s="2" t="s">
        <v>40</v>
      </c>
      <c r="B279" s="2" t="s">
        <v>383</v>
      </c>
      <c r="C279" s="2" t="s">
        <v>30</v>
      </c>
      <c r="D279" s="2" t="s">
        <v>31</v>
      </c>
      <c r="E279" s="2" t="s">
        <v>40</v>
      </c>
      <c r="F279" s="3"/>
      <c r="G279" s="3"/>
    </row>
    <row r="280" spans="1:7" x14ac:dyDescent="0.2">
      <c r="A280" s="2" t="s">
        <v>40</v>
      </c>
      <c r="B280" s="2" t="s">
        <v>384</v>
      </c>
      <c r="C280" s="2" t="s">
        <v>30</v>
      </c>
      <c r="D280" s="2" t="s">
        <v>31</v>
      </c>
      <c r="E280" s="2" t="s">
        <v>40</v>
      </c>
      <c r="F280" s="3"/>
      <c r="G280" s="3"/>
    </row>
    <row r="281" spans="1:7" x14ac:dyDescent="0.2">
      <c r="A281" s="2" t="s">
        <v>40</v>
      </c>
      <c r="B281" s="2" t="s">
        <v>385</v>
      </c>
      <c r="C281" s="2" t="s">
        <v>30</v>
      </c>
      <c r="D281" s="2" t="s">
        <v>31</v>
      </c>
      <c r="E281" s="2" t="s">
        <v>40</v>
      </c>
      <c r="F281" s="3"/>
      <c r="G281" s="3"/>
    </row>
    <row r="282" spans="1:7" x14ac:dyDescent="0.2">
      <c r="A282" s="2" t="s">
        <v>40</v>
      </c>
      <c r="B282" s="2" t="s">
        <v>386</v>
      </c>
      <c r="C282" s="2" t="s">
        <v>30</v>
      </c>
      <c r="D282" s="2" t="s">
        <v>31</v>
      </c>
      <c r="E282" s="2" t="s">
        <v>40</v>
      </c>
      <c r="F282" s="3"/>
      <c r="G282" s="3"/>
    </row>
    <row r="283" spans="1:7" x14ac:dyDescent="0.2">
      <c r="A283" s="2" t="s">
        <v>40</v>
      </c>
      <c r="B283" s="2" t="s">
        <v>387</v>
      </c>
      <c r="C283" s="2" t="s">
        <v>30</v>
      </c>
      <c r="D283" s="2" t="s">
        <v>31</v>
      </c>
      <c r="E283" s="2" t="s">
        <v>40</v>
      </c>
      <c r="F283" s="3"/>
      <c r="G283" s="3"/>
    </row>
    <row r="284" spans="1:7" x14ac:dyDescent="0.2">
      <c r="A284" s="2" t="s">
        <v>40</v>
      </c>
      <c r="B284" s="2" t="s">
        <v>401</v>
      </c>
      <c r="C284" s="2" t="s">
        <v>30</v>
      </c>
      <c r="D284" s="2" t="s">
        <v>31</v>
      </c>
      <c r="E284" s="2" t="s">
        <v>40</v>
      </c>
      <c r="F284" s="3"/>
      <c r="G284" s="3"/>
    </row>
    <row r="285" spans="1:7" x14ac:dyDescent="0.2">
      <c r="A285" s="2" t="s">
        <v>40</v>
      </c>
      <c r="B285" s="2" t="s">
        <v>410</v>
      </c>
      <c r="C285" s="2" t="s">
        <v>30</v>
      </c>
      <c r="D285" s="2" t="s">
        <v>31</v>
      </c>
      <c r="E285" s="2" t="s">
        <v>40</v>
      </c>
      <c r="F285" s="3"/>
      <c r="G285" s="3"/>
    </row>
    <row r="286" spans="1:7" x14ac:dyDescent="0.2">
      <c r="A286" s="2" t="s">
        <v>40</v>
      </c>
      <c r="B286" s="2" t="s">
        <v>422</v>
      </c>
      <c r="C286" s="2" t="s">
        <v>30</v>
      </c>
      <c r="D286" s="2" t="s">
        <v>31</v>
      </c>
      <c r="E286" s="2" t="s">
        <v>40</v>
      </c>
      <c r="F286" s="3"/>
      <c r="G286" s="3"/>
    </row>
    <row r="287" spans="1:7" x14ac:dyDescent="0.2">
      <c r="A287" s="2" t="s">
        <v>40</v>
      </c>
      <c r="B287" s="2" t="s">
        <v>423</v>
      </c>
      <c r="C287" s="2" t="s">
        <v>30</v>
      </c>
      <c r="D287" s="2" t="s">
        <v>31</v>
      </c>
      <c r="E287" s="2" t="s">
        <v>40</v>
      </c>
      <c r="F287" s="3"/>
      <c r="G287" s="3"/>
    </row>
    <row r="288" spans="1:7" x14ac:dyDescent="0.2">
      <c r="A288" s="2" t="s">
        <v>40</v>
      </c>
      <c r="B288" s="2" t="s">
        <v>424</v>
      </c>
      <c r="C288" s="2" t="s">
        <v>30</v>
      </c>
      <c r="D288" s="2" t="s">
        <v>31</v>
      </c>
      <c r="E288" s="2" t="s">
        <v>40</v>
      </c>
      <c r="F288" s="3"/>
      <c r="G288" s="3"/>
    </row>
    <row r="289" spans="1:7" x14ac:dyDescent="0.2">
      <c r="A289" s="2" t="s">
        <v>40</v>
      </c>
      <c r="B289" s="2" t="s">
        <v>430</v>
      </c>
      <c r="C289" s="2" t="s">
        <v>30</v>
      </c>
      <c r="D289" s="2" t="s">
        <v>31</v>
      </c>
      <c r="E289" s="2" t="s">
        <v>40</v>
      </c>
      <c r="F289" s="3"/>
      <c r="G289" s="3"/>
    </row>
    <row r="290" spans="1:7" x14ac:dyDescent="0.2">
      <c r="A290" s="2" t="s">
        <v>40</v>
      </c>
      <c r="B290" s="2" t="s">
        <v>431</v>
      </c>
      <c r="C290" s="2" t="s">
        <v>30</v>
      </c>
      <c r="D290" s="2" t="s">
        <v>31</v>
      </c>
      <c r="E290" s="2" t="s">
        <v>40</v>
      </c>
      <c r="F290" s="3"/>
      <c r="G290" s="3"/>
    </row>
    <row r="291" spans="1:7" x14ac:dyDescent="0.2">
      <c r="A291" s="2" t="s">
        <v>40</v>
      </c>
      <c r="B291" s="2" t="s">
        <v>454</v>
      </c>
      <c r="C291" s="2" t="s">
        <v>30</v>
      </c>
      <c r="D291" s="2" t="s">
        <v>31</v>
      </c>
      <c r="E291" s="2" t="s">
        <v>40</v>
      </c>
      <c r="F291" s="3"/>
      <c r="G291" s="3"/>
    </row>
    <row r="292" spans="1:7" x14ac:dyDescent="0.2">
      <c r="A292" s="2" t="s">
        <v>40</v>
      </c>
      <c r="B292" s="2" t="s">
        <v>466</v>
      </c>
      <c r="C292" s="2" t="s">
        <v>30</v>
      </c>
      <c r="D292" s="2" t="s">
        <v>31</v>
      </c>
      <c r="E292" s="2" t="s">
        <v>40</v>
      </c>
      <c r="F292" s="3"/>
      <c r="G292" s="3"/>
    </row>
    <row r="293" spans="1:7" x14ac:dyDescent="0.2">
      <c r="A293" s="2" t="s">
        <v>40</v>
      </c>
      <c r="B293" s="2" t="s">
        <v>485</v>
      </c>
      <c r="C293" s="2" t="s">
        <v>30</v>
      </c>
      <c r="D293" s="2" t="s">
        <v>31</v>
      </c>
      <c r="E293" s="2" t="s">
        <v>40</v>
      </c>
      <c r="F293" s="3"/>
      <c r="G293" s="3"/>
    </row>
    <row r="294" spans="1:7" x14ac:dyDescent="0.2">
      <c r="A294" s="2" t="s">
        <v>40</v>
      </c>
      <c r="B294" s="2" t="s">
        <v>486</v>
      </c>
      <c r="C294" s="2" t="s">
        <v>30</v>
      </c>
      <c r="D294" s="2" t="s">
        <v>31</v>
      </c>
      <c r="E294" s="2" t="s">
        <v>40</v>
      </c>
      <c r="F294" s="3"/>
      <c r="G294" s="3"/>
    </row>
    <row r="295" spans="1:7" x14ac:dyDescent="0.2">
      <c r="A295" s="2" t="s">
        <v>40</v>
      </c>
      <c r="B295" s="2" t="s">
        <v>487</v>
      </c>
      <c r="C295" s="2" t="s">
        <v>30</v>
      </c>
      <c r="D295" s="2" t="s">
        <v>31</v>
      </c>
      <c r="E295" s="2" t="s">
        <v>40</v>
      </c>
      <c r="F295" s="3"/>
      <c r="G295" s="3"/>
    </row>
    <row r="296" spans="1:7" x14ac:dyDescent="0.2">
      <c r="A296" s="2" t="s">
        <v>40</v>
      </c>
      <c r="B296" s="2" t="s">
        <v>488</v>
      </c>
      <c r="C296" s="2" t="s">
        <v>30</v>
      </c>
      <c r="D296" s="2" t="s">
        <v>31</v>
      </c>
      <c r="E296" s="2" t="s">
        <v>40</v>
      </c>
      <c r="F296" s="3"/>
      <c r="G296" s="3"/>
    </row>
    <row r="297" spans="1:7" x14ac:dyDescent="0.2">
      <c r="A297" s="2" t="s">
        <v>40</v>
      </c>
      <c r="B297" s="2" t="s">
        <v>489</v>
      </c>
      <c r="C297" s="2" t="s">
        <v>30</v>
      </c>
      <c r="D297" s="2" t="s">
        <v>31</v>
      </c>
      <c r="E297" s="2" t="s">
        <v>40</v>
      </c>
      <c r="F297" s="3"/>
      <c r="G297" s="3"/>
    </row>
    <row r="298" spans="1:7" x14ac:dyDescent="0.2">
      <c r="A298" s="2" t="s">
        <v>40</v>
      </c>
      <c r="B298" s="2" t="s">
        <v>492</v>
      </c>
      <c r="C298" s="2" t="s">
        <v>30</v>
      </c>
      <c r="D298" s="2" t="s">
        <v>31</v>
      </c>
      <c r="E298" s="2" t="s">
        <v>40</v>
      </c>
      <c r="F298" s="3"/>
      <c r="G298" s="3"/>
    </row>
    <row r="299" spans="1:7" x14ac:dyDescent="0.2">
      <c r="A299" s="2" t="s">
        <v>296</v>
      </c>
      <c r="B299" s="2" t="s">
        <v>295</v>
      </c>
      <c r="C299" s="2" t="s">
        <v>30</v>
      </c>
      <c r="D299" s="2" t="s">
        <v>31</v>
      </c>
      <c r="E299" s="2" t="s">
        <v>296</v>
      </c>
      <c r="F299" s="3"/>
      <c r="G299" s="3"/>
    </row>
    <row r="300" spans="1:7" x14ac:dyDescent="0.2">
      <c r="A300" s="2" t="s">
        <v>296</v>
      </c>
      <c r="B300" s="2" t="s">
        <v>409</v>
      </c>
      <c r="C300" s="2" t="s">
        <v>30</v>
      </c>
      <c r="D300" s="2" t="s">
        <v>31</v>
      </c>
      <c r="E300" s="2" t="s">
        <v>296</v>
      </c>
      <c r="F300" s="3"/>
      <c r="G300" s="3"/>
    </row>
    <row r="301" spans="1:7" x14ac:dyDescent="0.2">
      <c r="A301" s="2" t="s">
        <v>758</v>
      </c>
      <c r="B301" s="2" t="s">
        <v>855</v>
      </c>
      <c r="C301" s="2" t="s">
        <v>750</v>
      </c>
      <c r="D301" s="2" t="s">
        <v>744</v>
      </c>
      <c r="E301" s="2" t="s">
        <v>848</v>
      </c>
      <c r="F301" s="3">
        <v>16358.239999999998</v>
      </c>
      <c r="G301" s="3">
        <v>15328.239999999991</v>
      </c>
    </row>
    <row r="302" spans="1:7" x14ac:dyDescent="0.2">
      <c r="A302" s="2" t="s">
        <v>125</v>
      </c>
      <c r="B302" s="2" t="s">
        <v>124</v>
      </c>
      <c r="C302" s="2" t="s">
        <v>53</v>
      </c>
      <c r="D302" s="2" t="s">
        <v>31</v>
      </c>
      <c r="E302" s="2" t="s">
        <v>125</v>
      </c>
      <c r="F302" s="3">
        <v>21659.519999999902</v>
      </c>
      <c r="G302" s="3">
        <v>10059.249999999884</v>
      </c>
    </row>
    <row r="303" spans="1:7" x14ac:dyDescent="0.2">
      <c r="A303" s="2" t="s">
        <v>52</v>
      </c>
      <c r="B303" s="2" t="s">
        <v>52</v>
      </c>
      <c r="C303" s="2" t="s">
        <v>53</v>
      </c>
      <c r="D303" s="2" t="s">
        <v>31</v>
      </c>
      <c r="E303" s="2" t="s">
        <v>52</v>
      </c>
      <c r="F303" s="3"/>
      <c r="G303" s="3"/>
    </row>
    <row r="304" spans="1:7" x14ac:dyDescent="0.2">
      <c r="A304" s="2" t="s">
        <v>758</v>
      </c>
      <c r="B304" s="2" t="s">
        <v>757</v>
      </c>
      <c r="C304" s="2" t="s">
        <v>750</v>
      </c>
      <c r="D304" s="2" t="s">
        <v>744</v>
      </c>
      <c r="E304" s="2" t="s">
        <v>758</v>
      </c>
      <c r="F304" s="3"/>
      <c r="G304" s="3"/>
    </row>
    <row r="305" spans="1:7" x14ac:dyDescent="0.2">
      <c r="A305" s="2" t="s">
        <v>758</v>
      </c>
      <c r="B305" s="2" t="s">
        <v>891</v>
      </c>
      <c r="C305" s="2" t="s">
        <v>750</v>
      </c>
      <c r="D305" s="2" t="s">
        <v>744</v>
      </c>
      <c r="E305" s="2" t="s">
        <v>758</v>
      </c>
      <c r="F305" s="3"/>
      <c r="G305" s="3"/>
    </row>
    <row r="306" spans="1:7" x14ac:dyDescent="0.2">
      <c r="A306" s="2" t="s">
        <v>758</v>
      </c>
      <c r="B306" s="2" t="s">
        <v>768</v>
      </c>
      <c r="C306" s="2" t="s">
        <v>750</v>
      </c>
      <c r="D306" s="2" t="s">
        <v>744</v>
      </c>
      <c r="E306" s="2" t="s">
        <v>758</v>
      </c>
      <c r="F306" s="3"/>
      <c r="G306" s="3"/>
    </row>
    <row r="307" spans="1:7" x14ac:dyDescent="0.2">
      <c r="A307" s="2" t="s">
        <v>758</v>
      </c>
      <c r="B307" s="2" t="s">
        <v>769</v>
      </c>
      <c r="C307" s="2" t="s">
        <v>750</v>
      </c>
      <c r="D307" s="2" t="s">
        <v>744</v>
      </c>
      <c r="E307" s="2" t="s">
        <v>758</v>
      </c>
      <c r="F307" s="3"/>
      <c r="G307" s="3"/>
    </row>
    <row r="308" spans="1:7" x14ac:dyDescent="0.2">
      <c r="A308" s="2" t="s">
        <v>36</v>
      </c>
      <c r="B308" s="2" t="s">
        <v>875</v>
      </c>
      <c r="C308" s="2" t="s">
        <v>30</v>
      </c>
      <c r="D308" s="2" t="s">
        <v>31</v>
      </c>
      <c r="E308" s="2" t="s">
        <v>36</v>
      </c>
      <c r="F308" s="3"/>
      <c r="G308" s="3"/>
    </row>
    <row r="309" spans="1:7" x14ac:dyDescent="0.2">
      <c r="A309" s="2" t="s">
        <v>36</v>
      </c>
      <c r="B309" s="2" t="s">
        <v>797</v>
      </c>
      <c r="C309" s="2" t="s">
        <v>30</v>
      </c>
      <c r="D309" s="2" t="s">
        <v>31</v>
      </c>
      <c r="E309" s="2" t="s">
        <v>36</v>
      </c>
      <c r="F309" s="3">
        <v>112000</v>
      </c>
      <c r="G309" s="3"/>
    </row>
    <row r="310" spans="1:7" x14ac:dyDescent="0.2">
      <c r="A310" s="2" t="s">
        <v>36</v>
      </c>
      <c r="B310" s="2" t="s">
        <v>821</v>
      </c>
      <c r="C310" s="2" t="s">
        <v>30</v>
      </c>
      <c r="D310" s="2" t="s">
        <v>31</v>
      </c>
      <c r="E310" s="2" t="s">
        <v>36</v>
      </c>
      <c r="F310" s="3">
        <v>9250</v>
      </c>
      <c r="G310" s="3"/>
    </row>
    <row r="311" spans="1:7" x14ac:dyDescent="0.2">
      <c r="A311" s="2" t="s">
        <v>36</v>
      </c>
      <c r="B311" s="2" t="s">
        <v>925</v>
      </c>
      <c r="C311" s="2" t="s">
        <v>30</v>
      </c>
      <c r="D311" s="2" t="s">
        <v>31</v>
      </c>
      <c r="E311" s="2" t="s">
        <v>36</v>
      </c>
      <c r="F311" s="3">
        <v>19375</v>
      </c>
      <c r="G311" s="3"/>
    </row>
    <row r="312" spans="1:7" x14ac:dyDescent="0.2">
      <c r="A312" s="2" t="s">
        <v>36</v>
      </c>
      <c r="B312" s="2" t="s">
        <v>838</v>
      </c>
      <c r="C312" s="2" t="s">
        <v>30</v>
      </c>
      <c r="D312" s="2" t="s">
        <v>31</v>
      </c>
      <c r="E312" s="2" t="s">
        <v>36</v>
      </c>
      <c r="F312" s="3"/>
      <c r="G312" s="3"/>
    </row>
    <row r="313" spans="1:7" x14ac:dyDescent="0.2">
      <c r="A313" s="2" t="s">
        <v>36</v>
      </c>
      <c r="B313" s="2" t="s">
        <v>831</v>
      </c>
      <c r="C313" s="2" t="s">
        <v>30</v>
      </c>
      <c r="D313" s="2" t="s">
        <v>31</v>
      </c>
      <c r="E313" s="2" t="s">
        <v>36</v>
      </c>
      <c r="F313" s="3"/>
      <c r="G313" s="3"/>
    </row>
    <row r="314" spans="1:7" x14ac:dyDescent="0.2">
      <c r="A314" s="2" t="s">
        <v>36</v>
      </c>
      <c r="B314" s="2" t="s">
        <v>788</v>
      </c>
      <c r="C314" s="2" t="s">
        <v>30</v>
      </c>
      <c r="D314" s="2" t="s">
        <v>31</v>
      </c>
      <c r="E314" s="2" t="s">
        <v>36</v>
      </c>
      <c r="F314" s="3"/>
      <c r="G314" s="3"/>
    </row>
    <row r="315" spans="1:7" x14ac:dyDescent="0.2">
      <c r="A315" s="2" t="s">
        <v>36</v>
      </c>
      <c r="B315" s="2" t="s">
        <v>48</v>
      </c>
      <c r="C315" s="2" t="s">
        <v>30</v>
      </c>
      <c r="D315" s="2" t="s">
        <v>31</v>
      </c>
      <c r="E315" s="2" t="s">
        <v>36</v>
      </c>
      <c r="F315" s="3"/>
      <c r="G315" s="3"/>
    </row>
    <row r="316" spans="1:7" x14ac:dyDescent="0.2">
      <c r="A316" s="2" t="s">
        <v>36</v>
      </c>
      <c r="B316" s="2" t="s">
        <v>56</v>
      </c>
      <c r="C316" s="2" t="s">
        <v>30</v>
      </c>
      <c r="D316" s="2" t="s">
        <v>31</v>
      </c>
      <c r="E316" s="2" t="s">
        <v>36</v>
      </c>
      <c r="F316" s="3"/>
      <c r="G316" s="3"/>
    </row>
    <row r="317" spans="1:7" x14ac:dyDescent="0.2">
      <c r="A317" s="2" t="s">
        <v>36</v>
      </c>
      <c r="B317" s="2" t="s">
        <v>867</v>
      </c>
      <c r="C317" s="2" t="s">
        <v>30</v>
      </c>
      <c r="D317" s="2" t="s">
        <v>31</v>
      </c>
      <c r="E317" s="2" t="s">
        <v>36</v>
      </c>
      <c r="F317" s="3"/>
      <c r="G317" s="3"/>
    </row>
    <row r="318" spans="1:7" x14ac:dyDescent="0.2">
      <c r="A318" s="2" t="s">
        <v>36</v>
      </c>
      <c r="B318" s="2" t="s">
        <v>782</v>
      </c>
      <c r="C318" s="2" t="s">
        <v>30</v>
      </c>
      <c r="D318" s="2" t="s">
        <v>31</v>
      </c>
      <c r="E318" s="2" t="s">
        <v>36</v>
      </c>
      <c r="F318" s="3"/>
      <c r="G318" s="3"/>
    </row>
    <row r="319" spans="1:7" x14ac:dyDescent="0.2">
      <c r="A319" s="2" t="s">
        <v>36</v>
      </c>
      <c r="B319" s="2" t="s">
        <v>783</v>
      </c>
      <c r="C319" s="2" t="s">
        <v>30</v>
      </c>
      <c r="D319" s="2" t="s">
        <v>31</v>
      </c>
      <c r="E319" s="2" t="s">
        <v>36</v>
      </c>
      <c r="F319" s="3"/>
      <c r="G319" s="3"/>
    </row>
    <row r="320" spans="1:7" x14ac:dyDescent="0.2">
      <c r="A320" s="2" t="s">
        <v>36</v>
      </c>
      <c r="B320" s="2" t="s">
        <v>885</v>
      </c>
      <c r="C320" s="2" t="s">
        <v>30</v>
      </c>
      <c r="D320" s="2" t="s">
        <v>31</v>
      </c>
      <c r="E320" s="2" t="s">
        <v>36</v>
      </c>
      <c r="F320" s="3"/>
      <c r="G320" s="3"/>
    </row>
    <row r="321" spans="1:7" x14ac:dyDescent="0.2">
      <c r="A321" s="2" t="s">
        <v>36</v>
      </c>
      <c r="B321" s="2" t="s">
        <v>886</v>
      </c>
      <c r="C321" s="2" t="s">
        <v>30</v>
      </c>
      <c r="D321" s="2" t="s">
        <v>31</v>
      </c>
      <c r="E321" s="2" t="s">
        <v>36</v>
      </c>
      <c r="F321" s="3"/>
      <c r="G321" s="3"/>
    </row>
    <row r="322" spans="1:7" x14ac:dyDescent="0.2">
      <c r="A322" s="2" t="s">
        <v>36</v>
      </c>
      <c r="B322" s="2" t="s">
        <v>71</v>
      </c>
      <c r="C322" s="2" t="s">
        <v>30</v>
      </c>
      <c r="D322" s="2" t="s">
        <v>31</v>
      </c>
      <c r="E322" s="2" t="s">
        <v>36</v>
      </c>
      <c r="F322" s="3"/>
      <c r="G322" s="3"/>
    </row>
    <row r="323" spans="1:7" x14ac:dyDescent="0.2">
      <c r="A323" s="2" t="s">
        <v>36</v>
      </c>
      <c r="B323" s="2" t="s">
        <v>926</v>
      </c>
      <c r="C323" s="2" t="s">
        <v>30</v>
      </c>
      <c r="D323" s="2" t="s">
        <v>31</v>
      </c>
      <c r="E323" s="2" t="s">
        <v>36</v>
      </c>
      <c r="F323" s="3">
        <v>2632.5</v>
      </c>
      <c r="G323" s="3"/>
    </row>
    <row r="324" spans="1:7" x14ac:dyDescent="0.2">
      <c r="A324" s="2" t="s">
        <v>36</v>
      </c>
      <c r="B324" s="2" t="s">
        <v>80</v>
      </c>
      <c r="C324" s="2" t="s">
        <v>30</v>
      </c>
      <c r="D324" s="2" t="s">
        <v>31</v>
      </c>
      <c r="E324" s="2" t="s">
        <v>36</v>
      </c>
      <c r="F324" s="3"/>
      <c r="G324" s="3"/>
    </row>
    <row r="325" spans="1:7" x14ac:dyDescent="0.2">
      <c r="A325" s="2" t="s">
        <v>36</v>
      </c>
      <c r="B325" s="2" t="s">
        <v>90</v>
      </c>
      <c r="C325" s="2" t="s">
        <v>30</v>
      </c>
      <c r="D325" s="2" t="s">
        <v>31</v>
      </c>
      <c r="E325" s="2" t="s">
        <v>36</v>
      </c>
      <c r="F325" s="3"/>
      <c r="G325" s="3"/>
    </row>
    <row r="326" spans="1:7" x14ac:dyDescent="0.2">
      <c r="A326" s="2" t="s">
        <v>36</v>
      </c>
      <c r="B326" s="2" t="s">
        <v>92</v>
      </c>
      <c r="C326" s="2" t="s">
        <v>30</v>
      </c>
      <c r="D326" s="2" t="s">
        <v>31</v>
      </c>
      <c r="E326" s="2" t="s">
        <v>36</v>
      </c>
      <c r="F326" s="3"/>
      <c r="G326" s="3"/>
    </row>
    <row r="327" spans="1:7" x14ac:dyDescent="0.2">
      <c r="A327" s="2" t="s">
        <v>36</v>
      </c>
      <c r="B327" s="2" t="s">
        <v>93</v>
      </c>
      <c r="C327" s="2" t="s">
        <v>30</v>
      </c>
      <c r="D327" s="2" t="s">
        <v>31</v>
      </c>
      <c r="E327" s="2" t="s">
        <v>36</v>
      </c>
      <c r="F327" s="3"/>
      <c r="G327" s="3"/>
    </row>
    <row r="328" spans="1:7" x14ac:dyDescent="0.2">
      <c r="A328" s="2" t="s">
        <v>36</v>
      </c>
      <c r="B328" s="2" t="s">
        <v>95</v>
      </c>
      <c r="C328" s="2" t="s">
        <v>30</v>
      </c>
      <c r="D328" s="2" t="s">
        <v>31</v>
      </c>
      <c r="E328" s="2" t="s">
        <v>36</v>
      </c>
      <c r="F328" s="3"/>
      <c r="G328" s="3"/>
    </row>
    <row r="329" spans="1:7" x14ac:dyDescent="0.2">
      <c r="A329" s="2" t="s">
        <v>36</v>
      </c>
      <c r="B329" s="2" t="s">
        <v>100</v>
      </c>
      <c r="C329" s="2" t="s">
        <v>30</v>
      </c>
      <c r="D329" s="2" t="s">
        <v>31</v>
      </c>
      <c r="E329" s="2" t="s">
        <v>36</v>
      </c>
      <c r="F329" s="3"/>
      <c r="G329" s="3"/>
    </row>
    <row r="330" spans="1:7" x14ac:dyDescent="0.2">
      <c r="A330" s="2" t="s">
        <v>36</v>
      </c>
      <c r="B330" s="2" t="s">
        <v>900</v>
      </c>
      <c r="C330" s="2" t="s">
        <v>30</v>
      </c>
      <c r="D330" s="2" t="s">
        <v>31</v>
      </c>
      <c r="E330" s="2" t="s">
        <v>36</v>
      </c>
      <c r="F330" s="3"/>
      <c r="G330" s="3"/>
    </row>
    <row r="331" spans="1:7" x14ac:dyDescent="0.2">
      <c r="A331" s="2" t="s">
        <v>36</v>
      </c>
      <c r="B331" s="2" t="s">
        <v>47</v>
      </c>
      <c r="C331" s="2" t="s">
        <v>30</v>
      </c>
      <c r="D331" s="2" t="s">
        <v>31</v>
      </c>
      <c r="E331" s="2" t="s">
        <v>36</v>
      </c>
      <c r="F331" s="3"/>
      <c r="G331" s="3"/>
    </row>
    <row r="332" spans="1:7" x14ac:dyDescent="0.2">
      <c r="A332" s="2" t="s">
        <v>36</v>
      </c>
      <c r="B332" s="2" t="s">
        <v>121</v>
      </c>
      <c r="C332" s="2" t="s">
        <v>30</v>
      </c>
      <c r="D332" s="2" t="s">
        <v>31</v>
      </c>
      <c r="E332" s="2" t="s">
        <v>36</v>
      </c>
      <c r="F332" s="3"/>
      <c r="G332" s="3"/>
    </row>
    <row r="333" spans="1:7" x14ac:dyDescent="0.2">
      <c r="A333" s="2" t="s">
        <v>36</v>
      </c>
      <c r="B333" s="2" t="s">
        <v>129</v>
      </c>
      <c r="C333" s="2" t="s">
        <v>30</v>
      </c>
      <c r="D333" s="2" t="s">
        <v>31</v>
      </c>
      <c r="E333" s="2" t="s">
        <v>36</v>
      </c>
      <c r="F333" s="3"/>
      <c r="G333" s="3"/>
    </row>
    <row r="334" spans="1:7" x14ac:dyDescent="0.2">
      <c r="A334" s="2" t="s">
        <v>36</v>
      </c>
      <c r="B334" s="2" t="s">
        <v>130</v>
      </c>
      <c r="C334" s="2" t="s">
        <v>30</v>
      </c>
      <c r="D334" s="2" t="s">
        <v>31</v>
      </c>
      <c r="E334" s="2" t="s">
        <v>36</v>
      </c>
      <c r="F334" s="3"/>
      <c r="G334" s="3"/>
    </row>
    <row r="335" spans="1:7" x14ac:dyDescent="0.2">
      <c r="A335" s="2" t="s">
        <v>36</v>
      </c>
      <c r="B335" s="2" t="s">
        <v>892</v>
      </c>
      <c r="C335" s="2" t="s">
        <v>30</v>
      </c>
      <c r="D335" s="2" t="s">
        <v>31</v>
      </c>
      <c r="E335" s="2" t="s">
        <v>36</v>
      </c>
      <c r="F335" s="3"/>
      <c r="G335" s="3"/>
    </row>
    <row r="336" spans="1:7" x14ac:dyDescent="0.2">
      <c r="A336" s="2" t="s">
        <v>36</v>
      </c>
      <c r="B336" s="2" t="s">
        <v>131</v>
      </c>
      <c r="C336" s="2" t="s">
        <v>30</v>
      </c>
      <c r="D336" s="2" t="s">
        <v>31</v>
      </c>
      <c r="E336" s="2" t="s">
        <v>36</v>
      </c>
      <c r="F336" s="3"/>
      <c r="G336" s="3"/>
    </row>
    <row r="337" spans="1:7" x14ac:dyDescent="0.2">
      <c r="A337" s="2" t="s">
        <v>36</v>
      </c>
      <c r="B337" s="2" t="s">
        <v>147</v>
      </c>
      <c r="C337" s="2" t="s">
        <v>30</v>
      </c>
      <c r="D337" s="2" t="s">
        <v>31</v>
      </c>
      <c r="E337" s="2" t="s">
        <v>36</v>
      </c>
      <c r="F337" s="3"/>
      <c r="G337" s="3"/>
    </row>
    <row r="338" spans="1:7" x14ac:dyDescent="0.2">
      <c r="A338" s="2" t="s">
        <v>36</v>
      </c>
      <c r="B338" s="2" t="s">
        <v>154</v>
      </c>
      <c r="C338" s="2" t="s">
        <v>30</v>
      </c>
      <c r="D338" s="2" t="s">
        <v>31</v>
      </c>
      <c r="E338" s="2" t="s">
        <v>36</v>
      </c>
      <c r="F338" s="3"/>
      <c r="G338" s="3"/>
    </row>
    <row r="339" spans="1:7" x14ac:dyDescent="0.2">
      <c r="A339" s="2" t="s">
        <v>36</v>
      </c>
      <c r="B339" s="2" t="s">
        <v>901</v>
      </c>
      <c r="C339" s="2" t="s">
        <v>30</v>
      </c>
      <c r="D339" s="2" t="s">
        <v>31</v>
      </c>
      <c r="E339" s="2" t="s">
        <v>36</v>
      </c>
      <c r="F339" s="3">
        <v>4100</v>
      </c>
      <c r="G339" s="3"/>
    </row>
    <row r="340" spans="1:7" x14ac:dyDescent="0.2">
      <c r="A340" s="2" t="s">
        <v>36</v>
      </c>
      <c r="B340" s="2" t="s">
        <v>908</v>
      </c>
      <c r="C340" s="2" t="s">
        <v>30</v>
      </c>
      <c r="D340" s="2" t="s">
        <v>31</v>
      </c>
      <c r="E340" s="2" t="s">
        <v>36</v>
      </c>
      <c r="F340" s="3">
        <v>59706</v>
      </c>
      <c r="G340" s="3">
        <v>45538</v>
      </c>
    </row>
    <row r="341" spans="1:7" x14ac:dyDescent="0.2">
      <c r="A341" s="2" t="s">
        <v>36</v>
      </c>
      <c r="B341" s="2" t="s">
        <v>909</v>
      </c>
      <c r="C341" s="2" t="s">
        <v>30</v>
      </c>
      <c r="D341" s="2" t="s">
        <v>31</v>
      </c>
      <c r="E341" s="2" t="s">
        <v>36</v>
      </c>
      <c r="F341" s="3"/>
      <c r="G341" s="3"/>
    </row>
    <row r="342" spans="1:7" x14ac:dyDescent="0.2">
      <c r="A342" s="2" t="s">
        <v>36</v>
      </c>
      <c r="B342" s="2" t="s">
        <v>910</v>
      </c>
      <c r="C342" s="2" t="s">
        <v>30</v>
      </c>
      <c r="D342" s="2" t="s">
        <v>31</v>
      </c>
      <c r="E342" s="2" t="s">
        <v>36</v>
      </c>
      <c r="F342" s="3">
        <v>1375</v>
      </c>
      <c r="G342" s="3"/>
    </row>
    <row r="343" spans="1:7" x14ac:dyDescent="0.2">
      <c r="A343" s="2" t="s">
        <v>36</v>
      </c>
      <c r="B343" s="2" t="s">
        <v>911</v>
      </c>
      <c r="C343" s="2" t="s">
        <v>30</v>
      </c>
      <c r="D343" s="2" t="s">
        <v>31</v>
      </c>
      <c r="E343" s="2" t="s">
        <v>36</v>
      </c>
      <c r="F343" s="3">
        <v>11250</v>
      </c>
      <c r="G343" s="3"/>
    </row>
    <row r="344" spans="1:7" x14ac:dyDescent="0.2">
      <c r="A344" s="2" t="s">
        <v>36</v>
      </c>
      <c r="B344" s="2" t="s">
        <v>912</v>
      </c>
      <c r="C344" s="2" t="s">
        <v>30</v>
      </c>
      <c r="D344" s="2" t="s">
        <v>31</v>
      </c>
      <c r="E344" s="2" t="s">
        <v>36</v>
      </c>
      <c r="F344" s="3">
        <v>27500</v>
      </c>
      <c r="G344" s="3">
        <v>15350</v>
      </c>
    </row>
    <row r="345" spans="1:7" x14ac:dyDescent="0.2">
      <c r="A345" s="2" t="s">
        <v>36</v>
      </c>
      <c r="B345" s="2" t="s">
        <v>913</v>
      </c>
      <c r="C345" s="2" t="s">
        <v>30</v>
      </c>
      <c r="D345" s="2" t="s">
        <v>31</v>
      </c>
      <c r="E345" s="2" t="s">
        <v>36</v>
      </c>
      <c r="F345" s="3">
        <v>24210</v>
      </c>
      <c r="G345" s="3"/>
    </row>
    <row r="346" spans="1:7" x14ac:dyDescent="0.2">
      <c r="A346" s="2" t="s">
        <v>36</v>
      </c>
      <c r="B346" s="2" t="s">
        <v>914</v>
      </c>
      <c r="C346" s="2" t="s">
        <v>30</v>
      </c>
      <c r="D346" s="2" t="s">
        <v>31</v>
      </c>
      <c r="E346" s="2" t="s">
        <v>36</v>
      </c>
      <c r="F346" s="3">
        <v>6875</v>
      </c>
      <c r="G346" s="3">
        <v>6875</v>
      </c>
    </row>
    <row r="347" spans="1:7" x14ac:dyDescent="0.2">
      <c r="A347" s="2" t="s">
        <v>36</v>
      </c>
      <c r="B347" s="2" t="s">
        <v>915</v>
      </c>
      <c r="C347" s="2" t="s">
        <v>30</v>
      </c>
      <c r="D347" s="2" t="s">
        <v>31</v>
      </c>
      <c r="E347" s="2" t="s">
        <v>36</v>
      </c>
      <c r="F347" s="3">
        <v>17750</v>
      </c>
      <c r="G347" s="3">
        <v>12825</v>
      </c>
    </row>
    <row r="348" spans="1:7" x14ac:dyDescent="0.2">
      <c r="A348" s="2" t="s">
        <v>36</v>
      </c>
      <c r="B348" s="2" t="s">
        <v>916</v>
      </c>
      <c r="C348" s="2" t="s">
        <v>30</v>
      </c>
      <c r="D348" s="2" t="s">
        <v>31</v>
      </c>
      <c r="E348" s="2" t="s">
        <v>36</v>
      </c>
      <c r="F348" s="3">
        <v>32550</v>
      </c>
      <c r="G348" s="3">
        <v>4950</v>
      </c>
    </row>
    <row r="349" spans="1:7" x14ac:dyDescent="0.2">
      <c r="A349" s="2" t="s">
        <v>36</v>
      </c>
      <c r="B349" s="2" t="s">
        <v>917</v>
      </c>
      <c r="C349" s="2" t="s">
        <v>30</v>
      </c>
      <c r="D349" s="2" t="s">
        <v>31</v>
      </c>
      <c r="E349" s="2" t="s">
        <v>36</v>
      </c>
      <c r="F349" s="3">
        <v>27500</v>
      </c>
      <c r="G349" s="3">
        <v>27325</v>
      </c>
    </row>
    <row r="350" spans="1:7" x14ac:dyDescent="0.2">
      <c r="A350" s="2" t="s">
        <v>36</v>
      </c>
      <c r="B350" s="2" t="s">
        <v>918</v>
      </c>
      <c r="C350" s="2" t="s">
        <v>30</v>
      </c>
      <c r="D350" s="2" t="s">
        <v>31</v>
      </c>
      <c r="E350" s="2" t="s">
        <v>36</v>
      </c>
      <c r="F350" s="3">
        <v>28875</v>
      </c>
      <c r="G350" s="3">
        <v>27500</v>
      </c>
    </row>
    <row r="351" spans="1:7" x14ac:dyDescent="0.2">
      <c r="A351" s="2" t="s">
        <v>36</v>
      </c>
      <c r="B351" s="2" t="s">
        <v>919</v>
      </c>
      <c r="C351" s="2" t="s">
        <v>30</v>
      </c>
      <c r="D351" s="2" t="s">
        <v>31</v>
      </c>
      <c r="E351" s="2" t="s">
        <v>36</v>
      </c>
      <c r="F351" s="3">
        <v>16800</v>
      </c>
      <c r="G351" s="3"/>
    </row>
    <row r="352" spans="1:7" x14ac:dyDescent="0.2">
      <c r="A352" s="2" t="s">
        <v>36</v>
      </c>
      <c r="B352" s="2" t="s">
        <v>920</v>
      </c>
      <c r="C352" s="2" t="s">
        <v>30</v>
      </c>
      <c r="D352" s="2" t="s">
        <v>31</v>
      </c>
      <c r="E352" s="2" t="s">
        <v>36</v>
      </c>
      <c r="F352" s="3">
        <v>4125</v>
      </c>
      <c r="G352" s="3"/>
    </row>
    <row r="353" spans="1:7" x14ac:dyDescent="0.2">
      <c r="A353" s="2" t="s">
        <v>36</v>
      </c>
      <c r="B353" s="2" t="s">
        <v>207</v>
      </c>
      <c r="C353" s="2" t="s">
        <v>30</v>
      </c>
      <c r="D353" s="2" t="s">
        <v>31</v>
      </c>
      <c r="E353" s="2" t="s">
        <v>36</v>
      </c>
      <c r="F353" s="3"/>
      <c r="G353" s="3"/>
    </row>
    <row r="354" spans="1:7" x14ac:dyDescent="0.2">
      <c r="A354" s="2" t="s">
        <v>36</v>
      </c>
      <c r="B354" s="2" t="s">
        <v>211</v>
      </c>
      <c r="C354" s="2" t="s">
        <v>30</v>
      </c>
      <c r="D354" s="2" t="s">
        <v>31</v>
      </c>
      <c r="E354" s="2" t="s">
        <v>36</v>
      </c>
      <c r="F354" s="3"/>
      <c r="G354" s="3"/>
    </row>
    <row r="355" spans="1:7" x14ac:dyDescent="0.2">
      <c r="A355" s="2" t="s">
        <v>36</v>
      </c>
      <c r="B355" s="2" t="s">
        <v>212</v>
      </c>
      <c r="C355" s="2" t="s">
        <v>30</v>
      </c>
      <c r="D355" s="2" t="s">
        <v>31</v>
      </c>
      <c r="E355" s="2" t="s">
        <v>36</v>
      </c>
      <c r="F355" s="3"/>
      <c r="G355" s="3"/>
    </row>
    <row r="356" spans="1:7" x14ac:dyDescent="0.2">
      <c r="A356" s="2" t="s">
        <v>36</v>
      </c>
      <c r="B356" s="2" t="s">
        <v>89</v>
      </c>
      <c r="C356" s="2" t="s">
        <v>30</v>
      </c>
      <c r="D356" s="2" t="s">
        <v>31</v>
      </c>
      <c r="E356" s="2" t="s">
        <v>36</v>
      </c>
      <c r="F356" s="3"/>
      <c r="G356" s="3"/>
    </row>
    <row r="357" spans="1:7" x14ac:dyDescent="0.2">
      <c r="A357" s="2" t="s">
        <v>36</v>
      </c>
      <c r="B357" s="2" t="s">
        <v>232</v>
      </c>
      <c r="C357" s="2" t="s">
        <v>30</v>
      </c>
      <c r="D357" s="2" t="s">
        <v>31</v>
      </c>
      <c r="E357" s="2" t="s">
        <v>36</v>
      </c>
      <c r="F357" s="3"/>
      <c r="G357" s="3"/>
    </row>
    <row r="358" spans="1:7" x14ac:dyDescent="0.2">
      <c r="A358" s="2" t="s">
        <v>36</v>
      </c>
      <c r="B358" s="2" t="s">
        <v>233</v>
      </c>
      <c r="C358" s="2" t="s">
        <v>30</v>
      </c>
      <c r="D358" s="2" t="s">
        <v>31</v>
      </c>
      <c r="E358" s="2" t="s">
        <v>36</v>
      </c>
      <c r="F358" s="3"/>
      <c r="G358" s="3"/>
    </row>
    <row r="359" spans="1:7" x14ac:dyDescent="0.2">
      <c r="A359" s="2" t="s">
        <v>36</v>
      </c>
      <c r="B359" s="2" t="s">
        <v>234</v>
      </c>
      <c r="C359" s="2" t="s">
        <v>30</v>
      </c>
      <c r="D359" s="2" t="s">
        <v>31</v>
      </c>
      <c r="E359" s="2" t="s">
        <v>36</v>
      </c>
      <c r="F359" s="3"/>
      <c r="G359" s="3"/>
    </row>
    <row r="360" spans="1:7" x14ac:dyDescent="0.2">
      <c r="A360" s="2" t="s">
        <v>36</v>
      </c>
      <c r="B360" s="2" t="s">
        <v>235</v>
      </c>
      <c r="C360" s="2" t="s">
        <v>30</v>
      </c>
      <c r="D360" s="2" t="s">
        <v>31</v>
      </c>
      <c r="E360" s="2" t="s">
        <v>36</v>
      </c>
      <c r="F360" s="3"/>
      <c r="G360" s="3"/>
    </row>
    <row r="361" spans="1:7" x14ac:dyDescent="0.2">
      <c r="A361" s="2" t="s">
        <v>36</v>
      </c>
      <c r="B361" s="2" t="s">
        <v>240</v>
      </c>
      <c r="C361" s="2" t="s">
        <v>30</v>
      </c>
      <c r="D361" s="2" t="s">
        <v>31</v>
      </c>
      <c r="E361" s="2" t="s">
        <v>36</v>
      </c>
      <c r="F361" s="3"/>
      <c r="G361" s="3"/>
    </row>
    <row r="362" spans="1:7" x14ac:dyDescent="0.2">
      <c r="A362" s="2" t="s">
        <v>36</v>
      </c>
      <c r="B362" s="2" t="s">
        <v>241</v>
      </c>
      <c r="C362" s="2" t="s">
        <v>30</v>
      </c>
      <c r="D362" s="2" t="s">
        <v>31</v>
      </c>
      <c r="E362" s="2" t="s">
        <v>36</v>
      </c>
      <c r="F362" s="3"/>
      <c r="G362" s="3"/>
    </row>
    <row r="363" spans="1:7" x14ac:dyDescent="0.2">
      <c r="A363" s="2" t="s">
        <v>36</v>
      </c>
      <c r="B363" s="2" t="s">
        <v>242</v>
      </c>
      <c r="C363" s="2" t="s">
        <v>30</v>
      </c>
      <c r="D363" s="2" t="s">
        <v>31</v>
      </c>
      <c r="E363" s="2" t="s">
        <v>36</v>
      </c>
      <c r="F363" s="3"/>
      <c r="G363" s="3"/>
    </row>
    <row r="364" spans="1:7" x14ac:dyDescent="0.2">
      <c r="A364" s="2" t="s">
        <v>36</v>
      </c>
      <c r="B364" s="2" t="s">
        <v>259</v>
      </c>
      <c r="C364" s="2" t="s">
        <v>30</v>
      </c>
      <c r="D364" s="2" t="s">
        <v>31</v>
      </c>
      <c r="E364" s="2" t="s">
        <v>36</v>
      </c>
      <c r="F364" s="3"/>
      <c r="G364" s="3"/>
    </row>
    <row r="365" spans="1:7" x14ac:dyDescent="0.2">
      <c r="A365" s="2" t="s">
        <v>36</v>
      </c>
      <c r="B365" s="2" t="s">
        <v>260</v>
      </c>
      <c r="C365" s="2" t="s">
        <v>30</v>
      </c>
      <c r="D365" s="2" t="s">
        <v>31</v>
      </c>
      <c r="E365" s="2" t="s">
        <v>36</v>
      </c>
      <c r="F365" s="3"/>
      <c r="G365" s="3"/>
    </row>
    <row r="366" spans="1:7" x14ac:dyDescent="0.2">
      <c r="A366" s="2" t="s">
        <v>36</v>
      </c>
      <c r="B366" s="2" t="s">
        <v>261</v>
      </c>
      <c r="C366" s="2" t="s">
        <v>30</v>
      </c>
      <c r="D366" s="2" t="s">
        <v>31</v>
      </c>
      <c r="E366" s="2" t="s">
        <v>36</v>
      </c>
      <c r="F366" s="3"/>
      <c r="G366" s="3"/>
    </row>
    <row r="367" spans="1:7" x14ac:dyDescent="0.2">
      <c r="A367" s="2" t="s">
        <v>36</v>
      </c>
      <c r="B367" s="2" t="s">
        <v>266</v>
      </c>
      <c r="C367" s="2" t="s">
        <v>30</v>
      </c>
      <c r="D367" s="2" t="s">
        <v>31</v>
      </c>
      <c r="E367" s="2" t="s">
        <v>36</v>
      </c>
      <c r="F367" s="3"/>
      <c r="G367" s="3"/>
    </row>
    <row r="368" spans="1:7" x14ac:dyDescent="0.2">
      <c r="A368" s="2" t="s">
        <v>36</v>
      </c>
      <c r="B368" s="2" t="s">
        <v>267</v>
      </c>
      <c r="C368" s="2" t="s">
        <v>30</v>
      </c>
      <c r="D368" s="2" t="s">
        <v>31</v>
      </c>
      <c r="E368" s="2" t="s">
        <v>36</v>
      </c>
      <c r="F368" s="3"/>
      <c r="G368" s="3"/>
    </row>
    <row r="369" spans="1:7" x14ac:dyDescent="0.2">
      <c r="A369" s="2" t="s">
        <v>36</v>
      </c>
      <c r="B369" s="2" t="s">
        <v>268</v>
      </c>
      <c r="C369" s="2" t="s">
        <v>30</v>
      </c>
      <c r="D369" s="2" t="s">
        <v>31</v>
      </c>
      <c r="E369" s="2" t="s">
        <v>36</v>
      </c>
      <c r="F369" s="3"/>
      <c r="G369" s="3"/>
    </row>
    <row r="370" spans="1:7" x14ac:dyDescent="0.2">
      <c r="A370" s="2" t="s">
        <v>36</v>
      </c>
      <c r="B370" s="2" t="s">
        <v>269</v>
      </c>
      <c r="C370" s="2" t="s">
        <v>30</v>
      </c>
      <c r="D370" s="2" t="s">
        <v>31</v>
      </c>
      <c r="E370" s="2" t="s">
        <v>36</v>
      </c>
      <c r="F370" s="3"/>
      <c r="G370" s="3"/>
    </row>
    <row r="371" spans="1:7" x14ac:dyDescent="0.2">
      <c r="A371" s="2" t="s">
        <v>36</v>
      </c>
      <c r="B371" s="2" t="s">
        <v>270</v>
      </c>
      <c r="C371" s="2" t="s">
        <v>30</v>
      </c>
      <c r="D371" s="2" t="s">
        <v>31</v>
      </c>
      <c r="E371" s="2" t="s">
        <v>36</v>
      </c>
      <c r="F371" s="3"/>
      <c r="G371" s="3"/>
    </row>
    <row r="372" spans="1:7" x14ac:dyDescent="0.2">
      <c r="A372" s="2" t="s">
        <v>36</v>
      </c>
      <c r="B372" s="2" t="s">
        <v>271</v>
      </c>
      <c r="C372" s="2" t="s">
        <v>30</v>
      </c>
      <c r="D372" s="2" t="s">
        <v>31</v>
      </c>
      <c r="E372" s="2" t="s">
        <v>36</v>
      </c>
      <c r="F372" s="3"/>
      <c r="G372" s="3"/>
    </row>
    <row r="373" spans="1:7" x14ac:dyDescent="0.2">
      <c r="A373" s="2" t="s">
        <v>36</v>
      </c>
      <c r="B373" s="2" t="s">
        <v>272</v>
      </c>
      <c r="C373" s="2" t="s">
        <v>30</v>
      </c>
      <c r="D373" s="2" t="s">
        <v>31</v>
      </c>
      <c r="E373" s="2" t="s">
        <v>36</v>
      </c>
      <c r="F373" s="3"/>
      <c r="G373" s="3"/>
    </row>
    <row r="374" spans="1:7" x14ac:dyDescent="0.2">
      <c r="A374" s="2" t="s">
        <v>36</v>
      </c>
      <c r="B374" s="2" t="s">
        <v>297</v>
      </c>
      <c r="C374" s="2" t="s">
        <v>30</v>
      </c>
      <c r="D374" s="2" t="s">
        <v>31</v>
      </c>
      <c r="E374" s="2" t="s">
        <v>36</v>
      </c>
      <c r="F374" s="3"/>
      <c r="G374" s="3"/>
    </row>
    <row r="375" spans="1:7" x14ac:dyDescent="0.2">
      <c r="A375" s="2" t="s">
        <v>36</v>
      </c>
      <c r="B375" s="2" t="s">
        <v>304</v>
      </c>
      <c r="C375" s="2" t="s">
        <v>30</v>
      </c>
      <c r="D375" s="2" t="s">
        <v>31</v>
      </c>
      <c r="E375" s="2" t="s">
        <v>36</v>
      </c>
      <c r="F375" s="3"/>
      <c r="G375" s="3"/>
    </row>
    <row r="376" spans="1:7" x14ac:dyDescent="0.2">
      <c r="A376" s="2" t="s">
        <v>36</v>
      </c>
      <c r="B376" s="2" t="s">
        <v>306</v>
      </c>
      <c r="C376" s="2" t="s">
        <v>30</v>
      </c>
      <c r="D376" s="2" t="s">
        <v>31</v>
      </c>
      <c r="E376" s="2" t="s">
        <v>36</v>
      </c>
      <c r="F376" s="3"/>
      <c r="G376" s="3"/>
    </row>
    <row r="377" spans="1:7" x14ac:dyDescent="0.2">
      <c r="A377" s="2" t="s">
        <v>36</v>
      </c>
      <c r="B377" s="2" t="s">
        <v>313</v>
      </c>
      <c r="C377" s="2" t="s">
        <v>30</v>
      </c>
      <c r="D377" s="2" t="s">
        <v>31</v>
      </c>
      <c r="E377" s="2" t="s">
        <v>36</v>
      </c>
      <c r="F377" s="3"/>
      <c r="G377" s="3"/>
    </row>
    <row r="378" spans="1:7" x14ac:dyDescent="0.2">
      <c r="A378" s="2" t="s">
        <v>36</v>
      </c>
      <c r="B378" s="2" t="s">
        <v>314</v>
      </c>
      <c r="C378" s="2" t="s">
        <v>30</v>
      </c>
      <c r="D378" s="2" t="s">
        <v>31</v>
      </c>
      <c r="E378" s="2" t="s">
        <v>36</v>
      </c>
      <c r="F378" s="3"/>
      <c r="G378" s="3"/>
    </row>
    <row r="379" spans="1:7" x14ac:dyDescent="0.2">
      <c r="A379" s="2" t="s">
        <v>36</v>
      </c>
      <c r="B379" s="2" t="s">
        <v>880</v>
      </c>
      <c r="C379" s="2" t="s">
        <v>30</v>
      </c>
      <c r="D379" s="2" t="s">
        <v>31</v>
      </c>
      <c r="E379" s="2" t="s">
        <v>36</v>
      </c>
      <c r="F379" s="3">
        <v>194150</v>
      </c>
      <c r="G379" s="3"/>
    </row>
    <row r="380" spans="1:7" x14ac:dyDescent="0.2">
      <c r="A380" s="2" t="s">
        <v>36</v>
      </c>
      <c r="B380" s="2" t="s">
        <v>879</v>
      </c>
      <c r="C380" s="2" t="s">
        <v>30</v>
      </c>
      <c r="D380" s="2" t="s">
        <v>31</v>
      </c>
      <c r="E380" s="2" t="s">
        <v>36</v>
      </c>
      <c r="F380" s="3"/>
      <c r="G380" s="3"/>
    </row>
    <row r="381" spans="1:7" x14ac:dyDescent="0.2">
      <c r="A381" s="2" t="s">
        <v>36</v>
      </c>
      <c r="B381" s="2" t="s">
        <v>334</v>
      </c>
      <c r="C381" s="2" t="s">
        <v>30</v>
      </c>
      <c r="D381" s="2" t="s">
        <v>31</v>
      </c>
      <c r="E381" s="2" t="s">
        <v>36</v>
      </c>
      <c r="F381" s="3"/>
      <c r="G381" s="3"/>
    </row>
    <row r="382" spans="1:7" x14ac:dyDescent="0.2">
      <c r="A382" s="2" t="s">
        <v>36</v>
      </c>
      <c r="B382" s="2" t="s">
        <v>877</v>
      </c>
      <c r="C382" s="2" t="s">
        <v>30</v>
      </c>
      <c r="D382" s="2" t="s">
        <v>31</v>
      </c>
      <c r="E382" s="2" t="s">
        <v>36</v>
      </c>
      <c r="F382" s="3"/>
      <c r="G382" s="3"/>
    </row>
    <row r="383" spans="1:7" x14ac:dyDescent="0.2">
      <c r="A383" s="2" t="s">
        <v>36</v>
      </c>
      <c r="B383" s="2" t="s">
        <v>339</v>
      </c>
      <c r="C383" s="2" t="s">
        <v>30</v>
      </c>
      <c r="D383" s="2" t="s">
        <v>31</v>
      </c>
      <c r="E383" s="2" t="s">
        <v>36</v>
      </c>
      <c r="F383" s="3"/>
      <c r="G383" s="3">
        <v>20625</v>
      </c>
    </row>
    <row r="384" spans="1:7" x14ac:dyDescent="0.2">
      <c r="A384" s="2" t="s">
        <v>36</v>
      </c>
      <c r="B384" s="2" t="s">
        <v>878</v>
      </c>
      <c r="C384" s="2" t="s">
        <v>30</v>
      </c>
      <c r="D384" s="2" t="s">
        <v>31</v>
      </c>
      <c r="E384" s="2" t="s">
        <v>36</v>
      </c>
      <c r="F384" s="3"/>
      <c r="G384" s="3"/>
    </row>
    <row r="385" spans="1:7" x14ac:dyDescent="0.2">
      <c r="A385" s="2" t="s">
        <v>36</v>
      </c>
      <c r="B385" s="2" t="s">
        <v>340</v>
      </c>
      <c r="C385" s="2" t="s">
        <v>30</v>
      </c>
      <c r="D385" s="2" t="s">
        <v>31</v>
      </c>
      <c r="E385" s="2" t="s">
        <v>36</v>
      </c>
      <c r="F385" s="3"/>
      <c r="G385" s="3"/>
    </row>
    <row r="386" spans="1:7" x14ac:dyDescent="0.2">
      <c r="A386" s="2" t="s">
        <v>36</v>
      </c>
      <c r="B386" s="2" t="s">
        <v>341</v>
      </c>
      <c r="C386" s="2" t="s">
        <v>30</v>
      </c>
      <c r="D386" s="2" t="s">
        <v>31</v>
      </c>
      <c r="E386" s="2" t="s">
        <v>36</v>
      </c>
      <c r="F386" s="3"/>
      <c r="G386" s="3"/>
    </row>
    <row r="387" spans="1:7" x14ac:dyDescent="0.2">
      <c r="A387" s="2" t="s">
        <v>36</v>
      </c>
      <c r="B387" s="2" t="s">
        <v>342</v>
      </c>
      <c r="C387" s="2" t="s">
        <v>30</v>
      </c>
      <c r="D387" s="2" t="s">
        <v>31</v>
      </c>
      <c r="E387" s="2" t="s">
        <v>36</v>
      </c>
      <c r="F387" s="3"/>
      <c r="G387" s="3"/>
    </row>
    <row r="388" spans="1:7" x14ac:dyDescent="0.2">
      <c r="A388" s="2" t="s">
        <v>36</v>
      </c>
      <c r="B388" s="2" t="s">
        <v>343</v>
      </c>
      <c r="C388" s="2" t="s">
        <v>30</v>
      </c>
      <c r="D388" s="2" t="s">
        <v>31</v>
      </c>
      <c r="E388" s="2" t="s">
        <v>36</v>
      </c>
      <c r="F388" s="3"/>
      <c r="G388" s="3"/>
    </row>
    <row r="389" spans="1:7" x14ac:dyDescent="0.2">
      <c r="A389" s="2" t="s">
        <v>36</v>
      </c>
      <c r="B389" s="2" t="s">
        <v>359</v>
      </c>
      <c r="C389" s="2" t="s">
        <v>30</v>
      </c>
      <c r="D389" s="2" t="s">
        <v>31</v>
      </c>
      <c r="E389" s="2" t="s">
        <v>36</v>
      </c>
      <c r="F389" s="3"/>
      <c r="G389" s="3"/>
    </row>
    <row r="390" spans="1:7" x14ac:dyDescent="0.2">
      <c r="A390" s="2" t="s">
        <v>36</v>
      </c>
      <c r="B390" s="2" t="s">
        <v>360</v>
      </c>
      <c r="C390" s="2" t="s">
        <v>30</v>
      </c>
      <c r="D390" s="2" t="s">
        <v>31</v>
      </c>
      <c r="E390" s="2" t="s">
        <v>36</v>
      </c>
      <c r="F390" s="3"/>
      <c r="G390" s="3"/>
    </row>
    <row r="391" spans="1:7" x14ac:dyDescent="0.2">
      <c r="A391" s="2" t="s">
        <v>36</v>
      </c>
      <c r="B391" s="2" t="s">
        <v>365</v>
      </c>
      <c r="C391" s="2" t="s">
        <v>30</v>
      </c>
      <c r="D391" s="2" t="s">
        <v>31</v>
      </c>
      <c r="E391" s="2" t="s">
        <v>36</v>
      </c>
      <c r="F391" s="3"/>
      <c r="G391" s="3"/>
    </row>
    <row r="392" spans="1:7" x14ac:dyDescent="0.2">
      <c r="A392" s="2" t="s">
        <v>36</v>
      </c>
      <c r="B392" s="2" t="s">
        <v>366</v>
      </c>
      <c r="C392" s="2" t="s">
        <v>30</v>
      </c>
      <c r="D392" s="2" t="s">
        <v>31</v>
      </c>
      <c r="E392" s="2" t="s">
        <v>36</v>
      </c>
      <c r="F392" s="3"/>
      <c r="G392" s="3">
        <v>3750</v>
      </c>
    </row>
    <row r="393" spans="1:7" x14ac:dyDescent="0.2">
      <c r="A393" s="2" t="s">
        <v>36</v>
      </c>
      <c r="B393" s="2" t="s">
        <v>367</v>
      </c>
      <c r="C393" s="2" t="s">
        <v>30</v>
      </c>
      <c r="D393" s="2" t="s">
        <v>31</v>
      </c>
      <c r="E393" s="2" t="s">
        <v>36</v>
      </c>
      <c r="F393" s="3"/>
      <c r="G393" s="3"/>
    </row>
    <row r="394" spans="1:7" x14ac:dyDescent="0.2">
      <c r="A394" s="2" t="s">
        <v>36</v>
      </c>
      <c r="B394" s="2" t="s">
        <v>46</v>
      </c>
      <c r="C394" s="2" t="s">
        <v>30</v>
      </c>
      <c r="D394" s="2" t="s">
        <v>31</v>
      </c>
      <c r="E394" s="2" t="s">
        <v>36</v>
      </c>
      <c r="F394" s="3"/>
      <c r="G394" s="3"/>
    </row>
    <row r="395" spans="1:7" x14ac:dyDescent="0.2">
      <c r="A395" s="2" t="s">
        <v>36</v>
      </c>
      <c r="B395" s="2" t="s">
        <v>371</v>
      </c>
      <c r="C395" s="2" t="s">
        <v>30</v>
      </c>
      <c r="D395" s="2" t="s">
        <v>31</v>
      </c>
      <c r="E395" s="2" t="s">
        <v>36</v>
      </c>
      <c r="F395" s="3"/>
      <c r="G395" s="3"/>
    </row>
    <row r="396" spans="1:7" x14ac:dyDescent="0.2">
      <c r="A396" s="2" t="s">
        <v>36</v>
      </c>
      <c r="B396" s="2" t="s">
        <v>372</v>
      </c>
      <c r="C396" s="2" t="s">
        <v>30</v>
      </c>
      <c r="D396" s="2" t="s">
        <v>31</v>
      </c>
      <c r="E396" s="2" t="s">
        <v>36</v>
      </c>
      <c r="F396" s="3"/>
      <c r="G396" s="3"/>
    </row>
    <row r="397" spans="1:7" x14ac:dyDescent="0.2">
      <c r="A397" s="2" t="s">
        <v>36</v>
      </c>
      <c r="B397" s="2" t="s">
        <v>373</v>
      </c>
      <c r="C397" s="2" t="s">
        <v>30</v>
      </c>
      <c r="D397" s="2" t="s">
        <v>31</v>
      </c>
      <c r="E397" s="2" t="s">
        <v>36</v>
      </c>
      <c r="F397" s="3"/>
      <c r="G397" s="3"/>
    </row>
    <row r="398" spans="1:7" x14ac:dyDescent="0.2">
      <c r="A398" s="2" t="s">
        <v>36</v>
      </c>
      <c r="B398" s="2" t="s">
        <v>374</v>
      </c>
      <c r="C398" s="2" t="s">
        <v>30</v>
      </c>
      <c r="D398" s="2" t="s">
        <v>31</v>
      </c>
      <c r="E398" s="2" t="s">
        <v>36</v>
      </c>
      <c r="F398" s="3"/>
      <c r="G398" s="3"/>
    </row>
    <row r="399" spans="1:7" x14ac:dyDescent="0.2">
      <c r="A399" s="2" t="s">
        <v>36</v>
      </c>
      <c r="B399" s="2" t="s">
        <v>375</v>
      </c>
      <c r="C399" s="2" t="s">
        <v>30</v>
      </c>
      <c r="D399" s="2" t="s">
        <v>31</v>
      </c>
      <c r="E399" s="2" t="s">
        <v>36</v>
      </c>
      <c r="F399" s="3"/>
      <c r="G399" s="3"/>
    </row>
    <row r="400" spans="1:7" x14ac:dyDescent="0.2">
      <c r="A400" s="2" t="s">
        <v>36</v>
      </c>
      <c r="B400" s="2" t="s">
        <v>376</v>
      </c>
      <c r="C400" s="2" t="s">
        <v>30</v>
      </c>
      <c r="D400" s="2" t="s">
        <v>31</v>
      </c>
      <c r="E400" s="2" t="s">
        <v>36</v>
      </c>
      <c r="F400" s="3"/>
      <c r="G400" s="3"/>
    </row>
    <row r="401" spans="1:7" x14ac:dyDescent="0.2">
      <c r="A401" s="2" t="s">
        <v>36</v>
      </c>
      <c r="B401" s="2" t="s">
        <v>398</v>
      </c>
      <c r="C401" s="2" t="s">
        <v>30</v>
      </c>
      <c r="D401" s="2" t="s">
        <v>31</v>
      </c>
      <c r="E401" s="2" t="s">
        <v>36</v>
      </c>
      <c r="F401" s="3"/>
      <c r="G401" s="3"/>
    </row>
    <row r="402" spans="1:7" x14ac:dyDescent="0.2">
      <c r="A402" s="2" t="s">
        <v>36</v>
      </c>
      <c r="B402" s="2" t="s">
        <v>405</v>
      </c>
      <c r="C402" s="2" t="s">
        <v>30</v>
      </c>
      <c r="D402" s="2" t="s">
        <v>31</v>
      </c>
      <c r="E402" s="2" t="s">
        <v>36</v>
      </c>
      <c r="F402" s="3"/>
      <c r="G402" s="3"/>
    </row>
    <row r="403" spans="1:7" x14ac:dyDescent="0.2">
      <c r="A403" s="2" t="s">
        <v>36</v>
      </c>
      <c r="B403" s="2" t="s">
        <v>408</v>
      </c>
      <c r="C403" s="2" t="s">
        <v>30</v>
      </c>
      <c r="D403" s="2" t="s">
        <v>31</v>
      </c>
      <c r="E403" s="2" t="s">
        <v>36</v>
      </c>
      <c r="F403" s="3">
        <v>63250</v>
      </c>
      <c r="G403" s="3"/>
    </row>
    <row r="404" spans="1:7" x14ac:dyDescent="0.2">
      <c r="A404" s="2" t="s">
        <v>36</v>
      </c>
      <c r="B404" s="2" t="s">
        <v>939</v>
      </c>
      <c r="C404" s="2" t="s">
        <v>30</v>
      </c>
      <c r="D404" s="2" t="s">
        <v>31</v>
      </c>
      <c r="E404" s="2" t="s">
        <v>36</v>
      </c>
      <c r="F404" s="3"/>
      <c r="G404" s="3">
        <v>49500</v>
      </c>
    </row>
    <row r="405" spans="1:7" x14ac:dyDescent="0.2">
      <c r="A405" s="2" t="s">
        <v>36</v>
      </c>
      <c r="B405" s="2" t="s">
        <v>411</v>
      </c>
      <c r="C405" s="2" t="s">
        <v>30</v>
      </c>
      <c r="D405" s="2" t="s">
        <v>31</v>
      </c>
      <c r="E405" s="2" t="s">
        <v>36</v>
      </c>
      <c r="F405" s="3"/>
      <c r="G405" s="3"/>
    </row>
    <row r="406" spans="1:7" x14ac:dyDescent="0.2">
      <c r="A406" s="2" t="s">
        <v>36</v>
      </c>
      <c r="B406" s="2" t="s">
        <v>938</v>
      </c>
      <c r="C406" s="2" t="s">
        <v>30</v>
      </c>
      <c r="D406" s="2" t="s">
        <v>31</v>
      </c>
      <c r="E406" s="2" t="s">
        <v>36</v>
      </c>
      <c r="F406" s="3"/>
      <c r="G406" s="3">
        <v>21596.5</v>
      </c>
    </row>
    <row r="407" spans="1:7" x14ac:dyDescent="0.2">
      <c r="A407" s="2" t="s">
        <v>36</v>
      </c>
      <c r="B407" s="2" t="s">
        <v>414</v>
      </c>
      <c r="C407" s="2" t="s">
        <v>30</v>
      </c>
      <c r="D407" s="2" t="s">
        <v>31</v>
      </c>
      <c r="E407" s="2" t="s">
        <v>36</v>
      </c>
      <c r="F407" s="3">
        <v>10000</v>
      </c>
      <c r="G407" s="3"/>
    </row>
    <row r="408" spans="1:7" x14ac:dyDescent="0.2">
      <c r="A408" s="2" t="s">
        <v>36</v>
      </c>
      <c r="B408" s="2" t="s">
        <v>415</v>
      </c>
      <c r="C408" s="2" t="s">
        <v>30</v>
      </c>
      <c r="D408" s="2" t="s">
        <v>31</v>
      </c>
      <c r="E408" s="2" t="s">
        <v>36</v>
      </c>
      <c r="F408" s="3"/>
      <c r="G408" s="3"/>
    </row>
    <row r="409" spans="1:7" x14ac:dyDescent="0.2">
      <c r="A409" s="2" t="s">
        <v>36</v>
      </c>
      <c r="B409" s="2" t="s">
        <v>416</v>
      </c>
      <c r="C409" s="2" t="s">
        <v>30</v>
      </c>
      <c r="D409" s="2" t="s">
        <v>31</v>
      </c>
      <c r="E409" s="2" t="s">
        <v>36</v>
      </c>
      <c r="F409" s="3">
        <v>8465.6299999999992</v>
      </c>
      <c r="G409" s="3">
        <v>26187.03</v>
      </c>
    </row>
    <row r="410" spans="1:7" x14ac:dyDescent="0.2">
      <c r="A410" s="2" t="s">
        <v>36</v>
      </c>
      <c r="B410" s="2" t="s">
        <v>435</v>
      </c>
      <c r="C410" s="2" t="s">
        <v>30</v>
      </c>
      <c r="D410" s="2" t="s">
        <v>31</v>
      </c>
      <c r="E410" s="2" t="s">
        <v>36</v>
      </c>
      <c r="F410" s="3"/>
      <c r="G410" s="3"/>
    </row>
    <row r="411" spans="1:7" x14ac:dyDescent="0.2">
      <c r="A411" s="2" t="s">
        <v>36</v>
      </c>
      <c r="B411" s="2" t="s">
        <v>436</v>
      </c>
      <c r="C411" s="2" t="s">
        <v>30</v>
      </c>
      <c r="D411" s="2" t="s">
        <v>31</v>
      </c>
      <c r="E411" s="2" t="s">
        <v>36</v>
      </c>
      <c r="F411" s="3"/>
      <c r="G411" s="3"/>
    </row>
    <row r="412" spans="1:7" x14ac:dyDescent="0.2">
      <c r="A412" s="2" t="s">
        <v>36</v>
      </c>
      <c r="B412" s="2" t="s">
        <v>443</v>
      </c>
      <c r="C412" s="2" t="s">
        <v>30</v>
      </c>
      <c r="D412" s="2" t="s">
        <v>31</v>
      </c>
      <c r="E412" s="2" t="s">
        <v>36</v>
      </c>
      <c r="F412" s="3"/>
      <c r="G412" s="3"/>
    </row>
    <row r="413" spans="1:7" x14ac:dyDescent="0.2">
      <c r="A413" s="2" t="s">
        <v>36</v>
      </c>
      <c r="B413" s="2" t="s">
        <v>444</v>
      </c>
      <c r="C413" s="2" t="s">
        <v>30</v>
      </c>
      <c r="D413" s="2" t="s">
        <v>31</v>
      </c>
      <c r="E413" s="2" t="s">
        <v>36</v>
      </c>
      <c r="F413" s="3"/>
      <c r="G413" s="3"/>
    </row>
    <row r="414" spans="1:7" x14ac:dyDescent="0.2">
      <c r="A414" s="2" t="s">
        <v>36</v>
      </c>
      <c r="B414" s="2" t="s">
        <v>445</v>
      </c>
      <c r="C414" s="2" t="s">
        <v>30</v>
      </c>
      <c r="D414" s="2" t="s">
        <v>31</v>
      </c>
      <c r="E414" s="2" t="s">
        <v>36</v>
      </c>
      <c r="F414" s="3"/>
      <c r="G414" s="3"/>
    </row>
    <row r="415" spans="1:7" x14ac:dyDescent="0.2">
      <c r="A415" s="2" t="s">
        <v>36</v>
      </c>
      <c r="B415" s="2" t="s">
        <v>446</v>
      </c>
      <c r="C415" s="2" t="s">
        <v>30</v>
      </c>
      <c r="D415" s="2" t="s">
        <v>31</v>
      </c>
      <c r="E415" s="2" t="s">
        <v>36</v>
      </c>
      <c r="F415" s="3"/>
      <c r="G415" s="3"/>
    </row>
    <row r="416" spans="1:7" x14ac:dyDescent="0.2">
      <c r="A416" s="2" t="s">
        <v>36</v>
      </c>
      <c r="B416" s="2" t="s">
        <v>794</v>
      </c>
      <c r="C416" s="2" t="s">
        <v>30</v>
      </c>
      <c r="D416" s="2" t="s">
        <v>31</v>
      </c>
      <c r="E416" s="2" t="s">
        <v>36</v>
      </c>
      <c r="F416" s="3"/>
      <c r="G416" s="3"/>
    </row>
    <row r="417" spans="1:7" x14ac:dyDescent="0.2">
      <c r="A417" s="2" t="s">
        <v>36</v>
      </c>
      <c r="B417" s="2" t="s">
        <v>883</v>
      </c>
      <c r="C417" s="2" t="s">
        <v>30</v>
      </c>
      <c r="D417" s="2" t="s">
        <v>31</v>
      </c>
      <c r="E417" s="2" t="s">
        <v>36</v>
      </c>
      <c r="F417" s="3"/>
      <c r="G417" s="3"/>
    </row>
    <row r="418" spans="1:7" x14ac:dyDescent="0.2">
      <c r="A418" s="2" t="s">
        <v>36</v>
      </c>
      <c r="B418" s="2" t="s">
        <v>464</v>
      </c>
      <c r="C418" s="2" t="s">
        <v>30</v>
      </c>
      <c r="D418" s="2" t="s">
        <v>31</v>
      </c>
      <c r="E418" s="2" t="s">
        <v>36</v>
      </c>
      <c r="F418" s="3"/>
      <c r="G418" s="3"/>
    </row>
    <row r="419" spans="1:7" x14ac:dyDescent="0.2">
      <c r="A419" s="2" t="s">
        <v>36</v>
      </c>
      <c r="B419" s="2" t="s">
        <v>468</v>
      </c>
      <c r="C419" s="2" t="s">
        <v>30</v>
      </c>
      <c r="D419" s="2" t="s">
        <v>31</v>
      </c>
      <c r="E419" s="2" t="s">
        <v>36</v>
      </c>
      <c r="F419" s="3"/>
      <c r="G419" s="3"/>
    </row>
    <row r="420" spans="1:7" x14ac:dyDescent="0.2">
      <c r="A420" s="2" t="s">
        <v>36</v>
      </c>
      <c r="B420" s="2" t="s">
        <v>884</v>
      </c>
      <c r="C420" s="2" t="s">
        <v>30</v>
      </c>
      <c r="D420" s="2" t="s">
        <v>31</v>
      </c>
      <c r="E420" s="2" t="s">
        <v>36</v>
      </c>
      <c r="F420" s="3"/>
      <c r="G420" s="3"/>
    </row>
    <row r="421" spans="1:7" x14ac:dyDescent="0.2">
      <c r="A421" s="2" t="s">
        <v>36</v>
      </c>
      <c r="B421" s="2" t="s">
        <v>470</v>
      </c>
      <c r="C421" s="2" t="s">
        <v>30</v>
      </c>
      <c r="D421" s="2" t="s">
        <v>31</v>
      </c>
      <c r="E421" s="2" t="s">
        <v>36</v>
      </c>
      <c r="F421" s="3"/>
      <c r="G421" s="3"/>
    </row>
    <row r="422" spans="1:7" x14ac:dyDescent="0.2">
      <c r="A422" s="2" t="s">
        <v>36</v>
      </c>
      <c r="B422" s="2" t="s">
        <v>472</v>
      </c>
      <c r="C422" s="2" t="s">
        <v>30</v>
      </c>
      <c r="D422" s="2" t="s">
        <v>31</v>
      </c>
      <c r="E422" s="2" t="s">
        <v>36</v>
      </c>
      <c r="F422" s="3"/>
      <c r="G422" s="3"/>
    </row>
    <row r="423" spans="1:7" x14ac:dyDescent="0.2">
      <c r="A423" s="2" t="s">
        <v>36</v>
      </c>
      <c r="B423" s="2" t="s">
        <v>473</v>
      </c>
      <c r="C423" s="2" t="s">
        <v>30</v>
      </c>
      <c r="D423" s="2" t="s">
        <v>31</v>
      </c>
      <c r="E423" s="2" t="s">
        <v>36</v>
      </c>
      <c r="F423" s="3"/>
      <c r="G423" s="3"/>
    </row>
    <row r="424" spans="1:7" x14ac:dyDescent="0.2">
      <c r="A424" s="2" t="s">
        <v>36</v>
      </c>
      <c r="B424" s="2" t="s">
        <v>474</v>
      </c>
      <c r="C424" s="2" t="s">
        <v>30</v>
      </c>
      <c r="D424" s="2" t="s">
        <v>31</v>
      </c>
      <c r="E424" s="2" t="s">
        <v>36</v>
      </c>
      <c r="F424" s="3"/>
      <c r="G424" s="3"/>
    </row>
    <row r="425" spans="1:7" x14ac:dyDescent="0.2">
      <c r="A425" s="2" t="s">
        <v>36</v>
      </c>
      <c r="B425" s="2" t="s">
        <v>475</v>
      </c>
      <c r="C425" s="2" t="s">
        <v>30</v>
      </c>
      <c r="D425" s="2" t="s">
        <v>31</v>
      </c>
      <c r="E425" s="2" t="s">
        <v>36</v>
      </c>
      <c r="F425" s="3"/>
      <c r="G425" s="3"/>
    </row>
    <row r="426" spans="1:7" x14ac:dyDescent="0.2">
      <c r="A426" s="2" t="s">
        <v>36</v>
      </c>
      <c r="B426" s="2" t="s">
        <v>476</v>
      </c>
      <c r="C426" s="2" t="s">
        <v>30</v>
      </c>
      <c r="D426" s="2" t="s">
        <v>31</v>
      </c>
      <c r="E426" s="2" t="s">
        <v>36</v>
      </c>
      <c r="F426" s="3"/>
      <c r="G426" s="3"/>
    </row>
    <row r="427" spans="1:7" x14ac:dyDescent="0.2">
      <c r="A427" s="2" t="s">
        <v>36</v>
      </c>
      <c r="B427" s="2" t="s">
        <v>477</v>
      </c>
      <c r="C427" s="2" t="s">
        <v>30</v>
      </c>
      <c r="D427" s="2" t="s">
        <v>31</v>
      </c>
      <c r="E427" s="2" t="s">
        <v>36</v>
      </c>
      <c r="F427" s="3"/>
      <c r="G427" s="3"/>
    </row>
    <row r="428" spans="1:7" x14ac:dyDescent="0.2">
      <c r="A428" s="2" t="s">
        <v>36</v>
      </c>
      <c r="B428" s="2" t="s">
        <v>478</v>
      </c>
      <c r="C428" s="2" t="s">
        <v>30</v>
      </c>
      <c r="D428" s="2" t="s">
        <v>31</v>
      </c>
      <c r="E428" s="2" t="s">
        <v>36</v>
      </c>
      <c r="F428" s="3"/>
      <c r="G428" s="3"/>
    </row>
    <row r="429" spans="1:7" x14ac:dyDescent="0.2">
      <c r="A429" s="2" t="s">
        <v>36</v>
      </c>
      <c r="B429" s="2" t="s">
        <v>497</v>
      </c>
      <c r="C429" s="2" t="s">
        <v>30</v>
      </c>
      <c r="D429" s="2" t="s">
        <v>31</v>
      </c>
      <c r="E429" s="2" t="s">
        <v>36</v>
      </c>
      <c r="F429" s="3">
        <v>320775</v>
      </c>
      <c r="G429" s="3"/>
    </row>
    <row r="430" spans="1:7" x14ac:dyDescent="0.2">
      <c r="A430" s="2" t="s">
        <v>36</v>
      </c>
      <c r="B430" s="2" t="s">
        <v>899</v>
      </c>
      <c r="C430" s="2" t="s">
        <v>30</v>
      </c>
      <c r="D430" s="2" t="s">
        <v>31</v>
      </c>
      <c r="E430" s="2" t="s">
        <v>36</v>
      </c>
      <c r="F430" s="3"/>
      <c r="G430" s="3">
        <v>75925</v>
      </c>
    </row>
    <row r="431" spans="1:7" x14ac:dyDescent="0.2">
      <c r="A431" s="2" t="s">
        <v>36</v>
      </c>
      <c r="B431" s="2" t="s">
        <v>499</v>
      </c>
      <c r="C431" s="2" t="s">
        <v>30</v>
      </c>
      <c r="D431" s="2" t="s">
        <v>31</v>
      </c>
      <c r="E431" s="2" t="s">
        <v>36</v>
      </c>
      <c r="F431" s="3"/>
      <c r="G431" s="3"/>
    </row>
    <row r="432" spans="1:7" x14ac:dyDescent="0.2">
      <c r="A432" s="2" t="s">
        <v>523</v>
      </c>
      <c r="B432" s="2" t="s">
        <v>522</v>
      </c>
      <c r="C432" s="2" t="s">
        <v>511</v>
      </c>
      <c r="D432" s="2" t="s">
        <v>502</v>
      </c>
      <c r="E432" s="2" t="s">
        <v>523</v>
      </c>
      <c r="F432" s="3"/>
      <c r="G432" s="3"/>
    </row>
    <row r="433" spans="1:7" x14ac:dyDescent="0.2">
      <c r="A433" s="2" t="s">
        <v>523</v>
      </c>
      <c r="B433" s="2" t="s">
        <v>703</v>
      </c>
      <c r="C433" s="2" t="s">
        <v>511</v>
      </c>
      <c r="D433" s="2" t="s">
        <v>502</v>
      </c>
      <c r="E433" s="2" t="s">
        <v>523</v>
      </c>
      <c r="F433" s="3"/>
      <c r="G433" s="3"/>
    </row>
    <row r="434" spans="1:7" x14ac:dyDescent="0.2">
      <c r="A434" s="2" t="s">
        <v>523</v>
      </c>
      <c r="B434" s="2" t="s">
        <v>711</v>
      </c>
      <c r="C434" s="2" t="s">
        <v>511</v>
      </c>
      <c r="D434" s="2" t="s">
        <v>502</v>
      </c>
      <c r="E434" s="2" t="s">
        <v>523</v>
      </c>
      <c r="F434" s="3">
        <v>158864.5</v>
      </c>
      <c r="G434" s="3">
        <v>136274.5</v>
      </c>
    </row>
    <row r="435" spans="1:7" x14ac:dyDescent="0.2">
      <c r="A435" s="2" t="s">
        <v>780</v>
      </c>
      <c r="B435" s="2" t="s">
        <v>770</v>
      </c>
      <c r="C435" s="2" t="s">
        <v>750</v>
      </c>
      <c r="D435" s="2" t="s">
        <v>744</v>
      </c>
      <c r="E435" s="2" t="s">
        <v>780</v>
      </c>
      <c r="F435" s="3">
        <v>3497.0000000000018</v>
      </c>
      <c r="G435" s="3">
        <v>9261.1899999999969</v>
      </c>
    </row>
    <row r="436" spans="1:7" x14ac:dyDescent="0.2">
      <c r="A436" s="2" t="s">
        <v>523</v>
      </c>
      <c r="B436" s="2" t="s">
        <v>854</v>
      </c>
      <c r="C436" s="2" t="s">
        <v>511</v>
      </c>
      <c r="D436" s="2" t="s">
        <v>502</v>
      </c>
      <c r="E436" s="2" t="s">
        <v>853</v>
      </c>
      <c r="F436" s="3">
        <v>10735</v>
      </c>
      <c r="G436" s="3">
        <v>0</v>
      </c>
    </row>
    <row r="437" spans="1:7" x14ac:dyDescent="0.2">
      <c r="A437" s="2" t="s">
        <v>629</v>
      </c>
      <c r="B437" s="2" t="s">
        <v>629</v>
      </c>
      <c r="C437" s="2" t="s">
        <v>628</v>
      </c>
      <c r="D437" s="2" t="s">
        <v>502</v>
      </c>
      <c r="E437" s="2" t="s">
        <v>629</v>
      </c>
      <c r="F437" s="3">
        <v>114532.67249999987</v>
      </c>
      <c r="G437" s="3">
        <v>104501</v>
      </c>
    </row>
    <row r="438" spans="1:7" x14ac:dyDescent="0.2">
      <c r="A438" s="5" t="s">
        <v>727</v>
      </c>
      <c r="B438" s="5" t="s">
        <v>726</v>
      </c>
      <c r="C438" s="5" t="s">
        <v>628</v>
      </c>
      <c r="D438" s="5" t="s">
        <v>502</v>
      </c>
      <c r="E438" s="5" t="s">
        <v>727</v>
      </c>
      <c r="F438" s="3"/>
      <c r="G438" s="3"/>
    </row>
    <row r="439" spans="1:7" x14ac:dyDescent="0.2">
      <c r="A439" s="2" t="s">
        <v>512</v>
      </c>
      <c r="B439" s="2" t="s">
        <v>536</v>
      </c>
      <c r="C439" s="2" t="s">
        <v>511</v>
      </c>
      <c r="D439" s="2" t="s">
        <v>502</v>
      </c>
      <c r="E439" s="2" t="s">
        <v>512</v>
      </c>
      <c r="F439" s="3"/>
      <c r="G439" s="3"/>
    </row>
    <row r="440" spans="1:7" x14ac:dyDescent="0.2">
      <c r="A440" s="2" t="s">
        <v>512</v>
      </c>
      <c r="B440" s="2" t="s">
        <v>547</v>
      </c>
      <c r="C440" s="2" t="s">
        <v>511</v>
      </c>
      <c r="D440" s="2" t="s">
        <v>502</v>
      </c>
      <c r="E440" s="2" t="s">
        <v>512</v>
      </c>
      <c r="F440" s="3">
        <v>334069.89999999967</v>
      </c>
      <c r="G440" s="3">
        <v>295334.39999999985</v>
      </c>
    </row>
    <row r="441" spans="1:7" x14ac:dyDescent="0.2">
      <c r="A441" s="2" t="s">
        <v>512</v>
      </c>
      <c r="B441" s="2" t="s">
        <v>579</v>
      </c>
      <c r="C441" s="2" t="s">
        <v>511</v>
      </c>
      <c r="D441" s="2" t="s">
        <v>502</v>
      </c>
      <c r="E441" s="2" t="s">
        <v>512</v>
      </c>
      <c r="F441" s="3"/>
      <c r="G441" s="3"/>
    </row>
    <row r="442" spans="1:7" x14ac:dyDescent="0.2">
      <c r="A442" s="2" t="s">
        <v>576</v>
      </c>
      <c r="B442" s="2" t="s">
        <v>574</v>
      </c>
      <c r="C442" s="2" t="s">
        <v>575</v>
      </c>
      <c r="D442" s="2" t="s">
        <v>502</v>
      </c>
      <c r="E442" s="2" t="s">
        <v>576</v>
      </c>
      <c r="F442" s="3"/>
      <c r="G442" s="3"/>
    </row>
    <row r="443" spans="1:7" x14ac:dyDescent="0.2">
      <c r="A443" s="2" t="s">
        <v>576</v>
      </c>
      <c r="B443" s="2" t="s">
        <v>575</v>
      </c>
      <c r="C443" s="2" t="s">
        <v>575</v>
      </c>
      <c r="D443" s="2" t="s">
        <v>502</v>
      </c>
      <c r="E443" s="2" t="s">
        <v>576</v>
      </c>
      <c r="F443" s="3">
        <v>49305</v>
      </c>
      <c r="G443" s="3">
        <v>36488</v>
      </c>
    </row>
    <row r="444" spans="1:7" x14ac:dyDescent="0.2">
      <c r="A444" s="2" t="s">
        <v>576</v>
      </c>
      <c r="B444" s="2" t="s">
        <v>712</v>
      </c>
      <c r="C444" s="2" t="s">
        <v>575</v>
      </c>
      <c r="D444" s="2" t="s">
        <v>502</v>
      </c>
      <c r="E444" s="2" t="s">
        <v>576</v>
      </c>
      <c r="F444" s="3"/>
      <c r="G444" s="3"/>
    </row>
    <row r="445" spans="1:7" x14ac:dyDescent="0.2">
      <c r="A445" s="2" t="s">
        <v>576</v>
      </c>
      <c r="B445" s="2" t="s">
        <v>731</v>
      </c>
      <c r="C445" s="2" t="s">
        <v>575</v>
      </c>
      <c r="D445" s="2" t="s">
        <v>502</v>
      </c>
      <c r="E445" s="2" t="s">
        <v>576</v>
      </c>
      <c r="F445" s="3"/>
      <c r="G445" s="3"/>
    </row>
    <row r="446" spans="1:7" x14ac:dyDescent="0.2">
      <c r="A446" s="2" t="s">
        <v>503</v>
      </c>
      <c r="B446" s="2" t="s">
        <v>500</v>
      </c>
      <c r="C446" s="2" t="s">
        <v>501</v>
      </c>
      <c r="D446" s="2" t="s">
        <v>502</v>
      </c>
      <c r="E446" s="2" t="s">
        <v>503</v>
      </c>
      <c r="F446" s="3"/>
      <c r="G446" s="3"/>
    </row>
    <row r="447" spans="1:7" x14ac:dyDescent="0.2">
      <c r="A447" s="2" t="s">
        <v>503</v>
      </c>
      <c r="B447" s="2" t="s">
        <v>504</v>
      </c>
      <c r="C447" s="2" t="s">
        <v>501</v>
      </c>
      <c r="D447" s="2" t="s">
        <v>502</v>
      </c>
      <c r="E447" s="2" t="s">
        <v>503</v>
      </c>
      <c r="F447" s="3">
        <v>9433.7100000001792</v>
      </c>
      <c r="G447" s="3">
        <f>762.885000000198+9060</f>
        <v>9822.8850000001985</v>
      </c>
    </row>
    <row r="448" spans="1:7" x14ac:dyDescent="0.2">
      <c r="A448" s="2" t="s">
        <v>503</v>
      </c>
      <c r="B448" s="2" t="s">
        <v>870</v>
      </c>
      <c r="C448" s="2" t="s">
        <v>501</v>
      </c>
      <c r="D448" s="2" t="s">
        <v>502</v>
      </c>
      <c r="E448" s="2" t="s">
        <v>503</v>
      </c>
      <c r="F448" s="3"/>
      <c r="G448" s="3"/>
    </row>
    <row r="449" spans="1:7" x14ac:dyDescent="0.2">
      <c r="A449" s="2" t="s">
        <v>503</v>
      </c>
      <c r="B449" s="2" t="s">
        <v>896</v>
      </c>
      <c r="C449" s="2" t="s">
        <v>501</v>
      </c>
      <c r="D449" s="2" t="s">
        <v>502</v>
      </c>
      <c r="E449" s="2" t="s">
        <v>503</v>
      </c>
      <c r="F449" s="3">
        <v>600</v>
      </c>
      <c r="G449" s="3"/>
    </row>
    <row r="450" spans="1:7" x14ac:dyDescent="0.2">
      <c r="A450" s="2" t="s">
        <v>503</v>
      </c>
      <c r="B450" s="2" t="s">
        <v>505</v>
      </c>
      <c r="C450" s="2" t="s">
        <v>501</v>
      </c>
      <c r="D450" s="2" t="s">
        <v>502</v>
      </c>
      <c r="E450" s="2" t="s">
        <v>503</v>
      </c>
      <c r="F450" s="3"/>
      <c r="G450" s="3"/>
    </row>
    <row r="451" spans="1:7" x14ac:dyDescent="0.2">
      <c r="A451" s="2" t="s">
        <v>503</v>
      </c>
      <c r="B451" s="2" t="s">
        <v>506</v>
      </c>
      <c r="C451" s="2" t="s">
        <v>501</v>
      </c>
      <c r="D451" s="2" t="s">
        <v>502</v>
      </c>
      <c r="E451" s="2" t="s">
        <v>503</v>
      </c>
      <c r="F451" s="3"/>
      <c r="G451" s="3"/>
    </row>
    <row r="452" spans="1:7" x14ac:dyDescent="0.2">
      <c r="A452" s="2" t="s">
        <v>503</v>
      </c>
      <c r="B452" s="2" t="s">
        <v>507</v>
      </c>
      <c r="C452" s="2" t="s">
        <v>501</v>
      </c>
      <c r="D452" s="2" t="s">
        <v>502</v>
      </c>
      <c r="E452" s="2" t="s">
        <v>503</v>
      </c>
      <c r="F452" s="3"/>
      <c r="G452" s="3"/>
    </row>
    <row r="453" spans="1:7" x14ac:dyDescent="0.2">
      <c r="A453" s="2" t="s">
        <v>503</v>
      </c>
      <c r="B453" s="2" t="s">
        <v>508</v>
      </c>
      <c r="C453" s="2" t="s">
        <v>501</v>
      </c>
      <c r="D453" s="2" t="s">
        <v>502</v>
      </c>
      <c r="E453" s="2" t="s">
        <v>503</v>
      </c>
      <c r="F453" s="3"/>
      <c r="G453" s="3"/>
    </row>
    <row r="454" spans="1:7" x14ac:dyDescent="0.2">
      <c r="A454" s="2" t="s">
        <v>503</v>
      </c>
      <c r="B454" s="2" t="s">
        <v>509</v>
      </c>
      <c r="C454" s="2" t="s">
        <v>501</v>
      </c>
      <c r="D454" s="2" t="s">
        <v>502</v>
      </c>
      <c r="E454" s="2" t="s">
        <v>503</v>
      </c>
      <c r="F454" s="3"/>
      <c r="G454" s="3"/>
    </row>
    <row r="455" spans="1:7" x14ac:dyDescent="0.2">
      <c r="A455" s="2" t="s">
        <v>503</v>
      </c>
      <c r="B455" s="2" t="s">
        <v>510</v>
      </c>
      <c r="C455" s="2" t="s">
        <v>501</v>
      </c>
      <c r="D455" s="2" t="s">
        <v>502</v>
      </c>
      <c r="E455" s="2" t="s">
        <v>503</v>
      </c>
      <c r="F455" s="3"/>
      <c r="G455" s="3"/>
    </row>
    <row r="456" spans="1:7" x14ac:dyDescent="0.2">
      <c r="A456" s="2" t="s">
        <v>503</v>
      </c>
      <c r="B456" s="2" t="s">
        <v>515</v>
      </c>
      <c r="C456" s="2" t="s">
        <v>501</v>
      </c>
      <c r="D456" s="2" t="s">
        <v>502</v>
      </c>
      <c r="E456" s="2" t="s">
        <v>503</v>
      </c>
      <c r="F456" s="3"/>
      <c r="G456" s="3"/>
    </row>
    <row r="457" spans="1:7" x14ac:dyDescent="0.2">
      <c r="A457" s="2" t="s">
        <v>503</v>
      </c>
      <c r="B457" s="2" t="s">
        <v>516</v>
      </c>
      <c r="C457" s="2" t="s">
        <v>501</v>
      </c>
      <c r="D457" s="2" t="s">
        <v>502</v>
      </c>
      <c r="E457" s="2" t="s">
        <v>503</v>
      </c>
      <c r="F457" s="3"/>
      <c r="G457" s="3"/>
    </row>
    <row r="458" spans="1:7" x14ac:dyDescent="0.2">
      <c r="A458" s="2" t="s">
        <v>503</v>
      </c>
      <c r="B458" s="2" t="s">
        <v>517</v>
      </c>
      <c r="C458" s="2" t="s">
        <v>501</v>
      </c>
      <c r="D458" s="2" t="s">
        <v>502</v>
      </c>
      <c r="E458" s="2" t="s">
        <v>503</v>
      </c>
      <c r="F458" s="3"/>
      <c r="G458" s="3"/>
    </row>
    <row r="459" spans="1:7" x14ac:dyDescent="0.2">
      <c r="A459" s="2" t="s">
        <v>503</v>
      </c>
      <c r="B459" s="2" t="s">
        <v>518</v>
      </c>
      <c r="C459" s="2" t="s">
        <v>501</v>
      </c>
      <c r="D459" s="2" t="s">
        <v>502</v>
      </c>
      <c r="E459" s="2" t="s">
        <v>503</v>
      </c>
      <c r="F459" s="3"/>
      <c r="G459" s="3"/>
    </row>
    <row r="460" spans="1:7" x14ac:dyDescent="0.2">
      <c r="A460" s="2" t="s">
        <v>503</v>
      </c>
      <c r="B460" s="2" t="s">
        <v>519</v>
      </c>
      <c r="C460" s="2" t="s">
        <v>501</v>
      </c>
      <c r="D460" s="2" t="s">
        <v>502</v>
      </c>
      <c r="E460" s="2" t="s">
        <v>503</v>
      </c>
      <c r="F460" s="3"/>
      <c r="G460" s="3"/>
    </row>
    <row r="461" spans="1:7" x14ac:dyDescent="0.2">
      <c r="A461" s="2" t="s">
        <v>503</v>
      </c>
      <c r="B461" s="2" t="s">
        <v>520</v>
      </c>
      <c r="C461" s="2" t="s">
        <v>501</v>
      </c>
      <c r="D461" s="2" t="s">
        <v>502</v>
      </c>
      <c r="E461" s="2" t="s">
        <v>503</v>
      </c>
      <c r="F461" s="3"/>
      <c r="G461" s="3"/>
    </row>
    <row r="462" spans="1:7" x14ac:dyDescent="0.2">
      <c r="A462" s="2" t="s">
        <v>503</v>
      </c>
      <c r="B462" s="2" t="s">
        <v>521</v>
      </c>
      <c r="C462" s="2" t="s">
        <v>501</v>
      </c>
      <c r="D462" s="2" t="s">
        <v>502</v>
      </c>
      <c r="E462" s="2" t="s">
        <v>503</v>
      </c>
      <c r="F462" s="3"/>
      <c r="G462" s="3"/>
    </row>
    <row r="463" spans="1:7" x14ac:dyDescent="0.2">
      <c r="A463" s="2" t="s">
        <v>503</v>
      </c>
      <c r="B463" s="45" t="s">
        <v>842</v>
      </c>
      <c r="C463" s="2" t="s">
        <v>501</v>
      </c>
      <c r="D463" s="2" t="s">
        <v>502</v>
      </c>
      <c r="E463" s="2" t="s">
        <v>503</v>
      </c>
      <c r="F463" s="3"/>
      <c r="G463" s="3"/>
    </row>
    <row r="464" spans="1:7" x14ac:dyDescent="0.2">
      <c r="A464" s="2" t="s">
        <v>503</v>
      </c>
      <c r="B464" s="2" t="s">
        <v>524</v>
      </c>
      <c r="C464" s="2" t="s">
        <v>501</v>
      </c>
      <c r="D464" s="2" t="s">
        <v>502</v>
      </c>
      <c r="E464" s="2" t="s">
        <v>503</v>
      </c>
      <c r="F464" s="3"/>
      <c r="G464" s="3"/>
    </row>
    <row r="465" spans="1:7" x14ac:dyDescent="0.2">
      <c r="A465" s="2" t="s">
        <v>503</v>
      </c>
      <c r="B465" s="2" t="s">
        <v>525</v>
      </c>
      <c r="C465" s="2" t="s">
        <v>501</v>
      </c>
      <c r="D465" s="2" t="s">
        <v>502</v>
      </c>
      <c r="E465" s="2" t="s">
        <v>503</v>
      </c>
      <c r="F465" s="3"/>
      <c r="G465" s="3"/>
    </row>
    <row r="466" spans="1:7" x14ac:dyDescent="0.2">
      <c r="A466" s="2" t="s">
        <v>503</v>
      </c>
      <c r="B466" s="2" t="s">
        <v>526</v>
      </c>
      <c r="C466" s="2" t="s">
        <v>501</v>
      </c>
      <c r="D466" s="2" t="s">
        <v>502</v>
      </c>
      <c r="E466" s="2" t="s">
        <v>503</v>
      </c>
      <c r="F466" s="3"/>
      <c r="G466" s="3"/>
    </row>
    <row r="467" spans="1:7" x14ac:dyDescent="0.2">
      <c r="A467" s="2" t="s">
        <v>503</v>
      </c>
      <c r="B467" s="2" t="s">
        <v>527</v>
      </c>
      <c r="C467" s="2" t="s">
        <v>501</v>
      </c>
      <c r="D467" s="2" t="s">
        <v>502</v>
      </c>
      <c r="E467" s="2" t="s">
        <v>503</v>
      </c>
      <c r="F467" s="3"/>
      <c r="G467" s="3"/>
    </row>
    <row r="468" spans="1:7" x14ac:dyDescent="0.2">
      <c r="A468" s="2" t="s">
        <v>503</v>
      </c>
      <c r="B468" s="2" t="s">
        <v>528</v>
      </c>
      <c r="C468" s="2" t="s">
        <v>501</v>
      </c>
      <c r="D468" s="2" t="s">
        <v>502</v>
      </c>
      <c r="E468" s="2" t="s">
        <v>503</v>
      </c>
      <c r="F468" s="3"/>
      <c r="G468" s="3"/>
    </row>
    <row r="469" spans="1:7" x14ac:dyDescent="0.2">
      <c r="A469" s="2" t="s">
        <v>503</v>
      </c>
      <c r="B469" s="2" t="s">
        <v>529</v>
      </c>
      <c r="C469" s="2" t="s">
        <v>501</v>
      </c>
      <c r="D469" s="2" t="s">
        <v>502</v>
      </c>
      <c r="E469" s="2" t="s">
        <v>503</v>
      </c>
      <c r="F469" s="3"/>
      <c r="G469" s="3"/>
    </row>
    <row r="470" spans="1:7" x14ac:dyDescent="0.2">
      <c r="A470" s="2" t="s">
        <v>503</v>
      </c>
      <c r="B470" s="2" t="s">
        <v>530</v>
      </c>
      <c r="C470" s="2" t="s">
        <v>501</v>
      </c>
      <c r="D470" s="2" t="s">
        <v>502</v>
      </c>
      <c r="E470" s="2" t="s">
        <v>503</v>
      </c>
      <c r="F470" s="3"/>
      <c r="G470" s="3"/>
    </row>
    <row r="471" spans="1:7" x14ac:dyDescent="0.2">
      <c r="A471" s="2" t="s">
        <v>503</v>
      </c>
      <c r="B471" s="2" t="s">
        <v>531</v>
      </c>
      <c r="C471" s="2" t="s">
        <v>501</v>
      </c>
      <c r="D471" s="2" t="s">
        <v>502</v>
      </c>
      <c r="E471" s="2" t="s">
        <v>503</v>
      </c>
      <c r="F471" s="3"/>
      <c r="G471" s="3"/>
    </row>
    <row r="472" spans="1:7" x14ac:dyDescent="0.2">
      <c r="A472" s="2" t="s">
        <v>503</v>
      </c>
      <c r="B472" s="2" t="s">
        <v>532</v>
      </c>
      <c r="C472" s="2" t="s">
        <v>501</v>
      </c>
      <c r="D472" s="2" t="s">
        <v>502</v>
      </c>
      <c r="E472" s="2" t="s">
        <v>503</v>
      </c>
      <c r="F472" s="3"/>
      <c r="G472" s="3"/>
    </row>
    <row r="473" spans="1:7" x14ac:dyDescent="0.2">
      <c r="A473" s="2" t="s">
        <v>503</v>
      </c>
      <c r="B473" s="2" t="s">
        <v>533</v>
      </c>
      <c r="C473" s="2" t="s">
        <v>501</v>
      </c>
      <c r="D473" s="2" t="s">
        <v>502</v>
      </c>
      <c r="E473" s="2" t="s">
        <v>503</v>
      </c>
      <c r="F473" s="3"/>
      <c r="G473" s="3"/>
    </row>
    <row r="474" spans="1:7" x14ac:dyDescent="0.2">
      <c r="A474" s="2" t="s">
        <v>503</v>
      </c>
      <c r="B474" s="2" t="s">
        <v>537</v>
      </c>
      <c r="C474" s="2" t="s">
        <v>501</v>
      </c>
      <c r="D474" s="2" t="s">
        <v>502</v>
      </c>
      <c r="E474" s="2" t="s">
        <v>503</v>
      </c>
      <c r="F474" s="3"/>
      <c r="G474" s="3"/>
    </row>
    <row r="475" spans="1:7" x14ac:dyDescent="0.2">
      <c r="A475" s="2" t="s">
        <v>503</v>
      </c>
      <c r="B475" s="2" t="s">
        <v>538</v>
      </c>
      <c r="C475" s="2" t="s">
        <v>501</v>
      </c>
      <c r="D475" s="2" t="s">
        <v>502</v>
      </c>
      <c r="E475" s="2" t="s">
        <v>503</v>
      </c>
      <c r="F475" s="3"/>
      <c r="G475" s="3"/>
    </row>
    <row r="476" spans="1:7" x14ac:dyDescent="0.2">
      <c r="A476" s="2" t="s">
        <v>503</v>
      </c>
      <c r="B476" s="2" t="s">
        <v>539</v>
      </c>
      <c r="C476" s="2" t="s">
        <v>501</v>
      </c>
      <c r="D476" s="2" t="s">
        <v>502</v>
      </c>
      <c r="E476" s="2" t="s">
        <v>503</v>
      </c>
      <c r="F476" s="3"/>
      <c r="G476" s="3"/>
    </row>
    <row r="477" spans="1:7" x14ac:dyDescent="0.2">
      <c r="A477" s="2" t="s">
        <v>503</v>
      </c>
      <c r="B477" s="2" t="s">
        <v>540</v>
      </c>
      <c r="C477" s="2" t="s">
        <v>501</v>
      </c>
      <c r="D477" s="2" t="s">
        <v>502</v>
      </c>
      <c r="E477" s="2" t="s">
        <v>503</v>
      </c>
      <c r="F477" s="3"/>
      <c r="G477" s="3"/>
    </row>
    <row r="478" spans="1:7" x14ac:dyDescent="0.2">
      <c r="A478" s="2" t="s">
        <v>503</v>
      </c>
      <c r="B478" s="2" t="s">
        <v>541</v>
      </c>
      <c r="C478" s="2" t="s">
        <v>501</v>
      </c>
      <c r="D478" s="2" t="s">
        <v>502</v>
      </c>
      <c r="E478" s="2" t="s">
        <v>503</v>
      </c>
      <c r="F478" s="3"/>
      <c r="G478" s="3"/>
    </row>
    <row r="479" spans="1:7" x14ac:dyDescent="0.2">
      <c r="A479" s="2" t="s">
        <v>503</v>
      </c>
      <c r="B479" s="2" t="s">
        <v>542</v>
      </c>
      <c r="C479" s="2" t="s">
        <v>501</v>
      </c>
      <c r="D479" s="2" t="s">
        <v>502</v>
      </c>
      <c r="E479" s="2" t="s">
        <v>503</v>
      </c>
      <c r="F479" s="3"/>
      <c r="G479" s="3"/>
    </row>
    <row r="480" spans="1:7" x14ac:dyDescent="0.2">
      <c r="A480" s="2" t="s">
        <v>503</v>
      </c>
      <c r="B480" s="2" t="s">
        <v>543</v>
      </c>
      <c r="C480" s="2" t="s">
        <v>501</v>
      </c>
      <c r="D480" s="2" t="s">
        <v>502</v>
      </c>
      <c r="E480" s="2" t="s">
        <v>503</v>
      </c>
      <c r="F480" s="3"/>
      <c r="G480" s="3"/>
    </row>
    <row r="481" spans="1:7" x14ac:dyDescent="0.2">
      <c r="A481" s="2" t="s">
        <v>503</v>
      </c>
      <c r="B481" s="2" t="s">
        <v>546</v>
      </c>
      <c r="C481" s="2" t="s">
        <v>501</v>
      </c>
      <c r="D481" s="2" t="s">
        <v>502</v>
      </c>
      <c r="E481" s="2" t="s">
        <v>503</v>
      </c>
      <c r="F481" s="3"/>
      <c r="G481" s="3"/>
    </row>
    <row r="482" spans="1:7" x14ac:dyDescent="0.2">
      <c r="A482" s="2" t="s">
        <v>503</v>
      </c>
      <c r="B482" s="2" t="s">
        <v>548</v>
      </c>
      <c r="C482" s="2" t="s">
        <v>501</v>
      </c>
      <c r="D482" s="2" t="s">
        <v>502</v>
      </c>
      <c r="E482" s="2" t="s">
        <v>503</v>
      </c>
      <c r="F482" s="3"/>
      <c r="G482" s="3"/>
    </row>
    <row r="483" spans="1:7" x14ac:dyDescent="0.2">
      <c r="A483" s="2" t="s">
        <v>503</v>
      </c>
      <c r="B483" s="2" t="s">
        <v>549</v>
      </c>
      <c r="C483" s="2" t="s">
        <v>501</v>
      </c>
      <c r="D483" s="2" t="s">
        <v>502</v>
      </c>
      <c r="E483" s="2" t="s">
        <v>503</v>
      </c>
      <c r="F483" s="3"/>
      <c r="G483" s="3">
        <v>316</v>
      </c>
    </row>
    <row r="484" spans="1:7" x14ac:dyDescent="0.2">
      <c r="A484" s="2" t="s">
        <v>503</v>
      </c>
      <c r="B484" s="2" t="s">
        <v>550</v>
      </c>
      <c r="C484" s="2" t="s">
        <v>501</v>
      </c>
      <c r="D484" s="2" t="s">
        <v>502</v>
      </c>
      <c r="E484" s="2" t="s">
        <v>503</v>
      </c>
      <c r="F484" s="3"/>
      <c r="G484" s="3"/>
    </row>
    <row r="485" spans="1:7" x14ac:dyDescent="0.2">
      <c r="A485" s="2" t="s">
        <v>503</v>
      </c>
      <c r="B485" s="2" t="s">
        <v>551</v>
      </c>
      <c r="C485" s="2" t="s">
        <v>501</v>
      </c>
      <c r="D485" s="2" t="s">
        <v>502</v>
      </c>
      <c r="E485" s="2" t="s">
        <v>503</v>
      </c>
      <c r="F485" s="3"/>
      <c r="G485" s="3"/>
    </row>
    <row r="486" spans="1:7" x14ac:dyDescent="0.2">
      <c r="A486" s="2" t="s">
        <v>503</v>
      </c>
      <c r="B486" s="2" t="s">
        <v>552</v>
      </c>
      <c r="C486" s="2" t="s">
        <v>501</v>
      </c>
      <c r="D486" s="2" t="s">
        <v>502</v>
      </c>
      <c r="E486" s="2" t="s">
        <v>503</v>
      </c>
      <c r="F486" s="3"/>
      <c r="G486" s="3"/>
    </row>
    <row r="487" spans="1:7" x14ac:dyDescent="0.2">
      <c r="A487" s="2" t="s">
        <v>503</v>
      </c>
      <c r="B487" s="2" t="s">
        <v>553</v>
      </c>
      <c r="C487" s="2" t="s">
        <v>501</v>
      </c>
      <c r="D487" s="2" t="s">
        <v>502</v>
      </c>
      <c r="E487" s="2" t="s">
        <v>503</v>
      </c>
      <c r="F487" s="3"/>
      <c r="G487" s="3"/>
    </row>
    <row r="488" spans="1:7" x14ac:dyDescent="0.2">
      <c r="A488" s="2" t="s">
        <v>503</v>
      </c>
      <c r="B488" s="2" t="s">
        <v>554</v>
      </c>
      <c r="C488" s="2" t="s">
        <v>501</v>
      </c>
      <c r="D488" s="2" t="s">
        <v>502</v>
      </c>
      <c r="E488" s="2" t="s">
        <v>503</v>
      </c>
      <c r="F488" s="3"/>
      <c r="G488" s="3"/>
    </row>
    <row r="489" spans="1:7" x14ac:dyDescent="0.2">
      <c r="A489" s="2" t="s">
        <v>503</v>
      </c>
      <c r="B489" s="2" t="s">
        <v>555</v>
      </c>
      <c r="C489" s="2" t="s">
        <v>501</v>
      </c>
      <c r="D489" s="2" t="s">
        <v>502</v>
      </c>
      <c r="E489" s="2" t="s">
        <v>503</v>
      </c>
      <c r="F489" s="3"/>
      <c r="G489" s="3"/>
    </row>
    <row r="490" spans="1:7" x14ac:dyDescent="0.2">
      <c r="A490" s="2" t="s">
        <v>503</v>
      </c>
      <c r="B490" s="2" t="s">
        <v>557</v>
      </c>
      <c r="C490" s="2" t="s">
        <v>501</v>
      </c>
      <c r="D490" s="2" t="s">
        <v>502</v>
      </c>
      <c r="E490" s="2" t="s">
        <v>503</v>
      </c>
      <c r="F490" s="3"/>
      <c r="G490" s="3"/>
    </row>
    <row r="491" spans="1:7" x14ac:dyDescent="0.2">
      <c r="A491" s="2" t="s">
        <v>503</v>
      </c>
      <c r="B491" s="2" t="s">
        <v>558</v>
      </c>
      <c r="C491" s="2" t="s">
        <v>501</v>
      </c>
      <c r="D491" s="2" t="s">
        <v>502</v>
      </c>
      <c r="E491" s="2" t="s">
        <v>503</v>
      </c>
      <c r="F491" s="3"/>
      <c r="G491" s="3"/>
    </row>
    <row r="492" spans="1:7" x14ac:dyDescent="0.2">
      <c r="A492" s="2" t="s">
        <v>503</v>
      </c>
      <c r="B492" s="2" t="s">
        <v>559</v>
      </c>
      <c r="C492" s="2" t="s">
        <v>501</v>
      </c>
      <c r="D492" s="2" t="s">
        <v>502</v>
      </c>
      <c r="E492" s="2" t="s">
        <v>503</v>
      </c>
      <c r="F492" s="3"/>
      <c r="G492" s="3"/>
    </row>
    <row r="493" spans="1:7" x14ac:dyDescent="0.2">
      <c r="A493" s="2" t="s">
        <v>503</v>
      </c>
      <c r="B493" s="2" t="s">
        <v>560</v>
      </c>
      <c r="C493" s="2" t="s">
        <v>501</v>
      </c>
      <c r="D493" s="2" t="s">
        <v>502</v>
      </c>
      <c r="E493" s="2" t="s">
        <v>503</v>
      </c>
      <c r="F493" s="3"/>
      <c r="G493" s="3"/>
    </row>
    <row r="494" spans="1:7" x14ac:dyDescent="0.2">
      <c r="A494" s="2" t="s">
        <v>503</v>
      </c>
      <c r="B494" s="2" t="s">
        <v>562</v>
      </c>
      <c r="C494" s="2" t="s">
        <v>501</v>
      </c>
      <c r="D494" s="2" t="s">
        <v>502</v>
      </c>
      <c r="E494" s="2" t="s">
        <v>503</v>
      </c>
      <c r="F494" s="3"/>
      <c r="G494" s="3"/>
    </row>
    <row r="495" spans="1:7" x14ac:dyDescent="0.2">
      <c r="A495" s="2" t="s">
        <v>503</v>
      </c>
      <c r="B495" s="2" t="s">
        <v>563</v>
      </c>
      <c r="C495" s="2" t="s">
        <v>501</v>
      </c>
      <c r="D495" s="2" t="s">
        <v>502</v>
      </c>
      <c r="E495" s="2" t="s">
        <v>503</v>
      </c>
      <c r="F495" s="3"/>
      <c r="G495" s="3"/>
    </row>
    <row r="496" spans="1:7" x14ac:dyDescent="0.2">
      <c r="A496" s="2" t="s">
        <v>503</v>
      </c>
      <c r="B496" s="2" t="s">
        <v>564</v>
      </c>
      <c r="C496" s="2" t="s">
        <v>501</v>
      </c>
      <c r="D496" s="2" t="s">
        <v>502</v>
      </c>
      <c r="E496" s="2" t="s">
        <v>503</v>
      </c>
      <c r="F496" s="3"/>
      <c r="G496" s="3"/>
    </row>
    <row r="497" spans="1:7" x14ac:dyDescent="0.2">
      <c r="A497" s="2" t="s">
        <v>503</v>
      </c>
      <c r="B497" s="2" t="s">
        <v>565</v>
      </c>
      <c r="C497" s="2" t="s">
        <v>501</v>
      </c>
      <c r="D497" s="2" t="s">
        <v>502</v>
      </c>
      <c r="E497" s="2" t="s">
        <v>503</v>
      </c>
      <c r="F497" s="3"/>
      <c r="G497" s="3"/>
    </row>
    <row r="498" spans="1:7" x14ac:dyDescent="0.2">
      <c r="A498" s="2" t="s">
        <v>503</v>
      </c>
      <c r="B498" s="2" t="s">
        <v>566</v>
      </c>
      <c r="C498" s="2" t="s">
        <v>501</v>
      </c>
      <c r="D498" s="2" t="s">
        <v>502</v>
      </c>
      <c r="E498" s="2" t="s">
        <v>503</v>
      </c>
      <c r="F498" s="3"/>
      <c r="G498" s="3"/>
    </row>
    <row r="499" spans="1:7" x14ac:dyDescent="0.2">
      <c r="A499" s="2" t="s">
        <v>503</v>
      </c>
      <c r="B499" s="2" t="s">
        <v>567</v>
      </c>
      <c r="C499" s="2" t="s">
        <v>501</v>
      </c>
      <c r="D499" s="2" t="s">
        <v>502</v>
      </c>
      <c r="E499" s="2" t="s">
        <v>503</v>
      </c>
      <c r="F499" s="3"/>
      <c r="G499" s="3"/>
    </row>
    <row r="500" spans="1:7" x14ac:dyDescent="0.2">
      <c r="A500" s="2" t="s">
        <v>503</v>
      </c>
      <c r="B500" s="2" t="s">
        <v>568</v>
      </c>
      <c r="C500" s="2" t="s">
        <v>501</v>
      </c>
      <c r="D500" s="2" t="s">
        <v>502</v>
      </c>
      <c r="E500" s="2" t="s">
        <v>503</v>
      </c>
      <c r="F500" s="3"/>
      <c r="G500" s="3"/>
    </row>
    <row r="501" spans="1:7" x14ac:dyDescent="0.2">
      <c r="A501" s="2" t="s">
        <v>503</v>
      </c>
      <c r="B501" s="2" t="s">
        <v>776</v>
      </c>
      <c r="C501" s="2" t="s">
        <v>501</v>
      </c>
      <c r="D501" s="2" t="s">
        <v>502</v>
      </c>
      <c r="E501" s="2" t="s">
        <v>503</v>
      </c>
      <c r="F501" s="3"/>
      <c r="G501" s="3"/>
    </row>
    <row r="502" spans="1:7" x14ac:dyDescent="0.2">
      <c r="A502" s="2" t="s">
        <v>503</v>
      </c>
      <c r="B502" s="2" t="s">
        <v>569</v>
      </c>
      <c r="C502" s="2" t="s">
        <v>501</v>
      </c>
      <c r="D502" s="2" t="s">
        <v>502</v>
      </c>
      <c r="E502" s="2" t="s">
        <v>503</v>
      </c>
      <c r="F502" s="3"/>
      <c r="G502" s="3"/>
    </row>
    <row r="503" spans="1:7" x14ac:dyDescent="0.2">
      <c r="A503" s="2" t="s">
        <v>503</v>
      </c>
      <c r="B503" s="2" t="s">
        <v>570</v>
      </c>
      <c r="C503" s="2" t="s">
        <v>501</v>
      </c>
      <c r="D503" s="2" t="s">
        <v>502</v>
      </c>
      <c r="E503" s="2" t="s">
        <v>503</v>
      </c>
      <c r="F503" s="3"/>
      <c r="G503" s="3"/>
    </row>
    <row r="504" spans="1:7" x14ac:dyDescent="0.2">
      <c r="A504" s="2" t="s">
        <v>503</v>
      </c>
      <c r="B504" s="2" t="s">
        <v>577</v>
      </c>
      <c r="C504" s="2" t="s">
        <v>501</v>
      </c>
      <c r="D504" s="2" t="s">
        <v>502</v>
      </c>
      <c r="E504" s="2" t="s">
        <v>503</v>
      </c>
      <c r="F504" s="3">
        <v>2483</v>
      </c>
      <c r="G504" s="3">
        <v>2687</v>
      </c>
    </row>
    <row r="505" spans="1:7" x14ac:dyDescent="0.2">
      <c r="A505" s="2" t="s">
        <v>503</v>
      </c>
      <c r="B505" s="2" t="s">
        <v>578</v>
      </c>
      <c r="C505" s="2" t="s">
        <v>501</v>
      </c>
      <c r="D505" s="2" t="s">
        <v>502</v>
      </c>
      <c r="E505" s="2" t="s">
        <v>503</v>
      </c>
      <c r="F505" s="3"/>
      <c r="G505" s="3"/>
    </row>
    <row r="506" spans="1:7" x14ac:dyDescent="0.2">
      <c r="A506" s="2" t="s">
        <v>503</v>
      </c>
      <c r="B506" s="2" t="s">
        <v>816</v>
      </c>
      <c r="C506" s="2" t="s">
        <v>501</v>
      </c>
      <c r="D506" s="2" t="s">
        <v>502</v>
      </c>
      <c r="E506" s="2" t="s">
        <v>503</v>
      </c>
      <c r="F506" s="3">
        <v>1574</v>
      </c>
      <c r="G506" s="3">
        <v>616</v>
      </c>
    </row>
    <row r="507" spans="1:7" x14ac:dyDescent="0.2">
      <c r="A507" s="2" t="s">
        <v>503</v>
      </c>
      <c r="B507" s="2" t="s">
        <v>811</v>
      </c>
      <c r="C507" s="2" t="s">
        <v>501</v>
      </c>
      <c r="D507" s="2" t="s">
        <v>502</v>
      </c>
      <c r="E507" s="2" t="s">
        <v>503</v>
      </c>
      <c r="F507" s="3"/>
      <c r="G507" s="3"/>
    </row>
    <row r="508" spans="1:7" x14ac:dyDescent="0.2">
      <c r="A508" s="2" t="s">
        <v>503</v>
      </c>
      <c r="B508" s="2" t="s">
        <v>583</v>
      </c>
      <c r="C508" s="2" t="s">
        <v>501</v>
      </c>
      <c r="D508" s="2" t="s">
        <v>502</v>
      </c>
      <c r="E508" s="2" t="s">
        <v>503</v>
      </c>
      <c r="F508" s="3"/>
      <c r="G508" s="3"/>
    </row>
    <row r="509" spans="1:7" x14ac:dyDescent="0.2">
      <c r="A509" s="2" t="s">
        <v>503</v>
      </c>
      <c r="B509" s="2" t="s">
        <v>584</v>
      </c>
      <c r="C509" s="2" t="s">
        <v>501</v>
      </c>
      <c r="D509" s="2" t="s">
        <v>502</v>
      </c>
      <c r="E509" s="2" t="s">
        <v>503</v>
      </c>
      <c r="F509" s="3"/>
      <c r="G509" s="3"/>
    </row>
    <row r="510" spans="1:7" x14ac:dyDescent="0.2">
      <c r="A510" s="34" t="s">
        <v>503</v>
      </c>
      <c r="B510" s="34" t="s">
        <v>585</v>
      </c>
      <c r="C510" s="34" t="s">
        <v>501</v>
      </c>
      <c r="D510" s="34" t="s">
        <v>502</v>
      </c>
      <c r="E510" s="34" t="s">
        <v>503</v>
      </c>
      <c r="F510" s="3"/>
      <c r="G510" s="3"/>
    </row>
    <row r="511" spans="1:7" x14ac:dyDescent="0.2">
      <c r="A511" s="2" t="s">
        <v>503</v>
      </c>
      <c r="B511" s="2" t="s">
        <v>586</v>
      </c>
      <c r="C511" s="2" t="s">
        <v>501</v>
      </c>
      <c r="D511" s="2" t="s">
        <v>502</v>
      </c>
      <c r="E511" s="2" t="s">
        <v>503</v>
      </c>
      <c r="F511" s="3"/>
      <c r="G511" s="3"/>
    </row>
    <row r="512" spans="1:7" x14ac:dyDescent="0.2">
      <c r="A512" s="2" t="s">
        <v>503</v>
      </c>
      <c r="B512" s="2" t="s">
        <v>587</v>
      </c>
      <c r="C512" s="2" t="s">
        <v>501</v>
      </c>
      <c r="D512" s="2" t="s">
        <v>502</v>
      </c>
      <c r="E512" s="2" t="s">
        <v>503</v>
      </c>
      <c r="F512" s="3"/>
      <c r="G512" s="3"/>
    </row>
    <row r="513" spans="1:7" x14ac:dyDescent="0.2">
      <c r="A513" s="2" t="s">
        <v>503</v>
      </c>
      <c r="B513" s="2" t="s">
        <v>588</v>
      </c>
      <c r="C513" s="2" t="s">
        <v>501</v>
      </c>
      <c r="D513" s="2" t="s">
        <v>502</v>
      </c>
      <c r="E513" s="2" t="s">
        <v>503</v>
      </c>
      <c r="F513" s="3"/>
      <c r="G513" s="3"/>
    </row>
    <row r="514" spans="1:7" x14ac:dyDescent="0.2">
      <c r="A514" s="2" t="s">
        <v>503</v>
      </c>
      <c r="B514" s="2" t="s">
        <v>589</v>
      </c>
      <c r="C514" s="2" t="s">
        <v>501</v>
      </c>
      <c r="D514" s="2" t="s">
        <v>502</v>
      </c>
      <c r="E514" s="2" t="s">
        <v>503</v>
      </c>
      <c r="F514" s="3">
        <v>100</v>
      </c>
      <c r="G514" s="3"/>
    </row>
    <row r="515" spans="1:7" x14ac:dyDescent="0.2">
      <c r="A515" s="2" t="s">
        <v>503</v>
      </c>
      <c r="B515" s="2" t="s">
        <v>590</v>
      </c>
      <c r="C515" s="2" t="s">
        <v>501</v>
      </c>
      <c r="D515" s="2" t="s">
        <v>502</v>
      </c>
      <c r="E515" s="2" t="s">
        <v>503</v>
      </c>
      <c r="F515" s="3"/>
      <c r="G515" s="3"/>
    </row>
    <row r="516" spans="1:7" x14ac:dyDescent="0.2">
      <c r="A516" s="2" t="s">
        <v>503</v>
      </c>
      <c r="B516" s="2" t="s">
        <v>591</v>
      </c>
      <c r="C516" s="2" t="s">
        <v>501</v>
      </c>
      <c r="D516" s="2" t="s">
        <v>502</v>
      </c>
      <c r="E516" s="2" t="s">
        <v>503</v>
      </c>
      <c r="F516" s="3"/>
      <c r="G516" s="3"/>
    </row>
    <row r="517" spans="1:7" x14ac:dyDescent="0.2">
      <c r="A517" s="2" t="s">
        <v>503</v>
      </c>
      <c r="B517" s="2" t="s">
        <v>594</v>
      </c>
      <c r="C517" s="2" t="s">
        <v>501</v>
      </c>
      <c r="D517" s="2" t="s">
        <v>502</v>
      </c>
      <c r="E517" s="2" t="s">
        <v>503</v>
      </c>
      <c r="F517" s="3"/>
      <c r="G517" s="3"/>
    </row>
    <row r="518" spans="1:7" x14ac:dyDescent="0.2">
      <c r="A518" s="2" t="s">
        <v>503</v>
      </c>
      <c r="B518" s="2" t="s">
        <v>595</v>
      </c>
      <c r="C518" s="2" t="s">
        <v>501</v>
      </c>
      <c r="D518" s="2" t="s">
        <v>502</v>
      </c>
      <c r="E518" s="2" t="s">
        <v>503</v>
      </c>
      <c r="F518" s="3"/>
      <c r="G518" s="3"/>
    </row>
    <row r="519" spans="1:7" x14ac:dyDescent="0.2">
      <c r="A519" s="2" t="s">
        <v>503</v>
      </c>
      <c r="B519" s="2" t="s">
        <v>596</v>
      </c>
      <c r="C519" s="2" t="s">
        <v>501</v>
      </c>
      <c r="D519" s="2" t="s">
        <v>502</v>
      </c>
      <c r="E519" s="2" t="s">
        <v>503</v>
      </c>
      <c r="F519" s="3"/>
      <c r="G519" s="3"/>
    </row>
    <row r="520" spans="1:7" x14ac:dyDescent="0.2">
      <c r="A520" s="2" t="s">
        <v>503</v>
      </c>
      <c r="B520" s="2" t="s">
        <v>597</v>
      </c>
      <c r="C520" s="2" t="s">
        <v>501</v>
      </c>
      <c r="D520" s="2" t="s">
        <v>502</v>
      </c>
      <c r="E520" s="2" t="s">
        <v>503</v>
      </c>
      <c r="F520" s="3"/>
      <c r="G520" s="3"/>
    </row>
    <row r="521" spans="1:7" x14ac:dyDescent="0.2">
      <c r="A521" s="2" t="s">
        <v>503</v>
      </c>
      <c r="B521" s="2" t="s">
        <v>598</v>
      </c>
      <c r="C521" s="2" t="s">
        <v>501</v>
      </c>
      <c r="D521" s="2" t="s">
        <v>502</v>
      </c>
      <c r="E521" s="2" t="s">
        <v>503</v>
      </c>
      <c r="F521" s="3">
        <v>1697</v>
      </c>
      <c r="G521" s="3">
        <v>2220.4</v>
      </c>
    </row>
    <row r="522" spans="1:7" x14ac:dyDescent="0.2">
      <c r="A522" s="2" t="s">
        <v>503</v>
      </c>
      <c r="B522" s="2" t="s">
        <v>599</v>
      </c>
      <c r="C522" s="2" t="s">
        <v>501</v>
      </c>
      <c r="D522" s="2" t="s">
        <v>502</v>
      </c>
      <c r="E522" s="2" t="s">
        <v>503</v>
      </c>
      <c r="F522" s="3"/>
      <c r="G522" s="3">
        <v>723.9</v>
      </c>
    </row>
    <row r="523" spans="1:7" x14ac:dyDescent="0.2">
      <c r="A523" s="2" t="s">
        <v>503</v>
      </c>
      <c r="B523" s="2" t="s">
        <v>601</v>
      </c>
      <c r="C523" s="2" t="s">
        <v>501</v>
      </c>
      <c r="D523" s="2" t="s">
        <v>502</v>
      </c>
      <c r="E523" s="2" t="s">
        <v>503</v>
      </c>
      <c r="F523" s="3"/>
      <c r="G523" s="3"/>
    </row>
    <row r="524" spans="1:7" x14ac:dyDescent="0.2">
      <c r="A524" s="2" t="s">
        <v>503</v>
      </c>
      <c r="B524" s="2" t="s">
        <v>602</v>
      </c>
      <c r="C524" s="2" t="s">
        <v>501</v>
      </c>
      <c r="D524" s="2" t="s">
        <v>502</v>
      </c>
      <c r="E524" s="2" t="s">
        <v>503</v>
      </c>
      <c r="F524" s="3"/>
      <c r="G524" s="3"/>
    </row>
    <row r="525" spans="1:7" x14ac:dyDescent="0.2">
      <c r="A525" s="2" t="s">
        <v>503</v>
      </c>
      <c r="B525" s="2" t="s">
        <v>603</v>
      </c>
      <c r="C525" s="2" t="s">
        <v>501</v>
      </c>
      <c r="D525" s="2" t="s">
        <v>502</v>
      </c>
      <c r="E525" s="2" t="s">
        <v>503</v>
      </c>
      <c r="F525" s="3">
        <v>1071</v>
      </c>
      <c r="G525" s="3">
        <v>771</v>
      </c>
    </row>
    <row r="526" spans="1:7" x14ac:dyDescent="0.2">
      <c r="A526" s="2" t="s">
        <v>503</v>
      </c>
      <c r="B526" s="2" t="s">
        <v>604</v>
      </c>
      <c r="C526" s="2" t="s">
        <v>501</v>
      </c>
      <c r="D526" s="2" t="s">
        <v>502</v>
      </c>
      <c r="E526" s="2" t="s">
        <v>503</v>
      </c>
      <c r="F526" s="3"/>
      <c r="G526" s="3"/>
    </row>
    <row r="527" spans="1:7" x14ac:dyDescent="0.2">
      <c r="A527" s="2" t="s">
        <v>503</v>
      </c>
      <c r="B527" s="2" t="s">
        <v>605</v>
      </c>
      <c r="C527" s="2" t="s">
        <v>501</v>
      </c>
      <c r="D527" s="2" t="s">
        <v>502</v>
      </c>
      <c r="E527" s="2" t="s">
        <v>503</v>
      </c>
      <c r="F527" s="3"/>
      <c r="G527" s="3">
        <v>400</v>
      </c>
    </row>
    <row r="528" spans="1:7" x14ac:dyDescent="0.2">
      <c r="A528" s="2" t="s">
        <v>503</v>
      </c>
      <c r="B528" s="2" t="s">
        <v>876</v>
      </c>
      <c r="C528" s="2" t="s">
        <v>501</v>
      </c>
      <c r="D528" s="2" t="s">
        <v>502</v>
      </c>
      <c r="E528" s="2" t="s">
        <v>503</v>
      </c>
      <c r="F528" s="3"/>
      <c r="G528" s="3"/>
    </row>
    <row r="529" spans="1:7" x14ac:dyDescent="0.2">
      <c r="A529" s="2" t="s">
        <v>503</v>
      </c>
      <c r="B529" s="2" t="s">
        <v>607</v>
      </c>
      <c r="C529" s="2" t="s">
        <v>501</v>
      </c>
      <c r="D529" s="2" t="s">
        <v>502</v>
      </c>
      <c r="E529" s="2" t="s">
        <v>503</v>
      </c>
      <c r="F529" s="3"/>
      <c r="G529" s="3"/>
    </row>
    <row r="530" spans="1:7" x14ac:dyDescent="0.2">
      <c r="A530" s="2" t="s">
        <v>503</v>
      </c>
      <c r="B530" s="2" t="s">
        <v>869</v>
      </c>
      <c r="C530" s="2" t="s">
        <v>501</v>
      </c>
      <c r="D530" s="2" t="s">
        <v>502</v>
      </c>
      <c r="E530" s="2" t="s">
        <v>503</v>
      </c>
      <c r="F530" s="3"/>
      <c r="G530" s="3"/>
    </row>
    <row r="531" spans="1:7" x14ac:dyDescent="0.2">
      <c r="A531" s="2" t="s">
        <v>503</v>
      </c>
      <c r="B531" s="2" t="s">
        <v>608</v>
      </c>
      <c r="C531" s="2" t="s">
        <v>501</v>
      </c>
      <c r="D531" s="2" t="s">
        <v>502</v>
      </c>
      <c r="E531" s="2" t="s">
        <v>503</v>
      </c>
      <c r="F531" s="3"/>
      <c r="G531" s="3"/>
    </row>
    <row r="532" spans="1:7" x14ac:dyDescent="0.2">
      <c r="A532" s="2" t="s">
        <v>503</v>
      </c>
      <c r="B532" s="2" t="s">
        <v>801</v>
      </c>
      <c r="C532" s="2" t="s">
        <v>501</v>
      </c>
      <c r="D532" s="2" t="s">
        <v>502</v>
      </c>
      <c r="E532" s="2" t="s">
        <v>503</v>
      </c>
      <c r="F532" s="3"/>
      <c r="G532" s="3"/>
    </row>
    <row r="533" spans="1:7" x14ac:dyDescent="0.2">
      <c r="A533" s="2" t="s">
        <v>503</v>
      </c>
      <c r="B533" s="2" t="s">
        <v>609</v>
      </c>
      <c r="C533" s="2" t="s">
        <v>501</v>
      </c>
      <c r="D533" s="2" t="s">
        <v>502</v>
      </c>
      <c r="E533" s="2" t="s">
        <v>503</v>
      </c>
      <c r="F533" s="3"/>
      <c r="G533" s="3"/>
    </row>
    <row r="534" spans="1:7" x14ac:dyDescent="0.2">
      <c r="A534" s="2" t="s">
        <v>503</v>
      </c>
      <c r="B534" s="2" t="s">
        <v>610</v>
      </c>
      <c r="C534" s="2" t="s">
        <v>501</v>
      </c>
      <c r="D534" s="2" t="s">
        <v>502</v>
      </c>
      <c r="E534" s="2" t="s">
        <v>503</v>
      </c>
      <c r="F534" s="3"/>
      <c r="G534" s="3"/>
    </row>
    <row r="535" spans="1:7" x14ac:dyDescent="0.2">
      <c r="A535" s="2" t="s">
        <v>503</v>
      </c>
      <c r="B535" s="2" t="s">
        <v>611</v>
      </c>
      <c r="C535" s="2" t="s">
        <v>501</v>
      </c>
      <c r="D535" s="2" t="s">
        <v>502</v>
      </c>
      <c r="E535" s="2" t="s">
        <v>503</v>
      </c>
      <c r="F535" s="3"/>
      <c r="G535" s="3"/>
    </row>
    <row r="536" spans="1:7" x14ac:dyDescent="0.2">
      <c r="A536" s="2" t="s">
        <v>503</v>
      </c>
      <c r="B536" s="2" t="s">
        <v>612</v>
      </c>
      <c r="C536" s="2" t="s">
        <v>501</v>
      </c>
      <c r="D536" s="2" t="s">
        <v>502</v>
      </c>
      <c r="E536" s="2" t="s">
        <v>503</v>
      </c>
      <c r="F536" s="3"/>
      <c r="G536" s="3"/>
    </row>
    <row r="537" spans="1:7" x14ac:dyDescent="0.2">
      <c r="A537" s="2" t="s">
        <v>503</v>
      </c>
      <c r="B537" s="2" t="s">
        <v>613</v>
      </c>
      <c r="C537" s="2" t="s">
        <v>501</v>
      </c>
      <c r="D537" s="2" t="s">
        <v>502</v>
      </c>
      <c r="E537" s="2" t="s">
        <v>503</v>
      </c>
      <c r="F537" s="3"/>
      <c r="G537" s="3"/>
    </row>
    <row r="538" spans="1:7" x14ac:dyDescent="0.2">
      <c r="A538" s="2" t="s">
        <v>503</v>
      </c>
      <c r="B538" s="2" t="s">
        <v>614</v>
      </c>
      <c r="C538" s="2" t="s">
        <v>501</v>
      </c>
      <c r="D538" s="2" t="s">
        <v>502</v>
      </c>
      <c r="E538" s="2" t="s">
        <v>503</v>
      </c>
      <c r="F538" s="3"/>
      <c r="G538" s="3"/>
    </row>
    <row r="539" spans="1:7" x14ac:dyDescent="0.2">
      <c r="A539" s="2" t="s">
        <v>503</v>
      </c>
      <c r="B539" s="2" t="s">
        <v>615</v>
      </c>
      <c r="C539" s="2" t="s">
        <v>501</v>
      </c>
      <c r="D539" s="2" t="s">
        <v>502</v>
      </c>
      <c r="E539" s="2" t="s">
        <v>503</v>
      </c>
      <c r="F539" s="3"/>
      <c r="G539" s="3"/>
    </row>
    <row r="540" spans="1:7" x14ac:dyDescent="0.2">
      <c r="A540" s="2" t="s">
        <v>503</v>
      </c>
      <c r="B540" s="2" t="s">
        <v>616</v>
      </c>
      <c r="C540" s="2" t="s">
        <v>501</v>
      </c>
      <c r="D540" s="2" t="s">
        <v>502</v>
      </c>
      <c r="E540" s="2" t="s">
        <v>503</v>
      </c>
      <c r="F540" s="3"/>
      <c r="G540" s="3"/>
    </row>
    <row r="541" spans="1:7" x14ac:dyDescent="0.2">
      <c r="A541" s="2" t="s">
        <v>503</v>
      </c>
      <c r="B541" s="2" t="s">
        <v>840</v>
      </c>
      <c r="C541" s="2" t="s">
        <v>501</v>
      </c>
      <c r="D541" s="2" t="s">
        <v>502</v>
      </c>
      <c r="E541" s="2" t="s">
        <v>503</v>
      </c>
      <c r="F541" s="3">
        <v>156</v>
      </c>
      <c r="G541" s="3">
        <v>156</v>
      </c>
    </row>
    <row r="542" spans="1:7" x14ac:dyDescent="0.2">
      <c r="A542" s="2" t="s">
        <v>503</v>
      </c>
      <c r="B542" s="2" t="s">
        <v>617</v>
      </c>
      <c r="C542" s="2" t="s">
        <v>501</v>
      </c>
      <c r="D542" s="2" t="s">
        <v>502</v>
      </c>
      <c r="E542" s="2" t="s">
        <v>503</v>
      </c>
      <c r="F542" s="3"/>
      <c r="G542" s="3"/>
    </row>
    <row r="543" spans="1:7" x14ac:dyDescent="0.2">
      <c r="A543" s="2" t="s">
        <v>503</v>
      </c>
      <c r="B543" s="2" t="s">
        <v>618</v>
      </c>
      <c r="C543" s="2" t="s">
        <v>501</v>
      </c>
      <c r="D543" s="2" t="s">
        <v>502</v>
      </c>
      <c r="E543" s="2" t="s">
        <v>503</v>
      </c>
      <c r="F543" s="3"/>
      <c r="G543" s="3"/>
    </row>
    <row r="544" spans="1:7" x14ac:dyDescent="0.2">
      <c r="A544" s="2" t="s">
        <v>503</v>
      </c>
      <c r="B544" s="2" t="s">
        <v>619</v>
      </c>
      <c r="C544" s="2" t="s">
        <v>501</v>
      </c>
      <c r="D544" s="2" t="s">
        <v>502</v>
      </c>
      <c r="E544" s="2" t="s">
        <v>503</v>
      </c>
      <c r="F544" s="3"/>
      <c r="G544" s="3"/>
    </row>
    <row r="545" spans="1:7" x14ac:dyDescent="0.2">
      <c r="A545" s="2" t="s">
        <v>503</v>
      </c>
      <c r="B545" s="2" t="s">
        <v>620</v>
      </c>
      <c r="C545" s="2" t="s">
        <v>501</v>
      </c>
      <c r="D545" s="2" t="s">
        <v>502</v>
      </c>
      <c r="E545" s="2" t="s">
        <v>503</v>
      </c>
      <c r="F545" s="3"/>
      <c r="G545" s="3"/>
    </row>
    <row r="546" spans="1:7" x14ac:dyDescent="0.2">
      <c r="A546" s="2" t="s">
        <v>503</v>
      </c>
      <c r="B546" s="2" t="s">
        <v>621</v>
      </c>
      <c r="C546" s="2" t="s">
        <v>501</v>
      </c>
      <c r="D546" s="2" t="s">
        <v>502</v>
      </c>
      <c r="E546" s="2" t="s">
        <v>503</v>
      </c>
      <c r="F546" s="3">
        <v>410</v>
      </c>
      <c r="G546" s="3">
        <v>526.29999999999995</v>
      </c>
    </row>
    <row r="547" spans="1:7" x14ac:dyDescent="0.2">
      <c r="A547" s="2" t="s">
        <v>503</v>
      </c>
      <c r="B547" s="2" t="s">
        <v>622</v>
      </c>
      <c r="C547" s="2" t="s">
        <v>501</v>
      </c>
      <c r="D547" s="2" t="s">
        <v>502</v>
      </c>
      <c r="E547" s="2" t="s">
        <v>503</v>
      </c>
      <c r="F547" s="3"/>
      <c r="G547" s="3"/>
    </row>
    <row r="548" spans="1:7" x14ac:dyDescent="0.2">
      <c r="A548" s="2" t="s">
        <v>503</v>
      </c>
      <c r="B548" s="2" t="s">
        <v>623</v>
      </c>
      <c r="C548" s="2" t="s">
        <v>501</v>
      </c>
      <c r="D548" s="2" t="s">
        <v>502</v>
      </c>
      <c r="E548" s="2" t="s">
        <v>503</v>
      </c>
      <c r="F548" s="3"/>
      <c r="G548" s="3"/>
    </row>
    <row r="549" spans="1:7" x14ac:dyDescent="0.2">
      <c r="A549" s="2" t="s">
        <v>503</v>
      </c>
      <c r="B549" s="2" t="s">
        <v>624</v>
      </c>
      <c r="C549" s="2" t="s">
        <v>501</v>
      </c>
      <c r="D549" s="2" t="s">
        <v>502</v>
      </c>
      <c r="E549" s="2" t="s">
        <v>503</v>
      </c>
      <c r="F549" s="3"/>
      <c r="G549" s="3"/>
    </row>
    <row r="550" spans="1:7" x14ac:dyDescent="0.2">
      <c r="A550" s="2" t="s">
        <v>503</v>
      </c>
      <c r="B550" s="2" t="s">
        <v>625</v>
      </c>
      <c r="C550" s="2" t="s">
        <v>501</v>
      </c>
      <c r="D550" s="2" t="s">
        <v>502</v>
      </c>
      <c r="E550" s="2" t="s">
        <v>503</v>
      </c>
      <c r="F550" s="3"/>
      <c r="G550" s="3"/>
    </row>
    <row r="551" spans="1:7" x14ac:dyDescent="0.2">
      <c r="A551" s="2" t="s">
        <v>503</v>
      </c>
      <c r="B551" s="2" t="s">
        <v>626</v>
      </c>
      <c r="C551" s="2" t="s">
        <v>501</v>
      </c>
      <c r="D551" s="2" t="s">
        <v>502</v>
      </c>
      <c r="E551" s="2" t="s">
        <v>503</v>
      </c>
      <c r="F551" s="3"/>
      <c r="G551" s="3"/>
    </row>
    <row r="552" spans="1:7" x14ac:dyDescent="0.2">
      <c r="A552" s="2" t="s">
        <v>503</v>
      </c>
      <c r="B552" s="2" t="s">
        <v>814</v>
      </c>
      <c r="C552" s="2" t="s">
        <v>501</v>
      </c>
      <c r="D552" s="2" t="s">
        <v>502</v>
      </c>
      <c r="E552" s="2" t="s">
        <v>503</v>
      </c>
      <c r="F552" s="3"/>
      <c r="G552" s="3"/>
    </row>
    <row r="553" spans="1:7" x14ac:dyDescent="0.2">
      <c r="A553" s="2" t="s">
        <v>503</v>
      </c>
      <c r="B553" s="2" t="s">
        <v>627</v>
      </c>
      <c r="C553" s="2" t="s">
        <v>501</v>
      </c>
      <c r="D553" s="2" t="s">
        <v>502</v>
      </c>
      <c r="E553" s="2" t="s">
        <v>503</v>
      </c>
      <c r="F553" s="3">
        <v>2026.7029999999997</v>
      </c>
      <c r="G553" s="3">
        <v>1684.6589999999997</v>
      </c>
    </row>
    <row r="554" spans="1:7" x14ac:dyDescent="0.2">
      <c r="A554" s="2" t="s">
        <v>503</v>
      </c>
      <c r="B554" s="2" t="s">
        <v>630</v>
      </c>
      <c r="C554" s="2" t="s">
        <v>501</v>
      </c>
      <c r="D554" s="2" t="s">
        <v>502</v>
      </c>
      <c r="E554" s="2" t="s">
        <v>503</v>
      </c>
      <c r="F554" s="3"/>
      <c r="G554" s="3"/>
    </row>
    <row r="555" spans="1:7" x14ac:dyDescent="0.2">
      <c r="A555" s="2" t="s">
        <v>503</v>
      </c>
      <c r="B555" s="2" t="s">
        <v>631</v>
      </c>
      <c r="C555" s="2" t="s">
        <v>501</v>
      </c>
      <c r="D555" s="2" t="s">
        <v>502</v>
      </c>
      <c r="E555" s="2" t="s">
        <v>503</v>
      </c>
      <c r="F555" s="3"/>
      <c r="G555" s="3"/>
    </row>
    <row r="556" spans="1:7" x14ac:dyDescent="0.2">
      <c r="A556" s="2" t="s">
        <v>503</v>
      </c>
      <c r="B556" s="2" t="s">
        <v>632</v>
      </c>
      <c r="C556" s="2" t="s">
        <v>501</v>
      </c>
      <c r="D556" s="2" t="s">
        <v>502</v>
      </c>
      <c r="E556" s="2" t="s">
        <v>503</v>
      </c>
      <c r="F556" s="3"/>
      <c r="G556" s="3"/>
    </row>
    <row r="557" spans="1:7" x14ac:dyDescent="0.2">
      <c r="A557" s="2" t="s">
        <v>503</v>
      </c>
      <c r="B557" s="2" t="s">
        <v>633</v>
      </c>
      <c r="C557" s="2" t="s">
        <v>501</v>
      </c>
      <c r="D557" s="2" t="s">
        <v>502</v>
      </c>
      <c r="E557" s="2" t="s">
        <v>503</v>
      </c>
      <c r="F557" s="3"/>
      <c r="G557" s="3"/>
    </row>
    <row r="558" spans="1:7" x14ac:dyDescent="0.2">
      <c r="A558" s="2" t="s">
        <v>503</v>
      </c>
      <c r="B558" s="2" t="s">
        <v>634</v>
      </c>
      <c r="C558" s="2" t="s">
        <v>501</v>
      </c>
      <c r="D558" s="2" t="s">
        <v>502</v>
      </c>
      <c r="E558" s="2" t="s">
        <v>503</v>
      </c>
      <c r="F558" s="3"/>
      <c r="G558" s="3"/>
    </row>
    <row r="559" spans="1:7" x14ac:dyDescent="0.2">
      <c r="A559" s="2" t="s">
        <v>503</v>
      </c>
      <c r="B559" s="2" t="s">
        <v>635</v>
      </c>
      <c r="C559" s="2" t="s">
        <v>501</v>
      </c>
      <c r="D559" s="2" t="s">
        <v>502</v>
      </c>
      <c r="E559" s="2" t="s">
        <v>503</v>
      </c>
      <c r="F559" s="3"/>
      <c r="G559" s="3"/>
    </row>
    <row r="560" spans="1:7" x14ac:dyDescent="0.2">
      <c r="A560" s="2" t="s">
        <v>503</v>
      </c>
      <c r="B560" s="2" t="s">
        <v>636</v>
      </c>
      <c r="C560" s="2" t="s">
        <v>501</v>
      </c>
      <c r="D560" s="2" t="s">
        <v>502</v>
      </c>
      <c r="E560" s="2" t="s">
        <v>503</v>
      </c>
      <c r="F560" s="3"/>
      <c r="G560" s="3"/>
    </row>
    <row r="561" spans="1:7" x14ac:dyDescent="0.2">
      <c r="A561" s="2" t="s">
        <v>503</v>
      </c>
      <c r="B561" s="2" t="s">
        <v>637</v>
      </c>
      <c r="C561" s="2" t="s">
        <v>501</v>
      </c>
      <c r="D561" s="2" t="s">
        <v>502</v>
      </c>
      <c r="E561" s="2" t="s">
        <v>503</v>
      </c>
      <c r="F561" s="3"/>
      <c r="G561" s="3"/>
    </row>
    <row r="562" spans="1:7" x14ac:dyDescent="0.2">
      <c r="A562" s="2" t="s">
        <v>503</v>
      </c>
      <c r="B562" s="2" t="s">
        <v>638</v>
      </c>
      <c r="C562" s="2" t="s">
        <v>501</v>
      </c>
      <c r="D562" s="2" t="s">
        <v>502</v>
      </c>
      <c r="E562" s="2" t="s">
        <v>503</v>
      </c>
      <c r="F562" s="3">
        <v>3193</v>
      </c>
      <c r="G562" s="3"/>
    </row>
    <row r="563" spans="1:7" x14ac:dyDescent="0.2">
      <c r="A563" s="2" t="s">
        <v>503</v>
      </c>
      <c r="B563" s="2" t="s">
        <v>639</v>
      </c>
      <c r="C563" s="2" t="s">
        <v>501</v>
      </c>
      <c r="D563" s="2" t="s">
        <v>502</v>
      </c>
      <c r="E563" s="2" t="s">
        <v>503</v>
      </c>
      <c r="F563" s="3"/>
      <c r="G563" s="3"/>
    </row>
    <row r="564" spans="1:7" x14ac:dyDescent="0.2">
      <c r="A564" s="2" t="s">
        <v>503</v>
      </c>
      <c r="B564" s="2" t="s">
        <v>640</v>
      </c>
      <c r="C564" s="2" t="s">
        <v>501</v>
      </c>
      <c r="D564" s="2" t="s">
        <v>502</v>
      </c>
      <c r="E564" s="2" t="s">
        <v>503</v>
      </c>
      <c r="F564" s="3"/>
      <c r="G564" s="3"/>
    </row>
    <row r="565" spans="1:7" x14ac:dyDescent="0.2">
      <c r="A565" s="2" t="s">
        <v>503</v>
      </c>
      <c r="B565" s="2" t="s">
        <v>641</v>
      </c>
      <c r="C565" s="2" t="s">
        <v>501</v>
      </c>
      <c r="D565" s="2" t="s">
        <v>502</v>
      </c>
      <c r="E565" s="2" t="s">
        <v>503</v>
      </c>
      <c r="F565" s="3"/>
      <c r="G565" s="3"/>
    </row>
    <row r="566" spans="1:7" x14ac:dyDescent="0.2">
      <c r="A566" s="2" t="s">
        <v>503</v>
      </c>
      <c r="B566" s="2" t="s">
        <v>642</v>
      </c>
      <c r="C566" s="2" t="s">
        <v>501</v>
      </c>
      <c r="D566" s="2" t="s">
        <v>502</v>
      </c>
      <c r="E566" s="2" t="s">
        <v>503</v>
      </c>
      <c r="F566" s="3"/>
      <c r="G566" s="3">
        <v>97.4</v>
      </c>
    </row>
    <row r="567" spans="1:7" x14ac:dyDescent="0.2">
      <c r="A567" s="2" t="s">
        <v>503</v>
      </c>
      <c r="B567" s="2" t="s">
        <v>643</v>
      </c>
      <c r="C567" s="2" t="s">
        <v>501</v>
      </c>
      <c r="D567" s="2" t="s">
        <v>502</v>
      </c>
      <c r="E567" s="2" t="s">
        <v>503</v>
      </c>
      <c r="F567" s="3"/>
      <c r="G567" s="3"/>
    </row>
    <row r="568" spans="1:7" x14ac:dyDescent="0.2">
      <c r="A568" s="2" t="s">
        <v>503</v>
      </c>
      <c r="B568" s="2" t="s">
        <v>644</v>
      </c>
      <c r="C568" s="2" t="s">
        <v>501</v>
      </c>
      <c r="D568" s="2" t="s">
        <v>502</v>
      </c>
      <c r="E568" s="2" t="s">
        <v>503</v>
      </c>
      <c r="F568" s="3"/>
      <c r="G568" s="3"/>
    </row>
    <row r="569" spans="1:7" x14ac:dyDescent="0.2">
      <c r="A569" s="2" t="s">
        <v>503</v>
      </c>
      <c r="B569" s="2" t="s">
        <v>645</v>
      </c>
      <c r="C569" s="2" t="s">
        <v>501</v>
      </c>
      <c r="D569" s="2" t="s">
        <v>502</v>
      </c>
      <c r="E569" s="2" t="s">
        <v>503</v>
      </c>
      <c r="F569" s="3"/>
      <c r="G569" s="3"/>
    </row>
    <row r="570" spans="1:7" x14ac:dyDescent="0.2">
      <c r="A570" s="2" t="s">
        <v>503</v>
      </c>
      <c r="B570" s="2" t="s">
        <v>646</v>
      </c>
      <c r="C570" s="2" t="s">
        <v>501</v>
      </c>
      <c r="D570" s="2" t="s">
        <v>502</v>
      </c>
      <c r="E570" s="2" t="s">
        <v>503</v>
      </c>
      <c r="F570" s="3"/>
      <c r="G570" s="3"/>
    </row>
    <row r="571" spans="1:7" x14ac:dyDescent="0.2">
      <c r="A571" s="2" t="s">
        <v>503</v>
      </c>
      <c r="B571" s="2" t="s">
        <v>647</v>
      </c>
      <c r="C571" s="2" t="s">
        <v>501</v>
      </c>
      <c r="D571" s="2" t="s">
        <v>502</v>
      </c>
      <c r="E571" s="2" t="s">
        <v>503</v>
      </c>
      <c r="F571" s="3"/>
      <c r="G571" s="3"/>
    </row>
    <row r="572" spans="1:7" x14ac:dyDescent="0.2">
      <c r="A572" s="2" t="s">
        <v>503</v>
      </c>
      <c r="B572" s="2" t="s">
        <v>648</v>
      </c>
      <c r="C572" s="2" t="s">
        <v>501</v>
      </c>
      <c r="D572" s="2" t="s">
        <v>502</v>
      </c>
      <c r="E572" s="2" t="s">
        <v>503</v>
      </c>
      <c r="F572" s="3"/>
      <c r="G572" s="3"/>
    </row>
    <row r="573" spans="1:7" x14ac:dyDescent="0.2">
      <c r="A573" s="2" t="s">
        <v>503</v>
      </c>
      <c r="B573" s="2" t="s">
        <v>649</v>
      </c>
      <c r="C573" s="2" t="s">
        <v>501</v>
      </c>
      <c r="D573" s="2" t="s">
        <v>502</v>
      </c>
      <c r="E573" s="2" t="s">
        <v>503</v>
      </c>
      <c r="F573" s="3"/>
      <c r="G573" s="3">
        <v>336.8</v>
      </c>
    </row>
    <row r="574" spans="1:7" x14ac:dyDescent="0.2">
      <c r="A574" s="2" t="s">
        <v>503</v>
      </c>
      <c r="B574" s="2" t="s">
        <v>651</v>
      </c>
      <c r="C574" s="2" t="s">
        <v>501</v>
      </c>
      <c r="D574" s="2" t="s">
        <v>502</v>
      </c>
      <c r="E574" s="2" t="s">
        <v>503</v>
      </c>
      <c r="F574" s="3"/>
      <c r="G574" s="3"/>
    </row>
    <row r="575" spans="1:7" x14ac:dyDescent="0.2">
      <c r="A575" s="2" t="s">
        <v>503</v>
      </c>
      <c r="B575" s="2" t="s">
        <v>652</v>
      </c>
      <c r="C575" s="2" t="s">
        <v>501</v>
      </c>
      <c r="D575" s="2" t="s">
        <v>502</v>
      </c>
      <c r="E575" s="2" t="s">
        <v>503</v>
      </c>
      <c r="F575" s="3"/>
      <c r="G575" s="3"/>
    </row>
    <row r="576" spans="1:7" x14ac:dyDescent="0.2">
      <c r="A576" s="2" t="s">
        <v>503</v>
      </c>
      <c r="B576" s="2" t="s">
        <v>653</v>
      </c>
      <c r="C576" s="2" t="s">
        <v>501</v>
      </c>
      <c r="D576" s="2" t="s">
        <v>502</v>
      </c>
      <c r="E576" s="2" t="s">
        <v>503</v>
      </c>
      <c r="F576" s="3"/>
      <c r="G576" s="3"/>
    </row>
    <row r="577" spans="1:7" x14ac:dyDescent="0.2">
      <c r="A577" s="2" t="s">
        <v>503</v>
      </c>
      <c r="B577" s="2" t="s">
        <v>654</v>
      </c>
      <c r="C577" s="2" t="s">
        <v>501</v>
      </c>
      <c r="D577" s="2" t="s">
        <v>502</v>
      </c>
      <c r="E577" s="2" t="s">
        <v>503</v>
      </c>
      <c r="F577" s="3"/>
      <c r="G577" s="3"/>
    </row>
    <row r="578" spans="1:7" x14ac:dyDescent="0.2">
      <c r="A578" s="2" t="s">
        <v>503</v>
      </c>
      <c r="B578" s="2" t="s">
        <v>655</v>
      </c>
      <c r="C578" s="2" t="s">
        <v>501</v>
      </c>
      <c r="D578" s="2" t="s">
        <v>502</v>
      </c>
      <c r="E578" s="2" t="s">
        <v>503</v>
      </c>
      <c r="F578" s="3"/>
      <c r="G578" s="3"/>
    </row>
    <row r="579" spans="1:7" x14ac:dyDescent="0.2">
      <c r="A579" s="2" t="s">
        <v>503</v>
      </c>
      <c r="B579" s="2" t="s">
        <v>656</v>
      </c>
      <c r="C579" s="2" t="s">
        <v>501</v>
      </c>
      <c r="D579" s="2" t="s">
        <v>502</v>
      </c>
      <c r="E579" s="2" t="s">
        <v>503</v>
      </c>
      <c r="F579" s="3"/>
      <c r="G579" s="3"/>
    </row>
    <row r="580" spans="1:7" x14ac:dyDescent="0.2">
      <c r="A580" s="2" t="s">
        <v>503</v>
      </c>
      <c r="B580" s="2" t="s">
        <v>657</v>
      </c>
      <c r="C580" s="2" t="s">
        <v>501</v>
      </c>
      <c r="D580" s="2" t="s">
        <v>502</v>
      </c>
      <c r="E580" s="2" t="s">
        <v>503</v>
      </c>
      <c r="F580" s="3"/>
      <c r="G580" s="3"/>
    </row>
    <row r="581" spans="1:7" x14ac:dyDescent="0.2">
      <c r="A581" s="2" t="s">
        <v>503</v>
      </c>
      <c r="B581" s="2" t="s">
        <v>658</v>
      </c>
      <c r="C581" s="2" t="s">
        <v>501</v>
      </c>
      <c r="D581" s="2" t="s">
        <v>502</v>
      </c>
      <c r="E581" s="2" t="s">
        <v>503</v>
      </c>
      <c r="F581" s="3"/>
      <c r="G581" s="3"/>
    </row>
    <row r="582" spans="1:7" x14ac:dyDescent="0.2">
      <c r="A582" s="2" t="s">
        <v>503</v>
      </c>
      <c r="B582" s="2" t="s">
        <v>659</v>
      </c>
      <c r="C582" s="2" t="s">
        <v>501</v>
      </c>
      <c r="D582" s="2" t="s">
        <v>502</v>
      </c>
      <c r="E582" s="2" t="s">
        <v>503</v>
      </c>
      <c r="F582" s="3"/>
      <c r="G582" s="3"/>
    </row>
    <row r="583" spans="1:7" x14ac:dyDescent="0.2">
      <c r="A583" s="2" t="s">
        <v>503</v>
      </c>
      <c r="B583" s="2" t="s">
        <v>661</v>
      </c>
      <c r="C583" s="2" t="s">
        <v>501</v>
      </c>
      <c r="D583" s="2" t="s">
        <v>502</v>
      </c>
      <c r="E583" s="2" t="s">
        <v>503</v>
      </c>
      <c r="F583" s="3"/>
      <c r="G583" s="3"/>
    </row>
    <row r="584" spans="1:7" x14ac:dyDescent="0.2">
      <c r="A584" s="2" t="s">
        <v>503</v>
      </c>
      <c r="B584" s="2" t="s">
        <v>662</v>
      </c>
      <c r="C584" s="2" t="s">
        <v>501</v>
      </c>
      <c r="D584" s="2" t="s">
        <v>502</v>
      </c>
      <c r="E584" s="2" t="s">
        <v>503</v>
      </c>
      <c r="F584" s="3"/>
      <c r="G584" s="3"/>
    </row>
    <row r="585" spans="1:7" x14ac:dyDescent="0.2">
      <c r="A585" s="2" t="s">
        <v>503</v>
      </c>
      <c r="B585" s="2" t="s">
        <v>663</v>
      </c>
      <c r="C585" s="2" t="s">
        <v>501</v>
      </c>
      <c r="D585" s="2" t="s">
        <v>502</v>
      </c>
      <c r="E585" s="2" t="s">
        <v>503</v>
      </c>
      <c r="F585" s="3"/>
      <c r="G585" s="3"/>
    </row>
    <row r="586" spans="1:7" x14ac:dyDescent="0.2">
      <c r="A586" s="2" t="s">
        <v>503</v>
      </c>
      <c r="B586" s="2" t="s">
        <v>777</v>
      </c>
      <c r="C586" s="2" t="s">
        <v>501</v>
      </c>
      <c r="D586" s="2" t="s">
        <v>502</v>
      </c>
      <c r="E586" s="2" t="s">
        <v>503</v>
      </c>
      <c r="F586" s="3"/>
      <c r="G586" s="3"/>
    </row>
    <row r="587" spans="1:7" x14ac:dyDescent="0.2">
      <c r="A587" s="2" t="s">
        <v>503</v>
      </c>
      <c r="B587" s="2" t="s">
        <v>665</v>
      </c>
      <c r="C587" s="2" t="s">
        <v>501</v>
      </c>
      <c r="D587" s="2" t="s">
        <v>502</v>
      </c>
      <c r="E587" s="2" t="s">
        <v>503</v>
      </c>
      <c r="F587" s="3"/>
      <c r="G587" s="3"/>
    </row>
    <row r="588" spans="1:7" x14ac:dyDescent="0.2">
      <c r="A588" s="2" t="s">
        <v>503</v>
      </c>
      <c r="B588" s="2" t="s">
        <v>666</v>
      </c>
      <c r="C588" s="2" t="s">
        <v>501</v>
      </c>
      <c r="D588" s="2" t="s">
        <v>502</v>
      </c>
      <c r="E588" s="2" t="s">
        <v>503</v>
      </c>
      <c r="F588" s="3"/>
      <c r="G588" s="3"/>
    </row>
    <row r="589" spans="1:7" x14ac:dyDescent="0.2">
      <c r="A589" s="2" t="s">
        <v>503</v>
      </c>
      <c r="B589" s="2" t="s">
        <v>667</v>
      </c>
      <c r="C589" s="2" t="s">
        <v>501</v>
      </c>
      <c r="D589" s="2" t="s">
        <v>502</v>
      </c>
      <c r="E589" s="2" t="s">
        <v>503</v>
      </c>
      <c r="F589" s="3"/>
      <c r="G589" s="3"/>
    </row>
    <row r="590" spans="1:7" x14ac:dyDescent="0.2">
      <c r="A590" s="2" t="s">
        <v>503</v>
      </c>
      <c r="B590" s="2" t="s">
        <v>668</v>
      </c>
      <c r="C590" s="2" t="s">
        <v>501</v>
      </c>
      <c r="D590" s="2" t="s">
        <v>502</v>
      </c>
      <c r="E590" s="2" t="s">
        <v>503</v>
      </c>
      <c r="F590" s="3"/>
      <c r="G590" s="3"/>
    </row>
    <row r="591" spans="1:7" x14ac:dyDescent="0.2">
      <c r="A591" s="2" t="s">
        <v>503</v>
      </c>
      <c r="B591" s="2" t="s">
        <v>669</v>
      </c>
      <c r="C591" s="2" t="s">
        <v>501</v>
      </c>
      <c r="D591" s="2" t="s">
        <v>502</v>
      </c>
      <c r="E591" s="2" t="s">
        <v>503</v>
      </c>
      <c r="F591" s="3"/>
      <c r="G591" s="3"/>
    </row>
    <row r="592" spans="1:7" x14ac:dyDescent="0.2">
      <c r="A592" s="2" t="s">
        <v>503</v>
      </c>
      <c r="B592" s="2" t="s">
        <v>670</v>
      </c>
      <c r="C592" s="2" t="s">
        <v>501</v>
      </c>
      <c r="D592" s="2" t="s">
        <v>502</v>
      </c>
      <c r="E592" s="2" t="s">
        <v>503</v>
      </c>
      <c r="F592" s="3"/>
      <c r="G592" s="3"/>
    </row>
    <row r="593" spans="1:7" x14ac:dyDescent="0.2">
      <c r="A593" s="2" t="s">
        <v>503</v>
      </c>
      <c r="B593" s="2" t="s">
        <v>671</v>
      </c>
      <c r="C593" s="2" t="s">
        <v>501</v>
      </c>
      <c r="D593" s="2" t="s">
        <v>502</v>
      </c>
      <c r="E593" s="2" t="s">
        <v>503</v>
      </c>
      <c r="F593" s="3"/>
      <c r="G593" s="3"/>
    </row>
    <row r="594" spans="1:7" x14ac:dyDescent="0.2">
      <c r="A594" s="2" t="s">
        <v>503</v>
      </c>
      <c r="B594" s="2" t="s">
        <v>672</v>
      </c>
      <c r="C594" s="2" t="s">
        <v>501</v>
      </c>
      <c r="D594" s="2" t="s">
        <v>502</v>
      </c>
      <c r="E594" s="2" t="s">
        <v>503</v>
      </c>
      <c r="F594" s="3"/>
      <c r="G594" s="3"/>
    </row>
    <row r="595" spans="1:7" x14ac:dyDescent="0.2">
      <c r="A595" s="2" t="s">
        <v>503</v>
      </c>
      <c r="B595" s="2" t="s">
        <v>675</v>
      </c>
      <c r="C595" s="2" t="s">
        <v>501</v>
      </c>
      <c r="D595" s="2" t="s">
        <v>502</v>
      </c>
      <c r="E595" s="2" t="s">
        <v>503</v>
      </c>
      <c r="F595" s="3"/>
      <c r="G595" s="3"/>
    </row>
    <row r="596" spans="1:7" x14ac:dyDescent="0.2">
      <c r="A596" s="2" t="s">
        <v>503</v>
      </c>
      <c r="B596" s="2" t="s">
        <v>676</v>
      </c>
      <c r="C596" s="2" t="s">
        <v>501</v>
      </c>
      <c r="D596" s="2" t="s">
        <v>502</v>
      </c>
      <c r="E596" s="2" t="s">
        <v>503</v>
      </c>
      <c r="F596" s="3"/>
      <c r="G596" s="3"/>
    </row>
    <row r="597" spans="1:7" x14ac:dyDescent="0.2">
      <c r="A597" s="2" t="s">
        <v>503</v>
      </c>
      <c r="B597" s="2" t="s">
        <v>678</v>
      </c>
      <c r="C597" s="2" t="s">
        <v>501</v>
      </c>
      <c r="D597" s="2" t="s">
        <v>502</v>
      </c>
      <c r="E597" s="2" t="s">
        <v>503</v>
      </c>
      <c r="F597" s="3"/>
      <c r="G597" s="3"/>
    </row>
    <row r="598" spans="1:7" x14ac:dyDescent="0.2">
      <c r="A598" s="2" t="s">
        <v>503</v>
      </c>
      <c r="B598" s="2" t="s">
        <v>679</v>
      </c>
      <c r="C598" s="2" t="s">
        <v>501</v>
      </c>
      <c r="D598" s="2" t="s">
        <v>502</v>
      </c>
      <c r="E598" s="2" t="s">
        <v>503</v>
      </c>
      <c r="F598" s="3"/>
      <c r="G598" s="3"/>
    </row>
    <row r="599" spans="1:7" x14ac:dyDescent="0.2">
      <c r="A599" s="2" t="s">
        <v>503</v>
      </c>
      <c r="B599" s="2" t="s">
        <v>680</v>
      </c>
      <c r="C599" s="2" t="s">
        <v>501</v>
      </c>
      <c r="D599" s="2" t="s">
        <v>502</v>
      </c>
      <c r="E599" s="2" t="s">
        <v>503</v>
      </c>
      <c r="F599" s="3"/>
      <c r="G599" s="3"/>
    </row>
    <row r="600" spans="1:7" x14ac:dyDescent="0.2">
      <c r="A600" s="2" t="s">
        <v>503</v>
      </c>
      <c r="B600" s="2" t="s">
        <v>681</v>
      </c>
      <c r="C600" s="2" t="s">
        <v>501</v>
      </c>
      <c r="D600" s="2" t="s">
        <v>502</v>
      </c>
      <c r="E600" s="2" t="s">
        <v>503</v>
      </c>
      <c r="F600" s="3"/>
      <c r="G600" s="3"/>
    </row>
    <row r="601" spans="1:7" x14ac:dyDescent="0.2">
      <c r="A601" s="2" t="s">
        <v>503</v>
      </c>
      <c r="B601" s="2" t="s">
        <v>682</v>
      </c>
      <c r="C601" s="2" t="s">
        <v>501</v>
      </c>
      <c r="D601" s="2" t="s">
        <v>502</v>
      </c>
      <c r="E601" s="2" t="s">
        <v>503</v>
      </c>
      <c r="F601" s="3"/>
      <c r="G601" s="3"/>
    </row>
    <row r="602" spans="1:7" x14ac:dyDescent="0.2">
      <c r="A602" s="2" t="s">
        <v>503</v>
      </c>
      <c r="B602" s="2" t="s">
        <v>683</v>
      </c>
      <c r="C602" s="2" t="s">
        <v>501</v>
      </c>
      <c r="D602" s="2" t="s">
        <v>502</v>
      </c>
      <c r="E602" s="2" t="s">
        <v>503</v>
      </c>
      <c r="F602" s="3"/>
      <c r="G602" s="3"/>
    </row>
    <row r="603" spans="1:7" x14ac:dyDescent="0.2">
      <c r="A603" s="2" t="s">
        <v>503</v>
      </c>
      <c r="B603" s="2" t="s">
        <v>684</v>
      </c>
      <c r="C603" s="2" t="s">
        <v>501</v>
      </c>
      <c r="D603" s="2" t="s">
        <v>502</v>
      </c>
      <c r="E603" s="2" t="s">
        <v>503</v>
      </c>
      <c r="F603" s="3"/>
      <c r="G603" s="3"/>
    </row>
    <row r="604" spans="1:7" x14ac:dyDescent="0.2">
      <c r="A604" s="2" t="s">
        <v>503</v>
      </c>
      <c r="B604" s="2" t="s">
        <v>685</v>
      </c>
      <c r="C604" s="2" t="s">
        <v>501</v>
      </c>
      <c r="D604" s="2" t="s">
        <v>502</v>
      </c>
      <c r="E604" s="2" t="s">
        <v>503</v>
      </c>
      <c r="F604" s="3"/>
      <c r="G604" s="3"/>
    </row>
    <row r="605" spans="1:7" x14ac:dyDescent="0.2">
      <c r="A605" s="2" t="s">
        <v>503</v>
      </c>
      <c r="B605" s="2" t="s">
        <v>686</v>
      </c>
      <c r="C605" s="2" t="s">
        <v>501</v>
      </c>
      <c r="D605" s="2" t="s">
        <v>502</v>
      </c>
      <c r="E605" s="2" t="s">
        <v>503</v>
      </c>
      <c r="F605" s="3"/>
      <c r="G605" s="3"/>
    </row>
    <row r="606" spans="1:7" x14ac:dyDescent="0.2">
      <c r="A606" s="2" t="s">
        <v>503</v>
      </c>
      <c r="B606" s="2" t="s">
        <v>793</v>
      </c>
      <c r="C606" s="2" t="s">
        <v>501</v>
      </c>
      <c r="D606" s="2" t="s">
        <v>502</v>
      </c>
      <c r="E606" s="2" t="s">
        <v>503</v>
      </c>
      <c r="F606" s="3"/>
      <c r="G606" s="3"/>
    </row>
    <row r="607" spans="1:7" x14ac:dyDescent="0.2">
      <c r="A607" s="2" t="s">
        <v>503</v>
      </c>
      <c r="B607" s="2" t="s">
        <v>687</v>
      </c>
      <c r="C607" s="2" t="s">
        <v>501</v>
      </c>
      <c r="D607" s="2" t="s">
        <v>502</v>
      </c>
      <c r="E607" s="2" t="s">
        <v>503</v>
      </c>
      <c r="F607" s="3"/>
      <c r="G607" s="3"/>
    </row>
    <row r="608" spans="1:7" x14ac:dyDescent="0.2">
      <c r="A608" s="2" t="s">
        <v>503</v>
      </c>
      <c r="B608" s="2" t="s">
        <v>688</v>
      </c>
      <c r="C608" s="2" t="s">
        <v>501</v>
      </c>
      <c r="D608" s="2" t="s">
        <v>502</v>
      </c>
      <c r="E608" s="2" t="s">
        <v>503</v>
      </c>
      <c r="F608" s="3"/>
      <c r="G608" s="3"/>
    </row>
    <row r="609" spans="1:7" x14ac:dyDescent="0.2">
      <c r="A609" s="2" t="s">
        <v>503</v>
      </c>
      <c r="B609" s="2" t="s">
        <v>689</v>
      </c>
      <c r="C609" s="2" t="s">
        <v>501</v>
      </c>
      <c r="D609" s="2" t="s">
        <v>502</v>
      </c>
      <c r="E609" s="2" t="s">
        <v>503</v>
      </c>
      <c r="F609" s="3"/>
      <c r="G609" s="3"/>
    </row>
    <row r="610" spans="1:7" x14ac:dyDescent="0.2">
      <c r="A610" s="2" t="s">
        <v>503</v>
      </c>
      <c r="B610" s="2" t="s">
        <v>690</v>
      </c>
      <c r="C610" s="2" t="s">
        <v>501</v>
      </c>
      <c r="D610" s="2" t="s">
        <v>502</v>
      </c>
      <c r="E610" s="2" t="s">
        <v>503</v>
      </c>
      <c r="F610" s="3"/>
      <c r="G610" s="3"/>
    </row>
    <row r="611" spans="1:7" x14ac:dyDescent="0.2">
      <c r="A611" s="2" t="s">
        <v>503</v>
      </c>
      <c r="B611" s="2" t="s">
        <v>691</v>
      </c>
      <c r="C611" s="2" t="s">
        <v>501</v>
      </c>
      <c r="D611" s="2" t="s">
        <v>502</v>
      </c>
      <c r="E611" s="2" t="s">
        <v>503</v>
      </c>
      <c r="F611" s="3"/>
      <c r="G611" s="3"/>
    </row>
    <row r="612" spans="1:7" x14ac:dyDescent="0.2">
      <c r="A612" s="2" t="s">
        <v>503</v>
      </c>
      <c r="B612" s="2" t="s">
        <v>692</v>
      </c>
      <c r="C612" s="2" t="s">
        <v>501</v>
      </c>
      <c r="D612" s="2" t="s">
        <v>502</v>
      </c>
      <c r="E612" s="2" t="s">
        <v>503</v>
      </c>
      <c r="F612" s="3"/>
      <c r="G612" s="3"/>
    </row>
    <row r="613" spans="1:7" x14ac:dyDescent="0.2">
      <c r="A613" s="2" t="s">
        <v>503</v>
      </c>
      <c r="B613" s="2" t="s">
        <v>693</v>
      </c>
      <c r="C613" s="2" t="s">
        <v>501</v>
      </c>
      <c r="D613" s="2" t="s">
        <v>502</v>
      </c>
      <c r="E613" s="2" t="s">
        <v>503</v>
      </c>
      <c r="F613" s="3"/>
      <c r="G613" s="3"/>
    </row>
    <row r="614" spans="1:7" x14ac:dyDescent="0.2">
      <c r="A614" s="2" t="s">
        <v>503</v>
      </c>
      <c r="B614" s="2" t="s">
        <v>694</v>
      </c>
      <c r="C614" s="2" t="s">
        <v>501</v>
      </c>
      <c r="D614" s="2" t="s">
        <v>502</v>
      </c>
      <c r="E614" s="2" t="s">
        <v>503</v>
      </c>
      <c r="F614" s="3"/>
      <c r="G614" s="3"/>
    </row>
    <row r="615" spans="1:7" x14ac:dyDescent="0.2">
      <c r="A615" s="2" t="s">
        <v>503</v>
      </c>
      <c r="B615" s="2" t="s">
        <v>695</v>
      </c>
      <c r="C615" s="2" t="s">
        <v>501</v>
      </c>
      <c r="D615" s="2" t="s">
        <v>502</v>
      </c>
      <c r="E615" s="2" t="s">
        <v>503</v>
      </c>
      <c r="F615" s="3"/>
      <c r="G615" s="3"/>
    </row>
    <row r="616" spans="1:7" x14ac:dyDescent="0.2">
      <c r="A616" s="2" t="s">
        <v>503</v>
      </c>
      <c r="B616" s="2" t="s">
        <v>696</v>
      </c>
      <c r="C616" s="2" t="s">
        <v>501</v>
      </c>
      <c r="D616" s="2" t="s">
        <v>502</v>
      </c>
      <c r="E616" s="2" t="s">
        <v>503</v>
      </c>
      <c r="F616" s="3"/>
      <c r="G616" s="3"/>
    </row>
    <row r="617" spans="1:7" x14ac:dyDescent="0.2">
      <c r="A617" s="2" t="s">
        <v>503</v>
      </c>
      <c r="B617" s="2" t="s">
        <v>697</v>
      </c>
      <c r="C617" s="2" t="s">
        <v>501</v>
      </c>
      <c r="D617" s="2" t="s">
        <v>502</v>
      </c>
      <c r="E617" s="2" t="s">
        <v>503</v>
      </c>
      <c r="F617" s="3"/>
      <c r="G617" s="3"/>
    </row>
    <row r="618" spans="1:7" x14ac:dyDescent="0.2">
      <c r="A618" s="2" t="s">
        <v>503</v>
      </c>
      <c r="B618" s="2" t="s">
        <v>698</v>
      </c>
      <c r="C618" s="2" t="s">
        <v>501</v>
      </c>
      <c r="D618" s="2" t="s">
        <v>502</v>
      </c>
      <c r="E618" s="2" t="s">
        <v>503</v>
      </c>
      <c r="F618" s="3"/>
      <c r="G618" s="3"/>
    </row>
    <row r="619" spans="1:7" x14ac:dyDescent="0.2">
      <c r="A619" s="2" t="s">
        <v>503</v>
      </c>
      <c r="B619" s="2" t="s">
        <v>699</v>
      </c>
      <c r="C619" s="2" t="s">
        <v>501</v>
      </c>
      <c r="D619" s="2" t="s">
        <v>502</v>
      </c>
      <c r="E619" s="2" t="s">
        <v>503</v>
      </c>
      <c r="F619" s="3"/>
      <c r="G619" s="3"/>
    </row>
    <row r="620" spans="1:7" x14ac:dyDescent="0.2">
      <c r="A620" s="2" t="s">
        <v>503</v>
      </c>
      <c r="B620" s="2" t="s">
        <v>700</v>
      </c>
      <c r="C620" s="2" t="s">
        <v>501</v>
      </c>
      <c r="D620" s="2" t="s">
        <v>502</v>
      </c>
      <c r="E620" s="2" t="s">
        <v>503</v>
      </c>
      <c r="F620" s="3"/>
      <c r="G620" s="3"/>
    </row>
    <row r="621" spans="1:7" x14ac:dyDescent="0.2">
      <c r="A621" s="2" t="s">
        <v>503</v>
      </c>
      <c r="B621" s="2" t="s">
        <v>701</v>
      </c>
      <c r="C621" s="2" t="s">
        <v>501</v>
      </c>
      <c r="D621" s="2" t="s">
        <v>502</v>
      </c>
      <c r="E621" s="2" t="s">
        <v>503</v>
      </c>
      <c r="F621" s="3"/>
      <c r="G621" s="3"/>
    </row>
    <row r="622" spans="1:7" x14ac:dyDescent="0.2">
      <c r="A622" s="2" t="s">
        <v>503</v>
      </c>
      <c r="B622" s="2" t="s">
        <v>702</v>
      </c>
      <c r="C622" s="2" t="s">
        <v>501</v>
      </c>
      <c r="D622" s="2" t="s">
        <v>502</v>
      </c>
      <c r="E622" s="2" t="s">
        <v>503</v>
      </c>
      <c r="F622" s="3"/>
      <c r="G622" s="3"/>
    </row>
    <row r="623" spans="1:7" x14ac:dyDescent="0.2">
      <c r="A623" s="2" t="s">
        <v>503</v>
      </c>
      <c r="B623" s="2" t="s">
        <v>704</v>
      </c>
      <c r="C623" s="2" t="s">
        <v>501</v>
      </c>
      <c r="D623" s="2" t="s">
        <v>502</v>
      </c>
      <c r="E623" s="2" t="s">
        <v>503</v>
      </c>
      <c r="F623" s="3"/>
      <c r="G623" s="3"/>
    </row>
    <row r="624" spans="1:7" x14ac:dyDescent="0.2">
      <c r="A624" s="2" t="s">
        <v>503</v>
      </c>
      <c r="B624" s="2" t="s">
        <v>705</v>
      </c>
      <c r="C624" s="2" t="s">
        <v>501</v>
      </c>
      <c r="D624" s="2" t="s">
        <v>502</v>
      </c>
      <c r="E624" s="2" t="s">
        <v>503</v>
      </c>
      <c r="F624" s="3"/>
      <c r="G624" s="3"/>
    </row>
    <row r="625" spans="1:7" x14ac:dyDescent="0.2">
      <c r="A625" s="2" t="s">
        <v>503</v>
      </c>
      <c r="B625" s="2" t="s">
        <v>706</v>
      </c>
      <c r="C625" s="2" t="s">
        <v>501</v>
      </c>
      <c r="D625" s="2" t="s">
        <v>502</v>
      </c>
      <c r="E625" s="2" t="s">
        <v>503</v>
      </c>
      <c r="F625" s="3"/>
      <c r="G625" s="3"/>
    </row>
    <row r="626" spans="1:7" x14ac:dyDescent="0.2">
      <c r="A626" s="2" t="s">
        <v>503</v>
      </c>
      <c r="B626" s="2" t="s">
        <v>815</v>
      </c>
      <c r="C626" s="2" t="s">
        <v>501</v>
      </c>
      <c r="D626" s="2" t="s">
        <v>502</v>
      </c>
      <c r="E626" s="2" t="s">
        <v>503</v>
      </c>
      <c r="F626" s="3"/>
      <c r="G626" s="3"/>
    </row>
    <row r="627" spans="1:7" x14ac:dyDescent="0.2">
      <c r="A627" s="2" t="s">
        <v>503</v>
      </c>
      <c r="B627" s="2" t="s">
        <v>707</v>
      </c>
      <c r="C627" s="2" t="s">
        <v>501</v>
      </c>
      <c r="D627" s="2" t="s">
        <v>502</v>
      </c>
      <c r="E627" s="2" t="s">
        <v>503</v>
      </c>
      <c r="F627" s="3"/>
      <c r="G627" s="3"/>
    </row>
    <row r="628" spans="1:7" x14ac:dyDescent="0.2">
      <c r="A628" s="2" t="s">
        <v>503</v>
      </c>
      <c r="B628" s="2" t="s">
        <v>708</v>
      </c>
      <c r="C628" s="2" t="s">
        <v>501</v>
      </c>
      <c r="D628" s="2" t="s">
        <v>502</v>
      </c>
      <c r="E628" s="2" t="s">
        <v>503</v>
      </c>
      <c r="F628" s="3"/>
      <c r="G628" s="3"/>
    </row>
    <row r="629" spans="1:7" x14ac:dyDescent="0.2">
      <c r="A629" s="2" t="s">
        <v>503</v>
      </c>
      <c r="B629" s="2" t="s">
        <v>709</v>
      </c>
      <c r="C629" s="2" t="s">
        <v>501</v>
      </c>
      <c r="D629" s="2" t="s">
        <v>502</v>
      </c>
      <c r="E629" s="2" t="s">
        <v>503</v>
      </c>
      <c r="F629" s="3"/>
      <c r="G629" s="3"/>
    </row>
    <row r="630" spans="1:7" x14ac:dyDescent="0.2">
      <c r="A630" s="2" t="s">
        <v>503</v>
      </c>
      <c r="B630" s="2" t="s">
        <v>710</v>
      </c>
      <c r="C630" s="2" t="s">
        <v>501</v>
      </c>
      <c r="D630" s="2" t="s">
        <v>502</v>
      </c>
      <c r="E630" s="2" t="s">
        <v>503</v>
      </c>
      <c r="F630" s="3"/>
      <c r="G630" s="3"/>
    </row>
    <row r="631" spans="1:7" x14ac:dyDescent="0.2">
      <c r="A631" s="2" t="s">
        <v>503</v>
      </c>
      <c r="B631" s="2" t="s">
        <v>713</v>
      </c>
      <c r="C631" s="2" t="s">
        <v>501</v>
      </c>
      <c r="D631" s="2" t="s">
        <v>502</v>
      </c>
      <c r="E631" s="2" t="s">
        <v>503</v>
      </c>
      <c r="F631" s="3">
        <v>1140</v>
      </c>
      <c r="G631" s="3">
        <v>608.5</v>
      </c>
    </row>
    <row r="632" spans="1:7" x14ac:dyDescent="0.2">
      <c r="A632" s="2" t="s">
        <v>503</v>
      </c>
      <c r="B632" s="2" t="s">
        <v>716</v>
      </c>
      <c r="C632" s="2" t="s">
        <v>501</v>
      </c>
      <c r="D632" s="2" t="s">
        <v>502</v>
      </c>
      <c r="E632" s="2" t="s">
        <v>503</v>
      </c>
      <c r="F632" s="3"/>
      <c r="G632" s="3"/>
    </row>
    <row r="633" spans="1:7" x14ac:dyDescent="0.2">
      <c r="A633" s="2" t="s">
        <v>503</v>
      </c>
      <c r="B633" s="2" t="s">
        <v>717</v>
      </c>
      <c r="C633" s="2" t="s">
        <v>501</v>
      </c>
      <c r="D633" s="2" t="s">
        <v>502</v>
      </c>
      <c r="E633" s="2" t="s">
        <v>503</v>
      </c>
      <c r="F633" s="3"/>
      <c r="G633" s="3"/>
    </row>
    <row r="634" spans="1:7" x14ac:dyDescent="0.2">
      <c r="A634" s="2" t="s">
        <v>503</v>
      </c>
      <c r="B634" s="2" t="s">
        <v>718</v>
      </c>
      <c r="C634" s="2" t="s">
        <v>501</v>
      </c>
      <c r="D634" s="2" t="s">
        <v>502</v>
      </c>
      <c r="E634" s="2" t="s">
        <v>503</v>
      </c>
      <c r="F634" s="3"/>
      <c r="G634" s="3"/>
    </row>
    <row r="635" spans="1:7" x14ac:dyDescent="0.2">
      <c r="A635" s="2" t="s">
        <v>503</v>
      </c>
      <c r="B635" s="2" t="s">
        <v>719</v>
      </c>
      <c r="C635" s="2" t="s">
        <v>501</v>
      </c>
      <c r="D635" s="2" t="s">
        <v>502</v>
      </c>
      <c r="E635" s="2" t="s">
        <v>503</v>
      </c>
      <c r="F635" s="3"/>
      <c r="G635" s="3"/>
    </row>
    <row r="636" spans="1:7" x14ac:dyDescent="0.2">
      <c r="A636" s="2" t="s">
        <v>503</v>
      </c>
      <c r="B636" s="2" t="s">
        <v>720</v>
      </c>
      <c r="C636" s="2" t="s">
        <v>501</v>
      </c>
      <c r="D636" s="2" t="s">
        <v>502</v>
      </c>
      <c r="E636" s="2" t="s">
        <v>503</v>
      </c>
      <c r="F636" s="3"/>
      <c r="G636" s="3"/>
    </row>
    <row r="637" spans="1:7" x14ac:dyDescent="0.2">
      <c r="A637" s="2" t="s">
        <v>503</v>
      </c>
      <c r="B637" s="2" t="s">
        <v>721</v>
      </c>
      <c r="C637" s="2" t="s">
        <v>501</v>
      </c>
      <c r="D637" s="2" t="s">
        <v>502</v>
      </c>
      <c r="E637" s="2" t="s">
        <v>503</v>
      </c>
      <c r="F637" s="3"/>
      <c r="G637" s="3"/>
    </row>
    <row r="638" spans="1:7" x14ac:dyDescent="0.2">
      <c r="A638" s="2" t="s">
        <v>503</v>
      </c>
      <c r="B638" s="2" t="s">
        <v>722</v>
      </c>
      <c r="C638" s="2" t="s">
        <v>501</v>
      </c>
      <c r="D638" s="2" t="s">
        <v>502</v>
      </c>
      <c r="E638" s="2" t="s">
        <v>503</v>
      </c>
      <c r="F638" s="3"/>
      <c r="G638" s="3"/>
    </row>
    <row r="639" spans="1:7" x14ac:dyDescent="0.2">
      <c r="A639" s="2" t="s">
        <v>503</v>
      </c>
      <c r="B639" s="2" t="s">
        <v>723</v>
      </c>
      <c r="C639" s="2" t="s">
        <v>501</v>
      </c>
      <c r="D639" s="2" t="s">
        <v>502</v>
      </c>
      <c r="E639" s="2" t="s">
        <v>503</v>
      </c>
      <c r="F639" s="3"/>
      <c r="G639" s="3"/>
    </row>
    <row r="640" spans="1:7" x14ac:dyDescent="0.2">
      <c r="A640" s="2" t="s">
        <v>503</v>
      </c>
      <c r="B640" s="2" t="s">
        <v>724</v>
      </c>
      <c r="C640" s="2" t="s">
        <v>501</v>
      </c>
      <c r="D640" s="2" t="s">
        <v>502</v>
      </c>
      <c r="E640" s="2" t="s">
        <v>503</v>
      </c>
      <c r="F640" s="3"/>
      <c r="G640" s="3"/>
    </row>
    <row r="641" spans="1:7" x14ac:dyDescent="0.2">
      <c r="A641" s="2" t="s">
        <v>503</v>
      </c>
      <c r="B641" s="2" t="s">
        <v>725</v>
      </c>
      <c r="C641" s="2" t="s">
        <v>501</v>
      </c>
      <c r="D641" s="2" t="s">
        <v>502</v>
      </c>
      <c r="E641" s="2" t="s">
        <v>503</v>
      </c>
      <c r="F641" s="3"/>
      <c r="G641" s="3"/>
    </row>
    <row r="642" spans="1:7" x14ac:dyDescent="0.2">
      <c r="A642" s="2" t="s">
        <v>503</v>
      </c>
      <c r="B642" s="2" t="s">
        <v>728</v>
      </c>
      <c r="C642" s="2" t="s">
        <v>501</v>
      </c>
      <c r="D642" s="2" t="s">
        <v>502</v>
      </c>
      <c r="E642" s="2" t="s">
        <v>503</v>
      </c>
      <c r="F642" s="3"/>
      <c r="G642" s="3"/>
    </row>
    <row r="643" spans="1:7" x14ac:dyDescent="0.2">
      <c r="A643" s="2" t="s">
        <v>503</v>
      </c>
      <c r="B643" s="2" t="s">
        <v>729</v>
      </c>
      <c r="C643" s="2" t="s">
        <v>501</v>
      </c>
      <c r="D643" s="2" t="s">
        <v>502</v>
      </c>
      <c r="E643" s="2" t="s">
        <v>503</v>
      </c>
      <c r="F643" s="3"/>
      <c r="G643" s="3"/>
    </row>
    <row r="644" spans="1:7" x14ac:dyDescent="0.2">
      <c r="A644" s="2" t="s">
        <v>503</v>
      </c>
      <c r="B644" s="2" t="s">
        <v>730</v>
      </c>
      <c r="C644" s="2" t="s">
        <v>501</v>
      </c>
      <c r="D644" s="2" t="s">
        <v>502</v>
      </c>
      <c r="E644" s="2" t="s">
        <v>503</v>
      </c>
      <c r="F644" s="3"/>
      <c r="G644" s="3"/>
    </row>
    <row r="645" spans="1:7" x14ac:dyDescent="0.2">
      <c r="A645" s="2" t="s">
        <v>503</v>
      </c>
      <c r="B645" s="2" t="s">
        <v>732</v>
      </c>
      <c r="C645" s="2" t="s">
        <v>501</v>
      </c>
      <c r="D645" s="2" t="s">
        <v>502</v>
      </c>
      <c r="E645" s="2" t="s">
        <v>503</v>
      </c>
      <c r="F645" s="3">
        <v>1165.3279999999995</v>
      </c>
      <c r="G645" s="3">
        <v>3103.8119999999981</v>
      </c>
    </row>
    <row r="646" spans="1:7" x14ac:dyDescent="0.2">
      <c r="A646" s="2" t="s">
        <v>503</v>
      </c>
      <c r="B646" s="2" t="s">
        <v>733</v>
      </c>
      <c r="C646" s="2" t="s">
        <v>501</v>
      </c>
      <c r="D646" s="2" t="s">
        <v>502</v>
      </c>
      <c r="E646" s="2" t="s">
        <v>503</v>
      </c>
      <c r="F646" s="3">
        <v>585.47099999999955</v>
      </c>
      <c r="G646" s="3">
        <v>712.40300000000116</v>
      </c>
    </row>
    <row r="647" spans="1:7" x14ac:dyDescent="0.2">
      <c r="A647" s="2" t="s">
        <v>503</v>
      </c>
      <c r="B647" s="2" t="s">
        <v>734</v>
      </c>
      <c r="C647" s="2" t="s">
        <v>501</v>
      </c>
      <c r="D647" s="2" t="s">
        <v>502</v>
      </c>
      <c r="E647" s="2" t="s">
        <v>503</v>
      </c>
      <c r="F647" s="3"/>
      <c r="G647" s="3"/>
    </row>
    <row r="648" spans="1:7" x14ac:dyDescent="0.2">
      <c r="A648" s="2" t="s">
        <v>503</v>
      </c>
      <c r="B648" s="2" t="s">
        <v>735</v>
      </c>
      <c r="C648" s="2" t="s">
        <v>501</v>
      </c>
      <c r="D648" s="2" t="s">
        <v>502</v>
      </c>
      <c r="E648" s="2" t="s">
        <v>503</v>
      </c>
      <c r="F648" s="3"/>
      <c r="G648" s="3"/>
    </row>
    <row r="649" spans="1:7" x14ac:dyDescent="0.2">
      <c r="A649" s="2" t="s">
        <v>503</v>
      </c>
      <c r="B649" s="2" t="s">
        <v>736</v>
      </c>
      <c r="C649" s="2" t="s">
        <v>501</v>
      </c>
      <c r="D649" s="2" t="s">
        <v>502</v>
      </c>
      <c r="E649" s="2" t="s">
        <v>503</v>
      </c>
      <c r="F649" s="3"/>
      <c r="G649" s="3"/>
    </row>
    <row r="650" spans="1:7" x14ac:dyDescent="0.2">
      <c r="A650" s="2" t="s">
        <v>503</v>
      </c>
      <c r="B650" s="2" t="s">
        <v>737</v>
      </c>
      <c r="C650" s="2" t="s">
        <v>501</v>
      </c>
      <c r="D650" s="2" t="s">
        <v>502</v>
      </c>
      <c r="E650" s="2" t="s">
        <v>503</v>
      </c>
      <c r="F650" s="3"/>
      <c r="G650" s="3"/>
    </row>
    <row r="651" spans="1:7" x14ac:dyDescent="0.2">
      <c r="A651" s="2" t="s">
        <v>503</v>
      </c>
      <c r="B651" s="2" t="s">
        <v>738</v>
      </c>
      <c r="C651" s="2" t="s">
        <v>501</v>
      </c>
      <c r="D651" s="2" t="s">
        <v>502</v>
      </c>
      <c r="E651" s="2" t="s">
        <v>503</v>
      </c>
      <c r="F651" s="3"/>
      <c r="G651" s="3"/>
    </row>
    <row r="652" spans="1:7" x14ac:dyDescent="0.2">
      <c r="A652" s="2" t="s">
        <v>503</v>
      </c>
      <c r="B652" s="2" t="s">
        <v>739</v>
      </c>
      <c r="C652" s="2" t="s">
        <v>501</v>
      </c>
      <c r="D652" s="2" t="s">
        <v>502</v>
      </c>
      <c r="E652" s="2" t="s">
        <v>503</v>
      </c>
      <c r="F652" s="3">
        <v>1978</v>
      </c>
      <c r="G652" s="3"/>
    </row>
    <row r="653" spans="1:7" x14ac:dyDescent="0.2">
      <c r="A653" s="2" t="s">
        <v>503</v>
      </c>
      <c r="B653" s="2" t="s">
        <v>740</v>
      </c>
      <c r="C653" s="2" t="s">
        <v>501</v>
      </c>
      <c r="D653" s="2" t="s">
        <v>502</v>
      </c>
      <c r="E653" s="2" t="s">
        <v>503</v>
      </c>
      <c r="F653" s="3"/>
      <c r="G653" s="3"/>
    </row>
    <row r="654" spans="1:7" x14ac:dyDescent="0.2">
      <c r="A654" s="2" t="s">
        <v>503</v>
      </c>
      <c r="B654" s="2" t="s">
        <v>741</v>
      </c>
      <c r="C654" s="2" t="s">
        <v>501</v>
      </c>
      <c r="D654" s="2" t="s">
        <v>502</v>
      </c>
      <c r="E654" s="2" t="s">
        <v>503</v>
      </c>
      <c r="F654" s="3"/>
      <c r="G654" s="3"/>
    </row>
    <row r="655" spans="1:7" x14ac:dyDescent="0.2">
      <c r="A655" s="2" t="s">
        <v>503</v>
      </c>
      <c r="B655" s="2" t="s">
        <v>742</v>
      </c>
      <c r="C655" s="2" t="s">
        <v>501</v>
      </c>
      <c r="D655" s="2" t="s">
        <v>502</v>
      </c>
      <c r="E655" s="2" t="s">
        <v>503</v>
      </c>
      <c r="F655" s="3"/>
      <c r="G655" s="3"/>
    </row>
    <row r="656" spans="1:7" x14ac:dyDescent="0.2">
      <c r="A656" s="2" t="s">
        <v>503</v>
      </c>
      <c r="B656" s="2" t="s">
        <v>786</v>
      </c>
      <c r="C656" s="2" t="s">
        <v>501</v>
      </c>
      <c r="D656" s="2" t="s">
        <v>502</v>
      </c>
      <c r="E656" s="2" t="s">
        <v>503</v>
      </c>
      <c r="F656" s="3"/>
      <c r="G656" s="3"/>
    </row>
    <row r="657" spans="1:7" x14ac:dyDescent="0.2">
      <c r="A657" s="2" t="s">
        <v>664</v>
      </c>
      <c r="B657" s="2" t="s">
        <v>664</v>
      </c>
      <c r="C657" s="2" t="s">
        <v>664</v>
      </c>
      <c r="D657" s="2" t="s">
        <v>502</v>
      </c>
      <c r="E657" s="2" t="s">
        <v>664</v>
      </c>
      <c r="F657" s="3"/>
      <c r="G657" s="3"/>
    </row>
    <row r="658" spans="1:7" x14ac:dyDescent="0.2">
      <c r="A658" s="2" t="s">
        <v>556</v>
      </c>
      <c r="B658" s="2" t="s">
        <v>556</v>
      </c>
      <c r="C658" s="2" t="s">
        <v>30</v>
      </c>
      <c r="D658" s="6" t="s">
        <v>502</v>
      </c>
      <c r="E658" s="2" t="s">
        <v>556</v>
      </c>
      <c r="F658" s="3">
        <v>151808.63499999995</v>
      </c>
      <c r="G658" s="3">
        <v>130111.295</v>
      </c>
    </row>
    <row r="659" spans="1:7" x14ac:dyDescent="0.2">
      <c r="A659" s="2" t="s">
        <v>759</v>
      </c>
      <c r="B659" s="2" t="s">
        <v>759</v>
      </c>
      <c r="C659" s="2" t="s">
        <v>759</v>
      </c>
      <c r="D659" s="2" t="s">
        <v>744</v>
      </c>
      <c r="E659" s="2" t="s">
        <v>759</v>
      </c>
      <c r="F659" s="3"/>
      <c r="G659" s="3"/>
    </row>
    <row r="660" spans="1:7" x14ac:dyDescent="0.2">
      <c r="A660" s="2" t="s">
        <v>754</v>
      </c>
      <c r="B660" s="2" t="s">
        <v>752</v>
      </c>
      <c r="C660" s="2" t="s">
        <v>753</v>
      </c>
      <c r="D660" s="2" t="s">
        <v>744</v>
      </c>
      <c r="E660" s="2" t="s">
        <v>754</v>
      </c>
      <c r="F660" s="3"/>
      <c r="G660" s="3"/>
    </row>
    <row r="661" spans="1:7" x14ac:dyDescent="0.2">
      <c r="A661" s="2" t="s">
        <v>754</v>
      </c>
      <c r="B661" s="2" t="s">
        <v>766</v>
      </c>
      <c r="C661" s="2" t="s">
        <v>753</v>
      </c>
      <c r="D661" s="2" t="s">
        <v>744</v>
      </c>
      <c r="E661" s="2" t="s">
        <v>754</v>
      </c>
      <c r="F661" s="3"/>
      <c r="G661" s="3"/>
    </row>
    <row r="662" spans="1:7" x14ac:dyDescent="0.2">
      <c r="A662" s="2" t="s">
        <v>756</v>
      </c>
      <c r="B662" s="2" t="s">
        <v>755</v>
      </c>
      <c r="C662" s="2" t="s">
        <v>756</v>
      </c>
      <c r="D662" s="2" t="s">
        <v>744</v>
      </c>
      <c r="E662" s="2" t="s">
        <v>756</v>
      </c>
      <c r="F662" s="3"/>
      <c r="G662" s="3"/>
    </row>
    <row r="663" spans="1:7" x14ac:dyDescent="0.2">
      <c r="A663" s="2" t="s">
        <v>756</v>
      </c>
      <c r="B663" s="2" t="s">
        <v>761</v>
      </c>
      <c r="C663" s="2" t="s">
        <v>756</v>
      </c>
      <c r="D663" s="2" t="s">
        <v>744</v>
      </c>
      <c r="E663" s="2" t="s">
        <v>756</v>
      </c>
      <c r="F663" s="3"/>
      <c r="G663" s="3"/>
    </row>
    <row r="664" spans="1:7" x14ac:dyDescent="0.2">
      <c r="A664" s="2" t="s">
        <v>756</v>
      </c>
      <c r="B664" s="2" t="s">
        <v>765</v>
      </c>
      <c r="C664" s="2" t="s">
        <v>756</v>
      </c>
      <c r="D664" s="2" t="s">
        <v>744</v>
      </c>
      <c r="E664" s="2" t="s">
        <v>756</v>
      </c>
      <c r="F664" s="3"/>
      <c r="G664" s="3"/>
    </row>
    <row r="665" spans="1:7" x14ac:dyDescent="0.2">
      <c r="A665" s="2" t="s">
        <v>43</v>
      </c>
      <c r="B665" s="2" t="s">
        <v>29</v>
      </c>
      <c r="C665" s="2" t="s">
        <v>30</v>
      </c>
      <c r="D665" s="2" t="s">
        <v>31</v>
      </c>
      <c r="E665" s="2" t="s">
        <v>43</v>
      </c>
      <c r="F665" s="3">
        <v>21</v>
      </c>
      <c r="G665" s="3">
        <v>21</v>
      </c>
    </row>
    <row r="666" spans="1:7" x14ac:dyDescent="0.2">
      <c r="A666" s="2" t="s">
        <v>43</v>
      </c>
      <c r="B666" s="2" t="s">
        <v>803</v>
      </c>
      <c r="C666" s="2" t="s">
        <v>30</v>
      </c>
      <c r="D666" s="2" t="s">
        <v>31</v>
      </c>
      <c r="E666" s="2" t="s">
        <v>43</v>
      </c>
      <c r="F666" s="3">
        <v>11597.660000000003</v>
      </c>
      <c r="G666" s="3">
        <v>515.12749999999801</v>
      </c>
    </row>
    <row r="667" spans="1:7" x14ac:dyDescent="0.2">
      <c r="A667" s="2" t="s">
        <v>43</v>
      </c>
      <c r="B667" s="2" t="s">
        <v>819</v>
      </c>
      <c r="C667" s="2" t="s">
        <v>30</v>
      </c>
      <c r="D667" s="2" t="s">
        <v>31</v>
      </c>
      <c r="E667" s="2" t="s">
        <v>43</v>
      </c>
      <c r="F667" s="3">
        <v>25</v>
      </c>
      <c r="G667" s="3">
        <v>25</v>
      </c>
    </row>
    <row r="668" spans="1:7" x14ac:dyDescent="0.2">
      <c r="A668" s="2" t="s">
        <v>43</v>
      </c>
      <c r="B668" s="2" t="s">
        <v>929</v>
      </c>
      <c r="C668" s="2" t="s">
        <v>30</v>
      </c>
      <c r="D668" s="2" t="s">
        <v>31</v>
      </c>
      <c r="E668" s="2" t="s">
        <v>43</v>
      </c>
      <c r="F668" s="3">
        <v>378</v>
      </c>
      <c r="G668" s="3">
        <v>244</v>
      </c>
    </row>
    <row r="669" spans="1:7" x14ac:dyDescent="0.2">
      <c r="A669" s="2" t="s">
        <v>43</v>
      </c>
      <c r="B669" s="2" t="s">
        <v>888</v>
      </c>
      <c r="C669" s="2" t="s">
        <v>30</v>
      </c>
      <c r="D669" s="2" t="s">
        <v>31</v>
      </c>
      <c r="E669" s="2" t="s">
        <v>43</v>
      </c>
      <c r="F669" s="3"/>
      <c r="G669" s="3"/>
    </row>
    <row r="670" spans="1:7" x14ac:dyDescent="0.2">
      <c r="A670" s="2" t="s">
        <v>43</v>
      </c>
      <c r="B670" s="2" t="s">
        <v>922</v>
      </c>
      <c r="C670" s="2" t="s">
        <v>30</v>
      </c>
      <c r="D670" s="2" t="s">
        <v>31</v>
      </c>
      <c r="E670" s="2" t="s">
        <v>43</v>
      </c>
      <c r="F670" s="3">
        <v>50</v>
      </c>
      <c r="G670" s="3">
        <v>50</v>
      </c>
    </row>
    <row r="671" spans="1:7" x14ac:dyDescent="0.2">
      <c r="A671" s="2" t="s">
        <v>43</v>
      </c>
      <c r="B671" s="2" t="s">
        <v>798</v>
      </c>
      <c r="C671" s="2" t="s">
        <v>30</v>
      </c>
      <c r="D671" s="2" t="s">
        <v>31</v>
      </c>
      <c r="E671" s="2" t="s">
        <v>43</v>
      </c>
      <c r="F671" s="3"/>
      <c r="G671" s="3"/>
    </row>
    <row r="672" spans="1:7" x14ac:dyDescent="0.2">
      <c r="A672" s="2" t="s">
        <v>43</v>
      </c>
      <c r="B672" s="2" t="s">
        <v>843</v>
      </c>
      <c r="C672" s="2" t="s">
        <v>30</v>
      </c>
      <c r="D672" s="2" t="s">
        <v>31</v>
      </c>
      <c r="E672" s="2" t="s">
        <v>43</v>
      </c>
      <c r="F672" s="3">
        <v>4</v>
      </c>
      <c r="G672" s="3">
        <v>4</v>
      </c>
    </row>
    <row r="673" spans="1:7" x14ac:dyDescent="0.2">
      <c r="A673" s="2" t="s">
        <v>43</v>
      </c>
      <c r="B673" s="2" t="s">
        <v>844</v>
      </c>
      <c r="C673" s="2" t="s">
        <v>30</v>
      </c>
      <c r="D673" s="2" t="s">
        <v>31</v>
      </c>
      <c r="E673" s="2" t="s">
        <v>43</v>
      </c>
      <c r="F673" s="3"/>
      <c r="G673" s="3"/>
    </row>
    <row r="674" spans="1:7" x14ac:dyDescent="0.2">
      <c r="A674" s="2" t="s">
        <v>43</v>
      </c>
      <c r="B674" s="2" t="s">
        <v>822</v>
      </c>
      <c r="C674" s="2" t="s">
        <v>30</v>
      </c>
      <c r="D674" s="2" t="s">
        <v>31</v>
      </c>
      <c r="E674" s="2" t="s">
        <v>43</v>
      </c>
      <c r="F674" s="3">
        <v>132.79999999999998</v>
      </c>
      <c r="G674" s="3">
        <v>132.79999999999998</v>
      </c>
    </row>
    <row r="675" spans="1:7" x14ac:dyDescent="0.2">
      <c r="A675" s="2" t="s">
        <v>43</v>
      </c>
      <c r="B675" s="2" t="s">
        <v>42</v>
      </c>
      <c r="C675" s="2" t="s">
        <v>30</v>
      </c>
      <c r="D675" s="2" t="s">
        <v>31</v>
      </c>
      <c r="E675" s="2" t="s">
        <v>43</v>
      </c>
      <c r="F675" s="3"/>
      <c r="G675" s="3"/>
    </row>
    <row r="676" spans="1:7" s="8" customFormat="1" x14ac:dyDescent="0.2">
      <c r="A676" s="2" t="s">
        <v>43</v>
      </c>
      <c r="B676" s="2" t="s">
        <v>826</v>
      </c>
      <c r="C676" s="2" t="s">
        <v>30</v>
      </c>
      <c r="D676" s="2" t="s">
        <v>31</v>
      </c>
      <c r="E676" s="2" t="s">
        <v>43</v>
      </c>
      <c r="F676" s="3"/>
      <c r="G676" s="3">
        <v>34.299999999999997</v>
      </c>
    </row>
    <row r="677" spans="1:7" x14ac:dyDescent="0.2">
      <c r="A677" s="2" t="s">
        <v>43</v>
      </c>
      <c r="B677" s="2" t="s">
        <v>823</v>
      </c>
      <c r="C677" s="2" t="s">
        <v>30</v>
      </c>
      <c r="D677" s="2" t="s">
        <v>31</v>
      </c>
      <c r="E677" s="2" t="s">
        <v>43</v>
      </c>
      <c r="F677" s="3"/>
      <c r="G677" s="3"/>
    </row>
    <row r="678" spans="1:7" x14ac:dyDescent="0.2">
      <c r="A678" s="2" t="s">
        <v>43</v>
      </c>
      <c r="B678" s="2" t="s">
        <v>44</v>
      </c>
      <c r="C678" s="2" t="s">
        <v>30</v>
      </c>
      <c r="D678" s="2" t="s">
        <v>31</v>
      </c>
      <c r="E678" s="2" t="s">
        <v>43</v>
      </c>
      <c r="F678" s="3">
        <v>33.09999999999998</v>
      </c>
      <c r="G678" s="3">
        <v>33.09999999999998</v>
      </c>
    </row>
    <row r="679" spans="1:7" x14ac:dyDescent="0.2">
      <c r="A679" s="2" t="s">
        <v>43</v>
      </c>
      <c r="B679" s="2" t="s">
        <v>45</v>
      </c>
      <c r="C679" s="2" t="s">
        <v>30</v>
      </c>
      <c r="D679" s="2" t="s">
        <v>31</v>
      </c>
      <c r="E679" s="2" t="s">
        <v>43</v>
      </c>
      <c r="F679" s="3">
        <v>85</v>
      </c>
      <c r="G679" s="3">
        <v>85</v>
      </c>
    </row>
    <row r="680" spans="1:7" x14ac:dyDescent="0.2">
      <c r="A680" s="2" t="s">
        <v>43</v>
      </c>
      <c r="B680" s="2" t="s">
        <v>832</v>
      </c>
      <c r="C680" s="2" t="s">
        <v>30</v>
      </c>
      <c r="D680" s="2" t="s">
        <v>31</v>
      </c>
      <c r="E680" s="2" t="s">
        <v>43</v>
      </c>
      <c r="F680" s="3"/>
      <c r="G680" s="3"/>
    </row>
    <row r="681" spans="1:7" x14ac:dyDescent="0.2">
      <c r="A681" s="2" t="s">
        <v>43</v>
      </c>
      <c r="B681" s="2" t="s">
        <v>805</v>
      </c>
      <c r="C681" s="2" t="s">
        <v>30</v>
      </c>
      <c r="D681" s="2" t="s">
        <v>31</v>
      </c>
      <c r="E681" s="2" t="s">
        <v>43</v>
      </c>
      <c r="F681" s="3"/>
      <c r="G681" s="3"/>
    </row>
    <row r="682" spans="1:7" x14ac:dyDescent="0.2">
      <c r="A682" s="2" t="s">
        <v>43</v>
      </c>
      <c r="B682" s="2" t="s">
        <v>61</v>
      </c>
      <c r="C682" s="2" t="s">
        <v>30</v>
      </c>
      <c r="D682" s="2" t="s">
        <v>31</v>
      </c>
      <c r="E682" s="2" t="s">
        <v>43</v>
      </c>
      <c r="F682" s="3"/>
      <c r="G682" s="3"/>
    </row>
    <row r="683" spans="1:7" x14ac:dyDescent="0.2">
      <c r="A683" s="2" t="s">
        <v>43</v>
      </c>
      <c r="B683" s="2" t="s">
        <v>63</v>
      </c>
      <c r="C683" s="2" t="s">
        <v>30</v>
      </c>
      <c r="D683" s="2" t="s">
        <v>31</v>
      </c>
      <c r="E683" s="2" t="s">
        <v>43</v>
      </c>
      <c r="F683" s="3"/>
      <c r="G683" s="3"/>
    </row>
    <row r="684" spans="1:7" x14ac:dyDescent="0.2">
      <c r="A684" s="2" t="s">
        <v>43</v>
      </c>
      <c r="B684" s="2" t="s">
        <v>65</v>
      </c>
      <c r="C684" s="2" t="s">
        <v>30</v>
      </c>
      <c r="D684" s="2" t="s">
        <v>31</v>
      </c>
      <c r="E684" s="2" t="s">
        <v>43</v>
      </c>
      <c r="F684" s="3"/>
      <c r="G684" s="3"/>
    </row>
    <row r="685" spans="1:7" x14ac:dyDescent="0.2">
      <c r="A685" s="2" t="s">
        <v>43</v>
      </c>
      <c r="B685" s="2" t="s">
        <v>66</v>
      </c>
      <c r="C685" s="2" t="s">
        <v>30</v>
      </c>
      <c r="D685" s="2" t="s">
        <v>31</v>
      </c>
      <c r="E685" s="2" t="s">
        <v>43</v>
      </c>
      <c r="F685" s="3"/>
      <c r="G685" s="3"/>
    </row>
    <row r="686" spans="1:7" x14ac:dyDescent="0.2">
      <c r="A686" s="2" t="s">
        <v>43</v>
      </c>
      <c r="B686" s="2" t="s">
        <v>841</v>
      </c>
      <c r="C686" s="2" t="s">
        <v>30</v>
      </c>
      <c r="D686" s="2" t="s">
        <v>31</v>
      </c>
      <c r="E686" s="2" t="s">
        <v>43</v>
      </c>
      <c r="F686" s="3">
        <v>2086.8000000000002</v>
      </c>
      <c r="G686" s="3">
        <v>4449</v>
      </c>
    </row>
    <row r="687" spans="1:7" x14ac:dyDescent="0.2">
      <c r="A687" s="2" t="s">
        <v>43</v>
      </c>
      <c r="B687" s="2" t="s">
        <v>68</v>
      </c>
      <c r="C687" s="2" t="s">
        <v>30</v>
      </c>
      <c r="D687" s="2" t="s">
        <v>31</v>
      </c>
      <c r="E687" s="2" t="s">
        <v>43</v>
      </c>
      <c r="F687" s="3"/>
      <c r="G687" s="3"/>
    </row>
    <row r="688" spans="1:7" x14ac:dyDescent="0.2">
      <c r="A688" s="2" t="s">
        <v>43</v>
      </c>
      <c r="B688" s="2" t="s">
        <v>69</v>
      </c>
      <c r="C688" s="2" t="s">
        <v>30</v>
      </c>
      <c r="D688" s="2" t="s">
        <v>31</v>
      </c>
      <c r="E688" s="2" t="s">
        <v>43</v>
      </c>
      <c r="F688" s="3"/>
      <c r="G688" s="3"/>
    </row>
    <row r="689" spans="1:7" x14ac:dyDescent="0.2">
      <c r="A689" s="2" t="s">
        <v>43</v>
      </c>
      <c r="B689" s="2" t="s">
        <v>54</v>
      </c>
      <c r="C689" s="2" t="s">
        <v>30</v>
      </c>
      <c r="D689" s="2" t="s">
        <v>31</v>
      </c>
      <c r="E689" s="2" t="s">
        <v>43</v>
      </c>
      <c r="F689" s="3">
        <v>350.71</v>
      </c>
      <c r="G689" s="3">
        <v>390.05999999999995</v>
      </c>
    </row>
    <row r="690" spans="1:7" x14ac:dyDescent="0.2">
      <c r="A690" s="2" t="s">
        <v>43</v>
      </c>
      <c r="B690" s="2" t="s">
        <v>35</v>
      </c>
      <c r="C690" s="2" t="s">
        <v>30</v>
      </c>
      <c r="D690" s="2" t="s">
        <v>31</v>
      </c>
      <c r="E690" s="2" t="s">
        <v>43</v>
      </c>
      <c r="F690" s="3">
        <v>128.44999999999993</v>
      </c>
      <c r="G690" s="3">
        <v>171.24999999999994</v>
      </c>
    </row>
    <row r="691" spans="1:7" x14ac:dyDescent="0.2">
      <c r="A691" s="2" t="s">
        <v>43</v>
      </c>
      <c r="B691" s="2" t="s">
        <v>78</v>
      </c>
      <c r="C691" s="2" t="s">
        <v>30</v>
      </c>
      <c r="D691" s="2" t="s">
        <v>31</v>
      </c>
      <c r="E691" s="2" t="s">
        <v>43</v>
      </c>
      <c r="F691" s="3"/>
      <c r="G691" s="3"/>
    </row>
    <row r="692" spans="1:7" x14ac:dyDescent="0.2">
      <c r="A692" s="2" t="s">
        <v>43</v>
      </c>
      <c r="B692" s="2" t="s">
        <v>79</v>
      </c>
      <c r="C692" s="2" t="s">
        <v>30</v>
      </c>
      <c r="D692" s="2" t="s">
        <v>31</v>
      </c>
      <c r="E692" s="2" t="s">
        <v>43</v>
      </c>
      <c r="F692" s="3"/>
      <c r="G692" s="3"/>
    </row>
    <row r="693" spans="1:7" x14ac:dyDescent="0.2">
      <c r="A693" s="2" t="s">
        <v>43</v>
      </c>
      <c r="B693" s="2" t="s">
        <v>82</v>
      </c>
      <c r="C693" s="2" t="s">
        <v>30</v>
      </c>
      <c r="D693" s="2" t="s">
        <v>31</v>
      </c>
      <c r="E693" s="2" t="s">
        <v>43</v>
      </c>
      <c r="F693" s="3"/>
      <c r="G693" s="3"/>
    </row>
    <row r="694" spans="1:7" x14ac:dyDescent="0.2">
      <c r="A694" s="2" t="s">
        <v>43</v>
      </c>
      <c r="B694" s="2" t="s">
        <v>902</v>
      </c>
      <c r="C694" s="2" t="s">
        <v>30</v>
      </c>
      <c r="D694" s="2" t="s">
        <v>31</v>
      </c>
      <c r="E694" s="2" t="s">
        <v>43</v>
      </c>
      <c r="F694" s="3">
        <v>100</v>
      </c>
      <c r="G694" s="3">
        <v>100</v>
      </c>
    </row>
    <row r="695" spans="1:7" x14ac:dyDescent="0.2">
      <c r="A695" s="2" t="s">
        <v>43</v>
      </c>
      <c r="B695" s="2" t="s">
        <v>83</v>
      </c>
      <c r="C695" s="2" t="s">
        <v>30</v>
      </c>
      <c r="D695" s="2" t="s">
        <v>31</v>
      </c>
      <c r="E695" s="2" t="s">
        <v>43</v>
      </c>
      <c r="F695" s="3">
        <v>31.350000000000009</v>
      </c>
      <c r="G695" s="3">
        <v>31.350000000000009</v>
      </c>
    </row>
    <row r="696" spans="1:7" x14ac:dyDescent="0.2">
      <c r="A696" s="2" t="s">
        <v>43</v>
      </c>
      <c r="B696" s="2" t="s">
        <v>903</v>
      </c>
      <c r="C696" s="2" t="s">
        <v>30</v>
      </c>
      <c r="D696" s="2" t="s">
        <v>31</v>
      </c>
      <c r="E696" s="2" t="s">
        <v>43</v>
      </c>
      <c r="F696" s="3">
        <v>4000.5</v>
      </c>
      <c r="G696" s="3">
        <v>2476</v>
      </c>
    </row>
    <row r="697" spans="1:7" x14ac:dyDescent="0.2">
      <c r="A697" s="2" t="s">
        <v>43</v>
      </c>
      <c r="B697" s="2" t="s">
        <v>87</v>
      </c>
      <c r="C697" s="2" t="s">
        <v>30</v>
      </c>
      <c r="D697" s="2" t="s">
        <v>31</v>
      </c>
      <c r="E697" s="2" t="s">
        <v>43</v>
      </c>
      <c r="F697" s="3"/>
      <c r="G697" s="3"/>
    </row>
    <row r="698" spans="1:7" x14ac:dyDescent="0.2">
      <c r="A698" s="2" t="s">
        <v>43</v>
      </c>
      <c r="B698" s="2" t="s">
        <v>796</v>
      </c>
      <c r="C698" s="2" t="s">
        <v>30</v>
      </c>
      <c r="D698" s="2" t="s">
        <v>31</v>
      </c>
      <c r="E698" s="2" t="s">
        <v>43</v>
      </c>
      <c r="F698" s="3"/>
      <c r="G698" s="3"/>
    </row>
    <row r="699" spans="1:7" x14ac:dyDescent="0.2">
      <c r="A699" s="2" t="s">
        <v>43</v>
      </c>
      <c r="B699" s="2" t="s">
        <v>96</v>
      </c>
      <c r="C699" s="2" t="s">
        <v>30</v>
      </c>
      <c r="D699" s="2" t="s">
        <v>31</v>
      </c>
      <c r="E699" s="2" t="s">
        <v>43</v>
      </c>
      <c r="F699" s="3"/>
      <c r="G699" s="3"/>
    </row>
    <row r="700" spans="1:7" x14ac:dyDescent="0.2">
      <c r="A700" s="2" t="s">
        <v>43</v>
      </c>
      <c r="B700" s="2" t="s">
        <v>97</v>
      </c>
      <c r="C700" s="2" t="s">
        <v>30</v>
      </c>
      <c r="D700" s="2" t="s">
        <v>31</v>
      </c>
      <c r="E700" s="2" t="s">
        <v>43</v>
      </c>
      <c r="F700" s="3"/>
      <c r="G700" s="3"/>
    </row>
    <row r="701" spans="1:7" x14ac:dyDescent="0.2">
      <c r="A701" s="2" t="s">
        <v>43</v>
      </c>
      <c r="B701" s="2" t="s">
        <v>98</v>
      </c>
      <c r="C701" s="2" t="s">
        <v>30</v>
      </c>
      <c r="D701" s="2" t="s">
        <v>31</v>
      </c>
      <c r="E701" s="2" t="s">
        <v>43</v>
      </c>
      <c r="F701" s="3">
        <v>105</v>
      </c>
      <c r="G701" s="3">
        <v>95</v>
      </c>
    </row>
    <row r="702" spans="1:7" x14ac:dyDescent="0.2">
      <c r="A702" s="2" t="s">
        <v>43</v>
      </c>
      <c r="B702" s="2" t="s">
        <v>99</v>
      </c>
      <c r="C702" s="2" t="s">
        <v>30</v>
      </c>
      <c r="D702" s="2" t="s">
        <v>31</v>
      </c>
      <c r="E702" s="2" t="s">
        <v>43</v>
      </c>
      <c r="F702" s="3"/>
      <c r="G702" s="3"/>
    </row>
    <row r="703" spans="1:7" x14ac:dyDescent="0.2">
      <c r="A703" s="2" t="s">
        <v>43</v>
      </c>
      <c r="B703" s="2" t="s">
        <v>795</v>
      </c>
      <c r="C703" s="2" t="s">
        <v>30</v>
      </c>
      <c r="D703" s="2" t="s">
        <v>31</v>
      </c>
      <c r="E703" s="2" t="s">
        <v>43</v>
      </c>
      <c r="F703" s="3"/>
      <c r="G703" s="3"/>
    </row>
    <row r="704" spans="1:7" x14ac:dyDescent="0.2">
      <c r="A704" s="2" t="s">
        <v>43</v>
      </c>
      <c r="B704" s="2" t="s">
        <v>112</v>
      </c>
      <c r="C704" s="2" t="s">
        <v>30</v>
      </c>
      <c r="D704" s="2" t="s">
        <v>31</v>
      </c>
      <c r="E704" s="2" t="s">
        <v>43</v>
      </c>
      <c r="F704" s="3">
        <v>19.400000000000006</v>
      </c>
      <c r="G704" s="3">
        <v>19.400000000000006</v>
      </c>
    </row>
    <row r="705" spans="1:7" x14ac:dyDescent="0.2">
      <c r="A705" s="2" t="s">
        <v>43</v>
      </c>
      <c r="B705" s="2" t="s">
        <v>827</v>
      </c>
      <c r="C705" s="2" t="s">
        <v>30</v>
      </c>
      <c r="D705" s="2" t="s">
        <v>31</v>
      </c>
      <c r="E705" s="2" t="s">
        <v>43</v>
      </c>
      <c r="F705" s="3">
        <v>842.45</v>
      </c>
      <c r="G705" s="3">
        <v>730</v>
      </c>
    </row>
    <row r="706" spans="1:7" x14ac:dyDescent="0.2">
      <c r="A706" s="2" t="s">
        <v>43</v>
      </c>
      <c r="B706" s="2" t="s">
        <v>828</v>
      </c>
      <c r="C706" s="2" t="s">
        <v>30</v>
      </c>
      <c r="D706" s="2" t="s">
        <v>31</v>
      </c>
      <c r="E706" s="2" t="s">
        <v>43</v>
      </c>
      <c r="F706" s="3"/>
      <c r="G706" s="3"/>
    </row>
    <row r="707" spans="1:7" x14ac:dyDescent="0.2">
      <c r="A707" s="2" t="s">
        <v>43</v>
      </c>
      <c r="B707" s="2" t="s">
        <v>116</v>
      </c>
      <c r="C707" s="2" t="s">
        <v>30</v>
      </c>
      <c r="D707" s="2" t="s">
        <v>31</v>
      </c>
      <c r="E707" s="2" t="s">
        <v>43</v>
      </c>
      <c r="F707" s="3"/>
      <c r="G707" s="3"/>
    </row>
    <row r="708" spans="1:7" x14ac:dyDescent="0.2">
      <c r="A708" s="2" t="s">
        <v>43</v>
      </c>
      <c r="B708" s="2" t="s">
        <v>850</v>
      </c>
      <c r="C708" s="2" t="s">
        <v>30</v>
      </c>
      <c r="D708" s="2" t="s">
        <v>31</v>
      </c>
      <c r="E708" s="2" t="s">
        <v>43</v>
      </c>
      <c r="F708" s="3">
        <v>40</v>
      </c>
      <c r="G708" s="3">
        <v>40</v>
      </c>
    </row>
    <row r="709" spans="1:7" x14ac:dyDescent="0.2">
      <c r="A709" s="2" t="s">
        <v>43</v>
      </c>
      <c r="B709" s="2" t="s">
        <v>851</v>
      </c>
      <c r="C709" s="2" t="s">
        <v>30</v>
      </c>
      <c r="D709" s="2" t="s">
        <v>31</v>
      </c>
      <c r="E709" s="2" t="s">
        <v>43</v>
      </c>
      <c r="F709" s="3">
        <v>13</v>
      </c>
      <c r="G709" s="3">
        <v>63</v>
      </c>
    </row>
    <row r="710" spans="1:7" x14ac:dyDescent="0.2">
      <c r="A710" s="2" t="s">
        <v>43</v>
      </c>
      <c r="B710" s="2" t="s">
        <v>852</v>
      </c>
      <c r="C710" s="2" t="s">
        <v>30</v>
      </c>
      <c r="D710" s="2" t="s">
        <v>31</v>
      </c>
      <c r="E710" s="2" t="s">
        <v>43</v>
      </c>
      <c r="F710" s="3"/>
      <c r="G710" s="3"/>
    </row>
    <row r="711" spans="1:7" x14ac:dyDescent="0.2">
      <c r="A711" s="2" t="s">
        <v>43</v>
      </c>
      <c r="B711" s="2" t="s">
        <v>830</v>
      </c>
      <c r="C711" s="2" t="s">
        <v>30</v>
      </c>
      <c r="D711" s="2" t="s">
        <v>31</v>
      </c>
      <c r="E711" s="2" t="s">
        <v>43</v>
      </c>
      <c r="F711" s="3"/>
      <c r="G711" s="3"/>
    </row>
    <row r="712" spans="1:7" x14ac:dyDescent="0.2">
      <c r="A712" s="2" t="s">
        <v>43</v>
      </c>
      <c r="B712" s="2" t="s">
        <v>817</v>
      </c>
      <c r="C712" s="2" t="s">
        <v>30</v>
      </c>
      <c r="D712" s="2" t="s">
        <v>31</v>
      </c>
      <c r="E712" s="2" t="s">
        <v>43</v>
      </c>
      <c r="F712" s="3"/>
      <c r="G712" s="3"/>
    </row>
    <row r="713" spans="1:7" x14ac:dyDescent="0.2">
      <c r="A713" s="2" t="s">
        <v>43</v>
      </c>
      <c r="B713" s="2" t="s">
        <v>829</v>
      </c>
      <c r="C713" s="2" t="s">
        <v>30</v>
      </c>
      <c r="D713" s="2" t="s">
        <v>31</v>
      </c>
      <c r="E713" s="2" t="s">
        <v>43</v>
      </c>
      <c r="F713" s="3">
        <v>49.95000000000001</v>
      </c>
      <c r="G713" s="3">
        <v>75</v>
      </c>
    </row>
    <row r="714" spans="1:7" s="8" customFormat="1" x14ac:dyDescent="0.2">
      <c r="A714" s="45" t="s">
        <v>43</v>
      </c>
      <c r="B714" s="45" t="s">
        <v>210</v>
      </c>
      <c r="C714" s="45" t="s">
        <v>30</v>
      </c>
      <c r="D714" s="45" t="s">
        <v>31</v>
      </c>
      <c r="E714" s="45" t="s">
        <v>43</v>
      </c>
      <c r="F714" s="54"/>
      <c r="G714" s="3"/>
    </row>
    <row r="715" spans="1:7" x14ac:dyDescent="0.2">
      <c r="A715" s="2" t="s">
        <v>43</v>
      </c>
      <c r="B715" s="2" t="s">
        <v>263</v>
      </c>
      <c r="C715" s="2" t="s">
        <v>30</v>
      </c>
      <c r="D715" s="2" t="s">
        <v>31</v>
      </c>
      <c r="E715" s="2" t="s">
        <v>43</v>
      </c>
      <c r="F715" s="3">
        <v>168.6</v>
      </c>
      <c r="G715" s="3">
        <v>157</v>
      </c>
    </row>
    <row r="716" spans="1:7" x14ac:dyDescent="0.2">
      <c r="A716" s="2" t="s">
        <v>43</v>
      </c>
      <c r="B716" s="2" t="s">
        <v>225</v>
      </c>
      <c r="C716" s="2" t="s">
        <v>30</v>
      </c>
      <c r="D716" s="2" t="s">
        <v>31</v>
      </c>
      <c r="E716" s="2" t="s">
        <v>43</v>
      </c>
      <c r="F716" s="3">
        <v>106.98750000000003</v>
      </c>
      <c r="G716" s="3">
        <v>99</v>
      </c>
    </row>
    <row r="717" spans="1:7" x14ac:dyDescent="0.2">
      <c r="A717" s="2" t="s">
        <v>43</v>
      </c>
      <c r="B717" s="2" t="s">
        <v>189</v>
      </c>
      <c r="C717" s="2" t="s">
        <v>30</v>
      </c>
      <c r="D717" s="2" t="s">
        <v>31</v>
      </c>
      <c r="E717" s="2" t="s">
        <v>43</v>
      </c>
      <c r="F717" s="3">
        <v>195.2</v>
      </c>
      <c r="G717" s="3">
        <v>206</v>
      </c>
    </row>
    <row r="718" spans="1:7" x14ac:dyDescent="0.2">
      <c r="A718" s="2" t="s">
        <v>43</v>
      </c>
      <c r="B718" s="2" t="s">
        <v>238</v>
      </c>
      <c r="C718" s="2" t="s">
        <v>30</v>
      </c>
      <c r="D718" s="2" t="s">
        <v>31</v>
      </c>
      <c r="E718" s="2" t="s">
        <v>43</v>
      </c>
      <c r="F718" s="3">
        <v>148.05000000000007</v>
      </c>
      <c r="G718" s="3">
        <v>182</v>
      </c>
    </row>
    <row r="719" spans="1:7" x14ac:dyDescent="0.2">
      <c r="A719" s="2" t="s">
        <v>43</v>
      </c>
      <c r="B719" s="2" t="s">
        <v>413</v>
      </c>
      <c r="C719" s="2" t="s">
        <v>30</v>
      </c>
      <c r="D719" s="2" t="s">
        <v>31</v>
      </c>
      <c r="E719" s="2" t="s">
        <v>43</v>
      </c>
      <c r="F719" s="3">
        <v>11.8</v>
      </c>
      <c r="G719" s="3">
        <v>11.8</v>
      </c>
    </row>
    <row r="720" spans="1:7" x14ac:dyDescent="0.2">
      <c r="A720" s="2" t="s">
        <v>43</v>
      </c>
      <c r="B720" s="2" t="s">
        <v>338</v>
      </c>
      <c r="C720" s="2" t="s">
        <v>30</v>
      </c>
      <c r="D720" s="2" t="s">
        <v>31</v>
      </c>
      <c r="E720" s="2" t="s">
        <v>43</v>
      </c>
      <c r="F720" s="3"/>
      <c r="G720" s="3"/>
    </row>
    <row r="721" spans="1:7" x14ac:dyDescent="0.2">
      <c r="A721" s="2" t="s">
        <v>43</v>
      </c>
      <c r="B721" s="2" t="s">
        <v>264</v>
      </c>
      <c r="C721" s="2" t="s">
        <v>30</v>
      </c>
      <c r="D721" s="2" t="s">
        <v>31</v>
      </c>
      <c r="E721" s="2" t="s">
        <v>43</v>
      </c>
      <c r="F721" s="3">
        <v>75.849999999999994</v>
      </c>
      <c r="G721" s="3">
        <v>76</v>
      </c>
    </row>
    <row r="722" spans="1:7" x14ac:dyDescent="0.2">
      <c r="A722" s="2" t="s">
        <v>43</v>
      </c>
      <c r="B722" s="2" t="s">
        <v>157</v>
      </c>
      <c r="C722" s="2" t="s">
        <v>30</v>
      </c>
      <c r="D722" s="2" t="s">
        <v>31</v>
      </c>
      <c r="E722" s="2" t="s">
        <v>43</v>
      </c>
      <c r="F722" s="3">
        <v>135.84</v>
      </c>
      <c r="G722" s="3">
        <v>406.46000000000004</v>
      </c>
    </row>
    <row r="723" spans="1:7" x14ac:dyDescent="0.2">
      <c r="A723" s="2" t="s">
        <v>43</v>
      </c>
      <c r="B723" s="2" t="s">
        <v>308</v>
      </c>
      <c r="C723" s="2" t="s">
        <v>30</v>
      </c>
      <c r="D723" s="2" t="s">
        <v>31</v>
      </c>
      <c r="E723" s="2" t="s">
        <v>43</v>
      </c>
      <c r="F723" s="3">
        <v>19.900000000000013</v>
      </c>
      <c r="G723" s="3">
        <v>1.2000000000000099</v>
      </c>
    </row>
    <row r="724" spans="1:7" x14ac:dyDescent="0.2">
      <c r="A724" s="2" t="s">
        <v>43</v>
      </c>
      <c r="B724" s="2" t="s">
        <v>775</v>
      </c>
      <c r="C724" s="2" t="s">
        <v>30</v>
      </c>
      <c r="D724" s="2" t="s">
        <v>31</v>
      </c>
      <c r="E724" s="2" t="s">
        <v>43</v>
      </c>
      <c r="F724" s="3"/>
      <c r="G724" s="3"/>
    </row>
    <row r="725" spans="1:7" x14ac:dyDescent="0.2">
      <c r="A725" s="2" t="s">
        <v>43</v>
      </c>
      <c r="B725" s="2" t="s">
        <v>229</v>
      </c>
      <c r="C725" s="2" t="s">
        <v>30</v>
      </c>
      <c r="D725" s="2" t="s">
        <v>31</v>
      </c>
      <c r="E725" s="2" t="s">
        <v>43</v>
      </c>
      <c r="F725" s="3">
        <v>6</v>
      </c>
      <c r="G725" s="3">
        <v>6</v>
      </c>
    </row>
    <row r="726" spans="1:7" x14ac:dyDescent="0.2">
      <c r="A726" s="2" t="s">
        <v>43</v>
      </c>
      <c r="B726" s="2" t="s">
        <v>293</v>
      </c>
      <c r="C726" s="2" t="s">
        <v>30</v>
      </c>
      <c r="D726" s="2" t="s">
        <v>31</v>
      </c>
      <c r="E726" s="2" t="s">
        <v>43</v>
      </c>
      <c r="F726" s="3"/>
      <c r="G726" s="3"/>
    </row>
    <row r="727" spans="1:7" x14ac:dyDescent="0.2">
      <c r="A727" s="2" t="s">
        <v>43</v>
      </c>
      <c r="B727" s="2" t="s">
        <v>897</v>
      </c>
      <c r="C727" s="2" t="s">
        <v>30</v>
      </c>
      <c r="D727" s="2" t="s">
        <v>31</v>
      </c>
      <c r="E727" s="2" t="s">
        <v>43</v>
      </c>
      <c r="F727" s="3">
        <v>1349</v>
      </c>
      <c r="G727" s="3"/>
    </row>
    <row r="728" spans="1:7" x14ac:dyDescent="0.2">
      <c r="A728" s="2" t="s">
        <v>43</v>
      </c>
      <c r="B728" s="2" t="s">
        <v>122</v>
      </c>
      <c r="C728" s="2" t="s">
        <v>30</v>
      </c>
      <c r="D728" s="2" t="s">
        <v>31</v>
      </c>
      <c r="E728" s="2" t="s">
        <v>43</v>
      </c>
      <c r="F728" s="3"/>
      <c r="G728" s="3"/>
    </row>
    <row r="729" spans="1:7" x14ac:dyDescent="0.2">
      <c r="A729" s="2" t="s">
        <v>43</v>
      </c>
      <c r="B729" s="2" t="s">
        <v>126</v>
      </c>
      <c r="C729" s="2" t="s">
        <v>30</v>
      </c>
      <c r="D729" s="2" t="s">
        <v>31</v>
      </c>
      <c r="E729" s="2" t="s">
        <v>43</v>
      </c>
      <c r="F729" s="3"/>
      <c r="G729" s="3"/>
    </row>
    <row r="730" spans="1:7" x14ac:dyDescent="0.2">
      <c r="A730" s="2" t="s">
        <v>43</v>
      </c>
      <c r="B730" s="2" t="s">
        <v>127</v>
      </c>
      <c r="C730" s="2" t="s">
        <v>30</v>
      </c>
      <c r="D730" s="2" t="s">
        <v>31</v>
      </c>
      <c r="E730" s="2" t="s">
        <v>43</v>
      </c>
      <c r="F730" s="3">
        <v>99.974999999999994</v>
      </c>
      <c r="G730" s="3">
        <v>100</v>
      </c>
    </row>
    <row r="731" spans="1:7" x14ac:dyDescent="0.2">
      <c r="A731" s="2" t="s">
        <v>43</v>
      </c>
      <c r="B731" s="2" t="s">
        <v>128</v>
      </c>
      <c r="C731" s="2" t="s">
        <v>30</v>
      </c>
      <c r="D731" s="2" t="s">
        <v>31</v>
      </c>
      <c r="E731" s="2" t="s">
        <v>43</v>
      </c>
      <c r="F731" s="3"/>
      <c r="G731" s="3"/>
    </row>
    <row r="732" spans="1:7" x14ac:dyDescent="0.2">
      <c r="A732" s="2" t="s">
        <v>43</v>
      </c>
      <c r="B732" s="2" t="s">
        <v>115</v>
      </c>
      <c r="C732" s="2" t="s">
        <v>30</v>
      </c>
      <c r="D732" s="2" t="s">
        <v>31</v>
      </c>
      <c r="E732" s="2" t="s">
        <v>43</v>
      </c>
      <c r="F732" s="3"/>
      <c r="G732" s="3"/>
    </row>
    <row r="733" spans="1:7" x14ac:dyDescent="0.2">
      <c r="A733" s="2" t="s">
        <v>43</v>
      </c>
      <c r="B733" s="2" t="s">
        <v>148</v>
      </c>
      <c r="C733" s="2" t="s">
        <v>30</v>
      </c>
      <c r="D733" s="2" t="s">
        <v>31</v>
      </c>
      <c r="E733" s="2" t="s">
        <v>43</v>
      </c>
      <c r="F733" s="3"/>
      <c r="G733" s="3"/>
    </row>
    <row r="734" spans="1:7" x14ac:dyDescent="0.2">
      <c r="A734" s="2" t="s">
        <v>43</v>
      </c>
      <c r="B734" s="2" t="s">
        <v>149</v>
      </c>
      <c r="C734" s="2" t="s">
        <v>30</v>
      </c>
      <c r="D734" s="2" t="s">
        <v>31</v>
      </c>
      <c r="E734" s="2" t="s">
        <v>43</v>
      </c>
      <c r="F734" s="3">
        <v>3686.1725000000006</v>
      </c>
      <c r="G734" s="3">
        <v>5295</v>
      </c>
    </row>
    <row r="735" spans="1:7" x14ac:dyDescent="0.2">
      <c r="A735" s="2" t="s">
        <v>43</v>
      </c>
      <c r="B735" s="2" t="s">
        <v>151</v>
      </c>
      <c r="C735" s="2" t="s">
        <v>30</v>
      </c>
      <c r="D735" s="2" t="s">
        <v>31</v>
      </c>
      <c r="E735" s="2" t="s">
        <v>43</v>
      </c>
      <c r="F735" s="3"/>
      <c r="G735" s="3"/>
    </row>
    <row r="736" spans="1:7" x14ac:dyDescent="0.2">
      <c r="A736" s="2" t="s">
        <v>43</v>
      </c>
      <c r="B736" s="2" t="s">
        <v>152</v>
      </c>
      <c r="C736" s="2" t="s">
        <v>30</v>
      </c>
      <c r="D736" s="2" t="s">
        <v>31</v>
      </c>
      <c r="E736" s="2" t="s">
        <v>43</v>
      </c>
      <c r="F736" s="3"/>
      <c r="G736" s="3"/>
    </row>
    <row r="737" spans="1:7" x14ac:dyDescent="0.2">
      <c r="A737" s="2" t="s">
        <v>43</v>
      </c>
      <c r="B737" s="2" t="s">
        <v>155</v>
      </c>
      <c r="C737" s="2" t="s">
        <v>30</v>
      </c>
      <c r="D737" s="2" t="s">
        <v>31</v>
      </c>
      <c r="E737" s="2" t="s">
        <v>43</v>
      </c>
      <c r="F737" s="3">
        <v>125</v>
      </c>
      <c r="G737" s="3"/>
    </row>
    <row r="738" spans="1:7" x14ac:dyDescent="0.2">
      <c r="A738" s="2" t="s">
        <v>43</v>
      </c>
      <c r="B738" s="2" t="s">
        <v>156</v>
      </c>
      <c r="C738" s="2" t="s">
        <v>30</v>
      </c>
      <c r="D738" s="2" t="s">
        <v>31</v>
      </c>
      <c r="E738" s="2" t="s">
        <v>43</v>
      </c>
      <c r="F738" s="3"/>
      <c r="G738" s="3"/>
    </row>
    <row r="739" spans="1:7" x14ac:dyDescent="0.2">
      <c r="A739" s="2" t="s">
        <v>43</v>
      </c>
      <c r="B739" s="2" t="s">
        <v>158</v>
      </c>
      <c r="C739" s="2" t="s">
        <v>30</v>
      </c>
      <c r="D739" s="2" t="s">
        <v>31</v>
      </c>
      <c r="E739" s="2" t="s">
        <v>43</v>
      </c>
      <c r="F739" s="3"/>
      <c r="G739" s="3"/>
    </row>
    <row r="740" spans="1:7" x14ac:dyDescent="0.2">
      <c r="A740" s="2" t="s">
        <v>43</v>
      </c>
      <c r="B740" s="2" t="s">
        <v>114</v>
      </c>
      <c r="C740" s="2" t="s">
        <v>30</v>
      </c>
      <c r="D740" s="2" t="s">
        <v>31</v>
      </c>
      <c r="E740" s="2" t="s">
        <v>43</v>
      </c>
      <c r="F740" s="3"/>
      <c r="G740" s="3"/>
    </row>
    <row r="741" spans="1:7" x14ac:dyDescent="0.2">
      <c r="A741" s="2" t="s">
        <v>43</v>
      </c>
      <c r="B741" s="2" t="s">
        <v>175</v>
      </c>
      <c r="C741" s="2" t="s">
        <v>30</v>
      </c>
      <c r="D741" s="2" t="s">
        <v>31</v>
      </c>
      <c r="E741" s="2" t="s">
        <v>43</v>
      </c>
      <c r="F741" s="3"/>
      <c r="G741" s="3"/>
    </row>
    <row r="742" spans="1:7" x14ac:dyDescent="0.2">
      <c r="A742" s="2" t="s">
        <v>43</v>
      </c>
      <c r="B742" s="2" t="s">
        <v>176</v>
      </c>
      <c r="C742" s="2" t="s">
        <v>30</v>
      </c>
      <c r="D742" s="2" t="s">
        <v>31</v>
      </c>
      <c r="E742" s="2" t="s">
        <v>43</v>
      </c>
      <c r="F742" s="3"/>
      <c r="G742" s="3"/>
    </row>
    <row r="743" spans="1:7" x14ac:dyDescent="0.2">
      <c r="A743" s="2" t="s">
        <v>43</v>
      </c>
      <c r="B743" s="2" t="s">
        <v>178</v>
      </c>
      <c r="C743" s="2" t="s">
        <v>30</v>
      </c>
      <c r="D743" s="2" t="s">
        <v>31</v>
      </c>
      <c r="E743" s="2" t="s">
        <v>43</v>
      </c>
      <c r="F743" s="3"/>
      <c r="G743" s="3"/>
    </row>
    <row r="744" spans="1:7" x14ac:dyDescent="0.2">
      <c r="A744" s="2" t="s">
        <v>43</v>
      </c>
      <c r="B744" s="2" t="s">
        <v>179</v>
      </c>
      <c r="C744" s="2" t="s">
        <v>30</v>
      </c>
      <c r="D744" s="2" t="s">
        <v>31</v>
      </c>
      <c r="E744" s="2" t="s">
        <v>43</v>
      </c>
      <c r="F744" s="3"/>
      <c r="G744" s="3"/>
    </row>
    <row r="745" spans="1:7" x14ac:dyDescent="0.2">
      <c r="A745" s="2" t="s">
        <v>43</v>
      </c>
      <c r="B745" s="2" t="s">
        <v>181</v>
      </c>
      <c r="C745" s="2" t="s">
        <v>30</v>
      </c>
      <c r="D745" s="2" t="s">
        <v>31</v>
      </c>
      <c r="E745" s="2" t="s">
        <v>43</v>
      </c>
      <c r="F745" s="3">
        <v>151.4</v>
      </c>
      <c r="G745" s="3">
        <v>151.4</v>
      </c>
    </row>
    <row r="746" spans="1:7" x14ac:dyDescent="0.2">
      <c r="A746" s="2" t="s">
        <v>43</v>
      </c>
      <c r="B746" s="2" t="s">
        <v>186</v>
      </c>
      <c r="C746" s="2" t="s">
        <v>30</v>
      </c>
      <c r="D746" s="2" t="s">
        <v>31</v>
      </c>
      <c r="E746" s="2" t="s">
        <v>43</v>
      </c>
      <c r="F746" s="3"/>
      <c r="G746" s="3"/>
    </row>
    <row r="747" spans="1:7" x14ac:dyDescent="0.2">
      <c r="A747" s="2" t="s">
        <v>43</v>
      </c>
      <c r="B747" s="2" t="s">
        <v>187</v>
      </c>
      <c r="C747" s="2" t="s">
        <v>30</v>
      </c>
      <c r="D747" s="2" t="s">
        <v>31</v>
      </c>
      <c r="E747" s="2" t="s">
        <v>43</v>
      </c>
      <c r="F747" s="3">
        <v>21</v>
      </c>
      <c r="G747" s="3"/>
    </row>
    <row r="748" spans="1:7" x14ac:dyDescent="0.2">
      <c r="A748" s="2" t="s">
        <v>43</v>
      </c>
      <c r="B748" s="2" t="s">
        <v>188</v>
      </c>
      <c r="C748" s="2" t="s">
        <v>30</v>
      </c>
      <c r="D748" s="2" t="s">
        <v>31</v>
      </c>
      <c r="E748" s="2" t="s">
        <v>43</v>
      </c>
      <c r="F748" s="3"/>
      <c r="G748" s="3"/>
    </row>
    <row r="749" spans="1:7" x14ac:dyDescent="0.2">
      <c r="A749" s="2" t="s">
        <v>43</v>
      </c>
      <c r="B749" s="2" t="s">
        <v>940</v>
      </c>
      <c r="C749" s="2" t="s">
        <v>30</v>
      </c>
      <c r="D749" s="2" t="s">
        <v>31</v>
      </c>
      <c r="E749" s="2" t="s">
        <v>43</v>
      </c>
      <c r="F749" s="3"/>
      <c r="G749" s="3">
        <v>98.5</v>
      </c>
    </row>
    <row r="750" spans="1:7" x14ac:dyDescent="0.2">
      <c r="A750" s="2" t="s">
        <v>43</v>
      </c>
      <c r="B750" s="2" t="s">
        <v>881</v>
      </c>
      <c r="C750" s="2" t="s">
        <v>30</v>
      </c>
      <c r="D750" s="2" t="s">
        <v>31</v>
      </c>
      <c r="E750" s="2" t="s">
        <v>43</v>
      </c>
      <c r="F750" s="3">
        <v>25</v>
      </c>
      <c r="G750" s="3">
        <v>25</v>
      </c>
    </row>
    <row r="751" spans="1:7" x14ac:dyDescent="0.2">
      <c r="A751" s="2" t="s">
        <v>43</v>
      </c>
      <c r="B751" s="2" t="s">
        <v>203</v>
      </c>
      <c r="C751" s="2" t="s">
        <v>30</v>
      </c>
      <c r="D751" s="2" t="s">
        <v>31</v>
      </c>
      <c r="E751" s="2" t="s">
        <v>43</v>
      </c>
      <c r="F751" s="3"/>
      <c r="G751" s="3"/>
    </row>
    <row r="752" spans="1:7" x14ac:dyDescent="0.2">
      <c r="A752" s="2" t="s">
        <v>43</v>
      </c>
      <c r="B752" s="2" t="s">
        <v>204</v>
      </c>
      <c r="C752" s="2" t="s">
        <v>30</v>
      </c>
      <c r="D752" s="2" t="s">
        <v>31</v>
      </c>
      <c r="E752" s="2" t="s">
        <v>43</v>
      </c>
      <c r="F752" s="3"/>
      <c r="G752" s="3"/>
    </row>
    <row r="753" spans="1:7" x14ac:dyDescent="0.2">
      <c r="A753" s="2" t="s">
        <v>43</v>
      </c>
      <c r="B753" s="2" t="s">
        <v>941</v>
      </c>
      <c r="C753" s="2" t="s">
        <v>30</v>
      </c>
      <c r="D753" s="2" t="s">
        <v>31</v>
      </c>
      <c r="E753" s="2" t="s">
        <v>43</v>
      </c>
      <c r="F753" s="3"/>
      <c r="G753" s="3">
        <v>19.5</v>
      </c>
    </row>
    <row r="754" spans="1:7" x14ac:dyDescent="0.2">
      <c r="A754" s="2" t="s">
        <v>43</v>
      </c>
      <c r="B754" s="2" t="s">
        <v>205</v>
      </c>
      <c r="C754" s="2" t="s">
        <v>30</v>
      </c>
      <c r="D754" s="2" t="s">
        <v>31</v>
      </c>
      <c r="E754" s="2" t="s">
        <v>43</v>
      </c>
      <c r="F754" s="3"/>
      <c r="G754" s="3"/>
    </row>
    <row r="755" spans="1:7" x14ac:dyDescent="0.2">
      <c r="A755" s="2" t="s">
        <v>43</v>
      </c>
      <c r="B755" s="2" t="s">
        <v>206</v>
      </c>
      <c r="C755" s="2" t="s">
        <v>30</v>
      </c>
      <c r="D755" s="2" t="s">
        <v>31</v>
      </c>
      <c r="E755" s="2" t="s">
        <v>43</v>
      </c>
      <c r="F755" s="3"/>
      <c r="G755" s="3"/>
    </row>
    <row r="756" spans="1:7" x14ac:dyDescent="0.2">
      <c r="A756" s="2" t="s">
        <v>43</v>
      </c>
      <c r="B756" s="2" t="s">
        <v>208</v>
      </c>
      <c r="C756" s="2" t="s">
        <v>30</v>
      </c>
      <c r="D756" s="2" t="s">
        <v>31</v>
      </c>
      <c r="E756" s="2" t="s">
        <v>43</v>
      </c>
      <c r="F756" s="3">
        <v>17</v>
      </c>
      <c r="G756" s="3">
        <v>17</v>
      </c>
    </row>
    <row r="757" spans="1:7" x14ac:dyDescent="0.2">
      <c r="A757" s="2" t="s">
        <v>43</v>
      </c>
      <c r="B757" s="2" t="s">
        <v>209</v>
      </c>
      <c r="C757" s="2" t="s">
        <v>30</v>
      </c>
      <c r="D757" s="2" t="s">
        <v>31</v>
      </c>
      <c r="E757" s="2" t="s">
        <v>43</v>
      </c>
      <c r="F757" s="3"/>
      <c r="G757" s="3"/>
    </row>
    <row r="758" spans="1:7" x14ac:dyDescent="0.2">
      <c r="A758" s="2" t="s">
        <v>43</v>
      </c>
      <c r="B758" s="2" t="s">
        <v>220</v>
      </c>
      <c r="C758" s="2" t="s">
        <v>30</v>
      </c>
      <c r="D758" s="2" t="s">
        <v>31</v>
      </c>
      <c r="E758" s="2" t="s">
        <v>43</v>
      </c>
      <c r="F758" s="3">
        <v>16</v>
      </c>
      <c r="G758" s="3">
        <v>16</v>
      </c>
    </row>
    <row r="759" spans="1:7" x14ac:dyDescent="0.2">
      <c r="A759" s="2" t="s">
        <v>43</v>
      </c>
      <c r="B759" s="2" t="s">
        <v>221</v>
      </c>
      <c r="C759" s="2" t="s">
        <v>30</v>
      </c>
      <c r="D759" s="2" t="s">
        <v>31</v>
      </c>
      <c r="E759" s="2" t="s">
        <v>43</v>
      </c>
      <c r="F759" s="3"/>
      <c r="G759" s="3"/>
    </row>
    <row r="760" spans="1:7" x14ac:dyDescent="0.2">
      <c r="A760" s="2" t="s">
        <v>43</v>
      </c>
      <c r="B760" s="2" t="s">
        <v>84</v>
      </c>
      <c r="C760" s="2" t="s">
        <v>30</v>
      </c>
      <c r="D760" s="2" t="s">
        <v>31</v>
      </c>
      <c r="E760" s="2" t="s">
        <v>43</v>
      </c>
      <c r="F760" s="3"/>
      <c r="G760" s="3"/>
    </row>
    <row r="761" spans="1:7" x14ac:dyDescent="0.2">
      <c r="A761" s="2" t="s">
        <v>43</v>
      </c>
      <c r="B761" s="2" t="s">
        <v>228</v>
      </c>
      <c r="C761" s="2" t="s">
        <v>30</v>
      </c>
      <c r="D761" s="2" t="s">
        <v>31</v>
      </c>
      <c r="E761" s="2" t="s">
        <v>43</v>
      </c>
      <c r="F761" s="3"/>
      <c r="G761" s="3"/>
    </row>
    <row r="762" spans="1:7" x14ac:dyDescent="0.2">
      <c r="A762" s="2" t="s">
        <v>43</v>
      </c>
      <c r="B762" s="2" t="s">
        <v>230</v>
      </c>
      <c r="C762" s="2" t="s">
        <v>30</v>
      </c>
      <c r="D762" s="2" t="s">
        <v>31</v>
      </c>
      <c r="E762" s="2" t="s">
        <v>43</v>
      </c>
      <c r="F762" s="3"/>
      <c r="G762" s="3"/>
    </row>
    <row r="763" spans="1:7" x14ac:dyDescent="0.2">
      <c r="A763" s="2" t="s">
        <v>43</v>
      </c>
      <c r="B763" s="2" t="s">
        <v>237</v>
      </c>
      <c r="C763" s="2" t="s">
        <v>30</v>
      </c>
      <c r="D763" s="2" t="s">
        <v>31</v>
      </c>
      <c r="E763" s="2" t="s">
        <v>43</v>
      </c>
      <c r="F763" s="3"/>
      <c r="G763" s="3"/>
    </row>
    <row r="764" spans="1:7" x14ac:dyDescent="0.2">
      <c r="A764" s="2" t="s">
        <v>43</v>
      </c>
      <c r="B764" s="2" t="s">
        <v>239</v>
      </c>
      <c r="C764" s="2" t="s">
        <v>30</v>
      </c>
      <c r="D764" s="2" t="s">
        <v>31</v>
      </c>
      <c r="E764" s="2" t="s">
        <v>43</v>
      </c>
      <c r="F764" s="3"/>
      <c r="G764" s="3"/>
    </row>
    <row r="765" spans="1:7" x14ac:dyDescent="0.2">
      <c r="A765" s="2" t="s">
        <v>43</v>
      </c>
      <c r="B765" s="2" t="s">
        <v>251</v>
      </c>
      <c r="C765" s="2" t="s">
        <v>30</v>
      </c>
      <c r="D765" s="2" t="s">
        <v>31</v>
      </c>
      <c r="E765" s="2" t="s">
        <v>43</v>
      </c>
      <c r="F765" s="3"/>
      <c r="G765" s="3"/>
    </row>
    <row r="766" spans="1:7" x14ac:dyDescent="0.2">
      <c r="A766" s="2" t="s">
        <v>43</v>
      </c>
      <c r="B766" s="2" t="s">
        <v>252</v>
      </c>
      <c r="C766" s="2" t="s">
        <v>30</v>
      </c>
      <c r="D766" s="2" t="s">
        <v>31</v>
      </c>
      <c r="E766" s="2" t="s">
        <v>43</v>
      </c>
      <c r="F766" s="3">
        <v>165.4</v>
      </c>
      <c r="G766" s="3">
        <v>6.2000000000000171</v>
      </c>
    </row>
    <row r="767" spans="1:7" x14ac:dyDescent="0.2">
      <c r="A767" s="2" t="s">
        <v>43</v>
      </c>
      <c r="B767" s="2" t="s">
        <v>262</v>
      </c>
      <c r="C767" s="2" t="s">
        <v>30</v>
      </c>
      <c r="D767" s="2" t="s">
        <v>31</v>
      </c>
      <c r="E767" s="2" t="s">
        <v>43</v>
      </c>
      <c r="F767" s="3">
        <v>536</v>
      </c>
      <c r="G767" s="3">
        <v>418.39999999999992</v>
      </c>
    </row>
    <row r="768" spans="1:7" x14ac:dyDescent="0.2">
      <c r="A768" s="2" t="s">
        <v>43</v>
      </c>
      <c r="B768" s="2" t="s">
        <v>265</v>
      </c>
      <c r="C768" s="2" t="s">
        <v>30</v>
      </c>
      <c r="D768" s="2" t="s">
        <v>31</v>
      </c>
      <c r="E768" s="2" t="s">
        <v>43</v>
      </c>
      <c r="F768" s="3">
        <v>446.91499999999996</v>
      </c>
      <c r="G768" s="3">
        <v>618.60500000000002</v>
      </c>
    </row>
    <row r="769" spans="1:7" x14ac:dyDescent="0.2">
      <c r="A769" s="2" t="s">
        <v>43</v>
      </c>
      <c r="B769" s="2" t="s">
        <v>291</v>
      </c>
      <c r="C769" s="2" t="s">
        <v>30</v>
      </c>
      <c r="D769" s="2" t="s">
        <v>31</v>
      </c>
      <c r="E769" s="2" t="s">
        <v>43</v>
      </c>
      <c r="F769" s="3"/>
      <c r="G769" s="3"/>
    </row>
    <row r="770" spans="1:7" x14ac:dyDescent="0.2">
      <c r="A770" s="2" t="s">
        <v>43</v>
      </c>
      <c r="B770" s="2" t="s">
        <v>41</v>
      </c>
      <c r="C770" s="2" t="s">
        <v>30</v>
      </c>
      <c r="D770" s="2" t="s">
        <v>31</v>
      </c>
      <c r="E770" s="2" t="s">
        <v>43</v>
      </c>
      <c r="F770" s="3"/>
      <c r="G770" s="3"/>
    </row>
    <row r="771" spans="1:7" x14ac:dyDescent="0.2">
      <c r="A771" s="2" t="s">
        <v>43</v>
      </c>
      <c r="B771" s="2" t="s">
        <v>113</v>
      </c>
      <c r="C771" s="2" t="s">
        <v>30</v>
      </c>
      <c r="D771" s="2" t="s">
        <v>31</v>
      </c>
      <c r="E771" s="2" t="s">
        <v>43</v>
      </c>
      <c r="F771" s="3">
        <v>19.5</v>
      </c>
      <c r="G771" s="3">
        <v>19.5</v>
      </c>
    </row>
    <row r="772" spans="1:7" x14ac:dyDescent="0.2">
      <c r="A772" s="2" t="s">
        <v>43</v>
      </c>
      <c r="B772" s="2" t="s">
        <v>292</v>
      </c>
      <c r="C772" s="2" t="s">
        <v>30</v>
      </c>
      <c r="D772" s="2" t="s">
        <v>31</v>
      </c>
      <c r="E772" s="2" t="s">
        <v>43</v>
      </c>
      <c r="F772" s="3"/>
      <c r="G772" s="3"/>
    </row>
    <row r="773" spans="1:7" x14ac:dyDescent="0.2">
      <c r="A773" s="2" t="s">
        <v>43</v>
      </c>
      <c r="B773" s="2" t="s">
        <v>294</v>
      </c>
      <c r="C773" s="2" t="s">
        <v>30</v>
      </c>
      <c r="D773" s="2" t="s">
        <v>31</v>
      </c>
      <c r="E773" s="2" t="s">
        <v>43</v>
      </c>
      <c r="F773" s="3"/>
      <c r="G773" s="3"/>
    </row>
    <row r="774" spans="1:7" x14ac:dyDescent="0.2">
      <c r="A774" s="2" t="s">
        <v>43</v>
      </c>
      <c r="B774" s="2" t="s">
        <v>298</v>
      </c>
      <c r="C774" s="2" t="s">
        <v>30</v>
      </c>
      <c r="D774" s="2" t="s">
        <v>31</v>
      </c>
      <c r="E774" s="2" t="s">
        <v>43</v>
      </c>
      <c r="F774" s="3"/>
      <c r="G774" s="3"/>
    </row>
    <row r="775" spans="1:7" x14ac:dyDescent="0.2">
      <c r="A775" s="2" t="s">
        <v>43</v>
      </c>
      <c r="B775" s="2" t="s">
        <v>300</v>
      </c>
      <c r="C775" s="2" t="s">
        <v>30</v>
      </c>
      <c r="D775" s="2" t="s">
        <v>31</v>
      </c>
      <c r="E775" s="2" t="s">
        <v>43</v>
      </c>
      <c r="F775" s="3"/>
      <c r="G775" s="3"/>
    </row>
    <row r="776" spans="1:7" x14ac:dyDescent="0.2">
      <c r="A776" s="2" t="s">
        <v>43</v>
      </c>
      <c r="B776" s="2" t="s">
        <v>301</v>
      </c>
      <c r="C776" s="2" t="s">
        <v>30</v>
      </c>
      <c r="D776" s="2" t="s">
        <v>31</v>
      </c>
      <c r="E776" s="2" t="s">
        <v>43</v>
      </c>
      <c r="F776" s="3"/>
      <c r="G776" s="3"/>
    </row>
    <row r="777" spans="1:7" x14ac:dyDescent="0.2">
      <c r="A777" s="2" t="s">
        <v>43</v>
      </c>
      <c r="B777" s="2" t="s">
        <v>302</v>
      </c>
      <c r="C777" s="2" t="s">
        <v>30</v>
      </c>
      <c r="D777" s="2" t="s">
        <v>31</v>
      </c>
      <c r="E777" s="2" t="s">
        <v>43</v>
      </c>
      <c r="F777" s="3"/>
      <c r="G777" s="3"/>
    </row>
    <row r="778" spans="1:7" x14ac:dyDescent="0.2">
      <c r="A778" s="2" t="s">
        <v>43</v>
      </c>
      <c r="B778" s="2" t="s">
        <v>303</v>
      </c>
      <c r="C778" s="2" t="s">
        <v>30</v>
      </c>
      <c r="D778" s="2" t="s">
        <v>31</v>
      </c>
      <c r="E778" s="2" t="s">
        <v>43</v>
      </c>
      <c r="F778" s="3"/>
      <c r="G778" s="3"/>
    </row>
    <row r="779" spans="1:7" x14ac:dyDescent="0.2">
      <c r="A779" s="2" t="s">
        <v>43</v>
      </c>
      <c r="B779" s="2" t="s">
        <v>305</v>
      </c>
      <c r="C779" s="2" t="s">
        <v>30</v>
      </c>
      <c r="D779" s="2" t="s">
        <v>31</v>
      </c>
      <c r="E779" s="2" t="s">
        <v>43</v>
      </c>
      <c r="F779" s="3"/>
      <c r="G779" s="3"/>
    </row>
    <row r="780" spans="1:7" x14ac:dyDescent="0.2">
      <c r="A780" s="2" t="s">
        <v>43</v>
      </c>
      <c r="B780" s="2" t="s">
        <v>33</v>
      </c>
      <c r="C780" s="2" t="s">
        <v>30</v>
      </c>
      <c r="D780" s="2" t="s">
        <v>31</v>
      </c>
      <c r="E780" s="2" t="s">
        <v>43</v>
      </c>
      <c r="F780" s="3">
        <v>217.29999999999995</v>
      </c>
      <c r="G780" s="3">
        <v>218.29999999999995</v>
      </c>
    </row>
    <row r="781" spans="1:7" x14ac:dyDescent="0.2">
      <c r="A781" s="2" t="s">
        <v>43</v>
      </c>
      <c r="B781" s="2" t="s">
        <v>309</v>
      </c>
      <c r="C781" s="2" t="s">
        <v>30</v>
      </c>
      <c r="D781" s="2" t="s">
        <v>31</v>
      </c>
      <c r="E781" s="2" t="s">
        <v>43</v>
      </c>
      <c r="F781" s="3"/>
      <c r="G781" s="3"/>
    </row>
    <row r="782" spans="1:7" x14ac:dyDescent="0.2">
      <c r="A782" s="2" t="s">
        <v>43</v>
      </c>
      <c r="B782" s="2" t="s">
        <v>310</v>
      </c>
      <c r="C782" s="2" t="s">
        <v>30</v>
      </c>
      <c r="D782" s="2" t="s">
        <v>31</v>
      </c>
      <c r="E782" s="2" t="s">
        <v>43</v>
      </c>
      <c r="F782" s="3"/>
      <c r="G782" s="3"/>
    </row>
    <row r="783" spans="1:7" x14ac:dyDescent="0.2">
      <c r="A783" s="2" t="s">
        <v>43</v>
      </c>
      <c r="B783" s="2" t="s">
        <v>311</v>
      </c>
      <c r="C783" s="2" t="s">
        <v>30</v>
      </c>
      <c r="D783" s="2" t="s">
        <v>31</v>
      </c>
      <c r="E783" s="2" t="s">
        <v>43</v>
      </c>
      <c r="F783" s="3"/>
      <c r="G783" s="3"/>
    </row>
    <row r="784" spans="1:7" x14ac:dyDescent="0.2">
      <c r="A784" s="2" t="s">
        <v>43</v>
      </c>
      <c r="B784" s="2" t="s">
        <v>312</v>
      </c>
      <c r="C784" s="2" t="s">
        <v>30</v>
      </c>
      <c r="D784" s="2" t="s">
        <v>31</v>
      </c>
      <c r="E784" s="2" t="s">
        <v>43</v>
      </c>
      <c r="F784" s="3"/>
      <c r="G784" s="3"/>
    </row>
    <row r="785" spans="1:7" x14ac:dyDescent="0.2">
      <c r="A785" s="2" t="s">
        <v>43</v>
      </c>
      <c r="B785" s="2" t="s">
        <v>60</v>
      </c>
      <c r="C785" s="2" t="s">
        <v>30</v>
      </c>
      <c r="D785" s="2" t="s">
        <v>31</v>
      </c>
      <c r="E785" s="2" t="s">
        <v>43</v>
      </c>
      <c r="F785" s="3"/>
      <c r="G785" s="3"/>
    </row>
    <row r="786" spans="1:7" x14ac:dyDescent="0.2">
      <c r="A786" s="2" t="s">
        <v>43</v>
      </c>
      <c r="B786" s="2" t="s">
        <v>324</v>
      </c>
      <c r="C786" s="2" t="s">
        <v>30</v>
      </c>
      <c r="D786" s="2" t="s">
        <v>31</v>
      </c>
      <c r="E786" s="2" t="s">
        <v>43</v>
      </c>
      <c r="F786" s="3">
        <v>300</v>
      </c>
      <c r="G786" s="3">
        <v>3300</v>
      </c>
    </row>
    <row r="787" spans="1:7" x14ac:dyDescent="0.2">
      <c r="A787" s="2" t="s">
        <v>43</v>
      </c>
      <c r="B787" s="2" t="s">
        <v>326</v>
      </c>
      <c r="C787" s="2" t="s">
        <v>30</v>
      </c>
      <c r="D787" s="2" t="s">
        <v>31</v>
      </c>
      <c r="E787" s="2" t="s">
        <v>43</v>
      </c>
      <c r="F787" s="3"/>
      <c r="G787" s="3"/>
    </row>
    <row r="788" spans="1:7" x14ac:dyDescent="0.2">
      <c r="A788" s="2" t="s">
        <v>43</v>
      </c>
      <c r="B788" s="2" t="s">
        <v>328</v>
      </c>
      <c r="C788" s="2" t="s">
        <v>30</v>
      </c>
      <c r="D788" s="2" t="s">
        <v>31</v>
      </c>
      <c r="E788" s="2" t="s">
        <v>43</v>
      </c>
      <c r="F788" s="3"/>
      <c r="G788" s="3"/>
    </row>
    <row r="789" spans="1:7" x14ac:dyDescent="0.2">
      <c r="A789" s="2" t="s">
        <v>43</v>
      </c>
      <c r="B789" s="2" t="s">
        <v>329</v>
      </c>
      <c r="C789" s="2" t="s">
        <v>30</v>
      </c>
      <c r="D789" s="2" t="s">
        <v>31</v>
      </c>
      <c r="E789" s="2" t="s">
        <v>43</v>
      </c>
      <c r="F789" s="3">
        <v>180</v>
      </c>
      <c r="G789" s="3">
        <v>180</v>
      </c>
    </row>
    <row r="790" spans="1:7" x14ac:dyDescent="0.2">
      <c r="A790" s="2" t="s">
        <v>43</v>
      </c>
      <c r="B790" s="2" t="s">
        <v>330</v>
      </c>
      <c r="C790" s="2" t="s">
        <v>30</v>
      </c>
      <c r="D790" s="2" t="s">
        <v>31</v>
      </c>
      <c r="E790" s="2" t="s">
        <v>43</v>
      </c>
      <c r="F790" s="3"/>
      <c r="G790" s="3"/>
    </row>
    <row r="791" spans="1:7" x14ac:dyDescent="0.2">
      <c r="A791" s="2" t="s">
        <v>43</v>
      </c>
      <c r="B791" s="2" t="s">
        <v>331</v>
      </c>
      <c r="C791" s="2" t="s">
        <v>30</v>
      </c>
      <c r="D791" s="2" t="s">
        <v>31</v>
      </c>
      <c r="E791" s="2" t="s">
        <v>43</v>
      </c>
      <c r="F791" s="3"/>
      <c r="G791" s="3"/>
    </row>
    <row r="792" spans="1:7" x14ac:dyDescent="0.2">
      <c r="A792" s="2" t="s">
        <v>43</v>
      </c>
      <c r="B792" s="2" t="s">
        <v>337</v>
      </c>
      <c r="C792" s="2" t="s">
        <v>30</v>
      </c>
      <c r="D792" s="2" t="s">
        <v>31</v>
      </c>
      <c r="E792" s="2" t="s">
        <v>43</v>
      </c>
      <c r="F792" s="3">
        <v>286.28749999999997</v>
      </c>
      <c r="G792" s="3">
        <v>269.48749999999995</v>
      </c>
    </row>
    <row r="793" spans="1:7" x14ac:dyDescent="0.2">
      <c r="A793" s="2" t="s">
        <v>43</v>
      </c>
      <c r="B793" s="2" t="s">
        <v>55</v>
      </c>
      <c r="C793" s="2" t="s">
        <v>30</v>
      </c>
      <c r="D793" s="2" t="s">
        <v>31</v>
      </c>
      <c r="E793" s="2" t="s">
        <v>43</v>
      </c>
      <c r="F793" s="3">
        <v>1148.75</v>
      </c>
      <c r="G793" s="3">
        <v>1134.3499999999999</v>
      </c>
    </row>
    <row r="794" spans="1:7" x14ac:dyDescent="0.2">
      <c r="A794" s="2" t="s">
        <v>43</v>
      </c>
      <c r="B794" s="2" t="s">
        <v>357</v>
      </c>
      <c r="C794" s="2" t="s">
        <v>30</v>
      </c>
      <c r="D794" s="2" t="s">
        <v>31</v>
      </c>
      <c r="E794" s="2" t="s">
        <v>43</v>
      </c>
      <c r="F794" s="3"/>
      <c r="G794" s="3"/>
    </row>
    <row r="795" spans="1:7" x14ac:dyDescent="0.2">
      <c r="A795" s="2" t="s">
        <v>43</v>
      </c>
      <c r="B795" s="2" t="s">
        <v>358</v>
      </c>
      <c r="C795" s="2" t="s">
        <v>30</v>
      </c>
      <c r="D795" s="2" t="s">
        <v>31</v>
      </c>
      <c r="E795" s="2" t="s">
        <v>43</v>
      </c>
      <c r="F795" s="3"/>
      <c r="G795" s="3"/>
    </row>
    <row r="796" spans="1:7" x14ac:dyDescent="0.2">
      <c r="A796" s="2" t="s">
        <v>43</v>
      </c>
      <c r="B796" s="2" t="s">
        <v>363</v>
      </c>
      <c r="C796" s="2" t="s">
        <v>30</v>
      </c>
      <c r="D796" s="2" t="s">
        <v>31</v>
      </c>
      <c r="E796" s="2" t="s">
        <v>43</v>
      </c>
      <c r="F796" s="3"/>
      <c r="G796" s="3"/>
    </row>
    <row r="797" spans="1:7" x14ac:dyDescent="0.2">
      <c r="A797" s="2" t="s">
        <v>43</v>
      </c>
      <c r="B797" s="2" t="s">
        <v>364</v>
      </c>
      <c r="C797" s="2" t="s">
        <v>30</v>
      </c>
      <c r="D797" s="2" t="s">
        <v>31</v>
      </c>
      <c r="E797" s="2" t="s">
        <v>43</v>
      </c>
      <c r="F797" s="3"/>
      <c r="G797" s="3"/>
    </row>
    <row r="798" spans="1:7" x14ac:dyDescent="0.2">
      <c r="A798" s="2" t="s">
        <v>43</v>
      </c>
      <c r="B798" s="2" t="s">
        <v>370</v>
      </c>
      <c r="C798" s="2" t="s">
        <v>30</v>
      </c>
      <c r="D798" s="2" t="s">
        <v>31</v>
      </c>
      <c r="E798" s="2" t="s">
        <v>43</v>
      </c>
      <c r="F798" s="3">
        <v>199.5</v>
      </c>
      <c r="G798" s="3">
        <v>199.5</v>
      </c>
    </row>
    <row r="799" spans="1:7" x14ac:dyDescent="0.2">
      <c r="A799" s="2" t="s">
        <v>43</v>
      </c>
      <c r="B799" s="2" t="s">
        <v>389</v>
      </c>
      <c r="C799" s="2" t="s">
        <v>30</v>
      </c>
      <c r="D799" s="2" t="s">
        <v>31</v>
      </c>
      <c r="E799" s="2" t="s">
        <v>43</v>
      </c>
      <c r="F799" s="3"/>
      <c r="G799" s="3"/>
    </row>
    <row r="800" spans="1:7" x14ac:dyDescent="0.2">
      <c r="A800" s="2" t="s">
        <v>43</v>
      </c>
      <c r="B800" s="2" t="s">
        <v>390</v>
      </c>
      <c r="C800" s="2" t="s">
        <v>30</v>
      </c>
      <c r="D800" s="2" t="s">
        <v>31</v>
      </c>
      <c r="E800" s="2" t="s">
        <v>43</v>
      </c>
      <c r="F800" s="3"/>
      <c r="G800" s="3"/>
    </row>
    <row r="801" spans="1:7" x14ac:dyDescent="0.2">
      <c r="A801" s="2" t="s">
        <v>43</v>
      </c>
      <c r="B801" s="2" t="s">
        <v>391</v>
      </c>
      <c r="C801" s="2" t="s">
        <v>30</v>
      </c>
      <c r="D801" s="2" t="s">
        <v>31</v>
      </c>
      <c r="E801" s="2" t="s">
        <v>43</v>
      </c>
      <c r="F801" s="3"/>
      <c r="G801" s="3"/>
    </row>
    <row r="802" spans="1:7" x14ac:dyDescent="0.2">
      <c r="A802" s="2" t="s">
        <v>43</v>
      </c>
      <c r="B802" s="2" t="s">
        <v>392</v>
      </c>
      <c r="C802" s="2" t="s">
        <v>30</v>
      </c>
      <c r="D802" s="2" t="s">
        <v>31</v>
      </c>
      <c r="E802" s="2" t="s">
        <v>43</v>
      </c>
      <c r="F802" s="3"/>
      <c r="G802" s="3"/>
    </row>
    <row r="803" spans="1:7" x14ac:dyDescent="0.2">
      <c r="A803" s="2" t="s">
        <v>43</v>
      </c>
      <c r="B803" s="2" t="s">
        <v>393</v>
      </c>
      <c r="C803" s="2" t="s">
        <v>30</v>
      </c>
      <c r="D803" s="2" t="s">
        <v>31</v>
      </c>
      <c r="E803" s="2" t="s">
        <v>43</v>
      </c>
      <c r="F803" s="3"/>
      <c r="G803" s="3"/>
    </row>
    <row r="804" spans="1:7" x14ac:dyDescent="0.2">
      <c r="A804" s="2" t="s">
        <v>43</v>
      </c>
      <c r="B804" s="2" t="s">
        <v>397</v>
      </c>
      <c r="C804" s="2" t="s">
        <v>30</v>
      </c>
      <c r="D804" s="2" t="s">
        <v>31</v>
      </c>
      <c r="E804" s="2" t="s">
        <v>43</v>
      </c>
      <c r="F804" s="3"/>
      <c r="G804" s="3"/>
    </row>
    <row r="805" spans="1:7" x14ac:dyDescent="0.2">
      <c r="A805" s="2" t="s">
        <v>43</v>
      </c>
      <c r="B805" s="2" t="s">
        <v>400</v>
      </c>
      <c r="C805" s="2" t="s">
        <v>30</v>
      </c>
      <c r="D805" s="2" t="s">
        <v>31</v>
      </c>
      <c r="E805" s="2" t="s">
        <v>43</v>
      </c>
      <c r="F805" s="3">
        <v>39.999999999999986</v>
      </c>
      <c r="G805" s="3">
        <v>39.999999999999986</v>
      </c>
    </row>
    <row r="806" spans="1:7" x14ac:dyDescent="0.2">
      <c r="A806" s="2" t="s">
        <v>43</v>
      </c>
      <c r="B806" s="2" t="s">
        <v>403</v>
      </c>
      <c r="C806" s="2" t="s">
        <v>30</v>
      </c>
      <c r="D806" s="2" t="s">
        <v>31</v>
      </c>
      <c r="E806" s="2" t="s">
        <v>43</v>
      </c>
      <c r="F806" s="3"/>
      <c r="G806" s="3"/>
    </row>
    <row r="807" spans="1:7" x14ac:dyDescent="0.2">
      <c r="A807" s="2" t="s">
        <v>43</v>
      </c>
      <c r="B807" s="2" t="s">
        <v>406</v>
      </c>
      <c r="C807" s="2" t="s">
        <v>30</v>
      </c>
      <c r="D807" s="2" t="s">
        <v>31</v>
      </c>
      <c r="E807" s="2" t="s">
        <v>43</v>
      </c>
      <c r="F807" s="3"/>
      <c r="G807" s="3"/>
    </row>
    <row r="808" spans="1:7" x14ac:dyDescent="0.2">
      <c r="A808" s="2" t="s">
        <v>43</v>
      </c>
      <c r="B808" s="2" t="s">
        <v>426</v>
      </c>
      <c r="C808" s="2" t="s">
        <v>30</v>
      </c>
      <c r="D808" s="2" t="s">
        <v>31</v>
      </c>
      <c r="E808" s="2" t="s">
        <v>43</v>
      </c>
      <c r="F808" s="3"/>
      <c r="G808" s="3"/>
    </row>
    <row r="809" spans="1:7" x14ac:dyDescent="0.2">
      <c r="A809" s="2" t="s">
        <v>43</v>
      </c>
      <c r="B809" s="2" t="s">
        <v>427</v>
      </c>
      <c r="C809" s="2" t="s">
        <v>30</v>
      </c>
      <c r="D809" s="2" t="s">
        <v>31</v>
      </c>
      <c r="E809" s="2" t="s">
        <v>43</v>
      </c>
      <c r="F809" s="3"/>
      <c r="G809" s="3"/>
    </row>
    <row r="810" spans="1:7" x14ac:dyDescent="0.2">
      <c r="A810" s="2" t="s">
        <v>43</v>
      </c>
      <c r="B810" s="2" t="s">
        <v>428</v>
      </c>
      <c r="C810" s="2" t="s">
        <v>30</v>
      </c>
      <c r="D810" s="2" t="s">
        <v>31</v>
      </c>
      <c r="E810" s="2" t="s">
        <v>43</v>
      </c>
      <c r="F810" s="3"/>
      <c r="G810" s="3"/>
    </row>
    <row r="811" spans="1:7" x14ac:dyDescent="0.2">
      <c r="A811" s="2" t="s">
        <v>43</v>
      </c>
      <c r="B811" s="2" t="s">
        <v>429</v>
      </c>
      <c r="C811" s="2" t="s">
        <v>30</v>
      </c>
      <c r="D811" s="2" t="s">
        <v>31</v>
      </c>
      <c r="E811" s="2" t="s">
        <v>43</v>
      </c>
      <c r="F811" s="3"/>
      <c r="G811" s="3"/>
    </row>
    <row r="812" spans="1:7" x14ac:dyDescent="0.2">
      <c r="A812" s="2" t="s">
        <v>43</v>
      </c>
      <c r="B812" s="2" t="s">
        <v>432</v>
      </c>
      <c r="C812" s="2" t="s">
        <v>30</v>
      </c>
      <c r="D812" s="2" t="s">
        <v>31</v>
      </c>
      <c r="E812" s="2" t="s">
        <v>43</v>
      </c>
      <c r="F812" s="3"/>
      <c r="G812" s="3"/>
    </row>
    <row r="813" spans="1:7" x14ac:dyDescent="0.2">
      <c r="A813" s="2" t="s">
        <v>43</v>
      </c>
      <c r="B813" s="2" t="s">
        <v>433</v>
      </c>
      <c r="C813" s="2" t="s">
        <v>30</v>
      </c>
      <c r="D813" s="2" t="s">
        <v>31</v>
      </c>
      <c r="E813" s="2" t="s">
        <v>43</v>
      </c>
      <c r="F813" s="3"/>
      <c r="G813" s="3"/>
    </row>
    <row r="814" spans="1:7" x14ac:dyDescent="0.2">
      <c r="A814" s="2" t="s">
        <v>43</v>
      </c>
      <c r="B814" s="2" t="s">
        <v>904</v>
      </c>
      <c r="C814" s="2" t="s">
        <v>30</v>
      </c>
      <c r="D814" s="2" t="s">
        <v>31</v>
      </c>
      <c r="E814" s="2" t="s">
        <v>43</v>
      </c>
      <c r="F814" s="3">
        <v>25</v>
      </c>
      <c r="G814" s="3">
        <v>25</v>
      </c>
    </row>
    <row r="815" spans="1:7" x14ac:dyDescent="0.2">
      <c r="A815" s="2" t="s">
        <v>43</v>
      </c>
      <c r="B815" s="2" t="s">
        <v>905</v>
      </c>
      <c r="C815" s="2" t="s">
        <v>30</v>
      </c>
      <c r="D815" s="2" t="s">
        <v>31</v>
      </c>
      <c r="E815" s="2" t="s">
        <v>43</v>
      </c>
      <c r="F815" s="3">
        <v>8.2500000000000071</v>
      </c>
      <c r="G815" s="3">
        <v>8.2500000000000053</v>
      </c>
    </row>
    <row r="816" spans="1:7" x14ac:dyDescent="0.2">
      <c r="A816" s="2" t="s">
        <v>43</v>
      </c>
      <c r="B816" s="2" t="s">
        <v>437</v>
      </c>
      <c r="C816" s="2" t="s">
        <v>30</v>
      </c>
      <c r="D816" s="2" t="s">
        <v>31</v>
      </c>
      <c r="E816" s="2" t="s">
        <v>43</v>
      </c>
      <c r="F816" s="3"/>
      <c r="G816" s="3"/>
    </row>
    <row r="817" spans="1:7" x14ac:dyDescent="0.2">
      <c r="A817" s="2" t="s">
        <v>43</v>
      </c>
      <c r="B817" s="2" t="s">
        <v>440</v>
      </c>
      <c r="C817" s="2" t="s">
        <v>30</v>
      </c>
      <c r="D817" s="2" t="s">
        <v>31</v>
      </c>
      <c r="E817" s="2" t="s">
        <v>43</v>
      </c>
      <c r="F817" s="3"/>
      <c r="G817" s="3"/>
    </row>
    <row r="818" spans="1:7" x14ac:dyDescent="0.2">
      <c r="A818" s="2" t="s">
        <v>43</v>
      </c>
      <c r="B818" s="2" t="s">
        <v>441</v>
      </c>
      <c r="C818" s="2" t="s">
        <v>30</v>
      </c>
      <c r="D818" s="2" t="s">
        <v>31</v>
      </c>
      <c r="E818" s="2" t="s">
        <v>43</v>
      </c>
      <c r="F818" s="3">
        <v>247.93999999999997</v>
      </c>
      <c r="G818" s="3">
        <v>219.18999999999997</v>
      </c>
    </row>
    <row r="819" spans="1:7" x14ac:dyDescent="0.2">
      <c r="A819" s="2" t="s">
        <v>43</v>
      </c>
      <c r="B819" s="2" t="s">
        <v>442</v>
      </c>
      <c r="C819" s="2" t="s">
        <v>30</v>
      </c>
      <c r="D819" s="2" t="s">
        <v>31</v>
      </c>
      <c r="E819" s="2" t="s">
        <v>43</v>
      </c>
      <c r="F819" s="3">
        <v>134.99999999999994</v>
      </c>
      <c r="G819" s="3">
        <v>99.999999999999957</v>
      </c>
    </row>
    <row r="820" spans="1:7" x14ac:dyDescent="0.2">
      <c r="A820" s="2" t="s">
        <v>43</v>
      </c>
      <c r="B820" s="2" t="s">
        <v>839</v>
      </c>
      <c r="C820" s="2" t="s">
        <v>30</v>
      </c>
      <c r="D820" s="2" t="s">
        <v>31</v>
      </c>
      <c r="E820" s="2" t="s">
        <v>43</v>
      </c>
      <c r="F820" s="3">
        <v>10</v>
      </c>
      <c r="G820" s="3">
        <v>10</v>
      </c>
    </row>
    <row r="821" spans="1:7" x14ac:dyDescent="0.2">
      <c r="A821" s="2" t="s">
        <v>43</v>
      </c>
      <c r="B821" s="2" t="s">
        <v>456</v>
      </c>
      <c r="C821" s="2" t="s">
        <v>30</v>
      </c>
      <c r="D821" s="2" t="s">
        <v>31</v>
      </c>
      <c r="E821" s="2" t="s">
        <v>43</v>
      </c>
      <c r="F821" s="3"/>
      <c r="G821" s="3"/>
    </row>
    <row r="822" spans="1:7" x14ac:dyDescent="0.2">
      <c r="A822" s="2" t="s">
        <v>43</v>
      </c>
      <c r="B822" s="2" t="s">
        <v>457</v>
      </c>
      <c r="C822" s="2" t="s">
        <v>30</v>
      </c>
      <c r="D822" s="2" t="s">
        <v>31</v>
      </c>
      <c r="E822" s="2" t="s">
        <v>43</v>
      </c>
      <c r="F822" s="3"/>
      <c r="G822" s="3"/>
    </row>
    <row r="823" spans="1:7" x14ac:dyDescent="0.2">
      <c r="A823" s="2" t="s">
        <v>43</v>
      </c>
      <c r="B823" s="2" t="s">
        <v>458</v>
      </c>
      <c r="C823" s="2" t="s">
        <v>30</v>
      </c>
      <c r="D823" s="2" t="s">
        <v>31</v>
      </c>
      <c r="E823" s="2" t="s">
        <v>43</v>
      </c>
      <c r="F823" s="3"/>
      <c r="G823" s="3"/>
    </row>
    <row r="824" spans="1:7" x14ac:dyDescent="0.2">
      <c r="A824" s="2" t="s">
        <v>43</v>
      </c>
      <c r="B824" s="2" t="s">
        <v>460</v>
      </c>
      <c r="C824" s="2" t="s">
        <v>30</v>
      </c>
      <c r="D824" s="2" t="s">
        <v>31</v>
      </c>
      <c r="E824" s="2" t="s">
        <v>43</v>
      </c>
      <c r="F824" s="3"/>
      <c r="G824" s="3"/>
    </row>
    <row r="825" spans="1:7" x14ac:dyDescent="0.2">
      <c r="A825" s="2" t="s">
        <v>43</v>
      </c>
      <c r="B825" s="2" t="s">
        <v>462</v>
      </c>
      <c r="C825" s="2" t="s">
        <v>30</v>
      </c>
      <c r="D825" s="2" t="s">
        <v>31</v>
      </c>
      <c r="E825" s="2" t="s">
        <v>43</v>
      </c>
      <c r="F825" s="3"/>
      <c r="G825" s="3"/>
    </row>
    <row r="826" spans="1:7" x14ac:dyDescent="0.2">
      <c r="A826" s="2" t="s">
        <v>43</v>
      </c>
      <c r="B826" s="2" t="s">
        <v>463</v>
      </c>
      <c r="C826" s="2" t="s">
        <v>30</v>
      </c>
      <c r="D826" s="2" t="s">
        <v>31</v>
      </c>
      <c r="E826" s="2" t="s">
        <v>43</v>
      </c>
      <c r="F826" s="3"/>
      <c r="G826" s="3"/>
    </row>
    <row r="827" spans="1:7" x14ac:dyDescent="0.2">
      <c r="A827" s="2" t="s">
        <v>43</v>
      </c>
      <c r="B827" s="2" t="s">
        <v>465</v>
      </c>
      <c r="C827" s="2" t="s">
        <v>30</v>
      </c>
      <c r="D827" s="2" t="s">
        <v>31</v>
      </c>
      <c r="E827" s="2" t="s">
        <v>43</v>
      </c>
      <c r="F827" s="3"/>
      <c r="G827" s="3"/>
    </row>
    <row r="828" spans="1:7" x14ac:dyDescent="0.2">
      <c r="A828" s="2" t="s">
        <v>43</v>
      </c>
      <c r="B828" s="2" t="s">
        <v>88</v>
      </c>
      <c r="C828" s="2" t="s">
        <v>30</v>
      </c>
      <c r="D828" s="2" t="s">
        <v>31</v>
      </c>
      <c r="E828" s="2" t="s">
        <v>43</v>
      </c>
      <c r="F828" s="3">
        <v>67</v>
      </c>
      <c r="G828" s="3">
        <v>67</v>
      </c>
    </row>
    <row r="829" spans="1:7" x14ac:dyDescent="0.2">
      <c r="A829" s="2" t="s">
        <v>43</v>
      </c>
      <c r="B829" s="2" t="s">
        <v>467</v>
      </c>
      <c r="C829" s="2" t="s">
        <v>30</v>
      </c>
      <c r="D829" s="2" t="s">
        <v>31</v>
      </c>
      <c r="E829" s="2" t="s">
        <v>43</v>
      </c>
      <c r="F829" s="3"/>
      <c r="G829" s="3"/>
    </row>
    <row r="830" spans="1:7" x14ac:dyDescent="0.2">
      <c r="A830" s="2" t="s">
        <v>43</v>
      </c>
      <c r="B830" s="2" t="s">
        <v>469</v>
      </c>
      <c r="C830" s="2" t="s">
        <v>30</v>
      </c>
      <c r="D830" s="2" t="s">
        <v>31</v>
      </c>
      <c r="E830" s="2" t="s">
        <v>43</v>
      </c>
      <c r="F830" s="3"/>
      <c r="G830" s="3"/>
    </row>
    <row r="831" spans="1:7" x14ac:dyDescent="0.2">
      <c r="A831" s="2" t="s">
        <v>43</v>
      </c>
      <c r="B831" s="2" t="s">
        <v>893</v>
      </c>
      <c r="C831" s="2" t="s">
        <v>30</v>
      </c>
      <c r="D831" s="2" t="s">
        <v>31</v>
      </c>
      <c r="E831" s="2" t="s">
        <v>43</v>
      </c>
      <c r="F831" s="3"/>
      <c r="G831" s="3"/>
    </row>
    <row r="832" spans="1:7" x14ac:dyDescent="0.2">
      <c r="A832" s="2" t="s">
        <v>43</v>
      </c>
      <c r="B832" s="2" t="s">
        <v>34</v>
      </c>
      <c r="C832" s="2" t="s">
        <v>30</v>
      </c>
      <c r="D832" s="2" t="s">
        <v>31</v>
      </c>
      <c r="E832" s="2" t="s">
        <v>43</v>
      </c>
      <c r="F832" s="3">
        <v>12.512500000000012</v>
      </c>
      <c r="G832" s="3"/>
    </row>
    <row r="833" spans="1:7" x14ac:dyDescent="0.2">
      <c r="A833" s="2" t="s">
        <v>43</v>
      </c>
      <c r="B833" s="2" t="s">
        <v>864</v>
      </c>
      <c r="C833" s="2" t="s">
        <v>30</v>
      </c>
      <c r="D833" s="2" t="s">
        <v>31</v>
      </c>
      <c r="E833" s="2" t="s">
        <v>43</v>
      </c>
      <c r="F833" s="3">
        <v>1447.6</v>
      </c>
      <c r="G833" s="3">
        <v>1552.6</v>
      </c>
    </row>
    <row r="834" spans="1:7" x14ac:dyDescent="0.2">
      <c r="A834" s="2" t="s">
        <v>43</v>
      </c>
      <c r="B834" s="2" t="s">
        <v>863</v>
      </c>
      <c r="C834" s="2" t="s">
        <v>30</v>
      </c>
      <c r="D834" s="2" t="s">
        <v>31</v>
      </c>
      <c r="E834" s="2" t="s">
        <v>43</v>
      </c>
      <c r="F834" s="3"/>
      <c r="G834" s="3"/>
    </row>
    <row r="835" spans="1:7" x14ac:dyDescent="0.2">
      <c r="A835" s="2" t="s">
        <v>43</v>
      </c>
      <c r="B835" s="2" t="s">
        <v>862</v>
      </c>
      <c r="C835" s="2" t="s">
        <v>30</v>
      </c>
      <c r="D835" s="2" t="s">
        <v>31</v>
      </c>
      <c r="E835" s="2" t="s">
        <v>43</v>
      </c>
      <c r="F835" s="3">
        <v>250.10000000000002</v>
      </c>
      <c r="G835" s="3">
        <v>1100.0999999999999</v>
      </c>
    </row>
    <row r="836" spans="1:7" x14ac:dyDescent="0.2">
      <c r="A836" s="2" t="s">
        <v>43</v>
      </c>
      <c r="B836" s="2" t="s">
        <v>490</v>
      </c>
      <c r="C836" s="2" t="s">
        <v>30</v>
      </c>
      <c r="D836" s="2" t="s">
        <v>31</v>
      </c>
      <c r="E836" s="2" t="s">
        <v>43</v>
      </c>
      <c r="F836" s="3">
        <v>156.05000000000001</v>
      </c>
      <c r="G836" s="3">
        <v>156.05000000000001</v>
      </c>
    </row>
    <row r="837" spans="1:7" x14ac:dyDescent="0.2">
      <c r="A837" s="2" t="s">
        <v>43</v>
      </c>
      <c r="B837" s="2" t="s">
        <v>861</v>
      </c>
      <c r="C837" s="2" t="s">
        <v>30</v>
      </c>
      <c r="D837" s="2" t="s">
        <v>31</v>
      </c>
      <c r="E837" s="2" t="s">
        <v>43</v>
      </c>
      <c r="F837" s="3">
        <v>1475</v>
      </c>
      <c r="G837" s="3">
        <v>900</v>
      </c>
    </row>
    <row r="838" spans="1:7" x14ac:dyDescent="0.2">
      <c r="A838" s="2" t="s">
        <v>43</v>
      </c>
      <c r="B838" s="2" t="s">
        <v>860</v>
      </c>
      <c r="C838" s="2" t="s">
        <v>30</v>
      </c>
      <c r="D838" s="2" t="s">
        <v>31</v>
      </c>
      <c r="E838" s="2" t="s">
        <v>43</v>
      </c>
      <c r="F838" s="3"/>
      <c r="G838" s="3"/>
    </row>
    <row r="839" spans="1:7" x14ac:dyDescent="0.2">
      <c r="A839" s="2" t="s">
        <v>43</v>
      </c>
      <c r="B839" s="2" t="s">
        <v>859</v>
      </c>
      <c r="C839" s="2" t="s">
        <v>30</v>
      </c>
      <c r="D839" s="2" t="s">
        <v>31</v>
      </c>
      <c r="E839" s="2" t="s">
        <v>43</v>
      </c>
      <c r="F839" s="3">
        <v>50</v>
      </c>
      <c r="G839" s="3">
        <v>50</v>
      </c>
    </row>
    <row r="840" spans="1:7" x14ac:dyDescent="0.2">
      <c r="A840" s="2" t="s">
        <v>43</v>
      </c>
      <c r="B840" s="2" t="s">
        <v>491</v>
      </c>
      <c r="C840" s="2" t="s">
        <v>30</v>
      </c>
      <c r="D840" s="2" t="s">
        <v>31</v>
      </c>
      <c r="E840" s="2" t="s">
        <v>43</v>
      </c>
      <c r="F840" s="3">
        <v>15772.72</v>
      </c>
      <c r="G840" s="3">
        <v>1164.2200000000003</v>
      </c>
    </row>
    <row r="841" spans="1:7" x14ac:dyDescent="0.2">
      <c r="A841" s="2" t="s">
        <v>43</v>
      </c>
      <c r="B841" s="2" t="s">
        <v>495</v>
      </c>
      <c r="C841" s="2" t="s">
        <v>30</v>
      </c>
      <c r="D841" s="2" t="s">
        <v>31</v>
      </c>
      <c r="E841" s="2" t="s">
        <v>43</v>
      </c>
      <c r="F841" s="3"/>
      <c r="G841" s="3"/>
    </row>
    <row r="842" spans="1:7" x14ac:dyDescent="0.2">
      <c r="A842" s="2" t="s">
        <v>43</v>
      </c>
      <c r="B842" s="2" t="s">
        <v>874</v>
      </c>
      <c r="C842" s="2" t="s">
        <v>30</v>
      </c>
      <c r="D842" s="2" t="s">
        <v>31</v>
      </c>
      <c r="E842" s="2" t="s">
        <v>43</v>
      </c>
      <c r="F842" s="3">
        <v>86.55</v>
      </c>
      <c r="G842" s="3">
        <v>85</v>
      </c>
    </row>
    <row r="843" spans="1:7" x14ac:dyDescent="0.2">
      <c r="A843" s="2" t="s">
        <v>43</v>
      </c>
      <c r="B843" s="2" t="s">
        <v>871</v>
      </c>
      <c r="C843" s="2" t="s">
        <v>30</v>
      </c>
      <c r="D843" s="2" t="s">
        <v>31</v>
      </c>
      <c r="E843" s="2" t="s">
        <v>43</v>
      </c>
      <c r="F843" s="3">
        <v>8</v>
      </c>
      <c r="G843" s="3">
        <v>8</v>
      </c>
    </row>
    <row r="844" spans="1:7" x14ac:dyDescent="0.2">
      <c r="A844" s="2" t="s">
        <v>43</v>
      </c>
      <c r="B844" s="2" t="s">
        <v>498</v>
      </c>
      <c r="C844" s="2" t="s">
        <v>30</v>
      </c>
      <c r="D844" s="2" t="s">
        <v>31</v>
      </c>
      <c r="E844" s="2" t="s">
        <v>43</v>
      </c>
      <c r="F844" s="3"/>
      <c r="G844" s="3"/>
    </row>
    <row r="845" spans="1:7" x14ac:dyDescent="0.2">
      <c r="A845" s="34" t="s">
        <v>43</v>
      </c>
      <c r="B845" s="34" t="s">
        <v>873</v>
      </c>
      <c r="C845" s="34" t="s">
        <v>30</v>
      </c>
      <c r="D845" s="34" t="s">
        <v>31</v>
      </c>
      <c r="E845" s="34" t="s">
        <v>43</v>
      </c>
      <c r="F845" s="3"/>
      <c r="G845" s="3"/>
    </row>
    <row r="846" spans="1:7" x14ac:dyDescent="0.2">
      <c r="A846" s="2" t="s">
        <v>43</v>
      </c>
      <c r="B846" s="2" t="s">
        <v>872</v>
      </c>
      <c r="C846" s="2" t="s">
        <v>30</v>
      </c>
      <c r="D846" s="2" t="s">
        <v>31</v>
      </c>
      <c r="E846" s="2" t="s">
        <v>43</v>
      </c>
      <c r="F846" s="3"/>
      <c r="G846" s="3"/>
    </row>
    <row r="847" spans="1:7" x14ac:dyDescent="0.2">
      <c r="A847" s="2" t="s">
        <v>43</v>
      </c>
      <c r="B847" s="3" t="s">
        <v>778</v>
      </c>
      <c r="C847" s="3" t="s">
        <v>30</v>
      </c>
      <c r="D847" s="3" t="s">
        <v>31</v>
      </c>
      <c r="E847" s="2" t="s">
        <v>43</v>
      </c>
      <c r="F847" s="3">
        <v>112</v>
      </c>
      <c r="G847" s="3">
        <v>112</v>
      </c>
    </row>
    <row r="848" spans="1:7" x14ac:dyDescent="0.2">
      <c r="A848" s="2" t="s">
        <v>43</v>
      </c>
      <c r="B848" s="3" t="s">
        <v>779</v>
      </c>
      <c r="C848" s="3" t="s">
        <v>30</v>
      </c>
      <c r="D848" s="3" t="s">
        <v>31</v>
      </c>
      <c r="E848" s="2" t="s">
        <v>43</v>
      </c>
      <c r="F848" s="3">
        <v>32</v>
      </c>
      <c r="G848" s="3">
        <v>32</v>
      </c>
    </row>
    <row r="849" spans="1:7" x14ac:dyDescent="0.2">
      <c r="A849" s="3" t="s">
        <v>43</v>
      </c>
      <c r="B849" s="3" t="s">
        <v>810</v>
      </c>
      <c r="C849" s="3" t="s">
        <v>30</v>
      </c>
      <c r="D849" s="3" t="s">
        <v>31</v>
      </c>
      <c r="E849" s="3" t="s">
        <v>43</v>
      </c>
      <c r="F849" s="3">
        <v>50.900000000000013</v>
      </c>
      <c r="G849" s="3">
        <v>64.699999999999932</v>
      </c>
    </row>
    <row r="850" spans="1:7" x14ac:dyDescent="0.2">
      <c r="A850" s="3" t="s">
        <v>43</v>
      </c>
      <c r="B850" s="3" t="s">
        <v>781</v>
      </c>
      <c r="C850" s="3" t="s">
        <v>30</v>
      </c>
      <c r="D850" s="3" t="s">
        <v>31</v>
      </c>
      <c r="E850" s="3" t="s">
        <v>43</v>
      </c>
      <c r="F850" s="3">
        <v>75</v>
      </c>
      <c r="G850" s="3">
        <v>75</v>
      </c>
    </row>
    <row r="851" spans="1:7" x14ac:dyDescent="0.2">
      <c r="A851" s="3" t="s">
        <v>43</v>
      </c>
      <c r="B851" s="3" t="s">
        <v>813</v>
      </c>
      <c r="C851" s="3" t="s">
        <v>30</v>
      </c>
      <c r="D851" s="3" t="s">
        <v>31</v>
      </c>
      <c r="E851" s="3" t="s">
        <v>43</v>
      </c>
      <c r="F851" s="3"/>
      <c r="G851" s="3"/>
    </row>
    <row r="852" spans="1:7" x14ac:dyDescent="0.2">
      <c r="A852" s="2" t="s">
        <v>674</v>
      </c>
      <c r="B852" s="2" t="s">
        <v>673</v>
      </c>
      <c r="C852" s="2" t="s">
        <v>674</v>
      </c>
      <c r="D852" s="2" t="s">
        <v>502</v>
      </c>
      <c r="E852" s="2" t="s">
        <v>674</v>
      </c>
      <c r="F852" s="3">
        <v>80153.200000000012</v>
      </c>
      <c r="G852" s="3">
        <v>101125.20000000001</v>
      </c>
    </row>
  </sheetData>
  <autoFilter ref="A2:G852"/>
  <conditionalFormatting sqref="B21:B840 B2:B19">
    <cfRule type="duplicateValues" dxfId="2" priority="7"/>
  </conditionalFormatting>
  <conditionalFormatting sqref="B849">
    <cfRule type="duplicateValues" dxfId="1" priority="4"/>
  </conditionalFormatting>
  <conditionalFormatting sqref="B850">
    <cfRule type="duplicateValues" dxfId="0" priority="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VORA</dc:creator>
  <cp:lastModifiedBy>user</cp:lastModifiedBy>
  <cp:lastPrinted>2022-09-05T06:15:43Z</cp:lastPrinted>
  <dcterms:created xsi:type="dcterms:W3CDTF">2021-12-29T05:59:06Z</dcterms:created>
  <dcterms:modified xsi:type="dcterms:W3CDTF">2026-09-05T11:19:21Z</dcterms:modified>
</cp:coreProperties>
</file>